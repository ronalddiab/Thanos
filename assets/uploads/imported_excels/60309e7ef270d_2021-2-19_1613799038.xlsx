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charts/chart6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20" yWindow="-120" windowWidth="20730" windowHeight="11160" tabRatio="848" activeTab="23"/>
  </bookViews>
  <sheets>
    <sheet name="TOTAL" sheetId="47" r:id="rId1"/>
    <sheet name="Daily HLP" sheetId="1" r:id="rId2"/>
    <sheet name="Occupancy" sheetId="48" r:id="rId3"/>
    <sheet name="Water Report" sheetId="45" r:id="rId4"/>
    <sheet name="Section Load" sheetId="44" r:id="rId5"/>
    <sheet name="1" sheetId="2" r:id="rId6"/>
    <sheet name="2" sheetId="3" r:id="rId7"/>
    <sheet name="3" sheetId="4" r:id="rId8"/>
    <sheet name="4" sheetId="5" r:id="rId9"/>
    <sheet name="5" sheetId="33" r:id="rId10"/>
    <sheet name="6" sheetId="7" r:id="rId11"/>
    <sheet name="7" sheetId="8" r:id="rId12"/>
    <sheet name="8" sheetId="9" r:id="rId13"/>
    <sheet name="9" sheetId="10" r:id="rId14"/>
    <sheet name="10" sheetId="11" r:id="rId15"/>
    <sheet name="11" sheetId="12" r:id="rId16"/>
    <sheet name="12" sheetId="13" r:id="rId17"/>
    <sheet name="13" sheetId="14" r:id="rId18"/>
    <sheet name="14" sheetId="15" r:id="rId19"/>
    <sheet name="15" sheetId="16" r:id="rId20"/>
    <sheet name="16" sheetId="17" r:id="rId21"/>
    <sheet name="17" sheetId="18" r:id="rId22"/>
    <sheet name="18" sheetId="19" r:id="rId23"/>
    <sheet name="19" sheetId="20" r:id="rId24"/>
    <sheet name="20" sheetId="21" r:id="rId25"/>
    <sheet name="21" sheetId="22" r:id="rId26"/>
    <sheet name="22" sheetId="23" r:id="rId27"/>
    <sheet name="23" sheetId="24" r:id="rId28"/>
    <sheet name="24" sheetId="25" r:id="rId29"/>
    <sheet name="25" sheetId="40" r:id="rId30"/>
    <sheet name="26" sheetId="27" r:id="rId31"/>
    <sheet name="27" sheetId="28" r:id="rId32"/>
    <sheet name="28" sheetId="29" r:id="rId33"/>
    <sheet name="29" sheetId="30" r:id="rId34"/>
    <sheet name="30" sheetId="43" r:id="rId35"/>
    <sheet name="31" sheetId="31" r:id="rId36"/>
    <sheet name="Daily HLP (2)" sheetId="35" r:id="rId37"/>
    <sheet name="Sheet1" sheetId="41" r:id="rId38"/>
    <sheet name="Sheet2" sheetId="42" r:id="rId39"/>
    <sheet name="Sheet3" sheetId="46" r:id="rId40"/>
  </sheets>
  <externalReferences>
    <externalReference r:id="rId41"/>
    <externalReference r:id="rId42"/>
    <externalReference r:id="rId43"/>
  </externalReferences>
  <definedNames>
    <definedName name="_xlnm.Print_Area" localSheetId="5">'1'!$A$1:$M$173</definedName>
    <definedName name="_xlnm.Print_Area" localSheetId="14">'10'!$A$1:$M$200</definedName>
    <definedName name="_xlnm.Print_Area" localSheetId="17">'13'!$A$1:$P$172</definedName>
    <definedName name="_xlnm.Print_Area" localSheetId="18">'14'!$A$1:$J$175</definedName>
    <definedName name="_xlnm.Print_Area" localSheetId="19">'15'!$A$1:$J$175</definedName>
    <definedName name="_xlnm.Print_Area" localSheetId="20">'16'!$A$1:$J$175</definedName>
    <definedName name="_xlnm.Print_Area" localSheetId="21">'17'!$A$1:$J$175</definedName>
    <definedName name="_xlnm.Print_Area" localSheetId="22">'18'!$A$1:$J$176</definedName>
    <definedName name="_xlnm.Print_Area" localSheetId="23">'19'!$A$1:$J$175</definedName>
    <definedName name="_xlnm.Print_Area" localSheetId="24">'20'!$A$1:$J$175</definedName>
    <definedName name="_xlnm.Print_Area" localSheetId="25">'21'!$A$1:$J$175</definedName>
    <definedName name="_xlnm.Print_Area" localSheetId="26">'22'!$A$1:$J$153</definedName>
    <definedName name="_xlnm.Print_Area" localSheetId="27">'23'!$A$1:$J$172</definedName>
    <definedName name="_xlnm.Print_Area" localSheetId="28">'24'!$A$1:$J$153</definedName>
    <definedName name="_xlnm.Print_Area" localSheetId="29">'25'!$A$1:$J$153</definedName>
    <definedName name="_xlnm.Print_Area" localSheetId="30">'26'!$A$1:$J$153</definedName>
    <definedName name="_xlnm.Print_Area" localSheetId="31">'27'!$A$1:$J$153</definedName>
    <definedName name="_xlnm.Print_Area" localSheetId="32">'28'!$A$1:$J$153</definedName>
    <definedName name="_xlnm.Print_Area" localSheetId="33">'29'!$A$1:$M$172</definedName>
    <definedName name="_xlnm.Print_Area" localSheetId="34">'30'!$A$1:$J$172</definedName>
    <definedName name="_xlnm.Print_Area" localSheetId="35">'31'!$A$1:$J$172</definedName>
    <definedName name="_xlnm.Print_Area" localSheetId="8">'4'!$A$1:$J$153</definedName>
    <definedName name="_xlnm.Print_Area" localSheetId="10">'6'!$A$1:$J$153</definedName>
    <definedName name="_xlnm.Print_Area" localSheetId="11">'7'!$A$1:$J$153</definedName>
    <definedName name="_xlnm.Print_Area" localSheetId="12">'8'!$A$1:$J$153</definedName>
    <definedName name="_xlnm.Print_Area" localSheetId="13">'9'!$A$1:$J$153</definedName>
  </definedNames>
  <calcPr calcId="124519"/>
</workbook>
</file>

<file path=xl/calcChain.xml><?xml version="1.0" encoding="utf-8"?>
<calcChain xmlns="http://schemas.openxmlformats.org/spreadsheetml/2006/main">
  <c r="J31" i="20"/>
  <c r="H86"/>
  <c r="G3" i="48"/>
  <c r="G4"/>
  <c r="G5"/>
  <c r="K5" i="47" s="1"/>
  <c r="G6" i="48"/>
  <c r="G7"/>
  <c r="G8"/>
  <c r="G9"/>
  <c r="K9" i="47" s="1"/>
  <c r="G10" i="48"/>
  <c r="K10" i="47" s="1"/>
  <c r="G11" i="48"/>
  <c r="G12"/>
  <c r="G13"/>
  <c r="G14"/>
  <c r="G15"/>
  <c r="K15" i="47" s="1"/>
  <c r="G16" i="48"/>
  <c r="K16" i="47" s="1"/>
  <c r="G17" i="48"/>
  <c r="K17" i="47" s="1"/>
  <c r="G18" i="48"/>
  <c r="K18" i="47" s="1"/>
  <c r="G19" i="48"/>
  <c r="G20"/>
  <c r="G21"/>
  <c r="K21" i="47" s="1"/>
  <c r="G22" i="48"/>
  <c r="G23"/>
  <c r="K23" i="47" s="1"/>
  <c r="G24" i="48"/>
  <c r="G25"/>
  <c r="K25" i="47" s="1"/>
  <c r="G26" i="48"/>
  <c r="G27"/>
  <c r="G28"/>
  <c r="K28" i="47" s="1"/>
  <c r="G29" i="48"/>
  <c r="G30"/>
  <c r="E19"/>
  <c r="E20"/>
  <c r="E17"/>
  <c r="E18"/>
  <c r="E16"/>
  <c r="E163" i="17"/>
  <c r="E162"/>
  <c r="G2" i="48"/>
  <c r="E73" i="14"/>
  <c r="E72"/>
  <c r="L3" i="47"/>
  <c r="L4"/>
  <c r="L5"/>
  <c r="L6"/>
  <c r="L7"/>
  <c r="L8"/>
  <c r="L9"/>
  <c r="L10"/>
  <c r="L11"/>
  <c r="L12"/>
  <c r="L13"/>
  <c r="L14"/>
  <c r="L15"/>
  <c r="L16"/>
  <c r="L17"/>
  <c r="L18"/>
  <c r="L19"/>
  <c r="L31"/>
  <c r="L2"/>
  <c r="K3"/>
  <c r="K4"/>
  <c r="K6"/>
  <c r="K7"/>
  <c r="K8"/>
  <c r="K11"/>
  <c r="K12"/>
  <c r="K29"/>
  <c r="K31"/>
  <c r="K2"/>
  <c r="K13"/>
  <c r="J31" i="12"/>
  <c r="E131"/>
  <c r="E132"/>
  <c r="E133"/>
  <c r="E134"/>
  <c r="E135"/>
  <c r="E136"/>
  <c r="E137"/>
  <c r="E138"/>
  <c r="E139"/>
  <c r="E140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8" i="11"/>
  <c r="E9"/>
  <c r="E10"/>
  <c r="E11"/>
  <c r="E12"/>
  <c r="E131"/>
  <c r="E132"/>
  <c r="E133"/>
  <c r="E134"/>
  <c r="E135"/>
  <c r="E136"/>
  <c r="E137"/>
  <c r="E138"/>
  <c r="E139"/>
  <c r="E140"/>
  <c r="E73"/>
  <c r="E77"/>
  <c r="E78"/>
  <c r="E79"/>
  <c r="E80"/>
  <c r="E81"/>
  <c r="E82"/>
  <c r="E83"/>
  <c r="E84"/>
  <c r="E63"/>
  <c r="E64"/>
  <c r="E65"/>
  <c r="E66"/>
  <c r="E67"/>
  <c r="E68"/>
  <c r="E69"/>
  <c r="E36"/>
  <c r="E37"/>
  <c r="E38"/>
  <c r="E39"/>
  <c r="E40"/>
  <c r="E41"/>
  <c r="E42"/>
  <c r="E43"/>
  <c r="E44"/>
  <c r="E45"/>
  <c r="E46"/>
  <c r="E50"/>
  <c r="E51"/>
  <c r="E52"/>
  <c r="E53"/>
  <c r="E54"/>
  <c r="E55"/>
  <c r="E56"/>
  <c r="E57"/>
  <c r="E58"/>
  <c r="E131" i="10"/>
  <c r="E132"/>
  <c r="E133"/>
  <c r="E134"/>
  <c r="E135"/>
  <c r="E136"/>
  <c r="E137"/>
  <c r="E138"/>
  <c r="E139"/>
  <c r="E140"/>
  <c r="G13" i="9"/>
  <c r="G15"/>
  <c r="E73"/>
  <c r="E74"/>
  <c r="E75"/>
  <c r="E76"/>
  <c r="E77"/>
  <c r="E78"/>
  <c r="E79"/>
  <c r="E80"/>
  <c r="E81"/>
  <c r="E82"/>
  <c r="E83"/>
  <c r="E84"/>
  <c r="E11"/>
  <c r="F24"/>
  <c r="G23"/>
  <c r="G22"/>
  <c r="G24" s="1"/>
  <c r="E124" i="8"/>
  <c r="E125"/>
  <c r="E126"/>
  <c r="E127"/>
  <c r="E87"/>
  <c r="E88"/>
  <c r="E89"/>
  <c r="E90"/>
  <c r="E73"/>
  <c r="E74"/>
  <c r="E75"/>
  <c r="E76"/>
  <c r="E77"/>
  <c r="E78"/>
  <c r="E79"/>
  <c r="E80"/>
  <c r="E81"/>
  <c r="E82"/>
  <c r="E83"/>
  <c r="E84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64" i="7"/>
  <c r="E160" i="8"/>
  <c r="E161"/>
  <c r="E162"/>
  <c r="E163"/>
  <c r="E164"/>
  <c r="E164" i="33"/>
  <c r="E164" i="5"/>
  <c r="G22"/>
  <c r="E8"/>
  <c r="E164" i="4"/>
  <c r="H104"/>
  <c r="H108"/>
  <c r="H86" i="3"/>
  <c r="E50" i="43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K30" i="47"/>
  <c r="K27"/>
  <c r="K26"/>
  <c r="K24"/>
  <c r="E124" i="30"/>
  <c r="E125"/>
  <c r="E126"/>
  <c r="E127"/>
  <c r="E87"/>
  <c r="E88"/>
  <c r="E89"/>
  <c r="E9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87" i="29"/>
  <c r="E88"/>
  <c r="E89"/>
  <c r="E90"/>
  <c r="E110" i="27"/>
  <c r="E111"/>
  <c r="E96" i="29"/>
  <c r="E97"/>
  <c r="E98"/>
  <c r="E99"/>
  <c r="E100"/>
  <c r="E124"/>
  <c r="E125"/>
  <c r="E126"/>
  <c r="E127"/>
  <c r="E73"/>
  <c r="E74"/>
  <c r="E75"/>
  <c r="E76"/>
  <c r="E77"/>
  <c r="E78"/>
  <c r="E79"/>
  <c r="E80"/>
  <c r="E81"/>
  <c r="E82"/>
  <c r="E83"/>
  <c r="E84"/>
  <c r="E50" i="28"/>
  <c r="E51"/>
  <c r="E52"/>
  <c r="E53"/>
  <c r="E54"/>
  <c r="E55"/>
  <c r="E56"/>
  <c r="E57"/>
  <c r="E58"/>
  <c r="E124"/>
  <c r="E125"/>
  <c r="E126"/>
  <c r="E127"/>
  <c r="E131"/>
  <c r="E132"/>
  <c r="E133"/>
  <c r="E134"/>
  <c r="E135"/>
  <c r="E136"/>
  <c r="E137"/>
  <c r="E138"/>
  <c r="E139"/>
  <c r="E14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36"/>
  <c r="E37"/>
  <c r="E38"/>
  <c r="E39"/>
  <c r="E40"/>
  <c r="E41"/>
  <c r="E42"/>
  <c r="E43"/>
  <c r="E44"/>
  <c r="E45"/>
  <c r="E46"/>
  <c r="E131" i="27"/>
  <c r="E132"/>
  <c r="E133"/>
  <c r="E134"/>
  <c r="E135"/>
  <c r="E136"/>
  <c r="E137"/>
  <c r="E138"/>
  <c r="E139"/>
  <c r="E140"/>
  <c r="E87" i="40"/>
  <c r="E88"/>
  <c r="E89"/>
  <c r="E90"/>
  <c r="K14" i="47"/>
  <c r="K19"/>
  <c r="K20"/>
  <c r="K22"/>
  <c r="E2" i="48"/>
  <c r="E5"/>
  <c r="E6"/>
  <c r="E7"/>
  <c r="E8"/>
  <c r="E9"/>
  <c r="E10"/>
  <c r="E11"/>
  <c r="E12"/>
  <c r="E13"/>
  <c r="E14"/>
  <c r="E15"/>
  <c r="E21"/>
  <c r="E22"/>
  <c r="E23"/>
  <c r="E24"/>
  <c r="E25"/>
  <c r="E26"/>
  <c r="E27"/>
  <c r="E28"/>
  <c r="E29"/>
  <c r="E30"/>
  <c r="E41" i="22"/>
  <c r="E161" i="17"/>
  <c r="E164"/>
  <c r="E73" i="13"/>
  <c r="E161" i="12"/>
  <c r="E162"/>
  <c r="E163"/>
  <c r="E160"/>
  <c r="F166"/>
  <c r="F167"/>
  <c r="F168"/>
  <c r="F169"/>
  <c r="F170"/>
  <c r="F171"/>
  <c r="F165"/>
  <c r="E164"/>
  <c r="O142"/>
  <c r="E162" i="11"/>
  <c r="G162" s="1"/>
  <c r="E163"/>
  <c r="G163" s="1"/>
  <c r="E164"/>
  <c r="E166"/>
  <c r="E167"/>
  <c r="E160"/>
  <c r="G160" s="1"/>
  <c r="E161"/>
  <c r="G161" s="1"/>
  <c r="F171"/>
  <c r="F170"/>
  <c r="F169"/>
  <c r="F168"/>
  <c r="F167"/>
  <c r="F166"/>
  <c r="G166" s="1"/>
  <c r="F165"/>
  <c r="F164"/>
  <c r="G164" s="1"/>
  <c r="E161" i="10"/>
  <c r="G161" s="1"/>
  <c r="E162"/>
  <c r="G162" s="1"/>
  <c r="E163"/>
  <c r="G163" s="1"/>
  <c r="E164"/>
  <c r="G164" s="1"/>
  <c r="E160"/>
  <c r="G160" s="1"/>
  <c r="F171"/>
  <c r="E171" i="11" s="1"/>
  <c r="F170" i="10"/>
  <c r="E170" i="11" s="1"/>
  <c r="F169" i="10"/>
  <c r="E169" i="11" s="1"/>
  <c r="F168" i="10"/>
  <c r="E168" i="11" s="1"/>
  <c r="F167" i="10"/>
  <c r="F166"/>
  <c r="F165"/>
  <c r="E165" i="11" s="1"/>
  <c r="F164" i="10"/>
  <c r="E161" i="9"/>
  <c r="G161" s="1"/>
  <c r="E162"/>
  <c r="G162" s="1"/>
  <c r="E163"/>
  <c r="E164"/>
  <c r="G164" s="1"/>
  <c r="E166"/>
  <c r="E160"/>
  <c r="G160" s="1"/>
  <c r="F171"/>
  <c r="E171" i="10" s="1"/>
  <c r="F170" i="9"/>
  <c r="E170" i="10" s="1"/>
  <c r="F169" i="9"/>
  <c r="E169" i="10" s="1"/>
  <c r="F168" i="9"/>
  <c r="E168" i="10" s="1"/>
  <c r="F167" i="9"/>
  <c r="E167" i="10" s="1"/>
  <c r="F166" i="9"/>
  <c r="E166" i="10" s="1"/>
  <c r="F165" i="9"/>
  <c r="E165" i="10" s="1"/>
  <c r="F164" i="9"/>
  <c r="G163"/>
  <c r="G161" i="8"/>
  <c r="G162"/>
  <c r="E168"/>
  <c r="G160"/>
  <c r="F171"/>
  <c r="E171" i="9" s="1"/>
  <c r="F170" i="8"/>
  <c r="E170" i="9" s="1"/>
  <c r="F169" i="8"/>
  <c r="E169" i="9" s="1"/>
  <c r="F168" i="8"/>
  <c r="E168" i="9" s="1"/>
  <c r="F167" i="8"/>
  <c r="E167" i="9" s="1"/>
  <c r="F166" i="8"/>
  <c r="F165"/>
  <c r="E165" i="9" s="1"/>
  <c r="F164" i="8"/>
  <c r="G164"/>
  <c r="G163"/>
  <c r="H121" i="33"/>
  <c r="H108" i="3"/>
  <c r="H108" i="5" s="1"/>
  <c r="H108" i="33" s="1"/>
  <c r="H108" i="7" s="1"/>
  <c r="H108" i="8" s="1"/>
  <c r="H108" i="9" s="1"/>
  <c r="H108" i="10" s="1"/>
  <c r="H113" i="3"/>
  <c r="H113" i="4" s="1"/>
  <c r="H113" i="5" s="1"/>
  <c r="H113" i="33" s="1"/>
  <c r="H113" i="7" s="1"/>
  <c r="H113" i="8" s="1"/>
  <c r="H113" i="9" s="1"/>
  <c r="H113" i="10" s="1"/>
  <c r="H113" i="11" s="1"/>
  <c r="H116" i="3"/>
  <c r="H116" i="4" s="1"/>
  <c r="H116" i="5" s="1"/>
  <c r="H116" i="33" s="1"/>
  <c r="H116" i="7" s="1"/>
  <c r="H116" i="8" s="1"/>
  <c r="H116" i="9" s="1"/>
  <c r="H116" i="10" s="1"/>
  <c r="H116" i="11" s="1"/>
  <c r="H113" i="2"/>
  <c r="H116"/>
  <c r="H108"/>
  <c r="E50" i="7"/>
  <c r="E51"/>
  <c r="E52"/>
  <c r="E53"/>
  <c r="E54"/>
  <c r="E55"/>
  <c r="E56"/>
  <c r="E57"/>
  <c r="E58"/>
  <c r="F171"/>
  <c r="E171" i="8" s="1"/>
  <c r="F170" i="7"/>
  <c r="E170" i="8" s="1"/>
  <c r="G170" s="1"/>
  <c r="F169" i="7"/>
  <c r="E169" i="8" s="1"/>
  <c r="F168" i="7"/>
  <c r="F167"/>
  <c r="E167" i="8" s="1"/>
  <c r="F166" i="7"/>
  <c r="E166" i="8" s="1"/>
  <c r="G166" s="1"/>
  <c r="F165" i="7"/>
  <c r="E165" i="8" s="1"/>
  <c r="F164" i="7"/>
  <c r="G163"/>
  <c r="G162"/>
  <c r="G161"/>
  <c r="G160"/>
  <c r="F171" i="33"/>
  <c r="F170"/>
  <c r="F169"/>
  <c r="F168"/>
  <c r="F167"/>
  <c r="F166"/>
  <c r="F165"/>
  <c r="F164"/>
  <c r="G163"/>
  <c r="G162"/>
  <c r="G161"/>
  <c r="G160"/>
  <c r="F171" i="5"/>
  <c r="F170"/>
  <c r="F169"/>
  <c r="F168"/>
  <c r="F167"/>
  <c r="F166"/>
  <c r="F165"/>
  <c r="F164"/>
  <c r="G163"/>
  <c r="G162"/>
  <c r="G161"/>
  <c r="G160"/>
  <c r="E3" i="48"/>
  <c r="G90" i="4"/>
  <c r="G89"/>
  <c r="E87"/>
  <c r="G87" s="1"/>
  <c r="E88"/>
  <c r="G88" s="1"/>
  <c r="F171"/>
  <c r="F170"/>
  <c r="F169"/>
  <c r="F168"/>
  <c r="F167"/>
  <c r="F166"/>
  <c r="F165"/>
  <c r="F164"/>
  <c r="G163"/>
  <c r="G162"/>
  <c r="G161"/>
  <c r="G160"/>
  <c r="E171" i="2"/>
  <c r="E170"/>
  <c r="E169"/>
  <c r="E168"/>
  <c r="E167"/>
  <c r="E166"/>
  <c r="E165"/>
  <c r="E164"/>
  <c r="G164" s="1"/>
  <c r="E120"/>
  <c r="E119"/>
  <c r="E118"/>
  <c r="AN35" i="1"/>
  <c r="U35"/>
  <c r="Q35"/>
  <c r="N35"/>
  <c r="BK34"/>
  <c r="BI34"/>
  <c r="BH34"/>
  <c r="BG34"/>
  <c r="BF34"/>
  <c r="BE34"/>
  <c r="BD34"/>
  <c r="BC34"/>
  <c r="BB34"/>
  <c r="BA34"/>
  <c r="AZ34"/>
  <c r="AY34"/>
  <c r="AX34"/>
  <c r="AW34"/>
  <c r="AV34"/>
  <c r="AU34"/>
  <c r="AT34"/>
  <c r="AS34"/>
  <c r="BN34" s="1"/>
  <c r="AR34"/>
  <c r="AQ34"/>
  <c r="AP34"/>
  <c r="AO34"/>
  <c r="AM34"/>
  <c r="AL34"/>
  <c r="AJ34"/>
  <c r="AI34"/>
  <c r="AH34"/>
  <c r="AD34"/>
  <c r="AC34"/>
  <c r="AB34"/>
  <c r="AA34"/>
  <c r="Y34"/>
  <c r="X34"/>
  <c r="W34"/>
  <c r="T34"/>
  <c r="V34" s="1"/>
  <c r="P34"/>
  <c r="R34" s="1"/>
  <c r="M34"/>
  <c r="O34" s="1"/>
  <c r="L34"/>
  <c r="I34"/>
  <c r="H34"/>
  <c r="K34" s="1"/>
  <c r="G34"/>
  <c r="F34"/>
  <c r="S34" s="1"/>
  <c r="E34"/>
  <c r="D34"/>
  <c r="B3" i="47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M34" i="1" l="1"/>
  <c r="AF34"/>
  <c r="E4" i="48"/>
  <c r="G170" i="11"/>
  <c r="G168"/>
  <c r="G165" i="10"/>
  <c r="G171" i="9"/>
  <c r="G170" i="10"/>
  <c r="G169" i="9"/>
  <c r="G165"/>
  <c r="G170"/>
  <c r="G168" i="8"/>
  <c r="G167" i="9"/>
  <c r="G171" i="8"/>
  <c r="G167"/>
  <c r="G165"/>
  <c r="G167" i="10"/>
  <c r="G171"/>
  <c r="G165" i="11"/>
  <c r="G169" i="8"/>
  <c r="G166" i="10"/>
  <c r="G169"/>
  <c r="G168"/>
  <c r="G168" i="9"/>
  <c r="G169" i="11"/>
  <c r="G167"/>
  <c r="G171"/>
  <c r="G166" i="9"/>
  <c r="Z34" i="1"/>
  <c r="AK34"/>
  <c r="BO34"/>
  <c r="AE34"/>
  <c r="BP34"/>
  <c r="BL34"/>
  <c r="BJ34"/>
  <c r="N18" i="43"/>
  <c r="N40"/>
  <c r="N41"/>
  <c r="N8"/>
  <c r="N9"/>
  <c r="N10"/>
  <c r="N11"/>
  <c r="N12"/>
  <c r="N13"/>
  <c r="N14"/>
  <c r="N15"/>
  <c r="N16"/>
  <c r="N17"/>
  <c r="N19"/>
  <c r="N20"/>
  <c r="N21"/>
  <c r="N22"/>
  <c r="N23"/>
  <c r="N24"/>
  <c r="N25"/>
  <c r="N26"/>
  <c r="N35"/>
  <c r="N36"/>
  <c r="N37"/>
  <c r="N39"/>
  <c r="N42"/>
  <c r="N43"/>
  <c r="N44"/>
  <c r="N45"/>
  <c r="N46"/>
  <c r="N47"/>
  <c r="N7"/>
  <c r="AG34" i="1" l="1"/>
  <c r="BQ34"/>
  <c r="E15" i="30"/>
  <c r="N8" i="29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32"/>
  <c r="N33"/>
  <c r="N34"/>
  <c r="N35"/>
  <c r="N36"/>
  <c r="N37"/>
  <c r="N38"/>
  <c r="N39"/>
  <c r="N40"/>
  <c r="N41"/>
  <c r="N42"/>
  <c r="N43"/>
  <c r="N44"/>
  <c r="N45"/>
  <c r="N46"/>
  <c r="N47"/>
  <c r="N48"/>
  <c r="N49"/>
  <c r="N50"/>
  <c r="N51"/>
  <c r="N52"/>
  <c r="N53"/>
  <c r="N54"/>
  <c r="N55"/>
  <c r="N56"/>
  <c r="N57"/>
  <c r="N58"/>
  <c r="N59"/>
  <c r="N60"/>
  <c r="N61"/>
  <c r="N62"/>
  <c r="N63"/>
  <c r="N64"/>
  <c r="N65"/>
  <c r="N66"/>
  <c r="N67"/>
  <c r="N68"/>
  <c r="N69"/>
  <c r="N70"/>
  <c r="N71"/>
  <c r="N72"/>
  <c r="N73"/>
  <c r="N74"/>
  <c r="N75"/>
  <c r="N76"/>
  <c r="N77"/>
  <c r="N78"/>
  <c r="N79"/>
  <c r="N80"/>
  <c r="N81"/>
  <c r="N82"/>
  <c r="N83"/>
  <c r="N84"/>
  <c r="N85"/>
  <c r="N86"/>
  <c r="N87"/>
  <c r="N88"/>
  <c r="N89"/>
  <c r="N90"/>
  <c r="N91"/>
  <c r="N92"/>
  <c r="N93"/>
  <c r="N94"/>
  <c r="N95"/>
  <c r="N96"/>
  <c r="N97"/>
  <c r="N98"/>
  <c r="N99"/>
  <c r="N100"/>
  <c r="N101"/>
  <c r="N102"/>
  <c r="N103"/>
  <c r="N104"/>
  <c r="N105"/>
  <c r="N106"/>
  <c r="N107"/>
  <c r="N108"/>
  <c r="N109"/>
  <c r="N110"/>
  <c r="N111"/>
  <c r="N112"/>
  <c r="N113"/>
  <c r="N114"/>
  <c r="N115"/>
  <c r="N116"/>
  <c r="N117"/>
  <c r="N121"/>
  <c r="N122"/>
  <c r="N123"/>
  <c r="N124"/>
  <c r="N125"/>
  <c r="N126"/>
  <c r="N127"/>
  <c r="N128"/>
  <c r="N7"/>
  <c r="E90" i="28"/>
  <c r="E74" i="27"/>
  <c r="E8" i="40" l="1"/>
  <c r="E9"/>
  <c r="E10"/>
  <c r="E11"/>
  <c r="E12"/>
  <c r="AD42" i="44"/>
  <c r="AD38"/>
  <c r="N39" i="25"/>
  <c r="E58"/>
  <c r="N20" i="24"/>
  <c r="I19"/>
  <c r="I18"/>
  <c r="E49" i="21" l="1"/>
  <c r="E132" i="20"/>
  <c r="E134"/>
  <c r="E135"/>
  <c r="E136"/>
  <c r="E137"/>
  <c r="E138"/>
  <c r="E139"/>
  <c r="E140"/>
  <c r="E79"/>
  <c r="E80"/>
  <c r="E81"/>
  <c r="E82"/>
  <c r="E83"/>
  <c r="E73"/>
  <c r="E74"/>
  <c r="E75"/>
  <c r="E76"/>
  <c r="E77"/>
  <c r="E78"/>
  <c r="E84"/>
  <c r="E50"/>
  <c r="E51"/>
  <c r="E52"/>
  <c r="E53"/>
  <c r="E54"/>
  <c r="E55"/>
  <c r="E56"/>
  <c r="E57"/>
  <c r="E58"/>
  <c r="E49"/>
  <c r="E132" i="19"/>
  <c r="E133" i="20"/>
  <c r="E36" i="17"/>
  <c r="E37"/>
  <c r="E38"/>
  <c r="E39"/>
  <c r="G39" s="1"/>
  <c r="E40"/>
  <c r="E41"/>
  <c r="E42"/>
  <c r="E43"/>
  <c r="E44"/>
  <c r="E45"/>
  <c r="E46"/>
  <c r="E134" i="13"/>
  <c r="E162" i="14"/>
  <c r="G160" i="12" l="1"/>
  <c r="E24" i="8"/>
  <c r="E23"/>
  <c r="E22"/>
  <c r="E23" i="7"/>
  <c r="E24"/>
  <c r="E22"/>
  <c r="E23" i="33"/>
  <c r="E24"/>
  <c r="E22"/>
  <c r="E23" i="4"/>
  <c r="E24"/>
  <c r="E22"/>
  <c r="E82" i="3"/>
  <c r="E58"/>
  <c r="E24"/>
  <c r="H113" i="31" l="1"/>
  <c r="H108"/>
  <c r="E161" l="1"/>
  <c r="E162"/>
  <c r="E163"/>
  <c r="E160"/>
  <c r="E131"/>
  <c r="E132"/>
  <c r="E133"/>
  <c r="E134"/>
  <c r="E135"/>
  <c r="E136"/>
  <c r="E137"/>
  <c r="E138"/>
  <c r="E139"/>
  <c r="E140"/>
  <c r="E130"/>
  <c r="E124"/>
  <c r="E125"/>
  <c r="E126"/>
  <c r="E127"/>
  <c r="E123"/>
  <c r="E115"/>
  <c r="E114"/>
  <c r="E110"/>
  <c r="E111"/>
  <c r="E109"/>
  <c r="E105"/>
  <c r="E106"/>
  <c r="E104"/>
  <c r="E96"/>
  <c r="E97"/>
  <c r="E98"/>
  <c r="E99"/>
  <c r="E100"/>
  <c r="E95"/>
  <c r="E93"/>
  <c r="E92"/>
  <c r="E87"/>
  <c r="E88"/>
  <c r="E89"/>
  <c r="E90"/>
  <c r="E86"/>
  <c r="E73"/>
  <c r="E74"/>
  <c r="E75"/>
  <c r="E76"/>
  <c r="E77"/>
  <c r="E78"/>
  <c r="E79"/>
  <c r="E80"/>
  <c r="E81"/>
  <c r="E82"/>
  <c r="E83"/>
  <c r="E84"/>
  <c r="E72"/>
  <c r="E63"/>
  <c r="E64"/>
  <c r="E65"/>
  <c r="E66"/>
  <c r="E67"/>
  <c r="E68"/>
  <c r="E69"/>
  <c r="E62"/>
  <c r="E50"/>
  <c r="E51"/>
  <c r="E52"/>
  <c r="E53"/>
  <c r="E54"/>
  <c r="E55"/>
  <c r="E56"/>
  <c r="E57"/>
  <c r="E58"/>
  <c r="E49"/>
  <c r="E36"/>
  <c r="E37"/>
  <c r="E39"/>
  <c r="E40"/>
  <c r="E41"/>
  <c r="E42"/>
  <c r="E43"/>
  <c r="E44"/>
  <c r="E45"/>
  <c r="E46"/>
  <c r="E35"/>
  <c r="E29"/>
  <c r="E23"/>
  <c r="E24"/>
  <c r="E22"/>
  <c r="E19"/>
  <c r="E18"/>
  <c r="E15"/>
  <c r="E8"/>
  <c r="E9"/>
  <c r="E10"/>
  <c r="E11"/>
  <c r="E12"/>
  <c r="E7"/>
  <c r="E7" i="43"/>
  <c r="E41" i="29"/>
  <c r="E41" i="25"/>
  <c r="E131" i="40" l="1"/>
  <c r="E132"/>
  <c r="E133"/>
  <c r="E134"/>
  <c r="E135"/>
  <c r="E136"/>
  <c r="E137"/>
  <c r="E138"/>
  <c r="E139"/>
  <c r="E140"/>
  <c r="L86" i="20"/>
  <c r="E161" i="15" l="1"/>
  <c r="O31" i="12" l="1"/>
  <c r="E104" i="9" l="1"/>
  <c r="E86" i="8"/>
  <c r="E104" i="7"/>
  <c r="E88" i="33"/>
  <c r="E89"/>
  <c r="E90"/>
  <c r="E85"/>
  <c r="E86"/>
  <c r="E87"/>
  <c r="E87" i="5"/>
  <c r="E88"/>
  <c r="E89"/>
  <c r="E90"/>
  <c r="E86"/>
  <c r="E81" i="4"/>
  <c r="E85" i="3" l="1"/>
  <c r="E86"/>
  <c r="E87"/>
  <c r="E88"/>
  <c r="E89"/>
  <c r="E90"/>
  <c r="F171"/>
  <c r="F170"/>
  <c r="F169"/>
  <c r="F168"/>
  <c r="F167"/>
  <c r="F166"/>
  <c r="F165"/>
  <c r="F164"/>
  <c r="G164" s="1"/>
  <c r="G163"/>
  <c r="G162"/>
  <c r="G161"/>
  <c r="G160"/>
  <c r="E29" i="2" l="1"/>
  <c r="N29" i="29" s="1"/>
  <c r="F171" i="2"/>
  <c r="F170"/>
  <c r="G170" s="1"/>
  <c r="F169"/>
  <c r="F168"/>
  <c r="F167"/>
  <c r="F166"/>
  <c r="F165"/>
  <c r="G165" s="1"/>
  <c r="G163"/>
  <c r="G162"/>
  <c r="G161"/>
  <c r="G160"/>
  <c r="G172" l="1"/>
  <c r="G171"/>
  <c r="G169"/>
  <c r="G168"/>
  <c r="G167"/>
  <c r="G166"/>
  <c r="G89"/>
  <c r="G90"/>
  <c r="G19"/>
  <c r="E30" s="1"/>
  <c r="N30" i="29" s="1"/>
  <c r="G9" i="31" l="1"/>
  <c r="E171"/>
  <c r="E170"/>
  <c r="E169"/>
  <c r="E168"/>
  <c r="E167"/>
  <c r="E166"/>
  <c r="E165"/>
  <c r="E164"/>
  <c r="N8" l="1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32"/>
  <c r="N33"/>
  <c r="N34"/>
  <c r="N35"/>
  <c r="N36"/>
  <c r="N37"/>
  <c r="N38"/>
  <c r="N39"/>
  <c r="N40"/>
  <c r="N7"/>
  <c r="N48"/>
  <c r="N61"/>
  <c r="N71"/>
  <c r="N91"/>
  <c r="N102"/>
  <c r="N103"/>
  <c r="N108"/>
  <c r="N113"/>
  <c r="N121"/>
  <c r="N122"/>
  <c r="G89"/>
  <c r="G90"/>
  <c r="G18" i="30"/>
  <c r="E85" i="43"/>
  <c r="E86"/>
  <c r="E87"/>
  <c r="E88"/>
  <c r="E89"/>
  <c r="G89" s="1"/>
  <c r="E90"/>
  <c r="G90" s="1"/>
  <c r="E160" i="30"/>
  <c r="E85"/>
  <c r="E86"/>
  <c r="G88"/>
  <c r="G89"/>
  <c r="G90"/>
  <c r="Q34" i="44" l="1"/>
  <c r="E86" i="29" l="1"/>
  <c r="E85"/>
  <c r="E85" i="28"/>
  <c r="E86"/>
  <c r="E87"/>
  <c r="E88"/>
  <c r="E89"/>
  <c r="G89" s="1"/>
  <c r="G90"/>
  <c r="E89" i="27" l="1"/>
  <c r="G89" s="1"/>
  <c r="E90"/>
  <c r="G90" s="1"/>
  <c r="E85"/>
  <c r="E86"/>
  <c r="E87"/>
  <c r="E88"/>
  <c r="N89" i="40"/>
  <c r="N82"/>
  <c r="P132"/>
  <c r="E86"/>
  <c r="G89"/>
  <c r="E85" i="25" l="1"/>
  <c r="E86"/>
  <c r="E87"/>
  <c r="E88"/>
  <c r="E89"/>
  <c r="G89" s="1"/>
  <c r="E90"/>
  <c r="G90" s="1"/>
  <c r="E86" i="24" l="1"/>
  <c r="E87"/>
  <c r="E88"/>
  <c r="E89"/>
  <c r="G89" s="1"/>
  <c r="E90"/>
  <c r="G90" s="1"/>
  <c r="O14" i="23" l="1"/>
  <c r="O16"/>
  <c r="O17"/>
  <c r="O21"/>
  <c r="O23"/>
  <c r="O24"/>
  <c r="O25"/>
  <c r="O26"/>
  <c r="O33"/>
  <c r="O34"/>
  <c r="O48"/>
  <c r="O61"/>
  <c r="O70"/>
  <c r="O71"/>
  <c r="O91"/>
  <c r="O102"/>
  <c r="O103"/>
  <c r="O108"/>
  <c r="O113"/>
  <c r="O121"/>
  <c r="O122"/>
  <c r="O129"/>
  <c r="O141"/>
  <c r="O154"/>
  <c r="E40"/>
  <c r="E41"/>
  <c r="E42"/>
  <c r="E73"/>
  <c r="E74"/>
  <c r="E75"/>
  <c r="E76"/>
  <c r="E77"/>
  <c r="E78"/>
  <c r="E79"/>
  <c r="E80"/>
  <c r="E81"/>
  <c r="E82"/>
  <c r="E83"/>
  <c r="E84"/>
  <c r="E87"/>
  <c r="E88"/>
  <c r="E89"/>
  <c r="G89" s="1"/>
  <c r="E90"/>
  <c r="G90" s="1"/>
  <c r="E86"/>
  <c r="L48" i="22"/>
  <c r="E87"/>
  <c r="E88"/>
  <c r="E89"/>
  <c r="G89" s="1"/>
  <c r="E90"/>
  <c r="G90" s="1"/>
  <c r="E86"/>
  <c r="E23"/>
  <c r="E24"/>
  <c r="E22"/>
  <c r="L48" i="21"/>
  <c r="E87"/>
  <c r="G87" s="1"/>
  <c r="H87" s="1"/>
  <c r="J87" s="1"/>
  <c r="E88"/>
  <c r="G88" s="1"/>
  <c r="H88" s="1"/>
  <c r="J88" s="1"/>
  <c r="E89"/>
  <c r="G89" s="1"/>
  <c r="H89" s="1"/>
  <c r="J89" s="1"/>
  <c r="E90"/>
  <c r="G90" s="1"/>
  <c r="H90" s="1"/>
  <c r="J90" s="1"/>
  <c r="E86"/>
  <c r="E62" i="20"/>
  <c r="E87"/>
  <c r="E88"/>
  <c r="E89"/>
  <c r="G89" s="1"/>
  <c r="H89" s="1"/>
  <c r="E90"/>
  <c r="G90" s="1"/>
  <c r="E86"/>
  <c r="E163" i="19"/>
  <c r="E162"/>
  <c r="E161"/>
  <c r="E160"/>
  <c r="E134" i="15"/>
  <c r="E135"/>
  <c r="E72"/>
  <c r="H90" i="23" l="1"/>
  <c r="J90" s="1"/>
  <c r="O90"/>
  <c r="H89"/>
  <c r="J89" s="1"/>
  <c r="O89"/>
  <c r="E135" i="13"/>
  <c r="G160" i="31" l="1"/>
  <c r="G160" i="30"/>
  <c r="G161" i="15"/>
  <c r="G163" i="31"/>
  <c r="G162"/>
  <c r="G161"/>
  <c r="E163" i="43"/>
  <c r="G163" s="1"/>
  <c r="E162"/>
  <c r="G162" s="1"/>
  <c r="E161"/>
  <c r="G161" s="1"/>
  <c r="E160"/>
  <c r="G160" s="1"/>
  <c r="E163" i="30"/>
  <c r="G163" s="1"/>
  <c r="E162"/>
  <c r="G162" s="1"/>
  <c r="E161"/>
  <c r="G161" s="1"/>
  <c r="E163" i="29"/>
  <c r="G163" s="1"/>
  <c r="E162"/>
  <c r="G162" s="1"/>
  <c r="E161"/>
  <c r="G161" s="1"/>
  <c r="E160"/>
  <c r="G160" s="1"/>
  <c r="E163" i="28"/>
  <c r="G163" s="1"/>
  <c r="E162"/>
  <c r="G162" s="1"/>
  <c r="E161"/>
  <c r="G161" s="1"/>
  <c r="E160"/>
  <c r="G160" s="1"/>
  <c r="E163" i="27"/>
  <c r="G163" s="1"/>
  <c r="E162"/>
  <c r="G162" s="1"/>
  <c r="E161"/>
  <c r="G161" s="1"/>
  <c r="E160"/>
  <c r="G160" s="1"/>
  <c r="E163" i="40"/>
  <c r="G163" s="1"/>
  <c r="E162"/>
  <c r="G162" s="1"/>
  <c r="E161"/>
  <c r="G161" s="1"/>
  <c r="E160"/>
  <c r="G160" s="1"/>
  <c r="E163" i="25"/>
  <c r="G163" s="1"/>
  <c r="E162"/>
  <c r="G162" s="1"/>
  <c r="E161"/>
  <c r="G161" s="1"/>
  <c r="E160"/>
  <c r="G160" s="1"/>
  <c r="E163" i="24"/>
  <c r="G163" s="1"/>
  <c r="E162"/>
  <c r="G162" s="1"/>
  <c r="E161"/>
  <c r="G161" s="1"/>
  <c r="E160"/>
  <c r="G160" s="1"/>
  <c r="E163" i="23"/>
  <c r="G163" s="1"/>
  <c r="E162"/>
  <c r="G162" s="1"/>
  <c r="E161"/>
  <c r="G161" s="1"/>
  <c r="E160"/>
  <c r="G160" s="1"/>
  <c r="E163" i="22"/>
  <c r="G163" s="1"/>
  <c r="L163" s="1"/>
  <c r="E162"/>
  <c r="G162" s="1"/>
  <c r="L162" s="1"/>
  <c r="E161"/>
  <c r="G161" s="1"/>
  <c r="L161" s="1"/>
  <c r="E160"/>
  <c r="G160" s="1"/>
  <c r="L160" s="1"/>
  <c r="E163" i="21"/>
  <c r="G163" s="1"/>
  <c r="L163" s="1"/>
  <c r="E162"/>
  <c r="G162" s="1"/>
  <c r="L162" s="1"/>
  <c r="E161"/>
  <c r="G161" s="1"/>
  <c r="L161" s="1"/>
  <c r="E160"/>
  <c r="G160" s="1"/>
  <c r="G162" i="20"/>
  <c r="G161"/>
  <c r="G160"/>
  <c r="G163" i="19"/>
  <c r="G162"/>
  <c r="G161"/>
  <c r="G160"/>
  <c r="E163" i="18"/>
  <c r="G163" s="1"/>
  <c r="G162"/>
  <c r="E161"/>
  <c r="G161" s="1"/>
  <c r="E160"/>
  <c r="G160" s="1"/>
  <c r="G163" i="17"/>
  <c r="G162"/>
  <c r="G161"/>
  <c r="E160"/>
  <c r="G160" s="1"/>
  <c r="E163" i="16"/>
  <c r="G163" s="1"/>
  <c r="E162"/>
  <c r="G162" s="1"/>
  <c r="E161"/>
  <c r="G161" s="1"/>
  <c r="E160"/>
  <c r="G160" s="1"/>
  <c r="E163" i="15"/>
  <c r="G163" s="1"/>
  <c r="E162"/>
  <c r="G162" s="1"/>
  <c r="E160"/>
  <c r="G160" s="1"/>
  <c r="E163" i="14"/>
  <c r="G163" s="1"/>
  <c r="G162"/>
  <c r="E161"/>
  <c r="G161" s="1"/>
  <c r="E160"/>
  <c r="G160" s="1"/>
  <c r="E163" i="13"/>
  <c r="G163" s="1"/>
  <c r="E162"/>
  <c r="G162" s="1"/>
  <c r="E161"/>
  <c r="G161" s="1"/>
  <c r="E160"/>
  <c r="G160" s="1"/>
  <c r="E137"/>
  <c r="G163" i="12"/>
  <c r="G162"/>
  <c r="G161"/>
  <c r="F171" i="31"/>
  <c r="F170"/>
  <c r="F169"/>
  <c r="F168"/>
  <c r="F167"/>
  <c r="F166"/>
  <c r="F165"/>
  <c r="G165"/>
  <c r="F164"/>
  <c r="G164" s="1"/>
  <c r="F171" i="43"/>
  <c r="F170"/>
  <c r="F169"/>
  <c r="F168"/>
  <c r="F167"/>
  <c r="F166"/>
  <c r="F165"/>
  <c r="F164"/>
  <c r="F171" i="30"/>
  <c r="F170"/>
  <c r="F169"/>
  <c r="F168"/>
  <c r="F167"/>
  <c r="F166"/>
  <c r="F165"/>
  <c r="F164"/>
  <c r="F171" i="29"/>
  <c r="F170"/>
  <c r="F169"/>
  <c r="F168"/>
  <c r="F167"/>
  <c r="F166"/>
  <c r="F165"/>
  <c r="F164"/>
  <c r="F171" i="28"/>
  <c r="F170"/>
  <c r="F169"/>
  <c r="F168"/>
  <c r="F167"/>
  <c r="F166"/>
  <c r="F165"/>
  <c r="F164"/>
  <c r="F171" i="27"/>
  <c r="F170"/>
  <c r="F169"/>
  <c r="F168"/>
  <c r="F167"/>
  <c r="F166"/>
  <c r="F165"/>
  <c r="F164"/>
  <c r="F171" i="40"/>
  <c r="F170"/>
  <c r="F169"/>
  <c r="F168"/>
  <c r="F167"/>
  <c r="F166"/>
  <c r="F165"/>
  <c r="F164"/>
  <c r="F171" i="25"/>
  <c r="F170"/>
  <c r="F169"/>
  <c r="F168"/>
  <c r="F167"/>
  <c r="F166"/>
  <c r="F165"/>
  <c r="F164"/>
  <c r="F171" i="24"/>
  <c r="F170"/>
  <c r="F169"/>
  <c r="F168"/>
  <c r="F167"/>
  <c r="F166"/>
  <c r="F165"/>
  <c r="F164"/>
  <c r="F171" i="23"/>
  <c r="F170"/>
  <c r="F169"/>
  <c r="F168"/>
  <c r="F167"/>
  <c r="F166"/>
  <c r="F165"/>
  <c r="F164"/>
  <c r="F171" i="22"/>
  <c r="F170"/>
  <c r="F169"/>
  <c r="F168"/>
  <c r="F167"/>
  <c r="F166"/>
  <c r="F165"/>
  <c r="F164"/>
  <c r="F171" i="21"/>
  <c r="F170"/>
  <c r="F169"/>
  <c r="F168"/>
  <c r="F167"/>
  <c r="F166"/>
  <c r="F165"/>
  <c r="F164"/>
  <c r="G164" i="20"/>
  <c r="G163"/>
  <c r="F171" i="18"/>
  <c r="F170"/>
  <c r="F169"/>
  <c r="F168"/>
  <c r="F167"/>
  <c r="F166"/>
  <c r="F165"/>
  <c r="F164"/>
  <c r="F171" i="17"/>
  <c r="F170"/>
  <c r="F169"/>
  <c r="F168"/>
  <c r="F167"/>
  <c r="F166"/>
  <c r="F165"/>
  <c r="F164"/>
  <c r="F171" i="16"/>
  <c r="E171" i="17" s="1"/>
  <c r="F170" i="16"/>
  <c r="E170" i="17" s="1"/>
  <c r="F169" i="16"/>
  <c r="E169" i="17" s="1"/>
  <c r="F168" i="16"/>
  <c r="E168" i="17" s="1"/>
  <c r="F167" i="16"/>
  <c r="E167" i="17" s="1"/>
  <c r="F166" i="16"/>
  <c r="E166" i="17" s="1"/>
  <c r="F165" i="16"/>
  <c r="E165" i="17" s="1"/>
  <c r="F164" i="16"/>
  <c r="F171" i="15"/>
  <c r="F170"/>
  <c r="F169"/>
  <c r="F168"/>
  <c r="F167"/>
  <c r="F166"/>
  <c r="F165"/>
  <c r="F164"/>
  <c r="F171" i="14"/>
  <c r="F170"/>
  <c r="F169"/>
  <c r="F168"/>
  <c r="F167"/>
  <c r="F166"/>
  <c r="F165"/>
  <c r="F164"/>
  <c r="F171" i="13"/>
  <c r="F170"/>
  <c r="F169"/>
  <c r="F168"/>
  <c r="F167"/>
  <c r="F166"/>
  <c r="F165"/>
  <c r="F164"/>
  <c r="F164" i="12"/>
  <c r="L160" i="21" l="1"/>
  <c r="R4" i="44"/>
  <c r="E9" i="10"/>
  <c r="G18" i="7"/>
  <c r="E15" i="8"/>
  <c r="E87" i="7"/>
  <c r="E88"/>
  <c r="E89"/>
  <c r="G89" s="1"/>
  <c r="E90"/>
  <c r="G90" s="1"/>
  <c r="E86"/>
  <c r="E87" i="19"/>
  <c r="E88"/>
  <c r="E89"/>
  <c r="G89" s="1"/>
  <c r="E90"/>
  <c r="G90" s="1"/>
  <c r="E86"/>
  <c r="E87" i="18"/>
  <c r="E88"/>
  <c r="E89"/>
  <c r="G89" s="1"/>
  <c r="E90"/>
  <c r="G90" s="1"/>
  <c r="E86"/>
  <c r="E87" i="17"/>
  <c r="E88"/>
  <c r="E89"/>
  <c r="G89" s="1"/>
  <c r="E90"/>
  <c r="G90" s="1"/>
  <c r="E86"/>
  <c r="E87" i="16"/>
  <c r="E88"/>
  <c r="E89"/>
  <c r="G89" s="1"/>
  <c r="E90"/>
  <c r="G90" s="1"/>
  <c r="E86"/>
  <c r="E87" i="15"/>
  <c r="E88"/>
  <c r="E89"/>
  <c r="G89" s="1"/>
  <c r="E90"/>
  <c r="G90" s="1"/>
  <c r="E86"/>
  <c r="E87" i="14"/>
  <c r="E88"/>
  <c r="E89"/>
  <c r="G89" s="1"/>
  <c r="E90"/>
  <c r="G90" s="1"/>
  <c r="E86"/>
  <c r="E87" i="13"/>
  <c r="E88"/>
  <c r="E89"/>
  <c r="G89" s="1"/>
  <c r="E90"/>
  <c r="G90" s="1"/>
  <c r="E86"/>
  <c r="E87" i="12"/>
  <c r="E88"/>
  <c r="E89"/>
  <c r="G89" s="1"/>
  <c r="E90"/>
  <c r="G90" s="1"/>
  <c r="E86"/>
  <c r="E87" i="11"/>
  <c r="E88"/>
  <c r="E89"/>
  <c r="G89" s="1"/>
  <c r="E90"/>
  <c r="G90" s="1"/>
  <c r="E86"/>
  <c r="E87" i="10"/>
  <c r="E88"/>
  <c r="E89"/>
  <c r="G89" s="1"/>
  <c r="E90"/>
  <c r="G90" s="1"/>
  <c r="E86"/>
  <c r="E87" i="9"/>
  <c r="E88"/>
  <c r="E89"/>
  <c r="G89" s="1"/>
  <c r="E90"/>
  <c r="G90" s="1"/>
  <c r="E86"/>
  <c r="G90" i="40"/>
  <c r="G90" i="8"/>
  <c r="G89"/>
  <c r="G90" i="33"/>
  <c r="G89"/>
  <c r="R11" i="44" l="1"/>
  <c r="R9"/>
  <c r="R10"/>
  <c r="R8"/>
  <c r="D33" i="1" l="1"/>
  <c r="G89" i="5"/>
  <c r="G90"/>
  <c r="G89" i="29"/>
  <c r="G90"/>
  <c r="H90" s="1"/>
  <c r="J90" s="1"/>
  <c r="G90" i="3"/>
  <c r="H90" s="1"/>
  <c r="G89"/>
  <c r="H89" s="1"/>
  <c r="H90" i="8"/>
  <c r="J90" s="1"/>
  <c r="H89"/>
  <c r="J89" s="1"/>
  <c r="H90" i="9"/>
  <c r="H89"/>
  <c r="H90" i="12"/>
  <c r="J90" s="1"/>
  <c r="H89"/>
  <c r="J89" s="1"/>
  <c r="H90" i="13"/>
  <c r="J90" s="1"/>
  <c r="H89"/>
  <c r="J89" s="1"/>
  <c r="H90" i="14"/>
  <c r="J90" s="1"/>
  <c r="H89"/>
  <c r="J89" s="1"/>
  <c r="H90" i="15"/>
  <c r="J90" s="1"/>
  <c r="H89"/>
  <c r="J89" s="1"/>
  <c r="H90" i="16"/>
  <c r="J90" s="1"/>
  <c r="H89"/>
  <c r="J89" s="1"/>
  <c r="H90" i="17"/>
  <c r="J90" s="1"/>
  <c r="H89"/>
  <c r="J89" s="1"/>
  <c r="H90" i="18"/>
  <c r="J90" s="1"/>
  <c r="H89"/>
  <c r="J89" s="1"/>
  <c r="H90" i="19"/>
  <c r="J90" s="1"/>
  <c r="H89"/>
  <c r="J89" s="1"/>
  <c r="H90" i="20"/>
  <c r="J90" s="1"/>
  <c r="J89"/>
  <c r="H90" i="22"/>
  <c r="J90" s="1"/>
  <c r="H89"/>
  <c r="J89" s="1"/>
  <c r="H90" i="24"/>
  <c r="J90" s="1"/>
  <c r="H89"/>
  <c r="J89" s="1"/>
  <c r="H90" i="25"/>
  <c r="J90" s="1"/>
  <c r="H89"/>
  <c r="J89" s="1"/>
  <c r="H90" i="40"/>
  <c r="J90" s="1"/>
  <c r="H89"/>
  <c r="J89" s="1"/>
  <c r="H90" i="27"/>
  <c r="J90" s="1"/>
  <c r="H89"/>
  <c r="J89" s="1"/>
  <c r="H90" i="28"/>
  <c r="J90" s="1"/>
  <c r="H89"/>
  <c r="J89" s="1"/>
  <c r="H90" i="30"/>
  <c r="J90" s="1"/>
  <c r="H89"/>
  <c r="J89" s="1"/>
  <c r="H90" i="43"/>
  <c r="H89"/>
  <c r="H90" i="2"/>
  <c r="J90" s="1"/>
  <c r="H89"/>
  <c r="J89" s="1"/>
  <c r="J89" i="9" l="1"/>
  <c r="H89" i="10"/>
  <c r="J90" i="9"/>
  <c r="H90" i="10"/>
  <c r="H90" i="11" s="1"/>
  <c r="J90" s="1"/>
  <c r="K90" i="4"/>
  <c r="J90" i="43"/>
  <c r="H90" i="31"/>
  <c r="N90" s="1"/>
  <c r="J89" i="43"/>
  <c r="H89" i="31"/>
  <c r="J89" s="1"/>
  <c r="J90" i="10"/>
  <c r="R12" i="44"/>
  <c r="R7"/>
  <c r="R5"/>
  <c r="R6"/>
  <c r="H89" i="29"/>
  <c r="J89" s="1"/>
  <c r="N89" i="31" l="1"/>
  <c r="H89" i="11"/>
  <c r="J89" s="1"/>
  <c r="J89" i="10"/>
  <c r="J90" i="3"/>
  <c r="H90" i="4"/>
  <c r="J89" i="3"/>
  <c r="H89" i="4"/>
  <c r="J90" i="31"/>
  <c r="K89" i="4"/>
  <c r="E7" i="8"/>
  <c r="G7" s="1"/>
  <c r="E99" i="43"/>
  <c r="E100"/>
  <c r="O59" i="30"/>
  <c r="N88"/>
  <c r="E99"/>
  <c r="E98"/>
  <c r="E100"/>
  <c r="J89" i="4" l="1"/>
  <c r="H89" i="5"/>
  <c r="J90" i="4"/>
  <c r="H90" i="5"/>
  <c r="E133" i="29"/>
  <c r="E134"/>
  <c r="E135"/>
  <c r="E136"/>
  <c r="E137"/>
  <c r="E138"/>
  <c r="E139"/>
  <c r="E140"/>
  <c r="E105"/>
  <c r="E106"/>
  <c r="E107"/>
  <c r="E108"/>
  <c r="E109"/>
  <c r="E110"/>
  <c r="E111"/>
  <c r="E112"/>
  <c r="E113"/>
  <c r="E114"/>
  <c r="E115"/>
  <c r="E63"/>
  <c r="E165" s="1"/>
  <c r="G165" s="1"/>
  <c r="E64"/>
  <c r="E166" s="1"/>
  <c r="G166" s="1"/>
  <c r="E65"/>
  <c r="E167" s="1"/>
  <c r="G167" s="1"/>
  <c r="E66"/>
  <c r="E168" s="1"/>
  <c r="G168" s="1"/>
  <c r="E67"/>
  <c r="E169" s="1"/>
  <c r="G169" s="1"/>
  <c r="E68"/>
  <c r="E170" s="1"/>
  <c r="G170" s="1"/>
  <c r="E69"/>
  <c r="E171" s="1"/>
  <c r="G171" s="1"/>
  <c r="E50"/>
  <c r="E36"/>
  <c r="E37"/>
  <c r="E38"/>
  <c r="E39"/>
  <c r="G39" s="1"/>
  <c r="E40"/>
  <c r="E42"/>
  <c r="E43"/>
  <c r="E44"/>
  <c r="E45"/>
  <c r="E46"/>
  <c r="E18"/>
  <c r="E8"/>
  <c r="E9"/>
  <c r="E10"/>
  <c r="E11"/>
  <c r="E12"/>
  <c r="E7"/>
  <c r="E106" i="28"/>
  <c r="E107"/>
  <c r="E108"/>
  <c r="E109"/>
  <c r="E110"/>
  <c r="E111"/>
  <c r="E112"/>
  <c r="E113"/>
  <c r="E114"/>
  <c r="E115"/>
  <c r="E111" i="25"/>
  <c r="E15" i="28"/>
  <c r="G15" s="1"/>
  <c r="E50" i="27"/>
  <c r="E7" i="40"/>
  <c r="E7" i="25"/>
  <c r="G7" s="1"/>
  <c r="E77" i="24"/>
  <c r="E7"/>
  <c r="E7" i="23"/>
  <c r="E8"/>
  <c r="E9"/>
  <c r="G9" s="1"/>
  <c r="O9" s="1"/>
  <c r="G88" i="31"/>
  <c r="G86"/>
  <c r="G88" i="43"/>
  <c r="G86"/>
  <c r="Q32" i="44"/>
  <c r="G87" i="29"/>
  <c r="G88"/>
  <c r="G86"/>
  <c r="G87" i="28"/>
  <c r="G88"/>
  <c r="G86"/>
  <c r="O30" i="44" s="1"/>
  <c r="G88" i="27"/>
  <c r="G86"/>
  <c r="G87" i="40"/>
  <c r="G86"/>
  <c r="N86" s="1"/>
  <c r="G88" i="25"/>
  <c r="Q27" i="44" s="1"/>
  <c r="G86" i="25"/>
  <c r="O27" i="44" s="1"/>
  <c r="G87" i="24"/>
  <c r="G88"/>
  <c r="Q26" i="44" s="1"/>
  <c r="G86" i="24"/>
  <c r="O26" i="44" s="1"/>
  <c r="G86" i="23"/>
  <c r="O86" s="1"/>
  <c r="G86" i="22"/>
  <c r="G86" i="21"/>
  <c r="G88" i="20"/>
  <c r="H88" s="1"/>
  <c r="G86"/>
  <c r="G88" i="19"/>
  <c r="G86"/>
  <c r="G86" i="18"/>
  <c r="G88" i="17"/>
  <c r="G87" i="16"/>
  <c r="G86"/>
  <c r="G86" i="15"/>
  <c r="G86" i="14"/>
  <c r="G88" i="13"/>
  <c r="G86"/>
  <c r="G86" i="12"/>
  <c r="G88" i="11"/>
  <c r="G86"/>
  <c r="G87" i="9"/>
  <c r="G86"/>
  <c r="G88" i="8"/>
  <c r="Q10" i="44" s="1"/>
  <c r="G86" i="8"/>
  <c r="G87" i="7"/>
  <c r="G86"/>
  <c r="G87" i="33"/>
  <c r="G88"/>
  <c r="G86"/>
  <c r="N86" s="1"/>
  <c r="G88" i="5"/>
  <c r="G86"/>
  <c r="E86" i="4"/>
  <c r="G86" s="1"/>
  <c r="G87" i="3"/>
  <c r="H87" s="1"/>
  <c r="G88"/>
  <c r="H88" s="1"/>
  <c r="G86"/>
  <c r="G88" i="10"/>
  <c r="G87" i="8"/>
  <c r="G87" i="12"/>
  <c r="G87" i="20"/>
  <c r="H87" s="1"/>
  <c r="G87" i="31"/>
  <c r="G88" i="7"/>
  <c r="Q9" i="44" s="1"/>
  <c r="G88" i="23"/>
  <c r="O88" s="1"/>
  <c r="G87" i="11"/>
  <c r="G87" i="15"/>
  <c r="G87" i="19"/>
  <c r="G87" i="23"/>
  <c r="O87" s="1"/>
  <c r="G87" i="43"/>
  <c r="G87" i="27"/>
  <c r="G88" i="15"/>
  <c r="G87" i="25"/>
  <c r="G88" i="12"/>
  <c r="G88" i="16"/>
  <c r="G87" i="5"/>
  <c r="G88" i="9"/>
  <c r="Q11" i="44" s="1"/>
  <c r="G87" i="10"/>
  <c r="G86"/>
  <c r="G87" i="13"/>
  <c r="G88" i="14"/>
  <c r="G87"/>
  <c r="G87" i="17"/>
  <c r="G86"/>
  <c r="G88" i="18"/>
  <c r="G87"/>
  <c r="G88" i="22"/>
  <c r="G87"/>
  <c r="G88" i="40"/>
  <c r="G87" i="30"/>
  <c r="G86"/>
  <c r="O32" i="44" s="1"/>
  <c r="G87" i="2"/>
  <c r="G88"/>
  <c r="G86"/>
  <c r="H86" i="4" l="1"/>
  <c r="J86" s="1"/>
  <c r="Q12" i="44"/>
  <c r="H89" i="33"/>
  <c r="J89" i="5"/>
  <c r="Q7" i="44"/>
  <c r="H90" i="33"/>
  <c r="J90" i="5"/>
  <c r="P26" i="44"/>
  <c r="R26"/>
  <c r="R27"/>
  <c r="P27"/>
  <c r="P34"/>
  <c r="H88" i="24"/>
  <c r="J88" s="1"/>
  <c r="H86"/>
  <c r="J86" s="1"/>
  <c r="O13" i="44"/>
  <c r="O12"/>
  <c r="H86" i="9"/>
  <c r="J86" s="1"/>
  <c r="O11" i="44"/>
  <c r="H86" i="8"/>
  <c r="J86" s="1"/>
  <c r="O10" i="44"/>
  <c r="O9"/>
  <c r="P8"/>
  <c r="Q8"/>
  <c r="O8"/>
  <c r="P7"/>
  <c r="O7"/>
  <c r="O6"/>
  <c r="Q6"/>
  <c r="Q5"/>
  <c r="P5"/>
  <c r="H87" i="2"/>
  <c r="J87" s="1"/>
  <c r="P4" i="44"/>
  <c r="P6"/>
  <c r="J86" i="3"/>
  <c r="O5" i="44"/>
  <c r="H86" i="2"/>
  <c r="J86" s="1"/>
  <c r="O4" i="44"/>
  <c r="H88" i="2"/>
  <c r="J88" s="1"/>
  <c r="Q4" i="44"/>
  <c r="H86" i="43"/>
  <c r="J86" s="1"/>
  <c r="O33" i="44"/>
  <c r="H86" i="29"/>
  <c r="J86" s="1"/>
  <c r="O31" i="44"/>
  <c r="H86" i="27"/>
  <c r="J86" s="1"/>
  <c r="O29" i="44"/>
  <c r="H86" i="40"/>
  <c r="J86" s="1"/>
  <c r="O28" i="44"/>
  <c r="H86" i="25"/>
  <c r="J86" s="1"/>
  <c r="H86" i="23"/>
  <c r="J86" s="1"/>
  <c r="O25" i="44"/>
  <c r="H86" i="22"/>
  <c r="J86" s="1"/>
  <c r="O24" i="44"/>
  <c r="H86" i="21"/>
  <c r="J86" s="1"/>
  <c r="O23" i="44"/>
  <c r="J86" i="20"/>
  <c r="O22" i="44"/>
  <c r="H86" i="19"/>
  <c r="J86" s="1"/>
  <c r="O21" i="44"/>
  <c r="H86" i="18"/>
  <c r="J86" s="1"/>
  <c r="O20" i="44"/>
  <c r="H86" i="17"/>
  <c r="J86" s="1"/>
  <c r="O19" i="44"/>
  <c r="H86" i="16"/>
  <c r="J86" s="1"/>
  <c r="O18" i="44"/>
  <c r="H86" i="15"/>
  <c r="J86" s="1"/>
  <c r="O17" i="44"/>
  <c r="H86" i="14"/>
  <c r="J86" s="1"/>
  <c r="O16" i="44"/>
  <c r="H86" i="13"/>
  <c r="J86" s="1"/>
  <c r="O15" i="44"/>
  <c r="H86" i="12"/>
  <c r="J86" s="1"/>
  <c r="O14" i="44"/>
  <c r="P9"/>
  <c r="H88" i="22"/>
  <c r="J88" s="1"/>
  <c r="Q24" i="44"/>
  <c r="H87" i="13"/>
  <c r="J87" s="1"/>
  <c r="P15" i="44"/>
  <c r="R15"/>
  <c r="H87" i="23"/>
  <c r="J87" s="1"/>
  <c r="R25" i="44"/>
  <c r="P25"/>
  <c r="H87" i="12"/>
  <c r="J87" s="1"/>
  <c r="R14" i="44"/>
  <c r="P14"/>
  <c r="H87" i="22"/>
  <c r="J87" s="1"/>
  <c r="R24" i="44"/>
  <c r="P24"/>
  <c r="H88" i="18"/>
  <c r="J88" s="1"/>
  <c r="Q20" i="44"/>
  <c r="H88" i="14"/>
  <c r="J88" s="1"/>
  <c r="Q16" i="44"/>
  <c r="H88" i="9"/>
  <c r="J88" s="1"/>
  <c r="H87" i="25"/>
  <c r="J87" s="1"/>
  <c r="H87" i="43"/>
  <c r="J87" s="1"/>
  <c r="R33" i="44"/>
  <c r="P33"/>
  <c r="R13"/>
  <c r="P13"/>
  <c r="J87" i="20"/>
  <c r="R22" i="44"/>
  <c r="P22"/>
  <c r="H88" i="8"/>
  <c r="J88" s="1"/>
  <c r="Q13" i="44"/>
  <c r="H88" i="17"/>
  <c r="J88" s="1"/>
  <c r="Q19" i="44"/>
  <c r="H87" i="24"/>
  <c r="J87" s="1"/>
  <c r="H87" i="40"/>
  <c r="J87" s="1"/>
  <c r="R28" i="44"/>
  <c r="P28"/>
  <c r="H88" i="28"/>
  <c r="J88" s="1"/>
  <c r="Q30" i="44"/>
  <c r="H87" i="29"/>
  <c r="J87" s="1"/>
  <c r="P31" i="44"/>
  <c r="R31"/>
  <c r="O34"/>
  <c r="H87" i="18"/>
  <c r="J87" s="1"/>
  <c r="R20" i="44"/>
  <c r="P20"/>
  <c r="H88" i="12"/>
  <c r="J88" s="1"/>
  <c r="Q14" i="44"/>
  <c r="R34"/>
  <c r="H88" i="13"/>
  <c r="J88" s="1"/>
  <c r="Q15" i="44"/>
  <c r="H87" i="16"/>
  <c r="J87" s="1"/>
  <c r="R18" i="44"/>
  <c r="P18"/>
  <c r="H88" i="19"/>
  <c r="J88" s="1"/>
  <c r="Q21" i="44"/>
  <c r="Q23"/>
  <c r="H88" i="29"/>
  <c r="J88" s="1"/>
  <c r="Q31" i="44"/>
  <c r="H88" i="43"/>
  <c r="J88" s="1"/>
  <c r="Q33" i="44"/>
  <c r="H88" i="40"/>
  <c r="J88" s="1"/>
  <c r="Q28" i="44"/>
  <c r="H87" i="14"/>
  <c r="J87" s="1"/>
  <c r="R16" i="44"/>
  <c r="P16"/>
  <c r="P12"/>
  <c r="H87" i="27"/>
  <c r="J87" s="1"/>
  <c r="R29" i="44"/>
  <c r="P29"/>
  <c r="H87" i="15"/>
  <c r="J87" s="1"/>
  <c r="R17" i="44"/>
  <c r="P17"/>
  <c r="R32"/>
  <c r="P32"/>
  <c r="P23"/>
  <c r="R23"/>
  <c r="H87" i="17"/>
  <c r="J87" s="1"/>
  <c r="P19" i="44"/>
  <c r="R19"/>
  <c r="H88" i="16"/>
  <c r="J88" s="1"/>
  <c r="Q18" i="44"/>
  <c r="H88" i="15"/>
  <c r="J88" s="1"/>
  <c r="Q17" i="44"/>
  <c r="H87" i="19"/>
  <c r="J87" s="1"/>
  <c r="R21" i="44"/>
  <c r="P21"/>
  <c r="H87" i="8"/>
  <c r="J87" s="1"/>
  <c r="P10" i="44"/>
  <c r="H87" i="9"/>
  <c r="J87" s="1"/>
  <c r="P11" i="44"/>
  <c r="H88" i="25"/>
  <c r="J88" s="1"/>
  <c r="H88" i="27"/>
  <c r="J88" s="1"/>
  <c r="Q29" i="44"/>
  <c r="H88" i="23"/>
  <c r="J88" s="1"/>
  <c r="Q25" i="44"/>
  <c r="J88" i="20"/>
  <c r="Q22" i="44"/>
  <c r="H87" i="28"/>
  <c r="J87" s="1"/>
  <c r="R30" i="44"/>
  <c r="P30"/>
  <c r="H87" i="30"/>
  <c r="J87" s="1"/>
  <c r="H88"/>
  <c r="J88" s="1"/>
  <c r="H86"/>
  <c r="J86" s="1"/>
  <c r="H86" i="28"/>
  <c r="J86" s="1"/>
  <c r="E40" i="22"/>
  <c r="E8"/>
  <c r="H86" i="5" l="1"/>
  <c r="H86" i="33" s="1"/>
  <c r="H86" i="7" s="1"/>
  <c r="J86" s="1"/>
  <c r="J88" i="3"/>
  <c r="H88" i="4"/>
  <c r="H90" i="7"/>
  <c r="J90" s="1"/>
  <c r="J90" i="33"/>
  <c r="H86" i="10"/>
  <c r="H87"/>
  <c r="H88"/>
  <c r="J87" i="3"/>
  <c r="H87" i="4"/>
  <c r="H89" i="7"/>
  <c r="J89" s="1"/>
  <c r="J89" i="33"/>
  <c r="H88" i="31"/>
  <c r="N88" s="1"/>
  <c r="H87"/>
  <c r="N87" s="1"/>
  <c r="H86"/>
  <c r="N86" s="1"/>
  <c r="E15" i="20"/>
  <c r="E41" i="18"/>
  <c r="E7" i="20"/>
  <c r="E8" i="17"/>
  <c r="E9"/>
  <c r="E116" i="16"/>
  <c r="E8"/>
  <c r="G8" s="1"/>
  <c r="E8" i="15"/>
  <c r="O8" i="14"/>
  <c r="O7"/>
  <c r="J86" i="5" l="1"/>
  <c r="J86" i="33"/>
  <c r="J87" i="4"/>
  <c r="H87" i="5"/>
  <c r="H86" i="11"/>
  <c r="J86" s="1"/>
  <c r="J86" i="10"/>
  <c r="H87" i="11"/>
  <c r="J87" s="1"/>
  <c r="J87" i="10"/>
  <c r="J88" i="4"/>
  <c r="H88" i="5"/>
  <c r="H88" i="11"/>
  <c r="J88" s="1"/>
  <c r="J88" i="10"/>
  <c r="J86" i="31"/>
  <c r="J87"/>
  <c r="J88"/>
  <c r="E96" i="14"/>
  <c r="E97"/>
  <c r="E98"/>
  <c r="E99"/>
  <c r="E100"/>
  <c r="E8"/>
  <c r="E9"/>
  <c r="E10"/>
  <c r="E11"/>
  <c r="E12"/>
  <c r="E133" i="13"/>
  <c r="E136"/>
  <c r="E138"/>
  <c r="E139"/>
  <c r="E140"/>
  <c r="H87" i="33" l="1"/>
  <c r="J87" i="5"/>
  <c r="H88" i="33"/>
  <c r="J88" i="5"/>
  <c r="E115" i="13"/>
  <c r="E105"/>
  <c r="E106"/>
  <c r="E109"/>
  <c r="E110"/>
  <c r="E111"/>
  <c r="E114"/>
  <c r="E93"/>
  <c r="E94"/>
  <c r="E95"/>
  <c r="E96"/>
  <c r="E97"/>
  <c r="E98"/>
  <c r="E99"/>
  <c r="E100"/>
  <c r="E38"/>
  <c r="E37"/>
  <c r="E8"/>
  <c r="E9"/>
  <c r="E10"/>
  <c r="E11"/>
  <c r="E12"/>
  <c r="E8" i="12"/>
  <c r="E9"/>
  <c r="G9" s="1"/>
  <c r="E10"/>
  <c r="E11"/>
  <c r="E12"/>
  <c r="E7"/>
  <c r="P14"/>
  <c r="P16"/>
  <c r="P17"/>
  <c r="P21"/>
  <c r="P23"/>
  <c r="P24"/>
  <c r="P25"/>
  <c r="P26"/>
  <c r="P33"/>
  <c r="P34"/>
  <c r="P48"/>
  <c r="P61"/>
  <c r="P70"/>
  <c r="P71"/>
  <c r="P91"/>
  <c r="P102"/>
  <c r="P103"/>
  <c r="P108"/>
  <c r="P113"/>
  <c r="P121"/>
  <c r="P122"/>
  <c r="P129"/>
  <c r="P141"/>
  <c r="E93"/>
  <c r="E94"/>
  <c r="E95"/>
  <c r="E96"/>
  <c r="E97"/>
  <c r="E98"/>
  <c r="E99"/>
  <c r="E100"/>
  <c r="E73"/>
  <c r="E74"/>
  <c r="E75"/>
  <c r="E76"/>
  <c r="E77"/>
  <c r="E78"/>
  <c r="E79"/>
  <c r="E80"/>
  <c r="E81"/>
  <c r="E82"/>
  <c r="E83"/>
  <c r="E84"/>
  <c r="E115"/>
  <c r="E114"/>
  <c r="E111"/>
  <c r="E110"/>
  <c r="E109"/>
  <c r="E106"/>
  <c r="E105"/>
  <c r="E104"/>
  <c r="E49"/>
  <c r="E76" i="10"/>
  <c r="E105" i="11"/>
  <c r="E106"/>
  <c r="E109"/>
  <c r="E110"/>
  <c r="E111"/>
  <c r="E114"/>
  <c r="E115"/>
  <c r="E104"/>
  <c r="E100"/>
  <c r="E93"/>
  <c r="E95"/>
  <c r="E96"/>
  <c r="E97"/>
  <c r="E98"/>
  <c r="E99"/>
  <c r="E93" i="10"/>
  <c r="G93" s="1"/>
  <c r="E94"/>
  <c r="E95"/>
  <c r="G95" s="1"/>
  <c r="E96"/>
  <c r="G96" s="1"/>
  <c r="E97"/>
  <c r="G97" s="1"/>
  <c r="E98"/>
  <c r="G98" s="1"/>
  <c r="E99"/>
  <c r="G99" s="1"/>
  <c r="E100"/>
  <c r="G100" s="1"/>
  <c r="E73"/>
  <c r="G73" s="1"/>
  <c r="E74"/>
  <c r="G74" s="1"/>
  <c r="E75"/>
  <c r="G75" s="1"/>
  <c r="E77"/>
  <c r="G77" s="1"/>
  <c r="E78"/>
  <c r="G78" s="1"/>
  <c r="E79"/>
  <c r="G79" s="1"/>
  <c r="E80"/>
  <c r="G80" s="1"/>
  <c r="E81"/>
  <c r="G81" s="1"/>
  <c r="E82"/>
  <c r="G82" s="1"/>
  <c r="E83"/>
  <c r="G83" s="1"/>
  <c r="E84"/>
  <c r="G84" s="1"/>
  <c r="E63"/>
  <c r="E64"/>
  <c r="G64" s="1"/>
  <c r="E65"/>
  <c r="G65" s="1"/>
  <c r="E66"/>
  <c r="G66" s="1"/>
  <c r="E67"/>
  <c r="G67" s="1"/>
  <c r="E68"/>
  <c r="G68" s="1"/>
  <c r="E69"/>
  <c r="G69" s="1"/>
  <c r="E51"/>
  <c r="G51" s="1"/>
  <c r="E52"/>
  <c r="G52" s="1"/>
  <c r="E53"/>
  <c r="G53" s="1"/>
  <c r="E54"/>
  <c r="G54" s="1"/>
  <c r="E55"/>
  <c r="G55" s="1"/>
  <c r="E56"/>
  <c r="G56" s="1"/>
  <c r="E57"/>
  <c r="G57" s="1"/>
  <c r="E58"/>
  <c r="G58" s="1"/>
  <c r="M12" i="44" s="1"/>
  <c r="E36" i="10"/>
  <c r="G36" s="1"/>
  <c r="E37"/>
  <c r="G37" s="1"/>
  <c r="E38"/>
  <c r="E39"/>
  <c r="G39" s="1"/>
  <c r="G40"/>
  <c r="E41"/>
  <c r="G41" s="1"/>
  <c r="E42"/>
  <c r="G42" s="1"/>
  <c r="E43"/>
  <c r="G43" s="1"/>
  <c r="E44"/>
  <c r="G44" s="1"/>
  <c r="E45"/>
  <c r="E46"/>
  <c r="E23"/>
  <c r="E22"/>
  <c r="G22" s="1"/>
  <c r="E8"/>
  <c r="G8" s="1"/>
  <c r="E10"/>
  <c r="G10" s="1"/>
  <c r="E11"/>
  <c r="G11" s="1"/>
  <c r="E12"/>
  <c r="G12" s="1"/>
  <c r="E7"/>
  <c r="G7" s="1"/>
  <c r="E104"/>
  <c r="E105"/>
  <c r="G105" s="1"/>
  <c r="E106"/>
  <c r="G106" s="1"/>
  <c r="E108"/>
  <c r="E109"/>
  <c r="G109" s="1"/>
  <c r="E110"/>
  <c r="G110" s="1"/>
  <c r="E111"/>
  <c r="G111" s="1"/>
  <c r="E114"/>
  <c r="G114" s="1"/>
  <c r="E115"/>
  <c r="G115" s="1"/>
  <c r="E15"/>
  <c r="G15" s="1"/>
  <c r="G9"/>
  <c r="I7"/>
  <c r="E18"/>
  <c r="G18"/>
  <c r="E19"/>
  <c r="G19" s="1"/>
  <c r="E29"/>
  <c r="G29" s="1"/>
  <c r="E35"/>
  <c r="G35" s="1"/>
  <c r="G38"/>
  <c r="G45"/>
  <c r="G46"/>
  <c r="E49"/>
  <c r="G49" s="1"/>
  <c r="E50"/>
  <c r="G50" s="1"/>
  <c r="E62"/>
  <c r="G62" s="1"/>
  <c r="S12" i="44" s="1"/>
  <c r="G63" i="10"/>
  <c r="T12" i="44" s="1"/>
  <c r="E72" i="10"/>
  <c r="G72" s="1"/>
  <c r="E92"/>
  <c r="G92" s="1"/>
  <c r="G104"/>
  <c r="J113"/>
  <c r="G116"/>
  <c r="E123"/>
  <c r="G123" s="1"/>
  <c r="E124"/>
  <c r="G124" s="1"/>
  <c r="E125"/>
  <c r="G125" s="1"/>
  <c r="E126"/>
  <c r="G126" s="1"/>
  <c r="E127"/>
  <c r="G127" s="1"/>
  <c r="E130"/>
  <c r="G130" s="1"/>
  <c r="G131"/>
  <c r="G132"/>
  <c r="G133"/>
  <c r="G134"/>
  <c r="G135"/>
  <c r="G136"/>
  <c r="AJ12" i="44" s="1"/>
  <c r="G137" i="10"/>
  <c r="G138"/>
  <c r="G139"/>
  <c r="G140"/>
  <c r="AI12" i="44" s="1"/>
  <c r="E115" i="9"/>
  <c r="E110" i="8"/>
  <c r="E111"/>
  <c r="E111" i="9"/>
  <c r="E110" i="7"/>
  <c r="G110" s="1"/>
  <c r="E111"/>
  <c r="E109"/>
  <c r="E110" i="4"/>
  <c r="E111"/>
  <c r="E109"/>
  <c r="E109" i="8"/>
  <c r="E109" i="9"/>
  <c r="E110"/>
  <c r="E114"/>
  <c r="E106"/>
  <c r="E105"/>
  <c r="G105" s="1"/>
  <c r="E15"/>
  <c r="E8"/>
  <c r="E105" i="8"/>
  <c r="E115" i="7"/>
  <c r="E114"/>
  <c r="E123" i="8"/>
  <c r="E115"/>
  <c r="E114"/>
  <c r="E106"/>
  <c r="H87" i="7" l="1"/>
  <c r="J87" s="1"/>
  <c r="J87" i="33"/>
  <c r="L14" i="45"/>
  <c r="H88" i="7"/>
  <c r="J88" s="1"/>
  <c r="J88" i="33"/>
  <c r="L13" i="45"/>
  <c r="E31" i="10"/>
  <c r="G31" s="1"/>
  <c r="P9" i="12"/>
  <c r="E30" i="10"/>
  <c r="G30" s="1"/>
  <c r="G76"/>
  <c r="G85" s="1"/>
  <c r="G20"/>
  <c r="E27"/>
  <c r="G27" s="1"/>
  <c r="G117"/>
  <c r="I136"/>
  <c r="G118"/>
  <c r="F118"/>
  <c r="G94"/>
  <c r="I138"/>
  <c r="G144"/>
  <c r="G148"/>
  <c r="G47"/>
  <c r="G142"/>
  <c r="I133"/>
  <c r="G119"/>
  <c r="G101"/>
  <c r="F119"/>
  <c r="G146"/>
  <c r="G59"/>
  <c r="G150"/>
  <c r="G152"/>
  <c r="G128"/>
  <c r="E28"/>
  <c r="G28" s="1"/>
  <c r="G13"/>
  <c r="G112"/>
  <c r="G107"/>
  <c r="G109" i="7"/>
  <c r="E105"/>
  <c r="E106"/>
  <c r="G120" i="10" l="1"/>
  <c r="F120"/>
  <c r="G149"/>
  <c r="G32"/>
  <c r="I13"/>
  <c r="G60"/>
  <c r="I60" s="1"/>
  <c r="G153"/>
  <c r="G151"/>
  <c r="G143"/>
  <c r="G147"/>
  <c r="G145"/>
  <c r="G106" i="7"/>
  <c r="E8"/>
  <c r="G8" s="1"/>
  <c r="I59" i="10" l="1"/>
  <c r="E107" i="33"/>
  <c r="E108"/>
  <c r="E112"/>
  <c r="E113"/>
  <c r="E100"/>
  <c r="E96" l="1"/>
  <c r="E8"/>
  <c r="G8" s="1"/>
  <c r="E134" i="5" l="1"/>
  <c r="G8"/>
  <c r="E132" i="4"/>
  <c r="G123" i="2"/>
  <c r="E27" i="5" l="1"/>
  <c r="G27" s="1"/>
  <c r="E19" i="3"/>
  <c r="G19" s="1"/>
  <c r="G9" i="2" l="1"/>
  <c r="G35"/>
  <c r="G8" l="1"/>
  <c r="E27" s="1"/>
  <c r="N27" i="29" s="1"/>
  <c r="G7" i="2"/>
  <c r="E29" i="43"/>
  <c r="G27" i="2" l="1"/>
  <c r="N27" i="31"/>
  <c r="A3" i="46"/>
  <c r="G15" i="2"/>
  <c r="G79" i="31"/>
  <c r="G131"/>
  <c r="G132"/>
  <c r="G133"/>
  <c r="G135"/>
  <c r="G136"/>
  <c r="G137"/>
  <c r="G139"/>
  <c r="G140"/>
  <c r="G130"/>
  <c r="G125"/>
  <c r="G123"/>
  <c r="E108" i="30"/>
  <c r="E107"/>
  <c r="E108" i="43"/>
  <c r="G105" i="31"/>
  <c r="G106"/>
  <c r="G109"/>
  <c r="G110"/>
  <c r="G111"/>
  <c r="G114"/>
  <c r="G104"/>
  <c r="G93"/>
  <c r="G95"/>
  <c r="G97"/>
  <c r="G98"/>
  <c r="G99"/>
  <c r="G92"/>
  <c r="G73"/>
  <c r="G74"/>
  <c r="G75"/>
  <c r="G76"/>
  <c r="G77"/>
  <c r="G78"/>
  <c r="G81"/>
  <c r="G82"/>
  <c r="G83"/>
  <c r="G84"/>
  <c r="G72"/>
  <c r="G63"/>
  <c r="G167"/>
  <c r="G169"/>
  <c r="G171"/>
  <c r="G62"/>
  <c r="G50"/>
  <c r="G51"/>
  <c r="G53"/>
  <c r="G54"/>
  <c r="G55"/>
  <c r="G57"/>
  <c r="G58"/>
  <c r="G49"/>
  <c r="G36"/>
  <c r="G37"/>
  <c r="G38"/>
  <c r="G39"/>
  <c r="G41"/>
  <c r="G42"/>
  <c r="G43"/>
  <c r="G45"/>
  <c r="G46"/>
  <c r="G35"/>
  <c r="G22"/>
  <c r="G19"/>
  <c r="G15"/>
  <c r="G8"/>
  <c r="G10"/>
  <c r="G11"/>
  <c r="G12"/>
  <c r="G7"/>
  <c r="G80"/>
  <c r="G96"/>
  <c r="G100"/>
  <c r="G138"/>
  <c r="G134"/>
  <c r="G127"/>
  <c r="G126"/>
  <c r="G124"/>
  <c r="G116"/>
  <c r="G115"/>
  <c r="J113"/>
  <c r="G69"/>
  <c r="G65"/>
  <c r="G56"/>
  <c r="G52"/>
  <c r="G44"/>
  <c r="G40"/>
  <c r="G29"/>
  <c r="G18"/>
  <c r="I15"/>
  <c r="K9"/>
  <c r="M8"/>
  <c r="I7"/>
  <c r="E28" l="1"/>
  <c r="G28" s="1"/>
  <c r="E28" i="2"/>
  <c r="G28" s="1"/>
  <c r="E31" i="31"/>
  <c r="G31" s="1"/>
  <c r="AH13" i="45"/>
  <c r="AI34" i="44"/>
  <c r="E27" i="31"/>
  <c r="G27" s="1"/>
  <c r="AJ34" i="44"/>
  <c r="AH14" i="45"/>
  <c r="E30" i="31"/>
  <c r="G30" s="1"/>
  <c r="S34" i="44"/>
  <c r="T34"/>
  <c r="H27" i="2"/>
  <c r="G68" i="31"/>
  <c r="G170"/>
  <c r="G67"/>
  <c r="G66"/>
  <c r="G168"/>
  <c r="G64"/>
  <c r="G166"/>
  <c r="M34" i="44"/>
  <c r="G20" i="31"/>
  <c r="G47"/>
  <c r="F118"/>
  <c r="G59"/>
  <c r="G94"/>
  <c r="G107"/>
  <c r="I133"/>
  <c r="G128"/>
  <c r="H128" s="1"/>
  <c r="N128" s="1"/>
  <c r="G152"/>
  <c r="G144"/>
  <c r="F119"/>
  <c r="G101"/>
  <c r="G119"/>
  <c r="G117"/>
  <c r="I136"/>
  <c r="G150"/>
  <c r="G85"/>
  <c r="G13"/>
  <c r="G142"/>
  <c r="G146"/>
  <c r="G112"/>
  <c r="G148"/>
  <c r="I138"/>
  <c r="G118"/>
  <c r="N28" l="1"/>
  <c r="N28" i="29"/>
  <c r="G172" i="31"/>
  <c r="H28" i="2"/>
  <c r="I13" i="31"/>
  <c r="G32"/>
  <c r="G143"/>
  <c r="G145"/>
  <c r="G149"/>
  <c r="F120"/>
  <c r="G120"/>
  <c r="G60"/>
  <c r="G153"/>
  <c r="G147"/>
  <c r="G151"/>
  <c r="I60" l="1"/>
  <c r="I59"/>
  <c r="I8" i="29" l="1"/>
  <c r="I8" i="28" l="1"/>
  <c r="E29" i="27" l="1"/>
  <c r="I8" l="1"/>
  <c r="I8" i="40"/>
  <c r="I8" i="25"/>
  <c r="AI24" i="45"/>
  <c r="AI26"/>
  <c r="I8" i="24" l="1"/>
  <c r="I8" i="23"/>
  <c r="I8" i="22"/>
  <c r="G62" i="20"/>
  <c r="S22" i="44" s="1"/>
  <c r="E58" i="21"/>
  <c r="I8"/>
  <c r="F4" i="45" l="1"/>
  <c r="E4"/>
  <c r="D4"/>
  <c r="J4" i="1" l="1"/>
  <c r="E8" i="43"/>
  <c r="G8" s="1"/>
  <c r="E8" i="30"/>
  <c r="G8" s="1"/>
  <c r="E8" i="28"/>
  <c r="E8" i="27"/>
  <c r="E8" i="25"/>
  <c r="E8" i="24"/>
  <c r="G8" s="1"/>
  <c r="E8" i="21"/>
  <c r="E8" i="20"/>
  <c r="E8" i="19"/>
  <c r="E8" i="18"/>
  <c r="K9" i="17"/>
  <c r="K8"/>
  <c r="K7"/>
  <c r="E15"/>
  <c r="G72" i="15"/>
  <c r="E73"/>
  <c r="E74"/>
  <c r="E75"/>
  <c r="E76"/>
  <c r="E77"/>
  <c r="E78"/>
  <c r="E79"/>
  <c r="E80"/>
  <c r="E81"/>
  <c r="E82"/>
  <c r="E83"/>
  <c r="E84"/>
  <c r="E36"/>
  <c r="E37"/>
  <c r="E38"/>
  <c r="E39"/>
  <c r="E40"/>
  <c r="E41"/>
  <c r="E42"/>
  <c r="E43"/>
  <c r="E44"/>
  <c r="E45"/>
  <c r="E46"/>
  <c r="I8"/>
  <c r="G8"/>
  <c r="G8" i="12"/>
  <c r="G9" i="14"/>
  <c r="G58" i="12"/>
  <c r="G57"/>
  <c r="P57" s="1"/>
  <c r="G56"/>
  <c r="P56" s="1"/>
  <c r="G55"/>
  <c r="P55" s="1"/>
  <c r="G54"/>
  <c r="P54" s="1"/>
  <c r="G53"/>
  <c r="P53" s="1"/>
  <c r="G52"/>
  <c r="P52" s="1"/>
  <c r="G51"/>
  <c r="P51" s="1"/>
  <c r="G50"/>
  <c r="G49"/>
  <c r="P49" s="1"/>
  <c r="E50" i="13"/>
  <c r="E51"/>
  <c r="E52"/>
  <c r="E53"/>
  <c r="E54"/>
  <c r="E55"/>
  <c r="E56"/>
  <c r="E57"/>
  <c r="E58"/>
  <c r="E7"/>
  <c r="G7" s="1"/>
  <c r="F2" i="47" l="1"/>
  <c r="F3" s="1"/>
  <c r="F4" s="1"/>
  <c r="F5" s="1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J35" i="1"/>
  <c r="P58" i="12"/>
  <c r="M14" i="44"/>
  <c r="G33" i="1"/>
  <c r="P50" i="12"/>
  <c r="P8"/>
  <c r="G59"/>
  <c r="P59" s="1"/>
  <c r="E105" i="43"/>
  <c r="E106"/>
  <c r="E107"/>
  <c r="E109"/>
  <c r="E110"/>
  <c r="E111"/>
  <c r="E112"/>
  <c r="E113"/>
  <c r="E114"/>
  <c r="E115"/>
  <c r="E104"/>
  <c r="E105" i="30"/>
  <c r="E106"/>
  <c r="E109"/>
  <c r="E110"/>
  <c r="E111"/>
  <c r="E112"/>
  <c r="E113"/>
  <c r="E114"/>
  <c r="E115"/>
  <c r="E104"/>
  <c r="G106" i="29"/>
  <c r="E104"/>
  <c r="E105" i="28"/>
  <c r="E104"/>
  <c r="E105" i="27"/>
  <c r="E106"/>
  <c r="E107"/>
  <c r="E108"/>
  <c r="E109"/>
  <c r="E112"/>
  <c r="E113"/>
  <c r="E114"/>
  <c r="E115"/>
  <c r="E104"/>
  <c r="E105" i="40"/>
  <c r="E106"/>
  <c r="E107"/>
  <c r="E108"/>
  <c r="E109"/>
  <c r="E110"/>
  <c r="E111"/>
  <c r="E112"/>
  <c r="E113"/>
  <c r="E114"/>
  <c r="E115"/>
  <c r="E104"/>
  <c r="E115" i="25"/>
  <c r="E109"/>
  <c r="E110"/>
  <c r="E105"/>
  <c r="E106"/>
  <c r="E108"/>
  <c r="E112"/>
  <c r="E114"/>
  <c r="E104"/>
  <c r="E105" i="24"/>
  <c r="E106"/>
  <c r="E107"/>
  <c r="E108"/>
  <c r="E109"/>
  <c r="E110"/>
  <c r="E111"/>
  <c r="E112"/>
  <c r="E113"/>
  <c r="E114"/>
  <c r="E115"/>
  <c r="E104"/>
  <c r="E105" i="23"/>
  <c r="E106"/>
  <c r="E107"/>
  <c r="E108"/>
  <c r="E109"/>
  <c r="E110"/>
  <c r="E111"/>
  <c r="E112"/>
  <c r="E113"/>
  <c r="E114"/>
  <c r="E115"/>
  <c r="E104"/>
  <c r="E105" i="22"/>
  <c r="E106"/>
  <c r="E107"/>
  <c r="E108"/>
  <c r="E109"/>
  <c r="E110"/>
  <c r="E111"/>
  <c r="E112"/>
  <c r="E113"/>
  <c r="E114"/>
  <c r="E115"/>
  <c r="E104"/>
  <c r="E105" i="21"/>
  <c r="E106"/>
  <c r="E107"/>
  <c r="E108"/>
  <c r="E109"/>
  <c r="E110"/>
  <c r="E111"/>
  <c r="E112"/>
  <c r="E113"/>
  <c r="E114"/>
  <c r="E115"/>
  <c r="E104"/>
  <c r="E105" i="20"/>
  <c r="E106"/>
  <c r="E107"/>
  <c r="E108"/>
  <c r="E109"/>
  <c r="E110"/>
  <c r="E111"/>
  <c r="E112"/>
  <c r="E113"/>
  <c r="E114"/>
  <c r="E115"/>
  <c r="E104"/>
  <c r="E105" i="19"/>
  <c r="E106"/>
  <c r="E107"/>
  <c r="E108"/>
  <c r="E109"/>
  <c r="E110"/>
  <c r="E111"/>
  <c r="E112"/>
  <c r="E113"/>
  <c r="E114"/>
  <c r="E115"/>
  <c r="E104"/>
  <c r="E105" i="18"/>
  <c r="E106"/>
  <c r="E107"/>
  <c r="E108"/>
  <c r="E109"/>
  <c r="E110"/>
  <c r="E111"/>
  <c r="E112"/>
  <c r="E113"/>
  <c r="E114"/>
  <c r="E115"/>
  <c r="E104"/>
  <c r="E105" i="17"/>
  <c r="E106"/>
  <c r="E107"/>
  <c r="E108"/>
  <c r="E109"/>
  <c r="E110"/>
  <c r="E111"/>
  <c r="E112"/>
  <c r="E113"/>
  <c r="E114"/>
  <c r="E115"/>
  <c r="E104"/>
  <c r="E105" i="16"/>
  <c r="E106"/>
  <c r="E107"/>
  <c r="E108"/>
  <c r="E109"/>
  <c r="E110"/>
  <c r="E111"/>
  <c r="E112"/>
  <c r="E113"/>
  <c r="E114"/>
  <c r="E115"/>
  <c r="E104"/>
  <c r="E105" i="15"/>
  <c r="E106"/>
  <c r="E107"/>
  <c r="E108"/>
  <c r="E109"/>
  <c r="E110"/>
  <c r="E111"/>
  <c r="E112"/>
  <c r="E113"/>
  <c r="E114"/>
  <c r="E115"/>
  <c r="E104"/>
  <c r="E105" i="14"/>
  <c r="E106"/>
  <c r="E109"/>
  <c r="E110"/>
  <c r="E111"/>
  <c r="E114"/>
  <c r="E115"/>
  <c r="E104"/>
  <c r="E104" i="13"/>
  <c r="E115" i="5"/>
  <c r="E115" i="33" s="1"/>
  <c r="E114" i="5"/>
  <c r="E114" i="33" s="1"/>
  <c r="E111" i="5"/>
  <c r="E111" i="33" s="1"/>
  <c r="E110" i="5"/>
  <c r="E110" i="33" s="1"/>
  <c r="E109" i="5"/>
  <c r="E109" i="33" s="1"/>
  <c r="E106" i="5"/>
  <c r="E106" i="33" s="1"/>
  <c r="E105" i="5"/>
  <c r="E105" i="33" s="1"/>
  <c r="E104" i="5"/>
  <c r="E104" i="33" s="1"/>
  <c r="E109" i="3"/>
  <c r="E115" i="4"/>
  <c r="E114"/>
  <c r="E106"/>
  <c r="E105"/>
  <c r="E104"/>
  <c r="E115" i="3"/>
  <c r="E114"/>
  <c r="E111"/>
  <c r="E110"/>
  <c r="E106"/>
  <c r="E105"/>
  <c r="E104"/>
  <c r="E29" i="5"/>
  <c r="G29" s="1"/>
  <c r="E29" i="33"/>
  <c r="G29" s="1"/>
  <c r="E29" i="7"/>
  <c r="G29" s="1"/>
  <c r="E29" i="8"/>
  <c r="G29" s="1"/>
  <c r="E29" i="9"/>
  <c r="G29" s="1"/>
  <c r="E29" i="11"/>
  <c r="G29" s="1"/>
  <c r="E29" i="12"/>
  <c r="G29" s="1"/>
  <c r="P29" s="1"/>
  <c r="E29" i="13"/>
  <c r="E29" i="14"/>
  <c r="G29" s="1"/>
  <c r="E29" i="15"/>
  <c r="G29" s="1"/>
  <c r="E29" i="16"/>
  <c r="G29" s="1"/>
  <c r="E29" i="17"/>
  <c r="G29" s="1"/>
  <c r="E29" i="18"/>
  <c r="G29" s="1"/>
  <c r="E29" i="19"/>
  <c r="G29" s="1"/>
  <c r="E29" i="20"/>
  <c r="G29" s="1"/>
  <c r="E29" i="21"/>
  <c r="G29" s="1"/>
  <c r="E29" i="22"/>
  <c r="G29" s="1"/>
  <c r="E29" i="23"/>
  <c r="G29" s="1"/>
  <c r="O29" s="1"/>
  <c r="E29" i="24"/>
  <c r="G29" s="1"/>
  <c r="E29" i="25"/>
  <c r="G29" s="1"/>
  <c r="E29" i="40"/>
  <c r="G29" s="1"/>
  <c r="E29" i="28"/>
  <c r="G29" s="1"/>
  <c r="E29" i="29"/>
  <c r="G29" s="1"/>
  <c r="E29" i="30"/>
  <c r="G29" s="1"/>
  <c r="G29" i="43"/>
  <c r="E29" i="4"/>
  <c r="G29" s="1"/>
  <c r="E29" i="3"/>
  <c r="G29" s="1"/>
  <c r="G29" i="13" l="1"/>
  <c r="G116" i="5"/>
  <c r="G115"/>
  <c r="G114"/>
  <c r="J113"/>
  <c r="G111"/>
  <c r="G110"/>
  <c r="G109"/>
  <c r="G106"/>
  <c r="G105"/>
  <c r="G104"/>
  <c r="G116" i="33"/>
  <c r="G115"/>
  <c r="G114"/>
  <c r="J113"/>
  <c r="G111"/>
  <c r="G110"/>
  <c r="G109"/>
  <c r="G106"/>
  <c r="G105"/>
  <c r="G104"/>
  <c r="G116" i="7"/>
  <c r="G115"/>
  <c r="G114"/>
  <c r="J113"/>
  <c r="G111"/>
  <c r="I20" i="45"/>
  <c r="I18"/>
  <c r="G105" i="7"/>
  <c r="G104"/>
  <c r="G116" i="8"/>
  <c r="G115"/>
  <c r="G114"/>
  <c r="J113"/>
  <c r="G111"/>
  <c r="G110"/>
  <c r="G109"/>
  <c r="G106"/>
  <c r="G105"/>
  <c r="G104"/>
  <c r="G116" i="9"/>
  <c r="G115"/>
  <c r="G114"/>
  <c r="J113"/>
  <c r="G111"/>
  <c r="G110"/>
  <c r="G109"/>
  <c r="G106"/>
  <c r="K17" i="45"/>
  <c r="G104" i="9"/>
  <c r="L22" i="45"/>
  <c r="L21"/>
  <c r="L20"/>
  <c r="L18"/>
  <c r="L17"/>
  <c r="L16"/>
  <c r="G116" i="11"/>
  <c r="G115"/>
  <c r="G114"/>
  <c r="J113"/>
  <c r="G111"/>
  <c r="G110"/>
  <c r="G109"/>
  <c r="G106"/>
  <c r="G105"/>
  <c r="G116" i="12"/>
  <c r="P116" s="1"/>
  <c r="G115"/>
  <c r="G114"/>
  <c r="N13" i="45" s="1"/>
  <c r="J113" i="12"/>
  <c r="G111"/>
  <c r="G110"/>
  <c r="G109"/>
  <c r="G106"/>
  <c r="G105"/>
  <c r="G104"/>
  <c r="G116" i="13"/>
  <c r="G115"/>
  <c r="G114"/>
  <c r="J113"/>
  <c r="G111"/>
  <c r="G110"/>
  <c r="G109"/>
  <c r="G106"/>
  <c r="G105"/>
  <c r="G104"/>
  <c r="G116" i="14"/>
  <c r="G115"/>
  <c r="P14" i="45" s="1"/>
  <c r="G114" i="14"/>
  <c r="J113"/>
  <c r="G111"/>
  <c r="P22" i="45" s="1"/>
  <c r="G110" i="14"/>
  <c r="P21" i="45" s="1"/>
  <c r="G109" i="14"/>
  <c r="P20" i="45" s="1"/>
  <c r="G106" i="14"/>
  <c r="P18" i="45" s="1"/>
  <c r="G105" i="14"/>
  <c r="P17" i="45" s="1"/>
  <c r="G104" i="14"/>
  <c r="P16" i="45" s="1"/>
  <c r="G116" i="15"/>
  <c r="G115"/>
  <c r="Q14" i="45" s="1"/>
  <c r="G114" i="15"/>
  <c r="Q13" i="45" s="1"/>
  <c r="J113" i="15"/>
  <c r="G111"/>
  <c r="Q22" i="45" s="1"/>
  <c r="G110" i="15"/>
  <c r="Q21" i="45" s="1"/>
  <c r="G109" i="15"/>
  <c r="Q20" i="45" s="1"/>
  <c r="G106" i="15"/>
  <c r="Q18" i="45" s="1"/>
  <c r="G105" i="15"/>
  <c r="Q17" i="45" s="1"/>
  <c r="G104" i="15"/>
  <c r="Q16" i="45" s="1"/>
  <c r="G116" i="16"/>
  <c r="G115"/>
  <c r="R14" i="45" s="1"/>
  <c r="G114" i="16"/>
  <c r="R13" i="45" s="1"/>
  <c r="J113" i="16"/>
  <c r="G111"/>
  <c r="R22" i="45" s="1"/>
  <c r="G110" i="16"/>
  <c r="R21" i="45" s="1"/>
  <c r="G109" i="16"/>
  <c r="R20" i="45" s="1"/>
  <c r="G106" i="16"/>
  <c r="R18" i="45" s="1"/>
  <c r="G105" i="16"/>
  <c r="R17" i="45" s="1"/>
  <c r="G104" i="16"/>
  <c r="R16" i="45" s="1"/>
  <c r="G116" i="17"/>
  <c r="G115"/>
  <c r="S14" i="45" s="1"/>
  <c r="G114" i="17"/>
  <c r="J113"/>
  <c r="G111"/>
  <c r="S22" i="45" s="1"/>
  <c r="G110" i="17"/>
  <c r="S21" i="45" s="1"/>
  <c r="G109" i="17"/>
  <c r="S20" i="45" s="1"/>
  <c r="G106" i="17"/>
  <c r="S18" i="45" s="1"/>
  <c r="G105" i="17"/>
  <c r="S17" i="45" s="1"/>
  <c r="G104" i="17"/>
  <c r="S16" i="45" s="1"/>
  <c r="G116" i="18"/>
  <c r="G115"/>
  <c r="T14" i="45" s="1"/>
  <c r="G114" i="18"/>
  <c r="J113"/>
  <c r="G111"/>
  <c r="T22" i="45" s="1"/>
  <c r="G110" i="18"/>
  <c r="T21" i="45" s="1"/>
  <c r="G109" i="18"/>
  <c r="T20" i="45" s="1"/>
  <c r="G106" i="18"/>
  <c r="T18" i="45" s="1"/>
  <c r="G105" i="18"/>
  <c r="T17" i="45" s="1"/>
  <c r="G104" i="18"/>
  <c r="T16" i="45" s="1"/>
  <c r="G116" i="19"/>
  <c r="G115"/>
  <c r="U14" i="45" s="1"/>
  <c r="G114" i="19"/>
  <c r="U13" i="45" s="1"/>
  <c r="J113" i="19"/>
  <c r="G111"/>
  <c r="U22" i="45" s="1"/>
  <c r="G110" i="19"/>
  <c r="U21" i="45" s="1"/>
  <c r="G109" i="19"/>
  <c r="U20" i="45" s="1"/>
  <c r="G106" i="19"/>
  <c r="U18" i="45" s="1"/>
  <c r="G105" i="19"/>
  <c r="U17" i="45" s="1"/>
  <c r="G104" i="19"/>
  <c r="U16" i="45" s="1"/>
  <c r="G116" i="20"/>
  <c r="G115"/>
  <c r="V14" i="45" s="1"/>
  <c r="G114" i="20"/>
  <c r="J113"/>
  <c r="G111"/>
  <c r="V22" i="45" s="1"/>
  <c r="G110" i="20"/>
  <c r="V21" i="45" s="1"/>
  <c r="G109" i="20"/>
  <c r="V20" i="45" s="1"/>
  <c r="G106" i="20"/>
  <c r="V18" i="45" s="1"/>
  <c r="G105" i="20"/>
  <c r="V17" i="45" s="1"/>
  <c r="G104" i="20"/>
  <c r="V16" i="45" s="1"/>
  <c r="G116" i="21"/>
  <c r="G115"/>
  <c r="W14" i="45" s="1"/>
  <c r="G114" i="21"/>
  <c r="J113"/>
  <c r="G111"/>
  <c r="W22" i="45" s="1"/>
  <c r="G110" i="21"/>
  <c r="W21" i="45" s="1"/>
  <c r="G109" i="21"/>
  <c r="W20" i="45" s="1"/>
  <c r="G106" i="21"/>
  <c r="W18" i="45" s="1"/>
  <c r="G105" i="21"/>
  <c r="W17" i="45" s="1"/>
  <c r="G104" i="21"/>
  <c r="W16" i="45" s="1"/>
  <c r="G116" i="22"/>
  <c r="G115"/>
  <c r="X14" i="45" s="1"/>
  <c r="G114" i="22"/>
  <c r="J113"/>
  <c r="G111"/>
  <c r="X22" i="45" s="1"/>
  <c r="G110" i="22"/>
  <c r="X21" i="45" s="1"/>
  <c r="G109" i="22"/>
  <c r="X20" i="45" s="1"/>
  <c r="G106" i="22"/>
  <c r="X18" i="45" s="1"/>
  <c r="G105" i="22"/>
  <c r="X17" i="45" s="1"/>
  <c r="G104" i="22"/>
  <c r="X16" i="45" s="1"/>
  <c r="G116" i="23"/>
  <c r="O116" s="1"/>
  <c r="G115"/>
  <c r="G114"/>
  <c r="J113"/>
  <c r="G111"/>
  <c r="G110"/>
  <c r="G109"/>
  <c r="O109" s="1"/>
  <c r="G106"/>
  <c r="G105"/>
  <c r="G104"/>
  <c r="G116" i="24"/>
  <c r="G115"/>
  <c r="Z14" i="45" s="1"/>
  <c r="G114" i="24"/>
  <c r="Z13" i="45" s="1"/>
  <c r="J113" i="24"/>
  <c r="G111"/>
  <c r="Z22" i="45" s="1"/>
  <c r="G110" i="24"/>
  <c r="Z21" i="45" s="1"/>
  <c r="G109" i="24"/>
  <c r="Z20" i="45" s="1"/>
  <c r="G106" i="24"/>
  <c r="Z18" i="45" s="1"/>
  <c r="G105" i="24"/>
  <c r="Z17" i="45" s="1"/>
  <c r="G104" i="24"/>
  <c r="Z16" i="45" s="1"/>
  <c r="G116" i="25"/>
  <c r="G115"/>
  <c r="AA14" i="45" s="1"/>
  <c r="G114" i="25"/>
  <c r="J113"/>
  <c r="G111"/>
  <c r="AA22" i="45" s="1"/>
  <c r="G110" i="25"/>
  <c r="AA21" i="45" s="1"/>
  <c r="G109" i="25"/>
  <c r="AA20" i="45" s="1"/>
  <c r="G106" i="25"/>
  <c r="AA18" i="45" s="1"/>
  <c r="G105" i="25"/>
  <c r="AA17" i="45" s="1"/>
  <c r="G104" i="25"/>
  <c r="AA16" i="45" s="1"/>
  <c r="G116" i="40"/>
  <c r="G115"/>
  <c r="AB14" i="45" s="1"/>
  <c r="G114" i="40"/>
  <c r="J113"/>
  <c r="G111"/>
  <c r="AB22" i="45" s="1"/>
  <c r="G110" i="40"/>
  <c r="AB21" i="45" s="1"/>
  <c r="G109" i="40"/>
  <c r="AB20" i="45" s="1"/>
  <c r="G106" i="40"/>
  <c r="AB18" i="45" s="1"/>
  <c r="G105" i="40"/>
  <c r="AB17" i="45" s="1"/>
  <c r="G104" i="40"/>
  <c r="AB16" i="45" s="1"/>
  <c r="G116" i="27"/>
  <c r="G115"/>
  <c r="AC14" i="45" s="1"/>
  <c r="G114" i="27"/>
  <c r="AC13" i="45" s="1"/>
  <c r="J113" i="27"/>
  <c r="G111"/>
  <c r="AC22" i="45" s="1"/>
  <c r="G110" i="27"/>
  <c r="AC21" i="45" s="1"/>
  <c r="G109" i="27"/>
  <c r="AC20" i="45" s="1"/>
  <c r="G106" i="27"/>
  <c r="AC18" i="45" s="1"/>
  <c r="G105" i="27"/>
  <c r="AC17" i="45" s="1"/>
  <c r="G104" i="27"/>
  <c r="AC16" i="45" s="1"/>
  <c r="G116" i="28"/>
  <c r="G115"/>
  <c r="AD14" i="45" s="1"/>
  <c r="G114" i="28"/>
  <c r="J113"/>
  <c r="G111"/>
  <c r="AD22" i="45" s="1"/>
  <c r="G110" i="28"/>
  <c r="AD21" i="45" s="1"/>
  <c r="G109" i="28"/>
  <c r="AD20" i="45" s="1"/>
  <c r="G106" i="28"/>
  <c r="AD18" i="45" s="1"/>
  <c r="G105" i="28"/>
  <c r="AD17" i="45" s="1"/>
  <c r="G104" i="28"/>
  <c r="AD16" i="45" s="1"/>
  <c r="G116" i="29"/>
  <c r="G115"/>
  <c r="AE14" i="45" s="1"/>
  <c r="G114" i="29"/>
  <c r="J113"/>
  <c r="G111"/>
  <c r="AE22" i="45" s="1"/>
  <c r="G110" i="29"/>
  <c r="AE21" i="45" s="1"/>
  <c r="G109" i="29"/>
  <c r="AE20" i="45" s="1"/>
  <c r="AE18"/>
  <c r="G105" i="29"/>
  <c r="AE17" i="45" s="1"/>
  <c r="G104" i="29"/>
  <c r="AE16" i="45" s="1"/>
  <c r="G116" i="30"/>
  <c r="G115"/>
  <c r="G114"/>
  <c r="J113"/>
  <c r="G111"/>
  <c r="G110"/>
  <c r="G109"/>
  <c r="G106"/>
  <c r="G105"/>
  <c r="G104"/>
  <c r="G116" i="43"/>
  <c r="G115"/>
  <c r="AG14" i="45" s="1"/>
  <c r="G114" i="43"/>
  <c r="AG13" i="45" s="1"/>
  <c r="J113" i="43"/>
  <c r="G111"/>
  <c r="AG22" i="45" s="1"/>
  <c r="G110" i="43"/>
  <c r="AG21" i="45" s="1"/>
  <c r="G109" i="43"/>
  <c r="AG20" i="45" s="1"/>
  <c r="G106" i="43"/>
  <c r="AG18" i="45" s="1"/>
  <c r="G105" i="43"/>
  <c r="AG17" i="45" s="1"/>
  <c r="G104" i="43"/>
  <c r="AG16" i="45" s="1"/>
  <c r="AH22"/>
  <c r="AH21"/>
  <c r="AH20"/>
  <c r="AH18"/>
  <c r="AH17"/>
  <c r="AH16"/>
  <c r="G116" i="4"/>
  <c r="G115"/>
  <c r="G114"/>
  <c r="J113"/>
  <c r="G111"/>
  <c r="G110"/>
  <c r="G109"/>
  <c r="G106"/>
  <c r="G105"/>
  <c r="G104"/>
  <c r="G116" i="2"/>
  <c r="G115"/>
  <c r="G114"/>
  <c r="J113"/>
  <c r="G111"/>
  <c r="H111" s="1"/>
  <c r="G110"/>
  <c r="H110" s="1"/>
  <c r="G109"/>
  <c r="H109" s="1"/>
  <c r="G106"/>
  <c r="H106" s="1"/>
  <c r="G105"/>
  <c r="H105" s="1"/>
  <c r="G104"/>
  <c r="H104" s="1"/>
  <c r="J113" i="3"/>
  <c r="G116"/>
  <c r="G115"/>
  <c r="G114"/>
  <c r="G111"/>
  <c r="G110"/>
  <c r="G109"/>
  <c r="G106"/>
  <c r="G105"/>
  <c r="G104"/>
  <c r="G190" i="11"/>
  <c r="G191"/>
  <c r="G189"/>
  <c r="G185"/>
  <c r="G186"/>
  <c r="G184"/>
  <c r="G180"/>
  <c r="G181"/>
  <c r="G179"/>
  <c r="D14" i="45" l="1"/>
  <c r="H115" i="2"/>
  <c r="D13" i="45"/>
  <c r="H114" i="2"/>
  <c r="H114" i="3" s="1"/>
  <c r="E21" i="45"/>
  <c r="H110" i="3"/>
  <c r="H110" i="4" s="1"/>
  <c r="H110" i="5" s="1"/>
  <c r="H110" i="33" s="1"/>
  <c r="H110" i="7" s="1"/>
  <c r="H110" i="8" s="1"/>
  <c r="H110" i="9" s="1"/>
  <c r="H110" i="10" s="1"/>
  <c r="H110" i="11" s="1"/>
  <c r="G18" i="45"/>
  <c r="K16"/>
  <c r="K21"/>
  <c r="K14"/>
  <c r="J18"/>
  <c r="I16"/>
  <c r="I22"/>
  <c r="H20"/>
  <c r="G22"/>
  <c r="E16"/>
  <c r="H104" i="3"/>
  <c r="H104" i="5" s="1"/>
  <c r="H104" i="33" s="1"/>
  <c r="H104" i="7" s="1"/>
  <c r="H104" i="8" s="1"/>
  <c r="H104" i="9" s="1"/>
  <c r="H104" i="10" s="1"/>
  <c r="H104" i="11" s="1"/>
  <c r="F21" i="45"/>
  <c r="K22"/>
  <c r="J20"/>
  <c r="H16"/>
  <c r="H14"/>
  <c r="E20"/>
  <c r="H109" i="3"/>
  <c r="H109" i="4" s="1"/>
  <c r="H109" i="5" s="1"/>
  <c r="H109" i="33" s="1"/>
  <c r="H109" i="7" s="1"/>
  <c r="H109" i="8" s="1"/>
  <c r="H109" i="9" s="1"/>
  <c r="H109" i="10" s="1"/>
  <c r="H109" i="11" s="1"/>
  <c r="F20" i="45"/>
  <c r="E18"/>
  <c r="H106" i="3"/>
  <c r="H106" i="4" s="1"/>
  <c r="H106" i="5" s="1"/>
  <c r="H106" i="33" s="1"/>
  <c r="H106" i="7" s="1"/>
  <c r="H106" i="8" s="1"/>
  <c r="H106" i="9" s="1"/>
  <c r="H106" i="10" s="1"/>
  <c r="H106" i="11" s="1"/>
  <c r="F18" i="45"/>
  <c r="M13"/>
  <c r="K20"/>
  <c r="K13"/>
  <c r="J17"/>
  <c r="J22"/>
  <c r="I14"/>
  <c r="H18"/>
  <c r="G16"/>
  <c r="G21"/>
  <c r="G14"/>
  <c r="F16"/>
  <c r="F14"/>
  <c r="H21"/>
  <c r="E14"/>
  <c r="H115" i="3"/>
  <c r="H115" i="4" s="1"/>
  <c r="H115" i="5" s="1"/>
  <c r="H115" i="33" s="1"/>
  <c r="H115" i="7" s="1"/>
  <c r="H115" i="8" s="1"/>
  <c r="H115" i="9" s="1"/>
  <c r="H115" i="10" s="1"/>
  <c r="H115" i="11" s="1"/>
  <c r="F13" i="45"/>
  <c r="E17"/>
  <c r="H105" i="3"/>
  <c r="E22" i="45"/>
  <c r="H111" i="3"/>
  <c r="H111" i="4" s="1"/>
  <c r="H111" i="5" s="1"/>
  <c r="H111" i="33" s="1"/>
  <c r="H111" i="7" s="1"/>
  <c r="H111" i="8" s="1"/>
  <c r="H111" i="9" s="1"/>
  <c r="H111" i="10" s="1"/>
  <c r="H111" i="11" s="1"/>
  <c r="F17" i="45"/>
  <c r="H105" i="4"/>
  <c r="H105" i="5" s="1"/>
  <c r="H105" i="33" s="1"/>
  <c r="H105" i="7" s="1"/>
  <c r="H105" i="8" s="1"/>
  <c r="H105" i="9" s="1"/>
  <c r="H105" i="10" s="1"/>
  <c r="H105" i="11" s="1"/>
  <c r="F22" i="45"/>
  <c r="J16"/>
  <c r="J21"/>
  <c r="I13"/>
  <c r="H17"/>
  <c r="H22"/>
  <c r="G20"/>
  <c r="M22"/>
  <c r="M21"/>
  <c r="M18"/>
  <c r="M17"/>
  <c r="M14"/>
  <c r="J14"/>
  <c r="J13"/>
  <c r="G13"/>
  <c r="E13"/>
  <c r="P115" i="12"/>
  <c r="N14" i="45"/>
  <c r="Y22"/>
  <c r="O111" i="23"/>
  <c r="H13" i="45"/>
  <c r="Y16"/>
  <c r="O104" i="23"/>
  <c r="AF14" i="45"/>
  <c r="AF13"/>
  <c r="H114" i="29"/>
  <c r="J114" s="1"/>
  <c r="AE13" i="45"/>
  <c r="H114" i="28"/>
  <c r="J114" s="1"/>
  <c r="AD13" i="45"/>
  <c r="H114" i="40"/>
  <c r="J114" s="1"/>
  <c r="AB13" i="45"/>
  <c r="H114" i="25"/>
  <c r="J114" s="1"/>
  <c r="AA13" i="45"/>
  <c r="Y14"/>
  <c r="O115" i="23"/>
  <c r="Y13" i="45"/>
  <c r="O114" i="23"/>
  <c r="Y21" i="45"/>
  <c r="O110" i="23"/>
  <c r="Y18" i="45"/>
  <c r="O106" i="23"/>
  <c r="Y17" i="45"/>
  <c r="O105" i="23"/>
  <c r="H114" i="22"/>
  <c r="J114" s="1"/>
  <c r="X13" i="45"/>
  <c r="H114" i="21"/>
  <c r="J114" s="1"/>
  <c r="W13" i="45"/>
  <c r="H114" i="20"/>
  <c r="J114" s="1"/>
  <c r="V13" i="45"/>
  <c r="H114" i="18"/>
  <c r="J114" s="1"/>
  <c r="T13" i="45"/>
  <c r="H114" i="17"/>
  <c r="J114" s="1"/>
  <c r="S13" i="45"/>
  <c r="O14"/>
  <c r="H114" i="14"/>
  <c r="J114" s="1"/>
  <c r="P13" i="45"/>
  <c r="O13"/>
  <c r="D17"/>
  <c r="D22"/>
  <c r="D20"/>
  <c r="D16"/>
  <c r="D21"/>
  <c r="D18"/>
  <c r="AF20"/>
  <c r="AF18"/>
  <c r="AF17"/>
  <c r="AF22"/>
  <c r="AF16"/>
  <c r="AF21"/>
  <c r="O16"/>
  <c r="O20"/>
  <c r="O21"/>
  <c r="O18"/>
  <c r="O17"/>
  <c r="O22"/>
  <c r="N20"/>
  <c r="P109" i="12"/>
  <c r="N18" i="45"/>
  <c r="P106" i="12"/>
  <c r="H114"/>
  <c r="J114" s="1"/>
  <c r="P114"/>
  <c r="N17" i="45"/>
  <c r="P105" i="12"/>
  <c r="N22" i="45"/>
  <c r="P111" i="12"/>
  <c r="N16" i="45"/>
  <c r="P104" i="12"/>
  <c r="N21" i="45"/>
  <c r="P110" i="12"/>
  <c r="G107" i="11"/>
  <c r="M16" i="45"/>
  <c r="G112" i="11"/>
  <c r="M20" i="45"/>
  <c r="G117" i="11"/>
  <c r="I21" i="45"/>
  <c r="G112" i="7"/>
  <c r="G107" i="9"/>
  <c r="K18" i="45"/>
  <c r="G117" i="7"/>
  <c r="G112" i="8"/>
  <c r="I17" i="45"/>
  <c r="G107" i="7"/>
  <c r="G107" i="5"/>
  <c r="G17" i="45"/>
  <c r="G117" i="2"/>
  <c r="H117" s="1"/>
  <c r="G112" i="23"/>
  <c r="O112" s="1"/>
  <c r="Y20" i="45"/>
  <c r="G117" i="4"/>
  <c r="G117" i="13"/>
  <c r="G193" i="11"/>
  <c r="G107" i="2"/>
  <c r="H107" s="1"/>
  <c r="G107" i="27"/>
  <c r="G107" i="24"/>
  <c r="G112" i="22"/>
  <c r="G117" i="12"/>
  <c r="P117" s="1"/>
  <c r="G112" i="9"/>
  <c r="G112" i="30"/>
  <c r="G117"/>
  <c r="G117" i="20"/>
  <c r="G117" i="19"/>
  <c r="G112" i="15"/>
  <c r="G107" i="14"/>
  <c r="G117" i="9"/>
  <c r="G117" i="25"/>
  <c r="G112" i="24"/>
  <c r="G107" i="43"/>
  <c r="G117"/>
  <c r="G112"/>
  <c r="G107" i="30"/>
  <c r="G107" i="28"/>
  <c r="G117"/>
  <c r="G107" i="25"/>
  <c r="G117" i="22"/>
  <c r="G117" i="21"/>
  <c r="G107"/>
  <c r="G107" i="20"/>
  <c r="G107" i="19"/>
  <c r="G117" i="18"/>
  <c r="G117" i="16"/>
  <c r="G112"/>
  <c r="H114" i="13"/>
  <c r="J114" s="1"/>
  <c r="G107" i="12"/>
  <c r="P107" s="1"/>
  <c r="G107" i="29"/>
  <c r="G117"/>
  <c r="G117" i="27"/>
  <c r="G112"/>
  <c r="G112" i="40"/>
  <c r="G117"/>
  <c r="G107"/>
  <c r="G112" i="25"/>
  <c r="G117" i="24"/>
  <c r="G107" i="23"/>
  <c r="O107" s="1"/>
  <c r="G117"/>
  <c r="O117" s="1"/>
  <c r="G107" i="22"/>
  <c r="G112" i="19"/>
  <c r="G112" i="18"/>
  <c r="G107"/>
  <c r="G112" i="17"/>
  <c r="G107"/>
  <c r="G107" i="15"/>
  <c r="G117"/>
  <c r="G112" i="14"/>
  <c r="G117"/>
  <c r="G107" i="13"/>
  <c r="G112" i="12"/>
  <c r="P112" s="1"/>
  <c r="G107" i="8"/>
  <c r="G117"/>
  <c r="G112" i="33"/>
  <c r="G117"/>
  <c r="G107"/>
  <c r="G112" i="5"/>
  <c r="G117"/>
  <c r="G107" i="4"/>
  <c r="G112" i="2"/>
  <c r="H112" s="1"/>
  <c r="G112" i="4"/>
  <c r="H114" i="43"/>
  <c r="H114" i="23"/>
  <c r="J114" s="1"/>
  <c r="H114" i="15"/>
  <c r="J114" s="1"/>
  <c r="H114" i="24"/>
  <c r="J114" s="1"/>
  <c r="H114" i="16"/>
  <c r="J114" s="1"/>
  <c r="G112" i="28"/>
  <c r="G112" i="20"/>
  <c r="G117" i="17"/>
  <c r="G107" i="16"/>
  <c r="G112" i="29"/>
  <c r="G112" i="21"/>
  <c r="G112" i="13"/>
  <c r="H114" i="27"/>
  <c r="J114" s="1"/>
  <c r="H114" i="19"/>
  <c r="J114" s="1"/>
  <c r="H114" i="30"/>
  <c r="J114" s="1"/>
  <c r="G117" i="3"/>
  <c r="H117" s="1"/>
  <c r="G107"/>
  <c r="G112"/>
  <c r="G187" i="11"/>
  <c r="G182"/>
  <c r="J114" i="3" l="1"/>
  <c r="H114" i="4"/>
  <c r="J114" i="2"/>
  <c r="H112" i="3"/>
  <c r="H112" i="4" s="1"/>
  <c r="H112" i="5" s="1"/>
  <c r="H112" i="33" s="1"/>
  <c r="H112" i="7" s="1"/>
  <c r="H112" i="8" s="1"/>
  <c r="H112" i="9" s="1"/>
  <c r="H112" i="10" s="1"/>
  <c r="H112" i="11" s="1"/>
  <c r="H107" i="3"/>
  <c r="H107" i="4" s="1"/>
  <c r="H107" i="5" s="1"/>
  <c r="H107" i="33" s="1"/>
  <c r="H107" i="7" s="1"/>
  <c r="H107" i="8" s="1"/>
  <c r="H107" i="9" s="1"/>
  <c r="H107" i="10" s="1"/>
  <c r="H107" i="11" s="1"/>
  <c r="F120" i="4"/>
  <c r="G120" i="7"/>
  <c r="H117" i="4"/>
  <c r="H117" i="5" s="1"/>
  <c r="H117" i="33" s="1"/>
  <c r="H117" i="7" s="1"/>
  <c r="H117" i="8" s="1"/>
  <c r="H117" i="9" s="1"/>
  <c r="H117" i="10" s="1"/>
  <c r="H117" i="11" s="1"/>
  <c r="F120"/>
  <c r="J114" i="43"/>
  <c r="H114" i="31"/>
  <c r="F120" i="2"/>
  <c r="G120" i="11"/>
  <c r="G120" i="9"/>
  <c r="F120"/>
  <c r="F120" i="8"/>
  <c r="G120"/>
  <c r="F120" i="7"/>
  <c r="G120" i="12"/>
  <c r="P120" s="1"/>
  <c r="F120"/>
  <c r="F120" i="14"/>
  <c r="G120"/>
  <c r="G120" i="17"/>
  <c r="F120"/>
  <c r="G120" i="18"/>
  <c r="F120"/>
  <c r="G120" i="16"/>
  <c r="F120"/>
  <c r="F120" i="43"/>
  <c r="G120"/>
  <c r="G120" i="13"/>
  <c r="F120"/>
  <c r="F120" i="33"/>
  <c r="G120"/>
  <c r="F120" i="19"/>
  <c r="G120"/>
  <c r="G120" i="15"/>
  <c r="F120"/>
  <c r="F120" i="5"/>
  <c r="G120"/>
  <c r="F120" i="30"/>
  <c r="G120"/>
  <c r="F120" i="29"/>
  <c r="N120" s="1"/>
  <c r="G120"/>
  <c r="F120" i="28"/>
  <c r="G120"/>
  <c r="F120" i="27"/>
  <c r="G120"/>
  <c r="G120" i="40"/>
  <c r="F120"/>
  <c r="F120" i="25"/>
  <c r="G120"/>
  <c r="F120" i="24"/>
  <c r="G120"/>
  <c r="F120" i="23"/>
  <c r="G120"/>
  <c r="O120" s="1"/>
  <c r="F120" i="22"/>
  <c r="G120"/>
  <c r="G120" i="21"/>
  <c r="F120"/>
  <c r="F120" i="20"/>
  <c r="G120"/>
  <c r="G120" i="3"/>
  <c r="F120"/>
  <c r="G120" i="4"/>
  <c r="G120" i="2"/>
  <c r="H120" s="1"/>
  <c r="G8" i="11"/>
  <c r="I60" s="1"/>
  <c r="G8" i="9"/>
  <c r="I8" i="20"/>
  <c r="I8" i="19"/>
  <c r="I8" i="18"/>
  <c r="I8" i="17"/>
  <c r="I7" i="16"/>
  <c r="I8"/>
  <c r="I8" i="14"/>
  <c r="I8" i="13"/>
  <c r="H114" i="5" l="1"/>
  <c r="J114" i="4"/>
  <c r="H120" i="3"/>
  <c r="H120" i="4" s="1"/>
  <c r="H120" i="5" s="1"/>
  <c r="H120" i="33" s="1"/>
  <c r="H120" i="7" s="1"/>
  <c r="H120" i="8" s="1"/>
  <c r="H120" i="9" s="1"/>
  <c r="H120" i="10" s="1"/>
  <c r="H120" i="11" s="1"/>
  <c r="J114" i="31"/>
  <c r="N114"/>
  <c r="E27" i="11"/>
  <c r="E27" i="9"/>
  <c r="G27" s="1"/>
  <c r="E19" i="8"/>
  <c r="E8"/>
  <c r="G8" s="1"/>
  <c r="I7" i="4"/>
  <c r="I7" i="3"/>
  <c r="H114" i="33" l="1"/>
  <c r="J114" i="5"/>
  <c r="G27" i="11"/>
  <c r="BF33" i="1"/>
  <c r="BI33" s="1"/>
  <c r="BE33"/>
  <c r="BD33"/>
  <c r="BC33"/>
  <c r="BB33"/>
  <c r="BA33"/>
  <c r="T33"/>
  <c r="F33"/>
  <c r="E33"/>
  <c r="E8" i="3"/>
  <c r="G8" s="1"/>
  <c r="H11" i="1"/>
  <c r="K11" s="1"/>
  <c r="H12"/>
  <c r="K12" s="1"/>
  <c r="H13"/>
  <c r="K13" s="1"/>
  <c r="G8" i="13"/>
  <c r="G8" i="14"/>
  <c r="G8" i="17"/>
  <c r="G8" i="18"/>
  <c r="G8" i="19"/>
  <c r="G8" i="20"/>
  <c r="G8" i="21"/>
  <c r="G8" i="22"/>
  <c r="G8" i="23"/>
  <c r="O8" s="1"/>
  <c r="G8" i="25"/>
  <c r="G8" i="40"/>
  <c r="G8" i="27"/>
  <c r="G8" i="28"/>
  <c r="G8" i="29"/>
  <c r="E8" i="4"/>
  <c r="G8" s="1"/>
  <c r="K9" i="43"/>
  <c r="M8"/>
  <c r="H114" i="7" l="1"/>
  <c r="J114" i="33"/>
  <c r="E27" i="3"/>
  <c r="G27" s="1"/>
  <c r="L8" i="22"/>
  <c r="E27" i="7"/>
  <c r="G27" s="1"/>
  <c r="E27" i="8"/>
  <c r="G27" s="1"/>
  <c r="E27" i="33"/>
  <c r="G27" s="1"/>
  <c r="E27" i="4"/>
  <c r="G27" s="1"/>
  <c r="H8" i="2"/>
  <c r="H33" i="1"/>
  <c r="K33" s="1"/>
  <c r="E27" i="43"/>
  <c r="G27" s="1"/>
  <c r="H18" i="1"/>
  <c r="K18" s="1"/>
  <c r="E27" i="16"/>
  <c r="G27" s="1"/>
  <c r="H27" i="1"/>
  <c r="K27" s="1"/>
  <c r="E27" i="25"/>
  <c r="G27" s="1"/>
  <c r="H28" i="1"/>
  <c r="K28" s="1"/>
  <c r="E27" i="40"/>
  <c r="G27" s="1"/>
  <c r="H30" i="1"/>
  <c r="K30" s="1"/>
  <c r="E27" i="28"/>
  <c r="G27" s="1"/>
  <c r="H14" i="1"/>
  <c r="K14" s="1"/>
  <c r="E27" i="12"/>
  <c r="G27" s="1"/>
  <c r="P27" s="1"/>
  <c r="H31" i="1"/>
  <c r="K31" s="1"/>
  <c r="E27" i="29"/>
  <c r="G27" s="1"/>
  <c r="H23" i="1"/>
  <c r="K23" s="1"/>
  <c r="E27" i="21"/>
  <c r="G27" s="1"/>
  <c r="H15" i="1"/>
  <c r="K15" s="1"/>
  <c r="E27" i="13"/>
  <c r="H25" i="1"/>
  <c r="K25" s="1"/>
  <c r="E27" i="23"/>
  <c r="G27" s="1"/>
  <c r="O27" s="1"/>
  <c r="H17" i="1"/>
  <c r="K17" s="1"/>
  <c r="E27" i="15"/>
  <c r="G27" s="1"/>
  <c r="H26" i="1"/>
  <c r="K26" s="1"/>
  <c r="E27" i="24"/>
  <c r="G27" s="1"/>
  <c r="H19" i="1"/>
  <c r="K19" s="1"/>
  <c r="E27" i="17"/>
  <c r="G27" s="1"/>
  <c r="H20" i="1"/>
  <c r="K20" s="1"/>
  <c r="E27" i="18"/>
  <c r="G27" s="1"/>
  <c r="H29" i="1"/>
  <c r="K29" s="1"/>
  <c r="E27" i="27"/>
  <c r="G27" s="1"/>
  <c r="H21" i="1"/>
  <c r="K21" s="1"/>
  <c r="E27" i="19"/>
  <c r="G27" s="1"/>
  <c r="H22" i="1"/>
  <c r="K22" s="1"/>
  <c r="E27" i="20"/>
  <c r="G27" s="1"/>
  <c r="H32" i="1"/>
  <c r="K32" s="1"/>
  <c r="E27" i="30"/>
  <c r="H24" i="1"/>
  <c r="K24" s="1"/>
  <c r="E27" i="22"/>
  <c r="G27" s="1"/>
  <c r="H16" i="1"/>
  <c r="K16" s="1"/>
  <c r="E27" i="14"/>
  <c r="G27" s="1"/>
  <c r="H4" i="1"/>
  <c r="H10"/>
  <c r="K10" s="1"/>
  <c r="H9"/>
  <c r="K9" s="1"/>
  <c r="H8"/>
  <c r="K8" s="1"/>
  <c r="H7"/>
  <c r="K7" s="1"/>
  <c r="H6"/>
  <c r="K6" s="1"/>
  <c r="H5"/>
  <c r="K5" s="1"/>
  <c r="H114" i="8" l="1"/>
  <c r="J114" i="7"/>
  <c r="K4" i="1"/>
  <c r="K35" s="1"/>
  <c r="H35"/>
  <c r="G27" i="13"/>
  <c r="J8" i="2"/>
  <c r="I9" s="1"/>
  <c r="G27" i="30"/>
  <c r="H8" i="3"/>
  <c r="J8" s="1"/>
  <c r="I9" s="1"/>
  <c r="M10" i="29"/>
  <c r="I7"/>
  <c r="J114" i="8" l="1"/>
  <c r="H114" i="9"/>
  <c r="N7" i="28"/>
  <c r="J114" i="9" l="1"/>
  <c r="H114" i="10"/>
  <c r="E9" i="28"/>
  <c r="G9" s="1"/>
  <c r="E10"/>
  <c r="E11"/>
  <c r="E12"/>
  <c r="L16" i="27"/>
  <c r="L19" s="1"/>
  <c r="H114" i="11" l="1"/>
  <c r="J114" s="1"/>
  <c r="J114" i="10"/>
  <c r="E23" i="27"/>
  <c r="G23" s="1"/>
  <c r="E24"/>
  <c r="G24" s="1"/>
  <c r="I15"/>
  <c r="L10" i="40"/>
  <c r="G29" i="27" l="1"/>
  <c r="I15" i="40"/>
  <c r="J3" i="25"/>
  <c r="I3"/>
  <c r="H3"/>
  <c r="G3"/>
  <c r="I7"/>
  <c r="I15"/>
  <c r="E7" i="19" l="1"/>
  <c r="E7" i="18"/>
  <c r="G18" i="21"/>
  <c r="E31" l="1"/>
  <c r="G31" s="1"/>
  <c r="W5" i="45"/>
  <c r="G32" i="1"/>
  <c r="G31"/>
  <c r="G30"/>
  <c r="G29"/>
  <c r="G28"/>
  <c r="G27"/>
  <c r="G26"/>
  <c r="G25"/>
  <c r="G24"/>
  <c r="G16"/>
  <c r="G15"/>
  <c r="G14"/>
  <c r="G13"/>
  <c r="G12"/>
  <c r="G11"/>
  <c r="G10"/>
  <c r="G9"/>
  <c r="G8"/>
  <c r="G7"/>
  <c r="G6"/>
  <c r="G5"/>
  <c r="G4"/>
  <c r="G23" l="1"/>
  <c r="G19"/>
  <c r="G21"/>
  <c r="G18"/>
  <c r="G20"/>
  <c r="G17"/>
  <c r="G22"/>
  <c r="E165" i="30"/>
  <c r="G165" s="1"/>
  <c r="E166"/>
  <c r="G166" s="1"/>
  <c r="E167"/>
  <c r="G167" s="1"/>
  <c r="E168"/>
  <c r="G168" s="1"/>
  <c r="E169"/>
  <c r="G169" s="1"/>
  <c r="E170"/>
  <c r="G170" s="1"/>
  <c r="E171"/>
  <c r="G171" s="1"/>
  <c r="E51" i="29"/>
  <c r="E52"/>
  <c r="E53"/>
  <c r="E54"/>
  <c r="E55"/>
  <c r="E56"/>
  <c r="E57"/>
  <c r="E58"/>
  <c r="G7"/>
  <c r="E7" i="28"/>
  <c r="G7" s="1"/>
  <c r="H17" i="25"/>
  <c r="G35" i="1" l="1"/>
  <c r="E72" i="17"/>
  <c r="E69"/>
  <c r="G171" s="1"/>
  <c r="E68"/>
  <c r="G170" s="1"/>
  <c r="E67"/>
  <c r="G169" s="1"/>
  <c r="E66"/>
  <c r="G168" s="1"/>
  <c r="E65"/>
  <c r="G167" s="1"/>
  <c r="E64"/>
  <c r="G166" s="1"/>
  <c r="E63"/>
  <c r="G165" s="1"/>
  <c r="E62"/>
  <c r="G164" s="1"/>
  <c r="E58"/>
  <c r="E57"/>
  <c r="E56"/>
  <c r="E55"/>
  <c r="E54"/>
  <c r="E53"/>
  <c r="E52"/>
  <c r="E51"/>
  <c r="E50"/>
  <c r="E49"/>
  <c r="K49" s="1"/>
  <c r="G42"/>
  <c r="E35"/>
  <c r="E10"/>
  <c r="E7"/>
  <c r="E24" i="12"/>
  <c r="E24" i="11"/>
  <c r="G172" i="17" l="1"/>
  <c r="E92" i="9"/>
  <c r="E49" i="8" l="1"/>
  <c r="E72" l="1"/>
  <c r="E93" i="7" l="1"/>
  <c r="E7"/>
  <c r="G7" s="1"/>
  <c r="E66" i="4" l="1"/>
  <c r="E168" s="1"/>
  <c r="G168" s="1"/>
  <c r="E7" i="27" l="1"/>
  <c r="G7" s="1"/>
  <c r="E94" i="40"/>
  <c r="E131" i="25"/>
  <c r="E132"/>
  <c r="E133"/>
  <c r="E134"/>
  <c r="E135"/>
  <c r="E136"/>
  <c r="E137"/>
  <c r="E138"/>
  <c r="E139"/>
  <c r="E140"/>
  <c r="E130"/>
  <c r="E124"/>
  <c r="E125"/>
  <c r="E126"/>
  <c r="E127"/>
  <c r="E123"/>
  <c r="E93"/>
  <c r="E94"/>
  <c r="E95"/>
  <c r="E96"/>
  <c r="E97"/>
  <c r="E98"/>
  <c r="E99"/>
  <c r="E100"/>
  <c r="E92"/>
  <c r="E73"/>
  <c r="E74"/>
  <c r="E75"/>
  <c r="E76"/>
  <c r="E77"/>
  <c r="E78"/>
  <c r="E79"/>
  <c r="E80"/>
  <c r="E81"/>
  <c r="E82"/>
  <c r="E83"/>
  <c r="G83" s="1"/>
  <c r="N27" i="44" s="1"/>
  <c r="E84" i="25"/>
  <c r="E72"/>
  <c r="E63"/>
  <c r="E165" s="1"/>
  <c r="G165" s="1"/>
  <c r="E64"/>
  <c r="E166" s="1"/>
  <c r="G166" s="1"/>
  <c r="E65"/>
  <c r="E167" s="1"/>
  <c r="G167" s="1"/>
  <c r="E66"/>
  <c r="E168" s="1"/>
  <c r="G168" s="1"/>
  <c r="E67"/>
  <c r="E169" s="1"/>
  <c r="G169" s="1"/>
  <c r="E68"/>
  <c r="E170" s="1"/>
  <c r="G170" s="1"/>
  <c r="E69"/>
  <c r="E171" s="1"/>
  <c r="G171" s="1"/>
  <c r="E62"/>
  <c r="E164" s="1"/>
  <c r="G164" s="1"/>
  <c r="E50"/>
  <c r="G50" s="1"/>
  <c r="E51"/>
  <c r="E52"/>
  <c r="E53"/>
  <c r="E54"/>
  <c r="E55"/>
  <c r="E56"/>
  <c r="E57"/>
  <c r="E49"/>
  <c r="E36"/>
  <c r="E37"/>
  <c r="E38"/>
  <c r="E39"/>
  <c r="E40"/>
  <c r="E42"/>
  <c r="E43"/>
  <c r="E44"/>
  <c r="E45"/>
  <c r="E46"/>
  <c r="E35"/>
  <c r="E23"/>
  <c r="E24"/>
  <c r="E22"/>
  <c r="E19"/>
  <c r="E18"/>
  <c r="E15"/>
  <c r="E10"/>
  <c r="E11"/>
  <c r="E12"/>
  <c r="E9"/>
  <c r="G9" s="1"/>
  <c r="E11" i="17"/>
  <c r="E12"/>
  <c r="E24" i="14"/>
  <c r="E23"/>
  <c r="E22"/>
  <c r="G172" i="25" l="1"/>
  <c r="E35" i="13"/>
  <c r="I7" i="9"/>
  <c r="E92" i="8"/>
  <c r="E93"/>
  <c r="I7"/>
  <c r="I7" i="5" l="1"/>
  <c r="E69" i="4"/>
  <c r="E171" s="1"/>
  <c r="G171" s="1"/>
  <c r="E132" i="43"/>
  <c r="G140" i="25"/>
  <c r="AI27" i="44" s="1"/>
  <c r="G139" i="25"/>
  <c r="G138"/>
  <c r="AL27" i="44" s="1"/>
  <c r="G137" i="25"/>
  <c r="G136"/>
  <c r="AJ27" i="44" s="1"/>
  <c r="G135" i="25"/>
  <c r="G134"/>
  <c r="H134" s="1"/>
  <c r="G133"/>
  <c r="G132"/>
  <c r="G131"/>
  <c r="G130"/>
  <c r="G127"/>
  <c r="AG27" i="44" s="1"/>
  <c r="G126" i="25"/>
  <c r="AF27" i="44" s="1"/>
  <c r="G125" i="25"/>
  <c r="AE27" i="44" s="1"/>
  <c r="G124" i="25"/>
  <c r="AD27" i="44" s="1"/>
  <c r="G123" i="25"/>
  <c r="AC27" i="44" s="1"/>
  <c r="G100" i="25"/>
  <c r="G99"/>
  <c r="G98"/>
  <c r="AA12" i="45" s="1"/>
  <c r="AA26" s="1"/>
  <c r="G97" i="25"/>
  <c r="AA10" i="45" s="1"/>
  <c r="G96" i="25"/>
  <c r="AA9" i="45" s="1"/>
  <c r="G95" i="25"/>
  <c r="AA8" i="45" s="1"/>
  <c r="AA28" s="1"/>
  <c r="G93" i="25"/>
  <c r="G92"/>
  <c r="AA7" i="45" s="1"/>
  <c r="G84" i="25"/>
  <c r="AA27" i="44" s="1"/>
  <c r="G82" i="25"/>
  <c r="L27" i="44" s="1"/>
  <c r="G81" i="25"/>
  <c r="K27" i="44" s="1"/>
  <c r="G80" i="25"/>
  <c r="J27" i="44" s="1"/>
  <c r="G79" i="25"/>
  <c r="I27" i="44" s="1"/>
  <c r="G78" i="25"/>
  <c r="H27" i="44" s="1"/>
  <c r="G77" i="25"/>
  <c r="G27" i="44" s="1"/>
  <c r="G76" i="25"/>
  <c r="F27" i="44" s="1"/>
  <c r="G75" i="25"/>
  <c r="E27" i="44" s="1"/>
  <c r="G74" i="25"/>
  <c r="D27" i="44" s="1"/>
  <c r="G73" i="25"/>
  <c r="G72"/>
  <c r="G69"/>
  <c r="Z27" i="44" s="1"/>
  <c r="G68" i="25"/>
  <c r="Y27" i="44" s="1"/>
  <c r="G67" i="25"/>
  <c r="X27" i="44" s="1"/>
  <c r="G66" i="25"/>
  <c r="W27" i="44" s="1"/>
  <c r="G65" i="25"/>
  <c r="V27" i="44" s="1"/>
  <c r="G64" i="25"/>
  <c r="U27" i="44" s="1"/>
  <c r="G63" i="25"/>
  <c r="T27" i="44" s="1"/>
  <c r="G62" i="25"/>
  <c r="S27" i="44" s="1"/>
  <c r="G58" i="25"/>
  <c r="M27" i="44" s="1"/>
  <c r="G57" i="25"/>
  <c r="G56"/>
  <c r="G55"/>
  <c r="G54"/>
  <c r="G53"/>
  <c r="G52"/>
  <c r="G51"/>
  <c r="G49"/>
  <c r="G46"/>
  <c r="G45"/>
  <c r="G44"/>
  <c r="G43"/>
  <c r="G42"/>
  <c r="G41"/>
  <c r="G40"/>
  <c r="G39"/>
  <c r="G38"/>
  <c r="G37"/>
  <c r="G36"/>
  <c r="G35"/>
  <c r="G22"/>
  <c r="G19"/>
  <c r="G18"/>
  <c r="G15"/>
  <c r="E28" s="1"/>
  <c r="G12"/>
  <c r="G11"/>
  <c r="G10"/>
  <c r="G85" l="1"/>
  <c r="AA29" i="45"/>
  <c r="AA30" s="1"/>
  <c r="E31" i="25"/>
  <c r="G31" s="1"/>
  <c r="AA5" i="45"/>
  <c r="G28" i="25"/>
  <c r="H137"/>
  <c r="J137" s="1"/>
  <c r="AK27" i="44"/>
  <c r="AM27" s="1"/>
  <c r="AA24" i="45"/>
  <c r="E30" i="25"/>
  <c r="G30" s="1"/>
  <c r="AA6" i="45"/>
  <c r="F119" i="25"/>
  <c r="G119"/>
  <c r="F118"/>
  <c r="G118"/>
  <c r="H135"/>
  <c r="J135" s="1"/>
  <c r="M27" i="1"/>
  <c r="G25" i="47" s="1"/>
  <c r="AB27" i="44"/>
  <c r="H138" i="25"/>
  <c r="J138" s="1"/>
  <c r="G128"/>
  <c r="G150"/>
  <c r="G151" s="1"/>
  <c r="I133"/>
  <c r="G47"/>
  <c r="G144"/>
  <c r="G145" s="1"/>
  <c r="G152"/>
  <c r="G153" s="1"/>
  <c r="G13"/>
  <c r="G20"/>
  <c r="G101"/>
  <c r="J134"/>
  <c r="I136"/>
  <c r="G148"/>
  <c r="G59"/>
  <c r="G94"/>
  <c r="I138"/>
  <c r="G146"/>
  <c r="G142"/>
  <c r="E50" i="14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41" i="13"/>
  <c r="G41" s="1"/>
  <c r="AH27" i="44" l="1"/>
  <c r="AO27" s="1"/>
  <c r="G32" i="25"/>
  <c r="I13"/>
  <c r="G60"/>
  <c r="I60" s="1"/>
  <c r="G143"/>
  <c r="G147"/>
  <c r="G149"/>
  <c r="E123" i="30"/>
  <c r="E35" i="28"/>
  <c r="G35" s="1"/>
  <c r="I59" i="25" l="1"/>
  <c r="E45" i="21"/>
  <c r="G133" i="2" l="1"/>
  <c r="E36" i="23"/>
  <c r="E37"/>
  <c r="E38"/>
  <c r="E39"/>
  <c r="E43"/>
  <c r="G43" s="1"/>
  <c r="O43" s="1"/>
  <c r="E44"/>
  <c r="E45"/>
  <c r="E46"/>
  <c r="E69" i="16"/>
  <c r="E171" s="1"/>
  <c r="G171" s="1"/>
  <c r="E68"/>
  <c r="E170" s="1"/>
  <c r="G170" s="1"/>
  <c r="E67"/>
  <c r="E169" s="1"/>
  <c r="G169" s="1"/>
  <c r="E66"/>
  <c r="E168" s="1"/>
  <c r="G168" s="1"/>
  <c r="E65"/>
  <c r="E167" s="1"/>
  <c r="G167" s="1"/>
  <c r="E64"/>
  <c r="E166" s="1"/>
  <c r="G166" s="1"/>
  <c r="E63"/>
  <c r="E165" s="1"/>
  <c r="G165" s="1"/>
  <c r="E62"/>
  <c r="E164" s="1"/>
  <c r="G164" s="1"/>
  <c r="E58"/>
  <c r="E57"/>
  <c r="E56"/>
  <c r="E55"/>
  <c r="E54"/>
  <c r="E53"/>
  <c r="E52"/>
  <c r="E51"/>
  <c r="E50"/>
  <c r="E49"/>
  <c r="K49" s="1"/>
  <c r="E46"/>
  <c r="E45"/>
  <c r="E44"/>
  <c r="E43"/>
  <c r="E42"/>
  <c r="E41"/>
  <c r="G41" s="1"/>
  <c r="E40"/>
  <c r="E39"/>
  <c r="E38"/>
  <c r="E37"/>
  <c r="E36"/>
  <c r="E15"/>
  <c r="E10"/>
  <c r="E9"/>
  <c r="G9" s="1"/>
  <c r="E50" i="15"/>
  <c r="E51"/>
  <c r="E52"/>
  <c r="E53"/>
  <c r="E54"/>
  <c r="E55"/>
  <c r="E56"/>
  <c r="E57"/>
  <c r="E58"/>
  <c r="I7"/>
  <c r="E36" i="13"/>
  <c r="E39"/>
  <c r="E40"/>
  <c r="E42"/>
  <c r="E43"/>
  <c r="E44"/>
  <c r="E45"/>
  <c r="E46"/>
  <c r="E7" i="3"/>
  <c r="G134" i="2"/>
  <c r="G172" i="16" l="1"/>
  <c r="E132" i="29"/>
  <c r="E55" i="40"/>
  <c r="E56"/>
  <c r="E57"/>
  <c r="E58"/>
  <c r="I7" i="7"/>
  <c r="I7" i="43"/>
  <c r="I7" i="30"/>
  <c r="I7" i="28"/>
  <c r="I7" i="27"/>
  <c r="I7" i="40"/>
  <c r="I7" i="21"/>
  <c r="I7" i="22"/>
  <c r="I7" i="24"/>
  <c r="I7" i="14"/>
  <c r="I7" i="13"/>
  <c r="I7" i="33"/>
  <c r="E7" i="4"/>
  <c r="E23" i="19" l="1"/>
  <c r="E97" i="17"/>
  <c r="G97" s="1"/>
  <c r="S10" i="45" s="1"/>
  <c r="E96" i="17"/>
  <c r="G96" s="1"/>
  <c r="E124" i="13"/>
  <c r="E125"/>
  <c r="G125" s="1"/>
  <c r="E126"/>
  <c r="G126" s="1"/>
  <c r="E127"/>
  <c r="G127" s="1"/>
  <c r="E63"/>
  <c r="E64"/>
  <c r="E42" i="7"/>
  <c r="G42" s="1"/>
  <c r="AW9" i="1" s="1"/>
  <c r="G139" i="2"/>
  <c r="G124"/>
  <c r="G99"/>
  <c r="G98"/>
  <c r="G93"/>
  <c r="G84"/>
  <c r="G79"/>
  <c r="G76"/>
  <c r="G74"/>
  <c r="G72"/>
  <c r="G66"/>
  <c r="G65"/>
  <c r="G58"/>
  <c r="G55"/>
  <c r="G54"/>
  <c r="G42"/>
  <c r="G7" i="3"/>
  <c r="AK34" i="44"/>
  <c r="AL34"/>
  <c r="AD34"/>
  <c r="AE34"/>
  <c r="AF34"/>
  <c r="AG34"/>
  <c r="AH9" i="45"/>
  <c r="AH10"/>
  <c r="AH12"/>
  <c r="AH26" s="1"/>
  <c r="AH8"/>
  <c r="AH28" s="1"/>
  <c r="AH7"/>
  <c r="C34" i="44"/>
  <c r="F34"/>
  <c r="G34"/>
  <c r="H34"/>
  <c r="I34"/>
  <c r="J34"/>
  <c r="K34"/>
  <c r="L34"/>
  <c r="N34"/>
  <c r="B34"/>
  <c r="U34"/>
  <c r="V34"/>
  <c r="W34"/>
  <c r="X34"/>
  <c r="Y34"/>
  <c r="Z34"/>
  <c r="E131" i="43"/>
  <c r="G131" s="1"/>
  <c r="G132"/>
  <c r="AA33" i="1" s="1"/>
  <c r="E133" i="43"/>
  <c r="E134"/>
  <c r="G134" s="1"/>
  <c r="AC33" i="1" s="1"/>
  <c r="E135" i="43"/>
  <c r="G135" s="1"/>
  <c r="AD33" i="1" s="1"/>
  <c r="E136" i="43"/>
  <c r="G136" s="1"/>
  <c r="AJ33" i="44" s="1"/>
  <c r="E137" i="43"/>
  <c r="G137" s="1"/>
  <c r="E138"/>
  <c r="G138" s="1"/>
  <c r="E139"/>
  <c r="G139" s="1"/>
  <c r="E140"/>
  <c r="G140" s="1"/>
  <c r="E130"/>
  <c r="G130" s="1"/>
  <c r="E124"/>
  <c r="G124" s="1"/>
  <c r="AD33" i="44" s="1"/>
  <c r="E125" i="43"/>
  <c r="G125" s="1"/>
  <c r="AE33" i="44" s="1"/>
  <c r="E126" i="43"/>
  <c r="G126" s="1"/>
  <c r="AF33" i="44" s="1"/>
  <c r="E127" i="43"/>
  <c r="G127" s="1"/>
  <c r="AG33" i="44" s="1"/>
  <c r="E123" i="43"/>
  <c r="G123" s="1"/>
  <c r="E96"/>
  <c r="G96" s="1"/>
  <c r="E97"/>
  <c r="G97" s="1"/>
  <c r="E98"/>
  <c r="G98" s="1"/>
  <c r="AG12" i="45" s="1"/>
  <c r="AG26" s="1"/>
  <c r="G99" i="43"/>
  <c r="E95"/>
  <c r="G95" s="1"/>
  <c r="E93"/>
  <c r="G93" s="1"/>
  <c r="E92"/>
  <c r="G92" s="1"/>
  <c r="AG7" i="45" s="1"/>
  <c r="E73" i="43"/>
  <c r="G73" s="1"/>
  <c r="C33" i="44" s="1"/>
  <c r="E74" i="43"/>
  <c r="G74" s="1"/>
  <c r="D33" i="44" s="1"/>
  <c r="E75" i="43"/>
  <c r="G75" s="1"/>
  <c r="E33" i="44" s="1"/>
  <c r="E76" i="43"/>
  <c r="G76" s="1"/>
  <c r="F33" i="44" s="1"/>
  <c r="E77" i="43"/>
  <c r="G77" s="1"/>
  <c r="G33" i="44" s="1"/>
  <c r="E78" i="43"/>
  <c r="G78" s="1"/>
  <c r="H33" i="44" s="1"/>
  <c r="E79" i="43"/>
  <c r="G79" s="1"/>
  <c r="I33" i="44" s="1"/>
  <c r="E80" i="43"/>
  <c r="G80" s="1"/>
  <c r="J33" i="44" s="1"/>
  <c r="E81" i="43"/>
  <c r="G81" s="1"/>
  <c r="K33" i="44" s="1"/>
  <c r="E82" i="43"/>
  <c r="G82" s="1"/>
  <c r="L33" i="44" s="1"/>
  <c r="E83" i="43"/>
  <c r="G83" s="1"/>
  <c r="N33" i="44" s="1"/>
  <c r="E84" i="43"/>
  <c r="G84" s="1"/>
  <c r="AA33" i="44" s="1"/>
  <c r="E72" i="43"/>
  <c r="G72" s="1"/>
  <c r="B33" i="44" s="1"/>
  <c r="E63" i="43"/>
  <c r="E64"/>
  <c r="E65"/>
  <c r="E66"/>
  <c r="E67"/>
  <c r="E68"/>
  <c r="E69"/>
  <c r="E62"/>
  <c r="G50"/>
  <c r="G51"/>
  <c r="G52"/>
  <c r="G53"/>
  <c r="G54"/>
  <c r="G55"/>
  <c r="G56"/>
  <c r="G57"/>
  <c r="BG33" i="1" s="1"/>
  <c r="G58" i="43"/>
  <c r="E49"/>
  <c r="G49" s="1"/>
  <c r="G36"/>
  <c r="G37"/>
  <c r="G38"/>
  <c r="G39"/>
  <c r="G40"/>
  <c r="G41"/>
  <c r="G42"/>
  <c r="G43"/>
  <c r="G44"/>
  <c r="G45"/>
  <c r="G46"/>
  <c r="E35"/>
  <c r="G35" s="1"/>
  <c r="E19"/>
  <c r="G19" s="1"/>
  <c r="E18"/>
  <c r="E15"/>
  <c r="G15" s="1"/>
  <c r="E10"/>
  <c r="G10" s="1"/>
  <c r="E11"/>
  <c r="G11" s="1"/>
  <c r="E12"/>
  <c r="G12" s="1"/>
  <c r="E9"/>
  <c r="G9" s="1"/>
  <c r="E36" i="40"/>
  <c r="G36" s="1"/>
  <c r="E37"/>
  <c r="G37" s="1"/>
  <c r="E38"/>
  <c r="G38" s="1"/>
  <c r="E39"/>
  <c r="G39" s="1"/>
  <c r="E40"/>
  <c r="G40" s="1"/>
  <c r="E41"/>
  <c r="G41" s="1"/>
  <c r="E42"/>
  <c r="G42" s="1"/>
  <c r="E43"/>
  <c r="G43" s="1"/>
  <c r="E44"/>
  <c r="G44" s="1"/>
  <c r="E45"/>
  <c r="G45" s="1"/>
  <c r="E46"/>
  <c r="G46" s="1"/>
  <c r="G40" i="17"/>
  <c r="E100"/>
  <c r="G100" s="1"/>
  <c r="E99"/>
  <c r="G99" s="1"/>
  <c r="AA12" i="44"/>
  <c r="G22" i="43"/>
  <c r="G18"/>
  <c r="I15"/>
  <c r="E36" i="27"/>
  <c r="G36" s="1"/>
  <c r="E37"/>
  <c r="G37" s="1"/>
  <c r="E38"/>
  <c r="G38" s="1"/>
  <c r="E39"/>
  <c r="G39" s="1"/>
  <c r="E40"/>
  <c r="G40" s="1"/>
  <c r="E41"/>
  <c r="G41" s="1"/>
  <c r="E42"/>
  <c r="G42" s="1"/>
  <c r="E43"/>
  <c r="G43" s="1"/>
  <c r="E44"/>
  <c r="G44" s="1"/>
  <c r="E45"/>
  <c r="G45" s="1"/>
  <c r="E46"/>
  <c r="G46" s="1"/>
  <c r="X27" i="1"/>
  <c r="Y27"/>
  <c r="E58" i="19"/>
  <c r="G58" s="1"/>
  <c r="M21" i="44" s="1"/>
  <c r="E52" i="18"/>
  <c r="G52" s="1"/>
  <c r="BC20" i="1" s="1"/>
  <c r="E54" i="18"/>
  <c r="G54" s="1"/>
  <c r="BE20" i="1" s="1"/>
  <c r="E135" i="16"/>
  <c r="G135" s="1"/>
  <c r="AD18" i="1" s="1"/>
  <c r="E99" i="3"/>
  <c r="G99" s="1"/>
  <c r="G58"/>
  <c r="E57"/>
  <c r="G57" s="1"/>
  <c r="BH5" i="1" s="1"/>
  <c r="E56" i="3"/>
  <c r="G56" s="1"/>
  <c r="BG5" i="1" s="1"/>
  <c r="E55" i="3"/>
  <c r="G55" s="1"/>
  <c r="BF5" i="1" s="1"/>
  <c r="E54" i="3"/>
  <c r="G54" s="1"/>
  <c r="BE5" i="1" s="1"/>
  <c r="E53" i="3"/>
  <c r="G53" s="1"/>
  <c r="BD5" i="1" s="1"/>
  <c r="E52" i="3"/>
  <c r="G52" s="1"/>
  <c r="E51"/>
  <c r="G51" s="1"/>
  <c r="BB5" i="1" s="1"/>
  <c r="E50" i="3"/>
  <c r="G50" s="1"/>
  <c r="E49"/>
  <c r="G49" s="1"/>
  <c r="BA5" i="1" s="1"/>
  <c r="E36" i="3"/>
  <c r="G36" s="1"/>
  <c r="E46"/>
  <c r="G46" s="1"/>
  <c r="E45"/>
  <c r="G45" s="1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E35"/>
  <c r="G35" s="1"/>
  <c r="E23"/>
  <c r="E22"/>
  <c r="G22" s="1"/>
  <c r="E18"/>
  <c r="E15"/>
  <c r="E12"/>
  <c r="E11"/>
  <c r="G11" s="1"/>
  <c r="E10"/>
  <c r="G10" s="1"/>
  <c r="E9"/>
  <c r="G9" s="1"/>
  <c r="E126" i="42"/>
  <c r="G126" s="1"/>
  <c r="E125"/>
  <c r="G125" s="1"/>
  <c r="E124"/>
  <c r="G124" s="1"/>
  <c r="E123"/>
  <c r="G123" s="1"/>
  <c r="E122"/>
  <c r="G122" s="1"/>
  <c r="E121"/>
  <c r="G121" s="1"/>
  <c r="E120"/>
  <c r="G120" s="1"/>
  <c r="E119"/>
  <c r="G119" s="1"/>
  <c r="E118"/>
  <c r="G118" s="1"/>
  <c r="E117"/>
  <c r="G117" s="1"/>
  <c r="E116"/>
  <c r="G116" s="1"/>
  <c r="E101"/>
  <c r="G101" s="1"/>
  <c r="E100"/>
  <c r="G100" s="1"/>
  <c r="E99"/>
  <c r="G99" s="1"/>
  <c r="E98"/>
  <c r="G98" s="1"/>
  <c r="E97"/>
  <c r="G97" s="1"/>
  <c r="E94"/>
  <c r="G94" s="1"/>
  <c r="E93"/>
  <c r="G93" s="1"/>
  <c r="E92"/>
  <c r="G92" s="1"/>
  <c r="E91"/>
  <c r="G91" s="1"/>
  <c r="G90"/>
  <c r="E89"/>
  <c r="G89" s="1"/>
  <c r="E88"/>
  <c r="E87"/>
  <c r="G87" s="1"/>
  <c r="E86"/>
  <c r="G86" s="1"/>
  <c r="E83"/>
  <c r="G83" s="1"/>
  <c r="E82"/>
  <c r="G82" s="1"/>
  <c r="E81"/>
  <c r="G81" s="1"/>
  <c r="E80"/>
  <c r="G80" s="1"/>
  <c r="E79"/>
  <c r="G79" s="1"/>
  <c r="E78"/>
  <c r="G78" s="1"/>
  <c r="E77"/>
  <c r="G77" s="1"/>
  <c r="E76"/>
  <c r="G76" s="1"/>
  <c r="E75"/>
  <c r="G75" s="1"/>
  <c r="E74"/>
  <c r="G74" s="1"/>
  <c r="E73"/>
  <c r="G73" s="1"/>
  <c r="E72"/>
  <c r="G72" s="1"/>
  <c r="E71"/>
  <c r="G71" s="1"/>
  <c r="E68"/>
  <c r="G68" s="1"/>
  <c r="E67"/>
  <c r="G67" s="1"/>
  <c r="E66"/>
  <c r="G66" s="1"/>
  <c r="E65"/>
  <c r="G65" s="1"/>
  <c r="E64"/>
  <c r="G64" s="1"/>
  <c r="E63"/>
  <c r="G63" s="1"/>
  <c r="E62"/>
  <c r="G62" s="1"/>
  <c r="E61"/>
  <c r="G61" s="1"/>
  <c r="E57"/>
  <c r="G57" s="1"/>
  <c r="E56"/>
  <c r="G56" s="1"/>
  <c r="E55"/>
  <c r="G55" s="1"/>
  <c r="E54"/>
  <c r="G54" s="1"/>
  <c r="E53"/>
  <c r="G53" s="1"/>
  <c r="E52"/>
  <c r="G52" s="1"/>
  <c r="E51"/>
  <c r="G51" s="1"/>
  <c r="E50"/>
  <c r="G50" s="1"/>
  <c r="E49"/>
  <c r="G49" s="1"/>
  <c r="E48"/>
  <c r="G48" s="1"/>
  <c r="E45"/>
  <c r="G45" s="1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E36"/>
  <c r="G36" s="1"/>
  <c r="E35"/>
  <c r="G35" s="1"/>
  <c r="E34"/>
  <c r="G34" s="1"/>
  <c r="E29"/>
  <c r="G29" s="1"/>
  <c r="E24"/>
  <c r="E23"/>
  <c r="E22"/>
  <c r="G22" s="1"/>
  <c r="E19"/>
  <c r="G19" s="1"/>
  <c r="G18"/>
  <c r="E18"/>
  <c r="I15"/>
  <c r="E15"/>
  <c r="G15" s="1"/>
  <c r="E28" s="1"/>
  <c r="G28" s="1"/>
  <c r="E12"/>
  <c r="E11"/>
  <c r="G11" s="1"/>
  <c r="E10"/>
  <c r="G10" s="1"/>
  <c r="E9"/>
  <c r="G9" s="1"/>
  <c r="I7"/>
  <c r="E7"/>
  <c r="G7" s="1"/>
  <c r="J3"/>
  <c r="I3"/>
  <c r="H3"/>
  <c r="G3"/>
  <c r="I15" i="24"/>
  <c r="E100" i="20"/>
  <c r="G100" s="1"/>
  <c r="E7" i="16"/>
  <c r="G7" s="1"/>
  <c r="G36" i="11"/>
  <c r="G37"/>
  <c r="G38"/>
  <c r="G39"/>
  <c r="G40"/>
  <c r="G41"/>
  <c r="G42"/>
  <c r="AW13" i="1" s="1"/>
  <c r="G43" i="11"/>
  <c r="G44"/>
  <c r="G45"/>
  <c r="G46"/>
  <c r="AB12" i="1"/>
  <c r="AC12"/>
  <c r="AL12"/>
  <c r="AM12"/>
  <c r="AD12" i="44"/>
  <c r="AE12"/>
  <c r="AF12"/>
  <c r="AG12"/>
  <c r="C12"/>
  <c r="D12"/>
  <c r="E12"/>
  <c r="F12"/>
  <c r="G12"/>
  <c r="H12"/>
  <c r="I12"/>
  <c r="J12"/>
  <c r="K12"/>
  <c r="L12"/>
  <c r="N12"/>
  <c r="G73" i="30"/>
  <c r="G74"/>
  <c r="G75"/>
  <c r="G76"/>
  <c r="G77"/>
  <c r="G78"/>
  <c r="G79"/>
  <c r="G80"/>
  <c r="G81"/>
  <c r="G82"/>
  <c r="G83"/>
  <c r="G84"/>
  <c r="BK27" i="1"/>
  <c r="AZ27"/>
  <c r="AR27"/>
  <c r="AS27"/>
  <c r="AW27"/>
  <c r="AY27"/>
  <c r="E127" i="20"/>
  <c r="G127" s="1"/>
  <c r="AG22" i="44" s="1"/>
  <c r="E126" i="20"/>
  <c r="G126" s="1"/>
  <c r="AF22" i="44" s="1"/>
  <c r="E125" i="20"/>
  <c r="G125" s="1"/>
  <c r="AE22" i="44" s="1"/>
  <c r="E95" i="20"/>
  <c r="G95" s="1"/>
  <c r="V8" i="45" s="1"/>
  <c r="V28" s="1"/>
  <c r="E96" i="20"/>
  <c r="G96" s="1"/>
  <c r="E97"/>
  <c r="G97" s="1"/>
  <c r="E98"/>
  <c r="G98" s="1"/>
  <c r="V12" i="45" s="1"/>
  <c r="V26" s="1"/>
  <c r="E99" i="20"/>
  <c r="G99" s="1"/>
  <c r="G73" i="15"/>
  <c r="G74"/>
  <c r="G75"/>
  <c r="G76"/>
  <c r="G77"/>
  <c r="G78"/>
  <c r="G79"/>
  <c r="G80"/>
  <c r="G81"/>
  <c r="G82"/>
  <c r="G83"/>
  <c r="G84"/>
  <c r="E9"/>
  <c r="G9" s="1"/>
  <c r="G73" i="13"/>
  <c r="E74"/>
  <c r="G74" s="1"/>
  <c r="E75"/>
  <c r="G75" s="1"/>
  <c r="E76"/>
  <c r="G76" s="1"/>
  <c r="E77"/>
  <c r="G77" s="1"/>
  <c r="E78"/>
  <c r="G78" s="1"/>
  <c r="E79"/>
  <c r="G79" s="1"/>
  <c r="E80"/>
  <c r="G80" s="1"/>
  <c r="E81"/>
  <c r="G81" s="1"/>
  <c r="E82"/>
  <c r="G82" s="1"/>
  <c r="E83"/>
  <c r="G83" s="1"/>
  <c r="E84"/>
  <c r="G84" s="1"/>
  <c r="E65"/>
  <c r="E66"/>
  <c r="E67"/>
  <c r="E68"/>
  <c r="E69"/>
  <c r="G36"/>
  <c r="G37"/>
  <c r="G38"/>
  <c r="G39"/>
  <c r="G40"/>
  <c r="G42"/>
  <c r="G43"/>
  <c r="G44"/>
  <c r="G45"/>
  <c r="G46"/>
  <c r="G133" i="12"/>
  <c r="G134"/>
  <c r="G135"/>
  <c r="G136"/>
  <c r="G137"/>
  <c r="P137" s="1"/>
  <c r="G138"/>
  <c r="P138" s="1"/>
  <c r="G139"/>
  <c r="G140"/>
  <c r="AI14" i="44" s="1"/>
  <c r="E171" i="12"/>
  <c r="BD14" i="1"/>
  <c r="BE14"/>
  <c r="BF14"/>
  <c r="BG14"/>
  <c r="BH14"/>
  <c r="G36" i="12"/>
  <c r="G37"/>
  <c r="G38"/>
  <c r="G39"/>
  <c r="G40"/>
  <c r="G41"/>
  <c r="G42"/>
  <c r="G43"/>
  <c r="G44"/>
  <c r="G45"/>
  <c r="P45" s="1"/>
  <c r="G46"/>
  <c r="P46" s="1"/>
  <c r="G96" i="11"/>
  <c r="M9" i="45" s="1"/>
  <c r="G97" i="11"/>
  <c r="G98"/>
  <c r="M12" i="45" s="1"/>
  <c r="M26" s="1"/>
  <c r="G99" i="11"/>
  <c r="G100"/>
  <c r="G93"/>
  <c r="G73"/>
  <c r="C13" i="44" s="1"/>
  <c r="G74" i="11"/>
  <c r="D13" i="44" s="1"/>
  <c r="G75" i="11"/>
  <c r="E13" i="44" s="1"/>
  <c r="G76" i="11"/>
  <c r="F13" i="44" s="1"/>
  <c r="G77" i="11"/>
  <c r="G13" i="44" s="1"/>
  <c r="G78" i="11"/>
  <c r="H13" i="44" s="1"/>
  <c r="G79" i="11"/>
  <c r="I13" i="44" s="1"/>
  <c r="G80" i="11"/>
  <c r="J13" i="44" s="1"/>
  <c r="G81" i="11"/>
  <c r="K13" i="44" s="1"/>
  <c r="G82" i="11"/>
  <c r="L13" i="44" s="1"/>
  <c r="G83" i="11"/>
  <c r="N13" i="44" s="1"/>
  <c r="G84" i="11"/>
  <c r="AA13" i="44" s="1"/>
  <c r="G50" i="11"/>
  <c r="G51"/>
  <c r="G52"/>
  <c r="BC13" i="1" s="1"/>
  <c r="G53" i="11"/>
  <c r="BD13" i="1" s="1"/>
  <c r="G54" i="11"/>
  <c r="BE13" i="1" s="1"/>
  <c r="G55" i="11"/>
  <c r="BF13" i="1" s="1"/>
  <c r="G56" i="11"/>
  <c r="BG13" i="1" s="1"/>
  <c r="G57" i="11"/>
  <c r="BH13" i="1" s="1"/>
  <c r="G58" i="11"/>
  <c r="M13" i="44" s="1"/>
  <c r="E24" i="5"/>
  <c r="E23"/>
  <c r="E22"/>
  <c r="H24" i="4"/>
  <c r="G22"/>
  <c r="E19" i="5"/>
  <c r="G19" s="1"/>
  <c r="E18"/>
  <c r="G9" i="8"/>
  <c r="E10"/>
  <c r="G10" s="1"/>
  <c r="E11"/>
  <c r="G11" s="1"/>
  <c r="E12"/>
  <c r="G12" s="1"/>
  <c r="G15"/>
  <c r="E18"/>
  <c r="G18"/>
  <c r="G19"/>
  <c r="G22"/>
  <c r="E35"/>
  <c r="G35" s="1"/>
  <c r="G36"/>
  <c r="G37"/>
  <c r="G38"/>
  <c r="G39"/>
  <c r="G40"/>
  <c r="G41"/>
  <c r="G42"/>
  <c r="AW10" i="1" s="1"/>
  <c r="G43" i="8"/>
  <c r="G44"/>
  <c r="G45"/>
  <c r="G46"/>
  <c r="G49"/>
  <c r="BA10" i="1" s="1"/>
  <c r="G50" i="8"/>
  <c r="G51"/>
  <c r="BB10" i="1" s="1"/>
  <c r="G52" i="8"/>
  <c r="BC10" i="1" s="1"/>
  <c r="G53" i="8"/>
  <c r="BD10" i="1" s="1"/>
  <c r="G54" i="8"/>
  <c r="BE10" i="1" s="1"/>
  <c r="G55" i="8"/>
  <c r="BF10" i="1" s="1"/>
  <c r="G56" i="8"/>
  <c r="G57"/>
  <c r="BH10" i="1" s="1"/>
  <c r="G58" i="8"/>
  <c r="M10" i="44" s="1"/>
  <c r="E62" i="8"/>
  <c r="G62" s="1"/>
  <c r="S10" i="44" s="1"/>
  <c r="E63" i="8"/>
  <c r="G63" s="1"/>
  <c r="T10" i="44" s="1"/>
  <c r="E64" i="8"/>
  <c r="G64" s="1"/>
  <c r="U10" i="44" s="1"/>
  <c r="E65" i="8"/>
  <c r="G65" s="1"/>
  <c r="V10" i="44" s="1"/>
  <c r="E66" i="8"/>
  <c r="G66" s="1"/>
  <c r="W10" i="44" s="1"/>
  <c r="E67" i="8"/>
  <c r="G67" s="1"/>
  <c r="X10" i="44" s="1"/>
  <c r="E68" i="8"/>
  <c r="G68" s="1"/>
  <c r="Y10" i="44" s="1"/>
  <c r="E69" i="8"/>
  <c r="G69" s="1"/>
  <c r="G72"/>
  <c r="G73"/>
  <c r="C10" i="44" s="1"/>
  <c r="G74" i="8"/>
  <c r="D10" i="44" s="1"/>
  <c r="G75" i="8"/>
  <c r="E10" i="44" s="1"/>
  <c r="G76" i="8"/>
  <c r="F10" i="44" s="1"/>
  <c r="G77" i="8"/>
  <c r="G10" i="44" s="1"/>
  <c r="G78" i="8"/>
  <c r="H10" i="44" s="1"/>
  <c r="G79" i="8"/>
  <c r="I10" i="44" s="1"/>
  <c r="G80" i="8"/>
  <c r="J10" i="44" s="1"/>
  <c r="G81" i="8"/>
  <c r="K10" i="44" s="1"/>
  <c r="G82" i="8"/>
  <c r="L10" i="44" s="1"/>
  <c r="G83" i="8"/>
  <c r="N10" i="44" s="1"/>
  <c r="G84" i="8"/>
  <c r="G92"/>
  <c r="J7" i="45" s="1"/>
  <c r="G93" i="8"/>
  <c r="E94"/>
  <c r="E95"/>
  <c r="G95" s="1"/>
  <c r="J8" i="45" s="1"/>
  <c r="J28" s="1"/>
  <c r="E96" i="8"/>
  <c r="G96" s="1"/>
  <c r="E97"/>
  <c r="G97" s="1"/>
  <c r="E98"/>
  <c r="G98" s="1"/>
  <c r="J12" i="45" s="1"/>
  <c r="J26" s="1"/>
  <c r="E99" i="8"/>
  <c r="G99" s="1"/>
  <c r="E100"/>
  <c r="G100" s="1"/>
  <c r="G123"/>
  <c r="G124"/>
  <c r="AD10" i="44" s="1"/>
  <c r="G125" i="8"/>
  <c r="AE10" i="44" s="1"/>
  <c r="G126" i="8"/>
  <c r="AF10" i="44" s="1"/>
  <c r="G127" i="8"/>
  <c r="AG10" i="44" s="1"/>
  <c r="E130" i="8"/>
  <c r="G130" s="1"/>
  <c r="E131"/>
  <c r="G131" s="1"/>
  <c r="E132"/>
  <c r="G132" s="1"/>
  <c r="E133"/>
  <c r="G133" s="1"/>
  <c r="AB10" i="1" s="1"/>
  <c r="E134" i="8"/>
  <c r="G134" s="1"/>
  <c r="AC10" i="1" s="1"/>
  <c r="E135" i="8"/>
  <c r="G135" s="1"/>
  <c r="E136"/>
  <c r="G136" s="1"/>
  <c r="AJ10" i="44" s="1"/>
  <c r="E137" i="8"/>
  <c r="G137" s="1"/>
  <c r="AK10" i="44" s="1"/>
  <c r="E138" i="8"/>
  <c r="G138" s="1"/>
  <c r="E139"/>
  <c r="G139" s="1"/>
  <c r="AL10" i="1" s="1"/>
  <c r="E140" i="8"/>
  <c r="G140" s="1"/>
  <c r="AI10" i="44" s="1"/>
  <c r="E96" i="4"/>
  <c r="G96" s="1"/>
  <c r="E97"/>
  <c r="G97" s="1"/>
  <c r="E98"/>
  <c r="G98" s="1"/>
  <c r="F12" i="45" s="1"/>
  <c r="F26" s="1"/>
  <c r="E99" i="4"/>
  <c r="G99" s="1"/>
  <c r="E100"/>
  <c r="G100" s="1"/>
  <c r="E95"/>
  <c r="G95" s="1"/>
  <c r="F8" i="45" s="1"/>
  <c r="F28" s="1"/>
  <c r="G7" i="4"/>
  <c r="A5" i="46" s="1"/>
  <c r="E9" i="4"/>
  <c r="G9" s="1"/>
  <c r="E10"/>
  <c r="G10" s="1"/>
  <c r="E11"/>
  <c r="G11" s="1"/>
  <c r="E12"/>
  <c r="G12" s="1"/>
  <c r="E15"/>
  <c r="G15" s="1"/>
  <c r="E18"/>
  <c r="G18"/>
  <c r="F5" i="45" s="1"/>
  <c r="E19" i="4"/>
  <c r="G19" s="1"/>
  <c r="E35"/>
  <c r="G35" s="1"/>
  <c r="E36"/>
  <c r="G36" s="1"/>
  <c r="E37"/>
  <c r="G37" s="1"/>
  <c r="E38"/>
  <c r="G38" s="1"/>
  <c r="E39"/>
  <c r="G39" s="1"/>
  <c r="G40"/>
  <c r="AU6" i="1" s="1"/>
  <c r="E41" i="4"/>
  <c r="G41" s="1"/>
  <c r="E42"/>
  <c r="E43"/>
  <c r="G43" s="1"/>
  <c r="E44"/>
  <c r="G44" s="1"/>
  <c r="E45"/>
  <c r="G45" s="1"/>
  <c r="E46"/>
  <c r="G46" s="1"/>
  <c r="E49"/>
  <c r="G49" s="1"/>
  <c r="E50"/>
  <c r="G50" s="1"/>
  <c r="E51"/>
  <c r="G51" s="1"/>
  <c r="BB6" i="1" s="1"/>
  <c r="E52" i="4"/>
  <c r="G52" s="1"/>
  <c r="E53"/>
  <c r="G53" s="1"/>
  <c r="BD6" i="1" s="1"/>
  <c r="E54" i="4"/>
  <c r="G54" s="1"/>
  <c r="E55"/>
  <c r="G55" s="1"/>
  <c r="E56"/>
  <c r="G56" s="1"/>
  <c r="E57"/>
  <c r="G57" s="1"/>
  <c r="BH6" i="1" s="1"/>
  <c r="E58" i="4"/>
  <c r="G58" s="1"/>
  <c r="M6" i="44" s="1"/>
  <c r="E62" i="4"/>
  <c r="E63"/>
  <c r="E64"/>
  <c r="E65"/>
  <c r="G66"/>
  <c r="W6" i="44" s="1"/>
  <c r="E67" i="4"/>
  <c r="E68"/>
  <c r="G69"/>
  <c r="E72"/>
  <c r="G72" s="1"/>
  <c r="B6" i="44" s="1"/>
  <c r="E73" i="4"/>
  <c r="G73" s="1"/>
  <c r="C6" i="44" s="1"/>
  <c r="E74" i="4"/>
  <c r="G74" s="1"/>
  <c r="D6" i="44" s="1"/>
  <c r="E75" i="4"/>
  <c r="G75" s="1"/>
  <c r="E6" i="44" s="1"/>
  <c r="E76" i="4"/>
  <c r="G76" s="1"/>
  <c r="F6" i="44" s="1"/>
  <c r="E77" i="4"/>
  <c r="G77" s="1"/>
  <c r="G6" i="44" s="1"/>
  <c r="E78" i="4"/>
  <c r="G78" s="1"/>
  <c r="H6" i="44" s="1"/>
  <c r="E79" i="4"/>
  <c r="G79" s="1"/>
  <c r="I6" i="44" s="1"/>
  <c r="E80" i="4"/>
  <c r="G80" s="1"/>
  <c r="J6" i="44" s="1"/>
  <c r="G81" i="4"/>
  <c r="K6" i="44" s="1"/>
  <c r="E82" i="4"/>
  <c r="G82" s="1"/>
  <c r="L6" i="44" s="1"/>
  <c r="E83" i="4"/>
  <c r="G83" s="1"/>
  <c r="N6" i="44" s="1"/>
  <c r="E84" i="4"/>
  <c r="G84" s="1"/>
  <c r="AA6" i="44" s="1"/>
  <c r="E92" i="4"/>
  <c r="G92" s="1"/>
  <c r="F7" i="45" s="1"/>
  <c r="E93" i="4"/>
  <c r="G93" s="1"/>
  <c r="E123"/>
  <c r="G123" s="1"/>
  <c r="E124"/>
  <c r="G124" s="1"/>
  <c r="AD6" i="44" s="1"/>
  <c r="E125" i="4"/>
  <c r="G125" s="1"/>
  <c r="AE6" i="44" s="1"/>
  <c r="E126" i="4"/>
  <c r="G126" s="1"/>
  <c r="AF6" i="44" s="1"/>
  <c r="E127" i="4"/>
  <c r="G127" s="1"/>
  <c r="AG6" i="44" s="1"/>
  <c r="E130" i="4"/>
  <c r="G130" s="1"/>
  <c r="E131"/>
  <c r="G131" s="1"/>
  <c r="G132"/>
  <c r="E133"/>
  <c r="G133" s="1"/>
  <c r="AB6" i="1" s="1"/>
  <c r="E134" i="4"/>
  <c r="G134" s="1"/>
  <c r="E135"/>
  <c r="G135" s="1"/>
  <c r="AD6" i="1" s="1"/>
  <c r="E136" i="4"/>
  <c r="G136" s="1"/>
  <c r="AJ6" i="44" s="1"/>
  <c r="E137" i="4"/>
  <c r="G137" s="1"/>
  <c r="AK6" i="44" s="1"/>
  <c r="E138" i="4"/>
  <c r="G138" s="1"/>
  <c r="E139"/>
  <c r="G139" s="1"/>
  <c r="AL6" i="1" s="1"/>
  <c r="E140" i="4"/>
  <c r="G140" s="1"/>
  <c r="AI6" i="44" s="1"/>
  <c r="E70" i="14"/>
  <c r="G70" s="1"/>
  <c r="J16" i="35" s="1"/>
  <c r="E64" i="9"/>
  <c r="G64" s="1"/>
  <c r="U11" i="44" s="1"/>
  <c r="G37" i="5"/>
  <c r="E43"/>
  <c r="G43" s="1"/>
  <c r="E15"/>
  <c r="G15" s="1"/>
  <c r="E10"/>
  <c r="G10" s="1"/>
  <c r="E11"/>
  <c r="G11" s="1"/>
  <c r="E12"/>
  <c r="G12" s="1"/>
  <c r="G9"/>
  <c r="E7"/>
  <c r="G7" s="1"/>
  <c r="A6" i="46" s="1"/>
  <c r="G18" i="5"/>
  <c r="E140" i="23"/>
  <c r="G140" s="1"/>
  <c r="E73" i="22"/>
  <c r="G73" s="1"/>
  <c r="C24" i="44" s="1"/>
  <c r="E74" i="22"/>
  <c r="G74" s="1"/>
  <c r="D24" i="44" s="1"/>
  <c r="E75" i="22"/>
  <c r="G75" s="1"/>
  <c r="E24" i="44" s="1"/>
  <c r="E76" i="22"/>
  <c r="G76" s="1"/>
  <c r="F24" i="44" s="1"/>
  <c r="E77" i="22"/>
  <c r="G77" s="1"/>
  <c r="G24" i="44" s="1"/>
  <c r="E78" i="22"/>
  <c r="G78" s="1"/>
  <c r="H24" i="44" s="1"/>
  <c r="E79" i="22"/>
  <c r="G79" s="1"/>
  <c r="I24" i="44" s="1"/>
  <c r="E80" i="22"/>
  <c r="G80" s="1"/>
  <c r="J24" i="44" s="1"/>
  <c r="E81" i="22"/>
  <c r="G81" s="1"/>
  <c r="K24" i="44" s="1"/>
  <c r="E82" i="22"/>
  <c r="G82" s="1"/>
  <c r="L24" i="44" s="1"/>
  <c r="E83" i="22"/>
  <c r="G83" s="1"/>
  <c r="N24" i="44" s="1"/>
  <c r="E84" i="22"/>
  <c r="G84" s="1"/>
  <c r="E63"/>
  <c r="E64"/>
  <c r="E65"/>
  <c r="E66"/>
  <c r="E67"/>
  <c r="E68"/>
  <c r="E69"/>
  <c r="E50"/>
  <c r="G50" s="1"/>
  <c r="E51"/>
  <c r="G51" s="1"/>
  <c r="E52"/>
  <c r="G52" s="1"/>
  <c r="E53"/>
  <c r="G53" s="1"/>
  <c r="E54"/>
  <c r="G54" s="1"/>
  <c r="L54" s="1"/>
  <c r="E55"/>
  <c r="G55" s="1"/>
  <c r="L55" s="1"/>
  <c r="E56"/>
  <c r="G56" s="1"/>
  <c r="E57"/>
  <c r="G57" s="1"/>
  <c r="E58"/>
  <c r="G58" s="1"/>
  <c r="E36"/>
  <c r="G36" s="1"/>
  <c r="E37"/>
  <c r="G37" s="1"/>
  <c r="E38"/>
  <c r="G38" s="1"/>
  <c r="E39"/>
  <c r="G39" s="1"/>
  <c r="G41"/>
  <c r="L41" s="1"/>
  <c r="E42"/>
  <c r="G42" s="1"/>
  <c r="E43"/>
  <c r="G43" s="1"/>
  <c r="E44"/>
  <c r="G44" s="1"/>
  <c r="L44" s="1"/>
  <c r="E45"/>
  <c r="G45" s="1"/>
  <c r="L45" s="1"/>
  <c r="E46"/>
  <c r="G46" s="1"/>
  <c r="E63" i="19"/>
  <c r="I15" i="18"/>
  <c r="I7"/>
  <c r="G50" i="17"/>
  <c r="G51"/>
  <c r="BB19" i="1" s="1"/>
  <c r="G52" i="17"/>
  <c r="G53"/>
  <c r="BD19" i="1" s="1"/>
  <c r="G54" i="17"/>
  <c r="BE19" i="1" s="1"/>
  <c r="G55" i="17"/>
  <c r="BF19" i="1" s="1"/>
  <c r="G56" i="17"/>
  <c r="BG19" i="1" s="1"/>
  <c r="G57" i="17"/>
  <c r="BH19" i="1" s="1"/>
  <c r="G58" i="17"/>
  <c r="M19" i="44" s="1"/>
  <c r="G36" i="17"/>
  <c r="G37"/>
  <c r="G38"/>
  <c r="G41"/>
  <c r="AW19" i="1"/>
  <c r="G43" i="17"/>
  <c r="G44"/>
  <c r="G45"/>
  <c r="G46"/>
  <c r="E19"/>
  <c r="G19" s="1"/>
  <c r="E18"/>
  <c r="E63" i="14"/>
  <c r="E64"/>
  <c r="E65"/>
  <c r="E66"/>
  <c r="E67"/>
  <c r="E68"/>
  <c r="E69"/>
  <c r="G36"/>
  <c r="G37"/>
  <c r="G38"/>
  <c r="G39"/>
  <c r="G40"/>
  <c r="G41"/>
  <c r="G42"/>
  <c r="G43"/>
  <c r="G44"/>
  <c r="G45"/>
  <c r="G46"/>
  <c r="E131" i="13"/>
  <c r="G131" s="1"/>
  <c r="E132"/>
  <c r="G132" s="1"/>
  <c r="G133"/>
  <c r="G134"/>
  <c r="G135"/>
  <c r="G136"/>
  <c r="AJ15" i="44" s="1"/>
  <c r="G137" i="13"/>
  <c r="G138"/>
  <c r="G139"/>
  <c r="G140"/>
  <c r="AI15" i="44" s="1"/>
  <c r="G96" i="13"/>
  <c r="G97"/>
  <c r="G98"/>
  <c r="G99"/>
  <c r="G100"/>
  <c r="G93"/>
  <c r="H70" i="12"/>
  <c r="E84" i="14"/>
  <c r="G84" s="1"/>
  <c r="E83"/>
  <c r="G83" s="1"/>
  <c r="N16" i="44" s="1"/>
  <c r="E82" i="14"/>
  <c r="G82" s="1"/>
  <c r="L16" i="44" s="1"/>
  <c r="E81" i="14"/>
  <c r="G81" s="1"/>
  <c r="K16" i="44" s="1"/>
  <c r="E80" i="14"/>
  <c r="G80" s="1"/>
  <c r="J16" i="44" s="1"/>
  <c r="E79" i="14"/>
  <c r="G79" s="1"/>
  <c r="I16" i="44" s="1"/>
  <c r="E78" i="14"/>
  <c r="G78" s="1"/>
  <c r="H16" i="44" s="1"/>
  <c r="E77" i="14"/>
  <c r="G77" s="1"/>
  <c r="G16" i="44" s="1"/>
  <c r="E76" i="14"/>
  <c r="G76" s="1"/>
  <c r="F16" i="44" s="1"/>
  <c r="E75" i="14"/>
  <c r="G75" s="1"/>
  <c r="E16" i="44" s="1"/>
  <c r="E74" i="14"/>
  <c r="G74" s="1"/>
  <c r="D16" i="44" s="1"/>
  <c r="G73" i="14"/>
  <c r="C16" i="44" s="1"/>
  <c r="G72" i="14"/>
  <c r="E72" i="13"/>
  <c r="G72" s="1"/>
  <c r="G84" i="12"/>
  <c r="P84" s="1"/>
  <c r="G83"/>
  <c r="G82"/>
  <c r="G81"/>
  <c r="G80"/>
  <c r="G79"/>
  <c r="G78"/>
  <c r="G77"/>
  <c r="G76"/>
  <c r="G75"/>
  <c r="G74"/>
  <c r="G73"/>
  <c r="E72"/>
  <c r="G72" s="1"/>
  <c r="P72" s="1"/>
  <c r="E72" i="11"/>
  <c r="G72" s="1"/>
  <c r="B12" i="44"/>
  <c r="G84" i="9"/>
  <c r="G83"/>
  <c r="N11" i="44" s="1"/>
  <c r="G82" i="9"/>
  <c r="L11" i="44" s="1"/>
  <c r="G81" i="9"/>
  <c r="K11" i="44" s="1"/>
  <c r="G80" i="9"/>
  <c r="J11" i="44" s="1"/>
  <c r="G79" i="9"/>
  <c r="I11" i="44" s="1"/>
  <c r="G78" i="9"/>
  <c r="H11" i="44" s="1"/>
  <c r="G77" i="9"/>
  <c r="G11" i="44" s="1"/>
  <c r="G76" i="9"/>
  <c r="F11" i="44" s="1"/>
  <c r="G75" i="9"/>
  <c r="E11" i="44" s="1"/>
  <c r="G74" i="9"/>
  <c r="D11" i="44" s="1"/>
  <c r="G73" i="9"/>
  <c r="C11" i="44" s="1"/>
  <c r="E72" i="9"/>
  <c r="G72" s="1"/>
  <c r="B11" i="44" s="1"/>
  <c r="E84" i="7"/>
  <c r="G84" s="1"/>
  <c r="E83"/>
  <c r="G83" s="1"/>
  <c r="N9" i="44" s="1"/>
  <c r="E82" i="7"/>
  <c r="G82" s="1"/>
  <c r="L9" i="44" s="1"/>
  <c r="E81" i="7"/>
  <c r="G81" s="1"/>
  <c r="K9" i="44" s="1"/>
  <c r="E80" i="7"/>
  <c r="G80" s="1"/>
  <c r="J9" i="44" s="1"/>
  <c r="E79" i="7"/>
  <c r="G79" s="1"/>
  <c r="I9" i="44" s="1"/>
  <c r="E78" i="7"/>
  <c r="G78" s="1"/>
  <c r="H9" i="44" s="1"/>
  <c r="E77" i="7"/>
  <c r="G77" s="1"/>
  <c r="G9" i="44" s="1"/>
  <c r="E76" i="7"/>
  <c r="G76" s="1"/>
  <c r="F9" i="44" s="1"/>
  <c r="E75" i="7"/>
  <c r="G75" s="1"/>
  <c r="E9" i="44" s="1"/>
  <c r="E74" i="7"/>
  <c r="G74" s="1"/>
  <c r="D9" i="44" s="1"/>
  <c r="E73" i="7"/>
  <c r="G73" s="1"/>
  <c r="C9" i="44" s="1"/>
  <c r="E72" i="7"/>
  <c r="G72" s="1"/>
  <c r="B9" i="44" s="1"/>
  <c r="E84" i="33"/>
  <c r="G84" s="1"/>
  <c r="E83"/>
  <c r="G83" s="1"/>
  <c r="N8" i="44" s="1"/>
  <c r="E82" i="33"/>
  <c r="G82" s="1"/>
  <c r="L8" i="44" s="1"/>
  <c r="E81" i="33"/>
  <c r="G81" s="1"/>
  <c r="K8" i="44" s="1"/>
  <c r="E80" i="33"/>
  <c r="G80" s="1"/>
  <c r="J8" i="44" s="1"/>
  <c r="E79" i="33"/>
  <c r="G79" s="1"/>
  <c r="I8" i="44" s="1"/>
  <c r="E78" i="33"/>
  <c r="G78" s="1"/>
  <c r="H8" i="44" s="1"/>
  <c r="E77" i="33"/>
  <c r="G77" s="1"/>
  <c r="G8" i="44" s="1"/>
  <c r="E76" i="33"/>
  <c r="G76" s="1"/>
  <c r="F8" i="44" s="1"/>
  <c r="E75" i="33"/>
  <c r="G75" s="1"/>
  <c r="E8" i="44" s="1"/>
  <c r="E74" i="33"/>
  <c r="G74" s="1"/>
  <c r="D8" i="44" s="1"/>
  <c r="E73" i="33"/>
  <c r="G73" s="1"/>
  <c r="C8" i="44" s="1"/>
  <c r="E72" i="33"/>
  <c r="G72" s="1"/>
  <c r="B8" i="44" s="1"/>
  <c r="H70" i="5"/>
  <c r="J70" s="1"/>
  <c r="E84"/>
  <c r="G84" s="1"/>
  <c r="AA7" i="44" s="1"/>
  <c r="E83" i="5"/>
  <c r="G83" s="1"/>
  <c r="N7" i="44" s="1"/>
  <c r="E82" i="5"/>
  <c r="G82" s="1"/>
  <c r="L7" i="44" s="1"/>
  <c r="E81" i="5"/>
  <c r="G81" s="1"/>
  <c r="K7" i="44" s="1"/>
  <c r="E80" i="5"/>
  <c r="G80" s="1"/>
  <c r="J7" i="44" s="1"/>
  <c r="E79" i="5"/>
  <c r="G79" s="1"/>
  <c r="I7" i="44" s="1"/>
  <c r="E78" i="5"/>
  <c r="G78" s="1"/>
  <c r="H7" i="44" s="1"/>
  <c r="E77" i="5"/>
  <c r="G77" s="1"/>
  <c r="G7" i="44" s="1"/>
  <c r="E76" i="5"/>
  <c r="G76" s="1"/>
  <c r="F7" i="44" s="1"/>
  <c r="E75" i="5"/>
  <c r="G75" s="1"/>
  <c r="E74"/>
  <c r="G74" s="1"/>
  <c r="E73"/>
  <c r="G73" s="1"/>
  <c r="C7" i="44" s="1"/>
  <c r="E72" i="5"/>
  <c r="G72" s="1"/>
  <c r="B7" i="44" s="1"/>
  <c r="E84" i="3"/>
  <c r="G84" s="1"/>
  <c r="E83"/>
  <c r="G83" s="1"/>
  <c r="N5" i="44" s="1"/>
  <c r="G82" i="3"/>
  <c r="L5" i="44" s="1"/>
  <c r="E81" i="3"/>
  <c r="G81" s="1"/>
  <c r="K5" i="44" s="1"/>
  <c r="E80" i="3"/>
  <c r="G80" s="1"/>
  <c r="J5" i="44" s="1"/>
  <c r="E79" i="3"/>
  <c r="G79" s="1"/>
  <c r="I5" i="44" s="1"/>
  <c r="E78" i="3"/>
  <c r="G78" s="1"/>
  <c r="H5" i="44" s="1"/>
  <c r="E77" i="3"/>
  <c r="G77" s="1"/>
  <c r="G5" i="44" s="1"/>
  <c r="E76" i="3"/>
  <c r="G76" s="1"/>
  <c r="F5" i="44" s="1"/>
  <c r="E75" i="3"/>
  <c r="G75" s="1"/>
  <c r="E5" i="44" s="1"/>
  <c r="E74" i="3"/>
  <c r="G74" s="1"/>
  <c r="D5" i="44" s="1"/>
  <c r="E73" i="3"/>
  <c r="G73" s="1"/>
  <c r="C5" i="44" s="1"/>
  <c r="E72" i="3"/>
  <c r="G72" s="1"/>
  <c r="B5" i="44" s="1"/>
  <c r="H70" i="2"/>
  <c r="J70" s="1"/>
  <c r="G73"/>
  <c r="G75"/>
  <c r="G77"/>
  <c r="G78"/>
  <c r="G80"/>
  <c r="G81"/>
  <c r="G82"/>
  <c r="G83"/>
  <c r="J3" i="40"/>
  <c r="I3"/>
  <c r="H3"/>
  <c r="G3"/>
  <c r="J3" i="24"/>
  <c r="I3"/>
  <c r="H3"/>
  <c r="G3"/>
  <c r="J3" i="23"/>
  <c r="I3"/>
  <c r="H3"/>
  <c r="G3"/>
  <c r="J3" i="22"/>
  <c r="I3"/>
  <c r="H3"/>
  <c r="G3"/>
  <c r="J3" i="21"/>
  <c r="I3"/>
  <c r="H3"/>
  <c r="G3"/>
  <c r="J3" i="19"/>
  <c r="I3"/>
  <c r="H3"/>
  <c r="G3"/>
  <c r="J3" i="13"/>
  <c r="I3"/>
  <c r="H3"/>
  <c r="G3"/>
  <c r="G131" i="11"/>
  <c r="G132"/>
  <c r="AA13" i="1" s="1"/>
  <c r="G133" i="11"/>
  <c r="AB13" i="1" s="1"/>
  <c r="G134" i="11"/>
  <c r="G135"/>
  <c r="AD13" i="1" s="1"/>
  <c r="G136" i="11"/>
  <c r="AJ13" i="44" s="1"/>
  <c r="G137" i="11"/>
  <c r="G138"/>
  <c r="G139"/>
  <c r="AL13" i="1" s="1"/>
  <c r="G140" i="11"/>
  <c r="E124"/>
  <c r="G124" s="1"/>
  <c r="AD13" i="44" s="1"/>
  <c r="E125" i="11"/>
  <c r="G125" s="1"/>
  <c r="AE13" i="44" s="1"/>
  <c r="E126" i="11"/>
  <c r="G126" s="1"/>
  <c r="AF13" i="44" s="1"/>
  <c r="E127" i="11"/>
  <c r="G127" s="1"/>
  <c r="AG13" i="44" s="1"/>
  <c r="G10" i="11"/>
  <c r="G11"/>
  <c r="G12"/>
  <c r="E124" i="9"/>
  <c r="G124" s="1"/>
  <c r="AD11" i="44" s="1"/>
  <c r="E125" i="9"/>
  <c r="G125" s="1"/>
  <c r="AE11" i="44" s="1"/>
  <c r="E126" i="9"/>
  <c r="G126" s="1"/>
  <c r="AF11" i="44" s="1"/>
  <c r="E127" i="9"/>
  <c r="G127" s="1"/>
  <c r="AG11" i="44" s="1"/>
  <c r="E123" i="9"/>
  <c r="G123" s="1"/>
  <c r="D32" i="1"/>
  <c r="D31"/>
  <c r="D30"/>
  <c r="D29"/>
  <c r="D28"/>
  <c r="D27"/>
  <c r="D26"/>
  <c r="D25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D4"/>
  <c r="E140" i="30"/>
  <c r="G140" s="1"/>
  <c r="E139"/>
  <c r="G139" s="1"/>
  <c r="E138"/>
  <c r="G138" s="1"/>
  <c r="E137"/>
  <c r="G137" s="1"/>
  <c r="E136"/>
  <c r="G136" s="1"/>
  <c r="AJ32" i="44" s="1"/>
  <c r="E135" i="30"/>
  <c r="G135" s="1"/>
  <c r="E134"/>
  <c r="G134" s="1"/>
  <c r="E133"/>
  <c r="G133" s="1"/>
  <c r="E132"/>
  <c r="G132" s="1"/>
  <c r="E131"/>
  <c r="G131" s="1"/>
  <c r="E130"/>
  <c r="G130" s="1"/>
  <c r="G127"/>
  <c r="G126"/>
  <c r="G125"/>
  <c r="G124"/>
  <c r="G123"/>
  <c r="G100"/>
  <c r="G99"/>
  <c r="G98"/>
  <c r="E97"/>
  <c r="G97" s="1"/>
  <c r="E96"/>
  <c r="G96" s="1"/>
  <c r="E95"/>
  <c r="G95" s="1"/>
  <c r="E93"/>
  <c r="G93" s="1"/>
  <c r="E92"/>
  <c r="G92" s="1"/>
  <c r="E72"/>
  <c r="G72" s="1"/>
  <c r="G69"/>
  <c r="G68"/>
  <c r="G67"/>
  <c r="G66"/>
  <c r="G65"/>
  <c r="G64"/>
  <c r="G63"/>
  <c r="T32" i="44" s="1"/>
  <c r="E62" i="30"/>
  <c r="G58"/>
  <c r="G57"/>
  <c r="G56"/>
  <c r="G55"/>
  <c r="G54"/>
  <c r="G53"/>
  <c r="G52"/>
  <c r="G51"/>
  <c r="G50"/>
  <c r="E49"/>
  <c r="G49" s="1"/>
  <c r="E46"/>
  <c r="G46" s="1"/>
  <c r="E45"/>
  <c r="G45" s="1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E36"/>
  <c r="G36" s="1"/>
  <c r="E35"/>
  <c r="G35" s="1"/>
  <c r="E24"/>
  <c r="E23"/>
  <c r="E22"/>
  <c r="G22" s="1"/>
  <c r="E19"/>
  <c r="G19" s="1"/>
  <c r="E18"/>
  <c r="G15"/>
  <c r="E12"/>
  <c r="G12" s="1"/>
  <c r="E11"/>
  <c r="G11" s="1"/>
  <c r="E10"/>
  <c r="G10" s="1"/>
  <c r="E9"/>
  <c r="G9" s="1"/>
  <c r="E7"/>
  <c r="G7" s="1"/>
  <c r="G140" i="29"/>
  <c r="G139"/>
  <c r="AL31" i="1" s="1"/>
  <c r="G138" i="29"/>
  <c r="G137"/>
  <c r="AK31" i="44" s="1"/>
  <c r="G136" i="29"/>
  <c r="AJ31" i="44" s="1"/>
  <c r="G135" i="29"/>
  <c r="AD31" i="1" s="1"/>
  <c r="G134" i="29"/>
  <c r="AC31" i="1" s="1"/>
  <c r="G133" i="29"/>
  <c r="AB31" i="1" s="1"/>
  <c r="G132" i="29"/>
  <c r="AA31" i="1" s="1"/>
  <c r="E131" i="29"/>
  <c r="G131" s="1"/>
  <c r="E130"/>
  <c r="G130" s="1"/>
  <c r="G127"/>
  <c r="AG31" i="44" s="1"/>
  <c r="G126" i="29"/>
  <c r="AF31" i="44" s="1"/>
  <c r="G125" i="29"/>
  <c r="AE31" i="44" s="1"/>
  <c r="G124" i="29"/>
  <c r="AD31" i="44" s="1"/>
  <c r="E123" i="29"/>
  <c r="G123" s="1"/>
  <c r="AC31" i="44" s="1"/>
  <c r="G100" i="29"/>
  <c r="G99"/>
  <c r="G98"/>
  <c r="AE12" i="45" s="1"/>
  <c r="AE26" s="1"/>
  <c r="G97" i="29"/>
  <c r="G96"/>
  <c r="E95"/>
  <c r="G95" s="1"/>
  <c r="AE8" i="45" s="1"/>
  <c r="AE28" s="1"/>
  <c r="E94" i="29"/>
  <c r="E93"/>
  <c r="G93" s="1"/>
  <c r="E92"/>
  <c r="G92" s="1"/>
  <c r="AE7" i="45" s="1"/>
  <c r="G84" i="29"/>
  <c r="AA31" i="44" s="1"/>
  <c r="G83" i="29"/>
  <c r="N31" i="44" s="1"/>
  <c r="G82" i="29"/>
  <c r="L31" i="44" s="1"/>
  <c r="G81" i="29"/>
  <c r="K31" i="44" s="1"/>
  <c r="G80" i="29"/>
  <c r="J31" i="44" s="1"/>
  <c r="G79" i="29"/>
  <c r="I31" i="44" s="1"/>
  <c r="G78" i="29"/>
  <c r="H31" i="44" s="1"/>
  <c r="G77" i="29"/>
  <c r="G31" i="44" s="1"/>
  <c r="G76" i="29"/>
  <c r="F31" i="44" s="1"/>
  <c r="G75" i="29"/>
  <c r="E31" i="44" s="1"/>
  <c r="G74" i="29"/>
  <c r="D31" i="44" s="1"/>
  <c r="G73" i="29"/>
  <c r="C31" i="44" s="1"/>
  <c r="E72" i="29"/>
  <c r="G72" s="1"/>
  <c r="B31" i="44" s="1"/>
  <c r="G69" i="29"/>
  <c r="Z31" i="44" s="1"/>
  <c r="G68" i="29"/>
  <c r="Y31" i="44" s="1"/>
  <c r="G67" i="29"/>
  <c r="X31" i="44" s="1"/>
  <c r="G66" i="29"/>
  <c r="W31" i="44" s="1"/>
  <c r="G65" i="29"/>
  <c r="V31" i="44" s="1"/>
  <c r="G64" i="29"/>
  <c r="U31" i="44" s="1"/>
  <c r="G63" i="29"/>
  <c r="T31" i="44" s="1"/>
  <c r="E62" i="29"/>
  <c r="G58"/>
  <c r="M31" i="44" s="1"/>
  <c r="G57" i="29"/>
  <c r="BH31" i="1" s="1"/>
  <c r="G56" i="29"/>
  <c r="BG31" i="1" s="1"/>
  <c r="G55" i="29"/>
  <c r="G54"/>
  <c r="BE31" i="1" s="1"/>
  <c r="G53" i="29"/>
  <c r="G52"/>
  <c r="G51"/>
  <c r="BB31" i="1" s="1"/>
  <c r="G50" i="29"/>
  <c r="E49"/>
  <c r="G49" s="1"/>
  <c r="BA31" i="1" s="1"/>
  <c r="G46" i="29"/>
  <c r="G45"/>
  <c r="G44"/>
  <c r="G43"/>
  <c r="G42"/>
  <c r="AW31" i="1" s="1"/>
  <c r="G41" i="29"/>
  <c r="G40"/>
  <c r="G38"/>
  <c r="G37"/>
  <c r="G36"/>
  <c r="E35"/>
  <c r="G35" s="1"/>
  <c r="E24"/>
  <c r="E23"/>
  <c r="E22"/>
  <c r="G22" s="1"/>
  <c r="E19"/>
  <c r="G19" s="1"/>
  <c r="E15"/>
  <c r="G15" s="1"/>
  <c r="G12"/>
  <c r="G11"/>
  <c r="G10"/>
  <c r="G9"/>
  <c r="G140" i="28"/>
  <c r="G138"/>
  <c r="G137"/>
  <c r="G136"/>
  <c r="AJ30" i="44" s="1"/>
  <c r="G135" i="28"/>
  <c r="G134"/>
  <c r="AC30" i="1" s="1"/>
  <c r="G133" i="28"/>
  <c r="AB30" i="1" s="1"/>
  <c r="G132" i="28"/>
  <c r="AA30" i="1" s="1"/>
  <c r="G131" i="28"/>
  <c r="E130"/>
  <c r="G130" s="1"/>
  <c r="G127"/>
  <c r="AG30" i="44" s="1"/>
  <c r="G126" i="28"/>
  <c r="AF30" i="44" s="1"/>
  <c r="G125" i="28"/>
  <c r="AE30" i="44" s="1"/>
  <c r="G124" i="28"/>
  <c r="AD30" i="44" s="1"/>
  <c r="E123" i="28"/>
  <c r="G123" s="1"/>
  <c r="I123" s="1"/>
  <c r="E100"/>
  <c r="G100" s="1"/>
  <c r="E99"/>
  <c r="G99" s="1"/>
  <c r="E98"/>
  <c r="G98" s="1"/>
  <c r="AD12" i="45" s="1"/>
  <c r="AD26" s="1"/>
  <c r="E97" i="28"/>
  <c r="G97" s="1"/>
  <c r="E96"/>
  <c r="G96" s="1"/>
  <c r="AD9" i="45" s="1"/>
  <c r="E95" i="28"/>
  <c r="G95" s="1"/>
  <c r="AD8" i="45" s="1"/>
  <c r="AD28" s="1"/>
  <c r="E94" i="28"/>
  <c r="E93"/>
  <c r="G93" s="1"/>
  <c r="E92"/>
  <c r="G92" s="1"/>
  <c r="AD7" i="45" s="1"/>
  <c r="G84" i="28"/>
  <c r="G83"/>
  <c r="N30" i="44" s="1"/>
  <c r="G82" i="28"/>
  <c r="L30" i="44" s="1"/>
  <c r="G81" i="28"/>
  <c r="K30" i="44" s="1"/>
  <c r="G80" i="28"/>
  <c r="J30" i="44" s="1"/>
  <c r="G79" i="28"/>
  <c r="I30" i="44" s="1"/>
  <c r="G78" i="28"/>
  <c r="H30" i="44" s="1"/>
  <c r="G77" i="28"/>
  <c r="G30" i="44" s="1"/>
  <c r="G76" i="28"/>
  <c r="F30" i="44" s="1"/>
  <c r="G75" i="28"/>
  <c r="E30" i="44" s="1"/>
  <c r="G74" i="28"/>
  <c r="D30" i="44" s="1"/>
  <c r="G73" i="28"/>
  <c r="C30" i="44" s="1"/>
  <c r="E72" i="28"/>
  <c r="G72" s="1"/>
  <c r="B30" i="44" s="1"/>
  <c r="E62" i="28"/>
  <c r="G58"/>
  <c r="G57"/>
  <c r="G56"/>
  <c r="BG30" i="1" s="1"/>
  <c r="G55" i="28"/>
  <c r="G54"/>
  <c r="BE30" i="1" s="1"/>
  <c r="G53" i="28"/>
  <c r="G52"/>
  <c r="G51"/>
  <c r="G50"/>
  <c r="E49"/>
  <c r="G49" s="1"/>
  <c r="G46"/>
  <c r="G45"/>
  <c r="G44"/>
  <c r="G43"/>
  <c r="G42"/>
  <c r="G41"/>
  <c r="G40"/>
  <c r="G39"/>
  <c r="G38"/>
  <c r="G37"/>
  <c r="G36"/>
  <c r="AQ30" i="1"/>
  <c r="E24" i="28"/>
  <c r="E23"/>
  <c r="E22"/>
  <c r="G22" s="1"/>
  <c r="E19"/>
  <c r="G19" s="1"/>
  <c r="E18"/>
  <c r="G12"/>
  <c r="G11"/>
  <c r="G10"/>
  <c r="G140" i="27"/>
  <c r="G139"/>
  <c r="AL29" i="1" s="1"/>
  <c r="G138" i="27"/>
  <c r="G137"/>
  <c r="G136"/>
  <c r="AJ29" i="44" s="1"/>
  <c r="G135" i="27"/>
  <c r="AD29" i="1" s="1"/>
  <c r="G134" i="27"/>
  <c r="AC29" i="1" s="1"/>
  <c r="G133" i="27"/>
  <c r="AB29" i="1" s="1"/>
  <c r="G132" i="27"/>
  <c r="AA29" i="1" s="1"/>
  <c r="G131" i="27"/>
  <c r="E130"/>
  <c r="G130" s="1"/>
  <c r="E127"/>
  <c r="G127" s="1"/>
  <c r="AG29" i="44" s="1"/>
  <c r="E126" i="27"/>
  <c r="G126" s="1"/>
  <c r="AF29" i="44" s="1"/>
  <c r="E125" i="27"/>
  <c r="G125" s="1"/>
  <c r="AE29" i="44" s="1"/>
  <c r="E124" i="27"/>
  <c r="G124" s="1"/>
  <c r="AD29" i="44" s="1"/>
  <c r="E123" i="27"/>
  <c r="G123" s="1"/>
  <c r="E100"/>
  <c r="G100" s="1"/>
  <c r="E99"/>
  <c r="G99" s="1"/>
  <c r="E98"/>
  <c r="G98" s="1"/>
  <c r="AC12" i="45" s="1"/>
  <c r="AC26" s="1"/>
  <c r="E97" i="27"/>
  <c r="G97" s="1"/>
  <c r="E96"/>
  <c r="G96" s="1"/>
  <c r="E95"/>
  <c r="G95" s="1"/>
  <c r="AC8" i="45" s="1"/>
  <c r="AC28" s="1"/>
  <c r="E94" i="27"/>
  <c r="E93"/>
  <c r="G93" s="1"/>
  <c r="E92"/>
  <c r="G92" s="1"/>
  <c r="AC7" i="45" s="1"/>
  <c r="E84" i="27"/>
  <c r="G84" s="1"/>
  <c r="E83"/>
  <c r="G83" s="1"/>
  <c r="N29" i="44" s="1"/>
  <c r="E82" i="27"/>
  <c r="G82" s="1"/>
  <c r="L29" i="44" s="1"/>
  <c r="E81" i="27"/>
  <c r="G81" s="1"/>
  <c r="K29" i="44" s="1"/>
  <c r="E80" i="27"/>
  <c r="G80" s="1"/>
  <c r="J29" i="44" s="1"/>
  <c r="E79" i="27"/>
  <c r="G79" s="1"/>
  <c r="I29" i="44" s="1"/>
  <c r="E78" i="27"/>
  <c r="G78" s="1"/>
  <c r="H29" i="44" s="1"/>
  <c r="E77" i="27"/>
  <c r="G77" s="1"/>
  <c r="G29" i="44" s="1"/>
  <c r="E76" i="27"/>
  <c r="G76" s="1"/>
  <c r="F29" i="44" s="1"/>
  <c r="E75" i="27"/>
  <c r="G75" s="1"/>
  <c r="E29" i="44" s="1"/>
  <c r="G74" i="27"/>
  <c r="D29" i="44" s="1"/>
  <c r="E73" i="27"/>
  <c r="G73" s="1"/>
  <c r="C29" i="44" s="1"/>
  <c r="E72" i="27"/>
  <c r="G72" s="1"/>
  <c r="B29" i="44" s="1"/>
  <c r="E69" i="27"/>
  <c r="E68"/>
  <c r="E67"/>
  <c r="E66"/>
  <c r="E65"/>
  <c r="E64"/>
  <c r="E63"/>
  <c r="E62"/>
  <c r="E58"/>
  <c r="G58" s="1"/>
  <c r="E57"/>
  <c r="G57" s="1"/>
  <c r="E56"/>
  <c r="G56" s="1"/>
  <c r="BG29" i="1" s="1"/>
  <c r="E55" i="27"/>
  <c r="G55" s="1"/>
  <c r="E54"/>
  <c r="G54" s="1"/>
  <c r="BE29" i="1" s="1"/>
  <c r="E53" i="27"/>
  <c r="G53" s="1"/>
  <c r="BD29" i="1" s="1"/>
  <c r="E52" i="27"/>
  <c r="G52" s="1"/>
  <c r="E51"/>
  <c r="G51" s="1"/>
  <c r="BB29" i="1" s="1"/>
  <c r="G50" i="27"/>
  <c r="E49"/>
  <c r="G49" s="1"/>
  <c r="BA29" i="1" s="1"/>
  <c r="E35" i="27"/>
  <c r="G35" s="1"/>
  <c r="E22"/>
  <c r="G22" s="1"/>
  <c r="E19"/>
  <c r="G19" s="1"/>
  <c r="E18"/>
  <c r="E15"/>
  <c r="G15" s="1"/>
  <c r="E12"/>
  <c r="G12" s="1"/>
  <c r="E11"/>
  <c r="G11" s="1"/>
  <c r="E10"/>
  <c r="G10" s="1"/>
  <c r="E9"/>
  <c r="G9" s="1"/>
  <c r="G140" i="40"/>
  <c r="AI28" i="44" s="1"/>
  <c r="G139" i="40"/>
  <c r="G138"/>
  <c r="AL28" i="44" s="1"/>
  <c r="G137" i="40"/>
  <c r="AK28" i="44" s="1"/>
  <c r="G136" i="40"/>
  <c r="AJ28" i="44" s="1"/>
  <c r="G135" i="40"/>
  <c r="AD28" i="1" s="1"/>
  <c r="G134" i="40"/>
  <c r="AC28" i="1" s="1"/>
  <c r="G133" i="40"/>
  <c r="AB28" i="1" s="1"/>
  <c r="G132" i="40"/>
  <c r="AA28" i="1" s="1"/>
  <c r="G131" i="40"/>
  <c r="E130"/>
  <c r="G130" s="1"/>
  <c r="E127"/>
  <c r="G127" s="1"/>
  <c r="AG28" i="44" s="1"/>
  <c r="E126" i="40"/>
  <c r="G126" s="1"/>
  <c r="AF28" i="44" s="1"/>
  <c r="E125" i="40"/>
  <c r="G125" s="1"/>
  <c r="AE28" i="44" s="1"/>
  <c r="E124" i="40"/>
  <c r="G124" s="1"/>
  <c r="AD28" i="44" s="1"/>
  <c r="E123" i="40"/>
  <c r="G123" s="1"/>
  <c r="E100"/>
  <c r="G100" s="1"/>
  <c r="E99"/>
  <c r="G99" s="1"/>
  <c r="E98"/>
  <c r="G98" s="1"/>
  <c r="AB12" i="45" s="1"/>
  <c r="AB26" s="1"/>
  <c r="E97" i="40"/>
  <c r="G97" s="1"/>
  <c r="E96"/>
  <c r="G96" s="1"/>
  <c r="E95"/>
  <c r="G95" s="1"/>
  <c r="AB8" i="45" s="1"/>
  <c r="AB28" s="1"/>
  <c r="E93" i="40"/>
  <c r="G93" s="1"/>
  <c r="E92"/>
  <c r="G92" s="1"/>
  <c r="AB7" i="45" s="1"/>
  <c r="E84" i="40"/>
  <c r="G84" s="1"/>
  <c r="E83"/>
  <c r="G83" s="1"/>
  <c r="N28" i="44" s="1"/>
  <c r="E82" i="40"/>
  <c r="G82" s="1"/>
  <c r="L28" i="44" s="1"/>
  <c r="E81" i="40"/>
  <c r="G81" s="1"/>
  <c r="K28" i="44" s="1"/>
  <c r="E80" i="40"/>
  <c r="G80" s="1"/>
  <c r="J28" i="44" s="1"/>
  <c r="E79" i="40"/>
  <c r="G79" s="1"/>
  <c r="I28" i="44" s="1"/>
  <c r="E78" i="40"/>
  <c r="G78" s="1"/>
  <c r="H28" i="44" s="1"/>
  <c r="E77" i="40"/>
  <c r="G77" s="1"/>
  <c r="G28" i="44" s="1"/>
  <c r="E76" i="40"/>
  <c r="G76" s="1"/>
  <c r="F28" i="44" s="1"/>
  <c r="E75" i="40"/>
  <c r="G75" s="1"/>
  <c r="E28" i="44" s="1"/>
  <c r="E74" i="40"/>
  <c r="G74" s="1"/>
  <c r="D28" i="44" s="1"/>
  <c r="E73" i="40"/>
  <c r="G73" s="1"/>
  <c r="C28" i="44" s="1"/>
  <c r="E72" i="40"/>
  <c r="G72" s="1"/>
  <c r="B28" i="44" s="1"/>
  <c r="E69" i="40"/>
  <c r="E68"/>
  <c r="E67"/>
  <c r="E66"/>
  <c r="E65"/>
  <c r="E64"/>
  <c r="E63"/>
  <c r="E62"/>
  <c r="G58"/>
  <c r="G57"/>
  <c r="BH28" i="1" s="1"/>
  <c r="G56" i="40"/>
  <c r="BG28" i="1" s="1"/>
  <c r="G55" i="40"/>
  <c r="BF28" i="1" s="1"/>
  <c r="E54" i="40"/>
  <c r="G54" s="1"/>
  <c r="E53"/>
  <c r="G53" s="1"/>
  <c r="BD28" i="1" s="1"/>
  <c r="E52" i="40"/>
  <c r="G52" s="1"/>
  <c r="BC28" i="1" s="1"/>
  <c r="E51" i="40"/>
  <c r="G51" s="1"/>
  <c r="BB28" i="1" s="1"/>
  <c r="E50" i="40"/>
  <c r="G50" s="1"/>
  <c r="E49"/>
  <c r="G49" s="1"/>
  <c r="BA28" i="1" s="1"/>
  <c r="E35" i="40"/>
  <c r="G35" s="1"/>
  <c r="E24"/>
  <c r="E23"/>
  <c r="E22"/>
  <c r="G22" s="1"/>
  <c r="E19"/>
  <c r="G19" s="1"/>
  <c r="E18"/>
  <c r="E15"/>
  <c r="G15" s="1"/>
  <c r="G12"/>
  <c r="G11"/>
  <c r="G10"/>
  <c r="G9"/>
  <c r="G7"/>
  <c r="AM28" i="1"/>
  <c r="AL27"/>
  <c r="AD27"/>
  <c r="AB27"/>
  <c r="AA27"/>
  <c r="AP27"/>
  <c r="BH27"/>
  <c r="BG27"/>
  <c r="BF27"/>
  <c r="BD27"/>
  <c r="BB27"/>
  <c r="BI27"/>
  <c r="BA27"/>
  <c r="AQ27"/>
  <c r="E140" i="24"/>
  <c r="G140" s="1"/>
  <c r="E139"/>
  <c r="G139" s="1"/>
  <c r="AL28" i="1" s="1"/>
  <c r="E138" i="24"/>
  <c r="G138" s="1"/>
  <c r="E137"/>
  <c r="G137" s="1"/>
  <c r="E136"/>
  <c r="G136" s="1"/>
  <c r="AJ26" i="44" s="1"/>
  <c r="E135" i="24"/>
  <c r="G135" s="1"/>
  <c r="AD26" i="1" s="1"/>
  <c r="E134" i="24"/>
  <c r="G134" s="1"/>
  <c r="AC26" i="1" s="1"/>
  <c r="E133" i="24"/>
  <c r="G133" s="1"/>
  <c r="AB26" i="1" s="1"/>
  <c r="E132" i="24"/>
  <c r="G132" s="1"/>
  <c r="AA26" i="1" s="1"/>
  <c r="E131" i="24"/>
  <c r="G131" s="1"/>
  <c r="E130"/>
  <c r="G130" s="1"/>
  <c r="E127"/>
  <c r="G127" s="1"/>
  <c r="AG26" i="44" s="1"/>
  <c r="E126" i="24"/>
  <c r="G126" s="1"/>
  <c r="AF26" i="44" s="1"/>
  <c r="E125" i="24"/>
  <c r="G125" s="1"/>
  <c r="AE26" i="44" s="1"/>
  <c r="E124" i="24"/>
  <c r="G124" s="1"/>
  <c r="AD26" i="44" s="1"/>
  <c r="E123" i="24"/>
  <c r="G123" s="1"/>
  <c r="E100"/>
  <c r="G100" s="1"/>
  <c r="E99"/>
  <c r="G99" s="1"/>
  <c r="E98"/>
  <c r="G98" s="1"/>
  <c r="Z12" i="45" s="1"/>
  <c r="Z26" s="1"/>
  <c r="E97" i="24"/>
  <c r="G97" s="1"/>
  <c r="E96"/>
  <c r="G96" s="1"/>
  <c r="E95"/>
  <c r="G95" s="1"/>
  <c r="Z8" i="45" s="1"/>
  <c r="Z28" s="1"/>
  <c r="E94" i="24"/>
  <c r="E93"/>
  <c r="G93" s="1"/>
  <c r="E92"/>
  <c r="G92" s="1"/>
  <c r="Z7" i="45" s="1"/>
  <c r="E84" i="24"/>
  <c r="G84" s="1"/>
  <c r="E83"/>
  <c r="G83" s="1"/>
  <c r="N26" i="44" s="1"/>
  <c r="E82" i="24"/>
  <c r="G82" s="1"/>
  <c r="L26" i="44" s="1"/>
  <c r="E81" i="24"/>
  <c r="G81" s="1"/>
  <c r="K26" i="44" s="1"/>
  <c r="E80" i="24"/>
  <c r="G80" s="1"/>
  <c r="J26" i="44" s="1"/>
  <c r="E79" i="24"/>
  <c r="G79" s="1"/>
  <c r="I26" i="44" s="1"/>
  <c r="E78" i="24"/>
  <c r="G78" s="1"/>
  <c r="H26" i="44" s="1"/>
  <c r="G77" i="24"/>
  <c r="G26" i="44" s="1"/>
  <c r="E76" i="24"/>
  <c r="G76" s="1"/>
  <c r="F26" i="44" s="1"/>
  <c r="E75" i="24"/>
  <c r="G75" s="1"/>
  <c r="E26" i="44" s="1"/>
  <c r="E74" i="24"/>
  <c r="G74" s="1"/>
  <c r="D26" i="44" s="1"/>
  <c r="E73" i="24"/>
  <c r="G73" s="1"/>
  <c r="E72"/>
  <c r="G72" s="1"/>
  <c r="E69"/>
  <c r="E68"/>
  <c r="E67"/>
  <c r="E66"/>
  <c r="E65"/>
  <c r="E64"/>
  <c r="E63"/>
  <c r="E62"/>
  <c r="E58"/>
  <c r="G58" s="1"/>
  <c r="M26" i="44" s="1"/>
  <c r="E57" i="24"/>
  <c r="G57" s="1"/>
  <c r="BH26" i="1" s="1"/>
  <c r="E56" i="24"/>
  <c r="G56" s="1"/>
  <c r="BG26" i="1" s="1"/>
  <c r="E55" i="24"/>
  <c r="G55" s="1"/>
  <c r="BF26" i="1" s="1"/>
  <c r="E54" i="24"/>
  <c r="G54" s="1"/>
  <c r="BE26" i="1" s="1"/>
  <c r="E53" i="24"/>
  <c r="G53" s="1"/>
  <c r="BD26" i="1" s="1"/>
  <c r="E52" i="24"/>
  <c r="G52" s="1"/>
  <c r="BC26" i="1" s="1"/>
  <c r="E51" i="24"/>
  <c r="G51" s="1"/>
  <c r="BB26" i="1" s="1"/>
  <c r="E50" i="24"/>
  <c r="G50" s="1"/>
  <c r="E49"/>
  <c r="G49" s="1"/>
  <c r="BA26" i="1" s="1"/>
  <c r="E46" i="24"/>
  <c r="G46" s="1"/>
  <c r="E45"/>
  <c r="G45" s="1"/>
  <c r="E44"/>
  <c r="G44" s="1"/>
  <c r="E43"/>
  <c r="G43" s="1"/>
  <c r="E42"/>
  <c r="G42" s="1"/>
  <c r="AW26" i="1" s="1"/>
  <c r="E41" i="24"/>
  <c r="G41" s="1"/>
  <c r="E40"/>
  <c r="G40" s="1"/>
  <c r="E39"/>
  <c r="G39" s="1"/>
  <c r="E38"/>
  <c r="G38" s="1"/>
  <c r="E37"/>
  <c r="G37" s="1"/>
  <c r="E36"/>
  <c r="G36" s="1"/>
  <c r="E35"/>
  <c r="G35" s="1"/>
  <c r="G22"/>
  <c r="E19"/>
  <c r="G19" s="1"/>
  <c r="E18"/>
  <c r="E15"/>
  <c r="G15" s="1"/>
  <c r="E12"/>
  <c r="G12" s="1"/>
  <c r="E11"/>
  <c r="G11" s="1"/>
  <c r="E10"/>
  <c r="G10" s="1"/>
  <c r="E9"/>
  <c r="G9" s="1"/>
  <c r="G7"/>
  <c r="E139" i="23"/>
  <c r="G139" s="1"/>
  <c r="E138"/>
  <c r="G138" s="1"/>
  <c r="E137"/>
  <c r="G137" s="1"/>
  <c r="O137" s="1"/>
  <c r="E136"/>
  <c r="G136" s="1"/>
  <c r="E135"/>
  <c r="G135" s="1"/>
  <c r="E134"/>
  <c r="G134" s="1"/>
  <c r="E133"/>
  <c r="G133" s="1"/>
  <c r="E132"/>
  <c r="G132" s="1"/>
  <c r="E131"/>
  <c r="G131" s="1"/>
  <c r="O131" s="1"/>
  <c r="E130"/>
  <c r="G130" s="1"/>
  <c r="O130" s="1"/>
  <c r="E127"/>
  <c r="G127" s="1"/>
  <c r="E126"/>
  <c r="G126" s="1"/>
  <c r="E125"/>
  <c r="G125" s="1"/>
  <c r="E124"/>
  <c r="G124" s="1"/>
  <c r="E123"/>
  <c r="G123" s="1"/>
  <c r="O123" s="1"/>
  <c r="E100"/>
  <c r="G100" s="1"/>
  <c r="E99"/>
  <c r="G99" s="1"/>
  <c r="O99" s="1"/>
  <c r="E98"/>
  <c r="G98" s="1"/>
  <c r="E97"/>
  <c r="G97" s="1"/>
  <c r="O97" s="1"/>
  <c r="E96"/>
  <c r="G96" s="1"/>
  <c r="O96" s="1"/>
  <c r="E95"/>
  <c r="G95" s="1"/>
  <c r="E94"/>
  <c r="E93"/>
  <c r="G93" s="1"/>
  <c r="O93" s="1"/>
  <c r="E92"/>
  <c r="G92" s="1"/>
  <c r="G84"/>
  <c r="O84" s="1"/>
  <c r="G83"/>
  <c r="G82"/>
  <c r="G81"/>
  <c r="G80"/>
  <c r="G79"/>
  <c r="G78"/>
  <c r="G77"/>
  <c r="G76"/>
  <c r="G75"/>
  <c r="G74"/>
  <c r="G73"/>
  <c r="E72"/>
  <c r="G72" s="1"/>
  <c r="E69"/>
  <c r="E68"/>
  <c r="E67"/>
  <c r="E66"/>
  <c r="E65"/>
  <c r="E64"/>
  <c r="E63"/>
  <c r="E62"/>
  <c r="E58"/>
  <c r="G58" s="1"/>
  <c r="E57"/>
  <c r="G57" s="1"/>
  <c r="E56"/>
  <c r="G56" s="1"/>
  <c r="E55"/>
  <c r="G55" s="1"/>
  <c r="E54"/>
  <c r="G54" s="1"/>
  <c r="E53"/>
  <c r="G53" s="1"/>
  <c r="E52"/>
  <c r="G52" s="1"/>
  <c r="E51"/>
  <c r="G51" s="1"/>
  <c r="E50"/>
  <c r="G50" s="1"/>
  <c r="O50" s="1"/>
  <c r="E49"/>
  <c r="G49" s="1"/>
  <c r="G46"/>
  <c r="O46" s="1"/>
  <c r="G45"/>
  <c r="O45" s="1"/>
  <c r="G44"/>
  <c r="O44" s="1"/>
  <c r="G42"/>
  <c r="O42" s="1"/>
  <c r="G41"/>
  <c r="O41" s="1"/>
  <c r="G40"/>
  <c r="O40" s="1"/>
  <c r="G39"/>
  <c r="O39" s="1"/>
  <c r="G38"/>
  <c r="O38" s="1"/>
  <c r="G37"/>
  <c r="O37" s="1"/>
  <c r="G36"/>
  <c r="O36" s="1"/>
  <c r="E35"/>
  <c r="G35" s="1"/>
  <c r="O35" s="1"/>
  <c r="E24"/>
  <c r="E23"/>
  <c r="E22"/>
  <c r="G22" s="1"/>
  <c r="O22" s="1"/>
  <c r="E19"/>
  <c r="G19" s="1"/>
  <c r="O19" s="1"/>
  <c r="E18"/>
  <c r="E15"/>
  <c r="G15" s="1"/>
  <c r="O15" s="1"/>
  <c r="E12"/>
  <c r="G12" s="1"/>
  <c r="O12" s="1"/>
  <c r="E11"/>
  <c r="G11" s="1"/>
  <c r="O11" s="1"/>
  <c r="E10"/>
  <c r="G10" s="1"/>
  <c r="O10" s="1"/>
  <c r="G7"/>
  <c r="O7" s="1"/>
  <c r="E140" i="22"/>
  <c r="G140" s="1"/>
  <c r="E139"/>
  <c r="G139" s="1"/>
  <c r="AL24" i="1" s="1"/>
  <c r="E138" i="22"/>
  <c r="G138" s="1"/>
  <c r="AL24" i="44" s="1"/>
  <c r="E137" i="22"/>
  <c r="G137" s="1"/>
  <c r="E136"/>
  <c r="G136" s="1"/>
  <c r="AJ24" i="44" s="1"/>
  <c r="E135" i="22"/>
  <c r="G135" s="1"/>
  <c r="AD24" i="1" s="1"/>
  <c r="E134" i="22"/>
  <c r="G134" s="1"/>
  <c r="E133"/>
  <c r="G133" s="1"/>
  <c r="AB24" i="1" s="1"/>
  <c r="E132" i="22"/>
  <c r="G132" s="1"/>
  <c r="AA24" i="1" s="1"/>
  <c r="E131" i="22"/>
  <c r="G131" s="1"/>
  <c r="E130"/>
  <c r="G130" s="1"/>
  <c r="E127"/>
  <c r="G127" s="1"/>
  <c r="AG24" i="44" s="1"/>
  <c r="E126" i="22"/>
  <c r="G126" s="1"/>
  <c r="AF24" i="44" s="1"/>
  <c r="E125" i="22"/>
  <c r="G125" s="1"/>
  <c r="AE24" i="44" s="1"/>
  <c r="E124" i="22"/>
  <c r="G124" s="1"/>
  <c r="AD24" i="44" s="1"/>
  <c r="E123" i="22"/>
  <c r="G123" s="1"/>
  <c r="E100"/>
  <c r="G100" s="1"/>
  <c r="E99"/>
  <c r="G99" s="1"/>
  <c r="E98"/>
  <c r="G98" s="1"/>
  <c r="X12" i="45" s="1"/>
  <c r="X26" s="1"/>
  <c r="E97" i="22"/>
  <c r="G97" s="1"/>
  <c r="E96"/>
  <c r="G96" s="1"/>
  <c r="E95"/>
  <c r="G95" s="1"/>
  <c r="X8" i="45" s="1"/>
  <c r="X28" s="1"/>
  <c r="E94" i="22"/>
  <c r="E93"/>
  <c r="G93" s="1"/>
  <c r="E92"/>
  <c r="G92" s="1"/>
  <c r="X7" i="45" s="1"/>
  <c r="E72" i="22"/>
  <c r="G72" s="1"/>
  <c r="B24" i="44" s="1"/>
  <c r="E62" i="22"/>
  <c r="E49"/>
  <c r="G49" s="1"/>
  <c r="E35"/>
  <c r="G35" s="1"/>
  <c r="G22"/>
  <c r="E19"/>
  <c r="G19" s="1"/>
  <c r="E18"/>
  <c r="E15"/>
  <c r="G15" s="1"/>
  <c r="E12"/>
  <c r="G12" s="1"/>
  <c r="E11"/>
  <c r="G11" s="1"/>
  <c r="E10"/>
  <c r="G10" s="1"/>
  <c r="E9"/>
  <c r="G9" s="1"/>
  <c r="E7"/>
  <c r="G7" s="1"/>
  <c r="E140" i="21"/>
  <c r="G140" s="1"/>
  <c r="E139"/>
  <c r="G139" s="1"/>
  <c r="AL23" i="1" s="1"/>
  <c r="E138" i="21"/>
  <c r="G138" s="1"/>
  <c r="AL23" i="44" s="1"/>
  <c r="E137" i="21"/>
  <c r="G137" s="1"/>
  <c r="E136"/>
  <c r="G136" s="1"/>
  <c r="AJ23" i="44" s="1"/>
  <c r="E135" i="21"/>
  <c r="G135" s="1"/>
  <c r="AD23" i="1" s="1"/>
  <c r="E134" i="21"/>
  <c r="G134" s="1"/>
  <c r="E133"/>
  <c r="G133" s="1"/>
  <c r="AB23" i="1" s="1"/>
  <c r="G132" i="21"/>
  <c r="AA23" i="1" s="1"/>
  <c r="E131" i="21"/>
  <c r="G131" s="1"/>
  <c r="E130"/>
  <c r="G130" s="1"/>
  <c r="E127"/>
  <c r="G127" s="1"/>
  <c r="AG23" i="44" s="1"/>
  <c r="E126" i="21"/>
  <c r="G126" s="1"/>
  <c r="AF23" i="44" s="1"/>
  <c r="E125" i="21"/>
  <c r="G125" s="1"/>
  <c r="AE23" i="44" s="1"/>
  <c r="E124" i="21"/>
  <c r="G124" s="1"/>
  <c r="AD23" i="44" s="1"/>
  <c r="E123" i="21"/>
  <c r="G123" s="1"/>
  <c r="E100"/>
  <c r="G100" s="1"/>
  <c r="E99"/>
  <c r="G99" s="1"/>
  <c r="E98"/>
  <c r="G98" s="1"/>
  <c r="W12" i="45" s="1"/>
  <c r="W26" s="1"/>
  <c r="E97" i="21"/>
  <c r="G97" s="1"/>
  <c r="E96"/>
  <c r="G96" s="1"/>
  <c r="E95"/>
  <c r="G95" s="1"/>
  <c r="W8" i="45" s="1"/>
  <c r="W28" s="1"/>
  <c r="E94" i="21"/>
  <c r="E93"/>
  <c r="G93" s="1"/>
  <c r="E92"/>
  <c r="G92" s="1"/>
  <c r="W7" i="45" s="1"/>
  <c r="E84" i="21"/>
  <c r="G84" s="1"/>
  <c r="E83"/>
  <c r="G83" s="1"/>
  <c r="N23" i="44" s="1"/>
  <c r="E82" i="21"/>
  <c r="G82" s="1"/>
  <c r="L23" i="44" s="1"/>
  <c r="E81" i="21"/>
  <c r="G81" s="1"/>
  <c r="K23" i="44" s="1"/>
  <c r="E80" i="21"/>
  <c r="G80" s="1"/>
  <c r="J23" i="44" s="1"/>
  <c r="E79" i="21"/>
  <c r="G79" s="1"/>
  <c r="I23" i="44" s="1"/>
  <c r="E78" i="21"/>
  <c r="G78" s="1"/>
  <c r="H23" i="44" s="1"/>
  <c r="E77" i="21"/>
  <c r="G77" s="1"/>
  <c r="G23" i="44" s="1"/>
  <c r="E76" i="21"/>
  <c r="G76" s="1"/>
  <c r="F23" i="44" s="1"/>
  <c r="E75" i="21"/>
  <c r="G75" s="1"/>
  <c r="E23" i="44" s="1"/>
  <c r="E74" i="21"/>
  <c r="G74" s="1"/>
  <c r="D23" i="44" s="1"/>
  <c r="E73" i="21"/>
  <c r="G73" s="1"/>
  <c r="C23" i="44" s="1"/>
  <c r="E72" i="21"/>
  <c r="G72" s="1"/>
  <c r="B23" i="44" s="1"/>
  <c r="E69" i="21"/>
  <c r="E68"/>
  <c r="E67"/>
  <c r="E66"/>
  <c r="E65"/>
  <c r="E64"/>
  <c r="E63"/>
  <c r="E62"/>
  <c r="G58"/>
  <c r="E57"/>
  <c r="G57" s="1"/>
  <c r="E56"/>
  <c r="G56" s="1"/>
  <c r="E55"/>
  <c r="G55" s="1"/>
  <c r="L55" s="1"/>
  <c r="E54"/>
  <c r="G54" s="1"/>
  <c r="E53"/>
  <c r="G53" s="1"/>
  <c r="L53" s="1"/>
  <c r="E52"/>
  <c r="G52" s="1"/>
  <c r="E51"/>
  <c r="G51" s="1"/>
  <c r="E50"/>
  <c r="G50" s="1"/>
  <c r="G49"/>
  <c r="E46"/>
  <c r="G46" s="1"/>
  <c r="L46" s="1"/>
  <c r="G45"/>
  <c r="L45" s="1"/>
  <c r="E44"/>
  <c r="G44" s="1"/>
  <c r="L44" s="1"/>
  <c r="E43"/>
  <c r="G43" s="1"/>
  <c r="E42"/>
  <c r="G42" s="1"/>
  <c r="G41"/>
  <c r="E40"/>
  <c r="G40" s="1"/>
  <c r="L40" s="1"/>
  <c r="E39"/>
  <c r="G39" s="1"/>
  <c r="E38"/>
  <c r="G38" s="1"/>
  <c r="E37"/>
  <c r="G37" s="1"/>
  <c r="E36"/>
  <c r="G36" s="1"/>
  <c r="E35"/>
  <c r="G35" s="1"/>
  <c r="E23"/>
  <c r="E22"/>
  <c r="E19"/>
  <c r="G19" s="1"/>
  <c r="E18"/>
  <c r="E15"/>
  <c r="G15" s="1"/>
  <c r="E12"/>
  <c r="G12" s="1"/>
  <c r="E11"/>
  <c r="G11" s="1"/>
  <c r="E10"/>
  <c r="G10" s="1"/>
  <c r="E9"/>
  <c r="G9" s="1"/>
  <c r="E7"/>
  <c r="G7" s="1"/>
  <c r="G140" i="20"/>
  <c r="G139"/>
  <c r="AL22" i="1" s="1"/>
  <c r="G138" i="20"/>
  <c r="G137"/>
  <c r="G136"/>
  <c r="AJ22" i="44" s="1"/>
  <c r="G135" i="20"/>
  <c r="AD22" i="1" s="1"/>
  <c r="G134" i="20"/>
  <c r="G133"/>
  <c r="AB22" i="1" s="1"/>
  <c r="G132" i="20"/>
  <c r="AA22" i="1" s="1"/>
  <c r="E131" i="20"/>
  <c r="G131" s="1"/>
  <c r="E130"/>
  <c r="G130" s="1"/>
  <c r="E124"/>
  <c r="G124" s="1"/>
  <c r="AD22" i="44" s="1"/>
  <c r="E123" i="20"/>
  <c r="G123" s="1"/>
  <c r="E94"/>
  <c r="E93"/>
  <c r="G93" s="1"/>
  <c r="E92"/>
  <c r="G92" s="1"/>
  <c r="V7" i="45" s="1"/>
  <c r="G84" i="20"/>
  <c r="G83"/>
  <c r="N22" i="44" s="1"/>
  <c r="G82" i="20"/>
  <c r="L22" i="44" s="1"/>
  <c r="G81" i="20"/>
  <c r="K22" i="44" s="1"/>
  <c r="G80" i="20"/>
  <c r="J22" i="44" s="1"/>
  <c r="G79" i="20"/>
  <c r="I22" i="44" s="1"/>
  <c r="G78" i="20"/>
  <c r="H22" i="44" s="1"/>
  <c r="G77" i="20"/>
  <c r="G22" i="44" s="1"/>
  <c r="G76" i="20"/>
  <c r="F22" i="44" s="1"/>
  <c r="G75" i="20"/>
  <c r="E22" i="44" s="1"/>
  <c r="G74" i="20"/>
  <c r="D22" i="44" s="1"/>
  <c r="G73" i="20"/>
  <c r="C22" i="44" s="1"/>
  <c r="E72" i="20"/>
  <c r="G72" s="1"/>
  <c r="B22" i="44" s="1"/>
  <c r="E69" i="20"/>
  <c r="E68"/>
  <c r="E67"/>
  <c r="E66"/>
  <c r="E65"/>
  <c r="E64"/>
  <c r="E63"/>
  <c r="E165" s="1"/>
  <c r="G58"/>
  <c r="G57"/>
  <c r="BH22" i="1" s="1"/>
  <c r="G56" i="20"/>
  <c r="BG22" i="1" s="1"/>
  <c r="G55" i="20"/>
  <c r="BF22" i="1" s="1"/>
  <c r="G54" i="20"/>
  <c r="BE22" i="1" s="1"/>
  <c r="G53" i="20"/>
  <c r="BD22" i="1" s="1"/>
  <c r="G51" i="20"/>
  <c r="BB22" i="1" s="1"/>
  <c r="G50" i="20"/>
  <c r="G49"/>
  <c r="BA22" i="1" s="1"/>
  <c r="E47" i="20"/>
  <c r="E46"/>
  <c r="G46" s="1"/>
  <c r="E45"/>
  <c r="G45" s="1"/>
  <c r="E44"/>
  <c r="G44" s="1"/>
  <c r="E43"/>
  <c r="G43" s="1"/>
  <c r="E42"/>
  <c r="E41"/>
  <c r="G41" s="1"/>
  <c r="E40"/>
  <c r="G40" s="1"/>
  <c r="E39"/>
  <c r="G39" s="1"/>
  <c r="E38"/>
  <c r="G38" s="1"/>
  <c r="E37"/>
  <c r="G37" s="1"/>
  <c r="E36"/>
  <c r="G36" s="1"/>
  <c r="E35"/>
  <c r="G35" s="1"/>
  <c r="G22"/>
  <c r="E19"/>
  <c r="G19" s="1"/>
  <c r="E18"/>
  <c r="G15"/>
  <c r="E12"/>
  <c r="G12" s="1"/>
  <c r="E11"/>
  <c r="G11" s="1"/>
  <c r="E10"/>
  <c r="G10" s="1"/>
  <c r="E9"/>
  <c r="G9" s="1"/>
  <c r="G7"/>
  <c r="E140" i="19"/>
  <c r="E139"/>
  <c r="E138"/>
  <c r="E137"/>
  <c r="G137" s="1"/>
  <c r="E136"/>
  <c r="G136" s="1"/>
  <c r="AJ21" i="44" s="1"/>
  <c r="E135" i="19"/>
  <c r="E134"/>
  <c r="E133"/>
  <c r="E131"/>
  <c r="G131" s="1"/>
  <c r="E130"/>
  <c r="G130" s="1"/>
  <c r="E127"/>
  <c r="G127" s="1"/>
  <c r="AG21" i="44" s="1"/>
  <c r="E126" i="19"/>
  <c r="G126" s="1"/>
  <c r="AF21" i="44" s="1"/>
  <c r="E125" i="19"/>
  <c r="G125" s="1"/>
  <c r="AE21" i="44" s="1"/>
  <c r="E124" i="19"/>
  <c r="G124" s="1"/>
  <c r="AD21" i="44" s="1"/>
  <c r="E123" i="19"/>
  <c r="G123" s="1"/>
  <c r="E100"/>
  <c r="G100" s="1"/>
  <c r="E99"/>
  <c r="G99" s="1"/>
  <c r="E98"/>
  <c r="G98" s="1"/>
  <c r="U12" i="45" s="1"/>
  <c r="U26" s="1"/>
  <c r="E97" i="19"/>
  <c r="G97" s="1"/>
  <c r="E96"/>
  <c r="G96" s="1"/>
  <c r="E95"/>
  <c r="G95" s="1"/>
  <c r="U8" i="45" s="1"/>
  <c r="U28" s="1"/>
  <c r="E94" i="19"/>
  <c r="E93"/>
  <c r="G93" s="1"/>
  <c r="E92"/>
  <c r="G92" s="1"/>
  <c r="U7" i="45" s="1"/>
  <c r="E84" i="19"/>
  <c r="G84" s="1"/>
  <c r="E83"/>
  <c r="G83" s="1"/>
  <c r="N21" i="44" s="1"/>
  <c r="E82" i="19"/>
  <c r="G82" s="1"/>
  <c r="L21" i="44" s="1"/>
  <c r="E81" i="19"/>
  <c r="G81" s="1"/>
  <c r="K21" i="44" s="1"/>
  <c r="E80" i="19"/>
  <c r="G80" s="1"/>
  <c r="J21" i="44" s="1"/>
  <c r="E79" i="19"/>
  <c r="G79" s="1"/>
  <c r="I21" i="44" s="1"/>
  <c r="E78" i="19"/>
  <c r="G78" s="1"/>
  <c r="H21" i="44" s="1"/>
  <c r="E77" i="19"/>
  <c r="G77" s="1"/>
  <c r="G21" i="44" s="1"/>
  <c r="E76" i="19"/>
  <c r="G76" s="1"/>
  <c r="F21" i="44" s="1"/>
  <c r="E75" i="19"/>
  <c r="G75" s="1"/>
  <c r="E21" i="44" s="1"/>
  <c r="E74" i="19"/>
  <c r="G74" s="1"/>
  <c r="D21" i="44" s="1"/>
  <c r="E73" i="19"/>
  <c r="G73" s="1"/>
  <c r="C21" i="44" s="1"/>
  <c r="E72" i="19"/>
  <c r="G72" s="1"/>
  <c r="E69"/>
  <c r="G171" s="1"/>
  <c r="E68"/>
  <c r="E67"/>
  <c r="E66"/>
  <c r="E65"/>
  <c r="E64"/>
  <c r="E62"/>
  <c r="E57"/>
  <c r="G57" s="1"/>
  <c r="BH21" i="1" s="1"/>
  <c r="E56" i="19"/>
  <c r="G56" s="1"/>
  <c r="BG21" i="1" s="1"/>
  <c r="E55" i="19"/>
  <c r="G55" s="1"/>
  <c r="E54"/>
  <c r="G54" s="1"/>
  <c r="E53"/>
  <c r="G53" s="1"/>
  <c r="BD21" i="1" s="1"/>
  <c r="E52" i="19"/>
  <c r="G52" s="1"/>
  <c r="E51"/>
  <c r="G51" s="1"/>
  <c r="BB21" i="1" s="1"/>
  <c r="E50" i="19"/>
  <c r="G50" s="1"/>
  <c r="E49"/>
  <c r="E46"/>
  <c r="G46" s="1"/>
  <c r="E45"/>
  <c r="G45" s="1"/>
  <c r="E44"/>
  <c r="G44" s="1"/>
  <c r="E43"/>
  <c r="G43" s="1"/>
  <c r="E42"/>
  <c r="G42" s="1"/>
  <c r="AW21" i="1" s="1"/>
  <c r="E41" i="19"/>
  <c r="G41" s="1"/>
  <c r="E39"/>
  <c r="E38"/>
  <c r="G38" s="1"/>
  <c r="E37"/>
  <c r="E36"/>
  <c r="G36" s="1"/>
  <c r="E35"/>
  <c r="G35" s="1"/>
  <c r="E24"/>
  <c r="E22"/>
  <c r="G22" s="1"/>
  <c r="E19"/>
  <c r="G19" s="1"/>
  <c r="E18"/>
  <c r="E15"/>
  <c r="G15" s="1"/>
  <c r="E12"/>
  <c r="G12" s="1"/>
  <c r="E11"/>
  <c r="G11" s="1"/>
  <c r="E10"/>
  <c r="G10" s="1"/>
  <c r="E9"/>
  <c r="G9" s="1"/>
  <c r="E140" i="18"/>
  <c r="G140" s="1"/>
  <c r="AI20" i="44" s="1"/>
  <c r="E139" i="18"/>
  <c r="E138"/>
  <c r="G138" s="1"/>
  <c r="E137"/>
  <c r="G137" s="1"/>
  <c r="E136"/>
  <c r="G136" s="1"/>
  <c r="AJ20" i="44" s="1"/>
  <c r="E135" i="18"/>
  <c r="E134"/>
  <c r="G134" s="1"/>
  <c r="E133"/>
  <c r="E132"/>
  <c r="E131"/>
  <c r="G131" s="1"/>
  <c r="E130"/>
  <c r="G130" s="1"/>
  <c r="E127"/>
  <c r="G127" s="1"/>
  <c r="AG20" i="44" s="1"/>
  <c r="E126" i="18"/>
  <c r="G126" s="1"/>
  <c r="AF20" i="44" s="1"/>
  <c r="E125" i="18"/>
  <c r="G125" s="1"/>
  <c r="AE20" i="44" s="1"/>
  <c r="E124" i="18"/>
  <c r="G124" s="1"/>
  <c r="AD20" i="44" s="1"/>
  <c r="E123" i="18"/>
  <c r="G123" s="1"/>
  <c r="E100"/>
  <c r="G100" s="1"/>
  <c r="E99"/>
  <c r="G99" s="1"/>
  <c r="E98"/>
  <c r="G98" s="1"/>
  <c r="T12" i="45" s="1"/>
  <c r="T26" s="1"/>
  <c r="E97" i="18"/>
  <c r="G97" s="1"/>
  <c r="E96"/>
  <c r="G96" s="1"/>
  <c r="E95"/>
  <c r="G95" s="1"/>
  <c r="T8" i="45" s="1"/>
  <c r="E94" i="18"/>
  <c r="E93"/>
  <c r="G93" s="1"/>
  <c r="E92"/>
  <c r="G92" s="1"/>
  <c r="T7" i="45" s="1"/>
  <c r="E84" i="18"/>
  <c r="G84" s="1"/>
  <c r="E83"/>
  <c r="G83" s="1"/>
  <c r="N20" i="44" s="1"/>
  <c r="E82" i="18"/>
  <c r="G82" s="1"/>
  <c r="L20" i="44" s="1"/>
  <c r="E81" i="18"/>
  <c r="G81" s="1"/>
  <c r="K20" i="44" s="1"/>
  <c r="E80" i="18"/>
  <c r="G80" s="1"/>
  <c r="J20" i="44" s="1"/>
  <c r="E79" i="18"/>
  <c r="G79" s="1"/>
  <c r="I20" i="44" s="1"/>
  <c r="E78" i="18"/>
  <c r="G78" s="1"/>
  <c r="H20" i="44" s="1"/>
  <c r="E77" i="18"/>
  <c r="G77" s="1"/>
  <c r="G20" i="44" s="1"/>
  <c r="E76" i="18"/>
  <c r="G76" s="1"/>
  <c r="F20" i="44" s="1"/>
  <c r="E75" i="18"/>
  <c r="G75" s="1"/>
  <c r="E20" i="44" s="1"/>
  <c r="E74" i="18"/>
  <c r="G74" s="1"/>
  <c r="D20" i="44" s="1"/>
  <c r="E73" i="18"/>
  <c r="G73" s="1"/>
  <c r="C20" i="44" s="1"/>
  <c r="E72" i="18"/>
  <c r="G72" s="1"/>
  <c r="E69"/>
  <c r="E68"/>
  <c r="E67"/>
  <c r="E66"/>
  <c r="E65"/>
  <c r="E64"/>
  <c r="E63"/>
  <c r="E62"/>
  <c r="E58"/>
  <c r="G58" s="1"/>
  <c r="M20" i="44" s="1"/>
  <c r="E57" i="18"/>
  <c r="E56"/>
  <c r="E55"/>
  <c r="G55" s="1"/>
  <c r="BF20" i="1" s="1"/>
  <c r="E53" i="18"/>
  <c r="G53" s="1"/>
  <c r="BD20" i="1" s="1"/>
  <c r="E51" i="18"/>
  <c r="G51" s="1"/>
  <c r="BB20" i="1" s="1"/>
  <c r="E50" i="18"/>
  <c r="G50" s="1"/>
  <c r="E49"/>
  <c r="E46"/>
  <c r="G46" s="1"/>
  <c r="E45"/>
  <c r="G45" s="1"/>
  <c r="E44"/>
  <c r="G44" s="1"/>
  <c r="E43"/>
  <c r="G43" s="1"/>
  <c r="E42"/>
  <c r="G41"/>
  <c r="E40"/>
  <c r="G40" s="1"/>
  <c r="E39"/>
  <c r="E38"/>
  <c r="G38" s="1"/>
  <c r="E37"/>
  <c r="G37" s="1"/>
  <c r="E36"/>
  <c r="G36" s="1"/>
  <c r="E35"/>
  <c r="G35" s="1"/>
  <c r="E24"/>
  <c r="E23"/>
  <c r="E22"/>
  <c r="E19"/>
  <c r="G19" s="1"/>
  <c r="E18"/>
  <c r="E15"/>
  <c r="G15" s="1"/>
  <c r="E12"/>
  <c r="G12" s="1"/>
  <c r="E11"/>
  <c r="G11" s="1"/>
  <c r="E10"/>
  <c r="G10" s="1"/>
  <c r="E9"/>
  <c r="G9" s="1"/>
  <c r="G7"/>
  <c r="E140" i="17"/>
  <c r="G140" s="1"/>
  <c r="E139"/>
  <c r="G139" s="1"/>
  <c r="AL19" i="1" s="1"/>
  <c r="E138" i="17"/>
  <c r="G138" s="1"/>
  <c r="E137"/>
  <c r="G137" s="1"/>
  <c r="E136"/>
  <c r="E135"/>
  <c r="G135" s="1"/>
  <c r="AD19" i="1" s="1"/>
  <c r="E134" i="17"/>
  <c r="G134" s="1"/>
  <c r="AC19" i="1" s="1"/>
  <c r="E133" i="17"/>
  <c r="G133" s="1"/>
  <c r="AB19" i="1" s="1"/>
  <c r="E132" i="17"/>
  <c r="G132" s="1"/>
  <c r="AA19" i="1" s="1"/>
  <c r="E131" i="17"/>
  <c r="G131" s="1"/>
  <c r="E130"/>
  <c r="G130" s="1"/>
  <c r="E127"/>
  <c r="G127" s="1"/>
  <c r="AG19" i="44" s="1"/>
  <c r="E126" i="17"/>
  <c r="G126" s="1"/>
  <c r="AF19" i="44" s="1"/>
  <c r="E125" i="17"/>
  <c r="G125" s="1"/>
  <c r="AE19" i="44" s="1"/>
  <c r="E124" i="17"/>
  <c r="G124" s="1"/>
  <c r="AD19" i="44" s="1"/>
  <c r="E123" i="17"/>
  <c r="G123" s="1"/>
  <c r="E98"/>
  <c r="G98" s="1"/>
  <c r="S12" i="45" s="1"/>
  <c r="S26" s="1"/>
  <c r="E95" i="17"/>
  <c r="G95" s="1"/>
  <c r="S8" i="45" s="1"/>
  <c r="S28" s="1"/>
  <c r="E94" i="17"/>
  <c r="E93"/>
  <c r="G93" s="1"/>
  <c r="E92"/>
  <c r="G92" s="1"/>
  <c r="S7" i="45" s="1"/>
  <c r="E84" i="17"/>
  <c r="G84" s="1"/>
  <c r="E83"/>
  <c r="G83" s="1"/>
  <c r="N19" i="44" s="1"/>
  <c r="E82" i="17"/>
  <c r="G82" s="1"/>
  <c r="L19" i="44" s="1"/>
  <c r="E81" i="17"/>
  <c r="G81" s="1"/>
  <c r="K19" i="44" s="1"/>
  <c r="E80" i="17"/>
  <c r="G80" s="1"/>
  <c r="J19" i="44" s="1"/>
  <c r="E79" i="17"/>
  <c r="G79" s="1"/>
  <c r="I19" i="44" s="1"/>
  <c r="E78" i="17"/>
  <c r="G78" s="1"/>
  <c r="H19" i="44" s="1"/>
  <c r="E77" i="17"/>
  <c r="G77" s="1"/>
  <c r="G19" i="44" s="1"/>
  <c r="E76" i="17"/>
  <c r="G76" s="1"/>
  <c r="F19" i="44" s="1"/>
  <c r="E75" i="17"/>
  <c r="G75" s="1"/>
  <c r="E19" i="44" s="1"/>
  <c r="E74" i="17"/>
  <c r="G74" s="1"/>
  <c r="D19" i="44" s="1"/>
  <c r="E73" i="17"/>
  <c r="G73" s="1"/>
  <c r="C19" i="44" s="1"/>
  <c r="G72" i="17"/>
  <c r="B19" i="44" s="1"/>
  <c r="G69" i="17"/>
  <c r="Z19" i="44" s="1"/>
  <c r="G68" i="17"/>
  <c r="Y19" i="44" s="1"/>
  <c r="G67" i="17"/>
  <c r="X19" i="44" s="1"/>
  <c r="G66" i="17"/>
  <c r="W19" i="44" s="1"/>
  <c r="G65" i="17"/>
  <c r="V19" i="44" s="1"/>
  <c r="G63" i="17"/>
  <c r="T19" i="44" s="1"/>
  <c r="G62" i="17"/>
  <c r="S19" i="44" s="1"/>
  <c r="G49" i="17"/>
  <c r="G35"/>
  <c r="E24"/>
  <c r="E23"/>
  <c r="E22"/>
  <c r="G22" s="1"/>
  <c r="G15"/>
  <c r="G12"/>
  <c r="G11"/>
  <c r="G10"/>
  <c r="G9"/>
  <c r="G7"/>
  <c r="E140" i="16"/>
  <c r="G140" s="1"/>
  <c r="E139"/>
  <c r="G139" s="1"/>
  <c r="AL18" i="1" s="1"/>
  <c r="E138" i="16"/>
  <c r="G138" s="1"/>
  <c r="E137"/>
  <c r="G137" s="1"/>
  <c r="E136"/>
  <c r="G136" s="1"/>
  <c r="AJ18" i="44" s="1"/>
  <c r="E134" i="16"/>
  <c r="G134" s="1"/>
  <c r="E133"/>
  <c r="G133" s="1"/>
  <c r="AB18" i="1" s="1"/>
  <c r="E132" i="16"/>
  <c r="G132" s="1"/>
  <c r="AA18" i="1" s="1"/>
  <c r="E131" i="16"/>
  <c r="G131" s="1"/>
  <c r="E130"/>
  <c r="G130" s="1"/>
  <c r="E127"/>
  <c r="G127" s="1"/>
  <c r="AG18" i="44" s="1"/>
  <c r="E126" i="16"/>
  <c r="G126" s="1"/>
  <c r="AF18" i="44" s="1"/>
  <c r="E125" i="16"/>
  <c r="G125" s="1"/>
  <c r="AE18" i="44" s="1"/>
  <c r="E124" i="16"/>
  <c r="G124" s="1"/>
  <c r="AD18" i="44" s="1"/>
  <c r="E123" i="16"/>
  <c r="G123" s="1"/>
  <c r="E100"/>
  <c r="G100" s="1"/>
  <c r="E99"/>
  <c r="G99" s="1"/>
  <c r="E98"/>
  <c r="G98" s="1"/>
  <c r="R12" i="45" s="1"/>
  <c r="R26" s="1"/>
  <c r="E97" i="16"/>
  <c r="G97" s="1"/>
  <c r="E96"/>
  <c r="G96" s="1"/>
  <c r="E95"/>
  <c r="G95" s="1"/>
  <c r="R8" i="45" s="1"/>
  <c r="R28" s="1"/>
  <c r="E93" i="16"/>
  <c r="G93" s="1"/>
  <c r="E92"/>
  <c r="G92" s="1"/>
  <c r="R7" i="45" s="1"/>
  <c r="E84" i="16"/>
  <c r="G84" s="1"/>
  <c r="E83"/>
  <c r="G83" s="1"/>
  <c r="N18" i="44" s="1"/>
  <c r="E82" i="16"/>
  <c r="G82" s="1"/>
  <c r="L18" i="44" s="1"/>
  <c r="E81" i="16"/>
  <c r="G81" s="1"/>
  <c r="K18" i="44" s="1"/>
  <c r="E80" i="16"/>
  <c r="G80" s="1"/>
  <c r="J18" i="44" s="1"/>
  <c r="E79" i="16"/>
  <c r="G79" s="1"/>
  <c r="I18" i="44" s="1"/>
  <c r="E78" i="16"/>
  <c r="G78" s="1"/>
  <c r="H18" i="44" s="1"/>
  <c r="E77" i="16"/>
  <c r="G77" s="1"/>
  <c r="G18" i="44" s="1"/>
  <c r="E76" i="16"/>
  <c r="G76" s="1"/>
  <c r="F18" i="44" s="1"/>
  <c r="E75" i="16"/>
  <c r="G75" s="1"/>
  <c r="E18" i="44" s="1"/>
  <c r="E74" i="16"/>
  <c r="G74" s="1"/>
  <c r="D18" i="44" s="1"/>
  <c r="E73" i="16"/>
  <c r="G73" s="1"/>
  <c r="E72"/>
  <c r="G72" s="1"/>
  <c r="B18" i="44" s="1"/>
  <c r="G69" i="16"/>
  <c r="G68"/>
  <c r="Y18" i="44" s="1"/>
  <c r="G67" i="16"/>
  <c r="X18" i="44" s="1"/>
  <c r="G66" i="16"/>
  <c r="W18" i="44" s="1"/>
  <c r="G65" i="16"/>
  <c r="V18" i="44" s="1"/>
  <c r="G64" i="16"/>
  <c r="U18" i="44" s="1"/>
  <c r="G63" i="16"/>
  <c r="T18" i="44" s="1"/>
  <c r="G62" i="16"/>
  <c r="S18" i="44" s="1"/>
  <c r="G58" i="16"/>
  <c r="M18" i="44" s="1"/>
  <c r="G57" i="16"/>
  <c r="BH18" i="1" s="1"/>
  <c r="G56" i="16"/>
  <c r="BG18" i="1" s="1"/>
  <c r="G55" i="16"/>
  <c r="BF18" i="1" s="1"/>
  <c r="G54" i="16"/>
  <c r="BE18" i="1" s="1"/>
  <c r="G53" i="16"/>
  <c r="BD18" i="1" s="1"/>
  <c r="G52" i="16"/>
  <c r="G51"/>
  <c r="BB18" i="1" s="1"/>
  <c r="G50" i="16"/>
  <c r="BI18" i="1" s="1"/>
  <c r="G49" i="16"/>
  <c r="G46"/>
  <c r="G45"/>
  <c r="G44"/>
  <c r="G43"/>
  <c r="G42"/>
  <c r="G40"/>
  <c r="G38"/>
  <c r="G37"/>
  <c r="G36"/>
  <c r="AZ18" i="1" s="1"/>
  <c r="E35" i="16"/>
  <c r="G35" s="1"/>
  <c r="E24"/>
  <c r="E23"/>
  <c r="E22"/>
  <c r="G22" s="1"/>
  <c r="E19"/>
  <c r="G19" s="1"/>
  <c r="E18"/>
  <c r="G15"/>
  <c r="E12"/>
  <c r="G12" s="1"/>
  <c r="E11"/>
  <c r="G11" s="1"/>
  <c r="G10"/>
  <c r="E140" i="15"/>
  <c r="G140" s="1"/>
  <c r="E139"/>
  <c r="G139" s="1"/>
  <c r="AL17" i="1" s="1"/>
  <c r="E138" i="15"/>
  <c r="G138" s="1"/>
  <c r="E137"/>
  <c r="G137" s="1"/>
  <c r="E136"/>
  <c r="G136" s="1"/>
  <c r="AJ17" i="44" s="1"/>
  <c r="G135" i="15"/>
  <c r="AD17" i="1" s="1"/>
  <c r="G134" i="15"/>
  <c r="E133"/>
  <c r="G133" s="1"/>
  <c r="AB17" i="1" s="1"/>
  <c r="E132" i="15"/>
  <c r="G132" s="1"/>
  <c r="AA17" i="1" s="1"/>
  <c r="E131" i="15"/>
  <c r="G131" s="1"/>
  <c r="E130"/>
  <c r="G130" s="1"/>
  <c r="E127"/>
  <c r="G127" s="1"/>
  <c r="AG17" i="44" s="1"/>
  <c r="E126" i="15"/>
  <c r="G126" s="1"/>
  <c r="AF17" i="44" s="1"/>
  <c r="E125" i="15"/>
  <c r="G125" s="1"/>
  <c r="AE17" i="44" s="1"/>
  <c r="E124" i="15"/>
  <c r="G124" s="1"/>
  <c r="AD17" i="44" s="1"/>
  <c r="E123" i="15"/>
  <c r="G123" s="1"/>
  <c r="E100"/>
  <c r="G100" s="1"/>
  <c r="E99"/>
  <c r="G99" s="1"/>
  <c r="E98"/>
  <c r="G98" s="1"/>
  <c r="Q12" i="45" s="1"/>
  <c r="Q26" s="1"/>
  <c r="E97" i="15"/>
  <c r="G97" s="1"/>
  <c r="E96"/>
  <c r="G96" s="1"/>
  <c r="E95"/>
  <c r="G95" s="1"/>
  <c r="Q8" i="45" s="1"/>
  <c r="Q28" s="1"/>
  <c r="E94" i="15"/>
  <c r="E93"/>
  <c r="G93" s="1"/>
  <c r="E92"/>
  <c r="G92" s="1"/>
  <c r="Q7" i="45" s="1"/>
  <c r="E69" i="15"/>
  <c r="E68"/>
  <c r="E67"/>
  <c r="E66"/>
  <c r="E65"/>
  <c r="E64"/>
  <c r="E63"/>
  <c r="E62"/>
  <c r="G58"/>
  <c r="G57"/>
  <c r="BH17" i="1" s="1"/>
  <c r="G56" i="15"/>
  <c r="G55"/>
  <c r="BF17" i="1" s="1"/>
  <c r="G54" i="15"/>
  <c r="BE17" i="1" s="1"/>
  <c r="G53" i="15"/>
  <c r="BD17" i="1" s="1"/>
  <c r="G52" i="15"/>
  <c r="G51"/>
  <c r="BB17" i="1" s="1"/>
  <c r="G50" i="15"/>
  <c r="E49"/>
  <c r="G49" s="1"/>
  <c r="BA17" i="1" s="1"/>
  <c r="G46" i="15"/>
  <c r="G45"/>
  <c r="G44"/>
  <c r="G43"/>
  <c r="G42"/>
  <c r="G41"/>
  <c r="G40"/>
  <c r="G39"/>
  <c r="G38"/>
  <c r="G37"/>
  <c r="G36"/>
  <c r="E35"/>
  <c r="G35" s="1"/>
  <c r="E24"/>
  <c r="E23"/>
  <c r="E22"/>
  <c r="G22" s="1"/>
  <c r="E19"/>
  <c r="G19" s="1"/>
  <c r="E18"/>
  <c r="E15"/>
  <c r="G15" s="1"/>
  <c r="E12"/>
  <c r="G12" s="1"/>
  <c r="E11"/>
  <c r="G11" s="1"/>
  <c r="E10"/>
  <c r="G10" s="1"/>
  <c r="E7"/>
  <c r="G7" s="1"/>
  <c r="E140" i="14"/>
  <c r="G140" s="1"/>
  <c r="E139"/>
  <c r="G139" s="1"/>
  <c r="AL16" i="1" s="1"/>
  <c r="E138" i="14"/>
  <c r="G138" s="1"/>
  <c r="AL16" i="44" s="1"/>
  <c r="E137" i="14"/>
  <c r="G137" s="1"/>
  <c r="E136"/>
  <c r="G136" s="1"/>
  <c r="AJ16" i="44" s="1"/>
  <c r="E135" i="14"/>
  <c r="G135" s="1"/>
  <c r="AD16" i="1" s="1"/>
  <c r="E134" i="14"/>
  <c r="G134" s="1"/>
  <c r="AC16" i="1" s="1"/>
  <c r="E133" i="14"/>
  <c r="G133" s="1"/>
  <c r="AB16" i="1" s="1"/>
  <c r="E132" i="14"/>
  <c r="G132" s="1"/>
  <c r="AA16" i="1" s="1"/>
  <c r="E131" i="14"/>
  <c r="G131" s="1"/>
  <c r="E130"/>
  <c r="G130" s="1"/>
  <c r="E127"/>
  <c r="G127" s="1"/>
  <c r="AG16" i="44" s="1"/>
  <c r="E126" i="14"/>
  <c r="G126" s="1"/>
  <c r="AF16" i="44" s="1"/>
  <c r="E125" i="14"/>
  <c r="G125" s="1"/>
  <c r="AE16" i="44" s="1"/>
  <c r="E124" i="14"/>
  <c r="G124" s="1"/>
  <c r="AD16" i="44" s="1"/>
  <c r="E123" i="14"/>
  <c r="G123" s="1"/>
  <c r="G100"/>
  <c r="G99"/>
  <c r="G98"/>
  <c r="P12" i="45" s="1"/>
  <c r="P26" s="1"/>
  <c r="G97" i="14"/>
  <c r="P10" i="45" s="1"/>
  <c r="G96" i="14"/>
  <c r="E95"/>
  <c r="G95" s="1"/>
  <c r="P8" i="45" s="1"/>
  <c r="P28" s="1"/>
  <c r="E94" i="14"/>
  <c r="E93"/>
  <c r="G93" s="1"/>
  <c r="E92"/>
  <c r="G92" s="1"/>
  <c r="P7" i="45" s="1"/>
  <c r="E62" i="14"/>
  <c r="G58"/>
  <c r="G57"/>
  <c r="BH16" i="1" s="1"/>
  <c r="G56" i="14"/>
  <c r="BG16" i="1" s="1"/>
  <c r="G55" i="14"/>
  <c r="BF16" i="1" s="1"/>
  <c r="G54" i="14"/>
  <c r="BE16" i="1" s="1"/>
  <c r="G53" i="14"/>
  <c r="BD16" i="1" s="1"/>
  <c r="G52" i="14"/>
  <c r="G51"/>
  <c r="BB16" i="1" s="1"/>
  <c r="G50" i="14"/>
  <c r="E49"/>
  <c r="G49" s="1"/>
  <c r="BA16" i="1" s="1"/>
  <c r="E35" i="14"/>
  <c r="G35" s="1"/>
  <c r="G22"/>
  <c r="E19"/>
  <c r="G19" s="1"/>
  <c r="E18"/>
  <c r="E15"/>
  <c r="G15" s="1"/>
  <c r="G12"/>
  <c r="G11"/>
  <c r="G10"/>
  <c r="E7"/>
  <c r="G7" s="1"/>
  <c r="E130" i="13"/>
  <c r="G130" s="1"/>
  <c r="E123"/>
  <c r="G123" s="1"/>
  <c r="G95"/>
  <c r="E92"/>
  <c r="G92" s="1"/>
  <c r="E62"/>
  <c r="G58"/>
  <c r="G57"/>
  <c r="G56"/>
  <c r="G55"/>
  <c r="G54"/>
  <c r="G53"/>
  <c r="G52"/>
  <c r="G51"/>
  <c r="G50"/>
  <c r="E49"/>
  <c r="G49" s="1"/>
  <c r="G35"/>
  <c r="E24"/>
  <c r="E23"/>
  <c r="E22"/>
  <c r="G22" s="1"/>
  <c r="E19"/>
  <c r="G19" s="1"/>
  <c r="E18"/>
  <c r="E15"/>
  <c r="G12"/>
  <c r="G11"/>
  <c r="G10"/>
  <c r="G9"/>
  <c r="G132" i="12"/>
  <c r="G131"/>
  <c r="P131" s="1"/>
  <c r="E130"/>
  <c r="G130" s="1"/>
  <c r="P130" s="1"/>
  <c r="E127"/>
  <c r="G127" s="1"/>
  <c r="E126"/>
  <c r="G126" s="1"/>
  <c r="E125"/>
  <c r="G125" s="1"/>
  <c r="E124"/>
  <c r="G124" s="1"/>
  <c r="E123"/>
  <c r="G123" s="1"/>
  <c r="P123" s="1"/>
  <c r="G100"/>
  <c r="G99"/>
  <c r="G98"/>
  <c r="G97"/>
  <c r="P97" s="1"/>
  <c r="G96"/>
  <c r="P96" s="1"/>
  <c r="G95"/>
  <c r="P95" s="1"/>
  <c r="G93"/>
  <c r="P93" s="1"/>
  <c r="E92"/>
  <c r="G92" s="1"/>
  <c r="E62"/>
  <c r="G164" s="1"/>
  <c r="BA14" i="1"/>
  <c r="E35" i="12"/>
  <c r="G35" s="1"/>
  <c r="E23"/>
  <c r="E22"/>
  <c r="G22" s="1"/>
  <c r="P22" s="1"/>
  <c r="E19"/>
  <c r="G19" s="1"/>
  <c r="E18"/>
  <c r="E15"/>
  <c r="G15" s="1"/>
  <c r="G12"/>
  <c r="P12" s="1"/>
  <c r="G11"/>
  <c r="P11" s="1"/>
  <c r="G10"/>
  <c r="G7"/>
  <c r="O9" s="1"/>
  <c r="E130" i="11"/>
  <c r="G130" s="1"/>
  <c r="E123"/>
  <c r="G123" s="1"/>
  <c r="AC13" i="44" s="1"/>
  <c r="G95" i="11"/>
  <c r="E92"/>
  <c r="G92" s="1"/>
  <c r="E62"/>
  <c r="E49"/>
  <c r="G49" s="1"/>
  <c r="BA13" i="1" s="1"/>
  <c r="E35" i="11"/>
  <c r="G35" s="1"/>
  <c r="E23"/>
  <c r="E22"/>
  <c r="G22" s="1"/>
  <c r="E19"/>
  <c r="G19" s="1"/>
  <c r="E18"/>
  <c r="E15"/>
  <c r="G15" s="1"/>
  <c r="G9"/>
  <c r="E7"/>
  <c r="G7" s="1"/>
  <c r="AA12" i="1"/>
  <c r="L12" i="45"/>
  <c r="L26" s="1"/>
  <c r="L8"/>
  <c r="L28" s="1"/>
  <c r="L7"/>
  <c r="Y12" i="44"/>
  <c r="X12"/>
  <c r="W12"/>
  <c r="V12"/>
  <c r="U12"/>
  <c r="BH12" i="1"/>
  <c r="BG12"/>
  <c r="BF12"/>
  <c r="BE12"/>
  <c r="BC12"/>
  <c r="BB12"/>
  <c r="BA12"/>
  <c r="AW12"/>
  <c r="E140" i="9"/>
  <c r="G140" s="1"/>
  <c r="E139"/>
  <c r="G139" s="1"/>
  <c r="AL11" i="1" s="1"/>
  <c r="E138" i="9"/>
  <c r="G138" s="1"/>
  <c r="E137"/>
  <c r="G137" s="1"/>
  <c r="E136"/>
  <c r="G136" s="1"/>
  <c r="AJ11" i="44" s="1"/>
  <c r="E135" i="9"/>
  <c r="G135" s="1"/>
  <c r="AD11" i="1" s="1"/>
  <c r="E134" i="9"/>
  <c r="G134" s="1"/>
  <c r="AC11" i="1" s="1"/>
  <c r="E133" i="9"/>
  <c r="G133" s="1"/>
  <c r="AB11" i="1" s="1"/>
  <c r="E132" i="9"/>
  <c r="G132" s="1"/>
  <c r="AA11" i="1" s="1"/>
  <c r="E131" i="9"/>
  <c r="G131" s="1"/>
  <c r="E130"/>
  <c r="G130" s="1"/>
  <c r="E100"/>
  <c r="G100" s="1"/>
  <c r="E99"/>
  <c r="G99" s="1"/>
  <c r="E98"/>
  <c r="G98" s="1"/>
  <c r="K12" i="45" s="1"/>
  <c r="K26" s="1"/>
  <c r="E97" i="9"/>
  <c r="G97" s="1"/>
  <c r="E96"/>
  <c r="G96" s="1"/>
  <c r="K9" i="45" s="1"/>
  <c r="E95" i="9"/>
  <c r="G95" s="1"/>
  <c r="K8" i="45" s="1"/>
  <c r="K28" s="1"/>
  <c r="E94" i="9"/>
  <c r="E93"/>
  <c r="G93" s="1"/>
  <c r="G92"/>
  <c r="K7" i="45" s="1"/>
  <c r="E69" i="9"/>
  <c r="G69" s="1"/>
  <c r="E68"/>
  <c r="G68" s="1"/>
  <c r="Y11" i="44" s="1"/>
  <c r="E67" i="9"/>
  <c r="G67" s="1"/>
  <c r="X11" i="44" s="1"/>
  <c r="E66" i="9"/>
  <c r="G66" s="1"/>
  <c r="W11" i="44" s="1"/>
  <c r="E65" i="9"/>
  <c r="G65" s="1"/>
  <c r="V11" i="44" s="1"/>
  <c r="E63" i="9"/>
  <c r="G63" s="1"/>
  <c r="T11" i="44" s="1"/>
  <c r="E62" i="9"/>
  <c r="G62" s="1"/>
  <c r="S11" i="44" s="1"/>
  <c r="E58" i="9"/>
  <c r="G58" s="1"/>
  <c r="M11" i="44" s="1"/>
  <c r="E57" i="9"/>
  <c r="G57" s="1"/>
  <c r="BH11" i="1" s="1"/>
  <c r="E56" i="9"/>
  <c r="G56" s="1"/>
  <c r="BG11" i="1" s="1"/>
  <c r="E55" i="9"/>
  <c r="G55" s="1"/>
  <c r="BF11" i="1" s="1"/>
  <c r="E54" i="9"/>
  <c r="G54" s="1"/>
  <c r="BE11" i="1" s="1"/>
  <c r="E53" i="9"/>
  <c r="G53" s="1"/>
  <c r="BD11" i="1" s="1"/>
  <c r="E52" i="9"/>
  <c r="G52" s="1"/>
  <c r="E51"/>
  <c r="G51" s="1"/>
  <c r="BB11" i="1" s="1"/>
  <c r="E50" i="9"/>
  <c r="G50" s="1"/>
  <c r="E49"/>
  <c r="G49" s="1"/>
  <c r="E46"/>
  <c r="G46" s="1"/>
  <c r="E45"/>
  <c r="G45" s="1"/>
  <c r="E44"/>
  <c r="G44" s="1"/>
  <c r="E43"/>
  <c r="G43" s="1"/>
  <c r="E42"/>
  <c r="G42" s="1"/>
  <c r="AW11" i="1" s="1"/>
  <c r="E41" i="9"/>
  <c r="G41" s="1"/>
  <c r="E40"/>
  <c r="G40" s="1"/>
  <c r="E39"/>
  <c r="G39" s="1"/>
  <c r="E38"/>
  <c r="G38" s="1"/>
  <c r="E37"/>
  <c r="G37" s="1"/>
  <c r="E36"/>
  <c r="G36" s="1"/>
  <c r="E35"/>
  <c r="G35" s="1"/>
  <c r="E24"/>
  <c r="E23"/>
  <c r="E22"/>
  <c r="E19"/>
  <c r="G19" s="1"/>
  <c r="E18"/>
  <c r="E12"/>
  <c r="G12" s="1"/>
  <c r="G11"/>
  <c r="E10"/>
  <c r="G10" s="1"/>
  <c r="G9"/>
  <c r="E7"/>
  <c r="G7" s="1"/>
  <c r="E140" i="7"/>
  <c r="G140" s="1"/>
  <c r="AI9" i="44" s="1"/>
  <c r="E139" i="7"/>
  <c r="G139" s="1"/>
  <c r="AL9" i="1" s="1"/>
  <c r="E138" i="7"/>
  <c r="G138" s="1"/>
  <c r="E137"/>
  <c r="G137" s="1"/>
  <c r="AK9" i="44" s="1"/>
  <c r="E136" i="7"/>
  <c r="G136" s="1"/>
  <c r="AJ9" i="44" s="1"/>
  <c r="E135" i="7"/>
  <c r="G135" s="1"/>
  <c r="AD9" i="1" s="1"/>
  <c r="E134" i="7"/>
  <c r="G134" s="1"/>
  <c r="AC9" i="1" s="1"/>
  <c r="E133" i="7"/>
  <c r="G133" s="1"/>
  <c r="AB9" i="1" s="1"/>
  <c r="E132" i="7"/>
  <c r="G132" s="1"/>
  <c r="E131"/>
  <c r="G131" s="1"/>
  <c r="E130"/>
  <c r="G130" s="1"/>
  <c r="E127"/>
  <c r="G127" s="1"/>
  <c r="AG9" i="44" s="1"/>
  <c r="E126" i="7"/>
  <c r="G126" s="1"/>
  <c r="AF9" i="44" s="1"/>
  <c r="E125" i="7"/>
  <c r="G125" s="1"/>
  <c r="AE9" i="44" s="1"/>
  <c r="E124" i="7"/>
  <c r="G124" s="1"/>
  <c r="AD9" i="44" s="1"/>
  <c r="E123" i="7"/>
  <c r="G123" s="1"/>
  <c r="E100"/>
  <c r="G100" s="1"/>
  <c r="E99"/>
  <c r="G99" s="1"/>
  <c r="E98"/>
  <c r="G98" s="1"/>
  <c r="I12" i="45" s="1"/>
  <c r="I26" s="1"/>
  <c r="E97" i="7"/>
  <c r="G97" s="1"/>
  <c r="E96"/>
  <c r="G96" s="1"/>
  <c r="I9" i="45" s="1"/>
  <c r="E95" i="7"/>
  <c r="G95" s="1"/>
  <c r="I8" i="45" s="1"/>
  <c r="I28" s="1"/>
  <c r="E94" i="7"/>
  <c r="G93"/>
  <c r="E92"/>
  <c r="G92" s="1"/>
  <c r="I7" i="45" s="1"/>
  <c r="E69" i="7"/>
  <c r="E68"/>
  <c r="E67"/>
  <c r="E66"/>
  <c r="E65"/>
  <c r="E64"/>
  <c r="E63"/>
  <c r="E62"/>
  <c r="G58"/>
  <c r="M9" i="44" s="1"/>
  <c r="G57" i="7"/>
  <c r="BH9" i="1" s="1"/>
  <c r="G56" i="7"/>
  <c r="BG9" i="1" s="1"/>
  <c r="G55" i="7"/>
  <c r="BF9" i="1" s="1"/>
  <c r="G54" i="7"/>
  <c r="BE9" i="1" s="1"/>
  <c r="G53" i="7"/>
  <c r="BD9" i="1" s="1"/>
  <c r="G52" i="7"/>
  <c r="BC9" i="1" s="1"/>
  <c r="G51" i="7"/>
  <c r="G50"/>
  <c r="E49"/>
  <c r="G49" s="1"/>
  <c r="BA9" i="1" s="1"/>
  <c r="E46" i="7"/>
  <c r="G46" s="1"/>
  <c r="E45"/>
  <c r="G45" s="1"/>
  <c r="E44"/>
  <c r="G44" s="1"/>
  <c r="E43"/>
  <c r="G43" s="1"/>
  <c r="E41"/>
  <c r="G41" s="1"/>
  <c r="E40"/>
  <c r="G40" s="1"/>
  <c r="E39"/>
  <c r="G39" s="1"/>
  <c r="E38"/>
  <c r="G38" s="1"/>
  <c r="E37"/>
  <c r="G37" s="1"/>
  <c r="E36"/>
  <c r="G36" s="1"/>
  <c r="E35"/>
  <c r="G35" s="1"/>
  <c r="G22"/>
  <c r="E19"/>
  <c r="G19" s="1"/>
  <c r="E18"/>
  <c r="E15"/>
  <c r="G15" s="1"/>
  <c r="E12"/>
  <c r="G12" s="1"/>
  <c r="E11"/>
  <c r="G11" s="1"/>
  <c r="E10"/>
  <c r="G10" s="1"/>
  <c r="E9"/>
  <c r="G9" s="1"/>
  <c r="E15" i="33"/>
  <c r="G15" s="1"/>
  <c r="E131"/>
  <c r="G131" s="1"/>
  <c r="E132"/>
  <c r="G132" s="1"/>
  <c r="AA8" i="1" s="1"/>
  <c r="E133" i="33"/>
  <c r="G133" s="1"/>
  <c r="AB8" i="1" s="1"/>
  <c r="E134" i="33"/>
  <c r="G134" s="1"/>
  <c r="E135"/>
  <c r="G135" s="1"/>
  <c r="AD8" i="1" s="1"/>
  <c r="E136" i="33"/>
  <c r="G136" s="1"/>
  <c r="AJ8" i="44" s="1"/>
  <c r="E137" i="33"/>
  <c r="G137" s="1"/>
  <c r="E138"/>
  <c r="G138" s="1"/>
  <c r="E139"/>
  <c r="G139" s="1"/>
  <c r="E140"/>
  <c r="G140" s="1"/>
  <c r="E130"/>
  <c r="G130" s="1"/>
  <c r="E124"/>
  <c r="G124" s="1"/>
  <c r="AD8" i="44" s="1"/>
  <c r="E125" i="33"/>
  <c r="G125" s="1"/>
  <c r="AE8" i="44" s="1"/>
  <c r="E126" i="33"/>
  <c r="G126" s="1"/>
  <c r="AF8" i="44" s="1"/>
  <c r="E127" i="33"/>
  <c r="G127" s="1"/>
  <c r="AG8" i="44" s="1"/>
  <c r="E123" i="33"/>
  <c r="G123" s="1"/>
  <c r="G96"/>
  <c r="E97"/>
  <c r="G97" s="1"/>
  <c r="E98"/>
  <c r="G98" s="1"/>
  <c r="H12" i="45" s="1"/>
  <c r="H26" s="1"/>
  <c r="E99" i="33"/>
  <c r="G99" s="1"/>
  <c r="G100"/>
  <c r="E95"/>
  <c r="G95" s="1"/>
  <c r="H8" i="45" s="1"/>
  <c r="H28" s="1"/>
  <c r="E93" i="33"/>
  <c r="G93" s="1"/>
  <c r="E92"/>
  <c r="G92" s="1"/>
  <c r="H7" i="45" s="1"/>
  <c r="E63" i="33"/>
  <c r="E64"/>
  <c r="E65"/>
  <c r="E66"/>
  <c r="E67"/>
  <c r="E68"/>
  <c r="E69"/>
  <c r="E62"/>
  <c r="E50"/>
  <c r="G50" s="1"/>
  <c r="E51"/>
  <c r="G51" s="1"/>
  <c r="BB8" i="1" s="1"/>
  <c r="E52" i="33"/>
  <c r="G52" s="1"/>
  <c r="BC8" i="1" s="1"/>
  <c r="E53" i="33"/>
  <c r="G53" s="1"/>
  <c r="BD8" i="1" s="1"/>
  <c r="E54" i="33"/>
  <c r="G54" s="1"/>
  <c r="BE8" i="1" s="1"/>
  <c r="E55" i="33"/>
  <c r="G55" s="1"/>
  <c r="BF8" i="1" s="1"/>
  <c r="E56" i="33"/>
  <c r="G56" s="1"/>
  <c r="BG8" i="1" s="1"/>
  <c r="E57" i="33"/>
  <c r="G57" s="1"/>
  <c r="BH8" i="1" s="1"/>
  <c r="E58" i="33"/>
  <c r="G58" s="1"/>
  <c r="M8" i="44" s="1"/>
  <c r="E49" i="33"/>
  <c r="G49" s="1"/>
  <c r="BA8" i="1" s="1"/>
  <c r="E36" i="33"/>
  <c r="G36" s="1"/>
  <c r="E37"/>
  <c r="G37" s="1"/>
  <c r="E38"/>
  <c r="G38" s="1"/>
  <c r="E39"/>
  <c r="G39" s="1"/>
  <c r="E40"/>
  <c r="G40" s="1"/>
  <c r="E41"/>
  <c r="G41" s="1"/>
  <c r="E42"/>
  <c r="G42" s="1"/>
  <c r="AW8" i="1" s="1"/>
  <c r="E43" i="33"/>
  <c r="G43" s="1"/>
  <c r="E44"/>
  <c r="G44" s="1"/>
  <c r="E45"/>
  <c r="G45" s="1"/>
  <c r="E46"/>
  <c r="G46" s="1"/>
  <c r="E35"/>
  <c r="G35" s="1"/>
  <c r="G22"/>
  <c r="E19"/>
  <c r="G19" s="1"/>
  <c r="E18"/>
  <c r="E10"/>
  <c r="G10" s="1"/>
  <c r="E11"/>
  <c r="G11" s="1"/>
  <c r="E12"/>
  <c r="G12" s="1"/>
  <c r="E9"/>
  <c r="G9" s="1"/>
  <c r="E7"/>
  <c r="E131" i="5"/>
  <c r="G131" s="1"/>
  <c r="E132"/>
  <c r="G132" s="1"/>
  <c r="E133"/>
  <c r="G133" s="1"/>
  <c r="G134"/>
  <c r="AC7" i="1" s="1"/>
  <c r="E135" i="5"/>
  <c r="G135" s="1"/>
  <c r="E136"/>
  <c r="G136" s="1"/>
  <c r="AJ7" i="44" s="1"/>
  <c r="E137" i="5"/>
  <c r="G137" s="1"/>
  <c r="AK7" i="44" s="1"/>
  <c r="E138" i="5"/>
  <c r="G138" s="1"/>
  <c r="E139"/>
  <c r="G139" s="1"/>
  <c r="E140"/>
  <c r="G140" s="1"/>
  <c r="E130"/>
  <c r="G130" s="1"/>
  <c r="E124"/>
  <c r="G124" s="1"/>
  <c r="AD7" i="44" s="1"/>
  <c r="E125" i="5"/>
  <c r="G125" s="1"/>
  <c r="AE7" i="44" s="1"/>
  <c r="E126" i="5"/>
  <c r="G126" s="1"/>
  <c r="AF7" i="44" s="1"/>
  <c r="E127" i="5"/>
  <c r="G127" s="1"/>
  <c r="AG7" i="44" s="1"/>
  <c r="E123" i="5"/>
  <c r="G123" s="1"/>
  <c r="E95"/>
  <c r="G95" s="1"/>
  <c r="G8" i="45" s="1"/>
  <c r="G28" s="1"/>
  <c r="E96" i="5"/>
  <c r="G96" s="1"/>
  <c r="E97"/>
  <c r="G97" s="1"/>
  <c r="E98"/>
  <c r="G98" s="1"/>
  <c r="G12" i="45" s="1"/>
  <c r="G26" s="1"/>
  <c r="E99" i="5"/>
  <c r="G99" s="1"/>
  <c r="E100"/>
  <c r="G100" s="1"/>
  <c r="E93"/>
  <c r="G93" s="1"/>
  <c r="E92"/>
  <c r="G92" s="1"/>
  <c r="G7" i="45" s="1"/>
  <c r="E63" i="5"/>
  <c r="E64"/>
  <c r="E65"/>
  <c r="E66"/>
  <c r="E67"/>
  <c r="E68"/>
  <c r="E69"/>
  <c r="E62"/>
  <c r="E50"/>
  <c r="G50" s="1"/>
  <c r="E51"/>
  <c r="G51" s="1"/>
  <c r="E52"/>
  <c r="G52" s="1"/>
  <c r="BC7" i="1" s="1"/>
  <c r="E53" i="5"/>
  <c r="G53" s="1"/>
  <c r="BD7" i="1" s="1"/>
  <c r="E54" i="5"/>
  <c r="G54" s="1"/>
  <c r="BE7" i="1" s="1"/>
  <c r="E55" i="5"/>
  <c r="G55" s="1"/>
  <c r="BF7" i="1" s="1"/>
  <c r="E56" i="5"/>
  <c r="G56" s="1"/>
  <c r="E57"/>
  <c r="G57" s="1"/>
  <c r="BH7" i="1" s="1"/>
  <c r="E58" i="5"/>
  <c r="G58" s="1"/>
  <c r="M7" i="44" s="1"/>
  <c r="E49" i="5"/>
  <c r="G49" s="1"/>
  <c r="E36"/>
  <c r="G36" s="1"/>
  <c r="E38"/>
  <c r="G38" s="1"/>
  <c r="G39"/>
  <c r="E40"/>
  <c r="G40" s="1"/>
  <c r="E41"/>
  <c r="G41" s="1"/>
  <c r="E42"/>
  <c r="G42" s="1"/>
  <c r="AW7" i="1" s="1"/>
  <c r="E44" i="5"/>
  <c r="G44" s="1"/>
  <c r="E45"/>
  <c r="G45" s="1"/>
  <c r="E46"/>
  <c r="G46" s="1"/>
  <c r="E35"/>
  <c r="G35" s="1"/>
  <c r="I15" i="30"/>
  <c r="G18" i="29"/>
  <c r="G139" i="28"/>
  <c r="AL30" i="1" s="1"/>
  <c r="G18" i="28"/>
  <c r="G18" i="27"/>
  <c r="G18" i="40"/>
  <c r="AC27" i="1"/>
  <c r="AU27"/>
  <c r="G18" i="24"/>
  <c r="G18" i="23"/>
  <c r="O18" s="1"/>
  <c r="I7"/>
  <c r="G40" i="22"/>
  <c r="L40" s="1"/>
  <c r="G18"/>
  <c r="G18" i="20"/>
  <c r="I7"/>
  <c r="G40" i="19"/>
  <c r="AU21" i="1" s="1"/>
  <c r="G18" i="19"/>
  <c r="I15"/>
  <c r="I7"/>
  <c r="G18" i="18"/>
  <c r="G64" i="17"/>
  <c r="U19" i="44" s="1"/>
  <c r="G18" i="17"/>
  <c r="I15"/>
  <c r="I7"/>
  <c r="G39" i="16"/>
  <c r="G18"/>
  <c r="G18" i="15"/>
  <c r="G18" i="14"/>
  <c r="G124" i="13"/>
  <c r="G18"/>
  <c r="G18" i="12"/>
  <c r="G18" i="11"/>
  <c r="G18" i="9"/>
  <c r="G18" i="33"/>
  <c r="E140" i="3"/>
  <c r="G140" s="1"/>
  <c r="E139"/>
  <c r="G139" s="1"/>
  <c r="E138"/>
  <c r="G138" s="1"/>
  <c r="E137"/>
  <c r="G137" s="1"/>
  <c r="AK5" i="44" s="1"/>
  <c r="E136" i="3"/>
  <c r="G136" s="1"/>
  <c r="AJ5" i="44" s="1"/>
  <c r="E135" i="3"/>
  <c r="G135" s="1"/>
  <c r="AD5" i="1" s="1"/>
  <c r="E134" i="3"/>
  <c r="G134" s="1"/>
  <c r="E133"/>
  <c r="G133" s="1"/>
  <c r="AB5" i="1" s="1"/>
  <c r="E132" i="3"/>
  <c r="G132" s="1"/>
  <c r="E131"/>
  <c r="G131" s="1"/>
  <c r="E130"/>
  <c r="G130" s="1"/>
  <c r="E127"/>
  <c r="G127" s="1"/>
  <c r="AG5" i="44" s="1"/>
  <c r="E126" i="3"/>
  <c r="G126" s="1"/>
  <c r="AF5" i="44" s="1"/>
  <c r="E125" i="3"/>
  <c r="G125" s="1"/>
  <c r="AE5" i="44" s="1"/>
  <c r="E124" i="3"/>
  <c r="G124" s="1"/>
  <c r="AD5" i="44" s="1"/>
  <c r="E123" i="3"/>
  <c r="G123" s="1"/>
  <c r="E100"/>
  <c r="G100" s="1"/>
  <c r="E98"/>
  <c r="G98" s="1"/>
  <c r="E12" i="45" s="1"/>
  <c r="E26" s="1"/>
  <c r="E97" i="3"/>
  <c r="G97" s="1"/>
  <c r="E96"/>
  <c r="G96" s="1"/>
  <c r="E95"/>
  <c r="G95" s="1"/>
  <c r="E8" i="45" s="1"/>
  <c r="E28" s="1"/>
  <c r="E93" i="3"/>
  <c r="G93" s="1"/>
  <c r="E92"/>
  <c r="G92" s="1"/>
  <c r="E7" i="45" s="1"/>
  <c r="E69" i="3"/>
  <c r="E68"/>
  <c r="E67"/>
  <c r="E66"/>
  <c r="E65"/>
  <c r="E64"/>
  <c r="E63"/>
  <c r="E62"/>
  <c r="G62" s="1"/>
  <c r="S5" i="44" s="1"/>
  <c r="G18" i="3"/>
  <c r="G92" i="2"/>
  <c r="G95"/>
  <c r="G96"/>
  <c r="G97"/>
  <c r="G100"/>
  <c r="G135"/>
  <c r="G127"/>
  <c r="G126"/>
  <c r="G125"/>
  <c r="BD23" i="1"/>
  <c r="G22" i="2"/>
  <c r="G18"/>
  <c r="F32" i="1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G140" i="2"/>
  <c r="AI4" i="44" s="1"/>
  <c r="G138" i="2"/>
  <c r="G137"/>
  <c r="G136"/>
  <c r="AJ4" i="44" s="1"/>
  <c r="AB4" i="1"/>
  <c r="G132" i="2"/>
  <c r="G131"/>
  <c r="G130"/>
  <c r="G69"/>
  <c r="G68"/>
  <c r="G67"/>
  <c r="G64"/>
  <c r="G63"/>
  <c r="G62"/>
  <c r="G57"/>
  <c r="G56"/>
  <c r="G53"/>
  <c r="G52"/>
  <c r="G51"/>
  <c r="G50"/>
  <c r="G49"/>
  <c r="G46"/>
  <c r="G45"/>
  <c r="G44"/>
  <c r="G43"/>
  <c r="G41"/>
  <c r="G40"/>
  <c r="G39"/>
  <c r="G38"/>
  <c r="G37"/>
  <c r="G36"/>
  <c r="H23"/>
  <c r="G12"/>
  <c r="G11"/>
  <c r="G10"/>
  <c r="H9"/>
  <c r="I111" i="41"/>
  <c r="H24" i="3"/>
  <c r="J24" s="1"/>
  <c r="T25" i="1"/>
  <c r="T22"/>
  <c r="T11"/>
  <c r="T7"/>
  <c r="T9"/>
  <c r="T12"/>
  <c r="T13"/>
  <c r="T14"/>
  <c r="T21"/>
  <c r="T15"/>
  <c r="T16"/>
  <c r="T18"/>
  <c r="T20"/>
  <c r="T24"/>
  <c r="T31"/>
  <c r="T27"/>
  <c r="T19"/>
  <c r="T10"/>
  <c r="T8"/>
  <c r="T17"/>
  <c r="T26"/>
  <c r="T28"/>
  <c r="T29"/>
  <c r="T30"/>
  <c r="T32"/>
  <c r="T23"/>
  <c r="T6"/>
  <c r="T5"/>
  <c r="F18" i="35"/>
  <c r="D18"/>
  <c r="F17"/>
  <c r="D17"/>
  <c r="F16"/>
  <c r="D16"/>
  <c r="F15"/>
  <c r="D15"/>
  <c r="F14"/>
  <c r="D14"/>
  <c r="F13"/>
  <c r="D13"/>
  <c r="F12"/>
  <c r="D12"/>
  <c r="F11"/>
  <c r="D11"/>
  <c r="F10"/>
  <c r="D10"/>
  <c r="F9"/>
  <c r="D9"/>
  <c r="F8"/>
  <c r="D8"/>
  <c r="F7"/>
  <c r="D7"/>
  <c r="F6"/>
  <c r="D6"/>
  <c r="F5"/>
  <c r="D5"/>
  <c r="F4"/>
  <c r="D4"/>
  <c r="L12"/>
  <c r="J12"/>
  <c r="L4"/>
  <c r="J4"/>
  <c r="AN36" i="1"/>
  <c r="C36"/>
  <c r="B36"/>
  <c r="J13" i="35"/>
  <c r="L13"/>
  <c r="H8"/>
  <c r="J8"/>
  <c r="M8"/>
  <c r="I8"/>
  <c r="L8"/>
  <c r="L7"/>
  <c r="J7"/>
  <c r="J9"/>
  <c r="L9"/>
  <c r="L5"/>
  <c r="J6"/>
  <c r="J10"/>
  <c r="J11"/>
  <c r="J5"/>
  <c r="L6"/>
  <c r="E8"/>
  <c r="L10"/>
  <c r="L11"/>
  <c r="L14"/>
  <c r="L15"/>
  <c r="L16"/>
  <c r="J18"/>
  <c r="J14"/>
  <c r="J15"/>
  <c r="J17"/>
  <c r="E3" i="41"/>
  <c r="F3"/>
  <c r="G3"/>
  <c r="H3"/>
  <c r="F118" i="29" l="1"/>
  <c r="N118" s="1"/>
  <c r="G63" i="3"/>
  <c r="T5" i="44" s="1"/>
  <c r="E165" i="3"/>
  <c r="G165" s="1"/>
  <c r="G62" i="5"/>
  <c r="S7" i="44" s="1"/>
  <c r="G164" i="5"/>
  <c r="G66"/>
  <c r="W7" i="44" s="1"/>
  <c r="E168" i="5"/>
  <c r="G168" s="1"/>
  <c r="G68" i="33"/>
  <c r="Y8" i="44" s="1"/>
  <c r="E170" i="33"/>
  <c r="G170" s="1"/>
  <c r="G64"/>
  <c r="U8" i="44" s="1"/>
  <c r="E166" i="33"/>
  <c r="G166" s="1"/>
  <c r="G62" i="7"/>
  <c r="S9" i="44" s="1"/>
  <c r="G164" i="7"/>
  <c r="G66"/>
  <c r="W9" i="44" s="1"/>
  <c r="E168" i="7"/>
  <c r="G168" s="1"/>
  <c r="G136" i="17"/>
  <c r="AJ19" i="44" s="1"/>
  <c r="G65" i="4"/>
  <c r="V6" i="44" s="1"/>
  <c r="E167" i="4"/>
  <c r="G167" s="1"/>
  <c r="E170" i="12"/>
  <c r="G170" s="1"/>
  <c r="E165"/>
  <c r="G165" s="1"/>
  <c r="G67" i="3"/>
  <c r="X5" i="44" s="1"/>
  <c r="E169" i="3"/>
  <c r="G169" s="1"/>
  <c r="G66"/>
  <c r="W5" i="44" s="1"/>
  <c r="E168" i="3"/>
  <c r="G168" s="1"/>
  <c r="G67" i="5"/>
  <c r="X7" i="44" s="1"/>
  <c r="E169" i="5"/>
  <c r="G169" s="1"/>
  <c r="G63"/>
  <c r="T7" i="44" s="1"/>
  <c r="E165" i="5"/>
  <c r="G165" s="1"/>
  <c r="G69" i="33"/>
  <c r="Z8" i="44" s="1"/>
  <c r="E171" i="33"/>
  <c r="G171" s="1"/>
  <c r="G65"/>
  <c r="V8" i="44" s="1"/>
  <c r="E167" i="33"/>
  <c r="G167" s="1"/>
  <c r="G65" i="7"/>
  <c r="V9" i="44" s="1"/>
  <c r="E167" i="7"/>
  <c r="G167" s="1"/>
  <c r="G69"/>
  <c r="E171"/>
  <c r="G171" s="1"/>
  <c r="G62" i="4"/>
  <c r="S6" i="44" s="1"/>
  <c r="G164" i="4"/>
  <c r="E166" i="12"/>
  <c r="G166" s="1"/>
  <c r="F118" i="5"/>
  <c r="G65" i="3"/>
  <c r="V5" i="44" s="1"/>
  <c r="E167" i="3"/>
  <c r="G167" s="1"/>
  <c r="G69"/>
  <c r="E171"/>
  <c r="G171" s="1"/>
  <c r="G68" i="5"/>
  <c r="Y7" i="44" s="1"/>
  <c r="E170" i="5"/>
  <c r="G170" s="1"/>
  <c r="G64"/>
  <c r="U7" i="44" s="1"/>
  <c r="E166" i="5"/>
  <c r="G166" s="1"/>
  <c r="G62" i="33"/>
  <c r="S8" i="44" s="1"/>
  <c r="G164" i="33"/>
  <c r="G66"/>
  <c r="W8" i="44" s="1"/>
  <c r="E168" i="33"/>
  <c r="G168" s="1"/>
  <c r="G64" i="7"/>
  <c r="U9" i="44" s="1"/>
  <c r="E166" i="7"/>
  <c r="G166" s="1"/>
  <c r="G68"/>
  <c r="Y9" i="44" s="1"/>
  <c r="E170" i="7"/>
  <c r="G170" s="1"/>
  <c r="G67" i="4"/>
  <c r="X6" i="44" s="1"/>
  <c r="E169" i="4"/>
  <c r="G169" s="1"/>
  <c r="G63"/>
  <c r="T6" i="44" s="1"/>
  <c r="E165" i="4"/>
  <c r="G165" s="1"/>
  <c r="E167" i="12"/>
  <c r="G167" s="1"/>
  <c r="G64" i="3"/>
  <c r="U5" i="44" s="1"/>
  <c r="E166" i="3"/>
  <c r="G166" s="1"/>
  <c r="G68"/>
  <c r="Y5" i="44" s="1"/>
  <c r="E170" i="3"/>
  <c r="G170" s="1"/>
  <c r="G69" i="5"/>
  <c r="Z7" i="44" s="1"/>
  <c r="E171" i="5"/>
  <c r="G171" s="1"/>
  <c r="G65"/>
  <c r="V7" i="44" s="1"/>
  <c r="E167" i="5"/>
  <c r="G167" s="1"/>
  <c r="G67" i="33"/>
  <c r="X8" i="44" s="1"/>
  <c r="E169" i="33"/>
  <c r="G169" s="1"/>
  <c r="G63"/>
  <c r="T8" i="44" s="1"/>
  <c r="E165" i="33"/>
  <c r="G165" s="1"/>
  <c r="G63" i="7"/>
  <c r="T9" i="44" s="1"/>
  <c r="E165" i="7"/>
  <c r="G165" s="1"/>
  <c r="G67"/>
  <c r="X9" i="44" s="1"/>
  <c r="E169" i="7"/>
  <c r="G169" s="1"/>
  <c r="G68" i="4"/>
  <c r="Y6" i="44" s="1"/>
  <c r="E170" i="4"/>
  <c r="G170" s="1"/>
  <c r="G64"/>
  <c r="U6" i="44" s="1"/>
  <c r="E166" i="4"/>
  <c r="G166" s="1"/>
  <c r="E169" i="12"/>
  <c r="G169" s="1"/>
  <c r="E168"/>
  <c r="G168" s="1"/>
  <c r="G128" i="30"/>
  <c r="G128" i="22"/>
  <c r="G118" i="33"/>
  <c r="F118"/>
  <c r="D35" i="1"/>
  <c r="F35"/>
  <c r="F38" s="1"/>
  <c r="AH29" i="45"/>
  <c r="AH30" s="1"/>
  <c r="G133" i="43"/>
  <c r="AB33" i="1" s="1"/>
  <c r="G119" i="40"/>
  <c r="H119" s="1"/>
  <c r="J119" s="1"/>
  <c r="B27" i="44"/>
  <c r="C27"/>
  <c r="B26"/>
  <c r="C26"/>
  <c r="G7" i="33"/>
  <c r="A7" i="46" s="1"/>
  <c r="G15" i="13"/>
  <c r="E28" s="1"/>
  <c r="G28" s="1"/>
  <c r="AW33" i="1"/>
  <c r="AT33"/>
  <c r="AQ33"/>
  <c r="M29" i="44"/>
  <c r="M30"/>
  <c r="AW30" i="1"/>
  <c r="M28" i="44"/>
  <c r="O100" i="23"/>
  <c r="G119"/>
  <c r="M16" i="44"/>
  <c r="M17"/>
  <c r="BC17" i="1"/>
  <c r="BC16"/>
  <c r="AW17"/>
  <c r="AW16"/>
  <c r="M5" i="44"/>
  <c r="AW5" i="1"/>
  <c r="E31" i="2"/>
  <c r="N31" i="29" s="1"/>
  <c r="A4" i="46"/>
  <c r="AM5" i="1"/>
  <c r="AI5" i="44"/>
  <c r="AM8" i="1"/>
  <c r="AI8" i="44"/>
  <c r="AM11" i="1"/>
  <c r="AO11" s="1"/>
  <c r="AI11" i="44"/>
  <c r="G63" i="15"/>
  <c r="T17" i="44" s="1"/>
  <c r="E165" i="15"/>
  <c r="G165" s="1"/>
  <c r="AM18" i="1"/>
  <c r="AO18" s="1"/>
  <c r="AI18" i="44"/>
  <c r="AM19" i="1"/>
  <c r="AO19" s="1"/>
  <c r="AI19" i="44"/>
  <c r="G49" i="18"/>
  <c r="K49"/>
  <c r="G62"/>
  <c r="S20" i="44" s="1"/>
  <c r="E164" i="18"/>
  <c r="G164" s="1"/>
  <c r="T28" i="45"/>
  <c r="G135" i="18"/>
  <c r="AD20" i="1" s="1"/>
  <c r="G139" i="18"/>
  <c r="AL20" i="1" s="1"/>
  <c r="E166" i="19"/>
  <c r="G166"/>
  <c r="G64"/>
  <c r="U21" i="44" s="1"/>
  <c r="E170" i="19"/>
  <c r="G170"/>
  <c r="G133"/>
  <c r="AB21" i="1" s="1"/>
  <c r="G42" i="20"/>
  <c r="AW22" i="1" s="1"/>
  <c r="E169" i="20"/>
  <c r="G169"/>
  <c r="BB23" i="1"/>
  <c r="L51" i="21"/>
  <c r="G62"/>
  <c r="S23" i="44" s="1"/>
  <c r="E164" i="21"/>
  <c r="G164" s="1"/>
  <c r="BG25" i="1"/>
  <c r="O56" i="23"/>
  <c r="G63"/>
  <c r="E165"/>
  <c r="G165" s="1"/>
  <c r="AF25" i="44"/>
  <c r="O126" i="23"/>
  <c r="BB24" i="1"/>
  <c r="L51" i="22"/>
  <c r="G63"/>
  <c r="T24" i="44" s="1"/>
  <c r="E165" i="22"/>
  <c r="G165" s="1"/>
  <c r="L165" s="1"/>
  <c r="G63" i="11"/>
  <c r="T13" i="44" s="1"/>
  <c r="G62" i="11"/>
  <c r="S13" i="44" s="1"/>
  <c r="AM17" i="1"/>
  <c r="AI17" i="44"/>
  <c r="G42" i="18"/>
  <c r="AW20" i="1" s="1"/>
  <c r="G62" i="19"/>
  <c r="E164"/>
  <c r="G164" s="1"/>
  <c r="E169"/>
  <c r="G169"/>
  <c r="G67"/>
  <c r="X21" i="44" s="1"/>
  <c r="G132" i="19"/>
  <c r="AA21" i="1" s="1"/>
  <c r="G140" i="19"/>
  <c r="AI21" i="44" s="1"/>
  <c r="E168" i="20"/>
  <c r="G168"/>
  <c r="BE23" i="1"/>
  <c r="L54" i="21"/>
  <c r="BB25" i="1"/>
  <c r="O51" i="23"/>
  <c r="BF25" i="1"/>
  <c r="O55" i="23"/>
  <c r="G62"/>
  <c r="E164"/>
  <c r="G164" s="1"/>
  <c r="AD25" i="1"/>
  <c r="O135" i="23"/>
  <c r="AL25" i="1"/>
  <c r="O139" i="23"/>
  <c r="G62" i="30"/>
  <c r="S32" i="44" s="1"/>
  <c r="E164" i="30"/>
  <c r="G164" s="1"/>
  <c r="G172" s="1"/>
  <c r="BG24" i="1"/>
  <c r="L56" i="22"/>
  <c r="G62" i="43"/>
  <c r="S33" i="44" s="1"/>
  <c r="E164" i="43"/>
  <c r="G164" s="1"/>
  <c r="AM7" i="1"/>
  <c r="AI7" i="44"/>
  <c r="AM16" i="1"/>
  <c r="AI16" i="44"/>
  <c r="G133" i="18"/>
  <c r="AB20" i="1" s="1"/>
  <c r="G49" i="19"/>
  <c r="BA21" i="1" s="1"/>
  <c r="K49" i="19"/>
  <c r="E168"/>
  <c r="G66"/>
  <c r="W21" i="44" s="1"/>
  <c r="G168" i="19"/>
  <c r="G135"/>
  <c r="AD21" i="1" s="1"/>
  <c r="G139" i="19"/>
  <c r="AL21" i="1" s="1"/>
  <c r="E167" i="20"/>
  <c r="G167"/>
  <c r="E171"/>
  <c r="G171"/>
  <c r="BH23" i="1"/>
  <c r="L57" i="21"/>
  <c r="BE25" i="1"/>
  <c r="O54" i="23"/>
  <c r="AD25" i="44"/>
  <c r="O124" i="23"/>
  <c r="AC25" i="1"/>
  <c r="O134" i="23"/>
  <c r="AM13" i="1"/>
  <c r="AO13" s="1"/>
  <c r="AI13" i="44"/>
  <c r="G63" i="14"/>
  <c r="T16" i="44" s="1"/>
  <c r="E165" i="14"/>
  <c r="G165" s="1"/>
  <c r="G63" i="19"/>
  <c r="T21" i="44" s="1"/>
  <c r="E165" i="19"/>
  <c r="G165" s="1"/>
  <c r="BH24" i="1"/>
  <c r="L57" i="22"/>
  <c r="G42" i="4"/>
  <c r="AW6" i="1" s="1"/>
  <c r="G63" i="43"/>
  <c r="T33" i="44" s="1"/>
  <c r="E165" i="43"/>
  <c r="G165" s="1"/>
  <c r="AL33" i="1"/>
  <c r="G128" i="33"/>
  <c r="G62" i="13"/>
  <c r="S15" i="44" s="1"/>
  <c r="E164" i="13"/>
  <c r="G164" s="1"/>
  <c r="G62" i="14"/>
  <c r="S16" i="44" s="1"/>
  <c r="E164" i="14"/>
  <c r="G164" s="1"/>
  <c r="G63" i="18"/>
  <c r="T20" i="44" s="1"/>
  <c r="E165" i="18"/>
  <c r="G165" s="1"/>
  <c r="G132"/>
  <c r="AA20" i="1" s="1"/>
  <c r="E167" i="19"/>
  <c r="G65"/>
  <c r="V21" i="44" s="1"/>
  <c r="G167" i="19"/>
  <c r="G134"/>
  <c r="AC21" i="1" s="1"/>
  <c r="G138" i="19"/>
  <c r="AL21" i="44" s="1"/>
  <c r="E166" i="20"/>
  <c r="G166"/>
  <c r="E170"/>
  <c r="G170"/>
  <c r="BG23" i="1"/>
  <c r="L56" i="21"/>
  <c r="G63"/>
  <c r="T23" i="44" s="1"/>
  <c r="E165" i="21"/>
  <c r="G165" s="1"/>
  <c r="L165" s="1"/>
  <c r="G62" i="22"/>
  <c r="S24" i="44" s="1"/>
  <c r="E164" i="22"/>
  <c r="G164" s="1"/>
  <c r="L164" s="1"/>
  <c r="BH25" i="1"/>
  <c r="O57" i="23"/>
  <c r="AG25" i="44"/>
  <c r="O127" i="23"/>
  <c r="P136" i="12"/>
  <c r="AJ14" i="44"/>
  <c r="G63" i="13"/>
  <c r="T15" i="44" s="1"/>
  <c r="E165" i="13"/>
  <c r="G165" s="1"/>
  <c r="AM33" i="1"/>
  <c r="AI33" i="44"/>
  <c r="AI32"/>
  <c r="BA19" i="1"/>
  <c r="AM31"/>
  <c r="AO31" s="1"/>
  <c r="AI31" i="44"/>
  <c r="AM30" i="1"/>
  <c r="AO30" s="1"/>
  <c r="AI30" i="44"/>
  <c r="AM29" i="1"/>
  <c r="AO29" s="1"/>
  <c r="AI29" i="44"/>
  <c r="N7" i="40"/>
  <c r="N11" s="1"/>
  <c r="AM26" i="1"/>
  <c r="AI26" i="44"/>
  <c r="AM25" i="1"/>
  <c r="AI25" i="44"/>
  <c r="O140" i="23"/>
  <c r="AL25" i="44"/>
  <c r="O138" i="23"/>
  <c r="AJ25" i="44"/>
  <c r="O136" i="23"/>
  <c r="AB25" i="1"/>
  <c r="O133" i="23"/>
  <c r="AA25" i="1"/>
  <c r="O132" i="23"/>
  <c r="AE25" i="44"/>
  <c r="O125" i="23"/>
  <c r="Y12" i="45"/>
  <c r="Y26" s="1"/>
  <c r="O98" i="23"/>
  <c r="Y8" i="45"/>
  <c r="Y28" s="1"/>
  <c r="O95" i="23"/>
  <c r="Y7" i="45"/>
  <c r="O92" i="23"/>
  <c r="N25" i="44"/>
  <c r="O83" i="23"/>
  <c r="L25" i="44"/>
  <c r="O82" i="23"/>
  <c r="K25" i="44"/>
  <c r="O81" i="23"/>
  <c r="J25" i="44"/>
  <c r="O80" i="23"/>
  <c r="I25" i="44"/>
  <c r="O79" i="23"/>
  <c r="H25" i="44"/>
  <c r="O78" i="23"/>
  <c r="G25" i="44"/>
  <c r="O77" i="23"/>
  <c r="F25" i="44"/>
  <c r="O76" i="23"/>
  <c r="E25" i="44"/>
  <c r="O75" i="23"/>
  <c r="D25" i="44"/>
  <c r="O74" i="23"/>
  <c r="C25" i="44"/>
  <c r="O73" i="23"/>
  <c r="B25" i="44"/>
  <c r="O72" i="23"/>
  <c r="M25" i="44"/>
  <c r="O58" i="23"/>
  <c r="BD25" i="1"/>
  <c r="O53" i="23"/>
  <c r="BC25" i="1"/>
  <c r="O52" i="23"/>
  <c r="BA25" i="1"/>
  <c r="O49" i="23"/>
  <c r="AM24" i="1"/>
  <c r="AI24" i="44"/>
  <c r="M24"/>
  <c r="L58" i="22"/>
  <c r="BD24" i="1"/>
  <c r="L53" i="22"/>
  <c r="BC24" i="1"/>
  <c r="L52" i="22"/>
  <c r="BA24" i="1"/>
  <c r="L49" i="22"/>
  <c r="L50"/>
  <c r="L46"/>
  <c r="L43"/>
  <c r="AW24" i="1"/>
  <c r="L42" i="22"/>
  <c r="L39"/>
  <c r="L38"/>
  <c r="L37"/>
  <c r="L36"/>
  <c r="L35"/>
  <c r="L7"/>
  <c r="AM23" i="1"/>
  <c r="AO23" s="1"/>
  <c r="AI23" i="44"/>
  <c r="AM22" i="1"/>
  <c r="AO22" s="1"/>
  <c r="AI22" i="44"/>
  <c r="M22"/>
  <c r="M23"/>
  <c r="L58" i="21"/>
  <c r="BC23" i="1"/>
  <c r="L52" i="21"/>
  <c r="L50"/>
  <c r="BA23" i="1"/>
  <c r="L49" i="21"/>
  <c r="L43"/>
  <c r="AW23" i="1"/>
  <c r="L42" i="21"/>
  <c r="L41"/>
  <c r="L39"/>
  <c r="L38"/>
  <c r="L37"/>
  <c r="L36"/>
  <c r="L35"/>
  <c r="L7"/>
  <c r="G69" i="19"/>
  <c r="Z21" i="44" s="1"/>
  <c r="E171" i="19"/>
  <c r="M15" i="44"/>
  <c r="G69" i="12"/>
  <c r="P69" s="1"/>
  <c r="G171"/>
  <c r="G69" i="11"/>
  <c r="Z13" i="44" s="1"/>
  <c r="G68" i="11"/>
  <c r="Y13" i="44" s="1"/>
  <c r="G67" i="11"/>
  <c r="X13" i="44" s="1"/>
  <c r="G66" i="11"/>
  <c r="W13" i="44" s="1"/>
  <c r="G65" i="11"/>
  <c r="V13" i="44" s="1"/>
  <c r="G64" i="11"/>
  <c r="U13" i="44" s="1"/>
  <c r="F118" i="11"/>
  <c r="G20" i="3"/>
  <c r="H11" i="2"/>
  <c r="J11" s="1"/>
  <c r="H45"/>
  <c r="BH4" i="1"/>
  <c r="H131" i="2"/>
  <c r="H135"/>
  <c r="H135" i="3" s="1"/>
  <c r="H39" i="2"/>
  <c r="AY4" i="1"/>
  <c r="BI4"/>
  <c r="BG4"/>
  <c r="U4" i="44"/>
  <c r="H130" i="2"/>
  <c r="H130" i="3" s="1"/>
  <c r="AG4" i="44"/>
  <c r="V4"/>
  <c r="J104" i="10"/>
  <c r="H40" i="2"/>
  <c r="J40" s="1"/>
  <c r="X4" i="44"/>
  <c r="J117" i="10"/>
  <c r="F119" i="2"/>
  <c r="F118"/>
  <c r="N30" i="31"/>
  <c r="H38" i="2"/>
  <c r="J38" s="1"/>
  <c r="AX4" i="1"/>
  <c r="H49" i="2"/>
  <c r="H49" i="3" s="1"/>
  <c r="H53" i="2"/>
  <c r="T4" i="44"/>
  <c r="AM4" i="1"/>
  <c r="H58" i="2"/>
  <c r="H58" i="3" s="1"/>
  <c r="M4" i="44"/>
  <c r="AZ4" i="1"/>
  <c r="H51" i="2"/>
  <c r="J51" s="1"/>
  <c r="W4" i="44"/>
  <c r="H12" i="2"/>
  <c r="H12" i="3" s="1"/>
  <c r="J12" s="1"/>
  <c r="H52" i="2"/>
  <c r="H52" i="3" s="1"/>
  <c r="S4" i="44"/>
  <c r="Y4"/>
  <c r="AA4" i="1"/>
  <c r="AL4" i="44"/>
  <c r="J120" i="10"/>
  <c r="J115"/>
  <c r="B4" i="44"/>
  <c r="G69" i="43"/>
  <c r="Z33" i="44" s="1"/>
  <c r="E171" i="43"/>
  <c r="G171" s="1"/>
  <c r="G68"/>
  <c r="Y33" i="44" s="1"/>
  <c r="E170" i="43"/>
  <c r="G170" s="1"/>
  <c r="G67"/>
  <c r="X33" i="44" s="1"/>
  <c r="E169" i="43"/>
  <c r="G169" s="1"/>
  <c r="G66"/>
  <c r="W33" i="44" s="1"/>
  <c r="E168" i="43"/>
  <c r="G168" s="1"/>
  <c r="G65"/>
  <c r="V33" i="44" s="1"/>
  <c r="E167" i="43"/>
  <c r="G167" s="1"/>
  <c r="G64"/>
  <c r="U33" i="44" s="1"/>
  <c r="E166" i="43"/>
  <c r="G166" s="1"/>
  <c r="M33" i="44"/>
  <c r="M32"/>
  <c r="G62" i="29"/>
  <c r="S31" i="44" s="1"/>
  <c r="E164" i="29"/>
  <c r="G164" s="1"/>
  <c r="G172" s="1"/>
  <c r="BD31" i="1"/>
  <c r="AW29"/>
  <c r="N42" i="27"/>
  <c r="G62" i="28"/>
  <c r="S30" i="44" s="1"/>
  <c r="E164" i="28"/>
  <c r="G164" s="1"/>
  <c r="G66"/>
  <c r="W30" i="44" s="1"/>
  <c r="E168" i="28"/>
  <c r="G168" s="1"/>
  <c r="G65"/>
  <c r="V30" i="44" s="1"/>
  <c r="E167" i="28"/>
  <c r="G167" s="1"/>
  <c r="G69"/>
  <c r="Z30" i="44" s="1"/>
  <c r="E171" i="28"/>
  <c r="G171" s="1"/>
  <c r="G64"/>
  <c r="U30" i="44" s="1"/>
  <c r="E166" i="28"/>
  <c r="G166" s="1"/>
  <c r="G68"/>
  <c r="Y30" i="44" s="1"/>
  <c r="E170" i="28"/>
  <c r="G170" s="1"/>
  <c r="G63"/>
  <c r="T30" i="44" s="1"/>
  <c r="E165" i="28"/>
  <c r="G165" s="1"/>
  <c r="G67"/>
  <c r="X30" i="44" s="1"/>
  <c r="E169" i="28"/>
  <c r="G169" s="1"/>
  <c r="G63" i="27"/>
  <c r="T29" i="44" s="1"/>
  <c r="E165" i="27"/>
  <c r="G165" s="1"/>
  <c r="G67"/>
  <c r="X29" i="44" s="1"/>
  <c r="E169" i="27"/>
  <c r="G169" s="1"/>
  <c r="G62"/>
  <c r="S29" i="44" s="1"/>
  <c r="E164" i="27"/>
  <c r="G164" s="1"/>
  <c r="G66"/>
  <c r="W29" i="44" s="1"/>
  <c r="E168" i="27"/>
  <c r="G168" s="1"/>
  <c r="G65"/>
  <c r="V29" i="44" s="1"/>
  <c r="E167" i="27"/>
  <c r="G167" s="1"/>
  <c r="G69"/>
  <c r="Z29" i="44" s="1"/>
  <c r="E171" i="27"/>
  <c r="G171" s="1"/>
  <c r="G64"/>
  <c r="U29" i="44" s="1"/>
  <c r="E166" i="27"/>
  <c r="G166" s="1"/>
  <c r="G68"/>
  <c r="Y29" i="44" s="1"/>
  <c r="E170" i="27"/>
  <c r="G170" s="1"/>
  <c r="G63" i="40"/>
  <c r="T28" i="44" s="1"/>
  <c r="E165" i="40"/>
  <c r="G165" s="1"/>
  <c r="G67"/>
  <c r="X28" i="44" s="1"/>
  <c r="E169" i="40"/>
  <c r="G169" s="1"/>
  <c r="G62"/>
  <c r="S28" i="44" s="1"/>
  <c r="E164" i="40"/>
  <c r="G164" s="1"/>
  <c r="G66"/>
  <c r="W28" i="44" s="1"/>
  <c r="E168" i="40"/>
  <c r="G168" s="1"/>
  <c r="G65"/>
  <c r="V28" i="44" s="1"/>
  <c r="E167" i="40"/>
  <c r="G167" s="1"/>
  <c r="G69"/>
  <c r="Z28" i="44" s="1"/>
  <c r="E171" i="40"/>
  <c r="G171" s="1"/>
  <c r="I28" i="1"/>
  <c r="E26" i="47" s="1"/>
  <c r="G64" i="40"/>
  <c r="U28" i="44" s="1"/>
  <c r="E166" i="40"/>
  <c r="G166" s="1"/>
  <c r="G68"/>
  <c r="Y28" i="44" s="1"/>
  <c r="E170" i="40"/>
  <c r="G170" s="1"/>
  <c r="G65" i="24"/>
  <c r="V26" i="44" s="1"/>
  <c r="E167" i="24"/>
  <c r="G167" s="1"/>
  <c r="G69"/>
  <c r="Z26" i="44" s="1"/>
  <c r="E171" i="24"/>
  <c r="G171" s="1"/>
  <c r="G64"/>
  <c r="U26" i="44" s="1"/>
  <c r="E166" i="24"/>
  <c r="G166" s="1"/>
  <c r="G68"/>
  <c r="Y26" i="44" s="1"/>
  <c r="E170" i="24"/>
  <c r="G170" s="1"/>
  <c r="G63"/>
  <c r="T26" i="44" s="1"/>
  <c r="E165" i="24"/>
  <c r="G165" s="1"/>
  <c r="G67"/>
  <c r="X26" i="44" s="1"/>
  <c r="E169" i="24"/>
  <c r="G169" s="1"/>
  <c r="G62"/>
  <c r="S26" i="44" s="1"/>
  <c r="E164" i="24"/>
  <c r="G164" s="1"/>
  <c r="G66"/>
  <c r="W26" i="44" s="1"/>
  <c r="E168" i="24"/>
  <c r="G168" s="1"/>
  <c r="G69" i="23"/>
  <c r="E171"/>
  <c r="G171" s="1"/>
  <c r="G68"/>
  <c r="E170"/>
  <c r="G170" s="1"/>
  <c r="G67"/>
  <c r="E169"/>
  <c r="G169" s="1"/>
  <c r="G66"/>
  <c r="E168"/>
  <c r="G168" s="1"/>
  <c r="G65"/>
  <c r="E167"/>
  <c r="G167" s="1"/>
  <c r="G64"/>
  <c r="E166"/>
  <c r="G166" s="1"/>
  <c r="G69" i="22"/>
  <c r="Z24" i="44" s="1"/>
  <c r="E171" i="22"/>
  <c r="G171" s="1"/>
  <c r="L171" s="1"/>
  <c r="G68"/>
  <c r="Y24" i="44" s="1"/>
  <c r="E170" i="22"/>
  <c r="G170" s="1"/>
  <c r="L170" s="1"/>
  <c r="G67"/>
  <c r="X24" i="44" s="1"/>
  <c r="E169" i="22"/>
  <c r="G169" s="1"/>
  <c r="L169" s="1"/>
  <c r="G66"/>
  <c r="W24" i="44" s="1"/>
  <c r="E168" i="22"/>
  <c r="G168" s="1"/>
  <c r="L168" s="1"/>
  <c r="G65"/>
  <c r="V24" i="44" s="1"/>
  <c r="E167" i="22"/>
  <c r="G167" s="1"/>
  <c r="L167" s="1"/>
  <c r="G64"/>
  <c r="U24" i="44" s="1"/>
  <c r="E166" i="22"/>
  <c r="G166" s="1"/>
  <c r="L166" s="1"/>
  <c r="G69" i="21"/>
  <c r="Z23" i="44" s="1"/>
  <c r="E171" i="21"/>
  <c r="G171" s="1"/>
  <c r="L171" s="1"/>
  <c r="G68"/>
  <c r="Y23" i="44" s="1"/>
  <c r="E170" i="21"/>
  <c r="G170" s="1"/>
  <c r="L170" s="1"/>
  <c r="G67"/>
  <c r="X23" i="44" s="1"/>
  <c r="E169" i="21"/>
  <c r="G169" s="1"/>
  <c r="L169" s="1"/>
  <c r="G66"/>
  <c r="W23" i="44" s="1"/>
  <c r="E168" i="21"/>
  <c r="G168" s="1"/>
  <c r="L168" s="1"/>
  <c r="G65"/>
  <c r="V23" i="44" s="1"/>
  <c r="E167" i="21"/>
  <c r="G167" s="1"/>
  <c r="L167" s="1"/>
  <c r="G64"/>
  <c r="U23" i="44" s="1"/>
  <c r="E166" i="21"/>
  <c r="G166" s="1"/>
  <c r="L166" s="1"/>
  <c r="G63" i="20"/>
  <c r="T22" i="44" s="1"/>
  <c r="G165" i="20"/>
  <c r="S21" i="44"/>
  <c r="G69" i="20"/>
  <c r="Z22" i="44" s="1"/>
  <c r="G68" i="20"/>
  <c r="Y22" i="44" s="1"/>
  <c r="G67" i="20"/>
  <c r="X22" i="44" s="1"/>
  <c r="G66" i="20"/>
  <c r="W22" i="44" s="1"/>
  <c r="G65" i="20"/>
  <c r="V22" i="44" s="1"/>
  <c r="G64" i="20"/>
  <c r="U22" i="44" s="1"/>
  <c r="G68" i="19"/>
  <c r="Y21" i="44" s="1"/>
  <c r="G69" i="18"/>
  <c r="Z20" i="44" s="1"/>
  <c r="E171" i="18"/>
  <c r="G171" s="1"/>
  <c r="G68"/>
  <c r="Y20" i="44" s="1"/>
  <c r="E170" i="18"/>
  <c r="G170" s="1"/>
  <c r="G67"/>
  <c r="X20" i="44" s="1"/>
  <c r="E169" i="18"/>
  <c r="G169" s="1"/>
  <c r="G66"/>
  <c r="W20" i="44" s="1"/>
  <c r="E168" i="18"/>
  <c r="G168" s="1"/>
  <c r="G65"/>
  <c r="V20" i="44" s="1"/>
  <c r="E167" i="18"/>
  <c r="G167" s="1"/>
  <c r="G64"/>
  <c r="U20" i="44" s="1"/>
  <c r="E166" i="18"/>
  <c r="G166" s="1"/>
  <c r="G69" i="15"/>
  <c r="I17" i="35" s="1"/>
  <c r="E171" i="15"/>
  <c r="G171" s="1"/>
  <c r="G68"/>
  <c r="Y17" i="44" s="1"/>
  <c r="E170" i="15"/>
  <c r="G170" s="1"/>
  <c r="G67"/>
  <c r="X17" i="44" s="1"/>
  <c r="E169" i="15"/>
  <c r="G169" s="1"/>
  <c r="G66"/>
  <c r="W17" i="44" s="1"/>
  <c r="E168" i="15"/>
  <c r="G168" s="1"/>
  <c r="G65"/>
  <c r="V17" i="44" s="1"/>
  <c r="E167" i="15"/>
  <c r="G167" s="1"/>
  <c r="G64"/>
  <c r="U17" i="44" s="1"/>
  <c r="E166" i="15"/>
  <c r="G166" s="1"/>
  <c r="G62"/>
  <c r="S17" i="44" s="1"/>
  <c r="E164" i="15"/>
  <c r="G164" s="1"/>
  <c r="G69" i="14"/>
  <c r="I16" i="35" s="1"/>
  <c r="E171" i="14"/>
  <c r="G171" s="1"/>
  <c r="G68"/>
  <c r="Y16" i="44" s="1"/>
  <c r="E170" i="14"/>
  <c r="G170" s="1"/>
  <c r="G67"/>
  <c r="X16" i="44" s="1"/>
  <c r="E169" i="14"/>
  <c r="G169" s="1"/>
  <c r="G66"/>
  <c r="W16" i="44" s="1"/>
  <c r="E168" i="14"/>
  <c r="G168" s="1"/>
  <c r="G65"/>
  <c r="V16" i="44" s="1"/>
  <c r="E167" i="14"/>
  <c r="G167" s="1"/>
  <c r="G64"/>
  <c r="U16" i="44" s="1"/>
  <c r="E166" i="14"/>
  <c r="G166" s="1"/>
  <c r="G69" i="13"/>
  <c r="E171"/>
  <c r="G171" s="1"/>
  <c r="G68"/>
  <c r="Y15" i="44" s="1"/>
  <c r="E170" i="13"/>
  <c r="G170" s="1"/>
  <c r="G67"/>
  <c r="E169"/>
  <c r="G169" s="1"/>
  <c r="G66"/>
  <c r="W15" i="44" s="1"/>
  <c r="E168" i="13"/>
  <c r="G168" s="1"/>
  <c r="G65"/>
  <c r="V15" i="44" s="1"/>
  <c r="E167" i="13"/>
  <c r="G167" s="1"/>
  <c r="G64"/>
  <c r="U15" i="44" s="1"/>
  <c r="E166" i="13"/>
  <c r="G166" s="1"/>
  <c r="F119" i="11"/>
  <c r="M8" i="45"/>
  <c r="M28" s="1"/>
  <c r="F196" i="11"/>
  <c r="M7" i="45"/>
  <c r="F194" i="11"/>
  <c r="F119" i="3"/>
  <c r="BH32" i="1"/>
  <c r="U32" i="44"/>
  <c r="Y32"/>
  <c r="AF12" i="45"/>
  <c r="AF26" s="1"/>
  <c r="AD32" i="44"/>
  <c r="AC32" i="1"/>
  <c r="AL32" i="44"/>
  <c r="J110" i="10"/>
  <c r="J105"/>
  <c r="J32" i="44"/>
  <c r="F32"/>
  <c r="J107" i="10"/>
  <c r="AW32" i="1"/>
  <c r="BG32"/>
  <c r="X32" i="44"/>
  <c r="AF7" i="45"/>
  <c r="AF10"/>
  <c r="AG32" i="44"/>
  <c r="AB32" i="1"/>
  <c r="AK32" i="44"/>
  <c r="J111" i="10"/>
  <c r="J106"/>
  <c r="K32" i="44"/>
  <c r="G32"/>
  <c r="C32"/>
  <c r="D5" i="45"/>
  <c r="H10" i="2"/>
  <c r="J10" s="1"/>
  <c r="G13"/>
  <c r="I13" s="1"/>
  <c r="BB32" i="1"/>
  <c r="W32" i="44"/>
  <c r="B32"/>
  <c r="AF9" i="45"/>
  <c r="AF32" i="44"/>
  <c r="L32"/>
  <c r="H32"/>
  <c r="D32"/>
  <c r="J116" i="10"/>
  <c r="BH36" i="1"/>
  <c r="V32" i="44"/>
  <c r="Z32"/>
  <c r="AE32"/>
  <c r="AL32" i="1"/>
  <c r="J109" i="10"/>
  <c r="N32" i="44"/>
  <c r="I32"/>
  <c r="E32"/>
  <c r="J112" i="10"/>
  <c r="G128" i="2"/>
  <c r="H128" s="1"/>
  <c r="J128" s="1"/>
  <c r="P15" i="12"/>
  <c r="P44"/>
  <c r="J15" i="44"/>
  <c r="F15"/>
  <c r="AE15"/>
  <c r="AU24" i="1"/>
  <c r="BA15"/>
  <c r="BD15"/>
  <c r="BH15"/>
  <c r="O8" i="45"/>
  <c r="O28" s="1"/>
  <c r="P41" i="12"/>
  <c r="P37"/>
  <c r="K15" i="44"/>
  <c r="G15"/>
  <c r="C15"/>
  <c r="AF15"/>
  <c r="BE15" i="1"/>
  <c r="P40" i="12"/>
  <c r="P19"/>
  <c r="G118" i="13"/>
  <c r="O7" i="45"/>
  <c r="O12"/>
  <c r="O26" s="1"/>
  <c r="E28" i="5"/>
  <c r="G28" s="1"/>
  <c r="E30"/>
  <c r="G30" s="1"/>
  <c r="P38" i="12"/>
  <c r="L15" i="44"/>
  <c r="H15"/>
  <c r="D15"/>
  <c r="AG15"/>
  <c r="F119" i="9"/>
  <c r="P18" i="12"/>
  <c r="P36"/>
  <c r="AW15" i="1"/>
  <c r="AD15" i="44"/>
  <c r="G20" i="7"/>
  <c r="P9" i="1" s="1"/>
  <c r="I7" i="47" s="1"/>
  <c r="O7" i="9"/>
  <c r="P35" i="12"/>
  <c r="E28" i="20"/>
  <c r="G28" s="1"/>
  <c r="AA15" i="1"/>
  <c r="N8" i="5"/>
  <c r="P43" i="12"/>
  <c r="P39"/>
  <c r="N15" i="44"/>
  <c r="I15"/>
  <c r="E15"/>
  <c r="N7" i="14"/>
  <c r="AB15" i="1"/>
  <c r="AL15"/>
  <c r="AD15"/>
  <c r="AM15"/>
  <c r="AC15"/>
  <c r="BF15"/>
  <c r="C14" i="44"/>
  <c r="P73" i="12"/>
  <c r="K14" i="44"/>
  <c r="P81" i="12"/>
  <c r="AM14" i="1"/>
  <c r="P140" i="12"/>
  <c r="N12" i="45"/>
  <c r="N26" s="1"/>
  <c r="P98" i="12"/>
  <c r="AD14" i="44"/>
  <c r="P124" i="12"/>
  <c r="F14" i="44"/>
  <c r="P76" i="12"/>
  <c r="J14" i="44"/>
  <c r="P80" i="12"/>
  <c r="AB14" i="1"/>
  <c r="P133" i="12"/>
  <c r="P99"/>
  <c r="N7" i="45"/>
  <c r="P92" i="12"/>
  <c r="AG14" i="44"/>
  <c r="P127" i="12"/>
  <c r="E14" i="44"/>
  <c r="P75" i="12"/>
  <c r="I14" i="44"/>
  <c r="P79" i="12"/>
  <c r="N14" i="44"/>
  <c r="P83" i="12"/>
  <c r="AW14" i="1"/>
  <c r="P42" i="12"/>
  <c r="AC14" i="1"/>
  <c r="P134" i="12"/>
  <c r="AE14" i="44"/>
  <c r="P125" i="12"/>
  <c r="G14" i="44"/>
  <c r="P77" i="12"/>
  <c r="P100"/>
  <c r="AF14" i="44"/>
  <c r="P126" i="12"/>
  <c r="AA14" i="1"/>
  <c r="P132" i="12"/>
  <c r="D14" i="44"/>
  <c r="P74" i="12"/>
  <c r="H14" i="44"/>
  <c r="P78" i="12"/>
  <c r="L14" i="44"/>
  <c r="P82" i="12"/>
  <c r="AL14" i="1"/>
  <c r="P139" i="12"/>
  <c r="AD14" i="1"/>
  <c r="P135" i="12"/>
  <c r="F119" i="33"/>
  <c r="P10" i="12"/>
  <c r="G13"/>
  <c r="I13" s="1"/>
  <c r="P7"/>
  <c r="N8" i="45"/>
  <c r="N28" s="1"/>
  <c r="F119" i="12"/>
  <c r="G47" i="5"/>
  <c r="E31" i="18"/>
  <c r="T5" i="45"/>
  <c r="E30" i="19"/>
  <c r="G30" s="1"/>
  <c r="U6" i="45"/>
  <c r="Y21" i="1"/>
  <c r="U10" i="45"/>
  <c r="AI21" i="1"/>
  <c r="AK21" i="44"/>
  <c r="AH22" i="1"/>
  <c r="E28" i="22"/>
  <c r="G28" s="1"/>
  <c r="AH24" i="1"/>
  <c r="AI25"/>
  <c r="AK25" i="44"/>
  <c r="E28" i="24"/>
  <c r="G28" s="1"/>
  <c r="AI26" i="1"/>
  <c r="AK26" i="44"/>
  <c r="AF8" i="45"/>
  <c r="AF28" s="1"/>
  <c r="F119" i="30"/>
  <c r="AH13" i="1"/>
  <c r="X15"/>
  <c r="O9" i="45"/>
  <c r="AI15" i="1"/>
  <c r="AK15" i="44"/>
  <c r="E31" i="5"/>
  <c r="G31" s="1"/>
  <c r="G5" i="45"/>
  <c r="F118" i="4"/>
  <c r="E30" i="8"/>
  <c r="G30" s="1"/>
  <c r="J6" i="45"/>
  <c r="Y13" i="1"/>
  <c r="M10" i="45"/>
  <c r="M29" s="1"/>
  <c r="G67" i="12"/>
  <c r="AH14" i="1"/>
  <c r="AJ12"/>
  <c r="AL12" i="44"/>
  <c r="G15" i="3"/>
  <c r="E28" i="43"/>
  <c r="G28" s="1"/>
  <c r="AS33" i="1"/>
  <c r="E31" i="11"/>
  <c r="M5" i="45"/>
  <c r="E31" i="28"/>
  <c r="G31" s="1"/>
  <c r="AD5" i="45"/>
  <c r="Y8" i="1"/>
  <c r="H10" i="45"/>
  <c r="AJ17" i="1"/>
  <c r="AL17" i="44"/>
  <c r="E30" i="18"/>
  <c r="G30" s="1"/>
  <c r="T6" i="45"/>
  <c r="BF21" i="1"/>
  <c r="L5" i="45"/>
  <c r="E31" i="19"/>
  <c r="G31" s="1"/>
  <c r="U5" i="45"/>
  <c r="E31" i="22"/>
  <c r="G31" s="1"/>
  <c r="X5" i="45"/>
  <c r="E31" i="27"/>
  <c r="G31" s="1"/>
  <c r="AC5" i="45"/>
  <c r="AI8" i="1"/>
  <c r="AK8" i="44"/>
  <c r="E28" i="33"/>
  <c r="G28" s="1"/>
  <c r="AJ9" i="1"/>
  <c r="AL9" i="44"/>
  <c r="AM9" s="1"/>
  <c r="E28" i="9"/>
  <c r="G28" s="1"/>
  <c r="Y11" i="1"/>
  <c r="K10" i="45"/>
  <c r="K24" s="1"/>
  <c r="AJ11" i="1"/>
  <c r="AL11" i="44"/>
  <c r="E30" i="12"/>
  <c r="G30" s="1"/>
  <c r="P30" s="1"/>
  <c r="N6" i="45"/>
  <c r="E30" i="14"/>
  <c r="G30" s="1"/>
  <c r="P6" i="45"/>
  <c r="Y17" i="1"/>
  <c r="Q10" i="45"/>
  <c r="AI17" i="1"/>
  <c r="AK17" i="44"/>
  <c r="E28" i="16"/>
  <c r="G28" s="1"/>
  <c r="AJ20" i="1"/>
  <c r="AL20" i="44"/>
  <c r="X21" i="1"/>
  <c r="U9" i="45"/>
  <c r="AH21" i="1"/>
  <c r="AI23"/>
  <c r="AK23" i="44"/>
  <c r="AM23" s="1"/>
  <c r="AH25" i="1"/>
  <c r="AH26"/>
  <c r="E28" i="40"/>
  <c r="G28" s="1"/>
  <c r="AH31" i="1"/>
  <c r="G118" i="30"/>
  <c r="F118"/>
  <c r="AI13" i="1"/>
  <c r="AK13" i="44"/>
  <c r="Y15" i="1"/>
  <c r="O10" i="45"/>
  <c r="AJ15" i="1"/>
  <c r="AL15" i="44"/>
  <c r="E28" i="4"/>
  <c r="G28" s="1"/>
  <c r="AH10" i="1"/>
  <c r="X10"/>
  <c r="J9" i="45"/>
  <c r="E28" i="8"/>
  <c r="G28" s="1"/>
  <c r="G68" i="12"/>
  <c r="G63"/>
  <c r="T14" i="44" s="1"/>
  <c r="AI14" i="1"/>
  <c r="AK14" i="44"/>
  <c r="E31" i="3"/>
  <c r="G31" s="1"/>
  <c r="E31" i="14"/>
  <c r="G31" s="1"/>
  <c r="P5" i="45"/>
  <c r="E28" i="11"/>
  <c r="G62" i="12"/>
  <c r="S14" i="44" s="1"/>
  <c r="E30" i="15"/>
  <c r="G30" s="1"/>
  <c r="Q6" i="45"/>
  <c r="E31" i="9"/>
  <c r="G31" s="1"/>
  <c r="K5" i="45"/>
  <c r="E31" i="13"/>
  <c r="G31" s="1"/>
  <c r="O5" i="45"/>
  <c r="E31" i="16"/>
  <c r="G31" s="1"/>
  <c r="R5" i="45"/>
  <c r="E31" i="17"/>
  <c r="G31" s="1"/>
  <c r="S5" i="45"/>
  <c r="E31" i="20"/>
  <c r="G31" s="1"/>
  <c r="V5" i="45"/>
  <c r="E31" i="40"/>
  <c r="G31" s="1"/>
  <c r="AB5" i="45"/>
  <c r="E31" i="29"/>
  <c r="G31" s="1"/>
  <c r="AE5" i="45"/>
  <c r="E30" i="33"/>
  <c r="G30" s="1"/>
  <c r="H6" i="45"/>
  <c r="AJ8" i="1"/>
  <c r="AL8" i="44"/>
  <c r="E30" i="7"/>
  <c r="G30" s="1"/>
  <c r="I6" i="45"/>
  <c r="Y9" i="1"/>
  <c r="I10" i="45"/>
  <c r="I29" s="1"/>
  <c r="I30" s="1"/>
  <c r="AI11" i="1"/>
  <c r="AK11" i="44"/>
  <c r="Y12" i="1"/>
  <c r="L10" i="45"/>
  <c r="E30" i="11"/>
  <c r="M6" i="45"/>
  <c r="Y14" i="1"/>
  <c r="N10" i="45"/>
  <c r="AI16" i="1"/>
  <c r="AK16" i="44"/>
  <c r="E28" i="15"/>
  <c r="G28" s="1"/>
  <c r="X17" i="1"/>
  <c r="Q9" i="45"/>
  <c r="AH17" i="1"/>
  <c r="AW18"/>
  <c r="Y18"/>
  <c r="R10" i="45"/>
  <c r="AJ18" i="1"/>
  <c r="AL18" i="44"/>
  <c r="E28" i="17"/>
  <c r="G28" s="1"/>
  <c r="AJ19" i="1"/>
  <c r="AL19" i="44"/>
  <c r="E28" i="18"/>
  <c r="G28" s="1"/>
  <c r="Y20" i="1"/>
  <c r="T10" i="45"/>
  <c r="AI20" i="1"/>
  <c r="AK20" i="44"/>
  <c r="E28" i="19"/>
  <c r="G28" s="1"/>
  <c r="AJ22" i="1"/>
  <c r="AL22" i="44"/>
  <c r="E28" i="21"/>
  <c r="G28" s="1"/>
  <c r="AH23" i="1"/>
  <c r="E28" i="23"/>
  <c r="G28" s="1"/>
  <c r="O28" s="1"/>
  <c r="AH30" i="1"/>
  <c r="AJ13"/>
  <c r="AL13" i="44"/>
  <c r="E30" i="17"/>
  <c r="G30" s="1"/>
  <c r="S6" i="45"/>
  <c r="BF24" i="1"/>
  <c r="Y10"/>
  <c r="J10" i="45"/>
  <c r="G64" i="12"/>
  <c r="AJ14" i="1"/>
  <c r="AL14" i="44"/>
  <c r="AH12" i="1"/>
  <c r="E30" i="3"/>
  <c r="G30" s="1"/>
  <c r="G118" i="43"/>
  <c r="H118" s="1"/>
  <c r="F118"/>
  <c r="AY33" i="1"/>
  <c r="AU33"/>
  <c r="AZ33"/>
  <c r="X19"/>
  <c r="S9" i="45"/>
  <c r="E31" i="33"/>
  <c r="G31" s="1"/>
  <c r="H5" i="45"/>
  <c r="E28" i="7"/>
  <c r="G28" s="1"/>
  <c r="E30" i="13"/>
  <c r="G30" s="1"/>
  <c r="O6" i="45"/>
  <c r="AH18" i="1"/>
  <c r="E31" i="7"/>
  <c r="G31" s="1"/>
  <c r="I5" i="45"/>
  <c r="E31" i="12"/>
  <c r="G31" s="1"/>
  <c r="P31" s="1"/>
  <c r="N5" i="45"/>
  <c r="E31" i="15"/>
  <c r="G31" s="1"/>
  <c r="Q5" i="45"/>
  <c r="X8" i="1"/>
  <c r="H9" i="45"/>
  <c r="E30" i="9"/>
  <c r="G30" s="1"/>
  <c r="K6" i="45"/>
  <c r="AH11" i="1"/>
  <c r="L6" i="45"/>
  <c r="X12" i="1"/>
  <c r="L9" i="45"/>
  <c r="E28" i="12"/>
  <c r="G28" s="1"/>
  <c r="P28" s="1"/>
  <c r="X14" i="1"/>
  <c r="N9" i="45"/>
  <c r="E28" i="14"/>
  <c r="G28" s="1"/>
  <c r="X16" i="1"/>
  <c r="P9" i="45"/>
  <c r="AH16" i="1"/>
  <c r="E30" i="16"/>
  <c r="G30" s="1"/>
  <c r="R6" i="45"/>
  <c r="X18" i="1"/>
  <c r="R9" i="45"/>
  <c r="AI18" i="1"/>
  <c r="AK18" i="44"/>
  <c r="AI19" i="1"/>
  <c r="AK19" i="44"/>
  <c r="X20" i="1"/>
  <c r="T9" i="45"/>
  <c r="AH20" i="1"/>
  <c r="AI22"/>
  <c r="AK22" i="44"/>
  <c r="AI24" i="1"/>
  <c r="AK24" i="44"/>
  <c r="AJ26" i="1"/>
  <c r="AL26" i="44"/>
  <c r="AH29" i="1"/>
  <c r="BF6"/>
  <c r="AJ10"/>
  <c r="AL10" i="44"/>
  <c r="E31" i="8"/>
  <c r="G31" s="1"/>
  <c r="J5" i="45"/>
  <c r="G65" i="12"/>
  <c r="AI12" i="1"/>
  <c r="AK12" i="44"/>
  <c r="G66" i="12"/>
  <c r="AV33" i="1"/>
  <c r="AR33"/>
  <c r="G100" i="43"/>
  <c r="G119" s="1"/>
  <c r="H119" s="1"/>
  <c r="BG6" i="1"/>
  <c r="BG7"/>
  <c r="AJ7"/>
  <c r="AL7" i="44"/>
  <c r="AM7" s="1"/>
  <c r="X7" i="1"/>
  <c r="G9" i="45"/>
  <c r="G6"/>
  <c r="Y7" i="1"/>
  <c r="G10" i="45"/>
  <c r="E31" i="4"/>
  <c r="G31" s="1"/>
  <c r="E30"/>
  <c r="G30" s="1"/>
  <c r="F6" i="45"/>
  <c r="X6" i="1"/>
  <c r="F9" i="45"/>
  <c r="AJ6" i="1"/>
  <c r="AL6" i="44"/>
  <c r="AM6" s="1"/>
  <c r="Y6" i="1"/>
  <c r="F10" i="45"/>
  <c r="H22" i="2"/>
  <c r="J22" s="1"/>
  <c r="G24"/>
  <c r="H120" i="43"/>
  <c r="D7" i="45"/>
  <c r="H137" i="2"/>
  <c r="AK4" i="44"/>
  <c r="D8" i="45"/>
  <c r="D28" s="1"/>
  <c r="AJ5" i="1"/>
  <c r="AL5" i="44"/>
  <c r="AM5" s="1"/>
  <c r="AH4" i="1"/>
  <c r="D9" i="45"/>
  <c r="H104" i="30"/>
  <c r="J104" s="1"/>
  <c r="D12" i="45"/>
  <c r="D26" s="1"/>
  <c r="AX33" i="1"/>
  <c r="AH5" i="45"/>
  <c r="AM34" i="44"/>
  <c r="E31" i="43"/>
  <c r="G31" s="1"/>
  <c r="AG5" i="45"/>
  <c r="AH6"/>
  <c r="AH24"/>
  <c r="AG8"/>
  <c r="AG28" s="1"/>
  <c r="AH33" i="1"/>
  <c r="E31" i="30"/>
  <c r="G31" s="1"/>
  <c r="AF5" i="45"/>
  <c r="AJ33" i="1"/>
  <c r="AL33" i="44"/>
  <c r="AI33" i="1"/>
  <c r="AK33" i="44"/>
  <c r="Y33" i="1"/>
  <c r="AG10" i="45"/>
  <c r="X33" i="1"/>
  <c r="AG9" i="45"/>
  <c r="E30" i="43"/>
  <c r="G30" s="1"/>
  <c r="AG6" i="45"/>
  <c r="E30" i="30"/>
  <c r="G30" s="1"/>
  <c r="AF6" i="45"/>
  <c r="E28" i="30"/>
  <c r="G28" s="1"/>
  <c r="AJ31" i="1"/>
  <c r="AL31" i="44"/>
  <c r="Y31" i="1"/>
  <c r="AE10" i="45"/>
  <c r="X31" i="1"/>
  <c r="AE9" i="45"/>
  <c r="BF31" i="1"/>
  <c r="E30" i="29"/>
  <c r="G30" s="1"/>
  <c r="AE6" i="45"/>
  <c r="E28" i="29"/>
  <c r="G28" s="1"/>
  <c r="AJ30" i="1"/>
  <c r="AL30" i="44"/>
  <c r="AI30" i="1"/>
  <c r="AK30" i="44"/>
  <c r="Y30" i="1"/>
  <c r="AD10" i="45"/>
  <c r="AD24" s="1"/>
  <c r="BF30" i="1"/>
  <c r="BF29"/>
  <c r="BC30"/>
  <c r="E30" i="28"/>
  <c r="G30" s="1"/>
  <c r="AD6" i="45"/>
  <c r="E28" i="27"/>
  <c r="G28" s="1"/>
  <c r="E28" i="28"/>
  <c r="G28" s="1"/>
  <c r="AJ29" i="1"/>
  <c r="AL29" i="44"/>
  <c r="AI29" i="1"/>
  <c r="AK29" i="44"/>
  <c r="Y29" i="1"/>
  <c r="AC10" i="45"/>
  <c r="X29" i="1"/>
  <c r="AC9" i="45"/>
  <c r="E30" i="27"/>
  <c r="G30" s="1"/>
  <c r="AC6" i="45"/>
  <c r="AM28" i="44"/>
  <c r="Y28" i="1"/>
  <c r="AB10" i="45"/>
  <c r="X28" i="1"/>
  <c r="AB9" i="45"/>
  <c r="E30" i="40"/>
  <c r="G30" s="1"/>
  <c r="AB6" i="45"/>
  <c r="E31" i="23"/>
  <c r="G31" s="1"/>
  <c r="O31" s="1"/>
  <c r="Y5" i="45"/>
  <c r="E31" i="24"/>
  <c r="G31" s="1"/>
  <c r="Z5" i="45"/>
  <c r="Y26" i="1"/>
  <c r="Z10" i="45"/>
  <c r="X26" i="1"/>
  <c r="Z9" i="45"/>
  <c r="E30" i="24"/>
  <c r="G30" s="1"/>
  <c r="Z6" i="45"/>
  <c r="Y25" i="1"/>
  <c r="Y10" i="45"/>
  <c r="X25" i="1"/>
  <c r="Y9" i="45"/>
  <c r="E30" i="23"/>
  <c r="G30" s="1"/>
  <c r="O30" s="1"/>
  <c r="Y6" i="45"/>
  <c r="Y24" i="1"/>
  <c r="X10" i="45"/>
  <c r="X24" i="1"/>
  <c r="X9" i="45"/>
  <c r="E30" i="22"/>
  <c r="G30" s="1"/>
  <c r="X6" i="45"/>
  <c r="Y23" i="1"/>
  <c r="W10" i="45"/>
  <c r="Y22" i="1"/>
  <c r="V10" i="45"/>
  <c r="X23" i="1"/>
  <c r="W9" i="45"/>
  <c r="X22" i="1"/>
  <c r="V9" i="45"/>
  <c r="E30" i="21"/>
  <c r="G30" s="1"/>
  <c r="W6" i="45"/>
  <c r="E30" i="20"/>
  <c r="G30" s="1"/>
  <c r="V6" i="45"/>
  <c r="H97" i="2"/>
  <c r="J97" s="1"/>
  <c r="D10" i="45"/>
  <c r="H99" i="2"/>
  <c r="H99" i="3" s="1"/>
  <c r="D6" i="45"/>
  <c r="Y5" i="1"/>
  <c r="E10" i="45"/>
  <c r="E5"/>
  <c r="X5" i="1"/>
  <c r="E9" i="45"/>
  <c r="E6"/>
  <c r="H18" i="2"/>
  <c r="J18" s="1"/>
  <c r="H107" i="20"/>
  <c r="J107" s="1"/>
  <c r="H107" i="12"/>
  <c r="J107" s="1"/>
  <c r="H107" i="43"/>
  <c r="J107" i="2"/>
  <c r="H107" i="14"/>
  <c r="J107" s="1"/>
  <c r="H107" i="24"/>
  <c r="J107" s="1"/>
  <c r="H107" i="21"/>
  <c r="J107" s="1"/>
  <c r="H107" i="28"/>
  <c r="J107" s="1"/>
  <c r="H107" i="27"/>
  <c r="J107" s="1"/>
  <c r="H107" i="15"/>
  <c r="J107" s="1"/>
  <c r="J107" i="9"/>
  <c r="H107" i="19"/>
  <c r="J107" s="1"/>
  <c r="H107" i="29"/>
  <c r="J107" s="1"/>
  <c r="H107" i="40"/>
  <c r="J107" s="1"/>
  <c r="H107" i="25"/>
  <c r="J107" s="1"/>
  <c r="J107" i="33"/>
  <c r="H107" i="30"/>
  <c r="J107" s="1"/>
  <c r="J107" i="7"/>
  <c r="H107" i="23"/>
  <c r="J107" s="1"/>
  <c r="H107" i="22"/>
  <c r="J107" s="1"/>
  <c r="J107" i="8"/>
  <c r="H107" i="18"/>
  <c r="J107" s="1"/>
  <c r="J107" i="11"/>
  <c r="H107" i="17"/>
  <c r="J107" s="1"/>
  <c r="J107" i="5"/>
  <c r="J107" i="4"/>
  <c r="H107" i="13"/>
  <c r="J107" s="1"/>
  <c r="H107" i="16"/>
  <c r="J107" s="1"/>
  <c r="J107" i="3"/>
  <c r="J109" i="8"/>
  <c r="H109" i="23"/>
  <c r="J109" s="1"/>
  <c r="H109" i="13"/>
  <c r="J109" s="1"/>
  <c r="J109" i="5"/>
  <c r="H109" i="17"/>
  <c r="J109" s="1"/>
  <c r="H109" i="25"/>
  <c r="J109" s="1"/>
  <c r="H109" i="30"/>
  <c r="J109" s="1"/>
  <c r="H109" i="28"/>
  <c r="J109" s="1"/>
  <c r="H109" i="16"/>
  <c r="J109" s="1"/>
  <c r="H109" i="21"/>
  <c r="J109" s="1"/>
  <c r="J109" i="9"/>
  <c r="H109" i="15"/>
  <c r="J109" s="1"/>
  <c r="H109" i="20"/>
  <c r="J109" s="1"/>
  <c r="H109" i="24"/>
  <c r="J109" s="1"/>
  <c r="H109" i="43"/>
  <c r="H109" i="29"/>
  <c r="J109" s="1"/>
  <c r="J109" i="7"/>
  <c r="J109" i="3"/>
  <c r="H109" i="14"/>
  <c r="J109" s="1"/>
  <c r="H109" i="40"/>
  <c r="J109" s="1"/>
  <c r="H109" i="27"/>
  <c r="J109" s="1"/>
  <c r="H109" i="12"/>
  <c r="J109" s="1"/>
  <c r="H109" i="22"/>
  <c r="J109" s="1"/>
  <c r="J109" i="2"/>
  <c r="H109" i="19"/>
  <c r="J109" s="1"/>
  <c r="J109" i="4"/>
  <c r="J109" i="11"/>
  <c r="H109" i="18"/>
  <c r="J109" s="1"/>
  <c r="J109" i="33"/>
  <c r="J104" i="9"/>
  <c r="H104" i="21"/>
  <c r="J104" s="1"/>
  <c r="J104" i="11"/>
  <c r="H104" i="13"/>
  <c r="J104" s="1"/>
  <c r="H104" i="17"/>
  <c r="J104" s="1"/>
  <c r="H104" i="25"/>
  <c r="J104" s="1"/>
  <c r="J104" i="5"/>
  <c r="H104" i="19"/>
  <c r="J104" s="1"/>
  <c r="H104" i="20"/>
  <c r="J104" s="1"/>
  <c r="H104" i="16"/>
  <c r="J104" s="1"/>
  <c r="H104" i="27"/>
  <c r="J104" s="1"/>
  <c r="J104" i="2"/>
  <c r="H104" i="12"/>
  <c r="J104" s="1"/>
  <c r="H104" i="24"/>
  <c r="J104" s="1"/>
  <c r="H104" i="28"/>
  <c r="J104" s="1"/>
  <c r="H104" i="43"/>
  <c r="J104" i="4"/>
  <c r="H104" i="15"/>
  <c r="J104" s="1"/>
  <c r="H104" i="14"/>
  <c r="J104" s="1"/>
  <c r="H104" i="29"/>
  <c r="J104" s="1"/>
  <c r="J104" i="3"/>
  <c r="J104" i="7"/>
  <c r="H104" i="40"/>
  <c r="J104" s="1"/>
  <c r="J104" i="8"/>
  <c r="H104" i="18"/>
  <c r="J104" s="1"/>
  <c r="H104" i="22"/>
  <c r="J104" s="1"/>
  <c r="J104" i="33"/>
  <c r="H104" i="23"/>
  <c r="J104" s="1"/>
  <c r="H110" i="12"/>
  <c r="J110" s="1"/>
  <c r="H110" i="15"/>
  <c r="J110" s="1"/>
  <c r="H110" i="20"/>
  <c r="J110" s="1"/>
  <c r="H110" i="43"/>
  <c r="J110" i="33"/>
  <c r="H110" i="18"/>
  <c r="J110" s="1"/>
  <c r="H110" i="24"/>
  <c r="J110" s="1"/>
  <c r="H110" i="40"/>
  <c r="J110" s="1"/>
  <c r="H110" i="23"/>
  <c r="J110" s="1"/>
  <c r="J110" i="8"/>
  <c r="H110" i="29"/>
  <c r="J110" s="1"/>
  <c r="H110" i="30"/>
  <c r="J110" s="1"/>
  <c r="J110" i="11"/>
  <c r="H110" i="19"/>
  <c r="J110" s="1"/>
  <c r="H110" i="28"/>
  <c r="J110" s="1"/>
  <c r="H110" i="16"/>
  <c r="J110" s="1"/>
  <c r="H110" i="27"/>
  <c r="J110" s="1"/>
  <c r="J110" i="9"/>
  <c r="J110" i="7"/>
  <c r="H110" i="21"/>
  <c r="J110" s="1"/>
  <c r="J110" i="2"/>
  <c r="J110" i="3"/>
  <c r="J110" i="5"/>
  <c r="H110" i="13"/>
  <c r="J110" s="1"/>
  <c r="H110" i="25"/>
  <c r="J110" s="1"/>
  <c r="H110" i="22"/>
  <c r="J110" s="1"/>
  <c r="J110" i="4"/>
  <c r="H110" i="17"/>
  <c r="J110" s="1"/>
  <c r="H110" i="14"/>
  <c r="J110" s="1"/>
  <c r="H92" i="2"/>
  <c r="J115" i="7"/>
  <c r="H115" i="15"/>
  <c r="J115" s="1"/>
  <c r="H115" i="24"/>
  <c r="J115" s="1"/>
  <c r="J115" i="8"/>
  <c r="H115" i="13"/>
  <c r="J115" s="1"/>
  <c r="H115" i="17"/>
  <c r="J115" s="1"/>
  <c r="H115" i="23"/>
  <c r="J115" s="1"/>
  <c r="H115" i="25"/>
  <c r="J115" s="1"/>
  <c r="H115" i="30"/>
  <c r="J115" s="1"/>
  <c r="H115" i="29"/>
  <c r="J115" s="1"/>
  <c r="J115" i="5"/>
  <c r="H115" i="28"/>
  <c r="J115" s="1"/>
  <c r="J115" i="9"/>
  <c r="H115" i="43"/>
  <c r="H115" i="16"/>
  <c r="J115" s="1"/>
  <c r="H115" i="20"/>
  <c r="J115" s="1"/>
  <c r="H115" i="21"/>
  <c r="J115" s="1"/>
  <c r="H115" i="12"/>
  <c r="J115" s="1"/>
  <c r="H115" i="18"/>
  <c r="J115" s="1"/>
  <c r="J115" i="2"/>
  <c r="H115" i="22"/>
  <c r="J115" s="1"/>
  <c r="J115" i="3"/>
  <c r="H115" i="19"/>
  <c r="J115" s="1"/>
  <c r="H115" i="14"/>
  <c r="J115" s="1"/>
  <c r="H115" i="40"/>
  <c r="J115" s="1"/>
  <c r="J115" i="33"/>
  <c r="H115" i="27"/>
  <c r="J115" s="1"/>
  <c r="J115" i="11"/>
  <c r="J115" i="4"/>
  <c r="H111" i="19"/>
  <c r="J111" s="1"/>
  <c r="H111" i="21"/>
  <c r="J111" s="1"/>
  <c r="J111" i="7"/>
  <c r="H111" i="14"/>
  <c r="J111" s="1"/>
  <c r="H111" i="15"/>
  <c r="J111" s="1"/>
  <c r="H111" i="27"/>
  <c r="J111" s="1"/>
  <c r="H111" i="23"/>
  <c r="J111" s="1"/>
  <c r="J111" i="33"/>
  <c r="H111" i="18"/>
  <c r="J111" s="1"/>
  <c r="H111" i="40"/>
  <c r="J111" s="1"/>
  <c r="H111" i="13"/>
  <c r="J111" s="1"/>
  <c r="J111" i="5"/>
  <c r="H111" i="29"/>
  <c r="J111" s="1"/>
  <c r="H111" i="22"/>
  <c r="J111" s="1"/>
  <c r="J111" i="2"/>
  <c r="J111" i="11"/>
  <c r="H111" i="28"/>
  <c r="J111" s="1"/>
  <c r="H111" i="20"/>
  <c r="J111" s="1"/>
  <c r="H111" i="24"/>
  <c r="J111" s="1"/>
  <c r="H111" i="12"/>
  <c r="J111" s="1"/>
  <c r="J111" i="8"/>
  <c r="J111" i="3"/>
  <c r="H111" i="16"/>
  <c r="J111" s="1"/>
  <c r="H111" i="17"/>
  <c r="J111" s="1"/>
  <c r="H111" i="30"/>
  <c r="J111" s="1"/>
  <c r="H111" i="43"/>
  <c r="H111" i="25"/>
  <c r="J111" s="1"/>
  <c r="J111" i="4"/>
  <c r="J111" i="9"/>
  <c r="W4" i="1"/>
  <c r="G119" i="2"/>
  <c r="H119" s="1"/>
  <c r="H117" i="13"/>
  <c r="J117" s="1"/>
  <c r="J117" i="5"/>
  <c r="H117" i="43"/>
  <c r="H117" i="29"/>
  <c r="J117" s="1"/>
  <c r="H117" i="12"/>
  <c r="J117" s="1"/>
  <c r="H117" i="28"/>
  <c r="J117" s="1"/>
  <c r="H117" i="16"/>
  <c r="J117" s="1"/>
  <c r="J117" i="33"/>
  <c r="J117" i="8"/>
  <c r="H117" i="15"/>
  <c r="J117" s="1"/>
  <c r="J117" i="7"/>
  <c r="H117" i="24"/>
  <c r="J117" s="1"/>
  <c r="H117" i="23"/>
  <c r="J117" s="1"/>
  <c r="H117" i="25"/>
  <c r="J117" s="1"/>
  <c r="H117" i="18"/>
  <c r="J117" s="1"/>
  <c r="H117" i="27"/>
  <c r="J117" s="1"/>
  <c r="H117" i="20"/>
  <c r="J117" s="1"/>
  <c r="J117" i="4"/>
  <c r="H117" i="14"/>
  <c r="J117" s="1"/>
  <c r="H117" i="21"/>
  <c r="J117" s="1"/>
  <c r="H117" i="30"/>
  <c r="J117" s="1"/>
  <c r="J117" i="9"/>
  <c r="H117" i="40"/>
  <c r="J117" s="1"/>
  <c r="J117" i="11"/>
  <c r="H117" i="22"/>
  <c r="J117" s="1"/>
  <c r="H117" i="19"/>
  <c r="J117" s="1"/>
  <c r="J117" i="2"/>
  <c r="J117" i="3"/>
  <c r="H117" i="17"/>
  <c r="J117" s="1"/>
  <c r="J120" i="3"/>
  <c r="X4" i="1"/>
  <c r="H118" i="25"/>
  <c r="J118" s="1"/>
  <c r="H98" i="2"/>
  <c r="H98" i="3" s="1"/>
  <c r="H119" i="25"/>
  <c r="J119" s="1"/>
  <c r="H19" i="2"/>
  <c r="J19" s="1"/>
  <c r="G118"/>
  <c r="H118" s="1"/>
  <c r="H105" i="15"/>
  <c r="J105" s="1"/>
  <c r="H105" i="16"/>
  <c r="J105" s="1"/>
  <c r="H105" i="20"/>
  <c r="J105" s="1"/>
  <c r="H105" i="24"/>
  <c r="J105" s="1"/>
  <c r="J105" i="7"/>
  <c r="H105" i="12"/>
  <c r="J105" s="1"/>
  <c r="H105" i="23"/>
  <c r="J105" s="1"/>
  <c r="H105" i="27"/>
  <c r="J105" s="1"/>
  <c r="J105" i="8"/>
  <c r="J105" i="33"/>
  <c r="H105" i="14"/>
  <c r="J105" s="1"/>
  <c r="H105" i="19"/>
  <c r="J105" s="1"/>
  <c r="H105" i="22"/>
  <c r="J105" s="1"/>
  <c r="H105" i="30"/>
  <c r="J105" s="1"/>
  <c r="J105" i="11"/>
  <c r="H105" i="43"/>
  <c r="J105" i="2"/>
  <c r="H105" i="13"/>
  <c r="J105" s="1"/>
  <c r="H105" i="18"/>
  <c r="J105" s="1"/>
  <c r="H105" i="40"/>
  <c r="J105" s="1"/>
  <c r="J105" i="5"/>
  <c r="J105" i="3"/>
  <c r="H105" i="17"/>
  <c r="J105" s="1"/>
  <c r="J105" i="9"/>
  <c r="H105" i="29"/>
  <c r="J105" s="1"/>
  <c r="H105" i="28"/>
  <c r="J105" s="1"/>
  <c r="J105" i="4"/>
  <c r="H105" i="25"/>
  <c r="J105" s="1"/>
  <c r="H105" i="21"/>
  <c r="J105" s="1"/>
  <c r="H116" i="12"/>
  <c r="J116" s="1"/>
  <c r="H116" i="20"/>
  <c r="J116" s="1"/>
  <c r="H116" i="16"/>
  <c r="J116" s="1"/>
  <c r="H116" i="18"/>
  <c r="J116" s="1"/>
  <c r="H116" i="40"/>
  <c r="J116" s="1"/>
  <c r="H116" i="23"/>
  <c r="J116" s="1"/>
  <c r="J116" i="11"/>
  <c r="H116" i="24"/>
  <c r="J116" s="1"/>
  <c r="J116" i="8"/>
  <c r="H116" i="27"/>
  <c r="J116" s="1"/>
  <c r="H116" i="19"/>
  <c r="J116" s="1"/>
  <c r="J116" i="4"/>
  <c r="J116" i="5"/>
  <c r="H116" i="17"/>
  <c r="J116" s="1"/>
  <c r="J116" i="2"/>
  <c r="H116" i="15"/>
  <c r="J116" s="1"/>
  <c r="J116" i="9"/>
  <c r="J116" i="3"/>
  <c r="H116" i="22"/>
  <c r="J116" s="1"/>
  <c r="J116" i="7"/>
  <c r="H116" i="25"/>
  <c r="J116" s="1"/>
  <c r="J116" i="33"/>
  <c r="H116" i="21"/>
  <c r="J116" s="1"/>
  <c r="H116" i="14"/>
  <c r="J116" s="1"/>
  <c r="H116" i="13"/>
  <c r="J116" s="1"/>
  <c r="H116" i="43"/>
  <c r="H116" i="30"/>
  <c r="J116" s="1"/>
  <c r="H116" i="28"/>
  <c r="J116" s="1"/>
  <c r="H116" i="29"/>
  <c r="J116" s="1"/>
  <c r="H100" i="2"/>
  <c r="J100" s="1"/>
  <c r="J120" i="8"/>
  <c r="H120" i="15"/>
  <c r="J120" s="1"/>
  <c r="H120" i="22"/>
  <c r="J120" s="1"/>
  <c r="H120" i="24"/>
  <c r="J120" s="1"/>
  <c r="H120" i="40"/>
  <c r="J120" s="1"/>
  <c r="J120" i="9"/>
  <c r="J120" i="33"/>
  <c r="H120" i="14"/>
  <c r="J120" s="1"/>
  <c r="J120" i="7"/>
  <c r="H120" i="16"/>
  <c r="J120" s="1"/>
  <c r="J120" i="11"/>
  <c r="J120" i="2"/>
  <c r="H120" i="18"/>
  <c r="J120" s="1"/>
  <c r="H120" i="19"/>
  <c r="J120" s="1"/>
  <c r="H120" i="23"/>
  <c r="J120" s="1"/>
  <c r="H120" i="25"/>
  <c r="J120" s="1"/>
  <c r="J120" i="5"/>
  <c r="H120" i="27"/>
  <c r="J120" s="1"/>
  <c r="J120" i="4"/>
  <c r="H120" i="28"/>
  <c r="J120" s="1"/>
  <c r="H120" i="29"/>
  <c r="J120" s="1"/>
  <c r="H120" i="20"/>
  <c r="J120" s="1"/>
  <c r="H120" i="13"/>
  <c r="J120" s="1"/>
  <c r="H120" i="21"/>
  <c r="J120" s="1"/>
  <c r="H120" i="17"/>
  <c r="J120" s="1"/>
  <c r="H120" i="30"/>
  <c r="J120" s="1"/>
  <c r="H120" i="12"/>
  <c r="J120" s="1"/>
  <c r="H106" i="17"/>
  <c r="J106" s="1"/>
  <c r="H106" i="25"/>
  <c r="J106" s="1"/>
  <c r="H106" i="19"/>
  <c r="J106" s="1"/>
  <c r="H106" i="22"/>
  <c r="J106" s="1"/>
  <c r="J106" i="9"/>
  <c r="H106" i="15"/>
  <c r="J106" s="1"/>
  <c r="J106" i="7"/>
  <c r="H106" i="18"/>
  <c r="J106" s="1"/>
  <c r="H106" i="23"/>
  <c r="J106" s="1"/>
  <c r="H106" i="40"/>
  <c r="J106" s="1"/>
  <c r="J106" i="11"/>
  <c r="H106" i="12"/>
  <c r="J106" s="1"/>
  <c r="H106" i="30"/>
  <c r="J106" s="1"/>
  <c r="H106" i="14"/>
  <c r="J106" s="1"/>
  <c r="J106" i="33"/>
  <c r="H106" i="24"/>
  <c r="J106" s="1"/>
  <c r="J106" i="4"/>
  <c r="H106" i="29"/>
  <c r="J106" s="1"/>
  <c r="J106" i="8"/>
  <c r="H106" i="43"/>
  <c r="H106" i="27"/>
  <c r="J106" s="1"/>
  <c r="H106" i="28"/>
  <c r="J106" s="1"/>
  <c r="H106" i="16"/>
  <c r="J106" s="1"/>
  <c r="H106" i="20"/>
  <c r="J106" s="1"/>
  <c r="H106" i="13"/>
  <c r="J106" s="1"/>
  <c r="H106" i="21"/>
  <c r="J106" s="1"/>
  <c r="J106" i="2"/>
  <c r="J106" i="5"/>
  <c r="J106" i="3"/>
  <c r="AA4" i="44"/>
  <c r="H112" i="24"/>
  <c r="J112" s="1"/>
  <c r="H112" i="14"/>
  <c r="J112" s="1"/>
  <c r="H112" i="23"/>
  <c r="J112" s="1"/>
  <c r="J112" i="5"/>
  <c r="J112" i="2"/>
  <c r="J112" i="8"/>
  <c r="H112" i="19"/>
  <c r="J112" s="1"/>
  <c r="J112" i="7"/>
  <c r="J112" i="9"/>
  <c r="H112" i="25"/>
  <c r="J112" s="1"/>
  <c r="H112" i="16"/>
  <c r="J112" s="1"/>
  <c r="J112" i="33"/>
  <c r="H112" i="40"/>
  <c r="J112" s="1"/>
  <c r="H112" i="27"/>
  <c r="J112" s="1"/>
  <c r="H112" i="15"/>
  <c r="J112" s="1"/>
  <c r="H112" i="30"/>
  <c r="J112" s="1"/>
  <c r="H112" i="12"/>
  <c r="J112" s="1"/>
  <c r="H112" i="17"/>
  <c r="J112" s="1"/>
  <c r="H112" i="22"/>
  <c r="J112" s="1"/>
  <c r="H112" i="43"/>
  <c r="J112" i="11"/>
  <c r="H112" i="18"/>
  <c r="J112" s="1"/>
  <c r="J112" i="4"/>
  <c r="J112" i="3"/>
  <c r="H112" i="28"/>
  <c r="J112" s="1"/>
  <c r="H112" i="29"/>
  <c r="J112" s="1"/>
  <c r="H112" i="21"/>
  <c r="J112" s="1"/>
  <c r="H112" i="13"/>
  <c r="J112" s="1"/>
  <c r="H112" i="20"/>
  <c r="J112" s="1"/>
  <c r="F119" i="13"/>
  <c r="G119"/>
  <c r="F118" i="16"/>
  <c r="G118"/>
  <c r="H118" s="1"/>
  <c r="J118" s="1"/>
  <c r="F119"/>
  <c r="G119"/>
  <c r="H119" s="1"/>
  <c r="J119" s="1"/>
  <c r="F118" i="23"/>
  <c r="G118"/>
  <c r="F118" i="8"/>
  <c r="G118"/>
  <c r="G119" i="9"/>
  <c r="G119" i="11"/>
  <c r="G118" i="15"/>
  <c r="H118" s="1"/>
  <c r="J118" s="1"/>
  <c r="F119" i="17"/>
  <c r="G119"/>
  <c r="H119" s="1"/>
  <c r="J119" s="1"/>
  <c r="F118" i="20"/>
  <c r="G118"/>
  <c r="H118" s="1"/>
  <c r="J118" s="1"/>
  <c r="F119" i="40"/>
  <c r="F119" i="8"/>
  <c r="G119"/>
  <c r="G118" i="11"/>
  <c r="F119" i="18"/>
  <c r="G119"/>
  <c r="H119" s="1"/>
  <c r="J119" s="1"/>
  <c r="G119" i="33"/>
  <c r="F119" i="7"/>
  <c r="G119"/>
  <c r="F118" i="13"/>
  <c r="F118" i="24"/>
  <c r="G118"/>
  <c r="H118" s="1"/>
  <c r="J118" s="1"/>
  <c r="F119"/>
  <c r="G119"/>
  <c r="H119" s="1"/>
  <c r="J119" s="1"/>
  <c r="F119" i="28"/>
  <c r="G119"/>
  <c r="H119" s="1"/>
  <c r="J119" s="1"/>
  <c r="F119" i="5"/>
  <c r="G119"/>
  <c r="F119" i="21"/>
  <c r="G119"/>
  <c r="H119" s="1"/>
  <c r="J119" s="1"/>
  <c r="G119" i="30"/>
  <c r="F118" i="7"/>
  <c r="G118"/>
  <c r="F119" i="15"/>
  <c r="G119"/>
  <c r="H119" s="1"/>
  <c r="J119" s="1"/>
  <c r="F118" i="19"/>
  <c r="G118"/>
  <c r="H118" s="1"/>
  <c r="J118" s="1"/>
  <c r="F118" i="21"/>
  <c r="G118"/>
  <c r="H118" s="1"/>
  <c r="J118" s="1"/>
  <c r="F118" i="27"/>
  <c r="G118"/>
  <c r="H118" s="1"/>
  <c r="J118" s="1"/>
  <c r="F118" i="28"/>
  <c r="G118"/>
  <c r="H118" s="1"/>
  <c r="J118" s="1"/>
  <c r="F119" i="4"/>
  <c r="G119"/>
  <c r="F118" i="9"/>
  <c r="G118"/>
  <c r="G119" i="14"/>
  <c r="H119" s="1"/>
  <c r="J119" s="1"/>
  <c r="F119"/>
  <c r="G119" i="22"/>
  <c r="H119" s="1"/>
  <c r="J119" s="1"/>
  <c r="F119"/>
  <c r="F119" i="29"/>
  <c r="N119" s="1"/>
  <c r="G119"/>
  <c r="H119" s="1"/>
  <c r="J119" s="1"/>
  <c r="G118" i="4"/>
  <c r="G119" i="12"/>
  <c r="F118" i="14"/>
  <c r="G118"/>
  <c r="H118" s="1"/>
  <c r="J118" s="1"/>
  <c r="F119" i="19"/>
  <c r="G119"/>
  <c r="H119" s="1"/>
  <c r="J119" s="1"/>
  <c r="F118" i="22"/>
  <c r="G118"/>
  <c r="F119" i="23"/>
  <c r="G118" i="5"/>
  <c r="F119" i="20"/>
  <c r="G119"/>
  <c r="H119" s="1"/>
  <c r="J119" s="1"/>
  <c r="G118" i="18"/>
  <c r="H118" s="1"/>
  <c r="J118" s="1"/>
  <c r="F118"/>
  <c r="F118" i="12"/>
  <c r="G118"/>
  <c r="G118" i="40"/>
  <c r="H118" s="1"/>
  <c r="J118" s="1"/>
  <c r="F118"/>
  <c r="F119" i="27"/>
  <c r="G119"/>
  <c r="H119" s="1"/>
  <c r="J119" s="1"/>
  <c r="G118" i="29"/>
  <c r="H118" s="1"/>
  <c r="J118" s="1"/>
  <c r="F118" i="17"/>
  <c r="G118"/>
  <c r="H118" s="1"/>
  <c r="J118" s="1"/>
  <c r="F118" i="3"/>
  <c r="G118"/>
  <c r="H118" s="1"/>
  <c r="G119"/>
  <c r="E11" i="35"/>
  <c r="G11" s="1"/>
  <c r="W19" i="1"/>
  <c r="W8"/>
  <c r="W9"/>
  <c r="W30"/>
  <c r="W18"/>
  <c r="W20"/>
  <c r="G198" i="11"/>
  <c r="W23" i="1"/>
  <c r="E17" i="35"/>
  <c r="G17" s="1"/>
  <c r="E15"/>
  <c r="G15" s="1"/>
  <c r="E16"/>
  <c r="G16" s="1"/>
  <c r="W24" i="1"/>
  <c r="W31"/>
  <c r="W33"/>
  <c r="E12" i="35"/>
  <c r="G12" s="1"/>
  <c r="W21" i="1"/>
  <c r="W25"/>
  <c r="W22"/>
  <c r="E10" i="35"/>
  <c r="G10" s="1"/>
  <c r="W29" i="1"/>
  <c r="E13" i="35"/>
  <c r="G13" s="1"/>
  <c r="G101" i="11"/>
  <c r="AL5" i="1"/>
  <c r="I140" i="3"/>
  <c r="AH8" i="1"/>
  <c r="I136" i="33"/>
  <c r="AH7" i="1"/>
  <c r="I136" i="5"/>
  <c r="AL7" i="1"/>
  <c r="I139" i="5"/>
  <c r="AM6" i="1"/>
  <c r="AO6" s="1"/>
  <c r="I140" i="4"/>
  <c r="I135"/>
  <c r="AH9" i="1"/>
  <c r="I136" i="7"/>
  <c r="AA7" i="1"/>
  <c r="I133" i="5"/>
  <c r="L21" i="27"/>
  <c r="AH5" i="1"/>
  <c r="I138" i="3"/>
  <c r="AL8" i="1"/>
  <c r="I139" i="33"/>
  <c r="AM9" i="1"/>
  <c r="AO9" s="1"/>
  <c r="I139" i="7"/>
  <c r="I133" i="3"/>
  <c r="AH6" i="1"/>
  <c r="I138" i="4"/>
  <c r="AC33" i="44"/>
  <c r="AP33" i="1"/>
  <c r="AA9"/>
  <c r="AE9" s="1"/>
  <c r="I133" i="7"/>
  <c r="AI10" i="1"/>
  <c r="I136" i="8"/>
  <c r="I133"/>
  <c r="AM10" i="1"/>
  <c r="AO10" s="1"/>
  <c r="I139" i="8"/>
  <c r="I4" i="35"/>
  <c r="Z4" i="44"/>
  <c r="AT18" i="1"/>
  <c r="AQ7"/>
  <c r="AS7"/>
  <c r="AQ8"/>
  <c r="AX8"/>
  <c r="AB9" i="44"/>
  <c r="AT9" i="1"/>
  <c r="AY9"/>
  <c r="BI9"/>
  <c r="I9" i="35"/>
  <c r="Z9" i="44"/>
  <c r="AS11" i="1"/>
  <c r="AZ12"/>
  <c r="AU12"/>
  <c r="AY12"/>
  <c r="BI12"/>
  <c r="I12" i="35"/>
  <c r="Z12" i="44"/>
  <c r="AB13"/>
  <c r="AB17"/>
  <c r="AV17" i="1"/>
  <c r="AV18"/>
  <c r="AU20"/>
  <c r="AY20"/>
  <c r="BI20"/>
  <c r="AQ22"/>
  <c r="AT22"/>
  <c r="AX22"/>
  <c r="AV23"/>
  <c r="AU25"/>
  <c r="AY25"/>
  <c r="BI25"/>
  <c r="AU26"/>
  <c r="AY26"/>
  <c r="BI26"/>
  <c r="AU30"/>
  <c r="AY30"/>
  <c r="BI30"/>
  <c r="AQ31"/>
  <c r="AY32"/>
  <c r="AY16"/>
  <c r="AU16"/>
  <c r="AZ16"/>
  <c r="AY19"/>
  <c r="AT19"/>
  <c r="BI19"/>
  <c r="AV24"/>
  <c r="AZ24"/>
  <c r="AB7" i="44"/>
  <c r="I7" i="35"/>
  <c r="Z6" i="44"/>
  <c r="BE6" i="1"/>
  <c r="BI6"/>
  <c r="AY6"/>
  <c r="I10" i="35"/>
  <c r="Z10" i="44"/>
  <c r="BI10" i="1"/>
  <c r="AY10"/>
  <c r="AU10"/>
  <c r="BI13"/>
  <c r="AY14"/>
  <c r="AU14"/>
  <c r="AS15"/>
  <c r="AX13"/>
  <c r="AS5"/>
  <c r="AR29"/>
  <c r="AV28"/>
  <c r="BJ28" s="1"/>
  <c r="AR28"/>
  <c r="AY7"/>
  <c r="BI7"/>
  <c r="AY8"/>
  <c r="AU8"/>
  <c r="AZ8"/>
  <c r="AB8" i="44"/>
  <c r="AS9" i="1"/>
  <c r="AX9"/>
  <c r="AB11" i="44"/>
  <c r="AQ12" i="1"/>
  <c r="AT12"/>
  <c r="AB15" i="44"/>
  <c r="AB16"/>
  <c r="AZ17" i="1"/>
  <c r="AU17"/>
  <c r="AY17"/>
  <c r="AU18"/>
  <c r="AY18"/>
  <c r="I18" i="35"/>
  <c r="Z18" i="44"/>
  <c r="AQ20" i="1"/>
  <c r="AX20"/>
  <c r="AZ21"/>
  <c r="AV21"/>
  <c r="AS22"/>
  <c r="AZ23"/>
  <c r="AU23"/>
  <c r="AY23"/>
  <c r="BI23"/>
  <c r="AQ24"/>
  <c r="AQ25"/>
  <c r="AT25"/>
  <c r="AX25"/>
  <c r="AQ26"/>
  <c r="AX26"/>
  <c r="AT30"/>
  <c r="BA30"/>
  <c r="AS31"/>
  <c r="AQ32"/>
  <c r="AT32"/>
  <c r="AV16"/>
  <c r="AR16"/>
  <c r="AV19"/>
  <c r="BJ19" s="1"/>
  <c r="AZ19"/>
  <c r="AR24"/>
  <c r="AR6"/>
  <c r="AV10"/>
  <c r="AR10"/>
  <c r="AB10" i="44"/>
  <c r="AV14" i="1"/>
  <c r="AR14"/>
  <c r="AX15"/>
  <c r="AT15"/>
  <c r="AY13"/>
  <c r="AU13"/>
  <c r="BI5"/>
  <c r="AS29"/>
  <c r="I5" i="35"/>
  <c r="Z5" i="44"/>
  <c r="AU7" i="1"/>
  <c r="AV8"/>
  <c r="BJ8" s="1"/>
  <c r="I9"/>
  <c r="AR9"/>
  <c r="I11"/>
  <c r="AZ11"/>
  <c r="AU11"/>
  <c r="AY11"/>
  <c r="BI11"/>
  <c r="I13"/>
  <c r="E11" i="47" s="1"/>
  <c r="AB14" i="44"/>
  <c r="AQ17" i="1"/>
  <c r="AT17"/>
  <c r="AX17"/>
  <c r="AS18"/>
  <c r="AX18"/>
  <c r="AY21"/>
  <c r="BI21"/>
  <c r="BE21"/>
  <c r="AV22"/>
  <c r="BI22"/>
  <c r="AT23"/>
  <c r="AX23"/>
  <c r="AS25"/>
  <c r="BI28"/>
  <c r="AS30"/>
  <c r="G152" i="29"/>
  <c r="AV31" i="1"/>
  <c r="AS32"/>
  <c r="AR19"/>
  <c r="AX24"/>
  <c r="AS24"/>
  <c r="AR7"/>
  <c r="AS6"/>
  <c r="AB6" i="44"/>
  <c r="AS10" i="1"/>
  <c r="AS14"/>
  <c r="AY15"/>
  <c r="AU15"/>
  <c r="AZ15"/>
  <c r="AV13"/>
  <c r="BJ13" s="1"/>
  <c r="AR13"/>
  <c r="AQ5"/>
  <c r="AU5"/>
  <c r="AY5"/>
  <c r="AX29"/>
  <c r="AU19"/>
  <c r="AX28"/>
  <c r="AT28"/>
  <c r="AB34" i="44"/>
  <c r="AS8" i="1"/>
  <c r="BI8"/>
  <c r="AU9"/>
  <c r="AT11"/>
  <c r="AX11"/>
  <c r="I11" i="35"/>
  <c r="Z11" i="44"/>
  <c r="AQ13" i="1"/>
  <c r="AQ15"/>
  <c r="AS17"/>
  <c r="AB18" i="44"/>
  <c r="AR20" i="1"/>
  <c r="AV20"/>
  <c r="AS21"/>
  <c r="AX21"/>
  <c r="AU22"/>
  <c r="AY22"/>
  <c r="AR25"/>
  <c r="AV25"/>
  <c r="AR26"/>
  <c r="AV26"/>
  <c r="BJ26" s="1"/>
  <c r="AQ29"/>
  <c r="AR30"/>
  <c r="AZ31"/>
  <c r="AU31"/>
  <c r="AY31"/>
  <c r="BI31"/>
  <c r="AR32"/>
  <c r="AX16"/>
  <c r="AT16"/>
  <c r="AX19"/>
  <c r="AS19"/>
  <c r="AY24"/>
  <c r="BE24"/>
  <c r="BI24"/>
  <c r="AX7"/>
  <c r="AQ6"/>
  <c r="AX10"/>
  <c r="AQ10"/>
  <c r="AX14"/>
  <c r="AT14"/>
  <c r="BI14"/>
  <c r="AV15"/>
  <c r="AR15"/>
  <c r="I18"/>
  <c r="E16" i="47" s="1"/>
  <c r="AY29" i="1"/>
  <c r="AU29"/>
  <c r="AZ29"/>
  <c r="AY28"/>
  <c r="AU28"/>
  <c r="AX30"/>
  <c r="AX31"/>
  <c r="I20"/>
  <c r="G143" i="18"/>
  <c r="H63" i="2"/>
  <c r="H125"/>
  <c r="J125" s="1"/>
  <c r="AE4" i="44"/>
  <c r="AP8" i="1"/>
  <c r="AC8" i="44"/>
  <c r="AP9" i="1"/>
  <c r="AC9" i="44"/>
  <c r="AP12" i="1"/>
  <c r="AC12" i="44"/>
  <c r="H18" i="35"/>
  <c r="BK19" i="1"/>
  <c r="AA19" i="44"/>
  <c r="M21" i="1"/>
  <c r="AB21" i="44"/>
  <c r="B20"/>
  <c r="B21"/>
  <c r="BK21" i="1"/>
  <c r="AA21" i="44"/>
  <c r="M23" i="1"/>
  <c r="AB23" i="44"/>
  <c r="M25" i="1"/>
  <c r="AB25" i="44"/>
  <c r="BK25" i="1"/>
  <c r="AA25" i="44"/>
  <c r="BK26" i="1"/>
  <c r="AA26" i="44"/>
  <c r="M29" i="1"/>
  <c r="AB29" i="44"/>
  <c r="H80" i="2"/>
  <c r="J80" s="1"/>
  <c r="J4" i="44"/>
  <c r="H73" i="2"/>
  <c r="H73" i="3" s="1"/>
  <c r="H73" i="4" s="1"/>
  <c r="J73" s="1"/>
  <c r="C4" i="44"/>
  <c r="M16" i="35"/>
  <c r="O16" s="1"/>
  <c r="B16" i="44"/>
  <c r="BK16" i="1"/>
  <c r="AA16" i="44"/>
  <c r="AP6" i="1"/>
  <c r="AC6" i="44"/>
  <c r="BK15" i="1"/>
  <c r="AA15" i="44"/>
  <c r="D17"/>
  <c r="BK32" i="1"/>
  <c r="AA32" i="44"/>
  <c r="D34"/>
  <c r="E34"/>
  <c r="H66" i="2"/>
  <c r="H66" i="3" s="1"/>
  <c r="H79" i="2"/>
  <c r="J79" s="1"/>
  <c r="I4" i="44"/>
  <c r="H62" i="2"/>
  <c r="J62" s="1"/>
  <c r="AP5" i="1"/>
  <c r="AC5" i="44"/>
  <c r="AB19"/>
  <c r="M19" i="1"/>
  <c r="M20"/>
  <c r="AB20" i="44"/>
  <c r="G128" i="18"/>
  <c r="G57"/>
  <c r="BH20" i="1" s="1"/>
  <c r="AP20"/>
  <c r="AC20" i="44"/>
  <c r="G7" i="19"/>
  <c r="G37"/>
  <c r="M22" i="1"/>
  <c r="AB22" i="44"/>
  <c r="BK23" i="1"/>
  <c r="AA23" i="44"/>
  <c r="AP24" i="1"/>
  <c r="AC24" i="44"/>
  <c r="AP28" i="1"/>
  <c r="AC28" i="44"/>
  <c r="BK29" i="1"/>
  <c r="AA29" i="44"/>
  <c r="AP30" i="1"/>
  <c r="AC30" i="44"/>
  <c r="H81" i="2"/>
  <c r="J81" s="1"/>
  <c r="K4" i="44"/>
  <c r="H75" i="2"/>
  <c r="H75" i="3" s="1"/>
  <c r="E4" i="44"/>
  <c r="BK13" i="1"/>
  <c r="AA11" i="44"/>
  <c r="M15" i="35"/>
  <c r="O15" s="1"/>
  <c r="B15" i="44"/>
  <c r="BK10" i="1"/>
  <c r="AA10" i="44"/>
  <c r="M10" i="35"/>
  <c r="O10" s="1"/>
  <c r="B10" i="44"/>
  <c r="E17"/>
  <c r="M33" i="1"/>
  <c r="AB33" i="44"/>
  <c r="H65" i="2"/>
  <c r="J65" s="1"/>
  <c r="H76"/>
  <c r="H76" i="3" s="1"/>
  <c r="F4" i="44"/>
  <c r="H67" i="2"/>
  <c r="J67" s="1"/>
  <c r="H127"/>
  <c r="H127" i="3" s="1"/>
  <c r="J127" s="1"/>
  <c r="AP7" i="1"/>
  <c r="AC7" i="44"/>
  <c r="H11" i="35"/>
  <c r="AP15" i="1"/>
  <c r="AC15" i="44"/>
  <c r="AP16" i="1"/>
  <c r="AC16" i="44"/>
  <c r="AP19" i="1"/>
  <c r="AC19" i="44"/>
  <c r="G56" i="18"/>
  <c r="AM20" i="1"/>
  <c r="AP21"/>
  <c r="AC21" i="44"/>
  <c r="BK22" i="1"/>
  <c r="AA22" i="44"/>
  <c r="AP22" i="1"/>
  <c r="AC22" i="44"/>
  <c r="M24" i="1"/>
  <c r="AB24" i="44"/>
  <c r="AP25" i="1"/>
  <c r="AC25" i="44"/>
  <c r="M26" i="1"/>
  <c r="AB26" i="44"/>
  <c r="AP26" i="1"/>
  <c r="AC26" i="44"/>
  <c r="BK28" i="1"/>
  <c r="AA28" i="44"/>
  <c r="M31" i="1"/>
  <c r="AB31" i="44"/>
  <c r="AH31" s="1"/>
  <c r="AO31" s="1"/>
  <c r="AP32" i="1"/>
  <c r="AC32" i="44"/>
  <c r="H82" i="2"/>
  <c r="J82" s="1"/>
  <c r="L4" i="44"/>
  <c r="H77" i="2"/>
  <c r="J77" s="1"/>
  <c r="G4" i="44"/>
  <c r="BK5" i="1"/>
  <c r="AA5" i="44"/>
  <c r="BK9" i="1"/>
  <c r="AA9" i="44"/>
  <c r="M14" i="35"/>
  <c r="O14" s="1"/>
  <c r="B14" i="44"/>
  <c r="BK14" i="1"/>
  <c r="AA14" i="44"/>
  <c r="BK33" i="1"/>
  <c r="AA34" i="44"/>
  <c r="AC34"/>
  <c r="H74" i="2"/>
  <c r="J74" s="1"/>
  <c r="D4" i="44"/>
  <c r="H64" i="2"/>
  <c r="J64" s="1"/>
  <c r="H126"/>
  <c r="H126" i="3" s="1"/>
  <c r="J126" s="1"/>
  <c r="AF4" i="44"/>
  <c r="AP4" i="1"/>
  <c r="AC4" i="44"/>
  <c r="AB4"/>
  <c r="H9" i="35"/>
  <c r="AB12" i="44"/>
  <c r="H12" i="35"/>
  <c r="AP13" i="1"/>
  <c r="AP14"/>
  <c r="AC14" i="44"/>
  <c r="G39" i="18"/>
  <c r="BK20" i="1"/>
  <c r="AA20" i="44"/>
  <c r="G39" i="19"/>
  <c r="AP23" i="1"/>
  <c r="AC23" i="44"/>
  <c r="M28" i="1"/>
  <c r="AB28" i="44"/>
  <c r="AP29" i="1"/>
  <c r="AC29" i="44"/>
  <c r="M30" i="1"/>
  <c r="AB30" i="44"/>
  <c r="BK30" i="1"/>
  <c r="AA30" i="44"/>
  <c r="M32" i="1"/>
  <c r="AB32" i="44"/>
  <c r="AP11" i="1"/>
  <c r="AC11" i="44"/>
  <c r="H83" i="2"/>
  <c r="J83" s="1"/>
  <c r="N4" i="44"/>
  <c r="H78" i="2"/>
  <c r="H78" i="3" s="1"/>
  <c r="H4" i="44"/>
  <c r="D7"/>
  <c r="E7"/>
  <c r="BK8" i="1"/>
  <c r="AA8" i="44"/>
  <c r="M13" i="35"/>
  <c r="O13" s="1"/>
  <c r="B13" i="44"/>
  <c r="BK24" i="1"/>
  <c r="AA24" i="44"/>
  <c r="H7" i="35"/>
  <c r="AP10" i="1"/>
  <c r="AC10" i="44"/>
  <c r="H10" i="35"/>
  <c r="B17" i="44"/>
  <c r="H124" i="2"/>
  <c r="J124" s="1"/>
  <c r="AD4" i="44"/>
  <c r="AP17" i="1"/>
  <c r="AC17" i="44"/>
  <c r="AP18" i="1"/>
  <c r="AC18" i="44"/>
  <c r="BK18" i="1"/>
  <c r="AA18" i="44"/>
  <c r="BK17" i="1"/>
  <c r="AA17" i="44"/>
  <c r="N17"/>
  <c r="L17"/>
  <c r="K17"/>
  <c r="J17"/>
  <c r="I17"/>
  <c r="H17"/>
  <c r="G17"/>
  <c r="F17"/>
  <c r="M18" i="35"/>
  <c r="C18" i="44"/>
  <c r="M17" i="35"/>
  <c r="C17" i="44"/>
  <c r="G128" i="11"/>
  <c r="H46" i="2"/>
  <c r="J46" s="1"/>
  <c r="M4" i="1"/>
  <c r="G128" i="12"/>
  <c r="P128" s="1"/>
  <c r="G128" i="28"/>
  <c r="G128" i="15"/>
  <c r="G128" i="24"/>
  <c r="G128" i="27"/>
  <c r="G128" i="19"/>
  <c r="G128" i="21"/>
  <c r="G128" i="29"/>
  <c r="G128" i="17"/>
  <c r="H128" s="1"/>
  <c r="G128" i="40"/>
  <c r="G128" i="43"/>
  <c r="G128" i="14"/>
  <c r="G128" i="23"/>
  <c r="O128" s="1"/>
  <c r="M18" i="1"/>
  <c r="G128" i="16"/>
  <c r="G128" i="20"/>
  <c r="G128" i="5"/>
  <c r="G128" i="7"/>
  <c r="M10" i="1"/>
  <c r="G128" i="8"/>
  <c r="G128" i="9"/>
  <c r="G128" i="4"/>
  <c r="G128" i="13"/>
  <c r="G52" i="20"/>
  <c r="W13" i="1"/>
  <c r="G8" i="35"/>
  <c r="Q36" i="1"/>
  <c r="I27"/>
  <c r="E25" i="47" s="1"/>
  <c r="AO24" i="1"/>
  <c r="G148" i="21"/>
  <c r="G149" s="1"/>
  <c r="G20" i="19"/>
  <c r="P21" i="1" s="1"/>
  <c r="G20" i="24"/>
  <c r="V30" i="1"/>
  <c r="V21"/>
  <c r="V9"/>
  <c r="V8"/>
  <c r="V33"/>
  <c r="G94" i="11"/>
  <c r="G148" i="16"/>
  <c r="G149" s="1"/>
  <c r="G94" i="28"/>
  <c r="G148" i="43"/>
  <c r="AT4" i="1"/>
  <c r="G146" i="29"/>
  <c r="G148" i="28"/>
  <c r="G149" s="1"/>
  <c r="G20" i="40"/>
  <c r="AJ27" i="1"/>
  <c r="AJ28"/>
  <c r="G152" i="43"/>
  <c r="O27" i="1"/>
  <c r="G20" i="22"/>
  <c r="P24" i="1" s="1"/>
  <c r="G20" i="21"/>
  <c r="BB36" i="1"/>
  <c r="BF36"/>
  <c r="G94" i="27"/>
  <c r="G152" i="24"/>
  <c r="G153" s="1"/>
  <c r="G150" i="40"/>
  <c r="G151" s="1"/>
  <c r="G20" i="13"/>
  <c r="G152" i="18"/>
  <c r="G153" s="1"/>
  <c r="V31" i="1"/>
  <c r="V28"/>
  <c r="I138" i="24"/>
  <c r="G146" i="40"/>
  <c r="G147" s="1"/>
  <c r="V7" i="1"/>
  <c r="I138" i="40"/>
  <c r="G146" i="22"/>
  <c r="G147" s="1"/>
  <c r="AE29" i="1"/>
  <c r="G13" i="28"/>
  <c r="I13" s="1"/>
  <c r="G148" i="30"/>
  <c r="BC32" i="1"/>
  <c r="V6"/>
  <c r="AS23"/>
  <c r="G152" i="22"/>
  <c r="G153" s="1"/>
  <c r="G144" i="40"/>
  <c r="G145" s="1"/>
  <c r="I138" i="27"/>
  <c r="G152" i="14"/>
  <c r="G153" s="1"/>
  <c r="G20" i="27"/>
  <c r="G13" i="21"/>
  <c r="I13" s="1"/>
  <c r="G94" i="23"/>
  <c r="O94" s="1"/>
  <c r="G94" i="40"/>
  <c r="G148" i="17"/>
  <c r="G149" s="1"/>
  <c r="G20" i="42"/>
  <c r="E30" s="1"/>
  <c r="G30" s="1"/>
  <c r="G20" i="20"/>
  <c r="G20" i="43"/>
  <c r="G152" i="8"/>
  <c r="G153" s="1"/>
  <c r="I138" i="28"/>
  <c r="I29" i="1"/>
  <c r="E27" i="47" s="1"/>
  <c r="G20" i="23"/>
  <c r="I133"/>
  <c r="W16" i="1"/>
  <c r="G20" i="33"/>
  <c r="P12" i="1"/>
  <c r="I10" i="47" s="1"/>
  <c r="G150" i="19"/>
  <c r="I133" i="22"/>
  <c r="I136" i="40"/>
  <c r="I133" i="27"/>
  <c r="G101" i="28"/>
  <c r="E36" i="1"/>
  <c r="I138" i="17"/>
  <c r="BD36" i="1"/>
  <c r="G150" i="16"/>
  <c r="G151" s="1"/>
  <c r="E18" i="35"/>
  <c r="G18" s="1"/>
  <c r="G94" i="16"/>
  <c r="BC19" i="1"/>
  <c r="I138" i="16"/>
  <c r="AA36" i="1"/>
  <c r="U36"/>
  <c r="AO17"/>
  <c r="G59" i="15"/>
  <c r="G20" i="14"/>
  <c r="P16" i="1" s="1"/>
  <c r="AT27"/>
  <c r="BG17"/>
  <c r="G144" i="15"/>
  <c r="G145" s="1"/>
  <c r="AZ26" i="1"/>
  <c r="G150" i="24"/>
  <c r="G151" s="1"/>
  <c r="G20" i="11"/>
  <c r="G101" i="19"/>
  <c r="I133" i="21"/>
  <c r="G85" i="40"/>
  <c r="I24" i="1"/>
  <c r="E22" i="47" s="1"/>
  <c r="BH30" i="1"/>
  <c r="G142" i="28"/>
  <c r="G143" s="1"/>
  <c r="AC13" i="1"/>
  <c r="AE13" s="1"/>
  <c r="I136" i="11"/>
  <c r="M17" i="1"/>
  <c r="G15" i="47" s="1"/>
  <c r="BC27" i="1"/>
  <c r="G85" i="19"/>
  <c r="G13" i="22"/>
  <c r="I13" s="1"/>
  <c r="G59" i="28"/>
  <c r="I136" i="27"/>
  <c r="V26" i="1"/>
  <c r="G20" i="15"/>
  <c r="P17" i="1" s="1"/>
  <c r="G20" i="18"/>
  <c r="G94" i="15"/>
  <c r="G142" i="22"/>
  <c r="G143" s="1"/>
  <c r="G142" i="27"/>
  <c r="G143" s="1"/>
  <c r="G152" i="28"/>
  <c r="G153" s="1"/>
  <c r="X30" i="1"/>
  <c r="G150" i="21"/>
  <c r="G151" s="1"/>
  <c r="G144" i="22"/>
  <c r="G145" s="1"/>
  <c r="G146" i="13"/>
  <c r="G146" i="16"/>
  <c r="G147" s="1"/>
  <c r="G150" i="29"/>
  <c r="E9" i="35"/>
  <c r="G9" s="1"/>
  <c r="V25" i="1"/>
  <c r="G152" i="27"/>
  <c r="G153" s="1"/>
  <c r="G146" i="17"/>
  <c r="G147" s="1"/>
  <c r="G152" i="40"/>
  <c r="G153" s="1"/>
  <c r="V29" i="1"/>
  <c r="V18"/>
  <c r="V14"/>
  <c r="V32"/>
  <c r="G20" i="17"/>
  <c r="G94" i="12"/>
  <c r="P94" s="1"/>
  <c r="G152" i="13"/>
  <c r="BE36" i="1"/>
  <c r="G85" i="17"/>
  <c r="G94"/>
  <c r="G94" i="20"/>
  <c r="G94" i="21"/>
  <c r="G150" i="20"/>
  <c r="G151" s="1"/>
  <c r="G146" i="21"/>
  <c r="G147" s="1"/>
  <c r="G142" i="23"/>
  <c r="G13" i="14"/>
  <c r="I13" s="1"/>
  <c r="G13" i="17"/>
  <c r="I13" s="1"/>
  <c r="I136" i="22"/>
  <c r="G13" i="40"/>
  <c r="I13" s="1"/>
  <c r="D36" i="1"/>
  <c r="J36"/>
  <c r="G94" i="8"/>
  <c r="AZ28" i="1"/>
  <c r="I26"/>
  <c r="E24" i="47" s="1"/>
  <c r="G148" i="9"/>
  <c r="G149" s="1"/>
  <c r="G94" i="18"/>
  <c r="G85" i="23"/>
  <c r="O85" s="1"/>
  <c r="G13" i="27"/>
  <c r="I13" s="1"/>
  <c r="G59"/>
  <c r="BH29" i="1"/>
  <c r="G20" i="8"/>
  <c r="P10" i="1" s="1"/>
  <c r="I8" i="47" s="1"/>
  <c r="AE16" i="1"/>
  <c r="G146" i="14"/>
  <c r="G147" s="1"/>
  <c r="I138" i="12"/>
  <c r="G94" i="13"/>
  <c r="G85"/>
  <c r="G148"/>
  <c r="BC15" i="1"/>
  <c r="M15"/>
  <c r="M14"/>
  <c r="V13"/>
  <c r="AO12"/>
  <c r="I133" i="11"/>
  <c r="G85"/>
  <c r="G142"/>
  <c r="G143" s="1"/>
  <c r="W11" i="1"/>
  <c r="BK12"/>
  <c r="AV12"/>
  <c r="G20" i="9"/>
  <c r="P11" i="1" s="1"/>
  <c r="G94" i="9"/>
  <c r="M11" i="1"/>
  <c r="BK11"/>
  <c r="M11" i="35"/>
  <c r="O11" s="1"/>
  <c r="G85" i="9"/>
  <c r="BC11" i="1"/>
  <c r="G59" i="9"/>
  <c r="G142" i="8"/>
  <c r="G143" s="1"/>
  <c r="G150" i="9"/>
  <c r="G151" s="1"/>
  <c r="G13" i="8"/>
  <c r="I13" s="1"/>
  <c r="W10" i="1"/>
  <c r="G85" i="8"/>
  <c r="I10" i="1"/>
  <c r="E8" i="47" s="1"/>
  <c r="BG10" i="1"/>
  <c r="G144" i="8"/>
  <c r="G145" s="1"/>
  <c r="BB14" i="1"/>
  <c r="G152" i="12"/>
  <c r="G47" i="28"/>
  <c r="G150"/>
  <c r="G151" s="1"/>
  <c r="AZ30" i="1"/>
  <c r="AR5"/>
  <c r="G152" i="3"/>
  <c r="G13" i="24"/>
  <c r="AZ13" i="1"/>
  <c r="G150" i="11"/>
  <c r="G151" s="1"/>
  <c r="AA10" i="1"/>
  <c r="I138" i="23"/>
  <c r="AJ25" i="1"/>
  <c r="L17" i="35"/>
  <c r="G85" i="15"/>
  <c r="AQ4" i="1"/>
  <c r="H35" i="2"/>
  <c r="J35" s="1"/>
  <c r="AC17" i="1"/>
  <c r="AE17" s="1"/>
  <c r="I136" i="15"/>
  <c r="I138" i="22"/>
  <c r="AJ24" i="1"/>
  <c r="J24" i="4"/>
  <c r="H24" i="5"/>
  <c r="G150" i="12"/>
  <c r="AZ14" i="1"/>
  <c r="G148" i="14"/>
  <c r="G149" s="1"/>
  <c r="AS16" i="1"/>
  <c r="AC22"/>
  <c r="AE22" s="1"/>
  <c r="I136" i="20"/>
  <c r="AR18" i="1"/>
  <c r="G152" i="16"/>
  <c r="G153" s="1"/>
  <c r="G150" i="18"/>
  <c r="G151" s="1"/>
  <c r="AZ20" i="1"/>
  <c r="AH15"/>
  <c r="I136" i="13"/>
  <c r="AD10" i="1"/>
  <c r="BB13"/>
  <c r="G152" i="11"/>
  <c r="G153" s="1"/>
  <c r="AS13" i="1"/>
  <c r="G148" i="11"/>
  <c r="G149" s="1"/>
  <c r="AI27" i="1"/>
  <c r="AI28"/>
  <c r="I12"/>
  <c r="E10" i="47" s="1"/>
  <c r="BA20" i="1"/>
  <c r="AR23"/>
  <c r="G152" i="21"/>
  <c r="G153" s="1"/>
  <c r="AJ23" i="1"/>
  <c r="I138" i="21"/>
  <c r="AS26" i="1"/>
  <c r="G148" i="24"/>
  <c r="G149" s="1"/>
  <c r="AQ28" i="1"/>
  <c r="G142" i="40"/>
  <c r="G143" s="1"/>
  <c r="X13" i="1"/>
  <c r="AV27"/>
  <c r="G144" i="14"/>
  <c r="G145" s="1"/>
  <c r="G146" i="20"/>
  <c r="G147" s="1"/>
  <c r="G13" i="13"/>
  <c r="AB36" i="1"/>
  <c r="AR31"/>
  <c r="G59" i="17"/>
  <c r="AM27" i="1"/>
  <c r="AO27" s="1"/>
  <c r="I22"/>
  <c r="E20" i="47" s="1"/>
  <c r="G59" i="23"/>
  <c r="O59" s="1"/>
  <c r="BD4" i="1"/>
  <c r="I138" i="18"/>
  <c r="G101" i="20"/>
  <c r="G148" i="22"/>
  <c r="G149" s="1"/>
  <c r="G146" i="23"/>
  <c r="H140" i="2"/>
  <c r="H140" i="3" s="1"/>
  <c r="J140" s="1"/>
  <c r="G142" i="13"/>
  <c r="V20" i="1"/>
  <c r="G152" i="23"/>
  <c r="G101" i="8"/>
  <c r="I138" i="9"/>
  <c r="I138" i="11"/>
  <c r="I25" i="1"/>
  <c r="E23" i="47" s="1"/>
  <c r="G142" i="24"/>
  <c r="G143" s="1"/>
  <c r="I133" i="40"/>
  <c r="G148" i="15"/>
  <c r="G149" s="1"/>
  <c r="BB30" i="1"/>
  <c r="AL36"/>
  <c r="V12"/>
  <c r="V11"/>
  <c r="BA11"/>
  <c r="I133" i="13"/>
  <c r="G150" i="14"/>
  <c r="G151" s="1"/>
  <c r="I133"/>
  <c r="G13" i="19"/>
  <c r="I133" i="20"/>
  <c r="I133" i="28"/>
  <c r="G94" i="29"/>
  <c r="G85" i="12"/>
  <c r="M12" i="1"/>
  <c r="AX12"/>
  <c r="AQ19"/>
  <c r="G142" i="17"/>
  <c r="G143" s="1"/>
  <c r="AC23" i="1"/>
  <c r="AE23" s="1"/>
  <c r="I136" i="21"/>
  <c r="BI29" i="1"/>
  <c r="G150" i="27"/>
  <c r="G151" s="1"/>
  <c r="AD12" i="1"/>
  <c r="AE12" s="1"/>
  <c r="AJ4"/>
  <c r="H138" i="2"/>
  <c r="H138" i="3" s="1"/>
  <c r="AC20" i="1"/>
  <c r="I30"/>
  <c r="E28" i="47" s="1"/>
  <c r="AT10" i="1"/>
  <c r="G146" i="8"/>
  <c r="G147" s="1"/>
  <c r="G144" i="27"/>
  <c r="G145" s="1"/>
  <c r="AV29" i="1"/>
  <c r="AV30"/>
  <c r="G144" i="28"/>
  <c r="G145" s="1"/>
  <c r="BG15" i="1"/>
  <c r="G144" i="13"/>
  <c r="W15" i="1"/>
  <c r="G101" i="13"/>
  <c r="AQ23" i="1"/>
  <c r="G142" i="21"/>
  <c r="G143" s="1"/>
  <c r="BF23" i="1"/>
  <c r="G144" i="21"/>
  <c r="G145" s="1"/>
  <c r="AT26" i="1"/>
  <c r="G146" i="24"/>
  <c r="G147" s="1"/>
  <c r="BD30" i="1"/>
  <c r="G146" i="28"/>
  <c r="G147" s="1"/>
  <c r="AI31" i="1"/>
  <c r="I138" i="29"/>
  <c r="M12" i="35"/>
  <c r="O12" s="1"/>
  <c r="G150" i="17"/>
  <c r="G151" s="1"/>
  <c r="I7" i="1"/>
  <c r="E5" i="47" s="1"/>
  <c r="G150" i="8"/>
  <c r="G151" s="1"/>
  <c r="AZ10" i="1"/>
  <c r="AT29"/>
  <c r="G146" i="27"/>
  <c r="G147" s="1"/>
  <c r="AS4" i="1"/>
  <c r="G59" i="40"/>
  <c r="G85" i="28"/>
  <c r="I136" i="17"/>
  <c r="BC18" i="1"/>
  <c r="AZ22"/>
  <c r="V27"/>
  <c r="I133" i="12"/>
  <c r="G101" i="16"/>
  <c r="G13" i="18"/>
  <c r="I13" s="1"/>
  <c r="G94" i="19"/>
  <c r="G94" i="22"/>
  <c r="G94" i="24"/>
  <c r="AE26" i="1"/>
  <c r="G85" i="22"/>
  <c r="G59" i="8"/>
  <c r="G146" i="12"/>
  <c r="O8" i="35"/>
  <c r="V10" i="1"/>
  <c r="F36"/>
  <c r="V5"/>
  <c r="AE11"/>
  <c r="G20" i="12"/>
  <c r="P20" s="1"/>
  <c r="G150" i="15"/>
  <c r="G151" s="1"/>
  <c r="I133"/>
  <c r="G13" i="20"/>
  <c r="I13" s="1"/>
  <c r="I138"/>
  <c r="AO28" i="1"/>
  <c r="V24"/>
  <c r="V15"/>
  <c r="H131" i="3"/>
  <c r="J131" s="1"/>
  <c r="V22" i="1"/>
  <c r="I133" i="24"/>
  <c r="G152" i="7"/>
  <c r="G153" s="1"/>
  <c r="AO16" i="1"/>
  <c r="G47" i="16"/>
  <c r="I133"/>
  <c r="AE19" i="1"/>
  <c r="G101" i="22"/>
  <c r="G13" i="23"/>
  <c r="G109" i="42"/>
  <c r="G110" s="1"/>
  <c r="I13" i="9"/>
  <c r="G142" i="14"/>
  <c r="G143" s="1"/>
  <c r="G94"/>
  <c r="G13" i="15"/>
  <c r="I13" s="1"/>
  <c r="AM36" i="1"/>
  <c r="G20" i="16"/>
  <c r="P18" i="1" s="1"/>
  <c r="I16" i="47" s="1"/>
  <c r="G85" i="20"/>
  <c r="G148" i="23"/>
  <c r="N36" i="1"/>
  <c r="G85" i="14"/>
  <c r="I138" i="13"/>
  <c r="G144" i="17"/>
  <c r="G145" s="1"/>
  <c r="G47" i="27"/>
  <c r="G13" i="11"/>
  <c r="AD36" i="1"/>
  <c r="I138" i="15"/>
  <c r="G20" i="28"/>
  <c r="G146" i="7"/>
  <c r="G147" s="1"/>
  <c r="G142"/>
  <c r="G143" s="1"/>
  <c r="G94" i="33"/>
  <c r="M9" i="1"/>
  <c r="G94" i="7"/>
  <c r="BB9" i="1"/>
  <c r="AI9"/>
  <c r="M9" i="35"/>
  <c r="O9" s="1"/>
  <c r="G85" i="7"/>
  <c r="G47"/>
  <c r="AQ9" i="1"/>
  <c r="G148" i="7"/>
  <c r="G149" s="1"/>
  <c r="G13"/>
  <c r="I13" s="1"/>
  <c r="AC8" i="1"/>
  <c r="AE8" s="1"/>
  <c r="I133" i="33"/>
  <c r="G101"/>
  <c r="G85"/>
  <c r="G150"/>
  <c r="G151" s="1"/>
  <c r="AT8" i="1"/>
  <c r="G146" i="33"/>
  <c r="M8" i="1"/>
  <c r="G13" i="33"/>
  <c r="I13" s="1"/>
  <c r="AS12" i="1"/>
  <c r="T36"/>
  <c r="V17"/>
  <c r="G101" i="7"/>
  <c r="X9" i="1"/>
  <c r="G142" i="9"/>
  <c r="G143" s="1"/>
  <c r="AQ11" i="1"/>
  <c r="X11"/>
  <c r="G101" i="9"/>
  <c r="AR17" i="1"/>
  <c r="G152" i="15"/>
  <c r="G153" s="1"/>
  <c r="W12" i="1"/>
  <c r="E14" i="35"/>
  <c r="G14" s="1"/>
  <c r="W14" i="1"/>
  <c r="BI15"/>
  <c r="G59" i="13"/>
  <c r="AZ25" i="1"/>
  <c r="G150" i="23"/>
  <c r="W26" i="1"/>
  <c r="G101" i="24"/>
  <c r="BE28" i="1"/>
  <c r="BE27"/>
  <c r="W27"/>
  <c r="Z27" s="1"/>
  <c r="W28"/>
  <c r="G101" i="40"/>
  <c r="G148" i="27"/>
  <c r="G149" s="1"/>
  <c r="BC29" i="1"/>
  <c r="AD30"/>
  <c r="AE30" s="1"/>
  <c r="I136" i="28"/>
  <c r="Y19" i="1"/>
  <c r="G101" i="17"/>
  <c r="G148" i="12"/>
  <c r="BC14" i="1"/>
  <c r="AT24"/>
  <c r="G47" i="22"/>
  <c r="L47" s="1"/>
  <c r="AX27" i="1"/>
  <c r="Y16"/>
  <c r="G101" i="14"/>
  <c r="AJ16" i="1"/>
  <c r="I138" i="14"/>
  <c r="AQ18" i="1"/>
  <c r="G142" i="16"/>
  <c r="G143" s="1"/>
  <c r="L18" i="35"/>
  <c r="G85" i="16"/>
  <c r="G47" i="15"/>
  <c r="G59" i="24"/>
  <c r="G47" i="13"/>
  <c r="I133" i="17"/>
  <c r="V19" i="1"/>
  <c r="I133" i="9"/>
  <c r="G85" i="21"/>
  <c r="AE27" i="1"/>
  <c r="AE28"/>
  <c r="G85" i="27"/>
  <c r="G47" i="40"/>
  <c r="G146" i="15"/>
  <c r="G147" s="1"/>
  <c r="G144" i="16"/>
  <c r="G145" s="1"/>
  <c r="I136" i="24"/>
  <c r="G101" i="18"/>
  <c r="G144" i="33"/>
  <c r="AZ9" i="1"/>
  <c r="G146" i="9"/>
  <c r="G147" s="1"/>
  <c r="M13" i="1"/>
  <c r="G101" i="12"/>
  <c r="P101" s="1"/>
  <c r="G150" i="13"/>
  <c r="BB15" i="1"/>
  <c r="G59" i="14"/>
  <c r="G101" i="23"/>
  <c r="O101" s="1"/>
  <c r="K8" i="35"/>
  <c r="V16" i="1"/>
  <c r="G144" i="7"/>
  <c r="G145" s="1"/>
  <c r="G13" i="16"/>
  <c r="G47" i="23"/>
  <c r="O47" s="1"/>
  <c r="I136"/>
  <c r="H23" i="3"/>
  <c r="J23" i="2"/>
  <c r="H68"/>
  <c r="H4" i="35"/>
  <c r="AR11" i="1"/>
  <c r="G152" i="9"/>
  <c r="G153" s="1"/>
  <c r="I17" i="1"/>
  <c r="E15" i="47" s="1"/>
  <c r="AQ21" i="1"/>
  <c r="BC21"/>
  <c r="G148" i="19"/>
  <c r="AS28" i="1"/>
  <c r="G148" i="40"/>
  <c r="G149" s="1"/>
  <c r="AV11" i="1"/>
  <c r="BJ11" s="1"/>
  <c r="G144" i="9"/>
  <c r="G145" s="1"/>
  <c r="AQ14" i="1"/>
  <c r="G142" i="12"/>
  <c r="G47"/>
  <c r="M16" i="1"/>
  <c r="G59" i="16"/>
  <c r="BA18" i="1"/>
  <c r="BA36" s="1"/>
  <c r="AJ21"/>
  <c r="AW25"/>
  <c r="G144" i="23"/>
  <c r="AH28" i="1"/>
  <c r="AH27"/>
  <c r="AR8"/>
  <c r="G152" i="33"/>
  <c r="BD12" i="1"/>
  <c r="I16"/>
  <c r="E14" i="47" s="1"/>
  <c r="AC18" i="1"/>
  <c r="I136" i="16"/>
  <c r="AS20" i="1"/>
  <c r="G148" i="18"/>
  <c r="G149" s="1"/>
  <c r="AR22" i="1"/>
  <c r="G152" i="20"/>
  <c r="G153" s="1"/>
  <c r="I23" i="1"/>
  <c r="E21" i="47" s="1"/>
  <c r="AT13" i="1"/>
  <c r="G47" i="11"/>
  <c r="G146"/>
  <c r="G147" s="1"/>
  <c r="G47" i="24"/>
  <c r="I136" i="9"/>
  <c r="G150" i="7"/>
  <c r="G151" s="1"/>
  <c r="G59" i="21"/>
  <c r="L59" s="1"/>
  <c r="G85" i="24"/>
  <c r="G47" i="9"/>
  <c r="G144" i="19"/>
  <c r="G59" i="7"/>
  <c r="G59" i="33"/>
  <c r="AC24" i="1"/>
  <c r="AE24" s="1"/>
  <c r="V23"/>
  <c r="AL26"/>
  <c r="G85" i="18"/>
  <c r="G47" i="17"/>
  <c r="G144" i="11"/>
  <c r="G145" s="1"/>
  <c r="J70" i="12"/>
  <c r="H70" i="13"/>
  <c r="G142" i="33"/>
  <c r="G144" i="24"/>
  <c r="G145" s="1"/>
  <c r="I136" i="12"/>
  <c r="G47" i="21"/>
  <c r="L47" s="1"/>
  <c r="G47" i="14"/>
  <c r="G47" i="33"/>
  <c r="G148"/>
  <c r="G148" i="8"/>
  <c r="G149" s="1"/>
  <c r="G144" i="12"/>
  <c r="I136" i="14"/>
  <c r="G142" i="20"/>
  <c r="G143" s="1"/>
  <c r="G59" i="22"/>
  <c r="L59" s="1"/>
  <c r="I136" i="29"/>
  <c r="G152" i="17"/>
  <c r="G153" s="1"/>
  <c r="AV9" i="1"/>
  <c r="BJ9" s="1"/>
  <c r="AR12"/>
  <c r="AQ16"/>
  <c r="BI16"/>
  <c r="BI17"/>
  <c r="W17"/>
  <c r="I19"/>
  <c r="E17" i="47" s="1"/>
  <c r="G47" i="8"/>
  <c r="G142" i="15"/>
  <c r="G143" s="1"/>
  <c r="G101"/>
  <c r="G150" i="22"/>
  <c r="G151" s="1"/>
  <c r="G101" i="21"/>
  <c r="G59" i="11"/>
  <c r="I14" i="1"/>
  <c r="E12" i="47" s="1"/>
  <c r="G101" i="27"/>
  <c r="H57" i="2"/>
  <c r="H57" i="3" s="1"/>
  <c r="J57" s="1"/>
  <c r="G148" i="29"/>
  <c r="G94" i="5"/>
  <c r="I119" i="42"/>
  <c r="G142" i="30"/>
  <c r="G20" i="4"/>
  <c r="G13" i="42"/>
  <c r="I13" s="1"/>
  <c r="G113"/>
  <c r="G114" s="1"/>
  <c r="G13" i="3"/>
  <c r="I13" s="1"/>
  <c r="G20" i="5"/>
  <c r="G88" i="42"/>
  <c r="I133" i="43"/>
  <c r="AI7" i="1"/>
  <c r="AD7"/>
  <c r="AB7"/>
  <c r="E7" i="35"/>
  <c r="G7" s="1"/>
  <c r="W7" i="1"/>
  <c r="G101" i="5"/>
  <c r="M6" i="35"/>
  <c r="O6" s="1"/>
  <c r="G85" i="5"/>
  <c r="G148"/>
  <c r="G149" s="1"/>
  <c r="G152"/>
  <c r="G153" s="1"/>
  <c r="BB7" i="1"/>
  <c r="G59" i="5"/>
  <c r="G142"/>
  <c r="G143" s="1"/>
  <c r="BA7" i="1"/>
  <c r="AV7"/>
  <c r="G144" i="5"/>
  <c r="G145" s="1"/>
  <c r="G146"/>
  <c r="G147" s="1"/>
  <c r="AT7" i="1"/>
  <c r="G150" i="5"/>
  <c r="G151" s="1"/>
  <c r="AZ7" i="1"/>
  <c r="M7"/>
  <c r="G13" i="5"/>
  <c r="W6" i="1"/>
  <c r="E6" i="35"/>
  <c r="G6" s="1"/>
  <c r="G101" i="4"/>
  <c r="G94"/>
  <c r="BK7" i="1"/>
  <c r="BK6"/>
  <c r="M7" i="35"/>
  <c r="O7" s="1"/>
  <c r="G85" i="4"/>
  <c r="AI6" i="1"/>
  <c r="AC6"/>
  <c r="AA6"/>
  <c r="BC6"/>
  <c r="G148" i="4"/>
  <c r="G149" s="1"/>
  <c r="G152"/>
  <c r="G153" s="1"/>
  <c r="G59"/>
  <c r="BA6" i="1"/>
  <c r="G142" i="4"/>
  <c r="G143" s="1"/>
  <c r="AX6" i="1"/>
  <c r="AV6"/>
  <c r="AT6"/>
  <c r="G146" i="4"/>
  <c r="G147" s="1"/>
  <c r="G150"/>
  <c r="G151" s="1"/>
  <c r="AZ6" i="1"/>
  <c r="M6"/>
  <c r="G13" i="4"/>
  <c r="I13" s="1"/>
  <c r="I6" i="1"/>
  <c r="E4" i="47" s="1"/>
  <c r="W5" i="1"/>
  <c r="E5" i="35"/>
  <c r="G5" s="1"/>
  <c r="G101" i="3"/>
  <c r="G94"/>
  <c r="H94" s="1"/>
  <c r="AI5" i="1"/>
  <c r="AC5"/>
  <c r="H133" i="2"/>
  <c r="H133" i="3" s="1"/>
  <c r="H133" i="4" s="1"/>
  <c r="AA5" i="1"/>
  <c r="M5" i="35"/>
  <c r="O5" s="1"/>
  <c r="G85" i="3"/>
  <c r="G148"/>
  <c r="G149" s="1"/>
  <c r="BC5" i="1"/>
  <c r="G152" i="2"/>
  <c r="BB4" i="1"/>
  <c r="G59" i="3"/>
  <c r="AX5" i="1"/>
  <c r="G142" i="3"/>
  <c r="G143" s="1"/>
  <c r="G144"/>
  <c r="G145" s="1"/>
  <c r="AV5" i="1"/>
  <c r="BJ5" s="1"/>
  <c r="AT5"/>
  <c r="G146" i="3"/>
  <c r="G147" s="1"/>
  <c r="G150"/>
  <c r="G151" s="1"/>
  <c r="G47"/>
  <c r="AZ5" i="1"/>
  <c r="I5"/>
  <c r="E3" i="47" s="1"/>
  <c r="H136" i="2"/>
  <c r="J136" s="1"/>
  <c r="H132"/>
  <c r="J132" s="1"/>
  <c r="H96"/>
  <c r="J96" s="1"/>
  <c r="H56"/>
  <c r="H45" i="3"/>
  <c r="H45" i="4" s="1"/>
  <c r="J45" i="2"/>
  <c r="J137"/>
  <c r="H137" i="3"/>
  <c r="J131" i="2"/>
  <c r="AI4" i="1"/>
  <c r="H123" i="2"/>
  <c r="J123" s="1"/>
  <c r="J92"/>
  <c r="H92" i="3"/>
  <c r="H50" i="2"/>
  <c r="BA4" i="1"/>
  <c r="H37" i="2"/>
  <c r="H43"/>
  <c r="H43" i="3" s="1"/>
  <c r="J43" s="1"/>
  <c r="H36" i="2"/>
  <c r="J36" s="1"/>
  <c r="G142"/>
  <c r="G150"/>
  <c r="H38" i="3"/>
  <c r="H44" i="2"/>
  <c r="AU4" i="1"/>
  <c r="AR4"/>
  <c r="G20" i="2"/>
  <c r="J9"/>
  <c r="H9" i="3"/>
  <c r="I140" i="2"/>
  <c r="AL4" i="1"/>
  <c r="H139" i="2"/>
  <c r="I138"/>
  <c r="AD4" i="1"/>
  <c r="AC4"/>
  <c r="I135" i="2"/>
  <c r="H134"/>
  <c r="Y4" i="1"/>
  <c r="G101" i="2"/>
  <c r="E4" i="35"/>
  <c r="G4" s="1"/>
  <c r="H95" i="2"/>
  <c r="G94"/>
  <c r="H93"/>
  <c r="BK4" i="1"/>
  <c r="H84" i="2"/>
  <c r="H82" i="3"/>
  <c r="M4" i="35"/>
  <c r="O4" s="1"/>
  <c r="G85" i="2"/>
  <c r="H72"/>
  <c r="H69"/>
  <c r="H55"/>
  <c r="BF4" i="1"/>
  <c r="BE4"/>
  <c r="H54" i="2"/>
  <c r="H53" i="3"/>
  <c r="J53" i="2"/>
  <c r="G59"/>
  <c r="G148"/>
  <c r="BC4" i="1"/>
  <c r="H42" i="2"/>
  <c r="AW4" i="1"/>
  <c r="G144" i="2"/>
  <c r="AV4" i="1"/>
  <c r="H41" i="2"/>
  <c r="J39"/>
  <c r="H39" i="3"/>
  <c r="G47" i="2"/>
  <c r="G146"/>
  <c r="H15"/>
  <c r="H7"/>
  <c r="J7" s="1"/>
  <c r="I4" i="1"/>
  <c r="I136" i="43"/>
  <c r="G142"/>
  <c r="G150"/>
  <c r="I138"/>
  <c r="I124" i="42"/>
  <c r="I122"/>
  <c r="G95"/>
  <c r="G94" i="43"/>
  <c r="G84" i="42"/>
  <c r="G85" i="43"/>
  <c r="G144"/>
  <c r="G107" i="42"/>
  <c r="G108" s="1"/>
  <c r="G58"/>
  <c r="G103"/>
  <c r="G104" s="1"/>
  <c r="G59" i="43"/>
  <c r="G105" i="42"/>
  <c r="G106" s="1"/>
  <c r="G47" i="43"/>
  <c r="G146"/>
  <c r="G111" i="42"/>
  <c r="G112" s="1"/>
  <c r="G46"/>
  <c r="G13" i="43"/>
  <c r="E27" i="42"/>
  <c r="G27" s="1"/>
  <c r="Y32" i="1"/>
  <c r="BK31"/>
  <c r="AP31"/>
  <c r="G101" i="29"/>
  <c r="X32" i="1"/>
  <c r="G101" i="30"/>
  <c r="W32" i="1"/>
  <c r="G94" i="30"/>
  <c r="G85" i="29"/>
  <c r="G85" i="30"/>
  <c r="G20"/>
  <c r="G20" i="29"/>
  <c r="P31" i="1" s="1"/>
  <c r="I29" i="47" s="1"/>
  <c r="AM32" i="1"/>
  <c r="AJ32"/>
  <c r="I138" i="30"/>
  <c r="AI32" i="1"/>
  <c r="AH32"/>
  <c r="AD32"/>
  <c r="I133" i="29"/>
  <c r="AE31" i="1"/>
  <c r="AA32"/>
  <c r="I133" i="30"/>
  <c r="I136"/>
  <c r="BF32" i="1"/>
  <c r="BE32"/>
  <c r="BD32"/>
  <c r="BC31"/>
  <c r="G152" i="30"/>
  <c r="BI32" i="1"/>
  <c r="G59" i="30"/>
  <c r="G59" i="29"/>
  <c r="G142"/>
  <c r="BA32" i="1"/>
  <c r="AX32"/>
  <c r="G144" i="29"/>
  <c r="AV32" i="1"/>
  <c r="G144" i="30"/>
  <c r="AU32" i="1"/>
  <c r="G146" i="30"/>
  <c r="AT31" i="1"/>
  <c r="AZ32"/>
  <c r="G47" i="30"/>
  <c r="G150"/>
  <c r="G47" i="29"/>
  <c r="G13"/>
  <c r="G13" i="30"/>
  <c r="I32" i="1"/>
  <c r="E30" i="47" s="1"/>
  <c r="G142" i="19" l="1"/>
  <c r="T29" i="45"/>
  <c r="T30" s="1"/>
  <c r="BJ14" i="1"/>
  <c r="M30" i="45"/>
  <c r="G143" i="33"/>
  <c r="G145"/>
  <c r="I8" i="1"/>
  <c r="E6" i="47" s="1"/>
  <c r="G149" i="33"/>
  <c r="G153"/>
  <c r="G147"/>
  <c r="I6" i="35"/>
  <c r="K6" s="1"/>
  <c r="H6"/>
  <c r="H63" i="3"/>
  <c r="H63" i="4" s="1"/>
  <c r="J76" i="2"/>
  <c r="J49"/>
  <c r="J58"/>
  <c r="I138" i="19"/>
  <c r="I133" i="18"/>
  <c r="H68" i="3"/>
  <c r="H68" i="4" s="1"/>
  <c r="H68" i="5" s="1"/>
  <c r="AO7" i="1"/>
  <c r="AH19"/>
  <c r="AH35" s="1"/>
  <c r="H5" i="35"/>
  <c r="AB35" i="1"/>
  <c r="L28"/>
  <c r="H119" i="3"/>
  <c r="J119" s="1"/>
  <c r="G172" i="12"/>
  <c r="H118" i="4"/>
  <c r="H118" i="5" s="1"/>
  <c r="AK23" i="1"/>
  <c r="H17" i="35"/>
  <c r="K17" s="1"/>
  <c r="L29" i="45"/>
  <c r="L30" s="1"/>
  <c r="BB35" i="1"/>
  <c r="F37"/>
  <c r="H51" i="3"/>
  <c r="H51" i="4" s="1"/>
  <c r="G31" i="2"/>
  <c r="H31" s="1"/>
  <c r="N31" i="31"/>
  <c r="H10" i="3"/>
  <c r="J10" s="1"/>
  <c r="AO25" i="1"/>
  <c r="AO8"/>
  <c r="AV35"/>
  <c r="BF35"/>
  <c r="AL35"/>
  <c r="E2" i="47"/>
  <c r="BE35" i="1"/>
  <c r="AU35"/>
  <c r="BA35"/>
  <c r="AS35"/>
  <c r="AD35"/>
  <c r="AJ35"/>
  <c r="AO14"/>
  <c r="AX35"/>
  <c r="AW35"/>
  <c r="AC35"/>
  <c r="AI35"/>
  <c r="BD35"/>
  <c r="AQ35"/>
  <c r="X35"/>
  <c r="W35"/>
  <c r="Y35"/>
  <c r="BK35"/>
  <c r="AP35"/>
  <c r="AA35"/>
  <c r="AY35"/>
  <c r="AZ35"/>
  <c r="BI35"/>
  <c r="O8"/>
  <c r="G6" i="47"/>
  <c r="O22" i="1"/>
  <c r="G20" i="47"/>
  <c r="O20" i="1"/>
  <c r="G18" i="47"/>
  <c r="O13" i="1"/>
  <c r="G11" i="47"/>
  <c r="O12" i="1"/>
  <c r="G10" i="47"/>
  <c r="M10" s="1"/>
  <c r="O15" i="1"/>
  <c r="G13" i="47"/>
  <c r="S16" i="1"/>
  <c r="I14" i="47"/>
  <c r="R21" i="1"/>
  <c r="I19" i="47"/>
  <c r="O4" i="1"/>
  <c r="G2" i="47"/>
  <c r="O33" i="1"/>
  <c r="G31" i="47"/>
  <c r="L9" i="1"/>
  <c r="E7" i="47"/>
  <c r="O14" i="1"/>
  <c r="G12" i="47"/>
  <c r="O24" i="1"/>
  <c r="G22" i="47"/>
  <c r="U29" i="45"/>
  <c r="U30" s="1"/>
  <c r="O7" i="1"/>
  <c r="G5" i="47"/>
  <c r="O32" i="1"/>
  <c r="G30" i="47"/>
  <c r="O28" i="1"/>
  <c r="G26" i="47"/>
  <c r="L11" i="1"/>
  <c r="E9" i="47"/>
  <c r="O6" i="1"/>
  <c r="G4" i="47"/>
  <c r="S11" i="1"/>
  <c r="I9" i="47"/>
  <c r="O10" i="1"/>
  <c r="G8" i="47"/>
  <c r="M8" s="1"/>
  <c r="O31" i="1"/>
  <c r="G29" i="47"/>
  <c r="R24" i="1"/>
  <c r="I22" i="47"/>
  <c r="O29" i="1"/>
  <c r="G27" i="47"/>
  <c r="O23" i="1"/>
  <c r="G21" i="47"/>
  <c r="N29" i="45"/>
  <c r="N30" s="1"/>
  <c r="O16" i="1"/>
  <c r="G14" i="47"/>
  <c r="O11" i="1"/>
  <c r="G9" i="47"/>
  <c r="O26" i="1"/>
  <c r="G24" i="47"/>
  <c r="I24" i="45"/>
  <c r="O9" i="1"/>
  <c r="G7" i="47"/>
  <c r="R17" i="1"/>
  <c r="I15" i="47"/>
  <c r="M15" s="1"/>
  <c r="O18" i="1"/>
  <c r="G16" i="47"/>
  <c r="M16" s="1"/>
  <c r="O30" i="1"/>
  <c r="G28" i="47"/>
  <c r="O19" i="1"/>
  <c r="G17" i="47"/>
  <c r="O25" i="1"/>
  <c r="G23" i="47"/>
  <c r="O21" i="1"/>
  <c r="G19" i="47"/>
  <c r="L20" i="1"/>
  <c r="E18" i="47"/>
  <c r="AS36" i="1"/>
  <c r="BJ16"/>
  <c r="H29" i="45"/>
  <c r="H30" s="1"/>
  <c r="BM28" i="1"/>
  <c r="BN28"/>
  <c r="H12" i="4"/>
  <c r="H12" i="5" s="1"/>
  <c r="I13" i="35"/>
  <c r="AO15" i="1"/>
  <c r="G32" i="17"/>
  <c r="I13" i="24"/>
  <c r="G32" i="22"/>
  <c r="G32" i="5"/>
  <c r="AE14" i="1"/>
  <c r="AO33"/>
  <c r="I136" i="19"/>
  <c r="I133"/>
  <c r="G47" i="20"/>
  <c r="G144"/>
  <c r="G145" s="1"/>
  <c r="BJ22" i="1"/>
  <c r="G59" i="19"/>
  <c r="G144" i="18"/>
  <c r="G145" s="1"/>
  <c r="I136"/>
  <c r="AW36" i="1"/>
  <c r="AJ36"/>
  <c r="Q29" i="45"/>
  <c r="Q30" s="1"/>
  <c r="R29"/>
  <c r="R30" s="1"/>
  <c r="BC36" i="1"/>
  <c r="Z16" i="44"/>
  <c r="Z15"/>
  <c r="Z14" i="1"/>
  <c r="G32" i="9"/>
  <c r="AO5" i="1"/>
  <c r="G47" i="4"/>
  <c r="G60" s="1"/>
  <c r="I59" s="1"/>
  <c r="G144"/>
  <c r="G145" s="1"/>
  <c r="J99" i="2"/>
  <c r="H77" i="3"/>
  <c r="H77" i="4" s="1"/>
  <c r="J77" s="1"/>
  <c r="BL4" i="1"/>
  <c r="J12" i="2"/>
  <c r="AE21" i="1"/>
  <c r="J106" i="43"/>
  <c r="H106" i="31"/>
  <c r="N106" s="1"/>
  <c r="J115" i="43"/>
  <c r="H115" i="31"/>
  <c r="N115" s="1"/>
  <c r="J110" i="43"/>
  <c r="H110" i="31"/>
  <c r="N110" s="1"/>
  <c r="J104" i="43"/>
  <c r="H104" i="31"/>
  <c r="N104" s="1"/>
  <c r="E24" i="45"/>
  <c r="E29"/>
  <c r="E30" s="1"/>
  <c r="W24"/>
  <c r="W29"/>
  <c r="W30" s="1"/>
  <c r="J119" i="43"/>
  <c r="H119" i="31"/>
  <c r="J119" s="1"/>
  <c r="J118" i="43"/>
  <c r="H118" i="31"/>
  <c r="J118" s="1"/>
  <c r="G31" i="18"/>
  <c r="G32" s="1"/>
  <c r="K31"/>
  <c r="L164" i="21"/>
  <c r="L172" s="1"/>
  <c r="G172"/>
  <c r="AE20" i="1"/>
  <c r="Z29" i="45"/>
  <c r="Z30" s="1"/>
  <c r="O29"/>
  <c r="O30" s="1"/>
  <c r="J116" i="43"/>
  <c r="H116" i="31"/>
  <c r="J116" s="1"/>
  <c r="J117" i="43"/>
  <c r="H117" i="31"/>
  <c r="N117" s="1"/>
  <c r="J111" i="43"/>
  <c r="H111" i="31"/>
  <c r="N111" s="1"/>
  <c r="J107" i="43"/>
  <c r="H107" i="31"/>
  <c r="N107" s="1"/>
  <c r="P24" i="45"/>
  <c r="P29"/>
  <c r="P30" s="1"/>
  <c r="S25" i="44"/>
  <c r="O62" i="23"/>
  <c r="J29" i="45"/>
  <c r="J30" s="1"/>
  <c r="K29"/>
  <c r="K30" s="1"/>
  <c r="T24"/>
  <c r="J112" i="43"/>
  <c r="H112" i="31"/>
  <c r="N112" s="1"/>
  <c r="J105" i="43"/>
  <c r="H105" i="31"/>
  <c r="N105" s="1"/>
  <c r="J109" i="43"/>
  <c r="H109" i="31"/>
  <c r="N109" s="1"/>
  <c r="V24" i="45"/>
  <c r="V29"/>
  <c r="V30" s="1"/>
  <c r="J120" i="43"/>
  <c r="H120" i="31"/>
  <c r="N120" s="1"/>
  <c r="S24" i="45"/>
  <c r="S29"/>
  <c r="S30" s="1"/>
  <c r="BP4" i="1"/>
  <c r="BN4"/>
  <c r="AO20"/>
  <c r="D29" i="45"/>
  <c r="D30" s="1"/>
  <c r="G29"/>
  <c r="G30" s="1"/>
  <c r="T25" i="44"/>
  <c r="O63" i="23"/>
  <c r="F29" i="45"/>
  <c r="F30" s="1"/>
  <c r="AM21" i="1"/>
  <c r="AO21" s="1"/>
  <c r="AG29" i="45"/>
  <c r="AG30" s="1"/>
  <c r="AE29"/>
  <c r="AE30" s="1"/>
  <c r="AF29"/>
  <c r="AF30" s="1"/>
  <c r="AD29"/>
  <c r="AD30" s="1"/>
  <c r="AC29"/>
  <c r="AC30" s="1"/>
  <c r="AB29"/>
  <c r="AB30" s="1"/>
  <c r="G172" i="24"/>
  <c r="AO26" i="1"/>
  <c r="Y29" i="45"/>
  <c r="Y30" s="1"/>
  <c r="AE25" i="1"/>
  <c r="X29" i="45"/>
  <c r="X30" s="1"/>
  <c r="H119" i="23"/>
  <c r="J119" s="1"/>
  <c r="O119"/>
  <c r="Z25" i="44"/>
  <c r="O69" i="23"/>
  <c r="Y25" i="44"/>
  <c r="O68" i="23"/>
  <c r="X25" i="44"/>
  <c r="O67" i="23"/>
  <c r="W25" i="44"/>
  <c r="O66" i="23"/>
  <c r="V25" i="44"/>
  <c r="O65" i="23"/>
  <c r="U25" i="44"/>
  <c r="O64" i="23"/>
  <c r="G149"/>
  <c r="O149" s="1"/>
  <c r="O148"/>
  <c r="G145"/>
  <c r="O145" s="1"/>
  <c r="O144"/>
  <c r="G147"/>
  <c r="O147" s="1"/>
  <c r="O146"/>
  <c r="G153"/>
  <c r="O153" s="1"/>
  <c r="O152"/>
  <c r="G151"/>
  <c r="O151" s="1"/>
  <c r="O150"/>
  <c r="G143"/>
  <c r="O143" s="1"/>
  <c r="O142"/>
  <c r="P25" i="1"/>
  <c r="O20" i="23"/>
  <c r="H118"/>
  <c r="J118" s="1"/>
  <c r="O118"/>
  <c r="I13"/>
  <c r="O13"/>
  <c r="BJ24" i="1"/>
  <c r="AH4" i="44"/>
  <c r="Z21" i="1"/>
  <c r="Y36"/>
  <c r="G32" i="16"/>
  <c r="AO15" i="44"/>
  <c r="M24" i="45"/>
  <c r="I14" i="35"/>
  <c r="Z14" i="44"/>
  <c r="H13" i="35"/>
  <c r="K13" s="1"/>
  <c r="G32" i="8"/>
  <c r="G32" i="20"/>
  <c r="G60" i="5"/>
  <c r="I59" s="1"/>
  <c r="I13"/>
  <c r="AI36" i="1"/>
  <c r="AO4"/>
  <c r="Z7"/>
  <c r="H19" i="3"/>
  <c r="J19" s="1"/>
  <c r="N29" i="31"/>
  <c r="H144" i="2"/>
  <c r="J144" s="1"/>
  <c r="H148"/>
  <c r="H148" i="3" s="1"/>
  <c r="H20" i="2"/>
  <c r="J20" s="1"/>
  <c r="I20" s="1"/>
  <c r="J118"/>
  <c r="J119"/>
  <c r="J135"/>
  <c r="J130"/>
  <c r="G30"/>
  <c r="J52"/>
  <c r="H40" i="3"/>
  <c r="H40" i="4" s="1"/>
  <c r="H11" i="3"/>
  <c r="H11" i="4" s="1"/>
  <c r="H11" i="5" s="1"/>
  <c r="H59" i="2"/>
  <c r="H59" i="3" s="1"/>
  <c r="H59" i="4" s="1"/>
  <c r="H152" i="2"/>
  <c r="J152" s="1"/>
  <c r="H142"/>
  <c r="J142" s="1"/>
  <c r="H146"/>
  <c r="J146" s="1"/>
  <c r="H101"/>
  <c r="H101" i="3" s="1"/>
  <c r="H101" i="4" s="1"/>
  <c r="H150" i="2"/>
  <c r="J150" s="1"/>
  <c r="H80" i="3"/>
  <c r="H80" i="4" s="1"/>
  <c r="J80" s="1"/>
  <c r="J126" i="2"/>
  <c r="J111" i="31"/>
  <c r="N118"/>
  <c r="G172" i="43"/>
  <c r="BJ33" i="1"/>
  <c r="AF33"/>
  <c r="BJ29"/>
  <c r="G172" i="28"/>
  <c r="G172" i="27"/>
  <c r="AM31" i="44"/>
  <c r="G172" i="40"/>
  <c r="G172" i="23"/>
  <c r="G172" i="22"/>
  <c r="U24" i="45"/>
  <c r="Z22" i="1"/>
  <c r="BJ21"/>
  <c r="G172" i="20"/>
  <c r="AM21" i="44"/>
  <c r="G172" i="19"/>
  <c r="Z20" i="1"/>
  <c r="G172" i="18"/>
  <c r="AK17" i="1"/>
  <c r="Z18"/>
  <c r="Z17" i="44"/>
  <c r="G172" i="15"/>
  <c r="O24" i="45"/>
  <c r="H16" i="35"/>
  <c r="K16" s="1"/>
  <c r="G172" i="13"/>
  <c r="G172" i="14"/>
  <c r="AE15" i="1"/>
  <c r="I15" i="35"/>
  <c r="H15"/>
  <c r="X15" i="44"/>
  <c r="H118" i="13"/>
  <c r="J118" s="1"/>
  <c r="G28" i="11"/>
  <c r="G30"/>
  <c r="G31"/>
  <c r="AM11" i="44"/>
  <c r="AK8" i="1"/>
  <c r="AM25" i="44"/>
  <c r="AM20"/>
  <c r="R24" i="45"/>
  <c r="AH36" i="1"/>
  <c r="G32" i="4"/>
  <c r="AK26" i="1"/>
  <c r="AF24" i="45"/>
  <c r="AM32" i="44"/>
  <c r="M5" i="1"/>
  <c r="M35" s="1"/>
  <c r="H15" i="3"/>
  <c r="H85" i="2"/>
  <c r="J85" s="1"/>
  <c r="BJ6" i="1"/>
  <c r="H97" i="3"/>
  <c r="H97" i="4" s="1"/>
  <c r="J66" i="2"/>
  <c r="J73"/>
  <c r="J127"/>
  <c r="G149" i="30"/>
  <c r="H119"/>
  <c r="J119" s="1"/>
  <c r="G32" i="7"/>
  <c r="H67" i="3"/>
  <c r="J67" s="1"/>
  <c r="G101" i="43"/>
  <c r="H100" i="3"/>
  <c r="H18"/>
  <c r="J18" s="1"/>
  <c r="Z6" i="1"/>
  <c r="AK21"/>
  <c r="BJ18"/>
  <c r="G32" i="13"/>
  <c r="Y24" i="45"/>
  <c r="G32" i="29"/>
  <c r="G143" i="30"/>
  <c r="H118"/>
  <c r="J118" s="1"/>
  <c r="J63" i="2"/>
  <c r="G32" i="40"/>
  <c r="I13" i="30"/>
  <c r="G145"/>
  <c r="G60"/>
  <c r="G32" i="23"/>
  <c r="O32" s="1"/>
  <c r="G32" i="24"/>
  <c r="G146" i="19"/>
  <c r="G147" s="1"/>
  <c r="G146" i="18"/>
  <c r="G147" s="1"/>
  <c r="X36" i="1"/>
  <c r="AK20"/>
  <c r="Q24" i="45"/>
  <c r="G153" i="13"/>
  <c r="H119"/>
  <c r="J119" s="1"/>
  <c r="E28" i="3"/>
  <c r="G28" s="1"/>
  <c r="G32" s="1"/>
  <c r="Z5" i="1"/>
  <c r="K11" i="35"/>
  <c r="AB5" i="44"/>
  <c r="AH5" s="1"/>
  <c r="AM4"/>
  <c r="G32" i="21"/>
  <c r="AK18" i="1"/>
  <c r="Z17"/>
  <c r="AM17" i="44"/>
  <c r="AM16"/>
  <c r="G143" i="12"/>
  <c r="P143" s="1"/>
  <c r="P142"/>
  <c r="G149"/>
  <c r="P149" s="1"/>
  <c r="P148"/>
  <c r="AK11" i="1"/>
  <c r="P47" i="12"/>
  <c r="G60"/>
  <c r="I60" s="1"/>
  <c r="P85"/>
  <c r="G151"/>
  <c r="P151" s="1"/>
  <c r="P150"/>
  <c r="H118"/>
  <c r="J118" s="1"/>
  <c r="P118"/>
  <c r="H119"/>
  <c r="J119" s="1"/>
  <c r="P119"/>
  <c r="W14" i="44"/>
  <c r="P66" i="12"/>
  <c r="Y14" i="44"/>
  <c r="P68" i="12"/>
  <c r="X14" i="44"/>
  <c r="P67" i="12"/>
  <c r="G145"/>
  <c r="P145" s="1"/>
  <c r="P144"/>
  <c r="G147"/>
  <c r="P147" s="1"/>
  <c r="P146"/>
  <c r="V14" i="44"/>
  <c r="P65" i="12"/>
  <c r="U14" i="44"/>
  <c r="P64" i="12"/>
  <c r="P63"/>
  <c r="G153"/>
  <c r="P153" s="1"/>
  <c r="P152"/>
  <c r="P62"/>
  <c r="G60" i="11"/>
  <c r="Z24" i="45"/>
  <c r="G32" i="33"/>
  <c r="G32" i="14"/>
  <c r="P13" i="12"/>
  <c r="AK15" i="1"/>
  <c r="AM15" i="44"/>
  <c r="N24" i="45"/>
  <c r="AK14" i="1"/>
  <c r="G32" i="12"/>
  <c r="P32" s="1"/>
  <c r="AK13" i="1"/>
  <c r="BN13"/>
  <c r="L13"/>
  <c r="BM13"/>
  <c r="AK12"/>
  <c r="Z12"/>
  <c r="AH11" i="44"/>
  <c r="L24" i="45"/>
  <c r="AK9" i="1"/>
  <c r="J24" i="45"/>
  <c r="H24"/>
  <c r="AK22" i="1"/>
  <c r="G32" i="15"/>
  <c r="X24" i="45"/>
  <c r="AM10" i="44"/>
  <c r="G32" i="19"/>
  <c r="AH7" i="44"/>
  <c r="AM8"/>
  <c r="I15" i="1"/>
  <c r="H14" i="35"/>
  <c r="G32" i="27"/>
  <c r="Z29" i="1"/>
  <c r="AK29"/>
  <c r="G32" i="28"/>
  <c r="AG24" i="45"/>
  <c r="AM24" i="44"/>
  <c r="AM22"/>
  <c r="AM18"/>
  <c r="Z9" i="1"/>
  <c r="Z15"/>
  <c r="Z10"/>
  <c r="L18"/>
  <c r="AE24" i="45"/>
  <c r="H118" i="22"/>
  <c r="J118" s="1"/>
  <c r="AM19" i="44"/>
  <c r="F119" i="43"/>
  <c r="H128" i="18"/>
  <c r="J128" s="1"/>
  <c r="J128" i="17"/>
  <c r="O16" i="3"/>
  <c r="G128"/>
  <c r="H128" s="1"/>
  <c r="J128" s="1"/>
  <c r="H15" i="4"/>
  <c r="AK16" i="1"/>
  <c r="AK24"/>
  <c r="AK25"/>
  <c r="AK10"/>
  <c r="Z8"/>
  <c r="AM12" i="44"/>
  <c r="AM26"/>
  <c r="G32" i="43"/>
  <c r="AM14" i="44"/>
  <c r="AM13"/>
  <c r="AK7" i="1"/>
  <c r="F24" i="45"/>
  <c r="G24"/>
  <c r="H24" i="2"/>
  <c r="J24" s="1"/>
  <c r="T4" i="1"/>
  <c r="H22" i="3"/>
  <c r="J22" s="1"/>
  <c r="H74"/>
  <c r="H74" i="4" s="1"/>
  <c r="J74" s="1"/>
  <c r="H65" i="3"/>
  <c r="H65" i="4" s="1"/>
  <c r="H83" i="3"/>
  <c r="J83" s="1"/>
  <c r="Z4" i="1"/>
  <c r="J98" i="2"/>
  <c r="H81" i="3"/>
  <c r="J81" s="1"/>
  <c r="H79"/>
  <c r="H79" i="4" s="1"/>
  <c r="J79" s="1"/>
  <c r="H125" i="3"/>
  <c r="H125" i="4" s="1"/>
  <c r="H64" i="3"/>
  <c r="J64" s="1"/>
  <c r="D24" i="45"/>
  <c r="G60" i="43"/>
  <c r="I60" s="1"/>
  <c r="AK33" i="1"/>
  <c r="AM33" i="44"/>
  <c r="Z33" i="1"/>
  <c r="G32" i="30"/>
  <c r="AK31" i="1"/>
  <c r="Z31"/>
  <c r="BP31"/>
  <c r="BQ31" s="1"/>
  <c r="BJ31"/>
  <c r="BJ41" s="1"/>
  <c r="AK30"/>
  <c r="AM30" i="44"/>
  <c r="AC24" i="45"/>
  <c r="BN30" i="1"/>
  <c r="AM29" i="44"/>
  <c r="AB24" i="45"/>
  <c r="Z28" i="1"/>
  <c r="Z26"/>
  <c r="AF25"/>
  <c r="Z25"/>
  <c r="AF24"/>
  <c r="AG24" s="1"/>
  <c r="Z24"/>
  <c r="Z23"/>
  <c r="G148" i="20"/>
  <c r="G149" s="1"/>
  <c r="H7" i="3"/>
  <c r="G47" i="18"/>
  <c r="AF18" i="1"/>
  <c r="K9" i="35"/>
  <c r="H124" i="3"/>
  <c r="H124" i="4" s="1"/>
  <c r="BN27" i="1"/>
  <c r="AH33" i="44"/>
  <c r="AO33" s="1"/>
  <c r="AF21" i="1"/>
  <c r="BG20"/>
  <c r="BL20" s="1"/>
  <c r="G145" i="13"/>
  <c r="G147"/>
  <c r="G151"/>
  <c r="G143"/>
  <c r="I13"/>
  <c r="G149"/>
  <c r="Z19" i="1"/>
  <c r="AK5"/>
  <c r="AH32" i="44"/>
  <c r="AO32" s="1"/>
  <c r="BP24" i="1"/>
  <c r="BQ24" s="1"/>
  <c r="AV36"/>
  <c r="BL28"/>
  <c r="AF28"/>
  <c r="AG28" s="1"/>
  <c r="BP28"/>
  <c r="BQ28" s="1"/>
  <c r="G47" i="19"/>
  <c r="AX36" i="1"/>
  <c r="AH16" i="44"/>
  <c r="AO16" s="1"/>
  <c r="K18" i="35"/>
  <c r="G145" i="19"/>
  <c r="BP21" i="1"/>
  <c r="G149" i="19"/>
  <c r="BP23" i="1"/>
  <c r="BQ23" s="1"/>
  <c r="G143" i="19"/>
  <c r="K5" i="35"/>
  <c r="AK6" i="1"/>
  <c r="AF19"/>
  <c r="AF15"/>
  <c r="AH17" i="44"/>
  <c r="AO17" s="1"/>
  <c r="AH19"/>
  <c r="AO19" s="1"/>
  <c r="G151" i="19"/>
  <c r="Z30" i="1"/>
  <c r="AH8" i="44"/>
  <c r="AU36" i="1"/>
  <c r="K12" i="35"/>
  <c r="AT36" i="1"/>
  <c r="AH15" i="44"/>
  <c r="O17" i="35"/>
  <c r="AH13" i="44"/>
  <c r="BP13" i="1"/>
  <c r="BQ13" s="1"/>
  <c r="BP14"/>
  <c r="AH24" i="44"/>
  <c r="AO24" s="1"/>
  <c r="AH6"/>
  <c r="K7" i="35"/>
  <c r="AF16" i="1"/>
  <c r="AG16" s="1"/>
  <c r="G153" i="3"/>
  <c r="AH10" i="44"/>
  <c r="BJ32" i="1"/>
  <c r="BM18"/>
  <c r="AH18" i="44"/>
  <c r="AO18" s="1"/>
  <c r="P33" i="1"/>
  <c r="BP26"/>
  <c r="BQ26" s="1"/>
  <c r="AF14"/>
  <c r="AF31"/>
  <c r="AG31" s="1"/>
  <c r="BP16"/>
  <c r="BQ16" s="1"/>
  <c r="BP22"/>
  <c r="BQ22" s="1"/>
  <c r="AF26"/>
  <c r="AG26" s="1"/>
  <c r="AF22"/>
  <c r="AG22" s="1"/>
  <c r="AH34" i="44"/>
  <c r="AO34" s="1"/>
  <c r="BL13" i="1"/>
  <c r="I13" i="11"/>
  <c r="AH14" i="44"/>
  <c r="AF13" i="1"/>
  <c r="AG13" s="1"/>
  <c r="BM11"/>
  <c r="BN11"/>
  <c r="K10" i="35"/>
  <c r="AH9" i="44"/>
  <c r="BP10" i="1"/>
  <c r="BM9"/>
  <c r="BN9"/>
  <c r="AF8"/>
  <c r="AG8" s="1"/>
  <c r="BP8"/>
  <c r="BQ8" s="1"/>
  <c r="J75" i="2"/>
  <c r="J78"/>
  <c r="K4" i="35"/>
  <c r="H62" i="3"/>
  <c r="H62" i="4" s="1"/>
  <c r="BP18" i="1"/>
  <c r="BP17"/>
  <c r="BQ17" s="1"/>
  <c r="BP19"/>
  <c r="BQ19" s="1"/>
  <c r="I21"/>
  <c r="BJ4"/>
  <c r="AH12" i="44"/>
  <c r="AF7" i="1"/>
  <c r="BJ7"/>
  <c r="AR21"/>
  <c r="AR35" s="1"/>
  <c r="BJ25"/>
  <c r="BJ10"/>
  <c r="AF27"/>
  <c r="AG27" s="1"/>
  <c r="BJ27"/>
  <c r="AF12"/>
  <c r="AG12" s="1"/>
  <c r="BJ12"/>
  <c r="AT21"/>
  <c r="BJ23"/>
  <c r="BJ17"/>
  <c r="AT20"/>
  <c r="BM20" s="1"/>
  <c r="BJ15"/>
  <c r="AH30" i="44"/>
  <c r="AO30" s="1"/>
  <c r="AF30" i="1"/>
  <c r="AG30" s="1"/>
  <c r="BJ30"/>
  <c r="AH28" i="44"/>
  <c r="AO28" s="1"/>
  <c r="AH26"/>
  <c r="AO26" s="1"/>
  <c r="AH22"/>
  <c r="AO22" s="1"/>
  <c r="G152" i="19"/>
  <c r="G153" s="1"/>
  <c r="I13"/>
  <c r="BN20" i="1"/>
  <c r="G59" i="18"/>
  <c r="P4" i="1"/>
  <c r="AH20" i="44"/>
  <c r="AO20" s="1"/>
  <c r="AH29"/>
  <c r="AO29" s="1"/>
  <c r="AH23"/>
  <c r="AO23" s="1"/>
  <c r="AH25"/>
  <c r="AO25" s="1"/>
  <c r="AH21"/>
  <c r="AO21" s="1"/>
  <c r="O18" i="35"/>
  <c r="H46" i="3"/>
  <c r="J46" s="1"/>
  <c r="M36" i="1"/>
  <c r="G59" i="20"/>
  <c r="BN29" i="1"/>
  <c r="BC22"/>
  <c r="BN22" s="1"/>
  <c r="BL11"/>
  <c r="BN19"/>
  <c r="BL18"/>
  <c r="BL9"/>
  <c r="BN14"/>
  <c r="BN12"/>
  <c r="BN26"/>
  <c r="BN6"/>
  <c r="BN5"/>
  <c r="BN32"/>
  <c r="BM24"/>
  <c r="BL24"/>
  <c r="BM5"/>
  <c r="BL5"/>
  <c r="BM25"/>
  <c r="BL25"/>
  <c r="BM12"/>
  <c r="BL12"/>
  <c r="L27"/>
  <c r="BL27"/>
  <c r="BM27"/>
  <c r="BM4"/>
  <c r="L8"/>
  <c r="BM8"/>
  <c r="BL8"/>
  <c r="BL22"/>
  <c r="BM22"/>
  <c r="BM29"/>
  <c r="BL29"/>
  <c r="BN25"/>
  <c r="BN18"/>
  <c r="BM32"/>
  <c r="BL32"/>
  <c r="BL14"/>
  <c r="BM14"/>
  <c r="BL23"/>
  <c r="BM23"/>
  <c r="BL7"/>
  <c r="BM7"/>
  <c r="BL10"/>
  <c r="BM10"/>
  <c r="BL6"/>
  <c r="BM6"/>
  <c r="BL30"/>
  <c r="BM30"/>
  <c r="BL19"/>
  <c r="BM19"/>
  <c r="BM16"/>
  <c r="BL16"/>
  <c r="BM17"/>
  <c r="BL17"/>
  <c r="BL26"/>
  <c r="BM26"/>
  <c r="BN24"/>
  <c r="BN7"/>
  <c r="BN16"/>
  <c r="BN23"/>
  <c r="BN17"/>
  <c r="BN10"/>
  <c r="BN8"/>
  <c r="I13" i="29"/>
  <c r="Z13" i="1"/>
  <c r="P28"/>
  <c r="BP7"/>
  <c r="P20"/>
  <c r="H57" i="4"/>
  <c r="H57" i="5" s="1"/>
  <c r="S21" i="1"/>
  <c r="P15"/>
  <c r="G145" i="29"/>
  <c r="P26" i="1"/>
  <c r="I31"/>
  <c r="G147" i="29"/>
  <c r="G149"/>
  <c r="G153"/>
  <c r="G151"/>
  <c r="P6" i="1"/>
  <c r="AK4"/>
  <c r="J140" i="2"/>
  <c r="H131" i="4"/>
  <c r="H131" i="5" s="1"/>
  <c r="J138" i="2"/>
  <c r="J68"/>
  <c r="BP27" i="1"/>
  <c r="BQ27" s="1"/>
  <c r="G60" i="27"/>
  <c r="I59" s="1"/>
  <c r="S24" i="1"/>
  <c r="P23"/>
  <c r="R11"/>
  <c r="H136" i="3"/>
  <c r="H136" i="4" s="1"/>
  <c r="Z16" i="1"/>
  <c r="P22"/>
  <c r="P8"/>
  <c r="I6" i="47" s="1"/>
  <c r="G31" i="42"/>
  <c r="P13" i="1"/>
  <c r="BP30"/>
  <c r="BQ30" s="1"/>
  <c r="L29"/>
  <c r="P29"/>
  <c r="I27" i="47" s="1"/>
  <c r="Z11" i="1"/>
  <c r="AC36"/>
  <c r="L22"/>
  <c r="G60" i="28"/>
  <c r="I59" s="1"/>
  <c r="AO36" i="1"/>
  <c r="G60" i="17"/>
  <c r="I60" s="1"/>
  <c r="G60" i="15"/>
  <c r="I60" s="1"/>
  <c r="G60" i="16"/>
  <c r="I59" s="1"/>
  <c r="R16" i="1"/>
  <c r="S17"/>
  <c r="AR36"/>
  <c r="O17"/>
  <c r="BG36"/>
  <c r="L26"/>
  <c r="L24"/>
  <c r="P19"/>
  <c r="I17" i="47" s="1"/>
  <c r="H96" i="3"/>
  <c r="J96" s="1"/>
  <c r="G60" i="40"/>
  <c r="I59" s="1"/>
  <c r="AK28" i="1"/>
  <c r="V36"/>
  <c r="AF17"/>
  <c r="AG17" s="1"/>
  <c r="G60" i="14"/>
  <c r="I59" s="1"/>
  <c r="BP15" i="1"/>
  <c r="P14"/>
  <c r="BP12"/>
  <c r="BQ12" s="1"/>
  <c r="S12"/>
  <c r="R12"/>
  <c r="G60" i="9"/>
  <c r="I59" s="1"/>
  <c r="AE10" i="1"/>
  <c r="AF10"/>
  <c r="L10"/>
  <c r="H138" i="4"/>
  <c r="J138" s="1"/>
  <c r="J138" i="3"/>
  <c r="L12" i="1"/>
  <c r="S10"/>
  <c r="R10"/>
  <c r="P30"/>
  <c r="I28" i="47" s="1"/>
  <c r="M28" s="1"/>
  <c r="J73" i="3"/>
  <c r="H35"/>
  <c r="H35" i="4" s="1"/>
  <c r="W36" i="1"/>
  <c r="AG19"/>
  <c r="G60" i="23"/>
  <c r="L30" i="1"/>
  <c r="P27"/>
  <c r="I25" i="47" s="1"/>
  <c r="M25" s="1"/>
  <c r="AF29" i="1"/>
  <c r="AG29" s="1"/>
  <c r="BP29"/>
  <c r="BQ29" s="1"/>
  <c r="L25"/>
  <c r="J24" i="5"/>
  <c r="H24" i="33"/>
  <c r="AF23" i="1"/>
  <c r="AG23" s="1"/>
  <c r="G60" i="22"/>
  <c r="L60" s="1"/>
  <c r="G60" i="8"/>
  <c r="I59" s="1"/>
  <c r="AK27" i="1"/>
  <c r="L7"/>
  <c r="G60" i="7"/>
  <c r="I60" s="1"/>
  <c r="AQ36" i="1"/>
  <c r="AF11"/>
  <c r="AG11" s="1"/>
  <c r="BP11"/>
  <c r="BQ11" s="1"/>
  <c r="L14"/>
  <c r="L23"/>
  <c r="L16"/>
  <c r="L17"/>
  <c r="I36"/>
  <c r="H23" i="4"/>
  <c r="J23" i="3"/>
  <c r="I13" i="16"/>
  <c r="R25" i="1"/>
  <c r="P7"/>
  <c r="G60" i="33"/>
  <c r="H140" i="4"/>
  <c r="J140" s="1"/>
  <c r="P5" i="1"/>
  <c r="G60" i="21"/>
  <c r="L60" s="1"/>
  <c r="G60" i="24"/>
  <c r="I60" s="1"/>
  <c r="AE18" i="1"/>
  <c r="AE36" s="1"/>
  <c r="AF9"/>
  <c r="AG9" s="1"/>
  <c r="BP9"/>
  <c r="BQ9" s="1"/>
  <c r="L19"/>
  <c r="J70" i="13"/>
  <c r="H70" i="14"/>
  <c r="H70" i="29" s="1"/>
  <c r="R18" i="1"/>
  <c r="S18"/>
  <c r="P36"/>
  <c r="R9"/>
  <c r="S9"/>
  <c r="H43" i="4"/>
  <c r="H43" i="5" s="1"/>
  <c r="J57" i="2"/>
  <c r="BP25" i="1"/>
  <c r="G60" i="13"/>
  <c r="AE7" i="1"/>
  <c r="H94" i="4"/>
  <c r="H94" i="5" s="1"/>
  <c r="AE6" i="1"/>
  <c r="BP6"/>
  <c r="AF6"/>
  <c r="L6"/>
  <c r="J94" i="3"/>
  <c r="AE5" i="1"/>
  <c r="J133" i="4"/>
  <c r="H133" i="5"/>
  <c r="J133" s="1"/>
  <c r="J133" i="2"/>
  <c r="J133" i="3"/>
  <c r="J118"/>
  <c r="G60"/>
  <c r="I59" s="1"/>
  <c r="G153" i="2"/>
  <c r="J43"/>
  <c r="AF5" i="1"/>
  <c r="BP5"/>
  <c r="L5"/>
  <c r="H132" i="3"/>
  <c r="J132" s="1"/>
  <c r="J56" i="2"/>
  <c r="H56" i="3"/>
  <c r="J45"/>
  <c r="H137" i="4"/>
  <c r="J137" i="3"/>
  <c r="H130" i="4"/>
  <c r="J130" i="3"/>
  <c r="H123"/>
  <c r="H123" i="4" s="1"/>
  <c r="J92" i="3"/>
  <c r="H92" i="4"/>
  <c r="J50" i="2"/>
  <c r="H50" i="3"/>
  <c r="G143" i="2"/>
  <c r="H13"/>
  <c r="H13" i="3" s="1"/>
  <c r="J37" i="2"/>
  <c r="H37" i="3"/>
  <c r="G151" i="2"/>
  <c r="H36" i="3"/>
  <c r="J36" s="1"/>
  <c r="H45" i="5"/>
  <c r="J45" i="4"/>
  <c r="J44" i="2"/>
  <c r="H44" i="3"/>
  <c r="H38" i="4"/>
  <c r="J38" i="3"/>
  <c r="H9" i="4"/>
  <c r="J9" i="3"/>
  <c r="AE4" i="1"/>
  <c r="J139" i="2"/>
  <c r="H139" i="3"/>
  <c r="H135" i="4"/>
  <c r="J135" i="3"/>
  <c r="H134"/>
  <c r="J134" i="2"/>
  <c r="H127" i="4"/>
  <c r="J127" s="1"/>
  <c r="H126"/>
  <c r="J126" s="1"/>
  <c r="H100"/>
  <c r="J100" i="3"/>
  <c r="H99" i="4"/>
  <c r="J99" i="3"/>
  <c r="J98"/>
  <c r="H98" i="4"/>
  <c r="H95" i="3"/>
  <c r="J95" i="2"/>
  <c r="H93" i="3"/>
  <c r="J93" i="2"/>
  <c r="H84" i="3"/>
  <c r="H85"/>
  <c r="J84" i="2"/>
  <c r="J82" i="3"/>
  <c r="H82" i="4"/>
  <c r="J82" s="1"/>
  <c r="J78" i="3"/>
  <c r="H78" i="4"/>
  <c r="J78" s="1"/>
  <c r="J76" i="3"/>
  <c r="H76" i="4"/>
  <c r="J76" s="1"/>
  <c r="H75"/>
  <c r="J75" s="1"/>
  <c r="J75" i="3"/>
  <c r="H73" i="5"/>
  <c r="H72" i="3"/>
  <c r="J72" i="2"/>
  <c r="J69"/>
  <c r="H69" i="3"/>
  <c r="J66"/>
  <c r="H66" i="4"/>
  <c r="J63" i="3"/>
  <c r="J58"/>
  <c r="H58" i="4"/>
  <c r="G145" i="2"/>
  <c r="H55" i="3"/>
  <c r="J55" i="2"/>
  <c r="H54" i="3"/>
  <c r="J54" i="2"/>
  <c r="J53" i="3"/>
  <c r="H53" i="4"/>
  <c r="H52"/>
  <c r="J52" i="3"/>
  <c r="G149" i="2"/>
  <c r="J49" i="3"/>
  <c r="H49" i="4"/>
  <c r="H42" i="3"/>
  <c r="J42" i="2"/>
  <c r="AF4" i="1"/>
  <c r="J41" i="2"/>
  <c r="H41" i="3"/>
  <c r="H47" i="2"/>
  <c r="G60"/>
  <c r="G147"/>
  <c r="J39" i="3"/>
  <c r="H39" i="4"/>
  <c r="J28" i="2"/>
  <c r="J15"/>
  <c r="I16" s="1"/>
  <c r="H27" i="3"/>
  <c r="L4" i="1"/>
  <c r="AE33"/>
  <c r="S33"/>
  <c r="AO32"/>
  <c r="AE32"/>
  <c r="G59" i="42"/>
  <c r="I59" s="1"/>
  <c r="G151" i="30"/>
  <c r="Z32" i="1"/>
  <c r="P32"/>
  <c r="I30" i="47" s="1"/>
  <c r="AK32" i="1"/>
  <c r="G147" i="30"/>
  <c r="G153"/>
  <c r="G143" i="29"/>
  <c r="AF32" i="1"/>
  <c r="BP32"/>
  <c r="G60" i="29"/>
  <c r="R31" i="1"/>
  <c r="S31"/>
  <c r="L32"/>
  <c r="M6" i="47" l="1"/>
  <c r="J77" i="3"/>
  <c r="H31"/>
  <c r="H31" i="4" s="1"/>
  <c r="H31" i="5" s="1"/>
  <c r="J31" i="2"/>
  <c r="J110" i="31"/>
  <c r="J68" i="3"/>
  <c r="J148" i="2"/>
  <c r="H18" i="4"/>
  <c r="J18" s="1"/>
  <c r="AK19" i="1"/>
  <c r="AK35" s="1"/>
  <c r="J12" i="4"/>
  <c r="H119"/>
  <c r="H119" i="5" s="1"/>
  <c r="J119" s="1"/>
  <c r="J80" i="3"/>
  <c r="M17" i="47"/>
  <c r="M27"/>
  <c r="N116" i="31"/>
  <c r="J109"/>
  <c r="J115"/>
  <c r="J118" i="5"/>
  <c r="H118" i="33"/>
  <c r="BO24" i="1"/>
  <c r="J118" i="4"/>
  <c r="M22" i="47"/>
  <c r="O36" i="1"/>
  <c r="AG14"/>
  <c r="BQ14"/>
  <c r="J51" i="3"/>
  <c r="N119" i="31"/>
  <c r="J101" i="2"/>
  <c r="J106" i="31"/>
  <c r="J105"/>
  <c r="H146" i="3"/>
  <c r="H146" i="4" s="1"/>
  <c r="H144" i="3"/>
  <c r="H144" i="4" s="1"/>
  <c r="H144" i="5" s="1"/>
  <c r="J11" i="3"/>
  <c r="J11" i="4"/>
  <c r="H10"/>
  <c r="J10" s="1"/>
  <c r="H142" i="3"/>
  <c r="H142" i="4" s="1"/>
  <c r="H142" i="5" s="1"/>
  <c r="M14" i="47"/>
  <c r="V4" i="1"/>
  <c r="V35" s="1"/>
  <c r="T35"/>
  <c r="P35"/>
  <c r="AM35"/>
  <c r="BC35"/>
  <c r="BR4"/>
  <c r="AE35"/>
  <c r="M30" i="47"/>
  <c r="BG35" i="1"/>
  <c r="AO35"/>
  <c r="AT35"/>
  <c r="Z35"/>
  <c r="S7"/>
  <c r="I5" i="47"/>
  <c r="M5" s="1"/>
  <c r="S20" i="1"/>
  <c r="I18" i="47"/>
  <c r="M18" s="1"/>
  <c r="L21" i="1"/>
  <c r="E19" i="47"/>
  <c r="M19" s="1"/>
  <c r="R22" i="1"/>
  <c r="BO22" s="1"/>
  <c r="I20" i="47"/>
  <c r="M20" s="1"/>
  <c r="S25" i="1"/>
  <c r="I23" i="47"/>
  <c r="M23" s="1"/>
  <c r="S14" i="1"/>
  <c r="I12" i="47"/>
  <c r="M12" s="1"/>
  <c r="R33" i="1"/>
  <c r="BO33" s="1"/>
  <c r="I31" i="47"/>
  <c r="S6" i="1"/>
  <c r="I4" i="47"/>
  <c r="M4" s="1"/>
  <c r="S15" i="1"/>
  <c r="I13" i="47"/>
  <c r="S5" i="1"/>
  <c r="I3" i="47"/>
  <c r="R13" i="1"/>
  <c r="BO13" s="1"/>
  <c r="I11" i="47"/>
  <c r="M11" s="1"/>
  <c r="S4" i="1"/>
  <c r="I2" i="47"/>
  <c r="M2" s="1"/>
  <c r="M9"/>
  <c r="R23" i="1"/>
  <c r="I21" i="47"/>
  <c r="M21" s="1"/>
  <c r="R26" i="1"/>
  <c r="BO26" s="1"/>
  <c r="I24" i="47"/>
  <c r="M24" s="1"/>
  <c r="O5" i="1"/>
  <c r="O35" s="1"/>
  <c r="G3" i="47"/>
  <c r="BN31" i="1"/>
  <c r="E29" i="47"/>
  <c r="M29" s="1"/>
  <c r="S28" i="1"/>
  <c r="I26" i="47"/>
  <c r="M26" s="1"/>
  <c r="BL15" i="1"/>
  <c r="E13" i="47"/>
  <c r="M7"/>
  <c r="J120" i="31"/>
  <c r="AG21" i="1"/>
  <c r="J112" i="31"/>
  <c r="J104"/>
  <c r="J117"/>
  <c r="G60" i="20"/>
  <c r="I60" s="1"/>
  <c r="BQ21" i="1"/>
  <c r="G60" i="19"/>
  <c r="I59" s="1"/>
  <c r="Z36" i="1"/>
  <c r="AK36"/>
  <c r="K14" i="35"/>
  <c r="BQ5" i="1"/>
  <c r="J59" i="2"/>
  <c r="J124" i="3"/>
  <c r="J107" i="31"/>
  <c r="BQ4" i="1"/>
  <c r="BQ32"/>
  <c r="BQ25"/>
  <c r="AG25"/>
  <c r="I59" i="23"/>
  <c r="O60"/>
  <c r="BQ18" i="1"/>
  <c r="BQ15"/>
  <c r="AG15"/>
  <c r="BQ10"/>
  <c r="BQ6"/>
  <c r="BQ7"/>
  <c r="I60" i="5"/>
  <c r="H19" i="4"/>
  <c r="J19" s="1"/>
  <c r="H151" i="2"/>
  <c r="H151" i="3" s="1"/>
  <c r="J151" s="1"/>
  <c r="H147" i="2"/>
  <c r="H147" i="3" s="1"/>
  <c r="H147" i="4" s="1"/>
  <c r="H153" i="2"/>
  <c r="J153" s="1"/>
  <c r="J40" i="3"/>
  <c r="H150"/>
  <c r="H150" i="4" s="1"/>
  <c r="J150" s="1"/>
  <c r="G29" i="2"/>
  <c r="G32" s="1"/>
  <c r="H30"/>
  <c r="H30" i="3" s="1"/>
  <c r="H30" i="4" s="1"/>
  <c r="J30" s="1"/>
  <c r="H145" i="2"/>
  <c r="H145" i="3" s="1"/>
  <c r="H145" i="4" s="1"/>
  <c r="H143" i="2"/>
  <c r="J143" s="1"/>
  <c r="H149"/>
  <c r="H149" i="3" s="1"/>
  <c r="H149" i="4" s="1"/>
  <c r="H152" i="3"/>
  <c r="L15" i="1"/>
  <c r="K15" i="35"/>
  <c r="G32" i="11"/>
  <c r="J97" i="3"/>
  <c r="H67" i="4"/>
  <c r="H67" i="5" s="1"/>
  <c r="I60" i="30"/>
  <c r="AG33" i="1"/>
  <c r="R4"/>
  <c r="J125" i="3"/>
  <c r="H28"/>
  <c r="H28" i="4" s="1"/>
  <c r="H28" i="5" s="1"/>
  <c r="J79" i="3"/>
  <c r="AF20" i="1"/>
  <c r="AG20" s="1"/>
  <c r="I59" i="11"/>
  <c r="H128" i="19"/>
  <c r="H128" i="20" s="1"/>
  <c r="P60" i="12"/>
  <c r="I59"/>
  <c r="BM15" i="1"/>
  <c r="H83" i="4"/>
  <c r="L36" i="1"/>
  <c r="BN15"/>
  <c r="H81" i="4"/>
  <c r="J81" s="1"/>
  <c r="H128"/>
  <c r="J128" s="1"/>
  <c r="H22"/>
  <c r="J22" s="1"/>
  <c r="J74" i="3"/>
  <c r="H64" i="4"/>
  <c r="H64" i="5" s="1"/>
  <c r="J65" i="3"/>
  <c r="H27" i="4"/>
  <c r="J27" i="3"/>
  <c r="G60" i="18"/>
  <c r="I59" s="1"/>
  <c r="BM21" i="1"/>
  <c r="BP20"/>
  <c r="BQ20" s="1"/>
  <c r="BJ20"/>
  <c r="BJ35" s="1"/>
  <c r="J62" i="3"/>
  <c r="BN21" i="1"/>
  <c r="BO21"/>
  <c r="BP36"/>
  <c r="BM36"/>
  <c r="BO11"/>
  <c r="BL21"/>
  <c r="BO9"/>
  <c r="AG7"/>
  <c r="BL31"/>
  <c r="H46" i="4"/>
  <c r="J46" s="1"/>
  <c r="BL36" i="1"/>
  <c r="L31"/>
  <c r="BM31"/>
  <c r="S26"/>
  <c r="R20"/>
  <c r="BO20" s="1"/>
  <c r="R15"/>
  <c r="R6"/>
  <c r="BO6" s="1"/>
  <c r="J57" i="4"/>
  <c r="R28" i="1"/>
  <c r="BO28" s="1"/>
  <c r="BO31"/>
  <c r="J131" i="4"/>
  <c r="S13" i="1"/>
  <c r="H138" i="5"/>
  <c r="H138" i="33" s="1"/>
  <c r="J136" i="3"/>
  <c r="J123"/>
  <c r="J101"/>
  <c r="H133" i="33"/>
  <c r="H133" i="7" s="1"/>
  <c r="H133" i="8" s="1"/>
  <c r="J43" i="4"/>
  <c r="I60" i="28"/>
  <c r="H140" i="5"/>
  <c r="J140" s="1"/>
  <c r="I60" i="27"/>
  <c r="S23" i="1"/>
  <c r="S22"/>
  <c r="R29"/>
  <c r="BO29" s="1"/>
  <c r="S29"/>
  <c r="R8"/>
  <c r="BO8" s="1"/>
  <c r="S8"/>
  <c r="J35" i="3"/>
  <c r="R14" i="1"/>
  <c r="BO14" s="1"/>
  <c r="I60" i="40"/>
  <c r="I59" i="17"/>
  <c r="I59" i="15"/>
  <c r="I60" i="16"/>
  <c r="I60" i="14"/>
  <c r="AF36" i="1"/>
  <c r="BO16"/>
  <c r="H96" i="4"/>
  <c r="H96" i="5" s="1"/>
  <c r="R19" i="1"/>
  <c r="BO19" s="1"/>
  <c r="S19"/>
  <c r="S36"/>
  <c r="H132" i="4"/>
  <c r="J132" s="1"/>
  <c r="AG18" i="1"/>
  <c r="AG36" s="1"/>
  <c r="BO12"/>
  <c r="I60" i="9"/>
  <c r="BO10" i="1"/>
  <c r="AG10"/>
  <c r="I59" i="22"/>
  <c r="I60"/>
  <c r="J68" i="4"/>
  <c r="BO25" i="1"/>
  <c r="H24" i="7"/>
  <c r="J24" i="33"/>
  <c r="R27" i="1"/>
  <c r="BO27" s="1"/>
  <c r="S27"/>
  <c r="R30"/>
  <c r="BO30" s="1"/>
  <c r="S30"/>
  <c r="I60" i="8"/>
  <c r="R5" i="1"/>
  <c r="I60" i="23"/>
  <c r="I59" i="7"/>
  <c r="R7" i="1"/>
  <c r="BO7" s="1"/>
  <c r="H70" i="18"/>
  <c r="H70" i="21"/>
  <c r="H70" i="22" s="1"/>
  <c r="H70" i="23" s="1"/>
  <c r="H70" i="27"/>
  <c r="J70" i="14"/>
  <c r="H70" i="40"/>
  <c r="H70" i="28"/>
  <c r="H70" i="30"/>
  <c r="H70" i="43" s="1"/>
  <c r="H70" i="31" s="1"/>
  <c r="N70" s="1"/>
  <c r="H70" i="19"/>
  <c r="H70" i="20"/>
  <c r="H70" i="15"/>
  <c r="H69" i="42"/>
  <c r="H70" i="24"/>
  <c r="H70" i="25" s="1"/>
  <c r="K36" i="1"/>
  <c r="BO17"/>
  <c r="R36"/>
  <c r="BO18"/>
  <c r="I59" i="21"/>
  <c r="I60"/>
  <c r="J23" i="4"/>
  <c r="H23" i="5"/>
  <c r="BO23" i="1"/>
  <c r="I59" i="13"/>
  <c r="I60"/>
  <c r="I59" i="24"/>
  <c r="I59" i="33"/>
  <c r="I60"/>
  <c r="AG6" i="1"/>
  <c r="J94" i="4"/>
  <c r="I60"/>
  <c r="J94" i="5"/>
  <c r="H94" i="33"/>
  <c r="AG5" i="1"/>
  <c r="I60" i="3"/>
  <c r="J59"/>
  <c r="AG4" i="1"/>
  <c r="J56" i="3"/>
  <c r="H56" i="4"/>
  <c r="J13" i="2"/>
  <c r="H131" i="33"/>
  <c r="J131" i="5"/>
  <c r="J130" i="4"/>
  <c r="H130" i="5"/>
  <c r="J137" i="4"/>
  <c r="H137" i="5"/>
  <c r="H136"/>
  <c r="J136" i="4"/>
  <c r="J92"/>
  <c r="H92" i="5"/>
  <c r="H77"/>
  <c r="J68"/>
  <c r="H68" i="33"/>
  <c r="J62" i="4"/>
  <c r="H62" i="5"/>
  <c r="J50" i="3"/>
  <c r="H50" i="4"/>
  <c r="H57" i="33"/>
  <c r="J57" i="5"/>
  <c r="J37" i="3"/>
  <c r="H37" i="4"/>
  <c r="H36"/>
  <c r="J35"/>
  <c r="H35" i="5"/>
  <c r="J38" i="4"/>
  <c r="H38" i="5"/>
  <c r="H45" i="33"/>
  <c r="J45" i="5"/>
  <c r="H44" i="4"/>
  <c r="J44" i="3"/>
  <c r="H40" i="5"/>
  <c r="J40" i="4"/>
  <c r="H20" i="3"/>
  <c r="J9" i="4"/>
  <c r="H9" i="5"/>
  <c r="J11"/>
  <c r="H11" i="33"/>
  <c r="J139" i="3"/>
  <c r="H139" i="4"/>
  <c r="H135" i="5"/>
  <c r="J135" i="4"/>
  <c r="J134" i="3"/>
  <c r="H134" i="4"/>
  <c r="J125"/>
  <c r="H125" i="5"/>
  <c r="H127"/>
  <c r="H126"/>
  <c r="J124" i="4"/>
  <c r="H124" i="5"/>
  <c r="J123" i="4"/>
  <c r="H123" i="5"/>
  <c r="H100"/>
  <c r="J100" i="4"/>
  <c r="H99" i="5"/>
  <c r="J99" i="4"/>
  <c r="J98"/>
  <c r="H98" i="5"/>
  <c r="H97"/>
  <c r="J97" i="4"/>
  <c r="H101" i="5"/>
  <c r="J101" i="4"/>
  <c r="J95" i="3"/>
  <c r="H95" i="4"/>
  <c r="H93"/>
  <c r="J93" i="3"/>
  <c r="J84"/>
  <c r="H84" i="4"/>
  <c r="J84" s="1"/>
  <c r="J85" i="3"/>
  <c r="H85" i="4"/>
  <c r="J85" s="1"/>
  <c r="H82" i="5"/>
  <c r="H80"/>
  <c r="H79"/>
  <c r="H78"/>
  <c r="H76"/>
  <c r="H75"/>
  <c r="H74"/>
  <c r="H73" i="33"/>
  <c r="J73" i="5"/>
  <c r="H72" i="4"/>
  <c r="J72" i="3"/>
  <c r="J69"/>
  <c r="H69" i="4"/>
  <c r="H66" i="5"/>
  <c r="J66" i="4"/>
  <c r="H65" i="5"/>
  <c r="J65" i="4"/>
  <c r="J63"/>
  <c r="H63" i="5"/>
  <c r="J58" i="4"/>
  <c r="H58" i="5"/>
  <c r="J55" i="3"/>
  <c r="H55" i="4"/>
  <c r="J54" i="3"/>
  <c r="H54" i="4"/>
  <c r="H53" i="5"/>
  <c r="J53" i="4"/>
  <c r="H148"/>
  <c r="J148" i="3"/>
  <c r="J52" i="4"/>
  <c r="H52" i="5"/>
  <c r="H51"/>
  <c r="J51" i="4"/>
  <c r="H49" i="5"/>
  <c r="J49" i="4"/>
  <c r="J59"/>
  <c r="H59" i="5"/>
  <c r="J43"/>
  <c r="H43" i="33"/>
  <c r="J42" i="3"/>
  <c r="H42" i="4"/>
  <c r="H41"/>
  <c r="J41" i="3"/>
  <c r="H60" i="2"/>
  <c r="I60"/>
  <c r="I59"/>
  <c r="H47" i="3"/>
  <c r="J47" i="2"/>
  <c r="H39" i="5"/>
  <c r="J39" i="4"/>
  <c r="J15" i="3"/>
  <c r="I16" s="1"/>
  <c r="J12" i="5"/>
  <c r="H12" i="33"/>
  <c r="J13" i="3"/>
  <c r="H13" i="4"/>
  <c r="J27" i="2"/>
  <c r="H7" i="4"/>
  <c r="J7" i="3"/>
  <c r="AG32" i="1"/>
  <c r="I58" i="42"/>
  <c r="S32" i="1"/>
  <c r="R32"/>
  <c r="BO32" s="1"/>
  <c r="I59" i="29"/>
  <c r="I60"/>
  <c r="I59" i="30"/>
  <c r="H119" i="33" l="1"/>
  <c r="J119" s="1"/>
  <c r="J31" i="4"/>
  <c r="J31" i="3"/>
  <c r="J119" i="4"/>
  <c r="J144"/>
  <c r="H18" i="5"/>
  <c r="J18" s="1"/>
  <c r="J147" i="3"/>
  <c r="H83" i="5"/>
  <c r="J83" i="4"/>
  <c r="J118" i="33"/>
  <c r="H118" i="7"/>
  <c r="H31" i="33"/>
  <c r="J31" i="5"/>
  <c r="J146" i="3"/>
  <c r="J147" i="2"/>
  <c r="J142" i="4"/>
  <c r="J142" i="3"/>
  <c r="J144"/>
  <c r="BO5" i="1"/>
  <c r="H10" i="5"/>
  <c r="H10" i="33" s="1"/>
  <c r="J149" i="2"/>
  <c r="AG35" i="1"/>
  <c r="AF35"/>
  <c r="S35"/>
  <c r="BO4"/>
  <c r="R35"/>
  <c r="M13" i="47"/>
  <c r="M3"/>
  <c r="I59" i="20"/>
  <c r="I60" i="19"/>
  <c r="J30" i="2"/>
  <c r="J145" i="3"/>
  <c r="H150" i="5"/>
  <c r="J150" s="1"/>
  <c r="J149" i="3"/>
  <c r="J150"/>
  <c r="J30"/>
  <c r="H19" i="5"/>
  <c r="H19" i="33" s="1"/>
  <c r="H19" i="7" s="1"/>
  <c r="J145" i="2"/>
  <c r="J152" i="3"/>
  <c r="H152" i="4"/>
  <c r="H151"/>
  <c r="J151" s="1"/>
  <c r="H32" i="2"/>
  <c r="J32" s="1"/>
  <c r="H153" i="3"/>
  <c r="J153" s="1"/>
  <c r="J151" i="2"/>
  <c r="H29"/>
  <c r="H29" i="3" s="1"/>
  <c r="J29" s="1"/>
  <c r="H143"/>
  <c r="H143" i="4" s="1"/>
  <c r="H143" i="5" s="1"/>
  <c r="J28" i="4"/>
  <c r="BO15" i="1"/>
  <c r="H128" i="5"/>
  <c r="J128" s="1"/>
  <c r="J67" i="4"/>
  <c r="J64"/>
  <c r="H81" i="5"/>
  <c r="H81" i="33" s="1"/>
  <c r="H81" i="7" s="1"/>
  <c r="J28" i="3"/>
  <c r="H22" i="5"/>
  <c r="H22" i="33" s="1"/>
  <c r="J22" s="1"/>
  <c r="J128" i="19"/>
  <c r="J128" i="20"/>
  <c r="H128" i="21"/>
  <c r="H30" i="5"/>
  <c r="J30" s="1"/>
  <c r="J27" i="4"/>
  <c r="H27" i="5"/>
  <c r="H28" i="33"/>
  <c r="J28" i="5"/>
  <c r="I60" i="18"/>
  <c r="H46" i="5"/>
  <c r="J46" s="1"/>
  <c r="J133" i="33"/>
  <c r="J133" i="7"/>
  <c r="J138" i="5"/>
  <c r="H140" i="33"/>
  <c r="H140" i="7" s="1"/>
  <c r="J96" i="4"/>
  <c r="H132" i="5"/>
  <c r="J132" s="1"/>
  <c r="J24" i="7"/>
  <c r="H24" i="8"/>
  <c r="BO36" i="1"/>
  <c r="J23" i="5"/>
  <c r="H23" i="33"/>
  <c r="J94"/>
  <c r="H94" i="7"/>
  <c r="H56" i="5"/>
  <c r="J56" i="4"/>
  <c r="J131" i="33"/>
  <c r="H131" i="7"/>
  <c r="J137" i="5"/>
  <c r="H137" i="33"/>
  <c r="J136" i="5"/>
  <c r="H136" i="33"/>
  <c r="J130" i="5"/>
  <c r="H130" i="33"/>
  <c r="J92" i="5"/>
  <c r="H92" i="33"/>
  <c r="J77" i="5"/>
  <c r="H77" i="33"/>
  <c r="H62"/>
  <c r="J62" i="5"/>
  <c r="H64" i="33"/>
  <c r="J64" i="5"/>
  <c r="J68" i="33"/>
  <c r="H68" i="7"/>
  <c r="J57" i="33"/>
  <c r="H57" i="7"/>
  <c r="J50" i="4"/>
  <c r="H50" i="5"/>
  <c r="J37" i="4"/>
  <c r="H37" i="5"/>
  <c r="H36"/>
  <c r="J36" i="4"/>
  <c r="H40" i="33"/>
  <c r="J40" i="5"/>
  <c r="J44" i="4"/>
  <c r="H44" i="5"/>
  <c r="H38" i="33"/>
  <c r="J38" i="5"/>
  <c r="H45" i="7"/>
  <c r="J45" i="33"/>
  <c r="J35" i="5"/>
  <c r="H35" i="33"/>
  <c r="H20" i="4"/>
  <c r="J20" i="3"/>
  <c r="H9" i="33"/>
  <c r="J9" i="5"/>
  <c r="J11" i="33"/>
  <c r="H11" i="7"/>
  <c r="H139" i="5"/>
  <c r="J139" i="4"/>
  <c r="J138" i="33"/>
  <c r="H138" i="7"/>
  <c r="H135" i="33"/>
  <c r="J135" i="5"/>
  <c r="H134"/>
  <c r="J134" i="4"/>
  <c r="H133" i="9"/>
  <c r="H133" i="10" s="1"/>
  <c r="J133" s="1"/>
  <c r="J133" i="8"/>
  <c r="J125" i="5"/>
  <c r="H125" i="33"/>
  <c r="H127"/>
  <c r="J127" i="5"/>
  <c r="H126" i="33"/>
  <c r="J126" i="5"/>
  <c r="J124"/>
  <c r="H124" i="33"/>
  <c r="J123" i="5"/>
  <c r="H123" i="33"/>
  <c r="J100" i="5"/>
  <c r="H100" i="33"/>
  <c r="J99" i="5"/>
  <c r="H99" i="33"/>
  <c r="J98" i="5"/>
  <c r="H98" i="33"/>
  <c r="J97" i="5"/>
  <c r="H97" i="33"/>
  <c r="J96" i="5"/>
  <c r="H96" i="33"/>
  <c r="H95" i="5"/>
  <c r="J95" i="4"/>
  <c r="J101" i="5"/>
  <c r="H101" i="33"/>
  <c r="H93" i="5"/>
  <c r="J93" i="4"/>
  <c r="H84" i="5"/>
  <c r="H85"/>
  <c r="J83"/>
  <c r="H83" i="33"/>
  <c r="J82" i="5"/>
  <c r="H82" i="33"/>
  <c r="H80"/>
  <c r="J80" i="5"/>
  <c r="J79"/>
  <c r="H79" i="33"/>
  <c r="H78"/>
  <c r="J78" i="5"/>
  <c r="J76"/>
  <c r="H76" i="33"/>
  <c r="H75"/>
  <c r="J75" i="5"/>
  <c r="H74" i="33"/>
  <c r="J74" i="5"/>
  <c r="H73" i="7"/>
  <c r="J73" i="33"/>
  <c r="H72" i="5"/>
  <c r="J72" i="4"/>
  <c r="J69"/>
  <c r="H69" i="5"/>
  <c r="J67"/>
  <c r="H67" i="33"/>
  <c r="H66"/>
  <c r="J66" i="5"/>
  <c r="H65" i="33"/>
  <c r="J65" i="5"/>
  <c r="H63" i="33"/>
  <c r="J63" i="5"/>
  <c r="H58" i="33"/>
  <c r="J58" i="5"/>
  <c r="J55" i="4"/>
  <c r="H55" i="5"/>
  <c r="J54" i="4"/>
  <c r="H54" i="5"/>
  <c r="H53" i="33"/>
  <c r="J53" i="5"/>
  <c r="J148" i="4"/>
  <c r="H148" i="5"/>
  <c r="J52"/>
  <c r="H52" i="33"/>
  <c r="J51" i="5"/>
  <c r="H51" i="33"/>
  <c r="H59"/>
  <c r="J59" i="5"/>
  <c r="J49"/>
  <c r="H49" i="33"/>
  <c r="H43" i="7"/>
  <c r="J43" i="33"/>
  <c r="J142" i="5"/>
  <c r="H142" i="33"/>
  <c r="H42" i="5"/>
  <c r="J42" i="4"/>
  <c r="J144" i="5"/>
  <c r="H144" i="33"/>
  <c r="H41" i="5"/>
  <c r="J41" i="4"/>
  <c r="H47"/>
  <c r="J47" i="3"/>
  <c r="H146" i="5"/>
  <c r="J146" i="4"/>
  <c r="H60" i="3"/>
  <c r="J60" i="2"/>
  <c r="H39" i="33"/>
  <c r="J39" i="5"/>
  <c r="J15" i="4"/>
  <c r="I16" s="1"/>
  <c r="H15" i="5"/>
  <c r="H12" i="7"/>
  <c r="J12" i="33"/>
  <c r="J13" i="4"/>
  <c r="H13" i="5"/>
  <c r="H147"/>
  <c r="J147" i="4"/>
  <c r="H7" i="5"/>
  <c r="J7" i="4"/>
  <c r="J149"/>
  <c r="H149" i="5"/>
  <c r="H145"/>
  <c r="J145" i="4"/>
  <c r="H150" i="33" l="1"/>
  <c r="J150" s="1"/>
  <c r="H119" i="7"/>
  <c r="H119" i="8" s="1"/>
  <c r="H18" i="33"/>
  <c r="H18" i="7" s="1"/>
  <c r="J10" i="5"/>
  <c r="H29" i="4"/>
  <c r="J29" s="1"/>
  <c r="H31" i="7"/>
  <c r="J31" i="33"/>
  <c r="J118" i="7"/>
  <c r="H118" i="8"/>
  <c r="BO35" i="1"/>
  <c r="J19" i="5"/>
  <c r="H32" i="3"/>
  <c r="J32" s="1"/>
  <c r="H151" i="5"/>
  <c r="H151" i="33" s="1"/>
  <c r="J151" s="1"/>
  <c r="H153" i="4"/>
  <c r="H153" i="5" s="1"/>
  <c r="H153" i="33" s="1"/>
  <c r="J153" s="1"/>
  <c r="H152" i="5"/>
  <c r="J152" i="4"/>
  <c r="J143"/>
  <c r="J29" i="2"/>
  <c r="J143" i="3"/>
  <c r="J81" i="33"/>
  <c r="J81" i="5"/>
  <c r="H128" i="33"/>
  <c r="J128" s="1"/>
  <c r="H22" i="7"/>
  <c r="H22" i="8" s="1"/>
  <c r="H22" i="9" s="1"/>
  <c r="H22" i="10" s="1"/>
  <c r="J22" s="1"/>
  <c r="J22" i="5"/>
  <c r="J128" i="21"/>
  <c r="H128" i="22"/>
  <c r="H29" i="5"/>
  <c r="H30" i="33"/>
  <c r="J30" s="1"/>
  <c r="H28" i="7"/>
  <c r="J28" i="33"/>
  <c r="J27" i="5"/>
  <c r="H27" i="33"/>
  <c r="H46"/>
  <c r="J46" s="1"/>
  <c r="H132"/>
  <c r="H132" i="7" s="1"/>
  <c r="J140" i="33"/>
  <c r="J24" i="8"/>
  <c r="H24" i="9"/>
  <c r="H24" i="10" s="1"/>
  <c r="J24" s="1"/>
  <c r="J23" i="33"/>
  <c r="H23" i="7"/>
  <c r="J19" i="33"/>
  <c r="H94" i="8"/>
  <c r="J94" i="7"/>
  <c r="H56" i="33"/>
  <c r="J56" i="5"/>
  <c r="H131" i="8"/>
  <c r="J131" i="7"/>
  <c r="H136"/>
  <c r="J136" i="33"/>
  <c r="J130"/>
  <c r="H130" i="7"/>
  <c r="H137"/>
  <c r="J137" i="33"/>
  <c r="J92"/>
  <c r="H92" i="7"/>
  <c r="H77"/>
  <c r="J77" i="33"/>
  <c r="J64"/>
  <c r="H64" i="7"/>
  <c r="J62" i="33"/>
  <c r="H62" i="7"/>
  <c r="H68" i="8"/>
  <c r="J68" i="7"/>
  <c r="H50" i="33"/>
  <c r="J50" i="5"/>
  <c r="J57" i="7"/>
  <c r="H57" i="8"/>
  <c r="J37" i="5"/>
  <c r="H37" i="33"/>
  <c r="J36" i="5"/>
  <c r="H36" i="33"/>
  <c r="H45" i="8"/>
  <c r="J45" i="7"/>
  <c r="H44" i="33"/>
  <c r="J44" i="5"/>
  <c r="H38" i="7"/>
  <c r="J38" i="33"/>
  <c r="H40" i="7"/>
  <c r="J40" i="33"/>
  <c r="J35"/>
  <c r="H35" i="7"/>
  <c r="H20" i="5"/>
  <c r="J20" i="4"/>
  <c r="J9" i="33"/>
  <c r="H9" i="7"/>
  <c r="H11" i="8"/>
  <c r="J11" i="7"/>
  <c r="J19"/>
  <c r="H19" i="8"/>
  <c r="J140" i="7"/>
  <c r="H140" i="8"/>
  <c r="H139" i="33"/>
  <c r="J139" i="5"/>
  <c r="J138" i="7"/>
  <c r="H138" i="8"/>
  <c r="J135" i="33"/>
  <c r="H135" i="7"/>
  <c r="H134" i="33"/>
  <c r="J134" i="5"/>
  <c r="J133" i="9"/>
  <c r="J125" i="33"/>
  <c r="H125" i="7"/>
  <c r="H127"/>
  <c r="J127" i="33"/>
  <c r="J126"/>
  <c r="H126" i="7"/>
  <c r="H124"/>
  <c r="J124" i="33"/>
  <c r="H123" i="7"/>
  <c r="J123" i="33"/>
  <c r="H100" i="7"/>
  <c r="J100" i="33"/>
  <c r="H99" i="7"/>
  <c r="J99" i="33"/>
  <c r="J98"/>
  <c r="H98" i="7"/>
  <c r="H97"/>
  <c r="J97" i="33"/>
  <c r="J96"/>
  <c r="H96" i="7"/>
  <c r="H101"/>
  <c r="J101" i="33"/>
  <c r="J95" i="5"/>
  <c r="H95" i="33"/>
  <c r="J93" i="5"/>
  <c r="H93" i="33"/>
  <c r="H84"/>
  <c r="J84" i="5"/>
  <c r="H85" i="33"/>
  <c r="J85" i="5"/>
  <c r="H83" i="7"/>
  <c r="J83" i="33"/>
  <c r="J82"/>
  <c r="H82" i="7"/>
  <c r="J81"/>
  <c r="H81" i="8"/>
  <c r="J80" i="33"/>
  <c r="H80" i="7"/>
  <c r="J79" i="33"/>
  <c r="H79" i="7"/>
  <c r="J78" i="33"/>
  <c r="H78" i="7"/>
  <c r="J76" i="33"/>
  <c r="H76" i="7"/>
  <c r="J75" i="33"/>
  <c r="H75" i="7"/>
  <c r="J74" i="33"/>
  <c r="H74" i="7"/>
  <c r="J73"/>
  <c r="H73" i="8"/>
  <c r="J72" i="5"/>
  <c r="H72" i="33"/>
  <c r="H69"/>
  <c r="J69" i="5"/>
  <c r="H67" i="7"/>
  <c r="J67" i="33"/>
  <c r="J66"/>
  <c r="H66" i="7"/>
  <c r="J65" i="33"/>
  <c r="H65" i="7"/>
  <c r="J63" i="33"/>
  <c r="H63" i="7"/>
  <c r="J58" i="33"/>
  <c r="H58" i="7"/>
  <c r="H55" i="33"/>
  <c r="J55" i="5"/>
  <c r="J54"/>
  <c r="H54" i="33"/>
  <c r="J53"/>
  <c r="H53" i="7"/>
  <c r="J148" i="5"/>
  <c r="H148" i="33"/>
  <c r="H52" i="7"/>
  <c r="J52" i="33"/>
  <c r="H51" i="7"/>
  <c r="J51" i="33"/>
  <c r="H59" i="7"/>
  <c r="J59" i="33"/>
  <c r="J49"/>
  <c r="H49" i="7"/>
  <c r="H43" i="8"/>
  <c r="J43" i="7"/>
  <c r="J142" i="33"/>
  <c r="H142" i="7"/>
  <c r="H42" i="33"/>
  <c r="J42" i="5"/>
  <c r="J144" i="33"/>
  <c r="H144" i="7"/>
  <c r="H41" i="33"/>
  <c r="J41" i="5"/>
  <c r="H39" i="7"/>
  <c r="J39" i="33"/>
  <c r="H146"/>
  <c r="J146" i="5"/>
  <c r="J60" i="3"/>
  <c r="H60" i="4"/>
  <c r="J47"/>
  <c r="H47" i="5"/>
  <c r="J15"/>
  <c r="I16" s="1"/>
  <c r="H15" i="33"/>
  <c r="H12" i="8"/>
  <c r="J12" i="7"/>
  <c r="J10" i="33"/>
  <c r="H10" i="7"/>
  <c r="J13" i="5"/>
  <c r="H13" i="33"/>
  <c r="H149"/>
  <c r="J149" i="5"/>
  <c r="J7"/>
  <c r="H7" i="33"/>
  <c r="H143"/>
  <c r="J143" i="5"/>
  <c r="H145" i="33"/>
  <c r="J145" i="5"/>
  <c r="H147" i="33"/>
  <c r="J147" i="5"/>
  <c r="H150" i="7" l="1"/>
  <c r="H150" i="8" s="1"/>
  <c r="J119" i="7"/>
  <c r="J151" i="5"/>
  <c r="J18" i="33"/>
  <c r="H31" i="8"/>
  <c r="J31" i="7"/>
  <c r="H118" i="9"/>
  <c r="J118" i="8"/>
  <c r="H119" i="9"/>
  <c r="J119" i="8"/>
  <c r="J153" i="4"/>
  <c r="H32"/>
  <c r="J32" s="1"/>
  <c r="J152" i="5"/>
  <c r="H152" i="33"/>
  <c r="H128" i="7"/>
  <c r="J128" s="1"/>
  <c r="J22" i="8"/>
  <c r="J22" i="7"/>
  <c r="J22" i="9"/>
  <c r="J128" i="22"/>
  <c r="H128" i="23"/>
  <c r="H29" i="33"/>
  <c r="J29" i="5"/>
  <c r="H30" i="7"/>
  <c r="J30" s="1"/>
  <c r="H28" i="8"/>
  <c r="J28" i="7"/>
  <c r="H27"/>
  <c r="J27" i="33"/>
  <c r="H46" i="7"/>
  <c r="H46" i="8" s="1"/>
  <c r="J153" i="5"/>
  <c r="J132" i="33"/>
  <c r="J24" i="9"/>
  <c r="J23" i="7"/>
  <c r="H23" i="8"/>
  <c r="H22" i="11"/>
  <c r="J94" i="8"/>
  <c r="H94" i="9"/>
  <c r="H94" i="10" s="1"/>
  <c r="J94" s="1"/>
  <c r="H18" i="8"/>
  <c r="J18" i="7"/>
  <c r="J56" i="33"/>
  <c r="H56" i="7"/>
  <c r="H137" i="8"/>
  <c r="J137" i="7"/>
  <c r="J136"/>
  <c r="H136" i="8"/>
  <c r="J131"/>
  <c r="H131" i="9"/>
  <c r="H131" i="10" s="1"/>
  <c r="J131" s="1"/>
  <c r="H130" i="8"/>
  <c r="J130" i="7"/>
  <c r="J92"/>
  <c r="H92" i="8"/>
  <c r="J77" i="7"/>
  <c r="H77" i="8"/>
  <c r="H68" i="9"/>
  <c r="H68" i="10" s="1"/>
  <c r="J68" s="1"/>
  <c r="J68" i="8"/>
  <c r="H64"/>
  <c r="J64" i="7"/>
  <c r="H62" i="8"/>
  <c r="J62" i="7"/>
  <c r="H50"/>
  <c r="J50" i="33"/>
  <c r="J57" i="8"/>
  <c r="H57" i="9"/>
  <c r="H57" i="10" s="1"/>
  <c r="J57" s="1"/>
  <c r="H36" i="7"/>
  <c r="J36" i="33"/>
  <c r="J37"/>
  <c r="H37" i="7"/>
  <c r="H40" i="8"/>
  <c r="J40" i="7"/>
  <c r="J45" i="8"/>
  <c r="H45" i="9"/>
  <c r="H45" i="10" s="1"/>
  <c r="J45" s="1"/>
  <c r="J38" i="7"/>
  <c r="H38" i="8"/>
  <c r="J44" i="33"/>
  <c r="H44" i="7"/>
  <c r="H35" i="8"/>
  <c r="J35" i="7"/>
  <c r="J20" i="5"/>
  <c r="H20" i="33"/>
  <c r="J9" i="7"/>
  <c r="H9" i="8"/>
  <c r="H11" i="9"/>
  <c r="H11" i="10" s="1"/>
  <c r="J11" s="1"/>
  <c r="J11" i="8"/>
  <c r="H19" i="9"/>
  <c r="H19" i="10" s="1"/>
  <c r="J19" s="1"/>
  <c r="J19" i="8"/>
  <c r="H140" i="9"/>
  <c r="H140" i="10" s="1"/>
  <c r="J140" s="1"/>
  <c r="J140" i="8"/>
  <c r="J139" i="33"/>
  <c r="H139" i="7"/>
  <c r="H138" i="9"/>
  <c r="H138" i="10" s="1"/>
  <c r="J138" s="1"/>
  <c r="J138" i="8"/>
  <c r="J135" i="7"/>
  <c r="H135" i="8"/>
  <c r="H134" i="7"/>
  <c r="J134" i="33"/>
  <c r="H133" i="11"/>
  <c r="H132" i="8"/>
  <c r="J132" i="7"/>
  <c r="H125" i="8"/>
  <c r="J125" i="7"/>
  <c r="H127" i="8"/>
  <c r="J127" i="7"/>
  <c r="H126" i="8"/>
  <c r="J126" i="7"/>
  <c r="H124" i="8"/>
  <c r="J124" i="7"/>
  <c r="H123" i="8"/>
  <c r="J123" i="7"/>
  <c r="J100"/>
  <c r="H100" i="8"/>
  <c r="H99"/>
  <c r="J99" i="7"/>
  <c r="J98"/>
  <c r="H98" i="8"/>
  <c r="H97"/>
  <c r="J97" i="7"/>
  <c r="J96"/>
  <c r="H96" i="8"/>
  <c r="H101"/>
  <c r="J101" i="7"/>
  <c r="J95" i="33"/>
  <c r="H95" i="7"/>
  <c r="J93" i="33"/>
  <c r="H93" i="7"/>
  <c r="H84"/>
  <c r="J84" i="33"/>
  <c r="J85"/>
  <c r="H85" i="7"/>
  <c r="J83"/>
  <c r="H83" i="8"/>
  <c r="J82" i="7"/>
  <c r="H82" i="8"/>
  <c r="H81" i="9"/>
  <c r="H81" i="10" s="1"/>
  <c r="J81" s="1"/>
  <c r="J81" i="8"/>
  <c r="J80" i="7"/>
  <c r="H80" i="8"/>
  <c r="H79"/>
  <c r="J79" i="7"/>
  <c r="H78" i="8"/>
  <c r="J78" i="7"/>
  <c r="H76" i="8"/>
  <c r="J76" i="7"/>
  <c r="J75"/>
  <c r="H75" i="8"/>
  <c r="H74"/>
  <c r="J74" i="7"/>
  <c r="H73" i="9"/>
  <c r="H73" i="10" s="1"/>
  <c r="J73" s="1"/>
  <c r="J73" i="8"/>
  <c r="J72" i="33"/>
  <c r="H72" i="7"/>
  <c r="J69" i="33"/>
  <c r="H69" i="7"/>
  <c r="J67"/>
  <c r="H67" i="8"/>
  <c r="H66"/>
  <c r="J66" i="7"/>
  <c r="J65"/>
  <c r="H65" i="8"/>
  <c r="H63"/>
  <c r="J63" i="7"/>
  <c r="J58"/>
  <c r="H58" i="8"/>
  <c r="J55" i="33"/>
  <c r="H55" i="7"/>
  <c r="H54"/>
  <c r="J54" i="33"/>
  <c r="H53" i="8"/>
  <c r="J53" i="7"/>
  <c r="H148"/>
  <c r="J148" i="33"/>
  <c r="H52" i="8"/>
  <c r="J52" i="7"/>
  <c r="J51"/>
  <c r="H51" i="8"/>
  <c r="J49" i="7"/>
  <c r="H49" i="8"/>
  <c r="H59"/>
  <c r="J59" i="7"/>
  <c r="J142"/>
  <c r="H142" i="8"/>
  <c r="J43"/>
  <c r="H43" i="9"/>
  <c r="H43" i="10" s="1"/>
  <c r="J43" s="1"/>
  <c r="J42" i="33"/>
  <c r="H42" i="7"/>
  <c r="J144"/>
  <c r="H144" i="8"/>
  <c r="H41" i="7"/>
  <c r="J41" i="33"/>
  <c r="J60" i="4"/>
  <c r="H60" i="5"/>
  <c r="J146" i="33"/>
  <c r="H146" i="7"/>
  <c r="H47" i="33"/>
  <c r="J47" i="5"/>
  <c r="J39" i="7"/>
  <c r="H39" i="8"/>
  <c r="J15" i="33"/>
  <c r="I16" s="1"/>
  <c r="H15" i="7"/>
  <c r="J12" i="8"/>
  <c r="H12" i="9"/>
  <c r="H12" i="10" s="1"/>
  <c r="J12" s="1"/>
  <c r="J10" i="7"/>
  <c r="H10" i="8"/>
  <c r="H13" i="7"/>
  <c r="J13" i="33"/>
  <c r="H7" i="7"/>
  <c r="J7" i="33"/>
  <c r="J147"/>
  <c r="H147" i="7"/>
  <c r="H151"/>
  <c r="J151" s="1"/>
  <c r="H153"/>
  <c r="J153" s="1"/>
  <c r="H145"/>
  <c r="J145" i="33"/>
  <c r="J143"/>
  <c r="H143" i="7"/>
  <c r="J149" i="33"/>
  <c r="H149" i="7"/>
  <c r="J150" l="1"/>
  <c r="H119" i="10"/>
  <c r="J119" i="9"/>
  <c r="H31"/>
  <c r="J31" i="8"/>
  <c r="H118" i="10"/>
  <c r="J118" i="9"/>
  <c r="H32" i="5"/>
  <c r="J152" i="33"/>
  <c r="H152" i="7"/>
  <c r="H128" i="8"/>
  <c r="J128" s="1"/>
  <c r="J128" i="23"/>
  <c r="H128" i="24"/>
  <c r="H29" i="7"/>
  <c r="J29" i="33"/>
  <c r="H30" i="8"/>
  <c r="J30" s="1"/>
  <c r="H28" i="9"/>
  <c r="H28" i="10" s="1"/>
  <c r="J28" s="1"/>
  <c r="J28" i="8"/>
  <c r="H27"/>
  <c r="J27" i="7"/>
  <c r="J46"/>
  <c r="H24" i="11"/>
  <c r="J23" i="8"/>
  <c r="H23" i="9"/>
  <c r="H23" i="10" s="1"/>
  <c r="J23" s="1"/>
  <c r="H22" i="12"/>
  <c r="J22" i="11"/>
  <c r="J94" i="9"/>
  <c r="J18" i="8"/>
  <c r="H18" i="9"/>
  <c r="H18" i="10" s="1"/>
  <c r="J18" s="1"/>
  <c r="J56" i="7"/>
  <c r="H56" i="8"/>
  <c r="H130" i="9"/>
  <c r="H130" i="10" s="1"/>
  <c r="J130" s="1"/>
  <c r="J130" i="8"/>
  <c r="J137"/>
  <c r="H137" i="9"/>
  <c r="H137" i="10" s="1"/>
  <c r="J137" s="1"/>
  <c r="J131" i="9"/>
  <c r="J136" i="8"/>
  <c r="H136" i="9"/>
  <c r="H136" i="10" s="1"/>
  <c r="J136" s="1"/>
  <c r="H92" i="9"/>
  <c r="H92" i="10" s="1"/>
  <c r="J92" s="1"/>
  <c r="J92" i="8"/>
  <c r="H77" i="9"/>
  <c r="J77" i="8"/>
  <c r="H64" i="9"/>
  <c r="H64" i="10" s="1"/>
  <c r="J64" s="1"/>
  <c r="J64" i="8"/>
  <c r="H62" i="9"/>
  <c r="H62" i="10" s="1"/>
  <c r="J62" s="1"/>
  <c r="J62" i="8"/>
  <c r="J68" i="9"/>
  <c r="J50" i="7"/>
  <c r="H50" i="8"/>
  <c r="J57" i="9"/>
  <c r="H57" i="12"/>
  <c r="J57" s="1"/>
  <c r="J36" i="7"/>
  <c r="H36" i="8"/>
  <c r="H37"/>
  <c r="J37" i="7"/>
  <c r="J44"/>
  <c r="H44" i="8"/>
  <c r="J45" i="9"/>
  <c r="H35"/>
  <c r="H35" i="10" s="1"/>
  <c r="J35" s="1"/>
  <c r="J35" i="8"/>
  <c r="J40"/>
  <c r="H40" i="9"/>
  <c r="H40" i="10" s="1"/>
  <c r="J40" s="1"/>
  <c r="H38" i="9"/>
  <c r="H38" i="10" s="1"/>
  <c r="J38" s="1"/>
  <c r="J38" i="8"/>
  <c r="J20" i="33"/>
  <c r="H20" i="7"/>
  <c r="H9" i="9"/>
  <c r="H9" i="10" s="1"/>
  <c r="J9" s="1"/>
  <c r="J9" i="8"/>
  <c r="J11" i="9"/>
  <c r="H11" i="11"/>
  <c r="J11" s="1"/>
  <c r="J19" i="9"/>
  <c r="J140"/>
  <c r="J139" i="7"/>
  <c r="H139" i="8"/>
  <c r="J138" i="9"/>
  <c r="J135" i="8"/>
  <c r="H135" i="9"/>
  <c r="H135" i="10" s="1"/>
  <c r="J135" s="1"/>
  <c r="J134" i="7"/>
  <c r="H134" i="8"/>
  <c r="H133" i="12"/>
  <c r="J133" i="11"/>
  <c r="J132" i="8"/>
  <c r="H132" i="9"/>
  <c r="H132" i="10" s="1"/>
  <c r="J132" s="1"/>
  <c r="H125" i="9"/>
  <c r="H125" i="10" s="1"/>
  <c r="J125" s="1"/>
  <c r="J125" i="8"/>
  <c r="J127"/>
  <c r="H127" i="9"/>
  <c r="H127" i="10" s="1"/>
  <c r="J127" s="1"/>
  <c r="J126" i="8"/>
  <c r="H126" i="9"/>
  <c r="H126" i="10" s="1"/>
  <c r="J126" s="1"/>
  <c r="H124" i="9"/>
  <c r="H124" i="10" s="1"/>
  <c r="J124" s="1"/>
  <c r="J124" i="8"/>
  <c r="H123" i="9"/>
  <c r="H123" i="10" s="1"/>
  <c r="J123" s="1"/>
  <c r="J123" i="8"/>
  <c r="J100"/>
  <c r="H100" i="9"/>
  <c r="H100" i="10" s="1"/>
  <c r="J100" s="1"/>
  <c r="H99" i="9"/>
  <c r="H99" i="10" s="1"/>
  <c r="J99" s="1"/>
  <c r="J99" i="8"/>
  <c r="J98"/>
  <c r="H98" i="9"/>
  <c r="H98" i="10" s="1"/>
  <c r="J98" s="1"/>
  <c r="H97" i="9"/>
  <c r="H97" i="10" s="1"/>
  <c r="J97" s="1"/>
  <c r="J97" i="8"/>
  <c r="J96"/>
  <c r="H96" i="9"/>
  <c r="H96" i="10" s="1"/>
  <c r="J96" s="1"/>
  <c r="H95" i="8"/>
  <c r="J95" i="7"/>
  <c r="H101" i="9"/>
  <c r="H101" i="10" s="1"/>
  <c r="J101" s="1"/>
  <c r="J101" i="8"/>
  <c r="H93"/>
  <c r="J93" i="7"/>
  <c r="H84" i="8"/>
  <c r="J84" i="7"/>
  <c r="H85" i="8"/>
  <c r="J85" i="7"/>
  <c r="J83" i="8"/>
  <c r="H83" i="9"/>
  <c r="H83" i="10" s="1"/>
  <c r="J83" s="1"/>
  <c r="J82" i="8"/>
  <c r="H82" i="9"/>
  <c r="H82" i="10" s="1"/>
  <c r="J82" s="1"/>
  <c r="J81" i="9"/>
  <c r="J80" i="8"/>
  <c r="H80" i="9"/>
  <c r="H80" i="10" s="1"/>
  <c r="J80" s="1"/>
  <c r="H79" i="9"/>
  <c r="H79" i="10" s="1"/>
  <c r="J79" s="1"/>
  <c r="J79" i="8"/>
  <c r="J78"/>
  <c r="H78" i="9"/>
  <c r="H78" i="10" s="1"/>
  <c r="J78" s="1"/>
  <c r="J76" i="8"/>
  <c r="H76" i="9"/>
  <c r="H76" i="10" s="1"/>
  <c r="J76" s="1"/>
  <c r="H75" i="9"/>
  <c r="H75" i="10" s="1"/>
  <c r="J75" s="1"/>
  <c r="J75" i="8"/>
  <c r="J74"/>
  <c r="H74" i="9"/>
  <c r="H74" i="10" s="1"/>
  <c r="J74" s="1"/>
  <c r="J73" i="9"/>
  <c r="J72" i="7"/>
  <c r="H72" i="8"/>
  <c r="J69" i="7"/>
  <c r="H69" i="8"/>
  <c r="J67"/>
  <c r="H67" i="9"/>
  <c r="H67" i="10" s="1"/>
  <c r="J67" s="1"/>
  <c r="H66" i="9"/>
  <c r="H66" i="10" s="1"/>
  <c r="J66" s="1"/>
  <c r="J66" i="8"/>
  <c r="J65"/>
  <c r="H65" i="9"/>
  <c r="H65" i="10" s="1"/>
  <c r="J65" s="1"/>
  <c r="H63" i="9"/>
  <c r="H63" i="10" s="1"/>
  <c r="J63" s="1"/>
  <c r="J63" i="8"/>
  <c r="H58" i="9"/>
  <c r="H58" i="10" s="1"/>
  <c r="J58" s="1"/>
  <c r="J58" i="8"/>
  <c r="H55"/>
  <c r="J55" i="7"/>
  <c r="J54"/>
  <c r="H54" i="8"/>
  <c r="J53"/>
  <c r="H53" i="9"/>
  <c r="H53" i="10" s="1"/>
  <c r="J53" s="1"/>
  <c r="J148" i="7"/>
  <c r="H148" i="8"/>
  <c r="H52" i="9"/>
  <c r="H52" i="10" s="1"/>
  <c r="J52" s="1"/>
  <c r="J52" i="8"/>
  <c r="H51" i="9"/>
  <c r="H51" i="10" s="1"/>
  <c r="J51" s="1"/>
  <c r="J51" i="8"/>
  <c r="H49" i="9"/>
  <c r="H49" i="10" s="1"/>
  <c r="J49" s="1"/>
  <c r="J49" i="8"/>
  <c r="H59" i="9"/>
  <c r="H59" i="10" s="1"/>
  <c r="J59" s="1"/>
  <c r="J59" i="8"/>
  <c r="H46" i="9"/>
  <c r="H46" i="10" s="1"/>
  <c r="J46" s="1"/>
  <c r="J46" i="8"/>
  <c r="H142" i="9"/>
  <c r="H142" i="10" s="1"/>
  <c r="J142" s="1"/>
  <c r="J142" i="8"/>
  <c r="J43" i="9"/>
  <c r="H42" i="8"/>
  <c r="J42" i="7"/>
  <c r="H144" i="9"/>
  <c r="H144" i="10" s="1"/>
  <c r="J144" s="1"/>
  <c r="J144" i="8"/>
  <c r="H41"/>
  <c r="J41" i="7"/>
  <c r="H60" i="33"/>
  <c r="J60" i="5"/>
  <c r="H39" i="9"/>
  <c r="H39" i="10" s="1"/>
  <c r="J39" s="1"/>
  <c r="J39" i="8"/>
  <c r="J146" i="7"/>
  <c r="H146" i="8"/>
  <c r="J47" i="33"/>
  <c r="H47" i="7"/>
  <c r="J150" i="8"/>
  <c r="H150" i="9"/>
  <c r="H150" i="10" s="1"/>
  <c r="J150" s="1"/>
  <c r="J15" i="7"/>
  <c r="I16" s="1"/>
  <c r="H15" i="8"/>
  <c r="H12" i="11"/>
  <c r="J12" s="1"/>
  <c r="J12" i="9"/>
  <c r="H10"/>
  <c r="H10" i="10" s="1"/>
  <c r="J10" s="1"/>
  <c r="J10" i="8"/>
  <c r="H13"/>
  <c r="J13" i="7"/>
  <c r="H149" i="8"/>
  <c r="J149" i="7"/>
  <c r="H153" i="8"/>
  <c r="J153" s="1"/>
  <c r="H143"/>
  <c r="J143" i="7"/>
  <c r="H151" i="8"/>
  <c r="J151" s="1"/>
  <c r="H147"/>
  <c r="J147" i="7"/>
  <c r="H145" i="8"/>
  <c r="J145" i="7"/>
  <c r="J7"/>
  <c r="H7" i="8"/>
  <c r="H32" i="33" l="1"/>
  <c r="H32" i="7" s="1"/>
  <c r="J32" i="5"/>
  <c r="J118" i="10"/>
  <c r="H118" i="11"/>
  <c r="J118" s="1"/>
  <c r="J119" i="10"/>
  <c r="H119" i="11"/>
  <c r="J119" s="1"/>
  <c r="J31" i="9"/>
  <c r="H31" i="10"/>
  <c r="J152" i="7"/>
  <c r="H152" i="8"/>
  <c r="J77" i="9"/>
  <c r="H77" i="10"/>
  <c r="J77" s="1"/>
  <c r="J128" i="24"/>
  <c r="H128" i="25"/>
  <c r="J29" i="7"/>
  <c r="H29" i="8"/>
  <c r="H30" i="9"/>
  <c r="J27" i="8"/>
  <c r="H27" i="9"/>
  <c r="H27" i="10" s="1"/>
  <c r="J27" s="1"/>
  <c r="H28" i="11"/>
  <c r="J28" i="9"/>
  <c r="J24" i="11"/>
  <c r="H24" i="12"/>
  <c r="J23" i="9"/>
  <c r="H22" i="13"/>
  <c r="J22" i="12"/>
  <c r="H94" i="11"/>
  <c r="J18" i="9"/>
  <c r="H56"/>
  <c r="H56" i="10" s="1"/>
  <c r="J56" s="1"/>
  <c r="J56" i="8"/>
  <c r="H131" i="11"/>
  <c r="J130" i="9"/>
  <c r="J136"/>
  <c r="J137"/>
  <c r="J92"/>
  <c r="H68" i="11"/>
  <c r="J62" i="9"/>
  <c r="J64"/>
  <c r="H50"/>
  <c r="H50" i="10" s="1"/>
  <c r="J50" s="1"/>
  <c r="J50" i="8"/>
  <c r="H57" i="11"/>
  <c r="H36" i="9"/>
  <c r="H36" i="10" s="1"/>
  <c r="J36" s="1"/>
  <c r="J36" i="8"/>
  <c r="H37" i="9"/>
  <c r="H37" i="10" s="1"/>
  <c r="J37" s="1"/>
  <c r="J37" i="8"/>
  <c r="J38" i="9"/>
  <c r="J35"/>
  <c r="J44" i="8"/>
  <c r="H44" i="9"/>
  <c r="H44" i="10" s="1"/>
  <c r="H45" i="11"/>
  <c r="J40" i="9"/>
  <c r="H20" i="8"/>
  <c r="J20" i="7"/>
  <c r="J9" i="9"/>
  <c r="H9" i="11"/>
  <c r="J9" s="1"/>
  <c r="H19"/>
  <c r="H140"/>
  <c r="H139" i="9"/>
  <c r="H139" i="10" s="1"/>
  <c r="J139" s="1"/>
  <c r="J139" i="8"/>
  <c r="H138" i="11"/>
  <c r="J135" i="9"/>
  <c r="H134"/>
  <c r="H134" i="10" s="1"/>
  <c r="J134" s="1"/>
  <c r="J134" i="8"/>
  <c r="H133" i="13"/>
  <c r="J133" i="12"/>
  <c r="J132" i="9"/>
  <c r="J125"/>
  <c r="J127"/>
  <c r="J126"/>
  <c r="J124"/>
  <c r="J123"/>
  <c r="J100"/>
  <c r="J99"/>
  <c r="J98"/>
  <c r="J97"/>
  <c r="J96"/>
  <c r="J101"/>
  <c r="J95" i="8"/>
  <c r="H95" i="9"/>
  <c r="H95" i="10" s="1"/>
  <c r="J95" s="1"/>
  <c r="J93" i="8"/>
  <c r="H93" i="9"/>
  <c r="H93" i="10" s="1"/>
  <c r="J93" s="1"/>
  <c r="J84" i="8"/>
  <c r="H84" i="9"/>
  <c r="H84" i="10" s="1"/>
  <c r="J84" s="1"/>
  <c r="J85" i="8"/>
  <c r="H85" i="9"/>
  <c r="H85" i="10" s="1"/>
  <c r="J85" s="1"/>
  <c r="J83" i="9"/>
  <c r="J82"/>
  <c r="H81" i="11"/>
  <c r="J80" i="9"/>
  <c r="J79"/>
  <c r="J78"/>
  <c r="J76"/>
  <c r="J75"/>
  <c r="J74"/>
  <c r="H73" i="11"/>
  <c r="J72" i="8"/>
  <c r="H72" i="9"/>
  <c r="H72" i="10" s="1"/>
  <c r="J72" s="1"/>
  <c r="J69" i="8"/>
  <c r="H69" i="9"/>
  <c r="H69" i="10" s="1"/>
  <c r="J69" s="1"/>
  <c r="J67" i="9"/>
  <c r="J66"/>
  <c r="J65"/>
  <c r="J63"/>
  <c r="J58"/>
  <c r="H58" i="12"/>
  <c r="J58" s="1"/>
  <c r="J55" i="8"/>
  <c r="H55" i="9"/>
  <c r="H55" i="10" s="1"/>
  <c r="J55" s="1"/>
  <c r="J54" i="8"/>
  <c r="H54" i="9"/>
  <c r="H54" i="10" s="1"/>
  <c r="J54" s="1"/>
  <c r="H53" i="12"/>
  <c r="J53" s="1"/>
  <c r="J53" i="9"/>
  <c r="H148"/>
  <c r="H148" i="10" s="1"/>
  <c r="J148" s="1"/>
  <c r="J148" i="8"/>
  <c r="J52" i="9"/>
  <c r="H52" i="12"/>
  <c r="J52" s="1"/>
  <c r="H51"/>
  <c r="J51" s="1"/>
  <c r="J51" i="9"/>
  <c r="H59" i="12"/>
  <c r="J59" s="1"/>
  <c r="J59" i="9"/>
  <c r="H49" i="12"/>
  <c r="J49" s="1"/>
  <c r="J49" i="9"/>
  <c r="J46"/>
  <c r="H43" i="11"/>
  <c r="J142" i="9"/>
  <c r="H42"/>
  <c r="H42" i="10" s="1"/>
  <c r="J42" s="1"/>
  <c r="J42" i="8"/>
  <c r="J144" i="9"/>
  <c r="J41" i="8"/>
  <c r="H41" i="9"/>
  <c r="H41" i="10" s="1"/>
  <c r="J39" i="9"/>
  <c r="H47" i="8"/>
  <c r="J47" i="7"/>
  <c r="J60" i="33"/>
  <c r="H60" i="7"/>
  <c r="H146" i="9"/>
  <c r="H146" i="10" s="1"/>
  <c r="J146" s="1"/>
  <c r="J146" i="8"/>
  <c r="J150" i="9"/>
  <c r="H15"/>
  <c r="H15" i="10" s="1"/>
  <c r="J15" s="1"/>
  <c r="I16" s="1"/>
  <c r="J15" i="8"/>
  <c r="I16" s="1"/>
  <c r="H10" i="11"/>
  <c r="J10" s="1"/>
  <c r="J10" i="9"/>
  <c r="H13"/>
  <c r="H13" i="10" s="1"/>
  <c r="J13" i="8"/>
  <c r="J7"/>
  <c r="H7" i="9"/>
  <c r="J145" i="8"/>
  <c r="H145" i="9"/>
  <c r="H145" i="10" s="1"/>
  <c r="J145" s="1"/>
  <c r="H151" i="9"/>
  <c r="H153"/>
  <c r="H147"/>
  <c r="H147" i="10" s="1"/>
  <c r="J147" s="1"/>
  <c r="J147" i="8"/>
  <c r="H143" i="9"/>
  <c r="H143" i="10" s="1"/>
  <c r="J143" s="1"/>
  <c r="J143" i="8"/>
  <c r="H149" i="9"/>
  <c r="H149" i="10" s="1"/>
  <c r="J149" s="1"/>
  <c r="J149" i="8"/>
  <c r="J32" i="33" l="1"/>
  <c r="H31" i="11"/>
  <c r="J31" i="10"/>
  <c r="J152" i="8"/>
  <c r="H152" i="9"/>
  <c r="J13" i="10"/>
  <c r="H13" i="12"/>
  <c r="J30" i="9"/>
  <c r="H30" i="10"/>
  <c r="J30" s="1"/>
  <c r="J41"/>
  <c r="H41" i="11"/>
  <c r="J44" i="10"/>
  <c r="H44" i="11"/>
  <c r="J151" i="9"/>
  <c r="H151" i="10"/>
  <c r="J151" s="1"/>
  <c r="J153" i="9"/>
  <c r="H153" i="10"/>
  <c r="J153" s="1"/>
  <c r="J7" i="9"/>
  <c r="I9" s="1"/>
  <c r="H7" i="10"/>
  <c r="J7" s="1"/>
  <c r="I9" s="1"/>
  <c r="J128" i="25"/>
  <c r="H128" i="40"/>
  <c r="J29" i="8"/>
  <c r="H29" i="9"/>
  <c r="H29" i="10" s="1"/>
  <c r="J29" s="1"/>
  <c r="J27" i="9"/>
  <c r="H27" i="11"/>
  <c r="H28" i="12"/>
  <c r="J28" i="11"/>
  <c r="J32" i="7"/>
  <c r="H32" i="8"/>
  <c r="J24" i="12"/>
  <c r="H24" i="13"/>
  <c r="H23" i="11"/>
  <c r="J22" i="13"/>
  <c r="H94" i="12"/>
  <c r="J94" i="11"/>
  <c r="H18"/>
  <c r="H56" i="12"/>
  <c r="J56" s="1"/>
  <c r="J56" i="9"/>
  <c r="H137" i="11"/>
  <c r="G196" s="1"/>
  <c r="H196" s="1"/>
  <c r="H130"/>
  <c r="G194" s="1"/>
  <c r="H194" s="1"/>
  <c r="H136"/>
  <c r="H131" i="12"/>
  <c r="J131" i="11"/>
  <c r="H92"/>
  <c r="H77"/>
  <c r="H64"/>
  <c r="H62"/>
  <c r="J68"/>
  <c r="H68" i="12"/>
  <c r="J50" i="9"/>
  <c r="H50" i="12"/>
  <c r="J50" s="1"/>
  <c r="J57" i="11"/>
  <c r="J37" i="9"/>
  <c r="J36"/>
  <c r="H38" i="11"/>
  <c r="J45"/>
  <c r="H45" i="12"/>
  <c r="J44" i="9"/>
  <c r="H40" i="11"/>
  <c r="H35"/>
  <c r="H20" i="9"/>
  <c r="H20" i="10" s="1"/>
  <c r="J20" s="1"/>
  <c r="I20" s="1"/>
  <c r="J20" i="8"/>
  <c r="H11" i="12"/>
  <c r="H11" i="13" s="1"/>
  <c r="H11" i="14" s="1"/>
  <c r="H19" i="12"/>
  <c r="J19" i="11"/>
  <c r="J140"/>
  <c r="H140" i="12"/>
  <c r="J139" i="9"/>
  <c r="J138" i="11"/>
  <c r="H138" i="12"/>
  <c r="H135" i="11"/>
  <c r="J134" i="9"/>
  <c r="J133" i="13"/>
  <c r="H133" i="14"/>
  <c r="H132" i="11"/>
  <c r="H125"/>
  <c r="H127"/>
  <c r="H126"/>
  <c r="H124"/>
  <c r="H123"/>
  <c r="H100"/>
  <c r="H99"/>
  <c r="H98"/>
  <c r="H97"/>
  <c r="H96"/>
  <c r="H101"/>
  <c r="J95" i="9"/>
  <c r="J93"/>
  <c r="J84"/>
  <c r="J85"/>
  <c r="H83" i="11"/>
  <c r="H82"/>
  <c r="H81" i="12"/>
  <c r="J81" i="11"/>
  <c r="H80"/>
  <c r="H79"/>
  <c r="H78"/>
  <c r="H76"/>
  <c r="H75"/>
  <c r="H74"/>
  <c r="J73"/>
  <c r="H73" i="12"/>
  <c r="J72" i="9"/>
  <c r="J69"/>
  <c r="H67" i="11"/>
  <c r="H66"/>
  <c r="H65"/>
  <c r="H63"/>
  <c r="H58"/>
  <c r="J55" i="9"/>
  <c r="H55" i="12"/>
  <c r="J55" s="1"/>
  <c r="H54"/>
  <c r="J54" s="1"/>
  <c r="J54" i="9"/>
  <c r="H53" i="11"/>
  <c r="H52"/>
  <c r="J148" i="9"/>
  <c r="H51" i="11"/>
  <c r="H59"/>
  <c r="H49"/>
  <c r="H46"/>
  <c r="H43" i="12"/>
  <c r="J43" i="11"/>
  <c r="H142"/>
  <c r="J42" i="9"/>
  <c r="J41"/>
  <c r="H144" i="11"/>
  <c r="H60" i="8"/>
  <c r="J60" i="7"/>
  <c r="J146" i="9"/>
  <c r="J47" i="8"/>
  <c r="H47" i="9"/>
  <c r="H47" i="10" s="1"/>
  <c r="J47" s="1"/>
  <c r="H39" i="11"/>
  <c r="H150"/>
  <c r="J15" i="9"/>
  <c r="I16" s="1"/>
  <c r="H12" i="12"/>
  <c r="H12" i="13" s="1"/>
  <c r="H12" i="14" s="1"/>
  <c r="H13" i="11"/>
  <c r="J13" i="9"/>
  <c r="J147"/>
  <c r="J145"/>
  <c r="J149"/>
  <c r="J143"/>
  <c r="H31" i="12" l="1"/>
  <c r="H31" i="13" s="1"/>
  <c r="H31" i="14" s="1"/>
  <c r="H31" i="15" s="1"/>
  <c r="H31" i="16" s="1"/>
  <c r="H31" i="17" s="1"/>
  <c r="H31" i="18" s="1"/>
  <c r="H31" i="19" s="1"/>
  <c r="H31" i="20" s="1"/>
  <c r="H31" i="21" s="1"/>
  <c r="H31" i="22" s="1"/>
  <c r="H31" i="23" s="1"/>
  <c r="H31" i="24" s="1"/>
  <c r="H31" i="25" s="1"/>
  <c r="H31" i="40" s="1"/>
  <c r="H31" i="27" s="1"/>
  <c r="H31" i="28" s="1"/>
  <c r="H31" i="29" s="1"/>
  <c r="H31" i="30" s="1"/>
  <c r="H31" i="43" s="1"/>
  <c r="H31" i="31" s="1"/>
  <c r="J31" i="11"/>
  <c r="H152" i="10"/>
  <c r="J152" i="9"/>
  <c r="H30" i="11"/>
  <c r="J30" s="1"/>
  <c r="J128" i="40"/>
  <c r="H128" i="27"/>
  <c r="H29" i="11"/>
  <c r="J29" i="9"/>
  <c r="H28" i="13"/>
  <c r="J28" i="12"/>
  <c r="J32" i="8"/>
  <c r="H32" i="9"/>
  <c r="H32" i="10" s="1"/>
  <c r="J32" s="1"/>
  <c r="J27" i="11"/>
  <c r="H27" i="12"/>
  <c r="H24" i="14"/>
  <c r="J24" i="13"/>
  <c r="J23" i="11"/>
  <c r="H23" i="12"/>
  <c r="J22" i="14"/>
  <c r="H22" i="15"/>
  <c r="H94" i="13"/>
  <c r="J94" i="12"/>
  <c r="H18"/>
  <c r="J18" i="11"/>
  <c r="H56"/>
  <c r="J131" i="12"/>
  <c r="H131" i="13"/>
  <c r="H130" i="12"/>
  <c r="J130" i="11"/>
  <c r="J136"/>
  <c r="H136" i="12"/>
  <c r="J137" i="11"/>
  <c r="H137" i="12"/>
  <c r="H92"/>
  <c r="J92" i="11"/>
  <c r="H77" i="12"/>
  <c r="J77" i="11"/>
  <c r="J68" i="12"/>
  <c r="H68" i="13"/>
  <c r="J64" i="11"/>
  <c r="H64" i="12"/>
  <c r="H62"/>
  <c r="J62" i="11"/>
  <c r="H50"/>
  <c r="H57" i="13"/>
  <c r="H37" i="11"/>
  <c r="H36"/>
  <c r="H38" i="12"/>
  <c r="J38" i="11"/>
  <c r="H40" i="12"/>
  <c r="J40" i="11"/>
  <c r="H35" i="12"/>
  <c r="J35" i="11"/>
  <c r="H45" i="13"/>
  <c r="J45" i="12"/>
  <c r="J20" i="9"/>
  <c r="H9" i="12"/>
  <c r="H9" i="13" s="1"/>
  <c r="H9" i="14" s="1"/>
  <c r="J11" i="12"/>
  <c r="J19"/>
  <c r="H19" i="13"/>
  <c r="H140"/>
  <c r="J140" i="12"/>
  <c r="H139" i="11"/>
  <c r="F198" s="1"/>
  <c r="H138" i="13"/>
  <c r="J138" i="12"/>
  <c r="H135"/>
  <c r="J135" i="11"/>
  <c r="H134"/>
  <c r="H133" i="15"/>
  <c r="J133" i="14"/>
  <c r="J132" i="11"/>
  <c r="H132" i="12"/>
  <c r="J125" i="11"/>
  <c r="H125" i="12"/>
  <c r="H127"/>
  <c r="J127" i="11"/>
  <c r="H126" i="12"/>
  <c r="J126" i="11"/>
  <c r="H124" i="12"/>
  <c r="J124" i="11"/>
  <c r="J123"/>
  <c r="H123" i="12"/>
  <c r="J100" i="11"/>
  <c r="H100" i="12"/>
  <c r="H99"/>
  <c r="J99" i="11"/>
  <c r="H98" i="12"/>
  <c r="J98" i="11"/>
  <c r="J97"/>
  <c r="H97" i="12"/>
  <c r="H96"/>
  <c r="J96" i="11"/>
  <c r="J101"/>
  <c r="H101" i="12"/>
  <c r="H95" i="11"/>
  <c r="H93"/>
  <c r="H84"/>
  <c r="H85"/>
  <c r="H85" i="12" s="1"/>
  <c r="J83" i="11"/>
  <c r="H83" i="12"/>
  <c r="H82"/>
  <c r="J82" i="11"/>
  <c r="H81" i="13"/>
  <c r="J81" i="12"/>
  <c r="H80"/>
  <c r="J80" i="11"/>
  <c r="H79" i="12"/>
  <c r="J79" i="11"/>
  <c r="H78" i="12"/>
  <c r="J78" i="11"/>
  <c r="J76"/>
  <c r="H76" i="12"/>
  <c r="J75" i="11"/>
  <c r="H75" i="12"/>
  <c r="H74"/>
  <c r="J74" i="11"/>
  <c r="J73" i="12"/>
  <c r="H73" i="13"/>
  <c r="H72" i="11"/>
  <c r="H69"/>
  <c r="J67"/>
  <c r="H67" i="12"/>
  <c r="J66" i="11"/>
  <c r="H66" i="12"/>
  <c r="H65"/>
  <c r="J65" i="11"/>
  <c r="J63"/>
  <c r="H63" i="12"/>
  <c r="J58" i="11"/>
  <c r="H55"/>
  <c r="H54"/>
  <c r="J53"/>
  <c r="J52"/>
  <c r="H148"/>
  <c r="J51"/>
  <c r="J49"/>
  <c r="J59"/>
  <c r="J46"/>
  <c r="H46" i="12"/>
  <c r="J142" i="11"/>
  <c r="H142" i="12"/>
  <c r="J43"/>
  <c r="H43" i="13"/>
  <c r="H42" i="11"/>
  <c r="H144" i="12"/>
  <c r="J144" i="11"/>
  <c r="J47" i="9"/>
  <c r="J60" i="8"/>
  <c r="H60" i="9"/>
  <c r="H60" i="10" s="1"/>
  <c r="H39" i="12"/>
  <c r="J39" i="11"/>
  <c r="H146"/>
  <c r="H150" i="12"/>
  <c r="J150" i="11"/>
  <c r="H15"/>
  <c r="J12" i="12"/>
  <c r="H10"/>
  <c r="H10" i="13" s="1"/>
  <c r="H10" i="14" s="1"/>
  <c r="H151" i="11"/>
  <c r="H143"/>
  <c r="H153"/>
  <c r="H7"/>
  <c r="H145"/>
  <c r="H149"/>
  <c r="H147"/>
  <c r="J152" i="10" l="1"/>
  <c r="H152" i="11"/>
  <c r="H30" i="12"/>
  <c r="J30" s="1"/>
  <c r="J60" i="10"/>
  <c r="H60" i="11"/>
  <c r="H60" i="12" s="1"/>
  <c r="J128" i="27"/>
  <c r="H128" i="28"/>
  <c r="J128" s="1"/>
  <c r="H29" i="12"/>
  <c r="J29" i="11"/>
  <c r="H28" i="14"/>
  <c r="J28" i="13"/>
  <c r="J32" i="9"/>
  <c r="H32" i="11"/>
  <c r="J27" i="12"/>
  <c r="H27" i="13"/>
  <c r="H198" i="11"/>
  <c r="J24" i="14"/>
  <c r="H24" i="15"/>
  <c r="J23" i="12"/>
  <c r="H23" i="13"/>
  <c r="H22" i="16"/>
  <c r="J22" i="15"/>
  <c r="H94" i="14"/>
  <c r="J94" i="13"/>
  <c r="J18" i="12"/>
  <c r="H18" i="13"/>
  <c r="J56" i="11"/>
  <c r="J136" i="12"/>
  <c r="H136" i="13"/>
  <c r="J130" i="12"/>
  <c r="H130" i="13"/>
  <c r="J131"/>
  <c r="H131" i="14"/>
  <c r="J137" i="12"/>
  <c r="H137" i="13"/>
  <c r="H92"/>
  <c r="J92" i="12"/>
  <c r="H77" i="13"/>
  <c r="J77" i="12"/>
  <c r="H68" i="14"/>
  <c r="J68" i="13"/>
  <c r="J62" i="12"/>
  <c r="H62" i="13"/>
  <c r="J64" i="12"/>
  <c r="H64" i="13"/>
  <c r="J50" i="11"/>
  <c r="J57" i="13"/>
  <c r="H57" i="14"/>
  <c r="H37" i="12"/>
  <c r="J37" i="11"/>
  <c r="H36" i="12"/>
  <c r="J36" i="11"/>
  <c r="J35" i="12"/>
  <c r="H35" i="13"/>
  <c r="J45"/>
  <c r="H45" i="14"/>
  <c r="J40" i="12"/>
  <c r="H40" i="13"/>
  <c r="H44" i="12"/>
  <c r="J44" i="11"/>
  <c r="J38" i="12"/>
  <c r="H38" i="13"/>
  <c r="H20" i="11"/>
  <c r="J9" i="12"/>
  <c r="J11" i="13"/>
  <c r="H19" i="14"/>
  <c r="J19" i="13"/>
  <c r="J140"/>
  <c r="H140" i="14"/>
  <c r="H139" i="12"/>
  <c r="J139" i="11"/>
  <c r="H138" i="14"/>
  <c r="J138" i="13"/>
  <c r="J135" i="12"/>
  <c r="H135" i="13"/>
  <c r="H134" i="12"/>
  <c r="J134" i="11"/>
  <c r="H133" i="16"/>
  <c r="J133" i="15"/>
  <c r="H132" i="13"/>
  <c r="J132" i="12"/>
  <c r="J125"/>
  <c r="H125" i="13"/>
  <c r="J127" i="12"/>
  <c r="H127" i="13"/>
  <c r="J126" i="12"/>
  <c r="H126" i="13"/>
  <c r="J124" i="12"/>
  <c r="H124" i="13"/>
  <c r="J123" i="12"/>
  <c r="H123" i="13"/>
  <c r="H100"/>
  <c r="J100" i="12"/>
  <c r="H99" i="13"/>
  <c r="J99" i="12"/>
  <c r="H98" i="13"/>
  <c r="J98" i="12"/>
  <c r="J97"/>
  <c r="H97" i="13"/>
  <c r="J96" i="12"/>
  <c r="H96" i="13"/>
  <c r="J101" i="12"/>
  <c r="H101" i="13"/>
  <c r="H95" i="12"/>
  <c r="J95" i="11"/>
  <c r="H93" i="12"/>
  <c r="J93" i="11"/>
  <c r="J85"/>
  <c r="J84"/>
  <c r="H84" i="12"/>
  <c r="J83"/>
  <c r="H83" i="13"/>
  <c r="J82" i="12"/>
  <c r="H82" i="13"/>
  <c r="H81" i="14"/>
  <c r="H81" i="15" s="1"/>
  <c r="J81" i="13"/>
  <c r="J80" i="12"/>
  <c r="H80" i="13"/>
  <c r="H79"/>
  <c r="J79" i="12"/>
  <c r="J78"/>
  <c r="H78" i="13"/>
  <c r="J76" i="12"/>
  <c r="H76" i="13"/>
  <c r="H75"/>
  <c r="J75" i="12"/>
  <c r="H74" i="13"/>
  <c r="J74" i="12"/>
  <c r="H73" i="14"/>
  <c r="J73" s="1"/>
  <c r="J73" i="13"/>
  <c r="J72" i="11"/>
  <c r="H72" i="12"/>
  <c r="H69"/>
  <c r="J69" i="11"/>
  <c r="J67" i="12"/>
  <c r="H67" i="13"/>
  <c r="J66" i="12"/>
  <c r="H66" i="13"/>
  <c r="H65"/>
  <c r="J65" i="12"/>
  <c r="J63"/>
  <c r="H63" i="13"/>
  <c r="H58"/>
  <c r="J55" i="11"/>
  <c r="J54"/>
  <c r="H53" i="13"/>
  <c r="H52"/>
  <c r="J148" i="11"/>
  <c r="H148" i="12"/>
  <c r="H51" i="13"/>
  <c r="H49"/>
  <c r="H59"/>
  <c r="H46"/>
  <c r="J46" i="12"/>
  <c r="J142"/>
  <c r="H142" i="13"/>
  <c r="H43" i="14"/>
  <c r="J43" i="13"/>
  <c r="J42" i="11"/>
  <c r="H42" i="12"/>
  <c r="J144"/>
  <c r="H144" i="13"/>
  <c r="H41" i="12"/>
  <c r="J41" i="11"/>
  <c r="H146" i="12"/>
  <c r="J146" i="11"/>
  <c r="J60" i="9"/>
  <c r="J39" i="12"/>
  <c r="H39" i="13"/>
  <c r="H47" i="11"/>
  <c r="J150" i="12"/>
  <c r="H150" i="13"/>
  <c r="J15" i="11"/>
  <c r="I16" s="1"/>
  <c r="H15" i="12"/>
  <c r="J12" i="13"/>
  <c r="J10" i="12"/>
  <c r="H13" i="13"/>
  <c r="H13" i="14" s="1"/>
  <c r="J13" i="11"/>
  <c r="J145"/>
  <c r="H145" i="12"/>
  <c r="H151"/>
  <c r="J151" i="11"/>
  <c r="J143"/>
  <c r="H143" i="12"/>
  <c r="J149" i="11"/>
  <c r="H149" i="12"/>
  <c r="J7" i="11"/>
  <c r="I9" s="1"/>
  <c r="H7" i="12"/>
  <c r="H153"/>
  <c r="J153" i="11"/>
  <c r="H147" i="12"/>
  <c r="J147" i="11"/>
  <c r="H152" i="12" l="1"/>
  <c r="H152" i="13" s="1"/>
  <c r="J152" i="11"/>
  <c r="H30" i="13"/>
  <c r="J30" s="1"/>
  <c r="J29" i="12"/>
  <c r="H29" i="13"/>
  <c r="J32" i="11"/>
  <c r="H32" i="12"/>
  <c r="H28" i="15"/>
  <c r="J28" i="14"/>
  <c r="J27" i="13"/>
  <c r="H27" i="14"/>
  <c r="J24" i="15"/>
  <c r="H24" i="16"/>
  <c r="J23" i="13"/>
  <c r="H23" i="14"/>
  <c r="H22" i="17"/>
  <c r="J22" i="16"/>
  <c r="J94" i="14"/>
  <c r="H94" i="15"/>
  <c r="J18" i="13"/>
  <c r="H18" i="14"/>
  <c r="H56" i="13"/>
  <c r="H136" i="14"/>
  <c r="J136" i="13"/>
  <c r="H131" i="15"/>
  <c r="J131" i="14"/>
  <c r="J137" i="13"/>
  <c r="H137" i="14"/>
  <c r="J130" i="13"/>
  <c r="H130" i="14"/>
  <c r="H92"/>
  <c r="J92" i="13"/>
  <c r="H77" i="14"/>
  <c r="J77" i="13"/>
  <c r="H68" i="15"/>
  <c r="J68" i="14"/>
  <c r="J64" i="13"/>
  <c r="H64" i="14"/>
  <c r="J62" i="13"/>
  <c r="H62" i="14"/>
  <c r="J57"/>
  <c r="H57" i="15"/>
  <c r="H50" i="13"/>
  <c r="J36" i="12"/>
  <c r="H36" i="13"/>
  <c r="J37" i="12"/>
  <c r="H37" i="13"/>
  <c r="J44" i="12"/>
  <c r="H44" i="13"/>
  <c r="H45" i="15"/>
  <c r="J45" i="14"/>
  <c r="J35" i="13"/>
  <c r="H35" i="14"/>
  <c r="H38"/>
  <c r="J38" i="13"/>
  <c r="J40"/>
  <c r="H40" i="14"/>
  <c r="H20" i="12"/>
  <c r="J20" i="11"/>
  <c r="I20" s="1"/>
  <c r="H11" i="15"/>
  <c r="J11" i="14"/>
  <c r="J9" i="13"/>
  <c r="J19" i="14"/>
  <c r="H19" i="15"/>
  <c r="H140"/>
  <c r="J140" i="14"/>
  <c r="H139" i="13"/>
  <c r="J139" i="12"/>
  <c r="J138" i="14"/>
  <c r="H138" i="15"/>
  <c r="H135" i="14"/>
  <c r="J135" i="13"/>
  <c r="J134" i="12"/>
  <c r="H134" i="13"/>
  <c r="H133" i="17"/>
  <c r="J133" i="16"/>
  <c r="H132" i="14"/>
  <c r="J132" i="13"/>
  <c r="J125"/>
  <c r="H125" i="14"/>
  <c r="J127" i="13"/>
  <c r="H127" i="14"/>
  <c r="J126" i="13"/>
  <c r="H126" i="14"/>
  <c r="J124" i="13"/>
  <c r="H124" i="14"/>
  <c r="J123" i="13"/>
  <c r="H123" i="14"/>
  <c r="J100" i="13"/>
  <c r="H100" i="14"/>
  <c r="J99" i="13"/>
  <c r="H99" i="14"/>
  <c r="J98" i="13"/>
  <c r="H98" i="14"/>
  <c r="J97" i="13"/>
  <c r="H97" i="14"/>
  <c r="H96"/>
  <c r="J96" i="13"/>
  <c r="J101"/>
  <c r="H101" i="14"/>
  <c r="J95" i="12"/>
  <c r="H95" i="13"/>
  <c r="H93"/>
  <c r="J93" i="12"/>
  <c r="J85"/>
  <c r="H85" i="13"/>
  <c r="J84" i="12"/>
  <c r="H84" i="13"/>
  <c r="J83"/>
  <c r="H83" i="14"/>
  <c r="H83" i="15" s="1"/>
  <c r="J82" i="13"/>
  <c r="H82" i="14"/>
  <c r="H82" i="15" s="1"/>
  <c r="J81" i="14"/>
  <c r="J80" i="13"/>
  <c r="H80" i="14"/>
  <c r="J80" s="1"/>
  <c r="H79"/>
  <c r="H80" i="15" s="1"/>
  <c r="J79" i="13"/>
  <c r="J78"/>
  <c r="H78" i="14"/>
  <c r="J76" i="13"/>
  <c r="H76" i="14"/>
  <c r="J76" s="1"/>
  <c r="J75" i="13"/>
  <c r="H75" i="14"/>
  <c r="J74" i="13"/>
  <c r="H74" i="14"/>
  <c r="H74" i="15" s="1"/>
  <c r="J72" i="12"/>
  <c r="H72" i="13"/>
  <c r="H72" i="15" s="1"/>
  <c r="J72" s="1"/>
  <c r="H69" i="13"/>
  <c r="J69" i="12"/>
  <c r="H67" i="14"/>
  <c r="J67" i="13"/>
  <c r="J66"/>
  <c r="H66" i="14"/>
  <c r="H65"/>
  <c r="J65" i="13"/>
  <c r="H63" i="14"/>
  <c r="J63" i="13"/>
  <c r="J58"/>
  <c r="H58" i="14"/>
  <c r="H55" i="13"/>
  <c r="H54"/>
  <c r="H53" i="14"/>
  <c r="J53" i="13"/>
  <c r="J52"/>
  <c r="H52" i="14"/>
  <c r="J148" i="12"/>
  <c r="H148" i="13"/>
  <c r="H51" i="14"/>
  <c r="J51" i="13"/>
  <c r="H49" i="14"/>
  <c r="J49" i="13"/>
  <c r="J59"/>
  <c r="H59" i="14"/>
  <c r="J46" i="13"/>
  <c r="H46" i="14"/>
  <c r="H142"/>
  <c r="J142" i="13"/>
  <c r="H43" i="15"/>
  <c r="J43" i="14"/>
  <c r="H42" i="13"/>
  <c r="J42" i="12"/>
  <c r="H144" i="14"/>
  <c r="J144" i="13"/>
  <c r="J41" i="12"/>
  <c r="H41" i="13"/>
  <c r="H39" i="14"/>
  <c r="J39" i="13"/>
  <c r="H47" i="12"/>
  <c r="J47" i="11"/>
  <c r="H146" i="13"/>
  <c r="J146" i="12"/>
  <c r="H150" i="14"/>
  <c r="J150" i="13"/>
  <c r="J15" i="12"/>
  <c r="I16" s="1"/>
  <c r="H15" i="13"/>
  <c r="H128" s="1"/>
  <c r="H12" i="15"/>
  <c r="J12" i="14"/>
  <c r="J10" i="13"/>
  <c r="J13" i="12"/>
  <c r="H149" i="13"/>
  <c r="J149" i="12"/>
  <c r="H145" i="13"/>
  <c r="J145" i="12"/>
  <c r="H153" i="13"/>
  <c r="J153" s="1"/>
  <c r="J153" i="12"/>
  <c r="H7" i="13"/>
  <c r="J7" i="12"/>
  <c r="I9" s="1"/>
  <c r="J143"/>
  <c r="H143" i="13"/>
  <c r="J147" i="12"/>
  <c r="H147" i="13"/>
  <c r="J151" i="12"/>
  <c r="H151" i="13"/>
  <c r="J151" s="1"/>
  <c r="J152" l="1"/>
  <c r="H152" i="14"/>
  <c r="H30"/>
  <c r="J30" s="1"/>
  <c r="H29"/>
  <c r="J29" i="13"/>
  <c r="H28" i="16"/>
  <c r="J28" i="15"/>
  <c r="J32" i="12"/>
  <c r="H32" i="13"/>
  <c r="J27" i="14"/>
  <c r="H27" i="15"/>
  <c r="H76"/>
  <c r="H75"/>
  <c r="H78"/>
  <c r="H79"/>
  <c r="J77" i="14"/>
  <c r="H77" i="15"/>
  <c r="H77" i="16" s="1"/>
  <c r="H24" i="17"/>
  <c r="J24" i="16"/>
  <c r="H23" i="15"/>
  <c r="J23" i="14"/>
  <c r="H22" i="18"/>
  <c r="J22" i="17"/>
  <c r="H94" i="16"/>
  <c r="J94" i="15"/>
  <c r="H18"/>
  <c r="J18" i="14"/>
  <c r="H56"/>
  <c r="J56" i="13"/>
  <c r="J137" i="14"/>
  <c r="H137" i="15"/>
  <c r="H131" i="16"/>
  <c r="J131" i="15"/>
  <c r="H136"/>
  <c r="J136" i="14"/>
  <c r="H130" i="15"/>
  <c r="J130" i="14"/>
  <c r="H92" i="15"/>
  <c r="J92" i="14"/>
  <c r="J68" i="15"/>
  <c r="H68" i="16"/>
  <c r="J62" i="14"/>
  <c r="H62" i="15"/>
  <c r="H64"/>
  <c r="J64" i="14"/>
  <c r="J57" i="15"/>
  <c r="H57" i="16"/>
  <c r="J50" i="13"/>
  <c r="H50" i="14"/>
  <c r="J36" i="13"/>
  <c r="H36" i="14"/>
  <c r="H37"/>
  <c r="J37" i="13"/>
  <c r="H40" i="15"/>
  <c r="J40" i="14"/>
  <c r="J35"/>
  <c r="H35" i="15"/>
  <c r="H44" i="14"/>
  <c r="J44" i="13"/>
  <c r="H38" i="15"/>
  <c r="J38" i="14"/>
  <c r="J45" i="15"/>
  <c r="H45" i="16"/>
  <c r="J20" i="12"/>
  <c r="I20" s="1"/>
  <c r="H20" i="13"/>
  <c r="H11" i="16"/>
  <c r="J11" i="15"/>
  <c r="H9"/>
  <c r="J9" i="14"/>
  <c r="H19" i="16"/>
  <c r="J19" i="15"/>
  <c r="J140"/>
  <c r="H140" i="16"/>
  <c r="H139" i="14"/>
  <c r="J139" i="13"/>
  <c r="J138" i="15"/>
  <c r="H138" i="16"/>
  <c r="H135" i="15"/>
  <c r="J135" i="14"/>
  <c r="H134"/>
  <c r="J134" i="13"/>
  <c r="H133" i="18"/>
  <c r="H133" i="19" s="1"/>
  <c r="J133" i="17"/>
  <c r="H132" i="15"/>
  <c r="J132" i="14"/>
  <c r="J125"/>
  <c r="H125" i="15"/>
  <c r="J127" i="14"/>
  <c r="H127" i="15"/>
  <c r="H126"/>
  <c r="J126" i="14"/>
  <c r="H124" i="15"/>
  <c r="J124" i="14"/>
  <c r="H123" i="15"/>
  <c r="J123" i="14"/>
  <c r="H100" i="15"/>
  <c r="J100" i="14"/>
  <c r="H99" i="15"/>
  <c r="J99" i="14"/>
  <c r="H98" i="15"/>
  <c r="J98" i="14"/>
  <c r="J97"/>
  <c r="H97" i="15"/>
  <c r="J96" i="14"/>
  <c r="H96" i="15"/>
  <c r="H101"/>
  <c r="J101" i="14"/>
  <c r="J95" i="13"/>
  <c r="H95" i="14"/>
  <c r="J93" i="13"/>
  <c r="H93" i="14"/>
  <c r="J85" i="13"/>
  <c r="H85" i="14"/>
  <c r="H85" i="15" s="1"/>
  <c r="H84" i="14"/>
  <c r="H84" i="15" s="1"/>
  <c r="J84" i="13"/>
  <c r="J83" i="14"/>
  <c r="J82"/>
  <c r="H81" i="16"/>
  <c r="J81" i="15"/>
  <c r="J79" i="14"/>
  <c r="J78"/>
  <c r="J75"/>
  <c r="J74"/>
  <c r="H72"/>
  <c r="J72" i="13"/>
  <c r="J69"/>
  <c r="H69" i="14"/>
  <c r="J67"/>
  <c r="H67" i="15"/>
  <c r="H66"/>
  <c r="J66" i="14"/>
  <c r="J65"/>
  <c r="H65" i="15"/>
  <c r="J63" i="14"/>
  <c r="H63" i="15"/>
  <c r="J58" i="14"/>
  <c r="H58" i="15"/>
  <c r="H55" i="14"/>
  <c r="J55" i="13"/>
  <c r="J54"/>
  <c r="H54" i="14"/>
  <c r="J53"/>
  <c r="H53" i="15"/>
  <c r="J148" i="13"/>
  <c r="H148" i="14"/>
  <c r="J52"/>
  <c r="H52" i="15"/>
  <c r="H51"/>
  <c r="J51" i="14"/>
  <c r="H59" i="15"/>
  <c r="J59" i="14"/>
  <c r="J49"/>
  <c r="H49" i="15"/>
  <c r="J46" i="14"/>
  <c r="H46" i="15"/>
  <c r="H43" i="16"/>
  <c r="J43" i="15"/>
  <c r="J142" i="14"/>
  <c r="H142" i="15"/>
  <c r="H42" i="14"/>
  <c r="J42" i="13"/>
  <c r="H41" i="14"/>
  <c r="J41" i="13"/>
  <c r="H144" i="15"/>
  <c r="J144" i="14"/>
  <c r="J60" i="11"/>
  <c r="J47" i="12"/>
  <c r="H47" i="13"/>
  <c r="J39" i="14"/>
  <c r="H39" i="15"/>
  <c r="H146" i="14"/>
  <c r="J146" i="13"/>
  <c r="H150" i="15"/>
  <c r="J150" i="14"/>
  <c r="J15" i="13"/>
  <c r="I16" s="1"/>
  <c r="H15" i="14"/>
  <c r="J12" i="15"/>
  <c r="H12" i="16"/>
  <c r="H10" i="15"/>
  <c r="J10" i="14"/>
  <c r="J13" i="13"/>
  <c r="H151" i="14"/>
  <c r="H147"/>
  <c r="J147" i="13"/>
  <c r="H143" i="14"/>
  <c r="J143" i="13"/>
  <c r="J7"/>
  <c r="I9" s="1"/>
  <c r="H7" i="14"/>
  <c r="H145"/>
  <c r="J145" i="13"/>
  <c r="H153" i="14"/>
  <c r="H149"/>
  <c r="J149" i="13"/>
  <c r="J152" i="14" l="1"/>
  <c r="H152" i="15"/>
  <c r="H30"/>
  <c r="J30" s="1"/>
  <c r="J29" i="14"/>
  <c r="H29" i="15"/>
  <c r="H32" i="14"/>
  <c r="J32" i="13"/>
  <c r="H28" i="17"/>
  <c r="J28" i="16"/>
  <c r="J27" i="15"/>
  <c r="H27" i="16"/>
  <c r="J77" i="15"/>
  <c r="H73"/>
  <c r="J24" i="17"/>
  <c r="H23" i="16"/>
  <c r="J23" i="15"/>
  <c r="H22" i="19"/>
  <c r="J22" i="18"/>
  <c r="H94" i="17"/>
  <c r="J94" i="16"/>
  <c r="J18" i="15"/>
  <c r="H18" i="16"/>
  <c r="J56" i="14"/>
  <c r="H56" i="15"/>
  <c r="H137" i="16"/>
  <c r="J137" i="15"/>
  <c r="H130" i="16"/>
  <c r="J130" i="15"/>
  <c r="H131" i="17"/>
  <c r="J131" i="16"/>
  <c r="H136"/>
  <c r="J136" i="15"/>
  <c r="J92"/>
  <c r="H92" i="16"/>
  <c r="J77"/>
  <c r="H77" i="17"/>
  <c r="H68"/>
  <c r="J68" i="16"/>
  <c r="J64" i="15"/>
  <c r="H64" i="16"/>
  <c r="J62" i="15"/>
  <c r="H62" i="16"/>
  <c r="H50" i="15"/>
  <c r="J50" i="14"/>
  <c r="H57" i="17"/>
  <c r="J57" i="16"/>
  <c r="H36" i="15"/>
  <c r="J36" i="14"/>
  <c r="J37"/>
  <c r="H37" i="15"/>
  <c r="H44"/>
  <c r="J44" i="14"/>
  <c r="H40" i="16"/>
  <c r="J40" i="15"/>
  <c r="J45" i="16"/>
  <c r="H45" i="17"/>
  <c r="J38" i="15"/>
  <c r="H38" i="16"/>
  <c r="H35"/>
  <c r="J35" i="15"/>
  <c r="H20" i="14"/>
  <c r="J20" i="13"/>
  <c r="H9" i="16"/>
  <c r="H9" i="17" s="1"/>
  <c r="J9" i="15"/>
  <c r="J11" i="16"/>
  <c r="H11" i="17"/>
  <c r="J19" i="16"/>
  <c r="H19" i="17"/>
  <c r="H140"/>
  <c r="J140" i="16"/>
  <c r="H139" i="15"/>
  <c r="J139" i="14"/>
  <c r="H138" i="17"/>
  <c r="J138" i="16"/>
  <c r="H135"/>
  <c r="J135" i="15"/>
  <c r="H134"/>
  <c r="J134" i="14"/>
  <c r="J133" i="18"/>
  <c r="H132" i="16"/>
  <c r="J132" i="15"/>
  <c r="J125"/>
  <c r="H125" i="16"/>
  <c r="H127"/>
  <c r="J127" i="15"/>
  <c r="J126"/>
  <c r="H126" i="16"/>
  <c r="J124" i="15"/>
  <c r="H124" i="16"/>
  <c r="J123" i="15"/>
  <c r="H123" i="16"/>
  <c r="J100" i="15"/>
  <c r="H100" i="16"/>
  <c r="H99"/>
  <c r="J99" i="15"/>
  <c r="H98" i="16"/>
  <c r="J98" i="15"/>
  <c r="J97"/>
  <c r="H97" i="16"/>
  <c r="H96"/>
  <c r="J96" i="15"/>
  <c r="H101" i="16"/>
  <c r="J101" i="15"/>
  <c r="H95"/>
  <c r="J95" i="14"/>
  <c r="J93"/>
  <c r="H93" i="15"/>
  <c r="J84" i="14"/>
  <c r="J85"/>
  <c r="H83" i="16"/>
  <c r="J83" i="15"/>
  <c r="J82"/>
  <c r="H82" i="16"/>
  <c r="H81" i="17"/>
  <c r="J81" i="16"/>
  <c r="J80" i="15"/>
  <c r="H80" i="16"/>
  <c r="J79" i="15"/>
  <c r="H79" i="16"/>
  <c r="J78" i="15"/>
  <c r="H78" i="16"/>
  <c r="H76"/>
  <c r="J76" i="15"/>
  <c r="H75" i="16"/>
  <c r="J75" i="15"/>
  <c r="J74"/>
  <c r="H74" i="16"/>
  <c r="J72" i="14"/>
  <c r="J69"/>
  <c r="H69" i="15"/>
  <c r="J67"/>
  <c r="H67" i="16"/>
  <c r="J66" i="15"/>
  <c r="H66" i="16"/>
  <c r="H65"/>
  <c r="J65" i="15"/>
  <c r="J63"/>
  <c r="H63" i="16"/>
  <c r="J58" i="15"/>
  <c r="H58" i="16"/>
  <c r="J55" i="14"/>
  <c r="H55" i="15"/>
  <c r="J54" i="14"/>
  <c r="H54" i="15"/>
  <c r="J53"/>
  <c r="H53" i="16"/>
  <c r="J148" i="14"/>
  <c r="H148" i="15"/>
  <c r="J52"/>
  <c r="H52" i="16"/>
  <c r="H51"/>
  <c r="J51" i="15"/>
  <c r="H49" i="16"/>
  <c r="J49" i="15"/>
  <c r="H59" i="16"/>
  <c r="J59" i="15"/>
  <c r="J46"/>
  <c r="H46" i="16"/>
  <c r="H142"/>
  <c r="J142" i="15"/>
  <c r="J43" i="16"/>
  <c r="H43" i="17"/>
  <c r="J42" i="14"/>
  <c r="H42" i="15"/>
  <c r="H144" i="16"/>
  <c r="J144" i="15"/>
  <c r="J41" i="14"/>
  <c r="H41" i="15"/>
  <c r="H47" i="14"/>
  <c r="J47" i="13"/>
  <c r="H39" i="16"/>
  <c r="J39" i="15"/>
  <c r="H60" i="13"/>
  <c r="J60" i="12"/>
  <c r="H146" i="15"/>
  <c r="J146" i="14"/>
  <c r="J150" i="15"/>
  <c r="H150" i="16"/>
  <c r="H15" i="15"/>
  <c r="J15" i="14"/>
  <c r="I16" s="1"/>
  <c r="H12" i="17"/>
  <c r="J12" i="16"/>
  <c r="J10" i="15"/>
  <c r="H10" i="16"/>
  <c r="J13" i="14"/>
  <c r="H13" i="15"/>
  <c r="J147" i="14"/>
  <c r="H147" i="15"/>
  <c r="H153"/>
  <c r="J153" i="14"/>
  <c r="H7" i="15"/>
  <c r="J7" i="14"/>
  <c r="I9" s="1"/>
  <c r="J149"/>
  <c r="H149" i="15"/>
  <c r="J145" i="14"/>
  <c r="H145" i="15"/>
  <c r="J143" i="14"/>
  <c r="H143" i="15"/>
  <c r="J151" i="14"/>
  <c r="H151" i="15"/>
  <c r="J152" l="1"/>
  <c r="H152" i="16"/>
  <c r="H30"/>
  <c r="J30" s="1"/>
  <c r="H29"/>
  <c r="J29" i="15"/>
  <c r="H28" i="18"/>
  <c r="J28" i="17"/>
  <c r="J32" i="14"/>
  <c r="H32" i="15"/>
  <c r="J27" i="16"/>
  <c r="H27" i="17"/>
  <c r="J24" i="18"/>
  <c r="H24" i="19"/>
  <c r="J23" i="16"/>
  <c r="H23" i="17"/>
  <c r="J22" i="19"/>
  <c r="H94" i="18"/>
  <c r="J94" i="17"/>
  <c r="J18" i="16"/>
  <c r="H18" i="17"/>
  <c r="J56" i="15"/>
  <c r="H56" i="16"/>
  <c r="J136"/>
  <c r="H136" i="17"/>
  <c r="J130" i="16"/>
  <c r="H130" i="17"/>
  <c r="J131"/>
  <c r="H131" i="18"/>
  <c r="H131" i="19" s="1"/>
  <c r="H137" i="17"/>
  <c r="J137" i="16"/>
  <c r="H92" i="17"/>
  <c r="J92" i="16"/>
  <c r="J77" i="17"/>
  <c r="H77" i="18"/>
  <c r="J68" i="17"/>
  <c r="H68" i="18"/>
  <c r="H62" i="17"/>
  <c r="J62" i="16"/>
  <c r="J64"/>
  <c r="H64" i="17"/>
  <c r="H57" i="18"/>
  <c r="J57" i="17"/>
  <c r="H50" i="16"/>
  <c r="J50" i="15"/>
  <c r="H36" i="16"/>
  <c r="J36" i="15"/>
  <c r="J37"/>
  <c r="H37" i="16"/>
  <c r="H38" i="17"/>
  <c r="J38" i="16"/>
  <c r="J45" i="17"/>
  <c r="H45" i="18"/>
  <c r="H35" i="17"/>
  <c r="J35" i="16"/>
  <c r="J40"/>
  <c r="H40" i="17"/>
  <c r="J44" i="15"/>
  <c r="H44" i="16"/>
  <c r="J20" i="14"/>
  <c r="H20" i="15"/>
  <c r="J9" i="16"/>
  <c r="J11" i="17"/>
  <c r="H11" i="18"/>
  <c r="J19" i="17"/>
  <c r="H19" i="18"/>
  <c r="H140"/>
  <c r="H140" i="19" s="1"/>
  <c r="J140" i="17"/>
  <c r="H139" i="16"/>
  <c r="J139" i="15"/>
  <c r="J138" i="17"/>
  <c r="H138" i="18"/>
  <c r="H138" i="19" s="1"/>
  <c r="H135" i="17"/>
  <c r="J135" i="16"/>
  <c r="J134" i="15"/>
  <c r="H134" i="16"/>
  <c r="J133" i="19"/>
  <c r="H133" i="20"/>
  <c r="H132" i="17"/>
  <c r="J132" i="16"/>
  <c r="J125"/>
  <c r="H125" i="17"/>
  <c r="H127"/>
  <c r="J127" i="16"/>
  <c r="J126"/>
  <c r="H126" i="17"/>
  <c r="J124" i="16"/>
  <c r="H124" i="17"/>
  <c r="H123"/>
  <c r="J123" i="16"/>
  <c r="J100"/>
  <c r="H100" i="17"/>
  <c r="H99"/>
  <c r="J99" i="16"/>
  <c r="H98" i="17"/>
  <c r="J98" i="16"/>
  <c r="H97" i="17"/>
  <c r="J97" i="16"/>
  <c r="J96"/>
  <c r="H96" i="17"/>
  <c r="J95" i="15"/>
  <c r="H95" i="16"/>
  <c r="H101" i="17"/>
  <c r="J101" i="16"/>
  <c r="H93"/>
  <c r="J93" i="15"/>
  <c r="H84" i="16"/>
  <c r="J84" i="15"/>
  <c r="J85"/>
  <c r="H85" i="16"/>
  <c r="J83"/>
  <c r="H83" i="17"/>
  <c r="J82" i="16"/>
  <c r="H82" i="17"/>
  <c r="H81" i="18"/>
  <c r="J81" i="17"/>
  <c r="J80" i="16"/>
  <c r="H80" i="17"/>
  <c r="J79" i="16"/>
  <c r="H79" i="17"/>
  <c r="J78" i="16"/>
  <c r="H78" i="17"/>
  <c r="H76"/>
  <c r="J76" i="16"/>
  <c r="J75"/>
  <c r="H75" i="17"/>
  <c r="H74"/>
  <c r="J74" i="16"/>
  <c r="J73" i="15"/>
  <c r="H73" i="16"/>
  <c r="H72"/>
  <c r="J69" i="15"/>
  <c r="H69" i="16"/>
  <c r="J67"/>
  <c r="H67" i="17"/>
  <c r="J66" i="16"/>
  <c r="H66" i="17"/>
  <c r="H65"/>
  <c r="J65" i="16"/>
  <c r="H63" i="17"/>
  <c r="J63" i="16"/>
  <c r="H58" i="17"/>
  <c r="J58" i="16"/>
  <c r="H55"/>
  <c r="J55" i="15"/>
  <c r="H54" i="16"/>
  <c r="J54" i="15"/>
  <c r="J53" i="16"/>
  <c r="H53" i="17"/>
  <c r="J148" i="15"/>
  <c r="H148" i="16"/>
  <c r="J52"/>
  <c r="H52" i="17"/>
  <c r="J51" i="16"/>
  <c r="H51" i="17"/>
  <c r="H49"/>
  <c r="J49" i="16"/>
  <c r="J59"/>
  <c r="H59" i="17"/>
  <c r="H46"/>
  <c r="J46" i="16"/>
  <c r="H43" i="18"/>
  <c r="J43" i="17"/>
  <c r="J142" i="16"/>
  <c r="H142" i="17"/>
  <c r="H142" i="18" s="1"/>
  <c r="J142" s="1"/>
  <c r="H42" i="16"/>
  <c r="J42" i="15"/>
  <c r="J144" i="16"/>
  <c r="H144" i="17"/>
  <c r="H41" i="16"/>
  <c r="J41" i="15"/>
  <c r="H60" i="14"/>
  <c r="J60" i="13"/>
  <c r="J47" i="14"/>
  <c r="H47" i="15"/>
  <c r="J146"/>
  <c r="H146" i="16"/>
  <c r="J39"/>
  <c r="H39" i="17"/>
  <c r="J150" i="16"/>
  <c r="H150" i="17"/>
  <c r="J15" i="15"/>
  <c r="I16" s="1"/>
  <c r="H15" i="16"/>
  <c r="J12" i="17"/>
  <c r="H12" i="18"/>
  <c r="J10" i="16"/>
  <c r="H10" i="17"/>
  <c r="J13" i="15"/>
  <c r="H13" i="16"/>
  <c r="H151"/>
  <c r="J151" i="15"/>
  <c r="J149"/>
  <c r="H149" i="16"/>
  <c r="J7" i="15"/>
  <c r="I9" s="1"/>
  <c r="H7" i="16"/>
  <c r="J143" i="15"/>
  <c r="H143" i="16"/>
  <c r="H145"/>
  <c r="J145" i="15"/>
  <c r="H147" i="16"/>
  <c r="J147" i="15"/>
  <c r="H153" i="16"/>
  <c r="J153" i="15"/>
  <c r="J152" i="16" l="1"/>
  <c r="H152" i="17"/>
  <c r="H30"/>
  <c r="J30" s="1"/>
  <c r="H29"/>
  <c r="J29" i="16"/>
  <c r="H28" i="19"/>
  <c r="J28" i="18"/>
  <c r="J32" i="15"/>
  <c r="H32" i="16"/>
  <c r="J27" i="17"/>
  <c r="H27" i="18"/>
  <c r="H24" i="20"/>
  <c r="J24" i="19"/>
  <c r="H23" i="18"/>
  <c r="J23" i="17"/>
  <c r="J22" i="20"/>
  <c r="H22" i="21"/>
  <c r="H94" i="19"/>
  <c r="J94" i="18"/>
  <c r="H18"/>
  <c r="J18" i="17"/>
  <c r="J56" i="16"/>
  <c r="H56" i="17"/>
  <c r="J131" i="18"/>
  <c r="J137" i="17"/>
  <c r="H137" i="18"/>
  <c r="H137" i="19" s="1"/>
  <c r="J136" i="17"/>
  <c r="H136" i="18"/>
  <c r="H136" i="19" s="1"/>
  <c r="J130" i="17"/>
  <c r="H130" i="18"/>
  <c r="J92" i="17"/>
  <c r="H92" i="18"/>
  <c r="H77" i="19"/>
  <c r="J77" i="18"/>
  <c r="J64" i="17"/>
  <c r="H64" i="18"/>
  <c r="H68" i="19"/>
  <c r="J68" i="18"/>
  <c r="J62" i="17"/>
  <c r="H62" i="18"/>
  <c r="J57"/>
  <c r="H57" i="19"/>
  <c r="J50" i="16"/>
  <c r="H50" i="17"/>
  <c r="J36" i="16"/>
  <c r="H36" i="17"/>
  <c r="H37"/>
  <c r="J37" i="16"/>
  <c r="J38" i="17"/>
  <c r="H38" i="18"/>
  <c r="H44" i="17"/>
  <c r="J44" i="16"/>
  <c r="H35" i="18"/>
  <c r="J35" i="17"/>
  <c r="J40"/>
  <c r="H40" i="18"/>
  <c r="J45"/>
  <c r="H45" i="19"/>
  <c r="J20" i="15"/>
  <c r="H20" i="16"/>
  <c r="J9" i="17"/>
  <c r="H9" i="18"/>
  <c r="J11"/>
  <c r="H11" i="19"/>
  <c r="J19" i="18"/>
  <c r="H19" i="19"/>
  <c r="J140" i="18"/>
  <c r="J139" i="16"/>
  <c r="H139" i="17"/>
  <c r="J138" i="18"/>
  <c r="H135"/>
  <c r="H135" i="19" s="1"/>
  <c r="J135" i="17"/>
  <c r="H134"/>
  <c r="J134" i="16"/>
  <c r="J133" i="20"/>
  <c r="H133" i="21"/>
  <c r="H132" i="18"/>
  <c r="H132" i="19" s="1"/>
  <c r="J132" i="17"/>
  <c r="J125"/>
  <c r="H125" i="18"/>
  <c r="J127" i="17"/>
  <c r="H127" i="18"/>
  <c r="H126"/>
  <c r="J126" i="17"/>
  <c r="H124" i="18"/>
  <c r="J124" i="17"/>
  <c r="J123"/>
  <c r="H123" i="18"/>
  <c r="J100" i="17"/>
  <c r="H100" i="18"/>
  <c r="H99"/>
  <c r="J99" i="17"/>
  <c r="J98"/>
  <c r="H98" i="18"/>
  <c r="H97"/>
  <c r="J97" i="17"/>
  <c r="H96" i="18"/>
  <c r="J96" i="17"/>
  <c r="J95" i="16"/>
  <c r="H95" i="17"/>
  <c r="H101" i="18"/>
  <c r="J101" i="17"/>
  <c r="J93" i="16"/>
  <c r="H93" i="17"/>
  <c r="J84" i="16"/>
  <c r="H84" i="17"/>
  <c r="H85"/>
  <c r="J85" i="16"/>
  <c r="H83" i="18"/>
  <c r="J83" i="17"/>
  <c r="H82" i="18"/>
  <c r="J82" i="17"/>
  <c r="H81" i="19"/>
  <c r="J81" i="18"/>
  <c r="H80"/>
  <c r="J80" i="17"/>
  <c r="H79" i="18"/>
  <c r="J79" i="17"/>
  <c r="J78"/>
  <c r="H78" i="18"/>
  <c r="J76" i="17"/>
  <c r="H76" i="18"/>
  <c r="J74" i="17"/>
  <c r="H74" i="18"/>
  <c r="H75"/>
  <c r="J75" i="17"/>
  <c r="J73" i="16"/>
  <c r="H73" i="17"/>
  <c r="H72"/>
  <c r="J72" i="16"/>
  <c r="H69" i="17"/>
  <c r="J69" i="16"/>
  <c r="H67" i="18"/>
  <c r="J67" i="17"/>
  <c r="H66" i="18"/>
  <c r="J66" i="17"/>
  <c r="H65" i="18"/>
  <c r="J65" i="17"/>
  <c r="H63" i="18"/>
  <c r="J63" i="17"/>
  <c r="H58" i="18"/>
  <c r="J58" i="17"/>
  <c r="J55" i="16"/>
  <c r="H55" i="17"/>
  <c r="J54" i="16"/>
  <c r="H54" i="17"/>
  <c r="J53"/>
  <c r="H53" i="18"/>
  <c r="H148" i="17"/>
  <c r="J148" i="16"/>
  <c r="J52" i="17"/>
  <c r="H52" i="18"/>
  <c r="H51"/>
  <c r="J51" i="17"/>
  <c r="H59" i="18"/>
  <c r="J59" i="17"/>
  <c r="J49"/>
  <c r="H49" i="18"/>
  <c r="H46"/>
  <c r="J46" i="17"/>
  <c r="J142"/>
  <c r="H43" i="19"/>
  <c r="J43" i="18"/>
  <c r="J42" i="16"/>
  <c r="H42" i="17"/>
  <c r="J144"/>
  <c r="H144" i="18"/>
  <c r="H41" i="17"/>
  <c r="J41" i="16"/>
  <c r="J60" i="14"/>
  <c r="H60" i="15"/>
  <c r="H146" i="17"/>
  <c r="J146" i="16"/>
  <c r="J39" i="17"/>
  <c r="H39" i="18"/>
  <c r="H47" i="16"/>
  <c r="J47" i="15"/>
  <c r="J150" i="17"/>
  <c r="H150" i="18"/>
  <c r="J15" i="16"/>
  <c r="I16" s="1"/>
  <c r="H15" i="17"/>
  <c r="J15" s="1"/>
  <c r="H12" i="19"/>
  <c r="J12" i="18"/>
  <c r="H10"/>
  <c r="J10" i="17"/>
  <c r="J13" i="16"/>
  <c r="H13" i="17"/>
  <c r="J147" i="16"/>
  <c r="H147" i="17"/>
  <c r="H143"/>
  <c r="H143" i="18" s="1"/>
  <c r="J143" s="1"/>
  <c r="J143" i="16"/>
  <c r="J149"/>
  <c r="H149" i="17"/>
  <c r="H153"/>
  <c r="J153" i="16"/>
  <c r="H145" i="17"/>
  <c r="J145" i="16"/>
  <c r="J151"/>
  <c r="H151" i="17"/>
  <c r="H7"/>
  <c r="J7" i="16"/>
  <c r="I9" s="1"/>
  <c r="J152" i="17" l="1"/>
  <c r="H152" i="18"/>
  <c r="H30"/>
  <c r="H30" i="19" s="1"/>
  <c r="J30" s="1"/>
  <c r="J29" i="17"/>
  <c r="H29" i="18"/>
  <c r="J28" i="19"/>
  <c r="H28" i="20"/>
  <c r="H27" i="19"/>
  <c r="J27" i="18"/>
  <c r="J32" i="16"/>
  <c r="H32" i="17"/>
  <c r="J24" i="20"/>
  <c r="H24" i="21"/>
  <c r="J23" i="18"/>
  <c r="H23" i="19"/>
  <c r="H22" i="22"/>
  <c r="J22" i="21"/>
  <c r="J94" i="19"/>
  <c r="H94" i="20"/>
  <c r="H18" i="19"/>
  <c r="J18" i="18"/>
  <c r="J56" i="17"/>
  <c r="H56" i="18"/>
  <c r="J136"/>
  <c r="H131" i="20"/>
  <c r="J131" i="19"/>
  <c r="H130"/>
  <c r="J130" i="18"/>
  <c r="J137"/>
  <c r="J92"/>
  <c r="H92" i="19"/>
  <c r="H77" i="20"/>
  <c r="J77" i="19"/>
  <c r="H62"/>
  <c r="H62" i="20" s="1"/>
  <c r="J62" i="18"/>
  <c r="H64" i="19"/>
  <c r="J64" i="18"/>
  <c r="H68" i="20"/>
  <c r="J68" i="19"/>
  <c r="H57" i="20"/>
  <c r="J57" i="19"/>
  <c r="H50" i="18"/>
  <c r="J50" i="17"/>
  <c r="H37" i="18"/>
  <c r="J37" i="17"/>
  <c r="J36"/>
  <c r="H36" i="18"/>
  <c r="H40" i="19"/>
  <c r="J40" i="18"/>
  <c r="J38"/>
  <c r="H38" i="19"/>
  <c r="H35"/>
  <c r="J35" i="18"/>
  <c r="J44" i="17"/>
  <c r="H44" i="18"/>
  <c r="H45" i="20"/>
  <c r="J45" i="19"/>
  <c r="J20" i="16"/>
  <c r="H20" i="17"/>
  <c r="J9" i="18"/>
  <c r="H9" i="19"/>
  <c r="H11" i="20"/>
  <c r="J11" i="19"/>
  <c r="H19" i="20"/>
  <c r="J19" i="19"/>
  <c r="J140"/>
  <c r="H140" i="20"/>
  <c r="H139" i="18"/>
  <c r="H139" i="19" s="1"/>
  <c r="J139" i="17"/>
  <c r="H138" i="20"/>
  <c r="J138" i="19"/>
  <c r="J135" i="18"/>
  <c r="H134"/>
  <c r="H134" i="19" s="1"/>
  <c r="J134" i="17"/>
  <c r="H133" i="22"/>
  <c r="J133" i="21"/>
  <c r="J132" i="18"/>
  <c r="J125"/>
  <c r="H125" i="19"/>
  <c r="J127" i="18"/>
  <c r="H127" i="19"/>
  <c r="H126"/>
  <c r="J126" i="18"/>
  <c r="J124"/>
  <c r="H124" i="19"/>
  <c r="J123" i="18"/>
  <c r="H123" i="19"/>
  <c r="J100" i="18"/>
  <c r="H100" i="19"/>
  <c r="J99" i="18"/>
  <c r="H99" i="19"/>
  <c r="H98"/>
  <c r="J98" i="18"/>
  <c r="J97"/>
  <c r="H97" i="19"/>
  <c r="J96" i="18"/>
  <c r="H96" i="19"/>
  <c r="J95" i="17"/>
  <c r="H95" i="18"/>
  <c r="J101"/>
  <c r="H101" i="19"/>
  <c r="J93" i="17"/>
  <c r="H93" i="18"/>
  <c r="J85" i="17"/>
  <c r="H85" i="18"/>
  <c r="H84"/>
  <c r="J84" i="17"/>
  <c r="J83" i="18"/>
  <c r="H83" i="19"/>
  <c r="H82"/>
  <c r="J82" i="18"/>
  <c r="J81" i="19"/>
  <c r="H81" i="20"/>
  <c r="H80" i="19"/>
  <c r="J80" i="18"/>
  <c r="J79"/>
  <c r="H79" i="19"/>
  <c r="J78" i="18"/>
  <c r="H78" i="19"/>
  <c r="J76" i="18"/>
  <c r="H76" i="19"/>
  <c r="J74" i="18"/>
  <c r="H74" i="19"/>
  <c r="J75" i="18"/>
  <c r="H75" i="19"/>
  <c r="H73" i="18"/>
  <c r="J73" i="17"/>
  <c r="J72"/>
  <c r="H72" i="18"/>
  <c r="J69" i="17"/>
  <c r="H69" i="18"/>
  <c r="H67" i="19"/>
  <c r="J67" i="18"/>
  <c r="J66"/>
  <c r="H66" i="19"/>
  <c r="H65"/>
  <c r="J65" i="18"/>
  <c r="H63" i="19"/>
  <c r="J63" i="18"/>
  <c r="H58" i="19"/>
  <c r="J58" i="18"/>
  <c r="J55" i="17"/>
  <c r="H55" i="18"/>
  <c r="J54" i="17"/>
  <c r="H54" i="18"/>
  <c r="H53" i="19"/>
  <c r="J53" i="18"/>
  <c r="J148" i="17"/>
  <c r="H148" i="18"/>
  <c r="J52"/>
  <c r="H52" i="19"/>
  <c r="H51"/>
  <c r="J51" i="18"/>
  <c r="J49"/>
  <c r="H49" i="19"/>
  <c r="H59"/>
  <c r="J59" i="18"/>
  <c r="J46"/>
  <c r="H46" i="19"/>
  <c r="J43"/>
  <c r="H43" i="20"/>
  <c r="H142" i="19"/>
  <c r="H42" i="18"/>
  <c r="J42" i="17"/>
  <c r="H144" i="19"/>
  <c r="J144" i="18"/>
  <c r="J41" i="17"/>
  <c r="H41" i="18"/>
  <c r="H39" i="19"/>
  <c r="J39" i="18"/>
  <c r="H60" i="16"/>
  <c r="J60" i="15"/>
  <c r="H47" i="17"/>
  <c r="J47" i="16"/>
  <c r="J146" i="17"/>
  <c r="H146" i="18"/>
  <c r="H150" i="19"/>
  <c r="J150" i="18"/>
  <c r="I16" i="17"/>
  <c r="H15" i="18"/>
  <c r="J12" i="19"/>
  <c r="H12" i="20"/>
  <c r="H10" i="19"/>
  <c r="J10" i="18"/>
  <c r="H13"/>
  <c r="J13" i="17"/>
  <c r="J7"/>
  <c r="I9" s="1"/>
  <c r="H7" i="18"/>
  <c r="J145" i="17"/>
  <c r="H145" i="18"/>
  <c r="J143" i="17"/>
  <c r="J153"/>
  <c r="H153" i="18"/>
  <c r="H151"/>
  <c r="J151" i="17"/>
  <c r="H149" i="18"/>
  <c r="J149" i="17"/>
  <c r="H147" i="18"/>
  <c r="J147" i="17"/>
  <c r="H152" i="19" l="1"/>
  <c r="J152" i="18"/>
  <c r="H30" i="20"/>
  <c r="J30" s="1"/>
  <c r="J30" i="18"/>
  <c r="H29" i="19"/>
  <c r="J29" i="18"/>
  <c r="H27" i="20"/>
  <c r="J27" i="19"/>
  <c r="H28" i="21"/>
  <c r="J28" i="20"/>
  <c r="J32" i="17"/>
  <c r="H32" i="18"/>
  <c r="H24" i="22"/>
  <c r="J24" i="21"/>
  <c r="J23" i="19"/>
  <c r="H22" i="23"/>
  <c r="J22" i="22"/>
  <c r="J94" i="20"/>
  <c r="H94" i="21"/>
  <c r="J18" i="19"/>
  <c r="H18" i="20"/>
  <c r="J56" i="18"/>
  <c r="H56" i="19"/>
  <c r="H136" i="20"/>
  <c r="J136" i="19"/>
  <c r="J137"/>
  <c r="H137" i="20"/>
  <c r="H131" i="21"/>
  <c r="J131" i="20"/>
  <c r="J130" i="19"/>
  <c r="H130" i="20"/>
  <c r="H92"/>
  <c r="J92" i="19"/>
  <c r="H77" i="21"/>
  <c r="J77" i="20"/>
  <c r="H64"/>
  <c r="J64" i="19"/>
  <c r="H68" i="21"/>
  <c r="J68" i="20"/>
  <c r="J62" i="19"/>
  <c r="H50"/>
  <c r="J50" i="18"/>
  <c r="J57" i="20"/>
  <c r="H57" i="21"/>
  <c r="J37" i="18"/>
  <c r="H37" i="19"/>
  <c r="J36" i="18"/>
  <c r="H36" i="19"/>
  <c r="H40" i="20"/>
  <c r="J40" i="19"/>
  <c r="J44" i="18"/>
  <c r="H44" i="19"/>
  <c r="J38"/>
  <c r="H38" i="20"/>
  <c r="H45" i="21"/>
  <c r="J45" i="20"/>
  <c r="J35" i="19"/>
  <c r="H35" i="20"/>
  <c r="J20" i="17"/>
  <c r="H20" i="18"/>
  <c r="J9" i="19"/>
  <c r="H9" i="20"/>
  <c r="H11" i="21"/>
  <c r="J11" i="20"/>
  <c r="J19"/>
  <c r="H19" i="21"/>
  <c r="J140" i="20"/>
  <c r="H140" i="21"/>
  <c r="J139" i="18"/>
  <c r="H138" i="21"/>
  <c r="J138" i="20"/>
  <c r="H135"/>
  <c r="J135" i="19"/>
  <c r="J134" i="18"/>
  <c r="J133" i="22"/>
  <c r="H133" i="23"/>
  <c r="H132" i="20"/>
  <c r="J132" i="19"/>
  <c r="J125"/>
  <c r="H125" i="20"/>
  <c r="J127" i="19"/>
  <c r="H127" i="20"/>
  <c r="H126"/>
  <c r="J126" i="19"/>
  <c r="H124" i="20"/>
  <c r="J124" i="19"/>
  <c r="H123" i="20"/>
  <c r="J123" i="19"/>
  <c r="J100"/>
  <c r="H100" i="20"/>
  <c r="H99"/>
  <c r="J99" i="19"/>
  <c r="H98" i="20"/>
  <c r="J98" i="19"/>
  <c r="H97" i="20"/>
  <c r="J97" i="19"/>
  <c r="H96" i="20"/>
  <c r="J96" i="19"/>
  <c r="J101"/>
  <c r="H101" i="20"/>
  <c r="J95" i="18"/>
  <c r="H95" i="19"/>
  <c r="J93" i="18"/>
  <c r="H93" i="19"/>
  <c r="J84" i="18"/>
  <c r="H84" i="19"/>
  <c r="H85"/>
  <c r="J85" i="18"/>
  <c r="J83" i="19"/>
  <c r="H83" i="20"/>
  <c r="J82" i="19"/>
  <c r="H82" i="20"/>
  <c r="J81"/>
  <c r="H81" i="21"/>
  <c r="H80" i="20"/>
  <c r="J80" i="19"/>
  <c r="J79"/>
  <c r="H79" i="20"/>
  <c r="H78"/>
  <c r="J78" i="19"/>
  <c r="J76"/>
  <c r="H76" i="20"/>
  <c r="J74" i="19"/>
  <c r="H74" i="20"/>
  <c r="H75"/>
  <c r="J75" i="19"/>
  <c r="H73"/>
  <c r="J73" i="18"/>
  <c r="H72" i="19"/>
  <c r="J72" i="18"/>
  <c r="H69" i="19"/>
  <c r="J69" i="18"/>
  <c r="J67" i="19"/>
  <c r="H67" i="20"/>
  <c r="H66"/>
  <c r="J66" i="19"/>
  <c r="H65" i="20"/>
  <c r="J65" i="19"/>
  <c r="H63" i="20"/>
  <c r="J63" i="19"/>
  <c r="J58"/>
  <c r="H58" i="20"/>
  <c r="J55" i="18"/>
  <c r="H55" i="19"/>
  <c r="H54"/>
  <c r="J54" i="18"/>
  <c r="J53" i="19"/>
  <c r="H53" i="20"/>
  <c r="J52" i="19"/>
  <c r="H52" i="20"/>
  <c r="J148" i="18"/>
  <c r="H148" i="19"/>
  <c r="J51"/>
  <c r="H51" i="20"/>
  <c r="J49" i="19"/>
  <c r="H49" i="20"/>
  <c r="J59" i="19"/>
  <c r="H59" i="20"/>
  <c r="H46"/>
  <c r="J46" i="19"/>
  <c r="J43" i="20"/>
  <c r="H43" i="21"/>
  <c r="H142" i="20"/>
  <c r="J142" i="19"/>
  <c r="H42"/>
  <c r="J42" i="18"/>
  <c r="J144" i="19"/>
  <c r="H144" i="20"/>
  <c r="J41" i="18"/>
  <c r="H41" i="19"/>
  <c r="J146" i="18"/>
  <c r="H146" i="19"/>
  <c r="H47" i="18"/>
  <c r="J47" i="17"/>
  <c r="J39" i="19"/>
  <c r="H39" i="20"/>
  <c r="H60" i="17"/>
  <c r="J60" i="16"/>
  <c r="J150" i="19"/>
  <c r="H150" i="20"/>
  <c r="H15" i="19"/>
  <c r="J15" i="18"/>
  <c r="I16" s="1"/>
  <c r="J12" i="20"/>
  <c r="H12" i="21"/>
  <c r="J10" i="19"/>
  <c r="H10" i="20"/>
  <c r="H13" i="19"/>
  <c r="J13" i="18"/>
  <c r="J147"/>
  <c r="H147" i="19"/>
  <c r="H151"/>
  <c r="J151" i="18"/>
  <c r="H143" i="19"/>
  <c r="J7" i="18"/>
  <c r="I9" s="1"/>
  <c r="H7" i="19"/>
  <c r="H149"/>
  <c r="J149" i="18"/>
  <c r="H153" i="19"/>
  <c r="J153" s="1"/>
  <c r="J153" i="18"/>
  <c r="H145" i="19"/>
  <c r="J145" i="18"/>
  <c r="H152" i="20" l="1"/>
  <c r="J152" i="19"/>
  <c r="H30" i="21"/>
  <c r="J30" s="1"/>
  <c r="J29" i="19"/>
  <c r="H29" i="20"/>
  <c r="J27"/>
  <c r="H27" i="21"/>
  <c r="H28" i="22"/>
  <c r="J28" i="21"/>
  <c r="H32" i="19"/>
  <c r="J32" i="18"/>
  <c r="H24" i="23"/>
  <c r="J24" i="22"/>
  <c r="H23" i="21"/>
  <c r="J23" i="20"/>
  <c r="J22" i="23"/>
  <c r="H22" i="24"/>
  <c r="H22" i="25" s="1"/>
  <c r="J22" s="1"/>
  <c r="J94" i="21"/>
  <c r="H94" i="22"/>
  <c r="H18" i="21"/>
  <c r="J18" i="20"/>
  <c r="J56" i="19"/>
  <c r="H56" i="20"/>
  <c r="H131" i="22"/>
  <c r="J131" i="21"/>
  <c r="J136" i="20"/>
  <c r="H136" i="21"/>
  <c r="J130" i="20"/>
  <c r="H130" i="21"/>
  <c r="J137" i="20"/>
  <c r="H137" i="21"/>
  <c r="H92"/>
  <c r="J92" i="20"/>
  <c r="H77" i="22"/>
  <c r="J77" i="21"/>
  <c r="H62"/>
  <c r="J62" i="20"/>
  <c r="J68" i="21"/>
  <c r="H68" i="22"/>
  <c r="H68" i="23" s="1"/>
  <c r="J64" i="20"/>
  <c r="H64" i="21"/>
  <c r="J50" i="19"/>
  <c r="H50" i="20"/>
  <c r="H57" i="22"/>
  <c r="J57" i="21"/>
  <c r="H37" i="20"/>
  <c r="J37" i="19"/>
  <c r="J36"/>
  <c r="H36" i="20"/>
  <c r="J35"/>
  <c r="H35" i="21"/>
  <c r="H38"/>
  <c r="J38" i="20"/>
  <c r="J45" i="21"/>
  <c r="H45" i="22"/>
  <c r="H40" i="21"/>
  <c r="J40" i="20"/>
  <c r="J44" i="19"/>
  <c r="H44" i="20"/>
  <c r="H20" i="19"/>
  <c r="J20" i="18"/>
  <c r="H9" i="21"/>
  <c r="J9" i="20"/>
  <c r="H11" i="22"/>
  <c r="J11" i="21"/>
  <c r="H19" i="22"/>
  <c r="J19" i="21"/>
  <c r="H140" i="22"/>
  <c r="J140" i="21"/>
  <c r="H139" i="20"/>
  <c r="J139" i="19"/>
  <c r="H138" i="22"/>
  <c r="J138" i="21"/>
  <c r="J135" i="20"/>
  <c r="H135" i="21"/>
  <c r="J134" i="19"/>
  <c r="H134" i="20"/>
  <c r="H133" i="24"/>
  <c r="H133" i="25" s="1"/>
  <c r="J133" s="1"/>
  <c r="J133" i="23"/>
  <c r="H132" i="21"/>
  <c r="J132" i="20"/>
  <c r="J125"/>
  <c r="H125" i="21"/>
  <c r="J127" i="20"/>
  <c r="H127" i="21"/>
  <c r="H126"/>
  <c r="J126" i="20"/>
  <c r="J124"/>
  <c r="H124" i="21"/>
  <c r="H123"/>
  <c r="J123" i="20"/>
  <c r="J100"/>
  <c r="H100" i="21"/>
  <c r="H99"/>
  <c r="J99" i="20"/>
  <c r="J98"/>
  <c r="H98" i="21"/>
  <c r="J97" i="20"/>
  <c r="H97" i="21"/>
  <c r="J96" i="20"/>
  <c r="H96" i="21"/>
  <c r="J101" i="20"/>
  <c r="H101" i="21"/>
  <c r="J95" i="19"/>
  <c r="H95" i="20"/>
  <c r="J93" i="19"/>
  <c r="H93" i="20"/>
  <c r="J85" i="19"/>
  <c r="H85" i="20"/>
  <c r="J84" i="19"/>
  <c r="H84" i="20"/>
  <c r="J83"/>
  <c r="H83" i="21"/>
  <c r="J82" i="20"/>
  <c r="H82" i="21"/>
  <c r="H81" i="22"/>
  <c r="J81" i="21"/>
  <c r="J80" i="20"/>
  <c r="H80" i="21"/>
  <c r="H79"/>
  <c r="J79" i="20"/>
  <c r="H78" i="21"/>
  <c r="J78" i="20"/>
  <c r="J76"/>
  <c r="H76" i="21"/>
  <c r="J74" i="20"/>
  <c r="H74" i="21"/>
  <c r="H75"/>
  <c r="J75" i="20"/>
  <c r="J73" i="19"/>
  <c r="H73" i="20"/>
  <c r="H72"/>
  <c r="J72" i="19"/>
  <c r="J69"/>
  <c r="H69" i="20"/>
  <c r="J67"/>
  <c r="H67" i="21"/>
  <c r="H66"/>
  <c r="J66" i="20"/>
  <c r="J65"/>
  <c r="H65" i="21"/>
  <c r="J63" i="20"/>
  <c r="H63" i="21"/>
  <c r="H58"/>
  <c r="J58" i="20"/>
  <c r="J55" i="19"/>
  <c r="H55" i="20"/>
  <c r="H54"/>
  <c r="J54" i="19"/>
  <c r="H53" i="21"/>
  <c r="J53" i="20"/>
  <c r="H52" i="21"/>
  <c r="J52" i="20"/>
  <c r="H148"/>
  <c r="J148" i="19"/>
  <c r="J51" i="20"/>
  <c r="H51" i="21"/>
  <c r="J49" i="20"/>
  <c r="H49" i="21"/>
  <c r="H59"/>
  <c r="J59" i="20"/>
  <c r="J46"/>
  <c r="H46" i="21"/>
  <c r="H43" i="22"/>
  <c r="J43" i="21"/>
  <c r="H142"/>
  <c r="J142" i="20"/>
  <c r="J42" i="19"/>
  <c r="H42" i="20"/>
  <c r="H144" i="21"/>
  <c r="J144" i="20"/>
  <c r="H41"/>
  <c r="J41" i="19"/>
  <c r="H39" i="21"/>
  <c r="J39" i="20"/>
  <c r="H146"/>
  <c r="J146" i="19"/>
  <c r="J60" i="17"/>
  <c r="H60" i="18"/>
  <c r="J47"/>
  <c r="H47" i="19"/>
  <c r="J150" i="20"/>
  <c r="H150" i="21"/>
  <c r="H15" i="20"/>
  <c r="J15" i="19"/>
  <c r="I16" s="1"/>
  <c r="H12" i="22"/>
  <c r="J12" i="21"/>
  <c r="J10" i="20"/>
  <c r="H10" i="21"/>
  <c r="H13" i="20"/>
  <c r="J13" i="19"/>
  <c r="H145" i="20"/>
  <c r="J145" i="19"/>
  <c r="J7"/>
  <c r="I9" s="1"/>
  <c r="H7" i="20"/>
  <c r="H147"/>
  <c r="J147" i="19"/>
  <c r="H153" i="20"/>
  <c r="H149"/>
  <c r="J149" i="19"/>
  <c r="H151" i="20"/>
  <c r="J151" s="1"/>
  <c r="J151" i="19"/>
  <c r="H143" i="20"/>
  <c r="J143" i="19"/>
  <c r="J152" i="20" l="1"/>
  <c r="H152" i="21"/>
  <c r="H30" i="22"/>
  <c r="J30" s="1"/>
  <c r="J29" i="20"/>
  <c r="H29" i="21"/>
  <c r="H28" i="23"/>
  <c r="J28" i="22"/>
  <c r="H32" i="20"/>
  <c r="J32" i="19"/>
  <c r="J27" i="21"/>
  <c r="H27" i="22"/>
  <c r="J24" i="23"/>
  <c r="H24" i="24"/>
  <c r="H24" i="25" s="1"/>
  <c r="J24" s="1"/>
  <c r="H23" i="22"/>
  <c r="J23" i="21"/>
  <c r="J22" i="24"/>
  <c r="J94" i="22"/>
  <c r="H94" i="23"/>
  <c r="H18" i="22"/>
  <c r="J18" i="21"/>
  <c r="J56" i="20"/>
  <c r="H56" i="21"/>
  <c r="J130"/>
  <c r="H130" i="22"/>
  <c r="H131" i="23"/>
  <c r="J131" i="22"/>
  <c r="H137"/>
  <c r="J137" i="21"/>
  <c r="J136"/>
  <c r="H136" i="22"/>
  <c r="H92"/>
  <c r="J92" i="21"/>
  <c r="H77" i="23"/>
  <c r="J77" i="22"/>
  <c r="J64" i="21"/>
  <c r="H64" i="22"/>
  <c r="H62"/>
  <c r="J62" i="21"/>
  <c r="J68" i="22"/>
  <c r="H57" i="23"/>
  <c r="J57" i="22"/>
  <c r="H50" i="21"/>
  <c r="J50" i="20"/>
  <c r="J37"/>
  <c r="H37" i="21"/>
  <c r="J36" i="20"/>
  <c r="H36" i="21"/>
  <c r="H40" i="22"/>
  <c r="J40" i="21"/>
  <c r="H35" i="22"/>
  <c r="J35" i="21"/>
  <c r="H38" i="22"/>
  <c r="J38" i="21"/>
  <c r="J44" i="20"/>
  <c r="H44" i="21"/>
  <c r="J45" i="22"/>
  <c r="H45" i="23"/>
  <c r="J20" i="19"/>
  <c r="H20" i="20"/>
  <c r="J9" i="21"/>
  <c r="H9" i="22"/>
  <c r="H11" i="23"/>
  <c r="J11" i="22"/>
  <c r="J19"/>
  <c r="H19" i="23"/>
  <c r="J140" i="22"/>
  <c r="H140" i="23"/>
  <c r="H140" i="24" s="1"/>
  <c r="H140" i="25" s="1"/>
  <c r="J140" s="1"/>
  <c r="H139" i="21"/>
  <c r="J139" i="20"/>
  <c r="H138" i="23"/>
  <c r="J138" i="22"/>
  <c r="J135" i="21"/>
  <c r="H135" i="22"/>
  <c r="H134" i="21"/>
  <c r="J134" i="20"/>
  <c r="J133" i="24"/>
  <c r="J132" i="21"/>
  <c r="H132" i="22"/>
  <c r="J125" i="21"/>
  <c r="H125" i="22"/>
  <c r="H127"/>
  <c r="J127" i="21"/>
  <c r="J126"/>
  <c r="H126" i="22"/>
  <c r="J124" i="21"/>
  <c r="H124" i="22"/>
  <c r="H123"/>
  <c r="J123" i="21"/>
  <c r="J100"/>
  <c r="H100" i="22"/>
  <c r="H99"/>
  <c r="J99" i="21"/>
  <c r="H98" i="22"/>
  <c r="J98" i="21"/>
  <c r="J97"/>
  <c r="H97" i="22"/>
  <c r="H96"/>
  <c r="J96" i="21"/>
  <c r="H101" i="22"/>
  <c r="J101" i="21"/>
  <c r="H95"/>
  <c r="J95" i="20"/>
  <c r="H93" i="21"/>
  <c r="J93" i="20"/>
  <c r="J85"/>
  <c r="H85" i="21"/>
  <c r="H84"/>
  <c r="J84" i="20"/>
  <c r="H83" i="22"/>
  <c r="J83" i="21"/>
  <c r="H82" i="22"/>
  <c r="J82" i="21"/>
  <c r="J81" i="22"/>
  <c r="H81" i="23"/>
  <c r="H80" i="22"/>
  <c r="J80" i="21"/>
  <c r="J79"/>
  <c r="H79" i="22"/>
  <c r="H78"/>
  <c r="J78" i="21"/>
  <c r="H76" i="22"/>
  <c r="J76" i="21"/>
  <c r="H74" i="22"/>
  <c r="J74" i="21"/>
  <c r="H75" i="22"/>
  <c r="J75" i="21"/>
  <c r="H72"/>
  <c r="J72" i="20"/>
  <c r="H73" i="21"/>
  <c r="J73" i="20"/>
  <c r="J69"/>
  <c r="H69" i="21"/>
  <c r="H69" i="22" s="1"/>
  <c r="H69" i="23" s="1"/>
  <c r="H67" i="22"/>
  <c r="J67" i="21"/>
  <c r="H66" i="22"/>
  <c r="J66" i="21"/>
  <c r="J65"/>
  <c r="H65" i="22"/>
  <c r="H63"/>
  <c r="J63" i="21"/>
  <c r="H58" i="22"/>
  <c r="J58" i="21"/>
  <c r="J55" i="20"/>
  <c r="H55" i="21"/>
  <c r="H54"/>
  <c r="J54" i="20"/>
  <c r="H53" i="22"/>
  <c r="J53" i="21"/>
  <c r="H148"/>
  <c r="J148" i="20"/>
  <c r="H52" i="22"/>
  <c r="J52" i="21"/>
  <c r="H51" i="22"/>
  <c r="J51" i="21"/>
  <c r="J49"/>
  <c r="H49" i="22"/>
  <c r="H59"/>
  <c r="J59" i="21"/>
  <c r="H46" i="22"/>
  <c r="J46" i="21"/>
  <c r="H43" i="23"/>
  <c r="J43" i="22"/>
  <c r="H142"/>
  <c r="J142" i="21"/>
  <c r="H42"/>
  <c r="J42" i="20"/>
  <c r="J144" i="21"/>
  <c r="H144" i="22"/>
  <c r="J41" i="20"/>
  <c r="H41" i="21"/>
  <c r="J60" i="18"/>
  <c r="H60" i="19"/>
  <c r="J146" i="20"/>
  <c r="H146" i="21"/>
  <c r="J47" i="19"/>
  <c r="H47" i="20"/>
  <c r="H39" i="22"/>
  <c r="J39" i="21"/>
  <c r="H150" i="22"/>
  <c r="J150" i="21"/>
  <c r="J15" i="20"/>
  <c r="I16" s="1"/>
  <c r="H15" i="21"/>
  <c r="H12" i="23"/>
  <c r="J12" i="22"/>
  <c r="H10"/>
  <c r="J10" i="21"/>
  <c r="J13" i="20"/>
  <c r="H13" i="21"/>
  <c r="H7"/>
  <c r="J7" i="20"/>
  <c r="H151" i="21"/>
  <c r="J151" s="1"/>
  <c r="H153"/>
  <c r="J153" s="1"/>
  <c r="J153" i="20"/>
  <c r="J143"/>
  <c r="H143" i="21"/>
  <c r="J149" i="20"/>
  <c r="H149" i="21"/>
  <c r="H147"/>
  <c r="J147" i="20"/>
  <c r="J145"/>
  <c r="H145" i="21"/>
  <c r="J152" l="1"/>
  <c r="H152" i="22"/>
  <c r="H30" i="23"/>
  <c r="J30" s="1"/>
  <c r="J29" i="21"/>
  <c r="H29" i="22"/>
  <c r="H32" i="21"/>
  <c r="J32" i="20"/>
  <c r="H28" i="24"/>
  <c r="J28" i="23"/>
  <c r="J27" i="22"/>
  <c r="H27" i="23"/>
  <c r="J24" i="24"/>
  <c r="H23" i="23"/>
  <c r="J23" i="22"/>
  <c r="H22" i="40"/>
  <c r="J94" i="23"/>
  <c r="H94" i="24"/>
  <c r="H94" i="25" s="1"/>
  <c r="J94" s="1"/>
  <c r="H18" i="23"/>
  <c r="J18" i="22"/>
  <c r="J56" i="21"/>
  <c r="H56" i="22"/>
  <c r="H130" i="23"/>
  <c r="J130" i="22"/>
  <c r="H131" i="24"/>
  <c r="H131" i="25" s="1"/>
  <c r="J131" s="1"/>
  <c r="J131" i="23"/>
  <c r="H137"/>
  <c r="J137" i="22"/>
  <c r="H136" i="23"/>
  <c r="J136" i="22"/>
  <c r="J92"/>
  <c r="H92" i="23"/>
  <c r="H77" i="24"/>
  <c r="H77" i="25" s="1"/>
  <c r="J77" s="1"/>
  <c r="J77" i="23"/>
  <c r="H64"/>
  <c r="J64" i="22"/>
  <c r="J62"/>
  <c r="H62" i="23"/>
  <c r="J68"/>
  <c r="H68" i="24"/>
  <c r="H68" i="25" s="1"/>
  <c r="J68" s="1"/>
  <c r="J50" i="21"/>
  <c r="H50" i="22"/>
  <c r="J57" i="23"/>
  <c r="H57" i="24"/>
  <c r="H57" i="25" s="1"/>
  <c r="J57" s="1"/>
  <c r="H37" i="22"/>
  <c r="J37" i="21"/>
  <c r="H36" i="22"/>
  <c r="J36" i="21"/>
  <c r="H35" i="23"/>
  <c r="J35" i="22"/>
  <c r="J44" i="21"/>
  <c r="H44" i="22"/>
  <c r="H38" i="23"/>
  <c r="J38" i="22"/>
  <c r="H40" i="23"/>
  <c r="J40" i="22"/>
  <c r="J45" i="23"/>
  <c r="H45" i="24"/>
  <c r="H45" i="25" s="1"/>
  <c r="J45" s="1"/>
  <c r="H20" i="21"/>
  <c r="J20" i="20"/>
  <c r="H9" i="23"/>
  <c r="J9" i="22"/>
  <c r="J11" i="23"/>
  <c r="H11" i="24"/>
  <c r="H11" i="25" s="1"/>
  <c r="J11" s="1"/>
  <c r="J19" i="23"/>
  <c r="H19" i="24"/>
  <c r="H19" i="25" s="1"/>
  <c r="J19" s="1"/>
  <c r="J140" i="23"/>
  <c r="H139" i="22"/>
  <c r="J139" i="21"/>
  <c r="J138" i="23"/>
  <c r="H135"/>
  <c r="J135" i="22"/>
  <c r="H134"/>
  <c r="J134" i="21"/>
  <c r="H133" i="40"/>
  <c r="J132" i="22"/>
  <c r="H132" i="23"/>
  <c r="J125" i="22"/>
  <c r="H125" i="23"/>
  <c r="H127"/>
  <c r="J127" i="22"/>
  <c r="H126" i="23"/>
  <c r="J126" i="22"/>
  <c r="J124"/>
  <c r="H124" i="23"/>
  <c r="J123" i="22"/>
  <c r="H123" i="23"/>
  <c r="J100" i="22"/>
  <c r="H100" i="23"/>
  <c r="J99" i="22"/>
  <c r="H99" i="23"/>
  <c r="J98" i="22"/>
  <c r="H98" i="23"/>
  <c r="J97" i="22"/>
  <c r="H97" i="23"/>
  <c r="J96" i="22"/>
  <c r="H96" i="23"/>
  <c r="H95" i="22"/>
  <c r="J95" i="21"/>
  <c r="J101" i="22"/>
  <c r="H101" i="23"/>
  <c r="J93" i="21"/>
  <c r="H93" i="22"/>
  <c r="H84"/>
  <c r="J84" i="21"/>
  <c r="H85" i="22"/>
  <c r="J85" i="21"/>
  <c r="J83" i="22"/>
  <c r="H83" i="23"/>
  <c r="H82"/>
  <c r="J82" i="22"/>
  <c r="H81" i="24"/>
  <c r="H81" i="25" s="1"/>
  <c r="J81" s="1"/>
  <c r="J81" i="23"/>
  <c r="J80" i="22"/>
  <c r="H80" i="23"/>
  <c r="H79"/>
  <c r="J79" i="22"/>
  <c r="J78"/>
  <c r="H78" i="23"/>
  <c r="J76" i="22"/>
  <c r="H76" i="23"/>
  <c r="H74"/>
  <c r="J74" i="22"/>
  <c r="H75" i="23"/>
  <c r="J75" i="22"/>
  <c r="J72" i="21"/>
  <c r="H72" i="22"/>
  <c r="J73" i="21"/>
  <c r="H73" i="22"/>
  <c r="J69" i="21"/>
  <c r="H67" i="23"/>
  <c r="J67" i="22"/>
  <c r="H66" i="23"/>
  <c r="J66" i="22"/>
  <c r="H65" i="23"/>
  <c r="J65" i="22"/>
  <c r="J63"/>
  <c r="H63" i="23"/>
  <c r="H58"/>
  <c r="J58" i="22"/>
  <c r="H55"/>
  <c r="J55" i="21"/>
  <c r="J54"/>
  <c r="H54" i="22"/>
  <c r="H53" i="23"/>
  <c r="J53" i="22"/>
  <c r="H52" i="23"/>
  <c r="J52" i="22"/>
  <c r="J148" i="21"/>
  <c r="H148" i="22"/>
  <c r="H51" i="23"/>
  <c r="J51" i="22"/>
  <c r="J49"/>
  <c r="H49" i="23"/>
  <c r="J59" i="22"/>
  <c r="H59" i="23"/>
  <c r="J46" i="22"/>
  <c r="H46" i="23"/>
  <c r="H142"/>
  <c r="J142" i="22"/>
  <c r="H43" i="24"/>
  <c r="H43" i="25" s="1"/>
  <c r="J43" s="1"/>
  <c r="J43" i="23"/>
  <c r="H42" i="22"/>
  <c r="J42" i="21"/>
  <c r="H144" i="23"/>
  <c r="J144" i="22"/>
  <c r="H41"/>
  <c r="J41" i="21"/>
  <c r="J47" i="20"/>
  <c r="H47" i="21"/>
  <c r="J60" i="19"/>
  <c r="H60" i="20"/>
  <c r="H146" i="22"/>
  <c r="J146" i="21"/>
  <c r="J39" i="22"/>
  <c r="H39" i="23"/>
  <c r="H150"/>
  <c r="J150" i="22"/>
  <c r="H15"/>
  <c r="J15" i="21"/>
  <c r="I16" s="1"/>
  <c r="H12" i="24"/>
  <c r="H12" i="25" s="1"/>
  <c r="J12" s="1"/>
  <c r="J12" i="23"/>
  <c r="H10"/>
  <c r="J10" i="22"/>
  <c r="J13" i="21"/>
  <c r="H13" i="22"/>
  <c r="H145"/>
  <c r="J145" i="21"/>
  <c r="H149" i="22"/>
  <c r="J149" i="21"/>
  <c r="J143"/>
  <c r="H143" i="22"/>
  <c r="H151"/>
  <c r="J7" i="21"/>
  <c r="H7" i="22"/>
  <c r="J7" s="1"/>
  <c r="H147"/>
  <c r="J147" i="21"/>
  <c r="H153" i="22"/>
  <c r="H152" i="23" l="1"/>
  <c r="J152" i="22"/>
  <c r="H30" i="24"/>
  <c r="H30" i="25" s="1"/>
  <c r="H29" i="23"/>
  <c r="J29" i="22"/>
  <c r="J32" i="21"/>
  <c r="H32" i="22"/>
  <c r="H28" i="25"/>
  <c r="J28" i="24"/>
  <c r="J27" i="23"/>
  <c r="H27" i="24"/>
  <c r="H24" i="40"/>
  <c r="J23" i="23"/>
  <c r="H23" i="24"/>
  <c r="H23" i="25" s="1"/>
  <c r="J23" s="1"/>
  <c r="H22" i="27"/>
  <c r="J22" i="40"/>
  <c r="J94" i="24"/>
  <c r="H18"/>
  <c r="H18" i="25" s="1"/>
  <c r="J18" s="1"/>
  <c r="J18" i="23"/>
  <c r="H56"/>
  <c r="J56" i="22"/>
  <c r="J136" i="23"/>
  <c r="H136" i="24"/>
  <c r="H136" i="25" s="1"/>
  <c r="J136" s="1"/>
  <c r="J131" i="24"/>
  <c r="J137" i="23"/>
  <c r="H130" i="24"/>
  <c r="H130" i="25" s="1"/>
  <c r="J130" s="1"/>
  <c r="J130" i="23"/>
  <c r="J92"/>
  <c r="H92" i="24"/>
  <c r="H92" i="25" s="1"/>
  <c r="J92" s="1"/>
  <c r="J77" i="24"/>
  <c r="J64" i="23"/>
  <c r="H64" i="24"/>
  <c r="H64" i="25" s="1"/>
  <c r="J64" s="1"/>
  <c r="J68" i="24"/>
  <c r="H62"/>
  <c r="H62" i="25" s="1"/>
  <c r="J62" s="1"/>
  <c r="J62" i="23"/>
  <c r="H50"/>
  <c r="J50" i="22"/>
  <c r="J57" i="24"/>
  <c r="H36" i="23"/>
  <c r="J36" i="22"/>
  <c r="H37" i="23"/>
  <c r="J37" i="22"/>
  <c r="J35" i="23"/>
  <c r="H35" i="24"/>
  <c r="H35" i="25" s="1"/>
  <c r="J35" s="1"/>
  <c r="J45" i="24"/>
  <c r="J40" i="23"/>
  <c r="H40" i="24"/>
  <c r="H40" i="25" s="1"/>
  <c r="J40" s="1"/>
  <c r="J38" i="23"/>
  <c r="H38" i="24"/>
  <c r="H38" i="25" s="1"/>
  <c r="J38" s="1"/>
  <c r="H44" i="23"/>
  <c r="J44" i="22"/>
  <c r="J20" i="21"/>
  <c r="H20" i="22"/>
  <c r="J9" i="23"/>
  <c r="H9" i="24"/>
  <c r="H9" i="25" s="1"/>
  <c r="J9" s="1"/>
  <c r="J11" i="24"/>
  <c r="J19"/>
  <c r="J140"/>
  <c r="H139" i="23"/>
  <c r="J139" i="22"/>
  <c r="J138" i="24"/>
  <c r="J135" i="23"/>
  <c r="H134"/>
  <c r="J134" i="22"/>
  <c r="J133" i="40"/>
  <c r="H133" i="27"/>
  <c r="J132" i="23"/>
  <c r="H132" i="24"/>
  <c r="H132" i="25" s="1"/>
  <c r="J132" s="1"/>
  <c r="J125" i="23"/>
  <c r="H125" i="24"/>
  <c r="H125" i="25" s="1"/>
  <c r="J125" s="1"/>
  <c r="H127" i="24"/>
  <c r="J127" i="23"/>
  <c r="J126"/>
  <c r="H126" i="24"/>
  <c r="H126" i="25" s="1"/>
  <c r="J126" s="1"/>
  <c r="J124" i="23"/>
  <c r="H124" i="24"/>
  <c r="H124" i="25" s="1"/>
  <c r="J124" s="1"/>
  <c r="H123" i="24"/>
  <c r="H123" i="25" s="1"/>
  <c r="J123" s="1"/>
  <c r="J123" i="23"/>
  <c r="J100"/>
  <c r="H100" i="24"/>
  <c r="H100" i="25" s="1"/>
  <c r="J100" s="1"/>
  <c r="H99" i="24"/>
  <c r="H99" i="25" s="1"/>
  <c r="J99" s="1"/>
  <c r="J99" i="23"/>
  <c r="H98" i="24"/>
  <c r="H98" i="25" s="1"/>
  <c r="J98" s="1"/>
  <c r="J98" i="23"/>
  <c r="H97" i="24"/>
  <c r="H97" i="25" s="1"/>
  <c r="J97" s="1"/>
  <c r="J97" i="23"/>
  <c r="H96" i="24"/>
  <c r="H96" i="25" s="1"/>
  <c r="J96" s="1"/>
  <c r="J96" i="23"/>
  <c r="H101" i="24"/>
  <c r="H101" i="25" s="1"/>
  <c r="J101" s="1"/>
  <c r="J101" i="23"/>
  <c r="H95"/>
  <c r="J95" i="22"/>
  <c r="J93"/>
  <c r="H93" i="23"/>
  <c r="J84" i="22"/>
  <c r="H84" i="23"/>
  <c r="H85"/>
  <c r="J85" i="22"/>
  <c r="H83" i="24"/>
  <c r="H83" i="25" s="1"/>
  <c r="J83" s="1"/>
  <c r="J83" i="23"/>
  <c r="J82"/>
  <c r="H82" i="24"/>
  <c r="H82" i="25" s="1"/>
  <c r="J82" s="1"/>
  <c r="J81" i="24"/>
  <c r="J80" i="23"/>
  <c r="H80" i="24"/>
  <c r="H80" i="25" s="1"/>
  <c r="J80" s="1"/>
  <c r="J79" i="23"/>
  <c r="H79" i="24"/>
  <c r="H79" i="25" s="1"/>
  <c r="J79" s="1"/>
  <c r="J78" i="23"/>
  <c r="H78" i="24"/>
  <c r="H78" i="25" s="1"/>
  <c r="J78" s="1"/>
  <c r="J76" i="23"/>
  <c r="H76" i="24"/>
  <c r="H76" i="25" s="1"/>
  <c r="J76" s="1"/>
  <c r="J74" i="23"/>
  <c r="H74" i="24"/>
  <c r="H74" i="25" s="1"/>
  <c r="J74" s="1"/>
  <c r="H75" i="24"/>
  <c r="H75" i="25" s="1"/>
  <c r="J75" s="1"/>
  <c r="J75" i="23"/>
  <c r="H72"/>
  <c r="J72" i="22"/>
  <c r="H73" i="23"/>
  <c r="J73" i="22"/>
  <c r="J69"/>
  <c r="H67" i="24"/>
  <c r="H67" i="25" s="1"/>
  <c r="J67" s="1"/>
  <c r="J67" i="23"/>
  <c r="J66"/>
  <c r="H66" i="24"/>
  <c r="H66" i="25" s="1"/>
  <c r="J66" s="1"/>
  <c r="J65" i="23"/>
  <c r="H65" i="24"/>
  <c r="H65" i="25" s="1"/>
  <c r="J65" s="1"/>
  <c r="J63" i="23"/>
  <c r="H63" i="24"/>
  <c r="H63" i="25" s="1"/>
  <c r="J63" s="1"/>
  <c r="H58" i="24"/>
  <c r="H58" i="25" s="1"/>
  <c r="J58" s="1"/>
  <c r="J58" i="23"/>
  <c r="H55"/>
  <c r="J55" i="22"/>
  <c r="H54" i="23"/>
  <c r="J54" i="22"/>
  <c r="J53" i="23"/>
  <c r="H53" i="24"/>
  <c r="H53" i="25" s="1"/>
  <c r="J53" s="1"/>
  <c r="J148" i="22"/>
  <c r="H148" i="23"/>
  <c r="H52" i="24"/>
  <c r="H52" i="25" s="1"/>
  <c r="J52" s="1"/>
  <c r="J52" i="23"/>
  <c r="H51" i="24"/>
  <c r="H51" i="25" s="1"/>
  <c r="J51" s="1"/>
  <c r="J51" i="23"/>
  <c r="H59" i="24"/>
  <c r="H59" i="25" s="1"/>
  <c r="J59" s="1"/>
  <c r="J59" i="23"/>
  <c r="J49"/>
  <c r="H49" i="24"/>
  <c r="H49" i="25" s="1"/>
  <c r="J49" s="1"/>
  <c r="H46" i="24"/>
  <c r="H46" i="25" s="1"/>
  <c r="J46" s="1"/>
  <c r="J46" i="23"/>
  <c r="H142" i="24"/>
  <c r="H142" i="25" s="1"/>
  <c r="J142" s="1"/>
  <c r="J142" i="23"/>
  <c r="J43" i="24"/>
  <c r="J42" i="22"/>
  <c r="H42" i="23"/>
  <c r="J41" i="22"/>
  <c r="H41" i="23"/>
  <c r="H144" i="24"/>
  <c r="H144" i="25" s="1"/>
  <c r="J144" s="1"/>
  <c r="J144" i="23"/>
  <c r="H47" i="22"/>
  <c r="J47" i="21"/>
  <c r="H39" i="24"/>
  <c r="H39" i="25" s="1"/>
  <c r="J39" s="1"/>
  <c r="J39" i="23"/>
  <c r="H60" i="21"/>
  <c r="J60" i="20"/>
  <c r="J146" i="22"/>
  <c r="H146" i="23"/>
  <c r="H150" i="24"/>
  <c r="H150" i="25" s="1"/>
  <c r="J150" s="1"/>
  <c r="J150" i="23"/>
  <c r="J15" i="22"/>
  <c r="I16" s="1"/>
  <c r="H15" i="23"/>
  <c r="J12" i="24"/>
  <c r="J10" i="23"/>
  <c r="H10" i="24"/>
  <c r="H10" i="25" s="1"/>
  <c r="J10" s="1"/>
  <c r="H13" i="23"/>
  <c r="J13" i="22"/>
  <c r="H153" i="23"/>
  <c r="J153" i="22"/>
  <c r="H145" i="23"/>
  <c r="J145" i="22"/>
  <c r="H143" i="23"/>
  <c r="J143" i="22"/>
  <c r="H147" i="23"/>
  <c r="J147" i="22"/>
  <c r="H151" i="23"/>
  <c r="J151" i="22"/>
  <c r="H149" i="23"/>
  <c r="J149" i="22"/>
  <c r="H7" i="23"/>
  <c r="H152" i="24" l="1"/>
  <c r="J152" i="23"/>
  <c r="J30" i="24"/>
  <c r="J29" i="23"/>
  <c r="H29" i="24"/>
  <c r="H127" i="25"/>
  <c r="J127" s="1"/>
  <c r="J127" i="24"/>
  <c r="H28" i="40"/>
  <c r="J28" i="25"/>
  <c r="J27" i="24"/>
  <c r="H27" i="25"/>
  <c r="H32" i="23"/>
  <c r="J32" i="22"/>
  <c r="J30" i="25"/>
  <c r="H30" i="40"/>
  <c r="J24"/>
  <c r="H24" i="27"/>
  <c r="J23" i="24"/>
  <c r="H22" i="28"/>
  <c r="J22" i="27"/>
  <c r="H94" i="40"/>
  <c r="J18" i="24"/>
  <c r="J56" i="23"/>
  <c r="H56" i="24"/>
  <c r="H56" i="25" s="1"/>
  <c r="J56" s="1"/>
  <c r="J130" i="24"/>
  <c r="H131" i="40"/>
  <c r="J137" i="24"/>
  <c r="J136"/>
  <c r="J92"/>
  <c r="H77" i="40"/>
  <c r="J64" i="24"/>
  <c r="H68" i="40"/>
  <c r="J62" i="24"/>
  <c r="J50" i="23"/>
  <c r="H50" i="24"/>
  <c r="H50" i="25" s="1"/>
  <c r="J50" s="1"/>
  <c r="H57" i="40"/>
  <c r="J37" i="23"/>
  <c r="H37" i="24"/>
  <c r="H37" i="25" s="1"/>
  <c r="J37" s="1"/>
  <c r="J36" i="23"/>
  <c r="H36" i="24"/>
  <c r="H36" i="25" s="1"/>
  <c r="J36" s="1"/>
  <c r="J38" i="24"/>
  <c r="J35"/>
  <c r="J44" i="23"/>
  <c r="H44" i="24"/>
  <c r="H44" i="25" s="1"/>
  <c r="J44" s="1"/>
  <c r="H45" i="40"/>
  <c r="J40" i="24"/>
  <c r="H20" i="23"/>
  <c r="J20" i="22"/>
  <c r="J9" i="24"/>
  <c r="H11" i="40"/>
  <c r="H19"/>
  <c r="H140"/>
  <c r="J139" i="23"/>
  <c r="H139" i="24"/>
  <c r="H138" i="40"/>
  <c r="J135" i="24"/>
  <c r="J134" i="23"/>
  <c r="J133" i="27"/>
  <c r="H133" i="28"/>
  <c r="J132" i="24"/>
  <c r="J125"/>
  <c r="J126"/>
  <c r="J124"/>
  <c r="J123"/>
  <c r="J100"/>
  <c r="J99"/>
  <c r="J98"/>
  <c r="J97"/>
  <c r="J96"/>
  <c r="J101"/>
  <c r="H95"/>
  <c r="H95" i="25" s="1"/>
  <c r="J95" s="1"/>
  <c r="J95" i="23"/>
  <c r="H93" i="24"/>
  <c r="H93" i="25" s="1"/>
  <c r="J93" s="1"/>
  <c r="J93" i="23"/>
  <c r="J85"/>
  <c r="H85" i="24"/>
  <c r="H85" i="25" s="1"/>
  <c r="J85" s="1"/>
  <c r="J84" i="23"/>
  <c r="H84" i="24"/>
  <c r="H84" i="25" s="1"/>
  <c r="J84" s="1"/>
  <c r="J83" i="24"/>
  <c r="J82"/>
  <c r="H81" i="40"/>
  <c r="J80" i="24"/>
  <c r="J79"/>
  <c r="J78"/>
  <c r="J76"/>
  <c r="J75"/>
  <c r="J74"/>
  <c r="H73"/>
  <c r="H73" i="25" s="1"/>
  <c r="J73" s="1"/>
  <c r="J73" i="23"/>
  <c r="H72" i="24"/>
  <c r="H72" i="25" s="1"/>
  <c r="J72" s="1"/>
  <c r="J72" i="23"/>
  <c r="J69"/>
  <c r="H69" i="24"/>
  <c r="H69" i="25" s="1"/>
  <c r="J69" s="1"/>
  <c r="J67" i="24"/>
  <c r="J66"/>
  <c r="J65"/>
  <c r="J63"/>
  <c r="J58"/>
  <c r="J55" i="23"/>
  <c r="H55" i="24"/>
  <c r="H55" i="25" s="1"/>
  <c r="J55" s="1"/>
  <c r="J54" i="23"/>
  <c r="H54" i="24"/>
  <c r="H54" i="25" s="1"/>
  <c r="J54" s="1"/>
  <c r="J53" i="24"/>
  <c r="J148" i="23"/>
  <c r="H148" i="24"/>
  <c r="H148" i="25" s="1"/>
  <c r="J148" s="1"/>
  <c r="J52" i="24"/>
  <c r="J51"/>
  <c r="J49"/>
  <c r="J59"/>
  <c r="J46"/>
  <c r="H43" i="40"/>
  <c r="J142" i="24"/>
  <c r="H42"/>
  <c r="H42" i="25" s="1"/>
  <c r="J42" s="1"/>
  <c r="J42" i="23"/>
  <c r="J41"/>
  <c r="H41" i="24"/>
  <c r="H41" i="25" s="1"/>
  <c r="J41" s="1"/>
  <c r="J144" i="24"/>
  <c r="J39"/>
  <c r="H146"/>
  <c r="H146" i="25" s="1"/>
  <c r="J146" s="1"/>
  <c r="J146" i="23"/>
  <c r="H60" i="22"/>
  <c r="J60" i="21"/>
  <c r="J47" i="22"/>
  <c r="H47" i="23"/>
  <c r="J150" i="24"/>
  <c r="J15" i="23"/>
  <c r="I16" s="1"/>
  <c r="H15" i="24"/>
  <c r="H15" i="25" s="1"/>
  <c r="J15" s="1"/>
  <c r="I16" s="1"/>
  <c r="H12" i="40"/>
  <c r="J10" i="24"/>
  <c r="H13"/>
  <c r="H13" i="25" s="1"/>
  <c r="J13" s="1"/>
  <c r="J13" i="23"/>
  <c r="H151" i="24"/>
  <c r="H151" i="25" s="1"/>
  <c r="J151" s="1"/>
  <c r="J151" i="23"/>
  <c r="J143"/>
  <c r="H143" i="24"/>
  <c r="H143" i="25" s="1"/>
  <c r="J143" s="1"/>
  <c r="H153" i="24"/>
  <c r="H153" i="25" s="1"/>
  <c r="J153" s="1"/>
  <c r="J153" i="23"/>
  <c r="H7" i="24"/>
  <c r="H7" i="25" s="1"/>
  <c r="J7" s="1"/>
  <c r="J7" i="23"/>
  <c r="J149"/>
  <c r="H149" i="24"/>
  <c r="H149" i="25" s="1"/>
  <c r="J149" s="1"/>
  <c r="H147" i="24"/>
  <c r="H147" i="25" s="1"/>
  <c r="J147" s="1"/>
  <c r="J147" i="23"/>
  <c r="H145" i="24"/>
  <c r="H145" i="25" s="1"/>
  <c r="J145" s="1"/>
  <c r="J145" i="23"/>
  <c r="H152" i="25" l="1"/>
  <c r="J152" i="24"/>
  <c r="H29" i="25"/>
  <c r="J29" i="24"/>
  <c r="J28" i="40"/>
  <c r="H28" i="27"/>
  <c r="J27" i="25"/>
  <c r="H27" i="40"/>
  <c r="H32" i="24"/>
  <c r="J32" i="23"/>
  <c r="J30" i="40"/>
  <c r="H30" i="27"/>
  <c r="H139" i="25"/>
  <c r="H24" i="28"/>
  <c r="J24" i="27"/>
  <c r="H23" i="40"/>
  <c r="H22" i="29"/>
  <c r="J22" i="28"/>
  <c r="J94" i="40"/>
  <c r="H94" i="27"/>
  <c r="H18" i="40"/>
  <c r="J56" i="24"/>
  <c r="H137" i="40"/>
  <c r="H136"/>
  <c r="H130"/>
  <c r="J131"/>
  <c r="H131" i="27"/>
  <c r="H92" i="40"/>
  <c r="H77" i="27"/>
  <c r="J77" i="40"/>
  <c r="H62"/>
  <c r="J68"/>
  <c r="H68" i="27"/>
  <c r="H64" i="40"/>
  <c r="H57" i="27"/>
  <c r="J57" i="40"/>
  <c r="J50" i="24"/>
  <c r="J37"/>
  <c r="J36"/>
  <c r="J44"/>
  <c r="H35" i="40"/>
  <c r="H38"/>
  <c r="H40"/>
  <c r="H45" i="27"/>
  <c r="J45" i="40"/>
  <c r="H20" i="24"/>
  <c r="H20" i="25" s="1"/>
  <c r="J20" s="1"/>
  <c r="J20" i="23"/>
  <c r="H9" i="40"/>
  <c r="H11" i="27"/>
  <c r="J11" i="40"/>
  <c r="H19" i="27"/>
  <c r="J19" i="40"/>
  <c r="H140" i="27"/>
  <c r="J140" i="40"/>
  <c r="J139" i="24"/>
  <c r="J138" i="40"/>
  <c r="H138" i="27"/>
  <c r="H135" i="40"/>
  <c r="J134" i="24"/>
  <c r="J133" i="28"/>
  <c r="H133" i="29"/>
  <c r="H132" i="40"/>
  <c r="H125"/>
  <c r="H127"/>
  <c r="H126"/>
  <c r="H124"/>
  <c r="H123"/>
  <c r="H100"/>
  <c r="H99"/>
  <c r="H98"/>
  <c r="H97"/>
  <c r="H96"/>
  <c r="H101"/>
  <c r="J95" i="24"/>
  <c r="J93"/>
  <c r="J85"/>
  <c r="J84"/>
  <c r="H83" i="40"/>
  <c r="H82"/>
  <c r="H81" i="27"/>
  <c r="J81" i="40"/>
  <c r="H80"/>
  <c r="H78"/>
  <c r="H79"/>
  <c r="H76"/>
  <c r="H75"/>
  <c r="H74"/>
  <c r="J73" i="24"/>
  <c r="J72"/>
  <c r="J69"/>
  <c r="H67" i="40"/>
  <c r="H66"/>
  <c r="H65"/>
  <c r="H63"/>
  <c r="H58"/>
  <c r="J55" i="24"/>
  <c r="J54"/>
  <c r="H53" i="40"/>
  <c r="H52"/>
  <c r="J148" i="24"/>
  <c r="H51" i="40"/>
  <c r="H59"/>
  <c r="H49"/>
  <c r="H46"/>
  <c r="H142"/>
  <c r="H43" i="27"/>
  <c r="J43" i="40"/>
  <c r="J42" i="24"/>
  <c r="J41"/>
  <c r="H144" i="40"/>
  <c r="H39"/>
  <c r="J146" i="24"/>
  <c r="H47"/>
  <c r="H47" i="25" s="1"/>
  <c r="J47" s="1"/>
  <c r="J47" i="23"/>
  <c r="H60"/>
  <c r="J60" i="22"/>
  <c r="H150" i="40"/>
  <c r="J15" i="24"/>
  <c r="I16" s="1"/>
  <c r="J12" i="40"/>
  <c r="H12" i="27"/>
  <c r="H10" i="40"/>
  <c r="J13" i="24"/>
  <c r="J143"/>
  <c r="J145"/>
  <c r="J153"/>
  <c r="J151"/>
  <c r="J149"/>
  <c r="J147"/>
  <c r="J7"/>
  <c r="J152" i="25" l="1"/>
  <c r="H152" i="40"/>
  <c r="H29"/>
  <c r="J29" i="25"/>
  <c r="H32"/>
  <c r="J32" i="24"/>
  <c r="J28" i="27"/>
  <c r="H28" i="28"/>
  <c r="J27" i="40"/>
  <c r="H27" i="27"/>
  <c r="J30"/>
  <c r="H30" i="28"/>
  <c r="J139" i="25"/>
  <c r="H24" i="29"/>
  <c r="J24" i="28"/>
  <c r="H23" i="27"/>
  <c r="J23" i="40"/>
  <c r="H22" i="30"/>
  <c r="J22" i="29"/>
  <c r="H94" i="28"/>
  <c r="J94" i="27"/>
  <c r="J18" i="40"/>
  <c r="H18" i="27"/>
  <c r="H56" i="40"/>
  <c r="H136" i="27"/>
  <c r="J136" i="40"/>
  <c r="J130"/>
  <c r="H130" i="27"/>
  <c r="H137"/>
  <c r="J137" i="40"/>
  <c r="J131" i="27"/>
  <c r="H131" i="28"/>
  <c r="J92" i="40"/>
  <c r="H92" i="27"/>
  <c r="H77" i="28"/>
  <c r="J77" i="27"/>
  <c r="J62" i="40"/>
  <c r="H62" i="27"/>
  <c r="H64"/>
  <c r="J64" i="40"/>
  <c r="H68" i="28"/>
  <c r="J68" i="27"/>
  <c r="H57" i="28"/>
  <c r="J57" i="27"/>
  <c r="H50" i="40"/>
  <c r="H37"/>
  <c r="H36"/>
  <c r="J40"/>
  <c r="H40" i="27"/>
  <c r="H44" i="40"/>
  <c r="H45" i="28"/>
  <c r="J45" i="27"/>
  <c r="H38"/>
  <c r="J38" i="40"/>
  <c r="J35"/>
  <c r="H35" i="27"/>
  <c r="J20" i="24"/>
  <c r="H11" i="28"/>
  <c r="J11" i="27"/>
  <c r="H9"/>
  <c r="J9" i="40"/>
  <c r="J19" i="27"/>
  <c r="H19" i="28"/>
  <c r="J140" i="27"/>
  <c r="H140" i="28"/>
  <c r="H139" i="40"/>
  <c r="H138" i="28"/>
  <c r="J138" i="27"/>
  <c r="J135" i="40"/>
  <c r="H135" i="27"/>
  <c r="H134" i="40"/>
  <c r="H133" i="30"/>
  <c r="J133" i="29"/>
  <c r="J132" i="40"/>
  <c r="H132" i="27"/>
  <c r="H125"/>
  <c r="J125" i="40"/>
  <c r="J127"/>
  <c r="H127" i="27"/>
  <c r="H126"/>
  <c r="J126" i="40"/>
  <c r="H124" i="27"/>
  <c r="J124" i="40"/>
  <c r="J123"/>
  <c r="H123" i="27"/>
  <c r="J100" i="40"/>
  <c r="H100" i="27"/>
  <c r="H99"/>
  <c r="J99" i="40"/>
  <c r="J98"/>
  <c r="H98" i="27"/>
  <c r="J97" i="40"/>
  <c r="H97" i="27"/>
  <c r="J96" i="40"/>
  <c r="H96" i="27"/>
  <c r="J101" i="40"/>
  <c r="H101" i="27"/>
  <c r="H95" i="40"/>
  <c r="H93"/>
  <c r="H85"/>
  <c r="H84"/>
  <c r="J83"/>
  <c r="H83" i="27"/>
  <c r="H82"/>
  <c r="J82" i="40"/>
  <c r="J81" i="27"/>
  <c r="H81" i="28"/>
  <c r="J80" i="40"/>
  <c r="H80" i="27"/>
  <c r="H78"/>
  <c r="J78" i="40"/>
  <c r="H79" i="27"/>
  <c r="J79" i="40"/>
  <c r="H76" i="27"/>
  <c r="J76" i="40"/>
  <c r="H75" i="27"/>
  <c r="J75" i="40"/>
  <c r="H74" i="27"/>
  <c r="J74" i="40"/>
  <c r="H72"/>
  <c r="H73"/>
  <c r="H69"/>
  <c r="H67" i="27"/>
  <c r="J67" i="40"/>
  <c r="H66" i="27"/>
  <c r="J66" i="40"/>
  <c r="H65" i="27"/>
  <c r="J65" i="40"/>
  <c r="J63"/>
  <c r="H63" i="27"/>
  <c r="H58"/>
  <c r="J58" i="40"/>
  <c r="H55"/>
  <c r="H54"/>
  <c r="J53"/>
  <c r="H53" i="27"/>
  <c r="J52" i="40"/>
  <c r="H52" i="27"/>
  <c r="H148" i="40"/>
  <c r="J51"/>
  <c r="H51" i="27"/>
  <c r="J59" i="40"/>
  <c r="H59" i="27"/>
  <c r="J49" i="40"/>
  <c r="H49" i="27"/>
  <c r="J46" i="40"/>
  <c r="H46" i="27"/>
  <c r="H142"/>
  <c r="J142" i="40"/>
  <c r="J43" i="27"/>
  <c r="H43" i="28"/>
  <c r="H42" i="40"/>
  <c r="H41"/>
  <c r="J144"/>
  <c r="H144" i="27"/>
  <c r="H39"/>
  <c r="J39" i="40"/>
  <c r="J60" i="23"/>
  <c r="H60" i="24"/>
  <c r="H60" i="25" s="1"/>
  <c r="J60" s="1"/>
  <c r="H146" i="40"/>
  <c r="J47" i="24"/>
  <c r="J150" i="40"/>
  <c r="H150" i="27"/>
  <c r="H15" i="40"/>
  <c r="H12" i="28"/>
  <c r="J12" i="27"/>
  <c r="J10" i="40"/>
  <c r="H10" i="27"/>
  <c r="H13" i="40"/>
  <c r="H7"/>
  <c r="L13" s="1"/>
  <c r="H149"/>
  <c r="H153"/>
  <c r="H145"/>
  <c r="H147"/>
  <c r="H151"/>
  <c r="H143"/>
  <c r="J152" l="1"/>
  <c r="H152" i="27"/>
  <c r="J29" i="40"/>
  <c r="H29" i="27"/>
  <c r="H32" i="40"/>
  <c r="J32" i="25"/>
  <c r="J27" i="27"/>
  <c r="H27" i="28"/>
  <c r="J28"/>
  <c r="H28" i="29"/>
  <c r="J30" i="28"/>
  <c r="H30" i="29"/>
  <c r="H24" i="30"/>
  <c r="J24" i="29"/>
  <c r="H23" i="28"/>
  <c r="J23" i="27"/>
  <c r="J22" i="30"/>
  <c r="H22" i="43"/>
  <c r="H22" i="31" s="1"/>
  <c r="J22" s="1"/>
  <c r="H22" i="42"/>
  <c r="J22" s="1"/>
  <c r="J94" i="28"/>
  <c r="H94" i="29"/>
  <c r="H18" i="28"/>
  <c r="J18" i="27"/>
  <c r="H56"/>
  <c r="J56" i="40"/>
  <c r="J137" i="27"/>
  <c r="H137" i="28"/>
  <c r="J136" i="27"/>
  <c r="H136" i="28"/>
  <c r="H131" i="29"/>
  <c r="J131" i="28"/>
  <c r="H130"/>
  <c r="J130" i="27"/>
  <c r="J92"/>
  <c r="H92" i="28"/>
  <c r="H77" i="29"/>
  <c r="J77" i="28"/>
  <c r="J62" i="27"/>
  <c r="H62" i="28"/>
  <c r="H64"/>
  <c r="J64" i="27"/>
  <c r="H68" i="29"/>
  <c r="J68" i="28"/>
  <c r="J57"/>
  <c r="H57" i="29"/>
  <c r="H50" i="27"/>
  <c r="J50" i="40"/>
  <c r="J37"/>
  <c r="H37" i="27"/>
  <c r="J36" i="40"/>
  <c r="H36" i="27"/>
  <c r="H35" i="28"/>
  <c r="J35" i="27"/>
  <c r="J38"/>
  <c r="H38" i="28"/>
  <c r="H44" i="27"/>
  <c r="J44" i="40"/>
  <c r="J40" i="27"/>
  <c r="H40" i="28"/>
  <c r="J45"/>
  <c r="H45" i="29"/>
  <c r="H20" i="40"/>
  <c r="H9" i="28"/>
  <c r="J9" i="27"/>
  <c r="H11" i="29"/>
  <c r="J11" i="28"/>
  <c r="J19"/>
  <c r="H19" i="29"/>
  <c r="H140"/>
  <c r="J140" i="28"/>
  <c r="H139" i="27"/>
  <c r="J139" i="40"/>
  <c r="J138" i="28"/>
  <c r="H138" i="29"/>
  <c r="H135" i="28"/>
  <c r="J135" i="27"/>
  <c r="H134"/>
  <c r="J134" i="40"/>
  <c r="J133" i="30"/>
  <c r="H119" i="42"/>
  <c r="J119" s="1"/>
  <c r="H133" i="43"/>
  <c r="J132" i="27"/>
  <c r="H132" i="28"/>
  <c r="J125" i="27"/>
  <c r="H125" i="28"/>
  <c r="H127"/>
  <c r="J127" i="27"/>
  <c r="J126"/>
  <c r="H126" i="28"/>
  <c r="H124"/>
  <c r="J124" i="27"/>
  <c r="H123" i="28"/>
  <c r="J123" i="27"/>
  <c r="J100"/>
  <c r="H100" i="28"/>
  <c r="H99"/>
  <c r="J99" i="27"/>
  <c r="J98"/>
  <c r="H98" i="28"/>
  <c r="H97"/>
  <c r="J97" i="27"/>
  <c r="H96" i="28"/>
  <c r="J96" i="27"/>
  <c r="J95" i="40"/>
  <c r="H95" i="27"/>
  <c r="J101"/>
  <c r="H101" i="28"/>
  <c r="J93" i="40"/>
  <c r="H93" i="27"/>
  <c r="J84" i="40"/>
  <c r="H84" i="27"/>
  <c r="J85" i="40"/>
  <c r="H85" i="27"/>
  <c r="H83" i="28"/>
  <c r="J83" i="27"/>
  <c r="J82"/>
  <c r="H82" i="28"/>
  <c r="J81"/>
  <c r="H81" i="29"/>
  <c r="H80" i="28"/>
  <c r="J80" i="27"/>
  <c r="H79" i="28"/>
  <c r="J79" i="27"/>
  <c r="J78"/>
  <c r="H78" i="28"/>
  <c r="H76"/>
  <c r="J76" i="27"/>
  <c r="H75" i="28"/>
  <c r="J75" i="27"/>
  <c r="H74" i="28"/>
  <c r="J74" i="27"/>
  <c r="J72" i="40"/>
  <c r="H72" i="27"/>
  <c r="H73"/>
  <c r="J73" i="40"/>
  <c r="J69"/>
  <c r="H69" i="27"/>
  <c r="H67" i="28"/>
  <c r="J67" i="27"/>
  <c r="H66" i="28"/>
  <c r="J66" i="27"/>
  <c r="H65" i="28"/>
  <c r="J65" i="27"/>
  <c r="H63" i="28"/>
  <c r="J63" i="27"/>
  <c r="J58"/>
  <c r="H58" i="28"/>
  <c r="J55" i="40"/>
  <c r="H55" i="27"/>
  <c r="H54"/>
  <c r="J54" i="40"/>
  <c r="H53" i="28"/>
  <c r="J53" i="27"/>
  <c r="J52"/>
  <c r="H52" i="28"/>
  <c r="H148" i="27"/>
  <c r="J148" i="40"/>
  <c r="J51" i="27"/>
  <c r="H51" i="28"/>
  <c r="H59"/>
  <c r="J59" i="27"/>
  <c r="J49"/>
  <c r="H49" i="28"/>
  <c r="H46"/>
  <c r="J46" i="27"/>
  <c r="H43" i="29"/>
  <c r="J43" i="28"/>
  <c r="J142" i="27"/>
  <c r="H142" i="28"/>
  <c r="J42" i="40"/>
  <c r="H42" i="27"/>
  <c r="H144" i="28"/>
  <c r="J144" i="27"/>
  <c r="H41"/>
  <c r="J41" i="40"/>
  <c r="H47"/>
  <c r="J60" i="24"/>
  <c r="J146" i="40"/>
  <c r="H146" i="27"/>
  <c r="H39" i="28"/>
  <c r="J39" i="27"/>
  <c r="J150"/>
  <c r="H150" i="28"/>
  <c r="H15" i="27"/>
  <c r="J15" i="40"/>
  <c r="I16" s="1"/>
  <c r="H12" i="29"/>
  <c r="J12" i="28"/>
  <c r="J10" i="27"/>
  <c r="H10" i="28"/>
  <c r="J13" i="40"/>
  <c r="H13" i="27"/>
  <c r="H7"/>
  <c r="J7" i="40"/>
  <c r="J151"/>
  <c r="H151" i="27"/>
  <c r="J151" s="1"/>
  <c r="H149"/>
  <c r="J149" i="40"/>
  <c r="J145"/>
  <c r="H145" i="27"/>
  <c r="H143"/>
  <c r="J143" i="40"/>
  <c r="J147"/>
  <c r="H147" i="27"/>
  <c r="H153"/>
  <c r="J153" s="1"/>
  <c r="J153" i="40"/>
  <c r="H133" i="31" l="1"/>
  <c r="J133" s="1"/>
  <c r="H152" i="28"/>
  <c r="J152" i="27"/>
  <c r="H29" i="28"/>
  <c r="J29" i="27"/>
  <c r="J27" i="28"/>
  <c r="H27" i="29"/>
  <c r="J32" i="40"/>
  <c r="H32" i="27"/>
  <c r="J28" i="29"/>
  <c r="H28" i="30"/>
  <c r="J30" i="29"/>
  <c r="H30" i="30"/>
  <c r="H24" i="42"/>
  <c r="J24" s="1"/>
  <c r="H24" i="43"/>
  <c r="H24" i="31" s="1"/>
  <c r="J24" s="1"/>
  <c r="J24" i="30"/>
  <c r="H23" i="29"/>
  <c r="J23" i="28"/>
  <c r="J22" i="43"/>
  <c r="J94" i="29"/>
  <c r="H94" i="30"/>
  <c r="J18" i="28"/>
  <c r="H18" i="29"/>
  <c r="H18" i="30" s="1"/>
  <c r="H18" i="43" s="1"/>
  <c r="H56" i="28"/>
  <c r="J56" i="27"/>
  <c r="H137" i="29"/>
  <c r="J137" i="28"/>
  <c r="H130" i="29"/>
  <c r="J130" i="28"/>
  <c r="H131" i="30"/>
  <c r="J131" i="29"/>
  <c r="J136" i="28"/>
  <c r="H136" i="29"/>
  <c r="H92"/>
  <c r="J92" i="28"/>
  <c r="H77" i="30"/>
  <c r="J77" i="29"/>
  <c r="J62" i="28"/>
  <c r="H62" i="29"/>
  <c r="J64" i="28"/>
  <c r="H64" i="29"/>
  <c r="H68" i="30"/>
  <c r="J68" i="29"/>
  <c r="H50" i="28"/>
  <c r="J50" i="27"/>
  <c r="J57" i="29"/>
  <c r="H57" i="30"/>
  <c r="H37" i="28"/>
  <c r="J37" i="27"/>
  <c r="H36" i="28"/>
  <c r="J36" i="27"/>
  <c r="H35" i="29"/>
  <c r="J35" i="28"/>
  <c r="J40"/>
  <c r="H40" i="29"/>
  <c r="H38"/>
  <c r="J38" i="28"/>
  <c r="H44"/>
  <c r="J44" i="27"/>
  <c r="H45" i="30"/>
  <c r="J45" i="29"/>
  <c r="J20" i="40"/>
  <c r="H20" i="27"/>
  <c r="H11" i="30"/>
  <c r="J11" i="29"/>
  <c r="J9" i="28"/>
  <c r="H9" i="29"/>
  <c r="J19"/>
  <c r="H19" i="30"/>
  <c r="J140" i="29"/>
  <c r="H140" i="30"/>
  <c r="H139" i="28"/>
  <c r="J139" i="27"/>
  <c r="J138" i="29"/>
  <c r="H138" i="30"/>
  <c r="H135" i="29"/>
  <c r="J135" i="28"/>
  <c r="H134"/>
  <c r="J134" i="27"/>
  <c r="J133" i="43"/>
  <c r="H132" i="29"/>
  <c r="J132" i="28"/>
  <c r="H125" i="29"/>
  <c r="J125" i="28"/>
  <c r="H127" i="29"/>
  <c r="J127" i="28"/>
  <c r="J126"/>
  <c r="H126" i="29"/>
  <c r="J124" i="28"/>
  <c r="H124" i="29"/>
  <c r="J123" i="28"/>
  <c r="H123" i="29"/>
  <c r="J100" i="28"/>
  <c r="H100" i="29"/>
  <c r="J99" i="28"/>
  <c r="H99" i="29"/>
  <c r="H98"/>
  <c r="J98" i="28"/>
  <c r="J97"/>
  <c r="H97" i="29"/>
  <c r="J96" i="28"/>
  <c r="H96" i="29"/>
  <c r="H95" i="28"/>
  <c r="J95" i="27"/>
  <c r="J101" i="28"/>
  <c r="H101" i="29"/>
  <c r="H93" i="28"/>
  <c r="J93" i="27"/>
  <c r="J84"/>
  <c r="H84" i="28"/>
  <c r="H85"/>
  <c r="J85" i="27"/>
  <c r="J83" i="28"/>
  <c r="H83" i="29"/>
  <c r="J82" i="28"/>
  <c r="H82" i="29"/>
  <c r="H81" i="30"/>
  <c r="J81" i="29"/>
  <c r="H80"/>
  <c r="J80" i="28"/>
  <c r="J78"/>
  <c r="H78" i="29"/>
  <c r="J79" i="28"/>
  <c r="H79" i="29"/>
  <c r="H76"/>
  <c r="J76" i="28"/>
  <c r="J74"/>
  <c r="H74" i="29"/>
  <c r="J75" i="28"/>
  <c r="H75" i="29"/>
  <c r="H72" i="28"/>
  <c r="J72" i="27"/>
  <c r="J73"/>
  <c r="H73" i="28"/>
  <c r="J69" i="27"/>
  <c r="H69" i="28"/>
  <c r="J67"/>
  <c r="H67" i="29"/>
  <c r="J66" i="28"/>
  <c r="H66" i="29"/>
  <c r="H65"/>
  <c r="J65" i="28"/>
  <c r="J63"/>
  <c r="H63" i="29"/>
  <c r="J58" i="28"/>
  <c r="H58" i="29"/>
  <c r="H55" i="28"/>
  <c r="J55" i="27"/>
  <c r="J54"/>
  <c r="H54" i="28"/>
  <c r="J53"/>
  <c r="H53" i="29"/>
  <c r="J52" i="28"/>
  <c r="H52" i="29"/>
  <c r="J148" i="27"/>
  <c r="H148" i="28"/>
  <c r="J51"/>
  <c r="H51" i="29"/>
  <c r="J49" i="28"/>
  <c r="H49" i="29"/>
  <c r="J59" i="28"/>
  <c r="H59" i="29"/>
  <c r="J46" i="28"/>
  <c r="H46" i="29"/>
  <c r="J142" i="28"/>
  <c r="H142" i="29"/>
  <c r="J43"/>
  <c r="H43" i="30"/>
  <c r="H42" i="28"/>
  <c r="J42" i="27"/>
  <c r="H41" i="28"/>
  <c r="J41" i="27"/>
  <c r="J144" i="28"/>
  <c r="H144" i="29"/>
  <c r="J146" i="27"/>
  <c r="H146" i="28"/>
  <c r="J39"/>
  <c r="H39" i="29"/>
  <c r="H60" i="40"/>
  <c r="J47"/>
  <c r="H47" i="27"/>
  <c r="J150" i="28"/>
  <c r="H150" i="29"/>
  <c r="H15" i="28"/>
  <c r="J15" i="27"/>
  <c r="I16" s="1"/>
  <c r="H12" i="30"/>
  <c r="J12" i="29"/>
  <c r="J10" i="28"/>
  <c r="H10" i="29"/>
  <c r="H13" i="28"/>
  <c r="J13" i="27"/>
  <c r="J145"/>
  <c r="H145" i="28"/>
  <c r="H151"/>
  <c r="J149" i="27"/>
  <c r="H149" i="28"/>
  <c r="H147"/>
  <c r="J147" i="27"/>
  <c r="H153" i="28"/>
  <c r="J143" i="27"/>
  <c r="H143" i="28"/>
  <c r="J7" i="27"/>
  <c r="H7" i="28"/>
  <c r="J152" l="1"/>
  <c r="H152" i="29"/>
  <c r="J29" i="28"/>
  <c r="H29" i="29"/>
  <c r="H32" i="28"/>
  <c r="J32" i="27"/>
  <c r="J28" i="30"/>
  <c r="H28" i="43"/>
  <c r="J27" i="29"/>
  <c r="H27" i="30"/>
  <c r="J30"/>
  <c r="H30" i="43"/>
  <c r="J24"/>
  <c r="J23" i="29"/>
  <c r="H23" i="30"/>
  <c r="J94"/>
  <c r="H88" i="42"/>
  <c r="J88" s="1"/>
  <c r="H94" i="43"/>
  <c r="H94" i="31" s="1"/>
  <c r="J18" i="29"/>
  <c r="J56" i="28"/>
  <c r="H56" i="29"/>
  <c r="J130"/>
  <c r="H130" i="30"/>
  <c r="H117" i="42"/>
  <c r="J117" s="1"/>
  <c r="H131" i="43"/>
  <c r="J131" i="30"/>
  <c r="H137"/>
  <c r="J137" i="29"/>
  <c r="H136" i="30"/>
  <c r="J136" i="29"/>
  <c r="J92"/>
  <c r="H92" i="30"/>
  <c r="H76" i="42"/>
  <c r="J76" s="1"/>
  <c r="J77" i="30"/>
  <c r="H77" i="43"/>
  <c r="H77" i="31" s="1"/>
  <c r="J68" i="30"/>
  <c r="H68" i="43"/>
  <c r="H68" i="31" s="1"/>
  <c r="H67" i="42"/>
  <c r="J67" s="1"/>
  <c r="J62" i="29"/>
  <c r="H62" i="30"/>
  <c r="H64"/>
  <c r="J64" i="29"/>
  <c r="H57" i="43"/>
  <c r="H57" i="31" s="1"/>
  <c r="H56" i="42"/>
  <c r="J56" s="1"/>
  <c r="J57" i="30"/>
  <c r="J50" i="28"/>
  <c r="H50" i="29"/>
  <c r="J36" i="28"/>
  <c r="H36" i="29"/>
  <c r="H37"/>
  <c r="J37" i="28"/>
  <c r="J38" i="29"/>
  <c r="H38" i="30"/>
  <c r="H44" i="29"/>
  <c r="J44" i="28"/>
  <c r="H44" i="42"/>
  <c r="J44" s="1"/>
  <c r="J45" i="30"/>
  <c r="H45" i="43"/>
  <c r="H45" i="31" s="1"/>
  <c r="H35" i="30"/>
  <c r="J35" i="29"/>
  <c r="J40"/>
  <c r="H40" i="30"/>
  <c r="H20" i="28"/>
  <c r="J20" i="27"/>
  <c r="J11" i="30"/>
  <c r="H11" i="43"/>
  <c r="H11" i="42"/>
  <c r="J11" s="1"/>
  <c r="H9" i="30"/>
  <c r="J9" i="29"/>
  <c r="H19" i="42"/>
  <c r="J19" s="1"/>
  <c r="H19" i="43"/>
  <c r="J19" i="30"/>
  <c r="J140"/>
  <c r="H126" i="42"/>
  <c r="J126" s="1"/>
  <c r="H140" i="43"/>
  <c r="J139" i="28"/>
  <c r="H139" i="29"/>
  <c r="H124" i="42"/>
  <c r="J124" s="1"/>
  <c r="H138" i="43"/>
  <c r="J138" i="30"/>
  <c r="J135" i="29"/>
  <c r="H135" i="30"/>
  <c r="J134" i="28"/>
  <c r="H134" i="29"/>
  <c r="J132"/>
  <c r="H132" i="30"/>
  <c r="J125" i="29"/>
  <c r="H125" i="30"/>
  <c r="J127" i="29"/>
  <c r="H127" i="30"/>
  <c r="J126" i="29"/>
  <c r="H126" i="30"/>
  <c r="J124" i="29"/>
  <c r="H124" i="30"/>
  <c r="J123" i="29"/>
  <c r="H123" i="30"/>
  <c r="J100" i="29"/>
  <c r="H100" i="30"/>
  <c r="J99" i="29"/>
  <c r="H99" i="30"/>
  <c r="H98"/>
  <c r="J98" i="29"/>
  <c r="J97"/>
  <c r="H97" i="30"/>
  <c r="J96" i="29"/>
  <c r="H96" i="30"/>
  <c r="J101" i="29"/>
  <c r="H101" i="30"/>
  <c r="H95" i="29"/>
  <c r="J95" i="28"/>
  <c r="H93" i="29"/>
  <c r="J93" i="28"/>
  <c r="J85"/>
  <c r="H85" i="29"/>
  <c r="J84" i="28"/>
  <c r="H84" i="29"/>
  <c r="J83"/>
  <c r="H83" i="30"/>
  <c r="J82" i="29"/>
  <c r="H82" i="30"/>
  <c r="H80" i="42"/>
  <c r="J80" s="1"/>
  <c r="J81" i="30"/>
  <c r="H81" i="43"/>
  <c r="H81" i="31" s="1"/>
  <c r="J80" i="29"/>
  <c r="H80" i="30"/>
  <c r="J78" i="29"/>
  <c r="H78" i="30"/>
  <c r="J79" i="29"/>
  <c r="H79" i="30"/>
  <c r="J76" i="29"/>
  <c r="H76" i="30"/>
  <c r="J74" i="29"/>
  <c r="H74" i="30"/>
  <c r="J75" i="29"/>
  <c r="H75" i="30"/>
  <c r="H72" i="29"/>
  <c r="J72" i="28"/>
  <c r="J73"/>
  <c r="H73" i="29"/>
  <c r="J69" i="28"/>
  <c r="H69" i="29"/>
  <c r="J67"/>
  <c r="H67" i="30"/>
  <c r="J66" i="29"/>
  <c r="H66" i="30"/>
  <c r="J65" i="29"/>
  <c r="H65" i="30"/>
  <c r="H63"/>
  <c r="J63" i="29"/>
  <c r="J58"/>
  <c r="H58" i="30"/>
  <c r="H55" i="29"/>
  <c r="J55" i="28"/>
  <c r="H54" i="29"/>
  <c r="J54" i="28"/>
  <c r="J53" i="29"/>
  <c r="H53" i="30"/>
  <c r="J148" i="28"/>
  <c r="H148" i="29"/>
  <c r="J52"/>
  <c r="H52" i="30"/>
  <c r="J51" i="29"/>
  <c r="H51" i="30"/>
  <c r="H49"/>
  <c r="J49" i="29"/>
  <c r="J59"/>
  <c r="H59" i="30"/>
  <c r="J46" i="29"/>
  <c r="H46" i="30"/>
  <c r="H43" i="43"/>
  <c r="H43" i="31" s="1"/>
  <c r="H42" i="42"/>
  <c r="J42" s="1"/>
  <c r="J43" i="30"/>
  <c r="H142"/>
  <c r="J142" i="29"/>
  <c r="J42" i="28"/>
  <c r="H42" i="29"/>
  <c r="J144"/>
  <c r="H144" i="30"/>
  <c r="J41" i="28"/>
  <c r="H41" i="29"/>
  <c r="H47" i="28"/>
  <c r="H47" i="29" s="1"/>
  <c r="J47" i="27"/>
  <c r="J39" i="29"/>
  <c r="H39" i="30"/>
  <c r="J60" i="40"/>
  <c r="H60" i="27"/>
  <c r="J146" i="28"/>
  <c r="H146" i="29"/>
  <c r="J150"/>
  <c r="H150" i="30"/>
  <c r="J15" i="28"/>
  <c r="I16" s="1"/>
  <c r="H15" i="29"/>
  <c r="H12" i="43"/>
  <c r="J12" i="30"/>
  <c r="H12" i="42"/>
  <c r="J12" s="1"/>
  <c r="J10" i="29"/>
  <c r="H10" i="30"/>
  <c r="J13" i="28"/>
  <c r="H13" i="29"/>
  <c r="J7" i="28"/>
  <c r="H7" i="29"/>
  <c r="J149" i="28"/>
  <c r="H149" i="29"/>
  <c r="J145" i="28"/>
  <c r="H145" i="29"/>
  <c r="J151" i="28"/>
  <c r="H151" i="29"/>
  <c r="J151" s="1"/>
  <c r="J143" i="28"/>
  <c r="H143" i="29"/>
  <c r="J153" i="28"/>
  <c r="H153" i="29"/>
  <c r="J153" s="1"/>
  <c r="J147" i="28"/>
  <c r="H147" i="29"/>
  <c r="H12" i="31" l="1"/>
  <c r="J12" s="1"/>
  <c r="H131"/>
  <c r="J131" s="1"/>
  <c r="H11"/>
  <c r="J11" s="1"/>
  <c r="H138"/>
  <c r="J138" s="1"/>
  <c r="H140"/>
  <c r="J140" s="1"/>
  <c r="H19"/>
  <c r="J19" s="1"/>
  <c r="H30"/>
  <c r="J30" s="1"/>
  <c r="H28"/>
  <c r="J28" s="1"/>
  <c r="J68"/>
  <c r="N68"/>
  <c r="J43"/>
  <c r="N43"/>
  <c r="J45"/>
  <c r="N45"/>
  <c r="J94"/>
  <c r="N94"/>
  <c r="J152" i="29"/>
  <c r="H152" i="30"/>
  <c r="J81" i="31"/>
  <c r="N81"/>
  <c r="J77"/>
  <c r="N77"/>
  <c r="BH33" i="1"/>
  <c r="BH35" s="1"/>
  <c r="BP35" s="1"/>
  <c r="BQ35" s="1"/>
  <c r="J29" i="29"/>
  <c r="H29" i="30"/>
  <c r="J28" i="43"/>
  <c r="H32" i="29"/>
  <c r="J32" i="28"/>
  <c r="H27" i="43"/>
  <c r="H27" i="31" s="1"/>
  <c r="J27" i="30"/>
  <c r="J30" i="43"/>
  <c r="H29" i="42"/>
  <c r="J29" s="1"/>
  <c r="H23"/>
  <c r="J23" s="1"/>
  <c r="H23" i="43"/>
  <c r="H23" i="31" s="1"/>
  <c r="J23" s="1"/>
  <c r="J23" i="30"/>
  <c r="J94" i="43"/>
  <c r="J18" i="30"/>
  <c r="H18" i="42"/>
  <c r="J18" s="1"/>
  <c r="J56" i="29"/>
  <c r="H56" i="30"/>
  <c r="H137" i="43"/>
  <c r="H123" i="42"/>
  <c r="J123" s="1"/>
  <c r="J137" i="30"/>
  <c r="H130" i="43"/>
  <c r="H116" i="42"/>
  <c r="J116" s="1"/>
  <c r="J130" i="30"/>
  <c r="H136" i="43"/>
  <c r="J136" i="30"/>
  <c r="H122" i="42"/>
  <c r="J122" s="1"/>
  <c r="J131" i="43"/>
  <c r="H86" i="42"/>
  <c r="J86" s="1"/>
  <c r="H92" i="43"/>
  <c r="H92" i="31" s="1"/>
  <c r="J92" i="30"/>
  <c r="J77" i="43"/>
  <c r="H63" i="42"/>
  <c r="J63" s="1"/>
  <c r="H64" i="43"/>
  <c r="H64" i="31" s="1"/>
  <c r="J64" i="30"/>
  <c r="H62" i="43"/>
  <c r="H62" i="31" s="1"/>
  <c r="J62" i="30"/>
  <c r="H61" i="42"/>
  <c r="J61" s="1"/>
  <c r="J68" i="43"/>
  <c r="H50" i="30"/>
  <c r="J50" i="29"/>
  <c r="J57" i="43"/>
  <c r="J36" i="29"/>
  <c r="H36" i="30"/>
  <c r="J37" i="29"/>
  <c r="H37" i="30"/>
  <c r="H38" i="43"/>
  <c r="H37" i="42"/>
  <c r="J37" s="1"/>
  <c r="J38" i="30"/>
  <c r="H39" i="42"/>
  <c r="J39" s="1"/>
  <c r="J40" i="30"/>
  <c r="H40" i="43"/>
  <c r="J45"/>
  <c r="H44" i="30"/>
  <c r="J44" i="29"/>
  <c r="J35" i="30"/>
  <c r="H34" i="42"/>
  <c r="J34" s="1"/>
  <c r="H35" i="43"/>
  <c r="H20" i="29"/>
  <c r="J20" i="28"/>
  <c r="J11" i="43"/>
  <c r="H9"/>
  <c r="J9" i="30"/>
  <c r="H9" i="42"/>
  <c r="J9" s="1"/>
  <c r="J19" i="43"/>
  <c r="J140"/>
  <c r="J139" i="29"/>
  <c r="H139" i="30"/>
  <c r="J138" i="43"/>
  <c r="H121" i="42"/>
  <c r="J121" s="1"/>
  <c r="J135" i="30"/>
  <c r="H135" i="43"/>
  <c r="H134" i="30"/>
  <c r="J134" i="29"/>
  <c r="H132" i="43"/>
  <c r="H118" i="42"/>
  <c r="J118" s="1"/>
  <c r="J132" i="30"/>
  <c r="J125"/>
  <c r="H125" i="43"/>
  <c r="H125" i="31" s="1"/>
  <c r="H99" i="42"/>
  <c r="J99" s="1"/>
  <c r="H127" i="43"/>
  <c r="H127" i="31" s="1"/>
  <c r="J127" i="30"/>
  <c r="H101" i="42"/>
  <c r="J101" s="1"/>
  <c r="H100"/>
  <c r="J100" s="1"/>
  <c r="H126" i="43"/>
  <c r="H126" i="31" s="1"/>
  <c r="J126" i="30"/>
  <c r="J124"/>
  <c r="H124" i="43"/>
  <c r="H124" i="31" s="1"/>
  <c r="H98" i="42"/>
  <c r="J98" s="1"/>
  <c r="J123" i="30"/>
  <c r="H97" i="42"/>
  <c r="J97" s="1"/>
  <c r="H123" i="43"/>
  <c r="H123" i="31" s="1"/>
  <c r="H94" i="42"/>
  <c r="J94" s="1"/>
  <c r="H100" i="43"/>
  <c r="H100" i="31" s="1"/>
  <c r="J100" i="30"/>
  <c r="J99"/>
  <c r="H93" i="42"/>
  <c r="J93" s="1"/>
  <c r="H99" i="43"/>
  <c r="H99" i="31" s="1"/>
  <c r="H98" i="43"/>
  <c r="H98" i="31" s="1"/>
  <c r="H92" i="42"/>
  <c r="J92" s="1"/>
  <c r="J98" i="30"/>
  <c r="H97" i="43"/>
  <c r="H97" i="31" s="1"/>
  <c r="J97" i="30"/>
  <c r="H91" i="42"/>
  <c r="J91" s="1"/>
  <c r="H90"/>
  <c r="J90" s="1"/>
  <c r="H96" i="43"/>
  <c r="H96" i="31" s="1"/>
  <c r="J96" i="30"/>
  <c r="H95" i="42"/>
  <c r="J95" s="1"/>
  <c r="J101" i="30"/>
  <c r="H101" i="43"/>
  <c r="H101" i="31" s="1"/>
  <c r="J95" i="29"/>
  <c r="H95" i="30"/>
  <c r="J93" i="29"/>
  <c r="H93" i="30"/>
  <c r="J85" i="29"/>
  <c r="H85" i="30"/>
  <c r="H84"/>
  <c r="J84" i="29"/>
  <c r="J83" i="30"/>
  <c r="H83" i="43"/>
  <c r="H83" i="31" s="1"/>
  <c r="H82" i="42"/>
  <c r="J82" s="1"/>
  <c r="J82" i="30"/>
  <c r="H81" i="42"/>
  <c r="J81" s="1"/>
  <c r="H82" i="43"/>
  <c r="H82" i="31" s="1"/>
  <c r="J81" i="43"/>
  <c r="J80" i="30"/>
  <c r="H80" i="43"/>
  <c r="H80" i="31" s="1"/>
  <c r="H79" i="42"/>
  <c r="J79" s="1"/>
  <c r="J78" i="30"/>
  <c r="H77" i="42"/>
  <c r="J77" s="1"/>
  <c r="H78" i="43"/>
  <c r="H78" i="31" s="1"/>
  <c r="J79" i="30"/>
  <c r="H79" i="43"/>
  <c r="H79" i="31" s="1"/>
  <c r="H78" i="42"/>
  <c r="J78" s="1"/>
  <c r="H75"/>
  <c r="J75" s="1"/>
  <c r="H76" i="43"/>
  <c r="H76" i="31" s="1"/>
  <c r="J76" i="30"/>
  <c r="J74"/>
  <c r="H73" i="42"/>
  <c r="J73" s="1"/>
  <c r="H74" i="43"/>
  <c r="H74" i="31" s="1"/>
  <c r="H74" i="42"/>
  <c r="J74" s="1"/>
  <c r="J75" i="30"/>
  <c r="H75" i="43"/>
  <c r="H75" i="31" s="1"/>
  <c r="J73" i="29"/>
  <c r="H73" i="30"/>
  <c r="J72" i="29"/>
  <c r="H72" i="30"/>
  <c r="J69" i="29"/>
  <c r="H69" i="30"/>
  <c r="H67" i="43"/>
  <c r="H67" i="31" s="1"/>
  <c r="H66" i="42"/>
  <c r="J66" s="1"/>
  <c r="J67" i="30"/>
  <c r="J66"/>
  <c r="H66" i="43"/>
  <c r="H66" i="31" s="1"/>
  <c r="H65" i="42"/>
  <c r="J65" s="1"/>
  <c r="H64"/>
  <c r="J64" s="1"/>
  <c r="J65" i="30"/>
  <c r="H65" i="43"/>
  <c r="H65" i="31" s="1"/>
  <c r="H62" i="42"/>
  <c r="J62" s="1"/>
  <c r="H63" i="43"/>
  <c r="H63" i="31" s="1"/>
  <c r="J63" i="30"/>
  <c r="H57" i="42"/>
  <c r="J57" s="1"/>
  <c r="J58" i="30"/>
  <c r="H58" i="43"/>
  <c r="J55" i="29"/>
  <c r="H55" i="30"/>
  <c r="J54" i="29"/>
  <c r="H54" i="30"/>
  <c r="H52" i="42"/>
  <c r="J52" s="1"/>
  <c r="H53" i="43"/>
  <c r="H53" i="31" s="1"/>
  <c r="J53" i="30"/>
  <c r="H148"/>
  <c r="J148" i="29"/>
  <c r="H52" i="43"/>
  <c r="H52" i="31" s="1"/>
  <c r="J52" i="30"/>
  <c r="H51" i="42"/>
  <c r="J51" s="1"/>
  <c r="H51" i="43"/>
  <c r="H51" i="31" s="1"/>
  <c r="J51" i="30"/>
  <c r="H50" i="42"/>
  <c r="J50" s="1"/>
  <c r="H49" i="43"/>
  <c r="H49" i="31" s="1"/>
  <c r="H48" i="42"/>
  <c r="J48" s="1"/>
  <c r="J49" i="30"/>
  <c r="H58" i="42"/>
  <c r="J58" s="1"/>
  <c r="J59" i="30"/>
  <c r="H59" i="43"/>
  <c r="H59" i="31" s="1"/>
  <c r="H45" i="42"/>
  <c r="J45" s="1"/>
  <c r="H46" i="43"/>
  <c r="H46" i="31" s="1"/>
  <c r="J46" i="30"/>
  <c r="H142" i="43"/>
  <c r="J142" i="30"/>
  <c r="H103" i="42"/>
  <c r="J103" s="1"/>
  <c r="J43" i="43"/>
  <c r="H42" i="30"/>
  <c r="J42" i="29"/>
  <c r="J144" i="30"/>
  <c r="H144" i="43"/>
  <c r="H105" i="42"/>
  <c r="J105" s="1"/>
  <c r="J41" i="29"/>
  <c r="H41" i="30"/>
  <c r="H60" i="28"/>
  <c r="J60" i="27"/>
  <c r="J146" i="29"/>
  <c r="H146" i="30"/>
  <c r="J39"/>
  <c r="H38" i="42"/>
  <c r="J38" s="1"/>
  <c r="H39" i="43"/>
  <c r="J47" i="28"/>
  <c r="H111" i="42"/>
  <c r="J111" s="1"/>
  <c r="H150" i="43"/>
  <c r="J150" i="30"/>
  <c r="J15" i="29"/>
  <c r="I16" s="1"/>
  <c r="H15" i="30"/>
  <c r="J12" i="43"/>
  <c r="H10"/>
  <c r="H10" i="42"/>
  <c r="J10" s="1"/>
  <c r="J10" i="30"/>
  <c r="J13" i="29"/>
  <c r="H13" i="30"/>
  <c r="J147" i="29"/>
  <c r="H147" i="30"/>
  <c r="H151"/>
  <c r="J151" s="1"/>
  <c r="J145" i="29"/>
  <c r="H145" i="30"/>
  <c r="J7" i="29"/>
  <c r="H7" i="30"/>
  <c r="H153"/>
  <c r="J153" s="1"/>
  <c r="J143" i="29"/>
  <c r="H143" i="30"/>
  <c r="J149" i="29"/>
  <c r="H149" i="30"/>
  <c r="H9" i="31" l="1"/>
  <c r="J9" s="1"/>
  <c r="H35"/>
  <c r="J35" s="1"/>
  <c r="H130"/>
  <c r="J130" s="1"/>
  <c r="H150"/>
  <c r="J150" s="1"/>
  <c r="H10"/>
  <c r="J10" s="1"/>
  <c r="H132"/>
  <c r="J132" s="1"/>
  <c r="H38"/>
  <c r="J38" s="1"/>
  <c r="H137"/>
  <c r="J137" s="1"/>
  <c r="H18"/>
  <c r="J18" s="1"/>
  <c r="H39"/>
  <c r="J39" s="1"/>
  <c r="H144"/>
  <c r="J144" s="1"/>
  <c r="H58"/>
  <c r="N58" s="1"/>
  <c r="H135"/>
  <c r="J135" s="1"/>
  <c r="H40"/>
  <c r="J40" s="1"/>
  <c r="H142"/>
  <c r="J142" s="1"/>
  <c r="H136"/>
  <c r="J136" s="1"/>
  <c r="J59"/>
  <c r="N59"/>
  <c r="J51"/>
  <c r="N51"/>
  <c r="J79"/>
  <c r="N79"/>
  <c r="J127"/>
  <c r="N127"/>
  <c r="J52"/>
  <c r="N52"/>
  <c r="J53"/>
  <c r="N53"/>
  <c r="J65"/>
  <c r="N65"/>
  <c r="J66"/>
  <c r="N66"/>
  <c r="J67"/>
  <c r="N67"/>
  <c r="J101"/>
  <c r="N101"/>
  <c r="J96"/>
  <c r="N96"/>
  <c r="J97"/>
  <c r="N97"/>
  <c r="J99"/>
  <c r="N99"/>
  <c r="J100"/>
  <c r="N100"/>
  <c r="J64"/>
  <c r="N64"/>
  <c r="J92"/>
  <c r="N92"/>
  <c r="J152" i="30"/>
  <c r="H152" i="43"/>
  <c r="H152" i="31" s="1"/>
  <c r="H113" i="42"/>
  <c r="J113" s="1"/>
  <c r="J75" i="31"/>
  <c r="N75"/>
  <c r="J78"/>
  <c r="N78"/>
  <c r="J80"/>
  <c r="N80"/>
  <c r="J98"/>
  <c r="N98"/>
  <c r="J125"/>
  <c r="N125"/>
  <c r="J57"/>
  <c r="N57"/>
  <c r="J126"/>
  <c r="N126"/>
  <c r="J46"/>
  <c r="N46"/>
  <c r="J49"/>
  <c r="N49"/>
  <c r="J63"/>
  <c r="N63"/>
  <c r="J74"/>
  <c r="N74"/>
  <c r="J76"/>
  <c r="N76"/>
  <c r="J82"/>
  <c r="N82"/>
  <c r="J83"/>
  <c r="N83"/>
  <c r="J123"/>
  <c r="N123"/>
  <c r="J124"/>
  <c r="N124"/>
  <c r="J62"/>
  <c r="N62"/>
  <c r="BP33" i="1"/>
  <c r="BQ33" s="1"/>
  <c r="J27" i="31"/>
  <c r="J29" i="30"/>
  <c r="H29" i="43"/>
  <c r="H29" i="31" s="1"/>
  <c r="H32" i="30"/>
  <c r="J32" i="29"/>
  <c r="J27" i="43"/>
  <c r="J23"/>
  <c r="J18"/>
  <c r="J56" i="30"/>
  <c r="H55" i="42"/>
  <c r="J55" s="1"/>
  <c r="H56" i="43"/>
  <c r="H56" i="31" s="1"/>
  <c r="J136" i="43"/>
  <c r="J137"/>
  <c r="J130"/>
  <c r="J92"/>
  <c r="J64"/>
  <c r="J62"/>
  <c r="H50"/>
  <c r="H50" i="31" s="1"/>
  <c r="H49" i="42"/>
  <c r="J49" s="1"/>
  <c r="J50" i="30"/>
  <c r="H35" i="42"/>
  <c r="J35" s="1"/>
  <c r="H36" i="43"/>
  <c r="J36" i="30"/>
  <c r="H37" i="43"/>
  <c r="J37" i="30"/>
  <c r="H36" i="42"/>
  <c r="J36" s="1"/>
  <c r="J35" i="43"/>
  <c r="J40"/>
  <c r="H43" i="42"/>
  <c r="J43" s="1"/>
  <c r="H44" i="43"/>
  <c r="H44" i="31" s="1"/>
  <c r="J44" i="30"/>
  <c r="J38" i="43"/>
  <c r="H20" i="30"/>
  <c r="H20" i="43" s="1"/>
  <c r="H20" i="31" s="1"/>
  <c r="J20" i="29"/>
  <c r="J9" i="43"/>
  <c r="H125" i="42"/>
  <c r="J125" s="1"/>
  <c r="H139" i="43"/>
  <c r="J139" i="30"/>
  <c r="J135" i="43"/>
  <c r="J134" i="30"/>
  <c r="H120" i="42"/>
  <c r="J120" s="1"/>
  <c r="H134" i="43"/>
  <c r="H134" i="31" s="1"/>
  <c r="J132" i="43"/>
  <c r="J125"/>
  <c r="J127"/>
  <c r="J126"/>
  <c r="J124"/>
  <c r="J123"/>
  <c r="J100"/>
  <c r="J99"/>
  <c r="J98"/>
  <c r="J97"/>
  <c r="J96"/>
  <c r="H89" i="42"/>
  <c r="J89" s="1"/>
  <c r="J95" i="30"/>
  <c r="H95" i="43"/>
  <c r="H95" i="31" s="1"/>
  <c r="J101" i="43"/>
  <c r="H93"/>
  <c r="H93" i="31" s="1"/>
  <c r="J93" i="30"/>
  <c r="H87" i="42"/>
  <c r="J87" s="1"/>
  <c r="H84" i="43"/>
  <c r="H84" i="31" s="1"/>
  <c r="H83" i="42"/>
  <c r="J83" s="1"/>
  <c r="J84" i="30"/>
  <c r="J85"/>
  <c r="H84" i="42"/>
  <c r="J84" s="1"/>
  <c r="H85" i="43"/>
  <c r="H85" i="31" s="1"/>
  <c r="J83" i="43"/>
  <c r="J82"/>
  <c r="J80"/>
  <c r="J78"/>
  <c r="J79"/>
  <c r="J76"/>
  <c r="J75"/>
  <c r="J74"/>
  <c r="H72" i="42"/>
  <c r="J72" s="1"/>
  <c r="J73" i="30"/>
  <c r="H73" i="43"/>
  <c r="H73" i="31" s="1"/>
  <c r="J72" i="30"/>
  <c r="H71" i="42"/>
  <c r="J71" s="1"/>
  <c r="H72" i="43"/>
  <c r="H72" i="31" s="1"/>
  <c r="H69" i="43"/>
  <c r="H69" i="31" s="1"/>
  <c r="H68" i="42"/>
  <c r="J68" s="1"/>
  <c r="J69" i="30"/>
  <c r="J67" i="43"/>
  <c r="J66"/>
  <c r="J65"/>
  <c r="J63"/>
  <c r="J58"/>
  <c r="H54" i="42"/>
  <c r="J54" s="1"/>
  <c r="H55" i="43"/>
  <c r="H55" i="31" s="1"/>
  <c r="J55" i="30"/>
  <c r="H53" i="42"/>
  <c r="J53" s="1"/>
  <c r="J54" i="30"/>
  <c r="H54" i="43"/>
  <c r="H54" i="31" s="1"/>
  <c r="J53" i="43"/>
  <c r="H109" i="42"/>
  <c r="J109" s="1"/>
  <c r="H148" i="43"/>
  <c r="J148" i="30"/>
  <c r="J52" i="43"/>
  <c r="J51"/>
  <c r="J49"/>
  <c r="J59"/>
  <c r="J46"/>
  <c r="J142"/>
  <c r="J42" i="30"/>
  <c r="H42" i="43"/>
  <c r="H42" i="31" s="1"/>
  <c r="H41" i="42"/>
  <c r="J41" s="1"/>
  <c r="J144" i="43"/>
  <c r="J41" i="30"/>
  <c r="H40" i="42"/>
  <c r="J40" s="1"/>
  <c r="H41" i="43"/>
  <c r="H41" i="31" s="1"/>
  <c r="J39" i="43"/>
  <c r="J47" i="29"/>
  <c r="H47" i="30"/>
  <c r="H146" i="43"/>
  <c r="H107" i="42"/>
  <c r="J107" s="1"/>
  <c r="J146" i="30"/>
  <c r="H60" i="29"/>
  <c r="J60" i="28"/>
  <c r="J150" i="43"/>
  <c r="H28" i="42"/>
  <c r="J28" s="1"/>
  <c r="J15" i="30"/>
  <c r="I16" s="1"/>
  <c r="H15" i="42"/>
  <c r="J15" s="1"/>
  <c r="I16" s="1"/>
  <c r="H15" i="43"/>
  <c r="H15" i="31" s="1"/>
  <c r="J15" s="1"/>
  <c r="I16" s="1"/>
  <c r="J10" i="43"/>
  <c r="J13" i="30"/>
  <c r="H13" i="42"/>
  <c r="J13" s="1"/>
  <c r="H13" i="43"/>
  <c r="J143" i="30"/>
  <c r="H104" i="42"/>
  <c r="J104" s="1"/>
  <c r="H106"/>
  <c r="J106" s="1"/>
  <c r="J145" i="30"/>
  <c r="H108" i="42"/>
  <c r="J108" s="1"/>
  <c r="J147" i="30"/>
  <c r="H110" i="42"/>
  <c r="J110" s="1"/>
  <c r="J149" i="30"/>
  <c r="H114" i="42"/>
  <c r="J114" s="1"/>
  <c r="H7"/>
  <c r="J7" s="1"/>
  <c r="I9" s="1"/>
  <c r="J7" i="30"/>
  <c r="H112" i="42"/>
  <c r="J112" s="1"/>
  <c r="J58" i="31" l="1"/>
  <c r="H146"/>
  <c r="J146" s="1"/>
  <c r="H13"/>
  <c r="J13" s="1"/>
  <c r="H148"/>
  <c r="J148" s="1"/>
  <c r="H139"/>
  <c r="J139" s="1"/>
  <c r="H36"/>
  <c r="J36" s="1"/>
  <c r="H37"/>
  <c r="J37" s="1"/>
  <c r="J95"/>
  <c r="N95"/>
  <c r="J69"/>
  <c r="N69"/>
  <c r="J73"/>
  <c r="N73"/>
  <c r="J84"/>
  <c r="N84"/>
  <c r="J152"/>
  <c r="J152" i="43"/>
  <c r="J72" i="31"/>
  <c r="N72"/>
  <c r="J42"/>
  <c r="N42"/>
  <c r="J54"/>
  <c r="N54"/>
  <c r="J55"/>
  <c r="N55"/>
  <c r="J85"/>
  <c r="N85"/>
  <c r="J93"/>
  <c r="N93"/>
  <c r="J44"/>
  <c r="N44"/>
  <c r="J50"/>
  <c r="N50"/>
  <c r="J41"/>
  <c r="N41"/>
  <c r="J56"/>
  <c r="N56"/>
  <c r="I9" i="30"/>
  <c r="J134" i="43"/>
  <c r="J134" i="31"/>
  <c r="J29"/>
  <c r="J29" i="43"/>
  <c r="H32"/>
  <c r="H32" i="31" s="1"/>
  <c r="J32" i="30"/>
  <c r="J56" i="43"/>
  <c r="J50"/>
  <c r="J36"/>
  <c r="J37"/>
  <c r="J44"/>
  <c r="J20" i="30"/>
  <c r="H20" i="42"/>
  <c r="J20" s="1"/>
  <c r="J20" i="31"/>
  <c r="H30" i="42"/>
  <c r="J30" s="1"/>
  <c r="J139" i="43"/>
  <c r="J95"/>
  <c r="J93"/>
  <c r="J84"/>
  <c r="J85"/>
  <c r="J72"/>
  <c r="J73"/>
  <c r="J69"/>
  <c r="J55"/>
  <c r="J54"/>
  <c r="J148"/>
  <c r="J42"/>
  <c r="J41"/>
  <c r="H60" i="30"/>
  <c r="J60" i="29"/>
  <c r="J146" i="43"/>
  <c r="J47" i="30"/>
  <c r="H46" i="42"/>
  <c r="J46" s="1"/>
  <c r="H47" i="43"/>
  <c r="H47" i="31" s="1"/>
  <c r="J15" i="43"/>
  <c r="I16" s="1"/>
  <c r="J13"/>
  <c r="H31" i="42"/>
  <c r="J31" s="1"/>
  <c r="H27"/>
  <c r="J27" s="1"/>
  <c r="J47" i="31" l="1"/>
  <c r="N47"/>
  <c r="J32" i="43"/>
  <c r="J32" i="31"/>
  <c r="J20" i="43"/>
  <c r="J60" i="30"/>
  <c r="H60" i="43"/>
  <c r="H60" i="31" s="1"/>
  <c r="H59" i="42"/>
  <c r="J59" s="1"/>
  <c r="J47" i="43"/>
  <c r="J60" i="31" l="1"/>
  <c r="N60"/>
  <c r="J60" i="43"/>
  <c r="H8" i="4"/>
  <c r="J8" l="1"/>
  <c r="I9" s="1"/>
  <c r="H8" i="5"/>
  <c r="H8" i="33" l="1"/>
  <c r="J8" i="5"/>
  <c r="I9" s="1"/>
  <c r="J8" i="33" l="1"/>
  <c r="I9" s="1"/>
  <c r="H8" i="7"/>
  <c r="J8" l="1"/>
  <c r="I9" s="1"/>
  <c r="H8" i="8"/>
  <c r="J8" l="1"/>
  <c r="I9" s="1"/>
  <c r="H8" i="9"/>
  <c r="H8" i="10" s="1"/>
  <c r="J8" s="1"/>
  <c r="J8" i="9" l="1"/>
  <c r="H8" i="11" l="1"/>
  <c r="J8" l="1"/>
  <c r="H8" i="12"/>
  <c r="J8" l="1"/>
  <c r="H8" i="13"/>
  <c r="H8" i="14" l="1"/>
  <c r="J8" i="13"/>
  <c r="J8" i="14" l="1"/>
  <c r="H8" i="15"/>
  <c r="H8" i="16" l="1"/>
  <c r="J8" i="15"/>
  <c r="H8" i="17" l="1"/>
  <c r="J8" i="16"/>
  <c r="J8" i="17" l="1"/>
  <c r="H8" i="18"/>
  <c r="H8" i="19" l="1"/>
  <c r="J8" i="18"/>
  <c r="H8" i="20" l="1"/>
  <c r="J8" i="19"/>
  <c r="H8" i="21" l="1"/>
  <c r="J8" i="20"/>
  <c r="I9" s="1"/>
  <c r="J8" i="21" l="1"/>
  <c r="I9" s="1"/>
  <c r="H8" i="22"/>
  <c r="J8" l="1"/>
  <c r="I9" s="1"/>
  <c r="H8" i="23"/>
  <c r="H8" i="24" l="1"/>
  <c r="J8" i="23"/>
  <c r="I9" s="1"/>
  <c r="H8" i="25" l="1"/>
  <c r="J8" i="24"/>
  <c r="I9" s="1"/>
  <c r="J8" i="25" l="1"/>
  <c r="I9" s="1"/>
  <c r="H8" i="40"/>
  <c r="H8" i="27" l="1"/>
  <c r="J8" i="40"/>
  <c r="I9" s="1"/>
  <c r="J8" i="27" l="1"/>
  <c r="I9" s="1"/>
  <c r="H8" i="28"/>
  <c r="J8" l="1"/>
  <c r="I9" s="1"/>
  <c r="H8" i="29"/>
  <c r="H8" i="30" l="1"/>
  <c r="J8" i="29"/>
  <c r="I9" s="1"/>
  <c r="H8" i="43" l="1"/>
  <c r="J8" i="30"/>
  <c r="H8" i="31" l="1"/>
  <c r="J8" s="1"/>
  <c r="J8" i="43"/>
  <c r="I18" i="42" l="1"/>
  <c r="I20" s="1"/>
  <c r="I18" i="9"/>
  <c r="I20" s="1"/>
  <c r="I18" i="25"/>
  <c r="I20" s="1"/>
  <c r="I18" i="15"/>
  <c r="I20" s="1"/>
  <c r="I18" i="18"/>
  <c r="I20" s="1"/>
  <c r="I18" i="43"/>
  <c r="I20" s="1"/>
  <c r="I18" i="17"/>
  <c r="I20" s="1"/>
  <c r="I18" i="3"/>
  <c r="I20" s="1"/>
  <c r="I18" i="14"/>
  <c r="I20" s="1"/>
  <c r="I18" i="31"/>
  <c r="I20" s="1"/>
  <c r="I18" i="21"/>
  <c r="I20" s="1"/>
  <c r="I18" i="20"/>
  <c r="I20" s="1"/>
  <c r="I18" i="4"/>
  <c r="I20" s="1"/>
  <c r="I18" i="19"/>
  <c r="I20" s="1"/>
  <c r="I18" i="27"/>
  <c r="I20" s="1"/>
  <c r="I18" i="5"/>
  <c r="I20" s="1"/>
  <c r="I18" i="16"/>
  <c r="I20" s="1"/>
  <c r="I18" i="30"/>
  <c r="I20" s="1"/>
  <c r="I18" i="23"/>
  <c r="I20" s="1"/>
  <c r="I18" i="40"/>
  <c r="I20" s="1"/>
  <c r="I18" i="13"/>
  <c r="I20" s="1"/>
  <c r="I20" i="24"/>
  <c r="I18" i="7"/>
  <c r="I20" s="1"/>
  <c r="I18" i="22"/>
  <c r="I20" s="1"/>
  <c r="I18" i="33"/>
  <c r="I20" s="1"/>
  <c r="I18" i="29"/>
  <c r="I20" s="1"/>
  <c r="I18" i="28"/>
  <c r="I20" s="1"/>
  <c r="I18" i="8"/>
  <c r="I20" s="1"/>
  <c r="G7" i="43"/>
  <c r="H7" s="1"/>
  <c r="G149" l="1"/>
  <c r="H149" s="1"/>
  <c r="H149" i="31" s="1"/>
  <c r="J149" s="1"/>
  <c r="G147" i="43"/>
  <c r="H147" s="1"/>
  <c r="H147" i="31" s="1"/>
  <c r="J147" s="1"/>
  <c r="G151" i="43"/>
  <c r="H151" s="1"/>
  <c r="H151" i="31" s="1"/>
  <c r="I33" i="1"/>
  <c r="I59" i="43"/>
  <c r="G145"/>
  <c r="H145" s="1"/>
  <c r="H145" i="31" s="1"/>
  <c r="H7"/>
  <c r="G143" i="43"/>
  <c r="H143" s="1"/>
  <c r="H143" i="31" s="1"/>
  <c r="I13" i="43"/>
  <c r="G153"/>
  <c r="H153" s="1"/>
  <c r="H153" i="31" s="1"/>
  <c r="E31" i="47" l="1"/>
  <c r="M31" s="1"/>
  <c r="I35" i="1"/>
  <c r="I37" s="1"/>
  <c r="J149" i="43"/>
  <c r="J147"/>
  <c r="J153"/>
  <c r="J153" i="31"/>
  <c r="J7" i="43"/>
  <c r="I9" s="1"/>
  <c r="J7" i="31"/>
  <c r="I9" s="1"/>
  <c r="J151"/>
  <c r="J151" i="43"/>
  <c r="J143" i="31"/>
  <c r="J143" i="43"/>
  <c r="L33" i="1"/>
  <c r="L35" s="1"/>
  <c r="BN33"/>
  <c r="BN35" s="1"/>
  <c r="BM33"/>
  <c r="BM35" s="1"/>
  <c r="BL33"/>
  <c r="BL35" s="1"/>
  <c r="J145" i="31"/>
  <c r="J145" i="43"/>
</calcChain>
</file>

<file path=xl/sharedStrings.xml><?xml version="1.0" encoding="utf-8"?>
<sst xmlns="http://schemas.openxmlformats.org/spreadsheetml/2006/main" count="10211" uniqueCount="347">
  <si>
    <t>Date</t>
  </si>
  <si>
    <t>Min.Tem          (Degee)</t>
  </si>
  <si>
    <t>Avg.Temp     (Degree)</t>
  </si>
  <si>
    <t>Hum %</t>
  </si>
  <si>
    <t>Occu.</t>
  </si>
  <si>
    <t>KWAH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</si>
  <si>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</si>
  <si>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</si>
  <si>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</si>
  <si>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</si>
  <si>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</si>
  <si>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</si>
  <si>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</si>
  <si>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</si>
  <si>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</si>
  <si>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</si>
  <si>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</si>
  <si>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</si>
  <si>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</si>
  <si>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</si>
  <si>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</si>
  <si>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</si>
  <si>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</si>
  <si>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</si>
  <si>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</si>
  <si>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</si>
  <si>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Units (Kwh)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</si>
  <si>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</si>
  <si>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</si>
  <si>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</si>
  <si>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</si>
  <si>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</si>
  <si>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</si>
  <si>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</si>
  <si>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</si>
  <si>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</si>
  <si>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</si>
  <si>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</si>
  <si>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</si>
  <si>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</si>
  <si>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</si>
  <si>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</si>
  <si>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</si>
  <si>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</si>
  <si>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</si>
  <si>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</si>
  <si>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</si>
  <si>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</si>
  <si>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</si>
  <si>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</si>
  <si>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</si>
  <si>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</si>
  <si>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</si>
  <si>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</si>
  <si>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</si>
  <si>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</si>
  <si>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</si>
  <si>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</si>
  <si>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</si>
  <si>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</si>
  <si>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</si>
  <si>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</si>
  <si>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</si>
  <si>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</si>
  <si>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</si>
  <si>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</si>
  <si>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</si>
  <si>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</si>
  <si>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</si>
  <si>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</si>
  <si>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</si>
  <si>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</si>
  <si>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</si>
  <si>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</si>
  <si>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</si>
  <si>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</si>
  <si>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</si>
  <si>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</si>
  <si>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</si>
  <si>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</si>
  <si>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</si>
  <si>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</si>
  <si>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</si>
  <si>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</si>
  <si>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</si>
  <si>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</si>
  <si>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</si>
  <si>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</si>
  <si>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</si>
  <si>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</si>
  <si>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</si>
  <si>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</si>
  <si>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 xml:space="preserve">Prato </t>
  </si>
  <si>
    <t xml:space="preserve">San- Qi Indian </t>
  </si>
  <si>
    <t xml:space="preserve">San- Qi Japanese </t>
  </si>
  <si>
    <t xml:space="preserve">The club </t>
  </si>
  <si>
    <t xml:space="preserve">AER </t>
  </si>
  <si>
    <t>COLD ROOM'S</t>
  </si>
  <si>
    <t xml:space="preserve">Ball Room 1 </t>
  </si>
  <si>
    <t xml:space="preserve">Ball Room 2 </t>
  </si>
  <si>
    <t xml:space="preserve">B1 Laundry </t>
  </si>
  <si>
    <t xml:space="preserve">STP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</si>
  <si>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</si>
  <si>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</si>
  <si>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</si>
  <si>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</si>
  <si>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</si>
  <si>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</si>
  <si>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</si>
  <si>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</si>
  <si>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</si>
  <si>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</si>
  <si>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</si>
  <si>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CT</t>
  </si>
  <si>
    <t xml:space="preserve">MGL </t>
  </si>
  <si>
    <t>HWG</t>
  </si>
  <si>
    <t>Prato</t>
  </si>
  <si>
    <t>BR-1</t>
  </si>
  <si>
    <t>SanQi IND</t>
  </si>
  <si>
    <t>SanQi JPN</t>
  </si>
  <si>
    <t xml:space="preserve">Boiler 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</si>
  <si>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</si>
  <si>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</si>
  <si>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</si>
  <si>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</si>
  <si>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</si>
  <si>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</si>
  <si>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</si>
  <si>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</si>
  <si>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</si>
  <si>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</si>
  <si>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</si>
  <si>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</si>
  <si>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</si>
  <si>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</si>
  <si>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</si>
  <si>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</si>
  <si>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</si>
  <si>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</si>
  <si>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</si>
  <si>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</si>
  <si>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</si>
  <si>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</si>
  <si>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</si>
  <si>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</si>
  <si>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</si>
  <si>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</si>
  <si>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</si>
  <si>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</si>
  <si>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</si>
  <si>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</si>
  <si>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</si>
  <si>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</si>
  <si>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</si>
  <si>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</si>
  <si>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</si>
  <si>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</si>
  <si>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</si>
  <si>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</si>
  <si>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</si>
  <si>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</si>
  <si>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</si>
  <si>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</si>
  <si>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</si>
  <si>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</si>
  <si>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</si>
  <si>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</si>
  <si>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</si>
  <si>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</si>
  <si>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</si>
  <si>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</si>
  <si>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</si>
  <si>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</si>
  <si>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BRANCH READINGS &amp; CONSUMPTION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</si>
  <si>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</si>
  <si>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</si>
  <si>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</si>
  <si>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</si>
  <si>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</si>
  <si>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</si>
  <si>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</si>
  <si>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</si>
  <si>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</si>
  <si>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</si>
  <si>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</si>
  <si>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</si>
  <si>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</si>
  <si>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</si>
  <si>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</si>
  <si>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</si>
  <si>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</si>
  <si>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</si>
  <si>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</si>
  <si>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</si>
  <si>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</si>
  <si>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</si>
  <si>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</si>
  <si>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 xml:space="preserve"> Floor lighting &amp; Power consumption</t>
  </si>
  <si>
    <t>KWh</t>
  </si>
  <si>
    <t xml:space="preserve">5th floor spa </t>
  </si>
  <si>
    <t xml:space="preserve">Consumption of Extra AHU run </t>
  </si>
  <si>
    <t xml:space="preserve"> Kitchen consumption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</si>
  <si>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</si>
  <si>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</si>
  <si>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</si>
  <si>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</si>
  <si>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</si>
  <si>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</si>
  <si>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</si>
  <si>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</si>
  <si>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</si>
  <si>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</si>
  <si>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</si>
  <si>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</si>
  <si>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Power</t>
  </si>
  <si>
    <t>Pinoor Legal- Lighting</t>
  </si>
  <si>
    <t>WATER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</si>
  <si>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</si>
  <si>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</si>
  <si>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</si>
  <si>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</si>
  <si>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</si>
  <si>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</si>
  <si>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</si>
  <si>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</si>
  <si>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</si>
  <si>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</si>
  <si>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</si>
  <si>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 xml:space="preserve">Water Branches </t>
  </si>
  <si>
    <t>Branches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</si>
  <si>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</si>
  <si>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</si>
  <si>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</si>
  <si>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</si>
  <si>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</si>
  <si>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</si>
  <si>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</si>
  <si>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</si>
  <si>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</si>
  <si>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</si>
  <si>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</si>
  <si>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 xml:space="preserve">GAS Branch 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</si>
  <si>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</si>
  <si>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</si>
  <si>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</si>
  <si>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</si>
  <si>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</si>
  <si>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</si>
  <si>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</si>
  <si>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</si>
  <si>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</si>
  <si>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</si>
  <si>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</si>
  <si>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</si>
  <si>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</si>
  <si>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</si>
  <si>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</si>
  <si>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</si>
  <si>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</si>
  <si>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</si>
  <si>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</si>
  <si>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</si>
  <si>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</si>
  <si>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</si>
  <si>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</si>
  <si>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</si>
  <si>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</si>
  <si>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</si>
  <si>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</si>
  <si>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</si>
  <si>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</si>
  <si>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</si>
  <si>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</si>
  <si>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</si>
  <si>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</si>
  <si>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</si>
  <si>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</si>
  <si>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</si>
  <si>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Main Lighting &amp; Small power pannel  Sub meter</t>
  </si>
  <si>
    <t>Prepaired by--- Prakash</t>
  </si>
  <si>
    <t>.</t>
  </si>
  <si>
    <t>`</t>
  </si>
  <si>
    <t>10th</t>
  </si>
  <si>
    <t xml:space="preserve"> Daily Utility Consumption Report</t>
  </si>
  <si>
    <t>Prepaired by- Nilesh</t>
  </si>
  <si>
    <t>.++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</si>
  <si>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 xml:space="preserve">         </t>
  </si>
  <si>
    <t>Prepaired by--Ramesh</t>
  </si>
  <si>
    <t xml:space="preserve">  </t>
  </si>
  <si>
    <t>Lighting</t>
  </si>
  <si>
    <t>Prepaired by- Ramesh</t>
  </si>
  <si>
    <t>\</t>
  </si>
  <si>
    <t>25th floor - 10075.91</t>
  </si>
  <si>
    <t>1643044-1655344</t>
  </si>
  <si>
    <t>GLR</t>
  </si>
  <si>
    <t>HWG3</t>
  </si>
  <si>
    <t>Date :-</t>
  </si>
  <si>
    <t>Prepaired by- Robert</t>
  </si>
  <si>
    <t>Last year same month(LYSM)</t>
  </si>
  <si>
    <t>Ambient Temp</t>
  </si>
  <si>
    <t>HUMIDITY%</t>
  </si>
  <si>
    <t>HTP  MD-1699</t>
  </si>
  <si>
    <t>H.T P.F--0.999</t>
  </si>
  <si>
    <t>ETP electrical</t>
  </si>
  <si>
    <t xml:space="preserve">Prepaired by- Devendra </t>
  </si>
  <si>
    <t>Cost/Unit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</si>
  <si>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</si>
  <si>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</si>
  <si>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</si>
  <si>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</si>
  <si>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</si>
  <si>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</si>
  <si>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</si>
  <si>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</si>
  <si>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</si>
  <si>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</si>
  <si>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</si>
  <si>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</si>
  <si>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</si>
  <si>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</si>
  <si>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Prepaired by--- Nilesh</t>
  </si>
  <si>
    <t>Room Nights</t>
  </si>
  <si>
    <t>Comp Night</t>
  </si>
  <si>
    <t>Hotel Occupancy Occ%</t>
  </si>
  <si>
    <t xml:space="preserve">Total Covers Guests </t>
  </si>
  <si>
    <t>Cummulative %</t>
  </si>
  <si>
    <t>Prepaired by-- Nilesh</t>
  </si>
  <si>
    <t xml:space="preserve">Percentage  of ele, unit per area </t>
  </si>
  <si>
    <t>Prepaired by--Prakash</t>
  </si>
  <si>
    <t>Prepaired by --Prakash</t>
  </si>
  <si>
    <t>Prepaired by- Prakash</t>
  </si>
  <si>
    <t>Prepaired by----Prakash</t>
  </si>
  <si>
    <t>Prepaired by---Nilesh</t>
  </si>
  <si>
    <t>Prepaired by--  Nilesh</t>
  </si>
  <si>
    <t>Prepaired by----Nilesh</t>
  </si>
  <si>
    <t xml:space="preserve">Prepaired by--- Devendra </t>
  </si>
  <si>
    <t xml:space="preserve">Prepaired by-- Devendra </t>
  </si>
  <si>
    <t xml:space="preserve">Prepaired by --- Devendra </t>
  </si>
  <si>
    <t xml:space="preserve">Prepaired by-- Devendra  </t>
  </si>
  <si>
    <t xml:space="preserve">Prepaired by---Nilesh </t>
  </si>
  <si>
    <t xml:space="preserve">Prepaired by--- Nilesh </t>
  </si>
  <si>
    <t xml:space="preserve">Prepaired by - Nilesh </t>
  </si>
  <si>
    <t>Prepaired by ---Nilesh</t>
  </si>
  <si>
    <t>Total Room Nights</t>
  </si>
  <si>
    <t>Boiler3 (400Kg)</t>
  </si>
  <si>
    <t>Prepaired by Prakash</t>
  </si>
  <si>
    <t xml:space="preserve">Prepaired by------- Devendra </t>
  </si>
</sst>
</file>

<file path=xl/styles.xml><?xml version="1.0" encoding="utf-8"?>
<styleSheet xmlns="http://schemas.openxmlformats.org/spreadsheetml/2006/main">
  <numFmts count="13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.0"/>
    <numFmt numFmtId="167" formatCode="0.0%"/>
    <numFmt numFmtId="168" formatCode="[$-809]d\ mmmm\ yyyy;@"/>
    <numFmt numFmtId="169" formatCode="0.0E+00"/>
    <numFmt numFmtId="170" formatCode="#,##0;[Red]#,##0"/>
    <numFmt numFmtId="171" formatCode="_(* #,##0_);_(* \(#,##0\);_(* &quot;-&quot;??_);_(@_)"/>
    <numFmt numFmtId="172" formatCode="[$-809]dd\ mmmm\ yyyy;@"/>
    <numFmt numFmtId="173" formatCode="0.000"/>
    <numFmt numFmtId="174" formatCode="0.0000"/>
    <numFmt numFmtId="175" formatCode="0;[Red]0"/>
    <numFmt numFmtId="176" formatCode="0.00000"/>
  </numFmts>
  <fonts count="127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b/>
      <i/>
      <sz val="16"/>
      <name val="Arial"/>
      <family val="2"/>
    </font>
    <font>
      <b/>
      <i/>
      <sz val="16"/>
      <name val="Arial Black"/>
      <family val="2"/>
    </font>
    <font>
      <sz val="11"/>
      <color indexed="8"/>
      <name val="Calibri"/>
      <family val="2"/>
    </font>
    <font>
      <b/>
      <i/>
      <sz val="16"/>
      <color rgb="FF00B050"/>
      <name val="Arial"/>
      <family val="2"/>
    </font>
    <font>
      <b/>
      <i/>
      <sz val="16"/>
      <color indexed="10"/>
      <name val="Arial"/>
      <family val="2"/>
    </font>
    <font>
      <b/>
      <sz val="16"/>
      <color rgb="FFFF0000"/>
      <name val="Arial"/>
      <family val="2"/>
    </font>
    <font>
      <b/>
      <i/>
      <sz val="16"/>
      <color rgb="FFFF0000"/>
      <name val="Arial"/>
      <family val="2"/>
    </font>
    <font>
      <b/>
      <sz val="16"/>
      <color theme="1"/>
      <name val="Cambria"/>
      <family val="2"/>
      <scheme val="major"/>
    </font>
    <font>
      <b/>
      <i/>
      <sz val="16"/>
      <color theme="0"/>
      <name val="Arial"/>
      <family val="2"/>
    </font>
    <font>
      <b/>
      <sz val="16"/>
      <name val="Arial Black"/>
      <family val="2"/>
    </font>
    <font>
      <b/>
      <i/>
      <sz val="16"/>
      <color theme="1"/>
      <name val="Arial"/>
      <family val="2"/>
    </font>
    <font>
      <b/>
      <sz val="16"/>
      <color rgb="FF00B050"/>
      <name val="Arial"/>
      <family val="2"/>
    </font>
    <font>
      <b/>
      <i/>
      <sz val="16"/>
      <color indexed="8"/>
      <name val="Arial"/>
      <family val="2"/>
    </font>
    <font>
      <b/>
      <sz val="16"/>
      <color theme="1"/>
      <name val="Calibri"/>
      <family val="2"/>
      <scheme val="minor"/>
    </font>
    <font>
      <b/>
      <i/>
      <sz val="16"/>
      <color rgb="FFFF0000"/>
      <name val="Arial Black"/>
      <family val="2"/>
    </font>
    <font>
      <b/>
      <i/>
      <sz val="16"/>
      <color rgb="FFFFFF00"/>
      <name val="Arial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indexed="8"/>
      <name val="Arial"/>
      <family val="2"/>
    </font>
    <font>
      <b/>
      <i/>
      <sz val="18"/>
      <color rgb="FFFF0000"/>
      <name val="Arial Black"/>
      <family val="2"/>
    </font>
    <font>
      <b/>
      <sz val="18"/>
      <color theme="1"/>
      <name val="Cambria"/>
      <family val="2"/>
      <scheme val="major"/>
    </font>
    <font>
      <b/>
      <i/>
      <sz val="18"/>
      <name val="Arial Black"/>
      <family val="2"/>
    </font>
    <font>
      <b/>
      <i/>
      <sz val="18"/>
      <color theme="0"/>
      <name val="Arial"/>
      <family val="2"/>
    </font>
    <font>
      <b/>
      <sz val="18"/>
      <name val="Arial Black"/>
      <family val="2"/>
    </font>
    <font>
      <b/>
      <i/>
      <sz val="18"/>
      <color rgb="FFFFFF00"/>
      <name val="Arial"/>
      <family val="2"/>
    </font>
    <font>
      <b/>
      <i/>
      <sz val="18"/>
      <color theme="1"/>
      <name val="Arial"/>
      <family val="2"/>
    </font>
    <font>
      <b/>
      <i/>
      <sz val="18"/>
      <color rgb="FFFF0000"/>
      <name val="Arial"/>
      <family val="2"/>
    </font>
    <font>
      <b/>
      <i/>
      <sz val="18"/>
      <color rgb="FF00B050"/>
      <name val="Arial"/>
      <family val="2"/>
    </font>
    <font>
      <b/>
      <sz val="18"/>
      <color rgb="FF00B050"/>
      <name val="Arial"/>
      <family val="2"/>
    </font>
    <font>
      <b/>
      <sz val="18"/>
      <color rgb="FFFF0000"/>
      <name val="Arial"/>
      <family val="2"/>
    </font>
    <font>
      <b/>
      <i/>
      <sz val="18"/>
      <color indexed="10"/>
      <name val="Arial"/>
      <family val="2"/>
    </font>
    <font>
      <b/>
      <i/>
      <sz val="18"/>
      <color indexed="8"/>
      <name val="Arial"/>
      <family val="2"/>
    </font>
    <font>
      <b/>
      <sz val="18"/>
      <color theme="1"/>
      <name val="Calibri"/>
      <family val="2"/>
      <scheme val="minor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i/>
      <sz val="20"/>
      <color theme="0"/>
      <name val="Arial"/>
      <family val="2"/>
    </font>
    <font>
      <b/>
      <sz val="20"/>
      <color theme="1"/>
      <name val="Calibri"/>
      <family val="2"/>
      <scheme val="minor"/>
    </font>
    <font>
      <i/>
      <sz val="18"/>
      <name val="Arial"/>
      <family val="2"/>
    </font>
    <font>
      <b/>
      <sz val="20"/>
      <name val="Arial Black"/>
      <family val="2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0"/>
      <color rgb="FFFFFF00"/>
      <name val="Arial Unicode MS"/>
      <family val="2"/>
    </font>
    <font>
      <b/>
      <sz val="18"/>
      <color rgb="FFFFFF00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16"/>
      <name val="Arial Unicode MS"/>
      <family val="2"/>
    </font>
    <font>
      <b/>
      <sz val="16"/>
      <color rgb="FFFFFF00"/>
      <name val="Arial Unicode MS"/>
      <family val="2"/>
    </font>
    <font>
      <sz val="20"/>
      <color theme="1"/>
      <name val="Cambria"/>
      <family val="1"/>
      <scheme val="major"/>
    </font>
    <font>
      <sz val="18"/>
      <color theme="1"/>
      <name val="Cambria"/>
      <family val="1"/>
      <scheme val="major"/>
    </font>
    <font>
      <sz val="20"/>
      <color rgb="FFFF0000"/>
      <name val="Cambria"/>
      <family val="1"/>
      <scheme val="major"/>
    </font>
    <font>
      <sz val="11"/>
      <color rgb="FFFF0000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al Unicode MS"/>
      <family val="2"/>
    </font>
    <font>
      <sz val="10"/>
      <color rgb="FFFF0000"/>
      <name val="Arial"/>
      <family val="2"/>
    </font>
    <font>
      <b/>
      <sz val="14"/>
      <color rgb="FFFF0000"/>
      <name val="Arial Black"/>
      <family val="2"/>
    </font>
    <font>
      <b/>
      <sz val="14"/>
      <color theme="1"/>
      <name val="Cambria"/>
      <family val="2"/>
      <scheme val="major"/>
    </font>
    <font>
      <b/>
      <sz val="14"/>
      <name val="Arial Unicode MS"/>
      <family val="2"/>
    </font>
    <font>
      <b/>
      <i/>
      <sz val="14"/>
      <color theme="0"/>
      <name val="Arial"/>
      <family val="2"/>
    </font>
    <font>
      <b/>
      <i/>
      <sz val="14"/>
      <name val="Arial"/>
      <family val="2"/>
    </font>
    <font>
      <b/>
      <sz val="14"/>
      <color rgb="FFFFFF00"/>
      <name val="Arial Unicode MS"/>
      <family val="2"/>
    </font>
    <font>
      <b/>
      <sz val="14"/>
      <name val="Arial"/>
      <family val="2"/>
    </font>
    <font>
      <b/>
      <sz val="14"/>
      <color theme="1"/>
      <name val="Arial Unicode MS"/>
      <family val="2"/>
    </font>
    <font>
      <b/>
      <sz val="14"/>
      <color indexed="8"/>
      <name val="Arial Unicode MS"/>
      <family val="2"/>
    </font>
    <font>
      <b/>
      <sz val="14"/>
      <color rgb="FF00B050"/>
      <name val="Arial Unicode MS"/>
      <family val="2"/>
    </font>
    <font>
      <b/>
      <sz val="14"/>
      <color rgb="FFFF0000"/>
      <name val="Arial Unicode MS"/>
      <family val="2"/>
    </font>
    <font>
      <b/>
      <sz val="14"/>
      <color theme="1"/>
      <name val="Arial"/>
      <family val="2"/>
    </font>
    <font>
      <b/>
      <sz val="14"/>
      <color indexed="10"/>
      <name val="Arial Unicode MS"/>
      <family val="2"/>
    </font>
    <font>
      <b/>
      <sz val="14"/>
      <name val="Arial Black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Arial Black"/>
      <family val="2"/>
    </font>
    <font>
      <b/>
      <sz val="12"/>
      <name val="Arial"/>
      <family val="2"/>
    </font>
    <font>
      <sz val="12"/>
      <name val="Cambria"/>
      <family val="2"/>
      <scheme val="major"/>
    </font>
    <font>
      <b/>
      <sz val="10"/>
      <name val="Arial"/>
      <family val="2"/>
    </font>
    <font>
      <b/>
      <sz val="14"/>
      <color theme="1"/>
      <name val="Calibri"/>
      <family val="2"/>
    </font>
    <font>
      <b/>
      <sz val="22"/>
      <color theme="1"/>
      <name val="Arial Unicode MS"/>
      <family val="2"/>
    </font>
    <font>
      <sz val="10"/>
      <color rgb="FF000000"/>
      <name val="Arial"/>
      <family val="2"/>
    </font>
    <font>
      <sz val="12"/>
      <color rgb="FFFF0000"/>
      <name val="Cambria"/>
      <family val="2"/>
      <scheme val="major"/>
    </font>
    <font>
      <sz val="11"/>
      <name val="Cambria"/>
      <family val="2"/>
      <scheme val="major"/>
    </font>
    <font>
      <b/>
      <sz val="16"/>
      <color rgb="FF000000"/>
      <name val="Arial Unicode MS"/>
      <family val="2"/>
    </font>
    <font>
      <u/>
      <sz val="14"/>
      <color theme="10"/>
      <name val="Cambria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0"/>
      <name val="Arial Unicode MS"/>
      <family val="2"/>
    </font>
    <font>
      <b/>
      <sz val="20"/>
      <color theme="0"/>
      <name val="Arial Unicode MS"/>
      <family val="2"/>
    </font>
    <font>
      <b/>
      <sz val="16"/>
      <color theme="0"/>
      <name val="Arial Unicode MS"/>
      <family val="2"/>
    </font>
    <font>
      <b/>
      <sz val="20"/>
      <color theme="0"/>
      <name val="Cambria"/>
      <family val="2"/>
      <scheme val="major"/>
    </font>
    <font>
      <b/>
      <sz val="16"/>
      <color theme="5"/>
      <name val="Arial Unicode MS"/>
      <family val="2"/>
    </font>
    <font>
      <sz val="10"/>
      <color theme="1"/>
      <name val="Cambria"/>
      <family val="2"/>
      <scheme val="major"/>
    </font>
  </fonts>
  <fills count="2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18">
    <xf numFmtId="0" fontId="0" fillId="0" borderId="0"/>
    <xf numFmtId="0" fontId="2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15" fillId="0" borderId="0"/>
    <xf numFmtId="0" fontId="2" fillId="0" borderId="0"/>
    <xf numFmtId="165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15" fillId="0" borderId="0"/>
    <xf numFmtId="165" fontId="15" fillId="0" borderId="0" applyFont="0" applyFill="0" applyBorder="0" applyAlignment="0" applyProtection="0"/>
    <xf numFmtId="165" fontId="19" fillId="0" borderId="0" applyFont="0" applyFill="0" applyBorder="0" applyAlignment="0" applyProtection="0"/>
    <xf numFmtId="0" fontId="2" fillId="0" borderId="0"/>
    <xf numFmtId="0" fontId="15" fillId="0" borderId="0"/>
    <xf numFmtId="0" fontId="15" fillId="0" borderId="0"/>
    <xf numFmtId="0" fontId="2" fillId="0" borderId="0"/>
    <xf numFmtId="0" fontId="89" fillId="0" borderId="0" applyNumberFormat="0" applyFill="0" applyBorder="0" applyAlignment="0" applyProtection="0"/>
    <xf numFmtId="0" fontId="1" fillId="0" borderId="0"/>
  </cellStyleXfs>
  <cellXfs count="1637">
    <xf numFmtId="0" fontId="0" fillId="0" borderId="0" xfId="0"/>
    <xf numFmtId="0" fontId="4" fillId="0" borderId="1" xfId="1" applyFont="1" applyFill="1" applyBorder="1" applyAlignment="1">
      <alignment horizontal="center" vertical="center" wrapText="1"/>
    </xf>
    <xf numFmtId="1" fontId="5" fillId="0" borderId="1" xfId="1" applyNumberFormat="1" applyFont="1" applyBorder="1" applyAlignment="1">
      <alignment vertical="center" wrapText="1"/>
    </xf>
    <xf numFmtId="0" fontId="5" fillId="0" borderId="1" xfId="1" applyNumberFormat="1" applyFont="1" applyBorder="1" applyAlignment="1">
      <alignment horizontal="center" vertical="center" wrapText="1"/>
    </xf>
    <xf numFmtId="1" fontId="5" fillId="3" borderId="1" xfId="1" applyNumberFormat="1" applyFont="1" applyFill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4" fillId="0" borderId="1" xfId="1" applyFont="1" applyFill="1" applyBorder="1" applyAlignment="1">
      <alignment vertical="center" wrapText="1"/>
    </xf>
    <xf numFmtId="0" fontId="6" fillId="0" borderId="1" xfId="1" applyFont="1" applyBorder="1" applyAlignment="1">
      <alignment horizontal="center" vertical="center" wrapText="1"/>
    </xf>
    <xf numFmtId="1" fontId="6" fillId="0" borderId="1" xfId="1" applyNumberFormat="1" applyFont="1" applyBorder="1" applyAlignment="1">
      <alignment vertical="center" wrapText="1"/>
    </xf>
    <xf numFmtId="0" fontId="6" fillId="0" borderId="1" xfId="1" applyNumberFormat="1" applyFont="1" applyBorder="1" applyAlignment="1">
      <alignment horizontal="center" vertical="center" wrapText="1"/>
    </xf>
    <xf numFmtId="1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8" fillId="0" borderId="1" xfId="1" applyFont="1" applyFill="1" applyBorder="1" applyAlignment="1">
      <alignment vertical="top" wrapText="1"/>
    </xf>
    <xf numFmtId="0" fontId="8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9" fillId="0" borderId="1" xfId="1" applyFont="1" applyFill="1" applyBorder="1" applyAlignment="1">
      <alignment vertical="center" wrapText="1"/>
    </xf>
    <xf numFmtId="0" fontId="10" fillId="2" borderId="1" xfId="1" applyFont="1" applyFill="1" applyBorder="1" applyAlignment="1">
      <alignment horizontal="center" vertical="center" wrapText="1"/>
    </xf>
    <xf numFmtId="0" fontId="11" fillId="2" borderId="1" xfId="1" applyFont="1" applyFill="1" applyBorder="1" applyAlignment="1">
      <alignment horizontal="center" vertical="center" wrapText="1"/>
    </xf>
    <xf numFmtId="1" fontId="11" fillId="2" borderId="1" xfId="1" applyNumberFormat="1" applyFont="1" applyFill="1" applyBorder="1" applyAlignment="1">
      <alignment vertical="center" wrapText="1"/>
    </xf>
    <xf numFmtId="0" fontId="11" fillId="7" borderId="1" xfId="1" applyFont="1" applyFill="1" applyBorder="1" applyAlignment="1">
      <alignment vertical="top" wrapText="1"/>
    </xf>
    <xf numFmtId="1" fontId="11" fillId="7" borderId="1" xfId="1" applyNumberFormat="1" applyFont="1" applyFill="1" applyBorder="1" applyAlignment="1">
      <alignment vertical="top" wrapText="1"/>
    </xf>
    <xf numFmtId="2" fontId="11" fillId="0" borderId="1" xfId="1" applyNumberFormat="1" applyFont="1" applyFill="1" applyBorder="1" applyAlignment="1">
      <alignment vertical="top" wrapText="1"/>
    </xf>
    <xf numFmtId="2" fontId="11" fillId="0" borderId="1" xfId="1" applyNumberFormat="1" applyFont="1" applyBorder="1" applyAlignment="1"/>
    <xf numFmtId="10" fontId="11" fillId="0" borderId="1" xfId="1" applyNumberFormat="1" applyFont="1" applyBorder="1" applyAlignment="1"/>
    <xf numFmtId="2" fontId="11" fillId="7" borderId="1" xfId="1" applyNumberFormat="1" applyFont="1" applyFill="1" applyBorder="1" applyAlignment="1"/>
    <xf numFmtId="1" fontId="12" fillId="0" borderId="1" xfId="1" applyNumberFormat="1" applyFont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horizontal="center" vertical="center" wrapText="1"/>
    </xf>
    <xf numFmtId="1" fontId="11" fillId="0" borderId="1" xfId="1" applyNumberFormat="1" applyFont="1" applyFill="1" applyBorder="1" applyAlignment="1">
      <alignment horizontal="center" vertical="center" wrapText="1"/>
    </xf>
    <xf numFmtId="1" fontId="11" fillId="2" borderId="1" xfId="1" applyNumberFormat="1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1" fontId="11" fillId="0" borderId="1" xfId="1" applyNumberFormat="1" applyFont="1" applyBorder="1" applyAlignment="1">
      <alignment vertical="center" wrapText="1"/>
    </xf>
    <xf numFmtId="0" fontId="11" fillId="0" borderId="1" xfId="1" applyNumberFormat="1" applyFont="1" applyBorder="1" applyAlignment="1">
      <alignment horizontal="center" vertical="center" wrapText="1"/>
    </xf>
    <xf numFmtId="1" fontId="11" fillId="0" borderId="1" xfId="1" applyNumberFormat="1" applyFont="1" applyBorder="1" applyAlignment="1"/>
    <xf numFmtId="1" fontId="2" fillId="0" borderId="0" xfId="1" applyNumberFormat="1" applyFont="1"/>
    <xf numFmtId="0" fontId="14" fillId="0" borderId="0" xfId="2" applyFont="1" applyAlignment="1" applyProtection="1"/>
    <xf numFmtId="0" fontId="0" fillId="0" borderId="0" xfId="0" applyFill="1"/>
    <xf numFmtId="0" fontId="16" fillId="0" borderId="0" xfId="0" applyFont="1"/>
    <xf numFmtId="0" fontId="17" fillId="9" borderId="1" xfId="3" applyFont="1" applyFill="1" applyBorder="1" applyAlignment="1">
      <alignment horizontal="center"/>
    </xf>
    <xf numFmtId="1" fontId="16" fillId="9" borderId="1" xfId="3" applyNumberFormat="1" applyFont="1" applyFill="1" applyBorder="1" applyAlignment="1">
      <alignment horizontal="center" vertical="center"/>
    </xf>
    <xf numFmtId="1" fontId="17" fillId="9" borderId="1" xfId="3" applyNumberFormat="1" applyFont="1" applyFill="1" applyBorder="1" applyAlignment="1">
      <alignment horizontal="center"/>
    </xf>
    <xf numFmtId="166" fontId="17" fillId="9" borderId="2" xfId="3" applyNumberFormat="1" applyFont="1" applyFill="1" applyBorder="1" applyAlignment="1">
      <alignment horizontal="center"/>
    </xf>
    <xf numFmtId="0" fontId="17" fillId="2" borderId="6" xfId="3" applyFont="1" applyFill="1" applyBorder="1" applyAlignment="1">
      <alignment horizontal="center" vertical="center"/>
    </xf>
    <xf numFmtId="0" fontId="16" fillId="0" borderId="0" xfId="0" applyFont="1" applyBorder="1"/>
    <xf numFmtId="0" fontId="17" fillId="9" borderId="1" xfId="3" applyFont="1" applyFill="1" applyBorder="1"/>
    <xf numFmtId="9" fontId="16" fillId="9" borderId="1" xfId="3" applyNumberFormat="1" applyFont="1" applyFill="1" applyBorder="1" applyAlignment="1">
      <alignment horizontal="left"/>
    </xf>
    <xf numFmtId="2" fontId="17" fillId="9" borderId="1" xfId="3" applyNumberFormat="1" applyFont="1" applyFill="1" applyBorder="1" applyAlignment="1">
      <alignment horizontal="center"/>
    </xf>
    <xf numFmtId="9" fontId="16" fillId="9" borderId="1" xfId="3" applyNumberFormat="1" applyFont="1" applyFill="1" applyBorder="1" applyAlignment="1">
      <alignment horizontal="center"/>
    </xf>
    <xf numFmtId="1" fontId="16" fillId="9" borderId="1" xfId="3" applyNumberFormat="1" applyFont="1" applyFill="1" applyBorder="1" applyAlignment="1">
      <alignment horizontal="center"/>
    </xf>
    <xf numFmtId="0" fontId="16" fillId="9" borderId="2" xfId="3" applyNumberFormat="1" applyFont="1" applyFill="1" applyBorder="1" applyAlignment="1">
      <alignment horizontal="center" vertical="center"/>
    </xf>
    <xf numFmtId="166" fontId="17" fillId="2" borderId="6" xfId="3" applyNumberFormat="1" applyFont="1" applyFill="1" applyBorder="1" applyAlignment="1">
      <alignment horizontal="center"/>
    </xf>
    <xf numFmtId="0" fontId="16" fillId="9" borderId="1" xfId="3" applyNumberFormat="1" applyFont="1" applyFill="1" applyBorder="1" applyAlignment="1">
      <alignment horizontal="center"/>
    </xf>
    <xf numFmtId="166" fontId="17" fillId="2" borderId="6" xfId="3" applyNumberFormat="1" applyFont="1" applyFill="1" applyBorder="1" applyAlignment="1">
      <alignment horizontal="center" vertical="center" wrapText="1" shrinkToFit="1"/>
    </xf>
    <xf numFmtId="0" fontId="17" fillId="8" borderId="1" xfId="3" applyFont="1" applyFill="1" applyBorder="1" applyAlignment="1">
      <alignment horizontal="center" vertical="center"/>
    </xf>
    <xf numFmtId="0" fontId="17" fillId="8" borderId="1" xfId="3" applyFont="1" applyFill="1" applyBorder="1" applyAlignment="1">
      <alignment horizontal="center"/>
    </xf>
    <xf numFmtId="2" fontId="16" fillId="8" borderId="1" xfId="3" applyNumberFormat="1" applyFont="1" applyFill="1" applyBorder="1" applyAlignment="1">
      <alignment horizontal="center"/>
    </xf>
    <xf numFmtId="1" fontId="17" fillId="8" borderId="1" xfId="3" applyNumberFormat="1" applyFont="1" applyFill="1" applyBorder="1" applyAlignment="1">
      <alignment horizontal="center"/>
    </xf>
    <xf numFmtId="1" fontId="17" fillId="8" borderId="2" xfId="5" applyNumberFormat="1" applyFont="1" applyFill="1" applyBorder="1" applyAlignment="1" applyProtection="1">
      <alignment horizontal="center"/>
    </xf>
    <xf numFmtId="1" fontId="17" fillId="2" borderId="6" xfId="5" applyNumberFormat="1" applyFont="1" applyFill="1" applyBorder="1" applyAlignment="1" applyProtection="1">
      <alignment horizontal="center"/>
    </xf>
    <xf numFmtId="0" fontId="17" fillId="11" borderId="1" xfId="3" applyFont="1" applyFill="1" applyBorder="1" applyAlignment="1">
      <alignment horizontal="center" vertical="center"/>
    </xf>
    <xf numFmtId="1" fontId="17" fillId="11" borderId="1" xfId="3" applyNumberFormat="1" applyFont="1" applyFill="1" applyBorder="1" applyAlignment="1">
      <alignment horizontal="center" vertical="center"/>
    </xf>
    <xf numFmtId="1" fontId="16" fillId="12" borderId="1" xfId="3" applyNumberFormat="1" applyFont="1" applyFill="1" applyBorder="1" applyAlignment="1">
      <alignment horizontal="center"/>
    </xf>
    <xf numFmtId="1" fontId="17" fillId="11" borderId="2" xfId="3" applyNumberFormat="1" applyFont="1" applyFill="1" applyBorder="1" applyAlignment="1">
      <alignment horizontal="center" vertical="center"/>
    </xf>
    <xf numFmtId="169" fontId="17" fillId="8" borderId="2" xfId="3" applyNumberFormat="1" applyFont="1" applyFill="1" applyBorder="1" applyAlignment="1">
      <alignment vertical="center"/>
    </xf>
    <xf numFmtId="169" fontId="17" fillId="8" borderId="3" xfId="3" applyNumberFormat="1" applyFont="1" applyFill="1" applyBorder="1" applyAlignment="1">
      <alignment vertical="center"/>
    </xf>
    <xf numFmtId="169" fontId="17" fillId="8" borderId="4" xfId="3" applyNumberFormat="1" applyFont="1" applyFill="1" applyBorder="1" applyAlignment="1">
      <alignment vertical="center"/>
    </xf>
    <xf numFmtId="0" fontId="16" fillId="0" borderId="1" xfId="4" applyFont="1" applyBorder="1" applyAlignment="1">
      <alignment horizontal="center"/>
    </xf>
    <xf numFmtId="1" fontId="17" fillId="8" borderId="1" xfId="5" applyNumberFormat="1" applyFont="1" applyFill="1" applyBorder="1" applyAlignment="1">
      <alignment horizontal="center" vertical="center"/>
    </xf>
    <xf numFmtId="2" fontId="16" fillId="8" borderId="1" xfId="3" applyNumberFormat="1" applyFont="1" applyFill="1" applyBorder="1" applyAlignment="1">
      <alignment horizontal="right"/>
    </xf>
    <xf numFmtId="2" fontId="17" fillId="8" borderId="1" xfId="3" applyNumberFormat="1" applyFont="1" applyFill="1" applyBorder="1" applyAlignment="1">
      <alignment horizontal="center"/>
    </xf>
    <xf numFmtId="0" fontId="17" fillId="11" borderId="1" xfId="3" applyFont="1" applyFill="1" applyBorder="1" applyAlignment="1">
      <alignment horizontal="center"/>
    </xf>
    <xf numFmtId="1" fontId="17" fillId="11" borderId="1" xfId="3" applyNumberFormat="1" applyFont="1" applyFill="1" applyBorder="1" applyAlignment="1">
      <alignment horizontal="center"/>
    </xf>
    <xf numFmtId="0" fontId="16" fillId="11" borderId="1" xfId="3" applyFont="1" applyFill="1" applyBorder="1" applyAlignment="1">
      <alignment horizontal="center"/>
    </xf>
    <xf numFmtId="1" fontId="17" fillId="11" borderId="2" xfId="3" applyNumberFormat="1" applyFont="1" applyFill="1" applyBorder="1" applyAlignment="1">
      <alignment horizontal="center"/>
    </xf>
    <xf numFmtId="0" fontId="17" fillId="2" borderId="6" xfId="3" applyFont="1" applyFill="1" applyBorder="1" applyAlignment="1">
      <alignment horizontal="center"/>
    </xf>
    <xf numFmtId="2" fontId="17" fillId="8" borderId="2" xfId="3" applyNumberFormat="1" applyFont="1" applyFill="1" applyBorder="1" applyAlignment="1">
      <alignment horizontal="left" vertical="center"/>
    </xf>
    <xf numFmtId="2" fontId="17" fillId="8" borderId="3" xfId="3" applyNumberFormat="1" applyFont="1" applyFill="1" applyBorder="1" applyAlignment="1">
      <alignment horizontal="left" vertical="center"/>
    </xf>
    <xf numFmtId="2" fontId="17" fillId="8" borderId="4" xfId="3" applyNumberFormat="1" applyFont="1" applyFill="1" applyBorder="1" applyAlignment="1">
      <alignment horizontal="left" vertical="center"/>
    </xf>
    <xf numFmtId="1" fontId="17" fillId="8" borderId="1" xfId="3" applyNumberFormat="1" applyFont="1" applyFill="1" applyBorder="1" applyAlignment="1">
      <alignment horizontal="center" vertical="center"/>
    </xf>
    <xf numFmtId="0" fontId="16" fillId="0" borderId="1" xfId="4" applyFont="1" applyBorder="1"/>
    <xf numFmtId="0" fontId="16" fillId="2" borderId="1" xfId="3" applyFont="1" applyFill="1" applyBorder="1" applyAlignment="1">
      <alignment horizontal="center"/>
    </xf>
    <xf numFmtId="0" fontId="3" fillId="0" borderId="1" xfId="4" applyFont="1" applyBorder="1" applyAlignment="1">
      <alignment horizontal="center"/>
    </xf>
    <xf numFmtId="2" fontId="17" fillId="2" borderId="6" xfId="5" applyNumberFormat="1" applyFont="1" applyFill="1" applyBorder="1" applyAlignment="1" applyProtection="1">
      <alignment horizontal="center"/>
    </xf>
    <xf numFmtId="167" fontId="16" fillId="0" borderId="1" xfId="6" applyNumberFormat="1" applyFont="1" applyFill="1" applyBorder="1" applyAlignment="1"/>
    <xf numFmtId="167" fontId="17" fillId="2" borderId="6" xfId="6" applyNumberFormat="1" applyFont="1" applyFill="1" applyBorder="1" applyAlignment="1">
      <alignment horizontal="center"/>
    </xf>
    <xf numFmtId="1" fontId="16" fillId="8" borderId="1" xfId="5" applyNumberFormat="1" applyFont="1" applyFill="1" applyBorder="1" applyAlignment="1">
      <alignment horizontal="right"/>
    </xf>
    <xf numFmtId="165" fontId="16" fillId="8" borderId="1" xfId="7" applyFont="1" applyFill="1" applyBorder="1" applyAlignment="1">
      <alignment horizontal="right" wrapText="1"/>
    </xf>
    <xf numFmtId="166" fontId="17" fillId="2" borderId="6" xfId="5" applyNumberFormat="1" applyFont="1" applyFill="1" applyBorder="1" applyAlignment="1" applyProtection="1">
      <alignment horizontal="center"/>
    </xf>
    <xf numFmtId="0" fontId="17" fillId="0" borderId="1" xfId="4" applyFont="1" applyBorder="1"/>
    <xf numFmtId="166" fontId="16" fillId="12" borderId="1" xfId="5" applyNumberFormat="1" applyFont="1" applyFill="1" applyBorder="1" applyAlignment="1" applyProtection="1">
      <alignment horizontal="right"/>
    </xf>
    <xf numFmtId="0" fontId="20" fillId="0" borderId="1" xfId="4" applyFont="1" applyBorder="1" applyAlignment="1">
      <alignment horizontal="center"/>
    </xf>
    <xf numFmtId="2" fontId="21" fillId="8" borderId="1" xfId="3" applyNumberFormat="1" applyFont="1" applyFill="1" applyBorder="1" applyAlignment="1">
      <alignment horizontal="center"/>
    </xf>
    <xf numFmtId="1" fontId="17" fillId="8" borderId="2" xfId="3" applyNumberFormat="1" applyFont="1" applyFill="1" applyBorder="1" applyAlignment="1">
      <alignment horizontal="center"/>
    </xf>
    <xf numFmtId="1" fontId="21" fillId="8" borderId="1" xfId="5" applyNumberFormat="1" applyFont="1" applyFill="1" applyBorder="1" applyAlignment="1">
      <alignment horizontal="center" vertical="center"/>
    </xf>
    <xf numFmtId="2" fontId="16" fillId="8" borderId="1" xfId="9" applyNumberFormat="1" applyFont="1" applyFill="1" applyBorder="1" applyAlignment="1">
      <alignment horizontal="right"/>
    </xf>
    <xf numFmtId="1" fontId="21" fillId="0" borderId="1" xfId="4" applyNumberFormat="1" applyFont="1" applyBorder="1" applyAlignment="1">
      <alignment horizontal="center"/>
    </xf>
    <xf numFmtId="1" fontId="21" fillId="8" borderId="1" xfId="3" applyNumberFormat="1" applyFont="1" applyFill="1" applyBorder="1" applyAlignment="1">
      <alignment horizontal="center" vertical="center"/>
    </xf>
    <xf numFmtId="0" fontId="18" fillId="10" borderId="1" xfId="3" applyFont="1" applyFill="1" applyBorder="1" applyAlignment="1"/>
    <xf numFmtId="0" fontId="18" fillId="10" borderId="2" xfId="3" applyFont="1" applyFill="1" applyBorder="1" applyAlignment="1"/>
    <xf numFmtId="0" fontId="18" fillId="10" borderId="3" xfId="3" applyFont="1" applyFill="1" applyBorder="1" applyAlignment="1"/>
    <xf numFmtId="0" fontId="17" fillId="10" borderId="3" xfId="3" applyFont="1" applyFill="1" applyBorder="1" applyAlignment="1"/>
    <xf numFmtId="1" fontId="17" fillId="10" borderId="1" xfId="3" applyNumberFormat="1" applyFont="1" applyFill="1" applyBorder="1" applyAlignment="1">
      <alignment horizontal="center"/>
    </xf>
    <xf numFmtId="166" fontId="16" fillId="10" borderId="1" xfId="5" applyNumberFormat="1" applyFont="1" applyFill="1" applyBorder="1" applyAlignment="1" applyProtection="1">
      <alignment horizontal="center" vertical="top"/>
    </xf>
    <xf numFmtId="1" fontId="17" fillId="10" borderId="2" xfId="5" applyNumberFormat="1" applyFont="1" applyFill="1" applyBorder="1" applyAlignment="1" applyProtection="1">
      <alignment horizontal="center"/>
    </xf>
    <xf numFmtId="166" fontId="16" fillId="8" borderId="1" xfId="5" applyNumberFormat="1" applyFont="1" applyFill="1" applyBorder="1" applyAlignment="1" applyProtection="1">
      <alignment horizontal="center" vertical="top"/>
    </xf>
    <xf numFmtId="0" fontId="18" fillId="10" borderId="1" xfId="4" applyFont="1" applyFill="1" applyBorder="1"/>
    <xf numFmtId="0" fontId="17" fillId="10" borderId="1" xfId="4" applyFont="1" applyFill="1" applyBorder="1"/>
    <xf numFmtId="0" fontId="3" fillId="10" borderId="1" xfId="4" applyFont="1" applyFill="1" applyBorder="1" applyAlignment="1">
      <alignment horizontal="center"/>
    </xf>
    <xf numFmtId="1" fontId="17" fillId="10" borderId="1" xfId="5" applyNumberFormat="1" applyFont="1" applyFill="1" applyBorder="1" applyAlignment="1">
      <alignment horizontal="center" vertical="center"/>
    </xf>
    <xf numFmtId="0" fontId="3" fillId="0" borderId="1" xfId="4" applyFont="1" applyBorder="1" applyAlignment="1">
      <alignment horizontal="center" wrapText="1"/>
    </xf>
    <xf numFmtId="166" fontId="17" fillId="2" borderId="0" xfId="5" applyNumberFormat="1" applyFont="1" applyFill="1" applyBorder="1" applyAlignment="1" applyProtection="1">
      <alignment horizontal="center"/>
    </xf>
    <xf numFmtId="2" fontId="22" fillId="8" borderId="1" xfId="3" applyNumberFormat="1" applyFont="1" applyFill="1" applyBorder="1" applyAlignment="1">
      <alignment horizontal="right"/>
    </xf>
    <xf numFmtId="0" fontId="23" fillId="13" borderId="1" xfId="4" applyFont="1" applyFill="1" applyBorder="1"/>
    <xf numFmtId="0" fontId="24" fillId="0" borderId="0" xfId="0" applyFont="1"/>
    <xf numFmtId="10" fontId="16" fillId="9" borderId="1" xfId="3" applyNumberFormat="1" applyFont="1" applyFill="1" applyBorder="1" applyAlignment="1">
      <alignment horizontal="center"/>
    </xf>
    <xf numFmtId="0" fontId="25" fillId="2" borderId="6" xfId="3" applyFont="1" applyFill="1" applyBorder="1" applyAlignment="1">
      <alignment horizontal="center" vertical="center"/>
    </xf>
    <xf numFmtId="0" fontId="24" fillId="0" borderId="0" xfId="0" applyFont="1" applyBorder="1"/>
    <xf numFmtId="166" fontId="25" fillId="2" borderId="6" xfId="3" applyNumberFormat="1" applyFont="1" applyFill="1" applyBorder="1" applyAlignment="1">
      <alignment horizontal="center"/>
    </xf>
    <xf numFmtId="2" fontId="20" fillId="8" borderId="1" xfId="3" applyNumberFormat="1" applyFont="1" applyFill="1" applyBorder="1" applyAlignment="1">
      <alignment horizontal="center"/>
    </xf>
    <xf numFmtId="0" fontId="20" fillId="8" borderId="1" xfId="3" applyFont="1" applyFill="1" applyBorder="1" applyAlignment="1">
      <alignment horizontal="center"/>
    </xf>
    <xf numFmtId="0" fontId="20" fillId="8" borderId="1" xfId="3" applyFont="1" applyFill="1" applyBorder="1" applyAlignment="1">
      <alignment horizontal="center" vertical="center"/>
    </xf>
    <xf numFmtId="1" fontId="27" fillId="11" borderId="1" xfId="3" applyNumberFormat="1" applyFont="1" applyFill="1" applyBorder="1" applyAlignment="1">
      <alignment horizontal="center"/>
    </xf>
    <xf numFmtId="1" fontId="23" fillId="11" borderId="2" xfId="3" applyNumberFormat="1" applyFont="1" applyFill="1" applyBorder="1" applyAlignment="1">
      <alignment horizontal="center"/>
    </xf>
    <xf numFmtId="1" fontId="27" fillId="8" borderId="1" xfId="5" applyNumberFormat="1" applyFont="1" applyFill="1" applyBorder="1" applyAlignment="1">
      <alignment horizontal="center" vertical="center"/>
    </xf>
    <xf numFmtId="166" fontId="20" fillId="8" borderId="1" xfId="5" applyNumberFormat="1" applyFont="1" applyFill="1" applyBorder="1" applyAlignment="1">
      <alignment horizontal="center" vertical="center"/>
    </xf>
    <xf numFmtId="0" fontId="27" fillId="11" borderId="1" xfId="3" applyFont="1" applyFill="1" applyBorder="1" applyAlignment="1">
      <alignment horizontal="center" vertical="center"/>
    </xf>
    <xf numFmtId="1" fontId="16" fillId="12" borderId="1" xfId="5" applyNumberFormat="1" applyFont="1" applyFill="1" applyBorder="1" applyAlignment="1" applyProtection="1">
      <alignment horizontal="center"/>
    </xf>
    <xf numFmtId="0" fontId="27" fillId="11" borderId="1" xfId="3" applyFont="1" applyFill="1" applyBorder="1" applyAlignment="1">
      <alignment horizontal="center"/>
    </xf>
    <xf numFmtId="1" fontId="27" fillId="8" borderId="1" xfId="3" applyNumberFormat="1" applyFont="1" applyFill="1" applyBorder="1" applyAlignment="1">
      <alignment horizontal="center"/>
    </xf>
    <xf numFmtId="167" fontId="27" fillId="8" borderId="1" xfId="6" applyNumberFormat="1" applyFont="1" applyFill="1" applyBorder="1" applyAlignment="1">
      <alignment horizontal="center"/>
    </xf>
    <xf numFmtId="166" fontId="27" fillId="8" borderId="1" xfId="3" applyNumberFormat="1" applyFont="1" applyFill="1" applyBorder="1" applyAlignment="1">
      <alignment horizontal="center"/>
    </xf>
    <xf numFmtId="2" fontId="27" fillId="8" borderId="1" xfId="3" applyNumberFormat="1" applyFont="1" applyFill="1" applyBorder="1" applyAlignment="1">
      <alignment horizontal="center"/>
    </xf>
    <xf numFmtId="0" fontId="17" fillId="8" borderId="7" xfId="3" applyFont="1" applyFill="1" applyBorder="1" applyAlignment="1">
      <alignment horizontal="center"/>
    </xf>
    <xf numFmtId="0" fontId="3" fillId="0" borderId="7" xfId="4" applyFont="1" applyBorder="1" applyAlignment="1">
      <alignment horizontal="center"/>
    </xf>
    <xf numFmtId="1" fontId="27" fillId="8" borderId="7" xfId="5" applyNumberFormat="1" applyFont="1" applyFill="1" applyBorder="1" applyAlignment="1">
      <alignment horizontal="center" vertical="center"/>
    </xf>
    <xf numFmtId="1" fontId="17" fillId="8" borderId="7" xfId="5" applyNumberFormat="1" applyFont="1" applyFill="1" applyBorder="1" applyAlignment="1" applyProtection="1">
      <alignment horizontal="center"/>
    </xf>
    <xf numFmtId="0" fontId="17" fillId="8" borderId="8" xfId="3" applyFont="1" applyFill="1" applyBorder="1" applyAlignment="1">
      <alignment horizontal="center"/>
    </xf>
    <xf numFmtId="0" fontId="16" fillId="0" borderId="8" xfId="4" applyFont="1" applyBorder="1" applyAlignment="1">
      <alignment horizontal="center"/>
    </xf>
    <xf numFmtId="1" fontId="17" fillId="8" borderId="8" xfId="5" applyNumberFormat="1" applyFont="1" applyFill="1" applyBorder="1" applyAlignment="1">
      <alignment horizontal="center" vertical="center"/>
    </xf>
    <xf numFmtId="165" fontId="16" fillId="8" borderId="8" xfId="7" applyFont="1" applyFill="1" applyBorder="1" applyAlignment="1">
      <alignment horizontal="right" wrapText="1"/>
    </xf>
    <xf numFmtId="1" fontId="17" fillId="8" borderId="12" xfId="5" applyNumberFormat="1" applyFont="1" applyFill="1" applyBorder="1" applyAlignment="1" applyProtection="1">
      <alignment horizontal="center"/>
    </xf>
    <xf numFmtId="1" fontId="20" fillId="8" borderId="1" xfId="5" applyNumberFormat="1" applyFont="1" applyFill="1" applyBorder="1" applyAlignment="1">
      <alignment horizontal="center" vertical="center"/>
    </xf>
    <xf numFmtId="0" fontId="22" fillId="11" borderId="1" xfId="3" applyFont="1" applyFill="1" applyBorder="1" applyAlignment="1">
      <alignment horizontal="center" vertical="center"/>
    </xf>
    <xf numFmtId="164" fontId="21" fillId="8" borderId="1" xfId="8" applyFont="1" applyFill="1" applyBorder="1" applyAlignment="1">
      <alignment horizontal="center"/>
    </xf>
    <xf numFmtId="1" fontId="22" fillId="8" borderId="1" xfId="3" applyNumberFormat="1" applyFont="1" applyFill="1" applyBorder="1" applyAlignment="1">
      <alignment horizontal="center"/>
    </xf>
    <xf numFmtId="0" fontId="21" fillId="8" borderId="1" xfId="3" applyFont="1" applyFill="1" applyBorder="1" applyAlignment="1">
      <alignment horizontal="center"/>
    </xf>
    <xf numFmtId="170" fontId="27" fillId="8" borderId="1" xfId="5" applyNumberFormat="1" applyFont="1" applyFill="1" applyBorder="1" applyAlignment="1" applyProtection="1">
      <alignment vertical="center"/>
    </xf>
    <xf numFmtId="166" fontId="22" fillId="8" borderId="1" xfId="5" applyNumberFormat="1" applyFont="1" applyFill="1" applyBorder="1" applyAlignment="1" applyProtection="1">
      <alignment horizontal="center"/>
    </xf>
    <xf numFmtId="0" fontId="20" fillId="2" borderId="1" xfId="3" applyFont="1" applyFill="1" applyBorder="1" applyAlignment="1">
      <alignment horizontal="center"/>
    </xf>
    <xf numFmtId="171" fontId="20" fillId="8" borderId="1" xfId="5" applyNumberFormat="1" applyFont="1" applyFill="1" applyBorder="1" applyAlignment="1" applyProtection="1">
      <alignment vertical="center"/>
    </xf>
    <xf numFmtId="1" fontId="28" fillId="2" borderId="1" xfId="3" applyNumberFormat="1" applyFont="1" applyFill="1" applyBorder="1" applyAlignment="1">
      <alignment horizontal="center" vertical="top"/>
    </xf>
    <xf numFmtId="0" fontId="16" fillId="10" borderId="1" xfId="3" applyFont="1" applyFill="1" applyBorder="1" applyAlignment="1"/>
    <xf numFmtId="0" fontId="30" fillId="0" borderId="0" xfId="4" applyFont="1"/>
    <xf numFmtId="0" fontId="22" fillId="13" borderId="1" xfId="0" applyFont="1" applyFill="1" applyBorder="1"/>
    <xf numFmtId="1" fontId="24" fillId="0" borderId="0" xfId="0" applyNumberFormat="1" applyFont="1" applyAlignment="1">
      <alignment horizontal="center"/>
    </xf>
    <xf numFmtId="1" fontId="24" fillId="0" borderId="0" xfId="0" applyNumberFormat="1" applyFont="1"/>
    <xf numFmtId="1" fontId="17" fillId="8" borderId="1" xfId="5" applyNumberFormat="1" applyFont="1" applyFill="1" applyBorder="1" applyAlignment="1" applyProtection="1">
      <alignment horizontal="center"/>
    </xf>
    <xf numFmtId="0" fontId="16" fillId="2" borderId="1" xfId="3" applyNumberFormat="1" applyFont="1" applyFill="1" applyBorder="1" applyAlignment="1">
      <alignment horizontal="center"/>
    </xf>
    <xf numFmtId="2" fontId="16" fillId="8" borderId="7" xfId="3" applyNumberFormat="1" applyFont="1" applyFill="1" applyBorder="1" applyAlignment="1">
      <alignment horizontal="center"/>
    </xf>
    <xf numFmtId="1" fontId="17" fillId="8" borderId="7" xfId="3" applyNumberFormat="1" applyFont="1" applyFill="1" applyBorder="1" applyAlignment="1">
      <alignment horizontal="center"/>
    </xf>
    <xf numFmtId="2" fontId="16" fillId="8" borderId="8" xfId="3" applyNumberFormat="1" applyFont="1" applyFill="1" applyBorder="1" applyAlignment="1">
      <alignment horizontal="center"/>
    </xf>
    <xf numFmtId="1" fontId="17" fillId="8" borderId="8" xfId="3" applyNumberFormat="1" applyFont="1" applyFill="1" applyBorder="1" applyAlignment="1">
      <alignment horizontal="center"/>
    </xf>
    <xf numFmtId="2" fontId="16" fillId="8" borderId="1" xfId="3" applyNumberFormat="1" applyFont="1" applyFill="1" applyBorder="1" applyAlignment="1">
      <alignment horizontal="center" vertical="center"/>
    </xf>
    <xf numFmtId="0" fontId="21" fillId="2" borderId="2" xfId="3" applyFont="1" applyFill="1" applyBorder="1" applyAlignment="1">
      <alignment horizontal="center"/>
    </xf>
    <xf numFmtId="0" fontId="21" fillId="2" borderId="3" xfId="3" applyFont="1" applyFill="1" applyBorder="1" applyAlignment="1">
      <alignment horizontal="center"/>
    </xf>
    <xf numFmtId="0" fontId="21" fillId="2" borderId="4" xfId="3" applyFont="1" applyFill="1" applyBorder="1" applyAlignment="1">
      <alignment horizontal="center"/>
    </xf>
    <xf numFmtId="0" fontId="21" fillId="13" borderId="2" xfId="3" applyFont="1" applyFill="1" applyBorder="1" applyAlignment="1">
      <alignment horizontal="center"/>
    </xf>
    <xf numFmtId="0" fontId="21" fillId="13" borderId="3" xfId="3" applyFont="1" applyFill="1" applyBorder="1" applyAlignment="1">
      <alignment horizontal="center"/>
    </xf>
    <xf numFmtId="0" fontId="21" fillId="13" borderId="4" xfId="3" applyFont="1" applyFill="1" applyBorder="1" applyAlignment="1">
      <alignment horizontal="center"/>
    </xf>
    <xf numFmtId="0" fontId="17" fillId="13" borderId="2" xfId="3" applyFont="1" applyFill="1" applyBorder="1" applyAlignment="1">
      <alignment horizontal="center" vertical="center"/>
    </xf>
    <xf numFmtId="0" fontId="17" fillId="13" borderId="3" xfId="3" applyFont="1" applyFill="1" applyBorder="1" applyAlignment="1">
      <alignment horizontal="center" vertical="center"/>
    </xf>
    <xf numFmtId="0" fontId="17" fillId="13" borderId="4" xfId="3" applyFont="1" applyFill="1" applyBorder="1" applyAlignment="1">
      <alignment horizontal="center" vertical="center"/>
    </xf>
    <xf numFmtId="0" fontId="17" fillId="10" borderId="1" xfId="3" applyFont="1" applyFill="1" applyBorder="1" applyAlignment="1">
      <alignment horizontal="center" vertical="center"/>
    </xf>
    <xf numFmtId="0" fontId="17" fillId="10" borderId="1" xfId="3" applyFont="1" applyFill="1" applyBorder="1" applyAlignment="1">
      <alignment horizontal="center"/>
    </xf>
    <xf numFmtId="0" fontId="17" fillId="8" borderId="3" xfId="3" applyFont="1" applyFill="1" applyBorder="1" applyAlignment="1">
      <alignment horizontal="left" vertical="justify"/>
    </xf>
    <xf numFmtId="0" fontId="17" fillId="8" borderId="4" xfId="3" applyFont="1" applyFill="1" applyBorder="1" applyAlignment="1">
      <alignment horizontal="left" vertical="justify"/>
    </xf>
    <xf numFmtId="0" fontId="17" fillId="10" borderId="2" xfId="3" applyFont="1" applyFill="1" applyBorder="1" applyAlignment="1">
      <alignment horizontal="center"/>
    </xf>
    <xf numFmtId="0" fontId="17" fillId="10" borderId="3" xfId="3" applyFont="1" applyFill="1" applyBorder="1" applyAlignment="1">
      <alignment horizontal="center"/>
    </xf>
    <xf numFmtId="0" fontId="17" fillId="10" borderId="4" xfId="3" applyFont="1" applyFill="1" applyBorder="1" applyAlignment="1">
      <alignment horizontal="center"/>
    </xf>
    <xf numFmtId="0" fontId="17" fillId="13" borderId="2" xfId="3" applyFont="1" applyFill="1" applyBorder="1" applyAlignment="1">
      <alignment horizontal="center"/>
    </xf>
    <xf numFmtId="0" fontId="17" fillId="13" borderId="3" xfId="3" applyFont="1" applyFill="1" applyBorder="1" applyAlignment="1">
      <alignment horizontal="center"/>
    </xf>
    <xf numFmtId="0" fontId="17" fillId="13" borderId="4" xfId="3" applyFont="1" applyFill="1" applyBorder="1" applyAlignment="1">
      <alignment horizontal="center"/>
    </xf>
    <xf numFmtId="0" fontId="17" fillId="8" borderId="9" xfId="3" applyFont="1" applyFill="1" applyBorder="1" applyAlignment="1">
      <alignment horizontal="left"/>
    </xf>
    <xf numFmtId="0" fontId="17" fillId="8" borderId="10" xfId="3" applyFont="1" applyFill="1" applyBorder="1" applyAlignment="1">
      <alignment horizontal="left"/>
    </xf>
    <xf numFmtId="0" fontId="17" fillId="8" borderId="11" xfId="3" applyFont="1" applyFill="1" applyBorder="1" applyAlignment="1">
      <alignment horizontal="left"/>
    </xf>
    <xf numFmtId="0" fontId="17" fillId="8" borderId="12" xfId="3" applyFont="1" applyFill="1" applyBorder="1" applyAlignment="1">
      <alignment horizontal="left"/>
    </xf>
    <xf numFmtId="0" fontId="17" fillId="8" borderId="5" xfId="3" applyFont="1" applyFill="1" applyBorder="1" applyAlignment="1">
      <alignment horizontal="left"/>
    </xf>
    <xf numFmtId="0" fontId="17" fillId="8" borderId="13" xfId="3" applyFont="1" applyFill="1" applyBorder="1" applyAlignment="1">
      <alignment horizontal="left"/>
    </xf>
    <xf numFmtId="0" fontId="16" fillId="9" borderId="3" xfId="3" applyFont="1" applyFill="1" applyBorder="1" applyAlignment="1">
      <alignment horizontal="center"/>
    </xf>
    <xf numFmtId="0" fontId="17" fillId="8" borderId="1" xfId="3" applyFont="1" applyFill="1" applyBorder="1" applyAlignment="1">
      <alignment horizontal="left" vertical="center"/>
    </xf>
    <xf numFmtId="0" fontId="16" fillId="9" borderId="1" xfId="3" applyFont="1" applyFill="1" applyBorder="1" applyAlignment="1">
      <alignment horizontal="center" vertical="center"/>
    </xf>
    <xf numFmtId="0" fontId="17" fillId="8" borderId="2" xfId="3" applyFont="1" applyFill="1" applyBorder="1" applyAlignment="1">
      <alignment horizontal="left" vertical="center"/>
    </xf>
    <xf numFmtId="0" fontId="17" fillId="8" borderId="3" xfId="3" applyFont="1" applyFill="1" applyBorder="1" applyAlignment="1">
      <alignment horizontal="left" vertical="center"/>
    </xf>
    <xf numFmtId="0" fontId="17" fillId="8" borderId="4" xfId="3" applyFont="1" applyFill="1" applyBorder="1" applyAlignment="1">
      <alignment horizontal="left" vertical="center"/>
    </xf>
    <xf numFmtId="172" fontId="17" fillId="9" borderId="1" xfId="3" applyNumberFormat="1" applyFont="1" applyFill="1" applyBorder="1" applyAlignment="1">
      <alignment horizontal="center"/>
    </xf>
    <xf numFmtId="0" fontId="3" fillId="2" borderId="1" xfId="4" applyFont="1" applyFill="1" applyBorder="1" applyAlignment="1">
      <alignment horizontal="center"/>
    </xf>
    <xf numFmtId="0" fontId="17" fillId="8" borderId="1" xfId="3" applyFont="1" applyFill="1" applyBorder="1" applyAlignment="1">
      <alignment horizontal="left"/>
    </xf>
    <xf numFmtId="1" fontId="17" fillId="8" borderId="1" xfId="5" applyNumberFormat="1" applyFont="1" applyFill="1" applyBorder="1" applyAlignment="1" applyProtection="1">
      <alignment horizontal="center" vertical="center"/>
    </xf>
    <xf numFmtId="1" fontId="23" fillId="10" borderId="1" xfId="5" applyNumberFormat="1" applyFont="1" applyFill="1" applyBorder="1" applyAlignment="1" applyProtection="1">
      <alignment horizontal="center"/>
    </xf>
    <xf numFmtId="166" fontId="16" fillId="2" borderId="1" xfId="5" applyNumberFormat="1" applyFont="1" applyFill="1" applyBorder="1" applyAlignment="1" applyProtection="1">
      <alignment horizontal="center" vertical="top"/>
    </xf>
    <xf numFmtId="166" fontId="16" fillId="2" borderId="1" xfId="5" applyNumberFormat="1" applyFont="1" applyFill="1" applyBorder="1" applyAlignment="1" applyProtection="1">
      <alignment horizontal="center" vertical="center"/>
    </xf>
    <xf numFmtId="1" fontId="17" fillId="2" borderId="1" xfId="3" applyNumberFormat="1" applyFont="1" applyFill="1" applyBorder="1" applyAlignment="1">
      <alignment horizontal="center" vertical="center"/>
    </xf>
    <xf numFmtId="1" fontId="17" fillId="8" borderId="7" xfId="5" applyNumberFormat="1" applyFont="1" applyFill="1" applyBorder="1" applyAlignment="1">
      <alignment horizontal="center" vertical="center"/>
    </xf>
    <xf numFmtId="1" fontId="17" fillId="8" borderId="15" xfId="5" applyNumberFormat="1" applyFont="1" applyFill="1" applyBorder="1" applyAlignment="1" applyProtection="1">
      <alignment horizontal="center" vertical="center"/>
    </xf>
    <xf numFmtId="1" fontId="17" fillId="2" borderId="1" xfId="5" applyNumberFormat="1" applyFont="1" applyFill="1" applyBorder="1" applyAlignment="1">
      <alignment horizontal="center" vertical="center"/>
    </xf>
    <xf numFmtId="1" fontId="17" fillId="2" borderId="1" xfId="3" applyNumberFormat="1" applyFont="1" applyFill="1" applyBorder="1" applyAlignment="1">
      <alignment horizontal="center"/>
    </xf>
    <xf numFmtId="0" fontId="17" fillId="2" borderId="1" xfId="4" applyFont="1" applyFill="1" applyBorder="1" applyAlignment="1">
      <alignment horizontal="center"/>
    </xf>
    <xf numFmtId="0" fontId="17" fillId="2" borderId="1" xfId="3" applyFont="1" applyFill="1" applyBorder="1" applyAlignment="1">
      <alignment horizontal="center" vertical="center"/>
    </xf>
    <xf numFmtId="0" fontId="17" fillId="0" borderId="1" xfId="4" applyFont="1" applyBorder="1" applyAlignment="1">
      <alignment horizontal="center"/>
    </xf>
    <xf numFmtId="166" fontId="16" fillId="10" borderId="1" xfId="5" applyNumberFormat="1" applyFont="1" applyFill="1" applyBorder="1" applyAlignment="1" applyProtection="1">
      <alignment horizontal="center"/>
    </xf>
    <xf numFmtId="0" fontId="16" fillId="0" borderId="1" xfId="4" applyFont="1" applyBorder="1" applyAlignment="1">
      <alignment horizontal="center" vertical="center"/>
    </xf>
    <xf numFmtId="0" fontId="16" fillId="2" borderId="1" xfId="4" applyFont="1" applyFill="1" applyBorder="1" applyAlignment="1">
      <alignment horizontal="center"/>
    </xf>
    <xf numFmtId="1" fontId="0" fillId="0" borderId="0" xfId="0" applyNumberFormat="1"/>
    <xf numFmtId="0" fontId="17" fillId="9" borderId="1" xfId="3" applyFont="1" applyFill="1" applyBorder="1" applyAlignment="1">
      <alignment horizontal="right" vertical="center"/>
    </xf>
    <xf numFmtId="9" fontId="17" fillId="9" borderId="1" xfId="4" applyNumberFormat="1" applyFont="1" applyFill="1" applyBorder="1"/>
    <xf numFmtId="0" fontId="18" fillId="8" borderId="9" xfId="3" applyFont="1" applyFill="1" applyBorder="1" applyAlignment="1">
      <alignment horizontal="center" vertical="center"/>
    </xf>
    <xf numFmtId="0" fontId="18" fillId="8" borderId="10" xfId="3" applyFont="1" applyFill="1" applyBorder="1" applyAlignment="1">
      <alignment horizontal="center" vertical="center"/>
    </xf>
    <xf numFmtId="0" fontId="18" fillId="8" borderId="11" xfId="3" applyFont="1" applyFill="1" applyBorder="1" applyAlignment="1">
      <alignment horizontal="center" vertical="center"/>
    </xf>
    <xf numFmtId="0" fontId="17" fillId="8" borderId="7" xfId="3" applyFont="1" applyFill="1" applyBorder="1" applyAlignment="1">
      <alignment horizontal="center" vertical="center"/>
    </xf>
    <xf numFmtId="2" fontId="18" fillId="2" borderId="7" xfId="3" applyNumberFormat="1" applyFont="1" applyFill="1" applyBorder="1" applyAlignment="1">
      <alignment horizontal="center" vertical="center"/>
    </xf>
    <xf numFmtId="166" fontId="18" fillId="8" borderId="7" xfId="3" applyNumberFormat="1" applyFont="1" applyFill="1" applyBorder="1" applyAlignment="1">
      <alignment horizontal="center" wrapText="1" shrinkToFit="1"/>
    </xf>
    <xf numFmtId="2" fontId="26" fillId="8" borderId="7" xfId="3" applyNumberFormat="1" applyFont="1" applyFill="1" applyBorder="1" applyAlignment="1">
      <alignment horizontal="right" vertical="center"/>
    </xf>
    <xf numFmtId="1" fontId="26" fillId="8" borderId="7" xfId="3" applyNumberFormat="1" applyFont="1" applyFill="1" applyBorder="1" applyAlignment="1">
      <alignment horizontal="center" vertical="center"/>
    </xf>
    <xf numFmtId="0" fontId="17" fillId="2" borderId="2" xfId="3" applyFont="1" applyFill="1" applyBorder="1" applyAlignment="1">
      <alignment horizontal="left" vertical="center"/>
    </xf>
    <xf numFmtId="0" fontId="17" fillId="2" borderId="3" xfId="3" applyFont="1" applyFill="1" applyBorder="1" applyAlignment="1">
      <alignment horizontal="left" vertical="center"/>
    </xf>
    <xf numFmtId="0" fontId="17" fillId="2" borderId="4" xfId="3" applyFont="1" applyFill="1" applyBorder="1" applyAlignment="1">
      <alignment horizontal="left" vertical="center"/>
    </xf>
    <xf numFmtId="0" fontId="17" fillId="2" borderId="1" xfId="3" applyFont="1" applyFill="1" applyBorder="1" applyAlignment="1">
      <alignment horizontal="center"/>
    </xf>
    <xf numFmtId="2" fontId="16" fillId="2" borderId="8" xfId="3" applyNumberFormat="1" applyFont="1" applyFill="1" applyBorder="1" applyAlignment="1">
      <alignment horizontal="center"/>
    </xf>
    <xf numFmtId="1" fontId="17" fillId="2" borderId="2" xfId="5" applyNumberFormat="1" applyFont="1" applyFill="1" applyBorder="1" applyAlignment="1" applyProtection="1">
      <alignment horizontal="center"/>
    </xf>
    <xf numFmtId="0" fontId="17" fillId="10" borderId="3" xfId="3" applyFont="1" applyFill="1" applyBorder="1" applyAlignment="1">
      <alignment vertical="center"/>
    </xf>
    <xf numFmtId="0" fontId="17" fillId="10" borderId="4" xfId="3" applyFont="1" applyFill="1" applyBorder="1" applyAlignment="1">
      <alignment vertical="center"/>
    </xf>
    <xf numFmtId="0" fontId="2" fillId="0" borderId="1" xfId="1" applyFont="1" applyBorder="1" applyAlignment="1">
      <alignment vertical="center" wrapText="1"/>
    </xf>
    <xf numFmtId="0" fontId="6" fillId="14" borderId="1" xfId="1" applyFont="1" applyFill="1" applyBorder="1" applyAlignment="1">
      <alignment horizontal="center" vertical="center" wrapText="1"/>
    </xf>
    <xf numFmtId="0" fontId="11" fillId="14" borderId="1" xfId="1" applyFont="1" applyFill="1" applyBorder="1" applyAlignment="1">
      <alignment vertical="top" wrapText="1"/>
    </xf>
    <xf numFmtId="1" fontId="2" fillId="14" borderId="0" xfId="1" applyNumberFormat="1" applyFont="1" applyFill="1"/>
    <xf numFmtId="0" fontId="0" fillId="14" borderId="0" xfId="0" applyFill="1"/>
    <xf numFmtId="0" fontId="5" fillId="14" borderId="1" xfId="1" applyFont="1" applyFill="1" applyBorder="1" applyAlignment="1">
      <alignment horizontal="center" vertical="center" wrapText="1"/>
    </xf>
    <xf numFmtId="1" fontId="11" fillId="14" borderId="1" xfId="1" applyNumberFormat="1" applyFont="1" applyFill="1" applyBorder="1" applyAlignment="1">
      <alignment vertical="top" wrapText="1"/>
    </xf>
    <xf numFmtId="0" fontId="11" fillId="14" borderId="1" xfId="1" applyFont="1" applyFill="1" applyBorder="1" applyAlignment="1">
      <alignment horizontal="center"/>
    </xf>
    <xf numFmtId="166" fontId="11" fillId="14" borderId="1" xfId="1" applyNumberFormat="1" applyFont="1" applyFill="1" applyBorder="1" applyAlignment="1">
      <alignment horizontal="center"/>
    </xf>
    <xf numFmtId="2" fontId="11" fillId="14" borderId="1" xfId="1" applyNumberFormat="1" applyFont="1" applyFill="1" applyBorder="1" applyAlignment="1">
      <alignment vertical="top" wrapText="1"/>
    </xf>
    <xf numFmtId="1" fontId="11" fillId="14" borderId="1" xfId="1" applyNumberFormat="1" applyFont="1" applyFill="1" applyBorder="1" applyAlignment="1">
      <alignment horizontal="center" vertical="top" wrapText="1"/>
    </xf>
    <xf numFmtId="0" fontId="17" fillId="0" borderId="2" xfId="4" applyFont="1" applyBorder="1" applyAlignment="1">
      <alignment vertical="center"/>
    </xf>
    <xf numFmtId="0" fontId="17" fillId="0" borderId="3" xfId="4" applyFont="1" applyBorder="1" applyAlignment="1">
      <alignment vertical="center"/>
    </xf>
    <xf numFmtId="0" fontId="17" fillId="0" borderId="4" xfId="4" applyFont="1" applyBorder="1" applyAlignment="1">
      <alignment vertical="center"/>
    </xf>
    <xf numFmtId="0" fontId="17" fillId="8" borderId="12" xfId="3" applyFont="1" applyFill="1" applyBorder="1" applyAlignment="1">
      <alignment horizontal="left" vertical="center"/>
    </xf>
    <xf numFmtId="0" fontId="17" fillId="8" borderId="5" xfId="3" applyFont="1" applyFill="1" applyBorder="1" applyAlignment="1">
      <alignment horizontal="left" vertical="center"/>
    </xf>
    <xf numFmtId="0" fontId="17" fillId="8" borderId="13" xfId="3" applyFont="1" applyFill="1" applyBorder="1" applyAlignment="1">
      <alignment horizontal="left" vertical="center"/>
    </xf>
    <xf numFmtId="0" fontId="16" fillId="2" borderId="8" xfId="3" applyNumberFormat="1" applyFont="1" applyFill="1" applyBorder="1" applyAlignment="1">
      <alignment horizontal="center"/>
    </xf>
    <xf numFmtId="0" fontId="17" fillId="8" borderId="9" xfId="3" applyFont="1" applyFill="1" applyBorder="1" applyAlignment="1">
      <alignment horizontal="left" vertical="center"/>
    </xf>
    <xf numFmtId="0" fontId="17" fillId="8" borderId="10" xfId="3" applyFont="1" applyFill="1" applyBorder="1" applyAlignment="1">
      <alignment horizontal="left" vertical="center"/>
    </xf>
    <xf numFmtId="0" fontId="17" fillId="8" borderId="11" xfId="3" applyFont="1" applyFill="1" applyBorder="1" applyAlignment="1">
      <alignment horizontal="left" vertical="center"/>
    </xf>
    <xf numFmtId="0" fontId="16" fillId="2" borderId="7" xfId="3" applyNumberFormat="1" applyFont="1" applyFill="1" applyBorder="1" applyAlignment="1">
      <alignment horizontal="center"/>
    </xf>
    <xf numFmtId="1" fontId="17" fillId="2" borderId="8" xfId="3" applyNumberFormat="1" applyFont="1" applyFill="1" applyBorder="1" applyAlignment="1">
      <alignment horizontal="center"/>
    </xf>
    <xf numFmtId="2" fontId="16" fillId="2" borderId="8" xfId="3" applyNumberFormat="1" applyFont="1" applyFill="1" applyBorder="1" applyAlignment="1">
      <alignment horizontal="right"/>
    </xf>
    <xf numFmtId="9" fontId="11" fillId="2" borderId="1" xfId="1" applyNumberFormat="1" applyFont="1" applyFill="1" applyBorder="1" applyAlignment="1">
      <alignment vertical="center" wrapText="1"/>
    </xf>
    <xf numFmtId="0" fontId="7" fillId="0" borderId="2" xfId="1" applyFont="1" applyBorder="1" applyAlignment="1">
      <alignment horizontal="center" vertical="center" wrapText="1"/>
    </xf>
    <xf numFmtId="2" fontId="11" fillId="0" borderId="2" xfId="1" applyNumberFormat="1" applyFont="1" applyBorder="1" applyAlignment="1"/>
    <xf numFmtId="0" fontId="8" fillId="0" borderId="21" xfId="1" applyFont="1" applyFill="1" applyBorder="1" applyAlignment="1">
      <alignment vertical="top" wrapText="1"/>
    </xf>
    <xf numFmtId="0" fontId="8" fillId="0" borderId="15" xfId="1" applyFont="1" applyFill="1" applyBorder="1" applyAlignment="1">
      <alignment vertical="top" wrapText="1"/>
    </xf>
    <xf numFmtId="1" fontId="11" fillId="2" borderId="21" xfId="1" applyNumberFormat="1" applyFont="1" applyFill="1" applyBorder="1" applyAlignment="1">
      <alignment vertical="center" wrapText="1"/>
    </xf>
    <xf numFmtId="1" fontId="11" fillId="2" borderId="15" xfId="1" applyNumberFormat="1" applyFont="1" applyFill="1" applyBorder="1" applyAlignment="1">
      <alignment vertical="center" wrapText="1"/>
    </xf>
    <xf numFmtId="2" fontId="33" fillId="8" borderId="1" xfId="3" applyNumberFormat="1" applyFont="1" applyFill="1" applyBorder="1" applyAlignment="1">
      <alignment horizontal="center"/>
    </xf>
    <xf numFmtId="0" fontId="33" fillId="0" borderId="1" xfId="4" applyFont="1" applyBorder="1" applyAlignment="1">
      <alignment horizontal="center"/>
    </xf>
    <xf numFmtId="2" fontId="34" fillId="8" borderId="1" xfId="3" applyNumberFormat="1" applyFont="1" applyFill="1" applyBorder="1" applyAlignment="1">
      <alignment horizontal="center"/>
    </xf>
    <xf numFmtId="0" fontId="35" fillId="0" borderId="7" xfId="4" applyFont="1" applyBorder="1" applyAlignment="1">
      <alignment horizontal="center"/>
    </xf>
    <xf numFmtId="0" fontId="35" fillId="0" borderId="1" xfId="4" applyFont="1" applyBorder="1" applyAlignment="1">
      <alignment horizontal="center"/>
    </xf>
    <xf numFmtId="0" fontId="34" fillId="8" borderId="1" xfId="3" applyFont="1" applyFill="1" applyBorder="1" applyAlignment="1">
      <alignment horizontal="center"/>
    </xf>
    <xf numFmtId="0" fontId="34" fillId="8" borderId="1" xfId="3" applyFont="1" applyFill="1" applyBorder="1" applyAlignment="1">
      <alignment horizontal="center" vertical="center"/>
    </xf>
    <xf numFmtId="1" fontId="34" fillId="2" borderId="1" xfId="3" applyNumberFormat="1" applyFont="1" applyFill="1" applyBorder="1" applyAlignment="1">
      <alignment horizontal="center" vertical="center"/>
    </xf>
    <xf numFmtId="0" fontId="35" fillId="0" borderId="1" xfId="4" applyFont="1" applyBorder="1" applyAlignment="1">
      <alignment horizontal="center" wrapText="1"/>
    </xf>
    <xf numFmtId="0" fontId="35" fillId="2" borderId="1" xfId="4" applyFont="1" applyFill="1" applyBorder="1" applyAlignment="1">
      <alignment horizontal="center"/>
    </xf>
    <xf numFmtId="0" fontId="34" fillId="2" borderId="1" xfId="3" applyFont="1" applyFill="1" applyBorder="1" applyAlignment="1">
      <alignment horizontal="center" vertical="center"/>
    </xf>
    <xf numFmtId="0" fontId="34" fillId="2" borderId="1" xfId="3" applyFont="1" applyFill="1" applyBorder="1" applyAlignment="1">
      <alignment horizontal="center"/>
    </xf>
    <xf numFmtId="0" fontId="33" fillId="0" borderId="8" xfId="4" applyFont="1" applyBorder="1" applyAlignment="1">
      <alignment horizontal="center"/>
    </xf>
    <xf numFmtId="0" fontId="33" fillId="2" borderId="1" xfId="3" applyNumberFormat="1" applyFont="1" applyFill="1" applyBorder="1" applyAlignment="1">
      <alignment horizontal="center"/>
    </xf>
    <xf numFmtId="1" fontId="34" fillId="8" borderId="1" xfId="3" applyNumberFormat="1" applyFont="1" applyFill="1" applyBorder="1" applyAlignment="1">
      <alignment horizontal="center"/>
    </xf>
    <xf numFmtId="1" fontId="33" fillId="12" borderId="1" xfId="3" applyNumberFormat="1" applyFont="1" applyFill="1" applyBorder="1" applyAlignment="1">
      <alignment horizontal="center"/>
    </xf>
    <xf numFmtId="1" fontId="34" fillId="8" borderId="1" xfId="5" applyNumberFormat="1" applyFont="1" applyFill="1" applyBorder="1" applyAlignment="1">
      <alignment horizontal="center" vertical="center"/>
    </xf>
    <xf numFmtId="9" fontId="34" fillId="8" borderId="1" xfId="6" applyNumberFormat="1" applyFont="1" applyFill="1" applyBorder="1" applyAlignment="1">
      <alignment horizontal="center"/>
    </xf>
    <xf numFmtId="0" fontId="37" fillId="0" borderId="0" xfId="0" applyFont="1"/>
    <xf numFmtId="168" fontId="38" fillId="9" borderId="2" xfId="3" applyNumberFormat="1" applyFont="1" applyFill="1" applyBorder="1" applyAlignment="1">
      <alignment horizontal="left"/>
    </xf>
    <xf numFmtId="172" fontId="34" fillId="9" borderId="1" xfId="3" applyNumberFormat="1" applyFont="1" applyFill="1" applyBorder="1" applyAlignment="1">
      <alignment horizontal="center"/>
    </xf>
    <xf numFmtId="9" fontId="34" fillId="9" borderId="1" xfId="4" applyNumberFormat="1" applyFont="1" applyFill="1" applyBorder="1"/>
    <xf numFmtId="0" fontId="33" fillId="9" borderId="1" xfId="3" applyFont="1" applyFill="1" applyBorder="1" applyAlignment="1">
      <alignment horizontal="center" vertical="center"/>
    </xf>
    <xf numFmtId="1" fontId="33" fillId="9" borderId="1" xfId="3" applyNumberFormat="1" applyFont="1" applyFill="1" applyBorder="1" applyAlignment="1">
      <alignment horizontal="center" vertical="center"/>
    </xf>
    <xf numFmtId="1" fontId="34" fillId="9" borderId="1" xfId="3" applyNumberFormat="1" applyFont="1" applyFill="1" applyBorder="1" applyAlignment="1">
      <alignment horizontal="center"/>
    </xf>
    <xf numFmtId="9" fontId="33" fillId="9" borderId="1" xfId="3" applyNumberFormat="1" applyFont="1" applyFill="1" applyBorder="1" applyAlignment="1">
      <alignment horizontal="left"/>
    </xf>
    <xf numFmtId="0" fontId="33" fillId="9" borderId="1" xfId="3" applyFont="1" applyFill="1" applyBorder="1" applyAlignment="1">
      <alignment horizontal="left"/>
    </xf>
    <xf numFmtId="10" fontId="33" fillId="9" borderId="1" xfId="3" applyNumberFormat="1" applyFont="1" applyFill="1" applyBorder="1" applyAlignment="1">
      <alignment horizontal="center"/>
    </xf>
    <xf numFmtId="1" fontId="33" fillId="9" borderId="1" xfId="3" applyNumberFormat="1" applyFont="1" applyFill="1" applyBorder="1" applyAlignment="1">
      <alignment horizontal="center"/>
    </xf>
    <xf numFmtId="0" fontId="39" fillId="2" borderId="6" xfId="3" applyFont="1" applyFill="1" applyBorder="1" applyAlignment="1">
      <alignment horizontal="center" vertical="center"/>
    </xf>
    <xf numFmtId="0" fontId="37" fillId="0" borderId="0" xfId="0" applyFont="1" applyBorder="1"/>
    <xf numFmtId="0" fontId="34" fillId="9" borderId="1" xfId="3" applyFont="1" applyFill="1" applyBorder="1"/>
    <xf numFmtId="2" fontId="34" fillId="9" borderId="1" xfId="3" applyNumberFormat="1" applyFont="1" applyFill="1" applyBorder="1" applyAlignment="1">
      <alignment horizontal="center"/>
    </xf>
    <xf numFmtId="9" fontId="33" fillId="9" borderId="1" xfId="3" applyNumberFormat="1" applyFont="1" applyFill="1" applyBorder="1" applyAlignment="1">
      <alignment horizontal="center"/>
    </xf>
    <xf numFmtId="166" fontId="39" fillId="2" borderId="6" xfId="3" applyNumberFormat="1" applyFont="1" applyFill="1" applyBorder="1" applyAlignment="1">
      <alignment horizontal="center"/>
    </xf>
    <xf numFmtId="0" fontId="38" fillId="8" borderId="9" xfId="3" applyFont="1" applyFill="1" applyBorder="1" applyAlignment="1">
      <alignment horizontal="center" vertical="center"/>
    </xf>
    <xf numFmtId="0" fontId="38" fillId="8" borderId="10" xfId="3" applyFont="1" applyFill="1" applyBorder="1" applyAlignment="1">
      <alignment horizontal="center" vertical="center"/>
    </xf>
    <xf numFmtId="0" fontId="38" fillId="8" borderId="11" xfId="3" applyFont="1" applyFill="1" applyBorder="1" applyAlignment="1">
      <alignment horizontal="center" vertical="center"/>
    </xf>
    <xf numFmtId="0" fontId="34" fillId="8" borderId="7" xfId="3" applyFont="1" applyFill="1" applyBorder="1" applyAlignment="1">
      <alignment horizontal="center" vertical="center"/>
    </xf>
    <xf numFmtId="2" fontId="38" fillId="2" borderId="7" xfId="3" applyNumberFormat="1" applyFont="1" applyFill="1" applyBorder="1" applyAlignment="1">
      <alignment horizontal="center" vertical="center"/>
    </xf>
    <xf numFmtId="166" fontId="38" fillId="8" borderId="7" xfId="3" applyNumberFormat="1" applyFont="1" applyFill="1" applyBorder="1" applyAlignment="1">
      <alignment horizontal="center" wrapText="1" shrinkToFit="1"/>
    </xf>
    <xf numFmtId="2" fontId="40" fillId="8" borderId="7" xfId="3" applyNumberFormat="1" applyFont="1" applyFill="1" applyBorder="1" applyAlignment="1">
      <alignment horizontal="right" vertical="center"/>
    </xf>
    <xf numFmtId="1" fontId="40" fillId="8" borderId="7" xfId="3" applyNumberFormat="1" applyFont="1" applyFill="1" applyBorder="1" applyAlignment="1">
      <alignment horizontal="center" vertical="center"/>
    </xf>
    <xf numFmtId="166" fontId="34" fillId="2" borderId="6" xfId="3" applyNumberFormat="1" applyFont="1" applyFill="1" applyBorder="1" applyAlignment="1">
      <alignment horizontal="center" vertical="center" wrapText="1" shrinkToFit="1"/>
    </xf>
    <xf numFmtId="0" fontId="34" fillId="2" borderId="6" xfId="3" applyFont="1" applyFill="1" applyBorder="1" applyAlignment="1">
      <alignment horizontal="center" vertical="center"/>
    </xf>
    <xf numFmtId="0" fontId="34" fillId="8" borderId="9" xfId="3" applyFont="1" applyFill="1" applyBorder="1" applyAlignment="1">
      <alignment horizontal="left" vertical="center"/>
    </xf>
    <xf numFmtId="0" fontId="34" fillId="8" borderId="10" xfId="3" applyFont="1" applyFill="1" applyBorder="1" applyAlignment="1">
      <alignment horizontal="left" vertical="center"/>
    </xf>
    <xf numFmtId="0" fontId="34" fillId="8" borderId="11" xfId="3" applyFont="1" applyFill="1" applyBorder="1" applyAlignment="1">
      <alignment horizontal="left" vertical="center"/>
    </xf>
    <xf numFmtId="0" fontId="34" fillId="8" borderId="7" xfId="3" applyFont="1" applyFill="1" applyBorder="1" applyAlignment="1">
      <alignment horizontal="center"/>
    </xf>
    <xf numFmtId="2" fontId="33" fillId="8" borderId="7" xfId="3" applyNumberFormat="1" applyFont="1" applyFill="1" applyBorder="1" applyAlignment="1">
      <alignment horizontal="center"/>
    </xf>
    <xf numFmtId="1" fontId="34" fillId="2" borderId="7" xfId="5" applyNumberFormat="1" applyFont="1" applyFill="1" applyBorder="1" applyAlignment="1">
      <alignment horizontal="center" vertical="center"/>
    </xf>
    <xf numFmtId="1" fontId="34" fillId="8" borderId="2" xfId="5" applyNumberFormat="1" applyFont="1" applyFill="1" applyBorder="1" applyAlignment="1" applyProtection="1">
      <alignment horizontal="center"/>
    </xf>
    <xf numFmtId="1" fontId="34" fillId="2" borderId="6" xfId="5" applyNumberFormat="1" applyFont="1" applyFill="1" applyBorder="1" applyAlignment="1" applyProtection="1">
      <alignment horizontal="center"/>
    </xf>
    <xf numFmtId="0" fontId="34" fillId="8" borderId="12" xfId="3" applyFont="1" applyFill="1" applyBorder="1" applyAlignment="1">
      <alignment horizontal="left" vertical="center"/>
    </xf>
    <xf numFmtId="0" fontId="34" fillId="8" borderId="5" xfId="3" applyFont="1" applyFill="1" applyBorder="1" applyAlignment="1">
      <alignment horizontal="left" vertical="center"/>
    </xf>
    <xf numFmtId="0" fontId="34" fillId="8" borderId="13" xfId="3" applyFont="1" applyFill="1" applyBorder="1" applyAlignment="1">
      <alignment horizontal="left" vertical="center"/>
    </xf>
    <xf numFmtId="0" fontId="34" fillId="8" borderId="8" xfId="3" applyFont="1" applyFill="1" applyBorder="1" applyAlignment="1">
      <alignment horizontal="center"/>
    </xf>
    <xf numFmtId="2" fontId="33" fillId="8" borderId="8" xfId="3" applyNumberFormat="1" applyFont="1" applyFill="1" applyBorder="1" applyAlignment="1">
      <alignment horizontal="center"/>
    </xf>
    <xf numFmtId="1" fontId="34" fillId="8" borderId="8" xfId="5" applyNumberFormat="1" applyFont="1" applyFill="1" applyBorder="1" applyAlignment="1">
      <alignment horizontal="center" vertical="center"/>
    </xf>
    <xf numFmtId="169" fontId="34" fillId="8" borderId="2" xfId="3" applyNumberFormat="1" applyFont="1" applyFill="1" applyBorder="1" applyAlignment="1">
      <alignment vertical="center"/>
    </xf>
    <xf numFmtId="169" fontId="34" fillId="8" borderId="3" xfId="3" applyNumberFormat="1" applyFont="1" applyFill="1" applyBorder="1" applyAlignment="1">
      <alignment vertical="center"/>
    </xf>
    <xf numFmtId="169" fontId="34" fillId="8" borderId="4" xfId="3" applyNumberFormat="1" applyFont="1" applyFill="1" applyBorder="1" applyAlignment="1">
      <alignment vertical="center"/>
    </xf>
    <xf numFmtId="1" fontId="34" fillId="2" borderId="1" xfId="5" applyNumberFormat="1" applyFont="1" applyFill="1" applyBorder="1" applyAlignment="1">
      <alignment horizontal="center" vertical="center"/>
    </xf>
    <xf numFmtId="2" fontId="33" fillId="8" borderId="1" xfId="3" applyNumberFormat="1" applyFont="1" applyFill="1" applyBorder="1" applyAlignment="1">
      <alignment horizontal="right"/>
    </xf>
    <xf numFmtId="0" fontId="34" fillId="8" borderId="2" xfId="3" applyFont="1" applyFill="1" applyBorder="1" applyAlignment="1">
      <alignment horizontal="left" vertical="center"/>
    </xf>
    <xf numFmtId="0" fontId="34" fillId="8" borderId="3" xfId="3" applyFont="1" applyFill="1" applyBorder="1" applyAlignment="1">
      <alignment horizontal="left" vertical="center"/>
    </xf>
    <xf numFmtId="0" fontId="34" fillId="8" borderId="4" xfId="3" applyFont="1" applyFill="1" applyBorder="1" applyAlignment="1">
      <alignment horizontal="left" vertical="center"/>
    </xf>
    <xf numFmtId="0" fontId="34" fillId="2" borderId="6" xfId="3" applyFont="1" applyFill="1" applyBorder="1" applyAlignment="1">
      <alignment horizontal="center"/>
    </xf>
    <xf numFmtId="0" fontId="34" fillId="8" borderId="9" xfId="3" applyFont="1" applyFill="1" applyBorder="1" applyAlignment="1">
      <alignment horizontal="left"/>
    </xf>
    <xf numFmtId="0" fontId="34" fillId="8" borderId="10" xfId="3" applyFont="1" applyFill="1" applyBorder="1" applyAlignment="1">
      <alignment horizontal="left"/>
    </xf>
    <xf numFmtId="0" fontId="34" fillId="8" borderId="11" xfId="3" applyFont="1" applyFill="1" applyBorder="1" applyAlignment="1">
      <alignment horizontal="left"/>
    </xf>
    <xf numFmtId="0" fontId="34" fillId="2" borderId="2" xfId="3" applyFont="1" applyFill="1" applyBorder="1" applyAlignment="1">
      <alignment horizontal="left" vertical="center"/>
    </xf>
    <xf numFmtId="0" fontId="34" fillId="2" borderId="3" xfId="3" applyFont="1" applyFill="1" applyBorder="1" applyAlignment="1">
      <alignment horizontal="left" vertical="center"/>
    </xf>
    <xf numFmtId="0" fontId="34" fillId="2" borderId="4" xfId="3" applyFont="1" applyFill="1" applyBorder="1" applyAlignment="1">
      <alignment horizontal="left" vertical="center"/>
    </xf>
    <xf numFmtId="0" fontId="33" fillId="2" borderId="1" xfId="4" applyFont="1" applyFill="1" applyBorder="1" applyAlignment="1">
      <alignment horizontal="center"/>
    </xf>
    <xf numFmtId="1" fontId="34" fillId="2" borderId="8" xfId="3" applyNumberFormat="1" applyFont="1" applyFill="1" applyBorder="1" applyAlignment="1">
      <alignment horizontal="center"/>
    </xf>
    <xf numFmtId="1" fontId="34" fillId="2" borderId="2" xfId="5" applyNumberFormat="1" applyFont="1" applyFill="1" applyBorder="1" applyAlignment="1" applyProtection="1">
      <alignment horizontal="center"/>
    </xf>
    <xf numFmtId="0" fontId="33" fillId="0" borderId="1" xfId="4" applyFont="1" applyBorder="1"/>
    <xf numFmtId="0" fontId="44" fillId="8" borderId="1" xfId="3" applyFont="1" applyFill="1" applyBorder="1" applyAlignment="1">
      <alignment horizontal="center"/>
    </xf>
    <xf numFmtId="166" fontId="44" fillId="8" borderId="1" xfId="5" applyNumberFormat="1" applyFont="1" applyFill="1" applyBorder="1" applyAlignment="1">
      <alignment horizontal="center" vertical="center"/>
    </xf>
    <xf numFmtId="1" fontId="33" fillId="12" borderId="1" xfId="5" applyNumberFormat="1" applyFont="1" applyFill="1" applyBorder="1" applyAlignment="1" applyProtection="1">
      <alignment horizontal="center"/>
    </xf>
    <xf numFmtId="0" fontId="44" fillId="0" borderId="1" xfId="4" applyFont="1" applyBorder="1" applyAlignment="1">
      <alignment horizontal="center"/>
    </xf>
    <xf numFmtId="0" fontId="47" fillId="2" borderId="2" xfId="3" applyFont="1" applyFill="1" applyBorder="1" applyAlignment="1">
      <alignment horizontal="center"/>
    </xf>
    <xf numFmtId="0" fontId="47" fillId="2" borderId="3" xfId="3" applyFont="1" applyFill="1" applyBorder="1" applyAlignment="1">
      <alignment horizontal="center"/>
    </xf>
    <xf numFmtId="0" fontId="47" fillId="2" borderId="4" xfId="3" applyFont="1" applyFill="1" applyBorder="1" applyAlignment="1">
      <alignment horizontal="center"/>
    </xf>
    <xf numFmtId="164" fontId="47" fillId="8" borderId="1" xfId="8" applyFont="1" applyFill="1" applyBorder="1" applyAlignment="1">
      <alignment horizontal="center"/>
    </xf>
    <xf numFmtId="2" fontId="47" fillId="8" borderId="1" xfId="3" applyNumberFormat="1" applyFont="1" applyFill="1" applyBorder="1" applyAlignment="1">
      <alignment horizontal="center"/>
    </xf>
    <xf numFmtId="166" fontId="42" fillId="8" borderId="1" xfId="3" applyNumberFormat="1" applyFont="1" applyFill="1" applyBorder="1" applyAlignment="1">
      <alignment horizontal="center"/>
    </xf>
    <xf numFmtId="1" fontId="46" fillId="8" borderId="1" xfId="3" applyNumberFormat="1" applyFont="1" applyFill="1" applyBorder="1" applyAlignment="1">
      <alignment horizontal="center"/>
    </xf>
    <xf numFmtId="0" fontId="47" fillId="8" borderId="1" xfId="3" applyFont="1" applyFill="1" applyBorder="1" applyAlignment="1">
      <alignment horizontal="center"/>
    </xf>
    <xf numFmtId="1" fontId="47" fillId="8" borderId="1" xfId="5" applyNumberFormat="1" applyFont="1" applyFill="1" applyBorder="1" applyAlignment="1">
      <alignment horizontal="center" vertical="center"/>
    </xf>
    <xf numFmtId="166" fontId="46" fillId="8" borderId="1" xfId="5" applyNumberFormat="1" applyFont="1" applyFill="1" applyBorder="1" applyAlignment="1" applyProtection="1">
      <alignment horizontal="center"/>
    </xf>
    <xf numFmtId="1" fontId="47" fillId="0" borderId="1" xfId="4" applyNumberFormat="1" applyFont="1" applyBorder="1" applyAlignment="1">
      <alignment horizontal="center"/>
    </xf>
    <xf numFmtId="2" fontId="46" fillId="8" borderId="1" xfId="3" applyNumberFormat="1" applyFont="1" applyFill="1" applyBorder="1" applyAlignment="1">
      <alignment horizontal="right"/>
    </xf>
    <xf numFmtId="1" fontId="47" fillId="8" borderId="1" xfId="3" applyNumberFormat="1" applyFont="1" applyFill="1" applyBorder="1" applyAlignment="1">
      <alignment horizontal="center" vertical="center"/>
    </xf>
    <xf numFmtId="0" fontId="44" fillId="2" borderId="1" xfId="3" applyFont="1" applyFill="1" applyBorder="1" applyAlignment="1">
      <alignment horizontal="center"/>
    </xf>
    <xf numFmtId="1" fontId="45" fillId="2" borderId="1" xfId="3" applyNumberFormat="1" applyFont="1" applyFill="1" applyBorder="1" applyAlignment="1">
      <alignment horizontal="center" vertical="top"/>
    </xf>
    <xf numFmtId="0" fontId="33" fillId="0" borderId="1" xfId="4" applyFont="1" applyBorder="1" applyAlignment="1">
      <alignment horizontal="center" vertical="center"/>
    </xf>
    <xf numFmtId="2" fontId="33" fillId="8" borderId="1" xfId="3" applyNumberFormat="1" applyFont="1" applyFill="1" applyBorder="1" applyAlignment="1">
      <alignment horizontal="center" vertical="center"/>
    </xf>
    <xf numFmtId="2" fontId="34" fillId="8" borderId="2" xfId="3" applyNumberFormat="1" applyFont="1" applyFill="1" applyBorder="1" applyAlignment="1">
      <alignment horizontal="left" vertical="center"/>
    </xf>
    <xf numFmtId="2" fontId="34" fillId="8" borderId="3" xfId="3" applyNumberFormat="1" applyFont="1" applyFill="1" applyBorder="1" applyAlignment="1">
      <alignment horizontal="left" vertical="center"/>
    </xf>
    <xf numFmtId="2" fontId="34" fillId="8" borderId="4" xfId="3" applyNumberFormat="1" applyFont="1" applyFill="1" applyBorder="1" applyAlignment="1">
      <alignment horizontal="left" vertical="center"/>
    </xf>
    <xf numFmtId="1" fontId="34" fillId="8" borderId="1" xfId="3" applyNumberFormat="1" applyFont="1" applyFill="1" applyBorder="1" applyAlignment="1">
      <alignment horizontal="center" vertical="center"/>
    </xf>
    <xf numFmtId="0" fontId="34" fillId="8" borderId="3" xfId="3" applyFont="1" applyFill="1" applyBorder="1" applyAlignment="1">
      <alignment horizontal="left" vertical="justify"/>
    </xf>
    <xf numFmtId="0" fontId="34" fillId="8" borderId="4" xfId="3" applyFont="1" applyFill="1" applyBorder="1" applyAlignment="1">
      <alignment horizontal="left" vertical="justify"/>
    </xf>
    <xf numFmtId="0" fontId="34" fillId="8" borderId="1" xfId="3" applyFont="1" applyFill="1" applyBorder="1" applyAlignment="1">
      <alignment horizontal="left" vertical="center"/>
    </xf>
    <xf numFmtId="0" fontId="34" fillId="0" borderId="2" xfId="4" applyFont="1" applyBorder="1" applyAlignment="1">
      <alignment vertical="center"/>
    </xf>
    <xf numFmtId="0" fontId="34" fillId="0" borderId="3" xfId="4" applyFont="1" applyBorder="1" applyAlignment="1">
      <alignment vertical="center"/>
    </xf>
    <xf numFmtId="0" fontId="34" fillId="0" borderId="4" xfId="4" applyFont="1" applyBorder="1" applyAlignment="1">
      <alignment vertical="center"/>
    </xf>
    <xf numFmtId="166" fontId="33" fillId="2" borderId="1" xfId="5" applyNumberFormat="1" applyFont="1" applyFill="1" applyBorder="1" applyAlignment="1" applyProtection="1">
      <alignment horizontal="center" vertical="center"/>
    </xf>
    <xf numFmtId="166" fontId="33" fillId="8" borderId="1" xfId="5" applyNumberFormat="1" applyFont="1" applyFill="1" applyBorder="1" applyAlignment="1" applyProtection="1">
      <alignment horizontal="center" vertical="top"/>
    </xf>
    <xf numFmtId="2" fontId="34" fillId="2" borderId="6" xfId="5" applyNumberFormat="1" applyFont="1" applyFill="1" applyBorder="1" applyAlignment="1" applyProtection="1">
      <alignment horizontal="center"/>
    </xf>
    <xf numFmtId="167" fontId="34" fillId="2" borderId="6" xfId="6" applyNumberFormat="1" applyFont="1" applyFill="1" applyBorder="1" applyAlignment="1">
      <alignment horizontal="center"/>
    </xf>
    <xf numFmtId="0" fontId="33" fillId="2" borderId="1" xfId="3" applyFont="1" applyFill="1" applyBorder="1" applyAlignment="1">
      <alignment horizontal="center"/>
    </xf>
    <xf numFmtId="0" fontId="34" fillId="2" borderId="1" xfId="4" applyFont="1" applyFill="1" applyBorder="1" applyAlignment="1">
      <alignment horizontal="center"/>
    </xf>
    <xf numFmtId="1" fontId="34" fillId="2" borderId="1" xfId="3" applyNumberFormat="1" applyFont="1" applyFill="1" applyBorder="1" applyAlignment="1">
      <alignment horizontal="center"/>
    </xf>
    <xf numFmtId="0" fontId="34" fillId="0" borderId="1" xfId="4" applyFont="1" applyBorder="1" applyAlignment="1">
      <alignment horizontal="center"/>
    </xf>
    <xf numFmtId="166" fontId="34" fillId="2" borderId="6" xfId="5" applyNumberFormat="1" applyFont="1" applyFill="1" applyBorder="1" applyAlignment="1" applyProtection="1">
      <alignment horizontal="center"/>
    </xf>
    <xf numFmtId="0" fontId="34" fillId="0" borderId="1" xfId="4" applyFont="1" applyBorder="1"/>
    <xf numFmtId="0" fontId="33" fillId="0" borderId="0" xfId="0" applyFont="1" applyBorder="1"/>
    <xf numFmtId="0" fontId="33" fillId="0" borderId="0" xfId="0" applyFont="1"/>
    <xf numFmtId="166" fontId="34" fillId="2" borderId="6" xfId="3" applyNumberFormat="1" applyFont="1" applyFill="1" applyBorder="1" applyAlignment="1">
      <alignment horizontal="center"/>
    </xf>
    <xf numFmtId="0" fontId="34" fillId="8" borderId="12" xfId="3" applyFont="1" applyFill="1" applyBorder="1" applyAlignment="1">
      <alignment horizontal="left"/>
    </xf>
    <xf numFmtId="0" fontId="34" fillId="8" borderId="5" xfId="3" applyFont="1" applyFill="1" applyBorder="1" applyAlignment="1">
      <alignment horizontal="left"/>
    </xf>
    <xf numFmtId="0" fontId="34" fillId="8" borderId="13" xfId="3" applyFont="1" applyFill="1" applyBorder="1" applyAlignment="1">
      <alignment horizontal="left"/>
    </xf>
    <xf numFmtId="165" fontId="33" fillId="8" borderId="8" xfId="7" applyFont="1" applyFill="1" applyBorder="1" applyAlignment="1">
      <alignment horizontal="right" wrapText="1"/>
    </xf>
    <xf numFmtId="165" fontId="33" fillId="8" borderId="1" xfId="7" applyFont="1" applyFill="1" applyBorder="1" applyAlignment="1">
      <alignment horizontal="right" wrapText="1"/>
    </xf>
    <xf numFmtId="167" fontId="33" fillId="0" borderId="1" xfId="6" applyNumberFormat="1" applyFont="1" applyFill="1" applyBorder="1" applyAlignment="1"/>
    <xf numFmtId="166" fontId="34" fillId="2" borderId="0" xfId="5" applyNumberFormat="1" applyFont="1" applyFill="1" applyBorder="1" applyAlignment="1" applyProtection="1">
      <alignment horizontal="center"/>
    </xf>
    <xf numFmtId="1" fontId="33" fillId="8" borderId="1" xfId="5" applyNumberFormat="1" applyFont="1" applyFill="1" applyBorder="1" applyAlignment="1">
      <alignment horizontal="right"/>
    </xf>
    <xf numFmtId="0" fontId="49" fillId="0" borderId="0" xfId="4" applyFont="1"/>
    <xf numFmtId="1" fontId="37" fillId="0" borderId="0" xfId="0" applyNumberFormat="1" applyFont="1" applyAlignment="1">
      <alignment horizontal="center"/>
    </xf>
    <xf numFmtId="1" fontId="37" fillId="0" borderId="0" xfId="0" applyNumberFormat="1" applyFont="1"/>
    <xf numFmtId="170" fontId="42" fillId="8" borderId="1" xfId="5" applyNumberFormat="1" applyFont="1" applyFill="1" applyBorder="1" applyAlignment="1" applyProtection="1">
      <alignment horizontal="center" vertical="center"/>
    </xf>
    <xf numFmtId="171" fontId="44" fillId="8" borderId="1" xfId="5" applyNumberFormat="1" applyFont="1" applyFill="1" applyBorder="1" applyAlignment="1" applyProtection="1">
      <alignment horizontal="center" vertical="center"/>
    </xf>
    <xf numFmtId="2" fontId="33" fillId="12" borderId="8" xfId="3" applyNumberFormat="1" applyFont="1" applyFill="1" applyBorder="1" applyAlignment="1">
      <alignment horizontal="center"/>
    </xf>
    <xf numFmtId="1" fontId="33" fillId="8" borderId="1" xfId="3" applyNumberFormat="1" applyFont="1" applyFill="1" applyBorder="1" applyAlignment="1">
      <alignment horizontal="center"/>
    </xf>
    <xf numFmtId="2" fontId="16" fillId="2" borderId="1" xfId="3" applyNumberFormat="1" applyFont="1" applyFill="1" applyBorder="1" applyAlignment="1">
      <alignment horizontal="right"/>
    </xf>
    <xf numFmtId="1" fontId="11" fillId="2" borderId="3" xfId="1" applyNumberFormat="1" applyFont="1" applyFill="1" applyBorder="1" applyAlignment="1">
      <alignment vertical="center" wrapText="1"/>
    </xf>
    <xf numFmtId="0" fontId="39" fillId="2" borderId="0" xfId="3" applyFont="1" applyFill="1" applyBorder="1" applyAlignment="1">
      <alignment horizontal="center" vertical="center"/>
    </xf>
    <xf numFmtId="166" fontId="39" fillId="2" borderId="0" xfId="3" applyNumberFormat="1" applyFont="1" applyFill="1" applyBorder="1" applyAlignment="1">
      <alignment horizontal="center"/>
    </xf>
    <xf numFmtId="1" fontId="34" fillId="2" borderId="0" xfId="5" applyNumberFormat="1" applyFont="1" applyFill="1" applyBorder="1" applyAlignment="1" applyProtection="1">
      <alignment horizontal="center"/>
    </xf>
    <xf numFmtId="0" fontId="34" fillId="2" borderId="0" xfId="3" applyFont="1" applyFill="1" applyBorder="1" applyAlignment="1">
      <alignment horizontal="center"/>
    </xf>
    <xf numFmtId="2" fontId="16" fillId="12" borderId="8" xfId="3" applyNumberFormat="1" applyFont="1" applyFill="1" applyBorder="1" applyAlignment="1">
      <alignment horizontal="center"/>
    </xf>
    <xf numFmtId="0" fontId="50" fillId="0" borderId="0" xfId="0" applyFont="1"/>
    <xf numFmtId="0" fontId="50" fillId="0" borderId="0" xfId="0" applyFont="1" applyBorder="1"/>
    <xf numFmtId="0" fontId="52" fillId="0" borderId="0" xfId="0" applyFont="1" applyBorder="1"/>
    <xf numFmtId="0" fontId="52" fillId="0" borderId="0" xfId="0" applyFont="1"/>
    <xf numFmtId="166" fontId="51" fillId="2" borderId="0" xfId="5" applyNumberFormat="1" applyFont="1" applyFill="1" applyBorder="1" applyAlignment="1" applyProtection="1">
      <alignment horizontal="center"/>
    </xf>
    <xf numFmtId="0" fontId="54" fillId="0" borderId="0" xfId="4" applyFont="1"/>
    <xf numFmtId="1" fontId="50" fillId="0" borderId="0" xfId="0" applyNumberFormat="1" applyFont="1"/>
    <xf numFmtId="9" fontId="0" fillId="0" borderId="0" xfId="0" applyNumberFormat="1"/>
    <xf numFmtId="9" fontId="11" fillId="0" borderId="1" xfId="1" applyNumberFormat="1" applyFont="1" applyBorder="1" applyAlignment="1">
      <alignment vertical="center" wrapText="1"/>
    </xf>
    <xf numFmtId="0" fontId="34" fillId="0" borderId="2" xfId="4" applyFont="1" applyBorder="1"/>
    <xf numFmtId="1" fontId="37" fillId="0" borderId="0" xfId="0" applyNumberFormat="1" applyFont="1" applyBorder="1"/>
    <xf numFmtId="0" fontId="33" fillId="9" borderId="1" xfId="3" applyFont="1" applyFill="1" applyBorder="1" applyAlignment="1"/>
    <xf numFmtId="0" fontId="34" fillId="9" borderId="1" xfId="3" applyFont="1" applyFill="1" applyBorder="1" applyAlignment="1">
      <alignment horizontal="center"/>
    </xf>
    <xf numFmtId="1" fontId="55" fillId="2" borderId="1" xfId="5" applyNumberFormat="1" applyFont="1" applyFill="1" applyBorder="1" applyAlignment="1">
      <alignment horizontal="center" vertical="center"/>
    </xf>
    <xf numFmtId="1" fontId="55" fillId="8" borderId="1" xfId="5" applyNumberFormat="1" applyFont="1" applyFill="1" applyBorder="1" applyAlignment="1">
      <alignment horizontal="center" vertical="center"/>
    </xf>
    <xf numFmtId="0" fontId="34" fillId="15" borderId="1" xfId="3" applyFont="1" applyFill="1" applyBorder="1" applyAlignment="1">
      <alignment horizontal="center" vertical="center"/>
    </xf>
    <xf numFmtId="1" fontId="34" fillId="15" borderId="1" xfId="3" applyNumberFormat="1" applyFont="1" applyFill="1" applyBorder="1" applyAlignment="1">
      <alignment horizontal="center" vertical="center"/>
    </xf>
    <xf numFmtId="1" fontId="34" fillId="15" borderId="2" xfId="3" applyNumberFormat="1" applyFont="1" applyFill="1" applyBorder="1" applyAlignment="1">
      <alignment horizontal="center" vertical="center"/>
    </xf>
    <xf numFmtId="0" fontId="42" fillId="15" borderId="1" xfId="3" applyFont="1" applyFill="1" applyBorder="1" applyAlignment="1">
      <alignment horizontal="center"/>
    </xf>
    <xf numFmtId="1" fontId="42" fillId="15" borderId="1" xfId="3" applyNumberFormat="1" applyFont="1" applyFill="1" applyBorder="1" applyAlignment="1">
      <alignment horizontal="center"/>
    </xf>
    <xf numFmtId="0" fontId="42" fillId="15" borderId="1" xfId="3" applyFont="1" applyFill="1" applyBorder="1" applyAlignment="1">
      <alignment horizontal="center" vertical="center"/>
    </xf>
    <xf numFmtId="0" fontId="46" fillId="15" borderId="1" xfId="3" applyFont="1" applyFill="1" applyBorder="1" applyAlignment="1">
      <alignment horizontal="center" vertical="center"/>
    </xf>
    <xf numFmtId="0" fontId="38" fillId="15" borderId="1" xfId="3" applyFont="1" applyFill="1" applyBorder="1" applyAlignment="1"/>
    <xf numFmtId="0" fontId="38" fillId="15" borderId="2" xfId="3" applyFont="1" applyFill="1" applyBorder="1" applyAlignment="1"/>
    <xf numFmtId="0" fontId="38" fillId="15" borderId="3" xfId="3" applyFont="1" applyFill="1" applyBorder="1" applyAlignment="1"/>
    <xf numFmtId="0" fontId="34" fillId="15" borderId="3" xfId="3" applyFont="1" applyFill="1" applyBorder="1" applyAlignment="1"/>
    <xf numFmtId="0" fontId="34" fillId="15" borderId="4" xfId="3" applyFont="1" applyFill="1" applyBorder="1" applyAlignment="1">
      <alignment vertical="center"/>
    </xf>
    <xf numFmtId="0" fontId="33" fillId="15" borderId="1" xfId="3" applyFont="1" applyFill="1" applyBorder="1" applyAlignment="1"/>
    <xf numFmtId="0" fontId="34" fillId="15" borderId="3" xfId="3" applyFont="1" applyFill="1" applyBorder="1" applyAlignment="1">
      <alignment horizontal="center"/>
    </xf>
    <xf numFmtId="1" fontId="34" fillId="15" borderId="1" xfId="5" applyNumberFormat="1" applyFont="1" applyFill="1" applyBorder="1" applyAlignment="1">
      <alignment horizontal="center"/>
    </xf>
    <xf numFmtId="0" fontId="34" fillId="16" borderId="2" xfId="3" applyFont="1" applyFill="1" applyBorder="1" applyAlignment="1">
      <alignment horizontal="center"/>
    </xf>
    <xf numFmtId="0" fontId="34" fillId="16" borderId="3" xfId="3" applyFont="1" applyFill="1" applyBorder="1" applyAlignment="1">
      <alignment horizontal="center"/>
    </xf>
    <xf numFmtId="0" fontId="34" fillId="16" borderId="4" xfId="3" applyFont="1" applyFill="1" applyBorder="1" applyAlignment="1">
      <alignment horizontal="center"/>
    </xf>
    <xf numFmtId="0" fontId="34" fillId="16" borderId="2" xfId="3" applyFont="1" applyFill="1" applyBorder="1" applyAlignment="1">
      <alignment horizontal="center" vertical="center"/>
    </xf>
    <xf numFmtId="0" fontId="34" fillId="16" borderId="3" xfId="3" applyFont="1" applyFill="1" applyBorder="1" applyAlignment="1">
      <alignment horizontal="center" vertical="center"/>
    </xf>
    <xf numFmtId="0" fontId="34" fillId="16" borderId="4" xfId="3" applyFont="1" applyFill="1" applyBorder="1" applyAlignment="1">
      <alignment horizontal="center" vertical="center"/>
    </xf>
    <xf numFmtId="0" fontId="47" fillId="16" borderId="2" xfId="3" applyFont="1" applyFill="1" applyBorder="1" applyAlignment="1">
      <alignment horizontal="center"/>
    </xf>
    <xf numFmtId="0" fontId="47" fillId="16" borderId="3" xfId="3" applyFont="1" applyFill="1" applyBorder="1" applyAlignment="1">
      <alignment horizontal="center"/>
    </xf>
    <xf numFmtId="0" fontId="47" fillId="16" borderId="4" xfId="3" applyFont="1" applyFill="1" applyBorder="1" applyAlignment="1">
      <alignment horizontal="center"/>
    </xf>
    <xf numFmtId="0" fontId="43" fillId="16" borderId="1" xfId="4" applyFont="1" applyFill="1" applyBorder="1"/>
    <xf numFmtId="0" fontId="46" fillId="16" borderId="1" xfId="0" applyFont="1" applyFill="1" applyBorder="1"/>
    <xf numFmtId="1" fontId="42" fillId="2" borderId="1" xfId="3" applyNumberFormat="1" applyFont="1" applyFill="1" applyBorder="1" applyAlignment="1">
      <alignment horizontal="center"/>
    </xf>
    <xf numFmtId="2" fontId="33" fillId="8" borderId="1" xfId="9" applyNumberFormat="1" applyFont="1" applyFill="1" applyBorder="1" applyAlignment="1">
      <alignment horizontal="center"/>
    </xf>
    <xf numFmtId="0" fontId="34" fillId="15" borderId="8" xfId="3" applyFont="1" applyFill="1" applyBorder="1" applyAlignment="1">
      <alignment horizontal="center" vertical="center"/>
    </xf>
    <xf numFmtId="0" fontId="34" fillId="8" borderId="8" xfId="3" applyFont="1" applyFill="1" applyBorder="1" applyAlignment="1">
      <alignment horizontal="center" vertical="center"/>
    </xf>
    <xf numFmtId="2" fontId="16" fillId="8" borderId="25" xfId="3" applyNumberFormat="1" applyFont="1" applyFill="1" applyBorder="1" applyAlignment="1">
      <alignment horizontal="center"/>
    </xf>
    <xf numFmtId="0" fontId="34" fillId="2" borderId="8" xfId="3" applyFont="1" applyFill="1" applyBorder="1" applyAlignment="1">
      <alignment horizontal="center"/>
    </xf>
    <xf numFmtId="0" fontId="34" fillId="15" borderId="8" xfId="3" applyFont="1" applyFill="1" applyBorder="1" applyAlignment="1">
      <alignment horizontal="center"/>
    </xf>
    <xf numFmtId="2" fontId="16" fillId="8" borderId="26" xfId="3" applyNumberFormat="1" applyFont="1" applyFill="1" applyBorder="1" applyAlignment="1">
      <alignment horizontal="center"/>
    </xf>
    <xf numFmtId="0" fontId="8" fillId="0" borderId="2" xfId="1" applyFont="1" applyBorder="1" applyAlignment="1">
      <alignment horizontal="center" vertical="top" wrapText="1"/>
    </xf>
    <xf numFmtId="0" fontId="2" fillId="0" borderId="1" xfId="1" applyFont="1" applyFill="1" applyBorder="1" applyAlignment="1">
      <alignment horizontal="center" vertical="center" wrapText="1"/>
    </xf>
    <xf numFmtId="0" fontId="44" fillId="8" borderId="8" xfId="3" applyFont="1" applyFill="1" applyBorder="1" applyAlignment="1">
      <alignment horizontal="center"/>
    </xf>
    <xf numFmtId="2" fontId="34" fillId="8" borderId="8" xfId="3" applyNumberFormat="1" applyFont="1" applyFill="1" applyBorder="1" applyAlignment="1">
      <alignment horizontal="center"/>
    </xf>
    <xf numFmtId="0" fontId="38" fillId="2" borderId="1" xfId="4" applyFont="1" applyFill="1" applyBorder="1" applyAlignment="1">
      <alignment horizontal="left"/>
    </xf>
    <xf numFmtId="0" fontId="38" fillId="2" borderId="1" xfId="4" applyFont="1" applyFill="1" applyBorder="1" applyAlignment="1"/>
    <xf numFmtId="2" fontId="33" fillId="2" borderId="1" xfId="3" applyNumberFormat="1" applyFont="1" applyFill="1" applyBorder="1" applyAlignment="1">
      <alignment horizontal="right"/>
    </xf>
    <xf numFmtId="0" fontId="38" fillId="2" borderId="8" xfId="4" applyFont="1" applyFill="1" applyBorder="1" applyAlignment="1">
      <alignment horizontal="left"/>
    </xf>
    <xf numFmtId="2" fontId="52" fillId="8" borderId="1" xfId="3" applyNumberFormat="1" applyFont="1" applyFill="1" applyBorder="1" applyAlignment="1">
      <alignment horizontal="center"/>
    </xf>
    <xf numFmtId="166" fontId="51" fillId="2" borderId="0" xfId="3" applyNumberFormat="1" applyFont="1" applyFill="1" applyBorder="1" applyAlignment="1">
      <alignment horizontal="center" vertical="center" wrapText="1" shrinkToFit="1"/>
    </xf>
    <xf numFmtId="0" fontId="51" fillId="2" borderId="0" xfId="3" applyFont="1" applyFill="1" applyBorder="1" applyAlignment="1">
      <alignment horizontal="center" vertical="center"/>
    </xf>
    <xf numFmtId="1" fontId="51" fillId="2" borderId="0" xfId="5" applyNumberFormat="1" applyFont="1" applyFill="1" applyBorder="1" applyAlignment="1" applyProtection="1">
      <alignment horizontal="center"/>
    </xf>
    <xf numFmtId="0" fontId="51" fillId="2" borderId="0" xfId="3" applyFont="1" applyFill="1" applyBorder="1" applyAlignment="1">
      <alignment horizontal="center"/>
    </xf>
    <xf numFmtId="2" fontId="51" fillId="2" borderId="0" xfId="5" applyNumberFormat="1" applyFont="1" applyFill="1" applyBorder="1" applyAlignment="1" applyProtection="1">
      <alignment horizontal="center"/>
    </xf>
    <xf numFmtId="167" fontId="51" fillId="2" borderId="0" xfId="6" applyNumberFormat="1" applyFont="1" applyFill="1" applyBorder="1" applyAlignment="1">
      <alignment horizontal="center"/>
    </xf>
    <xf numFmtId="166" fontId="51" fillId="2" borderId="0" xfId="3" applyNumberFormat="1" applyFont="1" applyFill="1" applyBorder="1" applyAlignment="1">
      <alignment horizontal="center"/>
    </xf>
    <xf numFmtId="0" fontId="57" fillId="0" borderId="30" xfId="4" applyFont="1" applyBorder="1" applyAlignment="1">
      <alignment vertical="center" wrapText="1"/>
    </xf>
    <xf numFmtId="0" fontId="57" fillId="0" borderId="25" xfId="4" applyFont="1" applyBorder="1" applyAlignment="1">
      <alignment vertical="center" wrapText="1"/>
    </xf>
    <xf numFmtId="0" fontId="34" fillId="15" borderId="1" xfId="3" applyFont="1" applyFill="1" applyBorder="1" applyAlignment="1">
      <alignment horizontal="center"/>
    </xf>
    <xf numFmtId="0" fontId="34" fillId="8" borderId="1" xfId="3" applyFont="1" applyFill="1" applyBorder="1" applyAlignment="1">
      <alignment horizontal="left"/>
    </xf>
    <xf numFmtId="1" fontId="5" fillId="0" borderId="1" xfId="1" applyNumberFormat="1" applyFont="1" applyFill="1" applyBorder="1" applyAlignment="1">
      <alignment horizontal="center" vertical="center" wrapText="1"/>
    </xf>
    <xf numFmtId="0" fontId="2" fillId="0" borderId="5" xfId="1" applyFont="1" applyFill="1" applyBorder="1" applyAlignment="1">
      <alignment horizontal="center" vertical="center" wrapText="1"/>
    </xf>
    <xf numFmtId="1" fontId="58" fillId="2" borderId="1" xfId="1" applyNumberFormat="1" applyFont="1" applyFill="1" applyBorder="1" applyAlignment="1">
      <alignment vertical="center" wrapText="1"/>
    </xf>
    <xf numFmtId="2" fontId="50" fillId="0" borderId="0" xfId="0" applyNumberFormat="1" applyFont="1"/>
    <xf numFmtId="0" fontId="50" fillId="0" borderId="0" xfId="0" applyFont="1" applyFill="1"/>
    <xf numFmtId="0" fontId="61" fillId="0" borderId="0" xfId="0" applyFont="1"/>
    <xf numFmtId="1" fontId="34" fillId="0" borderId="1" xfId="3" applyNumberFormat="1" applyFont="1" applyFill="1" applyBorder="1" applyAlignment="1">
      <alignment horizontal="center"/>
    </xf>
    <xf numFmtId="0" fontId="60" fillId="0" borderId="1" xfId="0" applyFont="1" applyFill="1" applyBorder="1"/>
    <xf numFmtId="0" fontId="61" fillId="0" borderId="0" xfId="0" applyFont="1" applyBorder="1"/>
    <xf numFmtId="0" fontId="61" fillId="0" borderId="1" xfId="0" applyFont="1" applyBorder="1" applyAlignment="1">
      <alignment horizontal="center"/>
    </xf>
    <xf numFmtId="1" fontId="61" fillId="0" borderId="1" xfId="0" applyNumberFormat="1" applyFont="1" applyBorder="1" applyAlignment="1">
      <alignment horizontal="center"/>
    </xf>
    <xf numFmtId="0" fontId="61" fillId="2" borderId="1" xfId="0" applyFont="1" applyFill="1" applyBorder="1" applyAlignment="1">
      <alignment horizontal="center"/>
    </xf>
    <xf numFmtId="0" fontId="60" fillId="0" borderId="1" xfId="0" applyFont="1" applyFill="1" applyBorder="1" applyAlignment="1">
      <alignment horizontal="center"/>
    </xf>
    <xf numFmtId="0" fontId="61" fillId="0" borderId="1" xfId="0" applyFont="1" applyFill="1" applyBorder="1" applyAlignment="1">
      <alignment horizontal="center"/>
    </xf>
    <xf numFmtId="1" fontId="34" fillId="0" borderId="1" xfId="5" applyNumberFormat="1" applyFont="1" applyFill="1" applyBorder="1" applyAlignment="1" applyProtection="1">
      <alignment horizontal="center"/>
    </xf>
    <xf numFmtId="1" fontId="61" fillId="0" borderId="1" xfId="0" applyNumberFormat="1" applyFont="1" applyFill="1" applyBorder="1" applyAlignment="1">
      <alignment horizontal="center"/>
    </xf>
    <xf numFmtId="1" fontId="61" fillId="0" borderId="0" xfId="0" applyNumberFormat="1" applyFont="1" applyAlignment="1">
      <alignment horizontal="center"/>
    </xf>
    <xf numFmtId="1" fontId="61" fillId="0" borderId="0" xfId="0" applyNumberFormat="1" applyFont="1"/>
    <xf numFmtId="0" fontId="61" fillId="0" borderId="0" xfId="0" applyFont="1" applyFill="1"/>
    <xf numFmtId="0" fontId="60" fillId="0" borderId="0" xfId="0" applyFont="1" applyFill="1"/>
    <xf numFmtId="1" fontId="60" fillId="0" borderId="1" xfId="0" applyNumberFormat="1" applyFont="1" applyFill="1" applyBorder="1"/>
    <xf numFmtId="0" fontId="34" fillId="0" borderId="32" xfId="3" applyFont="1" applyFill="1" applyBorder="1" applyAlignment="1">
      <alignment horizontal="center" vertical="center"/>
    </xf>
    <xf numFmtId="0" fontId="34" fillId="0" borderId="25" xfId="3" applyFont="1" applyFill="1" applyBorder="1" applyAlignment="1">
      <alignment horizontal="center" vertical="center"/>
    </xf>
    <xf numFmtId="2" fontId="33" fillId="0" borderId="25" xfId="3" applyNumberFormat="1" applyFont="1" applyFill="1" applyBorder="1" applyAlignment="1">
      <alignment horizontal="center" vertical="center"/>
    </xf>
    <xf numFmtId="0" fontId="35" fillId="0" borderId="25" xfId="4" applyFont="1" applyFill="1" applyBorder="1" applyAlignment="1">
      <alignment horizontal="center" vertical="center"/>
    </xf>
    <xf numFmtId="1" fontId="34" fillId="0" borderId="25" xfId="5" applyNumberFormat="1" applyFont="1" applyFill="1" applyBorder="1" applyAlignment="1">
      <alignment horizontal="center" vertical="center"/>
    </xf>
    <xf numFmtId="1" fontId="34" fillId="0" borderId="25" xfId="3" applyNumberFormat="1" applyFont="1" applyFill="1" applyBorder="1" applyAlignment="1">
      <alignment horizontal="center" vertical="center"/>
    </xf>
    <xf numFmtId="0" fontId="61" fillId="0" borderId="0" xfId="0" applyFont="1" applyFill="1" applyBorder="1" applyAlignment="1">
      <alignment horizontal="center" vertical="center"/>
    </xf>
    <xf numFmtId="1" fontId="34" fillId="0" borderId="30" xfId="5" applyNumberFormat="1" applyFont="1" applyFill="1" applyBorder="1" applyAlignment="1" applyProtection="1">
      <alignment horizontal="center" vertical="center"/>
    </xf>
    <xf numFmtId="0" fontId="34" fillId="10" borderId="32" xfId="3" applyFont="1" applyFill="1" applyBorder="1" applyAlignment="1">
      <alignment horizontal="center" vertical="center"/>
    </xf>
    <xf numFmtId="2" fontId="33" fillId="10" borderId="25" xfId="3" applyNumberFormat="1" applyFont="1" applyFill="1" applyBorder="1" applyAlignment="1">
      <alignment horizontal="center" vertical="center"/>
    </xf>
    <xf numFmtId="0" fontId="35" fillId="10" borderId="25" xfId="4" applyFont="1" applyFill="1" applyBorder="1" applyAlignment="1">
      <alignment horizontal="center" vertical="center"/>
    </xf>
    <xf numFmtId="1" fontId="34" fillId="10" borderId="25" xfId="5" applyNumberFormat="1" applyFont="1" applyFill="1" applyBorder="1" applyAlignment="1">
      <alignment horizontal="center" vertical="center"/>
    </xf>
    <xf numFmtId="1" fontId="34" fillId="10" borderId="25" xfId="3" applyNumberFormat="1" applyFont="1" applyFill="1" applyBorder="1" applyAlignment="1">
      <alignment horizontal="center" vertical="center"/>
    </xf>
    <xf numFmtId="0" fontId="61" fillId="10" borderId="0" xfId="0" applyFont="1" applyFill="1" applyBorder="1" applyAlignment="1">
      <alignment horizontal="center" vertical="center"/>
    </xf>
    <xf numFmtId="1" fontId="34" fillId="10" borderId="30" xfId="5" applyNumberFormat="1" applyFont="1" applyFill="1" applyBorder="1" applyAlignment="1" applyProtection="1">
      <alignment horizontal="center" vertical="center"/>
    </xf>
    <xf numFmtId="1" fontId="60" fillId="0" borderId="1" xfId="0" applyNumberFormat="1" applyFont="1" applyFill="1" applyBorder="1" applyAlignment="1">
      <alignment horizontal="center"/>
    </xf>
    <xf numFmtId="0" fontId="61" fillId="0" borderId="1" xfId="0" applyFont="1" applyFill="1" applyBorder="1"/>
    <xf numFmtId="0" fontId="34" fillId="10" borderId="24" xfId="3" applyFont="1" applyFill="1" applyBorder="1" applyAlignment="1">
      <alignment horizontal="center" vertical="center"/>
    </xf>
    <xf numFmtId="0" fontId="61" fillId="0" borderId="4" xfId="0" applyFont="1" applyBorder="1" applyAlignment="1">
      <alignment horizontal="center"/>
    </xf>
    <xf numFmtId="0" fontId="60" fillId="0" borderId="4" xfId="0" applyFont="1" applyFill="1" applyBorder="1"/>
    <xf numFmtId="0" fontId="61" fillId="0" borderId="4" xfId="0" applyFont="1" applyFill="1" applyBorder="1" applyAlignment="1">
      <alignment horizontal="center"/>
    </xf>
    <xf numFmtId="0" fontId="34" fillId="10" borderId="0" xfId="3" applyFont="1" applyFill="1" applyBorder="1" applyAlignment="1">
      <alignment horizontal="center" vertical="center"/>
    </xf>
    <xf numFmtId="0" fontId="60" fillId="0" borderId="1" xfId="0" applyFont="1" applyFill="1" applyBorder="1" applyAlignment="1">
      <alignment horizontal="left"/>
    </xf>
    <xf numFmtId="0" fontId="33" fillId="0" borderId="1" xfId="0" applyFont="1" applyFill="1" applyBorder="1"/>
    <xf numFmtId="1" fontId="61" fillId="0" borderId="0" xfId="0" applyNumberFormat="1" applyFont="1" applyFill="1" applyAlignment="1">
      <alignment horizontal="center"/>
    </xf>
    <xf numFmtId="1" fontId="61" fillId="0" borderId="0" xfId="0" applyNumberFormat="1" applyFont="1" applyFill="1"/>
    <xf numFmtId="1" fontId="33" fillId="2" borderId="1" xfId="3" applyNumberFormat="1" applyFont="1" applyFill="1" applyBorder="1" applyAlignment="1">
      <alignment horizontal="center"/>
    </xf>
    <xf numFmtId="0" fontId="59" fillId="0" borderId="1" xfId="0" applyFont="1" applyBorder="1"/>
    <xf numFmtId="9" fontId="59" fillId="0" borderId="1" xfId="0" applyNumberFormat="1" applyFont="1" applyBorder="1"/>
    <xf numFmtId="1" fontId="59" fillId="0" borderId="1" xfId="0" applyNumberFormat="1" applyFont="1" applyBorder="1"/>
    <xf numFmtId="0" fontId="0" fillId="0" borderId="0" xfId="0" applyAlignment="1">
      <alignment vertical="center" wrapText="1"/>
    </xf>
    <xf numFmtId="0" fontId="59" fillId="0" borderId="1" xfId="0" applyFont="1" applyBorder="1" applyAlignment="1">
      <alignment vertical="center" wrapText="1"/>
    </xf>
    <xf numFmtId="0" fontId="62" fillId="15" borderId="1" xfId="3" applyFont="1" applyFill="1" applyBorder="1" applyAlignment="1"/>
    <xf numFmtId="0" fontId="68" fillId="0" borderId="0" xfId="0" applyFont="1"/>
    <xf numFmtId="2" fontId="69" fillId="8" borderId="1" xfId="3" applyNumberFormat="1" applyFont="1" applyFill="1" applyBorder="1" applyAlignment="1">
      <alignment horizontal="center"/>
    </xf>
    <xf numFmtId="0" fontId="72" fillId="0" borderId="0" xfId="0" applyFont="1"/>
    <xf numFmtId="0" fontId="70" fillId="0" borderId="0" xfId="0" applyFont="1"/>
    <xf numFmtId="0" fontId="62" fillId="15" borderId="1" xfId="3" applyFont="1" applyFill="1" applyBorder="1" applyAlignment="1">
      <alignment horizontal="center" vertical="center"/>
    </xf>
    <xf numFmtId="0" fontId="62" fillId="8" borderId="1" xfId="3" applyFont="1" applyFill="1" applyBorder="1" applyAlignment="1">
      <alignment horizontal="center" vertical="center"/>
    </xf>
    <xf numFmtId="1" fontId="69" fillId="8" borderId="1" xfId="3" applyNumberFormat="1" applyFont="1" applyFill="1" applyBorder="1" applyAlignment="1">
      <alignment horizontal="center"/>
    </xf>
    <xf numFmtId="0" fontId="63" fillId="9" borderId="1" xfId="3" applyFont="1" applyFill="1" applyBorder="1" applyAlignment="1">
      <alignment horizontal="center" vertical="center"/>
    </xf>
    <xf numFmtId="10" fontId="63" fillId="9" borderId="1" xfId="3" applyNumberFormat="1" applyFont="1" applyFill="1" applyBorder="1" applyAlignment="1">
      <alignment horizontal="center"/>
    </xf>
    <xf numFmtId="1" fontId="63" fillId="9" borderId="1" xfId="3" applyNumberFormat="1" applyFont="1" applyFill="1" applyBorder="1" applyAlignment="1">
      <alignment horizontal="center"/>
    </xf>
    <xf numFmtId="2" fontId="63" fillId="9" borderId="1" xfId="3" applyNumberFormat="1" applyFont="1" applyFill="1" applyBorder="1" applyAlignment="1">
      <alignment horizontal="center"/>
    </xf>
    <xf numFmtId="9" fontId="63" fillId="9" borderId="1" xfId="3" applyNumberFormat="1" applyFont="1" applyFill="1" applyBorder="1" applyAlignment="1">
      <alignment horizontal="center"/>
    </xf>
    <xf numFmtId="0" fontId="71" fillId="0" borderId="0" xfId="0" applyFont="1"/>
    <xf numFmtId="2" fontId="69" fillId="2" borderId="1" xfId="3" applyNumberFormat="1" applyFont="1" applyFill="1" applyBorder="1" applyAlignment="1">
      <alignment horizontal="center" vertical="center"/>
    </xf>
    <xf numFmtId="166" fontId="69" fillId="8" borderId="1" xfId="3" applyNumberFormat="1" applyFont="1" applyFill="1" applyBorder="1" applyAlignment="1">
      <alignment horizontal="center" wrapText="1" shrinkToFit="1"/>
    </xf>
    <xf numFmtId="2" fontId="69" fillId="8" borderId="1" xfId="3" applyNumberFormat="1" applyFont="1" applyFill="1" applyBorder="1" applyAlignment="1">
      <alignment horizontal="center" vertical="center"/>
    </xf>
    <xf numFmtId="1" fontId="69" fillId="8" borderId="1" xfId="3" applyNumberFormat="1" applyFont="1" applyFill="1" applyBorder="1" applyAlignment="1">
      <alignment horizontal="center" vertical="center"/>
    </xf>
    <xf numFmtId="0" fontId="69" fillId="15" borderId="1" xfId="3" applyFont="1" applyFill="1" applyBorder="1" applyAlignment="1">
      <alignment horizontal="center" vertical="center"/>
    </xf>
    <xf numFmtId="0" fontId="69" fillId="15" borderId="1" xfId="3" applyFont="1" applyFill="1" applyBorder="1" applyAlignment="1">
      <alignment horizontal="center"/>
    </xf>
    <xf numFmtId="1" fontId="69" fillId="2" borderId="1" xfId="5" applyNumberFormat="1" applyFont="1" applyFill="1" applyBorder="1" applyAlignment="1">
      <alignment horizontal="center" vertical="center"/>
    </xf>
    <xf numFmtId="0" fontId="69" fillId="2" borderId="1" xfId="3" applyNumberFormat="1" applyFont="1" applyFill="1" applyBorder="1" applyAlignment="1">
      <alignment horizontal="center"/>
    </xf>
    <xf numFmtId="2" fontId="69" fillId="8" borderId="8" xfId="3" applyNumberFormat="1" applyFont="1" applyFill="1" applyBorder="1" applyAlignment="1">
      <alignment horizontal="center"/>
    </xf>
    <xf numFmtId="1" fontId="69" fillId="2" borderId="7" xfId="5" applyNumberFormat="1" applyFont="1" applyFill="1" applyBorder="1" applyAlignment="1">
      <alignment horizontal="center" vertical="center"/>
    </xf>
    <xf numFmtId="1" fontId="69" fillId="2" borderId="8" xfId="3" applyNumberFormat="1" applyFont="1" applyFill="1" applyBorder="1" applyAlignment="1">
      <alignment horizontal="center"/>
    </xf>
    <xf numFmtId="0" fontId="69" fillId="0" borderId="1" xfId="4" applyFont="1" applyBorder="1" applyAlignment="1">
      <alignment horizontal="center"/>
    </xf>
    <xf numFmtId="1" fontId="69" fillId="12" borderId="1" xfId="3" applyNumberFormat="1" applyFont="1" applyFill="1" applyBorder="1" applyAlignment="1">
      <alignment horizontal="center"/>
    </xf>
    <xf numFmtId="2" fontId="69" fillId="8" borderId="1" xfId="3" applyNumberFormat="1" applyFont="1" applyFill="1" applyBorder="1" applyAlignment="1">
      <alignment horizontal="right"/>
    </xf>
    <xf numFmtId="1" fontId="69" fillId="8" borderId="1" xfId="5" applyNumberFormat="1" applyFont="1" applyFill="1" applyBorder="1" applyAlignment="1">
      <alignment horizontal="center" vertical="center"/>
    </xf>
    <xf numFmtId="2" fontId="69" fillId="2" borderId="1" xfId="3" applyNumberFormat="1" applyFont="1" applyFill="1" applyBorder="1" applyAlignment="1">
      <alignment horizontal="center"/>
    </xf>
    <xf numFmtId="0" fontId="74" fillId="15" borderId="1" xfId="3" applyFont="1" applyFill="1" applyBorder="1" applyAlignment="1">
      <alignment horizontal="center"/>
    </xf>
    <xf numFmtId="0" fontId="75" fillId="0" borderId="1" xfId="4" applyFont="1" applyBorder="1" applyAlignment="1">
      <alignment horizontal="center"/>
    </xf>
    <xf numFmtId="0" fontId="69" fillId="2" borderId="1" xfId="4" applyFont="1" applyFill="1" applyBorder="1" applyAlignment="1">
      <alignment horizontal="center"/>
    </xf>
    <xf numFmtId="1" fontId="69" fillId="2" borderId="1" xfId="3" applyNumberFormat="1" applyFont="1" applyFill="1" applyBorder="1" applyAlignment="1">
      <alignment horizontal="center"/>
    </xf>
    <xf numFmtId="2" fontId="69" fillId="12" borderId="1" xfId="3" applyNumberFormat="1" applyFont="1" applyFill="1" applyBorder="1" applyAlignment="1">
      <alignment horizontal="center"/>
    </xf>
    <xf numFmtId="1" fontId="74" fillId="15" borderId="1" xfId="3" applyNumberFormat="1" applyFont="1" applyFill="1" applyBorder="1" applyAlignment="1">
      <alignment horizontal="center"/>
    </xf>
    <xf numFmtId="0" fontId="69" fillId="0" borderId="1" xfId="4" applyFont="1" applyBorder="1"/>
    <xf numFmtId="0" fontId="76" fillId="8" borderId="1" xfId="3" applyFont="1" applyFill="1" applyBorder="1" applyAlignment="1">
      <alignment horizontal="center"/>
    </xf>
    <xf numFmtId="166" fontId="76" fillId="8" borderId="1" xfId="5" applyNumberFormat="1" applyFont="1" applyFill="1" applyBorder="1" applyAlignment="1">
      <alignment horizontal="center" vertical="center"/>
    </xf>
    <xf numFmtId="1" fontId="69" fillId="12" borderId="1" xfId="5" applyNumberFormat="1" applyFont="1" applyFill="1" applyBorder="1" applyAlignment="1" applyProtection="1">
      <alignment horizontal="center"/>
    </xf>
    <xf numFmtId="0" fontId="76" fillId="2" borderId="1" xfId="4" applyFont="1" applyFill="1" applyBorder="1" applyAlignment="1">
      <alignment horizontal="center"/>
    </xf>
    <xf numFmtId="0" fontId="74" fillId="15" borderId="1" xfId="3" applyFont="1" applyFill="1" applyBorder="1" applyAlignment="1">
      <alignment horizontal="center" vertical="center"/>
    </xf>
    <xf numFmtId="1" fontId="69" fillId="15" borderId="1" xfId="3" applyNumberFormat="1" applyFont="1" applyFill="1" applyBorder="1" applyAlignment="1">
      <alignment horizontal="center" vertical="center"/>
    </xf>
    <xf numFmtId="0" fontId="77" fillId="15" borderId="1" xfId="3" applyFont="1" applyFill="1" applyBorder="1" applyAlignment="1">
      <alignment horizontal="center" vertical="center"/>
    </xf>
    <xf numFmtId="2" fontId="78" fillId="8" borderId="1" xfId="3" applyNumberFormat="1" applyFont="1" applyFill="1" applyBorder="1" applyAlignment="1">
      <alignment horizontal="center"/>
    </xf>
    <xf numFmtId="166" fontId="74" fillId="8" borderId="1" xfId="3" applyNumberFormat="1" applyFont="1" applyFill="1" applyBorder="1" applyAlignment="1">
      <alignment horizontal="center"/>
    </xf>
    <xf numFmtId="1" fontId="77" fillId="8" borderId="1" xfId="3" applyNumberFormat="1" applyFont="1" applyFill="1" applyBorder="1" applyAlignment="1">
      <alignment horizontal="center"/>
    </xf>
    <xf numFmtId="1" fontId="78" fillId="8" borderId="1" xfId="5" applyNumberFormat="1" applyFont="1" applyFill="1" applyBorder="1" applyAlignment="1">
      <alignment horizontal="center" vertical="center"/>
    </xf>
    <xf numFmtId="2" fontId="69" fillId="8" borderId="1" xfId="9" applyNumberFormat="1" applyFont="1" applyFill="1" applyBorder="1" applyAlignment="1">
      <alignment horizontal="center"/>
    </xf>
    <xf numFmtId="170" fontId="74" fillId="8" borderId="1" xfId="5" applyNumberFormat="1" applyFont="1" applyFill="1" applyBorder="1" applyAlignment="1" applyProtection="1">
      <alignment horizontal="center" vertical="center"/>
    </xf>
    <xf numFmtId="166" fontId="77" fillId="8" borderId="1" xfId="5" applyNumberFormat="1" applyFont="1" applyFill="1" applyBorder="1" applyAlignment="1" applyProtection="1">
      <alignment horizontal="center"/>
    </xf>
    <xf numFmtId="1" fontId="78" fillId="0" borderId="1" xfId="4" applyNumberFormat="1" applyFont="1" applyBorder="1" applyAlignment="1">
      <alignment horizontal="center"/>
    </xf>
    <xf numFmtId="2" fontId="77" fillId="8" borderId="1" xfId="3" applyNumberFormat="1" applyFont="1" applyFill="1" applyBorder="1" applyAlignment="1">
      <alignment horizontal="right"/>
    </xf>
    <xf numFmtId="1" fontId="78" fillId="8" borderId="1" xfId="3" applyNumberFormat="1" applyFont="1" applyFill="1" applyBorder="1" applyAlignment="1">
      <alignment horizontal="center" vertical="center"/>
    </xf>
    <xf numFmtId="0" fontId="76" fillId="2" borderId="1" xfId="3" applyFont="1" applyFill="1" applyBorder="1" applyAlignment="1">
      <alignment horizontal="center"/>
    </xf>
    <xf numFmtId="171" fontId="76" fillId="8" borderId="1" xfId="5" applyNumberFormat="1" applyFont="1" applyFill="1" applyBorder="1" applyAlignment="1" applyProtection="1">
      <alignment horizontal="center" vertical="center"/>
    </xf>
    <xf numFmtId="1" fontId="76" fillId="2" borderId="1" xfId="3" applyNumberFormat="1" applyFont="1" applyFill="1" applyBorder="1" applyAlignment="1">
      <alignment horizontal="center" vertical="top"/>
    </xf>
    <xf numFmtId="0" fontId="69" fillId="0" borderId="1" xfId="4" applyFont="1" applyBorder="1" applyAlignment="1">
      <alignment horizontal="center" vertical="center"/>
    </xf>
    <xf numFmtId="0" fontId="69" fillId="8" borderId="1" xfId="3" applyFont="1" applyFill="1" applyBorder="1" applyAlignment="1">
      <alignment horizontal="center" vertical="center"/>
    </xf>
    <xf numFmtId="0" fontId="69" fillId="15" borderId="1" xfId="3" applyFont="1" applyFill="1" applyBorder="1" applyAlignment="1">
      <alignment vertical="center"/>
    </xf>
    <xf numFmtId="0" fontId="69" fillId="15" borderId="1" xfId="3" applyFont="1" applyFill="1" applyBorder="1" applyAlignment="1"/>
    <xf numFmtId="1" fontId="69" fillId="2" borderId="1" xfId="3" applyNumberFormat="1" applyFont="1" applyFill="1" applyBorder="1" applyAlignment="1">
      <alignment horizontal="center" vertical="center"/>
    </xf>
    <xf numFmtId="166" fontId="69" fillId="2" borderId="1" xfId="5" applyNumberFormat="1" applyFont="1" applyFill="1" applyBorder="1" applyAlignment="1" applyProtection="1">
      <alignment horizontal="center" vertical="center"/>
    </xf>
    <xf numFmtId="166" fontId="69" fillId="8" borderId="1" xfId="5" applyNumberFormat="1" applyFont="1" applyFill="1" applyBorder="1" applyAlignment="1" applyProtection="1">
      <alignment horizontal="center" vertical="top"/>
    </xf>
    <xf numFmtId="0" fontId="69" fillId="2" borderId="1" xfId="4" applyFont="1" applyFill="1" applyBorder="1" applyAlignment="1">
      <alignment horizontal="left"/>
    </xf>
    <xf numFmtId="0" fontId="69" fillId="2" borderId="1" xfId="4" applyFont="1" applyFill="1" applyBorder="1" applyAlignment="1"/>
    <xf numFmtId="0" fontId="75" fillId="2" borderId="1" xfId="4" applyFont="1" applyFill="1" applyBorder="1" applyAlignment="1">
      <alignment horizontal="center" wrapText="1"/>
    </xf>
    <xf numFmtId="0" fontId="75" fillId="0" borderId="1" xfId="4" applyFont="1" applyFill="1" applyBorder="1" applyAlignment="1">
      <alignment horizontal="center" wrapText="1"/>
    </xf>
    <xf numFmtId="0" fontId="75" fillId="0" borderId="1" xfId="4" applyFont="1" applyBorder="1" applyAlignment="1">
      <alignment horizontal="center" wrapText="1"/>
    </xf>
    <xf numFmtId="0" fontId="75" fillId="2" borderId="1" xfId="4" applyFont="1" applyFill="1" applyBorder="1" applyAlignment="1">
      <alignment horizontal="center"/>
    </xf>
    <xf numFmtId="0" fontId="69" fillId="8" borderId="1" xfId="3" applyFont="1" applyFill="1" applyBorder="1" applyAlignment="1">
      <alignment horizontal="center"/>
    </xf>
    <xf numFmtId="0" fontId="69" fillId="2" borderId="1" xfId="3" applyFont="1" applyFill="1" applyBorder="1" applyAlignment="1">
      <alignment horizontal="center"/>
    </xf>
    <xf numFmtId="1" fontId="74" fillId="2" borderId="1" xfId="3" applyNumberFormat="1" applyFont="1" applyFill="1" applyBorder="1" applyAlignment="1">
      <alignment horizontal="center"/>
    </xf>
    <xf numFmtId="165" fontId="69" fillId="8" borderId="1" xfId="7" applyFont="1" applyFill="1" applyBorder="1" applyAlignment="1">
      <alignment horizontal="right" wrapText="1"/>
    </xf>
    <xf numFmtId="2" fontId="69" fillId="10" borderId="25" xfId="3" applyNumberFormat="1" applyFont="1" applyFill="1" applyBorder="1" applyAlignment="1">
      <alignment horizontal="center" vertical="center"/>
    </xf>
    <xf numFmtId="0" fontId="75" fillId="10" borderId="25" xfId="4" applyFont="1" applyFill="1" applyBorder="1" applyAlignment="1">
      <alignment horizontal="center" vertical="center"/>
    </xf>
    <xf numFmtId="1" fontId="69" fillId="10" borderId="25" xfId="5" applyNumberFormat="1" applyFont="1" applyFill="1" applyBorder="1" applyAlignment="1">
      <alignment horizontal="center" vertical="center"/>
    </xf>
    <xf numFmtId="1" fontId="69" fillId="10" borderId="25" xfId="3" applyNumberFormat="1" applyFont="1" applyFill="1" applyBorder="1" applyAlignment="1">
      <alignment horizontal="center" vertical="center"/>
    </xf>
    <xf numFmtId="0" fontId="74" fillId="10" borderId="0" xfId="0" applyFont="1" applyFill="1" applyBorder="1" applyAlignment="1">
      <alignment horizontal="center" vertical="center"/>
    </xf>
    <xf numFmtId="0" fontId="74" fillId="0" borderId="1" xfId="0" applyFont="1" applyBorder="1" applyAlignment="1">
      <alignment horizontal="center"/>
    </xf>
    <xf numFmtId="1" fontId="74" fillId="0" borderId="1" xfId="0" applyNumberFormat="1" applyFont="1" applyBorder="1" applyAlignment="1">
      <alignment horizontal="center"/>
    </xf>
    <xf numFmtId="0" fontId="74" fillId="0" borderId="1" xfId="0" applyFont="1" applyFill="1" applyBorder="1" applyAlignment="1">
      <alignment horizontal="center"/>
    </xf>
    <xf numFmtId="0" fontId="74" fillId="0" borderId="1" xfId="0" applyFont="1" applyFill="1" applyBorder="1"/>
    <xf numFmtId="1" fontId="74" fillId="0" borderId="1" xfId="0" applyNumberFormat="1" applyFont="1" applyFill="1" applyBorder="1" applyAlignment="1">
      <alignment horizontal="center"/>
    </xf>
    <xf numFmtId="1" fontId="69" fillId="0" borderId="1" xfId="5" applyNumberFormat="1" applyFont="1" applyFill="1" applyBorder="1" applyAlignment="1" applyProtection="1">
      <alignment horizontal="center"/>
    </xf>
    <xf numFmtId="0" fontId="74" fillId="0" borderId="0" xfId="0" applyFont="1"/>
    <xf numFmtId="1" fontId="74" fillId="0" borderId="0" xfId="0" applyNumberFormat="1" applyFont="1" applyAlignment="1">
      <alignment horizontal="center"/>
    </xf>
    <xf numFmtId="1" fontId="74" fillId="0" borderId="0" xfId="0" applyNumberFormat="1" applyFont="1"/>
    <xf numFmtId="1" fontId="69" fillId="15" borderId="1" xfId="5" applyNumberFormat="1" applyFont="1" applyFill="1" applyBorder="1" applyAlignment="1">
      <alignment horizontal="center"/>
    </xf>
    <xf numFmtId="0" fontId="75" fillId="0" borderId="1" xfId="4" applyFont="1" applyFill="1" applyBorder="1" applyAlignment="1">
      <alignment horizontal="center"/>
    </xf>
    <xf numFmtId="0" fontId="74" fillId="0" borderId="1" xfId="0" applyFont="1" applyBorder="1"/>
    <xf numFmtId="9" fontId="69" fillId="8" borderId="1" xfId="6" applyNumberFormat="1" applyFont="1" applyFill="1" applyBorder="1" applyAlignment="1">
      <alignment horizontal="center"/>
    </xf>
    <xf numFmtId="167" fontId="69" fillId="0" borderId="1" xfId="6" applyNumberFormat="1" applyFont="1" applyFill="1" applyBorder="1" applyAlignment="1"/>
    <xf numFmtId="1" fontId="69" fillId="8" borderId="1" xfId="5" applyNumberFormat="1" applyFont="1" applyFill="1" applyBorder="1" applyAlignment="1">
      <alignment horizontal="right"/>
    </xf>
    <xf numFmtId="0" fontId="79" fillId="0" borderId="0" xfId="0" applyFont="1"/>
    <xf numFmtId="1" fontId="79" fillId="0" borderId="0" xfId="0" applyNumberFormat="1" applyFont="1" applyAlignment="1">
      <alignment horizontal="center"/>
    </xf>
    <xf numFmtId="1" fontId="79" fillId="0" borderId="0" xfId="0" applyNumberFormat="1" applyFont="1"/>
    <xf numFmtId="2" fontId="33" fillId="8" borderId="11" xfId="3" applyNumberFormat="1" applyFont="1" applyFill="1" applyBorder="1" applyAlignment="1">
      <alignment horizontal="center"/>
    </xf>
    <xf numFmtId="166" fontId="69" fillId="8" borderId="15" xfId="3" applyNumberFormat="1" applyFont="1" applyFill="1" applyBorder="1" applyAlignment="1">
      <alignment horizontal="center" wrapText="1" shrinkToFit="1"/>
    </xf>
    <xf numFmtId="0" fontId="69" fillId="15" borderId="15" xfId="3" applyFont="1" applyFill="1" applyBorder="1" applyAlignment="1">
      <alignment horizontal="center"/>
    </xf>
    <xf numFmtId="1" fontId="69" fillId="8" borderId="15" xfId="5" applyNumberFormat="1" applyFont="1" applyFill="1" applyBorder="1" applyAlignment="1" applyProtection="1">
      <alignment horizontal="center"/>
    </xf>
    <xf numFmtId="1" fontId="69" fillId="2" borderId="15" xfId="5" applyNumberFormat="1" applyFont="1" applyFill="1" applyBorder="1" applyAlignment="1" applyProtection="1">
      <alignment horizontal="center"/>
    </xf>
    <xf numFmtId="1" fontId="69" fillId="15" borderId="15" xfId="3" applyNumberFormat="1" applyFont="1" applyFill="1" applyBorder="1" applyAlignment="1">
      <alignment horizontal="center" vertical="center"/>
    </xf>
    <xf numFmtId="0" fontId="69" fillId="15" borderId="15" xfId="3" applyFont="1" applyFill="1" applyBorder="1" applyAlignment="1"/>
    <xf numFmtId="0" fontId="69" fillId="2" borderId="15" xfId="4" applyFont="1" applyFill="1" applyBorder="1" applyAlignment="1"/>
    <xf numFmtId="1" fontId="69" fillId="10" borderId="31" xfId="5" applyNumberFormat="1" applyFont="1" applyFill="1" applyBorder="1" applyAlignment="1" applyProtection="1">
      <alignment horizontal="center" vertical="center"/>
    </xf>
    <xf numFmtId="1" fontId="74" fillId="0" borderId="15" xfId="0" applyNumberFormat="1" applyFont="1" applyBorder="1" applyAlignment="1">
      <alignment horizontal="center"/>
    </xf>
    <xf numFmtId="1" fontId="74" fillId="0" borderId="15" xfId="0" applyNumberFormat="1" applyFont="1" applyFill="1" applyBorder="1" applyAlignment="1">
      <alignment horizontal="center"/>
    </xf>
    <xf numFmtId="0" fontId="74" fillId="0" borderId="0" xfId="0" applyFont="1" applyBorder="1"/>
    <xf numFmtId="1" fontId="74" fillId="0" borderId="0" xfId="0" applyNumberFormat="1" applyFont="1" applyBorder="1" applyAlignment="1">
      <alignment horizontal="center"/>
    </xf>
    <xf numFmtId="1" fontId="74" fillId="0" borderId="35" xfId="0" applyNumberFormat="1" applyFont="1" applyBorder="1"/>
    <xf numFmtId="0" fontId="74" fillId="15" borderId="15" xfId="3" applyFont="1" applyFill="1" applyBorder="1" applyAlignment="1">
      <alignment horizontal="center"/>
    </xf>
    <xf numFmtId="1" fontId="69" fillId="15" borderId="15" xfId="5" applyNumberFormat="1" applyFont="1" applyFill="1" applyBorder="1" applyAlignment="1">
      <alignment horizontal="center"/>
    </xf>
    <xf numFmtId="2" fontId="69" fillId="8" borderId="7" xfId="3" applyNumberFormat="1" applyFont="1" applyFill="1" applyBorder="1" applyAlignment="1">
      <alignment horizontal="center"/>
    </xf>
    <xf numFmtId="9" fontId="69" fillId="8" borderId="7" xfId="6" applyNumberFormat="1" applyFont="1" applyFill="1" applyBorder="1" applyAlignment="1">
      <alignment horizontal="center"/>
    </xf>
    <xf numFmtId="1" fontId="69" fillId="8" borderId="7" xfId="3" applyNumberFormat="1" applyFont="1" applyFill="1" applyBorder="1" applyAlignment="1">
      <alignment horizontal="center"/>
    </xf>
    <xf numFmtId="2" fontId="69" fillId="8" borderId="7" xfId="3" applyNumberFormat="1" applyFont="1" applyFill="1" applyBorder="1" applyAlignment="1">
      <alignment horizontal="right"/>
    </xf>
    <xf numFmtId="1" fontId="69" fillId="8" borderId="23" xfId="5" applyNumberFormat="1" applyFont="1" applyFill="1" applyBorder="1" applyAlignment="1" applyProtection="1">
      <alignment horizontal="center"/>
    </xf>
    <xf numFmtId="9" fontId="63" fillId="9" borderId="21" xfId="3" applyNumberFormat="1" applyFont="1" applyFill="1" applyBorder="1" applyAlignment="1">
      <alignment horizontal="left"/>
    </xf>
    <xf numFmtId="0" fontId="64" fillId="0" borderId="1" xfId="4" applyFont="1" applyBorder="1" applyAlignment="1">
      <alignment horizontal="left"/>
    </xf>
    <xf numFmtId="0" fontId="66" fillId="16" borderId="1" xfId="0" applyFont="1" applyFill="1" applyBorder="1"/>
    <xf numFmtId="0" fontId="68" fillId="0" borderId="0" xfId="0" applyFont="1" applyBorder="1"/>
    <xf numFmtId="0" fontId="71" fillId="0" borderId="1" xfId="0" applyFont="1" applyFill="1" applyBorder="1" applyAlignment="1">
      <alignment horizontal="left"/>
    </xf>
    <xf numFmtId="168" fontId="63" fillId="9" borderId="21" xfId="3" applyNumberFormat="1" applyFont="1" applyFill="1" applyBorder="1" applyAlignment="1">
      <alignment horizontal="left"/>
    </xf>
    <xf numFmtId="0" fontId="63" fillId="9" borderId="21" xfId="3" applyFont="1" applyFill="1" applyBorder="1"/>
    <xf numFmtId="0" fontId="63" fillId="8" borderId="21" xfId="3" applyFont="1" applyFill="1" applyBorder="1" applyAlignment="1">
      <alignment horizontal="center" vertical="center"/>
    </xf>
    <xf numFmtId="0" fontId="63" fillId="8" borderId="21" xfId="3" applyFont="1" applyFill="1" applyBorder="1" applyAlignment="1">
      <alignment horizontal="left" vertical="center"/>
    </xf>
    <xf numFmtId="0" fontId="62" fillId="8" borderId="1" xfId="3" applyFont="1" applyFill="1" applyBorder="1" applyAlignment="1">
      <alignment horizontal="left" vertical="center"/>
    </xf>
    <xf numFmtId="0" fontId="63" fillId="8" borderId="28" xfId="3" applyFont="1" applyFill="1" applyBorder="1" applyAlignment="1">
      <alignment horizontal="left" vertical="center"/>
    </xf>
    <xf numFmtId="0" fontId="63" fillId="8" borderId="5" xfId="3" applyFont="1" applyFill="1" applyBorder="1" applyAlignment="1">
      <alignment horizontal="left" vertical="center"/>
    </xf>
    <xf numFmtId="0" fontId="63" fillId="8" borderId="13" xfId="3" applyFont="1" applyFill="1" applyBorder="1" applyAlignment="1">
      <alignment horizontal="left" vertical="center"/>
    </xf>
    <xf numFmtId="169" fontId="63" fillId="8" borderId="21" xfId="3" applyNumberFormat="1" applyFont="1" applyFill="1" applyBorder="1" applyAlignment="1">
      <alignment vertical="center"/>
    </xf>
    <xf numFmtId="169" fontId="62" fillId="8" borderId="1" xfId="3" applyNumberFormat="1" applyFont="1" applyFill="1" applyBorder="1" applyAlignment="1">
      <alignment vertical="center"/>
    </xf>
    <xf numFmtId="0" fontId="63" fillId="16" borderId="21" xfId="3" applyFont="1" applyFill="1" applyBorder="1" applyAlignment="1">
      <alignment horizontal="center"/>
    </xf>
    <xf numFmtId="0" fontId="62" fillId="16" borderId="1" xfId="3" applyFont="1" applyFill="1" applyBorder="1" applyAlignment="1">
      <alignment horizontal="center"/>
    </xf>
    <xf numFmtId="0" fontId="63" fillId="2" borderId="21" xfId="3" applyFont="1" applyFill="1" applyBorder="1" applyAlignment="1">
      <alignment horizontal="left" vertical="center"/>
    </xf>
    <xf numFmtId="0" fontId="62" fillId="2" borderId="1" xfId="3" applyFont="1" applyFill="1" applyBorder="1" applyAlignment="1">
      <alignment horizontal="left" vertical="center"/>
    </xf>
    <xf numFmtId="0" fontId="62" fillId="8" borderId="1" xfId="3" applyFont="1" applyFill="1" applyBorder="1" applyAlignment="1">
      <alignment horizontal="left"/>
    </xf>
    <xf numFmtId="0" fontId="63" fillId="16" borderId="21" xfId="3" applyFont="1" applyFill="1" applyBorder="1" applyAlignment="1">
      <alignment horizontal="center" vertical="center"/>
    </xf>
    <xf numFmtId="0" fontId="62" fillId="16" borderId="1" xfId="3" applyFont="1" applyFill="1" applyBorder="1" applyAlignment="1">
      <alignment horizontal="center" vertical="center"/>
    </xf>
    <xf numFmtId="0" fontId="73" fillId="2" borderId="16" xfId="3" applyFont="1" applyFill="1" applyBorder="1" applyAlignment="1">
      <alignment horizontal="center"/>
    </xf>
    <xf numFmtId="0" fontId="73" fillId="2" borderId="3" xfId="3" applyFont="1" applyFill="1" applyBorder="1" applyAlignment="1">
      <alignment horizontal="center"/>
    </xf>
    <xf numFmtId="0" fontId="73" fillId="2" borderId="4" xfId="3" applyFont="1" applyFill="1" applyBorder="1" applyAlignment="1">
      <alignment horizontal="center"/>
    </xf>
    <xf numFmtId="0" fontId="73" fillId="16" borderId="16" xfId="3" applyFont="1" applyFill="1" applyBorder="1" applyAlignment="1">
      <alignment horizontal="center"/>
    </xf>
    <xf numFmtId="0" fontId="73" fillId="16" borderId="3" xfId="3" applyFont="1" applyFill="1" applyBorder="1" applyAlignment="1">
      <alignment horizontal="center"/>
    </xf>
    <xf numFmtId="0" fontId="73" fillId="16" borderId="4" xfId="3" applyFont="1" applyFill="1" applyBorder="1" applyAlignment="1">
      <alignment horizontal="center"/>
    </xf>
    <xf numFmtId="0" fontId="63" fillId="15" borderId="21" xfId="3" applyFont="1" applyFill="1" applyBorder="1" applyAlignment="1">
      <alignment horizontal="left"/>
    </xf>
    <xf numFmtId="2" fontId="63" fillId="8" borderId="21" xfId="3" applyNumberFormat="1" applyFont="1" applyFill="1" applyBorder="1" applyAlignment="1">
      <alignment horizontal="left" vertical="center"/>
    </xf>
    <xf numFmtId="2" fontId="62" fillId="8" borderId="1" xfId="3" applyNumberFormat="1" applyFont="1" applyFill="1" applyBorder="1" applyAlignment="1">
      <alignment horizontal="left" vertical="center"/>
    </xf>
    <xf numFmtId="0" fontId="62" fillId="8" borderId="1" xfId="3" applyFont="1" applyFill="1" applyBorder="1" applyAlignment="1">
      <alignment horizontal="left" vertical="justify"/>
    </xf>
    <xf numFmtId="0" fontId="63" fillId="15" borderId="21" xfId="3" applyFont="1" applyFill="1" applyBorder="1" applyAlignment="1"/>
    <xf numFmtId="0" fontId="63" fillId="0" borderId="21" xfId="4" applyFont="1" applyBorder="1" applyAlignment="1">
      <alignment vertical="center"/>
    </xf>
    <xf numFmtId="0" fontId="62" fillId="0" borderId="1" xfId="4" applyFont="1" applyBorder="1" applyAlignment="1">
      <alignment vertical="center"/>
    </xf>
    <xf numFmtId="0" fontId="65" fillId="16" borderId="21" xfId="4" applyFont="1" applyFill="1" applyBorder="1"/>
    <xf numFmtId="0" fontId="63" fillId="15" borderId="21" xfId="3" applyFont="1" applyFill="1" applyBorder="1" applyAlignment="1">
      <alignment horizontal="center"/>
    </xf>
    <xf numFmtId="0" fontId="63" fillId="10" borderId="33" xfId="3" applyFont="1" applyFill="1" applyBorder="1" applyAlignment="1">
      <alignment horizontal="center" vertical="center"/>
    </xf>
    <xf numFmtId="0" fontId="63" fillId="10" borderId="0" xfId="3" applyFont="1" applyFill="1" applyBorder="1" applyAlignment="1">
      <alignment horizontal="center" vertical="center"/>
    </xf>
    <xf numFmtId="0" fontId="63" fillId="0" borderId="21" xfId="4" applyFont="1" applyBorder="1"/>
    <xf numFmtId="0" fontId="63" fillId="15" borderId="21" xfId="3" applyFont="1" applyFill="1" applyBorder="1" applyAlignment="1">
      <alignment horizontal="center" vertical="center"/>
    </xf>
    <xf numFmtId="9" fontId="69" fillId="9" borderId="1" xfId="4" applyNumberFormat="1" applyFont="1" applyFill="1" applyBorder="1"/>
    <xf numFmtId="0" fontId="69" fillId="9" borderId="1" xfId="3" applyFont="1" applyFill="1" applyBorder="1" applyAlignment="1"/>
    <xf numFmtId="1" fontId="63" fillId="9" borderId="15" xfId="3" applyNumberFormat="1" applyFont="1" applyFill="1" applyBorder="1" applyAlignment="1">
      <alignment horizontal="center" vertical="center"/>
    </xf>
    <xf numFmtId="0" fontId="63" fillId="9" borderId="1" xfId="3" applyFont="1" applyFill="1" applyBorder="1" applyAlignment="1">
      <alignment horizontal="left"/>
    </xf>
    <xf numFmtId="1" fontId="63" fillId="9" borderId="15" xfId="3" applyNumberFormat="1" applyFont="1" applyFill="1" applyBorder="1" applyAlignment="1">
      <alignment horizontal="center"/>
    </xf>
    <xf numFmtId="9" fontId="63" fillId="9" borderId="1" xfId="3" applyNumberFormat="1" applyFont="1" applyFill="1" applyBorder="1" applyAlignment="1">
      <alignment horizontal="left"/>
    </xf>
    <xf numFmtId="0" fontId="69" fillId="8" borderId="8" xfId="3" applyFont="1" applyFill="1" applyBorder="1" applyAlignment="1">
      <alignment horizontal="center"/>
    </xf>
    <xf numFmtId="164" fontId="78" fillId="8" borderId="1" xfId="8" applyFont="1" applyFill="1" applyBorder="1" applyAlignment="1">
      <alignment horizontal="center"/>
    </xf>
    <xf numFmtId="0" fontId="78" fillId="8" borderId="1" xfId="3" applyFont="1" applyFill="1" applyBorder="1" applyAlignment="1">
      <alignment horizontal="center"/>
    </xf>
    <xf numFmtId="0" fontId="69" fillId="2" borderId="1" xfId="3" applyFont="1" applyFill="1" applyBorder="1" applyAlignment="1">
      <alignment horizontal="center" vertical="center"/>
    </xf>
    <xf numFmtId="0" fontId="69" fillId="10" borderId="32" xfId="3" applyFont="1" applyFill="1" applyBorder="1" applyAlignment="1">
      <alignment horizontal="center" vertical="center"/>
    </xf>
    <xf numFmtId="0" fontId="74" fillId="0" borderId="4" xfId="0" applyFont="1" applyBorder="1" applyAlignment="1">
      <alignment horizontal="center"/>
    </xf>
    <xf numFmtId="0" fontId="79" fillId="0" borderId="4" xfId="0" applyFont="1" applyFill="1" applyBorder="1"/>
    <xf numFmtId="0" fontId="74" fillId="0" borderId="4" xfId="0" applyFont="1" applyFill="1" applyBorder="1" applyAlignment="1">
      <alignment horizontal="center"/>
    </xf>
    <xf numFmtId="0" fontId="69" fillId="8" borderId="7" xfId="3" applyFont="1" applyFill="1" applyBorder="1" applyAlignment="1">
      <alignment horizontal="center"/>
    </xf>
    <xf numFmtId="0" fontId="69" fillId="12" borderId="1" xfId="4" applyFont="1" applyFill="1" applyBorder="1" applyAlignment="1">
      <alignment horizontal="center"/>
    </xf>
    <xf numFmtId="0" fontId="69" fillId="0" borderId="1" xfId="3" applyFont="1" applyFill="1" applyBorder="1" applyAlignment="1">
      <alignment horizontal="center"/>
    </xf>
    <xf numFmtId="1" fontId="83" fillId="12" borderId="0" xfId="0" applyNumberFormat="1" applyFont="1" applyFill="1"/>
    <xf numFmtId="1" fontId="83" fillId="0" borderId="0" xfId="0" applyNumberFormat="1" applyFont="1"/>
    <xf numFmtId="0" fontId="68" fillId="9" borderId="1" xfId="3" applyFont="1" applyFill="1" applyBorder="1" applyAlignment="1">
      <alignment horizontal="center" vertical="center"/>
    </xf>
    <xf numFmtId="2" fontId="68" fillId="9" borderId="1" xfId="3" applyNumberFormat="1" applyFont="1" applyFill="1" applyBorder="1" applyAlignment="1">
      <alignment horizontal="center"/>
    </xf>
    <xf numFmtId="2" fontId="74" fillId="2" borderId="1" xfId="3" applyNumberFormat="1" applyFont="1" applyFill="1" applyBorder="1" applyAlignment="1">
      <alignment horizontal="center" vertical="center"/>
    </xf>
    <xf numFmtId="2" fontId="74" fillId="8" borderId="1" xfId="3" applyNumberFormat="1" applyFont="1" applyFill="1" applyBorder="1" applyAlignment="1">
      <alignment horizontal="center"/>
    </xf>
    <xf numFmtId="2" fontId="74" fillId="8" borderId="8" xfId="3" applyNumberFormat="1" applyFont="1" applyFill="1" applyBorder="1" applyAlignment="1">
      <alignment horizontal="center"/>
    </xf>
    <xf numFmtId="0" fontId="74" fillId="0" borderId="1" xfId="4" applyFont="1" applyBorder="1" applyAlignment="1">
      <alignment horizontal="center"/>
    </xf>
    <xf numFmtId="0" fontId="74" fillId="0" borderId="1" xfId="4" applyFont="1" applyFill="1" applyBorder="1" applyAlignment="1">
      <alignment horizontal="center"/>
    </xf>
    <xf numFmtId="0" fontId="74" fillId="2" borderId="1" xfId="4" applyFont="1" applyFill="1" applyBorder="1" applyAlignment="1">
      <alignment horizontal="center"/>
    </xf>
    <xf numFmtId="0" fontId="74" fillId="8" borderId="1" xfId="3" applyFont="1" applyFill="1" applyBorder="1" applyAlignment="1">
      <alignment horizontal="center"/>
    </xf>
    <xf numFmtId="2" fontId="74" fillId="8" borderId="1" xfId="9" applyNumberFormat="1" applyFont="1" applyFill="1" applyBorder="1" applyAlignment="1">
      <alignment horizontal="center"/>
    </xf>
    <xf numFmtId="0" fontId="74" fillId="2" borderId="1" xfId="3" applyFont="1" applyFill="1" applyBorder="1" applyAlignment="1">
      <alignment horizontal="center"/>
    </xf>
    <xf numFmtId="0" fontId="74" fillId="0" borderId="1" xfId="4" applyFont="1" applyBorder="1" applyAlignment="1">
      <alignment horizontal="center" vertical="center"/>
    </xf>
    <xf numFmtId="2" fontId="74" fillId="8" borderId="1" xfId="3" applyNumberFormat="1" applyFont="1" applyFill="1" applyBorder="1" applyAlignment="1">
      <alignment horizontal="center" vertical="center"/>
    </xf>
    <xf numFmtId="0" fontId="74" fillId="8" borderId="1" xfId="3" applyFont="1" applyFill="1" applyBorder="1" applyAlignment="1">
      <alignment horizontal="center" vertical="center"/>
    </xf>
    <xf numFmtId="0" fontId="74" fillId="0" borderId="1" xfId="4" applyFont="1" applyFill="1" applyBorder="1" applyAlignment="1">
      <alignment horizontal="center" vertical="center"/>
    </xf>
    <xf numFmtId="0" fontId="74" fillId="15" borderId="1" xfId="3" applyFont="1" applyFill="1" applyBorder="1" applyAlignment="1">
      <alignment vertical="center"/>
    </xf>
    <xf numFmtId="1" fontId="74" fillId="2" borderId="1" xfId="3" applyNumberFormat="1" applyFont="1" applyFill="1" applyBorder="1" applyAlignment="1">
      <alignment horizontal="center" vertical="center"/>
    </xf>
    <xf numFmtId="0" fontId="74" fillId="2" borderId="1" xfId="4" applyFont="1" applyFill="1" applyBorder="1" applyAlignment="1"/>
    <xf numFmtId="0" fontId="74" fillId="2" borderId="1" xfId="4" applyFont="1" applyFill="1" applyBorder="1" applyAlignment="1">
      <alignment horizontal="center" wrapText="1"/>
    </xf>
    <xf numFmtId="0" fontId="74" fillId="0" borderId="1" xfId="4" applyFont="1" applyFill="1" applyBorder="1" applyAlignment="1">
      <alignment horizontal="center" wrapText="1"/>
    </xf>
    <xf numFmtId="0" fontId="74" fillId="0" borderId="1" xfId="4" applyFont="1" applyBorder="1" applyAlignment="1">
      <alignment horizontal="center" wrapText="1"/>
    </xf>
    <xf numFmtId="0" fontId="74" fillId="0" borderId="1" xfId="3" applyFont="1" applyFill="1" applyBorder="1" applyAlignment="1">
      <alignment horizontal="center"/>
    </xf>
    <xf numFmtId="0" fontId="74" fillId="10" borderId="25" xfId="4" applyFont="1" applyFill="1" applyBorder="1" applyAlignment="1">
      <alignment horizontal="center" vertical="center"/>
    </xf>
    <xf numFmtId="0" fontId="74" fillId="12" borderId="1" xfId="4" applyFont="1" applyFill="1" applyBorder="1" applyAlignment="1">
      <alignment horizontal="center"/>
    </xf>
    <xf numFmtId="2" fontId="74" fillId="8" borderId="7" xfId="3" applyNumberFormat="1" applyFont="1" applyFill="1" applyBorder="1" applyAlignment="1">
      <alignment horizontal="center"/>
    </xf>
    <xf numFmtId="0" fontId="69" fillId="0" borderId="1" xfId="4" applyFont="1" applyFill="1" applyBorder="1" applyAlignment="1">
      <alignment horizontal="center"/>
    </xf>
    <xf numFmtId="1" fontId="69" fillId="0" borderId="1" xfId="5" applyNumberFormat="1" applyFont="1" applyFill="1" applyBorder="1" applyAlignment="1">
      <alignment horizontal="center" vertical="center"/>
    </xf>
    <xf numFmtId="0" fontId="69" fillId="0" borderId="1" xfId="4" applyFont="1" applyFill="1" applyBorder="1" applyAlignment="1">
      <alignment horizontal="center" vertical="center"/>
    </xf>
    <xf numFmtId="0" fontId="69" fillId="2" borderId="1" xfId="4" applyFont="1" applyFill="1" applyBorder="1" applyAlignment="1">
      <alignment horizontal="center" wrapText="1"/>
    </xf>
    <xf numFmtId="0" fontId="69" fillId="0" borderId="1" xfId="4" applyFont="1" applyFill="1" applyBorder="1" applyAlignment="1">
      <alignment horizontal="center" wrapText="1"/>
    </xf>
    <xf numFmtId="0" fontId="69" fillId="0" borderId="1" xfId="4" applyFont="1" applyBorder="1" applyAlignment="1">
      <alignment horizontal="center" wrapText="1"/>
    </xf>
    <xf numFmtId="0" fontId="69" fillId="10" borderId="25" xfId="4" applyFont="1" applyFill="1" applyBorder="1" applyAlignment="1">
      <alignment horizontal="center" vertical="center"/>
    </xf>
    <xf numFmtId="0" fontId="69" fillId="0" borderId="1" xfId="0" applyFont="1" applyBorder="1" applyAlignment="1">
      <alignment horizontal="center"/>
    </xf>
    <xf numFmtId="0" fontId="69" fillId="0" borderId="1" xfId="0" applyFont="1" applyFill="1" applyBorder="1" applyAlignment="1">
      <alignment horizontal="center"/>
    </xf>
    <xf numFmtId="1" fontId="69" fillId="0" borderId="1" xfId="0" applyNumberFormat="1" applyFont="1" applyFill="1" applyBorder="1" applyAlignment="1">
      <alignment horizontal="center"/>
    </xf>
    <xf numFmtId="0" fontId="69" fillId="0" borderId="0" xfId="0" applyFont="1" applyBorder="1"/>
    <xf numFmtId="0" fontId="84" fillId="0" borderId="0" xfId="0" applyFont="1"/>
    <xf numFmtId="0" fontId="69" fillId="0" borderId="0" xfId="0" applyFont="1"/>
    <xf numFmtId="1" fontId="85" fillId="20" borderId="1" xfId="5" applyNumberFormat="1" applyFont="1" applyFill="1" applyBorder="1" applyAlignment="1">
      <alignment horizontal="center" vertical="center"/>
    </xf>
    <xf numFmtId="0" fontId="81" fillId="21" borderId="21" xfId="3" applyFont="1" applyFill="1" applyBorder="1" applyAlignment="1">
      <alignment horizontal="left"/>
    </xf>
    <xf numFmtId="0" fontId="80" fillId="21" borderId="1" xfId="3" applyFont="1" applyFill="1" applyBorder="1" applyAlignment="1">
      <alignment horizontal="left"/>
    </xf>
    <xf numFmtId="0" fontId="85" fillId="21" borderId="1" xfId="3" applyFont="1" applyFill="1" applyBorder="1" applyAlignment="1">
      <alignment horizontal="center"/>
    </xf>
    <xf numFmtId="0" fontId="85" fillId="21" borderId="1" xfId="4" applyFont="1" applyFill="1" applyBorder="1" applyAlignment="1">
      <alignment horizontal="center"/>
    </xf>
    <xf numFmtId="1" fontId="85" fillId="21" borderId="1" xfId="5" applyNumberFormat="1" applyFont="1" applyFill="1" applyBorder="1" applyAlignment="1">
      <alignment horizontal="center" vertical="center"/>
    </xf>
    <xf numFmtId="1" fontId="85" fillId="21" borderId="1" xfId="3" applyNumberFormat="1" applyFont="1" applyFill="1" applyBorder="1" applyAlignment="1">
      <alignment horizontal="center"/>
    </xf>
    <xf numFmtId="0" fontId="85" fillId="21" borderId="1" xfId="3" applyNumberFormat="1" applyFont="1" applyFill="1" applyBorder="1" applyAlignment="1">
      <alignment horizontal="center"/>
    </xf>
    <xf numFmtId="1" fontId="85" fillId="21" borderId="15" xfId="5" applyNumberFormat="1" applyFont="1" applyFill="1" applyBorder="1" applyAlignment="1" applyProtection="1">
      <alignment horizontal="center"/>
    </xf>
    <xf numFmtId="0" fontId="81" fillId="21" borderId="21" xfId="3" applyFont="1" applyFill="1" applyBorder="1" applyAlignment="1">
      <alignment horizontal="left" vertical="center"/>
    </xf>
    <xf numFmtId="0" fontId="80" fillId="21" borderId="1" xfId="3" applyFont="1" applyFill="1" applyBorder="1" applyAlignment="1">
      <alignment horizontal="left" vertical="center"/>
    </xf>
    <xf numFmtId="2" fontId="85" fillId="21" borderId="1" xfId="3" applyNumberFormat="1" applyFont="1" applyFill="1" applyBorder="1" applyAlignment="1">
      <alignment horizontal="center"/>
    </xf>
    <xf numFmtId="0" fontId="68" fillId="8" borderId="21" xfId="3" applyFont="1" applyFill="1" applyBorder="1" applyAlignment="1">
      <alignment horizontal="left" vertical="center"/>
    </xf>
    <xf numFmtId="0" fontId="70" fillId="8" borderId="1" xfId="3" applyFont="1" applyFill="1" applyBorder="1" applyAlignment="1">
      <alignment horizontal="left" vertical="center"/>
    </xf>
    <xf numFmtId="1" fontId="74" fillId="20" borderId="1" xfId="5" applyNumberFormat="1" applyFont="1" applyFill="1" applyBorder="1" applyAlignment="1">
      <alignment horizontal="center" vertical="center"/>
    </xf>
    <xf numFmtId="1" fontId="74" fillId="8" borderId="1" xfId="3" applyNumberFormat="1" applyFont="1" applyFill="1" applyBorder="1" applyAlignment="1">
      <alignment horizontal="center"/>
    </xf>
    <xf numFmtId="0" fontId="74" fillId="2" borderId="1" xfId="3" applyNumberFormat="1" applyFont="1" applyFill="1" applyBorder="1" applyAlignment="1">
      <alignment horizontal="center"/>
    </xf>
    <xf numFmtId="1" fontId="74" fillId="8" borderId="15" xfId="5" applyNumberFormat="1" applyFont="1" applyFill="1" applyBorder="1" applyAlignment="1" applyProtection="1">
      <alignment horizontal="center"/>
    </xf>
    <xf numFmtId="0" fontId="68" fillId="8" borderId="28" xfId="3" applyFont="1" applyFill="1" applyBorder="1" applyAlignment="1">
      <alignment horizontal="left" vertical="center"/>
    </xf>
    <xf numFmtId="0" fontId="68" fillId="8" borderId="5" xfId="3" applyFont="1" applyFill="1" applyBorder="1" applyAlignment="1">
      <alignment horizontal="left" vertical="center"/>
    </xf>
    <xf numFmtId="0" fontId="68" fillId="8" borderId="13" xfId="3" applyFont="1" applyFill="1" applyBorder="1" applyAlignment="1">
      <alignment horizontal="left" vertical="center"/>
    </xf>
    <xf numFmtId="0" fontId="74" fillId="8" borderId="8" xfId="3" applyFont="1" applyFill="1" applyBorder="1" applyAlignment="1">
      <alignment horizontal="center"/>
    </xf>
    <xf numFmtId="1" fontId="74" fillId="2" borderId="8" xfId="3" applyNumberFormat="1" applyFont="1" applyFill="1" applyBorder="1" applyAlignment="1">
      <alignment horizontal="center"/>
    </xf>
    <xf numFmtId="169" fontId="68" fillId="8" borderId="21" xfId="3" applyNumberFormat="1" applyFont="1" applyFill="1" applyBorder="1" applyAlignment="1">
      <alignment vertical="center"/>
    </xf>
    <xf numFmtId="169" fontId="70" fillId="8" borderId="1" xfId="3" applyNumberFormat="1" applyFont="1" applyFill="1" applyBorder="1" applyAlignment="1">
      <alignment vertical="center"/>
    </xf>
    <xf numFmtId="1" fontId="74" fillId="2" borderId="1" xfId="5" applyNumberFormat="1" applyFont="1" applyFill="1" applyBorder="1" applyAlignment="1">
      <alignment horizontal="center" vertical="center"/>
    </xf>
    <xf numFmtId="1" fontId="74" fillId="12" borderId="1" xfId="3" applyNumberFormat="1" applyFont="1" applyFill="1" applyBorder="1" applyAlignment="1">
      <alignment horizontal="center"/>
    </xf>
    <xf numFmtId="2" fontId="74" fillId="8" borderId="1" xfId="3" applyNumberFormat="1" applyFont="1" applyFill="1" applyBorder="1" applyAlignment="1">
      <alignment horizontal="right"/>
    </xf>
    <xf numFmtId="0" fontId="68" fillId="16" borderId="21" xfId="3" applyFont="1" applyFill="1" applyBorder="1" applyAlignment="1">
      <alignment horizontal="center"/>
    </xf>
    <xf numFmtId="0" fontId="70" fillId="16" borderId="1" xfId="3" applyFont="1" applyFill="1" applyBorder="1" applyAlignment="1">
      <alignment horizontal="center"/>
    </xf>
    <xf numFmtId="1" fontId="74" fillId="8" borderId="1" xfId="5" applyNumberFormat="1" applyFont="1" applyFill="1" applyBorder="1" applyAlignment="1">
      <alignment horizontal="center" vertical="center"/>
    </xf>
    <xf numFmtId="2" fontId="74" fillId="2" borderId="1" xfId="3" applyNumberFormat="1" applyFont="1" applyFill="1" applyBorder="1" applyAlignment="1">
      <alignment horizontal="center"/>
    </xf>
    <xf numFmtId="0" fontId="74" fillId="0" borderId="1" xfId="4" applyFont="1" applyBorder="1"/>
    <xf numFmtId="166" fontId="74" fillId="20" borderId="1" xfId="5" applyNumberFormat="1" applyFont="1" applyFill="1" applyBorder="1" applyAlignment="1">
      <alignment horizontal="center" vertical="center"/>
    </xf>
    <xf numFmtId="1" fontId="74" fillId="12" borderId="1" xfId="5" applyNumberFormat="1" applyFont="1" applyFill="1" applyBorder="1" applyAlignment="1" applyProtection="1">
      <alignment horizontal="center"/>
    </xf>
    <xf numFmtId="1" fontId="69" fillId="8" borderId="1" xfId="9" applyNumberFormat="1" applyFont="1" applyFill="1" applyBorder="1" applyAlignment="1">
      <alignment horizontal="center"/>
    </xf>
    <xf numFmtId="0" fontId="69" fillId="21" borderId="1" xfId="4" applyFont="1" applyFill="1" applyBorder="1" applyAlignment="1">
      <alignment horizontal="center"/>
    </xf>
    <xf numFmtId="0" fontId="75" fillId="12" borderId="1" xfId="4" applyFont="1" applyFill="1" applyBorder="1" applyAlignment="1">
      <alignment horizontal="center"/>
    </xf>
    <xf numFmtId="1" fontId="74" fillId="2" borderId="8" xfId="5" applyNumberFormat="1" applyFont="1" applyFill="1" applyBorder="1" applyAlignment="1">
      <alignment horizontal="center" vertical="center"/>
    </xf>
    <xf numFmtId="173" fontId="50" fillId="0" borderId="0" xfId="0" applyNumberFormat="1" applyFont="1"/>
    <xf numFmtId="1" fontId="83" fillId="0" borderId="5" xfId="0" applyNumberFormat="1" applyFont="1" applyBorder="1"/>
    <xf numFmtId="0" fontId="77" fillId="0" borderId="1" xfId="4" applyFont="1" applyFill="1" applyBorder="1" applyAlignment="1">
      <alignment horizontal="center" wrapText="1"/>
    </xf>
    <xf numFmtId="1" fontId="69" fillId="0" borderId="1" xfId="3" applyNumberFormat="1" applyFont="1" applyFill="1" applyBorder="1" applyAlignment="1">
      <alignment horizontal="center"/>
    </xf>
    <xf numFmtId="2" fontId="69" fillId="0" borderId="1" xfId="3" applyNumberFormat="1" applyFont="1" applyFill="1" applyBorder="1" applyAlignment="1">
      <alignment horizontal="center"/>
    </xf>
    <xf numFmtId="1" fontId="69" fillId="0" borderId="15" xfId="5" applyNumberFormat="1" applyFont="1" applyFill="1" applyBorder="1" applyAlignment="1" applyProtection="1">
      <alignment horizontal="center"/>
    </xf>
    <xf numFmtId="174" fontId="50" fillId="0" borderId="0" xfId="0" applyNumberFormat="1" applyFont="1"/>
    <xf numFmtId="0" fontId="69" fillId="12" borderId="1" xfId="3" applyFont="1" applyFill="1" applyBorder="1" applyAlignment="1">
      <alignment horizontal="center"/>
    </xf>
    <xf numFmtId="0" fontId="37" fillId="0" borderId="0" xfId="0" applyFont="1" applyFill="1"/>
    <xf numFmtId="174" fontId="50" fillId="0" borderId="0" xfId="0" applyNumberFormat="1" applyFont="1" applyFill="1"/>
    <xf numFmtId="173" fontId="50" fillId="0" borderId="0" xfId="0" applyNumberFormat="1" applyFont="1" applyFill="1"/>
    <xf numFmtId="1" fontId="50" fillId="0" borderId="0" xfId="0" applyNumberFormat="1" applyFont="1" applyFill="1"/>
    <xf numFmtId="1" fontId="83" fillId="0" borderId="0" xfId="0" applyNumberFormat="1" applyFont="1" applyFill="1"/>
    <xf numFmtId="1" fontId="83" fillId="0" borderId="5" xfId="0" applyNumberFormat="1" applyFont="1" applyFill="1" applyBorder="1"/>
    <xf numFmtId="0" fontId="86" fillId="0" borderId="0" xfId="0" applyFont="1" applyFill="1" applyAlignment="1">
      <alignment horizontal="center"/>
    </xf>
    <xf numFmtId="0" fontId="87" fillId="0" borderId="0" xfId="0" applyFont="1" applyFill="1" applyAlignment="1">
      <alignment horizontal="center"/>
    </xf>
    <xf numFmtId="1" fontId="86" fillId="0" borderId="0" xfId="0" applyNumberFormat="1" applyFont="1" applyFill="1" applyAlignment="1">
      <alignment horizontal="center"/>
    </xf>
    <xf numFmtId="1" fontId="88" fillId="0" borderId="0" xfId="0" applyNumberFormat="1" applyFont="1" applyFill="1" applyAlignment="1">
      <alignment horizontal="center"/>
    </xf>
    <xf numFmtId="1" fontId="88" fillId="0" borderId="5" xfId="0" applyNumberFormat="1" applyFont="1" applyFill="1" applyBorder="1" applyAlignment="1">
      <alignment horizontal="center"/>
    </xf>
    <xf numFmtId="1" fontId="50" fillId="12" borderId="0" xfId="0" applyNumberFormat="1" applyFont="1" applyFill="1"/>
    <xf numFmtId="1" fontId="86" fillId="12" borderId="0" xfId="0" applyNumberFormat="1" applyFont="1" applyFill="1" applyAlignment="1">
      <alignment horizontal="center"/>
    </xf>
    <xf numFmtId="0" fontId="50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175" fontId="50" fillId="0" borderId="0" xfId="0" applyNumberFormat="1" applyFont="1" applyAlignment="1">
      <alignment horizontal="center"/>
    </xf>
    <xf numFmtId="175" fontId="50" fillId="12" borderId="0" xfId="0" applyNumberFormat="1" applyFont="1" applyFill="1" applyAlignment="1">
      <alignment horizontal="center"/>
    </xf>
    <xf numFmtId="175" fontId="50" fillId="0" borderId="0" xfId="0" applyNumberFormat="1" applyFont="1" applyFill="1" applyAlignment="1">
      <alignment horizontal="center"/>
    </xf>
    <xf numFmtId="174" fontId="50" fillId="12" borderId="0" xfId="0" applyNumberFormat="1" applyFont="1" applyFill="1"/>
    <xf numFmtId="174" fontId="86" fillId="12" borderId="0" xfId="0" applyNumberFormat="1" applyFont="1" applyFill="1" applyAlignment="1">
      <alignment horizontal="center"/>
    </xf>
    <xf numFmtId="0" fontId="65" fillId="0" borderId="21" xfId="4" applyFont="1" applyFill="1" applyBorder="1"/>
    <xf numFmtId="0" fontId="66" fillId="0" borderId="1" xfId="0" applyFont="1" applyFill="1" applyBorder="1"/>
    <xf numFmtId="0" fontId="69" fillId="0" borderId="1" xfId="4" applyFont="1" applyFill="1" applyBorder="1"/>
    <xf numFmtId="166" fontId="51" fillId="0" borderId="0" xfId="5" applyNumberFormat="1" applyFont="1" applyFill="1" applyBorder="1" applyAlignment="1" applyProtection="1">
      <alignment horizontal="center"/>
    </xf>
    <xf numFmtId="0" fontId="52" fillId="0" borderId="0" xfId="0" applyFont="1" applyFill="1" applyBorder="1"/>
    <xf numFmtId="0" fontId="52" fillId="0" borderId="0" xfId="0" applyFont="1" applyFill="1"/>
    <xf numFmtId="1" fontId="63" fillId="9" borderId="1" xfId="3" applyNumberFormat="1" applyFont="1" applyFill="1" applyBorder="1" applyAlignment="1">
      <alignment horizontal="center" vertical="center"/>
    </xf>
    <xf numFmtId="1" fontId="69" fillId="8" borderId="8" xfId="3" applyNumberFormat="1" applyFont="1" applyFill="1" applyBorder="1" applyAlignment="1">
      <alignment horizontal="center"/>
    </xf>
    <xf numFmtId="1" fontId="69" fillId="0" borderId="1" xfId="4" applyNumberFormat="1" applyFont="1" applyBorder="1" applyAlignment="1">
      <alignment horizontal="center"/>
    </xf>
    <xf numFmtId="1" fontId="69" fillId="15" borderId="1" xfId="3" applyNumberFormat="1" applyFont="1" applyFill="1" applyBorder="1" applyAlignment="1">
      <alignment horizontal="center"/>
    </xf>
    <xf numFmtId="1" fontId="69" fillId="21" borderId="1" xfId="4" applyNumberFormat="1" applyFont="1" applyFill="1" applyBorder="1" applyAlignment="1">
      <alignment horizontal="center"/>
    </xf>
    <xf numFmtId="1" fontId="69" fillId="2" borderId="1" xfId="4" applyNumberFormat="1" applyFont="1" applyFill="1" applyBorder="1" applyAlignment="1">
      <alignment horizontal="center"/>
    </xf>
    <xf numFmtId="1" fontId="69" fillId="0" borderId="1" xfId="4" applyNumberFormat="1" applyFont="1" applyBorder="1" applyAlignment="1">
      <alignment horizontal="center" vertical="center"/>
    </xf>
    <xf numFmtId="1" fontId="69" fillId="0" borderId="1" xfId="4" applyNumberFormat="1" applyFont="1" applyFill="1" applyBorder="1" applyAlignment="1">
      <alignment horizontal="center" vertical="center"/>
    </xf>
    <xf numFmtId="1" fontId="69" fillId="15" borderId="1" xfId="3" applyNumberFormat="1" applyFont="1" applyFill="1" applyBorder="1" applyAlignment="1">
      <alignment vertical="center"/>
    </xf>
    <xf numFmtId="1" fontId="69" fillId="0" borderId="1" xfId="4" applyNumberFormat="1" applyFont="1" applyFill="1" applyBorder="1" applyAlignment="1">
      <alignment horizontal="center"/>
    </xf>
    <xf numFmtId="1" fontId="69" fillId="2" borderId="1" xfId="4" applyNumberFormat="1" applyFont="1" applyFill="1" applyBorder="1" applyAlignment="1"/>
    <xf numFmtId="1" fontId="69" fillId="2" borderId="1" xfId="4" applyNumberFormat="1" applyFont="1" applyFill="1" applyBorder="1" applyAlignment="1">
      <alignment horizontal="center" wrapText="1"/>
    </xf>
    <xf numFmtId="1" fontId="69" fillId="0" borderId="1" xfId="4" applyNumberFormat="1" applyFont="1" applyFill="1" applyBorder="1" applyAlignment="1">
      <alignment horizontal="center" wrapText="1"/>
    </xf>
    <xf numFmtId="1" fontId="69" fillId="0" borderId="1" xfId="4" applyNumberFormat="1" applyFont="1" applyBorder="1" applyAlignment="1">
      <alignment horizontal="center" wrapText="1"/>
    </xf>
    <xf numFmtId="1" fontId="74" fillId="0" borderId="1" xfId="3" applyNumberFormat="1" applyFont="1" applyFill="1" applyBorder="1" applyAlignment="1">
      <alignment horizontal="center"/>
    </xf>
    <xf numFmtId="1" fontId="69" fillId="10" borderId="25" xfId="4" applyNumberFormat="1" applyFont="1" applyFill="1" applyBorder="1" applyAlignment="1">
      <alignment horizontal="center" vertical="center"/>
    </xf>
    <xf numFmtId="1" fontId="69" fillId="0" borderId="1" xfId="0" applyNumberFormat="1" applyFont="1" applyBorder="1" applyAlignment="1">
      <alignment horizontal="center"/>
    </xf>
    <xf numFmtId="1" fontId="69" fillId="0" borderId="0" xfId="0" applyNumberFormat="1" applyFont="1" applyBorder="1"/>
    <xf numFmtId="1" fontId="69" fillId="12" borderId="1" xfId="4" applyNumberFormat="1" applyFont="1" applyFill="1" applyBorder="1" applyAlignment="1">
      <alignment horizontal="center"/>
    </xf>
    <xf numFmtId="1" fontId="84" fillId="0" borderId="0" xfId="0" applyNumberFormat="1" applyFont="1"/>
    <xf numFmtId="1" fontId="69" fillId="0" borderId="0" xfId="0" applyNumberFormat="1" applyFont="1"/>
    <xf numFmtId="1" fontId="85" fillId="21" borderId="1" xfId="4" applyNumberFormat="1" applyFont="1" applyFill="1" applyBorder="1" applyAlignment="1">
      <alignment horizontal="center"/>
    </xf>
    <xf numFmtId="1" fontId="74" fillId="0" borderId="1" xfId="4" applyNumberFormat="1" applyFont="1" applyBorder="1" applyAlignment="1">
      <alignment horizontal="center"/>
    </xf>
    <xf numFmtId="1" fontId="75" fillId="0" borderId="1" xfId="4" applyNumberFormat="1" applyFont="1" applyBorder="1" applyAlignment="1">
      <alignment horizontal="center"/>
    </xf>
    <xf numFmtId="1" fontId="76" fillId="2" borderId="1" xfId="4" applyNumberFormat="1" applyFont="1" applyFill="1" applyBorder="1" applyAlignment="1">
      <alignment horizontal="center"/>
    </xf>
    <xf numFmtId="1" fontId="78" fillId="8" borderId="1" xfId="3" applyNumberFormat="1" applyFont="1" applyFill="1" applyBorder="1" applyAlignment="1">
      <alignment horizontal="center"/>
    </xf>
    <xf numFmtId="1" fontId="76" fillId="2" borderId="1" xfId="3" applyNumberFormat="1" applyFont="1" applyFill="1" applyBorder="1" applyAlignment="1">
      <alignment horizontal="center"/>
    </xf>
    <xf numFmtId="1" fontId="75" fillId="2" borderId="1" xfId="4" applyNumberFormat="1" applyFont="1" applyFill="1" applyBorder="1" applyAlignment="1">
      <alignment horizontal="center" wrapText="1"/>
    </xf>
    <xf numFmtId="1" fontId="75" fillId="2" borderId="1" xfId="4" applyNumberFormat="1" applyFont="1" applyFill="1" applyBorder="1" applyAlignment="1">
      <alignment horizontal="center"/>
    </xf>
    <xf numFmtId="1" fontId="75" fillId="10" borderId="25" xfId="4" applyNumberFormat="1" applyFont="1" applyFill="1" applyBorder="1" applyAlignment="1">
      <alignment horizontal="center" vertical="center"/>
    </xf>
    <xf numFmtId="1" fontId="74" fillId="0" borderId="0" xfId="0" applyNumberFormat="1" applyFont="1" applyBorder="1"/>
    <xf numFmtId="1" fontId="75" fillId="0" borderId="1" xfId="4" applyNumberFormat="1" applyFont="1" applyFill="1" applyBorder="1" applyAlignment="1">
      <alignment horizontal="center"/>
    </xf>
    <xf numFmtId="1" fontId="75" fillId="12" borderId="1" xfId="4" applyNumberFormat="1" applyFont="1" applyFill="1" applyBorder="1" applyAlignment="1">
      <alignment horizontal="center"/>
    </xf>
    <xf numFmtId="0" fontId="90" fillId="0" borderId="0" xfId="0" applyFont="1" applyFill="1"/>
    <xf numFmtId="0" fontId="13" fillId="0" borderId="0" xfId="2" applyAlignment="1" applyProtection="1"/>
    <xf numFmtId="0" fontId="13" fillId="0" borderId="0" xfId="2" applyFill="1" applyAlignment="1" applyProtection="1"/>
    <xf numFmtId="0" fontId="89" fillId="0" borderId="0" xfId="16" applyAlignment="1" applyProtection="1"/>
    <xf numFmtId="1" fontId="13" fillId="0" borderId="0" xfId="2" applyNumberFormat="1" applyAlignment="1" applyProtection="1"/>
    <xf numFmtId="1" fontId="69" fillId="12" borderId="1" xfId="5" applyNumberFormat="1" applyFont="1" applyFill="1" applyBorder="1" applyAlignment="1">
      <alignment horizontal="center" vertical="center"/>
    </xf>
    <xf numFmtId="1" fontId="69" fillId="12" borderId="15" xfId="5" applyNumberFormat="1" applyFont="1" applyFill="1" applyBorder="1" applyAlignment="1" applyProtection="1">
      <alignment horizontal="center"/>
    </xf>
    <xf numFmtId="0" fontId="50" fillId="12" borderId="0" xfId="0" applyFont="1" applyFill="1"/>
    <xf numFmtId="1" fontId="52" fillId="0" borderId="0" xfId="0" applyNumberFormat="1" applyFont="1"/>
    <xf numFmtId="1" fontId="52" fillId="0" borderId="0" xfId="0" applyNumberFormat="1" applyFont="1" applyFill="1"/>
    <xf numFmtId="1" fontId="60" fillId="0" borderId="0" xfId="0" applyNumberFormat="1" applyFont="1" applyFill="1"/>
    <xf numFmtId="1" fontId="77" fillId="12" borderId="1" xfId="5" applyNumberFormat="1" applyFont="1" applyFill="1" applyBorder="1" applyAlignment="1">
      <alignment horizontal="center" vertical="center"/>
    </xf>
    <xf numFmtId="0" fontId="74" fillId="0" borderId="4" xfId="0" applyFont="1" applyFill="1" applyBorder="1"/>
    <xf numFmtId="1" fontId="92" fillId="0" borderId="1" xfId="0" applyNumberFormat="1" applyFont="1" applyFill="1" applyBorder="1" applyAlignment="1">
      <alignment horizontal="center" wrapText="1"/>
    </xf>
    <xf numFmtId="0" fontId="75" fillId="12" borderId="1" xfId="4" applyFont="1" applyFill="1" applyBorder="1" applyAlignment="1">
      <alignment horizontal="center" wrapText="1"/>
    </xf>
    <xf numFmtId="0" fontId="69" fillId="12" borderId="1" xfId="4" applyFont="1" applyFill="1" applyBorder="1" applyAlignment="1">
      <alignment horizontal="center" wrapText="1"/>
    </xf>
    <xf numFmtId="0" fontId="69" fillId="12" borderId="1" xfId="0" applyFont="1" applyFill="1" applyBorder="1" applyAlignment="1">
      <alignment horizontal="center"/>
    </xf>
    <xf numFmtId="0" fontId="68" fillId="0" borderId="1" xfId="0" applyFont="1" applyBorder="1"/>
    <xf numFmtId="0" fontId="70" fillId="0" borderId="1" xfId="0" applyFont="1" applyBorder="1"/>
    <xf numFmtId="0" fontId="63" fillId="0" borderId="1" xfId="4" applyFont="1" applyBorder="1" applyAlignment="1">
      <alignment vertical="center"/>
    </xf>
    <xf numFmtId="0" fontId="80" fillId="2" borderId="1" xfId="3" applyFont="1" applyFill="1" applyBorder="1" applyAlignment="1">
      <alignment horizontal="left"/>
    </xf>
    <xf numFmtId="0" fontId="85" fillId="2" borderId="1" xfId="3" applyFont="1" applyFill="1" applyBorder="1" applyAlignment="1">
      <alignment horizontal="center"/>
    </xf>
    <xf numFmtId="0" fontId="85" fillId="2" borderId="1" xfId="4" applyFont="1" applyFill="1" applyBorder="1" applyAlignment="1">
      <alignment horizontal="center"/>
    </xf>
    <xf numFmtId="0" fontId="81" fillId="2" borderId="21" xfId="3" applyFont="1" applyFill="1" applyBorder="1" applyAlignment="1">
      <alignment horizontal="left" vertical="center"/>
    </xf>
    <xf numFmtId="0" fontId="80" fillId="2" borderId="1" xfId="3" applyFont="1" applyFill="1" applyBorder="1" applyAlignment="1">
      <alignment horizontal="left" vertical="center"/>
    </xf>
    <xf numFmtId="0" fontId="63" fillId="2" borderId="21" xfId="3" applyFont="1" applyFill="1" applyBorder="1" applyAlignment="1">
      <alignment horizontal="left"/>
    </xf>
    <xf numFmtId="0" fontId="62" fillId="2" borderId="1" xfId="3" applyFont="1" applyFill="1" applyBorder="1" applyAlignment="1">
      <alignment horizontal="left"/>
    </xf>
    <xf numFmtId="0" fontId="68" fillId="2" borderId="1" xfId="0" applyFont="1" applyFill="1" applyBorder="1"/>
    <xf numFmtId="0" fontId="70" fillId="2" borderId="1" xfId="0" applyFont="1" applyFill="1" applyBorder="1"/>
    <xf numFmtId="0" fontId="63" fillId="2" borderId="1" xfId="4" applyFont="1" applyFill="1" applyBorder="1" applyAlignment="1">
      <alignment vertical="center"/>
    </xf>
    <xf numFmtId="0" fontId="62" fillId="2" borderId="1" xfId="4" applyFont="1" applyFill="1" applyBorder="1" applyAlignment="1">
      <alignment vertical="center"/>
    </xf>
    <xf numFmtId="0" fontId="68" fillId="2" borderId="0" xfId="0" applyFont="1" applyFill="1"/>
    <xf numFmtId="0" fontId="70" fillId="2" borderId="0" xfId="0" applyFont="1" applyFill="1"/>
    <xf numFmtId="0" fontId="74" fillId="2" borderId="0" xfId="0" applyFont="1" applyFill="1"/>
    <xf numFmtId="0" fontId="69" fillId="2" borderId="0" xfId="0" applyFont="1" applyFill="1"/>
    <xf numFmtId="1" fontId="74" fillId="2" borderId="0" xfId="0" applyNumberFormat="1" applyFont="1" applyFill="1"/>
    <xf numFmtId="0" fontId="69" fillId="2" borderId="1" xfId="0" applyFont="1" applyFill="1" applyBorder="1" applyAlignment="1">
      <alignment horizontal="center"/>
    </xf>
    <xf numFmtId="0" fontId="61" fillId="0" borderId="25" xfId="0" applyFont="1" applyFill="1" applyBorder="1" applyAlignment="1">
      <alignment horizontal="center"/>
    </xf>
    <xf numFmtId="1" fontId="50" fillId="0" borderId="0" xfId="0" applyNumberFormat="1" applyFont="1" applyBorder="1"/>
    <xf numFmtId="0" fontId="94" fillId="0" borderId="0" xfId="0" applyFont="1"/>
    <xf numFmtId="168" fontId="95" fillId="9" borderId="21" xfId="3" applyNumberFormat="1" applyFont="1" applyFill="1" applyBorder="1" applyAlignment="1">
      <alignment horizontal="left"/>
    </xf>
    <xf numFmtId="0" fontId="95" fillId="9" borderId="1" xfId="3" applyFont="1" applyFill="1" applyBorder="1" applyAlignment="1">
      <alignment horizontal="center"/>
    </xf>
    <xf numFmtId="9" fontId="95" fillId="9" borderId="1" xfId="4" applyNumberFormat="1" applyFont="1" applyFill="1" applyBorder="1"/>
    <xf numFmtId="0" fontId="95" fillId="9" borderId="1" xfId="3" applyFont="1" applyFill="1" applyBorder="1" applyAlignment="1">
      <alignment horizontal="center" vertical="center"/>
    </xf>
    <xf numFmtId="1" fontId="95" fillId="9" borderId="15" xfId="3" applyNumberFormat="1" applyFont="1" applyFill="1" applyBorder="1" applyAlignment="1">
      <alignment horizontal="center" vertical="center"/>
    </xf>
    <xf numFmtId="9" fontId="95" fillId="9" borderId="21" xfId="3" applyNumberFormat="1" applyFont="1" applyFill="1" applyBorder="1" applyAlignment="1">
      <alignment horizontal="left"/>
    </xf>
    <xf numFmtId="0" fontId="95" fillId="9" borderId="1" xfId="3" applyFont="1" applyFill="1" applyBorder="1" applyAlignment="1">
      <alignment horizontal="left"/>
    </xf>
    <xf numFmtId="0" fontId="95" fillId="9" borderId="1" xfId="3" applyFont="1" applyFill="1" applyBorder="1" applyAlignment="1"/>
    <xf numFmtId="10" fontId="95" fillId="9" borderId="1" xfId="3" applyNumberFormat="1" applyFont="1" applyFill="1" applyBorder="1" applyAlignment="1">
      <alignment horizontal="center"/>
    </xf>
    <xf numFmtId="1" fontId="95" fillId="9" borderId="1" xfId="3" applyNumberFormat="1" applyFont="1" applyFill="1" applyBorder="1" applyAlignment="1">
      <alignment horizontal="center"/>
    </xf>
    <xf numFmtId="1" fontId="95" fillId="9" borderId="15" xfId="3" applyNumberFormat="1" applyFont="1" applyFill="1" applyBorder="1" applyAlignment="1">
      <alignment horizontal="center"/>
    </xf>
    <xf numFmtId="0" fontId="96" fillId="2" borderId="0" xfId="3" applyFont="1" applyFill="1" applyBorder="1" applyAlignment="1">
      <alignment horizontal="center" vertical="center"/>
    </xf>
    <xf numFmtId="0" fontId="94" fillId="0" borderId="0" xfId="0" applyFont="1" applyBorder="1"/>
    <xf numFmtId="0" fontId="95" fillId="9" borderId="21" xfId="3" applyFont="1" applyFill="1" applyBorder="1"/>
    <xf numFmtId="9" fontId="95" fillId="9" borderId="1" xfId="3" applyNumberFormat="1" applyFont="1" applyFill="1" applyBorder="1" applyAlignment="1">
      <alignment horizontal="left"/>
    </xf>
    <xf numFmtId="2" fontId="95" fillId="9" borderId="1" xfId="3" applyNumberFormat="1" applyFont="1" applyFill="1" applyBorder="1" applyAlignment="1">
      <alignment horizontal="center"/>
    </xf>
    <xf numFmtId="9" fontId="95" fillId="9" borderId="1" xfId="3" applyNumberFormat="1" applyFont="1" applyFill="1" applyBorder="1" applyAlignment="1">
      <alignment horizontal="center"/>
    </xf>
    <xf numFmtId="166" fontId="96" fillId="2" borderId="0" xfId="3" applyNumberFormat="1" applyFont="1" applyFill="1" applyBorder="1" applyAlignment="1">
      <alignment horizontal="center"/>
    </xf>
    <xf numFmtId="0" fontId="95" fillId="8" borderId="21" xfId="3" applyFont="1" applyFill="1" applyBorder="1" applyAlignment="1">
      <alignment horizontal="center" vertical="center"/>
    </xf>
    <xf numFmtId="0" fontId="95" fillId="8" borderId="1" xfId="3" applyFont="1" applyFill="1" applyBorder="1" applyAlignment="1">
      <alignment horizontal="center" vertical="center"/>
    </xf>
    <xf numFmtId="2" fontId="95" fillId="2" borderId="1" xfId="3" applyNumberFormat="1" applyFont="1" applyFill="1" applyBorder="1" applyAlignment="1">
      <alignment horizontal="center" vertical="center"/>
    </xf>
    <xf numFmtId="166" fontId="95" fillId="8" borderId="1" xfId="3" applyNumberFormat="1" applyFont="1" applyFill="1" applyBorder="1" applyAlignment="1">
      <alignment horizontal="center" wrapText="1" shrinkToFit="1"/>
    </xf>
    <xf numFmtId="2" fontId="95" fillId="8" borderId="1" xfId="3" applyNumberFormat="1" applyFont="1" applyFill="1" applyBorder="1" applyAlignment="1">
      <alignment horizontal="center" vertical="center"/>
    </xf>
    <xf numFmtId="1" fontId="95" fillId="8" borderId="1" xfId="3" applyNumberFormat="1" applyFont="1" applyFill="1" applyBorder="1" applyAlignment="1">
      <alignment horizontal="center" vertical="center"/>
    </xf>
    <xf numFmtId="166" fontId="95" fillId="8" borderId="15" xfId="3" applyNumberFormat="1" applyFont="1" applyFill="1" applyBorder="1" applyAlignment="1">
      <alignment horizontal="center" wrapText="1" shrinkToFit="1"/>
    </xf>
    <xf numFmtId="166" fontId="97" fillId="2" borderId="0" xfId="3" applyNumberFormat="1" applyFont="1" applyFill="1" applyBorder="1" applyAlignment="1">
      <alignment horizontal="center" vertical="center" wrapText="1" shrinkToFit="1"/>
    </xf>
    <xf numFmtId="0" fontId="95" fillId="15" borderId="1" xfId="3" applyFont="1" applyFill="1" applyBorder="1" applyAlignment="1">
      <alignment horizontal="center" vertical="center"/>
    </xf>
    <xf numFmtId="0" fontId="95" fillId="15" borderId="1" xfId="3" applyFont="1" applyFill="1" applyBorder="1" applyAlignment="1">
      <alignment horizontal="center"/>
    </xf>
    <xf numFmtId="0" fontId="95" fillId="15" borderId="15" xfId="3" applyFont="1" applyFill="1" applyBorder="1" applyAlignment="1">
      <alignment horizontal="center"/>
    </xf>
    <xf numFmtId="0" fontId="97" fillId="2" borderId="0" xfId="3" applyFont="1" applyFill="1" applyBorder="1" applyAlignment="1">
      <alignment horizontal="center" vertical="center"/>
    </xf>
    <xf numFmtId="0" fontId="95" fillId="8" borderId="21" xfId="3" applyFont="1" applyFill="1" applyBorder="1" applyAlignment="1">
      <alignment horizontal="left" vertical="center"/>
    </xf>
    <xf numFmtId="0" fontId="95" fillId="8" borderId="1" xfId="3" applyFont="1" applyFill="1" applyBorder="1" applyAlignment="1">
      <alignment horizontal="left" vertical="center"/>
    </xf>
    <xf numFmtId="0" fontId="95" fillId="8" borderId="1" xfId="3" applyFont="1" applyFill="1" applyBorder="1" applyAlignment="1">
      <alignment horizontal="center"/>
    </xf>
    <xf numFmtId="2" fontId="95" fillId="8" borderId="1" xfId="3" applyNumberFormat="1" applyFont="1" applyFill="1" applyBorder="1" applyAlignment="1">
      <alignment horizontal="center"/>
    </xf>
    <xf numFmtId="1" fontId="95" fillId="2" borderId="1" xfId="5" applyNumberFormat="1" applyFont="1" applyFill="1" applyBorder="1" applyAlignment="1">
      <alignment horizontal="center" vertical="center"/>
    </xf>
    <xf numFmtId="1" fontId="95" fillId="8" borderId="1" xfId="3" applyNumberFormat="1" applyFont="1" applyFill="1" applyBorder="1" applyAlignment="1">
      <alignment horizontal="center"/>
    </xf>
    <xf numFmtId="0" fontId="95" fillId="2" borderId="1" xfId="3" applyNumberFormat="1" applyFont="1" applyFill="1" applyBorder="1" applyAlignment="1">
      <alignment horizontal="center"/>
    </xf>
    <xf numFmtId="1" fontId="95" fillId="8" borderId="15" xfId="5" applyNumberFormat="1" applyFont="1" applyFill="1" applyBorder="1" applyAlignment="1" applyProtection="1">
      <alignment horizontal="center"/>
    </xf>
    <xf numFmtId="2" fontId="99" fillId="8" borderId="11" xfId="3" applyNumberFormat="1" applyFont="1" applyFill="1" applyBorder="1" applyAlignment="1">
      <alignment horizontal="center"/>
    </xf>
    <xf numFmtId="1" fontId="94" fillId="0" borderId="0" xfId="0" applyNumberFormat="1" applyFont="1"/>
    <xf numFmtId="0" fontId="95" fillId="8" borderId="28" xfId="3" applyFont="1" applyFill="1" applyBorder="1" applyAlignment="1">
      <alignment horizontal="left" vertical="center"/>
    </xf>
    <xf numFmtId="0" fontId="95" fillId="8" borderId="5" xfId="3" applyFont="1" applyFill="1" applyBorder="1" applyAlignment="1">
      <alignment horizontal="left" vertical="center"/>
    </xf>
    <xf numFmtId="0" fontId="95" fillId="8" borderId="13" xfId="3" applyFont="1" applyFill="1" applyBorder="1" applyAlignment="1">
      <alignment horizontal="left" vertical="center"/>
    </xf>
    <xf numFmtId="0" fontId="95" fillId="8" borderId="8" xfId="3" applyFont="1" applyFill="1" applyBorder="1" applyAlignment="1">
      <alignment horizontal="center"/>
    </xf>
    <xf numFmtId="2" fontId="95" fillId="8" borderId="8" xfId="3" applyNumberFormat="1" applyFont="1" applyFill="1" applyBorder="1" applyAlignment="1">
      <alignment horizontal="center"/>
    </xf>
    <xf numFmtId="1" fontId="95" fillId="2" borderId="7" xfId="5" applyNumberFormat="1" applyFont="1" applyFill="1" applyBorder="1" applyAlignment="1">
      <alignment horizontal="center" vertical="center"/>
    </xf>
    <xf numFmtId="1" fontId="95" fillId="2" borderId="8" xfId="3" applyNumberFormat="1" applyFont="1" applyFill="1" applyBorder="1" applyAlignment="1">
      <alignment horizontal="center"/>
    </xf>
    <xf numFmtId="2" fontId="99" fillId="8" borderId="1" xfId="3" applyNumberFormat="1" applyFont="1" applyFill="1" applyBorder="1" applyAlignment="1">
      <alignment horizontal="center"/>
    </xf>
    <xf numFmtId="2" fontId="94" fillId="0" borderId="0" xfId="0" applyNumberFormat="1" applyFont="1"/>
    <xf numFmtId="169" fontId="95" fillId="8" borderId="21" xfId="3" applyNumberFormat="1" applyFont="1" applyFill="1" applyBorder="1" applyAlignment="1">
      <alignment vertical="center"/>
    </xf>
    <xf numFmtId="169" fontId="95" fillId="8" borderId="1" xfId="3" applyNumberFormat="1" applyFont="1" applyFill="1" applyBorder="1" applyAlignment="1">
      <alignment vertical="center"/>
    </xf>
    <xf numFmtId="0" fontId="95" fillId="0" borderId="1" xfId="4" applyFont="1" applyBorder="1" applyAlignment="1">
      <alignment horizontal="center"/>
    </xf>
    <xf numFmtId="1" fontId="95" fillId="12" borderId="1" xfId="3" applyNumberFormat="1" applyFont="1" applyFill="1" applyBorder="1" applyAlignment="1">
      <alignment horizontal="center"/>
    </xf>
    <xf numFmtId="1" fontId="97" fillId="2" borderId="0" xfId="5" applyNumberFormat="1" applyFont="1" applyFill="1" applyBorder="1" applyAlignment="1" applyProtection="1">
      <alignment horizontal="center"/>
    </xf>
    <xf numFmtId="2" fontId="95" fillId="8" borderId="1" xfId="3" applyNumberFormat="1" applyFont="1" applyFill="1" applyBorder="1" applyAlignment="1">
      <alignment horizontal="right"/>
    </xf>
    <xf numFmtId="0" fontId="95" fillId="16" borderId="21" xfId="3" applyFont="1" applyFill="1" applyBorder="1" applyAlignment="1">
      <alignment horizontal="center"/>
    </xf>
    <xf numFmtId="0" fontId="95" fillId="16" borderId="1" xfId="3" applyFont="1" applyFill="1" applyBorder="1" applyAlignment="1">
      <alignment horizontal="center"/>
    </xf>
    <xf numFmtId="1" fontId="95" fillId="8" borderId="1" xfId="5" applyNumberFormat="1" applyFont="1" applyFill="1" applyBorder="1" applyAlignment="1">
      <alignment horizontal="center" vertical="center"/>
    </xf>
    <xf numFmtId="2" fontId="95" fillId="2" borderId="1" xfId="3" applyNumberFormat="1" applyFont="1" applyFill="1" applyBorder="1" applyAlignment="1">
      <alignment horizontal="center"/>
    </xf>
    <xf numFmtId="0" fontId="100" fillId="15" borderId="1" xfId="3" applyFont="1" applyFill="1" applyBorder="1" applyAlignment="1">
      <alignment horizontal="center"/>
    </xf>
    <xf numFmtId="0" fontId="97" fillId="2" borderId="0" xfId="3" applyFont="1" applyFill="1" applyBorder="1" applyAlignment="1">
      <alignment horizontal="center"/>
    </xf>
    <xf numFmtId="0" fontId="95" fillId="8" borderId="21" xfId="3" applyFont="1" applyFill="1" applyBorder="1" applyAlignment="1">
      <alignment horizontal="left"/>
    </xf>
    <xf numFmtId="0" fontId="95" fillId="8" borderId="1" xfId="3" applyFont="1" applyFill="1" applyBorder="1" applyAlignment="1">
      <alignment horizontal="left"/>
    </xf>
    <xf numFmtId="0" fontId="101" fillId="0" borderId="1" xfId="4" applyFont="1" applyBorder="1" applyAlignment="1">
      <alignment horizontal="center"/>
    </xf>
    <xf numFmtId="0" fontId="95" fillId="2" borderId="21" xfId="3" applyFont="1" applyFill="1" applyBorder="1" applyAlignment="1">
      <alignment horizontal="left" vertical="center"/>
    </xf>
    <xf numFmtId="0" fontId="95" fillId="2" borderId="1" xfId="3" applyFont="1" applyFill="1" applyBorder="1" applyAlignment="1">
      <alignment horizontal="left" vertical="center"/>
    </xf>
    <xf numFmtId="0" fontId="95" fillId="2" borderId="1" xfId="3" applyFont="1" applyFill="1" applyBorder="1" applyAlignment="1">
      <alignment horizontal="center"/>
    </xf>
    <xf numFmtId="0" fontId="95" fillId="2" borderId="1" xfId="4" applyFont="1" applyFill="1" applyBorder="1" applyAlignment="1">
      <alignment horizontal="center"/>
    </xf>
    <xf numFmtId="1" fontId="95" fillId="2" borderId="1" xfId="3" applyNumberFormat="1" applyFont="1" applyFill="1" applyBorder="1" applyAlignment="1">
      <alignment horizontal="center"/>
    </xf>
    <xf numFmtId="2" fontId="95" fillId="12" borderId="1" xfId="3" applyNumberFormat="1" applyFont="1" applyFill="1" applyBorder="1" applyAlignment="1">
      <alignment horizontal="center"/>
    </xf>
    <xf numFmtId="1" fontId="95" fillId="2" borderId="15" xfId="5" applyNumberFormat="1" applyFont="1" applyFill="1" applyBorder="1" applyAlignment="1" applyProtection="1">
      <alignment horizontal="center"/>
    </xf>
    <xf numFmtId="1" fontId="100" fillId="15" borderId="1" xfId="3" applyNumberFormat="1" applyFont="1" applyFill="1" applyBorder="1" applyAlignment="1">
      <alignment horizontal="center"/>
    </xf>
    <xf numFmtId="0" fontId="95" fillId="0" borderId="1" xfId="4" applyFont="1" applyBorder="1"/>
    <xf numFmtId="0" fontId="102" fillId="8" borderId="1" xfId="3" applyFont="1" applyFill="1" applyBorder="1" applyAlignment="1">
      <alignment horizontal="center"/>
    </xf>
    <xf numFmtId="166" fontId="102" fillId="8" borderId="1" xfId="5" applyNumberFormat="1" applyFont="1" applyFill="1" applyBorder="1" applyAlignment="1">
      <alignment horizontal="center" vertical="center"/>
    </xf>
    <xf numFmtId="1" fontId="95" fillId="12" borderId="1" xfId="5" applyNumberFormat="1" applyFont="1" applyFill="1" applyBorder="1" applyAlignment="1" applyProtection="1">
      <alignment horizontal="center"/>
    </xf>
    <xf numFmtId="0" fontId="95" fillId="16" borderId="21" xfId="3" applyFont="1" applyFill="1" applyBorder="1" applyAlignment="1">
      <alignment horizontal="center" vertical="center"/>
    </xf>
    <xf numFmtId="0" fontId="95" fillId="16" borderId="1" xfId="3" applyFont="1" applyFill="1" applyBorder="1" applyAlignment="1">
      <alignment horizontal="center" vertical="center"/>
    </xf>
    <xf numFmtId="0" fontId="102" fillId="2" borderId="1" xfId="4" applyFont="1" applyFill="1" applyBorder="1" applyAlignment="1">
      <alignment horizontal="center"/>
    </xf>
    <xf numFmtId="0" fontId="100" fillId="15" borderId="1" xfId="3" applyFont="1" applyFill="1" applyBorder="1" applyAlignment="1">
      <alignment horizontal="center" vertical="center"/>
    </xf>
    <xf numFmtId="1" fontId="95" fillId="15" borderId="1" xfId="3" applyNumberFormat="1" applyFont="1" applyFill="1" applyBorder="1" applyAlignment="1">
      <alignment horizontal="center" vertical="center"/>
    </xf>
    <xf numFmtId="0" fontId="103" fillId="15" borderId="1" xfId="3" applyFont="1" applyFill="1" applyBorder="1" applyAlignment="1">
      <alignment horizontal="center" vertical="center"/>
    </xf>
    <xf numFmtId="1" fontId="95" fillId="15" borderId="15" xfId="3" applyNumberFormat="1" applyFont="1" applyFill="1" applyBorder="1" applyAlignment="1">
      <alignment horizontal="center" vertical="center"/>
    </xf>
    <xf numFmtId="0" fontId="104" fillId="0" borderId="0" xfId="0" applyFont="1" applyBorder="1"/>
    <xf numFmtId="0" fontId="104" fillId="0" borderId="0" xfId="0" applyFont="1"/>
    <xf numFmtId="0" fontId="105" fillId="2" borderId="16" xfId="3" applyFont="1" applyFill="1" applyBorder="1" applyAlignment="1">
      <alignment horizontal="center"/>
    </xf>
    <xf numFmtId="0" fontId="105" fillId="2" borderId="3" xfId="3" applyFont="1" applyFill="1" applyBorder="1" applyAlignment="1">
      <alignment horizontal="center"/>
    </xf>
    <xf numFmtId="0" fontId="105" fillId="2" borderId="4" xfId="3" applyFont="1" applyFill="1" applyBorder="1" applyAlignment="1">
      <alignment horizontal="center"/>
    </xf>
    <xf numFmtId="164" fontId="105" fillId="8" borderId="1" xfId="8" applyFont="1" applyFill="1" applyBorder="1" applyAlignment="1">
      <alignment horizontal="center"/>
    </xf>
    <xf numFmtId="2" fontId="105" fillId="8" borderId="1" xfId="3" applyNumberFormat="1" applyFont="1" applyFill="1" applyBorder="1" applyAlignment="1">
      <alignment horizontal="center"/>
    </xf>
    <xf numFmtId="166" fontId="100" fillId="8" borderId="1" xfId="3" applyNumberFormat="1" applyFont="1" applyFill="1" applyBorder="1" applyAlignment="1">
      <alignment horizontal="center"/>
    </xf>
    <xf numFmtId="1" fontId="103" fillId="8" borderId="1" xfId="3" applyNumberFormat="1" applyFont="1" applyFill="1" applyBorder="1" applyAlignment="1">
      <alignment horizontal="center"/>
    </xf>
    <xf numFmtId="0" fontId="105" fillId="8" borderId="1" xfId="3" applyFont="1" applyFill="1" applyBorder="1" applyAlignment="1">
      <alignment horizontal="center"/>
    </xf>
    <xf numFmtId="1" fontId="105" fillId="8" borderId="1" xfId="5" applyNumberFormat="1" applyFont="1" applyFill="1" applyBorder="1" applyAlignment="1">
      <alignment horizontal="center" vertical="center"/>
    </xf>
    <xf numFmtId="2" fontId="95" fillId="8" borderId="1" xfId="9" applyNumberFormat="1" applyFont="1" applyFill="1" applyBorder="1" applyAlignment="1">
      <alignment horizontal="center"/>
    </xf>
    <xf numFmtId="170" fontId="100" fillId="8" borderId="1" xfId="5" applyNumberFormat="1" applyFont="1" applyFill="1" applyBorder="1" applyAlignment="1" applyProtection="1">
      <alignment horizontal="center" vertical="center"/>
    </xf>
    <xf numFmtId="166" fontId="103" fillId="8" borderId="1" xfId="5" applyNumberFormat="1" applyFont="1" applyFill="1" applyBorder="1" applyAlignment="1" applyProtection="1">
      <alignment horizontal="center"/>
    </xf>
    <xf numFmtId="2" fontId="103" fillId="8" borderId="1" xfId="3" applyNumberFormat="1" applyFont="1" applyFill="1" applyBorder="1" applyAlignment="1">
      <alignment horizontal="right"/>
    </xf>
    <xf numFmtId="0" fontId="105" fillId="16" borderId="16" xfId="3" applyFont="1" applyFill="1" applyBorder="1" applyAlignment="1">
      <alignment horizontal="center"/>
    </xf>
    <xf numFmtId="0" fontId="105" fillId="16" borderId="3" xfId="3" applyFont="1" applyFill="1" applyBorder="1" applyAlignment="1">
      <alignment horizontal="center"/>
    </xf>
    <xf numFmtId="0" fontId="105" fillId="16" borderId="4" xfId="3" applyFont="1" applyFill="1" applyBorder="1" applyAlignment="1">
      <alignment horizontal="center"/>
    </xf>
    <xf numFmtId="0" fontId="102" fillId="2" borderId="1" xfId="3" applyFont="1" applyFill="1" applyBorder="1" applyAlignment="1">
      <alignment horizontal="center"/>
    </xf>
    <xf numFmtId="171" fontId="102" fillId="8" borderId="1" xfId="5" applyNumberFormat="1" applyFont="1" applyFill="1" applyBorder="1" applyAlignment="1" applyProtection="1">
      <alignment horizontal="center" vertical="center"/>
    </xf>
    <xf numFmtId="1" fontId="102" fillId="2" borderId="1" xfId="3" applyNumberFormat="1" applyFont="1" applyFill="1" applyBorder="1" applyAlignment="1">
      <alignment horizontal="center" vertical="top"/>
    </xf>
    <xf numFmtId="0" fontId="95" fillId="15" borderId="21" xfId="3" applyFont="1" applyFill="1" applyBorder="1" applyAlignment="1">
      <alignment horizontal="left"/>
    </xf>
    <xf numFmtId="0" fontId="95" fillId="15" borderId="1" xfId="3" applyFont="1" applyFill="1" applyBorder="1" applyAlignment="1">
      <alignment horizontal="left"/>
    </xf>
    <xf numFmtId="0" fontId="95" fillId="0" borderId="1" xfId="4" applyFont="1" applyBorder="1" applyAlignment="1">
      <alignment horizontal="center" vertical="center"/>
    </xf>
    <xf numFmtId="2" fontId="95" fillId="8" borderId="21" xfId="3" applyNumberFormat="1" applyFont="1" applyFill="1" applyBorder="1" applyAlignment="1">
      <alignment horizontal="left" vertical="center"/>
    </xf>
    <xf numFmtId="2" fontId="95" fillId="8" borderId="1" xfId="3" applyNumberFormat="1" applyFont="1" applyFill="1" applyBorder="1" applyAlignment="1">
      <alignment horizontal="left" vertical="center"/>
    </xf>
    <xf numFmtId="0" fontId="95" fillId="8" borderId="1" xfId="3" applyFont="1" applyFill="1" applyBorder="1" applyAlignment="1">
      <alignment horizontal="left" vertical="justify"/>
    </xf>
    <xf numFmtId="0" fontId="95" fillId="15" borderId="21" xfId="3" applyFont="1" applyFill="1" applyBorder="1" applyAlignment="1"/>
    <xf numFmtId="0" fontId="95" fillId="15" borderId="1" xfId="3" applyFont="1" applyFill="1" applyBorder="1" applyAlignment="1"/>
    <xf numFmtId="0" fontId="95" fillId="15" borderId="1" xfId="3" applyFont="1" applyFill="1" applyBorder="1" applyAlignment="1">
      <alignment vertical="center"/>
    </xf>
    <xf numFmtId="0" fontId="95" fillId="15" borderId="15" xfId="3" applyFont="1" applyFill="1" applyBorder="1" applyAlignment="1"/>
    <xf numFmtId="0" fontId="95" fillId="0" borderId="21" xfId="4" applyFont="1" applyBorder="1" applyAlignment="1">
      <alignment vertical="center"/>
    </xf>
    <xf numFmtId="0" fontId="95" fillId="0" borderId="1" xfId="4" applyFont="1" applyBorder="1" applyAlignment="1">
      <alignment vertical="center"/>
    </xf>
    <xf numFmtId="1" fontId="95" fillId="2" borderId="1" xfId="3" applyNumberFormat="1" applyFont="1" applyFill="1" applyBorder="1" applyAlignment="1">
      <alignment horizontal="center" vertical="center"/>
    </xf>
    <xf numFmtId="166" fontId="95" fillId="2" borderId="1" xfId="5" applyNumberFormat="1" applyFont="1" applyFill="1" applyBorder="1" applyAlignment="1" applyProtection="1">
      <alignment horizontal="center" vertical="center"/>
    </xf>
    <xf numFmtId="166" fontId="95" fillId="8" borderId="1" xfId="5" applyNumberFormat="1" applyFont="1" applyFill="1" applyBorder="1" applyAlignment="1" applyProtection="1">
      <alignment horizontal="center" vertical="top"/>
    </xf>
    <xf numFmtId="2" fontId="97" fillId="2" borderId="0" xfId="5" applyNumberFormat="1" applyFont="1" applyFill="1" applyBorder="1" applyAlignment="1" applyProtection="1">
      <alignment horizontal="center"/>
    </xf>
    <xf numFmtId="167" fontId="97" fillId="2" borderId="0" xfId="6" applyNumberFormat="1" applyFont="1" applyFill="1" applyBorder="1" applyAlignment="1">
      <alignment horizontal="center"/>
    </xf>
    <xf numFmtId="0" fontId="95" fillId="2" borderId="1" xfId="4" applyFont="1" applyFill="1" applyBorder="1" applyAlignment="1">
      <alignment horizontal="left"/>
    </xf>
    <xf numFmtId="0" fontId="95" fillId="2" borderId="1" xfId="4" applyFont="1" applyFill="1" applyBorder="1" applyAlignment="1"/>
    <xf numFmtId="0" fontId="95" fillId="2" borderId="15" xfId="4" applyFont="1" applyFill="1" applyBorder="1" applyAlignment="1"/>
    <xf numFmtId="0" fontId="101" fillId="2" borderId="1" xfId="4" applyFont="1" applyFill="1" applyBorder="1" applyAlignment="1">
      <alignment horizontal="center" wrapText="1"/>
    </xf>
    <xf numFmtId="0" fontId="101" fillId="0" borderId="1" xfId="4" applyFont="1" applyFill="1" applyBorder="1" applyAlignment="1">
      <alignment horizontal="center" wrapText="1"/>
    </xf>
    <xf numFmtId="0" fontId="101" fillId="0" borderId="1" xfId="4" applyFont="1" applyBorder="1" applyAlignment="1">
      <alignment horizontal="center" wrapText="1"/>
    </xf>
    <xf numFmtId="0" fontId="95" fillId="0" borderId="21" xfId="4" applyFont="1" applyBorder="1" applyAlignment="1">
      <alignment horizontal="left"/>
    </xf>
    <xf numFmtId="0" fontId="101" fillId="2" borderId="1" xfId="4" applyFont="1" applyFill="1" applyBorder="1" applyAlignment="1">
      <alignment horizontal="center"/>
    </xf>
    <xf numFmtId="0" fontId="95" fillId="2" borderId="1" xfId="3" applyFont="1" applyFill="1" applyBorder="1" applyAlignment="1">
      <alignment horizontal="center" vertical="center"/>
    </xf>
    <xf numFmtId="0" fontId="101" fillId="0" borderId="21" xfId="4" applyFont="1" applyBorder="1" applyAlignment="1">
      <alignment horizontal="left"/>
    </xf>
    <xf numFmtId="0" fontId="101" fillId="0" borderId="1" xfId="4" applyFont="1" applyBorder="1" applyAlignment="1">
      <alignment horizontal="left"/>
    </xf>
    <xf numFmtId="0" fontId="95" fillId="0" borderId="1" xfId="3" applyFont="1" applyFill="1" applyBorder="1" applyAlignment="1">
      <alignment horizontal="center"/>
    </xf>
    <xf numFmtId="166" fontId="97" fillId="2" borderId="0" xfId="5" applyNumberFormat="1" applyFont="1" applyFill="1" applyBorder="1" applyAlignment="1" applyProtection="1">
      <alignment horizontal="center"/>
    </xf>
    <xf numFmtId="0" fontId="103" fillId="16" borderId="21" xfId="4" applyFont="1" applyFill="1" applyBorder="1"/>
    <xf numFmtId="0" fontId="103" fillId="16" borderId="1" xfId="0" applyFont="1" applyFill="1" applyBorder="1"/>
    <xf numFmtId="0" fontId="99" fillId="0" borderId="0" xfId="0" applyFont="1" applyBorder="1"/>
    <xf numFmtId="0" fontId="99" fillId="0" borderId="0" xfId="0" applyFont="1"/>
    <xf numFmtId="0" fontId="103" fillId="0" borderId="21" xfId="4" applyFont="1" applyFill="1" applyBorder="1"/>
    <xf numFmtId="0" fontId="103" fillId="0" borderId="1" xfId="0" applyFont="1" applyFill="1" applyBorder="1"/>
    <xf numFmtId="0" fontId="95" fillId="0" borderId="1" xfId="4" applyFont="1" applyFill="1" applyBorder="1"/>
    <xf numFmtId="0" fontId="100" fillId="0" borderId="1" xfId="3" applyFont="1" applyFill="1" applyBorder="1" applyAlignment="1">
      <alignment horizontal="center"/>
    </xf>
    <xf numFmtId="1" fontId="95" fillId="0" borderId="1" xfId="3" applyNumberFormat="1" applyFont="1" applyFill="1" applyBorder="1" applyAlignment="1">
      <alignment horizontal="center"/>
    </xf>
    <xf numFmtId="1" fontId="95" fillId="0" borderId="1" xfId="5" applyNumberFormat="1" applyFont="1" applyFill="1" applyBorder="1" applyAlignment="1">
      <alignment horizontal="center" vertical="center"/>
    </xf>
    <xf numFmtId="1" fontId="95" fillId="0" borderId="15" xfId="5" applyNumberFormat="1" applyFont="1" applyFill="1" applyBorder="1" applyAlignment="1" applyProtection="1">
      <alignment horizontal="center"/>
    </xf>
    <xf numFmtId="166" fontId="97" fillId="0" borderId="0" xfId="5" applyNumberFormat="1" applyFont="1" applyFill="1" applyBorder="1" applyAlignment="1" applyProtection="1">
      <alignment horizontal="center"/>
    </xf>
    <xf numFmtId="0" fontId="99" fillId="0" borderId="0" xfId="0" applyFont="1" applyFill="1" applyBorder="1"/>
    <xf numFmtId="0" fontId="99" fillId="0" borderId="0" xfId="0" applyFont="1" applyFill="1"/>
    <xf numFmtId="0" fontId="95" fillId="15" borderId="21" xfId="3" applyFont="1" applyFill="1" applyBorder="1" applyAlignment="1">
      <alignment horizontal="center"/>
    </xf>
    <xf numFmtId="166" fontId="97" fillId="2" borderId="0" xfId="3" applyNumberFormat="1" applyFont="1" applyFill="1" applyBorder="1" applyAlignment="1">
      <alignment horizontal="center"/>
    </xf>
    <xf numFmtId="1" fontId="100" fillId="2" borderId="1" xfId="3" applyNumberFormat="1" applyFont="1" applyFill="1" applyBorder="1" applyAlignment="1">
      <alignment horizontal="center"/>
    </xf>
    <xf numFmtId="165" fontId="95" fillId="8" borderId="1" xfId="7" applyFont="1" applyFill="1" applyBorder="1" applyAlignment="1">
      <alignment horizontal="right" wrapText="1"/>
    </xf>
    <xf numFmtId="0" fontId="95" fillId="10" borderId="33" xfId="3" applyFont="1" applyFill="1" applyBorder="1" applyAlignment="1">
      <alignment horizontal="center" vertical="center"/>
    </xf>
    <xf numFmtId="0" fontId="95" fillId="10" borderId="0" xfId="3" applyFont="1" applyFill="1" applyBorder="1" applyAlignment="1">
      <alignment horizontal="center" vertical="center"/>
    </xf>
    <xf numFmtId="0" fontId="95" fillId="10" borderId="32" xfId="3" applyFont="1" applyFill="1" applyBorder="1" applyAlignment="1">
      <alignment horizontal="center" vertical="center"/>
    </xf>
    <xf numFmtId="2" fontId="95" fillId="10" borderId="25" xfId="3" applyNumberFormat="1" applyFont="1" applyFill="1" applyBorder="1" applyAlignment="1">
      <alignment horizontal="center" vertical="center"/>
    </xf>
    <xf numFmtId="0" fontId="101" fillId="10" borderId="25" xfId="4" applyFont="1" applyFill="1" applyBorder="1" applyAlignment="1">
      <alignment horizontal="center" vertical="center"/>
    </xf>
    <xf numFmtId="1" fontId="95" fillId="10" borderId="25" xfId="5" applyNumberFormat="1" applyFont="1" applyFill="1" applyBorder="1" applyAlignment="1">
      <alignment horizontal="center" vertical="center"/>
    </xf>
    <xf numFmtId="1" fontId="95" fillId="10" borderId="25" xfId="3" applyNumberFormat="1" applyFont="1" applyFill="1" applyBorder="1" applyAlignment="1">
      <alignment horizontal="center" vertical="center"/>
    </xf>
    <xf numFmtId="0" fontId="100" fillId="10" borderId="0" xfId="0" applyFont="1" applyFill="1" applyBorder="1" applyAlignment="1">
      <alignment horizontal="center" vertical="center"/>
    </xf>
    <xf numFmtId="1" fontId="95" fillId="10" borderId="31" xfId="5" applyNumberFormat="1" applyFont="1" applyFill="1" applyBorder="1" applyAlignment="1" applyProtection="1">
      <alignment horizontal="center" vertical="center"/>
    </xf>
    <xf numFmtId="0" fontId="100" fillId="0" borderId="0" xfId="0" applyFont="1" applyBorder="1"/>
    <xf numFmtId="0" fontId="100" fillId="0" borderId="4" xfId="0" applyFont="1" applyBorder="1" applyAlignment="1">
      <alignment horizontal="center"/>
    </xf>
    <xf numFmtId="0" fontId="100" fillId="0" borderId="1" xfId="0" applyFont="1" applyBorder="1" applyAlignment="1">
      <alignment horizontal="center"/>
    </xf>
    <xf numFmtId="1" fontId="100" fillId="0" borderId="1" xfId="0" applyNumberFormat="1" applyFont="1" applyBorder="1" applyAlignment="1">
      <alignment horizontal="center"/>
    </xf>
    <xf numFmtId="1" fontId="100" fillId="0" borderId="15" xfId="0" applyNumberFormat="1" applyFont="1" applyBorder="1" applyAlignment="1">
      <alignment horizontal="center"/>
    </xf>
    <xf numFmtId="0" fontId="100" fillId="0" borderId="1" xfId="0" applyFont="1" applyBorder="1" applyAlignment="1">
      <alignment horizontal="left"/>
    </xf>
    <xf numFmtId="0" fontId="100" fillId="0" borderId="1" xfId="0" applyFont="1" applyFill="1" applyBorder="1" applyAlignment="1">
      <alignment horizontal="center"/>
    </xf>
    <xf numFmtId="0" fontId="91" fillId="0" borderId="1" xfId="0" applyFont="1" applyFill="1" applyBorder="1" applyAlignment="1">
      <alignment horizontal="left"/>
    </xf>
    <xf numFmtId="0" fontId="91" fillId="0" borderId="4" xfId="0" applyFont="1" applyFill="1" applyBorder="1"/>
    <xf numFmtId="0" fontId="104" fillId="0" borderId="0" xfId="0" applyFont="1" applyFill="1"/>
    <xf numFmtId="0" fontId="100" fillId="0" borderId="1" xfId="0" applyFont="1" applyFill="1" applyBorder="1" applyAlignment="1">
      <alignment horizontal="left"/>
    </xf>
    <xf numFmtId="0" fontId="100" fillId="0" borderId="4" xfId="0" applyFont="1" applyFill="1" applyBorder="1" applyAlignment="1">
      <alignment horizontal="center"/>
    </xf>
    <xf numFmtId="0" fontId="100" fillId="0" borderId="1" xfId="0" applyFont="1" applyFill="1" applyBorder="1"/>
    <xf numFmtId="1" fontId="100" fillId="0" borderId="1" xfId="0" applyNumberFormat="1" applyFont="1" applyFill="1" applyBorder="1" applyAlignment="1">
      <alignment horizontal="center"/>
    </xf>
    <xf numFmtId="1" fontId="100" fillId="0" borderId="15" xfId="0" applyNumberFormat="1" applyFont="1" applyFill="1" applyBorder="1" applyAlignment="1">
      <alignment horizontal="center"/>
    </xf>
    <xf numFmtId="1" fontId="100" fillId="0" borderId="0" xfId="0" applyNumberFormat="1" applyFont="1" applyBorder="1" applyAlignment="1">
      <alignment horizontal="center"/>
    </xf>
    <xf numFmtId="1" fontId="100" fillId="0" borderId="35" xfId="0" applyNumberFormat="1" applyFont="1" applyBorder="1"/>
    <xf numFmtId="0" fontId="100" fillId="15" borderId="15" xfId="3" applyFont="1" applyFill="1" applyBorder="1" applyAlignment="1">
      <alignment horizontal="center"/>
    </xf>
    <xf numFmtId="0" fontId="95" fillId="12" borderId="1" xfId="4" applyFont="1" applyFill="1" applyBorder="1" applyAlignment="1">
      <alignment horizontal="center"/>
    </xf>
    <xf numFmtId="0" fontId="95" fillId="0" borderId="21" xfId="4" applyFont="1" applyBorder="1"/>
    <xf numFmtId="0" fontId="95" fillId="15" borderId="21" xfId="3" applyFont="1" applyFill="1" applyBorder="1" applyAlignment="1">
      <alignment horizontal="center" vertical="center"/>
    </xf>
    <xf numFmtId="1" fontId="95" fillId="15" borderId="1" xfId="5" applyNumberFormat="1" applyFont="1" applyFill="1" applyBorder="1" applyAlignment="1">
      <alignment horizontal="center"/>
    </xf>
    <xf numFmtId="1" fontId="95" fillId="15" borderId="15" xfId="5" applyNumberFormat="1" applyFont="1" applyFill="1" applyBorder="1" applyAlignment="1">
      <alignment horizontal="center"/>
    </xf>
    <xf numFmtId="0" fontId="101" fillId="0" borderId="1" xfId="4" applyFont="1" applyFill="1" applyBorder="1" applyAlignment="1">
      <alignment horizontal="center"/>
    </xf>
    <xf numFmtId="0" fontId="100" fillId="0" borderId="1" xfId="0" applyFont="1" applyBorder="1"/>
    <xf numFmtId="9" fontId="95" fillId="8" borderId="1" xfId="6" applyNumberFormat="1" applyFont="1" applyFill="1" applyBorder="1" applyAlignment="1">
      <alignment horizontal="center"/>
    </xf>
    <xf numFmtId="167" fontId="95" fillId="0" borderId="1" xfId="6" applyNumberFormat="1" applyFont="1" applyFill="1" applyBorder="1" applyAlignment="1"/>
    <xf numFmtId="1" fontId="95" fillId="8" borderId="1" xfId="5" applyNumberFormat="1" applyFont="1" applyFill="1" applyBorder="1" applyAlignment="1">
      <alignment horizontal="right"/>
    </xf>
    <xf numFmtId="0" fontId="107" fillId="0" borderId="0" xfId="4" applyFont="1"/>
    <xf numFmtId="0" fontId="95" fillId="8" borderId="7" xfId="3" applyFont="1" applyFill="1" applyBorder="1" applyAlignment="1">
      <alignment horizontal="center"/>
    </xf>
    <xf numFmtId="2" fontId="95" fillId="8" borderId="7" xfId="3" applyNumberFormat="1" applyFont="1" applyFill="1" applyBorder="1" applyAlignment="1">
      <alignment horizontal="center"/>
    </xf>
    <xf numFmtId="9" fontId="95" fillId="8" borderId="7" xfId="6" applyNumberFormat="1" applyFont="1" applyFill="1" applyBorder="1" applyAlignment="1">
      <alignment horizontal="center"/>
    </xf>
    <xf numFmtId="2" fontId="95" fillId="8" borderId="7" xfId="3" applyNumberFormat="1" applyFont="1" applyFill="1" applyBorder="1" applyAlignment="1">
      <alignment horizontal="right"/>
    </xf>
    <xf numFmtId="1" fontId="95" fillId="8" borderId="23" xfId="5" applyNumberFormat="1" applyFont="1" applyFill="1" applyBorder="1" applyAlignment="1" applyProtection="1">
      <alignment horizontal="center"/>
    </xf>
    <xf numFmtId="0" fontId="91" fillId="0" borderId="0" xfId="0" applyFont="1"/>
    <xf numFmtId="1" fontId="91" fillId="0" borderId="0" xfId="0" applyNumberFormat="1" applyFont="1" applyAlignment="1">
      <alignment horizontal="center"/>
    </xf>
    <xf numFmtId="1" fontId="91" fillId="0" borderId="0" xfId="0" applyNumberFormat="1" applyFont="1"/>
    <xf numFmtId="0" fontId="100" fillId="0" borderId="0" xfId="0" applyFont="1"/>
    <xf numFmtId="1" fontId="100" fillId="0" borderId="0" xfId="0" applyNumberFormat="1" applyFont="1" applyAlignment="1">
      <alignment horizontal="center"/>
    </xf>
    <xf numFmtId="1" fontId="100" fillId="0" borderId="0" xfId="0" applyNumberFormat="1" applyFont="1"/>
    <xf numFmtId="0" fontId="94" fillId="0" borderId="0" xfId="0" applyFont="1" applyAlignment="1">
      <alignment horizontal="center" vertical="center"/>
    </xf>
    <xf numFmtId="0" fontId="104" fillId="0" borderId="0" xfId="0" applyFont="1" applyAlignment="1">
      <alignment horizontal="center" vertical="center"/>
    </xf>
    <xf numFmtId="1" fontId="94" fillId="0" borderId="0" xfId="0" applyNumberFormat="1" applyFont="1" applyAlignment="1">
      <alignment horizontal="center" vertical="center"/>
    </xf>
    <xf numFmtId="0" fontId="99" fillId="0" borderId="0" xfId="0" applyFont="1" applyAlignment="1">
      <alignment horizontal="center" vertical="center"/>
    </xf>
    <xf numFmtId="0" fontId="99" fillId="0" borderId="0" xfId="0" applyFont="1" applyFill="1" applyAlignment="1">
      <alignment horizontal="center" vertical="center"/>
    </xf>
    <xf numFmtId="1" fontId="99" fillId="0" borderId="0" xfId="0" applyNumberFormat="1" applyFont="1" applyFill="1" applyAlignment="1">
      <alignment horizontal="center" vertical="center"/>
    </xf>
    <xf numFmtId="0" fontId="104" fillId="0" borderId="0" xfId="0" applyFont="1" applyFill="1" applyAlignment="1">
      <alignment horizontal="center" vertical="center"/>
    </xf>
    <xf numFmtId="0" fontId="90" fillId="0" borderId="0" xfId="0" applyFont="1" applyFill="1" applyAlignment="1">
      <alignment horizontal="center" vertical="center"/>
    </xf>
    <xf numFmtId="0" fontId="95" fillId="0" borderId="1" xfId="0" applyFont="1" applyBorder="1" applyAlignment="1">
      <alignment horizontal="center"/>
    </xf>
    <xf numFmtId="1" fontId="95" fillId="0" borderId="1" xfId="0" applyNumberFormat="1" applyFont="1" applyBorder="1" applyAlignment="1">
      <alignment horizontal="center"/>
    </xf>
    <xf numFmtId="1" fontId="95" fillId="12" borderId="1" xfId="5" applyNumberFormat="1" applyFont="1" applyFill="1" applyBorder="1" applyAlignment="1">
      <alignment horizontal="center" vertical="center"/>
    </xf>
    <xf numFmtId="176" fontId="99" fillId="0" borderId="0" xfId="0" applyNumberFormat="1" applyFont="1" applyFill="1" applyAlignment="1">
      <alignment horizontal="center" vertical="center"/>
    </xf>
    <xf numFmtId="173" fontId="94" fillId="0" borderId="0" xfId="0" applyNumberFormat="1" applyFont="1" applyAlignment="1">
      <alignment horizontal="center" vertical="center"/>
    </xf>
    <xf numFmtId="166" fontId="94" fillId="0" borderId="0" xfId="0" applyNumberFormat="1" applyFont="1" applyAlignment="1">
      <alignment horizontal="center" vertical="center"/>
    </xf>
    <xf numFmtId="9" fontId="95" fillId="9" borderId="1" xfId="4" applyNumberFormat="1" applyFont="1" applyFill="1" applyBorder="1" applyAlignment="1">
      <alignment horizontal="center"/>
    </xf>
    <xf numFmtId="166" fontId="76" fillId="12" borderId="1" xfId="5" applyNumberFormat="1" applyFont="1" applyFill="1" applyBorder="1" applyAlignment="1">
      <alignment horizontal="center" vertical="center"/>
    </xf>
    <xf numFmtId="2" fontId="74" fillId="8" borderId="0" xfId="3" applyNumberFormat="1" applyFont="1" applyFill="1" applyBorder="1" applyAlignment="1">
      <alignment horizontal="center"/>
    </xf>
    <xf numFmtId="2" fontId="50" fillId="0" borderId="0" xfId="0" applyNumberFormat="1" applyFont="1" applyBorder="1"/>
    <xf numFmtId="170" fontId="74" fillId="8" borderId="1" xfId="5" applyNumberFormat="1" applyFont="1" applyFill="1" applyBorder="1" applyAlignment="1" applyProtection="1">
      <alignment horizontal="right"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59" fillId="12" borderId="1" xfId="0" applyFont="1" applyFill="1" applyBorder="1"/>
    <xf numFmtId="1" fontId="83" fillId="0" borderId="0" xfId="0" applyNumberFormat="1" applyFont="1" applyBorder="1"/>
    <xf numFmtId="1" fontId="69" fillId="2" borderId="0" xfId="0" applyNumberFormat="1" applyFont="1" applyFill="1"/>
    <xf numFmtId="1" fontId="15" fillId="0" borderId="1" xfId="0" applyNumberFormat="1" applyFont="1" applyFill="1" applyBorder="1" applyAlignment="1">
      <alignment horizontal="center" wrapText="1"/>
    </xf>
    <xf numFmtId="172" fontId="33" fillId="9" borderId="1" xfId="3" applyNumberFormat="1" applyFont="1" applyFill="1" applyBorder="1" applyAlignment="1">
      <alignment horizontal="center"/>
    </xf>
    <xf numFmtId="172" fontId="109" fillId="9" borderId="1" xfId="3" applyNumberFormat="1" applyFont="1" applyFill="1" applyBorder="1" applyAlignment="1">
      <alignment horizontal="center"/>
    </xf>
    <xf numFmtId="0" fontId="69" fillId="2" borderId="1" xfId="4" applyFont="1" applyFill="1" applyBorder="1" applyAlignment="1">
      <alignment horizontal="center" vertical="center"/>
    </xf>
    <xf numFmtId="166" fontId="76" fillId="2" borderId="1" xfId="5" applyNumberFormat="1" applyFont="1" applyFill="1" applyBorder="1" applyAlignment="1">
      <alignment horizontal="center" vertical="center"/>
    </xf>
    <xf numFmtId="1" fontId="85" fillId="2" borderId="1" xfId="5" applyNumberFormat="1" applyFont="1" applyFill="1" applyBorder="1" applyAlignment="1">
      <alignment horizontal="center" vertical="center"/>
    </xf>
    <xf numFmtId="0" fontId="110" fillId="0" borderId="0" xfId="0" applyFont="1"/>
    <xf numFmtId="0" fontId="15" fillId="0" borderId="1" xfId="0" applyFont="1" applyBorder="1" applyAlignment="1">
      <alignment horizontal="center" wrapText="1"/>
    </xf>
    <xf numFmtId="0" fontId="15" fillId="0" borderId="30" xfId="0" applyFont="1" applyBorder="1" applyAlignment="1">
      <alignment horizontal="center" wrapText="1"/>
    </xf>
    <xf numFmtId="16" fontId="15" fillId="0" borderId="1" xfId="0" applyNumberFormat="1" applyFont="1" applyBorder="1" applyAlignment="1">
      <alignment horizontal="center" wrapText="1"/>
    </xf>
    <xf numFmtId="1" fontId="15" fillId="0" borderId="1" xfId="0" applyNumberFormat="1" applyFont="1" applyBorder="1" applyAlignment="1">
      <alignment horizontal="center" wrapText="1"/>
    </xf>
    <xf numFmtId="16" fontId="15" fillId="0" borderId="1" xfId="0" applyNumberFormat="1" applyFont="1" applyFill="1" applyBorder="1" applyAlignment="1">
      <alignment horizontal="center" wrapText="1"/>
    </xf>
    <xf numFmtId="0" fontId="15" fillId="0" borderId="1" xfId="0" applyFont="1" applyFill="1" applyBorder="1" applyAlignment="1">
      <alignment horizontal="center" wrapText="1"/>
    </xf>
    <xf numFmtId="0" fontId="110" fillId="0" borderId="0" xfId="0" applyFont="1" applyFill="1"/>
    <xf numFmtId="1" fontId="15" fillId="2" borderId="1" xfId="0" applyNumberFormat="1" applyFont="1" applyFill="1" applyBorder="1" applyAlignment="1">
      <alignment horizontal="center" wrapText="1"/>
    </xf>
    <xf numFmtId="1" fontId="111" fillId="0" borderId="1" xfId="0" applyNumberFormat="1" applyFont="1" applyFill="1" applyBorder="1" applyAlignment="1">
      <alignment horizontal="center" wrapText="1"/>
    </xf>
    <xf numFmtId="1" fontId="110" fillId="0" borderId="0" xfId="0" applyNumberFormat="1" applyFont="1"/>
    <xf numFmtId="1" fontId="110" fillId="0" borderId="0" xfId="0" applyNumberFormat="1" applyFont="1" applyFill="1"/>
    <xf numFmtId="0" fontId="74" fillId="2" borderId="1" xfId="0" applyFont="1" applyFill="1" applyBorder="1" applyAlignment="1">
      <alignment horizontal="center"/>
    </xf>
    <xf numFmtId="166" fontId="74" fillId="12" borderId="1" xfId="5" applyNumberFormat="1" applyFont="1" applyFill="1" applyBorder="1" applyAlignment="1">
      <alignment horizontal="center" vertical="center"/>
    </xf>
    <xf numFmtId="1" fontId="74" fillId="12" borderId="1" xfId="5" applyNumberFormat="1" applyFont="1" applyFill="1" applyBorder="1" applyAlignment="1">
      <alignment horizontal="center" vertical="center"/>
    </xf>
    <xf numFmtId="1" fontId="92" fillId="0" borderId="1" xfId="0" applyNumberFormat="1" applyFont="1" applyBorder="1" applyAlignment="1">
      <alignment horizontal="center" wrapText="1"/>
    </xf>
    <xf numFmtId="1" fontId="111" fillId="0" borderId="1" xfId="0" applyNumberFormat="1" applyFont="1" applyBorder="1" applyAlignment="1">
      <alignment horizontal="center" wrapText="1"/>
    </xf>
    <xf numFmtId="1" fontId="85" fillId="2" borderId="1" xfId="3" applyNumberFormat="1" applyFont="1" applyFill="1" applyBorder="1" applyAlignment="1">
      <alignment horizontal="center"/>
    </xf>
    <xf numFmtId="1" fontId="85" fillId="2" borderId="15" xfId="5" applyNumberFormat="1" applyFont="1" applyFill="1" applyBorder="1" applyAlignment="1" applyProtection="1">
      <alignment horizontal="center"/>
    </xf>
    <xf numFmtId="171" fontId="76" fillId="8" borderId="1" xfId="5" applyNumberFormat="1" applyFont="1" applyFill="1" applyBorder="1" applyAlignment="1" applyProtection="1">
      <alignment vertical="center"/>
    </xf>
    <xf numFmtId="1" fontId="69" fillId="22" borderId="1" xfId="5" applyNumberFormat="1" applyFont="1" applyFill="1" applyBorder="1" applyAlignment="1">
      <alignment horizontal="center" vertical="center"/>
    </xf>
    <xf numFmtId="0" fontId="69" fillId="12" borderId="1" xfId="4" applyFont="1" applyFill="1" applyBorder="1" applyAlignment="1">
      <alignment horizontal="center" vertical="center"/>
    </xf>
    <xf numFmtId="0" fontId="69" fillId="10" borderId="1" xfId="4" applyFont="1" applyFill="1" applyBorder="1" applyAlignment="1">
      <alignment horizontal="center"/>
    </xf>
    <xf numFmtId="1" fontId="69" fillId="10" borderId="1" xfId="5" applyNumberFormat="1" applyFont="1" applyFill="1" applyBorder="1" applyAlignment="1">
      <alignment horizontal="center" vertical="center"/>
    </xf>
    <xf numFmtId="1" fontId="69" fillId="17" borderId="1" xfId="5" applyNumberFormat="1" applyFont="1" applyFill="1" applyBorder="1" applyAlignment="1">
      <alignment horizontal="center" vertical="center"/>
    </xf>
    <xf numFmtId="0" fontId="75" fillId="10" borderId="1" xfId="4" applyFont="1" applyFill="1" applyBorder="1" applyAlignment="1">
      <alignment horizontal="center"/>
    </xf>
    <xf numFmtId="0" fontId="75" fillId="22" borderId="1" xfId="4" applyFont="1" applyFill="1" applyBorder="1" applyAlignment="1">
      <alignment horizontal="center"/>
    </xf>
    <xf numFmtId="0" fontId="69" fillId="22" borderId="1" xfId="4" applyFont="1" applyFill="1" applyBorder="1" applyAlignment="1">
      <alignment horizontal="center"/>
    </xf>
    <xf numFmtId="0" fontId="69" fillId="17" borderId="1" xfId="4" applyFont="1" applyFill="1" applyBorder="1" applyAlignment="1">
      <alignment horizontal="center"/>
    </xf>
    <xf numFmtId="0" fontId="62" fillId="2" borderId="1" xfId="3" applyFont="1" applyFill="1" applyBorder="1" applyAlignment="1">
      <alignment horizontal="left" vertical="justify"/>
    </xf>
    <xf numFmtId="0" fontId="69" fillId="12" borderId="1" xfId="3" applyNumberFormat="1" applyFont="1" applyFill="1" applyBorder="1" applyAlignment="1">
      <alignment horizontal="center"/>
    </xf>
    <xf numFmtId="1" fontId="92" fillId="2" borderId="1" xfId="0" applyNumberFormat="1" applyFont="1" applyFill="1" applyBorder="1" applyAlignment="1">
      <alignment horizontal="center" wrapText="1"/>
    </xf>
    <xf numFmtId="1" fontId="92" fillId="12" borderId="1" xfId="0" applyNumberFormat="1" applyFont="1" applyFill="1" applyBorder="1" applyAlignment="1">
      <alignment horizontal="center" wrapText="1"/>
    </xf>
    <xf numFmtId="0" fontId="59" fillId="0" borderId="1" xfId="0" applyFont="1" applyFill="1" applyBorder="1" applyAlignment="1">
      <alignment vertical="center" wrapText="1"/>
    </xf>
    <xf numFmtId="0" fontId="59" fillId="0" borderId="1" xfId="0" applyFont="1" applyFill="1" applyBorder="1"/>
    <xf numFmtId="0" fontId="63" fillId="0" borderId="21" xfId="3" applyFont="1" applyFill="1" applyBorder="1" applyAlignment="1">
      <alignment horizontal="left"/>
    </xf>
    <xf numFmtId="0" fontId="63" fillId="0" borderId="1" xfId="3" applyFont="1" applyFill="1" applyBorder="1" applyAlignment="1">
      <alignment horizontal="left"/>
    </xf>
    <xf numFmtId="2" fontId="69" fillId="0" borderId="1" xfId="3" applyNumberFormat="1" applyFont="1" applyFill="1" applyBorder="1" applyAlignment="1">
      <alignment horizontal="right"/>
    </xf>
    <xf numFmtId="1" fontId="112" fillId="0" borderId="0" xfId="0" applyNumberFormat="1" applyFont="1"/>
    <xf numFmtId="1" fontId="113" fillId="0" borderId="0" xfId="0" applyNumberFormat="1" applyFont="1"/>
    <xf numFmtId="49" fontId="100" fillId="0" borderId="0" xfId="0" applyNumberFormat="1" applyFont="1"/>
    <xf numFmtId="1" fontId="114" fillId="0" borderId="1" xfId="0" applyNumberFormat="1" applyFont="1" applyFill="1" applyBorder="1" applyAlignment="1">
      <alignment horizontal="center" wrapText="1"/>
    </xf>
    <xf numFmtId="172" fontId="99" fillId="9" borderId="1" xfId="3" applyNumberFormat="1" applyFont="1" applyFill="1" applyBorder="1" applyAlignment="1">
      <alignment horizontal="center"/>
    </xf>
    <xf numFmtId="1" fontId="15" fillId="15" borderId="1" xfId="0" applyNumberFormat="1" applyFont="1" applyFill="1" applyBorder="1" applyAlignment="1">
      <alignment horizontal="center" wrapText="1"/>
    </xf>
    <xf numFmtId="0" fontId="110" fillId="15" borderId="0" xfId="0" applyFont="1" applyFill="1"/>
    <xf numFmtId="1" fontId="110" fillId="15" borderId="0" xfId="0" applyNumberFormat="1" applyFont="1" applyFill="1"/>
    <xf numFmtId="16" fontId="15" fillId="0" borderId="25" xfId="0" applyNumberFormat="1" applyFont="1" applyBorder="1" applyAlignment="1">
      <alignment horizontal="center" wrapText="1"/>
    </xf>
    <xf numFmtId="16" fontId="15" fillId="0" borderId="0" xfId="0" applyNumberFormat="1" applyFont="1" applyBorder="1" applyAlignment="1">
      <alignment horizontal="center" wrapText="1"/>
    </xf>
    <xf numFmtId="0" fontId="110" fillId="0" borderId="0" xfId="0" applyFont="1" applyBorder="1"/>
    <xf numFmtId="0" fontId="116" fillId="0" borderId="1" xfId="0" applyFont="1" applyBorder="1"/>
    <xf numFmtId="0" fontId="110" fillId="0" borderId="1" xfId="0" applyFont="1" applyBorder="1"/>
    <xf numFmtId="0" fontId="110" fillId="22" borderId="1" xfId="0" applyFont="1" applyFill="1" applyBorder="1"/>
    <xf numFmtId="0" fontId="115" fillId="0" borderId="1" xfId="0" applyFont="1" applyBorder="1"/>
    <xf numFmtId="1" fontId="117" fillId="21" borderId="1" xfId="3" applyNumberFormat="1" applyFont="1" applyFill="1" applyBorder="1" applyAlignment="1">
      <alignment horizontal="center"/>
    </xf>
    <xf numFmtId="0" fontId="117" fillId="21" borderId="1" xfId="3" applyNumberFormat="1" applyFont="1" applyFill="1" applyBorder="1" applyAlignment="1">
      <alignment horizontal="center"/>
    </xf>
    <xf numFmtId="1" fontId="117" fillId="21" borderId="15" xfId="5" applyNumberFormat="1" applyFont="1" applyFill="1" applyBorder="1" applyAlignment="1" applyProtection="1">
      <alignment horizontal="center"/>
    </xf>
    <xf numFmtId="2" fontId="117" fillId="21" borderId="1" xfId="3" applyNumberFormat="1" applyFont="1" applyFill="1" applyBorder="1" applyAlignment="1">
      <alignment horizontal="center"/>
    </xf>
    <xf numFmtId="1" fontId="117" fillId="8" borderId="1" xfId="3" applyNumberFormat="1" applyFont="1" applyFill="1" applyBorder="1" applyAlignment="1">
      <alignment horizontal="center"/>
    </xf>
    <xf numFmtId="2" fontId="117" fillId="2" borderId="1" xfId="3" applyNumberFormat="1" applyFont="1" applyFill="1" applyBorder="1" applyAlignment="1">
      <alignment horizontal="center"/>
    </xf>
    <xf numFmtId="1" fontId="117" fillId="8" borderId="15" xfId="5" applyNumberFormat="1" applyFont="1" applyFill="1" applyBorder="1" applyAlignment="1" applyProtection="1">
      <alignment horizontal="center"/>
    </xf>
    <xf numFmtId="0" fontId="117" fillId="15" borderId="1" xfId="3" applyFont="1" applyFill="1" applyBorder="1" applyAlignment="1">
      <alignment horizontal="center"/>
    </xf>
    <xf numFmtId="0" fontId="117" fillId="15" borderId="15" xfId="3" applyFont="1" applyFill="1" applyBorder="1" applyAlignment="1">
      <alignment horizontal="center"/>
    </xf>
    <xf numFmtId="0" fontId="117" fillId="2" borderId="1" xfId="3" applyNumberFormat="1" applyFont="1" applyFill="1" applyBorder="1" applyAlignment="1">
      <alignment horizontal="center"/>
    </xf>
    <xf numFmtId="0" fontId="117" fillId="8" borderId="1" xfId="3" applyFont="1" applyFill="1" applyBorder="1" applyAlignment="1">
      <alignment horizontal="center"/>
    </xf>
    <xf numFmtId="1" fontId="117" fillId="15" borderId="1" xfId="3" applyNumberFormat="1" applyFont="1" applyFill="1" applyBorder="1" applyAlignment="1">
      <alignment horizontal="center"/>
    </xf>
    <xf numFmtId="0" fontId="117" fillId="21" borderId="1" xfId="3" applyFont="1" applyFill="1" applyBorder="1" applyAlignment="1">
      <alignment horizontal="center"/>
    </xf>
    <xf numFmtId="1" fontId="117" fillId="21" borderId="1" xfId="4" applyNumberFormat="1" applyFont="1" applyFill="1" applyBorder="1" applyAlignment="1">
      <alignment horizontal="center"/>
    </xf>
    <xf numFmtId="0" fontId="118" fillId="0" borderId="0" xfId="2" applyFont="1" applyAlignment="1" applyProtection="1"/>
    <xf numFmtId="2" fontId="118" fillId="0" borderId="0" xfId="2" applyNumberFormat="1" applyFont="1" applyAlignment="1" applyProtection="1"/>
    <xf numFmtId="0" fontId="63" fillId="0" borderId="21" xfId="3" applyFont="1" applyFill="1" applyBorder="1" applyAlignment="1">
      <alignment horizontal="left" vertical="center"/>
    </xf>
    <xf numFmtId="0" fontId="62" fillId="0" borderId="1" xfId="3" applyFont="1" applyFill="1" applyBorder="1" applyAlignment="1">
      <alignment horizontal="left" vertical="justify"/>
    </xf>
    <xf numFmtId="1" fontId="51" fillId="0" borderId="0" xfId="5" applyNumberFormat="1" applyFont="1" applyFill="1" applyBorder="1" applyAlignment="1" applyProtection="1">
      <alignment horizontal="center"/>
    </xf>
    <xf numFmtId="0" fontId="50" fillId="0" borderId="0" xfId="0" applyFont="1" applyFill="1" applyBorder="1"/>
    <xf numFmtId="0" fontId="62" fillId="0" borderId="1" xfId="3" applyFont="1" applyFill="1" applyBorder="1" applyAlignment="1">
      <alignment horizontal="left" vertical="center"/>
    </xf>
    <xf numFmtId="1" fontId="69" fillId="0" borderId="1" xfId="3" applyNumberFormat="1" applyFont="1" applyFill="1" applyBorder="1" applyAlignment="1">
      <alignment horizontal="center" vertical="center"/>
    </xf>
    <xf numFmtId="2" fontId="63" fillId="0" borderId="21" xfId="3" applyNumberFormat="1" applyFont="1" applyFill="1" applyBorder="1" applyAlignment="1">
      <alignment horizontal="left" vertical="center"/>
    </xf>
    <xf numFmtId="2" fontId="62" fillId="0" borderId="1" xfId="3" applyNumberFormat="1" applyFont="1" applyFill="1" applyBorder="1" applyAlignment="1">
      <alignment horizontal="left" vertical="center"/>
    </xf>
    <xf numFmtId="0" fontId="51" fillId="0" borderId="0" xfId="3" applyFont="1" applyFill="1" applyBorder="1" applyAlignment="1">
      <alignment horizontal="center"/>
    </xf>
    <xf numFmtId="172" fontId="16" fillId="9" borderId="1" xfId="3" applyNumberFormat="1" applyFont="1" applyFill="1" applyBorder="1" applyAlignment="1">
      <alignment horizontal="center"/>
    </xf>
    <xf numFmtId="0" fontId="5" fillId="0" borderId="4" xfId="1" applyFont="1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110" fillId="17" borderId="5" xfId="0" applyFont="1" applyFill="1" applyBorder="1" applyAlignment="1">
      <alignment horizontal="center"/>
    </xf>
    <xf numFmtId="0" fontId="63" fillId="0" borderId="1" xfId="4" applyFont="1" applyBorder="1" applyAlignment="1">
      <alignment horizontal="left"/>
    </xf>
    <xf numFmtId="0" fontId="61" fillId="0" borderId="1" xfId="0" applyFont="1" applyFill="1" applyBorder="1" applyAlignment="1">
      <alignment horizontal="left"/>
    </xf>
    <xf numFmtId="0" fontId="61" fillId="0" borderId="1" xfId="0" applyFont="1" applyBorder="1" applyAlignment="1">
      <alignment horizontal="left"/>
    </xf>
    <xf numFmtId="0" fontId="34" fillId="15" borderId="2" xfId="3" applyFont="1" applyFill="1" applyBorder="1" applyAlignment="1">
      <alignment horizontal="left"/>
    </xf>
    <xf numFmtId="0" fontId="34" fillId="15" borderId="3" xfId="3" applyFont="1" applyFill="1" applyBorder="1" applyAlignment="1">
      <alignment horizontal="left"/>
    </xf>
    <xf numFmtId="0" fontId="34" fillId="15" borderId="4" xfId="3" applyFont="1" applyFill="1" applyBorder="1" applyAlignment="1">
      <alignment horizontal="left"/>
    </xf>
    <xf numFmtId="0" fontId="34" fillId="15" borderId="2" xfId="3" applyFont="1" applyFill="1" applyBorder="1" applyAlignment="1">
      <alignment horizontal="center"/>
    </xf>
    <xf numFmtId="0" fontId="34" fillId="15" borderId="4" xfId="3" applyFont="1" applyFill="1" applyBorder="1" applyAlignment="1">
      <alignment horizontal="center"/>
    </xf>
    <xf numFmtId="0" fontId="34" fillId="8" borderId="2" xfId="3" applyFont="1" applyFill="1" applyBorder="1" applyAlignment="1">
      <alignment horizontal="left"/>
    </xf>
    <xf numFmtId="0" fontId="34" fillId="8" borderId="3" xfId="3" applyFont="1" applyFill="1" applyBorder="1" applyAlignment="1">
      <alignment horizontal="left"/>
    </xf>
    <xf numFmtId="0" fontId="34" fillId="8" borderId="4" xfId="3" applyFont="1" applyFill="1" applyBorder="1" applyAlignment="1">
      <alignment horizontal="left"/>
    </xf>
    <xf numFmtId="0" fontId="34" fillId="0" borderId="2" xfId="4" applyFont="1" applyBorder="1" applyAlignment="1">
      <alignment horizontal="left"/>
    </xf>
    <xf numFmtId="0" fontId="34" fillId="0" borderId="3" xfId="4" applyFont="1" applyBorder="1" applyAlignment="1">
      <alignment horizontal="left"/>
    </xf>
    <xf numFmtId="0" fontId="34" fillId="0" borderId="4" xfId="4" applyFont="1" applyBorder="1" applyAlignment="1">
      <alignment horizontal="left"/>
    </xf>
    <xf numFmtId="0" fontId="35" fillId="0" borderId="3" xfId="4" applyFont="1" applyBorder="1" applyAlignment="1">
      <alignment horizontal="left"/>
    </xf>
    <xf numFmtId="0" fontId="35" fillId="0" borderId="4" xfId="4" applyFont="1" applyBorder="1" applyAlignment="1">
      <alignment horizontal="left"/>
    </xf>
    <xf numFmtId="0" fontId="33" fillId="9" borderId="2" xfId="3" applyFont="1" applyFill="1" applyBorder="1" applyAlignment="1">
      <alignment horizontal="center"/>
    </xf>
    <xf numFmtId="0" fontId="17" fillId="8" borderId="2" xfId="3" applyFont="1" applyFill="1" applyBorder="1" applyAlignment="1">
      <alignment horizontal="left"/>
    </xf>
    <xf numFmtId="0" fontId="17" fillId="8" borderId="3" xfId="3" applyFont="1" applyFill="1" applyBorder="1" applyAlignment="1">
      <alignment horizontal="left"/>
    </xf>
    <xf numFmtId="0" fontId="17" fillId="8" borderId="4" xfId="3" applyFont="1" applyFill="1" applyBorder="1" applyAlignment="1">
      <alignment horizontal="left"/>
    </xf>
    <xf numFmtId="0" fontId="16" fillId="9" borderId="2" xfId="3" applyFont="1" applyFill="1" applyBorder="1" applyAlignment="1">
      <alignment horizontal="center"/>
    </xf>
    <xf numFmtId="0" fontId="16" fillId="9" borderId="4" xfId="3" applyFont="1" applyFill="1" applyBorder="1" applyAlignment="1">
      <alignment horizontal="center"/>
    </xf>
    <xf numFmtId="0" fontId="95" fillId="0" borderId="1" xfId="4" applyFont="1" applyBorder="1" applyAlignment="1">
      <alignment horizontal="left"/>
    </xf>
    <xf numFmtId="0" fontId="68" fillId="0" borderId="1" xfId="0" applyFont="1" applyFill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71" fillId="0" borderId="1" xfId="0" applyFont="1" applyBorder="1" applyAlignment="1">
      <alignment horizontal="left"/>
    </xf>
    <xf numFmtId="0" fontId="63" fillId="8" borderId="21" xfId="3" applyFont="1" applyFill="1" applyBorder="1" applyAlignment="1">
      <alignment horizontal="left"/>
    </xf>
    <xf numFmtId="0" fontId="63" fillId="8" borderId="1" xfId="3" applyFont="1" applyFill="1" applyBorder="1" applyAlignment="1">
      <alignment horizontal="left"/>
    </xf>
    <xf numFmtId="0" fontId="63" fillId="9" borderId="1" xfId="3" applyFont="1" applyFill="1" applyBorder="1" applyAlignment="1">
      <alignment horizontal="center"/>
    </xf>
    <xf numFmtId="0" fontId="63" fillId="0" borderId="21" xfId="4" applyFont="1" applyBorder="1" applyAlignment="1">
      <alignment horizontal="left"/>
    </xf>
    <xf numFmtId="0" fontId="67" fillId="0" borderId="21" xfId="4" applyFont="1" applyBorder="1" applyAlignment="1">
      <alignment horizontal="left"/>
    </xf>
    <xf numFmtId="0" fontId="62" fillId="15" borderId="1" xfId="3" applyFont="1" applyFill="1" applyBorder="1" applyAlignment="1">
      <alignment horizontal="left"/>
    </xf>
    <xf numFmtId="0" fontId="62" fillId="15" borderId="1" xfId="3" applyFont="1" applyFill="1" applyBorder="1" applyAlignment="1">
      <alignment horizontal="center"/>
    </xf>
    <xf numFmtId="0" fontId="17" fillId="10" borderId="2" xfId="3" applyFont="1" applyFill="1" applyBorder="1" applyAlignment="1">
      <alignment horizontal="left"/>
    </xf>
    <xf numFmtId="0" fontId="17" fillId="10" borderId="3" xfId="3" applyFont="1" applyFill="1" applyBorder="1" applyAlignment="1">
      <alignment horizontal="left"/>
    </xf>
    <xf numFmtId="0" fontId="17" fillId="10" borderId="4" xfId="3" applyFont="1" applyFill="1" applyBorder="1" applyAlignment="1">
      <alignment horizontal="left"/>
    </xf>
    <xf numFmtId="0" fontId="119" fillId="0" borderId="36" xfId="17" applyFont="1" applyBorder="1" applyAlignment="1">
      <alignment horizontal="center"/>
    </xf>
    <xf numFmtId="0" fontId="120" fillId="0" borderId="36" xfId="17" applyFont="1" applyBorder="1" applyAlignment="1">
      <alignment horizontal="center"/>
    </xf>
    <xf numFmtId="1" fontId="120" fillId="0" borderId="36" xfId="17" applyNumberFormat="1" applyFont="1" applyBorder="1" applyAlignment="1">
      <alignment horizontal="center"/>
    </xf>
    <xf numFmtId="1" fontId="119" fillId="0" borderId="36" xfId="17" applyNumberFormat="1" applyFont="1" applyBorder="1" applyAlignment="1">
      <alignment horizontal="center" wrapText="1"/>
    </xf>
    <xf numFmtId="0" fontId="119" fillId="0" borderId="36" xfId="17" applyFont="1" applyBorder="1" applyAlignment="1">
      <alignment horizontal="center" wrapText="1"/>
    </xf>
    <xf numFmtId="0" fontId="119" fillId="0" borderId="0" xfId="17" applyFont="1" applyAlignment="1">
      <alignment wrapText="1"/>
    </xf>
    <xf numFmtId="0" fontId="119" fillId="0" borderId="0" xfId="17" applyFont="1"/>
    <xf numFmtId="0" fontId="15" fillId="0" borderId="0" xfId="17" applyFont="1" applyAlignment="1">
      <alignment horizontal="center"/>
    </xf>
    <xf numFmtId="0" fontId="92" fillId="0" borderId="0" xfId="17" applyFont="1" applyAlignment="1">
      <alignment horizontal="center"/>
    </xf>
    <xf numFmtId="1" fontId="92" fillId="0" borderId="0" xfId="17" applyNumberFormat="1" applyFont="1" applyAlignment="1">
      <alignment horizontal="center"/>
    </xf>
    <xf numFmtId="1" fontId="1" fillId="0" borderId="0" xfId="17" applyNumberFormat="1" applyAlignment="1">
      <alignment horizontal="center"/>
    </xf>
    <xf numFmtId="2" fontId="1" fillId="0" borderId="0" xfId="17" applyNumberFormat="1" applyAlignment="1">
      <alignment horizontal="center"/>
    </xf>
    <xf numFmtId="2" fontId="1" fillId="0" borderId="0" xfId="17" applyNumberFormat="1"/>
    <xf numFmtId="0" fontId="1" fillId="0" borderId="0" xfId="17"/>
    <xf numFmtId="0" fontId="1" fillId="0" borderId="0" xfId="17" applyAlignment="1">
      <alignment horizontal="center"/>
    </xf>
    <xf numFmtId="0" fontId="123" fillId="21" borderId="1" xfId="3" applyFont="1" applyFill="1" applyBorder="1" applyAlignment="1">
      <alignment horizontal="center"/>
    </xf>
    <xf numFmtId="0" fontId="123" fillId="21" borderId="1" xfId="4" applyFont="1" applyFill="1" applyBorder="1" applyAlignment="1">
      <alignment horizontal="center"/>
    </xf>
    <xf numFmtId="1" fontId="53" fillId="2" borderId="0" xfId="5" applyNumberFormat="1" applyFont="1" applyFill="1" applyBorder="1" applyAlignment="1" applyProtection="1">
      <alignment horizontal="center"/>
    </xf>
    <xf numFmtId="0" fontId="124" fillId="0" borderId="0" xfId="0" applyFont="1" applyBorder="1"/>
    <xf numFmtId="0" fontId="124" fillId="0" borderId="0" xfId="0" applyFont="1"/>
    <xf numFmtId="1" fontId="124" fillId="0" borderId="0" xfId="0" applyNumberFormat="1" applyFont="1"/>
    <xf numFmtId="0" fontId="121" fillId="21" borderId="21" xfId="3" applyFont="1" applyFill="1" applyBorder="1" applyAlignment="1">
      <alignment horizontal="left" vertical="center"/>
    </xf>
    <xf numFmtId="0" fontId="122" fillId="21" borderId="1" xfId="3" applyFont="1" applyFill="1" applyBorder="1" applyAlignment="1">
      <alignment horizontal="left" vertical="center"/>
    </xf>
    <xf numFmtId="1" fontId="125" fillId="21" borderId="1" xfId="3" applyNumberFormat="1" applyFont="1" applyFill="1" applyBorder="1" applyAlignment="1">
      <alignment horizontal="center"/>
    </xf>
    <xf numFmtId="0" fontId="125" fillId="21" borderId="1" xfId="3" applyNumberFormat="1" applyFont="1" applyFill="1" applyBorder="1" applyAlignment="1">
      <alignment horizontal="center"/>
    </xf>
    <xf numFmtId="1" fontId="125" fillId="21" borderId="15" xfId="5" applyNumberFormat="1" applyFont="1" applyFill="1" applyBorder="1" applyAlignment="1" applyProtection="1">
      <alignment horizontal="center"/>
    </xf>
    <xf numFmtId="1" fontId="125" fillId="21" borderId="1" xfId="5" applyNumberFormat="1" applyFont="1" applyFill="1" applyBorder="1" applyAlignment="1">
      <alignment horizontal="center" vertical="center"/>
    </xf>
    <xf numFmtId="2" fontId="125" fillId="21" borderId="1" xfId="3" applyNumberFormat="1" applyFont="1" applyFill="1" applyBorder="1" applyAlignment="1">
      <alignment horizontal="center"/>
    </xf>
    <xf numFmtId="0" fontId="68" fillId="21" borderId="21" xfId="3" applyFont="1" applyFill="1" applyBorder="1" applyAlignment="1">
      <alignment horizontal="left"/>
    </xf>
    <xf numFmtId="0" fontId="70" fillId="21" borderId="1" xfId="3" applyFont="1" applyFill="1" applyBorder="1" applyAlignment="1">
      <alignment horizontal="left"/>
    </xf>
    <xf numFmtId="0" fontId="74" fillId="21" borderId="1" xfId="3" applyFont="1" applyFill="1" applyBorder="1" applyAlignment="1">
      <alignment horizontal="center"/>
    </xf>
    <xf numFmtId="0" fontId="50" fillId="0" borderId="0" xfId="0" applyFont="1" applyFill="1" applyAlignment="1">
      <alignment horizontal="center"/>
    </xf>
    <xf numFmtId="0" fontId="37" fillId="0" borderId="0" xfId="0" applyFont="1" applyFill="1" applyAlignment="1">
      <alignment horizontal="center"/>
    </xf>
    <xf numFmtId="0" fontId="63" fillId="0" borderId="1" xfId="4" applyFont="1" applyBorder="1" applyAlignment="1">
      <alignment horizontal="left"/>
    </xf>
    <xf numFmtId="0" fontId="63" fillId="8" borderId="21" xfId="3" applyFont="1" applyFill="1" applyBorder="1" applyAlignment="1">
      <alignment horizontal="left"/>
    </xf>
    <xf numFmtId="0" fontId="63" fillId="8" borderId="1" xfId="3" applyFont="1" applyFill="1" applyBorder="1" applyAlignment="1">
      <alignment horizontal="left"/>
    </xf>
    <xf numFmtId="0" fontId="62" fillId="15" borderId="1" xfId="3" applyFont="1" applyFill="1" applyBorder="1" applyAlignment="1">
      <alignment horizontal="left"/>
    </xf>
    <xf numFmtId="0" fontId="63" fillId="0" borderId="21" xfId="4" applyFont="1" applyBorder="1" applyAlignment="1">
      <alignment horizontal="left"/>
    </xf>
    <xf numFmtId="0" fontId="62" fillId="15" borderId="1" xfId="3" applyFont="1" applyFill="1" applyBorder="1" applyAlignment="1">
      <alignment horizontal="center"/>
    </xf>
    <xf numFmtId="0" fontId="71" fillId="0" borderId="1" xfId="0" applyFont="1" applyBorder="1" applyAlignment="1">
      <alignment horizontal="left"/>
    </xf>
    <xf numFmtId="0" fontId="67" fillId="0" borderId="21" xfId="4" applyFont="1" applyBorder="1" applyAlignment="1">
      <alignment horizontal="left"/>
    </xf>
    <xf numFmtId="0" fontId="63" fillId="9" borderId="1" xfId="3" applyFont="1" applyFill="1" applyBorder="1" applyAlignment="1">
      <alignment horizontal="center"/>
    </xf>
    <xf numFmtId="0" fontId="68" fillId="0" borderId="1" xfId="0" applyFont="1" applyFill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3" fillId="0" borderId="1" xfId="4" applyFont="1" applyBorder="1" applyAlignment="1">
      <alignment horizontal="left"/>
    </xf>
    <xf numFmtId="0" fontId="68" fillId="0" borderId="1" xfId="0" applyFont="1" applyFill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71" fillId="0" borderId="1" xfId="0" applyFont="1" applyBorder="1" applyAlignment="1">
      <alignment horizontal="left"/>
    </xf>
    <xf numFmtId="0" fontId="63" fillId="8" borderId="21" xfId="3" applyFont="1" applyFill="1" applyBorder="1" applyAlignment="1">
      <alignment horizontal="left"/>
    </xf>
    <xf numFmtId="0" fontId="63" fillId="8" borderId="1" xfId="3" applyFont="1" applyFill="1" applyBorder="1" applyAlignment="1">
      <alignment horizontal="left"/>
    </xf>
    <xf numFmtId="0" fontId="63" fillId="9" borderId="1" xfId="3" applyFont="1" applyFill="1" applyBorder="1" applyAlignment="1">
      <alignment horizontal="center"/>
    </xf>
    <xf numFmtId="0" fontId="63" fillId="0" borderId="21" xfId="4" applyFont="1" applyBorder="1" applyAlignment="1">
      <alignment horizontal="left"/>
    </xf>
    <xf numFmtId="0" fontId="67" fillId="0" borderId="21" xfId="4" applyFont="1" applyBorder="1" applyAlignment="1">
      <alignment horizontal="left"/>
    </xf>
    <xf numFmtId="0" fontId="62" fillId="15" borderId="1" xfId="3" applyFont="1" applyFill="1" applyBorder="1" applyAlignment="1">
      <alignment horizontal="left"/>
    </xf>
    <xf numFmtId="0" fontId="62" fillId="15" borderId="1" xfId="3" applyFont="1" applyFill="1" applyBorder="1" applyAlignment="1">
      <alignment horizontal="center"/>
    </xf>
    <xf numFmtId="0" fontId="63" fillId="0" borderId="1" xfId="4" applyFont="1" applyBorder="1" applyAlignment="1">
      <alignment horizontal="left"/>
    </xf>
    <xf numFmtId="0" fontId="63" fillId="8" borderId="21" xfId="3" applyFont="1" applyFill="1" applyBorder="1" applyAlignment="1">
      <alignment horizontal="left"/>
    </xf>
    <xf numFmtId="0" fontId="63" fillId="8" borderId="1" xfId="3" applyFont="1" applyFill="1" applyBorder="1" applyAlignment="1">
      <alignment horizontal="left"/>
    </xf>
    <xf numFmtId="0" fontId="62" fillId="15" borderId="1" xfId="3" applyFont="1" applyFill="1" applyBorder="1" applyAlignment="1">
      <alignment horizontal="left"/>
    </xf>
    <xf numFmtId="0" fontId="63" fillId="0" borderId="21" xfId="4" applyFont="1" applyBorder="1" applyAlignment="1">
      <alignment horizontal="left"/>
    </xf>
    <xf numFmtId="0" fontId="62" fillId="15" borderId="1" xfId="3" applyFont="1" applyFill="1" applyBorder="1" applyAlignment="1">
      <alignment horizontal="center"/>
    </xf>
    <xf numFmtId="0" fontId="71" fillId="0" borderId="1" xfId="0" applyFont="1" applyBorder="1" applyAlignment="1">
      <alignment horizontal="left"/>
    </xf>
    <xf numFmtId="0" fontId="67" fillId="0" borderId="21" xfId="4" applyFont="1" applyBorder="1" applyAlignment="1">
      <alignment horizontal="left"/>
    </xf>
    <xf numFmtId="0" fontId="63" fillId="9" borderId="1" xfId="3" applyFont="1" applyFill="1" applyBorder="1" applyAlignment="1">
      <alignment horizontal="center"/>
    </xf>
    <xf numFmtId="0" fontId="68" fillId="0" borderId="1" xfId="0" applyFont="1" applyFill="1" applyBorder="1" applyAlignment="1">
      <alignment horizontal="left"/>
    </xf>
    <xf numFmtId="0" fontId="68" fillId="0" borderId="1" xfId="0" applyFont="1" applyBorder="1" applyAlignment="1">
      <alignment horizontal="left"/>
    </xf>
    <xf numFmtId="2" fontId="51" fillId="12" borderId="0" xfId="5" applyNumberFormat="1" applyFont="1" applyFill="1" applyBorder="1" applyAlignment="1" applyProtection="1">
      <alignment horizontal="center"/>
    </xf>
    <xf numFmtId="0" fontId="50" fillId="12" borderId="0" xfId="0" applyFont="1" applyFill="1" applyBorder="1"/>
    <xf numFmtId="0" fontId="63" fillId="15" borderId="15" xfId="3" applyFont="1" applyFill="1" applyBorder="1" applyAlignment="1">
      <alignment horizontal="center"/>
    </xf>
    <xf numFmtId="0" fontId="63" fillId="0" borderId="1" xfId="4" applyFont="1" applyBorder="1" applyAlignment="1">
      <alignment horizontal="left"/>
    </xf>
    <xf numFmtId="0" fontId="68" fillId="0" borderId="1" xfId="0" applyFont="1" applyFill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71" fillId="0" borderId="1" xfId="0" applyFont="1" applyBorder="1" applyAlignment="1">
      <alignment horizontal="left"/>
    </xf>
    <xf numFmtId="0" fontId="63" fillId="8" borderId="21" xfId="3" applyFont="1" applyFill="1" applyBorder="1" applyAlignment="1">
      <alignment horizontal="left"/>
    </xf>
    <xf numFmtId="0" fontId="63" fillId="8" borderId="1" xfId="3" applyFont="1" applyFill="1" applyBorder="1" applyAlignment="1">
      <alignment horizontal="left"/>
    </xf>
    <xf numFmtId="0" fontId="63" fillId="9" borderId="1" xfId="3" applyFont="1" applyFill="1" applyBorder="1" applyAlignment="1">
      <alignment horizontal="center"/>
    </xf>
    <xf numFmtId="0" fontId="63" fillId="0" borderId="21" xfId="4" applyFont="1" applyBorder="1" applyAlignment="1">
      <alignment horizontal="left"/>
    </xf>
    <xf numFmtId="0" fontId="67" fillId="0" borderId="21" xfId="4" applyFont="1" applyBorder="1" applyAlignment="1">
      <alignment horizontal="left"/>
    </xf>
    <xf numFmtId="0" fontId="62" fillId="15" borderId="1" xfId="3" applyFont="1" applyFill="1" applyBorder="1" applyAlignment="1">
      <alignment horizontal="left"/>
    </xf>
    <xf numFmtId="0" fontId="62" fillId="15" borderId="1" xfId="3" applyFont="1" applyFill="1" applyBorder="1" applyAlignment="1">
      <alignment horizontal="center"/>
    </xf>
    <xf numFmtId="1" fontId="69" fillId="12" borderId="1" xfId="3" applyNumberFormat="1" applyFont="1" applyFill="1" applyBorder="1" applyAlignment="1">
      <alignment horizontal="center" vertical="center"/>
    </xf>
    <xf numFmtId="0" fontId="33" fillId="2" borderId="1" xfId="4" applyFont="1" applyFill="1" applyBorder="1" applyAlignment="1">
      <alignment horizontal="center" vertical="center"/>
    </xf>
    <xf numFmtId="0" fontId="101" fillId="12" borderId="1" xfId="4" applyFont="1" applyFill="1" applyBorder="1" applyAlignment="1">
      <alignment horizontal="center" wrapText="1"/>
    </xf>
    <xf numFmtId="1" fontId="69" fillId="2" borderId="1" xfId="4" applyNumberFormat="1" applyFont="1" applyFill="1" applyBorder="1" applyAlignment="1">
      <alignment horizontal="center" vertical="center"/>
    </xf>
    <xf numFmtId="1" fontId="119" fillId="0" borderId="1" xfId="17" applyNumberFormat="1" applyFont="1" applyBorder="1" applyAlignment="1">
      <alignment horizontal="center" wrapText="1"/>
    </xf>
    <xf numFmtId="0" fontId="1" fillId="0" borderId="1" xfId="17" applyNumberFormat="1" applyBorder="1" applyAlignment="1">
      <alignment horizontal="center"/>
    </xf>
    <xf numFmtId="1" fontId="1" fillId="0" borderId="1" xfId="17" applyNumberFormat="1" applyBorder="1" applyAlignment="1">
      <alignment horizontal="center"/>
    </xf>
    <xf numFmtId="1" fontId="126" fillId="0" borderId="1" xfId="0" applyNumberFormat="1" applyFont="1" applyBorder="1" applyAlignment="1">
      <alignment horizontal="center"/>
    </xf>
    <xf numFmtId="0" fontId="63" fillId="2" borderId="1" xfId="3" applyFont="1" applyFill="1" applyBorder="1" applyAlignment="1">
      <alignment horizontal="left"/>
    </xf>
    <xf numFmtId="2" fontId="69" fillId="2" borderId="1" xfId="3" applyNumberFormat="1" applyFont="1" applyFill="1" applyBorder="1" applyAlignment="1">
      <alignment horizontal="right"/>
    </xf>
    <xf numFmtId="0" fontId="117" fillId="0" borderId="1" xfId="4" applyFont="1" applyBorder="1" applyAlignment="1">
      <alignment horizontal="center" vertical="center"/>
    </xf>
    <xf numFmtId="2" fontId="117" fillId="8" borderId="1" xfId="3" applyNumberFormat="1" applyFont="1" applyFill="1" applyBorder="1" applyAlignment="1">
      <alignment horizontal="center" vertical="center"/>
    </xf>
    <xf numFmtId="0" fontId="117" fillId="8" borderId="1" xfId="3" applyFont="1" applyFill="1" applyBorder="1" applyAlignment="1">
      <alignment horizontal="center" vertical="center"/>
    </xf>
    <xf numFmtId="0" fontId="117" fillId="15" borderId="1" xfId="3" applyFont="1" applyFill="1" applyBorder="1" applyAlignment="1">
      <alignment horizontal="center" vertical="center"/>
    </xf>
    <xf numFmtId="0" fontId="117" fillId="0" borderId="1" xfId="4" applyFont="1" applyFill="1" applyBorder="1" applyAlignment="1">
      <alignment horizontal="center" vertical="center"/>
    </xf>
    <xf numFmtId="0" fontId="117" fillId="15" borderId="1" xfId="3" applyFont="1" applyFill="1" applyBorder="1" applyAlignment="1">
      <alignment vertical="center"/>
    </xf>
    <xf numFmtId="1" fontId="117" fillId="2" borderId="1" xfId="3" applyNumberFormat="1" applyFont="1" applyFill="1" applyBorder="1" applyAlignment="1">
      <alignment horizontal="center" vertical="center"/>
    </xf>
    <xf numFmtId="0" fontId="117" fillId="0" borderId="1" xfId="4" applyFont="1" applyBorder="1" applyAlignment="1">
      <alignment horizontal="center"/>
    </xf>
    <xf numFmtId="0" fontId="117" fillId="0" borderId="1" xfId="4" applyFont="1" applyFill="1" applyBorder="1" applyAlignment="1">
      <alignment horizontal="center"/>
    </xf>
    <xf numFmtId="0" fontId="117" fillId="2" borderId="1" xfId="4" applyFont="1" applyFill="1" applyBorder="1" applyAlignment="1"/>
    <xf numFmtId="2" fontId="117" fillId="8" borderId="1" xfId="3" applyNumberFormat="1" applyFont="1" applyFill="1" applyBorder="1" applyAlignment="1">
      <alignment horizontal="center"/>
    </xf>
    <xf numFmtId="2" fontId="117" fillId="8" borderId="8" xfId="3" applyNumberFormat="1" applyFont="1" applyFill="1" applyBorder="1" applyAlignment="1">
      <alignment horizontal="center"/>
    </xf>
    <xf numFmtId="0" fontId="117" fillId="23" borderId="1" xfId="4" applyFont="1" applyFill="1" applyBorder="1" applyAlignment="1">
      <alignment horizontal="center" vertical="center"/>
    </xf>
    <xf numFmtId="0" fontId="81" fillId="2" borderId="21" xfId="3" applyFont="1" applyFill="1" applyBorder="1" applyAlignment="1">
      <alignment horizontal="left"/>
    </xf>
    <xf numFmtId="0" fontId="117" fillId="2" borderId="1" xfId="4" applyFont="1" applyFill="1" applyBorder="1" applyAlignment="1">
      <alignment horizontal="center"/>
    </xf>
    <xf numFmtId="1" fontId="117" fillId="2" borderId="1" xfId="5" applyNumberFormat="1" applyFont="1" applyFill="1" applyBorder="1" applyAlignment="1">
      <alignment horizontal="center" vertical="center"/>
    </xf>
    <xf numFmtId="1" fontId="117" fillId="2" borderId="1" xfId="3" applyNumberFormat="1" applyFont="1" applyFill="1" applyBorder="1" applyAlignment="1">
      <alignment horizontal="center"/>
    </xf>
    <xf numFmtId="1" fontId="117" fillId="2" borderId="15" xfId="5" applyNumberFormat="1" applyFont="1" applyFill="1" applyBorder="1" applyAlignment="1" applyProtection="1">
      <alignment horizontal="center"/>
    </xf>
    <xf numFmtId="0" fontId="117" fillId="2" borderId="1" xfId="3" applyFont="1" applyFill="1" applyBorder="1" applyAlignment="1">
      <alignment horizontal="center"/>
    </xf>
    <xf numFmtId="166" fontId="117" fillId="2" borderId="1" xfId="5" applyNumberFormat="1" applyFont="1" applyFill="1" applyBorder="1" applyAlignment="1">
      <alignment horizontal="center" vertical="center"/>
    </xf>
    <xf numFmtId="0" fontId="117" fillId="2" borderId="1" xfId="4" applyFont="1" applyFill="1" applyBorder="1" applyAlignment="1">
      <alignment horizontal="center" wrapText="1"/>
    </xf>
    <xf numFmtId="0" fontId="117" fillId="0" borderId="1" xfId="4" applyFont="1" applyFill="1" applyBorder="1" applyAlignment="1">
      <alignment horizontal="center" wrapText="1"/>
    </xf>
    <xf numFmtId="0" fontId="117" fillId="0" borderId="1" xfId="4" applyFont="1" applyBorder="1" applyAlignment="1">
      <alignment horizontal="center" wrapText="1"/>
    </xf>
    <xf numFmtId="0" fontId="117" fillId="0" borderId="1" xfId="3" applyFont="1" applyFill="1" applyBorder="1" applyAlignment="1">
      <alignment horizontal="center"/>
    </xf>
    <xf numFmtId="0" fontId="117" fillId="10" borderId="25" xfId="4" applyFont="1" applyFill="1" applyBorder="1" applyAlignment="1">
      <alignment horizontal="center" vertical="center"/>
    </xf>
    <xf numFmtId="0" fontId="117" fillId="0" borderId="1" xfId="0" applyFont="1" applyBorder="1" applyAlignment="1">
      <alignment horizontal="center"/>
    </xf>
    <xf numFmtId="0" fontId="117" fillId="0" borderId="1" xfId="0" applyFont="1" applyFill="1" applyBorder="1" applyAlignment="1">
      <alignment horizontal="center"/>
    </xf>
    <xf numFmtId="1" fontId="117" fillId="0" borderId="1" xfId="0" applyNumberFormat="1" applyFont="1" applyFill="1" applyBorder="1" applyAlignment="1">
      <alignment horizontal="center"/>
    </xf>
    <xf numFmtId="0" fontId="117" fillId="0" borderId="0" xfId="0" applyFont="1" applyBorder="1"/>
    <xf numFmtId="0" fontId="117" fillId="12" borderId="1" xfId="4" applyFont="1" applyFill="1" applyBorder="1" applyAlignment="1">
      <alignment horizontal="center"/>
    </xf>
    <xf numFmtId="2" fontId="117" fillId="8" borderId="7" xfId="3" applyNumberFormat="1" applyFont="1" applyFill="1" applyBorder="1" applyAlignment="1">
      <alignment horizontal="center"/>
    </xf>
    <xf numFmtId="0" fontId="117" fillId="2" borderId="1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wrapText="1"/>
    </xf>
    <xf numFmtId="16" fontId="3" fillId="2" borderId="0" xfId="1" applyNumberFormat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6" borderId="1" xfId="1" applyFont="1" applyFill="1" applyBorder="1" applyAlignment="1">
      <alignment horizontal="center" vertical="center" wrapText="1"/>
    </xf>
    <xf numFmtId="0" fontId="5" fillId="0" borderId="2" xfId="1" applyFont="1" applyFill="1" applyBorder="1" applyAlignment="1">
      <alignment horizontal="center" vertical="center" wrapText="1"/>
    </xf>
    <xf numFmtId="0" fontId="5" fillId="0" borderId="3" xfId="1" applyFont="1" applyFill="1" applyBorder="1" applyAlignment="1">
      <alignment horizontal="center" vertical="center" wrapText="1"/>
    </xf>
    <xf numFmtId="0" fontId="5" fillId="0" borderId="4" xfId="1" applyFont="1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2" fillId="0" borderId="19" xfId="1" applyFont="1" applyFill="1" applyBorder="1" applyAlignment="1">
      <alignment horizontal="center" vertical="center" wrapText="1"/>
    </xf>
    <xf numFmtId="0" fontId="2" fillId="0" borderId="14" xfId="1" applyFont="1" applyFill="1" applyBorder="1" applyAlignment="1">
      <alignment horizontal="center" vertical="center" wrapText="1"/>
    </xf>
    <xf numFmtId="0" fontId="2" fillId="0" borderId="20" xfId="1" applyFont="1" applyFill="1" applyBorder="1" applyAlignment="1">
      <alignment horizontal="center" vertical="center" wrapText="1"/>
    </xf>
    <xf numFmtId="0" fontId="59" fillId="0" borderId="1" xfId="0" applyFont="1" applyBorder="1" applyAlignment="1">
      <alignment horizontal="center" vertical="center" wrapText="1"/>
    </xf>
    <xf numFmtId="0" fontId="110" fillId="16" borderId="5" xfId="0" applyFont="1" applyFill="1" applyBorder="1" applyAlignment="1">
      <alignment horizontal="center"/>
    </xf>
    <xf numFmtId="0" fontId="110" fillId="17" borderId="5" xfId="0" applyFont="1" applyFill="1" applyBorder="1" applyAlignment="1">
      <alignment horizontal="center"/>
    </xf>
    <xf numFmtId="0" fontId="110" fillId="19" borderId="5" xfId="0" applyFont="1" applyFill="1" applyBorder="1" applyAlignment="1">
      <alignment horizontal="center"/>
    </xf>
    <xf numFmtId="0" fontId="63" fillId="0" borderId="1" xfId="4" applyFont="1" applyBorder="1" applyAlignment="1">
      <alignment horizontal="left"/>
    </xf>
    <xf numFmtId="0" fontId="67" fillId="0" borderId="16" xfId="4" applyFont="1" applyBorder="1" applyAlignment="1">
      <alignment horizontal="left"/>
    </xf>
    <xf numFmtId="0" fontId="67" fillId="0" borderId="3" xfId="4" applyFont="1" applyBorder="1" applyAlignment="1">
      <alignment horizontal="left"/>
    </xf>
    <xf numFmtId="0" fontId="67" fillId="0" borderId="4" xfId="4" applyFont="1" applyBorder="1" applyAlignment="1">
      <alignment horizontal="left"/>
    </xf>
    <xf numFmtId="0" fontId="63" fillId="0" borderId="16" xfId="4" applyFont="1" applyBorder="1" applyAlignment="1">
      <alignment horizontal="left"/>
    </xf>
    <xf numFmtId="0" fontId="63" fillId="0" borderId="3" xfId="4" applyFont="1" applyBorder="1" applyAlignment="1">
      <alignment horizontal="left"/>
    </xf>
    <xf numFmtId="0" fontId="63" fillId="0" borderId="4" xfId="4" applyFont="1" applyBorder="1" applyAlignment="1">
      <alignment horizontal="left"/>
    </xf>
    <xf numFmtId="0" fontId="56" fillId="15" borderId="16" xfId="4" applyFont="1" applyFill="1" applyBorder="1" applyAlignment="1">
      <alignment horizontal="left"/>
    </xf>
    <xf numFmtId="0" fontId="56" fillId="15" borderId="3" xfId="4" applyFont="1" applyFill="1" applyBorder="1" applyAlignment="1">
      <alignment horizontal="left"/>
    </xf>
    <xf numFmtId="0" fontId="56" fillId="15" borderId="29" xfId="4" applyFont="1" applyFill="1" applyBorder="1" applyAlignment="1">
      <alignment horizontal="left"/>
    </xf>
    <xf numFmtId="0" fontId="63" fillId="2" borderId="16" xfId="4" applyFont="1" applyFill="1" applyBorder="1" applyAlignment="1">
      <alignment horizontal="left"/>
    </xf>
    <xf numFmtId="0" fontId="63" fillId="2" borderId="3" xfId="4" applyFont="1" applyFill="1" applyBorder="1" applyAlignment="1">
      <alignment horizontal="left"/>
    </xf>
    <xf numFmtId="0" fontId="63" fillId="2" borderId="4" xfId="4" applyFont="1" applyFill="1" applyBorder="1" applyAlignment="1">
      <alignment horizontal="left"/>
    </xf>
    <xf numFmtId="0" fontId="68" fillId="0" borderId="16" xfId="0" applyFont="1" applyFill="1" applyBorder="1" applyAlignment="1">
      <alignment horizontal="left"/>
    </xf>
    <xf numFmtId="0" fontId="68" fillId="0" borderId="4" xfId="0" applyFont="1" applyFill="1" applyBorder="1" applyAlignment="1">
      <alignment horizontal="left"/>
    </xf>
    <xf numFmtId="0" fontId="68" fillId="0" borderId="16" xfId="0" applyFont="1" applyBorder="1" applyAlignment="1">
      <alignment horizontal="left"/>
    </xf>
    <xf numFmtId="0" fontId="68" fillId="0" borderId="4" xfId="0" applyFont="1" applyBorder="1" applyAlignment="1">
      <alignment horizontal="left"/>
    </xf>
    <xf numFmtId="0" fontId="71" fillId="0" borderId="16" xfId="0" applyFont="1" applyBorder="1" applyAlignment="1">
      <alignment horizontal="left"/>
    </xf>
    <xf numFmtId="0" fontId="71" fillId="0" borderId="4" xfId="0" applyFont="1" applyBorder="1" applyAlignment="1">
      <alignment horizontal="left"/>
    </xf>
    <xf numFmtId="0" fontId="71" fillId="18" borderId="16" xfId="0" applyFont="1" applyFill="1" applyBorder="1" applyAlignment="1">
      <alignment horizontal="left"/>
    </xf>
    <xf numFmtId="0" fontId="71" fillId="18" borderId="4" xfId="0" applyFont="1" applyFill="1" applyBorder="1" applyAlignment="1">
      <alignment horizontal="left"/>
    </xf>
    <xf numFmtId="0" fontId="68" fillId="18" borderId="16" xfId="0" applyFont="1" applyFill="1" applyBorder="1" applyAlignment="1">
      <alignment horizontal="left"/>
    </xf>
    <xf numFmtId="0" fontId="68" fillId="18" borderId="4" xfId="0" applyFont="1" applyFill="1" applyBorder="1" applyAlignment="1">
      <alignment horizontal="left"/>
    </xf>
    <xf numFmtId="0" fontId="71" fillId="17" borderId="16" xfId="0" applyFont="1" applyFill="1" applyBorder="1" applyAlignment="1">
      <alignment horizontal="left"/>
    </xf>
    <xf numFmtId="0" fontId="71" fillId="17" borderId="4" xfId="0" applyFont="1" applyFill="1" applyBorder="1" applyAlignment="1">
      <alignment horizontal="left"/>
    </xf>
    <xf numFmtId="0" fontId="63" fillId="8" borderId="16" xfId="3" applyFont="1" applyFill="1" applyBorder="1" applyAlignment="1">
      <alignment horizontal="left"/>
    </xf>
    <xf numFmtId="0" fontId="63" fillId="8" borderId="3" xfId="3" applyFont="1" applyFill="1" applyBorder="1" applyAlignment="1">
      <alignment horizontal="left"/>
    </xf>
    <xf numFmtId="0" fontId="63" fillId="8" borderId="4" xfId="3" applyFont="1" applyFill="1" applyBorder="1" applyAlignment="1">
      <alignment horizontal="left"/>
    </xf>
    <xf numFmtId="0" fontId="63" fillId="8" borderId="27" xfId="3" applyFont="1" applyFill="1" applyBorder="1" applyAlignment="1">
      <alignment horizontal="left"/>
    </xf>
    <xf numFmtId="0" fontId="63" fillId="8" borderId="10" xfId="3" applyFont="1" applyFill="1" applyBorder="1" applyAlignment="1">
      <alignment horizontal="left"/>
    </xf>
    <xf numFmtId="0" fontId="63" fillId="8" borderId="11" xfId="3" applyFont="1" applyFill="1" applyBorder="1" applyAlignment="1">
      <alignment horizontal="left"/>
    </xf>
    <xf numFmtId="0" fontId="62" fillId="15" borderId="16" xfId="3" applyFont="1" applyFill="1" applyBorder="1" applyAlignment="1">
      <alignment horizontal="center"/>
    </xf>
    <xf numFmtId="0" fontId="62" fillId="15" borderId="4" xfId="3" applyFont="1" applyFill="1" applyBorder="1" applyAlignment="1">
      <alignment horizontal="center"/>
    </xf>
    <xf numFmtId="0" fontId="82" fillId="8" borderId="19" xfId="3" applyFont="1" applyFill="1" applyBorder="1" applyAlignment="1">
      <alignment horizontal="center"/>
    </xf>
    <xf numFmtId="0" fontId="82" fillId="8" borderId="14" xfId="3" applyFont="1" applyFill="1" applyBorder="1" applyAlignment="1">
      <alignment horizontal="center"/>
    </xf>
    <xf numFmtId="0" fontId="82" fillId="8" borderId="20" xfId="3" applyFont="1" applyFill="1" applyBorder="1" applyAlignment="1">
      <alignment horizontal="center"/>
    </xf>
    <xf numFmtId="0" fontId="80" fillId="15" borderId="16" xfId="3" applyFont="1" applyFill="1" applyBorder="1" applyAlignment="1">
      <alignment horizontal="center" vertical="center"/>
    </xf>
    <xf numFmtId="0" fontId="80" fillId="15" borderId="3" xfId="3" applyFont="1" applyFill="1" applyBorder="1" applyAlignment="1">
      <alignment horizontal="center" vertical="center"/>
    </xf>
    <xf numFmtId="0" fontId="80" fillId="15" borderId="4" xfId="3" applyFont="1" applyFill="1" applyBorder="1" applyAlignment="1">
      <alignment horizontal="center" vertical="center"/>
    </xf>
    <xf numFmtId="0" fontId="80" fillId="15" borderId="16" xfId="3" applyFont="1" applyFill="1" applyBorder="1" applyAlignment="1">
      <alignment horizontal="center"/>
    </xf>
    <xf numFmtId="0" fontId="80" fillId="15" borderId="3" xfId="3" applyFont="1" applyFill="1" applyBorder="1" applyAlignment="1">
      <alignment horizontal="center"/>
    </xf>
    <xf numFmtId="0" fontId="80" fillId="15" borderId="4" xfId="3" applyFont="1" applyFill="1" applyBorder="1" applyAlignment="1">
      <alignment horizontal="center"/>
    </xf>
    <xf numFmtId="0" fontId="63" fillId="9" borderId="2" xfId="3" applyFont="1" applyFill="1" applyBorder="1" applyAlignment="1">
      <alignment horizontal="center"/>
    </xf>
    <xf numFmtId="0" fontId="63" fillId="9" borderId="4" xfId="3" applyFont="1" applyFill="1" applyBorder="1" applyAlignment="1">
      <alignment horizontal="center"/>
    </xf>
    <xf numFmtId="0" fontId="81" fillId="15" borderId="16" xfId="3" applyFont="1" applyFill="1" applyBorder="1" applyAlignment="1">
      <alignment horizontal="center" vertical="center"/>
    </xf>
    <xf numFmtId="0" fontId="81" fillId="15" borderId="3" xfId="3" applyFont="1" applyFill="1" applyBorder="1" applyAlignment="1">
      <alignment horizontal="center" vertical="center"/>
    </xf>
    <xf numFmtId="0" fontId="81" fillId="15" borderId="4" xfId="3" applyFont="1" applyFill="1" applyBorder="1" applyAlignment="1">
      <alignment horizontal="center" vertical="center"/>
    </xf>
    <xf numFmtId="0" fontId="51" fillId="2" borderId="16" xfId="3" applyFont="1" applyFill="1" applyBorder="1" applyAlignment="1">
      <alignment horizontal="center" vertical="justify"/>
    </xf>
    <xf numFmtId="0" fontId="51" fillId="2" borderId="3" xfId="3" applyFont="1" applyFill="1" applyBorder="1" applyAlignment="1">
      <alignment horizontal="center" vertical="justify"/>
    </xf>
    <xf numFmtId="0" fontId="51" fillId="2" borderId="29" xfId="3" applyFont="1" applyFill="1" applyBorder="1" applyAlignment="1">
      <alignment horizontal="center" vertical="justify"/>
    </xf>
    <xf numFmtId="0" fontId="62" fillId="15" borderId="16" xfId="3" applyFont="1" applyFill="1" applyBorder="1" applyAlignment="1">
      <alignment horizontal="left"/>
    </xf>
    <xf numFmtId="0" fontId="62" fillId="15" borderId="3" xfId="3" applyFont="1" applyFill="1" applyBorder="1" applyAlignment="1">
      <alignment horizontal="left"/>
    </xf>
    <xf numFmtId="0" fontId="62" fillId="15" borderId="4" xfId="3" applyFont="1" applyFill="1" applyBorder="1" applyAlignment="1">
      <alignment horizontal="left"/>
    </xf>
    <xf numFmtId="0" fontId="62" fillId="16" borderId="16" xfId="3" applyFont="1" applyFill="1" applyBorder="1" applyAlignment="1">
      <alignment horizontal="left"/>
    </xf>
    <xf numFmtId="0" fontId="62" fillId="16" borderId="3" xfId="3" applyFont="1" applyFill="1" applyBorder="1" applyAlignment="1">
      <alignment horizontal="left"/>
    </xf>
    <xf numFmtId="0" fontId="62" fillId="16" borderId="4" xfId="3" applyFont="1" applyFill="1" applyBorder="1" applyAlignment="1">
      <alignment horizontal="left"/>
    </xf>
    <xf numFmtId="0" fontId="63" fillId="17" borderId="28" xfId="0" applyFont="1" applyFill="1" applyBorder="1" applyAlignment="1">
      <alignment horizontal="center"/>
    </xf>
    <xf numFmtId="0" fontId="63" fillId="17" borderId="5" xfId="0" applyFont="1" applyFill="1" applyBorder="1" applyAlignment="1">
      <alignment horizontal="center"/>
    </xf>
    <xf numFmtId="0" fontId="71" fillId="0" borderId="3" xfId="0" applyFont="1" applyBorder="1" applyAlignment="1">
      <alignment horizontal="left"/>
    </xf>
    <xf numFmtId="0" fontId="108" fillId="0" borderId="2" xfId="0" applyFont="1" applyBorder="1" applyAlignment="1">
      <alignment horizontal="center"/>
    </xf>
    <xf numFmtId="0" fontId="108" fillId="0" borderId="3" xfId="0" applyFont="1" applyBorder="1" applyAlignment="1">
      <alignment horizontal="center"/>
    </xf>
    <xf numFmtId="0" fontId="108" fillId="0" borderId="4" xfId="0" applyFont="1" applyBorder="1" applyAlignment="1">
      <alignment horizontal="center"/>
    </xf>
    <xf numFmtId="0" fontId="68" fillId="17" borderId="16" xfId="0" applyFont="1" applyFill="1" applyBorder="1" applyAlignment="1">
      <alignment horizontal="left"/>
    </xf>
    <xf numFmtId="0" fontId="68" fillId="17" borderId="4" xfId="0" applyFont="1" applyFill="1" applyBorder="1" applyAlignment="1">
      <alignment horizontal="left"/>
    </xf>
    <xf numFmtId="0" fontId="68" fillId="0" borderId="3" xfId="0" applyFont="1" applyBorder="1" applyAlignment="1">
      <alignment horizontal="left"/>
    </xf>
    <xf numFmtId="0" fontId="68" fillId="8" borderId="16" xfId="3" applyFont="1" applyFill="1" applyBorder="1" applyAlignment="1">
      <alignment horizontal="left"/>
    </xf>
    <xf numFmtId="0" fontId="68" fillId="8" borderId="3" xfId="3" applyFont="1" applyFill="1" applyBorder="1" applyAlignment="1">
      <alignment horizontal="left"/>
    </xf>
    <xf numFmtId="0" fontId="68" fillId="8" borderId="4" xfId="3" applyFont="1" applyFill="1" applyBorder="1" applyAlignment="1">
      <alignment horizontal="left"/>
    </xf>
    <xf numFmtId="0" fontId="63" fillId="2" borderId="1" xfId="4" applyFont="1" applyFill="1" applyBorder="1" applyAlignment="1">
      <alignment horizontal="left"/>
    </xf>
    <xf numFmtId="0" fontId="67" fillId="2" borderId="16" xfId="4" applyFont="1" applyFill="1" applyBorder="1" applyAlignment="1">
      <alignment horizontal="left"/>
    </xf>
    <xf numFmtId="0" fontId="67" fillId="2" borderId="3" xfId="4" applyFont="1" applyFill="1" applyBorder="1" applyAlignment="1">
      <alignment horizontal="left"/>
    </xf>
    <xf numFmtId="0" fontId="67" fillId="2" borderId="4" xfId="4" applyFont="1" applyFill="1" applyBorder="1" applyAlignment="1">
      <alignment horizontal="left"/>
    </xf>
    <xf numFmtId="0" fontId="67" fillId="12" borderId="16" xfId="4" applyFont="1" applyFill="1" applyBorder="1" applyAlignment="1">
      <alignment horizontal="left"/>
    </xf>
    <xf numFmtId="0" fontId="67" fillId="12" borderId="3" xfId="4" applyFont="1" applyFill="1" applyBorder="1" applyAlignment="1">
      <alignment horizontal="left"/>
    </xf>
    <xf numFmtId="0" fontId="67" fillId="12" borderId="4" xfId="4" applyFont="1" applyFill="1" applyBorder="1" applyAlignment="1">
      <alignment horizontal="left"/>
    </xf>
    <xf numFmtId="0" fontId="61" fillId="0" borderId="1" xfId="0" applyFont="1" applyFill="1" applyBorder="1" applyAlignment="1">
      <alignment horizontal="left"/>
    </xf>
    <xf numFmtId="0" fontId="61" fillId="0" borderId="1" xfId="0" applyFont="1" applyBorder="1" applyAlignment="1">
      <alignment horizontal="left"/>
    </xf>
    <xf numFmtId="0" fontId="60" fillId="17" borderId="1" xfId="0" applyFont="1" applyFill="1" applyBorder="1" applyAlignment="1">
      <alignment horizontal="left"/>
    </xf>
    <xf numFmtId="0" fontId="60" fillId="0" borderId="1" xfId="0" applyFont="1" applyBorder="1" applyAlignment="1">
      <alignment horizontal="left"/>
    </xf>
    <xf numFmtId="0" fontId="60" fillId="18" borderId="1" xfId="0" applyFont="1" applyFill="1" applyBorder="1" applyAlignment="1">
      <alignment horizontal="left"/>
    </xf>
    <xf numFmtId="0" fontId="61" fillId="18" borderId="1" xfId="0" applyFont="1" applyFill="1" applyBorder="1" applyAlignment="1">
      <alignment horizontal="left"/>
    </xf>
    <xf numFmtId="0" fontId="33" fillId="17" borderId="6" xfId="0" applyFont="1" applyFill="1" applyBorder="1" applyAlignment="1">
      <alignment horizontal="center"/>
    </xf>
    <xf numFmtId="0" fontId="33" fillId="17" borderId="0" xfId="0" applyFont="1" applyFill="1" applyBorder="1" applyAlignment="1">
      <alignment horizontal="center"/>
    </xf>
    <xf numFmtId="0" fontId="34" fillId="16" borderId="2" xfId="3" applyFont="1" applyFill="1" applyBorder="1" applyAlignment="1">
      <alignment horizontal="left"/>
    </xf>
    <xf numFmtId="0" fontId="34" fillId="16" borderId="3" xfId="3" applyFont="1" applyFill="1" applyBorder="1" applyAlignment="1">
      <alignment horizontal="left"/>
    </xf>
    <xf numFmtId="0" fontId="34" fillId="16" borderId="4" xfId="3" applyFont="1" applyFill="1" applyBorder="1" applyAlignment="1">
      <alignment horizontal="left"/>
    </xf>
    <xf numFmtId="0" fontId="34" fillId="15" borderId="2" xfId="3" applyFont="1" applyFill="1" applyBorder="1" applyAlignment="1">
      <alignment horizontal="left"/>
    </xf>
    <xf numFmtId="0" fontId="34" fillId="15" borderId="3" xfId="3" applyFont="1" applyFill="1" applyBorder="1" applyAlignment="1">
      <alignment horizontal="left"/>
    </xf>
    <xf numFmtId="0" fontId="34" fillId="15" borderId="4" xfId="3" applyFont="1" applyFill="1" applyBorder="1" applyAlignment="1">
      <alignment horizontal="left"/>
    </xf>
    <xf numFmtId="0" fontId="34" fillId="15" borderId="2" xfId="3" applyFont="1" applyFill="1" applyBorder="1" applyAlignment="1">
      <alignment horizontal="center"/>
    </xf>
    <xf numFmtId="0" fontId="34" fillId="15" borderId="4" xfId="3" applyFont="1" applyFill="1" applyBorder="1" applyAlignment="1">
      <alignment horizontal="center"/>
    </xf>
    <xf numFmtId="0" fontId="34" fillId="8" borderId="2" xfId="3" applyFont="1" applyFill="1" applyBorder="1" applyAlignment="1">
      <alignment horizontal="left"/>
    </xf>
    <xf numFmtId="0" fontId="34" fillId="8" borderId="3" xfId="3" applyFont="1" applyFill="1" applyBorder="1" applyAlignment="1">
      <alignment horizontal="left"/>
    </xf>
    <xf numFmtId="0" fontId="34" fillId="8" borderId="4" xfId="3" applyFont="1" applyFill="1" applyBorder="1" applyAlignment="1">
      <alignment horizontal="left"/>
    </xf>
    <xf numFmtId="0" fontId="34" fillId="0" borderId="2" xfId="4" applyFont="1" applyBorder="1" applyAlignment="1">
      <alignment horizontal="left"/>
    </xf>
    <xf numFmtId="0" fontId="34" fillId="0" borderId="3" xfId="4" applyFont="1" applyBorder="1" applyAlignment="1">
      <alignment horizontal="left"/>
    </xf>
    <xf numFmtId="0" fontId="34" fillId="0" borderId="4" xfId="4" applyFont="1" applyBorder="1" applyAlignment="1">
      <alignment horizontal="left"/>
    </xf>
    <xf numFmtId="0" fontId="35" fillId="0" borderId="16" xfId="4" applyFont="1" applyBorder="1" applyAlignment="1">
      <alignment horizontal="left"/>
    </xf>
    <xf numFmtId="0" fontId="35" fillId="0" borderId="3" xfId="4" applyFont="1" applyBorder="1" applyAlignment="1">
      <alignment horizontal="left"/>
    </xf>
    <xf numFmtId="0" fontId="35" fillId="0" borderId="4" xfId="4" applyFont="1" applyBorder="1" applyAlignment="1">
      <alignment horizontal="left"/>
    </xf>
    <xf numFmtId="0" fontId="48" fillId="0" borderId="2" xfId="4" applyFont="1" applyBorder="1" applyAlignment="1">
      <alignment horizontal="left"/>
    </xf>
    <xf numFmtId="0" fontId="48" fillId="0" borderId="3" xfId="4" applyFont="1" applyBorder="1" applyAlignment="1">
      <alignment horizontal="left"/>
    </xf>
    <xf numFmtId="0" fontId="48" fillId="0" borderId="4" xfId="4" applyFont="1" applyBorder="1" applyAlignment="1">
      <alignment horizontal="left"/>
    </xf>
    <xf numFmtId="0" fontId="35" fillId="0" borderId="2" xfId="4" applyFont="1" applyBorder="1" applyAlignment="1">
      <alignment horizontal="left"/>
    </xf>
    <xf numFmtId="0" fontId="38" fillId="15" borderId="2" xfId="4" applyFont="1" applyFill="1" applyBorder="1" applyAlignment="1">
      <alignment horizontal="left"/>
    </xf>
    <xf numFmtId="0" fontId="38" fillId="15" borderId="3" xfId="4" applyFont="1" applyFill="1" applyBorder="1" applyAlignment="1">
      <alignment horizontal="left"/>
    </xf>
    <xf numFmtId="0" fontId="38" fillId="15" borderId="4" xfId="4" applyFont="1" applyFill="1" applyBorder="1" applyAlignment="1">
      <alignment horizontal="left"/>
    </xf>
    <xf numFmtId="0" fontId="34" fillId="2" borderId="2" xfId="4" applyFont="1" applyFill="1" applyBorder="1" applyAlignment="1">
      <alignment horizontal="left"/>
    </xf>
    <xf numFmtId="0" fontId="34" fillId="2" borderId="3" xfId="4" applyFont="1" applyFill="1" applyBorder="1" applyAlignment="1">
      <alignment horizontal="left"/>
    </xf>
    <xf numFmtId="0" fontId="34" fillId="2" borderId="4" xfId="4" applyFont="1" applyFill="1" applyBorder="1" applyAlignment="1">
      <alignment horizontal="left"/>
    </xf>
    <xf numFmtId="0" fontId="41" fillId="15" borderId="2" xfId="3" applyFont="1" applyFill="1" applyBorder="1" applyAlignment="1">
      <alignment horizontal="center"/>
    </xf>
    <xf numFmtId="0" fontId="41" fillId="15" borderId="3" xfId="3" applyFont="1" applyFill="1" applyBorder="1" applyAlignment="1">
      <alignment horizontal="center"/>
    </xf>
    <xf numFmtId="0" fontId="41" fillId="15" borderId="4" xfId="3" applyFont="1" applyFill="1" applyBorder="1" applyAlignment="1">
      <alignment horizontal="center"/>
    </xf>
    <xf numFmtId="0" fontId="34" fillId="2" borderId="2" xfId="3" applyFont="1" applyFill="1" applyBorder="1" applyAlignment="1">
      <alignment horizontal="center" vertical="justify"/>
    </xf>
    <xf numFmtId="0" fontId="34" fillId="2" borderId="3" xfId="3" applyFont="1" applyFill="1" applyBorder="1" applyAlignment="1">
      <alignment horizontal="center" vertical="justify"/>
    </xf>
    <xf numFmtId="0" fontId="34" fillId="2" borderId="4" xfId="3" applyFont="1" applyFill="1" applyBorder="1" applyAlignment="1">
      <alignment horizontal="center" vertical="justify"/>
    </xf>
    <xf numFmtId="0" fontId="41" fillId="15" borderId="2" xfId="3" applyFont="1" applyFill="1" applyBorder="1" applyAlignment="1">
      <alignment horizontal="center" vertical="center"/>
    </xf>
    <xf numFmtId="0" fontId="41" fillId="15" borderId="3" xfId="3" applyFont="1" applyFill="1" applyBorder="1" applyAlignment="1">
      <alignment horizontal="center" vertical="center"/>
    </xf>
    <xf numFmtId="0" fontId="41" fillId="15" borderId="4" xfId="3" applyFont="1" applyFill="1" applyBorder="1" applyAlignment="1">
      <alignment horizontal="center" vertical="center"/>
    </xf>
    <xf numFmtId="0" fontId="36" fillId="8" borderId="5" xfId="3" applyFont="1" applyFill="1" applyBorder="1" applyAlignment="1">
      <alignment horizontal="center"/>
    </xf>
    <xf numFmtId="0" fontId="41" fillId="15" borderId="17" xfId="3" applyFont="1" applyFill="1" applyBorder="1" applyAlignment="1">
      <alignment horizontal="center" vertical="center"/>
    </xf>
    <xf numFmtId="0" fontId="41" fillId="15" borderId="14" xfId="3" applyFont="1" applyFill="1" applyBorder="1" applyAlignment="1">
      <alignment horizontal="center" vertical="center"/>
    </xf>
    <xf numFmtId="0" fontId="41" fillId="15" borderId="18" xfId="3" applyFont="1" applyFill="1" applyBorder="1" applyAlignment="1">
      <alignment horizontal="center" vertical="center"/>
    </xf>
    <xf numFmtId="0" fontId="33" fillId="9" borderId="2" xfId="3" applyFont="1" applyFill="1" applyBorder="1" applyAlignment="1">
      <alignment horizontal="center"/>
    </xf>
    <xf numFmtId="0" fontId="33" fillId="9" borderId="4" xfId="3" applyFont="1" applyFill="1" applyBorder="1" applyAlignment="1">
      <alignment horizontal="center"/>
    </xf>
    <xf numFmtId="0" fontId="63" fillId="12" borderId="16" xfId="4" applyFont="1" applyFill="1" applyBorder="1" applyAlignment="1">
      <alignment horizontal="left"/>
    </xf>
    <xf numFmtId="0" fontId="63" fillId="12" borderId="3" xfId="4" applyFont="1" applyFill="1" applyBorder="1" applyAlignment="1">
      <alignment horizontal="left"/>
    </xf>
    <xf numFmtId="0" fontId="63" fillId="12" borderId="4" xfId="4" applyFont="1" applyFill="1" applyBorder="1" applyAlignment="1">
      <alignment horizontal="left"/>
    </xf>
    <xf numFmtId="0" fontId="95" fillId="0" borderId="1" xfId="4" applyFont="1" applyBorder="1" applyAlignment="1">
      <alignment horizontal="left"/>
    </xf>
    <xf numFmtId="0" fontId="100" fillId="0" borderId="16" xfId="0" applyFont="1" applyBorder="1" applyAlignment="1">
      <alignment horizontal="left"/>
    </xf>
    <xf numFmtId="0" fontId="100" fillId="0" borderId="4" xfId="0" applyFont="1" applyBorder="1" applyAlignment="1">
      <alignment horizontal="left"/>
    </xf>
    <xf numFmtId="0" fontId="91" fillId="0" borderId="16" xfId="0" applyFont="1" applyBorder="1" applyAlignment="1">
      <alignment horizontal="left"/>
    </xf>
    <xf numFmtId="0" fontId="91" fillId="0" borderId="4" xfId="0" applyFont="1" applyBorder="1" applyAlignment="1">
      <alignment horizontal="left"/>
    </xf>
    <xf numFmtId="0" fontId="91" fillId="18" borderId="16" xfId="0" applyFont="1" applyFill="1" applyBorder="1" applyAlignment="1">
      <alignment horizontal="left"/>
    </xf>
    <xf numFmtId="0" fontId="91" fillId="18" borderId="4" xfId="0" applyFont="1" applyFill="1" applyBorder="1" applyAlignment="1">
      <alignment horizontal="left"/>
    </xf>
    <xf numFmtId="0" fontId="100" fillId="0" borderId="16" xfId="0" applyFont="1" applyFill="1" applyBorder="1" applyAlignment="1">
      <alignment horizontal="left"/>
    </xf>
    <xf numFmtId="0" fontId="100" fillId="0" borderId="4" xfId="0" applyFont="1" applyFill="1" applyBorder="1" applyAlignment="1">
      <alignment horizontal="left"/>
    </xf>
    <xf numFmtId="0" fontId="100" fillId="18" borderId="16" xfId="0" applyFont="1" applyFill="1" applyBorder="1" applyAlignment="1">
      <alignment horizontal="left"/>
    </xf>
    <xf numFmtId="0" fontId="100" fillId="18" borderId="4" xfId="0" applyFont="1" applyFill="1" applyBorder="1" applyAlignment="1">
      <alignment horizontal="left"/>
    </xf>
    <xf numFmtId="0" fontId="91" fillId="17" borderId="16" xfId="0" applyFont="1" applyFill="1" applyBorder="1" applyAlignment="1">
      <alignment horizontal="left"/>
    </xf>
    <xf numFmtId="0" fontId="91" fillId="17" borderId="4" xfId="0" applyFont="1" applyFill="1" applyBorder="1" applyAlignment="1">
      <alignment horizontal="left"/>
    </xf>
    <xf numFmtId="0" fontId="95" fillId="8" borderId="16" xfId="3" applyFont="1" applyFill="1" applyBorder="1" applyAlignment="1">
      <alignment horizontal="left"/>
    </xf>
    <xf numFmtId="0" fontId="95" fillId="8" borderId="3" xfId="3" applyFont="1" applyFill="1" applyBorder="1" applyAlignment="1">
      <alignment horizontal="left"/>
    </xf>
    <xf numFmtId="0" fontId="95" fillId="8" borderId="4" xfId="3" applyFont="1" applyFill="1" applyBorder="1" applyAlignment="1">
      <alignment horizontal="left"/>
    </xf>
    <xf numFmtId="0" fontId="95" fillId="8" borderId="27" xfId="3" applyFont="1" applyFill="1" applyBorder="1" applyAlignment="1">
      <alignment horizontal="left"/>
    </xf>
    <xf numFmtId="0" fontId="95" fillId="8" borderId="10" xfId="3" applyFont="1" applyFill="1" applyBorder="1" applyAlignment="1">
      <alignment horizontal="left"/>
    </xf>
    <xf numFmtId="0" fontId="95" fillId="8" borderId="11" xfId="3" applyFont="1" applyFill="1" applyBorder="1" applyAlignment="1">
      <alignment horizontal="left"/>
    </xf>
    <xf numFmtId="0" fontId="95" fillId="0" borderId="16" xfId="4" applyFont="1" applyBorder="1" applyAlignment="1">
      <alignment horizontal="left"/>
    </xf>
    <xf numFmtId="0" fontId="95" fillId="0" borderId="3" xfId="4" applyFont="1" applyBorder="1" applyAlignment="1">
      <alignment horizontal="left"/>
    </xf>
    <xf numFmtId="0" fontId="95" fillId="0" borderId="4" xfId="4" applyFont="1" applyBorder="1" applyAlignment="1">
      <alignment horizontal="left"/>
    </xf>
    <xf numFmtId="0" fontId="95" fillId="16" borderId="16" xfId="3" applyFont="1" applyFill="1" applyBorder="1" applyAlignment="1">
      <alignment horizontal="left"/>
    </xf>
    <xf numFmtId="0" fontId="95" fillId="16" borderId="3" xfId="3" applyFont="1" applyFill="1" applyBorder="1" applyAlignment="1">
      <alignment horizontal="left"/>
    </xf>
    <xf numFmtId="0" fontId="95" fillId="16" borderId="4" xfId="3" applyFont="1" applyFill="1" applyBorder="1" applyAlignment="1">
      <alignment horizontal="left"/>
    </xf>
    <xf numFmtId="0" fontId="95" fillId="15" borderId="16" xfId="3" applyFont="1" applyFill="1" applyBorder="1" applyAlignment="1">
      <alignment horizontal="left"/>
    </xf>
    <xf numFmtId="0" fontId="95" fillId="15" borderId="3" xfId="3" applyFont="1" applyFill="1" applyBorder="1" applyAlignment="1">
      <alignment horizontal="left"/>
    </xf>
    <xf numFmtId="0" fontId="95" fillId="15" borderId="4" xfId="3" applyFont="1" applyFill="1" applyBorder="1" applyAlignment="1">
      <alignment horizontal="left"/>
    </xf>
    <xf numFmtId="0" fontId="95" fillId="15" borderId="16" xfId="3" applyFont="1" applyFill="1" applyBorder="1" applyAlignment="1">
      <alignment horizontal="center"/>
    </xf>
    <xf numFmtId="0" fontId="95" fillId="15" borderId="4" xfId="3" applyFont="1" applyFill="1" applyBorder="1" applyAlignment="1">
      <alignment horizontal="center"/>
    </xf>
    <xf numFmtId="0" fontId="95" fillId="17" borderId="28" xfId="0" applyFont="1" applyFill="1" applyBorder="1" applyAlignment="1">
      <alignment horizontal="center"/>
    </xf>
    <xf numFmtId="0" fontId="95" fillId="17" borderId="5" xfId="0" applyFont="1" applyFill="1" applyBorder="1" applyAlignment="1">
      <alignment horizontal="center"/>
    </xf>
    <xf numFmtId="0" fontId="91" fillId="0" borderId="3" xfId="0" applyFont="1" applyBorder="1" applyAlignment="1">
      <alignment horizontal="left"/>
    </xf>
    <xf numFmtId="0" fontId="101" fillId="0" borderId="16" xfId="4" applyFont="1" applyBorder="1" applyAlignment="1">
      <alignment horizontal="left"/>
    </xf>
    <xf numFmtId="0" fontId="101" fillId="0" borderId="3" xfId="4" applyFont="1" applyBorder="1" applyAlignment="1">
      <alignment horizontal="left"/>
    </xf>
    <xf numFmtId="0" fontId="101" fillId="0" borderId="4" xfId="4" applyFont="1" applyBorder="1" applyAlignment="1">
      <alignment horizontal="left"/>
    </xf>
    <xf numFmtId="0" fontId="106" fillId="15" borderId="16" xfId="4" applyFont="1" applyFill="1" applyBorder="1" applyAlignment="1">
      <alignment horizontal="left"/>
    </xf>
    <xf numFmtId="0" fontId="106" fillId="15" borderId="3" xfId="4" applyFont="1" applyFill="1" applyBorder="1" applyAlignment="1">
      <alignment horizontal="left"/>
    </xf>
    <xf numFmtId="0" fontId="106" fillId="15" borderId="29" xfId="4" applyFont="1" applyFill="1" applyBorder="1" applyAlignment="1">
      <alignment horizontal="left"/>
    </xf>
    <xf numFmtId="0" fontId="95" fillId="2" borderId="16" xfId="4" applyFont="1" applyFill="1" applyBorder="1" applyAlignment="1">
      <alignment horizontal="left"/>
    </xf>
    <xf numFmtId="0" fontId="95" fillId="2" borderId="3" xfId="4" applyFont="1" applyFill="1" applyBorder="1" applyAlignment="1">
      <alignment horizontal="left"/>
    </xf>
    <xf numFmtId="0" fontId="95" fillId="2" borderId="4" xfId="4" applyFont="1" applyFill="1" applyBorder="1" applyAlignment="1">
      <alignment horizontal="left"/>
    </xf>
    <xf numFmtId="0" fontId="93" fillId="8" borderId="19" xfId="3" applyFont="1" applyFill="1" applyBorder="1" applyAlignment="1">
      <alignment horizontal="center"/>
    </xf>
    <xf numFmtId="0" fontId="93" fillId="8" borderId="14" xfId="3" applyFont="1" applyFill="1" applyBorder="1" applyAlignment="1">
      <alignment horizontal="center"/>
    </xf>
    <xf numFmtId="0" fontId="93" fillId="8" borderId="20" xfId="3" applyFont="1" applyFill="1" applyBorder="1" applyAlignment="1">
      <alignment horizontal="center"/>
    </xf>
    <xf numFmtId="0" fontId="98" fillId="15" borderId="16" xfId="3" applyFont="1" applyFill="1" applyBorder="1" applyAlignment="1">
      <alignment horizontal="center" vertical="center"/>
    </xf>
    <xf numFmtId="0" fontId="98" fillId="15" borderId="3" xfId="3" applyFont="1" applyFill="1" applyBorder="1" applyAlignment="1">
      <alignment horizontal="center" vertical="center"/>
    </xf>
    <xf numFmtId="0" fontId="98" fillId="15" borderId="4" xfId="3" applyFont="1" applyFill="1" applyBorder="1" applyAlignment="1">
      <alignment horizontal="center" vertical="center"/>
    </xf>
    <xf numFmtId="0" fontId="98" fillId="15" borderId="16" xfId="3" applyFont="1" applyFill="1" applyBorder="1" applyAlignment="1">
      <alignment horizontal="center"/>
    </xf>
    <xf numFmtId="0" fontId="98" fillId="15" borderId="3" xfId="3" applyFont="1" applyFill="1" applyBorder="1" applyAlignment="1">
      <alignment horizontal="center"/>
    </xf>
    <xf numFmtId="0" fontId="98" fillId="15" borderId="4" xfId="3" applyFont="1" applyFill="1" applyBorder="1" applyAlignment="1">
      <alignment horizontal="center"/>
    </xf>
    <xf numFmtId="0" fontId="95" fillId="9" borderId="2" xfId="3" applyFont="1" applyFill="1" applyBorder="1" applyAlignment="1">
      <alignment horizontal="center"/>
    </xf>
    <xf numFmtId="0" fontId="95" fillId="9" borderId="4" xfId="3" applyFont="1" applyFill="1" applyBorder="1" applyAlignment="1">
      <alignment horizontal="center"/>
    </xf>
    <xf numFmtId="0" fontId="97" fillId="2" borderId="16" xfId="3" applyFont="1" applyFill="1" applyBorder="1" applyAlignment="1">
      <alignment horizontal="center" vertical="justify"/>
    </xf>
    <xf numFmtId="0" fontId="97" fillId="2" borderId="3" xfId="3" applyFont="1" applyFill="1" applyBorder="1" applyAlignment="1">
      <alignment horizontal="center" vertical="justify"/>
    </xf>
    <xf numFmtId="0" fontId="97" fillId="2" borderId="29" xfId="3" applyFont="1" applyFill="1" applyBorder="1" applyAlignment="1">
      <alignment horizontal="center" vertical="justify"/>
    </xf>
    <xf numFmtId="0" fontId="71" fillId="18" borderId="21" xfId="0" applyFont="1" applyFill="1" applyBorder="1" applyAlignment="1">
      <alignment horizontal="left"/>
    </xf>
    <xf numFmtId="0" fontId="71" fillId="18" borderId="1" xfId="0" applyFont="1" applyFill="1" applyBorder="1" applyAlignment="1">
      <alignment horizontal="left"/>
    </xf>
    <xf numFmtId="0" fontId="68" fillId="0" borderId="21" xfId="0" applyFont="1" applyFill="1" applyBorder="1" applyAlignment="1">
      <alignment horizontal="left"/>
    </xf>
    <xf numFmtId="0" fontId="68" fillId="0" borderId="1" xfId="0" applyFont="1" applyFill="1" applyBorder="1" applyAlignment="1">
      <alignment horizontal="left"/>
    </xf>
    <xf numFmtId="0" fontId="68" fillId="0" borderId="2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8" fillId="18" borderId="21" xfId="0" applyFont="1" applyFill="1" applyBorder="1" applyAlignment="1">
      <alignment horizontal="left"/>
    </xf>
    <xf numFmtId="0" fontId="68" fillId="18" borderId="1" xfId="0" applyFont="1" applyFill="1" applyBorder="1" applyAlignment="1">
      <alignment horizontal="left"/>
    </xf>
    <xf numFmtId="0" fontId="71" fillId="17" borderId="21" xfId="0" applyFont="1" applyFill="1" applyBorder="1" applyAlignment="1">
      <alignment horizontal="left"/>
    </xf>
    <xf numFmtId="0" fontId="71" fillId="17" borderId="1" xfId="0" applyFont="1" applyFill="1" applyBorder="1" applyAlignment="1">
      <alignment horizontal="left"/>
    </xf>
    <xf numFmtId="0" fontId="71" fillId="0" borderId="21" xfId="0" applyFont="1" applyBorder="1" applyAlignment="1">
      <alignment horizontal="left"/>
    </xf>
    <xf numFmtId="0" fontId="71" fillId="0" borderId="1" xfId="0" applyFont="1" applyBorder="1" applyAlignment="1">
      <alignment horizontal="left"/>
    </xf>
    <xf numFmtId="0" fontId="63" fillId="8" borderId="21" xfId="3" applyFont="1" applyFill="1" applyBorder="1" applyAlignment="1">
      <alignment horizontal="left"/>
    </xf>
    <xf numFmtId="0" fontId="63" fillId="8" borderId="1" xfId="3" applyFont="1" applyFill="1" applyBorder="1" applyAlignment="1">
      <alignment horizontal="left"/>
    </xf>
    <xf numFmtId="0" fontId="63" fillId="9" borderId="1" xfId="3" applyFont="1" applyFill="1" applyBorder="1" applyAlignment="1">
      <alignment horizontal="center"/>
    </xf>
    <xf numFmtId="0" fontId="80" fillId="15" borderId="21" xfId="3" applyFont="1" applyFill="1" applyBorder="1" applyAlignment="1">
      <alignment horizontal="center" vertical="center"/>
    </xf>
    <xf numFmtId="0" fontId="80" fillId="15" borderId="1" xfId="3" applyFont="1" applyFill="1" applyBorder="1" applyAlignment="1">
      <alignment horizontal="center" vertical="center"/>
    </xf>
    <xf numFmtId="0" fontId="80" fillId="15" borderId="21" xfId="3" applyFont="1" applyFill="1" applyBorder="1" applyAlignment="1">
      <alignment horizontal="center"/>
    </xf>
    <xf numFmtId="0" fontId="80" fillId="15" borderId="1" xfId="3" applyFont="1" applyFill="1" applyBorder="1" applyAlignment="1">
      <alignment horizontal="center"/>
    </xf>
    <xf numFmtId="0" fontId="56" fillId="15" borderId="21" xfId="4" applyFont="1" applyFill="1" applyBorder="1" applyAlignment="1">
      <alignment horizontal="left"/>
    </xf>
    <xf numFmtId="0" fontId="56" fillId="15" borderId="1" xfId="4" applyFont="1" applyFill="1" applyBorder="1" applyAlignment="1">
      <alignment horizontal="left"/>
    </xf>
    <xf numFmtId="0" fontId="56" fillId="15" borderId="15" xfId="4" applyFont="1" applyFill="1" applyBorder="1" applyAlignment="1">
      <alignment horizontal="left"/>
    </xf>
    <xf numFmtId="0" fontId="51" fillId="2" borderId="21" xfId="3" applyFont="1" applyFill="1" applyBorder="1" applyAlignment="1">
      <alignment horizontal="center" vertical="justify"/>
    </xf>
    <xf numFmtId="0" fontId="51" fillId="2" borderId="1" xfId="3" applyFont="1" applyFill="1" applyBorder="1" applyAlignment="1">
      <alignment horizontal="center" vertical="justify"/>
    </xf>
    <xf numFmtId="0" fontId="51" fillId="2" borderId="15" xfId="3" applyFont="1" applyFill="1" applyBorder="1" applyAlignment="1">
      <alignment horizontal="center" vertical="justify"/>
    </xf>
    <xf numFmtId="0" fontId="63" fillId="0" borderId="21" xfId="4" applyFont="1" applyBorder="1" applyAlignment="1">
      <alignment horizontal="left"/>
    </xf>
    <xf numFmtId="0" fontId="63" fillId="2" borderId="21" xfId="4" applyFont="1" applyFill="1" applyBorder="1" applyAlignment="1">
      <alignment horizontal="left"/>
    </xf>
    <xf numFmtId="0" fontId="67" fillId="0" borderId="21" xfId="4" applyFont="1" applyBorder="1" applyAlignment="1">
      <alignment horizontal="left"/>
    </xf>
    <xf numFmtId="0" fontId="67" fillId="0" borderId="1" xfId="4" applyFont="1" applyBorder="1" applyAlignment="1">
      <alignment horizontal="left"/>
    </xf>
    <xf numFmtId="0" fontId="62" fillId="16" borderId="21" xfId="3" applyFont="1" applyFill="1" applyBorder="1" applyAlignment="1">
      <alignment horizontal="left"/>
    </xf>
    <xf numFmtId="0" fontId="62" fillId="16" borderId="1" xfId="3" applyFont="1" applyFill="1" applyBorder="1" applyAlignment="1">
      <alignment horizontal="left"/>
    </xf>
    <xf numFmtId="0" fontId="62" fillId="15" borderId="21" xfId="3" applyFont="1" applyFill="1" applyBorder="1" applyAlignment="1">
      <alignment horizontal="left"/>
    </xf>
    <xf numFmtId="0" fontId="62" fillId="15" borderId="1" xfId="3" applyFont="1" applyFill="1" applyBorder="1" applyAlignment="1">
      <alignment horizontal="left"/>
    </xf>
    <xf numFmtId="0" fontId="62" fillId="15" borderId="21" xfId="3" applyFont="1" applyFill="1" applyBorder="1" applyAlignment="1">
      <alignment horizontal="center"/>
    </xf>
    <xf numFmtId="0" fontId="62" fillId="15" borderId="1" xfId="3" applyFont="1" applyFill="1" applyBorder="1" applyAlignment="1">
      <alignment horizontal="center"/>
    </xf>
    <xf numFmtId="0" fontId="63" fillId="17" borderId="34" xfId="0" applyFont="1" applyFill="1" applyBorder="1" applyAlignment="1">
      <alignment horizontal="center"/>
    </xf>
    <xf numFmtId="0" fontId="63" fillId="17" borderId="0" xfId="0" applyFont="1" applyFill="1" applyBorder="1" applyAlignment="1">
      <alignment horizontal="center"/>
    </xf>
    <xf numFmtId="0" fontId="63" fillId="8" borderId="22" xfId="3" applyFont="1" applyFill="1" applyBorder="1" applyAlignment="1">
      <alignment horizontal="left"/>
    </xf>
    <xf numFmtId="0" fontId="63" fillId="8" borderId="7" xfId="3" applyFont="1" applyFill="1" applyBorder="1" applyAlignment="1">
      <alignment horizontal="left"/>
    </xf>
    <xf numFmtId="0" fontId="17" fillId="8" borderId="2" xfId="3" applyFont="1" applyFill="1" applyBorder="1" applyAlignment="1">
      <alignment horizontal="left"/>
    </xf>
    <xf numFmtId="0" fontId="17" fillId="8" borderId="3" xfId="3" applyFont="1" applyFill="1" applyBorder="1" applyAlignment="1">
      <alignment horizontal="left"/>
    </xf>
    <xf numFmtId="0" fontId="17" fillId="8" borderId="4" xfId="3" applyFont="1" applyFill="1" applyBorder="1" applyAlignment="1">
      <alignment horizontal="left"/>
    </xf>
    <xf numFmtId="0" fontId="17" fillId="10" borderId="2" xfId="3" applyFont="1" applyFill="1" applyBorder="1" applyAlignment="1">
      <alignment horizontal="left"/>
    </xf>
    <xf numFmtId="0" fontId="17" fillId="10" borderId="3" xfId="3" applyFont="1" applyFill="1" applyBorder="1" applyAlignment="1">
      <alignment horizontal="left"/>
    </xf>
    <xf numFmtId="0" fontId="17" fillId="10" borderId="4" xfId="3" applyFont="1" applyFill="1" applyBorder="1" applyAlignment="1">
      <alignment horizontal="left"/>
    </xf>
    <xf numFmtId="0" fontId="3" fillId="0" borderId="16" xfId="4" applyFont="1" applyBorder="1" applyAlignment="1">
      <alignment horizontal="left"/>
    </xf>
    <xf numFmtId="0" fontId="3" fillId="0" borderId="3" xfId="4" applyFont="1" applyBorder="1" applyAlignment="1">
      <alignment horizontal="left"/>
    </xf>
    <xf numFmtId="0" fontId="3" fillId="0" borderId="4" xfId="4" applyFont="1" applyBorder="1" applyAlignment="1">
      <alignment horizontal="left"/>
    </xf>
    <xf numFmtId="0" fontId="29" fillId="0" borderId="2" xfId="4" applyFont="1" applyBorder="1" applyAlignment="1">
      <alignment horizontal="left"/>
    </xf>
    <xf numFmtId="0" fontId="29" fillId="0" borderId="3" xfId="4" applyFont="1" applyBorder="1" applyAlignment="1">
      <alignment horizontal="left"/>
    </xf>
    <xf numFmtId="0" fontId="29" fillId="0" borderId="4" xfId="4" applyFont="1" applyBorder="1" applyAlignment="1">
      <alignment horizontal="left"/>
    </xf>
    <xf numFmtId="0" fontId="17" fillId="0" borderId="2" xfId="4" applyFont="1" applyBorder="1" applyAlignment="1">
      <alignment horizontal="left"/>
    </xf>
    <xf numFmtId="0" fontId="17" fillId="0" borderId="3" xfId="4" applyFont="1" applyBorder="1" applyAlignment="1">
      <alignment horizontal="left"/>
    </xf>
    <xf numFmtId="0" fontId="17" fillId="0" borderId="4" xfId="4" applyFont="1" applyBorder="1" applyAlignment="1">
      <alignment horizontal="left"/>
    </xf>
    <xf numFmtId="0" fontId="3" fillId="0" borderId="2" xfId="4" applyFont="1" applyBorder="1" applyAlignment="1">
      <alignment horizontal="left"/>
    </xf>
    <xf numFmtId="0" fontId="32" fillId="10" borderId="2" xfId="3" applyFont="1" applyFill="1" applyBorder="1" applyAlignment="1">
      <alignment horizontal="center"/>
    </xf>
    <xf numFmtId="0" fontId="32" fillId="10" borderId="3" xfId="3" applyFont="1" applyFill="1" applyBorder="1" applyAlignment="1">
      <alignment horizontal="center"/>
    </xf>
    <xf numFmtId="0" fontId="32" fillId="10" borderId="4" xfId="3" applyFont="1" applyFill="1" applyBorder="1" applyAlignment="1">
      <alignment horizontal="center"/>
    </xf>
    <xf numFmtId="0" fontId="32" fillId="10" borderId="2" xfId="3" applyFont="1" applyFill="1" applyBorder="1" applyAlignment="1">
      <alignment horizontal="center" vertical="center"/>
    </xf>
    <xf numFmtId="0" fontId="32" fillId="10" borderId="3" xfId="3" applyFont="1" applyFill="1" applyBorder="1" applyAlignment="1">
      <alignment horizontal="center" vertical="center"/>
    </xf>
    <xf numFmtId="0" fontId="32" fillId="10" borderId="4" xfId="3" applyFont="1" applyFill="1" applyBorder="1" applyAlignment="1">
      <alignment horizontal="center" vertical="center"/>
    </xf>
    <xf numFmtId="0" fontId="31" fillId="8" borderId="5" xfId="3" applyFont="1" applyFill="1" applyBorder="1" applyAlignment="1">
      <alignment horizontal="center"/>
    </xf>
    <xf numFmtId="168" fontId="18" fillId="9" borderId="2" xfId="3" applyNumberFormat="1" applyFont="1" applyFill="1" applyBorder="1" applyAlignment="1">
      <alignment horizontal="left"/>
    </xf>
    <xf numFmtId="168" fontId="18" fillId="9" borderId="4" xfId="3" applyNumberFormat="1" applyFont="1" applyFill="1" applyBorder="1" applyAlignment="1">
      <alignment horizontal="left"/>
    </xf>
    <xf numFmtId="0" fontId="17" fillId="2" borderId="2" xfId="3" applyFont="1" applyFill="1" applyBorder="1" applyAlignment="1">
      <alignment horizontal="center" vertical="justify"/>
    </xf>
    <xf numFmtId="0" fontId="17" fillId="2" borderId="3" xfId="3" applyFont="1" applyFill="1" applyBorder="1" applyAlignment="1">
      <alignment horizontal="center" vertical="justify"/>
    </xf>
    <xf numFmtId="0" fontId="17" fillId="2" borderId="4" xfId="3" applyFont="1" applyFill="1" applyBorder="1" applyAlignment="1">
      <alignment horizontal="center" vertical="justify"/>
    </xf>
    <xf numFmtId="0" fontId="17" fillId="11" borderId="2" xfId="3" applyFont="1" applyFill="1" applyBorder="1" applyAlignment="1">
      <alignment horizontal="center"/>
    </xf>
    <xf numFmtId="0" fontId="17" fillId="11" borderId="4" xfId="3" applyFont="1" applyFill="1" applyBorder="1" applyAlignment="1">
      <alignment horizontal="center"/>
    </xf>
    <xf numFmtId="0" fontId="32" fillId="10" borderId="17" xfId="3" applyFont="1" applyFill="1" applyBorder="1" applyAlignment="1">
      <alignment horizontal="center" vertical="center"/>
    </xf>
    <xf numFmtId="0" fontId="32" fillId="10" borderId="14" xfId="3" applyFont="1" applyFill="1" applyBorder="1" applyAlignment="1">
      <alignment horizontal="center" vertical="center"/>
    </xf>
    <xf numFmtId="0" fontId="32" fillId="10" borderId="18" xfId="3" applyFont="1" applyFill="1" applyBorder="1" applyAlignment="1">
      <alignment horizontal="center" vertical="center"/>
    </xf>
  </cellXfs>
  <cellStyles count="18">
    <cellStyle name="Comma 2 2" xfId="10"/>
    <cellStyle name="Comma 2 3" xfId="5"/>
    <cellStyle name="Comma 3" xfId="7"/>
    <cellStyle name="Comma 3 2" xfId="11"/>
    <cellStyle name="Currency 2" xfId="8"/>
    <cellStyle name="Hyperlink" xfId="2" builtinId="8"/>
    <cellStyle name="Normal" xfId="0" builtinId="0"/>
    <cellStyle name="Normal 2" xfId="1"/>
    <cellStyle name="Normal 2 2" xfId="9"/>
    <cellStyle name="Normal 2 2 2" xfId="12"/>
    <cellStyle name="Normal 2 2 2 2" xfId="13"/>
    <cellStyle name="Normal 2 2 3" xfId="14"/>
    <cellStyle name="Normal 2 3" xfId="3"/>
    <cellStyle name="Normal 2 4" xfId="15"/>
    <cellStyle name="Normal 3" xfId="4"/>
    <cellStyle name="Normal 4" xfId="17"/>
    <cellStyle name="Percent 2" xfId="6"/>
    <cellStyle name="Warning Text" xfId="16" builtinId="11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3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cked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HLP'!$AE$4:$AE$35</c:f>
              <c:numCache>
                <c:formatCode>0</c:formatCode>
                <c:ptCount val="32"/>
                <c:pt idx="0">
                  <c:v>24.040000000000873</c:v>
                </c:pt>
                <c:pt idx="1">
                  <c:v>23.519999999996799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23.739999999997963</c:v>
                </c:pt>
                <c:pt idx="8">
                  <c:v>24.040000000000873</c:v>
                </c:pt>
                <c:pt idx="9">
                  <c:v>24.040000000000873</c:v>
                </c:pt>
                <c:pt idx="10">
                  <c:v>24.489999999997963</c:v>
                </c:pt>
                <c:pt idx="11">
                  <c:v>23.980000000003201</c:v>
                </c:pt>
                <c:pt idx="12">
                  <c:v>24.080000000001746</c:v>
                </c:pt>
                <c:pt idx="13">
                  <c:v>24.169999999998254</c:v>
                </c:pt>
                <c:pt idx="14">
                  <c:v>23.989999999997963</c:v>
                </c:pt>
                <c:pt idx="15">
                  <c:v>24.069999999999709</c:v>
                </c:pt>
                <c:pt idx="16">
                  <c:v>24.160000000003492</c:v>
                </c:pt>
                <c:pt idx="17">
                  <c:v>24.149999999993724</c:v>
                </c:pt>
                <c:pt idx="18">
                  <c:v>23.659999999999854</c:v>
                </c:pt>
                <c:pt idx="19">
                  <c:v>-333.39999999999418</c:v>
                </c:pt>
                <c:pt idx="20">
                  <c:v>23.529999999998836</c:v>
                </c:pt>
                <c:pt idx="21">
                  <c:v>24.479999999995925</c:v>
                </c:pt>
                <c:pt idx="22">
                  <c:v>23.940000000004375</c:v>
                </c:pt>
                <c:pt idx="23">
                  <c:v>23.549999999995634</c:v>
                </c:pt>
                <c:pt idx="24">
                  <c:v>23.959999999999127</c:v>
                </c:pt>
                <c:pt idx="25">
                  <c:v>23.820000000001755</c:v>
                </c:pt>
                <c:pt idx="26">
                  <c:v>24.269999999996799</c:v>
                </c:pt>
                <c:pt idx="27">
                  <c:v>23.810000000004948</c:v>
                </c:pt>
                <c:pt idx="28">
                  <c:v>24.059999999997672</c:v>
                </c:pt>
                <c:pt idx="29">
                  <c:v>23.870000000002619</c:v>
                </c:pt>
                <c:pt idx="30">
                  <c:v>23.919999999998254</c:v>
                </c:pt>
                <c:pt idx="31">
                  <c:v>385.93999999999505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Val val="1"/>
        </c:dLbls>
        <c:dropLines/>
        <c:marker val="1"/>
        <c:axId val="150769024"/>
        <c:axId val="150779008"/>
      </c:lineChart>
      <c:catAx>
        <c:axId val="15076902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779008"/>
        <c:crosses val="autoZero"/>
        <c:auto val="1"/>
        <c:lblAlgn val="ctr"/>
        <c:lblOffset val="100"/>
      </c:catAx>
      <c:valAx>
        <c:axId val="150779008"/>
        <c:scaling>
          <c:orientation val="minMax"/>
          <c:max val="40"/>
          <c:min val="25"/>
        </c:scaling>
        <c:delete val="1"/>
        <c:axPos val="l"/>
        <c:numFmt formatCode="0" sourceLinked="1"/>
        <c:tickLblPos val="none"/>
        <c:crossAx val="150769024"/>
        <c:crosses val="autoZero"/>
        <c:crossBetween val="between"/>
        <c:majorUnit val="2"/>
      </c:valAx>
    </c:plotArea>
    <c:legend>
      <c:legendPos val="t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HLP'!$AK$4:$AK$35</c:f>
              <c:numCache>
                <c:formatCode>0</c:formatCode>
                <c:ptCount val="32"/>
                <c:pt idx="0">
                  <c:v>8.2900000000008731</c:v>
                </c:pt>
                <c:pt idx="1">
                  <c:v>8.9200000000018917</c:v>
                </c:pt>
                <c:pt idx="2">
                  <c:v>7.8899999999994179</c:v>
                </c:pt>
                <c:pt idx="3">
                  <c:v>7.3999999999978172</c:v>
                </c:pt>
                <c:pt idx="4">
                  <c:v>6.6000000000021828</c:v>
                </c:pt>
                <c:pt idx="5">
                  <c:v>7.0499999999992724</c:v>
                </c:pt>
                <c:pt idx="6">
                  <c:v>7.8899999999994179</c:v>
                </c:pt>
                <c:pt idx="7">
                  <c:v>8.6599999999998545</c:v>
                </c:pt>
                <c:pt idx="8">
                  <c:v>9.3000000000029104</c:v>
                </c:pt>
                <c:pt idx="9">
                  <c:v>10.649999999997817</c:v>
                </c:pt>
                <c:pt idx="10">
                  <c:v>10.840000000000146</c:v>
                </c:pt>
                <c:pt idx="11">
                  <c:v>14.410000000003492</c:v>
                </c:pt>
                <c:pt idx="12">
                  <c:v>12.270000000000437</c:v>
                </c:pt>
                <c:pt idx="13">
                  <c:v>17.379999999990105</c:v>
                </c:pt>
                <c:pt idx="14">
                  <c:v>15.450000000004366</c:v>
                </c:pt>
                <c:pt idx="15">
                  <c:v>14.929999999996653</c:v>
                </c:pt>
                <c:pt idx="16">
                  <c:v>13.960000000013679</c:v>
                </c:pt>
                <c:pt idx="17">
                  <c:v>12.309999999990396</c:v>
                </c:pt>
                <c:pt idx="18">
                  <c:v>10.940000000009604</c:v>
                </c:pt>
                <c:pt idx="19">
                  <c:v>-296.70000000000437</c:v>
                </c:pt>
                <c:pt idx="20">
                  <c:v>9.8599999999969441</c:v>
                </c:pt>
                <c:pt idx="21">
                  <c:v>9.5200000000004366</c:v>
                </c:pt>
                <c:pt idx="22">
                  <c:v>10.180000000000291</c:v>
                </c:pt>
                <c:pt idx="23">
                  <c:v>6.8800000000010186</c:v>
                </c:pt>
                <c:pt idx="24">
                  <c:v>6.8800000000010186</c:v>
                </c:pt>
                <c:pt idx="25">
                  <c:v>8.680000000000291</c:v>
                </c:pt>
                <c:pt idx="26">
                  <c:v>9.430000000000291</c:v>
                </c:pt>
                <c:pt idx="27">
                  <c:v>-1.0000000002037268E-2</c:v>
                </c:pt>
                <c:pt idx="28">
                  <c:v>8.930000000000291</c:v>
                </c:pt>
                <c:pt idx="29">
                  <c:v>7.8600000000005821</c:v>
                </c:pt>
                <c:pt idx="30">
                  <c:v>6.3300000000017462</c:v>
                </c:pt>
                <c:pt idx="31">
                  <c:v>-7.0199999999931606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ropLines/>
        <c:marker val="1"/>
        <c:axId val="151819776"/>
        <c:axId val="151821312"/>
      </c:lineChart>
      <c:catAx>
        <c:axId val="151819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821312"/>
        <c:crosses val="autoZero"/>
        <c:auto val="1"/>
        <c:lblAlgn val="ctr"/>
        <c:lblOffset val="100"/>
      </c:catAx>
      <c:valAx>
        <c:axId val="151821312"/>
        <c:scaling>
          <c:orientation val="minMax"/>
          <c:max val="30"/>
          <c:min val="5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819776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58"/>
          <c:h val="8.8317037293400014E-2"/>
        </c:manualLayout>
      </c:layout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HLP'!$P$4:$P$35</c:f>
              <c:numCache>
                <c:formatCode>0</c:formatCode>
                <c:ptCount val="32"/>
                <c:pt idx="0">
                  <c:v>171</c:v>
                </c:pt>
                <c:pt idx="1">
                  <c:v>171</c:v>
                </c:pt>
                <c:pt idx="2">
                  <c:v>161</c:v>
                </c:pt>
                <c:pt idx="3">
                  <c:v>150</c:v>
                </c:pt>
                <c:pt idx="4">
                  <c:v>181</c:v>
                </c:pt>
                <c:pt idx="5">
                  <c:v>271</c:v>
                </c:pt>
                <c:pt idx="6">
                  <c:v>212</c:v>
                </c:pt>
                <c:pt idx="7">
                  <c:v>211</c:v>
                </c:pt>
                <c:pt idx="8">
                  <c:v>192</c:v>
                </c:pt>
                <c:pt idx="9">
                  <c:v>250</c:v>
                </c:pt>
                <c:pt idx="10">
                  <c:v>211</c:v>
                </c:pt>
                <c:pt idx="11">
                  <c:v>211</c:v>
                </c:pt>
                <c:pt idx="12">
                  <c:v>272</c:v>
                </c:pt>
                <c:pt idx="13">
                  <c:v>241</c:v>
                </c:pt>
                <c:pt idx="14">
                  <c:v>372</c:v>
                </c:pt>
                <c:pt idx="15">
                  <c:v>250</c:v>
                </c:pt>
                <c:pt idx="16">
                  <c:v>191</c:v>
                </c:pt>
                <c:pt idx="17">
                  <c:v>167</c:v>
                </c:pt>
                <c:pt idx="18">
                  <c:v>190</c:v>
                </c:pt>
                <c:pt idx="19">
                  <c:v>-1379</c:v>
                </c:pt>
                <c:pt idx="20">
                  <c:v>179</c:v>
                </c:pt>
                <c:pt idx="21">
                  <c:v>177</c:v>
                </c:pt>
                <c:pt idx="22">
                  <c:v>203</c:v>
                </c:pt>
                <c:pt idx="23">
                  <c:v>190</c:v>
                </c:pt>
                <c:pt idx="24">
                  <c:v>183</c:v>
                </c:pt>
                <c:pt idx="25">
                  <c:v>189</c:v>
                </c:pt>
                <c:pt idx="26">
                  <c:v>174</c:v>
                </c:pt>
                <c:pt idx="27">
                  <c:v>173</c:v>
                </c:pt>
                <c:pt idx="28">
                  <c:v>151</c:v>
                </c:pt>
                <c:pt idx="29">
                  <c:v>171</c:v>
                </c:pt>
                <c:pt idx="30">
                  <c:v>184</c:v>
                </c:pt>
                <c:pt idx="31">
                  <c:v>4670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upDownBars>
          <c:gapWidth val="150"/>
          <c:upBars/>
          <c:downBars/>
        </c:upDownBars>
        <c:marker val="1"/>
        <c:axId val="150347776"/>
        <c:axId val="150349312"/>
      </c:lineChart>
      <c:catAx>
        <c:axId val="150347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349312"/>
        <c:crosses val="autoZero"/>
        <c:auto val="1"/>
        <c:lblAlgn val="ctr"/>
        <c:lblOffset val="100"/>
      </c:catAx>
      <c:valAx>
        <c:axId val="150349312"/>
        <c:scaling>
          <c:orientation val="minMax"/>
          <c:max val="350"/>
          <c:min val="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347776"/>
        <c:crosses val="autoZero"/>
        <c:crossBetween val="between"/>
        <c:minorUnit val="2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35411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60-41AC-BDD6-063EAD72D46A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60-41AC-BDD6-063EAD72D46A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60-41AC-BDD6-063EAD72D4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HLP'!$M$4:$M$35</c:f>
              <c:numCache>
                <c:formatCode>0</c:formatCode>
                <c:ptCount val="32"/>
                <c:pt idx="0">
                  <c:v>797.95000000018626</c:v>
                </c:pt>
                <c:pt idx="1">
                  <c:v>860.89999999990687</c:v>
                </c:pt>
                <c:pt idx="2">
                  <c:v>873</c:v>
                </c:pt>
                <c:pt idx="3">
                  <c:v>796</c:v>
                </c:pt>
                <c:pt idx="4">
                  <c:v>778</c:v>
                </c:pt>
                <c:pt idx="5">
                  <c:v>814</c:v>
                </c:pt>
                <c:pt idx="6">
                  <c:v>844.44999999995343</c:v>
                </c:pt>
                <c:pt idx="7">
                  <c:v>816.28000000002794</c:v>
                </c:pt>
                <c:pt idx="8">
                  <c:v>637.05000000004657</c:v>
                </c:pt>
                <c:pt idx="9">
                  <c:v>899.0999999998603</c:v>
                </c:pt>
                <c:pt idx="10">
                  <c:v>887.12000000011176</c:v>
                </c:pt>
                <c:pt idx="11">
                  <c:v>914.91800000006333</c:v>
                </c:pt>
                <c:pt idx="12">
                  <c:v>1043.6699999999255</c:v>
                </c:pt>
                <c:pt idx="13">
                  <c:v>1135.4930000000168</c:v>
                </c:pt>
                <c:pt idx="14">
                  <c:v>1235.2890000001062</c:v>
                </c:pt>
                <c:pt idx="15">
                  <c:v>1012.5699999998324</c:v>
                </c:pt>
                <c:pt idx="16">
                  <c:v>930.51000000000931</c:v>
                </c:pt>
                <c:pt idx="17">
                  <c:v>840.14000000013039</c:v>
                </c:pt>
                <c:pt idx="18">
                  <c:v>881.40999999991618</c:v>
                </c:pt>
                <c:pt idx="19">
                  <c:v>-25919</c:v>
                </c:pt>
                <c:pt idx="20">
                  <c:v>906.93999999994412</c:v>
                </c:pt>
                <c:pt idx="21">
                  <c:v>904</c:v>
                </c:pt>
                <c:pt idx="22">
                  <c:v>934.93999999994412</c:v>
                </c:pt>
                <c:pt idx="23">
                  <c:v>748.12000000011176</c:v>
                </c:pt>
                <c:pt idx="24">
                  <c:v>930.86000000010245</c:v>
                </c:pt>
                <c:pt idx="25">
                  <c:v>855.13999999989755</c:v>
                </c:pt>
                <c:pt idx="26">
                  <c:v>843.93999999994412</c:v>
                </c:pt>
                <c:pt idx="27">
                  <c:v>434.06000000005588</c:v>
                </c:pt>
                <c:pt idx="28">
                  <c:v>826.96999999997206</c:v>
                </c:pt>
                <c:pt idx="29">
                  <c:v>667.76000000000931</c:v>
                </c:pt>
                <c:pt idx="30">
                  <c:v>827.6500000001397</c:v>
                </c:pt>
                <c:pt idx="31">
                  <c:v>-40.769999999785796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marker val="1"/>
        <c:axId val="150394368"/>
        <c:axId val="150395904"/>
      </c:lineChart>
      <c:catAx>
        <c:axId val="150394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395904"/>
        <c:crosses val="autoZero"/>
        <c:auto val="1"/>
        <c:lblAlgn val="ctr"/>
        <c:lblOffset val="100"/>
      </c:catAx>
      <c:valAx>
        <c:axId val="150395904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394368"/>
        <c:crosses val="autoZero"/>
        <c:crossBetween val="between"/>
        <c:minorUnit val="5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</c:title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1504E-2"/>
                  <c:y val="-4.400440044004993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82-4948-A3B6-79164CB9A8BB}"/>
                </c:ext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82-4948-A3B6-79164CB9A8BB}"/>
                </c:ext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82-4948-A3B6-79164CB9A8BB}"/>
                </c:ext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82-4948-A3B6-79164CB9A8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HLP'!$AT$4:$AT$35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3521</c:v>
                </c:pt>
                <c:pt idx="4">
                  <c:v>582</c:v>
                </c:pt>
                <c:pt idx="5">
                  <c:v>0</c:v>
                </c:pt>
                <c:pt idx="6">
                  <c:v>0</c:v>
                </c:pt>
                <c:pt idx="7">
                  <c:v>1747.7799999999997</c:v>
                </c:pt>
                <c:pt idx="8">
                  <c:v>4116.22</c:v>
                </c:pt>
                <c:pt idx="9">
                  <c:v>4189.4699999999993</c:v>
                </c:pt>
                <c:pt idx="10">
                  <c:v>4103.5300000000007</c:v>
                </c:pt>
                <c:pt idx="11">
                  <c:v>4063.9000000000015</c:v>
                </c:pt>
                <c:pt idx="12">
                  <c:v>4383.7999999999993</c:v>
                </c:pt>
                <c:pt idx="13">
                  <c:v>4655.1399999999994</c:v>
                </c:pt>
                <c:pt idx="14">
                  <c:v>4654.59</c:v>
                </c:pt>
                <c:pt idx="15">
                  <c:v>4228.1200000000026</c:v>
                </c:pt>
                <c:pt idx="16">
                  <c:v>4187.6299999999974</c:v>
                </c:pt>
                <c:pt idx="17">
                  <c:v>4281.18</c:v>
                </c:pt>
                <c:pt idx="18">
                  <c:v>4162.6399999999994</c:v>
                </c:pt>
                <c:pt idx="19">
                  <c:v>859603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912480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HLP'!$BD$4:$BD$33</c:f>
              <c:numCache>
                <c:formatCode>0</c:formatCode>
                <c:ptCount val="30"/>
                <c:pt idx="0">
                  <c:v>4103.7600000000093</c:v>
                </c:pt>
                <c:pt idx="1">
                  <c:v>4158.9699999999721</c:v>
                </c:pt>
                <c:pt idx="2">
                  <c:v>4269</c:v>
                </c:pt>
                <c:pt idx="3">
                  <c:v>627</c:v>
                </c:pt>
                <c:pt idx="4">
                  <c:v>3646</c:v>
                </c:pt>
                <c:pt idx="5">
                  <c:v>4153</c:v>
                </c:pt>
                <c:pt idx="6">
                  <c:v>4176</c:v>
                </c:pt>
                <c:pt idx="7">
                  <c:v>2422.5100000000093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0.48999999999068677</c:v>
                </c:pt>
                <c:pt idx="19">
                  <c:v>0</c:v>
                </c:pt>
                <c:pt idx="20">
                  <c:v>4123.8600000000151</c:v>
                </c:pt>
                <c:pt idx="21">
                  <c:v>4075.5999999999767</c:v>
                </c:pt>
                <c:pt idx="22">
                  <c:v>4262.7600000000093</c:v>
                </c:pt>
                <c:pt idx="23">
                  <c:v>4203.9500000000116</c:v>
                </c:pt>
                <c:pt idx="24">
                  <c:v>4326</c:v>
                </c:pt>
                <c:pt idx="25">
                  <c:v>4151.8499999999767</c:v>
                </c:pt>
                <c:pt idx="26">
                  <c:v>4080.1500000000233</c:v>
                </c:pt>
                <c:pt idx="27">
                  <c:v>4173</c:v>
                </c:pt>
                <c:pt idx="28">
                  <c:v>4185.9699999999721</c:v>
                </c:pt>
                <c:pt idx="2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ropLines/>
        <c:marker val="1"/>
        <c:axId val="151900544"/>
        <c:axId val="151902080"/>
      </c:lineChart>
      <c:catAx>
        <c:axId val="151900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902080"/>
        <c:crosses val="autoZero"/>
        <c:auto val="1"/>
        <c:lblAlgn val="ctr"/>
        <c:lblOffset val="100"/>
      </c:catAx>
      <c:valAx>
        <c:axId val="151902080"/>
        <c:scaling>
          <c:orientation val="minMax"/>
          <c:max val="9000"/>
          <c:min val="6000"/>
        </c:scaling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</c:title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900544"/>
        <c:crosses val="autoZero"/>
        <c:crossBetween val="between"/>
        <c:minorUnit val="50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33E-4A65-83A0-B64B8987BB0B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3E-4A65-83A0-B64B8987BB0B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3E-4A65-83A0-B64B8987BB0B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3E-4A65-83A0-B64B8987BB0B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3E-4A65-83A0-B64B8987BB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HLP'!$AQ$4:$AQ$35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2568.3299999999581</c:v>
                </c:pt>
                <c:pt idx="3">
                  <c:v>2607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1550.9100000000326</c:v>
                </c:pt>
                <c:pt idx="8">
                  <c:v>2513.9199999999255</c:v>
                </c:pt>
                <c:pt idx="9">
                  <c:v>2661.1700000000419</c:v>
                </c:pt>
                <c:pt idx="10">
                  <c:v>2358</c:v>
                </c:pt>
                <c:pt idx="11">
                  <c:v>2406.9499999999534</c:v>
                </c:pt>
                <c:pt idx="12">
                  <c:v>2703.7200000000885</c:v>
                </c:pt>
                <c:pt idx="13">
                  <c:v>2968.1999999999534</c:v>
                </c:pt>
                <c:pt idx="14">
                  <c:v>2919.7600000000093</c:v>
                </c:pt>
                <c:pt idx="15">
                  <c:v>3038.5200000000186</c:v>
                </c:pt>
                <c:pt idx="16">
                  <c:v>2711.640000000014</c:v>
                </c:pt>
                <c:pt idx="17">
                  <c:v>2740.1599999999162</c:v>
                </c:pt>
                <c:pt idx="18">
                  <c:v>2681.0500000000466</c:v>
                </c:pt>
                <c:pt idx="19">
                  <c:v>-36429.329999999958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0.32999999995809048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0.32999999995809048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marker val="1"/>
        <c:axId val="151955712"/>
        <c:axId val="151965696"/>
      </c:lineChart>
      <c:catAx>
        <c:axId val="151955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965696"/>
        <c:crosses val="autoZero"/>
        <c:auto val="1"/>
        <c:lblAlgn val="ctr"/>
        <c:lblOffset val="100"/>
      </c:catAx>
      <c:valAx>
        <c:axId val="151965696"/>
        <c:scaling>
          <c:orientation val="minMax"/>
          <c:max val="5000"/>
          <c:min val="35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955712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0.47</c:v>
                </c:pt>
                <c:pt idx="1">
                  <c:v>0.48</c:v>
                </c:pt>
                <c:pt idx="2">
                  <c:v>0.35</c:v>
                </c:pt>
                <c:pt idx="3">
                  <c:v>0.38</c:v>
                </c:pt>
                <c:pt idx="4">
                  <c:v>0.42</c:v>
                </c:pt>
                <c:pt idx="5">
                  <c:v>0.36</c:v>
                </c:pt>
                <c:pt idx="6">
                  <c:v>0.54</c:v>
                </c:pt>
                <c:pt idx="7">
                  <c:v>0.63</c:v>
                </c:pt>
                <c:pt idx="8">
                  <c:v>0.65</c:v>
                </c:pt>
                <c:pt idx="9">
                  <c:v>0.72</c:v>
                </c:pt>
                <c:pt idx="10">
                  <c:v>0.64</c:v>
                </c:pt>
                <c:pt idx="11">
                  <c:v>0.72</c:v>
                </c:pt>
                <c:pt idx="12">
                  <c:v>0.71</c:v>
                </c:pt>
                <c:pt idx="13">
                  <c:v>0.66830000000000001</c:v>
                </c:pt>
                <c:pt idx="14">
                  <c:v>0.67</c:v>
                </c:pt>
                <c:pt idx="15">
                  <c:v>0.63449999999999995</c:v>
                </c:pt>
                <c:pt idx="16">
                  <c:v>0.49</c:v>
                </c:pt>
                <c:pt idx="17">
                  <c:v>0.46</c:v>
                </c:pt>
                <c:pt idx="18">
                  <c:v>0.68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0.33</c:v>
                </c:pt>
                <c:pt idx="24">
                  <c:v>0.65</c:v>
                </c:pt>
                <c:pt idx="25">
                  <c:v>0.44</c:v>
                </c:pt>
                <c:pt idx="26">
                  <c:v>0.49</c:v>
                </c:pt>
                <c:pt idx="27">
                  <c:v>0.52</c:v>
                </c:pt>
                <c:pt idx="28">
                  <c:v>0.66</c:v>
                </c:pt>
                <c:pt idx="29">
                  <c:v>0.83</c:v>
                </c:pt>
                <c:pt idx="30">
                  <c:v>30</c:v>
                </c:pt>
                <c:pt idx="31">
                  <c:v>1.5029935483870966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marker val="1"/>
        <c:axId val="151990272"/>
        <c:axId val="151991808"/>
      </c:lineChart>
      <c:catAx>
        <c:axId val="1519902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991808"/>
        <c:crosses val="autoZero"/>
        <c:auto val="1"/>
        <c:lblAlgn val="ctr"/>
        <c:lblOffset val="100"/>
      </c:catAx>
      <c:valAx>
        <c:axId val="15199180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151990272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layout/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BC-4B8D-846C-BE863E4393CD}"/>
                </c:ext>
              </c:extLst>
            </c:dLbl>
            <c:dLbl>
              <c:idx val="1"/>
              <c:layout>
                <c:manualLayout>
                  <c:x val="-2.4279210925648612E-2"/>
                  <c:y val="-7.3310423825949517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BC-4B8D-846C-BE863E4393CD}"/>
                </c:ext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BC-4B8D-846C-BE863E4393CD}"/>
                </c:ext>
              </c:extLst>
            </c:dLbl>
            <c:dLbl>
              <c:idx val="3"/>
              <c:layout>
                <c:manualLayout>
                  <c:x val="-2.4279210925648612E-2"/>
                  <c:y val="-7.3310423825949517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BC-4B8D-846C-BE863E4393CD}"/>
                </c:ext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BC-4B8D-846C-BE863E4393CD}"/>
                </c:ext>
              </c:extLst>
            </c:dLbl>
            <c:dLbl>
              <c:idx val="5"/>
              <c:layout>
                <c:manualLayout>
                  <c:x val="-3.0349013657056216E-2"/>
                  <c:y val="-7.3310423825949517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BC-4B8D-846C-BE863E4393CD}"/>
                </c:ext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0BC-4B8D-846C-BE863E4393CD}"/>
                </c:ext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BC-4B8D-846C-BE863E4393CD}"/>
                </c:ext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0BC-4B8D-846C-BE863E4393CD}"/>
                </c:ext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0BC-4B8D-846C-BE863E4393CD}"/>
                </c:ext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0BC-4B8D-846C-BE863E4393CD}"/>
                </c:ext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0BC-4B8D-846C-BE863E4393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HLP'!$I$4:$I$35</c:f>
              <c:numCache>
                <c:formatCode>0</c:formatCode>
                <c:ptCount val="32"/>
                <c:pt idx="0">
                  <c:v>19291</c:v>
                </c:pt>
                <c:pt idx="1">
                  <c:v>19381</c:v>
                </c:pt>
                <c:pt idx="2">
                  <c:v>19375</c:v>
                </c:pt>
                <c:pt idx="3">
                  <c:v>18251</c:v>
                </c:pt>
                <c:pt idx="4">
                  <c:v>18524</c:v>
                </c:pt>
                <c:pt idx="5">
                  <c:v>19190</c:v>
                </c:pt>
                <c:pt idx="6">
                  <c:v>18255</c:v>
                </c:pt>
                <c:pt idx="7">
                  <c:v>15387</c:v>
                </c:pt>
                <c:pt idx="8">
                  <c:v>18397</c:v>
                </c:pt>
                <c:pt idx="9">
                  <c:v>18869</c:v>
                </c:pt>
                <c:pt idx="10">
                  <c:v>18625</c:v>
                </c:pt>
                <c:pt idx="11">
                  <c:v>19448</c:v>
                </c:pt>
                <c:pt idx="12">
                  <c:v>20224</c:v>
                </c:pt>
                <c:pt idx="13">
                  <c:v>22577</c:v>
                </c:pt>
                <c:pt idx="14">
                  <c:v>23207</c:v>
                </c:pt>
                <c:pt idx="15">
                  <c:v>20975</c:v>
                </c:pt>
                <c:pt idx="16">
                  <c:v>19571</c:v>
                </c:pt>
                <c:pt idx="17">
                  <c:v>20195</c:v>
                </c:pt>
                <c:pt idx="18">
                  <c:v>19578</c:v>
                </c:pt>
                <c:pt idx="19">
                  <c:v>-579731</c:v>
                </c:pt>
                <c:pt idx="20">
                  <c:v>19415</c:v>
                </c:pt>
                <c:pt idx="21">
                  <c:v>19510</c:v>
                </c:pt>
                <c:pt idx="22">
                  <c:v>19709</c:v>
                </c:pt>
                <c:pt idx="23">
                  <c:v>19391</c:v>
                </c:pt>
                <c:pt idx="24">
                  <c:v>19169</c:v>
                </c:pt>
                <c:pt idx="25">
                  <c:v>18998</c:v>
                </c:pt>
                <c:pt idx="26">
                  <c:v>18736</c:v>
                </c:pt>
                <c:pt idx="27">
                  <c:v>19357</c:v>
                </c:pt>
                <c:pt idx="28">
                  <c:v>18748</c:v>
                </c:pt>
                <c:pt idx="29">
                  <c:v>18917</c:v>
                </c:pt>
                <c:pt idx="30">
                  <c:v>19398</c:v>
                </c:pt>
                <c:pt idx="31">
                  <c:v>937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ropLines/>
        <c:marker val="1"/>
        <c:axId val="152041344"/>
        <c:axId val="152042880"/>
      </c:lineChart>
      <c:catAx>
        <c:axId val="152041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042880"/>
        <c:crosses val="autoZero"/>
        <c:auto val="1"/>
        <c:lblAlgn val="ctr"/>
        <c:lblOffset val="100"/>
      </c:catAx>
      <c:valAx>
        <c:axId val="152042880"/>
        <c:scaling>
          <c:orientation val="minMax"/>
          <c:max val="34000"/>
          <c:min val="250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041344"/>
        <c:crosses val="autoZero"/>
        <c:crossBetween val="between"/>
        <c:majorUnit val="2000"/>
      </c:valAx>
    </c:plotArea>
    <c:dispBlanksAs val="gap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HLP'!$AO$4:$AO$33</c:f>
              <c:numCache>
                <c:formatCode>0</c:formatCode>
                <c:ptCount val="30"/>
                <c:pt idx="0">
                  <c:v>7.9500000000000455</c:v>
                </c:pt>
                <c:pt idx="1">
                  <c:v>7.6300000000001091</c:v>
                </c:pt>
                <c:pt idx="2">
                  <c:v>7.7799999999999727</c:v>
                </c:pt>
                <c:pt idx="3">
                  <c:v>8.0499999999999545</c:v>
                </c:pt>
                <c:pt idx="4">
                  <c:v>7.3800000000001091</c:v>
                </c:pt>
                <c:pt idx="5">
                  <c:v>8.9899999999997817</c:v>
                </c:pt>
                <c:pt idx="6">
                  <c:v>8.6300000000001091</c:v>
                </c:pt>
                <c:pt idx="7">
                  <c:v>8</c:v>
                </c:pt>
                <c:pt idx="8">
                  <c:v>9</c:v>
                </c:pt>
                <c:pt idx="9">
                  <c:v>8.3800000000001091</c:v>
                </c:pt>
                <c:pt idx="10">
                  <c:v>9.4099999999998545</c:v>
                </c:pt>
                <c:pt idx="11">
                  <c:v>6.8099999999997181</c:v>
                </c:pt>
                <c:pt idx="12">
                  <c:v>8.5099999999999909</c:v>
                </c:pt>
                <c:pt idx="13">
                  <c:v>8.9500000000000455</c:v>
                </c:pt>
                <c:pt idx="14">
                  <c:v>7.7899999999999636</c:v>
                </c:pt>
                <c:pt idx="15">
                  <c:v>7.8900000000001</c:v>
                </c:pt>
                <c:pt idx="16">
                  <c:v>7.4700000000000273</c:v>
                </c:pt>
                <c:pt idx="17">
                  <c:v>7.5599999999999454</c:v>
                </c:pt>
                <c:pt idx="18">
                  <c:v>6.9700000000000273</c:v>
                </c:pt>
                <c:pt idx="19">
                  <c:v>-236.93000000000006</c:v>
                </c:pt>
                <c:pt idx="20">
                  <c:v>6.75</c:v>
                </c:pt>
                <c:pt idx="21">
                  <c:v>7.4900000000000091</c:v>
                </c:pt>
                <c:pt idx="22">
                  <c:v>7.0099999999999909</c:v>
                </c:pt>
                <c:pt idx="23">
                  <c:v>7.9100000000000819</c:v>
                </c:pt>
                <c:pt idx="24">
                  <c:v>7.0099999999999909</c:v>
                </c:pt>
                <c:pt idx="25">
                  <c:v>7.7599999999999909</c:v>
                </c:pt>
                <c:pt idx="26">
                  <c:v>7.2799999999999727</c:v>
                </c:pt>
                <c:pt idx="27">
                  <c:v>8.4400000000002819</c:v>
                </c:pt>
                <c:pt idx="28">
                  <c:v>7.1300000000001091</c:v>
                </c:pt>
                <c:pt idx="29">
                  <c:v>7.9199999999998454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marker val="1"/>
        <c:axId val="152079360"/>
        <c:axId val="152089344"/>
      </c:lineChart>
      <c:catAx>
        <c:axId val="152079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089344"/>
        <c:crosses val="autoZero"/>
        <c:auto val="1"/>
        <c:lblAlgn val="ctr"/>
        <c:lblOffset val="100"/>
      </c:catAx>
      <c:valAx>
        <c:axId val="152089344"/>
        <c:scaling>
          <c:orientation val="minMax"/>
          <c:max val="14"/>
          <c:min val="8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079360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IN"/>
  <c:chart>
    <c:title>
      <c:txPr>
        <a:bodyPr/>
        <a:lstStyle/>
        <a:p>
          <a:pPr>
            <a:defRPr lang="en-US"/>
          </a:pPr>
          <a:endParaRPr lang="en-US"/>
        </a:p>
      </c:txPr>
    </c:title>
    <c:view3D>
      <c:rotX val="30"/>
      <c:hPercent val="100"/>
      <c:depthPercent val="100"/>
      <c:perspective val="30"/>
    </c:view3D>
    <c:plotArea>
      <c:layout/>
      <c:pie3DChart>
        <c:varyColors val="1"/>
        <c:dLbls>
          <c:showPercent val="1"/>
        </c:dLbls>
      </c:pie3DChart>
    </c:plotArea>
    <c:legend>
      <c:legendPos val="t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IN"/>
  <c:chart>
    <c:view3D>
      <c:rotX val="30"/>
      <c:perspective val="30"/>
    </c:view3D>
    <c:plotArea>
      <c:layout/>
      <c:pie3DChart>
        <c:varyColors val="1"/>
      </c:pie3DChart>
      <c:spPr>
        <a:noFill/>
        <a:ln w="25400">
          <a:noFill/>
        </a:ln>
      </c:spPr>
    </c:plotArea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plotArea>
      <c:layout>
        <c:manualLayout>
          <c:layoutTarget val="inner"/>
          <c:xMode val="edge"/>
          <c:yMode val="edge"/>
          <c:x val="4.1828817210434806E-2"/>
          <c:y val="7.4487823818536483E-2"/>
          <c:w val="0.84489954093855979"/>
          <c:h val="0.79838984032443594"/>
        </c:manualLayout>
      </c:layout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Load'!$AC$7:$AC$27</c:f>
              <c:numCache>
                <c:formatCode>0</c:formatCode>
                <c:ptCount val="21"/>
                <c:pt idx="0">
                  <c:v>275</c:v>
                </c:pt>
                <c:pt idx="1">
                  <c:v>269</c:v>
                </c:pt>
                <c:pt idx="2">
                  <c:v>288</c:v>
                </c:pt>
                <c:pt idx="3">
                  <c:v>296</c:v>
                </c:pt>
                <c:pt idx="4">
                  <c:v>274.97999999998137</c:v>
                </c:pt>
                <c:pt idx="5">
                  <c:v>310.02000000001863</c:v>
                </c:pt>
                <c:pt idx="6">
                  <c:v>286</c:v>
                </c:pt>
                <c:pt idx="7">
                  <c:v>302.85999999998603</c:v>
                </c:pt>
                <c:pt idx="8">
                  <c:v>274.02000000001863</c:v>
                </c:pt>
                <c:pt idx="9">
                  <c:v>293.52000000001863</c:v>
                </c:pt>
                <c:pt idx="10">
                  <c:v>307.53000000002794</c:v>
                </c:pt>
                <c:pt idx="11">
                  <c:v>276.40999999991618</c:v>
                </c:pt>
                <c:pt idx="12">
                  <c:v>274.44000000006054</c:v>
                </c:pt>
                <c:pt idx="13">
                  <c:v>259.15000000002328</c:v>
                </c:pt>
                <c:pt idx="14">
                  <c:v>260.40999999991618</c:v>
                </c:pt>
                <c:pt idx="15">
                  <c:v>241.6600000000326</c:v>
                </c:pt>
                <c:pt idx="16">
                  <c:v>-8157.1600000000326</c:v>
                </c:pt>
                <c:pt idx="17">
                  <c:v>243.01000000000931</c:v>
                </c:pt>
                <c:pt idx="18">
                  <c:v>268.22999999998137</c:v>
                </c:pt>
                <c:pt idx="19">
                  <c:v>245.85999999998603</c:v>
                </c:pt>
                <c:pt idx="20">
                  <c:v>269.06000000005588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Load'!$AH$7:$AH$27</c:f>
              <c:numCache>
                <c:formatCode>0</c:formatCode>
                <c:ptCount val="21"/>
                <c:pt idx="0">
                  <c:v>420</c:v>
                </c:pt>
                <c:pt idx="1">
                  <c:v>397</c:v>
                </c:pt>
                <c:pt idx="2">
                  <c:v>417</c:v>
                </c:pt>
                <c:pt idx="3">
                  <c:v>444.07999999995809</c:v>
                </c:pt>
                <c:pt idx="4">
                  <c:v>450.25000000004366</c:v>
                </c:pt>
                <c:pt idx="5">
                  <c:v>245.67000000004555</c:v>
                </c:pt>
                <c:pt idx="6">
                  <c:v>501.63999999985026</c:v>
                </c:pt>
                <c:pt idx="7">
                  <c:v>480.4400000001333</c:v>
                </c:pt>
                <c:pt idx="8">
                  <c:v>521.65800000003401</c:v>
                </c:pt>
                <c:pt idx="9">
                  <c:v>597.19999999990432</c:v>
                </c:pt>
                <c:pt idx="10">
                  <c:v>655.02299999999377</c:v>
                </c:pt>
                <c:pt idx="11">
                  <c:v>776.52900000018417</c:v>
                </c:pt>
                <c:pt idx="12">
                  <c:v>623.2899999997735</c:v>
                </c:pt>
                <c:pt idx="13">
                  <c:v>582.95999999997366</c:v>
                </c:pt>
                <c:pt idx="14">
                  <c:v>475.66000000022723</c:v>
                </c:pt>
                <c:pt idx="15">
                  <c:v>525.59999999987849</c:v>
                </c:pt>
                <c:pt idx="16">
                  <c:v>-14380.029999999979</c:v>
                </c:pt>
                <c:pt idx="17">
                  <c:v>543.09999999995307</c:v>
                </c:pt>
                <c:pt idx="18">
                  <c:v>510.44000000002052</c:v>
                </c:pt>
                <c:pt idx="19">
                  <c:v>561.14999999993415</c:v>
                </c:pt>
                <c:pt idx="20">
                  <c:v>375.97000000007574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Load'!$AE$7:$AE$27</c:f>
              <c:numCache>
                <c:formatCode>0</c:formatCode>
                <c:ptCount val="21"/>
                <c:pt idx="0">
                  <c:v>68</c:v>
                </c:pt>
                <c:pt idx="1">
                  <c:v>77</c:v>
                </c:pt>
                <c:pt idx="2">
                  <c:v>63</c:v>
                </c:pt>
                <c:pt idx="3">
                  <c:v>60.970000000001164</c:v>
                </c:pt>
                <c:pt idx="4">
                  <c:v>56.75</c:v>
                </c:pt>
                <c:pt idx="5">
                  <c:v>47.85999999998603</c:v>
                </c:pt>
                <c:pt idx="6">
                  <c:v>78.260000000009313</c:v>
                </c:pt>
                <c:pt idx="7">
                  <c:v>65.019999999989523</c:v>
                </c:pt>
                <c:pt idx="8">
                  <c:v>78.14000000001397</c:v>
                </c:pt>
                <c:pt idx="9">
                  <c:v>99.25</c:v>
                </c:pt>
                <c:pt idx="10">
                  <c:v>112.33999999999651</c:v>
                </c:pt>
                <c:pt idx="11">
                  <c:v>135.35000000000582</c:v>
                </c:pt>
                <c:pt idx="12">
                  <c:v>87.940000000002328</c:v>
                </c:pt>
                <c:pt idx="13">
                  <c:v>67.600000000005821</c:v>
                </c:pt>
                <c:pt idx="14">
                  <c:v>77.269999999989523</c:v>
                </c:pt>
                <c:pt idx="15">
                  <c:v>89.25</c:v>
                </c:pt>
                <c:pt idx="16">
                  <c:v>-2235.7099999999919</c:v>
                </c:pt>
                <c:pt idx="17">
                  <c:v>80.729999999981374</c:v>
                </c:pt>
                <c:pt idx="18">
                  <c:v>80.029999999998836</c:v>
                </c:pt>
                <c:pt idx="19">
                  <c:v>83.430000000022119</c:v>
                </c:pt>
                <c:pt idx="20">
                  <c:v>64.889999999984866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marker val="1"/>
        <c:axId val="152500864"/>
        <c:axId val="152183168"/>
      </c:lineChart>
      <c:catAx>
        <c:axId val="152500864"/>
        <c:scaling>
          <c:orientation val="minMax"/>
        </c:scaling>
        <c:axPos val="b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52183168"/>
        <c:crosses val="autoZero"/>
        <c:auto val="1"/>
        <c:lblAlgn val="ctr"/>
        <c:lblOffset val="100"/>
      </c:catAx>
      <c:valAx>
        <c:axId val="152183168"/>
        <c:scaling>
          <c:orientation val="minMax"/>
        </c:scaling>
        <c:axPos val="l"/>
        <c:majorGridlines/>
        <c:numFmt formatCode="0" sourceLinked="1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52500864"/>
        <c:crosses val="autoZero"/>
        <c:crossBetween val="between"/>
      </c:valAx>
    </c:plotArea>
    <c:legend>
      <c:legendPos val="r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dLbls>
            <c:dLbl>
              <c:idx val="0"/>
              <c:layout>
                <c:manualLayout>
                  <c:x val="-1.8126888217535424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05-40EB-8609-4B8F01FF39E4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05-40EB-8609-4B8F01FF39E4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05-40EB-8609-4B8F01FF39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23</c:v>
                </c:pt>
                <c:pt idx="1">
                  <c:v>70</c:v>
                </c:pt>
                <c:pt idx="2">
                  <c:v>64</c:v>
                </c:pt>
                <c:pt idx="3">
                  <c:v>78</c:v>
                </c:pt>
                <c:pt idx="4">
                  <c:v>0</c:v>
                </c:pt>
                <c:pt idx="5">
                  <c:v>61</c:v>
                </c:pt>
                <c:pt idx="6">
                  <c:v>57</c:v>
                </c:pt>
                <c:pt idx="7">
                  <c:v>71</c:v>
                </c:pt>
                <c:pt idx="8">
                  <c:v>62</c:v>
                </c:pt>
                <c:pt idx="9">
                  <c:v>77</c:v>
                </c:pt>
                <c:pt idx="10">
                  <c:v>71</c:v>
                </c:pt>
                <c:pt idx="11">
                  <c:v>86</c:v>
                </c:pt>
                <c:pt idx="12">
                  <c:v>88</c:v>
                </c:pt>
                <c:pt idx="13">
                  <c:v>121</c:v>
                </c:pt>
                <c:pt idx="14">
                  <c:v>131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ropLines/>
        <c:marker val="1"/>
        <c:axId val="124757888"/>
        <c:axId val="124759424"/>
      </c:lineChart>
      <c:lineChart>
        <c:grouping val="stacke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3932325</c:v>
                </c:pt>
                <c:pt idx="1">
                  <c:v>3951858</c:v>
                </c:pt>
                <c:pt idx="2">
                  <c:v>3990282</c:v>
                </c:pt>
                <c:pt idx="3">
                  <c:v>3971529</c:v>
                </c:pt>
                <c:pt idx="4">
                  <c:v>0</c:v>
                </c:pt>
                <c:pt idx="5">
                  <c:v>4028160</c:v>
                </c:pt>
                <c:pt idx="6">
                  <c:v>4046475</c:v>
                </c:pt>
                <c:pt idx="7">
                  <c:v>4061912</c:v>
                </c:pt>
                <c:pt idx="8">
                  <c:v>4080365</c:v>
                </c:pt>
                <c:pt idx="9">
                  <c:v>4099303</c:v>
                </c:pt>
                <c:pt idx="10">
                  <c:v>4117992</c:v>
                </c:pt>
                <c:pt idx="11">
                  <c:v>4137523</c:v>
                </c:pt>
                <c:pt idx="12">
                  <c:v>4157819</c:v>
                </c:pt>
                <c:pt idx="13">
                  <c:v>4180498</c:v>
                </c:pt>
                <c:pt idx="14">
                  <c:v>4203853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marker val="1"/>
        <c:axId val="124777600"/>
        <c:axId val="124779136"/>
      </c:lineChart>
      <c:catAx>
        <c:axId val="124757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759424"/>
        <c:crosses val="autoZero"/>
        <c:auto val="1"/>
        <c:lblAlgn val="ctr"/>
        <c:lblOffset val="100"/>
      </c:catAx>
      <c:valAx>
        <c:axId val="124759424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757888"/>
        <c:crosses val="autoZero"/>
        <c:crossBetween val="between"/>
        <c:minorUnit val="50"/>
      </c:valAx>
      <c:catAx>
        <c:axId val="124777600"/>
        <c:scaling>
          <c:orientation val="minMax"/>
        </c:scaling>
        <c:delete val="1"/>
        <c:axPos val="b"/>
        <c:tickLblPos val="none"/>
        <c:crossAx val="124779136"/>
        <c:crosses val="autoZero"/>
        <c:auto val="1"/>
        <c:lblAlgn val="ctr"/>
        <c:lblOffset val="100"/>
      </c:catAx>
      <c:valAx>
        <c:axId val="124779136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777600"/>
        <c:crosses val="max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9C-4A5D-8657-5B775079F214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9C-4A5D-8657-5B775079F214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9C-4A5D-8657-5B775079F214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9C-4A5D-8657-5B775079F214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9C-4A5D-8657-5B775079F2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marker val="1"/>
        <c:axId val="124029568"/>
        <c:axId val="124047744"/>
      </c:lineChart>
      <c:catAx>
        <c:axId val="124029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047744"/>
        <c:crosses val="autoZero"/>
        <c:auto val="1"/>
        <c:lblAlgn val="ctr"/>
        <c:lblOffset val="100"/>
      </c:catAx>
      <c:valAx>
        <c:axId val="124047744"/>
        <c:scaling>
          <c:orientation val="minMax"/>
          <c:max val="5000"/>
          <c:min val="35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029568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3932325</c:v>
                </c:pt>
                <c:pt idx="1">
                  <c:v>3951858</c:v>
                </c:pt>
                <c:pt idx="2">
                  <c:v>3990282</c:v>
                </c:pt>
                <c:pt idx="3">
                  <c:v>3971529</c:v>
                </c:pt>
                <c:pt idx="4">
                  <c:v>0</c:v>
                </c:pt>
                <c:pt idx="5">
                  <c:v>4028160</c:v>
                </c:pt>
                <c:pt idx="6">
                  <c:v>4046475</c:v>
                </c:pt>
                <c:pt idx="7">
                  <c:v>4061912</c:v>
                </c:pt>
                <c:pt idx="8">
                  <c:v>4080365</c:v>
                </c:pt>
                <c:pt idx="9">
                  <c:v>4099303</c:v>
                </c:pt>
                <c:pt idx="10">
                  <c:v>4117992</c:v>
                </c:pt>
                <c:pt idx="11">
                  <c:v>4137523</c:v>
                </c:pt>
                <c:pt idx="12">
                  <c:v>4157819</c:v>
                </c:pt>
                <c:pt idx="13">
                  <c:v>4180498</c:v>
                </c:pt>
                <c:pt idx="14">
                  <c:v>4203853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ropLines/>
        <c:marker val="1"/>
        <c:axId val="125309696"/>
        <c:axId val="125311232"/>
      </c:lineChart>
      <c:catAx>
        <c:axId val="125309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311232"/>
        <c:crosses val="autoZero"/>
        <c:auto val="1"/>
        <c:lblAlgn val="ctr"/>
        <c:lblOffset val="100"/>
      </c:catAx>
      <c:valAx>
        <c:axId val="125311232"/>
        <c:scaling>
          <c:orientation val="minMax"/>
          <c:min val="1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309696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77305"/>
        </c:manualLayout>
      </c:layout>
      <c:lineChart>
        <c:grouping val="standard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84</c:v>
                </c:pt>
                <c:pt idx="1">
                  <c:v>84</c:v>
                </c:pt>
                <c:pt idx="2">
                  <c:v>83</c:v>
                </c:pt>
                <c:pt idx="3">
                  <c:v>88</c:v>
                </c:pt>
                <c:pt idx="4">
                  <c:v>0</c:v>
                </c:pt>
                <c:pt idx="5">
                  <c:v>67</c:v>
                </c:pt>
                <c:pt idx="6">
                  <c:v>82</c:v>
                </c:pt>
                <c:pt idx="7">
                  <c:v>67</c:v>
                </c:pt>
                <c:pt idx="8">
                  <c:v>50</c:v>
                </c:pt>
                <c:pt idx="9">
                  <c:v>44</c:v>
                </c:pt>
                <c:pt idx="10">
                  <c:v>50</c:v>
                </c:pt>
                <c:pt idx="11">
                  <c:v>100</c:v>
                </c:pt>
                <c:pt idx="12">
                  <c:v>87</c:v>
                </c:pt>
                <c:pt idx="13">
                  <c:v>104</c:v>
                </c:pt>
                <c:pt idx="14">
                  <c:v>94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marker val="1"/>
        <c:axId val="125349888"/>
        <c:axId val="125351424"/>
      </c:lineChart>
      <c:lineChart>
        <c:grouping val="standar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3932325</c:v>
                </c:pt>
                <c:pt idx="1">
                  <c:v>3951858</c:v>
                </c:pt>
                <c:pt idx="2">
                  <c:v>3990282</c:v>
                </c:pt>
                <c:pt idx="3">
                  <c:v>3971529</c:v>
                </c:pt>
                <c:pt idx="4">
                  <c:v>0</c:v>
                </c:pt>
                <c:pt idx="5">
                  <c:v>4028160</c:v>
                </c:pt>
                <c:pt idx="6">
                  <c:v>4046475</c:v>
                </c:pt>
                <c:pt idx="7">
                  <c:v>4061912</c:v>
                </c:pt>
                <c:pt idx="8">
                  <c:v>4080365</c:v>
                </c:pt>
                <c:pt idx="9">
                  <c:v>4099303</c:v>
                </c:pt>
                <c:pt idx="10">
                  <c:v>4117992</c:v>
                </c:pt>
                <c:pt idx="11">
                  <c:v>4137523</c:v>
                </c:pt>
                <c:pt idx="12">
                  <c:v>4157819</c:v>
                </c:pt>
                <c:pt idx="13">
                  <c:v>4180498</c:v>
                </c:pt>
                <c:pt idx="14">
                  <c:v>4203853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marker val="1"/>
        <c:axId val="125352960"/>
        <c:axId val="125362944"/>
      </c:lineChart>
      <c:catAx>
        <c:axId val="125349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351424"/>
        <c:crosses val="autoZero"/>
        <c:auto val="1"/>
        <c:lblAlgn val="ctr"/>
        <c:lblOffset val="100"/>
      </c:catAx>
      <c:valAx>
        <c:axId val="125351424"/>
        <c:scaling>
          <c:orientation val="minMax"/>
          <c:min val="6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349888"/>
        <c:crosses val="autoZero"/>
        <c:crossBetween val="between"/>
      </c:valAx>
      <c:catAx>
        <c:axId val="125352960"/>
        <c:scaling>
          <c:orientation val="minMax"/>
        </c:scaling>
        <c:delete val="1"/>
        <c:axPos val="b"/>
        <c:tickLblPos val="none"/>
        <c:crossAx val="125362944"/>
        <c:crosses val="autoZero"/>
        <c:auto val="1"/>
        <c:lblAlgn val="ctr"/>
        <c:lblOffset val="100"/>
      </c:catAx>
      <c:valAx>
        <c:axId val="125362944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35296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647.69000000000233</c:v>
                </c:pt>
                <c:pt idx="1">
                  <c:v>651.73999999999796</c:v>
                </c:pt>
                <c:pt idx="2">
                  <c:v>639</c:v>
                </c:pt>
                <c:pt idx="3">
                  <c:v>644</c:v>
                </c:pt>
                <c:pt idx="4">
                  <c:v>0</c:v>
                </c:pt>
                <c:pt idx="5">
                  <c:v>635</c:v>
                </c:pt>
                <c:pt idx="6">
                  <c:v>640</c:v>
                </c:pt>
                <c:pt idx="7">
                  <c:v>628</c:v>
                </c:pt>
                <c:pt idx="8">
                  <c:v>619</c:v>
                </c:pt>
                <c:pt idx="9">
                  <c:v>640.80000000000291</c:v>
                </c:pt>
                <c:pt idx="10">
                  <c:v>634.19999999999709</c:v>
                </c:pt>
                <c:pt idx="11">
                  <c:v>656.41000000000349</c:v>
                </c:pt>
                <c:pt idx="12">
                  <c:v>686.40000000000146</c:v>
                </c:pt>
                <c:pt idx="13">
                  <c:v>670.11699999999109</c:v>
                </c:pt>
                <c:pt idx="14">
                  <c:v>643.66300000000774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marker val="1"/>
        <c:axId val="125410304"/>
        <c:axId val="125412096"/>
      </c:lineChart>
      <c:lineChart>
        <c:grouping val="standard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3932325</c:v>
                </c:pt>
                <c:pt idx="1">
                  <c:v>3951858</c:v>
                </c:pt>
                <c:pt idx="2">
                  <c:v>3990282</c:v>
                </c:pt>
                <c:pt idx="3">
                  <c:v>3971529</c:v>
                </c:pt>
                <c:pt idx="4">
                  <c:v>0</c:v>
                </c:pt>
                <c:pt idx="5">
                  <c:v>4028160</c:v>
                </c:pt>
                <c:pt idx="6">
                  <c:v>4046475</c:v>
                </c:pt>
                <c:pt idx="7">
                  <c:v>4061912</c:v>
                </c:pt>
                <c:pt idx="8">
                  <c:v>4080365</c:v>
                </c:pt>
                <c:pt idx="9">
                  <c:v>4099303</c:v>
                </c:pt>
                <c:pt idx="10">
                  <c:v>4117992</c:v>
                </c:pt>
                <c:pt idx="11">
                  <c:v>4137523</c:v>
                </c:pt>
                <c:pt idx="12">
                  <c:v>4157819</c:v>
                </c:pt>
                <c:pt idx="13">
                  <c:v>4180498</c:v>
                </c:pt>
                <c:pt idx="14">
                  <c:v>4203853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marker val="1"/>
        <c:axId val="125413632"/>
        <c:axId val="125423616"/>
      </c:lineChart>
      <c:catAx>
        <c:axId val="125410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412096"/>
        <c:crosses val="autoZero"/>
        <c:auto val="1"/>
        <c:lblAlgn val="ctr"/>
        <c:lblOffset val="100"/>
      </c:catAx>
      <c:valAx>
        <c:axId val="125412096"/>
        <c:scaling>
          <c:orientation val="minMax"/>
          <c:min val="8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410304"/>
        <c:crosses val="autoZero"/>
        <c:crossBetween val="between"/>
        <c:majorUnit val="2"/>
      </c:valAx>
      <c:catAx>
        <c:axId val="125413632"/>
        <c:scaling>
          <c:orientation val="minMax"/>
        </c:scaling>
        <c:delete val="1"/>
        <c:axPos val="b"/>
        <c:tickLblPos val="none"/>
        <c:crossAx val="125423616"/>
        <c:crosses val="autoZero"/>
        <c:auto val="1"/>
        <c:lblAlgn val="ctr"/>
        <c:lblOffset val="100"/>
      </c:catAx>
      <c:valAx>
        <c:axId val="125423616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413632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438150</xdr:colOff>
      <xdr:row>68</xdr:row>
      <xdr:rowOff>28575</xdr:rowOff>
    </xdr:from>
    <xdr:to>
      <xdr:col>27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323850</xdr:colOff>
      <xdr:row>82</xdr:row>
      <xdr:rowOff>0</xdr:rowOff>
    </xdr:from>
    <xdr:to>
      <xdr:col>27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12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12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285750</xdr:colOff>
      <xdr:row>53</xdr:row>
      <xdr:rowOff>95250</xdr:rowOff>
    </xdr:from>
    <xdr:to>
      <xdr:col>28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16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16328</xdr:colOff>
      <xdr:row>37</xdr:row>
      <xdr:rowOff>163285</xdr:rowOff>
    </xdr:from>
    <xdr:to>
      <xdr:col>25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12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12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50</xdr:row>
      <xdr:rowOff>85725</xdr:rowOff>
    </xdr:from>
    <xdr:to>
      <xdr:col>22</xdr:col>
      <xdr:colOff>571500</xdr:colOff>
      <xdr:row>66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32</xdr:row>
      <xdr:rowOff>0</xdr:rowOff>
    </xdr:from>
    <xdr:to>
      <xdr:col>21</xdr:col>
      <xdr:colOff>266700</xdr:colOff>
      <xdr:row>33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246529</xdr:colOff>
      <xdr:row>44</xdr:row>
      <xdr:rowOff>67235</xdr:rowOff>
    </xdr:from>
    <xdr:to>
      <xdr:col>30</xdr:col>
      <xdr:colOff>313765</xdr:colOff>
      <xdr:row>57</xdr:row>
      <xdr:rowOff>190501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=""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="" xmlns:a16="http://schemas.microsoft.com/office/drawing/2014/main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="" xmlns:a16="http://schemas.microsoft.com/office/drawing/2014/main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="" xmlns:a16="http://schemas.microsoft.com/office/drawing/2014/main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="" xmlns:a16="http://schemas.microsoft.com/office/drawing/2014/main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dhakar.appa\Desktop\Report%20HLP%202020\12%20DEC%20%20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.%20water%20consumption%20May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DHAK~1.APP/AppData/Local/Temp/notes0F0532/e.%20water%20consumption%20May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ily HLP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5">
          <cell r="G15">
            <v>827.6500000001397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3">
          <cell r="D3">
            <v>30</v>
          </cell>
        </row>
        <row r="5">
          <cell r="D5" t="str">
            <v>Unit</v>
          </cell>
        </row>
        <row r="7">
          <cell r="G7">
            <v>19398</v>
          </cell>
        </row>
        <row r="8">
          <cell r="G8">
            <v>19595</v>
          </cell>
        </row>
        <row r="20">
          <cell r="G20">
            <v>184</v>
          </cell>
        </row>
        <row r="24">
          <cell r="G24">
            <v>0</v>
          </cell>
        </row>
        <row r="35">
          <cell r="G35">
            <v>0</v>
          </cell>
        </row>
        <row r="36">
          <cell r="G36">
            <v>668.5800000000163</v>
          </cell>
        </row>
        <row r="37">
          <cell r="G37">
            <v>0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  <row r="41">
          <cell r="G41">
            <v>0</v>
          </cell>
        </row>
        <row r="42">
          <cell r="G42">
            <v>8.999999999650754E-2</v>
          </cell>
        </row>
        <row r="43">
          <cell r="G43">
            <v>1972.7200000000885</v>
          </cell>
        </row>
        <row r="44">
          <cell r="G44">
            <v>0</v>
          </cell>
        </row>
        <row r="49">
          <cell r="G49">
            <v>2791.390000000014</v>
          </cell>
        </row>
        <row r="50">
          <cell r="G50">
            <v>1070.4400000000023</v>
          </cell>
        </row>
        <row r="51">
          <cell r="G51">
            <v>1472.3400000000038</v>
          </cell>
        </row>
        <row r="52">
          <cell r="G52">
            <v>2047.2800000000279</v>
          </cell>
        </row>
        <row r="53">
          <cell r="G53">
            <v>4400.9700000000012</v>
          </cell>
        </row>
        <row r="54">
          <cell r="G54">
            <v>79.989999999999782</v>
          </cell>
        </row>
        <row r="56">
          <cell r="G56">
            <v>4263.1199999999953</v>
          </cell>
        </row>
        <row r="57">
          <cell r="H57">
            <v>0</v>
          </cell>
        </row>
        <row r="84">
          <cell r="G84">
            <v>377</v>
          </cell>
        </row>
        <row r="95">
          <cell r="G95">
            <v>63</v>
          </cell>
        </row>
        <row r="96">
          <cell r="G96">
            <v>15</v>
          </cell>
        </row>
        <row r="97">
          <cell r="G97">
            <v>22</v>
          </cell>
        </row>
        <row r="123">
          <cell r="G123">
            <v>241.35000000009313</v>
          </cell>
        </row>
        <row r="132">
          <cell r="G132">
            <v>0</v>
          </cell>
        </row>
        <row r="133">
          <cell r="G133">
            <v>0</v>
          </cell>
        </row>
        <row r="134">
          <cell r="G134">
            <v>0</v>
          </cell>
        </row>
        <row r="135">
          <cell r="G135">
            <v>23.919999999998254</v>
          </cell>
        </row>
        <row r="136">
          <cell r="G136">
            <v>6.3300000000017462</v>
          </cell>
        </row>
        <row r="137">
          <cell r="G137">
            <v>0</v>
          </cell>
        </row>
        <row r="138">
          <cell r="G138">
            <v>0</v>
          </cell>
        </row>
        <row r="139">
          <cell r="G139">
            <v>0</v>
          </cell>
        </row>
        <row r="140">
          <cell r="G140">
            <v>7.9200000000000728</v>
          </cell>
        </row>
      </sheetData>
      <sheetData sheetId="34"/>
      <sheetData sheetId="35"/>
      <sheetData sheetId="36"/>
      <sheetData sheetId="3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>
        <row r="3">
          <cell r="F3">
            <v>0.5</v>
          </cell>
        </row>
      </sheetData>
      <sheetData sheetId="2">
        <row r="3">
          <cell r="F3">
            <v>0.1</v>
          </cell>
        </row>
      </sheetData>
      <sheetData sheetId="3">
        <row r="3">
          <cell r="F3">
            <v>0.5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../../AppData/Local/Temp/HLP%20Report/HLP%2009/Guest%20complaint.xl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workbookViewId="0">
      <selection activeCell="K13" sqref="K13"/>
    </sheetView>
  </sheetViews>
  <sheetFormatPr defaultColWidth="9" defaultRowHeight="15"/>
  <cols>
    <col min="1" max="1" width="9.6640625" style="1255" customWidth="1"/>
    <col min="2" max="3" width="9" style="1249"/>
    <col min="4" max="4" width="10.44140625" style="1250" customWidth="1"/>
    <col min="5" max="5" width="9.77734375" style="1251" customWidth="1"/>
    <col min="6" max="6" width="9.77734375" style="1255" customWidth="1"/>
    <col min="7" max="10" width="9" style="1255"/>
    <col min="11" max="12" width="9" style="1251"/>
    <col min="13" max="13" width="0" style="1254" hidden="1" customWidth="1"/>
    <col min="14" max="256" width="9" style="1254"/>
    <col min="257" max="257" width="9.6640625" style="1254" customWidth="1"/>
    <col min="258" max="259" width="9" style="1254"/>
    <col min="260" max="260" width="10.44140625" style="1254" customWidth="1"/>
    <col min="261" max="262" width="9.77734375" style="1254" customWidth="1"/>
    <col min="263" max="268" width="9" style="1254"/>
    <col min="269" max="269" width="0" style="1254" hidden="1" customWidth="1"/>
    <col min="270" max="512" width="9" style="1254"/>
    <col min="513" max="513" width="9.6640625" style="1254" customWidth="1"/>
    <col min="514" max="515" width="9" style="1254"/>
    <col min="516" max="516" width="10.44140625" style="1254" customWidth="1"/>
    <col min="517" max="518" width="9.77734375" style="1254" customWidth="1"/>
    <col min="519" max="524" width="9" style="1254"/>
    <col min="525" max="525" width="0" style="1254" hidden="1" customWidth="1"/>
    <col min="526" max="768" width="9" style="1254"/>
    <col min="769" max="769" width="9.6640625" style="1254" customWidth="1"/>
    <col min="770" max="771" width="9" style="1254"/>
    <col min="772" max="772" width="10.44140625" style="1254" customWidth="1"/>
    <col min="773" max="774" width="9.77734375" style="1254" customWidth="1"/>
    <col min="775" max="780" width="9" style="1254"/>
    <col min="781" max="781" width="0" style="1254" hidden="1" customWidth="1"/>
    <col min="782" max="1024" width="9" style="1254"/>
    <col min="1025" max="1025" width="9.6640625" style="1254" customWidth="1"/>
    <col min="1026" max="1027" width="9" style="1254"/>
    <col min="1028" max="1028" width="10.44140625" style="1254" customWidth="1"/>
    <col min="1029" max="1030" width="9.77734375" style="1254" customWidth="1"/>
    <col min="1031" max="1036" width="9" style="1254"/>
    <col min="1037" max="1037" width="0" style="1254" hidden="1" customWidth="1"/>
    <col min="1038" max="1280" width="9" style="1254"/>
    <col min="1281" max="1281" width="9.6640625" style="1254" customWidth="1"/>
    <col min="1282" max="1283" width="9" style="1254"/>
    <col min="1284" max="1284" width="10.44140625" style="1254" customWidth="1"/>
    <col min="1285" max="1286" width="9.77734375" style="1254" customWidth="1"/>
    <col min="1287" max="1292" width="9" style="1254"/>
    <col min="1293" max="1293" width="0" style="1254" hidden="1" customWidth="1"/>
    <col min="1294" max="1536" width="9" style="1254"/>
    <col min="1537" max="1537" width="9.6640625" style="1254" customWidth="1"/>
    <col min="1538" max="1539" width="9" style="1254"/>
    <col min="1540" max="1540" width="10.44140625" style="1254" customWidth="1"/>
    <col min="1541" max="1542" width="9.77734375" style="1254" customWidth="1"/>
    <col min="1543" max="1548" width="9" style="1254"/>
    <col min="1549" max="1549" width="0" style="1254" hidden="1" customWidth="1"/>
    <col min="1550" max="1792" width="9" style="1254"/>
    <col min="1793" max="1793" width="9.6640625" style="1254" customWidth="1"/>
    <col min="1794" max="1795" width="9" style="1254"/>
    <col min="1796" max="1796" width="10.44140625" style="1254" customWidth="1"/>
    <col min="1797" max="1798" width="9.77734375" style="1254" customWidth="1"/>
    <col min="1799" max="1804" width="9" style="1254"/>
    <col min="1805" max="1805" width="0" style="1254" hidden="1" customWidth="1"/>
    <col min="1806" max="2048" width="9" style="1254"/>
    <col min="2049" max="2049" width="9.6640625" style="1254" customWidth="1"/>
    <col min="2050" max="2051" width="9" style="1254"/>
    <col min="2052" max="2052" width="10.44140625" style="1254" customWidth="1"/>
    <col min="2053" max="2054" width="9.77734375" style="1254" customWidth="1"/>
    <col min="2055" max="2060" width="9" style="1254"/>
    <col min="2061" max="2061" width="0" style="1254" hidden="1" customWidth="1"/>
    <col min="2062" max="2304" width="9" style="1254"/>
    <col min="2305" max="2305" width="9.6640625" style="1254" customWidth="1"/>
    <col min="2306" max="2307" width="9" style="1254"/>
    <col min="2308" max="2308" width="10.44140625" style="1254" customWidth="1"/>
    <col min="2309" max="2310" width="9.77734375" style="1254" customWidth="1"/>
    <col min="2311" max="2316" width="9" style="1254"/>
    <col min="2317" max="2317" width="0" style="1254" hidden="1" customWidth="1"/>
    <col min="2318" max="2560" width="9" style="1254"/>
    <col min="2561" max="2561" width="9.6640625" style="1254" customWidth="1"/>
    <col min="2562" max="2563" width="9" style="1254"/>
    <col min="2564" max="2564" width="10.44140625" style="1254" customWidth="1"/>
    <col min="2565" max="2566" width="9.77734375" style="1254" customWidth="1"/>
    <col min="2567" max="2572" width="9" style="1254"/>
    <col min="2573" max="2573" width="0" style="1254" hidden="1" customWidth="1"/>
    <col min="2574" max="2816" width="9" style="1254"/>
    <col min="2817" max="2817" width="9.6640625" style="1254" customWidth="1"/>
    <col min="2818" max="2819" width="9" style="1254"/>
    <col min="2820" max="2820" width="10.44140625" style="1254" customWidth="1"/>
    <col min="2821" max="2822" width="9.77734375" style="1254" customWidth="1"/>
    <col min="2823" max="2828" width="9" style="1254"/>
    <col min="2829" max="2829" width="0" style="1254" hidden="1" customWidth="1"/>
    <col min="2830" max="3072" width="9" style="1254"/>
    <col min="3073" max="3073" width="9.6640625" style="1254" customWidth="1"/>
    <col min="3074" max="3075" width="9" style="1254"/>
    <col min="3076" max="3076" width="10.44140625" style="1254" customWidth="1"/>
    <col min="3077" max="3078" width="9.77734375" style="1254" customWidth="1"/>
    <col min="3079" max="3084" width="9" style="1254"/>
    <col min="3085" max="3085" width="0" style="1254" hidden="1" customWidth="1"/>
    <col min="3086" max="3328" width="9" style="1254"/>
    <col min="3329" max="3329" width="9.6640625" style="1254" customWidth="1"/>
    <col min="3330" max="3331" width="9" style="1254"/>
    <col min="3332" max="3332" width="10.44140625" style="1254" customWidth="1"/>
    <col min="3333" max="3334" width="9.77734375" style="1254" customWidth="1"/>
    <col min="3335" max="3340" width="9" style="1254"/>
    <col min="3341" max="3341" width="0" style="1254" hidden="1" customWidth="1"/>
    <col min="3342" max="3584" width="9" style="1254"/>
    <col min="3585" max="3585" width="9.6640625" style="1254" customWidth="1"/>
    <col min="3586" max="3587" width="9" style="1254"/>
    <col min="3588" max="3588" width="10.44140625" style="1254" customWidth="1"/>
    <col min="3589" max="3590" width="9.77734375" style="1254" customWidth="1"/>
    <col min="3591" max="3596" width="9" style="1254"/>
    <col min="3597" max="3597" width="0" style="1254" hidden="1" customWidth="1"/>
    <col min="3598" max="3840" width="9" style="1254"/>
    <col min="3841" max="3841" width="9.6640625" style="1254" customWidth="1"/>
    <col min="3842" max="3843" width="9" style="1254"/>
    <col min="3844" max="3844" width="10.44140625" style="1254" customWidth="1"/>
    <col min="3845" max="3846" width="9.77734375" style="1254" customWidth="1"/>
    <col min="3847" max="3852" width="9" style="1254"/>
    <col min="3853" max="3853" width="0" style="1254" hidden="1" customWidth="1"/>
    <col min="3854" max="4096" width="9" style="1254"/>
    <col min="4097" max="4097" width="9.6640625" style="1254" customWidth="1"/>
    <col min="4098" max="4099" width="9" style="1254"/>
    <col min="4100" max="4100" width="10.44140625" style="1254" customWidth="1"/>
    <col min="4101" max="4102" width="9.77734375" style="1254" customWidth="1"/>
    <col min="4103" max="4108" width="9" style="1254"/>
    <col min="4109" max="4109" width="0" style="1254" hidden="1" customWidth="1"/>
    <col min="4110" max="4352" width="9" style="1254"/>
    <col min="4353" max="4353" width="9.6640625" style="1254" customWidth="1"/>
    <col min="4354" max="4355" width="9" style="1254"/>
    <col min="4356" max="4356" width="10.44140625" style="1254" customWidth="1"/>
    <col min="4357" max="4358" width="9.77734375" style="1254" customWidth="1"/>
    <col min="4359" max="4364" width="9" style="1254"/>
    <col min="4365" max="4365" width="0" style="1254" hidden="1" customWidth="1"/>
    <col min="4366" max="4608" width="9" style="1254"/>
    <col min="4609" max="4609" width="9.6640625" style="1254" customWidth="1"/>
    <col min="4610" max="4611" width="9" style="1254"/>
    <col min="4612" max="4612" width="10.44140625" style="1254" customWidth="1"/>
    <col min="4613" max="4614" width="9.77734375" style="1254" customWidth="1"/>
    <col min="4615" max="4620" width="9" style="1254"/>
    <col min="4621" max="4621" width="0" style="1254" hidden="1" customWidth="1"/>
    <col min="4622" max="4864" width="9" style="1254"/>
    <col min="4865" max="4865" width="9.6640625" style="1254" customWidth="1"/>
    <col min="4866" max="4867" width="9" style="1254"/>
    <col min="4868" max="4868" width="10.44140625" style="1254" customWidth="1"/>
    <col min="4869" max="4870" width="9.77734375" style="1254" customWidth="1"/>
    <col min="4871" max="4876" width="9" style="1254"/>
    <col min="4877" max="4877" width="0" style="1254" hidden="1" customWidth="1"/>
    <col min="4878" max="5120" width="9" style="1254"/>
    <col min="5121" max="5121" width="9.6640625" style="1254" customWidth="1"/>
    <col min="5122" max="5123" width="9" style="1254"/>
    <col min="5124" max="5124" width="10.44140625" style="1254" customWidth="1"/>
    <col min="5125" max="5126" width="9.77734375" style="1254" customWidth="1"/>
    <col min="5127" max="5132" width="9" style="1254"/>
    <col min="5133" max="5133" width="0" style="1254" hidden="1" customWidth="1"/>
    <col min="5134" max="5376" width="9" style="1254"/>
    <col min="5377" max="5377" width="9.6640625" style="1254" customWidth="1"/>
    <col min="5378" max="5379" width="9" style="1254"/>
    <col min="5380" max="5380" width="10.44140625" style="1254" customWidth="1"/>
    <col min="5381" max="5382" width="9.77734375" style="1254" customWidth="1"/>
    <col min="5383" max="5388" width="9" style="1254"/>
    <col min="5389" max="5389" width="0" style="1254" hidden="1" customWidth="1"/>
    <col min="5390" max="5632" width="9" style="1254"/>
    <col min="5633" max="5633" width="9.6640625" style="1254" customWidth="1"/>
    <col min="5634" max="5635" width="9" style="1254"/>
    <col min="5636" max="5636" width="10.44140625" style="1254" customWidth="1"/>
    <col min="5637" max="5638" width="9.77734375" style="1254" customWidth="1"/>
    <col min="5639" max="5644" width="9" style="1254"/>
    <col min="5645" max="5645" width="0" style="1254" hidden="1" customWidth="1"/>
    <col min="5646" max="5888" width="9" style="1254"/>
    <col min="5889" max="5889" width="9.6640625" style="1254" customWidth="1"/>
    <col min="5890" max="5891" width="9" style="1254"/>
    <col min="5892" max="5892" width="10.44140625" style="1254" customWidth="1"/>
    <col min="5893" max="5894" width="9.77734375" style="1254" customWidth="1"/>
    <col min="5895" max="5900" width="9" style="1254"/>
    <col min="5901" max="5901" width="0" style="1254" hidden="1" customWidth="1"/>
    <col min="5902" max="6144" width="9" style="1254"/>
    <col min="6145" max="6145" width="9.6640625" style="1254" customWidth="1"/>
    <col min="6146" max="6147" width="9" style="1254"/>
    <col min="6148" max="6148" width="10.44140625" style="1254" customWidth="1"/>
    <col min="6149" max="6150" width="9.77734375" style="1254" customWidth="1"/>
    <col min="6151" max="6156" width="9" style="1254"/>
    <col min="6157" max="6157" width="0" style="1254" hidden="1" customWidth="1"/>
    <col min="6158" max="6400" width="9" style="1254"/>
    <col min="6401" max="6401" width="9.6640625" style="1254" customWidth="1"/>
    <col min="6402" max="6403" width="9" style="1254"/>
    <col min="6404" max="6404" width="10.44140625" style="1254" customWidth="1"/>
    <col min="6405" max="6406" width="9.77734375" style="1254" customWidth="1"/>
    <col min="6407" max="6412" width="9" style="1254"/>
    <col min="6413" max="6413" width="0" style="1254" hidden="1" customWidth="1"/>
    <col min="6414" max="6656" width="9" style="1254"/>
    <col min="6657" max="6657" width="9.6640625" style="1254" customWidth="1"/>
    <col min="6658" max="6659" width="9" style="1254"/>
    <col min="6660" max="6660" width="10.44140625" style="1254" customWidth="1"/>
    <col min="6661" max="6662" width="9.77734375" style="1254" customWidth="1"/>
    <col min="6663" max="6668" width="9" style="1254"/>
    <col min="6669" max="6669" width="0" style="1254" hidden="1" customWidth="1"/>
    <col min="6670" max="6912" width="9" style="1254"/>
    <col min="6913" max="6913" width="9.6640625" style="1254" customWidth="1"/>
    <col min="6914" max="6915" width="9" style="1254"/>
    <col min="6916" max="6916" width="10.44140625" style="1254" customWidth="1"/>
    <col min="6917" max="6918" width="9.77734375" style="1254" customWidth="1"/>
    <col min="6919" max="6924" width="9" style="1254"/>
    <col min="6925" max="6925" width="0" style="1254" hidden="1" customWidth="1"/>
    <col min="6926" max="7168" width="9" style="1254"/>
    <col min="7169" max="7169" width="9.6640625" style="1254" customWidth="1"/>
    <col min="7170" max="7171" width="9" style="1254"/>
    <col min="7172" max="7172" width="10.44140625" style="1254" customWidth="1"/>
    <col min="7173" max="7174" width="9.77734375" style="1254" customWidth="1"/>
    <col min="7175" max="7180" width="9" style="1254"/>
    <col min="7181" max="7181" width="0" style="1254" hidden="1" customWidth="1"/>
    <col min="7182" max="7424" width="9" style="1254"/>
    <col min="7425" max="7425" width="9.6640625" style="1254" customWidth="1"/>
    <col min="7426" max="7427" width="9" style="1254"/>
    <col min="7428" max="7428" width="10.44140625" style="1254" customWidth="1"/>
    <col min="7429" max="7430" width="9.77734375" style="1254" customWidth="1"/>
    <col min="7431" max="7436" width="9" style="1254"/>
    <col min="7437" max="7437" width="0" style="1254" hidden="1" customWidth="1"/>
    <col min="7438" max="7680" width="9" style="1254"/>
    <col min="7681" max="7681" width="9.6640625" style="1254" customWidth="1"/>
    <col min="7682" max="7683" width="9" style="1254"/>
    <col min="7684" max="7684" width="10.44140625" style="1254" customWidth="1"/>
    <col min="7685" max="7686" width="9.77734375" style="1254" customWidth="1"/>
    <col min="7687" max="7692" width="9" style="1254"/>
    <col min="7693" max="7693" width="0" style="1254" hidden="1" customWidth="1"/>
    <col min="7694" max="7936" width="9" style="1254"/>
    <col min="7937" max="7937" width="9.6640625" style="1254" customWidth="1"/>
    <col min="7938" max="7939" width="9" style="1254"/>
    <col min="7940" max="7940" width="10.44140625" style="1254" customWidth="1"/>
    <col min="7941" max="7942" width="9.77734375" style="1254" customWidth="1"/>
    <col min="7943" max="7948" width="9" style="1254"/>
    <col min="7949" max="7949" width="0" style="1254" hidden="1" customWidth="1"/>
    <col min="7950" max="8192" width="9" style="1254"/>
    <col min="8193" max="8193" width="9.6640625" style="1254" customWidth="1"/>
    <col min="8194" max="8195" width="9" style="1254"/>
    <col min="8196" max="8196" width="10.44140625" style="1254" customWidth="1"/>
    <col min="8197" max="8198" width="9.77734375" style="1254" customWidth="1"/>
    <col min="8199" max="8204" width="9" style="1254"/>
    <col min="8205" max="8205" width="0" style="1254" hidden="1" customWidth="1"/>
    <col min="8206" max="8448" width="9" style="1254"/>
    <col min="8449" max="8449" width="9.6640625" style="1254" customWidth="1"/>
    <col min="8450" max="8451" width="9" style="1254"/>
    <col min="8452" max="8452" width="10.44140625" style="1254" customWidth="1"/>
    <col min="8453" max="8454" width="9.77734375" style="1254" customWidth="1"/>
    <col min="8455" max="8460" width="9" style="1254"/>
    <col min="8461" max="8461" width="0" style="1254" hidden="1" customWidth="1"/>
    <col min="8462" max="8704" width="9" style="1254"/>
    <col min="8705" max="8705" width="9.6640625" style="1254" customWidth="1"/>
    <col min="8706" max="8707" width="9" style="1254"/>
    <col min="8708" max="8708" width="10.44140625" style="1254" customWidth="1"/>
    <col min="8709" max="8710" width="9.77734375" style="1254" customWidth="1"/>
    <col min="8711" max="8716" width="9" style="1254"/>
    <col min="8717" max="8717" width="0" style="1254" hidden="1" customWidth="1"/>
    <col min="8718" max="8960" width="9" style="1254"/>
    <col min="8961" max="8961" width="9.6640625" style="1254" customWidth="1"/>
    <col min="8962" max="8963" width="9" style="1254"/>
    <col min="8964" max="8964" width="10.44140625" style="1254" customWidth="1"/>
    <col min="8965" max="8966" width="9.77734375" style="1254" customWidth="1"/>
    <col min="8967" max="8972" width="9" style="1254"/>
    <col min="8973" max="8973" width="0" style="1254" hidden="1" customWidth="1"/>
    <col min="8974" max="9216" width="9" style="1254"/>
    <col min="9217" max="9217" width="9.6640625" style="1254" customWidth="1"/>
    <col min="9218" max="9219" width="9" style="1254"/>
    <col min="9220" max="9220" width="10.44140625" style="1254" customWidth="1"/>
    <col min="9221" max="9222" width="9.77734375" style="1254" customWidth="1"/>
    <col min="9223" max="9228" width="9" style="1254"/>
    <col min="9229" max="9229" width="0" style="1254" hidden="1" customWidth="1"/>
    <col min="9230" max="9472" width="9" style="1254"/>
    <col min="9473" max="9473" width="9.6640625" style="1254" customWidth="1"/>
    <col min="9474" max="9475" width="9" style="1254"/>
    <col min="9476" max="9476" width="10.44140625" style="1254" customWidth="1"/>
    <col min="9477" max="9478" width="9.77734375" style="1254" customWidth="1"/>
    <col min="9479" max="9484" width="9" style="1254"/>
    <col min="9485" max="9485" width="0" style="1254" hidden="1" customWidth="1"/>
    <col min="9486" max="9728" width="9" style="1254"/>
    <col min="9729" max="9729" width="9.6640625" style="1254" customWidth="1"/>
    <col min="9730" max="9731" width="9" style="1254"/>
    <col min="9732" max="9732" width="10.44140625" style="1254" customWidth="1"/>
    <col min="9733" max="9734" width="9.77734375" style="1254" customWidth="1"/>
    <col min="9735" max="9740" width="9" style="1254"/>
    <col min="9741" max="9741" width="0" style="1254" hidden="1" customWidth="1"/>
    <col min="9742" max="9984" width="9" style="1254"/>
    <col min="9985" max="9985" width="9.6640625" style="1254" customWidth="1"/>
    <col min="9986" max="9987" width="9" style="1254"/>
    <col min="9988" max="9988" width="10.44140625" style="1254" customWidth="1"/>
    <col min="9989" max="9990" width="9.77734375" style="1254" customWidth="1"/>
    <col min="9991" max="9996" width="9" style="1254"/>
    <col min="9997" max="9997" width="0" style="1254" hidden="1" customWidth="1"/>
    <col min="9998" max="10240" width="9" style="1254"/>
    <col min="10241" max="10241" width="9.6640625" style="1254" customWidth="1"/>
    <col min="10242" max="10243" width="9" style="1254"/>
    <col min="10244" max="10244" width="10.44140625" style="1254" customWidth="1"/>
    <col min="10245" max="10246" width="9.77734375" style="1254" customWidth="1"/>
    <col min="10247" max="10252" width="9" style="1254"/>
    <col min="10253" max="10253" width="0" style="1254" hidden="1" customWidth="1"/>
    <col min="10254" max="10496" width="9" style="1254"/>
    <col min="10497" max="10497" width="9.6640625" style="1254" customWidth="1"/>
    <col min="10498" max="10499" width="9" style="1254"/>
    <col min="10500" max="10500" width="10.44140625" style="1254" customWidth="1"/>
    <col min="10501" max="10502" width="9.77734375" style="1254" customWidth="1"/>
    <col min="10503" max="10508" width="9" style="1254"/>
    <col min="10509" max="10509" width="0" style="1254" hidden="1" customWidth="1"/>
    <col min="10510" max="10752" width="9" style="1254"/>
    <col min="10753" max="10753" width="9.6640625" style="1254" customWidth="1"/>
    <col min="10754" max="10755" width="9" style="1254"/>
    <col min="10756" max="10756" width="10.44140625" style="1254" customWidth="1"/>
    <col min="10757" max="10758" width="9.77734375" style="1254" customWidth="1"/>
    <col min="10759" max="10764" width="9" style="1254"/>
    <col min="10765" max="10765" width="0" style="1254" hidden="1" customWidth="1"/>
    <col min="10766" max="11008" width="9" style="1254"/>
    <col min="11009" max="11009" width="9.6640625" style="1254" customWidth="1"/>
    <col min="11010" max="11011" width="9" style="1254"/>
    <col min="11012" max="11012" width="10.44140625" style="1254" customWidth="1"/>
    <col min="11013" max="11014" width="9.77734375" style="1254" customWidth="1"/>
    <col min="11015" max="11020" width="9" style="1254"/>
    <col min="11021" max="11021" width="0" style="1254" hidden="1" customWidth="1"/>
    <col min="11022" max="11264" width="9" style="1254"/>
    <col min="11265" max="11265" width="9.6640625" style="1254" customWidth="1"/>
    <col min="11266" max="11267" width="9" style="1254"/>
    <col min="11268" max="11268" width="10.44140625" style="1254" customWidth="1"/>
    <col min="11269" max="11270" width="9.77734375" style="1254" customWidth="1"/>
    <col min="11271" max="11276" width="9" style="1254"/>
    <col min="11277" max="11277" width="0" style="1254" hidden="1" customWidth="1"/>
    <col min="11278" max="11520" width="9" style="1254"/>
    <col min="11521" max="11521" width="9.6640625" style="1254" customWidth="1"/>
    <col min="11522" max="11523" width="9" style="1254"/>
    <col min="11524" max="11524" width="10.44140625" style="1254" customWidth="1"/>
    <col min="11525" max="11526" width="9.77734375" style="1254" customWidth="1"/>
    <col min="11527" max="11532" width="9" style="1254"/>
    <col min="11533" max="11533" width="0" style="1254" hidden="1" customWidth="1"/>
    <col min="11534" max="11776" width="9" style="1254"/>
    <col min="11777" max="11777" width="9.6640625" style="1254" customWidth="1"/>
    <col min="11778" max="11779" width="9" style="1254"/>
    <col min="11780" max="11780" width="10.44140625" style="1254" customWidth="1"/>
    <col min="11781" max="11782" width="9.77734375" style="1254" customWidth="1"/>
    <col min="11783" max="11788" width="9" style="1254"/>
    <col min="11789" max="11789" width="0" style="1254" hidden="1" customWidth="1"/>
    <col min="11790" max="12032" width="9" style="1254"/>
    <col min="12033" max="12033" width="9.6640625" style="1254" customWidth="1"/>
    <col min="12034" max="12035" width="9" style="1254"/>
    <col min="12036" max="12036" width="10.44140625" style="1254" customWidth="1"/>
    <col min="12037" max="12038" width="9.77734375" style="1254" customWidth="1"/>
    <col min="12039" max="12044" width="9" style="1254"/>
    <col min="12045" max="12045" width="0" style="1254" hidden="1" customWidth="1"/>
    <col min="12046" max="12288" width="9" style="1254"/>
    <col min="12289" max="12289" width="9.6640625" style="1254" customWidth="1"/>
    <col min="12290" max="12291" width="9" style="1254"/>
    <col min="12292" max="12292" width="10.44140625" style="1254" customWidth="1"/>
    <col min="12293" max="12294" width="9.77734375" style="1254" customWidth="1"/>
    <col min="12295" max="12300" width="9" style="1254"/>
    <col min="12301" max="12301" width="0" style="1254" hidden="1" customWidth="1"/>
    <col min="12302" max="12544" width="9" style="1254"/>
    <col min="12545" max="12545" width="9.6640625" style="1254" customWidth="1"/>
    <col min="12546" max="12547" width="9" style="1254"/>
    <col min="12548" max="12548" width="10.44140625" style="1254" customWidth="1"/>
    <col min="12549" max="12550" width="9.77734375" style="1254" customWidth="1"/>
    <col min="12551" max="12556" width="9" style="1254"/>
    <col min="12557" max="12557" width="0" style="1254" hidden="1" customWidth="1"/>
    <col min="12558" max="12800" width="9" style="1254"/>
    <col min="12801" max="12801" width="9.6640625" style="1254" customWidth="1"/>
    <col min="12802" max="12803" width="9" style="1254"/>
    <col min="12804" max="12804" width="10.44140625" style="1254" customWidth="1"/>
    <col min="12805" max="12806" width="9.77734375" style="1254" customWidth="1"/>
    <col min="12807" max="12812" width="9" style="1254"/>
    <col min="12813" max="12813" width="0" style="1254" hidden="1" customWidth="1"/>
    <col min="12814" max="13056" width="9" style="1254"/>
    <col min="13057" max="13057" width="9.6640625" style="1254" customWidth="1"/>
    <col min="13058" max="13059" width="9" style="1254"/>
    <col min="13060" max="13060" width="10.44140625" style="1254" customWidth="1"/>
    <col min="13061" max="13062" width="9.77734375" style="1254" customWidth="1"/>
    <col min="13063" max="13068" width="9" style="1254"/>
    <col min="13069" max="13069" width="0" style="1254" hidden="1" customWidth="1"/>
    <col min="13070" max="13312" width="9" style="1254"/>
    <col min="13313" max="13313" width="9.6640625" style="1254" customWidth="1"/>
    <col min="13314" max="13315" width="9" style="1254"/>
    <col min="13316" max="13316" width="10.44140625" style="1254" customWidth="1"/>
    <col min="13317" max="13318" width="9.77734375" style="1254" customWidth="1"/>
    <col min="13319" max="13324" width="9" style="1254"/>
    <col min="13325" max="13325" width="0" style="1254" hidden="1" customWidth="1"/>
    <col min="13326" max="13568" width="9" style="1254"/>
    <col min="13569" max="13569" width="9.6640625" style="1254" customWidth="1"/>
    <col min="13570" max="13571" width="9" style="1254"/>
    <col min="13572" max="13572" width="10.44140625" style="1254" customWidth="1"/>
    <col min="13573" max="13574" width="9.77734375" style="1254" customWidth="1"/>
    <col min="13575" max="13580" width="9" style="1254"/>
    <col min="13581" max="13581" width="0" style="1254" hidden="1" customWidth="1"/>
    <col min="13582" max="13824" width="9" style="1254"/>
    <col min="13825" max="13825" width="9.6640625" style="1254" customWidth="1"/>
    <col min="13826" max="13827" width="9" style="1254"/>
    <col min="13828" max="13828" width="10.44140625" style="1254" customWidth="1"/>
    <col min="13829" max="13830" width="9.77734375" style="1254" customWidth="1"/>
    <col min="13831" max="13836" width="9" style="1254"/>
    <col min="13837" max="13837" width="0" style="1254" hidden="1" customWidth="1"/>
    <col min="13838" max="14080" width="9" style="1254"/>
    <col min="14081" max="14081" width="9.6640625" style="1254" customWidth="1"/>
    <col min="14082" max="14083" width="9" style="1254"/>
    <col min="14084" max="14084" width="10.44140625" style="1254" customWidth="1"/>
    <col min="14085" max="14086" width="9.77734375" style="1254" customWidth="1"/>
    <col min="14087" max="14092" width="9" style="1254"/>
    <col min="14093" max="14093" width="0" style="1254" hidden="1" customWidth="1"/>
    <col min="14094" max="14336" width="9" style="1254"/>
    <col min="14337" max="14337" width="9.6640625" style="1254" customWidth="1"/>
    <col min="14338" max="14339" width="9" style="1254"/>
    <col min="14340" max="14340" width="10.44140625" style="1254" customWidth="1"/>
    <col min="14341" max="14342" width="9.77734375" style="1254" customWidth="1"/>
    <col min="14343" max="14348" width="9" style="1254"/>
    <col min="14349" max="14349" width="0" style="1254" hidden="1" customWidth="1"/>
    <col min="14350" max="14592" width="9" style="1254"/>
    <col min="14593" max="14593" width="9.6640625" style="1254" customWidth="1"/>
    <col min="14594" max="14595" width="9" style="1254"/>
    <col min="14596" max="14596" width="10.44140625" style="1254" customWidth="1"/>
    <col min="14597" max="14598" width="9.77734375" style="1254" customWidth="1"/>
    <col min="14599" max="14604" width="9" style="1254"/>
    <col min="14605" max="14605" width="0" style="1254" hidden="1" customWidth="1"/>
    <col min="14606" max="14848" width="9" style="1254"/>
    <col min="14849" max="14849" width="9.6640625" style="1254" customWidth="1"/>
    <col min="14850" max="14851" width="9" style="1254"/>
    <col min="14852" max="14852" width="10.44140625" style="1254" customWidth="1"/>
    <col min="14853" max="14854" width="9.77734375" style="1254" customWidth="1"/>
    <col min="14855" max="14860" width="9" style="1254"/>
    <col min="14861" max="14861" width="0" style="1254" hidden="1" customWidth="1"/>
    <col min="14862" max="15104" width="9" style="1254"/>
    <col min="15105" max="15105" width="9.6640625" style="1254" customWidth="1"/>
    <col min="15106" max="15107" width="9" style="1254"/>
    <col min="15108" max="15108" width="10.44140625" style="1254" customWidth="1"/>
    <col min="15109" max="15110" width="9.77734375" style="1254" customWidth="1"/>
    <col min="15111" max="15116" width="9" style="1254"/>
    <col min="15117" max="15117" width="0" style="1254" hidden="1" customWidth="1"/>
    <col min="15118" max="15360" width="9" style="1254"/>
    <col min="15361" max="15361" width="9.6640625" style="1254" customWidth="1"/>
    <col min="15362" max="15363" width="9" style="1254"/>
    <col min="15364" max="15364" width="10.44140625" style="1254" customWidth="1"/>
    <col min="15365" max="15366" width="9.77734375" style="1254" customWidth="1"/>
    <col min="15367" max="15372" width="9" style="1254"/>
    <col min="15373" max="15373" width="0" style="1254" hidden="1" customWidth="1"/>
    <col min="15374" max="15616" width="9" style="1254"/>
    <col min="15617" max="15617" width="9.6640625" style="1254" customWidth="1"/>
    <col min="15618" max="15619" width="9" style="1254"/>
    <col min="15620" max="15620" width="10.44140625" style="1254" customWidth="1"/>
    <col min="15621" max="15622" width="9.77734375" style="1254" customWidth="1"/>
    <col min="15623" max="15628" width="9" style="1254"/>
    <col min="15629" max="15629" width="0" style="1254" hidden="1" customWidth="1"/>
    <col min="15630" max="15872" width="9" style="1254"/>
    <col min="15873" max="15873" width="9.6640625" style="1254" customWidth="1"/>
    <col min="15874" max="15875" width="9" style="1254"/>
    <col min="15876" max="15876" width="10.44140625" style="1254" customWidth="1"/>
    <col min="15877" max="15878" width="9.77734375" style="1254" customWidth="1"/>
    <col min="15879" max="15884" width="9" style="1254"/>
    <col min="15885" max="15885" width="0" style="1254" hidden="1" customWidth="1"/>
    <col min="15886" max="16128" width="9" style="1254"/>
    <col min="16129" max="16129" width="9.6640625" style="1254" customWidth="1"/>
    <col min="16130" max="16131" width="9" style="1254"/>
    <col min="16132" max="16132" width="10.44140625" style="1254" customWidth="1"/>
    <col min="16133" max="16134" width="9.77734375" style="1254" customWidth="1"/>
    <col min="16135" max="16140" width="9" style="1254"/>
    <col min="16141" max="16141" width="0" style="1254" hidden="1" customWidth="1"/>
    <col min="16142" max="16384" width="9" style="1254"/>
  </cols>
  <sheetData>
    <row r="1" spans="1:13" s="1247" customFormat="1" ht="60.75" thickBot="1">
      <c r="A1" s="1241" t="s">
        <v>306</v>
      </c>
      <c r="B1" s="1242" t="s">
        <v>307</v>
      </c>
      <c r="C1" s="1242" t="s">
        <v>308</v>
      </c>
      <c r="D1" s="1243" t="s">
        <v>309</v>
      </c>
      <c r="E1" s="1244" t="s">
        <v>310</v>
      </c>
      <c r="F1" s="1245" t="s">
        <v>311</v>
      </c>
      <c r="G1" s="1244" t="s">
        <v>318</v>
      </c>
      <c r="H1" s="1245" t="s">
        <v>319</v>
      </c>
      <c r="I1" s="1245" t="s">
        <v>312</v>
      </c>
      <c r="J1" s="1245" t="s">
        <v>313</v>
      </c>
      <c r="K1" s="1244" t="s">
        <v>314</v>
      </c>
      <c r="L1" s="1244" t="s">
        <v>315</v>
      </c>
      <c r="M1" s="1246" t="s">
        <v>316</v>
      </c>
    </row>
    <row r="2" spans="1:13">
      <c r="A2" s="1248" t="s">
        <v>317</v>
      </c>
      <c r="B2" s="1249">
        <v>1</v>
      </c>
      <c r="C2" s="1249">
        <v>1</v>
      </c>
      <c r="D2" s="1250">
        <v>2021</v>
      </c>
      <c r="E2" s="1251">
        <f>'Daily HLP'!I4</f>
        <v>19291</v>
      </c>
      <c r="F2" s="1252">
        <f>'Daily HLP'!J4</f>
        <v>9</v>
      </c>
      <c r="G2" s="1252">
        <f>'Daily HLP'!M4</f>
        <v>797.95000000018626</v>
      </c>
      <c r="H2" s="1252">
        <v>44</v>
      </c>
      <c r="I2" s="1252">
        <f>'Daily HLP'!P4</f>
        <v>171</v>
      </c>
      <c r="J2" s="1252">
        <v>100</v>
      </c>
      <c r="K2" s="1328">
        <f>Occupancy!G2</f>
        <v>91</v>
      </c>
      <c r="L2" s="1251">
        <f>Occupancy!F2</f>
        <v>327</v>
      </c>
      <c r="M2" s="1253" t="e">
        <f>E2*F2+G2*H2+#REF!*#REF!+I2*J2</f>
        <v>#REF!</v>
      </c>
    </row>
    <row r="3" spans="1:13">
      <c r="A3" s="1248" t="s">
        <v>317</v>
      </c>
      <c r="B3" s="1249">
        <f>B2+1</f>
        <v>2</v>
      </c>
      <c r="C3" s="1249">
        <v>1</v>
      </c>
      <c r="D3" s="1250">
        <v>2021</v>
      </c>
      <c r="E3" s="1251">
        <f>'Daily HLP'!I5</f>
        <v>19381</v>
      </c>
      <c r="F3" s="1252">
        <f>F2</f>
        <v>9</v>
      </c>
      <c r="G3" s="1252">
        <f>'Daily HLP'!M5</f>
        <v>860.89999999990687</v>
      </c>
      <c r="H3" s="1252">
        <v>44</v>
      </c>
      <c r="I3" s="1252">
        <f>'Daily HLP'!P5</f>
        <v>171</v>
      </c>
      <c r="J3" s="1252">
        <v>100</v>
      </c>
      <c r="K3" s="1328">
        <f>Occupancy!G3</f>
        <v>120</v>
      </c>
      <c r="L3" s="1251">
        <f>Occupancy!F3</f>
        <v>310</v>
      </c>
      <c r="M3" s="1253" t="e">
        <f>E3*F3+G3*H3+#REF!*#REF!+I3*J3</f>
        <v>#REF!</v>
      </c>
    </row>
    <row r="4" spans="1:13">
      <c r="A4" s="1248" t="s">
        <v>317</v>
      </c>
      <c r="B4" s="1249">
        <f t="shared" ref="B4:B31" si="0">B3+1</f>
        <v>3</v>
      </c>
      <c r="C4" s="1249">
        <v>1</v>
      </c>
      <c r="D4" s="1250">
        <v>2021</v>
      </c>
      <c r="E4" s="1251">
        <f>'Daily HLP'!I6</f>
        <v>19375</v>
      </c>
      <c r="F4" s="1252">
        <f t="shared" ref="F4:F31" si="1">F3</f>
        <v>9</v>
      </c>
      <c r="G4" s="1252">
        <f>'Daily HLP'!M6</f>
        <v>873</v>
      </c>
      <c r="H4" s="1252">
        <v>44</v>
      </c>
      <c r="I4" s="1252">
        <f>'Daily HLP'!P6</f>
        <v>161</v>
      </c>
      <c r="J4" s="1252">
        <v>100</v>
      </c>
      <c r="K4" s="1328">
        <f>Occupancy!G4</f>
        <v>112</v>
      </c>
      <c r="L4" s="1251">
        <f>Occupancy!F4</f>
        <v>386</v>
      </c>
      <c r="M4" s="1253" t="e">
        <f>E4*F4+G4*H4+#REF!*#REF!+I4*J4</f>
        <v>#REF!</v>
      </c>
    </row>
    <row r="5" spans="1:13">
      <c r="A5" s="1248" t="s">
        <v>317</v>
      </c>
      <c r="B5" s="1249">
        <f t="shared" si="0"/>
        <v>4</v>
      </c>
      <c r="C5" s="1249">
        <v>1</v>
      </c>
      <c r="D5" s="1250">
        <v>2021</v>
      </c>
      <c r="E5" s="1251">
        <f>'Daily HLP'!I7</f>
        <v>18251</v>
      </c>
      <c r="F5" s="1252">
        <f t="shared" si="1"/>
        <v>9</v>
      </c>
      <c r="G5" s="1252">
        <f>'Daily HLP'!M7</f>
        <v>796</v>
      </c>
      <c r="H5" s="1252">
        <v>44</v>
      </c>
      <c r="I5" s="1252">
        <f>'Daily HLP'!P7</f>
        <v>150</v>
      </c>
      <c r="J5" s="1252">
        <v>100</v>
      </c>
      <c r="K5" s="1328">
        <f>Occupancy!G5</f>
        <v>112</v>
      </c>
      <c r="L5" s="1251">
        <f>Occupancy!F5</f>
        <v>558</v>
      </c>
      <c r="M5" s="1253" t="e">
        <f>E5*F5+G5*H5+#REF!*#REF!+I5*J5</f>
        <v>#REF!</v>
      </c>
    </row>
    <row r="6" spans="1:13">
      <c r="A6" s="1248" t="s">
        <v>317</v>
      </c>
      <c r="B6" s="1249">
        <f t="shared" si="0"/>
        <v>5</v>
      </c>
      <c r="C6" s="1249">
        <v>1</v>
      </c>
      <c r="D6" s="1250">
        <v>2021</v>
      </c>
      <c r="E6" s="1251">
        <f>'Daily HLP'!I8</f>
        <v>18524</v>
      </c>
      <c r="F6" s="1252">
        <f t="shared" si="1"/>
        <v>9</v>
      </c>
      <c r="G6" s="1252">
        <f>'Daily HLP'!M8</f>
        <v>778</v>
      </c>
      <c r="H6" s="1252">
        <v>44</v>
      </c>
      <c r="I6" s="1252">
        <f>'Daily HLP'!P8</f>
        <v>181</v>
      </c>
      <c r="J6" s="1252">
        <v>100</v>
      </c>
      <c r="K6" s="1328">
        <f>Occupancy!G6</f>
        <v>105</v>
      </c>
      <c r="L6" s="1251">
        <f>Occupancy!F6</f>
        <v>416</v>
      </c>
      <c r="M6" s="1253" t="e">
        <f>E6*F6+G6*H6+#REF!*#REF!+I6*J6</f>
        <v>#REF!</v>
      </c>
    </row>
    <row r="7" spans="1:13">
      <c r="A7" s="1248" t="s">
        <v>317</v>
      </c>
      <c r="B7" s="1249">
        <f t="shared" si="0"/>
        <v>6</v>
      </c>
      <c r="C7" s="1249">
        <v>1</v>
      </c>
      <c r="D7" s="1250">
        <v>2021</v>
      </c>
      <c r="E7" s="1251">
        <f>'Daily HLP'!I9</f>
        <v>19190</v>
      </c>
      <c r="F7" s="1252">
        <f t="shared" si="1"/>
        <v>9</v>
      </c>
      <c r="G7" s="1252">
        <f>'Daily HLP'!M9</f>
        <v>814</v>
      </c>
      <c r="H7" s="1252">
        <v>44</v>
      </c>
      <c r="I7" s="1252">
        <f>'Daily HLP'!P9</f>
        <v>271</v>
      </c>
      <c r="J7" s="1252">
        <v>100</v>
      </c>
      <c r="K7" s="1328">
        <f>Occupancy!G7</f>
        <v>150</v>
      </c>
      <c r="L7" s="1251">
        <f>Occupancy!F7</f>
        <v>582</v>
      </c>
      <c r="M7" s="1253" t="e">
        <f>E7*F7+G7*H7+#REF!*#REF!+I7*J7</f>
        <v>#REF!</v>
      </c>
    </row>
    <row r="8" spans="1:13">
      <c r="A8" s="1248" t="s">
        <v>317</v>
      </c>
      <c r="B8" s="1249">
        <f t="shared" si="0"/>
        <v>7</v>
      </c>
      <c r="C8" s="1249">
        <v>1</v>
      </c>
      <c r="D8" s="1250">
        <v>2021</v>
      </c>
      <c r="E8" s="1251">
        <f>'Daily HLP'!I10</f>
        <v>18255</v>
      </c>
      <c r="F8" s="1252">
        <f t="shared" si="1"/>
        <v>9</v>
      </c>
      <c r="G8" s="1252">
        <f>'Daily HLP'!M10</f>
        <v>844.44999999995343</v>
      </c>
      <c r="H8" s="1252">
        <v>44</v>
      </c>
      <c r="I8" s="1252">
        <f>'Daily HLP'!P10</f>
        <v>212</v>
      </c>
      <c r="J8" s="1252">
        <v>100</v>
      </c>
      <c r="K8" s="1328">
        <f>Occupancy!G8</f>
        <v>107</v>
      </c>
      <c r="L8" s="1251">
        <f>Occupancy!F8</f>
        <v>437</v>
      </c>
      <c r="M8" s="1253" t="e">
        <f>E8*F8+G8*H8+#REF!*#REF!+I8*J8</f>
        <v>#REF!</v>
      </c>
    </row>
    <row r="9" spans="1:13">
      <c r="A9" s="1248" t="s">
        <v>317</v>
      </c>
      <c r="B9" s="1249">
        <f t="shared" si="0"/>
        <v>8</v>
      </c>
      <c r="C9" s="1249">
        <v>1</v>
      </c>
      <c r="D9" s="1250">
        <v>2021</v>
      </c>
      <c r="E9" s="1251">
        <f>'Daily HLP'!I11</f>
        <v>15387</v>
      </c>
      <c r="F9" s="1252">
        <f t="shared" si="1"/>
        <v>9</v>
      </c>
      <c r="G9" s="1252">
        <f>'Daily HLP'!M11</f>
        <v>816.28000000002794</v>
      </c>
      <c r="H9" s="1252">
        <v>44</v>
      </c>
      <c r="I9" s="1252">
        <f>'Daily HLP'!P11</f>
        <v>211</v>
      </c>
      <c r="J9" s="1252">
        <v>100</v>
      </c>
      <c r="K9" s="1328">
        <f>Occupancy!G9</f>
        <v>120</v>
      </c>
      <c r="L9" s="1251">
        <f>Occupancy!F9</f>
        <v>355</v>
      </c>
      <c r="M9" s="1253" t="e">
        <f>E9*F9+G9*H9+#REF!*#REF!+I9*J9</f>
        <v>#REF!</v>
      </c>
    </row>
    <row r="10" spans="1:13">
      <c r="A10" s="1248" t="s">
        <v>317</v>
      </c>
      <c r="B10" s="1249">
        <f t="shared" si="0"/>
        <v>9</v>
      </c>
      <c r="C10" s="1249">
        <v>1</v>
      </c>
      <c r="D10" s="1250">
        <v>2021</v>
      </c>
      <c r="E10" s="1251">
        <f>'Daily HLP'!I12</f>
        <v>18397</v>
      </c>
      <c r="F10" s="1252">
        <f t="shared" si="1"/>
        <v>9</v>
      </c>
      <c r="G10" s="1252">
        <f>'Daily HLP'!M12</f>
        <v>637.05000000004657</v>
      </c>
      <c r="H10" s="1252">
        <v>44</v>
      </c>
      <c r="I10" s="1252">
        <f>'Daily HLP'!P12</f>
        <v>192</v>
      </c>
      <c r="J10" s="1252">
        <v>100</v>
      </c>
      <c r="K10" s="1328">
        <f>Occupancy!G10</f>
        <v>125</v>
      </c>
      <c r="L10" s="1251">
        <f>Occupancy!F10</f>
        <v>382</v>
      </c>
      <c r="M10" s="1253" t="e">
        <f>E10*F10+G10*H10+#REF!*#REF!+I10*J10</f>
        <v>#REF!</v>
      </c>
    </row>
    <row r="11" spans="1:13">
      <c r="A11" s="1248" t="s">
        <v>317</v>
      </c>
      <c r="B11" s="1249">
        <f t="shared" si="0"/>
        <v>10</v>
      </c>
      <c r="C11" s="1249">
        <v>1</v>
      </c>
      <c r="D11" s="1250">
        <v>2021</v>
      </c>
      <c r="E11" s="1251">
        <f>'Daily HLP'!I13</f>
        <v>18869</v>
      </c>
      <c r="F11" s="1252">
        <f t="shared" si="1"/>
        <v>9</v>
      </c>
      <c r="G11" s="1252">
        <f>'Daily HLP'!M13</f>
        <v>899.0999999998603</v>
      </c>
      <c r="H11" s="1252">
        <v>44</v>
      </c>
      <c r="I11" s="1252">
        <f>'Daily HLP'!P13</f>
        <v>250</v>
      </c>
      <c r="J11" s="1252">
        <v>100</v>
      </c>
      <c r="K11" s="1328">
        <f>Occupancy!G11</f>
        <v>142</v>
      </c>
      <c r="L11" s="1251">
        <f>Occupancy!F11</f>
        <v>434</v>
      </c>
      <c r="M11" s="1253" t="e">
        <f>E11*F11+G11*H11+#REF!*#REF!+I11*J11</f>
        <v>#REF!</v>
      </c>
    </row>
    <row r="12" spans="1:13">
      <c r="A12" s="1248" t="s">
        <v>317</v>
      </c>
      <c r="B12" s="1249">
        <f t="shared" si="0"/>
        <v>11</v>
      </c>
      <c r="C12" s="1249">
        <v>1</v>
      </c>
      <c r="D12" s="1250">
        <v>2021</v>
      </c>
      <c r="E12" s="1251">
        <f>'Daily HLP'!I14</f>
        <v>18625</v>
      </c>
      <c r="F12" s="1252">
        <f t="shared" si="1"/>
        <v>9</v>
      </c>
      <c r="G12" s="1252">
        <f>'Daily HLP'!M14</f>
        <v>887.12000000011176</v>
      </c>
      <c r="H12" s="1252">
        <v>44</v>
      </c>
      <c r="I12" s="1252">
        <f>'Daily HLP'!P14</f>
        <v>211</v>
      </c>
      <c r="J12" s="1252">
        <v>100</v>
      </c>
      <c r="K12" s="1328">
        <f>Occupancy!G12</f>
        <v>122</v>
      </c>
      <c r="L12" s="1251">
        <f>Occupancy!F12</f>
        <v>309</v>
      </c>
      <c r="M12" s="1253" t="e">
        <f>E12*F12+G12*H12+#REF!*#REF!+I12*J12</f>
        <v>#REF!</v>
      </c>
    </row>
    <row r="13" spans="1:13">
      <c r="A13" s="1248" t="s">
        <v>317</v>
      </c>
      <c r="B13" s="1249">
        <f t="shared" si="0"/>
        <v>12</v>
      </c>
      <c r="C13" s="1249">
        <v>1</v>
      </c>
      <c r="D13" s="1250">
        <v>2021</v>
      </c>
      <c r="E13" s="1251">
        <f>'Daily HLP'!I15</f>
        <v>19448</v>
      </c>
      <c r="F13" s="1252">
        <f t="shared" si="1"/>
        <v>9</v>
      </c>
      <c r="G13" s="1252">
        <f>'Daily HLP'!M15</f>
        <v>914.91800000006333</v>
      </c>
      <c r="H13" s="1252">
        <v>44</v>
      </c>
      <c r="I13" s="1252">
        <f>'Daily HLP'!P15</f>
        <v>211</v>
      </c>
      <c r="J13" s="1252">
        <v>100</v>
      </c>
      <c r="K13" s="1328">
        <f>Occupancy!G13</f>
        <v>131</v>
      </c>
      <c r="L13" s="1251">
        <f>Occupancy!F13</f>
        <v>505</v>
      </c>
      <c r="M13" s="1253" t="e">
        <f>E13*F13+G13*H13+#REF!*#REF!+I13*J13</f>
        <v>#REF!</v>
      </c>
    </row>
    <row r="14" spans="1:13">
      <c r="A14" s="1248" t="s">
        <v>317</v>
      </c>
      <c r="B14" s="1249">
        <f t="shared" si="0"/>
        <v>13</v>
      </c>
      <c r="C14" s="1249">
        <v>1</v>
      </c>
      <c r="D14" s="1250">
        <v>2021</v>
      </c>
      <c r="E14" s="1251">
        <f>'Daily HLP'!I16</f>
        <v>20224</v>
      </c>
      <c r="F14" s="1252">
        <f t="shared" si="1"/>
        <v>9</v>
      </c>
      <c r="G14" s="1252">
        <f>'Daily HLP'!M16</f>
        <v>1043.6699999999255</v>
      </c>
      <c r="H14" s="1252">
        <v>44</v>
      </c>
      <c r="I14" s="1252">
        <f>'Daily HLP'!P16</f>
        <v>272</v>
      </c>
      <c r="J14" s="1252">
        <v>100</v>
      </c>
      <c r="K14" s="1328">
        <f>Occupancy!G14</f>
        <v>195</v>
      </c>
      <c r="L14" s="1251">
        <f>Occupancy!F14</f>
        <v>581</v>
      </c>
      <c r="M14" s="1253" t="e">
        <f>E14*F14+G14*H14+#REF!*#REF!+I14*J14</f>
        <v>#REF!</v>
      </c>
    </row>
    <row r="15" spans="1:13">
      <c r="A15" s="1248" t="s">
        <v>317</v>
      </c>
      <c r="B15" s="1249">
        <f t="shared" si="0"/>
        <v>14</v>
      </c>
      <c r="C15" s="1249">
        <v>1</v>
      </c>
      <c r="D15" s="1250">
        <v>2021</v>
      </c>
      <c r="E15" s="1251">
        <f>'Daily HLP'!I17</f>
        <v>22577</v>
      </c>
      <c r="F15" s="1252">
        <f t="shared" si="1"/>
        <v>9</v>
      </c>
      <c r="G15" s="1252">
        <f>'Daily HLP'!M17</f>
        <v>1135.4930000000168</v>
      </c>
      <c r="H15" s="1252">
        <v>44</v>
      </c>
      <c r="I15" s="1252">
        <f>'Daily HLP'!P17</f>
        <v>241</v>
      </c>
      <c r="J15" s="1252">
        <v>100</v>
      </c>
      <c r="K15" s="1328">
        <f>Occupancy!G15</f>
        <v>192</v>
      </c>
      <c r="L15" s="1251">
        <f>Occupancy!F15</f>
        <v>1020</v>
      </c>
      <c r="M15" s="1253" t="e">
        <f>E15*F15+G15*H15+#REF!*#REF!+I15*J15</f>
        <v>#REF!</v>
      </c>
    </row>
    <row r="16" spans="1:13">
      <c r="A16" s="1248" t="s">
        <v>317</v>
      </c>
      <c r="B16" s="1249">
        <f t="shared" si="0"/>
        <v>15</v>
      </c>
      <c r="C16" s="1249">
        <v>1</v>
      </c>
      <c r="D16" s="1250">
        <v>2021</v>
      </c>
      <c r="E16" s="1251">
        <f>'Daily HLP'!I18</f>
        <v>23207</v>
      </c>
      <c r="F16" s="1252">
        <f t="shared" si="1"/>
        <v>9</v>
      </c>
      <c r="G16" s="1252">
        <f>'Daily HLP'!M18</f>
        <v>1235.2890000001062</v>
      </c>
      <c r="H16" s="1252">
        <v>44</v>
      </c>
      <c r="I16" s="1252">
        <f>'Daily HLP'!P18</f>
        <v>372</v>
      </c>
      <c r="J16" s="1252">
        <v>100</v>
      </c>
      <c r="K16" s="1328">
        <f>Occupancy!G16</f>
        <v>126</v>
      </c>
      <c r="L16" s="1251" t="e">
        <f>Occupancy!#REF!</f>
        <v>#REF!</v>
      </c>
      <c r="M16" s="1253" t="e">
        <f>E16*F16+G16*H16+#REF!*#REF!+I16*J16</f>
        <v>#REF!</v>
      </c>
    </row>
    <row r="17" spans="1:13">
      <c r="A17" s="1248" t="s">
        <v>317</v>
      </c>
      <c r="B17" s="1249">
        <f t="shared" si="0"/>
        <v>16</v>
      </c>
      <c r="C17" s="1249">
        <v>1</v>
      </c>
      <c r="D17" s="1250">
        <v>2021</v>
      </c>
      <c r="E17" s="1251">
        <f>'Daily HLP'!I19</f>
        <v>20975</v>
      </c>
      <c r="F17" s="1252">
        <f t="shared" si="1"/>
        <v>9</v>
      </c>
      <c r="G17" s="1252">
        <f>'Daily HLP'!M19</f>
        <v>1012.5699999998324</v>
      </c>
      <c r="H17" s="1252">
        <v>44</v>
      </c>
      <c r="I17" s="1252">
        <f>'Daily HLP'!P19</f>
        <v>250</v>
      </c>
      <c r="J17" s="1252">
        <v>100</v>
      </c>
      <c r="K17" s="1328">
        <f>Occupancy!G17</f>
        <v>120</v>
      </c>
      <c r="L17" s="1251">
        <f>Occupancy!F16</f>
        <v>916</v>
      </c>
      <c r="M17" s="1253" t="e">
        <f>E17*F17+G17*H17+#REF!*#REF!+I17*J17</f>
        <v>#REF!</v>
      </c>
    </row>
    <row r="18" spans="1:13">
      <c r="A18" s="1248" t="s">
        <v>317</v>
      </c>
      <c r="B18" s="1249">
        <f t="shared" si="0"/>
        <v>17</v>
      </c>
      <c r="C18" s="1249">
        <v>1</v>
      </c>
      <c r="D18" s="1250">
        <v>2021</v>
      </c>
      <c r="E18" s="1251">
        <f>'Daily HLP'!I20</f>
        <v>19571</v>
      </c>
      <c r="F18" s="1252">
        <f t="shared" si="1"/>
        <v>9</v>
      </c>
      <c r="G18" s="1252">
        <f>'Daily HLP'!M20</f>
        <v>930.51000000000931</v>
      </c>
      <c r="H18" s="1252">
        <v>44</v>
      </c>
      <c r="I18" s="1252">
        <f>'Daily HLP'!P20</f>
        <v>191</v>
      </c>
      <c r="J18" s="1252">
        <v>100</v>
      </c>
      <c r="K18" s="1328">
        <f>Occupancy!G18</f>
        <v>91</v>
      </c>
      <c r="L18" s="1251">
        <f>Occupancy!F17</f>
        <v>797</v>
      </c>
      <c r="M18" s="1253" t="e">
        <f>E18*F18+G18*H18+#REF!*#REF!+I18*J18</f>
        <v>#REF!</v>
      </c>
    </row>
    <row r="19" spans="1:13">
      <c r="A19" s="1248" t="s">
        <v>317</v>
      </c>
      <c r="B19" s="1249">
        <f t="shared" si="0"/>
        <v>18</v>
      </c>
      <c r="C19" s="1249">
        <v>1</v>
      </c>
      <c r="D19" s="1250">
        <v>2021</v>
      </c>
      <c r="E19" s="1251">
        <f>'Daily HLP'!I21</f>
        <v>20195</v>
      </c>
      <c r="F19" s="1252">
        <f t="shared" si="1"/>
        <v>9</v>
      </c>
      <c r="G19" s="1252">
        <f>'Daily HLP'!M21</f>
        <v>840.14000000013039</v>
      </c>
      <c r="H19" s="1252">
        <v>44</v>
      </c>
      <c r="I19" s="1252">
        <f>'Daily HLP'!P21</f>
        <v>167</v>
      </c>
      <c r="J19" s="1252">
        <v>100</v>
      </c>
      <c r="K19" s="1328">
        <f>Occupancy!G19</f>
        <v>91</v>
      </c>
      <c r="L19" s="1251">
        <f>Occupancy!F18</f>
        <v>395</v>
      </c>
      <c r="M19" s="1253" t="e">
        <f>E19*F19+G19*H19+#REF!*#REF!+I19*J19</f>
        <v>#REF!</v>
      </c>
    </row>
    <row r="20" spans="1:13">
      <c r="A20" s="1248" t="s">
        <v>317</v>
      </c>
      <c r="B20" s="1249">
        <f t="shared" si="0"/>
        <v>19</v>
      </c>
      <c r="C20" s="1249">
        <v>1</v>
      </c>
      <c r="D20" s="1250">
        <v>2021</v>
      </c>
      <c r="E20" s="1251">
        <f>'Daily HLP'!I22</f>
        <v>19578</v>
      </c>
      <c r="F20" s="1252">
        <f t="shared" si="1"/>
        <v>9</v>
      </c>
      <c r="G20" s="1252">
        <f>'Daily HLP'!M22</f>
        <v>881.40999999991618</v>
      </c>
      <c r="H20" s="1252">
        <v>44</v>
      </c>
      <c r="I20" s="1252">
        <f>'Daily HLP'!P22</f>
        <v>190</v>
      </c>
      <c r="J20" s="1252">
        <v>100</v>
      </c>
      <c r="K20" s="1328">
        <f>Occupancy!G20</f>
        <v>0</v>
      </c>
      <c r="M20" s="1253" t="e">
        <f>E20*F20+G20*H20+#REF!*#REF!+I20*J20</f>
        <v>#REF!</v>
      </c>
    </row>
    <row r="21" spans="1:13">
      <c r="A21" s="1248" t="s">
        <v>317</v>
      </c>
      <c r="B21" s="1249">
        <f t="shared" si="0"/>
        <v>20</v>
      </c>
      <c r="C21" s="1249">
        <v>1</v>
      </c>
      <c r="D21" s="1250">
        <v>2021</v>
      </c>
      <c r="E21" s="1251">
        <f>'Daily HLP'!I23</f>
        <v>-579731</v>
      </c>
      <c r="F21" s="1252">
        <f t="shared" si="1"/>
        <v>9</v>
      </c>
      <c r="G21" s="1252">
        <f>'Daily HLP'!M23</f>
        <v>-25919</v>
      </c>
      <c r="H21" s="1252">
        <v>44</v>
      </c>
      <c r="I21" s="1252">
        <f>'Daily HLP'!P23</f>
        <v>-1379</v>
      </c>
      <c r="J21" s="1252">
        <v>100</v>
      </c>
      <c r="K21" s="1328">
        <f>Occupancy!G21</f>
        <v>0</v>
      </c>
      <c r="M21" s="1253" t="e">
        <f>E21*F21+G21*H21+#REF!*#REF!+I21*J21</f>
        <v>#REF!</v>
      </c>
    </row>
    <row r="22" spans="1:13">
      <c r="A22" s="1248" t="s">
        <v>317</v>
      </c>
      <c r="B22" s="1249">
        <f t="shared" si="0"/>
        <v>21</v>
      </c>
      <c r="C22" s="1249">
        <v>1</v>
      </c>
      <c r="D22" s="1250">
        <v>2021</v>
      </c>
      <c r="E22" s="1251">
        <f>'Daily HLP'!I24</f>
        <v>19415</v>
      </c>
      <c r="F22" s="1252">
        <f t="shared" si="1"/>
        <v>9</v>
      </c>
      <c r="G22" s="1252">
        <f>'Daily HLP'!M24</f>
        <v>906.93999999994412</v>
      </c>
      <c r="H22" s="1252">
        <v>44</v>
      </c>
      <c r="I22" s="1252">
        <f>'Daily HLP'!P24</f>
        <v>179</v>
      </c>
      <c r="J22" s="1252">
        <v>100</v>
      </c>
      <c r="K22" s="1328">
        <f>Occupancy!G22</f>
        <v>0</v>
      </c>
      <c r="M22" s="1253" t="e">
        <f>E22*F22+G22*H22+#REF!*#REF!+I22*J22</f>
        <v>#REF!</v>
      </c>
    </row>
    <row r="23" spans="1:13">
      <c r="A23" s="1248" t="s">
        <v>317</v>
      </c>
      <c r="B23" s="1249">
        <f t="shared" si="0"/>
        <v>22</v>
      </c>
      <c r="C23" s="1249">
        <v>1</v>
      </c>
      <c r="D23" s="1250">
        <v>2021</v>
      </c>
      <c r="E23" s="1251">
        <f>'Daily HLP'!I25</f>
        <v>19510</v>
      </c>
      <c r="F23" s="1252">
        <f t="shared" si="1"/>
        <v>9</v>
      </c>
      <c r="G23" s="1252">
        <f>'Daily HLP'!M25</f>
        <v>904</v>
      </c>
      <c r="H23" s="1252">
        <v>44</v>
      </c>
      <c r="I23" s="1252">
        <f>'Daily HLP'!P25</f>
        <v>177</v>
      </c>
      <c r="J23" s="1252">
        <v>100</v>
      </c>
      <c r="K23" s="1328">
        <f>Occupancy!G23</f>
        <v>0</v>
      </c>
      <c r="M23" s="1253" t="e">
        <f>E23*F23+G23*H23+#REF!*#REF!+I23*J23</f>
        <v>#REF!</v>
      </c>
    </row>
    <row r="24" spans="1:13">
      <c r="A24" s="1248" t="s">
        <v>317</v>
      </c>
      <c r="B24" s="1249">
        <f t="shared" si="0"/>
        <v>23</v>
      </c>
      <c r="C24" s="1249">
        <v>1</v>
      </c>
      <c r="D24" s="1250">
        <v>2021</v>
      </c>
      <c r="E24" s="1251">
        <f>'Daily HLP'!I26</f>
        <v>19709</v>
      </c>
      <c r="F24" s="1252">
        <f t="shared" si="1"/>
        <v>9</v>
      </c>
      <c r="G24" s="1252">
        <f>'Daily HLP'!M26</f>
        <v>934.93999999994412</v>
      </c>
      <c r="H24" s="1252">
        <v>44</v>
      </c>
      <c r="I24" s="1252">
        <f>'Daily HLP'!P26</f>
        <v>203</v>
      </c>
      <c r="J24" s="1252">
        <v>100</v>
      </c>
      <c r="K24" s="1328">
        <f>Occupancy!G24</f>
        <v>0</v>
      </c>
      <c r="M24" s="1253" t="e">
        <f>E24*F24+G24*H24+#REF!*#REF!+I24*J24</f>
        <v>#REF!</v>
      </c>
    </row>
    <row r="25" spans="1:13">
      <c r="A25" s="1248" t="s">
        <v>317</v>
      </c>
      <c r="B25" s="1249">
        <f t="shared" si="0"/>
        <v>24</v>
      </c>
      <c r="C25" s="1249">
        <v>1</v>
      </c>
      <c r="D25" s="1250">
        <v>2021</v>
      </c>
      <c r="E25" s="1251">
        <f>'Daily HLP'!I27</f>
        <v>19391</v>
      </c>
      <c r="F25" s="1252">
        <f t="shared" si="1"/>
        <v>9</v>
      </c>
      <c r="G25" s="1252">
        <f>'Daily HLP'!M27</f>
        <v>748.12000000011176</v>
      </c>
      <c r="H25" s="1252">
        <v>44</v>
      </c>
      <c r="I25" s="1252">
        <f>'Daily HLP'!P27</f>
        <v>190</v>
      </c>
      <c r="J25" s="1252">
        <v>100</v>
      </c>
      <c r="K25" s="1328">
        <f>Occupancy!G25</f>
        <v>0</v>
      </c>
      <c r="M25" s="1253" t="e">
        <f>E25*F25+G25*H25+#REF!*#REF!+I25*J25</f>
        <v>#REF!</v>
      </c>
    </row>
    <row r="26" spans="1:13">
      <c r="A26" s="1248" t="s">
        <v>317</v>
      </c>
      <c r="B26" s="1249">
        <f>B25+1</f>
        <v>25</v>
      </c>
      <c r="C26" s="1249">
        <v>1</v>
      </c>
      <c r="D26" s="1250">
        <v>2021</v>
      </c>
      <c r="E26" s="1251">
        <f>'Daily HLP'!I28</f>
        <v>19169</v>
      </c>
      <c r="F26" s="1252">
        <f t="shared" si="1"/>
        <v>9</v>
      </c>
      <c r="G26" s="1252">
        <f>'Daily HLP'!M28</f>
        <v>930.86000000010245</v>
      </c>
      <c r="H26" s="1252">
        <v>44</v>
      </c>
      <c r="I26" s="1252">
        <f>'Daily HLP'!P28</f>
        <v>183</v>
      </c>
      <c r="J26" s="1252">
        <v>100</v>
      </c>
      <c r="K26" s="1328">
        <f>Occupancy!G26</f>
        <v>0</v>
      </c>
      <c r="M26" s="1253" t="e">
        <f>E26*F26+G26*H26+#REF!*#REF!+I26*J26</f>
        <v>#REF!</v>
      </c>
    </row>
    <row r="27" spans="1:13">
      <c r="A27" s="1248" t="s">
        <v>317</v>
      </c>
      <c r="B27" s="1249">
        <f t="shared" si="0"/>
        <v>26</v>
      </c>
      <c r="C27" s="1249">
        <v>1</v>
      </c>
      <c r="D27" s="1250">
        <v>2021</v>
      </c>
      <c r="E27" s="1251">
        <f>'Daily HLP'!I29</f>
        <v>18998</v>
      </c>
      <c r="F27" s="1252">
        <f t="shared" si="1"/>
        <v>9</v>
      </c>
      <c r="G27" s="1252">
        <f>'Daily HLP'!M29</f>
        <v>855.13999999989755</v>
      </c>
      <c r="H27" s="1252">
        <v>44</v>
      </c>
      <c r="I27" s="1252">
        <f>'Daily HLP'!P29</f>
        <v>189</v>
      </c>
      <c r="J27" s="1252">
        <v>100</v>
      </c>
      <c r="K27" s="1328">
        <f>Occupancy!G27</f>
        <v>0</v>
      </c>
      <c r="M27" s="1253" t="e">
        <f>E27*F27+G27*H27+#REF!*#REF!+I27*J27</f>
        <v>#REF!</v>
      </c>
    </row>
    <row r="28" spans="1:13">
      <c r="A28" s="1248" t="s">
        <v>317</v>
      </c>
      <c r="B28" s="1249">
        <f t="shared" si="0"/>
        <v>27</v>
      </c>
      <c r="C28" s="1249">
        <v>1</v>
      </c>
      <c r="D28" s="1250">
        <v>2021</v>
      </c>
      <c r="E28" s="1251">
        <f>'Daily HLP'!I30</f>
        <v>18736</v>
      </c>
      <c r="F28" s="1252">
        <f t="shared" si="1"/>
        <v>9</v>
      </c>
      <c r="G28" s="1252">
        <f>'Daily HLP'!M30</f>
        <v>843.93999999994412</v>
      </c>
      <c r="H28" s="1252">
        <v>44</v>
      </c>
      <c r="I28" s="1252">
        <f>'Daily HLP'!P30</f>
        <v>174</v>
      </c>
      <c r="J28" s="1252">
        <v>100</v>
      </c>
      <c r="K28" s="1328">
        <f>Occupancy!G28</f>
        <v>0</v>
      </c>
      <c r="M28" s="1253" t="e">
        <f>E28*F28+G28*H28+#REF!*#REF!+I28*J28</f>
        <v>#REF!</v>
      </c>
    </row>
    <row r="29" spans="1:13">
      <c r="A29" s="1248" t="s">
        <v>317</v>
      </c>
      <c r="B29" s="1249">
        <f t="shared" si="0"/>
        <v>28</v>
      </c>
      <c r="C29" s="1249">
        <v>1</v>
      </c>
      <c r="D29" s="1250">
        <v>2021</v>
      </c>
      <c r="E29" s="1251">
        <f>'Daily HLP'!I31</f>
        <v>19357</v>
      </c>
      <c r="F29" s="1252">
        <f t="shared" si="1"/>
        <v>9</v>
      </c>
      <c r="G29" s="1252">
        <f>'Daily HLP'!M31</f>
        <v>434.06000000005588</v>
      </c>
      <c r="H29" s="1252">
        <v>44</v>
      </c>
      <c r="I29" s="1252">
        <f>'Daily HLP'!P31</f>
        <v>173</v>
      </c>
      <c r="J29" s="1252">
        <v>100</v>
      </c>
      <c r="K29" s="1328">
        <f>Occupancy!G29</f>
        <v>0</v>
      </c>
      <c r="M29" s="1253" t="e">
        <f>E29*F29+G29*H29+#REF!*#REF!+I29*J29</f>
        <v>#REF!</v>
      </c>
    </row>
    <row r="30" spans="1:13">
      <c r="A30" s="1248" t="s">
        <v>317</v>
      </c>
      <c r="B30" s="1249">
        <f t="shared" si="0"/>
        <v>29</v>
      </c>
      <c r="C30" s="1249">
        <v>1</v>
      </c>
      <c r="D30" s="1250">
        <v>2021</v>
      </c>
      <c r="E30" s="1251">
        <f>'Daily HLP'!I32</f>
        <v>18748</v>
      </c>
      <c r="F30" s="1252">
        <f t="shared" si="1"/>
        <v>9</v>
      </c>
      <c r="G30" s="1252">
        <f>'Daily HLP'!M32</f>
        <v>826.96999999997206</v>
      </c>
      <c r="H30" s="1252">
        <v>44</v>
      </c>
      <c r="I30" s="1252">
        <f>'Daily HLP'!P32</f>
        <v>151</v>
      </c>
      <c r="J30" s="1252">
        <v>100</v>
      </c>
      <c r="K30" s="1328">
        <f>Occupancy!G30</f>
        <v>0</v>
      </c>
      <c r="M30" s="1253" t="e">
        <f>E30*F30+G30*H30+#REF!*#REF!+I30*J30</f>
        <v>#REF!</v>
      </c>
    </row>
    <row r="31" spans="1:13">
      <c r="A31" s="1248" t="s">
        <v>317</v>
      </c>
      <c r="B31" s="1249">
        <f t="shared" si="0"/>
        <v>30</v>
      </c>
      <c r="C31" s="1249">
        <v>1</v>
      </c>
      <c r="D31" s="1250">
        <v>2021</v>
      </c>
      <c r="E31" s="1251">
        <f>'Daily HLP'!I33</f>
        <v>18917</v>
      </c>
      <c r="F31" s="1252">
        <f t="shared" si="1"/>
        <v>9</v>
      </c>
      <c r="G31" s="1252">
        <f>'Daily HLP'!M33</f>
        <v>667.76000000000931</v>
      </c>
      <c r="H31" s="1252">
        <v>44</v>
      </c>
      <c r="I31" s="1252">
        <f>'Daily HLP'!P33</f>
        <v>171</v>
      </c>
      <c r="J31" s="1252">
        <v>100</v>
      </c>
      <c r="K31" s="1328">
        <f>Occupancy!G31</f>
        <v>0</v>
      </c>
      <c r="L31" s="1251">
        <f>Occupancy!F31</f>
        <v>0</v>
      </c>
      <c r="M31" s="1253" t="e">
        <f>E31*F31+G31*H31+#REF!*#REF!+I31*J31</f>
        <v>#REF!</v>
      </c>
    </row>
    <row r="32" spans="1:13" s="1251" customFormat="1">
      <c r="A32" s="1255"/>
      <c r="B32" s="1249"/>
      <c r="C32" s="1249"/>
      <c r="D32" s="1250"/>
      <c r="F32" s="1252"/>
      <c r="G32" s="1252"/>
      <c r="H32" s="1252"/>
      <c r="I32" s="1252"/>
      <c r="J32" s="1252"/>
      <c r="M32" s="1254"/>
    </row>
    <row r="33" spans="1:13" s="1251" customFormat="1">
      <c r="A33" s="1255"/>
      <c r="B33" s="1249"/>
      <c r="C33" s="1249"/>
      <c r="D33" s="1250"/>
      <c r="F33" s="1252"/>
      <c r="G33" s="1252"/>
      <c r="H33" s="1252"/>
      <c r="I33" s="1252"/>
      <c r="J33" s="1252"/>
      <c r="M33" s="1254"/>
    </row>
    <row r="34" spans="1:13" s="1251" customFormat="1">
      <c r="A34" s="1255"/>
      <c r="B34" s="1249"/>
      <c r="C34" s="1249"/>
      <c r="D34" s="1250"/>
      <c r="F34" s="1252"/>
      <c r="G34" s="1252"/>
      <c r="H34" s="1252"/>
      <c r="I34" s="1252"/>
      <c r="J34" s="1252"/>
      <c r="M34" s="1254"/>
    </row>
    <row r="35" spans="1:13" s="1251" customFormat="1">
      <c r="A35" s="1255"/>
      <c r="B35" s="1249"/>
      <c r="C35" s="1249"/>
      <c r="D35" s="1250"/>
      <c r="F35" s="1252"/>
      <c r="G35" s="1252"/>
      <c r="H35" s="1252"/>
      <c r="I35" s="1252"/>
      <c r="J35" s="1252"/>
      <c r="M35" s="1254"/>
    </row>
    <row r="36" spans="1:13" s="1251" customFormat="1">
      <c r="A36" s="1255"/>
      <c r="B36" s="1249"/>
      <c r="C36" s="1249"/>
      <c r="D36" s="1250"/>
      <c r="F36" s="1252"/>
      <c r="G36" s="1252"/>
      <c r="H36" s="1252"/>
      <c r="I36" s="1252"/>
      <c r="J36" s="1252"/>
      <c r="M36" s="1254"/>
    </row>
    <row r="37" spans="1:13" s="1251" customFormat="1">
      <c r="A37" s="1255"/>
      <c r="B37" s="1249"/>
      <c r="C37" s="1249"/>
      <c r="D37" s="1250"/>
      <c r="F37" s="1252"/>
      <c r="G37" s="1252"/>
      <c r="H37" s="1252"/>
      <c r="I37" s="1252"/>
      <c r="J37" s="1252"/>
      <c r="M37" s="1254"/>
    </row>
    <row r="38" spans="1:13" s="1251" customFormat="1">
      <c r="A38" s="1255"/>
      <c r="B38" s="1249"/>
      <c r="C38" s="1249"/>
      <c r="D38" s="1250"/>
      <c r="F38" s="1252"/>
      <c r="G38" s="1252"/>
      <c r="H38" s="1252"/>
      <c r="I38" s="1252"/>
      <c r="J38" s="1252"/>
      <c r="M38" s="1254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R41"/>
  <sheetViews>
    <sheetView zoomScale="80" zoomScaleNormal="80" workbookViewId="0">
      <pane xSplit="1" topLeftCell="B1" activePane="topRight" state="frozen"/>
      <selection activeCell="F104" sqref="F104"/>
      <selection pane="topRight" activeCell="F4" sqref="F4"/>
    </sheetView>
  </sheetViews>
  <sheetFormatPr defaultRowHeight="15.7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8" bestFit="1" customWidth="1"/>
    <col min="8" max="8" width="7.33203125" customWidth="1"/>
    <col min="9" max="9" width="7.5546875" customWidth="1"/>
    <col min="10" max="10" width="6.109375" customWidth="1"/>
    <col min="11" max="11" width="12.21875" style="236" customWidth="1"/>
    <col min="12" max="12" width="6.88671875" style="236" customWidth="1"/>
    <col min="13" max="13" width="7.44140625" customWidth="1"/>
    <col min="14" max="14" width="6.109375" customWidth="1"/>
    <col min="15" max="15" width="8.6640625" style="236" customWidth="1"/>
    <col min="16" max="16" width="7.21875" customWidth="1"/>
    <col min="17" max="17" width="6.109375" customWidth="1"/>
    <col min="18" max="18" width="8.5546875" style="236" customWidth="1"/>
    <col min="19" max="19" width="11.5546875" style="236" customWidth="1"/>
    <col min="20" max="21" width="6.109375" customWidth="1"/>
    <col min="22" max="22" width="10.5546875" style="236" customWidth="1"/>
    <col min="23" max="23" width="7.77734375" style="37" customWidth="1"/>
    <col min="24" max="24" width="7" style="37" customWidth="1"/>
    <col min="25" max="25" width="7.44140625" style="37" customWidth="1"/>
    <col min="26" max="26" width="8.33203125" style="37" customWidth="1"/>
    <col min="27" max="30" width="6" customWidth="1"/>
    <col min="32" max="32" width="9.88671875" customWidth="1"/>
    <col min="33" max="33" width="9.21875" customWidth="1"/>
    <col min="34" max="34" width="5.88671875" customWidth="1"/>
    <col min="35" max="35" width="6.33203125" customWidth="1"/>
    <col min="36" max="36" width="5.5546875" customWidth="1"/>
    <col min="38" max="38" width="5.77734375" customWidth="1"/>
    <col min="39" max="39" width="5.44140625" customWidth="1"/>
    <col min="40" max="40" width="5.109375" customWidth="1"/>
    <col min="41" max="41" width="7" bestFit="1" customWidth="1"/>
    <col min="42" max="42" width="8" customWidth="1"/>
    <col min="43" max="43" width="7.5546875" bestFit="1" customWidth="1"/>
    <col min="44" max="44" width="6.109375" bestFit="1" customWidth="1"/>
    <col min="45" max="46" width="7.5546875" bestFit="1" customWidth="1"/>
    <col min="47" max="47" width="7.88671875" bestFit="1" customWidth="1"/>
    <col min="48" max="48" width="6.109375" bestFit="1" customWidth="1"/>
    <col min="49" max="49" width="7" bestFit="1" customWidth="1"/>
    <col min="50" max="50" width="8.21875" bestFit="1" customWidth="1"/>
    <col min="51" max="52" width="7.109375" customWidth="1"/>
    <col min="53" max="53" width="8" customWidth="1"/>
    <col min="54" max="57" width="6.6640625" customWidth="1"/>
    <col min="58" max="58" width="8.44140625" customWidth="1"/>
    <col min="59" max="59" width="7.6640625" customWidth="1"/>
    <col min="60" max="61" width="6.6640625" customWidth="1"/>
    <col min="62" max="62" width="7.44140625" customWidth="1"/>
    <col min="63" max="63" width="6.6640625" customWidth="1"/>
    <col min="64" max="66" width="8.77734375" customWidth="1"/>
    <col min="67" max="67" width="12.5546875" customWidth="1"/>
  </cols>
  <sheetData>
    <row r="1" spans="1:70" ht="21" thickBot="1">
      <c r="A1" s="1365"/>
      <c r="B1" s="1365"/>
      <c r="C1" s="1365"/>
      <c r="D1" s="1365"/>
      <c r="E1" s="1365"/>
      <c r="F1" s="1365"/>
      <c r="G1" s="1365"/>
      <c r="H1" s="1365"/>
      <c r="I1" s="1365"/>
      <c r="J1" s="1365"/>
      <c r="K1" s="1365"/>
      <c r="L1" s="1365"/>
      <c r="M1" s="1365"/>
      <c r="N1" s="1365"/>
      <c r="O1" s="1365"/>
      <c r="P1" s="1365"/>
      <c r="Q1" s="1365"/>
      <c r="R1" s="1365"/>
      <c r="S1" s="1365"/>
      <c r="T1" s="1365"/>
      <c r="U1" s="1365"/>
      <c r="V1" s="1365"/>
      <c r="W1" s="1365"/>
      <c r="X1" s="1365"/>
      <c r="Y1" s="1365"/>
      <c r="Z1" s="1365"/>
      <c r="AA1" s="1365"/>
      <c r="AB1" s="1365"/>
      <c r="AC1" s="1365"/>
      <c r="AD1" s="1365"/>
      <c r="AE1" s="1365"/>
      <c r="AF1" s="1365"/>
      <c r="AG1" s="1365"/>
      <c r="AH1" s="1365"/>
      <c r="AI1" s="1365"/>
      <c r="AJ1" s="1365"/>
      <c r="AK1" s="1365"/>
      <c r="AL1" s="1365"/>
      <c r="AM1" s="1365"/>
      <c r="AN1" s="1365"/>
      <c r="AO1" s="1365"/>
      <c r="AP1" s="1365"/>
      <c r="AQ1" s="1365"/>
      <c r="AR1" s="1365"/>
      <c r="AS1" s="1365"/>
      <c r="AT1" s="1365"/>
      <c r="AU1" s="1365"/>
      <c r="AV1" s="1365"/>
      <c r="AW1" s="1365"/>
      <c r="AX1" s="1365"/>
      <c r="AY1" s="1365"/>
      <c r="AZ1" s="1365"/>
      <c r="BA1" s="1365"/>
      <c r="BB1" s="1365"/>
      <c r="BC1" s="1365"/>
      <c r="BD1" s="1365"/>
      <c r="BE1" s="1365"/>
      <c r="BF1" s="1365"/>
      <c r="BG1" s="1365"/>
      <c r="BH1" s="1365"/>
      <c r="BI1" s="1365"/>
      <c r="BJ1" s="1365"/>
      <c r="BK1" s="1365"/>
      <c r="BL1" s="1365"/>
      <c r="BM1" s="1365"/>
      <c r="BN1" s="1365"/>
      <c r="BO1" s="1365"/>
    </row>
    <row r="2" spans="1:70" ht="28.5" customHeight="1">
      <c r="A2" s="1" t="s">
        <v>0</v>
      </c>
      <c r="B2" s="1" t="s">
        <v>0</v>
      </c>
      <c r="C2" s="1203" t="s">
        <v>1</v>
      </c>
      <c r="D2" s="2" t="s">
        <v>2</v>
      </c>
      <c r="E2" s="3" t="s">
        <v>3</v>
      </c>
      <c r="F2" s="476" t="s">
        <v>4</v>
      </c>
      <c r="G2" s="476" t="s">
        <v>5</v>
      </c>
      <c r="H2" s="476"/>
      <c r="I2" s="1366" t="s">
        <v>6</v>
      </c>
      <c r="J2" s="1366"/>
      <c r="K2" s="1366"/>
      <c r="L2" s="237"/>
      <c r="M2" s="1367" t="s">
        <v>7</v>
      </c>
      <c r="N2" s="1367"/>
      <c r="O2" s="1367"/>
      <c r="P2" s="1368" t="s">
        <v>8</v>
      </c>
      <c r="Q2" s="1368"/>
      <c r="R2" s="1368"/>
      <c r="S2" s="237" t="s">
        <v>9</v>
      </c>
      <c r="T2" s="1369" t="s">
        <v>10</v>
      </c>
      <c r="U2" s="1369"/>
      <c r="V2" s="1369"/>
      <c r="W2" s="1370" t="s">
        <v>11</v>
      </c>
      <c r="X2" s="1371"/>
      <c r="Y2" s="1372"/>
      <c r="Z2" s="1202"/>
      <c r="AA2" s="1373" t="s">
        <v>12</v>
      </c>
      <c r="AB2" s="1373"/>
      <c r="AC2" s="1373"/>
      <c r="AD2" s="1373"/>
      <c r="AE2" s="1203"/>
      <c r="AF2" s="1203" t="s">
        <v>13</v>
      </c>
      <c r="AG2" s="1203" t="s">
        <v>14</v>
      </c>
      <c r="AH2" s="1373" t="s">
        <v>15</v>
      </c>
      <c r="AI2" s="1373"/>
      <c r="AJ2" s="1373"/>
      <c r="AK2" s="1203" t="s">
        <v>16</v>
      </c>
      <c r="AL2" s="1373" t="s">
        <v>17</v>
      </c>
      <c r="AM2" s="1373"/>
      <c r="AN2" s="1373"/>
      <c r="AO2" s="1203" t="s">
        <v>18</v>
      </c>
      <c r="AP2" s="5" t="s">
        <v>19</v>
      </c>
      <c r="AQ2" s="1374" t="s">
        <v>20</v>
      </c>
      <c r="AR2" s="1375"/>
      <c r="AS2" s="1375"/>
      <c r="AT2" s="1375"/>
      <c r="AU2" s="1375"/>
      <c r="AV2" s="1375"/>
      <c r="AW2" s="1375"/>
      <c r="AX2" s="1375"/>
      <c r="AY2" s="1375"/>
      <c r="AZ2" s="1376"/>
      <c r="BA2" s="1374" t="s">
        <v>21</v>
      </c>
      <c r="BB2" s="1375"/>
      <c r="BC2" s="1375"/>
      <c r="BD2" s="1375"/>
      <c r="BE2" s="1375"/>
      <c r="BF2" s="1375"/>
      <c r="BG2" s="1375"/>
      <c r="BH2" s="1375"/>
      <c r="BI2" s="1375"/>
      <c r="BJ2" s="477"/>
      <c r="BK2" s="457"/>
      <c r="BL2" s="232"/>
      <c r="BM2" s="232"/>
      <c r="BN2" s="232"/>
      <c r="BO2" s="1203" t="s">
        <v>22</v>
      </c>
      <c r="BQ2" t="s">
        <v>23</v>
      </c>
    </row>
    <row r="3" spans="1:70" s="15" customFormat="1" ht="45">
      <c r="A3" s="6"/>
      <c r="B3" s="1"/>
      <c r="C3" s="7"/>
      <c r="D3" s="8"/>
      <c r="E3" s="9"/>
      <c r="F3" s="10" t="s">
        <v>24</v>
      </c>
      <c r="G3" s="10"/>
      <c r="H3" s="10" t="s">
        <v>25</v>
      </c>
      <c r="I3" s="11" t="s">
        <v>26</v>
      </c>
      <c r="J3" s="11" t="s">
        <v>27</v>
      </c>
      <c r="K3" s="233" t="s">
        <v>28</v>
      </c>
      <c r="L3" s="233" t="s">
        <v>29</v>
      </c>
      <c r="M3" s="11" t="s">
        <v>30</v>
      </c>
      <c r="N3" s="11" t="s">
        <v>27</v>
      </c>
      <c r="O3" s="233" t="s">
        <v>28</v>
      </c>
      <c r="P3" s="11" t="s">
        <v>31</v>
      </c>
      <c r="Q3" s="11" t="s">
        <v>27</v>
      </c>
      <c r="R3" s="233" t="s">
        <v>28</v>
      </c>
      <c r="S3" s="233"/>
      <c r="T3" s="7" t="s">
        <v>32</v>
      </c>
      <c r="U3" s="7" t="s">
        <v>27</v>
      </c>
      <c r="V3" s="233" t="s">
        <v>28</v>
      </c>
      <c r="W3" s="11" t="s">
        <v>33</v>
      </c>
      <c r="X3" s="11" t="s">
        <v>34</v>
      </c>
      <c r="Y3" s="11" t="s">
        <v>35</v>
      </c>
      <c r="Z3" s="11"/>
      <c r="AA3" s="12" t="s">
        <v>36</v>
      </c>
      <c r="AB3" s="12" t="s">
        <v>37</v>
      </c>
      <c r="AC3" s="12" t="s">
        <v>38</v>
      </c>
      <c r="AD3" s="12" t="s">
        <v>39</v>
      </c>
      <c r="AE3" s="12" t="s">
        <v>40</v>
      </c>
      <c r="AF3" s="12"/>
      <c r="AG3" s="12"/>
      <c r="AH3" s="12" t="s">
        <v>41</v>
      </c>
      <c r="AI3" s="12" t="s">
        <v>42</v>
      </c>
      <c r="AJ3" s="12" t="s">
        <v>43</v>
      </c>
      <c r="AK3" s="12"/>
      <c r="AL3" s="12" t="s">
        <v>44</v>
      </c>
      <c r="AM3" s="12" t="s">
        <v>45</v>
      </c>
      <c r="AN3" s="12"/>
      <c r="AO3" s="12"/>
      <c r="AP3" s="257"/>
      <c r="AQ3" s="259" t="s">
        <v>46</v>
      </c>
      <c r="AR3" s="13" t="s">
        <v>47</v>
      </c>
      <c r="AS3" s="13" t="s">
        <v>48</v>
      </c>
      <c r="AT3" s="13" t="s">
        <v>49</v>
      </c>
      <c r="AU3" s="13" t="s">
        <v>50</v>
      </c>
      <c r="AV3" s="13" t="s">
        <v>51</v>
      </c>
      <c r="AW3" s="13" t="s">
        <v>52</v>
      </c>
      <c r="AX3" s="13" t="s">
        <v>53</v>
      </c>
      <c r="AY3" s="13" t="s">
        <v>54</v>
      </c>
      <c r="AZ3" s="260" t="s">
        <v>55</v>
      </c>
      <c r="BA3" s="259" t="s">
        <v>56</v>
      </c>
      <c r="BB3" s="13" t="s">
        <v>57</v>
      </c>
      <c r="BC3" s="13" t="s">
        <v>48</v>
      </c>
      <c r="BD3" s="13" t="s">
        <v>58</v>
      </c>
      <c r="BE3" s="13" t="s">
        <v>59</v>
      </c>
      <c r="BF3" s="14" t="s">
        <v>60</v>
      </c>
      <c r="BG3" s="14" t="s">
        <v>61</v>
      </c>
      <c r="BH3" s="14" t="s">
        <v>53</v>
      </c>
      <c r="BI3" s="456" t="s">
        <v>62</v>
      </c>
      <c r="BJ3" s="456"/>
      <c r="BK3" s="14" t="s">
        <v>63</v>
      </c>
      <c r="BL3" s="14" t="s">
        <v>64</v>
      </c>
      <c r="BM3" s="14" t="s">
        <v>65</v>
      </c>
      <c r="BN3" s="14" t="s">
        <v>66</v>
      </c>
      <c r="BO3" s="12"/>
      <c r="BP3" s="15" t="s">
        <v>67</v>
      </c>
    </row>
    <row r="4" spans="1:70">
      <c r="A4" s="16">
        <v>1</v>
      </c>
      <c r="B4" s="17">
        <v>1</v>
      </c>
      <c r="C4" s="18"/>
      <c r="D4" s="19">
        <f>'1'!D3</f>
        <v>25</v>
      </c>
      <c r="E4" s="256">
        <f>'1'!D4</f>
        <v>0.8</v>
      </c>
      <c r="F4" s="256">
        <f>'1'!D2</f>
        <v>0.47</v>
      </c>
      <c r="G4" s="19">
        <f>'1'!G8</f>
        <v>19474</v>
      </c>
      <c r="H4" s="19">
        <f>'1'!G8</f>
        <v>19474</v>
      </c>
      <c r="I4" s="19">
        <f>'1'!G7</f>
        <v>19291</v>
      </c>
      <c r="J4" s="19">
        <f>'1'!F27</f>
        <v>9</v>
      </c>
      <c r="K4" s="242">
        <f>H4*J4</f>
        <v>175266</v>
      </c>
      <c r="L4" s="238">
        <f>I4/202</f>
        <v>95.5</v>
      </c>
      <c r="M4" s="19">
        <f>'1'!G15</f>
        <v>797.95000000018626</v>
      </c>
      <c r="N4" s="19">
        <v>35</v>
      </c>
      <c r="O4" s="238">
        <f>M4*N4</f>
        <v>27928.250000006519</v>
      </c>
      <c r="P4" s="19">
        <f>'1'!G20</f>
        <v>171</v>
      </c>
      <c r="Q4" s="19">
        <v>134</v>
      </c>
      <c r="R4" s="239">
        <f t="shared" ref="R4:R34" si="0">P4*Q4</f>
        <v>22914</v>
      </c>
      <c r="S4" s="240">
        <f t="shared" ref="S4:S34" si="1">P4/(F4*202/100)</f>
        <v>180.11375605645671</v>
      </c>
      <c r="T4" s="19">
        <f>'1'!G24</f>
        <v>0</v>
      </c>
      <c r="U4" s="19">
        <v>69</v>
      </c>
      <c r="V4" s="241">
        <f>T4*U4</f>
        <v>0</v>
      </c>
      <c r="W4" s="22">
        <f>'1'!G95</f>
        <v>72</v>
      </c>
      <c r="X4" s="22">
        <f>'1'!G96</f>
        <v>23</v>
      </c>
      <c r="Y4" s="22">
        <f>'1'!G97</f>
        <v>18</v>
      </c>
      <c r="Z4" s="22">
        <f>W4+X4+Y4</f>
        <v>113</v>
      </c>
      <c r="AA4" s="19">
        <f>'1'!G132</f>
        <v>24.040000000000873</v>
      </c>
      <c r="AB4" s="19">
        <f>'1'!G133</f>
        <v>0</v>
      </c>
      <c r="AC4" s="19">
        <f>'1'!G134</f>
        <v>0</v>
      </c>
      <c r="AD4" s="19">
        <f>'1'!G135</f>
        <v>0</v>
      </c>
      <c r="AE4" s="19">
        <f>AA4+AB4+AC4+AD4</f>
        <v>24.040000000000873</v>
      </c>
      <c r="AF4" s="23">
        <f t="shared" ref="AF4:AF34" si="2">AV4+AW4+BF4+BG4</f>
        <v>4366.5100000000239</v>
      </c>
      <c r="AG4" s="23">
        <f>AF4/AE4</f>
        <v>181.63519134774813</v>
      </c>
      <c r="AH4" s="19">
        <f>'1'!G136</f>
        <v>7.8899999999994179</v>
      </c>
      <c r="AI4" s="19">
        <f>'1'!G137</f>
        <v>0.40000000000145519</v>
      </c>
      <c r="AJ4" s="19">
        <f>'1'!G138</f>
        <v>0</v>
      </c>
      <c r="AK4" s="19">
        <f>AH4+AI4+AJ4</f>
        <v>8.2900000000008731</v>
      </c>
      <c r="AL4" s="19">
        <f>'1'!G139</f>
        <v>7.9500000000000455</v>
      </c>
      <c r="AM4" s="19">
        <f>'1'!G140</f>
        <v>0</v>
      </c>
      <c r="AN4" s="19"/>
      <c r="AO4" s="19">
        <f>AL4+AM4</f>
        <v>7.9500000000000455</v>
      </c>
      <c r="AP4" s="258">
        <f>'1'!G123</f>
        <v>270.38000000000466</v>
      </c>
      <c r="AQ4" s="261">
        <f>'1'!G35</f>
        <v>0</v>
      </c>
      <c r="AR4" s="19">
        <f>'1'!G37</f>
        <v>0</v>
      </c>
      <c r="AS4" s="19">
        <f>'1'!G38</f>
        <v>0</v>
      </c>
      <c r="AT4" s="19">
        <f>'1'!G39</f>
        <v>0</v>
      </c>
      <c r="AU4" s="19">
        <f>'1'!G40</f>
        <v>0</v>
      </c>
      <c r="AV4" s="19">
        <f>'1'!G41</f>
        <v>4365.9900000000052</v>
      </c>
      <c r="AW4" s="19">
        <f>'1'!G42</f>
        <v>0</v>
      </c>
      <c r="AX4" s="19">
        <f>'1'!G43</f>
        <v>2272.9599999999627</v>
      </c>
      <c r="AY4" s="19">
        <f>'1'!G44</f>
        <v>0</v>
      </c>
      <c r="AZ4" s="262">
        <f>'1'!G36</f>
        <v>555.20000000001164</v>
      </c>
      <c r="BA4" s="261">
        <f>'1'!G49</f>
        <v>2996.0400000000081</v>
      </c>
      <c r="BB4" s="19">
        <f>'1'!G51</f>
        <v>1437.8300000000017</v>
      </c>
      <c r="BC4" s="19">
        <f>'1'!G52</f>
        <v>2015.0400000000373</v>
      </c>
      <c r="BD4" s="19">
        <f>'1'!G53</f>
        <v>4103.7600000000093</v>
      </c>
      <c r="BE4" s="19">
        <f>'1'!G54</f>
        <v>40.319999999999709</v>
      </c>
      <c r="BF4" s="19">
        <f>'1'!G55</f>
        <v>0</v>
      </c>
      <c r="BG4" s="19">
        <f>'1'!G56</f>
        <v>0.52000000001862645</v>
      </c>
      <c r="BH4" s="19">
        <f>'1'!G57</f>
        <v>0</v>
      </c>
      <c r="BI4" s="262">
        <f>'1'!G50</f>
        <v>1021.359999999986</v>
      </c>
      <c r="BJ4" s="401">
        <f>SUM(AV4,AW4,BF4,BG4)</f>
        <v>4366.5100000000239</v>
      </c>
      <c r="BK4" s="401">
        <f>'1'!G84</f>
        <v>521</v>
      </c>
      <c r="BL4" s="23">
        <f>SUM(AQ4,AV4,AW4,AX4,BA4,BF4,BG4,BH4)/I4%</f>
        <v>49.948214193147038</v>
      </c>
      <c r="BM4" s="23">
        <f>SUM(AT4,BD4)/I4%</f>
        <v>21.27292519827904</v>
      </c>
      <c r="BN4" s="24">
        <f>(AS4+BC4)/I4</f>
        <v>0.10445492716811142</v>
      </c>
      <c r="BO4" s="25">
        <f>K4+O4+R4+V4</f>
        <v>226108.25000000652</v>
      </c>
      <c r="BP4" s="213">
        <f>SUM(AV4,AW4,AX4,BF4,BG4,BH4,BK4)</f>
        <v>7160.4699999999866</v>
      </c>
      <c r="BQ4">
        <f>BP4/(AE4*280)</f>
        <v>1.0637731756595743</v>
      </c>
      <c r="BR4" s="213">
        <f>SUM(AV4,AW4,BF4,BG4)/(AE4*400)</f>
        <v>0.45408797836937037</v>
      </c>
    </row>
    <row r="5" spans="1:70">
      <c r="A5" s="16">
        <v>2</v>
      </c>
      <c r="B5" s="26">
        <v>2</v>
      </c>
      <c r="C5" s="26"/>
      <c r="D5" s="19">
        <f>'2'!D3</f>
        <v>27</v>
      </c>
      <c r="E5" s="256">
        <f>'2'!D4</f>
        <v>0.75</v>
      </c>
      <c r="F5" s="256">
        <f>'2'!D2</f>
        <v>0.48</v>
      </c>
      <c r="G5" s="19">
        <f>'2'!G8</f>
        <v>19533</v>
      </c>
      <c r="H5" s="19">
        <f>'2'!G8</f>
        <v>19533</v>
      </c>
      <c r="I5" s="19">
        <f>'2'!G7</f>
        <v>19381</v>
      </c>
      <c r="J5" s="19">
        <v>10</v>
      </c>
      <c r="K5" s="242">
        <f t="shared" ref="K5:K34" si="3">H5*J5</f>
        <v>195330</v>
      </c>
      <c r="L5" s="238">
        <f t="shared" ref="L5:L34" si="4">I5/202</f>
        <v>95.945544554455452</v>
      </c>
      <c r="M5" s="19">
        <f>'2'!G15</f>
        <v>860.89999999990687</v>
      </c>
      <c r="N5" s="19">
        <v>35</v>
      </c>
      <c r="O5" s="238">
        <f t="shared" ref="O5:O34" si="5">M5*N5</f>
        <v>30131.49999999674</v>
      </c>
      <c r="P5" s="19">
        <f>'2'!G20</f>
        <v>171</v>
      </c>
      <c r="Q5" s="19">
        <v>134</v>
      </c>
      <c r="R5" s="239">
        <f t="shared" si="0"/>
        <v>22914</v>
      </c>
      <c r="S5" s="240">
        <f t="shared" si="1"/>
        <v>176.36138613861388</v>
      </c>
      <c r="T5" s="19">
        <f>'2'!G24</f>
        <v>0</v>
      </c>
      <c r="U5" s="19">
        <v>69</v>
      </c>
      <c r="V5" s="241">
        <f t="shared" ref="V5:V34" si="6">T5*U5</f>
        <v>0</v>
      </c>
      <c r="W5" s="22">
        <f>'2'!G95</f>
        <v>70</v>
      </c>
      <c r="X5" s="22">
        <f>'2'!G96</f>
        <v>30</v>
      </c>
      <c r="Y5" s="22">
        <f>'2'!G97</f>
        <v>16</v>
      </c>
      <c r="Z5" s="22">
        <f t="shared" ref="Z5:Z34" si="7">W5+X5+Y5</f>
        <v>116</v>
      </c>
      <c r="AA5" s="19">
        <f>'2'!G132</f>
        <v>23.519999999996799</v>
      </c>
      <c r="AB5" s="19">
        <f>'2'!G133</f>
        <v>0</v>
      </c>
      <c r="AC5" s="19">
        <f>'2'!G134</f>
        <v>0</v>
      </c>
      <c r="AD5" s="19">
        <f>'2'!G135</f>
        <v>0</v>
      </c>
      <c r="AE5" s="19">
        <f t="shared" ref="AE5:AE34" si="8">AA5+AB5+AC5+AD5</f>
        <v>23.519999999996799</v>
      </c>
      <c r="AF5" s="23">
        <f t="shared" si="2"/>
        <v>4172.5799999999945</v>
      </c>
      <c r="AG5" s="23">
        <f t="shared" ref="AG5:AG34" si="9">AF5/AE5</f>
        <v>177.40561224492188</v>
      </c>
      <c r="AH5" s="19">
        <f>'2'!G136</f>
        <v>8.7300000000032014</v>
      </c>
      <c r="AI5" s="19">
        <f>'2'!G137</f>
        <v>0.18999999999869033</v>
      </c>
      <c r="AJ5" s="19">
        <f>'2'!G138</f>
        <v>0</v>
      </c>
      <c r="AK5" s="19">
        <f t="shared" ref="AK5:AK34" si="10">AH5+AI5+AJ5</f>
        <v>8.9200000000018917</v>
      </c>
      <c r="AL5" s="19">
        <f>'2'!G139</f>
        <v>7.6300000000001091</v>
      </c>
      <c r="AM5" s="19">
        <f>'2'!G140</f>
        <v>0</v>
      </c>
      <c r="AN5" s="19"/>
      <c r="AO5" s="19">
        <f t="shared" ref="AO5:AO34" si="11">AL5+AM5</f>
        <v>7.6300000000001091</v>
      </c>
      <c r="AP5" s="258">
        <f>'2'!G123</f>
        <v>258.21999999997206</v>
      </c>
      <c r="AQ5" s="261">
        <f>'2'!G35</f>
        <v>0</v>
      </c>
      <c r="AR5" s="19">
        <f>'2'!G37</f>
        <v>0</v>
      </c>
      <c r="AS5" s="19">
        <f>'2'!G38</f>
        <v>0</v>
      </c>
      <c r="AT5" s="19">
        <f>'2'!G39</f>
        <v>0</v>
      </c>
      <c r="AU5" s="19">
        <f>'2'!G40</f>
        <v>0</v>
      </c>
      <c r="AV5" s="19">
        <f>'2'!G41</f>
        <v>4170.489999999998</v>
      </c>
      <c r="AW5" s="19">
        <f>'2'!G42</f>
        <v>8.999999999650754E-2</v>
      </c>
      <c r="AX5" s="19">
        <f>'2'!G43</f>
        <v>2260.1300000000047</v>
      </c>
      <c r="AY5" s="19">
        <f>'2'!G44</f>
        <v>0</v>
      </c>
      <c r="AZ5" s="262">
        <f>'2'!G36</f>
        <v>621.34999999997672</v>
      </c>
      <c r="BA5" s="261">
        <f>'2'!G49</f>
        <v>3058.9100000000035</v>
      </c>
      <c r="BB5" s="19">
        <f>'2'!G51</f>
        <v>1441.429999999993</v>
      </c>
      <c r="BC5" s="19">
        <f>'2'!G52</f>
        <v>2022.289999999979</v>
      </c>
      <c r="BD5" s="19">
        <f>'2'!G53</f>
        <v>4158.9699999999721</v>
      </c>
      <c r="BE5" s="19">
        <f>'2'!G54</f>
        <v>39.039999999999964</v>
      </c>
      <c r="BF5" s="19">
        <f>'2'!G55</f>
        <v>0</v>
      </c>
      <c r="BG5" s="19">
        <f>'2'!G56</f>
        <v>2</v>
      </c>
      <c r="BH5" s="19">
        <f>'2'!G57</f>
        <v>0</v>
      </c>
      <c r="BI5" s="262">
        <f>'2'!G50</f>
        <v>1036.3300000000163</v>
      </c>
      <c r="BJ5" s="401">
        <f t="shared" ref="BJ5:BJ34" si="12">SUM(AV5,AW5,BF5,BG5)</f>
        <v>4172.5799999999945</v>
      </c>
      <c r="BK5" s="401">
        <f>'2'!G84</f>
        <v>534</v>
      </c>
      <c r="BL5" s="23">
        <f t="shared" ref="BL5:BL34" si="13">SUM(AQ5,AV5,AW5,AX5,BA5,BF5,BG5,BH5)/I5%</f>
        <v>48.973840359114611</v>
      </c>
      <c r="BM5" s="23">
        <f t="shared" ref="BM5:BM34" si="14">SUM(AT5,BD5)/I5%</f>
        <v>21.459006243227758</v>
      </c>
      <c r="BN5" s="24">
        <f t="shared" ref="BN5:BN34" si="15">(AS5+BC5)/I5</f>
        <v>0.1043439451008709</v>
      </c>
      <c r="BO5" s="25">
        <f t="shared" ref="BO5:BO34" si="16">K5+O5+R5+V5</f>
        <v>248375.49999999674</v>
      </c>
      <c r="BP5" s="213">
        <f t="shared" ref="BP5:BP35" si="17">SUM(AV5,AW5,AX5,BF5,BG5,BH5,BK5)</f>
        <v>6966.7099999999991</v>
      </c>
      <c r="BQ5">
        <f t="shared" ref="BQ5:BQ35" si="18">BP5/(AE5*280)</f>
        <v>1.0578702016522332</v>
      </c>
    </row>
    <row r="6" spans="1:70">
      <c r="A6" s="16">
        <v>3</v>
      </c>
      <c r="B6" s="26">
        <v>3</v>
      </c>
      <c r="C6" s="26"/>
      <c r="D6" s="19">
        <f>'3'!D3</f>
        <v>27</v>
      </c>
      <c r="E6" s="256">
        <f>'3'!D4</f>
        <v>0.75</v>
      </c>
      <c r="F6" s="256">
        <f>'3'!D2</f>
        <v>0.35</v>
      </c>
      <c r="G6" s="19">
        <f>'3'!G8</f>
        <v>19671</v>
      </c>
      <c r="H6" s="19">
        <f>'3'!G8</f>
        <v>19671</v>
      </c>
      <c r="I6" s="19">
        <f>'3'!G7</f>
        <v>19375</v>
      </c>
      <c r="J6" s="19">
        <v>10</v>
      </c>
      <c r="K6" s="242">
        <f t="shared" si="3"/>
        <v>196710</v>
      </c>
      <c r="L6" s="238">
        <f t="shared" si="4"/>
        <v>95.915841584158414</v>
      </c>
      <c r="M6" s="19">
        <f>'3'!G15</f>
        <v>873</v>
      </c>
      <c r="N6" s="19">
        <v>35</v>
      </c>
      <c r="O6" s="238">
        <f t="shared" si="5"/>
        <v>30555</v>
      </c>
      <c r="P6" s="19">
        <f>'3'!G20</f>
        <v>161</v>
      </c>
      <c r="Q6" s="19">
        <v>134</v>
      </c>
      <c r="R6" s="239">
        <f t="shared" si="0"/>
        <v>21574</v>
      </c>
      <c r="S6" s="240">
        <f t="shared" si="1"/>
        <v>227.72277227722776</v>
      </c>
      <c r="T6" s="19">
        <f>'3'!G24</f>
        <v>0</v>
      </c>
      <c r="U6" s="19">
        <v>69</v>
      </c>
      <c r="V6" s="241">
        <f t="shared" si="6"/>
        <v>0</v>
      </c>
      <c r="W6" s="22">
        <f>'3'!G95</f>
        <v>64</v>
      </c>
      <c r="X6" s="22">
        <f>'3'!G96</f>
        <v>36</v>
      </c>
      <c r="Y6" s="22">
        <f>'3'!G97</f>
        <v>31</v>
      </c>
      <c r="Z6" s="22">
        <f>W6+X6+Y6</f>
        <v>131</v>
      </c>
      <c r="AA6" s="19">
        <f>'3'!G132</f>
        <v>24</v>
      </c>
      <c r="AB6" s="19">
        <f>'3'!G133</f>
        <v>0</v>
      </c>
      <c r="AC6" s="19">
        <f>'3'!G134</f>
        <v>0</v>
      </c>
      <c r="AD6" s="19">
        <f>'3'!G135</f>
        <v>0</v>
      </c>
      <c r="AE6" s="19">
        <f t="shared" si="8"/>
        <v>24</v>
      </c>
      <c r="AF6" s="23">
        <f t="shared" si="2"/>
        <v>4011</v>
      </c>
      <c r="AG6" s="23">
        <f t="shared" si="9"/>
        <v>167.125</v>
      </c>
      <c r="AH6" s="19">
        <f>'3'!G136</f>
        <v>3.4199999999982538</v>
      </c>
      <c r="AI6" s="19">
        <f>'3'!G137</f>
        <v>4.4700000000011642</v>
      </c>
      <c r="AJ6" s="19">
        <f>'3'!G138</f>
        <v>0</v>
      </c>
      <c r="AK6" s="19">
        <f t="shared" si="10"/>
        <v>7.8899999999994179</v>
      </c>
      <c r="AL6" s="19">
        <f>'3'!G139</f>
        <v>7.7799999999999727</v>
      </c>
      <c r="AM6" s="19">
        <f>'3'!G140</f>
        <v>0</v>
      </c>
      <c r="AN6" s="19"/>
      <c r="AO6" s="19">
        <f t="shared" si="11"/>
        <v>7.7799999999999727</v>
      </c>
      <c r="AP6" s="258">
        <f>'3'!G123</f>
        <v>265</v>
      </c>
      <c r="AQ6" s="261">
        <f>'3'!G35</f>
        <v>2568.3299999999581</v>
      </c>
      <c r="AR6" s="19">
        <f>'3'!G37</f>
        <v>0</v>
      </c>
      <c r="AS6" s="19">
        <f>'3'!G38</f>
        <v>0</v>
      </c>
      <c r="AT6" s="19">
        <f>'3'!G39</f>
        <v>0</v>
      </c>
      <c r="AU6" s="19">
        <f>'3'!G40</f>
        <v>0</v>
      </c>
      <c r="AV6" s="19">
        <f>'3'!G41</f>
        <v>4011</v>
      </c>
      <c r="AW6" s="19">
        <f>'3'!G42</f>
        <v>0</v>
      </c>
      <c r="AX6" s="19">
        <f>'3'!G43</f>
        <v>2293</v>
      </c>
      <c r="AY6" s="19">
        <f>'3'!G44</f>
        <v>0</v>
      </c>
      <c r="AZ6" s="262">
        <f>'3'!G36</f>
        <v>784</v>
      </c>
      <c r="BA6" s="261">
        <f>'3'!G49</f>
        <v>14</v>
      </c>
      <c r="BB6" s="19">
        <f>'3'!G51</f>
        <v>1532</v>
      </c>
      <c r="BC6" s="19">
        <f>'3'!G52</f>
        <v>1949</v>
      </c>
      <c r="BD6" s="19">
        <f>'3'!G53</f>
        <v>4269</v>
      </c>
      <c r="BE6" s="19">
        <f>'3'!G54</f>
        <v>15</v>
      </c>
      <c r="BF6" s="19">
        <f>'3'!G55</f>
        <v>0</v>
      </c>
      <c r="BG6" s="19">
        <f>'3'!G56</f>
        <v>0</v>
      </c>
      <c r="BH6" s="19">
        <f>'3'!G57</f>
        <v>0</v>
      </c>
      <c r="BI6" s="262">
        <f>'3'!G50</f>
        <v>1386</v>
      </c>
      <c r="BJ6" s="401">
        <f t="shared" si="12"/>
        <v>4011</v>
      </c>
      <c r="BK6" s="401">
        <f>'3'!G84</f>
        <v>457</v>
      </c>
      <c r="BL6" s="23">
        <f t="shared" si="13"/>
        <v>45.864929032257848</v>
      </c>
      <c r="BM6" s="23">
        <f t="shared" si="14"/>
        <v>22.033548387096776</v>
      </c>
      <c r="BN6" s="24">
        <f t="shared" si="15"/>
        <v>0.10059354838709678</v>
      </c>
      <c r="BO6" s="25">
        <f t="shared" si="16"/>
        <v>248839</v>
      </c>
      <c r="BP6" s="213">
        <f t="shared" si="17"/>
        <v>6761</v>
      </c>
      <c r="BQ6">
        <f t="shared" si="18"/>
        <v>1.0061011904761905</v>
      </c>
    </row>
    <row r="7" spans="1:70">
      <c r="A7" s="16">
        <v>4</v>
      </c>
      <c r="B7" s="27">
        <v>4</v>
      </c>
      <c r="C7" s="27"/>
      <c r="D7" s="19">
        <f>'4'!D3</f>
        <v>28</v>
      </c>
      <c r="E7" s="256">
        <f>'4'!D4</f>
        <v>0.75</v>
      </c>
      <c r="F7" s="256">
        <f>'4'!D2</f>
        <v>0.38</v>
      </c>
      <c r="G7" s="19">
        <f>'4'!G8</f>
        <v>18753</v>
      </c>
      <c r="H7" s="19">
        <f>'4'!G8</f>
        <v>18753</v>
      </c>
      <c r="I7" s="19">
        <f>'4'!G7</f>
        <v>18251</v>
      </c>
      <c r="J7" s="19">
        <v>10</v>
      </c>
      <c r="K7" s="242">
        <f t="shared" si="3"/>
        <v>187530</v>
      </c>
      <c r="L7" s="238">
        <f t="shared" si="4"/>
        <v>90.351485148514854</v>
      </c>
      <c r="M7" s="19">
        <f>'4'!G15</f>
        <v>796</v>
      </c>
      <c r="N7" s="19">
        <v>35</v>
      </c>
      <c r="O7" s="238">
        <f t="shared" si="5"/>
        <v>27860</v>
      </c>
      <c r="P7" s="19">
        <f>'4'!G20</f>
        <v>150</v>
      </c>
      <c r="Q7" s="19">
        <v>134</v>
      </c>
      <c r="R7" s="239">
        <f t="shared" si="0"/>
        <v>20100</v>
      </c>
      <c r="S7" s="240">
        <f t="shared" si="1"/>
        <v>195.41427826993225</v>
      </c>
      <c r="T7" s="19">
        <f>'4'!G24</f>
        <v>380</v>
      </c>
      <c r="U7" s="19">
        <v>69</v>
      </c>
      <c r="V7" s="241">
        <f t="shared" si="6"/>
        <v>26220</v>
      </c>
      <c r="W7" s="22">
        <f>'4'!G95</f>
        <v>78</v>
      </c>
      <c r="X7" s="22">
        <f>'4'!G96</f>
        <v>35</v>
      </c>
      <c r="Y7" s="22">
        <f>'4'!G97</f>
        <v>45</v>
      </c>
      <c r="Z7" s="22">
        <f t="shared" si="7"/>
        <v>158</v>
      </c>
      <c r="AA7" s="19">
        <f>'4'!G132</f>
        <v>12</v>
      </c>
      <c r="AB7" s="19">
        <f>'4'!G133</f>
        <v>0</v>
      </c>
      <c r="AC7" s="19">
        <f>'4'!G134</f>
        <v>12</v>
      </c>
      <c r="AD7" s="19">
        <f>'4'!G135</f>
        <v>0</v>
      </c>
      <c r="AE7" s="19">
        <f t="shared" si="8"/>
        <v>24</v>
      </c>
      <c r="AF7" s="23">
        <f t="shared" si="2"/>
        <v>3732.8999999999505</v>
      </c>
      <c r="AG7" s="23">
        <f t="shared" si="9"/>
        <v>155.53749999999795</v>
      </c>
      <c r="AH7" s="19">
        <f>'4'!G136</f>
        <v>5.2299999999995634</v>
      </c>
      <c r="AI7" s="19">
        <f>'4'!G137</f>
        <v>2.1699999999982538</v>
      </c>
      <c r="AJ7" s="19">
        <f>'4'!G138</f>
        <v>0</v>
      </c>
      <c r="AK7" s="19">
        <f t="shared" si="10"/>
        <v>7.3999999999978172</v>
      </c>
      <c r="AL7" s="19">
        <f>'4'!G139</f>
        <v>8.0499999999999545</v>
      </c>
      <c r="AM7" s="19">
        <f>'4'!G140</f>
        <v>0</v>
      </c>
      <c r="AN7" s="19"/>
      <c r="AO7" s="19">
        <f t="shared" si="11"/>
        <v>8.0499999999999545</v>
      </c>
      <c r="AP7" s="258">
        <f>'4'!G123</f>
        <v>275</v>
      </c>
      <c r="AQ7" s="261">
        <f>'4'!G35</f>
        <v>2607</v>
      </c>
      <c r="AR7" s="19">
        <f>'4'!G37</f>
        <v>1302</v>
      </c>
      <c r="AS7" s="19">
        <f>'4'!G38</f>
        <v>806.12</v>
      </c>
      <c r="AT7" s="19">
        <f>'4'!G39</f>
        <v>3521</v>
      </c>
      <c r="AU7" s="19">
        <f>'4'!G40</f>
        <v>0</v>
      </c>
      <c r="AV7" s="19">
        <f>'4'!G41</f>
        <v>1445</v>
      </c>
      <c r="AW7" s="19">
        <f>'4'!G42</f>
        <v>-8.999999999650754E-2</v>
      </c>
      <c r="AX7" s="19">
        <f>'4'!G43</f>
        <v>2251</v>
      </c>
      <c r="AY7" s="19">
        <f>'4'!G44</f>
        <v>0</v>
      </c>
      <c r="AZ7" s="262">
        <f>'4'!G36</f>
        <v>594</v>
      </c>
      <c r="BA7" s="261">
        <f>'4'!G49</f>
        <v>0</v>
      </c>
      <c r="BB7" s="19">
        <f>'4'!G51</f>
        <v>207</v>
      </c>
      <c r="BC7" s="19">
        <f>'4'!G52</f>
        <v>1105</v>
      </c>
      <c r="BD7" s="19">
        <f>'4'!G53</f>
        <v>627</v>
      </c>
      <c r="BE7" s="19">
        <f>'4'!G54</f>
        <v>8</v>
      </c>
      <c r="BF7" s="19">
        <f>'4'!G55</f>
        <v>2283.4199999999983</v>
      </c>
      <c r="BG7" s="19">
        <f>'4'!G56</f>
        <v>4.5699999999487773</v>
      </c>
      <c r="BH7" s="19">
        <f>'4'!G57</f>
        <v>0</v>
      </c>
      <c r="BI7" s="262">
        <f>'4'!G50</f>
        <v>1085</v>
      </c>
      <c r="BJ7" s="401">
        <f t="shared" si="12"/>
        <v>3732.8999999999505</v>
      </c>
      <c r="BK7" s="401">
        <f>'3'!G84</f>
        <v>457</v>
      </c>
      <c r="BL7" s="23">
        <f t="shared" si="13"/>
        <v>47.070845433126685</v>
      </c>
      <c r="BM7" s="23">
        <f t="shared" si="14"/>
        <v>22.727521779628514</v>
      </c>
      <c r="BN7" s="24">
        <f t="shared" si="15"/>
        <v>0.10471316640184099</v>
      </c>
      <c r="BO7" s="25">
        <f t="shared" si="16"/>
        <v>261710</v>
      </c>
      <c r="BP7" s="213">
        <f t="shared" si="17"/>
        <v>6440.8999999999505</v>
      </c>
      <c r="BQ7">
        <f t="shared" si="18"/>
        <v>0.95846726190475451</v>
      </c>
    </row>
    <row r="8" spans="1:70">
      <c r="A8" s="16">
        <v>5</v>
      </c>
      <c r="B8" s="27">
        <v>5</v>
      </c>
      <c r="C8" s="27"/>
      <c r="D8" s="19">
        <f>'5'!D3</f>
        <v>27</v>
      </c>
      <c r="E8" s="256">
        <f>'5'!D4</f>
        <v>0.75</v>
      </c>
      <c r="F8" s="256">
        <f>'5'!D2</f>
        <v>0.42</v>
      </c>
      <c r="G8" s="19">
        <f>'5'!G8</f>
        <v>18596</v>
      </c>
      <c r="H8" s="19">
        <f>'5'!G8</f>
        <v>18596</v>
      </c>
      <c r="I8" s="19">
        <f>'5'!G7</f>
        <v>18524</v>
      </c>
      <c r="J8" s="19">
        <v>10</v>
      </c>
      <c r="K8" s="242">
        <f t="shared" si="3"/>
        <v>185960</v>
      </c>
      <c r="L8" s="238">
        <f t="shared" si="4"/>
        <v>91.702970297029708</v>
      </c>
      <c r="M8" s="19">
        <f>'5'!G15</f>
        <v>778</v>
      </c>
      <c r="N8" s="19">
        <v>35</v>
      </c>
      <c r="O8" s="238">
        <f t="shared" si="5"/>
        <v>27230</v>
      </c>
      <c r="P8" s="19">
        <f>'5'!G20</f>
        <v>181</v>
      </c>
      <c r="Q8" s="19">
        <v>134</v>
      </c>
      <c r="R8" s="239">
        <f t="shared" si="0"/>
        <v>24254</v>
      </c>
      <c r="S8" s="240">
        <f t="shared" si="1"/>
        <v>213.34276284771335</v>
      </c>
      <c r="T8" s="19">
        <f>'5'!G24</f>
        <v>0</v>
      </c>
      <c r="U8" s="19">
        <v>69</v>
      </c>
      <c r="V8" s="241">
        <f t="shared" si="6"/>
        <v>0</v>
      </c>
      <c r="W8" s="22">
        <f>'5'!G95</f>
        <v>55</v>
      </c>
      <c r="X8" s="22">
        <f>'5'!G96</f>
        <v>23</v>
      </c>
      <c r="Y8" s="22">
        <f>'5'!G97</f>
        <v>40</v>
      </c>
      <c r="Z8" s="22">
        <f t="shared" si="7"/>
        <v>118</v>
      </c>
      <c r="AA8" s="19">
        <f>'5'!G132</f>
        <v>0</v>
      </c>
      <c r="AB8" s="19">
        <f>'5'!G133</f>
        <v>0</v>
      </c>
      <c r="AC8" s="19">
        <f>'5'!G134</f>
        <v>24</v>
      </c>
      <c r="AD8" s="19">
        <f>'5'!G135</f>
        <v>0</v>
      </c>
      <c r="AE8" s="19">
        <f t="shared" si="8"/>
        <v>24</v>
      </c>
      <c r="AF8" s="23">
        <f t="shared" si="2"/>
        <v>3652</v>
      </c>
      <c r="AG8" s="23">
        <f t="shared" si="9"/>
        <v>152.16666666666666</v>
      </c>
      <c r="AH8" s="19">
        <f>'5'!G136</f>
        <v>5.9900000000016007</v>
      </c>
      <c r="AI8" s="19">
        <f>'5'!G137</f>
        <v>0.61000000000058208</v>
      </c>
      <c r="AJ8" s="19">
        <f>'5'!G138</f>
        <v>0</v>
      </c>
      <c r="AK8" s="19">
        <f t="shared" si="10"/>
        <v>6.6000000000021828</v>
      </c>
      <c r="AL8" s="19">
        <f>'5'!G139</f>
        <v>7.3800000000001091</v>
      </c>
      <c r="AM8" s="19">
        <f>'5'!G140</f>
        <v>0</v>
      </c>
      <c r="AN8" s="19"/>
      <c r="AO8" s="19">
        <f t="shared" si="11"/>
        <v>7.3800000000001091</v>
      </c>
      <c r="AP8" s="258">
        <f>'5'!G123</f>
        <v>269</v>
      </c>
      <c r="AQ8" s="261">
        <f>'5'!G35</f>
        <v>0</v>
      </c>
      <c r="AR8" s="19">
        <f>'5'!G37</f>
        <v>170</v>
      </c>
      <c r="AS8" s="19">
        <f>'5'!G38</f>
        <v>0</v>
      </c>
      <c r="AT8" s="19">
        <f>'5'!G39</f>
        <v>582</v>
      </c>
      <c r="AU8" s="19">
        <f>'5'!G40</f>
        <v>0</v>
      </c>
      <c r="AV8" s="19">
        <f>'5'!G41</f>
        <v>1</v>
      </c>
      <c r="AW8" s="19">
        <f>'5'!G42</f>
        <v>0</v>
      </c>
      <c r="AX8" s="19">
        <f>'5'!G43</f>
        <v>332</v>
      </c>
      <c r="AY8" s="19">
        <f>'5'!G44</f>
        <v>0</v>
      </c>
      <c r="AZ8" s="262">
        <f>'5'!G36</f>
        <v>564</v>
      </c>
      <c r="BA8" s="261">
        <f>'5'!G49</f>
        <v>2649</v>
      </c>
      <c r="BB8" s="19">
        <f>'5'!G51</f>
        <v>1288</v>
      </c>
      <c r="BC8" s="19">
        <f>'5'!G52</f>
        <v>2075</v>
      </c>
      <c r="BD8" s="19">
        <f>'5'!G53</f>
        <v>3646</v>
      </c>
      <c r="BE8" s="19">
        <f>'5'!G54</f>
        <v>75</v>
      </c>
      <c r="BF8" s="19">
        <f>'5'!G55</f>
        <v>3651</v>
      </c>
      <c r="BG8" s="19">
        <f>'5'!G56</f>
        <v>0</v>
      </c>
      <c r="BH8" s="19">
        <f>'5'!G57</f>
        <v>1933</v>
      </c>
      <c r="BI8" s="262">
        <f>'5'!G50</f>
        <v>1105</v>
      </c>
      <c r="BJ8" s="401">
        <f t="shared" si="12"/>
        <v>3652</v>
      </c>
      <c r="BK8" s="401">
        <f>'5'!G84</f>
        <v>467</v>
      </c>
      <c r="BL8" s="23">
        <f t="shared" si="13"/>
        <v>46.242712157201467</v>
      </c>
      <c r="BM8" s="23">
        <f t="shared" si="14"/>
        <v>22.824443964586482</v>
      </c>
      <c r="BN8" s="24">
        <f t="shared" si="15"/>
        <v>0.11201684301446772</v>
      </c>
      <c r="BO8" s="25">
        <f t="shared" si="16"/>
        <v>237444</v>
      </c>
      <c r="BP8" s="213">
        <f t="shared" si="17"/>
        <v>6384</v>
      </c>
      <c r="BQ8">
        <f t="shared" si="18"/>
        <v>0.95</v>
      </c>
    </row>
    <row r="9" spans="1:70">
      <c r="A9" s="16">
        <v>6</v>
      </c>
      <c r="B9" s="17">
        <v>6</v>
      </c>
      <c r="C9" s="26"/>
      <c r="D9" s="19">
        <f>'6'!D3</f>
        <v>27</v>
      </c>
      <c r="E9" s="256">
        <f>'6'!D4</f>
        <v>0.75</v>
      </c>
      <c r="F9" s="256">
        <f>'6'!D2</f>
        <v>0.36</v>
      </c>
      <c r="G9" s="19">
        <f>'6'!G8</f>
        <v>19282</v>
      </c>
      <c r="H9" s="19">
        <f>'6'!G8</f>
        <v>19282</v>
      </c>
      <c r="I9" s="19">
        <f>'6'!G7</f>
        <v>19190</v>
      </c>
      <c r="J9" s="19">
        <v>10</v>
      </c>
      <c r="K9" s="242">
        <f t="shared" si="3"/>
        <v>192820</v>
      </c>
      <c r="L9" s="238">
        <f t="shared" si="4"/>
        <v>95</v>
      </c>
      <c r="M9" s="19">
        <f>'6'!G15</f>
        <v>814</v>
      </c>
      <c r="N9" s="19">
        <v>35</v>
      </c>
      <c r="O9" s="238">
        <f t="shared" si="5"/>
        <v>28490</v>
      </c>
      <c r="P9" s="19">
        <f>'6'!G20</f>
        <v>271</v>
      </c>
      <c r="Q9" s="19">
        <v>134</v>
      </c>
      <c r="R9" s="239">
        <f t="shared" si="0"/>
        <v>36314</v>
      </c>
      <c r="S9" s="240">
        <f t="shared" si="1"/>
        <v>372.66226622662271</v>
      </c>
      <c r="T9" s="19">
        <f>'6'!G24</f>
        <v>0</v>
      </c>
      <c r="U9" s="19">
        <v>69</v>
      </c>
      <c r="V9" s="241">
        <f t="shared" si="6"/>
        <v>0</v>
      </c>
      <c r="W9" s="22">
        <f>'6'!G95</f>
        <v>61</v>
      </c>
      <c r="X9" s="22">
        <f>'6'!G96</f>
        <v>34</v>
      </c>
      <c r="Y9" s="22">
        <f>'6'!G97</f>
        <v>31</v>
      </c>
      <c r="Z9" s="22">
        <f t="shared" si="7"/>
        <v>126</v>
      </c>
      <c r="AA9" s="19">
        <f>'6'!G132</f>
        <v>0</v>
      </c>
      <c r="AB9" s="19">
        <f>'6'!G133</f>
        <v>0</v>
      </c>
      <c r="AC9" s="19">
        <f>'6'!G134</f>
        <v>24</v>
      </c>
      <c r="AD9" s="19">
        <f>'6'!G135</f>
        <v>0</v>
      </c>
      <c r="AE9" s="19">
        <f t="shared" si="8"/>
        <v>24</v>
      </c>
      <c r="AF9" s="23">
        <f t="shared" si="2"/>
        <v>3905</v>
      </c>
      <c r="AG9" s="23">
        <f t="shared" si="9"/>
        <v>162.70833333333334</v>
      </c>
      <c r="AH9" s="19">
        <f>'6'!G136</f>
        <v>4.7999999999992724</v>
      </c>
      <c r="AI9" s="19">
        <f>'6'!G137</f>
        <v>2.25</v>
      </c>
      <c r="AJ9" s="19">
        <f>'6'!G138</f>
        <v>0</v>
      </c>
      <c r="AK9" s="19">
        <f t="shared" si="10"/>
        <v>7.0499999999992724</v>
      </c>
      <c r="AL9" s="19">
        <f>'6'!G139</f>
        <v>8.9899999999997817</v>
      </c>
      <c r="AM9" s="19">
        <f>'6'!G140</f>
        <v>0</v>
      </c>
      <c r="AN9" s="19"/>
      <c r="AO9" s="19">
        <f t="shared" si="11"/>
        <v>8.9899999999997817</v>
      </c>
      <c r="AP9" s="258">
        <f>'6'!G123</f>
        <v>288</v>
      </c>
      <c r="AQ9" s="261">
        <f>'6'!G35</f>
        <v>0</v>
      </c>
      <c r="AR9" s="19">
        <f>'6'!G37</f>
        <v>0</v>
      </c>
      <c r="AS9" s="19">
        <f>'6'!G38</f>
        <v>0</v>
      </c>
      <c r="AT9" s="19">
        <f>'6'!G39</f>
        <v>0</v>
      </c>
      <c r="AU9" s="19">
        <f>'6'!G40</f>
        <v>0</v>
      </c>
      <c r="AV9" s="19">
        <f>'6'!G41</f>
        <v>0</v>
      </c>
      <c r="AW9" s="19">
        <f>'6'!G42</f>
        <v>0</v>
      </c>
      <c r="AX9" s="19">
        <f>'6'!G43</f>
        <v>0</v>
      </c>
      <c r="AY9" s="19">
        <f>'6'!G44</f>
        <v>0</v>
      </c>
      <c r="AZ9" s="262">
        <f>'6'!G36</f>
        <v>729</v>
      </c>
      <c r="BA9" s="261">
        <f>'6'!G49</f>
        <v>2648</v>
      </c>
      <c r="BB9" s="19">
        <f>'6'!G51</f>
        <v>1509</v>
      </c>
      <c r="BC9" s="19">
        <f>'6'!G52</f>
        <v>2000</v>
      </c>
      <c r="BD9" s="19">
        <f>'6'!G53</f>
        <v>4153</v>
      </c>
      <c r="BE9" s="19">
        <f>'6'!G54</f>
        <v>70</v>
      </c>
      <c r="BF9" s="19">
        <f>'6'!G55</f>
        <v>3905</v>
      </c>
      <c r="BG9" s="19">
        <f>'6'!G56</f>
        <v>0</v>
      </c>
      <c r="BH9" s="19">
        <f>'6'!G57</f>
        <v>2282</v>
      </c>
      <c r="BI9" s="262">
        <f>'6'!G50</f>
        <v>1480</v>
      </c>
      <c r="BJ9" s="401">
        <f t="shared" si="12"/>
        <v>3905</v>
      </c>
      <c r="BK9" s="401">
        <f>'6'!G84</f>
        <v>477</v>
      </c>
      <c r="BL9" s="23">
        <f t="shared" si="13"/>
        <v>46.039603960396036</v>
      </c>
      <c r="BM9" s="23">
        <f t="shared" si="14"/>
        <v>21.64147993746743</v>
      </c>
      <c r="BN9" s="24">
        <f t="shared" si="15"/>
        <v>0.10422094841063054</v>
      </c>
      <c r="BO9" s="25">
        <f t="shared" si="16"/>
        <v>257624</v>
      </c>
      <c r="BP9" s="213">
        <f t="shared" si="17"/>
        <v>6664</v>
      </c>
      <c r="BQ9">
        <f t="shared" si="18"/>
        <v>0.9916666666666667</v>
      </c>
    </row>
    <row r="10" spans="1:70">
      <c r="A10" s="16">
        <v>7</v>
      </c>
      <c r="B10" s="26">
        <v>7</v>
      </c>
      <c r="C10" s="27"/>
      <c r="D10" s="19">
        <f>'7'!D3</f>
        <v>26</v>
      </c>
      <c r="E10" s="256">
        <f>'7'!D4</f>
        <v>0.78</v>
      </c>
      <c r="F10" s="256">
        <f>'7'!D2</f>
        <v>0.54</v>
      </c>
      <c r="G10" s="19">
        <f>'7'!G8</f>
        <v>18315</v>
      </c>
      <c r="H10" s="19">
        <f>'7'!G8</f>
        <v>18315</v>
      </c>
      <c r="I10" s="19">
        <f>'7'!G7</f>
        <v>18255</v>
      </c>
      <c r="J10" s="19">
        <v>10</v>
      </c>
      <c r="K10" s="242">
        <f t="shared" si="3"/>
        <v>183150</v>
      </c>
      <c r="L10" s="238">
        <f t="shared" si="4"/>
        <v>90.371287128712865</v>
      </c>
      <c r="M10" s="19">
        <f>'7'!G15</f>
        <v>844.44999999995343</v>
      </c>
      <c r="N10" s="19">
        <v>35</v>
      </c>
      <c r="O10" s="238">
        <f t="shared" si="5"/>
        <v>29555.74999999837</v>
      </c>
      <c r="P10" s="19">
        <f>'7'!G20</f>
        <v>212</v>
      </c>
      <c r="Q10" s="19">
        <v>134</v>
      </c>
      <c r="R10" s="239">
        <f t="shared" si="0"/>
        <v>28408</v>
      </c>
      <c r="S10" s="240">
        <f t="shared" si="1"/>
        <v>194.35276861019432</v>
      </c>
      <c r="T10" s="19">
        <f>'7'!G24</f>
        <v>0</v>
      </c>
      <c r="U10" s="19">
        <v>69</v>
      </c>
      <c r="V10" s="241">
        <f t="shared" si="6"/>
        <v>0</v>
      </c>
      <c r="W10" s="22">
        <f>'7'!G95</f>
        <v>57</v>
      </c>
      <c r="X10" s="22">
        <f>'7'!G96</f>
        <v>43</v>
      </c>
      <c r="Y10" s="22">
        <f>'7'!G97</f>
        <v>23</v>
      </c>
      <c r="Z10" s="22">
        <f t="shared" si="7"/>
        <v>123</v>
      </c>
      <c r="AA10" s="19">
        <f>'7'!G132</f>
        <v>0</v>
      </c>
      <c r="AB10" s="19">
        <f>'7'!G133</f>
        <v>0</v>
      </c>
      <c r="AC10" s="19">
        <f>'7'!G134</f>
        <v>24</v>
      </c>
      <c r="AD10" s="19">
        <f>'7'!G135</f>
        <v>0</v>
      </c>
      <c r="AE10" s="19">
        <f t="shared" si="8"/>
        <v>24</v>
      </c>
      <c r="AF10" s="23">
        <f t="shared" si="2"/>
        <v>3495.9800000000032</v>
      </c>
      <c r="AG10" s="23">
        <f t="shared" si="9"/>
        <v>145.66583333333347</v>
      </c>
      <c r="AH10" s="19">
        <f>'7'!G136</f>
        <v>7.9199999999982538</v>
      </c>
      <c r="AI10" s="19">
        <f>'7'!G137</f>
        <v>-2.9999999998835847E-2</v>
      </c>
      <c r="AJ10" s="19">
        <f>'7'!G138</f>
        <v>0</v>
      </c>
      <c r="AK10" s="19">
        <f t="shared" si="10"/>
        <v>7.8899999999994179</v>
      </c>
      <c r="AL10" s="19">
        <f>'7'!G139</f>
        <v>8.6300000000001091</v>
      </c>
      <c r="AM10" s="19">
        <f>'7'!G140</f>
        <v>0</v>
      </c>
      <c r="AN10" s="19"/>
      <c r="AO10" s="19">
        <f t="shared" si="11"/>
        <v>8.6300000000001091</v>
      </c>
      <c r="AP10" s="258">
        <f>'7'!G123</f>
        <v>296</v>
      </c>
      <c r="AQ10" s="261">
        <f>'7'!G35</f>
        <v>0</v>
      </c>
      <c r="AR10" s="19">
        <f>'7'!G37</f>
        <v>0</v>
      </c>
      <c r="AS10" s="19">
        <f>'7'!G38</f>
        <v>0</v>
      </c>
      <c r="AT10" s="19">
        <f>'7'!G39</f>
        <v>0</v>
      </c>
      <c r="AU10" s="19">
        <f>'7'!G40</f>
        <v>0</v>
      </c>
      <c r="AV10" s="19">
        <f>'7'!G41</f>
        <v>0</v>
      </c>
      <c r="AW10" s="19">
        <f>'7'!G42</f>
        <v>0</v>
      </c>
      <c r="AX10" s="19">
        <f>'7'!G43</f>
        <v>0</v>
      </c>
      <c r="AY10" s="19">
        <f>'7'!G44</f>
        <v>0</v>
      </c>
      <c r="AZ10" s="262">
        <f>'7'!G36</f>
        <v>577.80999999999767</v>
      </c>
      <c r="BA10" s="261">
        <f>'7'!G49</f>
        <v>2499.6700000000128</v>
      </c>
      <c r="BB10" s="19">
        <f>'7'!G51</f>
        <v>1427</v>
      </c>
      <c r="BC10" s="19">
        <f>'7'!G52</f>
        <v>2118</v>
      </c>
      <c r="BD10" s="19">
        <f>'7'!G53</f>
        <v>4176</v>
      </c>
      <c r="BE10" s="19">
        <f>'7'!G54</f>
        <v>71</v>
      </c>
      <c r="BF10" s="19">
        <f>'7'!G55</f>
        <v>3495.9800000000032</v>
      </c>
      <c r="BG10" s="19">
        <f>'7'!G56</f>
        <v>0</v>
      </c>
      <c r="BH10" s="19">
        <f>'7'!G57</f>
        <v>2319</v>
      </c>
      <c r="BI10" s="262">
        <f>'7'!G50</f>
        <v>1109</v>
      </c>
      <c r="BJ10" s="401">
        <f t="shared" si="12"/>
        <v>3495.9800000000032</v>
      </c>
      <c r="BK10" s="401">
        <f>'7'!G84</f>
        <v>466</v>
      </c>
      <c r="BL10" s="23">
        <f t="shared" si="13"/>
        <v>45.547247329498852</v>
      </c>
      <c r="BM10" s="23">
        <f t="shared" si="14"/>
        <v>22.875924404272801</v>
      </c>
      <c r="BN10" s="24">
        <f t="shared" si="15"/>
        <v>0.11602300739523418</v>
      </c>
      <c r="BO10" s="25">
        <f t="shared" si="16"/>
        <v>241113.74999999837</v>
      </c>
      <c r="BP10" s="213">
        <f t="shared" si="17"/>
        <v>6280.9800000000032</v>
      </c>
      <c r="BQ10">
        <f t="shared" si="18"/>
        <v>0.93466964285714338</v>
      </c>
    </row>
    <row r="11" spans="1:70">
      <c r="A11" s="16">
        <v>8</v>
      </c>
      <c r="B11" s="26">
        <v>8</v>
      </c>
      <c r="C11" s="18"/>
      <c r="D11" s="19">
        <f>'8'!D3</f>
        <v>25</v>
      </c>
      <c r="E11" s="256">
        <f>'8'!D4</f>
        <v>0.77</v>
      </c>
      <c r="F11" s="256">
        <f>'8'!D2</f>
        <v>0.63</v>
      </c>
      <c r="G11" s="19">
        <f>'8'!G8</f>
        <v>15437</v>
      </c>
      <c r="H11" s="19">
        <f>'8'!G8</f>
        <v>15437</v>
      </c>
      <c r="I11" s="19">
        <f>'8'!G7</f>
        <v>15387</v>
      </c>
      <c r="J11" s="19">
        <v>10</v>
      </c>
      <c r="K11" s="242">
        <f t="shared" si="3"/>
        <v>154370</v>
      </c>
      <c r="L11" s="238">
        <f t="shared" si="4"/>
        <v>76.17326732673267</v>
      </c>
      <c r="M11" s="19">
        <f>'8'!G15</f>
        <v>816.28000000002794</v>
      </c>
      <c r="N11" s="19">
        <v>35</v>
      </c>
      <c r="O11" s="238">
        <f t="shared" si="5"/>
        <v>28569.800000000978</v>
      </c>
      <c r="P11" s="19">
        <f>'8'!G20</f>
        <v>211</v>
      </c>
      <c r="Q11" s="19">
        <v>134</v>
      </c>
      <c r="R11" s="239">
        <f t="shared" si="0"/>
        <v>28274</v>
      </c>
      <c r="S11" s="240">
        <f t="shared" si="1"/>
        <v>165.80229451516581</v>
      </c>
      <c r="T11" s="19">
        <f>'8'!G24</f>
        <v>1970</v>
      </c>
      <c r="U11" s="19">
        <v>69</v>
      </c>
      <c r="V11" s="241">
        <f t="shared" si="6"/>
        <v>135930</v>
      </c>
      <c r="W11" s="22">
        <f>'8'!G95</f>
        <v>71</v>
      </c>
      <c r="X11" s="22">
        <f>'8'!G96</f>
        <v>51</v>
      </c>
      <c r="Y11" s="22">
        <f>'8'!G97</f>
        <v>20</v>
      </c>
      <c r="Z11" s="22">
        <f t="shared" si="7"/>
        <v>142</v>
      </c>
      <c r="AA11" s="19">
        <f>'8'!G132</f>
        <v>3.2900000000008731</v>
      </c>
      <c r="AB11" s="19">
        <f>'8'!G133</f>
        <v>0</v>
      </c>
      <c r="AC11" s="19">
        <f>'8'!G134</f>
        <v>20.44999999999709</v>
      </c>
      <c r="AD11" s="19">
        <f>'8'!G135</f>
        <v>0</v>
      </c>
      <c r="AE11" s="19">
        <f t="shared" si="8"/>
        <v>23.739999999997963</v>
      </c>
      <c r="AF11" s="23">
        <f t="shared" si="2"/>
        <v>3857.8899999999994</v>
      </c>
      <c r="AG11" s="23">
        <f t="shared" si="9"/>
        <v>162.50589721989599</v>
      </c>
      <c r="AH11" s="19">
        <f>'8'!G136</f>
        <v>8.6300000000010186</v>
      </c>
      <c r="AI11" s="19">
        <f>'8'!G137</f>
        <v>2.9999999998835847E-2</v>
      </c>
      <c r="AJ11" s="19">
        <f>'8'!G138</f>
        <v>0</v>
      </c>
      <c r="AK11" s="19">
        <f t="shared" si="10"/>
        <v>8.6599999999998545</v>
      </c>
      <c r="AL11" s="19">
        <f>'8'!G139</f>
        <v>8</v>
      </c>
      <c r="AM11" s="19">
        <f>'8'!G140</f>
        <v>0</v>
      </c>
      <c r="AN11" s="19"/>
      <c r="AO11" s="19">
        <f t="shared" si="11"/>
        <v>8</v>
      </c>
      <c r="AP11" s="258">
        <f>'8'!G123</f>
        <v>274.97999999998137</v>
      </c>
      <c r="AQ11" s="261">
        <f>'8'!G35</f>
        <v>1550.9100000000326</v>
      </c>
      <c r="AR11" s="19">
        <f>'8'!G37</f>
        <v>667.27</v>
      </c>
      <c r="AS11" s="19">
        <f>'8'!G38</f>
        <v>1219.92</v>
      </c>
      <c r="AT11" s="19">
        <f>'8'!G39</f>
        <v>1747.7799999999997</v>
      </c>
      <c r="AU11" s="19">
        <f>'8'!G40</f>
        <v>0</v>
      </c>
      <c r="AV11" s="19">
        <f>'8'!G41</f>
        <v>643.87000000000262</v>
      </c>
      <c r="AW11" s="19">
        <f>'8'!G42</f>
        <v>0</v>
      </c>
      <c r="AX11" s="19">
        <f>'8'!G43</f>
        <v>1162.6700000000419</v>
      </c>
      <c r="AY11" s="23">
        <f>'8'!G44</f>
        <v>0</v>
      </c>
      <c r="AZ11" s="262">
        <f>'8'!G36</f>
        <v>628.59999999997672</v>
      </c>
      <c r="BA11" s="261">
        <f>'8'!G49</f>
        <v>967.32999999998719</v>
      </c>
      <c r="BB11" s="19">
        <f>'8'!G51</f>
        <v>1108.9199999999983</v>
      </c>
      <c r="BC11" s="19">
        <f>'8'!G52</f>
        <v>819.71000000002095</v>
      </c>
      <c r="BD11" s="19">
        <f>'8'!G53</f>
        <v>2422.5100000000093</v>
      </c>
      <c r="BE11" s="19">
        <f>'8'!G54</f>
        <v>60</v>
      </c>
      <c r="BF11" s="19">
        <f>'8'!G55</f>
        <v>3214.0199999999968</v>
      </c>
      <c r="BG11" s="19">
        <f>'8'!G56</f>
        <v>0</v>
      </c>
      <c r="BH11" s="19">
        <f>'8'!G57</f>
        <v>1177</v>
      </c>
      <c r="BI11" s="262">
        <f>'8'!G50</f>
        <v>1081</v>
      </c>
      <c r="BJ11" s="401">
        <f t="shared" si="12"/>
        <v>3857.8899999999994</v>
      </c>
      <c r="BK11" s="401">
        <f>'8'!G84</f>
        <v>476</v>
      </c>
      <c r="BL11" s="23">
        <f t="shared" si="13"/>
        <v>56.64392019237058</v>
      </c>
      <c r="BM11" s="23">
        <f t="shared" si="14"/>
        <v>27.102684083967045</v>
      </c>
      <c r="BN11" s="24">
        <f t="shared" si="15"/>
        <v>0.13255540391239495</v>
      </c>
      <c r="BO11" s="25">
        <f t="shared" si="16"/>
        <v>347143.80000000098</v>
      </c>
      <c r="BP11" s="213">
        <f t="shared" si="17"/>
        <v>6673.5600000000413</v>
      </c>
      <c r="BQ11">
        <f t="shared" si="18"/>
        <v>1.0039655794922093</v>
      </c>
    </row>
    <row r="12" spans="1:70">
      <c r="A12" s="16">
        <v>9</v>
      </c>
      <c r="B12" s="27">
        <v>9</v>
      </c>
      <c r="C12" s="26"/>
      <c r="D12" s="19">
        <f>'9'!D3</f>
        <v>25</v>
      </c>
      <c r="E12" s="256">
        <f>'9'!D4</f>
        <v>0.77</v>
      </c>
      <c r="F12" s="256">
        <f>'9'!D2</f>
        <v>0.65</v>
      </c>
      <c r="G12" s="19">
        <f>'9'!G8</f>
        <v>18453</v>
      </c>
      <c r="H12" s="19">
        <f>'9'!G8</f>
        <v>18453</v>
      </c>
      <c r="I12" s="19">
        <f>'9'!G7</f>
        <v>18397</v>
      </c>
      <c r="J12" s="19">
        <v>10</v>
      </c>
      <c r="K12" s="242">
        <f t="shared" si="3"/>
        <v>184530</v>
      </c>
      <c r="L12" s="238">
        <f t="shared" si="4"/>
        <v>91.074257425742573</v>
      </c>
      <c r="M12" s="19">
        <f>'9'!G15</f>
        <v>637.05000000004657</v>
      </c>
      <c r="N12" s="19">
        <v>35</v>
      </c>
      <c r="O12" s="238">
        <f t="shared" si="5"/>
        <v>22296.75000000163</v>
      </c>
      <c r="P12" s="19">
        <f>'9'!G20</f>
        <v>192</v>
      </c>
      <c r="Q12" s="19">
        <v>134</v>
      </c>
      <c r="R12" s="239">
        <f t="shared" si="0"/>
        <v>25728</v>
      </c>
      <c r="S12" s="240">
        <f t="shared" si="1"/>
        <v>146.23000761614622</v>
      </c>
      <c r="T12" s="19">
        <f>'9'!G24</f>
        <v>0</v>
      </c>
      <c r="U12" s="19">
        <v>69</v>
      </c>
      <c r="V12" s="241">
        <f t="shared" si="6"/>
        <v>0</v>
      </c>
      <c r="W12" s="22">
        <f>'9'!G95</f>
        <v>62</v>
      </c>
      <c r="X12" s="22">
        <f>'9'!G96</f>
        <v>40</v>
      </c>
      <c r="Y12" s="22">
        <f>'9'!G97</f>
        <v>29</v>
      </c>
      <c r="Z12" s="22">
        <f t="shared" si="7"/>
        <v>131</v>
      </c>
      <c r="AA12" s="19">
        <f>'9'!G132</f>
        <v>0</v>
      </c>
      <c r="AB12" s="19">
        <f>'9'!G133</f>
        <v>0</v>
      </c>
      <c r="AC12" s="19">
        <f>'9'!G134</f>
        <v>24.040000000000873</v>
      </c>
      <c r="AD12" s="19">
        <f>'9'!G135</f>
        <v>0</v>
      </c>
      <c r="AE12" s="19">
        <f t="shared" si="8"/>
        <v>24.040000000000873</v>
      </c>
      <c r="AF12" s="23">
        <f t="shared" si="2"/>
        <v>3536</v>
      </c>
      <c r="AG12" s="23">
        <f t="shared" si="9"/>
        <v>147.08818635606787</v>
      </c>
      <c r="AH12" s="19">
        <f>'9'!G136</f>
        <v>0.25</v>
      </c>
      <c r="AI12" s="19">
        <f>'9'!G137</f>
        <v>-2.9999999998835847E-2</v>
      </c>
      <c r="AJ12" s="19">
        <f>'9'!G138</f>
        <v>9.0800000000017462</v>
      </c>
      <c r="AK12" s="19">
        <f t="shared" si="10"/>
        <v>9.3000000000029104</v>
      </c>
      <c r="AL12" s="19">
        <f>'9'!G139</f>
        <v>9</v>
      </c>
      <c r="AM12" s="19">
        <f>'9'!G140</f>
        <v>0</v>
      </c>
      <c r="AN12" s="19"/>
      <c r="AO12" s="19">
        <f t="shared" si="11"/>
        <v>9</v>
      </c>
      <c r="AP12" s="258">
        <f>'9'!G123</f>
        <v>310.02000000001863</v>
      </c>
      <c r="AQ12" s="261">
        <f>'9'!G35</f>
        <v>2513.9199999999255</v>
      </c>
      <c r="AR12" s="19">
        <f>'9'!G37</f>
        <v>1433.25</v>
      </c>
      <c r="AS12" s="19">
        <f>'9'!G38</f>
        <v>1896.54</v>
      </c>
      <c r="AT12" s="19">
        <f>'9'!G39</f>
        <v>4116.22</v>
      </c>
      <c r="AU12" s="19">
        <f>'9'!G40</f>
        <v>0</v>
      </c>
      <c r="AV12" s="19">
        <f>'9'!G41</f>
        <v>0</v>
      </c>
      <c r="AW12" s="19">
        <f>'9'!G42</f>
        <v>0</v>
      </c>
      <c r="AX12" s="19">
        <f>'9'!G43</f>
        <v>2539.3299999999581</v>
      </c>
      <c r="AY12" s="23">
        <f>'9'!G44</f>
        <v>0</v>
      </c>
      <c r="AZ12" s="262">
        <f>'9'!G36</f>
        <v>645.40000000002328</v>
      </c>
      <c r="BA12" s="261">
        <f>'9'!G49</f>
        <v>0</v>
      </c>
      <c r="BB12" s="19">
        <f>'9'!G51</f>
        <v>0</v>
      </c>
      <c r="BC12" s="19">
        <f>'9'!G52</f>
        <v>0</v>
      </c>
      <c r="BD12" s="19">
        <f>'9'!G53</f>
        <v>0</v>
      </c>
      <c r="BE12" s="19">
        <f>'9'!G54</f>
        <v>69.840000000000146</v>
      </c>
      <c r="BF12" s="19">
        <f>'9'!G55</f>
        <v>3536</v>
      </c>
      <c r="BG12" s="19">
        <f>'9'!G56</f>
        <v>0</v>
      </c>
      <c r="BH12" s="19">
        <f>'9'!G57</f>
        <v>0</v>
      </c>
      <c r="BI12" s="262">
        <f>'9'!G50</f>
        <v>1173</v>
      </c>
      <c r="BJ12" s="401">
        <f t="shared" si="12"/>
        <v>3536</v>
      </c>
      <c r="BK12" s="401">
        <f>'8'!G84</f>
        <v>476</v>
      </c>
      <c r="BL12" s="23">
        <f t="shared" si="13"/>
        <v>46.68831874762126</v>
      </c>
      <c r="BM12" s="23">
        <f t="shared" si="14"/>
        <v>22.374408871011578</v>
      </c>
      <c r="BN12" s="24">
        <f t="shared" si="15"/>
        <v>0.10308963417948579</v>
      </c>
      <c r="BO12" s="25">
        <f t="shared" si="16"/>
        <v>232554.75000000163</v>
      </c>
      <c r="BP12" s="213">
        <f t="shared" si="17"/>
        <v>6551.3299999999581</v>
      </c>
      <c r="BQ12">
        <f t="shared" si="18"/>
        <v>0.97327816734010575</v>
      </c>
    </row>
    <row r="13" spans="1:70">
      <c r="A13" s="16">
        <v>10</v>
      </c>
      <c r="B13" s="27">
        <v>10</v>
      </c>
      <c r="C13" s="26"/>
      <c r="D13" s="19">
        <f>'10'!D3</f>
        <v>25</v>
      </c>
      <c r="E13" s="256">
        <f>'10'!D4</f>
        <v>0.77</v>
      </c>
      <c r="F13" s="256">
        <f>'10'!D2</f>
        <v>0.72</v>
      </c>
      <c r="G13" s="19">
        <f>'10'!G8</f>
        <v>18938</v>
      </c>
      <c r="H13" s="19">
        <f>'10'!G8</f>
        <v>18938</v>
      </c>
      <c r="I13" s="19">
        <f>'10'!G7</f>
        <v>18869</v>
      </c>
      <c r="J13" s="19">
        <v>10</v>
      </c>
      <c r="K13" s="242">
        <f t="shared" si="3"/>
        <v>189380</v>
      </c>
      <c r="L13" s="238">
        <f t="shared" si="4"/>
        <v>93.410891089108915</v>
      </c>
      <c r="M13" s="19">
        <f>'10'!G15</f>
        <v>899.0999999998603</v>
      </c>
      <c r="N13" s="19">
        <v>35</v>
      </c>
      <c r="O13" s="238">
        <f t="shared" si="5"/>
        <v>31468.499999995111</v>
      </c>
      <c r="P13" s="19">
        <f>'10'!G20</f>
        <v>250</v>
      </c>
      <c r="Q13" s="19">
        <v>134</v>
      </c>
      <c r="R13" s="239">
        <f t="shared" si="0"/>
        <v>33500</v>
      </c>
      <c r="S13" s="240">
        <f t="shared" si="1"/>
        <v>171.89218921892191</v>
      </c>
      <c r="T13" s="19">
        <f>'10'!G24</f>
        <v>0</v>
      </c>
      <c r="U13" s="19">
        <v>69</v>
      </c>
      <c r="V13" s="241">
        <f t="shared" si="6"/>
        <v>0</v>
      </c>
      <c r="W13" s="22">
        <f>'10'!G95</f>
        <v>77</v>
      </c>
      <c r="X13" s="22">
        <f>'10'!G96</f>
        <v>40</v>
      </c>
      <c r="Y13" s="22">
        <f>'10'!G97</f>
        <v>46</v>
      </c>
      <c r="Z13" s="22">
        <f t="shared" si="7"/>
        <v>163</v>
      </c>
      <c r="AA13" s="19">
        <f>'10'!G132</f>
        <v>0</v>
      </c>
      <c r="AB13" s="19">
        <f>'10'!G133</f>
        <v>0</v>
      </c>
      <c r="AC13" s="19">
        <f>'10'!G134</f>
        <v>24.040000000000873</v>
      </c>
      <c r="AD13" s="19">
        <f>'10'!G135</f>
        <v>0</v>
      </c>
      <c r="AE13" s="19">
        <f t="shared" si="8"/>
        <v>24.040000000000873</v>
      </c>
      <c r="AF13" s="23">
        <f t="shared" si="2"/>
        <v>3867.4000000000015</v>
      </c>
      <c r="AG13" s="23">
        <f t="shared" si="9"/>
        <v>160.87354409317226</v>
      </c>
      <c r="AH13" s="19">
        <f>'10'!G136</f>
        <v>8.6199999999989814</v>
      </c>
      <c r="AI13" s="19">
        <f>'10'!G137</f>
        <v>0</v>
      </c>
      <c r="AJ13" s="19">
        <f>'10'!G138</f>
        <v>2.0299999999988358</v>
      </c>
      <c r="AK13" s="19">
        <f t="shared" si="10"/>
        <v>10.649999999997817</v>
      </c>
      <c r="AL13" s="19">
        <f>'10'!G139</f>
        <v>8.3800000000001091</v>
      </c>
      <c r="AM13" s="19">
        <f>'10'!G140</f>
        <v>0</v>
      </c>
      <c r="AN13" s="19"/>
      <c r="AO13" s="19">
        <f t="shared" si="11"/>
        <v>8.3800000000001091</v>
      </c>
      <c r="AP13" s="258">
        <f>'10'!G123</f>
        <v>286</v>
      </c>
      <c r="AQ13" s="261">
        <f>'10'!G35</f>
        <v>2661.1700000000419</v>
      </c>
      <c r="AR13" s="19">
        <f>'10'!G37</f>
        <v>1454.9699999999998</v>
      </c>
      <c r="AS13" s="19">
        <f>'10'!G38</f>
        <v>1901.54</v>
      </c>
      <c r="AT13" s="19">
        <f>'10'!G39</f>
        <v>4189.4699999999993</v>
      </c>
      <c r="AU13" s="19">
        <f>'10'!G40</f>
        <v>0</v>
      </c>
      <c r="AV13" s="19">
        <f>'10'!G41</f>
        <v>0</v>
      </c>
      <c r="AW13" s="19">
        <f>'10'!G42</f>
        <v>0</v>
      </c>
      <c r="AX13" s="19">
        <f>'10'!G43</f>
        <v>2548</v>
      </c>
      <c r="AY13" s="23">
        <f>'10'!G44</f>
        <v>0</v>
      </c>
      <c r="AZ13" s="262">
        <f>'10'!G36</f>
        <v>614.0800000000163</v>
      </c>
      <c r="BA13" s="261">
        <f>'10'!G49</f>
        <v>0</v>
      </c>
      <c r="BB13" s="19">
        <f>'10'!G51</f>
        <v>0</v>
      </c>
      <c r="BC13" s="19">
        <f>'10'!G52</f>
        <v>0</v>
      </c>
      <c r="BD13" s="19">
        <f>'10'!G53</f>
        <v>0</v>
      </c>
      <c r="BE13" s="19">
        <f>'10'!G54</f>
        <v>72.159999999999854</v>
      </c>
      <c r="BF13" s="19">
        <f>'10'!G55</f>
        <v>3867.4000000000015</v>
      </c>
      <c r="BG13" s="19">
        <f>'10'!G56</f>
        <v>0</v>
      </c>
      <c r="BH13" s="19">
        <f>'10'!G57</f>
        <v>0</v>
      </c>
      <c r="BI13" s="262">
        <f>'10'!G50</f>
        <v>1043</v>
      </c>
      <c r="BJ13" s="401">
        <f t="shared" si="12"/>
        <v>3867.4000000000015</v>
      </c>
      <c r="BK13" s="401">
        <f>'8'!G84</f>
        <v>476</v>
      </c>
      <c r="BL13" s="23">
        <f t="shared" si="13"/>
        <v>48.103079124490137</v>
      </c>
      <c r="BM13" s="23">
        <f t="shared" si="14"/>
        <v>22.2029254332503</v>
      </c>
      <c r="BN13" s="24">
        <f t="shared" si="15"/>
        <v>0.10077587577508082</v>
      </c>
      <c r="BO13" s="25">
        <f t="shared" si="16"/>
        <v>254348.49999999511</v>
      </c>
      <c r="BP13" s="213">
        <f t="shared" si="17"/>
        <v>6891.4000000000015</v>
      </c>
      <c r="BQ13">
        <f t="shared" si="18"/>
        <v>1.0237996196814463</v>
      </c>
    </row>
    <row r="14" spans="1:70">
      <c r="A14" s="16">
        <v>11</v>
      </c>
      <c r="B14" s="17">
        <v>11</v>
      </c>
      <c r="C14" s="27"/>
      <c r="D14" s="19">
        <f>'11'!D3</f>
        <v>24</v>
      </c>
      <c r="E14" s="256">
        <f>'11'!D4</f>
        <v>0.77</v>
      </c>
      <c r="F14" s="256">
        <f>'11'!D2</f>
        <v>0.64</v>
      </c>
      <c r="G14" s="19">
        <f>'11'!G8</f>
        <v>18689</v>
      </c>
      <c r="H14" s="19">
        <f>'11'!G8</f>
        <v>18689</v>
      </c>
      <c r="I14" s="19">
        <f>'11'!G7</f>
        <v>18625</v>
      </c>
      <c r="J14" s="19">
        <v>10</v>
      </c>
      <c r="K14" s="242">
        <f t="shared" si="3"/>
        <v>186890</v>
      </c>
      <c r="L14" s="238">
        <f t="shared" si="4"/>
        <v>92.202970297029708</v>
      </c>
      <c r="M14" s="19">
        <f>'11'!G15</f>
        <v>887.12000000011176</v>
      </c>
      <c r="N14" s="19">
        <v>35</v>
      </c>
      <c r="O14" s="238">
        <f t="shared" si="5"/>
        <v>31049.200000003912</v>
      </c>
      <c r="P14" s="19">
        <f>'11'!G20</f>
        <v>211</v>
      </c>
      <c r="Q14" s="19">
        <v>134</v>
      </c>
      <c r="R14" s="239">
        <f t="shared" si="0"/>
        <v>28274</v>
      </c>
      <c r="S14" s="240">
        <f t="shared" si="1"/>
        <v>163.21163366336634</v>
      </c>
      <c r="T14" s="19">
        <f>'11'!G24</f>
        <v>0</v>
      </c>
      <c r="U14" s="19">
        <v>69</v>
      </c>
      <c r="V14" s="241">
        <f t="shared" si="6"/>
        <v>0</v>
      </c>
      <c r="W14" s="22">
        <f>'11'!G95</f>
        <v>71</v>
      </c>
      <c r="X14" s="22">
        <f>'11'!G96</f>
        <v>49</v>
      </c>
      <c r="Y14" s="22">
        <f>'11'!G97</f>
        <v>23</v>
      </c>
      <c r="Z14" s="22">
        <f t="shared" si="7"/>
        <v>143</v>
      </c>
      <c r="AA14" s="19">
        <f>'11'!G132</f>
        <v>0</v>
      </c>
      <c r="AB14" s="19">
        <f>'11'!G133</f>
        <v>0</v>
      </c>
      <c r="AC14" s="19">
        <f>'11'!G134</f>
        <v>24.489999999997963</v>
      </c>
      <c r="AD14" s="19">
        <f>'11'!G135</f>
        <v>0</v>
      </c>
      <c r="AE14" s="19">
        <f t="shared" si="8"/>
        <v>24.489999999997963</v>
      </c>
      <c r="AF14" s="23">
        <f t="shared" si="2"/>
        <v>4051.5999999999985</v>
      </c>
      <c r="AG14" s="23">
        <f t="shared" si="9"/>
        <v>165.43895467539141</v>
      </c>
      <c r="AH14" s="19">
        <f>'11'!G136</f>
        <v>7.8400000000001455</v>
      </c>
      <c r="AI14" s="19">
        <f>'11'!G137</f>
        <v>0</v>
      </c>
      <c r="AJ14" s="19">
        <f>'11'!G138</f>
        <v>3</v>
      </c>
      <c r="AK14" s="19">
        <f t="shared" si="10"/>
        <v>10.840000000000146</v>
      </c>
      <c r="AL14" s="19">
        <f>'11'!G139</f>
        <v>9.4099999999998545</v>
      </c>
      <c r="AM14" s="19">
        <f>'11'!G140</f>
        <v>0</v>
      </c>
      <c r="AN14" s="19"/>
      <c r="AO14" s="19">
        <f t="shared" si="11"/>
        <v>9.4099999999998545</v>
      </c>
      <c r="AP14" s="258">
        <f>'11'!G123</f>
        <v>302.85999999998603</v>
      </c>
      <c r="AQ14" s="261">
        <f>'11'!G35</f>
        <v>2358</v>
      </c>
      <c r="AR14" s="19">
        <f>'11'!G37</f>
        <v>1472.3200000000006</v>
      </c>
      <c r="AS14" s="19">
        <f>'11'!G38</f>
        <v>1831</v>
      </c>
      <c r="AT14" s="19">
        <f>'11'!G39</f>
        <v>4103.5300000000007</v>
      </c>
      <c r="AU14" s="19">
        <f>'11'!G40</f>
        <v>0</v>
      </c>
      <c r="AV14" s="19">
        <f>'11'!G41</f>
        <v>0</v>
      </c>
      <c r="AW14" s="19">
        <f>'11'!G42</f>
        <v>0</v>
      </c>
      <c r="AX14" s="19">
        <f>'11'!G43</f>
        <v>2543</v>
      </c>
      <c r="AY14" s="23">
        <f>'11'!G44</f>
        <v>0</v>
      </c>
      <c r="AZ14" s="262">
        <f>'11'!G36</f>
        <v>697.10999999998603</v>
      </c>
      <c r="BA14" s="261">
        <f>'11'!G49</f>
        <v>0</v>
      </c>
      <c r="BB14" s="19">
        <f>'11'!G51</f>
        <v>0</v>
      </c>
      <c r="BC14" s="19">
        <f>'11'!G52</f>
        <v>0</v>
      </c>
      <c r="BD14" s="19">
        <f>'11'!G53</f>
        <v>0</v>
      </c>
      <c r="BE14" s="19">
        <f>'11'!G54</f>
        <v>70.710000000000036</v>
      </c>
      <c r="BF14" s="19">
        <f>'11'!G55</f>
        <v>4051.5999999999985</v>
      </c>
      <c r="BG14" s="19">
        <f>'11'!G56</f>
        <v>0</v>
      </c>
      <c r="BH14" s="19">
        <f>'11'!G57</f>
        <v>0</v>
      </c>
      <c r="BI14" s="262">
        <f>'11'!G50</f>
        <v>1038.710000000021</v>
      </c>
      <c r="BJ14" s="401">
        <f t="shared" si="12"/>
        <v>4051.5999999999985</v>
      </c>
      <c r="BK14" s="401">
        <f>'11'!G84</f>
        <v>447</v>
      </c>
      <c r="BL14" s="23">
        <f t="shared" si="13"/>
        <v>48.067651006711401</v>
      </c>
      <c r="BM14" s="23">
        <f t="shared" si="14"/>
        <v>22.032375838926178</v>
      </c>
      <c r="BN14" s="24">
        <f t="shared" si="15"/>
        <v>9.8308724832214769E-2</v>
      </c>
      <c r="BO14" s="25">
        <f t="shared" si="16"/>
        <v>246213.20000000391</v>
      </c>
      <c r="BP14" s="213">
        <f t="shared" si="17"/>
        <v>7041.5999999999985</v>
      </c>
      <c r="BQ14">
        <f t="shared" si="18"/>
        <v>1.0268914425713971</v>
      </c>
    </row>
    <row r="15" spans="1:70">
      <c r="A15" s="16">
        <v>12</v>
      </c>
      <c r="B15" s="26">
        <v>12</v>
      </c>
      <c r="C15" s="27"/>
      <c r="D15" s="19">
        <f>'12'!D3</f>
        <v>24</v>
      </c>
      <c r="E15" s="256">
        <f>'12'!D4</f>
        <v>0.68</v>
      </c>
      <c r="F15" s="256">
        <f>'12'!D2</f>
        <v>0.72</v>
      </c>
      <c r="G15" s="19">
        <f>'12'!G8</f>
        <v>19531</v>
      </c>
      <c r="H15" s="19">
        <f>'12'!G8</f>
        <v>19531</v>
      </c>
      <c r="I15" s="19">
        <f>'12'!G7</f>
        <v>19448</v>
      </c>
      <c r="J15" s="19">
        <v>10</v>
      </c>
      <c r="K15" s="242">
        <f t="shared" si="3"/>
        <v>195310</v>
      </c>
      <c r="L15" s="238">
        <f t="shared" si="4"/>
        <v>96.277227722772281</v>
      </c>
      <c r="M15" s="19">
        <f>'12'!G15</f>
        <v>914.91800000006333</v>
      </c>
      <c r="N15" s="19">
        <v>35</v>
      </c>
      <c r="O15" s="234">
        <f t="shared" si="5"/>
        <v>32022.130000002217</v>
      </c>
      <c r="P15" s="19">
        <f>'12'!G20</f>
        <v>211</v>
      </c>
      <c r="Q15" s="19">
        <v>134</v>
      </c>
      <c r="R15" s="239">
        <f t="shared" si="0"/>
        <v>28274</v>
      </c>
      <c r="S15" s="240">
        <f t="shared" si="1"/>
        <v>145.07700770077008</v>
      </c>
      <c r="T15" s="19">
        <f>'12'!G24</f>
        <v>0</v>
      </c>
      <c r="U15" s="19">
        <v>69</v>
      </c>
      <c r="V15" s="241">
        <f t="shared" si="6"/>
        <v>0</v>
      </c>
      <c r="W15" s="22">
        <f>'12'!G95</f>
        <v>86</v>
      </c>
      <c r="X15" s="22">
        <f>'12'!G96</f>
        <v>38</v>
      </c>
      <c r="Y15" s="22">
        <f>'12'!G97</f>
        <v>27</v>
      </c>
      <c r="Z15" s="22">
        <f t="shared" si="7"/>
        <v>151</v>
      </c>
      <c r="AA15" s="19">
        <f>'12'!G132</f>
        <v>0</v>
      </c>
      <c r="AB15" s="19">
        <f>'12'!G133</f>
        <v>0</v>
      </c>
      <c r="AC15" s="19">
        <f>'12'!G134</f>
        <v>23.980000000003201</v>
      </c>
      <c r="AD15" s="19">
        <f>'12'!G135</f>
        <v>0</v>
      </c>
      <c r="AE15" s="19">
        <f t="shared" si="8"/>
        <v>23.980000000003201</v>
      </c>
      <c r="AF15" s="23">
        <f t="shared" si="2"/>
        <v>4885.5740000000078</v>
      </c>
      <c r="AG15" s="23">
        <f t="shared" si="9"/>
        <v>203.7353628023084</v>
      </c>
      <c r="AH15" s="19">
        <f>'12'!G136</f>
        <v>8.8600000000005821</v>
      </c>
      <c r="AI15" s="19">
        <f>'12'!G137</f>
        <v>2.9999999998835847E-2</v>
      </c>
      <c r="AJ15" s="19">
        <f>'12'!G138</f>
        <v>5.5200000000040745</v>
      </c>
      <c r="AK15" s="19">
        <f t="shared" si="10"/>
        <v>14.410000000003492</v>
      </c>
      <c r="AL15" s="19">
        <f>'12'!G139</f>
        <v>7.2799999999999727</v>
      </c>
      <c r="AM15" s="19">
        <f>'12'!G140</f>
        <v>-0.47000000000025466</v>
      </c>
      <c r="AN15" s="19"/>
      <c r="AO15" s="19">
        <f t="shared" si="11"/>
        <v>6.8099999999997181</v>
      </c>
      <c r="AP15" s="258">
        <f>'12'!G123</f>
        <v>274.02000000001863</v>
      </c>
      <c r="AQ15" s="261">
        <f>'12'!G35</f>
        <v>2406.9499999999534</v>
      </c>
      <c r="AR15" s="19">
        <f>'12'!G37</f>
        <v>1504.1999999999998</v>
      </c>
      <c r="AS15" s="19">
        <f>'12'!G38</f>
        <v>1990.9400000000005</v>
      </c>
      <c r="AT15" s="19">
        <f>'12'!G39</f>
        <v>4063.9000000000015</v>
      </c>
      <c r="AU15" s="19">
        <f>'12'!G40</f>
        <v>-0.06</v>
      </c>
      <c r="AV15" s="19">
        <f>'12'!G41</f>
        <v>0</v>
      </c>
      <c r="AW15" s="19">
        <f>'12'!G42</f>
        <v>9.900000000197906E-2</v>
      </c>
      <c r="AX15" s="19">
        <f>'12'!G43</f>
        <v>2400.0300000000279</v>
      </c>
      <c r="AY15" s="23">
        <f>'12'!G44</f>
        <v>0</v>
      </c>
      <c r="AZ15" s="262">
        <f>'12'!G36</f>
        <v>611.75</v>
      </c>
      <c r="BA15" s="261">
        <f>'12'!G49</f>
        <v>0.13000000000465661</v>
      </c>
      <c r="BB15" s="19">
        <f>'12'!G51</f>
        <v>0</v>
      </c>
      <c r="BC15" s="19">
        <f>'12'!G52</f>
        <v>0</v>
      </c>
      <c r="BD15" s="19">
        <f>'12'!G53</f>
        <v>0</v>
      </c>
      <c r="BE15" s="19">
        <f>'12'!G54</f>
        <v>70.329999999999927</v>
      </c>
      <c r="BF15" s="19">
        <f>'12'!G55</f>
        <v>4885.4750000000058</v>
      </c>
      <c r="BG15" s="19">
        <f>'12'!G56</f>
        <v>0</v>
      </c>
      <c r="BH15" s="19">
        <f>'12'!G57</f>
        <v>0</v>
      </c>
      <c r="BI15" s="262">
        <f>'12'!G50</f>
        <v>1046.039999999979</v>
      </c>
      <c r="BJ15" s="401">
        <f t="shared" si="12"/>
        <v>4885.5740000000078</v>
      </c>
      <c r="BK15" s="401">
        <f>'12'!G84</f>
        <v>348</v>
      </c>
      <c r="BL15" s="23">
        <f t="shared" si="13"/>
        <v>49.838975730152171</v>
      </c>
      <c r="BM15" s="23">
        <f t="shared" si="14"/>
        <v>20.896236116824362</v>
      </c>
      <c r="BN15" s="24">
        <f t="shared" si="15"/>
        <v>0.10237248046071579</v>
      </c>
      <c r="BO15" s="25">
        <f t="shared" si="16"/>
        <v>255606.13000000222</v>
      </c>
      <c r="BP15" s="213">
        <f t="shared" si="17"/>
        <v>7633.6040000000357</v>
      </c>
      <c r="BQ15">
        <f t="shared" si="18"/>
        <v>1.1369003931846504</v>
      </c>
    </row>
    <row r="16" spans="1:70">
      <c r="A16" s="16">
        <v>13</v>
      </c>
      <c r="B16" s="26">
        <v>13</v>
      </c>
      <c r="C16" s="26"/>
      <c r="D16" s="19">
        <f>'13'!D3</f>
        <v>26</v>
      </c>
      <c r="E16" s="256">
        <f>'13'!D4</f>
        <v>0.74</v>
      </c>
      <c r="F16" s="256">
        <f>'13'!D2</f>
        <v>0.71</v>
      </c>
      <c r="G16" s="19">
        <f>'13'!G8</f>
        <v>20296</v>
      </c>
      <c r="H16" s="19">
        <f>'13'!G8</f>
        <v>20296</v>
      </c>
      <c r="I16" s="19">
        <f>'13'!G7</f>
        <v>20224</v>
      </c>
      <c r="J16" s="19">
        <v>10</v>
      </c>
      <c r="K16" s="242">
        <f t="shared" si="3"/>
        <v>202960</v>
      </c>
      <c r="L16" s="238">
        <f t="shared" si="4"/>
        <v>100.11881188118812</v>
      </c>
      <c r="M16" s="19">
        <f>'13'!G15</f>
        <v>1043.6699999999255</v>
      </c>
      <c r="N16" s="19">
        <v>35</v>
      </c>
      <c r="O16" s="234">
        <f t="shared" si="5"/>
        <v>36528.449999997392</v>
      </c>
      <c r="P16" s="19">
        <f>'13'!G20</f>
        <v>272</v>
      </c>
      <c r="Q16" s="19">
        <v>134</v>
      </c>
      <c r="R16" s="239">
        <f t="shared" si="0"/>
        <v>36448</v>
      </c>
      <c r="S16" s="240">
        <f t="shared" si="1"/>
        <v>189.65276809371079</v>
      </c>
      <c r="T16" s="19">
        <f>'13'!G24</f>
        <v>0</v>
      </c>
      <c r="U16" s="19">
        <v>69</v>
      </c>
      <c r="V16" s="241">
        <f t="shared" si="6"/>
        <v>0</v>
      </c>
      <c r="W16" s="22">
        <f>'13'!G95</f>
        <v>88</v>
      </c>
      <c r="X16" s="22">
        <f>'13'!G96</f>
        <v>43</v>
      </c>
      <c r="Y16" s="22">
        <f>'13'!G97</f>
        <v>46</v>
      </c>
      <c r="Z16" s="22">
        <f t="shared" si="7"/>
        <v>177</v>
      </c>
      <c r="AA16" s="19">
        <f>'13'!G132</f>
        <v>0</v>
      </c>
      <c r="AB16" s="19">
        <f>'13'!G133</f>
        <v>0</v>
      </c>
      <c r="AC16" s="19">
        <f>'13'!G134</f>
        <v>24.080000000001746</v>
      </c>
      <c r="AD16" s="19">
        <f>'13'!G135</f>
        <v>0</v>
      </c>
      <c r="AE16" s="19">
        <f t="shared" si="8"/>
        <v>24.080000000001746</v>
      </c>
      <c r="AF16" s="23">
        <f t="shared" si="2"/>
        <v>4412.4599999999919</v>
      </c>
      <c r="AG16" s="23">
        <f t="shared" si="9"/>
        <v>183.24169435214583</v>
      </c>
      <c r="AH16" s="19">
        <f>'13'!G136</f>
        <v>9.2999999999992724</v>
      </c>
      <c r="AI16" s="19">
        <f>'13'!G137</f>
        <v>0</v>
      </c>
      <c r="AJ16" s="19">
        <f>'13'!G138</f>
        <v>2.9700000000011642</v>
      </c>
      <c r="AK16" s="19">
        <f t="shared" si="10"/>
        <v>12.270000000000437</v>
      </c>
      <c r="AL16" s="19">
        <f>'13'!G139</f>
        <v>8.5099999999999909</v>
      </c>
      <c r="AM16" s="19">
        <f>'13'!G140</f>
        <v>0</v>
      </c>
      <c r="AN16" s="19"/>
      <c r="AO16" s="19">
        <f t="shared" si="11"/>
        <v>8.5099999999999909</v>
      </c>
      <c r="AP16" s="258">
        <f>'13'!G123</f>
        <v>293.52000000001863</v>
      </c>
      <c r="AQ16" s="261">
        <f>'13'!G35</f>
        <v>2703.7200000000885</v>
      </c>
      <c r="AR16" s="19">
        <f>'13'!G37</f>
        <v>1599.92</v>
      </c>
      <c r="AS16" s="19">
        <f>'13'!G38</f>
        <v>2319.92</v>
      </c>
      <c r="AT16" s="19">
        <f>'13'!G39</f>
        <v>4383.7999999999993</v>
      </c>
      <c r="AU16" s="19">
        <f>'13'!G40</f>
        <v>0</v>
      </c>
      <c r="AV16" s="19">
        <f>'13'!G41</f>
        <v>0</v>
      </c>
      <c r="AW16" s="19">
        <f>'13'!G42</f>
        <v>0</v>
      </c>
      <c r="AX16" s="19">
        <f>'13'!G43</f>
        <v>2375.1599999999162</v>
      </c>
      <c r="AY16" s="23">
        <f>'13'!G44</f>
        <v>0</v>
      </c>
      <c r="AZ16" s="262">
        <f>'13'!G36</f>
        <v>685.5800000000163</v>
      </c>
      <c r="BA16" s="261">
        <f>'13'!G49</f>
        <v>0</v>
      </c>
      <c r="BB16" s="19">
        <f>'13'!G51</f>
        <v>0</v>
      </c>
      <c r="BC16" s="19">
        <f>'13'!G52</f>
        <v>0</v>
      </c>
      <c r="BD16" s="19">
        <f>'13'!G53</f>
        <v>0</v>
      </c>
      <c r="BE16" s="19">
        <f>'13'!G54</f>
        <v>71.4399999999996</v>
      </c>
      <c r="BF16" s="19">
        <f>'13'!G55</f>
        <v>4412.4599999999919</v>
      </c>
      <c r="BG16" s="19">
        <f>'13'!G56</f>
        <v>0</v>
      </c>
      <c r="BH16" s="19">
        <f>'13'!G57</f>
        <v>0.32999999999992724</v>
      </c>
      <c r="BI16" s="262">
        <f>'13'!G50</f>
        <v>1132.1599999999744</v>
      </c>
      <c r="BJ16" s="401">
        <f t="shared" si="12"/>
        <v>4412.4599999999919</v>
      </c>
      <c r="BK16" s="401">
        <f>'13'!G84</f>
        <v>512</v>
      </c>
      <c r="BL16" s="23">
        <f t="shared" si="13"/>
        <v>46.932703718354411</v>
      </c>
      <c r="BM16" s="23">
        <f t="shared" si="14"/>
        <v>21.67622626582278</v>
      </c>
      <c r="BN16" s="24">
        <f t="shared" si="15"/>
        <v>0.1147112341772152</v>
      </c>
      <c r="BO16" s="25">
        <f t="shared" si="16"/>
        <v>275936.44999999739</v>
      </c>
      <c r="BP16" s="213">
        <f t="shared" si="17"/>
        <v>7299.949999999908</v>
      </c>
      <c r="BQ16">
        <f t="shared" si="18"/>
        <v>1.0826931063122003</v>
      </c>
    </row>
    <row r="17" spans="1:69">
      <c r="A17" s="16">
        <v>14</v>
      </c>
      <c r="B17" s="17">
        <v>14</v>
      </c>
      <c r="C17" s="27"/>
      <c r="D17" s="19">
        <f>'14'!D3</f>
        <v>24</v>
      </c>
      <c r="E17" s="256">
        <f>'14'!D4</f>
        <v>0.64</v>
      </c>
      <c r="F17" s="256">
        <f>'14'!D2</f>
        <v>0.66830000000000001</v>
      </c>
      <c r="G17" s="19">
        <f>'14'!G8</f>
        <v>22679</v>
      </c>
      <c r="H17" s="19">
        <f>'14'!G8</f>
        <v>22679</v>
      </c>
      <c r="I17" s="19">
        <f>'14'!G7</f>
        <v>22577</v>
      </c>
      <c r="J17" s="19">
        <v>10</v>
      </c>
      <c r="K17" s="242">
        <f t="shared" si="3"/>
        <v>226790</v>
      </c>
      <c r="L17" s="238">
        <f t="shared" si="4"/>
        <v>111.76732673267327</v>
      </c>
      <c r="M17" s="19">
        <f>'14'!G15</f>
        <v>1135.4930000000168</v>
      </c>
      <c r="N17" s="19">
        <v>35</v>
      </c>
      <c r="O17" s="234">
        <f t="shared" si="5"/>
        <v>39742.255000000587</v>
      </c>
      <c r="P17" s="19">
        <f>'14'!G20</f>
        <v>241</v>
      </c>
      <c r="Q17" s="19">
        <v>134</v>
      </c>
      <c r="R17" s="239">
        <f t="shared" si="0"/>
        <v>32294</v>
      </c>
      <c r="S17" s="240">
        <f t="shared" si="1"/>
        <v>178.52301465370238</v>
      </c>
      <c r="T17" s="19">
        <f>'14'!G24</f>
        <v>0</v>
      </c>
      <c r="U17" s="19">
        <v>69</v>
      </c>
      <c r="V17" s="241">
        <f t="shared" si="6"/>
        <v>0</v>
      </c>
      <c r="W17" s="22">
        <f>'14'!G95</f>
        <v>121</v>
      </c>
      <c r="X17" s="22">
        <f>'14'!G96</f>
        <v>47</v>
      </c>
      <c r="Y17" s="22">
        <f>'14'!G97</f>
        <v>46</v>
      </c>
      <c r="Z17" s="22">
        <f>W17+X17+Y17</f>
        <v>214</v>
      </c>
      <c r="AA17" s="19">
        <f>'14'!G132</f>
        <v>0</v>
      </c>
      <c r="AB17" s="19">
        <f>'14'!G133</f>
        <v>0</v>
      </c>
      <c r="AC17" s="19">
        <f>'14'!G134</f>
        <v>24.169999999998254</v>
      </c>
      <c r="AD17" s="19">
        <f>'14'!G135</f>
        <v>0</v>
      </c>
      <c r="AE17" s="19">
        <f t="shared" si="8"/>
        <v>24.169999999998254</v>
      </c>
      <c r="AF17" s="23">
        <f t="shared" si="2"/>
        <v>5638.7550000000047</v>
      </c>
      <c r="AG17" s="23">
        <f t="shared" si="9"/>
        <v>233.29561439803112</v>
      </c>
      <c r="AH17" s="19">
        <f>'14'!G136</f>
        <v>9.9700000000011642</v>
      </c>
      <c r="AI17" s="19">
        <f>'14'!G137</f>
        <v>0</v>
      </c>
      <c r="AJ17" s="19">
        <f>'14'!G138</f>
        <v>7.4099999999889405</v>
      </c>
      <c r="AK17" s="19">
        <f t="shared" si="10"/>
        <v>17.379999999990105</v>
      </c>
      <c r="AL17" s="19">
        <f>'14'!G139</f>
        <v>8.9500000000000455</v>
      </c>
      <c r="AM17" s="19">
        <f>'14'!G140</f>
        <v>0</v>
      </c>
      <c r="AN17" s="19"/>
      <c r="AO17" s="19">
        <f t="shared" si="11"/>
        <v>8.9500000000000455</v>
      </c>
      <c r="AP17" s="258">
        <f>'14'!G123</f>
        <v>307.53000000002794</v>
      </c>
      <c r="AQ17" s="261">
        <f>'14'!G35</f>
        <v>2968.1999999999534</v>
      </c>
      <c r="AR17" s="19">
        <f>'14'!G37</f>
        <v>1580.2299999999996</v>
      </c>
      <c r="AS17" s="19">
        <f>'14'!G38</f>
        <v>2441.0599999999995</v>
      </c>
      <c r="AT17" s="19">
        <f>'14'!G39</f>
        <v>4655.1399999999994</v>
      </c>
      <c r="AU17" s="19">
        <f>'14'!G40</f>
        <v>0</v>
      </c>
      <c r="AV17" s="19">
        <f>'14'!G41</f>
        <v>0</v>
      </c>
      <c r="AW17" s="19">
        <f>'14'!G42</f>
        <v>0</v>
      </c>
      <c r="AX17" s="19">
        <f>'14'!G43</f>
        <v>2360.0800000000745</v>
      </c>
      <c r="AY17" s="23">
        <f>'14'!G44</f>
        <v>0</v>
      </c>
      <c r="AZ17" s="262">
        <f>'14'!G36</f>
        <v>864.61999999999534</v>
      </c>
      <c r="BA17" s="261">
        <f>'14'!G49</f>
        <v>0</v>
      </c>
      <c r="BB17" s="19">
        <f>'14'!G51</f>
        <v>0</v>
      </c>
      <c r="BC17" s="19">
        <f>'14'!G52</f>
        <v>0</v>
      </c>
      <c r="BD17" s="19">
        <f>'14'!G53</f>
        <v>0</v>
      </c>
      <c r="BE17" s="19">
        <f>'14'!G54</f>
        <v>71.360000000000582</v>
      </c>
      <c r="BF17" s="19">
        <f>'14'!G55</f>
        <v>5638.7550000000047</v>
      </c>
      <c r="BG17" s="19">
        <f>'14'!G56</f>
        <v>0</v>
      </c>
      <c r="BH17" s="19">
        <f>'14'!G57</f>
        <v>0</v>
      </c>
      <c r="BI17" s="262">
        <f>'14'!G50</f>
        <v>1369.2800000000279</v>
      </c>
      <c r="BJ17" s="401">
        <f t="shared" si="12"/>
        <v>5638.7550000000047</v>
      </c>
      <c r="BK17" s="401">
        <f>'14'!G84</f>
        <v>498</v>
      </c>
      <c r="BL17" s="23">
        <f t="shared" si="13"/>
        <v>48.576139433937335</v>
      </c>
      <c r="BM17" s="23">
        <f t="shared" si="14"/>
        <v>20.618948487398676</v>
      </c>
      <c r="BN17" s="24">
        <f t="shared" si="15"/>
        <v>0.10812153961996721</v>
      </c>
      <c r="BO17" s="25">
        <f t="shared" si="16"/>
        <v>298826.25500000059</v>
      </c>
      <c r="BP17" s="213">
        <f t="shared" si="17"/>
        <v>8496.8350000000792</v>
      </c>
      <c r="BQ17">
        <f t="shared" si="18"/>
        <v>1.2555167267570029</v>
      </c>
    </row>
    <row r="18" spans="1:69">
      <c r="A18" s="16">
        <v>15</v>
      </c>
      <c r="B18" s="26">
        <v>15</v>
      </c>
      <c r="C18" s="18"/>
      <c r="D18" s="19">
        <f>'15'!D3</f>
        <v>24</v>
      </c>
      <c r="E18" s="256">
        <f>'15'!D4</f>
        <v>0.64</v>
      </c>
      <c r="F18" s="256">
        <f>'15'!D2</f>
        <v>0.67</v>
      </c>
      <c r="G18" s="19">
        <f>'15'!G8</f>
        <v>23355</v>
      </c>
      <c r="H18" s="19">
        <f>'15'!G8</f>
        <v>23355</v>
      </c>
      <c r="I18" s="19">
        <f>'15'!G7</f>
        <v>23207</v>
      </c>
      <c r="J18" s="19">
        <v>10</v>
      </c>
      <c r="K18" s="242">
        <f t="shared" si="3"/>
        <v>233550</v>
      </c>
      <c r="L18" s="238">
        <f t="shared" si="4"/>
        <v>114.88613861386139</v>
      </c>
      <c r="M18" s="19">
        <f>'15'!G15</f>
        <v>1235.2890000001062</v>
      </c>
      <c r="N18" s="19">
        <v>35</v>
      </c>
      <c r="O18" s="234">
        <f t="shared" si="5"/>
        <v>43235.115000003716</v>
      </c>
      <c r="P18" s="19">
        <f>'15'!G20</f>
        <v>372</v>
      </c>
      <c r="Q18" s="19">
        <v>134</v>
      </c>
      <c r="R18" s="239">
        <f t="shared" si="0"/>
        <v>49848</v>
      </c>
      <c r="S18" s="240">
        <f t="shared" si="1"/>
        <v>274.86330722624501</v>
      </c>
      <c r="T18" s="19">
        <f>'15'!G24</f>
        <v>0</v>
      </c>
      <c r="U18" s="19">
        <v>69</v>
      </c>
      <c r="V18" s="241">
        <f t="shared" si="6"/>
        <v>0</v>
      </c>
      <c r="W18" s="22">
        <f>'15'!G95</f>
        <v>131</v>
      </c>
      <c r="X18" s="22">
        <f>'15'!G96</f>
        <v>25</v>
      </c>
      <c r="Y18" s="22">
        <f>'15'!G97</f>
        <v>35</v>
      </c>
      <c r="Z18" s="22">
        <f t="shared" si="7"/>
        <v>191</v>
      </c>
      <c r="AA18" s="19">
        <f>'15'!G132</f>
        <v>0</v>
      </c>
      <c r="AB18" s="19">
        <f>'15'!G133</f>
        <v>0</v>
      </c>
      <c r="AC18" s="19">
        <f>'15'!G134</f>
        <v>23.989999999997963</v>
      </c>
      <c r="AD18" s="19">
        <f>'15'!G135</f>
        <v>0</v>
      </c>
      <c r="AE18" s="19">
        <f t="shared" si="8"/>
        <v>23.989999999997963</v>
      </c>
      <c r="AF18" s="23">
        <f t="shared" si="2"/>
        <v>5582.9709999999905</v>
      </c>
      <c r="AG18" s="23">
        <f t="shared" si="9"/>
        <v>232.72075864945663</v>
      </c>
      <c r="AH18" s="19">
        <f>'15'!G136</f>
        <v>10.5</v>
      </c>
      <c r="AI18" s="19">
        <f>'15'!G137</f>
        <v>4.2600000000020373</v>
      </c>
      <c r="AJ18" s="19">
        <f>'15'!G138</f>
        <v>0.69000000000232831</v>
      </c>
      <c r="AK18" s="19">
        <f t="shared" si="10"/>
        <v>15.450000000004366</v>
      </c>
      <c r="AL18" s="19">
        <f>'15'!G139</f>
        <v>7.7899999999999636</v>
      </c>
      <c r="AM18" s="19">
        <f>'15'!G140</f>
        <v>0</v>
      </c>
      <c r="AN18" s="19"/>
      <c r="AO18" s="19">
        <f t="shared" si="11"/>
        <v>7.7899999999999636</v>
      </c>
      <c r="AP18" s="258">
        <f>'15'!G123</f>
        <v>276.40999999991618</v>
      </c>
      <c r="AQ18" s="261">
        <f>'15'!G35</f>
        <v>2919.7600000000093</v>
      </c>
      <c r="AR18" s="19">
        <f>'15'!G37</f>
        <v>1580.0900000000001</v>
      </c>
      <c r="AS18" s="19">
        <f>'15'!G38</f>
        <v>2468.8999999999996</v>
      </c>
      <c r="AT18" s="19">
        <f>'15'!G39</f>
        <v>4654.59</v>
      </c>
      <c r="AU18" s="19">
        <f>'15'!G40</f>
        <v>0</v>
      </c>
      <c r="AV18" s="19">
        <f>'15'!G41</f>
        <v>0</v>
      </c>
      <c r="AW18" s="19">
        <f>'15'!G42</f>
        <v>-9.900000000197906E-2</v>
      </c>
      <c r="AX18" s="19">
        <f>'15'!G43</f>
        <v>2346.1600000000326</v>
      </c>
      <c r="AY18" s="23">
        <f>'15'!G44</f>
        <v>0</v>
      </c>
      <c r="AZ18" s="262">
        <f>'15'!G36</f>
        <v>941.51999999996042</v>
      </c>
      <c r="BA18" s="261">
        <f>'15'!G49</f>
        <v>0</v>
      </c>
      <c r="BB18" s="19">
        <f>'15'!G51</f>
        <v>0</v>
      </c>
      <c r="BC18" s="19">
        <f>'15'!G52</f>
        <v>0</v>
      </c>
      <c r="BD18" s="19">
        <f>'15'!G53</f>
        <v>0</v>
      </c>
      <c r="BE18" s="19">
        <f>'15'!G54</f>
        <v>68.979999999999563</v>
      </c>
      <c r="BF18" s="19">
        <f>'15'!G55</f>
        <v>5532.3199999999924</v>
      </c>
      <c r="BG18" s="19">
        <f>'15'!G56</f>
        <v>50.75</v>
      </c>
      <c r="BH18" s="19">
        <f>'15'!G57</f>
        <v>0</v>
      </c>
      <c r="BI18" s="262">
        <f>'15'!G50</f>
        <v>1990</v>
      </c>
      <c r="BJ18" s="401">
        <f t="shared" si="12"/>
        <v>5582.9709999999905</v>
      </c>
      <c r="BK18" s="401">
        <f>'15'!G84</f>
        <v>536</v>
      </c>
      <c r="BL18" s="23">
        <f t="shared" si="13"/>
        <v>46.748356099452891</v>
      </c>
      <c r="BM18" s="23">
        <f t="shared" si="14"/>
        <v>20.056836299392426</v>
      </c>
      <c r="BN18" s="24">
        <f t="shared" si="15"/>
        <v>0.10638600422286378</v>
      </c>
      <c r="BO18" s="25">
        <f t="shared" si="16"/>
        <v>326633.11500000372</v>
      </c>
      <c r="BP18" s="213">
        <f t="shared" si="17"/>
        <v>8465.1310000000231</v>
      </c>
      <c r="BQ18">
        <f t="shared" si="18"/>
        <v>1.2602172035968471</v>
      </c>
    </row>
    <row r="19" spans="1:69">
      <c r="A19" s="16">
        <v>16</v>
      </c>
      <c r="B19" s="26">
        <v>16</v>
      </c>
      <c r="C19" s="26"/>
      <c r="D19" s="19">
        <f>'16'!D3</f>
        <v>24</v>
      </c>
      <c r="E19" s="256">
        <f>'16'!D4</f>
        <v>0.64</v>
      </c>
      <c r="F19" s="256">
        <f>'16'!D2</f>
        <v>0.63449999999999995</v>
      </c>
      <c r="G19" s="19">
        <f>'16'!G8</f>
        <v>21087</v>
      </c>
      <c r="H19" s="19">
        <f>'16'!G8</f>
        <v>21087</v>
      </c>
      <c r="I19" s="19">
        <f>'16'!G7</f>
        <v>20975</v>
      </c>
      <c r="J19" s="19">
        <v>10</v>
      </c>
      <c r="K19" s="242">
        <f t="shared" si="3"/>
        <v>210870</v>
      </c>
      <c r="L19" s="238">
        <f t="shared" si="4"/>
        <v>103.83663366336634</v>
      </c>
      <c r="M19" s="19">
        <f>'16'!G15</f>
        <v>1012.5699999998324</v>
      </c>
      <c r="N19" s="19">
        <v>35</v>
      </c>
      <c r="O19" s="234">
        <f t="shared" si="5"/>
        <v>35439.949999994133</v>
      </c>
      <c r="P19" s="19">
        <f>'16'!G20</f>
        <v>250</v>
      </c>
      <c r="Q19" s="19">
        <v>134</v>
      </c>
      <c r="R19" s="239">
        <f t="shared" si="0"/>
        <v>33500</v>
      </c>
      <c r="S19" s="240">
        <f t="shared" si="1"/>
        <v>195.05496648955679</v>
      </c>
      <c r="T19" s="19">
        <f>'16'!G24</f>
        <v>0</v>
      </c>
      <c r="U19" s="19">
        <v>69</v>
      </c>
      <c r="V19" s="241">
        <f t="shared" si="6"/>
        <v>0</v>
      </c>
      <c r="W19" s="22">
        <f>'16'!G95</f>
        <v>97</v>
      </c>
      <c r="X19" s="22">
        <f>'16'!G96</f>
        <v>18</v>
      </c>
      <c r="Y19" s="22">
        <f>'16'!G97</f>
        <v>24</v>
      </c>
      <c r="Z19" s="22">
        <f t="shared" si="7"/>
        <v>139</v>
      </c>
      <c r="AA19" s="19">
        <f>'16'!G132</f>
        <v>0</v>
      </c>
      <c r="AB19" s="19">
        <f>'16'!G133</f>
        <v>0</v>
      </c>
      <c r="AC19" s="19">
        <f>'16'!G134</f>
        <v>24.069999999999709</v>
      </c>
      <c r="AD19" s="19">
        <f>'16'!G135</f>
        <v>0</v>
      </c>
      <c r="AE19" s="19">
        <f t="shared" si="8"/>
        <v>24.069999999999709</v>
      </c>
      <c r="AF19" s="23">
        <f t="shared" si="2"/>
        <v>4709.0199999999895</v>
      </c>
      <c r="AG19" s="23">
        <f t="shared" si="9"/>
        <v>195.63855421686941</v>
      </c>
      <c r="AH19" s="19">
        <f>'16'!G136</f>
        <v>10.340000000000146</v>
      </c>
      <c r="AI19" s="19">
        <f>'16'!G137</f>
        <v>0</v>
      </c>
      <c r="AJ19" s="19">
        <f>'16'!G138</f>
        <v>4.5899999999965075</v>
      </c>
      <c r="AK19" s="19">
        <f t="shared" si="10"/>
        <v>14.929999999996653</v>
      </c>
      <c r="AL19" s="19">
        <f>'16'!G139</f>
        <v>7.8900000000001</v>
      </c>
      <c r="AM19" s="19">
        <f>'16'!G140</f>
        <v>0</v>
      </c>
      <c r="AN19" s="19"/>
      <c r="AO19" s="19">
        <f t="shared" si="11"/>
        <v>7.8900000000001</v>
      </c>
      <c r="AP19" s="258">
        <f>'16'!G123</f>
        <v>274.44000000006054</v>
      </c>
      <c r="AQ19" s="261">
        <f>'16'!G35</f>
        <v>3038.5200000000186</v>
      </c>
      <c r="AR19" s="19">
        <f>'16'!G37</f>
        <v>1517.1100000000006</v>
      </c>
      <c r="AS19" s="19">
        <f>'16'!G38</f>
        <v>2233.6500000000015</v>
      </c>
      <c r="AT19" s="19">
        <f>'16'!G39</f>
        <v>4228.1200000000026</v>
      </c>
      <c r="AU19" s="19">
        <f>'16'!G40</f>
        <v>0</v>
      </c>
      <c r="AV19" s="19">
        <f>'16'!G41</f>
        <v>0</v>
      </c>
      <c r="AW19" s="19">
        <f>'16'!G42</f>
        <v>0</v>
      </c>
      <c r="AX19" s="19">
        <f>'16'!G43</f>
        <v>2361.359999999986</v>
      </c>
      <c r="AY19" s="23">
        <f>'16'!G44</f>
        <v>0</v>
      </c>
      <c r="AZ19" s="262">
        <f>'16'!G36</f>
        <v>957.28000000002794</v>
      </c>
      <c r="BA19" s="261">
        <f>'16'!G49</f>
        <v>0</v>
      </c>
      <c r="BB19" s="19">
        <f>'16'!G51</f>
        <v>0</v>
      </c>
      <c r="BC19" s="19">
        <f>'16'!G52</f>
        <v>0</v>
      </c>
      <c r="BD19" s="19">
        <f>'16'!G53</f>
        <v>0</v>
      </c>
      <c r="BE19" s="19">
        <f>'16'!G54</f>
        <v>69.780000000000655</v>
      </c>
      <c r="BF19" s="19">
        <f>'16'!G55</f>
        <v>4702.6600000000035</v>
      </c>
      <c r="BG19" s="19">
        <f>'16'!G56</f>
        <v>6.3599999999860302</v>
      </c>
      <c r="BH19" s="19">
        <f>'16'!G57</f>
        <v>0</v>
      </c>
      <c r="BI19" s="262">
        <f>'16'!G50</f>
        <v>1255</v>
      </c>
      <c r="BJ19" s="401">
        <f t="shared" si="12"/>
        <v>4709.0199999999895</v>
      </c>
      <c r="BK19" s="401">
        <f>'16'!G84</f>
        <v>659</v>
      </c>
      <c r="BL19" s="23">
        <f t="shared" si="13"/>
        <v>48.194994040524406</v>
      </c>
      <c r="BM19" s="23">
        <f t="shared" si="14"/>
        <v>20.157902264600729</v>
      </c>
      <c r="BN19" s="24">
        <f t="shared" si="15"/>
        <v>0.10649106078665084</v>
      </c>
      <c r="BO19" s="25">
        <f t="shared" si="16"/>
        <v>279809.94999999413</v>
      </c>
      <c r="BP19" s="213">
        <f t="shared" si="17"/>
        <v>7729.3799999999756</v>
      </c>
      <c r="BQ19">
        <f t="shared" si="18"/>
        <v>1.1468603477951316</v>
      </c>
    </row>
    <row r="20" spans="1:69">
      <c r="A20" s="16">
        <v>17</v>
      </c>
      <c r="B20" s="27">
        <v>17</v>
      </c>
      <c r="C20" s="26"/>
      <c r="D20" s="19">
        <f>'17'!D3</f>
        <v>28</v>
      </c>
      <c r="E20" s="256">
        <f>'17'!D4</f>
        <v>0.8</v>
      </c>
      <c r="F20" s="256">
        <f>'17'!D2</f>
        <v>0.49</v>
      </c>
      <c r="G20" s="19">
        <f>'17'!G8</f>
        <v>19692</v>
      </c>
      <c r="H20" s="19">
        <f>'17'!G8</f>
        <v>19692</v>
      </c>
      <c r="I20" s="19">
        <f>'17'!G7</f>
        <v>19571</v>
      </c>
      <c r="J20" s="19">
        <v>10</v>
      </c>
      <c r="K20" s="242">
        <f t="shared" si="3"/>
        <v>196920</v>
      </c>
      <c r="L20" s="238">
        <f t="shared" si="4"/>
        <v>96.886138613861391</v>
      </c>
      <c r="M20" s="19">
        <f>'17'!G15</f>
        <v>930.51000000000931</v>
      </c>
      <c r="N20" s="19">
        <v>35</v>
      </c>
      <c r="O20" s="234">
        <f t="shared" si="5"/>
        <v>32567.850000000326</v>
      </c>
      <c r="P20" s="19">
        <f>'17'!G20</f>
        <v>191</v>
      </c>
      <c r="Q20" s="19">
        <v>134</v>
      </c>
      <c r="R20" s="239">
        <f t="shared" si="0"/>
        <v>25594</v>
      </c>
      <c r="S20" s="240">
        <f t="shared" si="1"/>
        <v>192.96827641947868</v>
      </c>
      <c r="T20" s="19">
        <f>'17'!G24</f>
        <v>0</v>
      </c>
      <c r="U20" s="19">
        <v>69</v>
      </c>
      <c r="V20" s="241">
        <f t="shared" si="6"/>
        <v>0</v>
      </c>
      <c r="W20" s="22">
        <f>'17'!G95</f>
        <v>72</v>
      </c>
      <c r="X20" s="22">
        <f>'17'!G96</f>
        <v>15</v>
      </c>
      <c r="Y20" s="22">
        <f>'17'!G97</f>
        <v>20</v>
      </c>
      <c r="Z20" s="22">
        <f t="shared" si="7"/>
        <v>107</v>
      </c>
      <c r="AA20" s="19">
        <f>'17'!G132</f>
        <v>12.099999999998545</v>
      </c>
      <c r="AB20" s="19">
        <f>'17'!G133</f>
        <v>0</v>
      </c>
      <c r="AC20" s="19">
        <f>'17'!G134</f>
        <v>12.060000000004948</v>
      </c>
      <c r="AD20" s="19">
        <f>'17'!G135</f>
        <v>0</v>
      </c>
      <c r="AE20" s="19">
        <f t="shared" si="8"/>
        <v>24.160000000003492</v>
      </c>
      <c r="AF20" s="23">
        <f t="shared" si="2"/>
        <v>4529.1700000000201</v>
      </c>
      <c r="AG20" s="23">
        <f t="shared" si="9"/>
        <v>187.46564569533797</v>
      </c>
      <c r="AH20" s="19">
        <f>'17'!G136</f>
        <v>9.6500000000014552</v>
      </c>
      <c r="AI20" s="19">
        <f>'17'!G137</f>
        <v>0</v>
      </c>
      <c r="AJ20" s="19">
        <f>'17'!G138</f>
        <v>4.3100000000122236</v>
      </c>
      <c r="AK20" s="19">
        <f t="shared" si="10"/>
        <v>13.960000000013679</v>
      </c>
      <c r="AL20" s="19">
        <f>'17'!G139</f>
        <v>7.4700000000000273</v>
      </c>
      <c r="AM20" s="19">
        <f>'17'!G140</f>
        <v>0</v>
      </c>
      <c r="AN20" s="19"/>
      <c r="AO20" s="19">
        <f t="shared" si="11"/>
        <v>7.4700000000000273</v>
      </c>
      <c r="AP20" s="258">
        <f>'17'!G123</f>
        <v>259.15000000002328</v>
      </c>
      <c r="AQ20" s="261">
        <f>'17'!G35</f>
        <v>2711.640000000014</v>
      </c>
      <c r="AR20" s="19">
        <f>'17'!G37</f>
        <v>1476.619999999999</v>
      </c>
      <c r="AS20" s="19">
        <f>'17'!G38</f>
        <v>2001.3899999999994</v>
      </c>
      <c r="AT20" s="19">
        <f>'17'!G39</f>
        <v>4187.6299999999974</v>
      </c>
      <c r="AU20" s="19">
        <f>'17'!G40</f>
        <v>0</v>
      </c>
      <c r="AV20" s="19">
        <f>'17'!G41</f>
        <v>2601.0199999999968</v>
      </c>
      <c r="AW20" s="19">
        <f>'17'!G42</f>
        <v>0</v>
      </c>
      <c r="AX20" s="19">
        <f>'17'!G43</f>
        <v>2334.7999999999302</v>
      </c>
      <c r="AY20" s="23">
        <f>'17'!G44</f>
        <v>0</v>
      </c>
      <c r="AZ20" s="262">
        <f>'17'!G36</f>
        <v>663</v>
      </c>
      <c r="BA20" s="261">
        <f>'17'!G49</f>
        <v>0</v>
      </c>
      <c r="BB20" s="19">
        <f>'17'!G51</f>
        <v>0</v>
      </c>
      <c r="BC20" s="19">
        <f>'17'!G52</f>
        <v>0</v>
      </c>
      <c r="BD20" s="19">
        <f>'17'!G53</f>
        <v>0</v>
      </c>
      <c r="BE20" s="19">
        <f>'17'!G54</f>
        <v>69.769999999999527</v>
      </c>
      <c r="BF20" s="19">
        <f>'17'!G55</f>
        <v>1921.75</v>
      </c>
      <c r="BG20" s="19">
        <f>'17'!G56</f>
        <v>6.4000000000232831</v>
      </c>
      <c r="BH20" s="19">
        <f>'17'!G57</f>
        <v>0</v>
      </c>
      <c r="BI20" s="262">
        <f>'17'!G50</f>
        <v>1065.2799999999697</v>
      </c>
      <c r="BJ20" s="401">
        <f t="shared" si="12"/>
        <v>4529.1700000000201</v>
      </c>
      <c r="BK20" s="401">
        <f>'17'!G84</f>
        <v>482</v>
      </c>
      <c r="BL20" s="23">
        <f t="shared" si="13"/>
        <v>48.927545858668253</v>
      </c>
      <c r="BM20" s="23">
        <f t="shared" si="14"/>
        <v>21.397118185069733</v>
      </c>
      <c r="BN20" s="24">
        <f t="shared" si="15"/>
        <v>0.10226304225639975</v>
      </c>
      <c r="BO20" s="25">
        <f t="shared" si="16"/>
        <v>255081.85000000033</v>
      </c>
      <c r="BP20" s="213">
        <f t="shared" si="17"/>
        <v>7345.9699999999502</v>
      </c>
      <c r="BQ20">
        <f t="shared" si="18"/>
        <v>1.0859108916743863</v>
      </c>
    </row>
    <row r="21" spans="1:69">
      <c r="A21" s="16">
        <v>18</v>
      </c>
      <c r="B21" s="27">
        <v>18</v>
      </c>
      <c r="C21" s="27"/>
      <c r="D21" s="19">
        <f>'18'!D3</f>
        <v>29</v>
      </c>
      <c r="E21" s="256">
        <f>'18'!D4</f>
        <v>0.8</v>
      </c>
      <c r="F21" s="256">
        <f>'18'!D2</f>
        <v>0.46</v>
      </c>
      <c r="G21" s="19">
        <f>'18'!G8</f>
        <v>20349</v>
      </c>
      <c r="H21" s="19">
        <f>'18'!G8</f>
        <v>20349</v>
      </c>
      <c r="I21" s="19">
        <f>'18'!G7</f>
        <v>20195</v>
      </c>
      <c r="J21" s="19">
        <v>10</v>
      </c>
      <c r="K21" s="242">
        <f t="shared" si="3"/>
        <v>203490</v>
      </c>
      <c r="L21" s="238">
        <f t="shared" si="4"/>
        <v>99.975247524752476</v>
      </c>
      <c r="M21" s="19">
        <f>'18'!G15</f>
        <v>840.14000000013039</v>
      </c>
      <c r="N21" s="19">
        <v>35</v>
      </c>
      <c r="O21" s="234">
        <f t="shared" si="5"/>
        <v>29404.900000004563</v>
      </c>
      <c r="P21" s="19">
        <f>'18'!G20</f>
        <v>167</v>
      </c>
      <c r="Q21" s="19">
        <v>134</v>
      </c>
      <c r="R21" s="239">
        <f t="shared" si="0"/>
        <v>22378</v>
      </c>
      <c r="S21" s="240">
        <f t="shared" si="1"/>
        <v>179.72449418854927</v>
      </c>
      <c r="T21" s="19">
        <f>'18'!G24</f>
        <v>0</v>
      </c>
      <c r="U21" s="19">
        <v>69</v>
      </c>
      <c r="V21" s="241">
        <f t="shared" si="6"/>
        <v>0</v>
      </c>
      <c r="W21" s="22">
        <f>'18'!G95</f>
        <v>74</v>
      </c>
      <c r="X21" s="22">
        <f>'18'!G96</f>
        <v>16</v>
      </c>
      <c r="Y21" s="22">
        <f>'18'!G97</f>
        <v>17</v>
      </c>
      <c r="Z21" s="22">
        <f t="shared" si="7"/>
        <v>107</v>
      </c>
      <c r="AA21" s="19">
        <f>'18'!G132</f>
        <v>12.139999999999418</v>
      </c>
      <c r="AB21" s="19">
        <f>'18'!G133</f>
        <v>0.51999999999998181</v>
      </c>
      <c r="AC21" s="19">
        <f>'18'!G134</f>
        <v>0.14999999999417923</v>
      </c>
      <c r="AD21" s="19">
        <f>'18'!G135</f>
        <v>11.340000000000146</v>
      </c>
      <c r="AE21" s="19">
        <f t="shared" si="8"/>
        <v>24.149999999993724</v>
      </c>
      <c r="AF21" s="23">
        <f t="shared" si="2"/>
        <v>4586.8699999999371</v>
      </c>
      <c r="AG21" s="23">
        <f t="shared" si="9"/>
        <v>189.93250517603019</v>
      </c>
      <c r="AH21" s="19">
        <f>'18'!G136</f>
        <v>5.6599999999998545</v>
      </c>
      <c r="AI21" s="19">
        <f>'18'!G137</f>
        <v>2.2700000000004366</v>
      </c>
      <c r="AJ21" s="19">
        <f>'18'!G138</f>
        <v>4.3799999999901047</v>
      </c>
      <c r="AK21" s="19">
        <f t="shared" si="10"/>
        <v>12.309999999990396</v>
      </c>
      <c r="AL21" s="19">
        <f>'18'!G139</f>
        <v>7.5599999999999454</v>
      </c>
      <c r="AM21" s="19">
        <f>'18'!G140</f>
        <v>0</v>
      </c>
      <c r="AN21" s="19"/>
      <c r="AO21" s="19">
        <f t="shared" si="11"/>
        <v>7.5599999999999454</v>
      </c>
      <c r="AP21" s="258">
        <f>'18'!G123</f>
        <v>260.40999999991618</v>
      </c>
      <c r="AQ21" s="261">
        <f>'18'!G35</f>
        <v>2740.1599999999162</v>
      </c>
      <c r="AR21" s="19">
        <f>'18'!G37</f>
        <v>1468.9300000000003</v>
      </c>
      <c r="AS21" s="19">
        <f>'18'!G38</f>
        <v>2050.5400000000009</v>
      </c>
      <c r="AT21" s="19">
        <f>'18'!G39</f>
        <v>4281.18</v>
      </c>
      <c r="AU21" s="19">
        <f>'18'!G40</f>
        <v>0</v>
      </c>
      <c r="AV21" s="19">
        <f>'18'!G41</f>
        <v>2021.4800000000032</v>
      </c>
      <c r="AW21" s="19">
        <f>'18'!G42</f>
        <v>202.84999999999854</v>
      </c>
      <c r="AX21" s="19">
        <f>'18'!G43</f>
        <v>2334.1600000000326</v>
      </c>
      <c r="AY21" s="23">
        <f>'18'!G44</f>
        <v>0</v>
      </c>
      <c r="AZ21" s="262">
        <f>'18'!G36</f>
        <v>883.79999999998836</v>
      </c>
      <c r="BA21" s="261">
        <f>'18'!G49</f>
        <v>0</v>
      </c>
      <c r="BB21" s="19">
        <f>'18'!G51</f>
        <v>0</v>
      </c>
      <c r="BC21" s="19">
        <f>'18'!G52</f>
        <v>0</v>
      </c>
      <c r="BD21" s="19">
        <f>'18'!G53</f>
        <v>0</v>
      </c>
      <c r="BE21" s="19">
        <f>'18'!G54</f>
        <v>70.029999999999745</v>
      </c>
      <c r="BF21" s="19">
        <f>'18'!G55</f>
        <v>51.979999999995925</v>
      </c>
      <c r="BG21" s="19">
        <f>'18'!G56</f>
        <v>2310.5599999999395</v>
      </c>
      <c r="BH21" s="19">
        <f>'18'!G57</f>
        <v>0</v>
      </c>
      <c r="BI21" s="262">
        <f>'18'!G50</f>
        <v>1128.5600000000559</v>
      </c>
      <c r="BJ21" s="401">
        <f t="shared" si="12"/>
        <v>4586.8699999999371</v>
      </c>
      <c r="BK21" s="401">
        <f>'18'!G84</f>
        <v>482</v>
      </c>
      <c r="BL21" s="23">
        <f t="shared" si="13"/>
        <v>47.839514731368588</v>
      </c>
      <c r="BM21" s="23">
        <f t="shared" si="14"/>
        <v>21.199207724684332</v>
      </c>
      <c r="BN21" s="24">
        <f t="shared" si="15"/>
        <v>0.10153701411240411</v>
      </c>
      <c r="BO21" s="25">
        <f t="shared" si="16"/>
        <v>255272.90000000456</v>
      </c>
      <c r="BP21" s="213">
        <f t="shared" si="17"/>
        <v>7403.0299999999697</v>
      </c>
      <c r="BQ21">
        <f t="shared" si="18"/>
        <v>1.0947988760724481</v>
      </c>
    </row>
    <row r="22" spans="1:69">
      <c r="A22" s="16">
        <v>19</v>
      </c>
      <c r="B22" s="17">
        <v>19</v>
      </c>
      <c r="C22" s="27"/>
      <c r="D22" s="19">
        <f>'19'!D3</f>
        <v>28</v>
      </c>
      <c r="E22" s="256">
        <f>'19'!D4</f>
        <v>0.75</v>
      </c>
      <c r="F22" s="256">
        <f>'19'!D2</f>
        <v>0.68</v>
      </c>
      <c r="G22" s="19">
        <f>'19'!G8</f>
        <v>19675</v>
      </c>
      <c r="H22" s="19">
        <f>'19'!G8</f>
        <v>19675</v>
      </c>
      <c r="I22" s="19">
        <f>'19'!G7</f>
        <v>19578</v>
      </c>
      <c r="J22" s="19">
        <v>10</v>
      </c>
      <c r="K22" s="242">
        <f t="shared" si="3"/>
        <v>196750</v>
      </c>
      <c r="L22" s="238">
        <f t="shared" si="4"/>
        <v>96.920792079207928</v>
      </c>
      <c r="M22" s="19">
        <f>'19'!G15</f>
        <v>881.40999999991618</v>
      </c>
      <c r="N22" s="19">
        <v>35</v>
      </c>
      <c r="O22" s="234">
        <f t="shared" si="5"/>
        <v>30849.349999997066</v>
      </c>
      <c r="P22" s="19">
        <f>'19'!G20</f>
        <v>190</v>
      </c>
      <c r="Q22" s="19">
        <v>134</v>
      </c>
      <c r="R22" s="239">
        <f t="shared" si="0"/>
        <v>25460</v>
      </c>
      <c r="S22" s="240">
        <f t="shared" si="1"/>
        <v>138.32265579499125</v>
      </c>
      <c r="T22" s="19">
        <f>'19'!G24</f>
        <v>0</v>
      </c>
      <c r="U22" s="19">
        <v>69</v>
      </c>
      <c r="V22" s="241">
        <f t="shared" si="6"/>
        <v>0</v>
      </c>
      <c r="W22" s="22">
        <f>'19'!G95</f>
        <v>79</v>
      </c>
      <c r="X22" s="22">
        <f>'19'!G96</f>
        <v>9</v>
      </c>
      <c r="Y22" s="22">
        <f>'19'!G97</f>
        <v>24</v>
      </c>
      <c r="Z22" s="22">
        <f t="shared" si="7"/>
        <v>112</v>
      </c>
      <c r="AA22" s="19">
        <f>'19'!G132</f>
        <v>0</v>
      </c>
      <c r="AB22" s="19">
        <f>'19'!G133</f>
        <v>0</v>
      </c>
      <c r="AC22" s="19">
        <f>'19'!G134</f>
        <v>0</v>
      </c>
      <c r="AD22" s="19">
        <f>'19'!G135</f>
        <v>23.659999999999854</v>
      </c>
      <c r="AE22" s="19">
        <f t="shared" si="8"/>
        <v>23.659999999999854</v>
      </c>
      <c r="AF22" s="23">
        <f t="shared" si="2"/>
        <v>4133.3100000000559</v>
      </c>
      <c r="AG22" s="23">
        <f t="shared" si="9"/>
        <v>174.69611158073039</v>
      </c>
      <c r="AH22" s="19">
        <f>'19'!G136</f>
        <v>8.0999999999985448</v>
      </c>
      <c r="AI22" s="19">
        <f>'19'!G137</f>
        <v>0</v>
      </c>
      <c r="AJ22" s="19">
        <f>'19'!G138</f>
        <v>2.8400000000110595</v>
      </c>
      <c r="AK22" s="19">
        <f t="shared" si="10"/>
        <v>10.940000000009604</v>
      </c>
      <c r="AL22" s="19">
        <f>'19'!G139</f>
        <v>6.9700000000000273</v>
      </c>
      <c r="AM22" s="19">
        <f>'19'!G140</f>
        <v>0</v>
      </c>
      <c r="AN22" s="19"/>
      <c r="AO22" s="19">
        <f t="shared" si="11"/>
        <v>6.9700000000000273</v>
      </c>
      <c r="AP22" s="258">
        <f>'19'!G123</f>
        <v>241.6600000000326</v>
      </c>
      <c r="AQ22" s="261">
        <f>'19'!G35</f>
        <v>2681.0500000000466</v>
      </c>
      <c r="AR22" s="19">
        <f>'19'!G37</f>
        <v>1478.0900000000001</v>
      </c>
      <c r="AS22" s="19">
        <f>'19'!G38</f>
        <v>1916.5999999999985</v>
      </c>
      <c r="AT22" s="19">
        <f>'19'!G39</f>
        <v>4162.6399999999994</v>
      </c>
      <c r="AU22" s="19">
        <f>'19'!G40</f>
        <v>0</v>
      </c>
      <c r="AV22" s="19">
        <f>'19'!G41</f>
        <v>-0.37000000000261934</v>
      </c>
      <c r="AW22" s="19">
        <f>'19'!G42</f>
        <v>0.15000000000145519</v>
      </c>
      <c r="AX22" s="19">
        <f>'19'!G43</f>
        <v>2309.25</v>
      </c>
      <c r="AY22" s="23">
        <f>'19'!G44</f>
        <v>0</v>
      </c>
      <c r="AZ22" s="262">
        <f>'19'!G36</f>
        <v>664.45000000001164</v>
      </c>
      <c r="BA22" s="261">
        <f>'19'!G49</f>
        <v>-0.13000000000465661</v>
      </c>
      <c r="BB22" s="19">
        <f>'19'!G51</f>
        <v>8.000000000174623E-2</v>
      </c>
      <c r="BC22" s="19">
        <f>'19'!G52</f>
        <v>0.28999999997904524</v>
      </c>
      <c r="BD22" s="19">
        <f>'19'!G53</f>
        <v>0.48999999999068677</v>
      </c>
      <c r="BE22" s="19">
        <f>'19'!G54</f>
        <v>68.600000000000364</v>
      </c>
      <c r="BF22" s="19">
        <f>'19'!G55</f>
        <v>-0.39999999999417923</v>
      </c>
      <c r="BG22" s="19">
        <f>'19'!G56</f>
        <v>4133.9300000000512</v>
      </c>
      <c r="BH22" s="19">
        <f>'19'!G57</f>
        <v>-0.32999999999992724</v>
      </c>
      <c r="BI22" s="262">
        <f>'19'!G50</f>
        <v>1435.9699999999721</v>
      </c>
      <c r="BJ22" s="401">
        <f t="shared" si="12"/>
        <v>4133.3100000000559</v>
      </c>
      <c r="BK22" s="401">
        <f>'19'!G84</f>
        <v>499</v>
      </c>
      <c r="BL22" s="23">
        <f t="shared" si="13"/>
        <v>46.598988660742151</v>
      </c>
      <c r="BM22" s="23">
        <f t="shared" si="14"/>
        <v>21.264327306159924</v>
      </c>
      <c r="BN22" s="24">
        <f t="shared" si="15"/>
        <v>9.7910409643476234E-2</v>
      </c>
      <c r="BO22" s="25">
        <f t="shared" si="16"/>
        <v>253059.34999999707</v>
      </c>
      <c r="BP22" s="213">
        <f t="shared" si="17"/>
        <v>6941.230000000056</v>
      </c>
      <c r="BQ22">
        <f t="shared" si="18"/>
        <v>1.0477644608139263</v>
      </c>
    </row>
    <row r="23" spans="1:69">
      <c r="A23" s="16">
        <v>20</v>
      </c>
      <c r="B23" s="26">
        <v>20</v>
      </c>
      <c r="C23" s="26"/>
      <c r="D23" s="19">
        <f>'20'!D3</f>
        <v>30</v>
      </c>
      <c r="E23" s="256">
        <f>'20'!D4</f>
        <v>0.81</v>
      </c>
      <c r="F23" s="256">
        <f>'20'!D2</f>
        <v>0.5</v>
      </c>
      <c r="G23" s="19">
        <f>'20'!G8</f>
        <v>-584106</v>
      </c>
      <c r="H23" s="19">
        <f>'20'!G8</f>
        <v>-584106</v>
      </c>
      <c r="I23" s="19">
        <f>'20'!G7</f>
        <v>-579731</v>
      </c>
      <c r="J23" s="19">
        <v>10</v>
      </c>
      <c r="K23" s="242">
        <f t="shared" si="3"/>
        <v>-5841060</v>
      </c>
      <c r="L23" s="238">
        <f t="shared" si="4"/>
        <v>-2869.9554455445545</v>
      </c>
      <c r="M23" s="19">
        <f>'20'!G15</f>
        <v>-25919</v>
      </c>
      <c r="N23" s="19">
        <v>35</v>
      </c>
      <c r="O23" s="234">
        <f t="shared" si="5"/>
        <v>-907165</v>
      </c>
      <c r="P23" s="19">
        <f>'20'!G20</f>
        <v>-1379</v>
      </c>
      <c r="Q23" s="19">
        <v>134</v>
      </c>
      <c r="R23" s="239">
        <f t="shared" si="0"/>
        <v>-184786</v>
      </c>
      <c r="S23" s="240">
        <f t="shared" si="1"/>
        <v>-1365.3465346534654</v>
      </c>
      <c r="T23" s="19">
        <f>'20'!G24</f>
        <v>0</v>
      </c>
      <c r="U23" s="19">
        <v>69</v>
      </c>
      <c r="V23" s="241">
        <f t="shared" si="6"/>
        <v>0</v>
      </c>
      <c r="W23" s="22">
        <f>'20'!G95</f>
        <v>-2235</v>
      </c>
      <c r="X23" s="22">
        <f>'20'!G96</f>
        <v>-871</v>
      </c>
      <c r="Y23" s="22">
        <f>'20'!G97</f>
        <v>-801</v>
      </c>
      <c r="Z23" s="22">
        <f t="shared" si="7"/>
        <v>-3907</v>
      </c>
      <c r="AA23" s="19">
        <f>'20'!G132</f>
        <v>11.569999999999709</v>
      </c>
      <c r="AB23" s="19">
        <f>'20'!G133</f>
        <v>-0.5</v>
      </c>
      <c r="AC23" s="19">
        <f>'20'!G134</f>
        <v>-309.46999999999389</v>
      </c>
      <c r="AD23" s="19">
        <f>'20'!G135</f>
        <v>-35</v>
      </c>
      <c r="AE23" s="19">
        <f t="shared" si="8"/>
        <v>-333.39999999999418</v>
      </c>
      <c r="AF23" s="23">
        <f t="shared" si="2"/>
        <v>-59737.499999999985</v>
      </c>
      <c r="AG23" s="23">
        <f t="shared" si="9"/>
        <v>179.17666466706967</v>
      </c>
      <c r="AH23" s="19">
        <f>'20'!G136</f>
        <v>-207.79000000000087</v>
      </c>
      <c r="AI23" s="19">
        <f>'20'!G137</f>
        <v>-36</v>
      </c>
      <c r="AJ23" s="19">
        <f>'20'!G138</f>
        <v>-52.910000000003492</v>
      </c>
      <c r="AK23" s="19">
        <f t="shared" si="10"/>
        <v>-296.70000000000437</v>
      </c>
      <c r="AL23" s="19">
        <f>'20'!G139</f>
        <v>-236.93000000000006</v>
      </c>
      <c r="AM23" s="19">
        <f>'20'!G140</f>
        <v>0</v>
      </c>
      <c r="AN23" s="19"/>
      <c r="AO23" s="19">
        <f t="shared" si="11"/>
        <v>-236.93000000000006</v>
      </c>
      <c r="AP23" s="258">
        <f>'20'!G123</f>
        <v>-8157.1600000000326</v>
      </c>
      <c r="AQ23" s="261">
        <f>'20'!G35</f>
        <v>-36429.329999999958</v>
      </c>
      <c r="AR23" s="19">
        <f>'20'!G37</f>
        <v>396361</v>
      </c>
      <c r="AS23" s="19">
        <f>'20'!G38</f>
        <v>125538</v>
      </c>
      <c r="AT23" s="19">
        <f>'20'!G39</f>
        <v>859603</v>
      </c>
      <c r="AU23" s="19">
        <f>'20'!G40</f>
        <v>0</v>
      </c>
      <c r="AV23" s="19">
        <f>'20'!G41</f>
        <v>2136.44</v>
      </c>
      <c r="AW23" s="19">
        <f>'20'!G42</f>
        <v>-202.91000000000349</v>
      </c>
      <c r="AX23" s="19">
        <f>'20'!G43</f>
        <v>-62674.130000000005</v>
      </c>
      <c r="AY23" s="23">
        <f>'20'!G44</f>
        <v>0</v>
      </c>
      <c r="AZ23" s="262">
        <f>'20'!G36</f>
        <v>-20868.030000000028</v>
      </c>
      <c r="BA23" s="261">
        <f>'20'!G49</f>
        <v>-49046.390000000014</v>
      </c>
      <c r="BB23" s="19">
        <f>'20'!G51</f>
        <v>-26277.520000000004</v>
      </c>
      <c r="BC23" s="19">
        <f>'20'!G52</f>
        <v>-34698.210000000021</v>
      </c>
      <c r="BD23" s="19">
        <f>'20'!G576</f>
        <v>0</v>
      </c>
      <c r="BE23" s="19">
        <f>'20'!G54</f>
        <v>-1713.8500000000004</v>
      </c>
      <c r="BF23" s="19">
        <f>'20'!G55</f>
        <v>-55149.42</v>
      </c>
      <c r="BG23" s="19">
        <f>'20'!G56</f>
        <v>-6521.609999999986</v>
      </c>
      <c r="BH23" s="19">
        <f>'20'!G57</f>
        <v>-7711</v>
      </c>
      <c r="BI23" s="262">
        <f>'20'!G50</f>
        <v>-34970.489999999991</v>
      </c>
      <c r="BJ23" s="401">
        <f t="shared" si="12"/>
        <v>-59737.499999999985</v>
      </c>
      <c r="BK23" s="401">
        <f>'20'!G84</f>
        <v>-15159</v>
      </c>
      <c r="BL23" s="23">
        <f t="shared" si="13"/>
        <v>37.189377487144895</v>
      </c>
      <c r="BM23" s="23">
        <f t="shared" si="14"/>
        <v>-148.27618326430706</v>
      </c>
      <c r="BN23" s="24">
        <f t="shared" si="15"/>
        <v>-0.15669300071929909</v>
      </c>
      <c r="BO23" s="25">
        <f t="shared" si="16"/>
        <v>-6933011</v>
      </c>
      <c r="BP23" s="213">
        <f t="shared" si="17"/>
        <v>-145281.63</v>
      </c>
      <c r="BQ23">
        <f t="shared" si="18"/>
        <v>1.556277637329704</v>
      </c>
    </row>
    <row r="24" spans="1:69">
      <c r="A24" s="16">
        <v>21</v>
      </c>
      <c r="B24" s="26">
        <v>21</v>
      </c>
      <c r="C24" s="28"/>
      <c r="D24" s="19">
        <v>21</v>
      </c>
      <c r="E24" s="256">
        <f>'21'!D4</f>
        <v>0.81</v>
      </c>
      <c r="F24" s="256">
        <f>'21'!D2</f>
        <v>0.5</v>
      </c>
      <c r="G24" s="19">
        <f>'21'!G8</f>
        <v>19575</v>
      </c>
      <c r="H24" s="19">
        <f>'21'!G8</f>
        <v>19575</v>
      </c>
      <c r="I24" s="19">
        <f>'21'!G7</f>
        <v>19415</v>
      </c>
      <c r="J24" s="19">
        <v>10</v>
      </c>
      <c r="K24" s="242">
        <f t="shared" si="3"/>
        <v>195750</v>
      </c>
      <c r="L24" s="238">
        <f t="shared" si="4"/>
        <v>96.113861386138609</v>
      </c>
      <c r="M24" s="19">
        <f>'21'!G15</f>
        <v>906.93999999994412</v>
      </c>
      <c r="N24" s="19">
        <v>35</v>
      </c>
      <c r="O24" s="234">
        <f t="shared" si="5"/>
        <v>31742.899999998044</v>
      </c>
      <c r="P24" s="19">
        <f>'21'!G20</f>
        <v>179</v>
      </c>
      <c r="Q24" s="19">
        <v>134</v>
      </c>
      <c r="R24" s="239">
        <f t="shared" si="0"/>
        <v>23986</v>
      </c>
      <c r="S24" s="240">
        <f t="shared" si="1"/>
        <v>177.22772277227722</v>
      </c>
      <c r="T24" s="19">
        <f>'21'!G24</f>
        <v>0</v>
      </c>
      <c r="U24" s="19">
        <v>69</v>
      </c>
      <c r="V24" s="241">
        <f t="shared" si="6"/>
        <v>0</v>
      </c>
      <c r="W24" s="22">
        <f>'21'!G95</f>
        <v>75</v>
      </c>
      <c r="X24" s="22">
        <f>'21'!G96</f>
        <v>17</v>
      </c>
      <c r="Y24" s="22">
        <f>'21'!G97</f>
        <v>16</v>
      </c>
      <c r="Z24" s="22">
        <f t="shared" si="7"/>
        <v>108</v>
      </c>
      <c r="AA24" s="19">
        <f>'21'!G132</f>
        <v>23.529999999998836</v>
      </c>
      <c r="AB24" s="19">
        <f>'21'!G133</f>
        <v>0</v>
      </c>
      <c r="AC24" s="19">
        <f>'21'!G134</f>
        <v>0</v>
      </c>
      <c r="AD24" s="19">
        <f>'21'!G135</f>
        <v>0</v>
      </c>
      <c r="AE24" s="19">
        <f t="shared" si="8"/>
        <v>23.529999999998836</v>
      </c>
      <c r="AF24" s="23">
        <f t="shared" si="2"/>
        <v>4111.3299999999763</v>
      </c>
      <c r="AG24" s="23">
        <f t="shared" si="9"/>
        <v>174.72715682108711</v>
      </c>
      <c r="AH24" s="19">
        <f>'21'!G136</f>
        <v>0</v>
      </c>
      <c r="AI24" s="19">
        <f>'21'!G137</f>
        <v>9.8599999999969441</v>
      </c>
      <c r="AJ24" s="19">
        <f>'21'!G138</f>
        <v>0</v>
      </c>
      <c r="AK24" s="19">
        <f t="shared" si="10"/>
        <v>9.8599999999969441</v>
      </c>
      <c r="AL24" s="19">
        <f>'21'!G139</f>
        <v>6.75</v>
      </c>
      <c r="AM24" s="19">
        <f>'21'!G140</f>
        <v>0</v>
      </c>
      <c r="AN24" s="19"/>
      <c r="AO24" s="19">
        <f t="shared" si="11"/>
        <v>6.75</v>
      </c>
      <c r="AP24" s="258">
        <f>'21'!G123</f>
        <v>243.01000000000931</v>
      </c>
      <c r="AQ24" s="261">
        <f>'21'!G35</f>
        <v>0</v>
      </c>
      <c r="AR24" s="19">
        <f>'21'!G37</f>
        <v>0</v>
      </c>
      <c r="AS24" s="19">
        <f>'21'!G38</f>
        <v>0.38000000000465661</v>
      </c>
      <c r="AT24" s="19">
        <f>'21'!G39</f>
        <v>0</v>
      </c>
      <c r="AU24" s="19">
        <f>'21'!G40</f>
        <v>0</v>
      </c>
      <c r="AV24" s="19">
        <f>'21'!G41</f>
        <v>4107.7299999999996</v>
      </c>
      <c r="AW24" s="19">
        <f>'21'!G42</f>
        <v>0</v>
      </c>
      <c r="AX24" s="19">
        <f>'21'!G43</f>
        <v>2320.1600000000326</v>
      </c>
      <c r="AY24" s="23">
        <f>'21'!G44</f>
        <v>0</v>
      </c>
      <c r="AZ24" s="262">
        <f>'21'!G36</f>
        <v>762.06000000005588</v>
      </c>
      <c r="BA24" s="261">
        <f>'21'!G49</f>
        <v>3092.9200000000128</v>
      </c>
      <c r="BB24" s="19">
        <f>'21'!G51</f>
        <v>1457.3500000000058</v>
      </c>
      <c r="BC24" s="19">
        <f>'21'!G52</f>
        <v>1745.960000000021</v>
      </c>
      <c r="BD24" s="19">
        <f>'21'!G53</f>
        <v>4123.8600000000151</v>
      </c>
      <c r="BE24" s="19">
        <f>'21'!G54</f>
        <v>44.380000000000109</v>
      </c>
      <c r="BF24" s="19">
        <f>'21'!G55</f>
        <v>0</v>
      </c>
      <c r="BG24" s="19">
        <f>'21'!G56</f>
        <v>3.5999999999767169</v>
      </c>
      <c r="BH24" s="19">
        <f>'21'!G57</f>
        <v>0</v>
      </c>
      <c r="BI24" s="262">
        <f>'21'!G50</f>
        <v>1198</v>
      </c>
      <c r="BJ24" s="401">
        <f t="shared" si="12"/>
        <v>4111.3299999999763</v>
      </c>
      <c r="BK24" s="401">
        <f>'21'!G84</f>
        <v>537</v>
      </c>
      <c r="BL24" s="23">
        <f t="shared" si="13"/>
        <v>49.056966263198667</v>
      </c>
      <c r="BM24" s="23">
        <f t="shared" si="14"/>
        <v>21.240587174864874</v>
      </c>
      <c r="BN24" s="24">
        <f t="shared" si="15"/>
        <v>8.9947978367243137E-2</v>
      </c>
      <c r="BO24" s="25">
        <f t="shared" si="16"/>
        <v>251478.89999999804</v>
      </c>
      <c r="BP24" s="213">
        <f t="shared" si="17"/>
        <v>6968.4900000000089</v>
      </c>
      <c r="BQ24">
        <f t="shared" si="18"/>
        <v>1.057690789873164</v>
      </c>
    </row>
    <row r="25" spans="1:69">
      <c r="A25" s="16">
        <v>22</v>
      </c>
      <c r="B25" s="27">
        <v>22</v>
      </c>
      <c r="C25" s="28"/>
      <c r="D25" s="19">
        <f>'22'!D3</f>
        <v>30</v>
      </c>
      <c r="E25" s="256">
        <f>'22'!D4</f>
        <v>0.78</v>
      </c>
      <c r="F25" s="256">
        <f>'22'!D2</f>
        <v>0.5</v>
      </c>
      <c r="G25" s="19">
        <f>'22'!G8</f>
        <v>19676</v>
      </c>
      <c r="H25" s="19">
        <f>'22'!G8</f>
        <v>19676</v>
      </c>
      <c r="I25" s="19">
        <f>'22'!G7</f>
        <v>19510</v>
      </c>
      <c r="J25" s="19">
        <v>10</v>
      </c>
      <c r="K25" s="242">
        <f t="shared" si="3"/>
        <v>196760</v>
      </c>
      <c r="L25" s="238">
        <f t="shared" si="4"/>
        <v>96.584158415841586</v>
      </c>
      <c r="M25" s="19">
        <f>'22'!G15</f>
        <v>904</v>
      </c>
      <c r="N25" s="19">
        <v>35</v>
      </c>
      <c r="O25" s="234">
        <f t="shared" si="5"/>
        <v>31640</v>
      </c>
      <c r="P25" s="19">
        <f>'22'!G20</f>
        <v>177</v>
      </c>
      <c r="Q25" s="19">
        <v>134</v>
      </c>
      <c r="R25" s="239">
        <f t="shared" si="0"/>
        <v>23718</v>
      </c>
      <c r="S25" s="240">
        <f t="shared" si="1"/>
        <v>175.24752475247524</v>
      </c>
      <c r="T25" s="19">
        <f>'22'!G24</f>
        <v>0</v>
      </c>
      <c r="U25" s="19">
        <v>69</v>
      </c>
      <c r="V25" s="241">
        <f t="shared" si="6"/>
        <v>0</v>
      </c>
      <c r="W25" s="22">
        <f>'22'!G95</f>
        <v>83</v>
      </c>
      <c r="X25" s="22">
        <f>'22'!G96</f>
        <v>18</v>
      </c>
      <c r="Y25" s="22">
        <f>'22'!G97</f>
        <v>20</v>
      </c>
      <c r="Z25" s="22">
        <f t="shared" si="7"/>
        <v>121</v>
      </c>
      <c r="AA25" s="19">
        <f>'22'!G132</f>
        <v>24.479999999995925</v>
      </c>
      <c r="AB25" s="19">
        <f>'22'!G133</f>
        <v>0</v>
      </c>
      <c r="AC25" s="19">
        <f>'22'!G134</f>
        <v>0</v>
      </c>
      <c r="AD25" s="19">
        <f>'22'!G135</f>
        <v>0</v>
      </c>
      <c r="AE25" s="19">
        <f t="shared" si="8"/>
        <v>24.479999999995925</v>
      </c>
      <c r="AF25" s="23">
        <f t="shared" si="2"/>
        <v>4213.0100000000148</v>
      </c>
      <c r="AG25" s="23">
        <f t="shared" si="9"/>
        <v>172.10008169937566</v>
      </c>
      <c r="AH25" s="19">
        <f>'22'!G136</f>
        <v>0</v>
      </c>
      <c r="AI25" s="19">
        <f>'22'!G137</f>
        <v>9.5200000000004366</v>
      </c>
      <c r="AJ25" s="19">
        <f>'22'!G138</f>
        <v>0</v>
      </c>
      <c r="AK25" s="19">
        <f t="shared" si="10"/>
        <v>9.5200000000004366</v>
      </c>
      <c r="AL25" s="19">
        <f>'22'!G139</f>
        <v>7.4900000000000091</v>
      </c>
      <c r="AM25" s="19">
        <f>'22'!G140</f>
        <v>0</v>
      </c>
      <c r="AN25" s="19"/>
      <c r="AO25" s="19">
        <f t="shared" si="11"/>
        <v>7.4900000000000091</v>
      </c>
      <c r="AP25" s="258">
        <f>'22'!G123</f>
        <v>268.22999999998137</v>
      </c>
      <c r="AQ25" s="261">
        <f>'22'!G35</f>
        <v>0</v>
      </c>
      <c r="AR25" s="19">
        <f>'22'!G37</f>
        <v>0</v>
      </c>
      <c r="AS25" s="19">
        <f>'22'!G38</f>
        <v>0</v>
      </c>
      <c r="AT25" s="19">
        <f>'22'!G39</f>
        <v>0</v>
      </c>
      <c r="AU25" s="19">
        <f>'22'!G40</f>
        <v>0</v>
      </c>
      <c r="AV25" s="19">
        <f>'22'!G41</f>
        <v>4212.3700000000008</v>
      </c>
      <c r="AW25" s="19">
        <f>'22'!G42</f>
        <v>0</v>
      </c>
      <c r="AX25" s="19">
        <f>'22'!G43</f>
        <v>2388.0799999999581</v>
      </c>
      <c r="AY25" s="23">
        <f>'22'!G44</f>
        <v>0</v>
      </c>
      <c r="AZ25" s="262">
        <f>'22'!G36</f>
        <v>671.75999999995111</v>
      </c>
      <c r="BA25" s="261">
        <f>'22'!G49</f>
        <v>3188.4700000000012</v>
      </c>
      <c r="BB25" s="19">
        <f>'22'!G51</f>
        <v>1492.1399999999994</v>
      </c>
      <c r="BC25" s="19">
        <f>'22'!G52</f>
        <v>1877.7999999999884</v>
      </c>
      <c r="BD25" s="19">
        <f>'22'!G53</f>
        <v>4075.5999999999767</v>
      </c>
      <c r="BE25" s="19">
        <f>'22'!G54</f>
        <v>61.180000000000291</v>
      </c>
      <c r="BF25" s="19">
        <f>'22'!G55</f>
        <v>0</v>
      </c>
      <c r="BG25" s="19">
        <f>'22'!G56</f>
        <v>0.64000000001396984</v>
      </c>
      <c r="BH25" s="19">
        <f>'22'!G57</f>
        <v>0</v>
      </c>
      <c r="BI25" s="262">
        <f>'22'!G50</f>
        <v>1029.8399999999674</v>
      </c>
      <c r="BJ25" s="401">
        <f t="shared" si="12"/>
        <v>4213.0100000000148</v>
      </c>
      <c r="BK25" s="401">
        <f>'22'!G84</f>
        <v>553</v>
      </c>
      <c r="BL25" s="23">
        <f t="shared" si="13"/>
        <v>50.177139928241793</v>
      </c>
      <c r="BM25" s="23">
        <f t="shared" si="14"/>
        <v>20.889800102511416</v>
      </c>
      <c r="BN25" s="24">
        <f t="shared" si="15"/>
        <v>9.6248077908764135E-2</v>
      </c>
      <c r="BO25" s="25">
        <f t="shared" si="16"/>
        <v>252118</v>
      </c>
      <c r="BP25" s="213">
        <f t="shared" si="17"/>
        <v>7154.0899999999729</v>
      </c>
      <c r="BQ25">
        <f t="shared" si="18"/>
        <v>1.043722280579068</v>
      </c>
    </row>
    <row r="26" spans="1:69">
      <c r="A26" s="16">
        <v>23</v>
      </c>
      <c r="B26" s="27">
        <v>23</v>
      </c>
      <c r="C26" s="28"/>
      <c r="D26" s="19">
        <f>'23'!D3</f>
        <v>30</v>
      </c>
      <c r="E26" s="256">
        <f>'23'!D4</f>
        <v>0.76</v>
      </c>
      <c r="F26" s="256">
        <f>'23'!D2</f>
        <v>0.5</v>
      </c>
      <c r="G26" s="19">
        <f>'23'!G8</f>
        <v>19855</v>
      </c>
      <c r="H26" s="19">
        <f>'23'!G8</f>
        <v>19855</v>
      </c>
      <c r="I26" s="19">
        <f>'23'!G7</f>
        <v>19709</v>
      </c>
      <c r="J26" s="19">
        <v>10</v>
      </c>
      <c r="K26" s="242">
        <f t="shared" si="3"/>
        <v>198550</v>
      </c>
      <c r="L26" s="238">
        <f t="shared" si="4"/>
        <v>97.569306930693074</v>
      </c>
      <c r="M26" s="19">
        <f>'23'!G15</f>
        <v>934.93999999994412</v>
      </c>
      <c r="N26" s="19">
        <v>35</v>
      </c>
      <c r="O26" s="234">
        <f t="shared" si="5"/>
        <v>32722.899999998044</v>
      </c>
      <c r="P26" s="19">
        <f>'23'!G20</f>
        <v>203</v>
      </c>
      <c r="Q26" s="19">
        <v>134</v>
      </c>
      <c r="R26" s="239">
        <f t="shared" si="0"/>
        <v>27202</v>
      </c>
      <c r="S26" s="240">
        <f t="shared" si="1"/>
        <v>200.990099009901</v>
      </c>
      <c r="T26" s="19">
        <f>'23'!G24</f>
        <v>0</v>
      </c>
      <c r="U26" s="19">
        <v>69</v>
      </c>
      <c r="V26" s="241">
        <f t="shared" si="6"/>
        <v>0</v>
      </c>
      <c r="W26" s="22">
        <f>'23'!G95</f>
        <v>75</v>
      </c>
      <c r="X26" s="22">
        <f>'23'!G96</f>
        <v>18</v>
      </c>
      <c r="Y26" s="22">
        <f>'23'!G97</f>
        <v>26</v>
      </c>
      <c r="Z26" s="22">
        <f t="shared" si="7"/>
        <v>119</v>
      </c>
      <c r="AA26" s="19">
        <f>'23'!G132</f>
        <v>23.950000000004366</v>
      </c>
      <c r="AB26" s="19">
        <f>'23'!G133</f>
        <v>-9.9999999999909051E-3</v>
      </c>
      <c r="AC26" s="19">
        <f>'23'!G134</f>
        <v>0</v>
      </c>
      <c r="AD26" s="19">
        <f>'23'!G135</f>
        <v>0</v>
      </c>
      <c r="AE26" s="19">
        <f t="shared" si="8"/>
        <v>23.940000000004375</v>
      </c>
      <c r="AF26" s="23">
        <f t="shared" si="2"/>
        <v>4346.660000000018</v>
      </c>
      <c r="AG26" s="23">
        <f t="shared" si="9"/>
        <v>181.56474519629171</v>
      </c>
      <c r="AH26" s="19">
        <f>'23'!G136</f>
        <v>10.180000000000291</v>
      </c>
      <c r="AI26" s="19">
        <f>'23'!G137</f>
        <v>0</v>
      </c>
      <c r="AJ26" s="19">
        <f>'23'!G138</f>
        <v>0</v>
      </c>
      <c r="AK26" s="19">
        <f t="shared" si="10"/>
        <v>10.180000000000291</v>
      </c>
      <c r="AL26" s="19">
        <f>'23'!G139</f>
        <v>7.0099999999999909</v>
      </c>
      <c r="AM26" s="19">
        <f>'23'!G140</f>
        <v>0</v>
      </c>
      <c r="AN26" s="19"/>
      <c r="AO26" s="19">
        <f t="shared" si="11"/>
        <v>7.0099999999999909</v>
      </c>
      <c r="AP26" s="258">
        <f>'23'!G123</f>
        <v>245.85999999998603</v>
      </c>
      <c r="AQ26" s="261">
        <f>'23'!G35</f>
        <v>0</v>
      </c>
      <c r="AR26" s="19">
        <f>'23'!G37</f>
        <v>0</v>
      </c>
      <c r="AS26" s="19">
        <f>'23'!G38</f>
        <v>0</v>
      </c>
      <c r="AT26" s="19">
        <f>'23'!G39</f>
        <v>0</v>
      </c>
      <c r="AU26" s="19">
        <f>'23'!G40</f>
        <v>0</v>
      </c>
      <c r="AV26" s="19">
        <f>'23'!G41</f>
        <v>4346.1399999999994</v>
      </c>
      <c r="AW26" s="19">
        <f>'23'!G42</f>
        <v>0</v>
      </c>
      <c r="AX26" s="19">
        <f>'23'!G43</f>
        <v>2363.5200000000186</v>
      </c>
      <c r="AY26" s="23">
        <f>'23'!G44</f>
        <v>0</v>
      </c>
      <c r="AZ26" s="262">
        <f>'23'!G36</f>
        <v>654.22000000003027</v>
      </c>
      <c r="BA26" s="261">
        <f>'23'!G49</f>
        <v>3038.570000000007</v>
      </c>
      <c r="BB26" s="19">
        <f>'23'!G51</f>
        <v>1462.6699999999983</v>
      </c>
      <c r="BC26" s="19">
        <f>'23'!G52</f>
        <v>1944.0400000000373</v>
      </c>
      <c r="BD26" s="19">
        <f>'23'!G53</f>
        <v>4262.7600000000093</v>
      </c>
      <c r="BE26" s="19">
        <f>'23'!G54</f>
        <v>67.119999999999891</v>
      </c>
      <c r="BF26" s="19">
        <f>'23'!G55</f>
        <v>0</v>
      </c>
      <c r="BG26" s="19">
        <f>'23'!G56</f>
        <v>0.52000000001862645</v>
      </c>
      <c r="BH26" s="19">
        <f>'23'!G57</f>
        <v>0</v>
      </c>
      <c r="BI26" s="262">
        <f>'23'!G50</f>
        <v>1048.3600000000442</v>
      </c>
      <c r="BJ26" s="401">
        <f t="shared" si="12"/>
        <v>4346.660000000018</v>
      </c>
      <c r="BK26" s="401">
        <f>'23'!G84</f>
        <v>552</v>
      </c>
      <c r="BL26" s="23">
        <f t="shared" si="13"/>
        <v>49.463443097062473</v>
      </c>
      <c r="BM26" s="23">
        <f t="shared" si="14"/>
        <v>21.628494596377337</v>
      </c>
      <c r="BN26" s="24">
        <f t="shared" si="15"/>
        <v>9.8637170835660731E-2</v>
      </c>
      <c r="BO26" s="25">
        <f t="shared" si="16"/>
        <v>258474.89999999804</v>
      </c>
      <c r="BP26" s="213">
        <f t="shared" si="17"/>
        <v>7262.1800000000367</v>
      </c>
      <c r="BQ26">
        <f t="shared" si="18"/>
        <v>1.0833900226755444</v>
      </c>
    </row>
    <row r="27" spans="1:69">
      <c r="A27" s="16">
        <v>24</v>
      </c>
      <c r="B27" s="17">
        <v>24</v>
      </c>
      <c r="C27" s="28"/>
      <c r="D27" s="19">
        <f>'24'!D3</f>
        <v>27</v>
      </c>
      <c r="E27" s="256">
        <f>'24'!D4</f>
        <v>0.78</v>
      </c>
      <c r="F27" s="256">
        <f>'24'!D2</f>
        <v>0.33</v>
      </c>
      <c r="G27" s="19">
        <f>'24'!G8</f>
        <v>19558</v>
      </c>
      <c r="H27" s="19">
        <f>'24'!G8</f>
        <v>19558</v>
      </c>
      <c r="I27" s="19">
        <f>'24'!G7</f>
        <v>19391</v>
      </c>
      <c r="J27" s="19">
        <v>10</v>
      </c>
      <c r="K27" s="242">
        <f t="shared" si="3"/>
        <v>195580</v>
      </c>
      <c r="L27" s="238">
        <f t="shared" si="4"/>
        <v>95.995049504950501</v>
      </c>
      <c r="M27" s="19">
        <f>'24'!G15</f>
        <v>748.12000000011176</v>
      </c>
      <c r="N27" s="19">
        <v>35</v>
      </c>
      <c r="O27" s="234">
        <f t="shared" si="5"/>
        <v>26184.200000003912</v>
      </c>
      <c r="P27" s="19">
        <f>'24'!G20</f>
        <v>190</v>
      </c>
      <c r="Q27" s="19">
        <v>134</v>
      </c>
      <c r="R27" s="239">
        <f t="shared" si="0"/>
        <v>25460</v>
      </c>
      <c r="S27" s="240">
        <f t="shared" si="1"/>
        <v>285.02850285028507</v>
      </c>
      <c r="T27" s="19">
        <f>'24'!G24</f>
        <v>0</v>
      </c>
      <c r="U27" s="19">
        <v>69</v>
      </c>
      <c r="V27" s="241">
        <f t="shared" si="6"/>
        <v>0</v>
      </c>
      <c r="W27" s="22">
        <f>'24'!G95</f>
        <v>71</v>
      </c>
      <c r="X27" s="22">
        <f>'24'!G96</f>
        <v>25</v>
      </c>
      <c r="Y27" s="22">
        <f>'24'!G97</f>
        <v>33</v>
      </c>
      <c r="Z27" s="22">
        <f t="shared" si="7"/>
        <v>129</v>
      </c>
      <c r="AA27" s="19">
        <f>'24'!G132</f>
        <v>23.549999999995634</v>
      </c>
      <c r="AB27" s="19">
        <f>'24'!G133</f>
        <v>0</v>
      </c>
      <c r="AC27" s="19">
        <f>'24'!G134</f>
        <v>0</v>
      </c>
      <c r="AD27" s="19">
        <f>'24'!G135</f>
        <v>0</v>
      </c>
      <c r="AE27" s="19">
        <f t="shared" si="8"/>
        <v>23.549999999995634</v>
      </c>
      <c r="AF27" s="23">
        <f t="shared" si="2"/>
        <v>4221.2300000000032</v>
      </c>
      <c r="AG27" s="23">
        <f t="shared" si="9"/>
        <v>179.24543524419471</v>
      </c>
      <c r="AH27" s="19">
        <f>'24'!G136</f>
        <v>6.8800000000010186</v>
      </c>
      <c r="AI27" s="19">
        <f>'24'!G137</f>
        <v>0</v>
      </c>
      <c r="AJ27" s="19">
        <f>'24'!G138</f>
        <v>0</v>
      </c>
      <c r="AK27" s="19">
        <f t="shared" si="10"/>
        <v>6.8800000000010186</v>
      </c>
      <c r="AL27" s="19">
        <f>'24'!G139</f>
        <v>7.9100000000000819</v>
      </c>
      <c r="AM27" s="19">
        <f>'24'!G140</f>
        <v>0</v>
      </c>
      <c r="AN27" s="19"/>
      <c r="AO27" s="19">
        <f t="shared" si="11"/>
        <v>7.9100000000000819</v>
      </c>
      <c r="AP27" s="258">
        <f>'24'!G123</f>
        <v>269.06000000005588</v>
      </c>
      <c r="AQ27" s="261">
        <f>'24'!G35</f>
        <v>0</v>
      </c>
      <c r="AR27" s="19">
        <f>'24'!G37</f>
        <v>0</v>
      </c>
      <c r="AS27" s="19">
        <f>'24'!G38</f>
        <v>0</v>
      </c>
      <c r="AT27" s="19">
        <f>'24'!G39</f>
        <v>0</v>
      </c>
      <c r="AU27" s="19">
        <f>'24'!G40</f>
        <v>0</v>
      </c>
      <c r="AV27" s="19">
        <f>'24'!G41</f>
        <v>4221.32</v>
      </c>
      <c r="AW27" s="19">
        <f>'24'!G42</f>
        <v>-8.999999999650754E-2</v>
      </c>
      <c r="AX27" s="19">
        <f>'24'!G43</f>
        <v>2378.3699999999953</v>
      </c>
      <c r="AY27" s="23">
        <f>'24'!G44</f>
        <v>0</v>
      </c>
      <c r="AZ27" s="262">
        <f>'24'!G36</f>
        <v>725.89999999996508</v>
      </c>
      <c r="BA27" s="261">
        <f>'24'!G49</f>
        <v>3075.429999999993</v>
      </c>
      <c r="BB27" s="19">
        <f>'24'!G51</f>
        <v>1478.3600000000006</v>
      </c>
      <c r="BC27" s="19">
        <f>'24'!G52</f>
        <v>1833.9199999999837</v>
      </c>
      <c r="BD27" s="19">
        <f>'24'!G53</f>
        <v>4203.9500000000116</v>
      </c>
      <c r="BE27" s="19">
        <f>'24'!G54</f>
        <v>47.170000000000073</v>
      </c>
      <c r="BF27" s="19">
        <f>'24'!G55</f>
        <v>0</v>
      </c>
      <c r="BG27" s="19">
        <f>'24'!G56</f>
        <v>0</v>
      </c>
      <c r="BH27" s="19">
        <f>'24'!G57</f>
        <v>0</v>
      </c>
      <c r="BI27" s="262">
        <f>'24'!G50</f>
        <v>999</v>
      </c>
      <c r="BJ27" s="401">
        <f t="shared" si="12"/>
        <v>4221.2300000000032</v>
      </c>
      <c r="BK27" s="401">
        <f>'24'!G84</f>
        <v>524</v>
      </c>
      <c r="BL27" s="23">
        <f t="shared" si="13"/>
        <v>49.89443556288996</v>
      </c>
      <c r="BM27" s="23">
        <f t="shared" si="14"/>
        <v>21.679903047805745</v>
      </c>
      <c r="BN27" s="24">
        <f t="shared" si="15"/>
        <v>9.4575834149862495E-2</v>
      </c>
      <c r="BO27" s="25">
        <f t="shared" si="16"/>
        <v>247224.20000000391</v>
      </c>
      <c r="BP27" s="213">
        <f t="shared" si="17"/>
        <v>7123.5999999999985</v>
      </c>
      <c r="BQ27">
        <f t="shared" si="18"/>
        <v>1.0803154382774218</v>
      </c>
    </row>
    <row r="28" spans="1:69">
      <c r="A28" s="16">
        <v>25</v>
      </c>
      <c r="B28" s="26">
        <v>25</v>
      </c>
      <c r="C28" s="28"/>
      <c r="D28" s="19">
        <f>'25'!D3</f>
        <v>31</v>
      </c>
      <c r="E28" s="256">
        <f>'25'!D4</f>
        <v>0.8</v>
      </c>
      <c r="F28" s="256">
        <f>'25'!D2</f>
        <v>0.65</v>
      </c>
      <c r="G28" s="19">
        <f>'25'!G8</f>
        <v>19342</v>
      </c>
      <c r="H28" s="19">
        <f>'25'!G8</f>
        <v>19342</v>
      </c>
      <c r="I28" s="19">
        <f>'25'!G7</f>
        <v>19169</v>
      </c>
      <c r="J28" s="19">
        <v>10</v>
      </c>
      <c r="K28" s="242">
        <f t="shared" si="3"/>
        <v>193420</v>
      </c>
      <c r="L28" s="238">
        <f t="shared" si="4"/>
        <v>94.896039603960389</v>
      </c>
      <c r="M28" s="19">
        <f>'25'!G15</f>
        <v>930.86000000010245</v>
      </c>
      <c r="N28" s="19">
        <v>35</v>
      </c>
      <c r="O28" s="234">
        <f t="shared" si="5"/>
        <v>32580.100000003586</v>
      </c>
      <c r="P28" s="19">
        <f>'25'!G20</f>
        <v>183</v>
      </c>
      <c r="Q28" s="19">
        <v>134</v>
      </c>
      <c r="R28" s="239">
        <f t="shared" si="0"/>
        <v>24522</v>
      </c>
      <c r="S28" s="240">
        <f t="shared" si="1"/>
        <v>139.37547600913936</v>
      </c>
      <c r="T28" s="19">
        <f>'25'!G24</f>
        <v>0</v>
      </c>
      <c r="U28" s="19">
        <v>69</v>
      </c>
      <c r="V28" s="241">
        <f t="shared" si="6"/>
        <v>0</v>
      </c>
      <c r="W28" s="22">
        <f>'25'!G95</f>
        <v>83</v>
      </c>
      <c r="X28" s="22">
        <f>'25'!G96</f>
        <v>24</v>
      </c>
      <c r="Y28" s="22">
        <f>'25'!G97</f>
        <v>25</v>
      </c>
      <c r="Z28" s="22">
        <f t="shared" si="7"/>
        <v>132</v>
      </c>
      <c r="AA28" s="19">
        <f>'25'!G132</f>
        <v>23.959999999999127</v>
      </c>
      <c r="AB28" s="19">
        <f>'25'!G133</f>
        <v>0</v>
      </c>
      <c r="AC28" s="19">
        <f>'25'!G134</f>
        <v>0</v>
      </c>
      <c r="AD28" s="19">
        <f>'25'!G135</f>
        <v>0</v>
      </c>
      <c r="AE28" s="19">
        <f t="shared" si="8"/>
        <v>23.959999999999127</v>
      </c>
      <c r="AF28" s="23">
        <f t="shared" si="2"/>
        <v>3515.1100000000006</v>
      </c>
      <c r="AG28" s="23">
        <f t="shared" si="9"/>
        <v>146.70742904841939</v>
      </c>
      <c r="AH28" s="19">
        <f>'24'!G136</f>
        <v>6.8800000000010186</v>
      </c>
      <c r="AI28" s="19">
        <f>'24'!G137</f>
        <v>0</v>
      </c>
      <c r="AJ28" s="19">
        <f>'24'!G138</f>
        <v>0</v>
      </c>
      <c r="AK28" s="19">
        <f t="shared" si="10"/>
        <v>6.8800000000010186</v>
      </c>
      <c r="AL28" s="19">
        <f>'23'!G139</f>
        <v>7.0099999999999909</v>
      </c>
      <c r="AM28" s="19">
        <f>'24'!G140</f>
        <v>0</v>
      </c>
      <c r="AN28" s="19"/>
      <c r="AO28" s="19">
        <f t="shared" si="11"/>
        <v>7.0099999999999909</v>
      </c>
      <c r="AP28" s="258">
        <f>'25'!G123</f>
        <v>269.20999999996275</v>
      </c>
      <c r="AQ28" s="261">
        <f>'25'!G35</f>
        <v>0</v>
      </c>
      <c r="AR28" s="19">
        <f>'25'!G37</f>
        <v>0</v>
      </c>
      <c r="AS28" s="19">
        <f>'25'!G38</f>
        <v>0</v>
      </c>
      <c r="AT28" s="19">
        <f>'25'!G39</f>
        <v>0</v>
      </c>
      <c r="AU28" s="19">
        <f>'25'!G40</f>
        <v>0</v>
      </c>
      <c r="AV28" s="19">
        <f>'25'!G41</f>
        <v>3515.1100000000006</v>
      </c>
      <c r="AW28" s="19"/>
      <c r="AX28" s="19">
        <f>'25'!G43</f>
        <v>2253.3100000000559</v>
      </c>
      <c r="AY28" s="23">
        <f>'25'!G44</f>
        <v>0</v>
      </c>
      <c r="AZ28" s="262">
        <f>'25'!G36</f>
        <v>956.09000000002561</v>
      </c>
      <c r="BA28" s="261">
        <f>'25'!G49</f>
        <v>3187.609999999986</v>
      </c>
      <c r="BB28" s="19">
        <f>'25'!G51</f>
        <v>1503.8800000000047</v>
      </c>
      <c r="BC28" s="19">
        <f>'25'!G52</f>
        <v>1825</v>
      </c>
      <c r="BD28" s="19">
        <f>'25'!G53</f>
        <v>4326</v>
      </c>
      <c r="BE28" s="19">
        <f>'24'!G54</f>
        <v>47.170000000000073</v>
      </c>
      <c r="BF28" s="19">
        <f>'25'!G55</f>
        <v>0</v>
      </c>
      <c r="BG28" s="19">
        <f>'25'!G56</f>
        <v>0</v>
      </c>
      <c r="BH28" s="19">
        <f>'25'!G57</f>
        <v>0</v>
      </c>
      <c r="BI28" s="262">
        <f>'25'!G50</f>
        <v>1041.9599999999627</v>
      </c>
      <c r="BJ28" s="401">
        <f t="shared" si="12"/>
        <v>3515.1100000000006</v>
      </c>
      <c r="BK28" s="401">
        <f>'25'!G84</f>
        <v>516</v>
      </c>
      <c r="BL28" s="23">
        <f t="shared" si="13"/>
        <v>46.721425217799798</v>
      </c>
      <c r="BM28" s="23">
        <f t="shared" si="14"/>
        <v>22.567687411967238</v>
      </c>
      <c r="BN28" s="24">
        <f t="shared" si="15"/>
        <v>9.5205801032917731E-2</v>
      </c>
      <c r="BO28" s="25">
        <f t="shared" si="16"/>
        <v>250522.10000000359</v>
      </c>
      <c r="BP28" s="213">
        <f t="shared" si="17"/>
        <v>6284.4200000000565</v>
      </c>
      <c r="BQ28">
        <f t="shared" si="18"/>
        <v>0.93674278559508195</v>
      </c>
    </row>
    <row r="29" spans="1:69">
      <c r="A29" s="16">
        <v>26</v>
      </c>
      <c r="B29" s="26">
        <v>26</v>
      </c>
      <c r="C29" s="29"/>
      <c r="D29" s="19">
        <f>'26'!D3</f>
        <v>23</v>
      </c>
      <c r="E29" s="256">
        <f>'26'!D4</f>
        <v>0.74</v>
      </c>
      <c r="F29" s="256">
        <f>'26'!D2</f>
        <v>0.44</v>
      </c>
      <c r="G29" s="19">
        <f>'26'!G8</f>
        <v>19147</v>
      </c>
      <c r="H29" s="19">
        <f>'26'!G8</f>
        <v>19147</v>
      </c>
      <c r="I29" s="19">
        <f>'26'!G7</f>
        <v>18998</v>
      </c>
      <c r="J29" s="19">
        <v>10</v>
      </c>
      <c r="K29" s="242">
        <f t="shared" si="3"/>
        <v>191470</v>
      </c>
      <c r="L29" s="238">
        <f t="shared" si="4"/>
        <v>94.049504950495049</v>
      </c>
      <c r="M29" s="19">
        <f>'26'!G15</f>
        <v>855.13999999989755</v>
      </c>
      <c r="N29" s="19">
        <v>35</v>
      </c>
      <c r="O29" s="234">
        <f t="shared" si="5"/>
        <v>29929.899999996414</v>
      </c>
      <c r="P29" s="19">
        <f>'26'!G20</f>
        <v>189</v>
      </c>
      <c r="Q29" s="19">
        <v>134</v>
      </c>
      <c r="R29" s="239">
        <f t="shared" si="0"/>
        <v>25326</v>
      </c>
      <c r="S29" s="240">
        <f t="shared" si="1"/>
        <v>212.64626462646265</v>
      </c>
      <c r="T29" s="19">
        <f>'26'!G24</f>
        <v>0</v>
      </c>
      <c r="U29" s="19">
        <v>69</v>
      </c>
      <c r="V29" s="241">
        <f t="shared" si="6"/>
        <v>0</v>
      </c>
      <c r="W29" s="22">
        <f>'26'!G95</f>
        <v>60</v>
      </c>
      <c r="X29" s="22">
        <f>'26'!G96</f>
        <v>19</v>
      </c>
      <c r="Y29" s="22">
        <f>'26'!G97</f>
        <v>25</v>
      </c>
      <c r="Z29" s="22">
        <f t="shared" si="7"/>
        <v>104</v>
      </c>
      <c r="AA29" s="19">
        <f>'26'!G132</f>
        <v>23.880000000004657</v>
      </c>
      <c r="AB29" s="19">
        <f>'26'!G133</f>
        <v>-9.9999999999909051E-3</v>
      </c>
      <c r="AC29" s="19">
        <f>'26'!G134</f>
        <v>-5.0000000002910383E-2</v>
      </c>
      <c r="AD29" s="19">
        <f>'26'!G135</f>
        <v>0</v>
      </c>
      <c r="AE29" s="19">
        <f t="shared" si="8"/>
        <v>23.820000000001755</v>
      </c>
      <c r="AF29" s="23">
        <f t="shared" si="2"/>
        <v>3760.380000000001</v>
      </c>
      <c r="AG29" s="23">
        <f t="shared" si="9"/>
        <v>157.86649874054257</v>
      </c>
      <c r="AH29" s="19">
        <f>'26'!G136</f>
        <v>8.680000000000291</v>
      </c>
      <c r="AI29" s="19">
        <f>'26'!G137</f>
        <v>0</v>
      </c>
      <c r="AJ29" s="19">
        <f>'26'!G138</f>
        <v>0</v>
      </c>
      <c r="AK29" s="19">
        <f t="shared" si="10"/>
        <v>8.680000000000291</v>
      </c>
      <c r="AL29" s="19">
        <f>'26'!G139</f>
        <v>7.7599999999999909</v>
      </c>
      <c r="AM29" s="19">
        <f>'26'!G140</f>
        <v>0</v>
      </c>
      <c r="AN29" s="19"/>
      <c r="AO29" s="19">
        <f t="shared" si="11"/>
        <v>7.7599999999999909</v>
      </c>
      <c r="AP29" s="258">
        <f>'26'!G123</f>
        <v>266.14000000001397</v>
      </c>
      <c r="AQ29" s="261">
        <f>'26'!G35</f>
        <v>0</v>
      </c>
      <c r="AR29" s="19">
        <f>'26'!G37</f>
        <v>0</v>
      </c>
      <c r="AS29" s="19">
        <f>'26'!G38</f>
        <v>-0.38000000000465661</v>
      </c>
      <c r="AT29" s="19">
        <f>'26'!G39</f>
        <v>0</v>
      </c>
      <c r="AU29" s="19">
        <f>'26'!G40</f>
        <v>0</v>
      </c>
      <c r="AV29" s="19">
        <f>'26'!G41</f>
        <v>3760.380000000001</v>
      </c>
      <c r="AW29" s="19">
        <f>'26'!G42</f>
        <v>0</v>
      </c>
      <c r="AX29" s="19">
        <f>'26'!G43</f>
        <v>2328.5399999999208</v>
      </c>
      <c r="AY29" s="23">
        <f>'26'!G44</f>
        <v>0</v>
      </c>
      <c r="AZ29" s="262">
        <f>'26'!G36</f>
        <v>748</v>
      </c>
      <c r="BA29" s="261">
        <f>'26'!G49</f>
        <v>3198.390000000014</v>
      </c>
      <c r="BB29" s="19">
        <f>'26'!G51</f>
        <v>1422.1199999999953</v>
      </c>
      <c r="BC29" s="19">
        <f>'26'!G52</f>
        <v>1907.1199999999953</v>
      </c>
      <c r="BD29" s="19">
        <f>'26'!G53</f>
        <v>4151.8499999999767</v>
      </c>
      <c r="BE29" s="19">
        <f>'26'!G54</f>
        <v>46</v>
      </c>
      <c r="BF29" s="19">
        <f>'26'!G55</f>
        <v>0</v>
      </c>
      <c r="BG29" s="19">
        <f>'26'!G56</f>
        <v>0</v>
      </c>
      <c r="BH29" s="19">
        <f>'26'!G57</f>
        <v>0</v>
      </c>
      <c r="BI29" s="262">
        <f>'26'!G50</f>
        <v>938.04000000003725</v>
      </c>
      <c r="BJ29" s="401">
        <f t="shared" si="12"/>
        <v>3760.380000000001</v>
      </c>
      <c r="BK29" s="401">
        <f>'26'!G84</f>
        <v>528</v>
      </c>
      <c r="BL29" s="23">
        <f t="shared" si="13"/>
        <v>48.885724813137891</v>
      </c>
      <c r="BM29" s="23">
        <f t="shared" si="14"/>
        <v>21.854142541320016</v>
      </c>
      <c r="BN29" s="24">
        <f t="shared" si="15"/>
        <v>0.10036530161069537</v>
      </c>
      <c r="BO29" s="25">
        <f t="shared" si="16"/>
        <v>246725.89999999641</v>
      </c>
      <c r="BP29" s="213">
        <f t="shared" si="17"/>
        <v>6616.9199999999219</v>
      </c>
      <c r="BQ29">
        <f t="shared" si="18"/>
        <v>0.99210147535076076</v>
      </c>
    </row>
    <row r="30" spans="1:69">
      <c r="A30" s="16">
        <v>27</v>
      </c>
      <c r="B30" s="17">
        <v>27</v>
      </c>
      <c r="C30" s="28"/>
      <c r="D30" s="19">
        <f>'27'!D3</f>
        <v>22</v>
      </c>
      <c r="E30" s="256">
        <f>'27'!D4</f>
        <v>0.76</v>
      </c>
      <c r="F30" s="256">
        <f>'27'!D2</f>
        <v>0.49</v>
      </c>
      <c r="G30" s="19">
        <f>'27'!G8</f>
        <v>18909</v>
      </c>
      <c r="H30" s="19">
        <f>'27'!G8</f>
        <v>18909</v>
      </c>
      <c r="I30" s="19">
        <f>'27'!G7</f>
        <v>18736</v>
      </c>
      <c r="J30" s="19">
        <v>10</v>
      </c>
      <c r="K30" s="242">
        <f t="shared" si="3"/>
        <v>189090</v>
      </c>
      <c r="L30" s="238">
        <f t="shared" si="4"/>
        <v>92.752475247524757</v>
      </c>
      <c r="M30" s="19">
        <f>'27'!G15</f>
        <v>843.93999999994412</v>
      </c>
      <c r="N30" s="19">
        <v>35</v>
      </c>
      <c r="O30" s="234">
        <f t="shared" si="5"/>
        <v>29537.899999998044</v>
      </c>
      <c r="P30" s="19">
        <f>'27'!G20</f>
        <v>174</v>
      </c>
      <c r="Q30" s="19">
        <v>134</v>
      </c>
      <c r="R30" s="239">
        <f t="shared" si="0"/>
        <v>23316</v>
      </c>
      <c r="S30" s="240">
        <f t="shared" si="1"/>
        <v>175.79308951303292</v>
      </c>
      <c r="T30" s="19">
        <f>'27'!G24</f>
        <v>0</v>
      </c>
      <c r="U30" s="19">
        <v>69</v>
      </c>
      <c r="V30" s="241">
        <f t="shared" si="6"/>
        <v>0</v>
      </c>
      <c r="W30" s="22">
        <f>'27'!G95</f>
        <v>71</v>
      </c>
      <c r="X30" s="22">
        <f>'27'!G96</f>
        <v>15</v>
      </c>
      <c r="Y30" s="22">
        <f>'27'!G97</f>
        <v>13</v>
      </c>
      <c r="Z30" s="22">
        <f t="shared" si="7"/>
        <v>99</v>
      </c>
      <c r="AA30" s="19">
        <f>'27'!G132</f>
        <v>24.269999999996799</v>
      </c>
      <c r="AB30" s="19">
        <f>'27'!G133</f>
        <v>0</v>
      </c>
      <c r="AC30" s="19">
        <f>'27'!G134</f>
        <v>0</v>
      </c>
      <c r="AD30" s="19">
        <f>'27'!G135</f>
        <v>0</v>
      </c>
      <c r="AE30" s="19">
        <f t="shared" si="8"/>
        <v>24.269999999996799</v>
      </c>
      <c r="AF30" s="23">
        <f t="shared" si="2"/>
        <v>3663.5099999999984</v>
      </c>
      <c r="AG30" s="23">
        <f t="shared" si="9"/>
        <v>150.94808405440799</v>
      </c>
      <c r="AH30" s="19">
        <f>'27'!G136</f>
        <v>9.430000000000291</v>
      </c>
      <c r="AI30" s="19">
        <f>'27'!G137</f>
        <v>0</v>
      </c>
      <c r="AJ30" s="19">
        <f>'27'!G138</f>
        <v>0</v>
      </c>
      <c r="AK30" s="19">
        <f t="shared" si="10"/>
        <v>9.430000000000291</v>
      </c>
      <c r="AL30" s="19">
        <f>'27'!G139</f>
        <v>7.2799999999999727</v>
      </c>
      <c r="AM30" s="19">
        <f>'27'!G140</f>
        <v>0</v>
      </c>
      <c r="AN30" s="19"/>
      <c r="AO30" s="19">
        <f t="shared" si="11"/>
        <v>7.2799999999999727</v>
      </c>
      <c r="AP30" s="258">
        <f>'27'!G123</f>
        <v>250.60999999998603</v>
      </c>
      <c r="AQ30" s="261">
        <f>'27'!G35</f>
        <v>0</v>
      </c>
      <c r="AR30" s="19">
        <f>'27'!G37</f>
        <v>0</v>
      </c>
      <c r="AS30" s="19">
        <f>'27'!G38</f>
        <v>0</v>
      </c>
      <c r="AT30" s="19">
        <f>'27'!G39</f>
        <v>0</v>
      </c>
      <c r="AU30" s="19">
        <f>'27'!G40</f>
        <v>0</v>
      </c>
      <c r="AV30" s="19">
        <f>'27'!G41</f>
        <v>3663.5099999999984</v>
      </c>
      <c r="AW30" s="19">
        <f>'27'!G42</f>
        <v>0</v>
      </c>
      <c r="AX30" s="19">
        <f>'27'!G43</f>
        <v>2320.0999999999767</v>
      </c>
      <c r="AY30" s="23">
        <f>'27'!G44</f>
        <v>0</v>
      </c>
      <c r="AZ30" s="262">
        <f>'27'!G36</f>
        <v>626.72999999998137</v>
      </c>
      <c r="BA30" s="261">
        <f>'27'!G49</f>
        <v>3187.4500000000116</v>
      </c>
      <c r="BB30" s="19">
        <f>'27'!G51</f>
        <v>1436.5399999999936</v>
      </c>
      <c r="BC30" s="19">
        <f>'27'!G52</f>
        <v>1764.1599999999744</v>
      </c>
      <c r="BD30" s="19">
        <f>'27'!G53</f>
        <v>4080.1500000000233</v>
      </c>
      <c r="BE30" s="19">
        <f>'27'!G54</f>
        <v>56.550000000000182</v>
      </c>
      <c r="BF30" s="19">
        <f>'27'!G55</f>
        <v>0</v>
      </c>
      <c r="BG30" s="19">
        <f>'27'!G56</f>
        <v>0</v>
      </c>
      <c r="BH30" s="19">
        <f>'27'!G57</f>
        <v>0</v>
      </c>
      <c r="BI30" s="262">
        <f>'27'!G50</f>
        <v>1027.289999999979</v>
      </c>
      <c r="BJ30" s="401">
        <f t="shared" si="12"/>
        <v>3663.5099999999984</v>
      </c>
      <c r="BK30" s="401">
        <f>'27'!G84</f>
        <v>556</v>
      </c>
      <c r="BL30" s="23">
        <f t="shared" si="13"/>
        <v>48.948868488471319</v>
      </c>
      <c r="BM30" s="23">
        <f t="shared" si="14"/>
        <v>21.777060204953155</v>
      </c>
      <c r="BN30" s="24">
        <f t="shared" si="15"/>
        <v>9.4158838599486247E-2</v>
      </c>
      <c r="BO30" s="25">
        <f t="shared" si="16"/>
        <v>241943.89999999804</v>
      </c>
      <c r="BP30" s="213">
        <f t="shared" si="17"/>
        <v>6539.6099999999751</v>
      </c>
      <c r="BQ30">
        <f t="shared" si="18"/>
        <v>0.96233003708294163</v>
      </c>
    </row>
    <row r="31" spans="1:69">
      <c r="A31" s="16">
        <v>28</v>
      </c>
      <c r="B31" s="26">
        <v>28</v>
      </c>
      <c r="C31" s="28"/>
      <c r="D31" s="19">
        <f>'28'!D3</f>
        <v>23</v>
      </c>
      <c r="E31" s="256">
        <f>'28'!D4</f>
        <v>0.77</v>
      </c>
      <c r="F31" s="256">
        <f>'28'!D2</f>
        <v>0.52</v>
      </c>
      <c r="G31" s="19">
        <f>'28'!G8</f>
        <v>19519</v>
      </c>
      <c r="H31" s="19">
        <f>'28'!G8</f>
        <v>19519</v>
      </c>
      <c r="I31" s="19">
        <f>'28'!G7</f>
        <v>19357</v>
      </c>
      <c r="J31" s="19">
        <v>10</v>
      </c>
      <c r="K31" s="242">
        <f t="shared" si="3"/>
        <v>195190</v>
      </c>
      <c r="L31" s="238">
        <f t="shared" si="4"/>
        <v>95.82673267326733</v>
      </c>
      <c r="M31" s="19">
        <f>'28'!G15</f>
        <v>434.06000000005588</v>
      </c>
      <c r="N31" s="19">
        <v>35</v>
      </c>
      <c r="O31" s="234">
        <f t="shared" si="5"/>
        <v>15192.100000001956</v>
      </c>
      <c r="P31" s="19">
        <f>'28'!G20</f>
        <v>173</v>
      </c>
      <c r="Q31" s="19">
        <v>134</v>
      </c>
      <c r="R31" s="239">
        <f t="shared" si="0"/>
        <v>23182</v>
      </c>
      <c r="S31" s="240">
        <f t="shared" si="1"/>
        <v>164.6991622239147</v>
      </c>
      <c r="T31" s="19">
        <f>'28'!G24</f>
        <v>0</v>
      </c>
      <c r="U31" s="19">
        <v>69</v>
      </c>
      <c r="V31" s="241">
        <f t="shared" si="6"/>
        <v>0</v>
      </c>
      <c r="W31" s="22">
        <f>'28'!G95</f>
        <v>43</v>
      </c>
      <c r="X31" s="22">
        <f>'28'!G96</f>
        <v>23</v>
      </c>
      <c r="Y31" s="22">
        <f>'28'!G97</f>
        <v>11</v>
      </c>
      <c r="Z31" s="22">
        <f t="shared" si="7"/>
        <v>77</v>
      </c>
      <c r="AA31" s="19">
        <f>'28'!G132</f>
        <v>23.810000000004948</v>
      </c>
      <c r="AB31" s="19">
        <f>'28'!G133</f>
        <v>0</v>
      </c>
      <c r="AC31" s="19">
        <f>'28'!G134</f>
        <v>0</v>
      </c>
      <c r="AD31" s="19">
        <f>'28'!G135</f>
        <v>0</v>
      </c>
      <c r="AE31" s="19">
        <f t="shared" si="8"/>
        <v>23.810000000004948</v>
      </c>
      <c r="AF31" s="23">
        <f t="shared" si="2"/>
        <v>3834.8299999999726</v>
      </c>
      <c r="AG31" s="23">
        <f t="shared" si="9"/>
        <v>161.05963880718923</v>
      </c>
      <c r="AH31" s="19">
        <f>'28'!G136</f>
        <v>-1.0000000002037268E-2</v>
      </c>
      <c r="AI31" s="19">
        <f>'28'!G137</f>
        <v>0</v>
      </c>
      <c r="AJ31" s="19">
        <f>'28'!G138</f>
        <v>0</v>
      </c>
      <c r="AK31" s="19">
        <f t="shared" si="10"/>
        <v>-1.0000000002037268E-2</v>
      </c>
      <c r="AL31" s="19">
        <f>'28'!G139</f>
        <v>7.9700000000000273</v>
      </c>
      <c r="AM31" s="19">
        <f>'28'!G140</f>
        <v>0.47000000000025466</v>
      </c>
      <c r="AN31" s="19"/>
      <c r="AO31" s="19">
        <f t="shared" si="11"/>
        <v>8.4400000000002819</v>
      </c>
      <c r="AP31" s="258">
        <f>'28'!G123</f>
        <v>267.04000000003725</v>
      </c>
      <c r="AQ31" s="261">
        <f>'28'!G35</f>
        <v>0.32999999995809048</v>
      </c>
      <c r="AR31" s="19">
        <f>'28'!G37</f>
        <v>0</v>
      </c>
      <c r="AS31" s="19">
        <f>'28'!G38</f>
        <v>0</v>
      </c>
      <c r="AT31" s="19">
        <f>'28'!G39</f>
        <v>0</v>
      </c>
      <c r="AU31" s="19">
        <f>'28'!G40</f>
        <v>0</v>
      </c>
      <c r="AV31" s="19">
        <f>'28'!G41</f>
        <v>3834.5599999999977</v>
      </c>
      <c r="AW31" s="19">
        <f>'28'!G42</f>
        <v>0</v>
      </c>
      <c r="AX31" s="478">
        <f>'28'!G43</f>
        <v>2323.0500000000466</v>
      </c>
      <c r="AY31" s="23">
        <f>'28'!G44</f>
        <v>0</v>
      </c>
      <c r="AZ31" s="262">
        <f>'28'!G36</f>
        <v>735.27000000001863</v>
      </c>
      <c r="BA31" s="261">
        <f>'28'!G49</f>
        <v>3272.5499999999884</v>
      </c>
      <c r="BB31" s="19">
        <f>'28'!G51</f>
        <v>1445.4600000000064</v>
      </c>
      <c r="BC31" s="19">
        <f>'28'!G52</f>
        <v>1734.210000000021</v>
      </c>
      <c r="BD31" s="19">
        <f>'28'!G53</f>
        <v>4173</v>
      </c>
      <c r="BE31" s="19">
        <f>'28'!G54</f>
        <v>50.449999999999818</v>
      </c>
      <c r="BF31" s="19">
        <f>'28'!G55</f>
        <v>0.41999999999825377</v>
      </c>
      <c r="BG31" s="19">
        <f>'28'!G56</f>
        <v>-0.15000000002328306</v>
      </c>
      <c r="BH31" s="19">
        <f>'28'!G57</f>
        <v>0</v>
      </c>
      <c r="BI31" s="262">
        <f>'28'!G50</f>
        <v>1462</v>
      </c>
      <c r="BJ31" s="401">
        <f t="shared" si="12"/>
        <v>3834.8299999999726</v>
      </c>
      <c r="BK31" s="401">
        <f>'28'!G84</f>
        <v>540</v>
      </c>
      <c r="BL31" s="23">
        <f>SUM(AQ31,AV31,AW31,AX31,BA31,BF31,BG31,BH31)/I31%</f>
        <v>48.720152916257511</v>
      </c>
      <c r="BM31" s="23">
        <f t="shared" si="14"/>
        <v>21.558092679650773</v>
      </c>
      <c r="BN31" s="24">
        <f t="shared" si="15"/>
        <v>8.9590845688899162E-2</v>
      </c>
      <c r="BO31" s="25">
        <f t="shared" si="16"/>
        <v>233564.10000000196</v>
      </c>
      <c r="BP31" s="213">
        <f t="shared" si="17"/>
        <v>6697.8800000000192</v>
      </c>
      <c r="BQ31">
        <f t="shared" si="18"/>
        <v>1.0046619067616589</v>
      </c>
    </row>
    <row r="32" spans="1:69">
      <c r="A32" s="16">
        <v>29</v>
      </c>
      <c r="B32" s="26">
        <v>29</v>
      </c>
      <c r="C32" s="28"/>
      <c r="D32" s="19">
        <f>'29'!D3</f>
        <v>24</v>
      </c>
      <c r="E32" s="256">
        <f>'29'!D4</f>
        <v>0.78</v>
      </c>
      <c r="F32" s="256">
        <f>'29'!D2</f>
        <v>0.66</v>
      </c>
      <c r="G32" s="19">
        <f>'29'!G8</f>
        <v>18944</v>
      </c>
      <c r="H32" s="19">
        <f>'29'!G8</f>
        <v>18944</v>
      </c>
      <c r="I32" s="19">
        <f>'29'!G7</f>
        <v>18748</v>
      </c>
      <c r="J32" s="19">
        <v>10</v>
      </c>
      <c r="K32" s="242">
        <f t="shared" si="3"/>
        <v>189440</v>
      </c>
      <c r="L32" s="238">
        <f t="shared" si="4"/>
        <v>92.811881188118818</v>
      </c>
      <c r="M32" s="19">
        <f>'29'!G15</f>
        <v>826.96999999997206</v>
      </c>
      <c r="N32" s="19">
        <v>35</v>
      </c>
      <c r="O32" s="234">
        <f t="shared" si="5"/>
        <v>28943.949999999022</v>
      </c>
      <c r="P32" s="19">
        <f>'29'!G20</f>
        <v>151</v>
      </c>
      <c r="Q32" s="19">
        <v>134</v>
      </c>
      <c r="R32" s="239">
        <f t="shared" si="0"/>
        <v>20234</v>
      </c>
      <c r="S32" s="240">
        <f t="shared" si="1"/>
        <v>113.26132613261326</v>
      </c>
      <c r="T32" s="19">
        <f>'29'!G24</f>
        <v>0</v>
      </c>
      <c r="U32" s="19">
        <v>69</v>
      </c>
      <c r="V32" s="241">
        <f t="shared" si="6"/>
        <v>0</v>
      </c>
      <c r="W32" s="22">
        <f>'29'!G95</f>
        <v>65</v>
      </c>
      <c r="X32" s="22">
        <f>'29'!G96</f>
        <v>33</v>
      </c>
      <c r="Y32" s="22">
        <f>'29'!G97</f>
        <v>19</v>
      </c>
      <c r="Z32" s="22">
        <f t="shared" si="7"/>
        <v>117</v>
      </c>
      <c r="AA32" s="19">
        <f>'29'!G132</f>
        <v>24.059999999997672</v>
      </c>
      <c r="AB32" s="19">
        <f>'29'!G133</f>
        <v>0</v>
      </c>
      <c r="AC32" s="19">
        <f>'29'!G134</f>
        <v>0</v>
      </c>
      <c r="AD32" s="19">
        <f>'29'!G135</f>
        <v>0</v>
      </c>
      <c r="AE32" s="19">
        <f t="shared" si="8"/>
        <v>24.059999999997672</v>
      </c>
      <c r="AF32" s="23">
        <f t="shared" si="2"/>
        <v>3422.4400000000023</v>
      </c>
      <c r="AG32" s="23">
        <f t="shared" si="9"/>
        <v>142.24605153783597</v>
      </c>
      <c r="AH32" s="19">
        <f>'29'!G136</f>
        <v>8.930000000000291</v>
      </c>
      <c r="AI32" s="19">
        <f>'29'!G137</f>
        <v>0</v>
      </c>
      <c r="AJ32" s="19">
        <f>'29'!G138</f>
        <v>0</v>
      </c>
      <c r="AK32" s="19">
        <f t="shared" si="10"/>
        <v>8.930000000000291</v>
      </c>
      <c r="AL32" s="19">
        <f>'29'!G139</f>
        <v>7.1300000000001091</v>
      </c>
      <c r="AM32" s="19">
        <f>'29'!G140</f>
        <v>0</v>
      </c>
      <c r="AN32" s="19"/>
      <c r="AO32" s="19">
        <f t="shared" si="11"/>
        <v>7.1300000000001091</v>
      </c>
      <c r="AP32" s="258">
        <f>'29'!G123</f>
        <v>242.98999999999069</v>
      </c>
      <c r="AQ32" s="261">
        <f>'29'!G35</f>
        <v>0</v>
      </c>
      <c r="AR32" s="19">
        <f>'29'!G37</f>
        <v>0</v>
      </c>
      <c r="AS32" s="19">
        <f>'29'!G38</f>
        <v>0</v>
      </c>
      <c r="AT32" s="19">
        <f>'29'!G39</f>
        <v>0</v>
      </c>
      <c r="AU32" s="19">
        <f>'29'!G40</f>
        <v>0</v>
      </c>
      <c r="AV32" s="19">
        <f>'29'!G41</f>
        <v>3422.4400000000023</v>
      </c>
      <c r="AW32" s="19">
        <f>'29'!G42</f>
        <v>0</v>
      </c>
      <c r="AX32" s="19">
        <f>'29'!G43</f>
        <v>2326.6300000000047</v>
      </c>
      <c r="AY32" s="23">
        <f>'29'!G44</f>
        <v>0</v>
      </c>
      <c r="AZ32" s="262">
        <f>'29'!G36</f>
        <v>586.72999999998137</v>
      </c>
      <c r="BA32" s="261">
        <f>'29'!G49</f>
        <v>3058.5499999999884</v>
      </c>
      <c r="BB32" s="19">
        <f>'29'!G51</f>
        <v>1563</v>
      </c>
      <c r="BC32" s="19">
        <f>'29'!G52</f>
        <v>1955</v>
      </c>
      <c r="BD32" s="19">
        <f>'29'!G53</f>
        <v>4185.9699999999721</v>
      </c>
      <c r="BE32" s="19">
        <f>'29'!G54</f>
        <v>51.800000000000182</v>
      </c>
      <c r="BF32" s="19">
        <f>'29'!G55</f>
        <v>0</v>
      </c>
      <c r="BG32" s="19">
        <f>'29'!G56</f>
        <v>0</v>
      </c>
      <c r="BH32" s="19">
        <f>'29'!G57</f>
        <v>0</v>
      </c>
      <c r="BI32" s="262">
        <f>'29'!G50</f>
        <v>1108.9699999999721</v>
      </c>
      <c r="BJ32" s="401">
        <f t="shared" si="12"/>
        <v>3422.4400000000023</v>
      </c>
      <c r="BK32" s="401">
        <f>'29'!G84</f>
        <v>547</v>
      </c>
      <c r="BL32" s="23">
        <f t="shared" si="13"/>
        <v>46.978984425005315</v>
      </c>
      <c r="BM32" s="23">
        <f t="shared" si="14"/>
        <v>22.327554939193366</v>
      </c>
      <c r="BN32" s="24">
        <f t="shared" si="15"/>
        <v>0.10427778963089396</v>
      </c>
      <c r="BO32" s="25">
        <f t="shared" si="16"/>
        <v>238617.94999999902</v>
      </c>
      <c r="BP32" s="213">
        <f t="shared" si="17"/>
        <v>6296.070000000007</v>
      </c>
      <c r="BQ32">
        <f t="shared" si="18"/>
        <v>0.93457873174216488</v>
      </c>
    </row>
    <row r="33" spans="1:69">
      <c r="A33" s="16">
        <v>30</v>
      </c>
      <c r="B33" s="27">
        <v>30</v>
      </c>
      <c r="C33" s="28"/>
      <c r="D33" s="19">
        <f>'30'!D33</f>
        <v>0</v>
      </c>
      <c r="E33" s="256">
        <f>'30'!D4</f>
        <v>0.8</v>
      </c>
      <c r="F33" s="256">
        <f>'30'!D2</f>
        <v>0.83</v>
      </c>
      <c r="G33" s="19">
        <f>'30'!G8</f>
        <v>19123</v>
      </c>
      <c r="H33" s="19">
        <f>'30'!G8</f>
        <v>19123</v>
      </c>
      <c r="I33" s="19">
        <f>'30'!G7</f>
        <v>18917</v>
      </c>
      <c r="J33" s="19">
        <v>10</v>
      </c>
      <c r="K33" s="242">
        <f t="shared" si="3"/>
        <v>191230</v>
      </c>
      <c r="L33" s="238">
        <f t="shared" si="4"/>
        <v>93.648514851485146</v>
      </c>
      <c r="M33" s="19">
        <f>'30'!G15</f>
        <v>667.76000000000931</v>
      </c>
      <c r="N33" s="19">
        <v>35</v>
      </c>
      <c r="O33" s="234">
        <f t="shared" si="5"/>
        <v>23371.600000000326</v>
      </c>
      <c r="P33" s="19">
        <f>'30'!G20</f>
        <v>171</v>
      </c>
      <c r="Q33" s="19">
        <v>134</v>
      </c>
      <c r="R33" s="239">
        <f t="shared" si="0"/>
        <v>22914</v>
      </c>
      <c r="S33" s="240">
        <f t="shared" si="1"/>
        <v>101.99212692353574</v>
      </c>
      <c r="T33" s="19">
        <f>'30'!G24</f>
        <v>0</v>
      </c>
      <c r="U33" s="19">
        <v>69</v>
      </c>
      <c r="V33" s="241">
        <f t="shared" si="6"/>
        <v>0</v>
      </c>
      <c r="W33" s="22">
        <f>'30'!G95</f>
        <v>54</v>
      </c>
      <c r="X33" s="22">
        <f>'30'!G96</f>
        <v>38</v>
      </c>
      <c r="Y33" s="22">
        <f>'30'!G97</f>
        <v>23</v>
      </c>
      <c r="Z33" s="22">
        <f t="shared" si="7"/>
        <v>115</v>
      </c>
      <c r="AA33" s="19">
        <f>'30'!G132</f>
        <v>23.870000000002619</v>
      </c>
      <c r="AB33" s="19">
        <f>'30'!G133</f>
        <v>0</v>
      </c>
      <c r="AC33" s="19">
        <f>'30'!G134</f>
        <v>0</v>
      </c>
      <c r="AD33" s="19">
        <f>'30'!G135</f>
        <v>0</v>
      </c>
      <c r="AE33" s="19">
        <f t="shared" si="8"/>
        <v>23.870000000002619</v>
      </c>
      <c r="AF33" s="23">
        <f t="shared" si="2"/>
        <v>3768.9499999999971</v>
      </c>
      <c r="AG33" s="23">
        <f t="shared" si="9"/>
        <v>157.89484708837801</v>
      </c>
      <c r="AH33" s="19">
        <f>'30'!G136</f>
        <v>3.75</v>
      </c>
      <c r="AI33" s="19">
        <f>'30'!G137</f>
        <v>0</v>
      </c>
      <c r="AJ33" s="19">
        <f>'30'!G138</f>
        <v>4.1100000000005821</v>
      </c>
      <c r="AK33" s="19">
        <f t="shared" si="10"/>
        <v>7.8600000000005821</v>
      </c>
      <c r="AL33" s="19">
        <f>'30'!G139</f>
        <v>7.9199999999998454</v>
      </c>
      <c r="AM33" s="19">
        <f>'30'!G140</f>
        <v>0</v>
      </c>
      <c r="AN33" s="19"/>
      <c r="AO33" s="19">
        <f t="shared" si="11"/>
        <v>7.9199999999998454</v>
      </c>
      <c r="AP33" s="258">
        <f>'30'!G123</f>
        <v>270.01000000000931</v>
      </c>
      <c r="AQ33" s="261">
        <f>'30'!G35</f>
        <v>0</v>
      </c>
      <c r="AR33" s="19">
        <f>'30'!G37</f>
        <v>0</v>
      </c>
      <c r="AS33" s="19">
        <f>'30'!G38</f>
        <v>0</v>
      </c>
      <c r="AT33" s="19">
        <f>'30'!G39</f>
        <v>0</v>
      </c>
      <c r="AU33" s="19">
        <f>'30'!G40</f>
        <v>0</v>
      </c>
      <c r="AV33" s="19">
        <f>'30'!G41</f>
        <v>3768.9499999999971</v>
      </c>
      <c r="AW33" s="19">
        <f>'30'!G42</f>
        <v>0</v>
      </c>
      <c r="AX33" s="19">
        <f>'30'!G43</f>
        <v>2336.8800000000047</v>
      </c>
      <c r="AY33" s="23">
        <f>'30'!G44</f>
        <v>0</v>
      </c>
      <c r="AZ33" s="262">
        <f>'30'!G36</f>
        <v>587.20000000001164</v>
      </c>
      <c r="BA33" s="19">
        <f>'30'!BA33</f>
        <v>0</v>
      </c>
      <c r="BB33" s="256">
        <f>'30'!BA4</f>
        <v>0</v>
      </c>
      <c r="BC33" s="256">
        <f>'30'!BA2</f>
        <v>0</v>
      </c>
      <c r="BD33" s="19">
        <f>'30'!BD8</f>
        <v>0</v>
      </c>
      <c r="BE33" s="19">
        <f>'30'!BC7</f>
        <v>0</v>
      </c>
      <c r="BF33" s="19">
        <f>'30'!BD7</f>
        <v>0</v>
      </c>
      <c r="BG33" s="19">
        <f>'30'!G57</f>
        <v>0</v>
      </c>
      <c r="BH33" s="19">
        <f>'30'!H57</f>
        <v>0</v>
      </c>
      <c r="BI33" s="238">
        <f t="shared" ref="BI33" si="19">BF33/202</f>
        <v>0</v>
      </c>
      <c r="BJ33" s="401">
        <f t="shared" si="12"/>
        <v>3768.9499999999971</v>
      </c>
      <c r="BK33" s="401">
        <f>'31'!G84</f>
        <v>504</v>
      </c>
      <c r="BL33" s="23">
        <f t="shared" si="13"/>
        <v>32.276946661732843</v>
      </c>
      <c r="BM33" s="23">
        <f t="shared" si="14"/>
        <v>0</v>
      </c>
      <c r="BN33" s="24">
        <f t="shared" si="15"/>
        <v>0</v>
      </c>
      <c r="BO33" s="25">
        <f t="shared" si="16"/>
        <v>237515.60000000033</v>
      </c>
      <c r="BP33" s="213">
        <f t="shared" si="17"/>
        <v>6609.8300000000017</v>
      </c>
      <c r="BQ33">
        <f t="shared" si="18"/>
        <v>0.98896253516058363</v>
      </c>
    </row>
    <row r="34" spans="1:69">
      <c r="A34" s="16">
        <v>31</v>
      </c>
      <c r="B34" s="27">
        <v>31</v>
      </c>
      <c r="C34" s="28"/>
      <c r="D34" s="19">
        <f>'[1]30'!D34</f>
        <v>0</v>
      </c>
      <c r="E34" s="256" t="str">
        <f>'[1]31'!D5</f>
        <v>Unit</v>
      </c>
      <c r="F34" s="256">
        <f>'[1]31'!D3</f>
        <v>30</v>
      </c>
      <c r="G34" s="19">
        <f>'[1]31'!G8</f>
        <v>19595</v>
      </c>
      <c r="H34" s="19">
        <f>'[1]31'!G8</f>
        <v>19595</v>
      </c>
      <c r="I34" s="19">
        <f>'[1]31'!G7</f>
        <v>19398</v>
      </c>
      <c r="J34" s="19">
        <v>10</v>
      </c>
      <c r="K34" s="242">
        <f t="shared" si="3"/>
        <v>195950</v>
      </c>
      <c r="L34" s="238">
        <f t="shared" si="4"/>
        <v>96.029702970297024</v>
      </c>
      <c r="M34" s="19">
        <f>'[1]10'!G15</f>
        <v>827.6500000001397</v>
      </c>
      <c r="N34" s="19">
        <v>35</v>
      </c>
      <c r="O34" s="234">
        <f t="shared" si="5"/>
        <v>28967.750000004889</v>
      </c>
      <c r="P34" s="19">
        <f>'[1]31'!G20</f>
        <v>184</v>
      </c>
      <c r="Q34" s="19">
        <v>134</v>
      </c>
      <c r="R34" s="239">
        <f t="shared" si="0"/>
        <v>24656</v>
      </c>
      <c r="S34" s="240">
        <f t="shared" si="1"/>
        <v>3.0363036303630362</v>
      </c>
      <c r="T34" s="19">
        <f>'[1]31'!G24</f>
        <v>0</v>
      </c>
      <c r="U34" s="19">
        <v>69</v>
      </c>
      <c r="V34" s="241">
        <f t="shared" si="6"/>
        <v>0</v>
      </c>
      <c r="W34" s="22">
        <f>'[1]31'!G95</f>
        <v>63</v>
      </c>
      <c r="X34" s="22">
        <f>'[1]31'!G96</f>
        <v>15</v>
      </c>
      <c r="Y34" s="22">
        <f>'[1]31'!G97</f>
        <v>22</v>
      </c>
      <c r="Z34" s="22">
        <f t="shared" si="7"/>
        <v>100</v>
      </c>
      <c r="AA34" s="19">
        <f>'[1]31'!G132</f>
        <v>0</v>
      </c>
      <c r="AB34" s="19">
        <f>'[1]31'!G133</f>
        <v>0</v>
      </c>
      <c r="AC34" s="19">
        <f>'[1]31'!G134</f>
        <v>0</v>
      </c>
      <c r="AD34" s="19">
        <f>'[1]31'!G135</f>
        <v>23.919999999998254</v>
      </c>
      <c r="AE34" s="19">
        <f t="shared" si="8"/>
        <v>23.919999999998254</v>
      </c>
      <c r="AF34" s="23">
        <f t="shared" si="2"/>
        <v>4263.2099999999919</v>
      </c>
      <c r="AG34" s="23">
        <f t="shared" si="9"/>
        <v>178.22784280937722</v>
      </c>
      <c r="AH34" s="19">
        <f>'[1]31'!G136</f>
        <v>6.3300000000017462</v>
      </c>
      <c r="AI34" s="19">
        <f>'[1]31'!G137</f>
        <v>0</v>
      </c>
      <c r="AJ34" s="19">
        <f>'[1]31'!G138</f>
        <v>0</v>
      </c>
      <c r="AK34" s="19">
        <f t="shared" si="10"/>
        <v>6.3300000000017462</v>
      </c>
      <c r="AL34" s="19">
        <f>'[1]31'!G139</f>
        <v>0</v>
      </c>
      <c r="AM34" s="19">
        <f>'[1]31'!G140</f>
        <v>7.9200000000000728</v>
      </c>
      <c r="AN34" s="19"/>
      <c r="AO34" s="19">
        <f t="shared" si="11"/>
        <v>7.9200000000000728</v>
      </c>
      <c r="AP34" s="258">
        <f>'[1]31'!G123</f>
        <v>241.35000000009313</v>
      </c>
      <c r="AQ34" s="261">
        <f>'[1]31'!G35</f>
        <v>0</v>
      </c>
      <c r="AR34" s="19">
        <f>'[1]31'!G37</f>
        <v>0</v>
      </c>
      <c r="AS34" s="19">
        <f>'[1]31'!G38</f>
        <v>0</v>
      </c>
      <c r="AT34" s="19">
        <f>'[1]31'!G39</f>
        <v>0</v>
      </c>
      <c r="AU34" s="19">
        <f>'[1]31'!G40</f>
        <v>0</v>
      </c>
      <c r="AV34" s="19">
        <f>'[1]31'!G41</f>
        <v>0</v>
      </c>
      <c r="AW34" s="19">
        <f>'[1]31'!G42</f>
        <v>8.999999999650754E-2</v>
      </c>
      <c r="AX34" s="19">
        <f>'[1]31'!G43</f>
        <v>1972.7200000000885</v>
      </c>
      <c r="AY34" s="23">
        <f>'[1]31'!G44</f>
        <v>0</v>
      </c>
      <c r="AZ34" s="262">
        <f>'[1]31'!G36</f>
        <v>668.5800000000163</v>
      </c>
      <c r="BA34" s="261">
        <f>'[1]31'!G49</f>
        <v>2791.390000000014</v>
      </c>
      <c r="BB34" s="19">
        <f>'[1]31'!G51</f>
        <v>1472.3400000000038</v>
      </c>
      <c r="BC34" s="19">
        <f>'[1]31'!G52</f>
        <v>2047.2800000000279</v>
      </c>
      <c r="BD34" s="19">
        <f>'[1]31'!G53</f>
        <v>4400.9700000000012</v>
      </c>
      <c r="BE34" s="19">
        <f>'[1]31'!G54</f>
        <v>79.989999999999782</v>
      </c>
      <c r="BF34" s="19">
        <f>'[1]31'!BD7</f>
        <v>0</v>
      </c>
      <c r="BG34" s="19">
        <f>'[1]31'!G56</f>
        <v>4263.1199999999953</v>
      </c>
      <c r="BH34" s="19">
        <f>'[1]31'!H57</f>
        <v>0</v>
      </c>
      <c r="BI34" s="262">
        <f>'[1]31'!G50</f>
        <v>1070.4400000000023</v>
      </c>
      <c r="BJ34" s="401">
        <f t="shared" si="12"/>
        <v>4263.2099999999919</v>
      </c>
      <c r="BK34" s="401">
        <f>'[1]31'!G84</f>
        <v>377</v>
      </c>
      <c r="BL34" s="23">
        <f t="shared" si="13"/>
        <v>46.537374987112564</v>
      </c>
      <c r="BM34" s="23">
        <f t="shared" si="14"/>
        <v>22.687751314568519</v>
      </c>
      <c r="BN34" s="24">
        <f t="shared" si="15"/>
        <v>0.10554077739973337</v>
      </c>
      <c r="BO34" s="25">
        <f t="shared" si="16"/>
        <v>249573.75000000489</v>
      </c>
      <c r="BP34" s="213">
        <f t="shared" si="17"/>
        <v>6612.9300000000803</v>
      </c>
      <c r="BQ34">
        <f t="shared" si="18"/>
        <v>0.98735815814628569</v>
      </c>
    </row>
    <row r="35" spans="1:69">
      <c r="A35" s="16" t="s">
        <v>213</v>
      </c>
      <c r="B35" s="30"/>
      <c r="C35" s="31"/>
      <c r="D35" s="32">
        <f>AVERAGE(D4:D34)</f>
        <v>24.322580645161292</v>
      </c>
      <c r="E35" s="33"/>
      <c r="F35" s="415">
        <f>AVERAGE(F4:F34)</f>
        <v>1.5029935483870966</v>
      </c>
      <c r="G35" s="34">
        <f>SUM(G4:G34)</f>
        <v>942</v>
      </c>
      <c r="H35" s="34">
        <f t="shared" ref="H35:BO35" si="20">SUM(H4:H34)</f>
        <v>942</v>
      </c>
      <c r="I35" s="34">
        <f t="shared" si="20"/>
        <v>937</v>
      </c>
      <c r="J35" s="34">
        <f t="shared" si="20"/>
        <v>309</v>
      </c>
      <c r="K35" s="34">
        <f t="shared" si="20"/>
        <v>-10054</v>
      </c>
      <c r="L35" s="34">
        <f t="shared" si="20"/>
        <v>4.6386138613859487</v>
      </c>
      <c r="M35" s="34">
        <f t="shared" si="20"/>
        <v>-40.769999999785796</v>
      </c>
      <c r="N35" s="34">
        <f t="shared" si="20"/>
        <v>1085</v>
      </c>
      <c r="O35" s="34">
        <f t="shared" si="20"/>
        <v>-1426.9499999925029</v>
      </c>
      <c r="P35" s="34">
        <f t="shared" si="20"/>
        <v>4670</v>
      </c>
      <c r="Q35" s="34">
        <f t="shared" si="20"/>
        <v>4154</v>
      </c>
      <c r="R35" s="34">
        <f t="shared" si="20"/>
        <v>625780</v>
      </c>
      <c r="S35" s="34">
        <f t="shared" si="20"/>
        <v>4085.2436697978992</v>
      </c>
      <c r="T35" s="34">
        <f t="shared" si="20"/>
        <v>2350</v>
      </c>
      <c r="U35" s="34">
        <f t="shared" si="20"/>
        <v>2139</v>
      </c>
      <c r="V35" s="34">
        <f t="shared" si="20"/>
        <v>162150</v>
      </c>
      <c r="W35" s="34">
        <f t="shared" si="20"/>
        <v>-6</v>
      </c>
      <c r="X35" s="34">
        <f t="shared" si="20"/>
        <v>-11</v>
      </c>
      <c r="Y35" s="34">
        <f t="shared" si="20"/>
        <v>-7</v>
      </c>
      <c r="Z35" s="34">
        <f t="shared" si="20"/>
        <v>-24</v>
      </c>
      <c r="AA35" s="34">
        <f t="shared" si="20"/>
        <v>362.0199999999968</v>
      </c>
      <c r="AB35" s="34">
        <f t="shared" si="20"/>
        <v>0</v>
      </c>
      <c r="AC35" s="34">
        <f t="shared" si="20"/>
        <v>0</v>
      </c>
      <c r="AD35" s="34">
        <f t="shared" si="20"/>
        <v>23.919999999998254</v>
      </c>
      <c r="AE35" s="34">
        <f t="shared" si="20"/>
        <v>385.93999999999505</v>
      </c>
      <c r="AF35" s="34">
        <f t="shared" si="20"/>
        <v>64510.149999999951</v>
      </c>
      <c r="AG35" s="34">
        <f t="shared" si="20"/>
        <v>5360.6414418556087</v>
      </c>
      <c r="AH35" s="34">
        <f t="shared" si="20"/>
        <v>-5.0399999999972351</v>
      </c>
      <c r="AI35" s="34">
        <f t="shared" si="20"/>
        <v>0</v>
      </c>
      <c r="AJ35" s="34">
        <f t="shared" si="20"/>
        <v>-1.9799999999959255</v>
      </c>
      <c r="AK35" s="34">
        <f t="shared" si="20"/>
        <v>-7.0199999999931606</v>
      </c>
      <c r="AL35" s="34">
        <f t="shared" si="20"/>
        <v>-9.0799999999999272</v>
      </c>
      <c r="AM35" s="34">
        <f t="shared" si="20"/>
        <v>7.9200000000000728</v>
      </c>
      <c r="AN35" s="34">
        <f t="shared" si="20"/>
        <v>0</v>
      </c>
      <c r="AO35" s="34">
        <f t="shared" si="20"/>
        <v>-1.1599999999998545</v>
      </c>
      <c r="AP35" s="34">
        <f t="shared" si="20"/>
        <v>-41.049999999930151</v>
      </c>
      <c r="AQ35" s="34">
        <f t="shared" si="20"/>
        <v>0.32999999995809048</v>
      </c>
      <c r="AR35" s="34">
        <f t="shared" si="20"/>
        <v>415066</v>
      </c>
      <c r="AS35" s="34">
        <f t="shared" si="20"/>
        <v>150616.12</v>
      </c>
      <c r="AT35" s="34">
        <f t="shared" si="20"/>
        <v>912480</v>
      </c>
      <c r="AU35" s="34">
        <f t="shared" si="20"/>
        <v>-0.06</v>
      </c>
      <c r="AV35" s="34">
        <f t="shared" si="20"/>
        <v>60248.429999999993</v>
      </c>
      <c r="AW35" s="34">
        <f t="shared" si="20"/>
        <v>8.999999999650754E-2</v>
      </c>
      <c r="AX35" s="34">
        <f t="shared" si="20"/>
        <v>-339.67999999993481</v>
      </c>
      <c r="AY35" s="34">
        <f t="shared" si="20"/>
        <v>0</v>
      </c>
      <c r="AZ35" s="34">
        <f t="shared" si="20"/>
        <v>137.05999999999767</v>
      </c>
      <c r="BA35" s="34">
        <f t="shared" si="20"/>
        <v>-3122.109999999986</v>
      </c>
      <c r="BB35" s="34">
        <f t="shared" si="20"/>
        <v>-1592.4000000000015</v>
      </c>
      <c r="BC35" s="34">
        <f t="shared" si="20"/>
        <v>-1959.3899999999558</v>
      </c>
      <c r="BD35" s="34">
        <f t="shared" si="20"/>
        <v>69540.839999999967</v>
      </c>
      <c r="BE35" s="34">
        <f t="shared" si="20"/>
        <v>-10.680000000000291</v>
      </c>
      <c r="BF35" s="34">
        <f t="shared" si="20"/>
        <v>0.41999999999825377</v>
      </c>
      <c r="BG35" s="34">
        <f t="shared" si="20"/>
        <v>4261.2099999999627</v>
      </c>
      <c r="BH35" s="34">
        <f t="shared" si="20"/>
        <v>0</v>
      </c>
      <c r="BI35" s="34">
        <f t="shared" si="20"/>
        <v>-1065.9000000000233</v>
      </c>
      <c r="BJ35" s="34">
        <f t="shared" si="20"/>
        <v>64510.149999999951</v>
      </c>
      <c r="BK35" s="34">
        <f t="shared" si="20"/>
        <v>-155</v>
      </c>
      <c r="BL35" s="34">
        <f t="shared" si="20"/>
        <v>1467.6984196571916</v>
      </c>
      <c r="BM35" s="34">
        <f t="shared" si="20"/>
        <v>485.74893754057229</v>
      </c>
      <c r="BN35" s="34">
        <f t="shared" si="20"/>
        <v>2.8327442243619796</v>
      </c>
      <c r="BO35" s="34">
        <f t="shared" si="20"/>
        <v>776449.05000000889</v>
      </c>
      <c r="BP35" s="213">
        <f t="shared" si="17"/>
        <v>64015.470000000016</v>
      </c>
      <c r="BQ35">
        <f t="shared" si="18"/>
        <v>0.59238917596370311</v>
      </c>
    </row>
    <row r="36" spans="1:69">
      <c r="A36" s="35"/>
      <c r="B36" s="35">
        <f t="shared" ref="B36:F36" si="21">B18-B17</f>
        <v>1</v>
      </c>
      <c r="C36" s="35">
        <f t="shared" si="21"/>
        <v>0</v>
      </c>
      <c r="D36" s="35">
        <f t="shared" si="21"/>
        <v>0</v>
      </c>
      <c r="E36" s="35">
        <f t="shared" si="21"/>
        <v>0</v>
      </c>
      <c r="F36" s="35">
        <f t="shared" si="21"/>
        <v>1.7000000000000348E-3</v>
      </c>
      <c r="G36" s="35"/>
      <c r="H36" s="35"/>
      <c r="I36" s="35">
        <f t="shared" ref="I36:AO36" si="22">I18-I17</f>
        <v>630</v>
      </c>
      <c r="J36" s="35">
        <f t="shared" si="22"/>
        <v>0</v>
      </c>
      <c r="K36" s="235">
        <f t="shared" si="22"/>
        <v>6760</v>
      </c>
      <c r="L36" s="235">
        <f t="shared" si="22"/>
        <v>3.1188118811881225</v>
      </c>
      <c r="M36" s="35">
        <f t="shared" si="22"/>
        <v>99.796000000089407</v>
      </c>
      <c r="N36" s="35">
        <f t="shared" si="22"/>
        <v>0</v>
      </c>
      <c r="O36" s="235">
        <f t="shared" si="22"/>
        <v>3492.8600000031292</v>
      </c>
      <c r="P36" s="35">
        <f t="shared" si="22"/>
        <v>131</v>
      </c>
      <c r="Q36" s="35">
        <f t="shared" si="22"/>
        <v>0</v>
      </c>
      <c r="R36" s="235">
        <f t="shared" si="22"/>
        <v>17554</v>
      </c>
      <c r="S36" s="235">
        <f t="shared" si="22"/>
        <v>96.340292572542637</v>
      </c>
      <c r="T36" s="35">
        <f t="shared" si="22"/>
        <v>0</v>
      </c>
      <c r="U36" s="35">
        <f t="shared" si="22"/>
        <v>0</v>
      </c>
      <c r="V36" s="235">
        <f t="shared" si="22"/>
        <v>0</v>
      </c>
      <c r="W36" s="35">
        <f t="shared" si="22"/>
        <v>10</v>
      </c>
      <c r="X36" s="35">
        <f t="shared" si="22"/>
        <v>-22</v>
      </c>
      <c r="Y36" s="35">
        <f t="shared" si="22"/>
        <v>-11</v>
      </c>
      <c r="Z36" s="35">
        <f t="shared" si="22"/>
        <v>-23</v>
      </c>
      <c r="AA36" s="35">
        <f t="shared" si="22"/>
        <v>0</v>
      </c>
      <c r="AB36" s="35">
        <f t="shared" si="22"/>
        <v>0</v>
      </c>
      <c r="AC36" s="35">
        <f t="shared" si="22"/>
        <v>-0.18000000000029104</v>
      </c>
      <c r="AD36" s="35">
        <f t="shared" si="22"/>
        <v>0</v>
      </c>
      <c r="AE36" s="35">
        <f t="shared" si="22"/>
        <v>-0.18000000000029104</v>
      </c>
      <c r="AF36" s="35">
        <f t="shared" si="22"/>
        <v>-55.784000000014203</v>
      </c>
      <c r="AG36" s="35">
        <f t="shared" si="22"/>
        <v>-0.57485574857449251</v>
      </c>
      <c r="AH36" s="35">
        <f t="shared" si="22"/>
        <v>0.52999999999883585</v>
      </c>
      <c r="AI36" s="35">
        <f t="shared" si="22"/>
        <v>4.2600000000020373</v>
      </c>
      <c r="AJ36" s="35">
        <f t="shared" si="22"/>
        <v>-6.7199999999866122</v>
      </c>
      <c r="AK36" s="35">
        <f t="shared" si="22"/>
        <v>-1.9299999999857391</v>
      </c>
      <c r="AL36" s="35">
        <f t="shared" si="22"/>
        <v>-1.1600000000000819</v>
      </c>
      <c r="AM36" s="35">
        <f t="shared" si="22"/>
        <v>0</v>
      </c>
      <c r="AN36" s="35">
        <f t="shared" si="22"/>
        <v>0</v>
      </c>
      <c r="AO36" s="35">
        <f t="shared" si="22"/>
        <v>-1.1600000000000819</v>
      </c>
      <c r="AP36" s="35"/>
      <c r="AQ36" s="35">
        <f t="shared" ref="AQ36:AX36" si="23">AQ18-AQ17</f>
        <v>-48.439999999944121</v>
      </c>
      <c r="AR36" s="35">
        <f t="shared" si="23"/>
        <v>-0.13999999999941792</v>
      </c>
      <c r="AS36" s="35">
        <f t="shared" si="23"/>
        <v>27.840000000000146</v>
      </c>
      <c r="AT36" s="35">
        <f t="shared" si="23"/>
        <v>-0.5499999999992724</v>
      </c>
      <c r="AU36" s="35">
        <f t="shared" si="23"/>
        <v>0</v>
      </c>
      <c r="AV36" s="35">
        <f t="shared" si="23"/>
        <v>0</v>
      </c>
      <c r="AW36" s="35">
        <f t="shared" si="23"/>
        <v>-9.900000000197906E-2</v>
      </c>
      <c r="AX36" s="35">
        <f t="shared" si="23"/>
        <v>-13.92000000004191</v>
      </c>
      <c r="AY36" s="35"/>
      <c r="AZ36" s="35"/>
      <c r="BA36" s="35">
        <f t="shared" ref="BA36:BH36" si="24">BA18-BA17</f>
        <v>0</v>
      </c>
      <c r="BB36" s="35">
        <f t="shared" si="24"/>
        <v>0</v>
      </c>
      <c r="BC36" s="35">
        <f t="shared" si="24"/>
        <v>0</v>
      </c>
      <c r="BD36" s="35">
        <f t="shared" si="24"/>
        <v>0</v>
      </c>
      <c r="BE36" s="35">
        <f t="shared" si="24"/>
        <v>-2.3800000000010186</v>
      </c>
      <c r="BF36" s="35">
        <f t="shared" si="24"/>
        <v>-106.43500000001222</v>
      </c>
      <c r="BG36" s="35">
        <f t="shared" si="24"/>
        <v>50.75</v>
      </c>
      <c r="BH36" s="35">
        <f t="shared" si="24"/>
        <v>0</v>
      </c>
      <c r="BI36" s="35"/>
      <c r="BJ36" s="35"/>
      <c r="BK36" s="35"/>
      <c r="BL36" s="35">
        <f>BL18-BL17</f>
        <v>-1.8277833344844439</v>
      </c>
      <c r="BM36" s="35">
        <f>BM18-BM17</f>
        <v>-0.56211218800624962</v>
      </c>
      <c r="BN36" s="35"/>
      <c r="BO36" s="35">
        <f>BO18-BO17</f>
        <v>27806.860000003129</v>
      </c>
      <c r="BP36" s="35">
        <f>BP18-BP17</f>
        <v>-31.704000000056112</v>
      </c>
    </row>
    <row r="37" spans="1:69">
      <c r="F37" s="213">
        <f>AVERAGE(F4:F35)</f>
        <v>1.5029935483870966</v>
      </c>
      <c r="G37" s="213"/>
      <c r="H37" s="213"/>
      <c r="I37" s="213">
        <f>AVERAGE(I4:I35)</f>
        <v>58.5625</v>
      </c>
    </row>
    <row r="38" spans="1:69">
      <c r="B38" s="36" t="s">
        <v>68</v>
      </c>
      <c r="F38" s="414">
        <f>AVERAGE(F4:F35)</f>
        <v>1.5029935483870966</v>
      </c>
      <c r="G38" s="414"/>
      <c r="H38" s="414"/>
    </row>
    <row r="41" spans="1:69">
      <c r="BJ41">
        <f>(BJ31+BK31)/400</f>
        <v>10.937074999999931</v>
      </c>
    </row>
  </sheetData>
  <mergeCells count="11">
    <mergeCell ref="A1:BO1"/>
    <mergeCell ref="I2:K2"/>
    <mergeCell ref="M2:O2"/>
    <mergeCell ref="P2:R2"/>
    <mergeCell ref="T2:V2"/>
    <mergeCell ref="W2:Y2"/>
    <mergeCell ref="AA2:AD2"/>
    <mergeCell ref="AH2:AJ2"/>
    <mergeCell ref="AL2:AN2"/>
    <mergeCell ref="AQ2:AZ2"/>
    <mergeCell ref="BA2:BI2"/>
  </mergeCells>
  <hyperlinks>
    <hyperlink ref="B38" r:id="rId1"/>
  </hyperlinks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2"/>
  <sheetViews>
    <sheetView workbookViewId="0">
      <selection activeCell="E19" sqref="E19"/>
    </sheetView>
  </sheetViews>
  <sheetFormatPr defaultRowHeight="15.75"/>
  <cols>
    <col min="2" max="2" width="9.109375" style="1251" customWidth="1"/>
    <col min="3" max="3" width="7.44140625" style="1251" customWidth="1"/>
    <col min="4" max="4" width="7.5546875" style="1251" customWidth="1"/>
    <col min="5" max="5" width="7.88671875" style="1251" customWidth="1"/>
    <col min="6" max="6" width="10.6640625" style="1251" customWidth="1"/>
  </cols>
  <sheetData>
    <row r="1" spans="1:7" ht="47.25">
      <c r="A1" s="1112"/>
      <c r="B1" s="1325" t="s">
        <v>323</v>
      </c>
      <c r="C1" s="1325" t="s">
        <v>321</v>
      </c>
      <c r="D1" s="1325" t="s">
        <v>322</v>
      </c>
      <c r="E1" s="1325" t="s">
        <v>325</v>
      </c>
      <c r="F1" s="1325" t="s">
        <v>324</v>
      </c>
      <c r="G1" s="1364" t="s">
        <v>343</v>
      </c>
    </row>
    <row r="2" spans="1:7">
      <c r="A2" s="1112">
        <v>1</v>
      </c>
      <c r="B2" s="1326"/>
      <c r="C2" s="1327">
        <v>71</v>
      </c>
      <c r="D2" s="1327">
        <v>20</v>
      </c>
      <c r="E2" s="1327">
        <f>SUM(C2:D2)/202%</f>
        <v>45.049504950495049</v>
      </c>
      <c r="F2" s="1363">
        <v>327</v>
      </c>
      <c r="G2" s="1113">
        <f>C2+D2</f>
        <v>91</v>
      </c>
    </row>
    <row r="3" spans="1:7">
      <c r="A3" s="1112">
        <v>2</v>
      </c>
      <c r="B3" s="1326"/>
      <c r="C3" s="1327">
        <v>98</v>
      </c>
      <c r="D3" s="1327">
        <v>22</v>
      </c>
      <c r="E3" s="1327">
        <f t="shared" ref="E3:E5" si="0">SUM(C3:D3)/202%</f>
        <v>59.405940594059409</v>
      </c>
      <c r="F3" s="1363">
        <v>310</v>
      </c>
      <c r="G3" s="1113">
        <f t="shared" ref="G3:G30" si="1">C3+D3</f>
        <v>120</v>
      </c>
    </row>
    <row r="4" spans="1:7">
      <c r="A4" s="1112">
        <v>3</v>
      </c>
      <c r="B4" s="1326"/>
      <c r="C4" s="1327">
        <v>92</v>
      </c>
      <c r="D4" s="1327">
        <v>20</v>
      </c>
      <c r="E4" s="1327">
        <f t="shared" si="0"/>
        <v>55.445544554455445</v>
      </c>
      <c r="F4" s="1363">
        <v>386</v>
      </c>
      <c r="G4" s="1113">
        <f t="shared" si="1"/>
        <v>112</v>
      </c>
    </row>
    <row r="5" spans="1:7">
      <c r="A5" s="1112">
        <v>4</v>
      </c>
      <c r="B5" s="1326"/>
      <c r="C5" s="1327">
        <v>92</v>
      </c>
      <c r="D5" s="1327">
        <v>20</v>
      </c>
      <c r="E5" s="1327">
        <f t="shared" si="0"/>
        <v>55.445544554455445</v>
      </c>
      <c r="F5" s="1363">
        <v>558</v>
      </c>
      <c r="G5" s="1113">
        <f t="shared" si="1"/>
        <v>112</v>
      </c>
    </row>
    <row r="6" spans="1:7">
      <c r="A6" s="1112">
        <v>5</v>
      </c>
      <c r="B6" s="1326"/>
      <c r="C6" s="1327">
        <v>85</v>
      </c>
      <c r="D6" s="1327">
        <v>20</v>
      </c>
      <c r="E6" s="1327">
        <f t="shared" ref="E6:E30" si="2">SUM(C6:D6)/202%</f>
        <v>51.980198019801982</v>
      </c>
      <c r="F6" s="1363">
        <v>416</v>
      </c>
      <c r="G6" s="1113">
        <f t="shared" si="1"/>
        <v>105</v>
      </c>
    </row>
    <row r="7" spans="1:7">
      <c r="A7" s="1112">
        <v>6</v>
      </c>
      <c r="B7" s="1326"/>
      <c r="C7" s="1327">
        <v>133</v>
      </c>
      <c r="D7" s="1327">
        <v>17</v>
      </c>
      <c r="E7" s="1327">
        <f t="shared" si="2"/>
        <v>74.257425742574256</v>
      </c>
      <c r="F7" s="1363">
        <v>582</v>
      </c>
      <c r="G7" s="1113">
        <f t="shared" si="1"/>
        <v>150</v>
      </c>
    </row>
    <row r="8" spans="1:7">
      <c r="A8" s="1112">
        <v>7</v>
      </c>
      <c r="B8" s="1326"/>
      <c r="C8" s="1327">
        <v>90</v>
      </c>
      <c r="D8" s="1327">
        <v>17</v>
      </c>
      <c r="E8" s="1327">
        <f t="shared" si="2"/>
        <v>52.970297029702969</v>
      </c>
      <c r="F8" s="1363">
        <v>437</v>
      </c>
      <c r="G8" s="1113">
        <f t="shared" si="1"/>
        <v>107</v>
      </c>
    </row>
    <row r="9" spans="1:7">
      <c r="A9" s="1112">
        <v>8</v>
      </c>
      <c r="B9" s="1326"/>
      <c r="C9" s="1327">
        <v>102</v>
      </c>
      <c r="D9" s="1327">
        <v>18</v>
      </c>
      <c r="E9" s="1327">
        <f t="shared" si="2"/>
        <v>59.405940594059409</v>
      </c>
      <c r="F9" s="1363">
        <v>355</v>
      </c>
      <c r="G9" s="1113">
        <f t="shared" si="1"/>
        <v>120</v>
      </c>
    </row>
    <row r="10" spans="1:7">
      <c r="A10" s="1112">
        <v>9</v>
      </c>
      <c r="B10" s="1326"/>
      <c r="C10" s="1327">
        <v>108</v>
      </c>
      <c r="D10" s="1327">
        <v>17</v>
      </c>
      <c r="E10" s="1327">
        <f t="shared" si="2"/>
        <v>61.881188118811878</v>
      </c>
      <c r="F10" s="1363">
        <v>382</v>
      </c>
      <c r="G10" s="1113">
        <f t="shared" si="1"/>
        <v>125</v>
      </c>
    </row>
    <row r="11" spans="1:7">
      <c r="A11" s="1112">
        <v>10</v>
      </c>
      <c r="B11" s="1326"/>
      <c r="C11" s="1327">
        <v>127</v>
      </c>
      <c r="D11" s="1327">
        <v>15</v>
      </c>
      <c r="E11" s="1327">
        <f t="shared" si="2"/>
        <v>70.297029702970292</v>
      </c>
      <c r="F11" s="1363">
        <v>434</v>
      </c>
      <c r="G11" s="1113">
        <f t="shared" si="1"/>
        <v>142</v>
      </c>
    </row>
    <row r="12" spans="1:7">
      <c r="A12" s="1112">
        <v>11</v>
      </c>
      <c r="B12" s="1326"/>
      <c r="C12" s="1327">
        <v>114</v>
      </c>
      <c r="D12" s="1327">
        <v>8</v>
      </c>
      <c r="E12" s="1327">
        <f t="shared" si="2"/>
        <v>60.396039603960396</v>
      </c>
      <c r="F12" s="1363">
        <v>309</v>
      </c>
      <c r="G12" s="1113">
        <f t="shared" si="1"/>
        <v>122</v>
      </c>
    </row>
    <row r="13" spans="1:7">
      <c r="A13" s="1112">
        <v>12</v>
      </c>
      <c r="B13" s="1326"/>
      <c r="C13" s="1327">
        <v>129</v>
      </c>
      <c r="D13" s="1327">
        <v>2</v>
      </c>
      <c r="E13" s="1327">
        <f t="shared" si="2"/>
        <v>64.851485148514854</v>
      </c>
      <c r="F13" s="1327">
        <v>505</v>
      </c>
      <c r="G13" s="1113">
        <f t="shared" si="1"/>
        <v>131</v>
      </c>
    </row>
    <row r="14" spans="1:7">
      <c r="A14" s="1112">
        <v>13</v>
      </c>
      <c r="B14" s="1326"/>
      <c r="C14" s="1327">
        <v>195</v>
      </c>
      <c r="D14" s="1327">
        <v>0</v>
      </c>
      <c r="E14" s="1327">
        <f t="shared" si="2"/>
        <v>96.534653465346537</v>
      </c>
      <c r="F14" s="1327">
        <v>581</v>
      </c>
      <c r="G14" s="1113">
        <f t="shared" si="1"/>
        <v>195</v>
      </c>
    </row>
    <row r="15" spans="1:7">
      <c r="A15" s="1112">
        <v>14</v>
      </c>
      <c r="B15" s="1326"/>
      <c r="C15" s="1327">
        <v>192</v>
      </c>
      <c r="D15" s="1327">
        <v>0</v>
      </c>
      <c r="E15" s="1327">
        <f t="shared" si="2"/>
        <v>95.049504950495049</v>
      </c>
      <c r="F15" s="1327">
        <v>1020</v>
      </c>
      <c r="G15" s="1113">
        <f t="shared" si="1"/>
        <v>192</v>
      </c>
    </row>
    <row r="16" spans="1:7">
      <c r="A16" s="1112">
        <v>15</v>
      </c>
      <c r="B16" s="1326"/>
      <c r="C16" s="1327">
        <v>124</v>
      </c>
      <c r="D16" s="1327">
        <v>2</v>
      </c>
      <c r="E16" s="1327">
        <f t="shared" si="2"/>
        <v>62.376237623762378</v>
      </c>
      <c r="F16" s="1327">
        <v>916</v>
      </c>
      <c r="G16" s="1113">
        <f t="shared" si="1"/>
        <v>126</v>
      </c>
    </row>
    <row r="17" spans="1:7">
      <c r="A17" s="1112">
        <v>16</v>
      </c>
      <c r="B17" s="1326"/>
      <c r="C17" s="1327">
        <v>118</v>
      </c>
      <c r="D17" s="1327">
        <v>2</v>
      </c>
      <c r="E17" s="1327">
        <f t="shared" si="2"/>
        <v>59.405940594059409</v>
      </c>
      <c r="F17" s="1327">
        <v>797</v>
      </c>
      <c r="G17" s="1113">
        <f t="shared" si="1"/>
        <v>120</v>
      </c>
    </row>
    <row r="18" spans="1:7">
      <c r="A18" s="1112">
        <v>17</v>
      </c>
      <c r="B18" s="1326"/>
      <c r="C18" s="1327">
        <v>89</v>
      </c>
      <c r="D18" s="1327">
        <v>2</v>
      </c>
      <c r="E18" s="1327">
        <f t="shared" si="2"/>
        <v>45.049504950495049</v>
      </c>
      <c r="F18" s="1327">
        <v>395</v>
      </c>
      <c r="G18" s="1113">
        <f t="shared" si="1"/>
        <v>91</v>
      </c>
    </row>
    <row r="19" spans="1:7">
      <c r="A19" s="1112">
        <v>18</v>
      </c>
      <c r="B19" s="1326"/>
      <c r="C19" s="1251">
        <v>91</v>
      </c>
      <c r="D19" s="1251">
        <v>0</v>
      </c>
      <c r="E19" s="1327">
        <f t="shared" si="2"/>
        <v>45.049504950495049</v>
      </c>
      <c r="F19" s="1251">
        <v>404</v>
      </c>
      <c r="G19" s="1113">
        <f t="shared" si="1"/>
        <v>91</v>
      </c>
    </row>
    <row r="20" spans="1:7">
      <c r="A20" s="1112">
        <v>19</v>
      </c>
      <c r="B20" s="1326"/>
      <c r="C20" s="1327"/>
      <c r="D20" s="1327"/>
      <c r="E20" s="1327">
        <f t="shared" si="2"/>
        <v>0</v>
      </c>
      <c r="F20" s="1327">
        <v>283</v>
      </c>
      <c r="G20" s="1113">
        <f t="shared" si="1"/>
        <v>0</v>
      </c>
    </row>
    <row r="21" spans="1:7">
      <c r="A21" s="1112">
        <v>20</v>
      </c>
      <c r="B21" s="1326"/>
      <c r="C21" s="1327"/>
      <c r="D21" s="1327"/>
      <c r="E21" s="1327">
        <f t="shared" si="2"/>
        <v>0</v>
      </c>
      <c r="F21" s="1327">
        <v>333</v>
      </c>
      <c r="G21" s="1113">
        <f t="shared" si="1"/>
        <v>0</v>
      </c>
    </row>
    <row r="22" spans="1:7">
      <c r="A22" s="1112">
        <v>21</v>
      </c>
      <c r="B22" s="1326"/>
      <c r="C22" s="1327"/>
      <c r="D22" s="1327"/>
      <c r="E22" s="1327">
        <f t="shared" si="2"/>
        <v>0</v>
      </c>
      <c r="F22" s="1327">
        <v>324</v>
      </c>
      <c r="G22" s="1113">
        <f t="shared" si="1"/>
        <v>0</v>
      </c>
    </row>
    <row r="23" spans="1:7">
      <c r="A23" s="1112">
        <v>22</v>
      </c>
      <c r="B23" s="1326"/>
      <c r="C23" s="1327"/>
      <c r="D23" s="1327"/>
      <c r="E23" s="1327">
        <f t="shared" si="2"/>
        <v>0</v>
      </c>
      <c r="F23" s="1327">
        <v>381</v>
      </c>
      <c r="G23" s="1113">
        <f t="shared" si="1"/>
        <v>0</v>
      </c>
    </row>
    <row r="24" spans="1:7">
      <c r="A24" s="1112">
        <v>23</v>
      </c>
      <c r="B24" s="1326"/>
      <c r="C24" s="1327"/>
      <c r="D24" s="1327"/>
      <c r="E24" s="1327">
        <f t="shared" si="2"/>
        <v>0</v>
      </c>
      <c r="F24" s="1327">
        <v>592</v>
      </c>
      <c r="G24" s="1113">
        <f t="shared" si="1"/>
        <v>0</v>
      </c>
    </row>
    <row r="25" spans="1:7">
      <c r="A25" s="1112">
        <v>24</v>
      </c>
      <c r="B25" s="1326"/>
      <c r="C25" s="1327"/>
      <c r="D25" s="1327"/>
      <c r="E25" s="1327">
        <f t="shared" si="2"/>
        <v>0</v>
      </c>
      <c r="F25" s="1327">
        <v>412</v>
      </c>
      <c r="G25" s="1113">
        <f t="shared" si="1"/>
        <v>0</v>
      </c>
    </row>
    <row r="26" spans="1:7">
      <c r="A26" s="1112">
        <v>25</v>
      </c>
      <c r="B26" s="1326"/>
      <c r="C26" s="1327"/>
      <c r="D26" s="1327"/>
      <c r="E26" s="1327">
        <f t="shared" si="2"/>
        <v>0</v>
      </c>
      <c r="F26" s="1327">
        <v>524</v>
      </c>
      <c r="G26" s="1113">
        <f t="shared" si="1"/>
        <v>0</v>
      </c>
    </row>
    <row r="27" spans="1:7">
      <c r="A27" s="1112">
        <v>26</v>
      </c>
      <c r="B27" s="1326"/>
      <c r="C27" s="1327"/>
      <c r="D27" s="1327"/>
      <c r="E27" s="1327">
        <f t="shared" si="2"/>
        <v>0</v>
      </c>
      <c r="F27" s="1327">
        <v>354</v>
      </c>
      <c r="G27" s="1113">
        <f t="shared" si="1"/>
        <v>0</v>
      </c>
    </row>
    <row r="28" spans="1:7">
      <c r="A28" s="1112">
        <v>27</v>
      </c>
      <c r="B28" s="1326"/>
      <c r="C28" s="1327"/>
      <c r="D28" s="1327"/>
      <c r="E28" s="1327">
        <f t="shared" si="2"/>
        <v>0</v>
      </c>
      <c r="F28" s="1327">
        <v>249</v>
      </c>
      <c r="G28" s="1113">
        <f t="shared" si="1"/>
        <v>0</v>
      </c>
    </row>
    <row r="29" spans="1:7">
      <c r="A29" s="1112">
        <v>28</v>
      </c>
      <c r="B29" s="1326"/>
      <c r="C29" s="1327"/>
      <c r="D29" s="1327"/>
      <c r="E29" s="1327">
        <f t="shared" si="2"/>
        <v>0</v>
      </c>
      <c r="F29" s="1327">
        <v>325</v>
      </c>
      <c r="G29" s="1113">
        <f t="shared" si="1"/>
        <v>0</v>
      </c>
    </row>
    <row r="30" spans="1:7">
      <c r="A30" s="1112">
        <v>29</v>
      </c>
      <c r="B30" s="1326"/>
      <c r="C30" s="1327"/>
      <c r="D30" s="1327"/>
      <c r="E30" s="1327">
        <f t="shared" si="2"/>
        <v>0</v>
      </c>
      <c r="F30" s="1327">
        <v>423</v>
      </c>
      <c r="G30" s="1113">
        <f t="shared" si="1"/>
        <v>0</v>
      </c>
    </row>
    <row r="31" spans="1:7">
      <c r="A31" s="1112">
        <v>30</v>
      </c>
      <c r="B31" s="1327"/>
      <c r="C31" s="1327"/>
      <c r="D31" s="1327"/>
      <c r="E31" s="1327"/>
      <c r="F31" s="1327"/>
      <c r="G31" s="1112"/>
    </row>
    <row r="32" spans="1:7">
      <c r="A32" s="1112">
        <v>31</v>
      </c>
      <c r="B32" s="1327"/>
      <c r="C32" s="1327"/>
      <c r="D32" s="1327"/>
      <c r="E32" s="1327"/>
      <c r="F32" s="1327"/>
      <c r="G32" s="1112"/>
    </row>
  </sheetData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B3:AI30"/>
  <sheetViews>
    <sheetView zoomScale="90" zoomScaleNormal="90" workbookViewId="0">
      <selection activeCell="Q28" sqref="Q28"/>
    </sheetView>
  </sheetViews>
  <sheetFormatPr defaultRowHeight="15.75"/>
  <cols>
    <col min="2" max="2" width="16.44140625" style="527" customWidth="1"/>
    <col min="3" max="3" width="18.6640625" customWidth="1"/>
    <col min="4" max="4" width="5.88671875" customWidth="1"/>
    <col min="5" max="7" width="5.33203125" customWidth="1"/>
    <col min="8" max="8" width="6.44140625" customWidth="1"/>
    <col min="9" max="12" width="5.33203125" customWidth="1"/>
    <col min="13" max="14" width="4.44140625" customWidth="1"/>
    <col min="15" max="15" width="5.77734375" customWidth="1"/>
    <col min="16" max="16" width="5.44140625" customWidth="1"/>
    <col min="17" max="17" width="5.5546875" bestFit="1" customWidth="1"/>
    <col min="18" max="18" width="11" bestFit="1" customWidth="1"/>
    <col min="19" max="27" width="4.44140625" customWidth="1"/>
    <col min="28" max="28" width="5.77734375" customWidth="1"/>
    <col min="29" max="34" width="4.44140625" customWidth="1"/>
  </cols>
  <sheetData>
    <row r="3" spans="2:35" s="37" customFormat="1">
      <c r="B3" s="1156"/>
      <c r="C3" s="1157" t="s">
        <v>0</v>
      </c>
      <c r="D3" s="1114">
        <v>1</v>
      </c>
      <c r="E3" s="1114">
        <v>2</v>
      </c>
      <c r="F3" s="1114">
        <v>3</v>
      </c>
      <c r="G3" s="1114">
        <v>4</v>
      </c>
      <c r="H3" s="1114">
        <v>5</v>
      </c>
      <c r="I3" s="1114">
        <v>6</v>
      </c>
      <c r="J3" s="1114">
        <v>7</v>
      </c>
      <c r="K3" s="1114">
        <v>8</v>
      </c>
      <c r="L3" s="1114">
        <v>9</v>
      </c>
      <c r="M3" s="1114">
        <v>10</v>
      </c>
      <c r="N3" s="1114">
        <v>11</v>
      </c>
      <c r="O3" s="1114">
        <v>12</v>
      </c>
      <c r="P3" s="1114">
        <v>13</v>
      </c>
      <c r="Q3" s="1114">
        <v>14</v>
      </c>
      <c r="R3" s="1157">
        <v>15</v>
      </c>
      <c r="S3" s="1157">
        <v>16</v>
      </c>
      <c r="T3" s="1157">
        <v>17</v>
      </c>
      <c r="U3" s="1157">
        <v>18</v>
      </c>
      <c r="V3" s="1157">
        <v>19</v>
      </c>
      <c r="W3" s="1157">
        <v>20</v>
      </c>
      <c r="X3" s="1157">
        <v>21</v>
      </c>
      <c r="Y3" s="1157">
        <v>22</v>
      </c>
      <c r="Z3" s="1157">
        <v>23</v>
      </c>
      <c r="AA3" s="1157">
        <v>24</v>
      </c>
      <c r="AB3" s="1157">
        <v>25</v>
      </c>
      <c r="AC3" s="1157">
        <v>26</v>
      </c>
      <c r="AD3" s="1157">
        <v>27</v>
      </c>
      <c r="AE3" s="1157">
        <v>28</v>
      </c>
      <c r="AF3" s="1157">
        <v>29</v>
      </c>
      <c r="AG3" s="1157">
        <v>30</v>
      </c>
      <c r="AH3" s="1157">
        <v>31</v>
      </c>
      <c r="AI3" s="1157"/>
    </row>
    <row r="4" spans="2:35">
      <c r="B4" s="528"/>
      <c r="C4" s="524" t="s">
        <v>69</v>
      </c>
      <c r="D4" s="525">
        <f>'[2]1'!F3</f>
        <v>0.5</v>
      </c>
      <c r="E4" s="525">
        <f>'[2]2'!F3</f>
        <v>0.1</v>
      </c>
      <c r="F4" s="525">
        <f>'[2]3'!F3</f>
        <v>0.5</v>
      </c>
      <c r="G4" s="525"/>
      <c r="H4" s="525"/>
      <c r="I4" s="525"/>
      <c r="J4" s="525"/>
      <c r="K4" s="525"/>
      <c r="L4" s="525"/>
      <c r="M4" s="525"/>
      <c r="N4" s="525"/>
      <c r="O4" s="525"/>
      <c r="P4" s="525"/>
      <c r="Q4" s="525"/>
      <c r="R4" s="525"/>
      <c r="S4" s="525"/>
      <c r="T4" s="525"/>
      <c r="U4" s="525"/>
      <c r="V4" s="525"/>
      <c r="W4" s="525"/>
      <c r="X4" s="525"/>
      <c r="Y4" s="525"/>
      <c r="Z4" s="525"/>
      <c r="AA4" s="525"/>
      <c r="AB4" s="525"/>
      <c r="AC4" s="525"/>
      <c r="AD4" s="525"/>
      <c r="AE4" s="525"/>
      <c r="AF4" s="525"/>
      <c r="AG4" s="525"/>
      <c r="AH4" s="525"/>
      <c r="AI4" s="524"/>
    </row>
    <row r="5" spans="2:35">
      <c r="B5" s="528"/>
      <c r="C5" s="524" t="s">
        <v>70</v>
      </c>
      <c r="D5" s="526">
        <f>'1'!G18</f>
        <v>120</v>
      </c>
      <c r="E5" s="526">
        <f>'2'!G18</f>
        <v>120</v>
      </c>
      <c r="F5" s="526">
        <f>'3'!G18</f>
        <v>110</v>
      </c>
      <c r="G5" s="526">
        <f>'4'!G18</f>
        <v>100</v>
      </c>
      <c r="H5" s="526">
        <f>'5'!G18</f>
        <v>140</v>
      </c>
      <c r="I5" s="526">
        <f>'6'!G18</f>
        <v>220</v>
      </c>
      <c r="J5" s="526">
        <f>'7'!G18</f>
        <v>160</v>
      </c>
      <c r="K5" s="526">
        <f>'8'!G18</f>
        <v>160</v>
      </c>
      <c r="L5" s="526">
        <f>'9'!G18</f>
        <v>140</v>
      </c>
      <c r="M5" s="526">
        <f>'10'!G18</f>
        <v>200</v>
      </c>
      <c r="N5" s="526">
        <f>'11'!G18</f>
        <v>160</v>
      </c>
      <c r="O5" s="526">
        <f>'12'!G18</f>
        <v>160</v>
      </c>
      <c r="P5" s="526">
        <f>'13'!G18</f>
        <v>220</v>
      </c>
      <c r="Q5" s="526">
        <f>'14'!G18</f>
        <v>190</v>
      </c>
      <c r="R5" s="526">
        <f>'15'!G18</f>
        <v>320</v>
      </c>
      <c r="S5" s="526">
        <f>'16'!G18</f>
        <v>200</v>
      </c>
      <c r="T5" s="526">
        <f>'17'!G18</f>
        <v>140</v>
      </c>
      <c r="U5" s="526">
        <f>'18'!G18</f>
        <v>120</v>
      </c>
      <c r="V5" s="526">
        <f>'19'!G18</f>
        <v>140</v>
      </c>
      <c r="W5" s="526">
        <f>'20'!G18</f>
        <v>140</v>
      </c>
      <c r="X5" s="526">
        <f>'21'!G18</f>
        <v>130</v>
      </c>
      <c r="Y5" s="526">
        <f>'22'!G18</f>
        <v>120</v>
      </c>
      <c r="Z5" s="526">
        <f>'23'!G18</f>
        <v>160</v>
      </c>
      <c r="AA5" s="526">
        <f>'24'!G18</f>
        <v>140</v>
      </c>
      <c r="AB5" s="526">
        <f>'25'!G18</f>
        <v>130</v>
      </c>
      <c r="AC5" s="526">
        <f>'26'!G18</f>
        <v>140</v>
      </c>
      <c r="AD5" s="526">
        <f>'27'!G18</f>
        <v>120</v>
      </c>
      <c r="AE5" s="526">
        <f>'28'!G18</f>
        <v>120</v>
      </c>
      <c r="AF5" s="526">
        <f>'29'!G18</f>
        <v>100</v>
      </c>
      <c r="AG5" s="526">
        <f>'30'!G18</f>
        <v>120</v>
      </c>
      <c r="AH5" s="526">
        <f>'31'!G18</f>
        <v>120</v>
      </c>
      <c r="AI5" s="524"/>
    </row>
    <row r="6" spans="2:35">
      <c r="B6" s="528"/>
      <c r="C6" s="524" t="s">
        <v>71</v>
      </c>
      <c r="D6" s="526">
        <f>'1'!G19</f>
        <v>51</v>
      </c>
      <c r="E6" s="526">
        <f>'2'!G19</f>
        <v>51</v>
      </c>
      <c r="F6" s="526">
        <f>'3'!G19</f>
        <v>51</v>
      </c>
      <c r="G6" s="526">
        <f>'4'!G19</f>
        <v>50</v>
      </c>
      <c r="H6" s="526">
        <f>'5'!G19</f>
        <v>41</v>
      </c>
      <c r="I6" s="526">
        <f>'6'!G19</f>
        <v>51</v>
      </c>
      <c r="J6" s="526">
        <f>'7'!G19</f>
        <v>52</v>
      </c>
      <c r="K6" s="526">
        <f>'8'!G19</f>
        <v>51</v>
      </c>
      <c r="L6" s="526">
        <f>'9'!G19</f>
        <v>52</v>
      </c>
      <c r="M6" s="526">
        <f>'10'!G19</f>
        <v>50</v>
      </c>
      <c r="N6" s="526">
        <f>'11'!G19</f>
        <v>51</v>
      </c>
      <c r="O6" s="526">
        <f>'12'!G19</f>
        <v>51</v>
      </c>
      <c r="P6" s="526">
        <f>'13'!G19</f>
        <v>52</v>
      </c>
      <c r="Q6" s="526">
        <f>'14'!G19</f>
        <v>51</v>
      </c>
      <c r="R6" s="526">
        <f>'15'!G19</f>
        <v>52</v>
      </c>
      <c r="S6" s="526">
        <f>'16'!G19</f>
        <v>50</v>
      </c>
      <c r="T6" s="526">
        <f>'17'!G19</f>
        <v>51</v>
      </c>
      <c r="U6" s="526">
        <f>'18'!G19</f>
        <v>47</v>
      </c>
      <c r="V6" s="526">
        <f>'19'!G19</f>
        <v>50</v>
      </c>
      <c r="W6" s="526">
        <f>'20'!G19</f>
        <v>-1519</v>
      </c>
      <c r="X6" s="526">
        <f>'21'!G19</f>
        <v>49</v>
      </c>
      <c r="Y6" s="526">
        <f>'22'!G19</f>
        <v>57</v>
      </c>
      <c r="Z6" s="526">
        <f>'23'!G19</f>
        <v>43</v>
      </c>
      <c r="AA6" s="526">
        <f>'24'!G19</f>
        <v>50</v>
      </c>
      <c r="AB6" s="526">
        <f>'25'!G19</f>
        <v>53</v>
      </c>
      <c r="AC6" s="526">
        <f>'26'!G19</f>
        <v>49</v>
      </c>
      <c r="AD6" s="526">
        <f>'27'!G19</f>
        <v>54</v>
      </c>
      <c r="AE6" s="526">
        <f>'28'!G19</f>
        <v>53</v>
      </c>
      <c r="AF6" s="526">
        <f>'29'!G19</f>
        <v>51</v>
      </c>
      <c r="AG6" s="526">
        <f>'30'!G19</f>
        <v>51</v>
      </c>
      <c r="AH6" s="526">
        <f>'31'!G19</f>
        <v>54</v>
      </c>
      <c r="AI6" s="524"/>
    </row>
    <row r="7" spans="2:35">
      <c r="B7" s="528"/>
      <c r="C7" s="524" t="s">
        <v>72</v>
      </c>
      <c r="D7" s="526">
        <f>'1'!G92</f>
        <v>87</v>
      </c>
      <c r="E7" s="526">
        <f>'2'!G92</f>
        <v>75</v>
      </c>
      <c r="F7" s="526">
        <f>'3'!G92</f>
        <v>88</v>
      </c>
      <c r="G7" s="526">
        <f>'4'!G92</f>
        <v>102</v>
      </c>
      <c r="H7" s="526">
        <f>'5'!G92</f>
        <v>110</v>
      </c>
      <c r="I7" s="526">
        <f>'6'!G92</f>
        <v>89</v>
      </c>
      <c r="J7" s="526">
        <f>'7'!G92</f>
        <v>104</v>
      </c>
      <c r="K7" s="526">
        <f>'8'!G92</f>
        <v>95</v>
      </c>
      <c r="L7" s="526">
        <f>'9'!G92</f>
        <v>104</v>
      </c>
      <c r="M7" s="526">
        <f>'10'!G92</f>
        <v>137</v>
      </c>
      <c r="N7" s="526">
        <f>'11'!G92</f>
        <v>101</v>
      </c>
      <c r="O7" s="526">
        <f>'12'!G92</f>
        <v>129</v>
      </c>
      <c r="P7" s="526">
        <f>'13'!G92</f>
        <v>149</v>
      </c>
      <c r="Q7" s="526">
        <f>'14'!G92</f>
        <v>166</v>
      </c>
      <c r="R7" s="526">
        <f>'15'!G92</f>
        <v>192</v>
      </c>
      <c r="S7" s="526">
        <f>'16'!G92</f>
        <v>132</v>
      </c>
      <c r="T7" s="526">
        <f>'17'!G92</f>
        <v>84</v>
      </c>
      <c r="U7" s="526">
        <f>'18'!G92</f>
        <v>81</v>
      </c>
      <c r="V7" s="526">
        <f>'19'!G92</f>
        <v>95</v>
      </c>
      <c r="W7" s="526">
        <f>'20'!G92</f>
        <v>-3083</v>
      </c>
      <c r="X7" s="526">
        <f>'21'!G92</f>
        <v>85</v>
      </c>
      <c r="Y7" s="526">
        <f>'22'!G92</f>
        <v>87</v>
      </c>
      <c r="Z7" s="526">
        <f>'23'!G92</f>
        <v>103</v>
      </c>
      <c r="AA7" s="526">
        <f>'24'!G92</f>
        <v>103</v>
      </c>
      <c r="AB7" s="526">
        <f>'25'!G92</f>
        <v>96</v>
      </c>
      <c r="AC7" s="526">
        <f>'26'!G92</f>
        <v>108</v>
      </c>
      <c r="AD7" s="526">
        <f>'27'!G92</f>
        <v>90</v>
      </c>
      <c r="AE7" s="526">
        <f>'28'!G92</f>
        <v>57</v>
      </c>
      <c r="AF7" s="526">
        <f>'29'!G92</f>
        <v>69</v>
      </c>
      <c r="AG7" s="526">
        <f>'30'!G92</f>
        <v>74</v>
      </c>
      <c r="AH7" s="526">
        <f>'31'!G92</f>
        <v>91</v>
      </c>
      <c r="AI7" s="524"/>
    </row>
    <row r="8" spans="2:35">
      <c r="B8" s="1377" t="s">
        <v>73</v>
      </c>
      <c r="C8" s="524" t="s">
        <v>33</v>
      </c>
      <c r="D8" s="526">
        <f>'1'!G95</f>
        <v>72</v>
      </c>
      <c r="E8" s="526">
        <f>'2'!G95</f>
        <v>70</v>
      </c>
      <c r="F8" s="526">
        <f>'3'!G95</f>
        <v>64</v>
      </c>
      <c r="G8" s="526">
        <f>'4'!G95</f>
        <v>78</v>
      </c>
      <c r="H8" s="526">
        <f>'5'!G95</f>
        <v>55</v>
      </c>
      <c r="I8" s="526">
        <f>'6'!G95</f>
        <v>61</v>
      </c>
      <c r="J8" s="526">
        <f>'7'!G95</f>
        <v>57</v>
      </c>
      <c r="K8" s="526">
        <f>'8'!G95</f>
        <v>71</v>
      </c>
      <c r="L8" s="526">
        <f>'9'!G95</f>
        <v>62</v>
      </c>
      <c r="M8" s="526">
        <f>'10'!G95</f>
        <v>77</v>
      </c>
      <c r="N8" s="526">
        <f>'11'!G95</f>
        <v>71</v>
      </c>
      <c r="O8" s="526">
        <f>'12'!G95</f>
        <v>86</v>
      </c>
      <c r="P8" s="526">
        <f>'13'!G95</f>
        <v>88</v>
      </c>
      <c r="Q8" s="526">
        <f>'14'!G95</f>
        <v>121</v>
      </c>
      <c r="R8" s="526">
        <f>'15'!G95</f>
        <v>131</v>
      </c>
      <c r="S8" s="526">
        <f>'16'!G95</f>
        <v>97</v>
      </c>
      <c r="T8" s="526">
        <f>'17'!G95</f>
        <v>72</v>
      </c>
      <c r="U8" s="526">
        <f>'18'!G95</f>
        <v>74</v>
      </c>
      <c r="V8" s="526">
        <f>'19'!G95</f>
        <v>79</v>
      </c>
      <c r="W8" s="526">
        <f>'20'!G95</f>
        <v>-2235</v>
      </c>
      <c r="X8" s="526">
        <f>'21'!G95</f>
        <v>75</v>
      </c>
      <c r="Y8" s="526">
        <f>'22'!G95</f>
        <v>83</v>
      </c>
      <c r="Z8" s="526">
        <f>'23'!G95</f>
        <v>75</v>
      </c>
      <c r="AA8" s="526">
        <f>'24'!G95</f>
        <v>71</v>
      </c>
      <c r="AB8" s="526">
        <f>'25'!G95</f>
        <v>83</v>
      </c>
      <c r="AC8" s="526">
        <f>'26'!G95</f>
        <v>60</v>
      </c>
      <c r="AD8" s="526">
        <f>'27'!G95</f>
        <v>71</v>
      </c>
      <c r="AE8" s="526">
        <f>'28'!G95</f>
        <v>43</v>
      </c>
      <c r="AF8" s="526">
        <f>'29'!G95</f>
        <v>65</v>
      </c>
      <c r="AG8" s="526">
        <f>'30'!G95</f>
        <v>54</v>
      </c>
      <c r="AH8" s="526">
        <f>'31'!G95</f>
        <v>69</v>
      </c>
      <c r="AI8" s="524"/>
    </row>
    <row r="9" spans="2:35">
      <c r="B9" s="1377"/>
      <c r="C9" s="524" t="s">
        <v>34</v>
      </c>
      <c r="D9" s="526">
        <f>'1'!G96</f>
        <v>23</v>
      </c>
      <c r="E9" s="526">
        <f>'2'!G96</f>
        <v>30</v>
      </c>
      <c r="F9" s="526">
        <f>'3'!G96</f>
        <v>36</v>
      </c>
      <c r="G9" s="526">
        <f>'4'!G96</f>
        <v>35</v>
      </c>
      <c r="H9" s="526">
        <f>'5'!G96</f>
        <v>23</v>
      </c>
      <c r="I9" s="526">
        <f>'6'!G96</f>
        <v>34</v>
      </c>
      <c r="J9" s="526">
        <f>'7'!G96</f>
        <v>43</v>
      </c>
      <c r="K9" s="526">
        <f>'8'!G96</f>
        <v>51</v>
      </c>
      <c r="L9" s="526">
        <f>'9'!G96</f>
        <v>40</v>
      </c>
      <c r="M9" s="526">
        <f>'10'!G96</f>
        <v>40</v>
      </c>
      <c r="N9" s="526">
        <f>'11'!G96</f>
        <v>49</v>
      </c>
      <c r="O9" s="526">
        <f>'12'!G96</f>
        <v>38</v>
      </c>
      <c r="P9" s="526">
        <f>'13'!G96</f>
        <v>43</v>
      </c>
      <c r="Q9" s="526">
        <f>'14'!G96</f>
        <v>47</v>
      </c>
      <c r="R9" s="526">
        <f>'15'!G96</f>
        <v>25</v>
      </c>
      <c r="S9" s="526">
        <f>'16'!G96</f>
        <v>18</v>
      </c>
      <c r="T9" s="526">
        <f>'17'!G96</f>
        <v>15</v>
      </c>
      <c r="U9" s="526">
        <f>'18'!G96</f>
        <v>16</v>
      </c>
      <c r="V9" s="526">
        <f>'19'!G96</f>
        <v>9</v>
      </c>
      <c r="W9" s="526">
        <f>'20'!G96</f>
        <v>-871</v>
      </c>
      <c r="X9" s="526">
        <f>'21'!G96</f>
        <v>17</v>
      </c>
      <c r="Y9" s="526">
        <f>'22'!G96</f>
        <v>18</v>
      </c>
      <c r="Z9" s="526">
        <f>'23'!G96</f>
        <v>18</v>
      </c>
      <c r="AA9" s="526">
        <f>'24'!G96</f>
        <v>25</v>
      </c>
      <c r="AB9" s="526">
        <f>'25'!G96</f>
        <v>24</v>
      </c>
      <c r="AC9" s="526">
        <f>'26'!G96</f>
        <v>19</v>
      </c>
      <c r="AD9" s="526">
        <f>'27'!G96</f>
        <v>15</v>
      </c>
      <c r="AE9" s="526">
        <f>'28'!G96</f>
        <v>23</v>
      </c>
      <c r="AF9" s="526">
        <f>'29'!G96</f>
        <v>33</v>
      </c>
      <c r="AG9" s="526">
        <f>'30'!G96</f>
        <v>38</v>
      </c>
      <c r="AH9" s="526">
        <f>'31'!G96</f>
        <v>26</v>
      </c>
      <c r="AI9" s="524"/>
    </row>
    <row r="10" spans="2:35">
      <c r="B10" s="1377"/>
      <c r="C10" s="524" t="s">
        <v>35</v>
      </c>
      <c r="D10" s="526">
        <f>'1'!G97</f>
        <v>18</v>
      </c>
      <c r="E10" s="526">
        <f>'2'!G97</f>
        <v>16</v>
      </c>
      <c r="F10" s="526">
        <f>'3'!G97</f>
        <v>31</v>
      </c>
      <c r="G10" s="526">
        <f>'4'!G97</f>
        <v>45</v>
      </c>
      <c r="H10" s="526">
        <f>'5'!G97</f>
        <v>40</v>
      </c>
      <c r="I10" s="526">
        <f>'6'!G97</f>
        <v>31</v>
      </c>
      <c r="J10" s="526">
        <f>'7'!G97</f>
        <v>23</v>
      </c>
      <c r="K10" s="526">
        <f>'8'!G97</f>
        <v>20</v>
      </c>
      <c r="L10" s="526">
        <f>'9'!G97</f>
        <v>29</v>
      </c>
      <c r="M10" s="526">
        <f>'10'!G97</f>
        <v>46</v>
      </c>
      <c r="N10" s="526">
        <f>'11'!G97</f>
        <v>23</v>
      </c>
      <c r="O10" s="526">
        <f>'12'!G97</f>
        <v>27</v>
      </c>
      <c r="P10" s="526">
        <f>'13'!G97</f>
        <v>46</v>
      </c>
      <c r="Q10" s="526">
        <f>'14'!G97</f>
        <v>46</v>
      </c>
      <c r="R10" s="526">
        <f>'15'!G97</f>
        <v>35</v>
      </c>
      <c r="S10" s="526">
        <f>'16'!G97</f>
        <v>24</v>
      </c>
      <c r="T10" s="526">
        <f>'17'!G97</f>
        <v>20</v>
      </c>
      <c r="U10" s="526">
        <f>'18'!G97</f>
        <v>17</v>
      </c>
      <c r="V10" s="526">
        <f>'19'!G97</f>
        <v>24</v>
      </c>
      <c r="W10" s="526">
        <f>'20'!G97</f>
        <v>-801</v>
      </c>
      <c r="X10" s="526">
        <f>'21'!G97</f>
        <v>16</v>
      </c>
      <c r="Y10" s="526">
        <f>'22'!G97</f>
        <v>20</v>
      </c>
      <c r="Z10" s="526">
        <f>'23'!G97</f>
        <v>26</v>
      </c>
      <c r="AA10" s="526">
        <f>'24'!G97</f>
        <v>33</v>
      </c>
      <c r="AB10" s="526">
        <f>'25'!G97</f>
        <v>25</v>
      </c>
      <c r="AC10" s="526">
        <f>'26'!G97</f>
        <v>25</v>
      </c>
      <c r="AD10" s="526">
        <f>'27'!G97</f>
        <v>13</v>
      </c>
      <c r="AE10" s="526">
        <f>'28'!G97</f>
        <v>11</v>
      </c>
      <c r="AF10" s="526">
        <f>'29'!G97</f>
        <v>19</v>
      </c>
      <c r="AG10" s="526">
        <f>'30'!G97</f>
        <v>23</v>
      </c>
      <c r="AH10" s="526">
        <f>'31'!G97</f>
        <v>29</v>
      </c>
      <c r="AI10" s="524"/>
    </row>
    <row r="11" spans="2:35">
      <c r="B11" s="528"/>
      <c r="C11" s="524"/>
      <c r="D11" s="524"/>
      <c r="E11" s="524"/>
      <c r="F11" s="524"/>
      <c r="G11" s="524"/>
      <c r="H11" s="524"/>
      <c r="I11" s="524"/>
      <c r="J11" s="524"/>
      <c r="K11" s="524"/>
      <c r="L11" s="524"/>
      <c r="M11" s="524"/>
      <c r="N11" s="524"/>
      <c r="O11" s="524"/>
      <c r="P11" s="524"/>
      <c r="Q11" s="524"/>
      <c r="R11" s="524"/>
      <c r="S11" s="524"/>
      <c r="T11" s="524"/>
      <c r="U11" s="524"/>
      <c r="V11" s="524"/>
      <c r="W11" s="524"/>
      <c r="X11" s="524"/>
      <c r="Y11" s="524"/>
      <c r="Z11" s="524"/>
      <c r="AA11" s="524"/>
      <c r="AB11" s="524"/>
      <c r="AC11" s="524"/>
      <c r="AD11" s="524"/>
      <c r="AE11" s="524"/>
      <c r="AF11" s="524"/>
      <c r="AG11" s="524"/>
      <c r="AH11" s="524"/>
      <c r="AI11" s="524"/>
    </row>
    <row r="12" spans="2:35">
      <c r="B12" s="1377" t="s">
        <v>74</v>
      </c>
      <c r="C12" s="524" t="s">
        <v>33</v>
      </c>
      <c r="D12" s="526">
        <f>'1'!G98</f>
        <v>83</v>
      </c>
      <c r="E12" s="526">
        <f>'2'!G98</f>
        <v>67</v>
      </c>
      <c r="F12" s="526">
        <f>'3'!G98</f>
        <v>72</v>
      </c>
      <c r="G12" s="526">
        <f>'4'!G98</f>
        <v>67</v>
      </c>
      <c r="H12" s="526">
        <f>'5'!G98</f>
        <v>40</v>
      </c>
      <c r="I12" s="526">
        <f>'6'!G98</f>
        <v>72</v>
      </c>
      <c r="J12" s="526">
        <f>'7'!G98</f>
        <v>58</v>
      </c>
      <c r="K12" s="526">
        <f>'8'!G98</f>
        <v>78</v>
      </c>
      <c r="L12" s="526">
        <f>'9'!G98</f>
        <v>67</v>
      </c>
      <c r="M12" s="526">
        <f>'10'!G98</f>
        <v>80</v>
      </c>
      <c r="N12" s="526">
        <f>'11'!G98</f>
        <v>75</v>
      </c>
      <c r="O12" s="526">
        <f>'12'!G98</f>
        <v>83</v>
      </c>
      <c r="P12" s="526">
        <f>'13'!G98</f>
        <v>63</v>
      </c>
      <c r="Q12" s="526">
        <f>'14'!G98</f>
        <v>71</v>
      </c>
      <c r="R12" s="526">
        <f>'15'!G98</f>
        <v>76</v>
      </c>
      <c r="S12" s="526">
        <f>'16'!G98</f>
        <v>56</v>
      </c>
      <c r="T12" s="526">
        <f>'17'!G98</f>
        <v>35</v>
      </c>
      <c r="U12" s="526">
        <f>'18'!G98</f>
        <v>78</v>
      </c>
      <c r="V12" s="526">
        <f>'19'!G98</f>
        <v>63</v>
      </c>
      <c r="W12" s="526">
        <f>'20'!G98</f>
        <v>-1902</v>
      </c>
      <c r="X12" s="526">
        <f>'21'!G98</f>
        <v>29</v>
      </c>
      <c r="Y12" s="526">
        <f>'22'!G98</f>
        <v>56</v>
      </c>
      <c r="Z12" s="526">
        <f>'23'!G98</f>
        <v>56</v>
      </c>
      <c r="AA12" s="526">
        <f>'24'!G98</f>
        <v>45</v>
      </c>
      <c r="AB12" s="526">
        <f>'25'!G98</f>
        <v>50</v>
      </c>
      <c r="AC12" s="526">
        <f>'26'!G98</f>
        <v>62</v>
      </c>
      <c r="AD12" s="526">
        <f>'27'!G98</f>
        <v>64</v>
      </c>
      <c r="AE12" s="526">
        <f>'28'!G98</f>
        <v>59</v>
      </c>
      <c r="AF12" s="526">
        <f>'29'!G98</f>
        <v>65</v>
      </c>
      <c r="AG12" s="526">
        <f>'30'!G98</f>
        <v>57</v>
      </c>
      <c r="AH12" s="526">
        <f>'31'!G98</f>
        <v>75</v>
      </c>
      <c r="AI12" s="524"/>
    </row>
    <row r="13" spans="2:35">
      <c r="B13" s="1377"/>
      <c r="C13" s="524" t="s">
        <v>34</v>
      </c>
      <c r="D13" s="526">
        <f>'1'!G114</f>
        <v>16</v>
      </c>
      <c r="E13" s="526">
        <f>'2'!G114</f>
        <v>11</v>
      </c>
      <c r="F13" s="526">
        <f>'3'!G114</f>
        <v>12</v>
      </c>
      <c r="G13" s="526">
        <f>'4'!G114</f>
        <v>14</v>
      </c>
      <c r="H13" s="526">
        <f>'5'!G114</f>
        <v>21</v>
      </c>
      <c r="I13" s="526">
        <f>'6'!G114</f>
        <v>11</v>
      </c>
      <c r="J13" s="526">
        <f>'7'!G114</f>
        <v>16</v>
      </c>
      <c r="K13" s="526">
        <f>'8'!G114</f>
        <v>16</v>
      </c>
      <c r="L13" s="526">
        <f>'9'!G114</f>
        <v>15</v>
      </c>
      <c r="M13" s="526">
        <f>'10'!G114</f>
        <v>14</v>
      </c>
      <c r="N13" s="526">
        <f>'11'!G114</f>
        <v>12</v>
      </c>
      <c r="O13" s="526">
        <f>'12'!G114</f>
        <v>14</v>
      </c>
      <c r="P13" s="526">
        <f>'13'!G114</f>
        <v>20</v>
      </c>
      <c r="Q13" s="526">
        <f>'14'!G114</f>
        <v>22</v>
      </c>
      <c r="R13" s="526">
        <f>'15'!G114</f>
        <v>35</v>
      </c>
      <c r="S13" s="526">
        <f>'16'!G114</f>
        <v>21</v>
      </c>
      <c r="T13" s="526">
        <f>'17'!G114</f>
        <v>17</v>
      </c>
      <c r="U13" s="526">
        <f>'18'!G114</f>
        <v>25</v>
      </c>
      <c r="V13" s="526">
        <f>'19'!G114</f>
        <v>26</v>
      </c>
      <c r="W13" s="526">
        <f>'20'!G114</f>
        <v>-561</v>
      </c>
      <c r="X13" s="526">
        <f>'21'!G114</f>
        <v>18</v>
      </c>
      <c r="Y13" s="526">
        <f>'22'!G114</f>
        <v>20</v>
      </c>
      <c r="Z13" s="526">
        <f>'23'!G114</f>
        <v>12</v>
      </c>
      <c r="AA13" s="526">
        <f>'24'!G114</f>
        <v>15</v>
      </c>
      <c r="AB13" s="526">
        <f>'25'!G114</f>
        <v>20</v>
      </c>
      <c r="AC13" s="526">
        <f>'26'!G114</f>
        <v>44</v>
      </c>
      <c r="AD13" s="526">
        <f>'27'!G114</f>
        <v>37</v>
      </c>
      <c r="AE13" s="526">
        <f>'28'!G114</f>
        <v>25</v>
      </c>
      <c r="AF13" s="526">
        <f>'29'!G114</f>
        <v>13</v>
      </c>
      <c r="AG13" s="526">
        <f>'30'!G114</f>
        <v>13</v>
      </c>
      <c r="AH13" s="526">
        <f>'31'!G114</f>
        <v>20</v>
      </c>
      <c r="AI13" s="524"/>
    </row>
    <row r="14" spans="2:35">
      <c r="B14" s="1377"/>
      <c r="C14" s="524" t="s">
        <v>35</v>
      </c>
      <c r="D14" s="526">
        <f>'1'!G115</f>
        <v>5</v>
      </c>
      <c r="E14" s="526">
        <f>'2'!G115</f>
        <v>3</v>
      </c>
      <c r="F14" s="526">
        <f>'3'!G115</f>
        <v>6</v>
      </c>
      <c r="G14" s="526">
        <f>'4'!G115</f>
        <v>7</v>
      </c>
      <c r="H14" s="526">
        <f>'5'!G115</f>
        <v>11</v>
      </c>
      <c r="I14" s="526">
        <f>'6'!G115</f>
        <v>6</v>
      </c>
      <c r="J14" s="526">
        <f>'7'!G115</f>
        <v>7</v>
      </c>
      <c r="K14" s="526">
        <f>'8'!G115</f>
        <v>7</v>
      </c>
      <c r="L14" s="526">
        <f>'9'!G115</f>
        <v>7</v>
      </c>
      <c r="M14" s="526">
        <f>'10'!G115</f>
        <v>13</v>
      </c>
      <c r="N14" s="526">
        <f>'11'!G115</f>
        <v>3</v>
      </c>
      <c r="O14" s="526">
        <f>'12'!G115</f>
        <v>8</v>
      </c>
      <c r="P14" s="526">
        <f>'13'!G115</f>
        <v>6</v>
      </c>
      <c r="Q14" s="526">
        <f>'14'!G115</f>
        <v>20</v>
      </c>
      <c r="R14" s="526">
        <f>'15'!G115</f>
        <v>13</v>
      </c>
      <c r="S14" s="526">
        <f>'16'!G115</f>
        <v>13</v>
      </c>
      <c r="T14" s="526">
        <f>'17'!G115</f>
        <v>6</v>
      </c>
      <c r="U14" s="526">
        <f>'18'!G115</f>
        <v>5</v>
      </c>
      <c r="V14" s="526">
        <f>'19'!G115</f>
        <v>2</v>
      </c>
      <c r="W14" s="526">
        <f>'20'!G115</f>
        <v>-222</v>
      </c>
      <c r="X14" s="526">
        <f>'21'!G115</f>
        <v>6</v>
      </c>
      <c r="Y14" s="526">
        <f>'22'!G115</f>
        <v>10</v>
      </c>
      <c r="Z14" s="526">
        <f>'23'!G115</f>
        <v>12</v>
      </c>
      <c r="AA14" s="526">
        <f>'24'!G115</f>
        <v>8</v>
      </c>
      <c r="AB14" s="526">
        <f>'25'!G115</f>
        <v>6</v>
      </c>
      <c r="AC14" s="526">
        <f>'26'!G115</f>
        <v>10</v>
      </c>
      <c r="AD14" s="526">
        <f>'27'!G115</f>
        <v>5</v>
      </c>
      <c r="AE14" s="526">
        <f>'28'!G115</f>
        <v>7</v>
      </c>
      <c r="AF14" s="526">
        <f>'29'!G115</f>
        <v>5</v>
      </c>
      <c r="AG14" s="526">
        <f>'30'!G115</f>
        <v>6</v>
      </c>
      <c r="AH14" s="526">
        <f>'31'!G115</f>
        <v>6</v>
      </c>
      <c r="AI14" s="524"/>
    </row>
    <row r="15" spans="2:35">
      <c r="B15" s="528"/>
      <c r="C15" s="524"/>
      <c r="D15" s="524"/>
      <c r="E15" s="524"/>
      <c r="F15" s="524"/>
      <c r="G15" s="524"/>
      <c r="H15" s="524"/>
      <c r="I15" s="524"/>
      <c r="J15" s="524"/>
      <c r="K15" s="524"/>
      <c r="L15" s="524"/>
      <c r="M15" s="524"/>
      <c r="N15" s="524"/>
      <c r="O15" s="524"/>
      <c r="P15" s="524"/>
      <c r="Q15" s="524"/>
      <c r="R15" s="524"/>
      <c r="S15" s="524"/>
      <c r="T15" s="524"/>
      <c r="U15" s="524"/>
      <c r="V15" s="524"/>
      <c r="W15" s="524"/>
      <c r="X15" s="524"/>
      <c r="Y15" s="524"/>
      <c r="Z15" s="524"/>
      <c r="AA15" s="524"/>
      <c r="AB15" s="524"/>
      <c r="AC15" s="524"/>
      <c r="AD15" s="524"/>
      <c r="AE15" s="524"/>
      <c r="AF15" s="524"/>
      <c r="AG15" s="524"/>
      <c r="AH15" s="524"/>
      <c r="AI15" s="524"/>
    </row>
    <row r="16" spans="2:35">
      <c r="B16" s="1377" t="s">
        <v>75</v>
      </c>
      <c r="C16" s="524" t="s">
        <v>76</v>
      </c>
      <c r="D16" s="524">
        <f>'1'!G104</f>
        <v>0</v>
      </c>
      <c r="E16" s="526">
        <f>'2'!G104</f>
        <v>0</v>
      </c>
      <c r="F16" s="526">
        <f>'3'!G104</f>
        <v>0</v>
      </c>
      <c r="G16" s="526">
        <f>'4'!G104</f>
        <v>0</v>
      </c>
      <c r="H16" s="526">
        <f>'5'!G104</f>
        <v>0</v>
      </c>
      <c r="I16" s="526">
        <f>'6'!G104</f>
        <v>0</v>
      </c>
      <c r="J16" s="526">
        <f>'7'!G104</f>
        <v>0</v>
      </c>
      <c r="K16" s="526">
        <f>'8'!G104</f>
        <v>0</v>
      </c>
      <c r="L16" s="526">
        <f>'9'!G104</f>
        <v>0</v>
      </c>
      <c r="M16" s="526">
        <f>'10'!G104</f>
        <v>0</v>
      </c>
      <c r="N16" s="526">
        <f>'11'!G104</f>
        <v>0</v>
      </c>
      <c r="O16" s="526">
        <f>'12'!G104</f>
        <v>0</v>
      </c>
      <c r="P16" s="526">
        <f>'13'!G104</f>
        <v>0</v>
      </c>
      <c r="Q16" s="526">
        <f>'14'!G104</f>
        <v>87</v>
      </c>
      <c r="R16" s="526">
        <f>'15'!G104</f>
        <v>0</v>
      </c>
      <c r="S16" s="526">
        <f>'16'!G104</f>
        <v>0</v>
      </c>
      <c r="T16" s="526">
        <f>'17'!G104</f>
        <v>0</v>
      </c>
      <c r="U16" s="526">
        <f>'18'!G104</f>
        <v>0</v>
      </c>
      <c r="V16" s="526">
        <f>'19'!G104</f>
        <v>0</v>
      </c>
      <c r="W16" s="526">
        <f>'20'!G104</f>
        <v>-87</v>
      </c>
      <c r="X16" s="526">
        <f>'21'!G104</f>
        <v>0</v>
      </c>
      <c r="Y16" s="526">
        <f>'22'!G104</f>
        <v>0</v>
      </c>
      <c r="Z16" s="526">
        <f>'23'!G104</f>
        <v>0</v>
      </c>
      <c r="AA16" s="526">
        <f>'24'!G104</f>
        <v>0</v>
      </c>
      <c r="AB16" s="526">
        <f>'25'!G104</f>
        <v>0</v>
      </c>
      <c r="AC16" s="526">
        <f>'26'!G104</f>
        <v>0</v>
      </c>
      <c r="AD16" s="526">
        <f>'27'!G104</f>
        <v>0</v>
      </c>
      <c r="AE16" s="526">
        <f>'28'!G104</f>
        <v>0</v>
      </c>
      <c r="AF16" s="526">
        <f>'29'!G104</f>
        <v>0</v>
      </c>
      <c r="AG16" s="526">
        <f>'30'!G104</f>
        <v>0</v>
      </c>
      <c r="AH16" s="526">
        <f>'31'!G104</f>
        <v>0</v>
      </c>
      <c r="AI16" s="524"/>
    </row>
    <row r="17" spans="2:35">
      <c r="B17" s="1377"/>
      <c r="C17" s="524" t="s">
        <v>77</v>
      </c>
      <c r="D17" s="524">
        <f>'1'!G105</f>
        <v>8</v>
      </c>
      <c r="E17" s="526">
        <f>'2'!G105</f>
        <v>8</v>
      </c>
      <c r="F17" s="526">
        <f>'3'!G105</f>
        <v>6</v>
      </c>
      <c r="G17" s="526">
        <f>'4'!G105</f>
        <v>6</v>
      </c>
      <c r="H17" s="526">
        <f>'5'!G105</f>
        <v>14</v>
      </c>
      <c r="I17" s="526">
        <f>'6'!G105</f>
        <v>6</v>
      </c>
      <c r="J17" s="526">
        <f>'7'!G105</f>
        <v>6</v>
      </c>
      <c r="K17" s="526">
        <f>'8'!G105</f>
        <v>9</v>
      </c>
      <c r="L17" s="526">
        <f>'9'!G105</f>
        <v>0</v>
      </c>
      <c r="M17" s="526">
        <f>'10'!G105</f>
        <v>12</v>
      </c>
      <c r="N17" s="526">
        <f>'11'!G105</f>
        <v>7</v>
      </c>
      <c r="O17" s="526">
        <f>'12'!G105</f>
        <v>9</v>
      </c>
      <c r="P17" s="526">
        <f>'13'!G105</f>
        <v>11</v>
      </c>
      <c r="Q17" s="526">
        <f>'14'!G105</f>
        <v>11</v>
      </c>
      <c r="R17" s="526">
        <f>'15'!G105</f>
        <v>17</v>
      </c>
      <c r="S17" s="526">
        <f>'16'!G105</f>
        <v>12</v>
      </c>
      <c r="T17" s="526">
        <f>'17'!G105</f>
        <v>9</v>
      </c>
      <c r="U17" s="526">
        <f>'18'!G105</f>
        <v>8</v>
      </c>
      <c r="V17" s="526">
        <f>'19'!G105</f>
        <v>7</v>
      </c>
      <c r="W17" s="526">
        <f>'20'!G105</f>
        <v>-246</v>
      </c>
      <c r="X17" s="526">
        <f>'21'!G105</f>
        <v>7</v>
      </c>
      <c r="Y17" s="526">
        <f>'22'!G105</f>
        <v>9</v>
      </c>
      <c r="Z17" s="526">
        <f>'23'!G105</f>
        <v>6</v>
      </c>
      <c r="AA17" s="526">
        <f>'24'!G105</f>
        <v>6</v>
      </c>
      <c r="AB17" s="526">
        <f>'25'!G105</f>
        <v>14</v>
      </c>
      <c r="AC17" s="526">
        <f>'26'!G105</f>
        <v>7</v>
      </c>
      <c r="AD17" s="526">
        <f>'27'!G105</f>
        <v>12</v>
      </c>
      <c r="AE17" s="526">
        <f>'28'!G105</f>
        <v>0</v>
      </c>
      <c r="AF17" s="526">
        <f>'29'!G105</f>
        <v>10</v>
      </c>
      <c r="AG17" s="526">
        <f>'30'!G105</f>
        <v>3</v>
      </c>
      <c r="AH17" s="526">
        <f>'31'!G105</f>
        <v>12</v>
      </c>
      <c r="AI17" s="524"/>
    </row>
    <row r="18" spans="2:35">
      <c r="B18" s="1377"/>
      <c r="C18" s="524" t="s">
        <v>78</v>
      </c>
      <c r="D18" s="524">
        <f>'1'!G106</f>
        <v>7</v>
      </c>
      <c r="E18" s="526">
        <f>'2'!G106</f>
        <v>5</v>
      </c>
      <c r="F18" s="526">
        <f>'3'!G106</f>
        <v>5</v>
      </c>
      <c r="G18" s="526">
        <f>'4'!G106</f>
        <v>6</v>
      </c>
      <c r="H18" s="526">
        <f>'5'!G106</f>
        <v>9</v>
      </c>
      <c r="I18" s="526">
        <f>'6'!G106</f>
        <v>6</v>
      </c>
      <c r="J18" s="526">
        <f>'7'!G106</f>
        <v>4</v>
      </c>
      <c r="K18" s="526">
        <f>'8'!G106</f>
        <v>5</v>
      </c>
      <c r="L18" s="526">
        <f>'9'!G106</f>
        <v>4</v>
      </c>
      <c r="M18" s="526">
        <f>'10'!G106</f>
        <v>3</v>
      </c>
      <c r="N18" s="526">
        <f>'11'!G106</f>
        <v>6</v>
      </c>
      <c r="O18" s="526">
        <f>'12'!G106</f>
        <v>12</v>
      </c>
      <c r="P18" s="526">
        <f>'13'!G106</f>
        <v>6</v>
      </c>
      <c r="Q18" s="526">
        <f>'14'!G106</f>
        <v>5</v>
      </c>
      <c r="R18" s="526">
        <f>'15'!G106</f>
        <v>11</v>
      </c>
      <c r="S18" s="526">
        <f>'16'!G106</f>
        <v>6</v>
      </c>
      <c r="T18" s="526">
        <f>'17'!G106</f>
        <v>5</v>
      </c>
      <c r="U18" s="526">
        <f>'18'!G106</f>
        <v>10</v>
      </c>
      <c r="V18" s="526">
        <f>'19'!G106</f>
        <v>6</v>
      </c>
      <c r="W18" s="526">
        <f>'20'!G106</f>
        <v>-172</v>
      </c>
      <c r="X18" s="526">
        <f>'21'!G106</f>
        <v>7</v>
      </c>
      <c r="Y18" s="526">
        <f>'22'!G106</f>
        <v>6</v>
      </c>
      <c r="Z18" s="526">
        <f>'23'!G106</f>
        <v>8</v>
      </c>
      <c r="AA18" s="526">
        <f>'24'!G106</f>
        <v>5</v>
      </c>
      <c r="AB18" s="526">
        <f>'25'!G106</f>
        <v>7</v>
      </c>
      <c r="AC18" s="526">
        <f>'26'!G106</f>
        <v>3</v>
      </c>
      <c r="AD18" s="526">
        <f>'27'!G106</f>
        <v>7</v>
      </c>
      <c r="AE18" s="526">
        <f>'28'!G106</f>
        <v>0</v>
      </c>
      <c r="AF18" s="526">
        <f>'29'!G106</f>
        <v>4</v>
      </c>
      <c r="AG18" s="526">
        <f>'30'!G106</f>
        <v>5</v>
      </c>
      <c r="AH18" s="526">
        <f>'31'!G106</f>
        <v>5</v>
      </c>
      <c r="AI18" s="524"/>
    </row>
    <row r="19" spans="2:35">
      <c r="B19" s="528"/>
      <c r="C19" s="524"/>
      <c r="D19" s="524"/>
      <c r="E19" s="524"/>
      <c r="F19" s="524"/>
      <c r="G19" s="524"/>
      <c r="H19" s="524"/>
      <c r="I19" s="524"/>
      <c r="J19" s="524"/>
      <c r="K19" s="524"/>
      <c r="L19" s="524"/>
      <c r="M19" s="524"/>
      <c r="N19" s="524"/>
      <c r="O19" s="524"/>
      <c r="P19" s="524"/>
      <c r="Q19" s="524"/>
      <c r="R19" s="524"/>
      <c r="S19" s="524"/>
      <c r="T19" s="524"/>
      <c r="U19" s="524"/>
      <c r="V19" s="524"/>
      <c r="W19" s="524"/>
      <c r="X19" s="524"/>
      <c r="Y19" s="524"/>
      <c r="Z19" s="524"/>
      <c r="AA19" s="524"/>
      <c r="AB19" s="524"/>
      <c r="AC19" s="524"/>
      <c r="AD19" s="524"/>
      <c r="AE19" s="524"/>
      <c r="AF19" s="524"/>
      <c r="AG19" s="524"/>
      <c r="AH19" s="524"/>
      <c r="AI19" s="524"/>
    </row>
    <row r="20" spans="2:35">
      <c r="B20" s="1377" t="s">
        <v>79</v>
      </c>
      <c r="C20" s="524" t="s">
        <v>80</v>
      </c>
      <c r="D20" s="524">
        <f>'1'!G109</f>
        <v>41</v>
      </c>
      <c r="E20" s="526">
        <f>'2'!G109</f>
        <v>61</v>
      </c>
      <c r="F20" s="526">
        <f>'3'!G109</f>
        <v>58</v>
      </c>
      <c r="G20" s="526">
        <f>'4'!G109</f>
        <v>55</v>
      </c>
      <c r="H20" s="526">
        <f>'5'!G109</f>
        <v>115</v>
      </c>
      <c r="I20" s="526">
        <f>'6'!G109</f>
        <v>40</v>
      </c>
      <c r="J20" s="526">
        <f>'7'!G109</f>
        <v>39</v>
      </c>
      <c r="K20" s="526">
        <f>'8'!G109</f>
        <v>74</v>
      </c>
      <c r="L20" s="526">
        <f>'9'!G109</f>
        <v>53</v>
      </c>
      <c r="M20" s="526">
        <f>'10'!G109</f>
        <v>61</v>
      </c>
      <c r="N20" s="526">
        <f>'11'!G109</f>
        <v>105</v>
      </c>
      <c r="O20" s="526">
        <f>'12'!G109</f>
        <v>64</v>
      </c>
      <c r="P20" s="526">
        <f>'13'!G109</f>
        <v>60</v>
      </c>
      <c r="Q20" s="526">
        <f>'14'!G109</f>
        <v>60</v>
      </c>
      <c r="R20" s="526">
        <f>'15'!G109</f>
        <v>83</v>
      </c>
      <c r="S20" s="526">
        <f>'16'!G109</f>
        <v>60</v>
      </c>
      <c r="T20" s="526">
        <f>'17'!G109</f>
        <v>40</v>
      </c>
      <c r="U20" s="526">
        <f>'18'!G109</f>
        <v>60</v>
      </c>
      <c r="V20" s="526">
        <f>'19'!G109</f>
        <v>40</v>
      </c>
      <c r="W20" s="526">
        <f>'20'!G109</f>
        <v>-1683</v>
      </c>
      <c r="X20" s="526">
        <f>'21'!G109</f>
        <v>41</v>
      </c>
      <c r="Y20" s="526">
        <f>'22'!G109</f>
        <v>62</v>
      </c>
      <c r="Z20" s="526">
        <f>'23'!G109</f>
        <v>45</v>
      </c>
      <c r="AA20" s="526">
        <f>'24'!G109</f>
        <v>61</v>
      </c>
      <c r="AB20" s="526">
        <f>'25'!G109</f>
        <v>41</v>
      </c>
      <c r="AC20" s="526">
        <f>'26'!G109</f>
        <v>42</v>
      </c>
      <c r="AD20" s="526">
        <f>'27'!G109</f>
        <v>42</v>
      </c>
      <c r="AE20" s="526">
        <f>'28'!G109</f>
        <v>63</v>
      </c>
      <c r="AF20" s="526">
        <f>'29'!G109</f>
        <v>43</v>
      </c>
      <c r="AG20" s="526">
        <f>'30'!G109</f>
        <v>63</v>
      </c>
      <c r="AH20" s="526">
        <f>'31'!G109</f>
        <v>66</v>
      </c>
      <c r="AI20" s="524"/>
    </row>
    <row r="21" spans="2:35">
      <c r="B21" s="1377"/>
      <c r="C21" s="524" t="s">
        <v>81</v>
      </c>
      <c r="D21" s="524">
        <f>'1'!G110</f>
        <v>79</v>
      </c>
      <c r="E21" s="526">
        <f>'2'!G110</f>
        <v>39</v>
      </c>
      <c r="F21" s="526">
        <f>'3'!G110</f>
        <v>93</v>
      </c>
      <c r="G21" s="526">
        <f>'4'!G110</f>
        <v>47</v>
      </c>
      <c r="H21" s="526">
        <f>'5'!G110</f>
        <v>79</v>
      </c>
      <c r="I21" s="526">
        <f>'6'!G110</f>
        <v>45</v>
      </c>
      <c r="J21" s="526">
        <f>'7'!G110</f>
        <v>101</v>
      </c>
      <c r="K21" s="526">
        <f>'8'!G110</f>
        <v>43</v>
      </c>
      <c r="L21" s="526">
        <f>'9'!G110</f>
        <v>63</v>
      </c>
      <c r="M21" s="526">
        <f>'10'!G110</f>
        <v>64</v>
      </c>
      <c r="N21" s="526">
        <f>'11'!G110</f>
        <v>99</v>
      </c>
      <c r="O21" s="526">
        <f>'12'!G110</f>
        <v>59</v>
      </c>
      <c r="P21" s="526">
        <f>'13'!G110</f>
        <v>86</v>
      </c>
      <c r="Q21" s="526">
        <f>'14'!G110</f>
        <v>42</v>
      </c>
      <c r="R21" s="526">
        <f>'15'!G110</f>
        <v>86</v>
      </c>
      <c r="S21" s="526">
        <f>'16'!G110</f>
        <v>58</v>
      </c>
      <c r="T21" s="526">
        <f>'17'!G110</f>
        <v>37</v>
      </c>
      <c r="U21" s="526">
        <f>'18'!G110</f>
        <v>92</v>
      </c>
      <c r="V21" s="526">
        <f>'19'!G110</f>
        <v>31</v>
      </c>
      <c r="W21" s="526">
        <f>'20'!G110</f>
        <v>-1764</v>
      </c>
      <c r="X21" s="526">
        <f>'21'!G110</f>
        <v>21</v>
      </c>
      <c r="Y21" s="526">
        <f>'22'!G110</f>
        <v>51</v>
      </c>
      <c r="Z21" s="526">
        <f>'23'!G110</f>
        <v>41</v>
      </c>
      <c r="AA21" s="526">
        <f>'24'!G110</f>
        <v>35</v>
      </c>
      <c r="AB21" s="526">
        <f>'25'!G110</f>
        <v>60</v>
      </c>
      <c r="AC21" s="526">
        <f>'26'!G110</f>
        <v>60</v>
      </c>
      <c r="AD21" s="526">
        <f>'27'!G110</f>
        <v>59</v>
      </c>
      <c r="AE21" s="526">
        <f>'28'!G110</f>
        <v>48</v>
      </c>
      <c r="AF21" s="526">
        <f>'29'!G110</f>
        <v>35</v>
      </c>
      <c r="AG21" s="526">
        <f>'30'!G110</f>
        <v>91</v>
      </c>
      <c r="AH21" s="526">
        <f>'31'!G110</f>
        <v>67</v>
      </c>
      <c r="AI21" s="524"/>
    </row>
    <row r="22" spans="2:35">
      <c r="B22" s="1377"/>
      <c r="C22" s="524" t="s">
        <v>82</v>
      </c>
      <c r="D22" s="524">
        <f>'1'!G111</f>
        <v>0</v>
      </c>
      <c r="E22" s="526">
        <f>'2'!G111</f>
        <v>16</v>
      </c>
      <c r="F22" s="526">
        <f>'3'!G111</f>
        <v>0</v>
      </c>
      <c r="G22" s="526">
        <f>'4'!G111</f>
        <v>14</v>
      </c>
      <c r="H22" s="526">
        <f>'5'!G111</f>
        <v>0</v>
      </c>
      <c r="I22" s="526">
        <f>'6'!G111</f>
        <v>32</v>
      </c>
      <c r="J22" s="526">
        <f>'7'!G111</f>
        <v>0</v>
      </c>
      <c r="K22" s="526">
        <f>'8'!G111</f>
        <v>0</v>
      </c>
      <c r="L22" s="526">
        <f>'9'!G111</f>
        <v>37</v>
      </c>
      <c r="M22" s="526">
        <f>'10'!G111</f>
        <v>6</v>
      </c>
      <c r="N22" s="526">
        <f>'11'!G111</f>
        <v>12</v>
      </c>
      <c r="O22" s="526">
        <f>'12'!G111</f>
        <v>0</v>
      </c>
      <c r="P22" s="526">
        <f>'13'!G111</f>
        <v>13</v>
      </c>
      <c r="Q22" s="526">
        <f>'14'!G111</f>
        <v>0</v>
      </c>
      <c r="R22" s="526">
        <f>'15'!G111</f>
        <v>13</v>
      </c>
      <c r="S22" s="526">
        <f>'16'!G111</f>
        <v>0</v>
      </c>
      <c r="T22" s="526">
        <f>'17'!G111</f>
        <v>22</v>
      </c>
      <c r="U22" s="526">
        <f>'18'!G111</f>
        <v>7</v>
      </c>
      <c r="V22" s="526">
        <f>'19'!G111</f>
        <v>0</v>
      </c>
      <c r="W22" s="526">
        <f>'20'!G111</f>
        <v>-235</v>
      </c>
      <c r="X22" s="526">
        <f>'21'!G111</f>
        <v>17</v>
      </c>
      <c r="Y22" s="526">
        <f>'22'!G111</f>
        <v>0</v>
      </c>
      <c r="Z22" s="526">
        <f>'23'!G111</f>
        <v>13</v>
      </c>
      <c r="AA22" s="526">
        <f>'24'!G111</f>
        <v>0</v>
      </c>
      <c r="AB22" s="526">
        <f>'25'!G111</f>
        <v>14</v>
      </c>
      <c r="AC22" s="526">
        <f>'26'!G111</f>
        <v>0</v>
      </c>
      <c r="AD22" s="526">
        <f>'27'!G111</f>
        <v>5</v>
      </c>
      <c r="AE22" s="526">
        <f>'28'!G111</f>
        <v>0</v>
      </c>
      <c r="AF22" s="526">
        <f>'29'!G111</f>
        <v>0</v>
      </c>
      <c r="AG22" s="526">
        <f>'30'!G111</f>
        <v>28</v>
      </c>
      <c r="AH22" s="526">
        <f>'31'!G111</f>
        <v>0</v>
      </c>
      <c r="AI22" s="524"/>
    </row>
    <row r="23" spans="2:35">
      <c r="B23" s="528"/>
      <c r="C23" s="524"/>
      <c r="D23" s="524"/>
      <c r="E23" s="524"/>
      <c r="F23" s="524"/>
      <c r="G23" s="524"/>
      <c r="H23" s="524"/>
      <c r="I23" s="524"/>
      <c r="J23" s="524"/>
      <c r="K23" s="524"/>
      <c r="L23" s="524"/>
      <c r="M23" s="524"/>
      <c r="N23" s="524"/>
      <c r="O23" s="524"/>
      <c r="P23" s="524"/>
      <c r="Q23" s="524"/>
      <c r="R23" s="524"/>
      <c r="S23" s="524"/>
      <c r="T23" s="524"/>
      <c r="U23" s="524"/>
      <c r="V23" s="524"/>
      <c r="W23" s="524"/>
      <c r="X23" s="524"/>
      <c r="Y23" s="524"/>
      <c r="Z23" s="524"/>
      <c r="AA23" s="524"/>
      <c r="AB23" s="524"/>
      <c r="AC23" s="524"/>
      <c r="AD23" s="524"/>
      <c r="AE23" s="524"/>
      <c r="AF23" s="524"/>
      <c r="AG23" s="524"/>
      <c r="AH23" s="524"/>
      <c r="AI23" s="524"/>
    </row>
    <row r="24" spans="2:35" ht="30">
      <c r="B24" s="528" t="s">
        <v>83</v>
      </c>
      <c r="C24" s="524"/>
      <c r="D24" s="526">
        <f>SUM(D8:D10,D13:D14,)</f>
        <v>134</v>
      </c>
      <c r="E24" s="526">
        <f t="shared" ref="E24:AI24" si="0">SUM(E8:E10,E13:E14,)</f>
        <v>130</v>
      </c>
      <c r="F24" s="526">
        <f t="shared" si="0"/>
        <v>149</v>
      </c>
      <c r="G24" s="526">
        <f t="shared" si="0"/>
        <v>179</v>
      </c>
      <c r="H24" s="526">
        <f t="shared" si="0"/>
        <v>150</v>
      </c>
      <c r="I24" s="526">
        <f t="shared" si="0"/>
        <v>143</v>
      </c>
      <c r="J24" s="526">
        <f t="shared" si="0"/>
        <v>146</v>
      </c>
      <c r="K24" s="526">
        <f t="shared" si="0"/>
        <v>165</v>
      </c>
      <c r="L24" s="526">
        <f t="shared" si="0"/>
        <v>153</v>
      </c>
      <c r="M24" s="526">
        <f t="shared" si="0"/>
        <v>190</v>
      </c>
      <c r="N24" s="526">
        <f t="shared" si="0"/>
        <v>158</v>
      </c>
      <c r="O24" s="526">
        <f t="shared" si="0"/>
        <v>173</v>
      </c>
      <c r="P24" s="526">
        <f t="shared" si="0"/>
        <v>203</v>
      </c>
      <c r="Q24" s="526">
        <f t="shared" si="0"/>
        <v>256</v>
      </c>
      <c r="R24" s="526">
        <f t="shared" si="0"/>
        <v>239</v>
      </c>
      <c r="S24" s="526">
        <f t="shared" si="0"/>
        <v>173</v>
      </c>
      <c r="T24" s="526">
        <f>SUM(T8:T10,T13:T14,)</f>
        <v>130</v>
      </c>
      <c r="U24" s="526">
        <f t="shared" si="0"/>
        <v>137</v>
      </c>
      <c r="V24" s="526">
        <f t="shared" si="0"/>
        <v>140</v>
      </c>
      <c r="W24" s="526">
        <f t="shared" si="0"/>
        <v>-4690</v>
      </c>
      <c r="X24" s="526">
        <f t="shared" si="0"/>
        <v>132</v>
      </c>
      <c r="Y24" s="526">
        <f t="shared" si="0"/>
        <v>151</v>
      </c>
      <c r="Z24" s="526">
        <f t="shared" si="0"/>
        <v>143</v>
      </c>
      <c r="AA24" s="526">
        <f t="shared" si="0"/>
        <v>152</v>
      </c>
      <c r="AB24" s="526">
        <f t="shared" si="0"/>
        <v>158</v>
      </c>
      <c r="AC24" s="526">
        <f t="shared" si="0"/>
        <v>158</v>
      </c>
      <c r="AD24" s="526">
        <f t="shared" si="0"/>
        <v>141</v>
      </c>
      <c r="AE24" s="526">
        <f t="shared" si="0"/>
        <v>109</v>
      </c>
      <c r="AF24" s="526">
        <f t="shared" si="0"/>
        <v>135</v>
      </c>
      <c r="AG24" s="526">
        <f t="shared" si="0"/>
        <v>134</v>
      </c>
      <c r="AH24" s="526">
        <f t="shared" si="0"/>
        <v>150</v>
      </c>
      <c r="AI24" s="526">
        <f t="shared" si="0"/>
        <v>0</v>
      </c>
    </row>
    <row r="25" spans="2:35">
      <c r="B25" s="528"/>
      <c r="C25" s="524"/>
      <c r="D25" s="524"/>
      <c r="E25" s="524"/>
      <c r="F25" s="524"/>
      <c r="G25" s="524"/>
      <c r="H25" s="524"/>
      <c r="I25" s="524"/>
      <c r="J25" s="524"/>
      <c r="K25" s="524"/>
      <c r="L25" s="524"/>
      <c r="M25" s="524"/>
      <c r="N25" s="524"/>
      <c r="O25" s="524"/>
      <c r="P25" s="524"/>
      <c r="Q25" s="524"/>
      <c r="R25" s="524"/>
      <c r="S25" s="524"/>
      <c r="T25" s="524"/>
      <c r="U25" s="524"/>
      <c r="V25" s="524"/>
      <c r="W25" s="524"/>
      <c r="X25" s="524"/>
      <c r="Y25" s="524"/>
      <c r="Z25" s="524"/>
      <c r="AA25" s="524"/>
      <c r="AB25" s="524"/>
      <c r="AC25" s="524"/>
      <c r="AD25" s="524"/>
      <c r="AE25" s="524"/>
      <c r="AF25" s="524"/>
      <c r="AG25" s="524"/>
      <c r="AH25" s="524"/>
      <c r="AI25" s="524"/>
    </row>
    <row r="26" spans="2:35" ht="30">
      <c r="B26" s="528" t="s">
        <v>84</v>
      </c>
      <c r="C26" s="524"/>
      <c r="D26" s="526">
        <f>SUM(D12,D20,D22)</f>
        <v>124</v>
      </c>
      <c r="E26" s="526">
        <f t="shared" ref="E26:AH26" si="1">SUM(E12,E20,E22)</f>
        <v>144</v>
      </c>
      <c r="F26" s="526">
        <f>SUM(F12,F20,F22)</f>
        <v>130</v>
      </c>
      <c r="G26" s="526">
        <f t="shared" si="1"/>
        <v>136</v>
      </c>
      <c r="H26" s="526">
        <f t="shared" si="1"/>
        <v>155</v>
      </c>
      <c r="I26" s="526">
        <f t="shared" si="1"/>
        <v>144</v>
      </c>
      <c r="J26" s="526">
        <f t="shared" si="1"/>
        <v>97</v>
      </c>
      <c r="K26" s="526">
        <f t="shared" si="1"/>
        <v>152</v>
      </c>
      <c r="L26" s="526">
        <f t="shared" si="1"/>
        <v>157</v>
      </c>
      <c r="M26" s="526">
        <f t="shared" si="1"/>
        <v>147</v>
      </c>
      <c r="N26" s="526">
        <f t="shared" si="1"/>
        <v>192</v>
      </c>
      <c r="O26" s="526">
        <f t="shared" si="1"/>
        <v>147</v>
      </c>
      <c r="P26" s="526">
        <f t="shared" si="1"/>
        <v>136</v>
      </c>
      <c r="Q26" s="526">
        <f t="shared" si="1"/>
        <v>131</v>
      </c>
      <c r="R26" s="526">
        <f t="shared" si="1"/>
        <v>172</v>
      </c>
      <c r="S26" s="526">
        <f t="shared" si="1"/>
        <v>116</v>
      </c>
      <c r="T26" s="526">
        <f t="shared" si="1"/>
        <v>97</v>
      </c>
      <c r="U26" s="526">
        <f t="shared" si="1"/>
        <v>145</v>
      </c>
      <c r="V26" s="526">
        <f t="shared" si="1"/>
        <v>103</v>
      </c>
      <c r="W26" s="526">
        <f t="shared" si="1"/>
        <v>-3820</v>
      </c>
      <c r="X26" s="526">
        <f t="shared" si="1"/>
        <v>87</v>
      </c>
      <c r="Y26" s="526">
        <f t="shared" si="1"/>
        <v>118</v>
      </c>
      <c r="Z26" s="526">
        <f t="shared" si="1"/>
        <v>114</v>
      </c>
      <c r="AA26" s="526">
        <f t="shared" si="1"/>
        <v>106</v>
      </c>
      <c r="AB26" s="526">
        <f t="shared" si="1"/>
        <v>105</v>
      </c>
      <c r="AC26" s="526">
        <f t="shared" si="1"/>
        <v>104</v>
      </c>
      <c r="AD26" s="526">
        <f t="shared" si="1"/>
        <v>111</v>
      </c>
      <c r="AE26" s="526">
        <f t="shared" si="1"/>
        <v>122</v>
      </c>
      <c r="AF26" s="526">
        <f t="shared" si="1"/>
        <v>108</v>
      </c>
      <c r="AG26" s="526">
        <f t="shared" si="1"/>
        <v>148</v>
      </c>
      <c r="AH26" s="526">
        <f t="shared" si="1"/>
        <v>141</v>
      </c>
      <c r="AI26" s="526">
        <f t="shared" ref="AI26" si="2">SUM(AI12)</f>
        <v>0</v>
      </c>
    </row>
    <row r="27" spans="2:35">
      <c r="B27" s="1111"/>
      <c r="C27" s="1112"/>
      <c r="D27" s="1112"/>
      <c r="E27" s="1112"/>
      <c r="F27" s="1112"/>
      <c r="G27" s="1112"/>
      <c r="H27" s="1112"/>
      <c r="I27" s="1112"/>
      <c r="J27" s="1112"/>
      <c r="K27" s="1112"/>
      <c r="L27" s="1112"/>
      <c r="M27" s="1112"/>
      <c r="N27" s="1112"/>
      <c r="O27" s="1112"/>
      <c r="P27" s="1112"/>
      <c r="Q27" s="1112"/>
      <c r="R27" s="1112"/>
      <c r="S27" s="1112"/>
      <c r="T27" s="1112"/>
      <c r="U27" s="1112"/>
      <c r="V27" s="1112"/>
      <c r="W27" s="1112"/>
      <c r="X27" s="1112"/>
      <c r="Y27" s="1112"/>
      <c r="Z27" s="1112"/>
      <c r="AA27" s="1112"/>
      <c r="AB27" s="1112"/>
      <c r="AC27" s="1112"/>
      <c r="AD27" s="1112"/>
      <c r="AE27" s="1112"/>
      <c r="AF27" s="1112"/>
      <c r="AG27" s="1112"/>
      <c r="AH27" s="1112"/>
      <c r="AI27" s="1112"/>
    </row>
    <row r="28" spans="2:35">
      <c r="B28" s="1111" t="s">
        <v>85</v>
      </c>
      <c r="C28" s="1112"/>
      <c r="D28" s="1113">
        <f>D8</f>
        <v>72</v>
      </c>
      <c r="E28" s="1113">
        <f t="shared" ref="E28:AH28" si="3">E8</f>
        <v>70</v>
      </c>
      <c r="F28" s="1113">
        <f t="shared" si="3"/>
        <v>64</v>
      </c>
      <c r="G28" s="1113">
        <f t="shared" si="3"/>
        <v>78</v>
      </c>
      <c r="H28" s="1113">
        <f t="shared" si="3"/>
        <v>55</v>
      </c>
      <c r="I28" s="1113">
        <f t="shared" si="3"/>
        <v>61</v>
      </c>
      <c r="J28" s="1113">
        <f t="shared" si="3"/>
        <v>57</v>
      </c>
      <c r="K28" s="1113">
        <f t="shared" si="3"/>
        <v>71</v>
      </c>
      <c r="L28" s="1113">
        <f t="shared" si="3"/>
        <v>62</v>
      </c>
      <c r="M28" s="1113">
        <f t="shared" si="3"/>
        <v>77</v>
      </c>
      <c r="N28" s="1113">
        <f t="shared" si="3"/>
        <v>71</v>
      </c>
      <c r="O28" s="1113">
        <f t="shared" si="3"/>
        <v>86</v>
      </c>
      <c r="P28" s="1113">
        <f t="shared" si="3"/>
        <v>88</v>
      </c>
      <c r="Q28" s="1113">
        <f t="shared" si="3"/>
        <v>121</v>
      </c>
      <c r="R28" s="1113">
        <f t="shared" si="3"/>
        <v>131</v>
      </c>
      <c r="S28" s="1113">
        <f t="shared" si="3"/>
        <v>97</v>
      </c>
      <c r="T28" s="1113">
        <f t="shared" si="3"/>
        <v>72</v>
      </c>
      <c r="U28" s="1113">
        <f t="shared" si="3"/>
        <v>74</v>
      </c>
      <c r="V28" s="1113">
        <f t="shared" si="3"/>
        <v>79</v>
      </c>
      <c r="W28" s="1113">
        <f t="shared" si="3"/>
        <v>-2235</v>
      </c>
      <c r="X28" s="1113">
        <f t="shared" si="3"/>
        <v>75</v>
      </c>
      <c r="Y28" s="1113">
        <f t="shared" si="3"/>
        <v>83</v>
      </c>
      <c r="Z28" s="1113">
        <f t="shared" si="3"/>
        <v>75</v>
      </c>
      <c r="AA28" s="1113">
        <f t="shared" si="3"/>
        <v>71</v>
      </c>
      <c r="AB28" s="1113">
        <f t="shared" si="3"/>
        <v>83</v>
      </c>
      <c r="AC28" s="1113">
        <f t="shared" si="3"/>
        <v>60</v>
      </c>
      <c r="AD28" s="1113">
        <f t="shared" si="3"/>
        <v>71</v>
      </c>
      <c r="AE28" s="1113">
        <f t="shared" si="3"/>
        <v>43</v>
      </c>
      <c r="AF28" s="1113">
        <f t="shared" si="3"/>
        <v>65</v>
      </c>
      <c r="AG28" s="1113">
        <f t="shared" si="3"/>
        <v>54</v>
      </c>
      <c r="AH28" s="1113">
        <f t="shared" si="3"/>
        <v>69</v>
      </c>
      <c r="AI28" s="1112"/>
    </row>
    <row r="29" spans="2:35">
      <c r="B29" s="1111" t="s">
        <v>86</v>
      </c>
      <c r="C29" s="1112"/>
      <c r="D29" s="1113">
        <f>SUM(D9:D10,D13:D14)</f>
        <v>62</v>
      </c>
      <c r="E29" s="1113">
        <f t="shared" ref="E29:AH29" si="4">SUM(E9:E10,E13:E14)</f>
        <v>60</v>
      </c>
      <c r="F29" s="1113">
        <f t="shared" si="4"/>
        <v>85</v>
      </c>
      <c r="G29" s="1113">
        <f t="shared" si="4"/>
        <v>101</v>
      </c>
      <c r="H29" s="1113">
        <f t="shared" si="4"/>
        <v>95</v>
      </c>
      <c r="I29" s="1113">
        <f t="shared" si="4"/>
        <v>82</v>
      </c>
      <c r="J29" s="1113">
        <f t="shared" si="4"/>
        <v>89</v>
      </c>
      <c r="K29" s="1113">
        <f t="shared" si="4"/>
        <v>94</v>
      </c>
      <c r="L29" s="1113">
        <f t="shared" si="4"/>
        <v>91</v>
      </c>
      <c r="M29" s="1113">
        <f t="shared" si="4"/>
        <v>113</v>
      </c>
      <c r="N29" s="1113">
        <f t="shared" si="4"/>
        <v>87</v>
      </c>
      <c r="O29" s="1113">
        <f t="shared" si="4"/>
        <v>87</v>
      </c>
      <c r="P29" s="1113">
        <f t="shared" si="4"/>
        <v>115</v>
      </c>
      <c r="Q29" s="1113">
        <f t="shared" si="4"/>
        <v>135</v>
      </c>
      <c r="R29" s="1113">
        <f t="shared" si="4"/>
        <v>108</v>
      </c>
      <c r="S29" s="1113">
        <f t="shared" si="4"/>
        <v>76</v>
      </c>
      <c r="T29" s="1113">
        <f t="shared" si="4"/>
        <v>58</v>
      </c>
      <c r="U29" s="1113">
        <f t="shared" si="4"/>
        <v>63</v>
      </c>
      <c r="V29" s="1113">
        <f t="shared" si="4"/>
        <v>61</v>
      </c>
      <c r="W29" s="1113">
        <f t="shared" si="4"/>
        <v>-2455</v>
      </c>
      <c r="X29" s="1113">
        <f t="shared" si="4"/>
        <v>57</v>
      </c>
      <c r="Y29" s="1113">
        <f t="shared" si="4"/>
        <v>68</v>
      </c>
      <c r="Z29" s="1113">
        <f t="shared" si="4"/>
        <v>68</v>
      </c>
      <c r="AA29" s="1113">
        <f t="shared" si="4"/>
        <v>81</v>
      </c>
      <c r="AB29" s="1113">
        <f t="shared" si="4"/>
        <v>75</v>
      </c>
      <c r="AC29" s="1113">
        <f t="shared" si="4"/>
        <v>98</v>
      </c>
      <c r="AD29" s="1113">
        <f t="shared" si="4"/>
        <v>70</v>
      </c>
      <c r="AE29" s="1113">
        <f t="shared" si="4"/>
        <v>66</v>
      </c>
      <c r="AF29" s="1113">
        <f t="shared" si="4"/>
        <v>70</v>
      </c>
      <c r="AG29" s="1113">
        <f t="shared" si="4"/>
        <v>80</v>
      </c>
      <c r="AH29" s="1113">
        <f t="shared" si="4"/>
        <v>81</v>
      </c>
      <c r="AI29" s="1112"/>
    </row>
    <row r="30" spans="2:35">
      <c r="B30" s="1111" t="s">
        <v>87</v>
      </c>
      <c r="C30" s="1112"/>
      <c r="D30" s="1112">
        <f>D29/SUM(D28:D29)%</f>
        <v>46.268656716417908</v>
      </c>
      <c r="E30" s="1112">
        <f t="shared" ref="E30:AH30" si="5">E29/SUM(E28:E29)%</f>
        <v>46.153846153846153</v>
      </c>
      <c r="F30" s="1112">
        <f t="shared" si="5"/>
        <v>57.04697986577181</v>
      </c>
      <c r="G30" s="1112">
        <f t="shared" si="5"/>
        <v>56.424581005586589</v>
      </c>
      <c r="H30" s="1112">
        <f t="shared" si="5"/>
        <v>63.333333333333336</v>
      </c>
      <c r="I30" s="1112">
        <f t="shared" si="5"/>
        <v>57.342657342657347</v>
      </c>
      <c r="J30" s="1112">
        <f t="shared" si="5"/>
        <v>60.958904109589042</v>
      </c>
      <c r="K30" s="1112">
        <f t="shared" si="5"/>
        <v>56.969696969696976</v>
      </c>
      <c r="L30" s="1112">
        <f t="shared" si="5"/>
        <v>59.477124183006538</v>
      </c>
      <c r="M30" s="1112">
        <f t="shared" si="5"/>
        <v>59.473684210526315</v>
      </c>
      <c r="N30" s="1112">
        <f t="shared" si="5"/>
        <v>55.063291139240505</v>
      </c>
      <c r="O30" s="1112">
        <f t="shared" si="5"/>
        <v>50.289017341040463</v>
      </c>
      <c r="P30" s="1112">
        <f t="shared" si="5"/>
        <v>56.650246305418726</v>
      </c>
      <c r="Q30" s="1112">
        <f t="shared" si="5"/>
        <v>52.734375</v>
      </c>
      <c r="R30" s="1112">
        <f t="shared" si="5"/>
        <v>45.188284518828446</v>
      </c>
      <c r="S30" s="1112">
        <f t="shared" si="5"/>
        <v>43.930635838150287</v>
      </c>
      <c r="T30" s="1112">
        <f t="shared" si="5"/>
        <v>44.615384615384613</v>
      </c>
      <c r="U30" s="1112">
        <f t="shared" si="5"/>
        <v>45.98540145985401</v>
      </c>
      <c r="V30" s="1112">
        <f t="shared" si="5"/>
        <v>43.571428571428577</v>
      </c>
      <c r="W30" s="1112">
        <f t="shared" si="5"/>
        <v>52.345415778251599</v>
      </c>
      <c r="X30" s="1112">
        <f t="shared" si="5"/>
        <v>43.18181818181818</v>
      </c>
      <c r="Y30" s="1112">
        <f t="shared" si="5"/>
        <v>45.033112582781456</v>
      </c>
      <c r="Z30" s="1112">
        <f t="shared" si="5"/>
        <v>47.552447552447553</v>
      </c>
      <c r="AA30" s="1112">
        <f t="shared" si="5"/>
        <v>53.289473684210527</v>
      </c>
      <c r="AB30" s="1112">
        <f t="shared" si="5"/>
        <v>47.468354430379748</v>
      </c>
      <c r="AC30" s="1112">
        <f t="shared" si="5"/>
        <v>62.025316455696199</v>
      </c>
      <c r="AD30" s="1112">
        <f t="shared" si="5"/>
        <v>49.645390070921991</v>
      </c>
      <c r="AE30" s="1112">
        <f t="shared" si="5"/>
        <v>60.550458715596328</v>
      </c>
      <c r="AF30" s="1112">
        <f t="shared" si="5"/>
        <v>51.851851851851848</v>
      </c>
      <c r="AG30" s="1112">
        <f t="shared" si="5"/>
        <v>59.701492537313428</v>
      </c>
      <c r="AH30" s="1112">
        <f t="shared" si="5"/>
        <v>54</v>
      </c>
      <c r="AI30" s="1112"/>
    </row>
  </sheetData>
  <mergeCells count="4">
    <mergeCell ref="B8:B10"/>
    <mergeCell ref="B12:B14"/>
    <mergeCell ref="B16:B18"/>
    <mergeCell ref="B20:B2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AO89"/>
  <sheetViews>
    <sheetView topLeftCell="R3" zoomScale="85" zoomScaleNormal="85" workbookViewId="0">
      <pane ySplit="1" topLeftCell="A4" activePane="bottomLeft" state="frozen"/>
      <selection activeCell="A3" sqref="A3"/>
      <selection pane="bottomLeft" activeCell="AA14" sqref="AA14"/>
    </sheetView>
  </sheetViews>
  <sheetFormatPr defaultRowHeight="15.75"/>
  <cols>
    <col min="1" max="1" width="8.88671875" style="1123"/>
    <col min="2" max="20" width="7.33203125" style="1123" customWidth="1"/>
    <col min="21" max="39" width="7" style="1123" customWidth="1"/>
    <col min="40" max="16384" width="8.88671875" style="1123"/>
  </cols>
  <sheetData>
    <row r="2" spans="1:41">
      <c r="B2" s="1380" t="s">
        <v>88</v>
      </c>
      <c r="C2" s="1380"/>
      <c r="D2" s="1380"/>
      <c r="E2" s="1380"/>
      <c r="F2" s="1380"/>
      <c r="G2" s="1380"/>
      <c r="H2" s="1380"/>
      <c r="I2" s="1380"/>
      <c r="J2" s="1380"/>
      <c r="K2" s="1380"/>
      <c r="L2" s="1380"/>
      <c r="M2" s="1380"/>
      <c r="N2" s="1380"/>
      <c r="O2" s="1380"/>
      <c r="P2" s="1380"/>
      <c r="Q2" s="1380"/>
      <c r="R2" s="1380"/>
      <c r="S2" s="1380"/>
      <c r="T2" s="1380"/>
      <c r="U2" s="1380"/>
      <c r="V2" s="1380"/>
      <c r="W2" s="1380"/>
      <c r="X2" s="1380"/>
      <c r="Y2" s="1380"/>
      <c r="Z2" s="1380"/>
      <c r="AA2" s="1380"/>
      <c r="AB2" s="1379"/>
      <c r="AC2" s="1379"/>
      <c r="AD2" s="1379"/>
      <c r="AE2" s="1379"/>
      <c r="AF2" s="1379"/>
      <c r="AG2" s="1379"/>
      <c r="AH2" s="1379"/>
      <c r="AI2" s="1204"/>
      <c r="AJ2" s="1378" t="s">
        <v>89</v>
      </c>
      <c r="AK2" s="1378"/>
      <c r="AL2" s="1378"/>
      <c r="AM2" s="1378"/>
    </row>
    <row r="3" spans="1:41" ht="30" customHeight="1">
      <c r="A3" s="1124"/>
      <c r="B3" s="1124" t="s">
        <v>90</v>
      </c>
      <c r="C3" s="1124" t="s">
        <v>91</v>
      </c>
      <c r="D3" s="1124" t="s">
        <v>92</v>
      </c>
      <c r="E3" s="1124" t="s">
        <v>93</v>
      </c>
      <c r="F3" s="1124" t="s">
        <v>94</v>
      </c>
      <c r="G3" s="1124" t="s">
        <v>95</v>
      </c>
      <c r="H3" s="1124" t="s">
        <v>96</v>
      </c>
      <c r="I3" s="1124" t="s">
        <v>97</v>
      </c>
      <c r="J3" s="1124" t="s">
        <v>98</v>
      </c>
      <c r="K3" s="1124" t="s">
        <v>99</v>
      </c>
      <c r="L3" s="1124" t="s">
        <v>100</v>
      </c>
      <c r="M3" s="1124" t="s">
        <v>77</v>
      </c>
      <c r="N3" s="1124" t="s">
        <v>101</v>
      </c>
      <c r="O3" s="1125" t="s">
        <v>102</v>
      </c>
      <c r="P3" s="1125" t="s">
        <v>103</v>
      </c>
      <c r="Q3" s="1125" t="s">
        <v>104</v>
      </c>
      <c r="R3" s="1125" t="s">
        <v>105</v>
      </c>
      <c r="S3" s="472" t="s">
        <v>106</v>
      </c>
      <c r="T3" s="473" t="s">
        <v>107</v>
      </c>
      <c r="U3" s="473" t="s">
        <v>107</v>
      </c>
      <c r="V3" s="473" t="s">
        <v>108</v>
      </c>
      <c r="W3" s="473" t="s">
        <v>109</v>
      </c>
      <c r="X3" s="473" t="s">
        <v>110</v>
      </c>
      <c r="Y3" s="473" t="s">
        <v>111</v>
      </c>
      <c r="Z3" s="473" t="s">
        <v>112</v>
      </c>
      <c r="AA3" s="1124" t="s">
        <v>113</v>
      </c>
      <c r="AB3" s="1124" t="s">
        <v>114</v>
      </c>
      <c r="AC3" s="1124" t="s">
        <v>115</v>
      </c>
      <c r="AD3" s="1124" t="s">
        <v>116</v>
      </c>
      <c r="AE3" s="1124" t="s">
        <v>117</v>
      </c>
      <c r="AF3" s="1124" t="s">
        <v>118</v>
      </c>
      <c r="AG3" s="1124" t="s">
        <v>119</v>
      </c>
      <c r="AH3" s="1124" t="s">
        <v>120</v>
      </c>
      <c r="AI3" s="1124" t="s">
        <v>115</v>
      </c>
      <c r="AJ3" s="1124" t="s">
        <v>41</v>
      </c>
      <c r="AK3" s="1124" t="s">
        <v>42</v>
      </c>
      <c r="AL3" s="1124" t="s">
        <v>344</v>
      </c>
      <c r="AM3" s="1124" t="s">
        <v>121</v>
      </c>
    </row>
    <row r="4" spans="1:41">
      <c r="A4" s="1126">
        <v>44044</v>
      </c>
      <c r="B4" s="1127">
        <f>'1'!G72</f>
        <v>84</v>
      </c>
      <c r="C4" s="1127">
        <f>'1'!$G$73</f>
        <v>0</v>
      </c>
      <c r="D4" s="1127">
        <f>'1'!$G$74</f>
        <v>23</v>
      </c>
      <c r="E4" s="1127">
        <f>'1'!$G$75</f>
        <v>183</v>
      </c>
      <c r="F4" s="1127">
        <f>'1'!$G$76</f>
        <v>74</v>
      </c>
      <c r="G4" s="1127">
        <f>'1'!$G$77</f>
        <v>48</v>
      </c>
      <c r="H4" s="1127">
        <f>'1'!$G$78</f>
        <v>334</v>
      </c>
      <c r="I4" s="1127">
        <f>'1'!$G$79</f>
        <v>205</v>
      </c>
      <c r="J4" s="1127">
        <f>'1'!$G$80</f>
        <v>308</v>
      </c>
      <c r="K4" s="1127">
        <f>'1'!$G$81</f>
        <v>76</v>
      </c>
      <c r="L4" s="1127">
        <f>'1'!$G$82</f>
        <v>45</v>
      </c>
      <c r="M4" s="1127">
        <f>'1'!$G$58</f>
        <v>174.52000000000044</v>
      </c>
      <c r="N4" s="1127">
        <f>'1'!$G$83</f>
        <v>433</v>
      </c>
      <c r="O4" s="1127">
        <f>'1'!G86</f>
        <v>124.35999999998603</v>
      </c>
      <c r="P4" s="1127">
        <f>'1'!G87</f>
        <v>31.399999999994179</v>
      </c>
      <c r="Q4" s="1127">
        <f>'1'!G88</f>
        <v>87</v>
      </c>
      <c r="R4" s="1127">
        <f>'1'!G89+'1'!G90</f>
        <v>75.900000000002819</v>
      </c>
      <c r="S4" s="1127">
        <f>'1'!$G$62</f>
        <v>0</v>
      </c>
      <c r="T4" s="1127">
        <f>'1'!$G$63</f>
        <v>14.460000000000036</v>
      </c>
      <c r="U4" s="1127">
        <f>'1'!$G$64</f>
        <v>445.6299999999901</v>
      </c>
      <c r="V4" s="1127">
        <f>'1'!$G$65</f>
        <v>382.89999999999418</v>
      </c>
      <c r="W4" s="1127">
        <f>'1'!$G$66</f>
        <v>390.09000000000015</v>
      </c>
      <c r="X4" s="1127">
        <f>'1'!$G$67</f>
        <v>657.86000000001513</v>
      </c>
      <c r="Y4" s="1127">
        <f>'1'!$G$68</f>
        <v>327.79000000000087</v>
      </c>
      <c r="Z4" s="1127">
        <f>'1'!$G$69</f>
        <v>319.90000000000146</v>
      </c>
      <c r="AA4" s="1127">
        <f>'1'!$G$84</f>
        <v>521</v>
      </c>
      <c r="AB4" s="1127">
        <f>'1'!$G$15</f>
        <v>797.95000000018626</v>
      </c>
      <c r="AC4" s="1127">
        <f>'1'!$G$123</f>
        <v>270.38000000000466</v>
      </c>
      <c r="AD4" s="1127">
        <f>'1'!$G$124</f>
        <v>0</v>
      </c>
      <c r="AE4" s="1127">
        <f>'1'!$G$125</f>
        <v>59</v>
      </c>
      <c r="AF4" s="1127">
        <f>'1'!$G$126</f>
        <v>28.200000000004366</v>
      </c>
      <c r="AG4" s="1127">
        <f>'1'!$G$127</f>
        <v>0</v>
      </c>
      <c r="AH4" s="1127">
        <f>AB4-SUM(AC4:AG4)</f>
        <v>440.37000000017724</v>
      </c>
      <c r="AI4" s="1127">
        <f>'1'!G140</f>
        <v>0</v>
      </c>
      <c r="AJ4" s="1127">
        <f>'1'!$G$136</f>
        <v>7.8899999999994179</v>
      </c>
      <c r="AK4" s="1127">
        <f>'1'!$G$137</f>
        <v>0.40000000000145519</v>
      </c>
      <c r="AL4" s="1127">
        <f>'1'!$G$138</f>
        <v>0</v>
      </c>
      <c r="AM4" s="1124">
        <f>SUM(AJ4:AL4)</f>
        <v>8.2900000000008731</v>
      </c>
    </row>
    <row r="5" spans="1:41">
      <c r="A5" s="1126">
        <v>44045</v>
      </c>
      <c r="B5" s="1127">
        <f>'2'!G72</f>
        <v>84</v>
      </c>
      <c r="C5" s="1127">
        <f>'2'!$G$73</f>
        <v>0</v>
      </c>
      <c r="D5" s="1127">
        <f>'2'!$G$74</f>
        <v>27</v>
      </c>
      <c r="E5" s="1127">
        <f>'2'!$G$75</f>
        <v>184</v>
      </c>
      <c r="F5" s="1127">
        <f>'2'!$G$76</f>
        <v>73</v>
      </c>
      <c r="G5" s="1127">
        <f>'2'!$G$77</f>
        <v>59</v>
      </c>
      <c r="H5" s="1127">
        <f>'2'!$G$78</f>
        <v>380</v>
      </c>
      <c r="I5" s="1127">
        <f>'2'!$G$79</f>
        <v>196</v>
      </c>
      <c r="J5" s="1127">
        <f>'2'!$G$80</f>
        <v>318</v>
      </c>
      <c r="K5" s="1117">
        <f>'2'!$G$81</f>
        <v>102</v>
      </c>
      <c r="L5" s="1117">
        <f>'2'!$G$82</f>
        <v>55</v>
      </c>
      <c r="M5" s="1117">
        <f>'2'!$G$58</f>
        <v>153.56999999999971</v>
      </c>
      <c r="N5" s="1117">
        <f>'2'!$G$83</f>
        <v>428</v>
      </c>
      <c r="O5" s="1117">
        <f>'2'!G86</f>
        <v>141.64000000001397</v>
      </c>
      <c r="P5" s="1127">
        <f>'2'!G87</f>
        <v>34.30000000000291</v>
      </c>
      <c r="Q5" s="1127">
        <f>'2'!G88</f>
        <v>54</v>
      </c>
      <c r="R5" s="1127">
        <f>'2'!G89+'2'!G90</f>
        <v>95.19999999999709</v>
      </c>
      <c r="S5" s="1127">
        <f>'2'!$G$62</f>
        <v>0</v>
      </c>
      <c r="T5" s="1127">
        <f>'2'!$G$63</f>
        <v>15.009999999999991</v>
      </c>
      <c r="U5" s="1127">
        <f>'2'!$G$64</f>
        <v>435.91000000000349</v>
      </c>
      <c r="V5" s="1127">
        <f>'2'!$G$65</f>
        <v>377.99000000000524</v>
      </c>
      <c r="W5" s="1127">
        <f>'2'!$G$66</f>
        <v>404.17000000000007</v>
      </c>
      <c r="X5" s="1127">
        <f>'2'!$G$67</f>
        <v>670.60999999998603</v>
      </c>
      <c r="Y5" s="1127">
        <f>'2'!$G$68</f>
        <v>341.34999999999854</v>
      </c>
      <c r="Z5" s="1127">
        <f>'2'!$G$69</f>
        <v>310.38999999999942</v>
      </c>
      <c r="AA5" s="1127">
        <f>'2'!$G$84</f>
        <v>534</v>
      </c>
      <c r="AB5" s="1127">
        <f>'2'!$G$15</f>
        <v>860.89999999990687</v>
      </c>
      <c r="AC5" s="1127">
        <f>'2'!$G$123</f>
        <v>258.21999999997206</v>
      </c>
      <c r="AD5" s="1127">
        <f>'2'!$G$124</f>
        <v>0</v>
      </c>
      <c r="AE5" s="1127">
        <f>'2'!$G$125</f>
        <v>62</v>
      </c>
      <c r="AF5" s="1127">
        <f>'2'!$G$126</f>
        <v>52.099999999998545</v>
      </c>
      <c r="AG5" s="1127">
        <f>'2'!$G$127</f>
        <v>3</v>
      </c>
      <c r="AH5" s="1127">
        <f t="shared" ref="AH5:AH34" si="0">AB5-SUM(AC5:AG5)</f>
        <v>485.57999999993626</v>
      </c>
      <c r="AI5" s="1127">
        <f>'2'!$G$140</f>
        <v>0</v>
      </c>
      <c r="AJ5" s="1127">
        <f>'2'!$G$136</f>
        <v>8.7300000000032014</v>
      </c>
      <c r="AK5" s="1127">
        <f>'2'!$G$137</f>
        <v>0.18999999999869033</v>
      </c>
      <c r="AL5" s="1127">
        <f>'2'!$G$138</f>
        <v>0</v>
      </c>
      <c r="AM5" s="1124">
        <f t="shared" ref="AM5:AM34" si="1">SUM(AJ5:AL5)</f>
        <v>8.9200000000018917</v>
      </c>
    </row>
    <row r="6" spans="1:41" s="1130" customFormat="1">
      <c r="A6" s="1128">
        <v>44046</v>
      </c>
      <c r="B6" s="1117">
        <f>'3'!G72</f>
        <v>88</v>
      </c>
      <c r="C6" s="1117">
        <f>'3'!$G$73</f>
        <v>1</v>
      </c>
      <c r="D6" s="1117">
        <f>'3'!$G$74</f>
        <v>24</v>
      </c>
      <c r="E6" s="1117">
        <f>'3'!$G$75</f>
        <v>192</v>
      </c>
      <c r="F6" s="1117">
        <f>'3'!$G$76</f>
        <v>89</v>
      </c>
      <c r="G6" s="1117">
        <f>'3'!$G$77</f>
        <v>47</v>
      </c>
      <c r="H6" s="1117">
        <f>'3'!$G$78</f>
        <v>425</v>
      </c>
      <c r="I6" s="1117">
        <f>'3'!$G$79</f>
        <v>203</v>
      </c>
      <c r="J6" s="1117">
        <f>'3'!$G$80</f>
        <v>327</v>
      </c>
      <c r="K6" s="1117">
        <f>'3'!$G$81</f>
        <v>104</v>
      </c>
      <c r="L6" s="1117">
        <f>'3'!$G$82</f>
        <v>41</v>
      </c>
      <c r="M6" s="1117">
        <f>'3'!$G$58</f>
        <v>170</v>
      </c>
      <c r="N6" s="1117">
        <f>'3'!$G$83</f>
        <v>394</v>
      </c>
      <c r="O6" s="1127">
        <f>'3'!G86</f>
        <v>146</v>
      </c>
      <c r="P6" s="1127">
        <f>'1'!G87</f>
        <v>31.399999999994179</v>
      </c>
      <c r="Q6" s="1127">
        <f>'3'!G88</f>
        <v>63</v>
      </c>
      <c r="R6" s="1127">
        <f>'3'!G89+'3'!G90</f>
        <v>66</v>
      </c>
      <c r="S6" s="1117">
        <f>'3'!$G$62</f>
        <v>0</v>
      </c>
      <c r="T6" s="1117">
        <f>'3'!$G$63</f>
        <v>15</v>
      </c>
      <c r="U6" s="1117">
        <f>'3'!$G$64</f>
        <v>418</v>
      </c>
      <c r="V6" s="1117">
        <f>'3'!$G$65</f>
        <v>374</v>
      </c>
      <c r="W6" s="1117">
        <f>'3'!$G$66</f>
        <v>419</v>
      </c>
      <c r="X6" s="864">
        <f>'3'!$G$67</f>
        <v>725</v>
      </c>
      <c r="Y6" s="864">
        <f>'3'!$G$68</f>
        <v>331</v>
      </c>
      <c r="Z6" s="1117">
        <f>'3'!$G$69</f>
        <v>313</v>
      </c>
      <c r="AA6" s="1117">
        <f>'3'!$G$84</f>
        <v>457</v>
      </c>
      <c r="AB6" s="1117">
        <f>'3'!$G$15</f>
        <v>873</v>
      </c>
      <c r="AC6" s="1117">
        <f>'3'!$G$123</f>
        <v>265</v>
      </c>
      <c r="AD6" s="1117">
        <f>'3'!$G$124</f>
        <v>0</v>
      </c>
      <c r="AE6" s="1117">
        <f>'3'!$G$125</f>
        <v>83</v>
      </c>
      <c r="AF6" s="1117">
        <f>'3'!$G$126</f>
        <v>57</v>
      </c>
      <c r="AG6" s="1117">
        <f>'3'!$G$127</f>
        <v>4</v>
      </c>
      <c r="AH6" s="1117">
        <f t="shared" si="0"/>
        <v>464</v>
      </c>
      <c r="AI6" s="1117">
        <f>'3'!$G$140</f>
        <v>0</v>
      </c>
      <c r="AJ6" s="1117">
        <f>'3'!$G$136</f>
        <v>3.4199999999982538</v>
      </c>
      <c r="AK6" s="1117">
        <f>'3'!$G$137</f>
        <v>4.4700000000011642</v>
      </c>
      <c r="AL6" s="1117">
        <f>'3'!$G$138</f>
        <v>0</v>
      </c>
      <c r="AM6" s="1129">
        <f t="shared" si="1"/>
        <v>7.8899999999994179</v>
      </c>
    </row>
    <row r="7" spans="1:41">
      <c r="A7" s="1126">
        <v>44047</v>
      </c>
      <c r="B7" s="1127">
        <f>'4'!G72</f>
        <v>83</v>
      </c>
      <c r="C7" s="1127">
        <f>'4'!$G$73</f>
        <v>0</v>
      </c>
      <c r="D7" s="1127">
        <f>'4'!$G$74</f>
        <v>32</v>
      </c>
      <c r="E7" s="1127">
        <f>'4'!$G$74</f>
        <v>32</v>
      </c>
      <c r="F7" s="1127">
        <f>'4'!$G$76</f>
        <v>87</v>
      </c>
      <c r="G7" s="1127">
        <f>'4'!$G$77</f>
        <v>71</v>
      </c>
      <c r="H7" s="1127">
        <f>'4'!$G$78</f>
        <v>432</v>
      </c>
      <c r="I7" s="1127">
        <f>'4'!$G$79</f>
        <v>193</v>
      </c>
      <c r="J7" s="1117">
        <f>'4'!$G$80</f>
        <v>310</v>
      </c>
      <c r="K7" s="1117">
        <f>'4'!$G$81</f>
        <v>95</v>
      </c>
      <c r="L7" s="1127">
        <f>'4'!$G$82</f>
        <v>28</v>
      </c>
      <c r="M7" s="1127">
        <f>'4'!$G$58</f>
        <v>179</v>
      </c>
      <c r="N7" s="1127">
        <f>'4'!$G$83</f>
        <v>418</v>
      </c>
      <c r="O7" s="1127">
        <f>'4'!G86</f>
        <v>133</v>
      </c>
      <c r="P7" s="1127">
        <f>'4'!G87</f>
        <v>29</v>
      </c>
      <c r="Q7" s="1127">
        <f>'4'!G88</f>
        <v>75</v>
      </c>
      <c r="R7" s="1127">
        <f>'4'!G89+'4'!G90</f>
        <v>83</v>
      </c>
      <c r="S7" s="1127">
        <f>'4'!$G$62</f>
        <v>-1.0000000002037268E-3</v>
      </c>
      <c r="T7" s="1127">
        <f>'4'!$G$63</f>
        <v>14</v>
      </c>
      <c r="U7" s="1127">
        <f>'4'!$G$64</f>
        <v>419</v>
      </c>
      <c r="V7" s="1127">
        <f>'4'!$G$65</f>
        <v>371</v>
      </c>
      <c r="W7" s="1127">
        <f>'4'!$G$66</f>
        <v>396</v>
      </c>
      <c r="X7" s="1127">
        <f>'4'!$G$67</f>
        <v>701</v>
      </c>
      <c r="Y7" s="1127">
        <f>'4'!$G$68</f>
        <v>343</v>
      </c>
      <c r="Z7" s="1127">
        <f>'4'!$G$69</f>
        <v>296</v>
      </c>
      <c r="AA7" s="1127">
        <f>'4'!$G$84</f>
        <v>474</v>
      </c>
      <c r="AB7" s="1127">
        <f>'4'!$G$15</f>
        <v>796</v>
      </c>
      <c r="AC7" s="1127">
        <f>'4'!$G$123</f>
        <v>275</v>
      </c>
      <c r="AD7" s="1127">
        <f>'4'!$G$124</f>
        <v>0</v>
      </c>
      <c r="AE7" s="1127">
        <f>'4'!$G$125</f>
        <v>68</v>
      </c>
      <c r="AF7" s="1127">
        <f>'4'!$G$126</f>
        <v>32</v>
      </c>
      <c r="AG7" s="1127">
        <f>'4'!$G$127</f>
        <v>1</v>
      </c>
      <c r="AH7" s="1127">
        <f t="shared" si="0"/>
        <v>420</v>
      </c>
      <c r="AI7" s="1127">
        <f>'4'!$G$140</f>
        <v>0</v>
      </c>
      <c r="AJ7" s="1127">
        <f>'4'!$G$136</f>
        <v>5.2299999999995634</v>
      </c>
      <c r="AK7" s="1127">
        <f>'4'!$G$137</f>
        <v>2.1699999999982538</v>
      </c>
      <c r="AL7" s="1127">
        <f>'4'!$G$138</f>
        <v>0</v>
      </c>
      <c r="AM7" s="1124">
        <f t="shared" si="1"/>
        <v>7.3999999999978172</v>
      </c>
    </row>
    <row r="8" spans="1:41">
      <c r="A8" s="1126">
        <v>44048</v>
      </c>
      <c r="B8" s="1127">
        <f>'5'!G72</f>
        <v>70</v>
      </c>
      <c r="C8" s="1127">
        <f>'5'!$G$73</f>
        <v>1</v>
      </c>
      <c r="D8" s="1127">
        <f>'5'!$G$74</f>
        <v>28</v>
      </c>
      <c r="E8" s="1139">
        <f>'5'!$G$75</f>
        <v>173</v>
      </c>
      <c r="F8" s="1127">
        <f>'5'!$G$76</f>
        <v>84</v>
      </c>
      <c r="G8" s="1117">
        <f>'5'!$G$77</f>
        <v>82</v>
      </c>
      <c r="H8" s="1138">
        <f>'5'!$G$78</f>
        <v>399</v>
      </c>
      <c r="I8" s="1138">
        <f>'5'!$G$79</f>
        <v>193</v>
      </c>
      <c r="J8" s="1131">
        <f>'5'!$G$80</f>
        <v>310</v>
      </c>
      <c r="K8" s="1138">
        <f>'5'!$G$81</f>
        <v>100</v>
      </c>
      <c r="L8" s="1127">
        <f>'5'!$G$82</f>
        <v>22</v>
      </c>
      <c r="M8" s="1127">
        <f>'5'!$G$58</f>
        <v>143</v>
      </c>
      <c r="N8" s="1127">
        <f>'5'!$G$83</f>
        <v>503</v>
      </c>
      <c r="O8" s="1138">
        <f>'5'!G86</f>
        <v>112</v>
      </c>
      <c r="P8" s="1127">
        <f>'5'!G87</f>
        <v>33</v>
      </c>
      <c r="Q8" s="1127">
        <f>'5'!G88</f>
        <v>64</v>
      </c>
      <c r="R8" s="1127">
        <f>'5'!G89+'5'!G90</f>
        <v>104</v>
      </c>
      <c r="S8" s="1127">
        <f>'5'!$G$62</f>
        <v>-0.18799999999828287</v>
      </c>
      <c r="T8" s="1127">
        <f>'5'!$G$63</f>
        <v>15</v>
      </c>
      <c r="U8" s="1127">
        <f>'5'!$G$64</f>
        <v>452</v>
      </c>
      <c r="V8" s="1127">
        <f>'5'!$G$65</f>
        <v>370</v>
      </c>
      <c r="W8" s="1127">
        <f>'5'!$G$66</f>
        <v>388</v>
      </c>
      <c r="X8" s="1127">
        <f>'5'!$G$67</f>
        <v>710</v>
      </c>
      <c r="Y8" s="1127">
        <f>'5'!$G$68</f>
        <v>344</v>
      </c>
      <c r="Z8" s="1127">
        <f>'5'!$G$69</f>
        <v>297</v>
      </c>
      <c r="AA8" s="1127">
        <f>'5'!$G$84</f>
        <v>467</v>
      </c>
      <c r="AB8" s="1138">
        <f>'5'!$G$15</f>
        <v>778</v>
      </c>
      <c r="AC8" s="1127">
        <f>'5'!$G$123</f>
        <v>269</v>
      </c>
      <c r="AD8" s="1127">
        <f>'5'!$G$124</f>
        <v>0</v>
      </c>
      <c r="AE8" s="1127">
        <f>'5'!$G$125</f>
        <v>77</v>
      </c>
      <c r="AF8" s="1127">
        <f>'5'!$G$126</f>
        <v>30</v>
      </c>
      <c r="AG8" s="1127">
        <f>'5'!$G$127</f>
        <v>5</v>
      </c>
      <c r="AH8" s="1127">
        <f t="shared" si="0"/>
        <v>397</v>
      </c>
      <c r="AI8" s="1127">
        <f>'5'!$G$140</f>
        <v>0</v>
      </c>
      <c r="AJ8" s="1127">
        <f>'5'!$G$136</f>
        <v>5.9900000000016007</v>
      </c>
      <c r="AK8" s="1127">
        <f>'5'!$G$137</f>
        <v>0.61000000000058208</v>
      </c>
      <c r="AL8" s="1127">
        <f>'5'!$G$138</f>
        <v>0</v>
      </c>
      <c r="AM8" s="1124">
        <f t="shared" si="1"/>
        <v>6.6000000000021828</v>
      </c>
    </row>
    <row r="9" spans="1:41">
      <c r="A9" s="1126">
        <v>44049</v>
      </c>
      <c r="B9" s="1127">
        <f>'6'!G72</f>
        <v>67</v>
      </c>
      <c r="C9" s="1127">
        <f>'6'!$G$73</f>
        <v>0</v>
      </c>
      <c r="D9" s="1127">
        <f>'6'!$G$74</f>
        <v>30</v>
      </c>
      <c r="E9" s="1127">
        <f>'6'!$G$75</f>
        <v>171</v>
      </c>
      <c r="F9" s="1127">
        <f>'6'!$G$76</f>
        <v>81</v>
      </c>
      <c r="G9" s="1127">
        <f>'6'!$G$77</f>
        <v>64</v>
      </c>
      <c r="H9" s="1117">
        <f>'6'!$G$78</f>
        <v>468</v>
      </c>
      <c r="I9" s="1117">
        <f>'6'!$G$79</f>
        <v>203</v>
      </c>
      <c r="J9" s="1117">
        <f>'6'!$G$80</f>
        <v>308</v>
      </c>
      <c r="K9" s="1117">
        <f>'6'!$G$81</f>
        <v>104</v>
      </c>
      <c r="L9" s="1117">
        <f>'6'!$G$82</f>
        <v>21</v>
      </c>
      <c r="M9" s="1117">
        <f>'6'!$G$58</f>
        <v>158</v>
      </c>
      <c r="N9" s="1117">
        <f>'6'!$G$83</f>
        <v>485</v>
      </c>
      <c r="O9" s="1117">
        <f>'6'!G86</f>
        <v>159</v>
      </c>
      <c r="P9" s="1117">
        <f>'6'!G87</f>
        <v>20</v>
      </c>
      <c r="Q9" s="1117">
        <f>'6'!G88</f>
        <v>63</v>
      </c>
      <c r="R9" s="1117">
        <f>'6'!G89+'6'!G90</f>
        <v>51</v>
      </c>
      <c r="S9" s="1127">
        <f>'6'!$G$62</f>
        <v>0</v>
      </c>
      <c r="T9" s="1127">
        <f>'6'!$G$63</f>
        <v>14</v>
      </c>
      <c r="U9" s="1127">
        <f>'6'!$G$64</f>
        <v>405</v>
      </c>
      <c r="V9" s="1127">
        <f>'6'!$G$65</f>
        <v>367</v>
      </c>
      <c r="W9" s="1127">
        <f>'6'!$G$66</f>
        <v>393</v>
      </c>
      <c r="X9" s="1127">
        <f>'6'!$G$67</f>
        <v>715</v>
      </c>
      <c r="Y9" s="1127">
        <f>'6'!$G$68</f>
        <v>355</v>
      </c>
      <c r="Z9" s="1127">
        <f>'6'!$G$69</f>
        <v>280</v>
      </c>
      <c r="AA9" s="1127">
        <f>'6'!$G$84</f>
        <v>477</v>
      </c>
      <c r="AB9" s="1127">
        <f>'6'!$G$15</f>
        <v>814</v>
      </c>
      <c r="AC9" s="1166">
        <f>'6'!$G$123</f>
        <v>288</v>
      </c>
      <c r="AD9" s="1127">
        <f>'6'!$G$124</f>
        <v>0</v>
      </c>
      <c r="AE9" s="1127">
        <f>'6'!$G$125</f>
        <v>63</v>
      </c>
      <c r="AF9" s="1127">
        <f>'6'!$G$126</f>
        <v>43</v>
      </c>
      <c r="AG9" s="1127">
        <f>'6'!$G$127</f>
        <v>3</v>
      </c>
      <c r="AH9" s="1127">
        <f t="shared" si="0"/>
        <v>417</v>
      </c>
      <c r="AI9" s="1127">
        <f>'6'!$G$140</f>
        <v>0</v>
      </c>
      <c r="AJ9" s="1127">
        <f>'6'!$G$136</f>
        <v>4.7999999999992724</v>
      </c>
      <c r="AK9" s="1127">
        <f>'6'!$G$137</f>
        <v>2.25</v>
      </c>
      <c r="AL9" s="1127">
        <f>'6'!$G$138</f>
        <v>0</v>
      </c>
      <c r="AM9" s="1124">
        <f t="shared" si="1"/>
        <v>7.0499999999992724</v>
      </c>
    </row>
    <row r="10" spans="1:41">
      <c r="A10" s="1126">
        <v>44050</v>
      </c>
      <c r="B10" s="1127">
        <f>'7'!G72</f>
        <v>82</v>
      </c>
      <c r="C10" s="1127">
        <f>'7'!$G$73</f>
        <v>0</v>
      </c>
      <c r="D10" s="1127">
        <f>'7'!$G$74</f>
        <v>24</v>
      </c>
      <c r="E10" s="1127">
        <f>'7'!$G$75</f>
        <v>179</v>
      </c>
      <c r="F10" s="1127">
        <f>'7'!$G$76</f>
        <v>87</v>
      </c>
      <c r="G10" s="1127">
        <f>'7'!$G$77</f>
        <v>51</v>
      </c>
      <c r="H10" s="1117">
        <f>'7'!$G$78</f>
        <v>458</v>
      </c>
      <c r="I10" s="1117">
        <f>'7'!$G$79</f>
        <v>194</v>
      </c>
      <c r="J10" s="1117">
        <f>'7'!$G$80</f>
        <v>317</v>
      </c>
      <c r="K10" s="1117">
        <f>'7'!$G$81</f>
        <v>103</v>
      </c>
      <c r="L10" s="1117">
        <f>'7'!$G$82</f>
        <v>26</v>
      </c>
      <c r="M10" s="1117">
        <f>'7'!$G$58</f>
        <v>169</v>
      </c>
      <c r="N10" s="1131">
        <f>'7'!$G$83</f>
        <v>481</v>
      </c>
      <c r="O10" s="1154">
        <f>'7'!G86</f>
        <v>114</v>
      </c>
      <c r="P10" s="1117">
        <f>'7'!G87</f>
        <v>0.5</v>
      </c>
      <c r="Q10" s="1117">
        <f>'7'!G88</f>
        <v>30</v>
      </c>
      <c r="R10" s="1117">
        <f>'7'!G89+'7'!G90</f>
        <v>49</v>
      </c>
      <c r="S10" s="1127">
        <f>'7'!$G$62</f>
        <v>0</v>
      </c>
      <c r="T10" s="1127">
        <f>'7'!$G$63</f>
        <v>14</v>
      </c>
      <c r="U10" s="1127">
        <f>'7'!$G$64</f>
        <v>374.60000000000582</v>
      </c>
      <c r="V10" s="1127">
        <f>'7'!$G$65</f>
        <v>378.66999999999825</v>
      </c>
      <c r="W10" s="1127">
        <f>'7'!$G$66</f>
        <v>409</v>
      </c>
      <c r="X10" s="1127">
        <f>'7'!$G$67</f>
        <v>727.98999999999069</v>
      </c>
      <c r="Y10" s="1131">
        <f>'7'!$G$68</f>
        <v>330</v>
      </c>
      <c r="Z10" s="1127">
        <f>'7'!$G$69</f>
        <v>310</v>
      </c>
      <c r="AA10" s="1127">
        <f>'7'!$G$84</f>
        <v>466</v>
      </c>
      <c r="AB10" s="1127">
        <f>'7'!$G$15</f>
        <v>844.44999999995343</v>
      </c>
      <c r="AC10" s="1166">
        <f>'7'!$G$123</f>
        <v>296</v>
      </c>
      <c r="AD10" s="1127">
        <f>'7'!$G$124</f>
        <v>1.3999999999941792</v>
      </c>
      <c r="AE10" s="1127">
        <f>'7'!$G$125</f>
        <v>60.970000000001164</v>
      </c>
      <c r="AF10" s="1127">
        <f>'7'!$G$126</f>
        <v>40</v>
      </c>
      <c r="AG10" s="1127">
        <f>'7'!$G$127</f>
        <v>2</v>
      </c>
      <c r="AH10" s="1127">
        <f t="shared" si="0"/>
        <v>444.07999999995809</v>
      </c>
      <c r="AI10" s="1127">
        <f>'7'!$G$140</f>
        <v>0</v>
      </c>
      <c r="AJ10" s="1127">
        <f>'7'!$G$136</f>
        <v>7.9199999999982538</v>
      </c>
      <c r="AK10" s="1127">
        <f>'7'!$G$137</f>
        <v>-2.9999999998835847E-2</v>
      </c>
      <c r="AL10" s="1127">
        <f>'7'!$G$138</f>
        <v>0</v>
      </c>
      <c r="AM10" s="1124">
        <f t="shared" si="1"/>
        <v>7.8899999999994179</v>
      </c>
    </row>
    <row r="11" spans="1:41">
      <c r="A11" s="1126">
        <v>44051</v>
      </c>
      <c r="B11" s="1127">
        <f>'8'!G72</f>
        <v>67</v>
      </c>
      <c r="C11" s="1127">
        <f>'8'!$G$73</f>
        <v>0</v>
      </c>
      <c r="D11" s="1127">
        <f>'8'!$G$74</f>
        <v>23</v>
      </c>
      <c r="E11" s="1127">
        <f>'8'!$G$75</f>
        <v>178</v>
      </c>
      <c r="F11" s="1127">
        <f>'8'!$G$76</f>
        <v>95</v>
      </c>
      <c r="G11" s="1127">
        <f>'8'!$G$77</f>
        <v>49</v>
      </c>
      <c r="H11" s="1117">
        <f>'8'!$G$78</f>
        <v>413</v>
      </c>
      <c r="I11" s="1117">
        <f>'8'!$G$79</f>
        <v>170</v>
      </c>
      <c r="J11" s="1117">
        <f>'8'!$G$80</f>
        <v>264.96000000002095</v>
      </c>
      <c r="K11" s="1117">
        <f>'8'!$G$81</f>
        <v>89</v>
      </c>
      <c r="L11" s="1117">
        <f>'8'!$G$82</f>
        <v>24.80000000000291</v>
      </c>
      <c r="M11" s="1117">
        <f>'8'!$G$58</f>
        <v>201.56000000000131</v>
      </c>
      <c r="N11" s="1117">
        <f>'8'!$G$83</f>
        <v>484</v>
      </c>
      <c r="O11" s="1117">
        <f>'8'!G86</f>
        <v>131</v>
      </c>
      <c r="P11" s="1117">
        <f>'8'!G87</f>
        <v>32</v>
      </c>
      <c r="Q11" s="1117">
        <f>'8'!G88</f>
        <v>65.559999999997672</v>
      </c>
      <c r="R11" s="1117">
        <f>'8'!G89+'8'!G90</f>
        <v>68.000000000002728</v>
      </c>
      <c r="S11" s="1127">
        <f>'8'!$G$62</f>
        <v>0</v>
      </c>
      <c r="T11" s="1127">
        <f>'8'!$G$63</f>
        <v>14</v>
      </c>
      <c r="U11" s="1127">
        <f>'8'!$G$64</f>
        <v>418.39999999999418</v>
      </c>
      <c r="V11" s="1127">
        <f>'8'!$G$65</f>
        <v>388.90000000000873</v>
      </c>
      <c r="W11" s="1127">
        <f>'8'!$G$66</f>
        <v>393</v>
      </c>
      <c r="X11" s="1127">
        <f>'8'!$G$67</f>
        <v>697.54000000000815</v>
      </c>
      <c r="Y11" s="1127">
        <f>'8'!$G$68</f>
        <v>344</v>
      </c>
      <c r="Z11" s="1127">
        <f>'8'!$G$69</f>
        <v>284</v>
      </c>
      <c r="AA11" s="1127">
        <f>'8'!$G$84</f>
        <v>476</v>
      </c>
      <c r="AB11" s="1127">
        <f>'8'!$G$15</f>
        <v>816.28000000002794</v>
      </c>
      <c r="AC11" s="1127">
        <f>'8'!$G$123</f>
        <v>274.97999999998137</v>
      </c>
      <c r="AD11" s="1127">
        <f>'8'!$G$124</f>
        <v>0</v>
      </c>
      <c r="AE11" s="1127">
        <f>'8'!$G$125</f>
        <v>56.75</v>
      </c>
      <c r="AF11" s="1127">
        <f>'8'!$G$126</f>
        <v>32.30000000000291</v>
      </c>
      <c r="AG11" s="1127">
        <f>'8'!$G$127</f>
        <v>2</v>
      </c>
      <c r="AH11" s="1127">
        <f t="shared" si="0"/>
        <v>450.25000000004366</v>
      </c>
      <c r="AI11" s="1127">
        <f>'8'!$G$140</f>
        <v>0</v>
      </c>
      <c r="AJ11" s="1127">
        <f>'8'!$G$136</f>
        <v>8.6300000000010186</v>
      </c>
      <c r="AK11" s="1127">
        <f>'8'!$G$137</f>
        <v>2.9999999998835847E-2</v>
      </c>
      <c r="AL11" s="1127">
        <f>'8'!$G$138</f>
        <v>0</v>
      </c>
      <c r="AM11" s="1124">
        <f t="shared" si="1"/>
        <v>8.6599999999998545</v>
      </c>
    </row>
    <row r="12" spans="1:41">
      <c r="A12" s="1126">
        <v>44052</v>
      </c>
      <c r="B12" s="1127">
        <f>'9'!G72</f>
        <v>50</v>
      </c>
      <c r="C12" s="1127">
        <f>'9'!$G$73</f>
        <v>0</v>
      </c>
      <c r="D12" s="1127">
        <f>'9'!$G$74</f>
        <v>24</v>
      </c>
      <c r="E12" s="1127">
        <f>'9'!$G$75</f>
        <v>175</v>
      </c>
      <c r="F12" s="1127">
        <f>'9'!$G$76</f>
        <v>143</v>
      </c>
      <c r="G12" s="1127">
        <f>'9'!$G$77</f>
        <v>44</v>
      </c>
      <c r="H12" s="1117">
        <f>'9'!$G$78</f>
        <v>412</v>
      </c>
      <c r="I12" s="1117">
        <f>'9'!$G$79</f>
        <v>190</v>
      </c>
      <c r="J12" s="1117">
        <f>'9'!$G$80</f>
        <v>286.03999999997905</v>
      </c>
      <c r="K12" s="1117">
        <f>'9'!$G$81</f>
        <v>102.92000000004191</v>
      </c>
      <c r="L12" s="1117">
        <f>'9'!$G$82</f>
        <v>32.020000000004075</v>
      </c>
      <c r="M12" s="1117">
        <f>'9'!$G$58</f>
        <v>100.22999999999956</v>
      </c>
      <c r="N12" s="1117">
        <f>'9'!$G$83</f>
        <v>413</v>
      </c>
      <c r="O12" s="1117">
        <f>'9'!G86</f>
        <v>134.79999999998836</v>
      </c>
      <c r="P12" s="1117">
        <f>'9'!G87</f>
        <v>35.80000000000291</v>
      </c>
      <c r="Q12" s="1117">
        <f>'9'!G88</f>
        <v>50.440000000002328</v>
      </c>
      <c r="R12" s="1117">
        <f>'9'!G89+'9'!H90</f>
        <v>65</v>
      </c>
      <c r="S12" s="1127">
        <f>'9'!$G$62</f>
        <v>0</v>
      </c>
      <c r="T12" s="1127">
        <f>'9'!$G$63</f>
        <v>13.25</v>
      </c>
      <c r="U12" s="1127">
        <f>'9'!$G$64</f>
        <v>406</v>
      </c>
      <c r="V12" s="1138">
        <f>'9'!$G$65</f>
        <v>377.30999999999767</v>
      </c>
      <c r="W12" s="1138">
        <f>'9'!$G$66</f>
        <v>378</v>
      </c>
      <c r="X12" s="1127">
        <f>'9'!$G$67</f>
        <v>693.47000000000116</v>
      </c>
      <c r="Y12" s="1127">
        <f>'9'!$G$68</f>
        <v>343</v>
      </c>
      <c r="Z12" s="1127">
        <f>'9'!$G$69</f>
        <v>276</v>
      </c>
      <c r="AA12" s="1127">
        <f>'9'!$G$84</f>
        <v>482</v>
      </c>
      <c r="AB12" s="1127">
        <f>'9'!$G$15</f>
        <v>637.05000000004657</v>
      </c>
      <c r="AC12" s="1127">
        <f>'9'!$G$123</f>
        <v>310.02000000001863</v>
      </c>
      <c r="AD12" s="1127">
        <f>'9'!$G$124</f>
        <v>0</v>
      </c>
      <c r="AE12" s="1127">
        <f>'9'!$G$125</f>
        <v>47.85999999998603</v>
      </c>
      <c r="AF12" s="1127">
        <f>'9'!$G$126</f>
        <v>31.69999999999709</v>
      </c>
      <c r="AG12" s="1127">
        <f>'9'!$G$127</f>
        <v>1.7999999999992724</v>
      </c>
      <c r="AH12" s="1127">
        <f t="shared" si="0"/>
        <v>245.67000000004555</v>
      </c>
      <c r="AI12" s="1127">
        <f>'9'!$G$140</f>
        <v>0</v>
      </c>
      <c r="AJ12" s="1127">
        <f>'9'!$G$136</f>
        <v>0.25</v>
      </c>
      <c r="AK12" s="1127">
        <f>'9'!$G$137</f>
        <v>-2.9999999998835847E-2</v>
      </c>
      <c r="AL12" s="1127">
        <f>'9'!$G$138</f>
        <v>9.0800000000017462</v>
      </c>
      <c r="AM12" s="1124">
        <f t="shared" si="1"/>
        <v>9.3000000000029104</v>
      </c>
    </row>
    <row r="13" spans="1:41">
      <c r="A13" s="1126">
        <v>44053</v>
      </c>
      <c r="B13" s="1127">
        <f>'10'!G72</f>
        <v>44</v>
      </c>
      <c r="C13" s="1127">
        <f>'10'!$G$73</f>
        <v>0</v>
      </c>
      <c r="D13" s="1127">
        <f>'10'!$G$74</f>
        <v>15.209999999999999</v>
      </c>
      <c r="E13" s="1127">
        <f>'10'!$G$75</f>
        <v>183.85</v>
      </c>
      <c r="F13" s="1127">
        <f>'10'!$G$76</f>
        <v>80.050000000000011</v>
      </c>
      <c r="G13" s="1127">
        <f>'10'!$G$77</f>
        <v>48</v>
      </c>
      <c r="H13" s="1117">
        <f>'10'!$G$78</f>
        <v>433</v>
      </c>
      <c r="I13" s="1117">
        <f>'10'!$G$79</f>
        <v>185</v>
      </c>
      <c r="J13" s="1132">
        <f>'10'!$G$80</f>
        <v>284.76000000000931</v>
      </c>
      <c r="K13" s="1132">
        <f>'10'!$G$81</f>
        <v>103.07999999995809</v>
      </c>
      <c r="L13" s="1117">
        <f>'10'!$G$82</f>
        <v>25.159999999988941</v>
      </c>
      <c r="M13" s="1117">
        <f>'10'!$G$58</f>
        <v>197.62999999999738</v>
      </c>
      <c r="N13" s="1117">
        <f>'10'!$G$83</f>
        <v>262</v>
      </c>
      <c r="O13" s="1117">
        <f>'10'!G86</f>
        <v>147.20000000001164</v>
      </c>
      <c r="P13" s="1117">
        <f>'10'!G87</f>
        <v>36.099999999991269</v>
      </c>
      <c r="Q13" s="1117">
        <f>'10'!G88</f>
        <v>83</v>
      </c>
      <c r="R13" s="1117">
        <f>'10'!G87+'10'!H90</f>
        <v>49.799999999991087</v>
      </c>
      <c r="S13" s="1127">
        <f>'10'!$G$62</f>
        <v>0</v>
      </c>
      <c r="T13" s="1127">
        <f>'10'!$G$63</f>
        <v>12.450000000000045</v>
      </c>
      <c r="U13" s="1127">
        <f>'10'!$G$64</f>
        <v>440.7100000000064</v>
      </c>
      <c r="V13" s="1127">
        <f>'10'!$G$65</f>
        <v>374.11999999999534</v>
      </c>
      <c r="W13" s="1127">
        <f>'10'!$G$66</f>
        <v>374</v>
      </c>
      <c r="X13" s="1127">
        <f>'10'!$G$67</f>
        <v>725</v>
      </c>
      <c r="Y13" s="1127">
        <f>'10'!$G$68</f>
        <v>345</v>
      </c>
      <c r="Z13" s="1127">
        <f>'10'!$G$69</f>
        <v>295.80000000000291</v>
      </c>
      <c r="AA13" s="1127">
        <f>'10'!$G$84</f>
        <v>496</v>
      </c>
      <c r="AB13" s="1127">
        <f>'10'!$G$15</f>
        <v>899.0999999998603</v>
      </c>
      <c r="AC13" s="1127">
        <f>'10'!$G$123</f>
        <v>286</v>
      </c>
      <c r="AD13" s="1127">
        <f>'10'!$G$124</f>
        <v>0</v>
      </c>
      <c r="AE13" s="1127">
        <f>'10'!$G$125</f>
        <v>78.260000000009313</v>
      </c>
      <c r="AF13" s="1127">
        <f>'10'!$G$126</f>
        <v>32</v>
      </c>
      <c r="AG13" s="1127">
        <f>'10'!$G$127</f>
        <v>1.2000000000007276</v>
      </c>
      <c r="AH13" s="1127">
        <f t="shared" si="0"/>
        <v>501.63999999985026</v>
      </c>
      <c r="AI13" s="1127">
        <f>'10'!$G$140</f>
        <v>0</v>
      </c>
      <c r="AJ13" s="1127">
        <f>'10'!$G$136</f>
        <v>8.6199999999989814</v>
      </c>
      <c r="AK13" s="1127">
        <f>'10'!$G$137</f>
        <v>0</v>
      </c>
      <c r="AL13" s="1127">
        <f>'10'!$G$138</f>
        <v>2.0299999999988358</v>
      </c>
      <c r="AM13" s="1124">
        <f t="shared" si="1"/>
        <v>10.649999999997817</v>
      </c>
    </row>
    <row r="14" spans="1:41">
      <c r="A14" s="1126">
        <v>44054</v>
      </c>
      <c r="B14" s="1127">
        <f>'11'!G72</f>
        <v>50</v>
      </c>
      <c r="C14" s="1127">
        <f>'11'!$G$73</f>
        <v>1</v>
      </c>
      <c r="D14" s="1127">
        <f>'11'!$G$74</f>
        <v>15.119999999999997</v>
      </c>
      <c r="E14" s="1127">
        <f>'11'!$G$75</f>
        <v>171.48000000000002</v>
      </c>
      <c r="F14" s="1127">
        <f>'11'!$G$76</f>
        <v>60.669999999999987</v>
      </c>
      <c r="G14" s="1127">
        <f>'11'!$G$77</f>
        <v>58</v>
      </c>
      <c r="H14" s="1117">
        <f>'11'!$G$78</f>
        <v>434</v>
      </c>
      <c r="I14" s="1117">
        <f>'11'!$G$79</f>
        <v>186</v>
      </c>
      <c r="J14" s="1117">
        <f>'11'!$G$80</f>
        <v>318.15999999997439</v>
      </c>
      <c r="K14" s="1117">
        <f>'11'!$G$81</f>
        <v>122.52000000001863</v>
      </c>
      <c r="L14" s="1117">
        <f>'11'!$G$82</f>
        <v>23.480000000010477</v>
      </c>
      <c r="M14" s="1117">
        <f>'11'!$G$58</f>
        <v>167.58000000000175</v>
      </c>
      <c r="N14" s="1117">
        <f>'11'!$G$83</f>
        <v>306</v>
      </c>
      <c r="O14" s="1117">
        <f>'11'!G86</f>
        <v>114.88000000000466</v>
      </c>
      <c r="P14" s="1117">
        <f>'11'!G87</f>
        <v>30.900000000008731</v>
      </c>
      <c r="Q14" s="1117">
        <f>'11'!G88</f>
        <v>67.700000000011642</v>
      </c>
      <c r="R14" s="1117">
        <f>'11'!G87+'11'!H90</f>
        <v>34.600000000009004</v>
      </c>
      <c r="S14" s="1127">
        <f>'11'!$G$62</f>
        <v>0</v>
      </c>
      <c r="T14" s="1127">
        <f>'11'!$G$63</f>
        <v>12.299999999999955</v>
      </c>
      <c r="U14" s="1127">
        <f>'11'!$G$64</f>
        <v>394.2899999999936</v>
      </c>
      <c r="V14" s="1127">
        <f>'11'!$G$65</f>
        <v>370</v>
      </c>
      <c r="W14" s="1127">
        <f>'11'!$G$66</f>
        <v>381</v>
      </c>
      <c r="X14" s="1127">
        <f>'11'!$G$67</f>
        <v>708</v>
      </c>
      <c r="Y14" s="1127">
        <f>'11'!$G$68</f>
        <v>322</v>
      </c>
      <c r="Z14" s="1127">
        <f>'11'!$G$69</f>
        <v>312.19999999999709</v>
      </c>
      <c r="AA14" s="1127">
        <f>'11'!$G$84</f>
        <v>447</v>
      </c>
      <c r="AB14" s="1127">
        <f>'11'!$G$15</f>
        <v>887.12000000011176</v>
      </c>
      <c r="AC14" s="1127">
        <f>'11'!$G$123</f>
        <v>302.85999999998603</v>
      </c>
      <c r="AD14" s="1127">
        <f>'11'!$G$124</f>
        <v>0</v>
      </c>
      <c r="AE14" s="1127">
        <f>'11'!$G$125</f>
        <v>65.019999999989523</v>
      </c>
      <c r="AF14" s="1127">
        <f>'11'!$G$126</f>
        <v>38.80000000000291</v>
      </c>
      <c r="AG14" s="1127">
        <f>'11'!$G$127</f>
        <v>0</v>
      </c>
      <c r="AH14" s="1127">
        <f t="shared" si="0"/>
        <v>480.4400000001333</v>
      </c>
      <c r="AI14" s="1127">
        <f>'11'!$G$140</f>
        <v>0</v>
      </c>
      <c r="AJ14" s="1127">
        <f>'11'!$G$136</f>
        <v>7.8400000000001455</v>
      </c>
      <c r="AK14" s="1127">
        <f>'11'!$G$137</f>
        <v>0</v>
      </c>
      <c r="AL14" s="1127">
        <f>'11'!$G$138</f>
        <v>3</v>
      </c>
      <c r="AM14" s="1124">
        <f t="shared" si="1"/>
        <v>10.840000000000146</v>
      </c>
    </row>
    <row r="15" spans="1:41">
      <c r="A15" s="1126">
        <v>44055</v>
      </c>
      <c r="B15" s="1127">
        <f>'12'!G72</f>
        <v>100</v>
      </c>
      <c r="C15" s="1127">
        <f>'12'!$G$73</f>
        <v>3</v>
      </c>
      <c r="D15" s="1127">
        <f>'12'!$G$74</f>
        <v>14.780000000000001</v>
      </c>
      <c r="E15" s="1127">
        <f>'12'!$G$75</f>
        <v>182.45</v>
      </c>
      <c r="F15" s="1127">
        <f>'12'!$G$76</f>
        <v>81.20999999999998</v>
      </c>
      <c r="G15" s="1127">
        <f>'12'!$G$77</f>
        <v>54</v>
      </c>
      <c r="H15" s="1117">
        <f>'12'!$G$78</f>
        <v>368</v>
      </c>
      <c r="I15" s="1117">
        <f>'12'!$G$79</f>
        <v>174</v>
      </c>
      <c r="J15" s="1117">
        <f>'12'!$G$80</f>
        <v>295.52000000001863</v>
      </c>
      <c r="K15" s="1117">
        <f>'12'!$G$81</f>
        <v>103.91999999992549</v>
      </c>
      <c r="L15" s="1117">
        <f>'12'!$G$82</f>
        <v>23.229999999995925</v>
      </c>
      <c r="M15" s="1117">
        <f>'12'!$G$58</f>
        <v>180.08000000000175</v>
      </c>
      <c r="N15" s="1117">
        <f>'12'!$G$83</f>
        <v>303</v>
      </c>
      <c r="O15" s="1117">
        <f>'12'!G86</f>
        <v>119.03999999997905</v>
      </c>
      <c r="P15" s="1117">
        <f>'12'!G87</f>
        <v>27.30000000000291</v>
      </c>
      <c r="Q15" s="1117">
        <f>'12'!G88</f>
        <v>75.459999999991851</v>
      </c>
      <c r="R15" s="1117">
        <f>'12'!G87+'12'!H90</f>
        <v>32.000000000002728</v>
      </c>
      <c r="S15" s="1127">
        <f>'12'!$G$62</f>
        <v>0</v>
      </c>
      <c r="T15" s="1127">
        <f>'12'!$G$63</f>
        <v>7.8699999999998909</v>
      </c>
      <c r="U15" s="1127">
        <f>'12'!$G$64</f>
        <v>424.58999999999651</v>
      </c>
      <c r="V15" s="1127">
        <f>'12'!$G$65</f>
        <v>376.19999999999709</v>
      </c>
      <c r="W15" s="1127">
        <f>'12'!$G$66</f>
        <v>359.14500000000044</v>
      </c>
      <c r="X15" s="1127">
        <f>'12'!$G$67</f>
        <v>665.70999999999185</v>
      </c>
      <c r="Y15" s="1127">
        <f>'12'!$G$68</f>
        <v>349.86000000000058</v>
      </c>
      <c r="Z15" s="1127">
        <f>'12'!$G$69</f>
        <v>306.55000000000291</v>
      </c>
      <c r="AA15" s="1127">
        <f>'12'!$G$84</f>
        <v>348</v>
      </c>
      <c r="AB15" s="1127">
        <f>'12'!$G$15</f>
        <v>914.91800000006333</v>
      </c>
      <c r="AC15" s="1166">
        <f>'12'!$G$123</f>
        <v>274.02000000001863</v>
      </c>
      <c r="AD15" s="1127">
        <f>'12'!$G$124</f>
        <v>0</v>
      </c>
      <c r="AE15" s="1155">
        <f>'12'!$G$125</f>
        <v>78.14000000001397</v>
      </c>
      <c r="AF15" s="1127">
        <f>'12'!$G$126</f>
        <v>37.69999999999709</v>
      </c>
      <c r="AG15" s="1127">
        <f>'12'!$G$127</f>
        <v>3.3999999999996362</v>
      </c>
      <c r="AH15" s="1127">
        <f t="shared" si="0"/>
        <v>521.65800000003401</v>
      </c>
      <c r="AI15" s="1127">
        <f>'12'!$G$140</f>
        <v>-0.47000000000025466</v>
      </c>
      <c r="AJ15" s="1127">
        <f>'12'!$G$136</f>
        <v>8.8600000000005821</v>
      </c>
      <c r="AK15" s="1127">
        <f>'12'!$G$137</f>
        <v>2.9999999998835847E-2</v>
      </c>
      <c r="AL15" s="1127">
        <f>'12'!$G$138</f>
        <v>5.5200000000040745</v>
      </c>
      <c r="AM15" s="1124">
        <f t="shared" si="1"/>
        <v>14.410000000003492</v>
      </c>
      <c r="AO15" s="1133">
        <f>AC15-AE15</f>
        <v>195.88000000000466</v>
      </c>
    </row>
    <row r="16" spans="1:41">
      <c r="A16" s="1126">
        <v>44056</v>
      </c>
      <c r="B16" s="1127">
        <f>'13'!G72</f>
        <v>87</v>
      </c>
      <c r="C16" s="1127">
        <f>'13'!$G$73</f>
        <v>3</v>
      </c>
      <c r="D16" s="1127">
        <f>'13'!$G$74</f>
        <v>23.934999999999995</v>
      </c>
      <c r="E16" s="1127">
        <f>'13'!$G$75</f>
        <v>190.29999999999995</v>
      </c>
      <c r="F16" s="1127">
        <f>'13'!$G$76</f>
        <v>81.100000000000023</v>
      </c>
      <c r="G16" s="1127">
        <f>'13'!$G$77</f>
        <v>55</v>
      </c>
      <c r="H16" s="1117">
        <f>'13'!$G$78</f>
        <v>416</v>
      </c>
      <c r="I16" s="1117">
        <f>'13'!$G$79</f>
        <v>215</v>
      </c>
      <c r="J16" s="1117">
        <f>'13'!$G$80</f>
        <v>314.23999999999069</v>
      </c>
      <c r="K16" s="1117">
        <f>'13'!$G$81</f>
        <v>127.68000000005122</v>
      </c>
      <c r="L16" s="1117">
        <f>'13'!$G$82</f>
        <v>27.330000000001746</v>
      </c>
      <c r="M16" s="1117">
        <f>'13'!$G$58</f>
        <v>193.88999999999942</v>
      </c>
      <c r="N16" s="1117">
        <f>'13'!$G$83</f>
        <v>561</v>
      </c>
      <c r="O16" s="1117">
        <f>'13'!G86</f>
        <v>107.52000000001863</v>
      </c>
      <c r="P16" s="1117">
        <f>'13'!G87</f>
        <v>25.399999999994179</v>
      </c>
      <c r="Q16" s="1117">
        <f>'13'!G88</f>
        <v>75.829999999987194</v>
      </c>
      <c r="R16" s="1117">
        <f>'13'!G87+'13'!H90</f>
        <v>26.399999999994179</v>
      </c>
      <c r="S16" s="1127">
        <f>'13'!$G$62</f>
        <v>0.18000000000029104</v>
      </c>
      <c r="T16" s="1127">
        <f>'13'!$G$63</f>
        <v>13.380000000000109</v>
      </c>
      <c r="U16" s="1127">
        <f>'13'!$G$64</f>
        <v>400.85000000000582</v>
      </c>
      <c r="V16" s="1127">
        <f>'13'!$G$65</f>
        <v>392.63999999999942</v>
      </c>
      <c r="W16" s="1127">
        <f>'13'!$G$66</f>
        <v>399.95799999999872</v>
      </c>
      <c r="X16" s="1127">
        <f>'13'!$G$67</f>
        <v>714.61999999999534</v>
      </c>
      <c r="Y16" s="1127">
        <f>'13'!$G$68</f>
        <v>366.91000000000349</v>
      </c>
      <c r="Z16" s="1127">
        <f>'13'!$G$69</f>
        <v>319.48999999999796</v>
      </c>
      <c r="AA16" s="1127">
        <f>'13'!$G$84</f>
        <v>512</v>
      </c>
      <c r="AB16" s="1127">
        <f>'13'!$G$15</f>
        <v>1043.6699999999255</v>
      </c>
      <c r="AC16" s="1166">
        <f>'13'!$G$123</f>
        <v>293.52000000001863</v>
      </c>
      <c r="AD16" s="1127">
        <f>'13'!$G$124</f>
        <v>0</v>
      </c>
      <c r="AE16" s="1127">
        <f>'13'!$G$125</f>
        <v>99.25</v>
      </c>
      <c r="AF16" s="1127">
        <f>'13'!$G$126</f>
        <v>48.80000000000291</v>
      </c>
      <c r="AG16" s="1127">
        <f>'13'!$G$127</f>
        <v>4.8999999999996362</v>
      </c>
      <c r="AH16" s="1127">
        <f t="shared" si="0"/>
        <v>597.19999999990432</v>
      </c>
      <c r="AI16" s="1127">
        <f>'13'!$G$140</f>
        <v>0</v>
      </c>
      <c r="AJ16" s="1127">
        <f>'13'!$G$136</f>
        <v>9.2999999999992724</v>
      </c>
      <c r="AK16" s="1127">
        <f>'13'!$G$137</f>
        <v>0</v>
      </c>
      <c r="AL16" s="1127">
        <f>'13'!$G$138</f>
        <v>2.9700000000011642</v>
      </c>
      <c r="AM16" s="1124">
        <f t="shared" si="1"/>
        <v>12.270000000000437</v>
      </c>
      <c r="AO16" s="1133">
        <f t="shared" ref="AO16:AO34" si="2">AC16-AH16</f>
        <v>-303.67999999988569</v>
      </c>
    </row>
    <row r="17" spans="1:41">
      <c r="A17" s="1126">
        <v>44057</v>
      </c>
      <c r="B17" s="1127">
        <f>'14'!G72</f>
        <v>103</v>
      </c>
      <c r="C17" s="1127">
        <f>'14'!$G$73</f>
        <v>1</v>
      </c>
      <c r="D17" s="1127">
        <f>'14'!$G$74</f>
        <v>61.495000000000005</v>
      </c>
      <c r="E17" s="1127">
        <f>'14'!$G$75</f>
        <v>207.68000000000006</v>
      </c>
      <c r="F17" s="1127">
        <f>'14'!$G$76</f>
        <v>90.509999999999991</v>
      </c>
      <c r="G17" s="1127">
        <f>'14'!$G$77</f>
        <v>54</v>
      </c>
      <c r="H17" s="1117">
        <f>'14'!$G$78</f>
        <v>454</v>
      </c>
      <c r="I17" s="1117">
        <f>'14'!$G$79</f>
        <v>192</v>
      </c>
      <c r="J17" s="1117">
        <f>'14'!$G$80</f>
        <v>386.88000000000466</v>
      </c>
      <c r="K17" s="1117">
        <f>'14'!$G$81</f>
        <v>135.19999999995343</v>
      </c>
      <c r="L17" s="1117">
        <f>'14'!$G$82</f>
        <v>26.929999999993015</v>
      </c>
      <c r="M17" s="1117">
        <f>'14'!$G$58</f>
        <v>225.36999999999534</v>
      </c>
      <c r="N17" s="1117">
        <f>'14'!$G$83</f>
        <v>490</v>
      </c>
      <c r="O17" s="1117">
        <f>'14'!G86</f>
        <v>22</v>
      </c>
      <c r="P17" s="1117">
        <f>'14'!G87</f>
        <v>10.5</v>
      </c>
      <c r="Q17" s="1117">
        <f>'14'!G88</f>
        <v>41.820000000006985</v>
      </c>
      <c r="R17" s="1117">
        <f>'14'!G87+'14'!H90</f>
        <v>11.5</v>
      </c>
      <c r="S17" s="1127">
        <f>'14'!$G$62</f>
        <v>0</v>
      </c>
      <c r="T17" s="1127">
        <f>'14'!$G$63</f>
        <v>13.230000000000018</v>
      </c>
      <c r="U17" s="1127">
        <f>'14'!$G$64</f>
        <v>391.25999999999476</v>
      </c>
      <c r="V17" s="1127">
        <f>'14'!$G$65</f>
        <v>404.08999999999651</v>
      </c>
      <c r="W17" s="1127">
        <f>'14'!$G$66</f>
        <v>402.83699999999953</v>
      </c>
      <c r="X17" s="1127">
        <f>'14'!$G$67</f>
        <v>738.36000000001513</v>
      </c>
      <c r="Y17" s="1127">
        <f>'14'!$G$68</f>
        <v>357.76699999999255</v>
      </c>
      <c r="Z17" s="1127">
        <f>'14'!$G$69</f>
        <v>312.34999999999854</v>
      </c>
      <c r="AA17" s="1127">
        <f>'14'!$G$84</f>
        <v>498</v>
      </c>
      <c r="AB17" s="1127">
        <f>'14'!$G$15</f>
        <v>1135.4930000000168</v>
      </c>
      <c r="AC17" s="1127">
        <f>'14'!$G$123</f>
        <v>307.53000000002794</v>
      </c>
      <c r="AD17" s="1127">
        <f>'14'!$G$124</f>
        <v>0</v>
      </c>
      <c r="AE17" s="1127">
        <f>'14'!$G$125</f>
        <v>112.33999999999651</v>
      </c>
      <c r="AF17" s="1127">
        <f>'14'!$G$126</f>
        <v>52.099999999998545</v>
      </c>
      <c r="AG17" s="1127">
        <f>'14'!$G$127</f>
        <v>8.5</v>
      </c>
      <c r="AH17" s="1127">
        <f t="shared" si="0"/>
        <v>655.02299999999377</v>
      </c>
      <c r="AI17" s="1127">
        <f>'14'!$G$140</f>
        <v>0</v>
      </c>
      <c r="AJ17" s="1127">
        <f>'14'!$G$136</f>
        <v>9.9700000000011642</v>
      </c>
      <c r="AK17" s="1127">
        <f>'14'!$G$137</f>
        <v>0</v>
      </c>
      <c r="AL17" s="1127">
        <f>'14'!$G$138</f>
        <v>7.4099999999889405</v>
      </c>
      <c r="AM17" s="1124">
        <f t="shared" si="1"/>
        <v>17.379999999990105</v>
      </c>
      <c r="AO17" s="1133">
        <f>AC17-AH17</f>
        <v>-347.49299999996583</v>
      </c>
    </row>
    <row r="18" spans="1:41">
      <c r="A18" s="1126">
        <v>44058</v>
      </c>
      <c r="B18" s="1127">
        <f>'15'!G72</f>
        <v>93</v>
      </c>
      <c r="C18" s="1127">
        <f>'15'!$G$73</f>
        <v>1</v>
      </c>
      <c r="D18" s="1127">
        <f>'15'!$G$74</f>
        <v>63.379999999999995</v>
      </c>
      <c r="E18" s="1127">
        <f>'15'!$G$75</f>
        <v>209.36</v>
      </c>
      <c r="F18" s="1127">
        <f>'15'!$G$76</f>
        <v>79.009999999999991</v>
      </c>
      <c r="G18" s="1127">
        <f>'15'!$G$77</f>
        <v>54</v>
      </c>
      <c r="H18" s="1117">
        <f>'15'!$G$78</f>
        <v>401</v>
      </c>
      <c r="I18" s="1117">
        <f>'15'!$G$79</f>
        <v>211</v>
      </c>
      <c r="J18" s="1117">
        <f>'15'!$G$80</f>
        <v>412.96000000002095</v>
      </c>
      <c r="K18" s="1117">
        <f>'15'!$G$81</f>
        <v>139.72000000008848</v>
      </c>
      <c r="L18" s="1117">
        <f>'15'!$G$82</f>
        <v>28.059999999997672</v>
      </c>
      <c r="M18" s="1117">
        <f>'15'!$G$58</f>
        <v>286.33000000000175</v>
      </c>
      <c r="N18" s="1117">
        <f>'15'!$G$83</f>
        <v>538</v>
      </c>
      <c r="O18" s="1117">
        <f>'15'!G86</f>
        <v>104.40000000002328</v>
      </c>
      <c r="P18" s="1117">
        <f>'15'!G87</f>
        <v>34.30000000000291</v>
      </c>
      <c r="Q18" s="1117">
        <f>'15'!G88</f>
        <v>77.080000000016298</v>
      </c>
      <c r="R18" s="1117">
        <f>'15'!G87+'15'!H90</f>
        <v>38.30000000000291</v>
      </c>
      <c r="S18" s="1127">
        <f>'15'!$G$62</f>
        <v>0</v>
      </c>
      <c r="T18" s="1127">
        <f>'15'!$G$63</f>
        <v>12.220000000000027</v>
      </c>
      <c r="U18" s="1127">
        <f>'15'!$G$64</f>
        <v>426.88000000000466</v>
      </c>
      <c r="V18" s="1127">
        <f>'15'!$G$65</f>
        <v>404.42000000001281</v>
      </c>
      <c r="W18" s="1127">
        <f>'15'!$G$66</f>
        <v>400.69000000000233</v>
      </c>
      <c r="X18" s="1127">
        <f>'15'!$G$67</f>
        <v>714.48000000001048</v>
      </c>
      <c r="Y18" s="1127">
        <f>'15'!$G$68</f>
        <v>337.84300000000803</v>
      </c>
      <c r="Z18" s="1127">
        <f>'15'!$G$69</f>
        <v>305.81999999999971</v>
      </c>
      <c r="AA18" s="1127">
        <f>'15'!$G$84</f>
        <v>536</v>
      </c>
      <c r="AB18" s="1127">
        <f>'15'!$G$15</f>
        <v>1235.2890000001062</v>
      </c>
      <c r="AC18" s="1127">
        <f>'15'!$G$123</f>
        <v>276.40999999991618</v>
      </c>
      <c r="AD18" s="1127">
        <f>'15'!$G$124</f>
        <v>0</v>
      </c>
      <c r="AE18" s="1127">
        <f>'15'!$G$125</f>
        <v>135.35000000000582</v>
      </c>
      <c r="AF18" s="1127">
        <f>'15'!$G$126</f>
        <v>41.5</v>
      </c>
      <c r="AG18" s="1127">
        <f>'15'!$G$127</f>
        <v>5.5</v>
      </c>
      <c r="AH18" s="1127">
        <f t="shared" si="0"/>
        <v>776.52900000018417</v>
      </c>
      <c r="AI18" s="1127">
        <f>'15'!$G$140</f>
        <v>0</v>
      </c>
      <c r="AJ18" s="1127">
        <f>'15'!$G$136</f>
        <v>10.5</v>
      </c>
      <c r="AK18" s="1127">
        <f>'15'!$G$137</f>
        <v>4.2600000000020373</v>
      </c>
      <c r="AL18" s="1127">
        <f>'15'!$G$138</f>
        <v>0.69000000000232831</v>
      </c>
      <c r="AM18" s="1124">
        <f t="shared" si="1"/>
        <v>15.450000000004366</v>
      </c>
      <c r="AO18" s="1133">
        <f t="shared" si="2"/>
        <v>-500.11900000026799</v>
      </c>
    </row>
    <row r="19" spans="1:41">
      <c r="A19" s="1126">
        <v>44059</v>
      </c>
      <c r="B19" s="1127">
        <f>'16'!G72</f>
        <v>96</v>
      </c>
      <c r="C19" s="1127">
        <f>'16'!$G$73</f>
        <v>1</v>
      </c>
      <c r="D19" s="1127">
        <f>'16'!$G$74</f>
        <v>49.52000000000001</v>
      </c>
      <c r="E19" s="1127">
        <f>'16'!$G$75</f>
        <v>202.6099999999999</v>
      </c>
      <c r="F19" s="1127">
        <f>'16'!$G$76</f>
        <v>72.600000000000023</v>
      </c>
      <c r="G19" s="1127">
        <f>'16'!$G$77</f>
        <v>54</v>
      </c>
      <c r="H19" s="1117">
        <f>'16'!$G$78</f>
        <v>383</v>
      </c>
      <c r="I19" s="1117">
        <f>'16'!$G$79</f>
        <v>212</v>
      </c>
      <c r="J19" s="1117">
        <f>'16'!$G$80</f>
        <v>391.47999999998137</v>
      </c>
      <c r="K19" s="1117">
        <f>'16'!$G$81</f>
        <v>120.95999999996275</v>
      </c>
      <c r="L19" s="1117">
        <f>'16'!$G$82</f>
        <v>26.430000000007567</v>
      </c>
      <c r="M19" s="1117">
        <f>'16'!$G$58</f>
        <v>210.52999999999884</v>
      </c>
      <c r="N19" s="1117">
        <f>'16'!$G$83</f>
        <v>497</v>
      </c>
      <c r="O19" s="1117">
        <f>'16'!G86</f>
        <v>108.19999999995343</v>
      </c>
      <c r="P19" s="1117">
        <f>'16'!G87</f>
        <v>20.19999999999709</v>
      </c>
      <c r="Q19" s="1117">
        <f>'16'!G88</f>
        <v>80.019999999989523</v>
      </c>
      <c r="R19" s="1117">
        <f>'16'!G87+'16'!H90</f>
        <v>24.999999999997272</v>
      </c>
      <c r="S19" s="1127">
        <f>'16'!$G$62</f>
        <v>0</v>
      </c>
      <c r="T19" s="1127">
        <f>'16'!$G$63</f>
        <v>11.930000000000064</v>
      </c>
      <c r="U19" s="1127">
        <f>'16'!$G$64</f>
        <v>432.27000000000407</v>
      </c>
      <c r="V19" s="1127">
        <f>'16'!$G$65</f>
        <v>401.56999999999243</v>
      </c>
      <c r="W19" s="1127">
        <f>'16'!$G$66</f>
        <v>409.7599999999984</v>
      </c>
      <c r="X19" s="1127">
        <f>'16'!$G$67</f>
        <v>678.07999999998719</v>
      </c>
      <c r="Y19" s="1127">
        <f>'16'!$G$68</f>
        <v>314.79999999998836</v>
      </c>
      <c r="Z19" s="1127">
        <f>'16'!$G$69</f>
        <v>302.34999999999854</v>
      </c>
      <c r="AA19" s="1127">
        <f>'16'!$G$84</f>
        <v>659</v>
      </c>
      <c r="AB19" s="1127">
        <f>'16'!$G$15</f>
        <v>1012.5699999998324</v>
      </c>
      <c r="AC19" s="1166">
        <f>'16'!$G$123</f>
        <v>274.44000000006054</v>
      </c>
      <c r="AD19" s="1127">
        <f>'16'!$G$124</f>
        <v>0</v>
      </c>
      <c r="AE19" s="1127">
        <f>'16'!$G$125</f>
        <v>87.940000000002328</v>
      </c>
      <c r="AF19" s="1127">
        <f>'16'!$G$126</f>
        <v>24.799999999995634</v>
      </c>
      <c r="AG19" s="1127">
        <f>'16'!$G$127</f>
        <v>2.1000000000003638</v>
      </c>
      <c r="AH19" s="1127">
        <f t="shared" si="0"/>
        <v>623.2899999997735</v>
      </c>
      <c r="AI19" s="1127">
        <f>'16'!$G$140</f>
        <v>0</v>
      </c>
      <c r="AJ19" s="1127">
        <f>'16'!$G$136</f>
        <v>10.340000000000146</v>
      </c>
      <c r="AK19" s="1127">
        <f>'16'!$G$137</f>
        <v>0</v>
      </c>
      <c r="AL19" s="1127">
        <f>'16'!$G$138</f>
        <v>4.5899999999965075</v>
      </c>
      <c r="AM19" s="1124">
        <f t="shared" si="1"/>
        <v>14.929999999996653</v>
      </c>
      <c r="AO19" s="1133">
        <f t="shared" si="2"/>
        <v>-348.84999999971296</v>
      </c>
    </row>
    <row r="20" spans="1:41">
      <c r="A20" s="1126">
        <v>44060</v>
      </c>
      <c r="B20" s="1127">
        <f>'18'!G72</f>
        <v>65</v>
      </c>
      <c r="C20" s="1127">
        <f>'17'!$G$73</f>
        <v>0</v>
      </c>
      <c r="D20" s="1127">
        <f>'17'!$G$74</f>
        <v>52.419999999999987</v>
      </c>
      <c r="E20" s="1127">
        <f>'17'!$G$75</f>
        <v>190.22000000000003</v>
      </c>
      <c r="F20" s="1127">
        <f>'17'!$G$76</f>
        <v>77.5</v>
      </c>
      <c r="G20" s="1127">
        <f>'17'!$G$77</f>
        <v>54</v>
      </c>
      <c r="H20" s="1117">
        <f>'17'!$G$78</f>
        <v>362</v>
      </c>
      <c r="I20" s="1117">
        <f>'17'!$G$79</f>
        <v>192</v>
      </c>
      <c r="J20" s="1117">
        <f>'17'!$G$80</f>
        <v>341.96000000002095</v>
      </c>
      <c r="K20" s="1117">
        <f>'17'!$G$81</f>
        <v>91.160000000032596</v>
      </c>
      <c r="L20" s="1117">
        <f>'17'!$G$82</f>
        <v>28.880000000004657</v>
      </c>
      <c r="M20" s="1117">
        <f>'17'!$G$58</f>
        <v>201.11000000000058</v>
      </c>
      <c r="N20" s="1117">
        <f>'17'!$G$83</f>
        <v>450</v>
      </c>
      <c r="O20" s="1117">
        <f>'17'!G86</f>
        <v>58.960000000020955</v>
      </c>
      <c r="P20" s="1117">
        <f>'17'!G87</f>
        <v>30.69999999999709</v>
      </c>
      <c r="Q20" s="1117">
        <f>'17'!G88</f>
        <v>82.989999999990687</v>
      </c>
      <c r="R20" s="1117">
        <f>'17'!G87+'17'!H90</f>
        <v>34.19999999999709</v>
      </c>
      <c r="S20" s="1127">
        <f>'17'!$G$62</f>
        <v>0</v>
      </c>
      <c r="T20" s="1127">
        <f>'17'!$G$63</f>
        <v>13.7199999999998</v>
      </c>
      <c r="U20" s="1127">
        <f>'17'!$G$64</f>
        <v>429.92999999999302</v>
      </c>
      <c r="V20" s="1127">
        <f>'17'!$G$65</f>
        <v>403.88999999999942</v>
      </c>
      <c r="W20" s="1127">
        <f>'17'!$G$66</f>
        <v>394.95000000000073</v>
      </c>
      <c r="X20" s="1127">
        <f>'17'!$G$67</f>
        <v>678.64000000001397</v>
      </c>
      <c r="Y20" s="1127">
        <f>'17'!$G$68</f>
        <v>338.99000000000524</v>
      </c>
      <c r="Z20" s="1127">
        <f>'17'!$G$69</f>
        <v>307.69000000000233</v>
      </c>
      <c r="AA20" s="1127">
        <f>'17'!$G$84</f>
        <v>482</v>
      </c>
      <c r="AB20" s="1127">
        <f>'17'!$G$15</f>
        <v>930.51000000000931</v>
      </c>
      <c r="AC20" s="1127">
        <f>'17'!$G$123</f>
        <v>259.15000000002328</v>
      </c>
      <c r="AD20" s="1127">
        <f>'17'!$G$124</f>
        <v>0</v>
      </c>
      <c r="AE20" s="1127">
        <f>'17'!$G$125</f>
        <v>67.600000000005821</v>
      </c>
      <c r="AF20" s="1127">
        <f>'17'!$G$126</f>
        <v>16.100000000005821</v>
      </c>
      <c r="AG20" s="1127">
        <f>'17'!$G$127</f>
        <v>4.7000000000007276</v>
      </c>
      <c r="AH20" s="1127">
        <f t="shared" si="0"/>
        <v>582.95999999997366</v>
      </c>
      <c r="AI20" s="1127">
        <f>'17'!$G$140</f>
        <v>0</v>
      </c>
      <c r="AJ20" s="1127">
        <f>'17'!$G$136</f>
        <v>9.6500000000014552</v>
      </c>
      <c r="AK20" s="1127">
        <f>'17'!$G$137</f>
        <v>0</v>
      </c>
      <c r="AL20" s="1127">
        <f>'17'!$G$138</f>
        <v>4.3100000000122236</v>
      </c>
      <c r="AM20" s="1124">
        <f t="shared" si="1"/>
        <v>13.960000000013679</v>
      </c>
      <c r="AO20" s="1133">
        <f t="shared" si="2"/>
        <v>-323.80999999995038</v>
      </c>
    </row>
    <row r="21" spans="1:41">
      <c r="A21" s="1126">
        <v>44061</v>
      </c>
      <c r="B21" s="1127">
        <f>'18'!G72</f>
        <v>65</v>
      </c>
      <c r="C21" s="1127">
        <f>'18'!$G$73</f>
        <v>0</v>
      </c>
      <c r="D21" s="1127">
        <f>'18'!$G$74</f>
        <v>52.019999999999982</v>
      </c>
      <c r="E21" s="1127">
        <f>'18'!$G$75</f>
        <v>200.05999999999995</v>
      </c>
      <c r="F21" s="1127">
        <f>'18'!$G$76</f>
        <v>87.440000000000055</v>
      </c>
      <c r="G21" s="1127">
        <f>'18'!$G$77</f>
        <v>51</v>
      </c>
      <c r="H21" s="1117">
        <f>'18'!$G$78</f>
        <v>370</v>
      </c>
      <c r="I21" s="1117">
        <f>'18'!$G$79</f>
        <v>176</v>
      </c>
      <c r="J21" s="1131">
        <f>'18'!$G$80</f>
        <v>337.03999999997905</v>
      </c>
      <c r="K21" s="1131">
        <f>'18'!$G$81</f>
        <v>94.839999999967404</v>
      </c>
      <c r="L21" s="1131">
        <f>'18'!$G$82</f>
        <v>20.679999999993015</v>
      </c>
      <c r="M21" s="1131">
        <f>'18'!$G$58</f>
        <v>214.38000000000466</v>
      </c>
      <c r="N21" s="1131">
        <f>'18'!$G$83</f>
        <v>499</v>
      </c>
      <c r="O21" s="1131">
        <f>'18'!G86</f>
        <v>129</v>
      </c>
      <c r="P21" s="1117">
        <f>'18'!G87</f>
        <v>30.30000000000291</v>
      </c>
      <c r="Q21" s="1117">
        <f>'18'!G88</f>
        <v>76.100000000005821</v>
      </c>
      <c r="R21" s="1117">
        <f>'18'!G87+'18'!H90</f>
        <v>34.100000000002638</v>
      </c>
      <c r="S21" s="1127">
        <f>'18'!$G$62</f>
        <v>0</v>
      </c>
      <c r="T21" s="1127">
        <f>'18'!$G$63</f>
        <v>13.370000000000118</v>
      </c>
      <c r="U21" s="1127">
        <f>'18'!$G$64</f>
        <v>429.19999999999709</v>
      </c>
      <c r="V21" s="1127">
        <f>'18'!$G$65</f>
        <v>397.29000000000815</v>
      </c>
      <c r="W21" s="1127">
        <f>'18'!$G$66</f>
        <v>398.93999999999869</v>
      </c>
      <c r="X21" s="1127">
        <f>'18'!$G$67</f>
        <v>665.10999999998603</v>
      </c>
      <c r="Y21" s="1127">
        <f>'18'!$G$68</f>
        <v>390.13000000000466</v>
      </c>
      <c r="Z21" s="1127">
        <f>'18'!$G$69</f>
        <v>316.0199999999968</v>
      </c>
      <c r="AA21" s="1127">
        <f>'18'!$G$84</f>
        <v>482</v>
      </c>
      <c r="AB21" s="1127">
        <f>'18'!$G$15</f>
        <v>840.14000000013039</v>
      </c>
      <c r="AC21" s="1127">
        <f>'18'!$G$123</f>
        <v>260.40999999991618</v>
      </c>
      <c r="AD21" s="1127">
        <f>'18'!$G$124</f>
        <v>0</v>
      </c>
      <c r="AE21" s="1127">
        <f>'18'!$G$125</f>
        <v>77.269999999989523</v>
      </c>
      <c r="AF21" s="1127">
        <f>'18'!$G$126</f>
        <v>25.69999999999709</v>
      </c>
      <c r="AG21" s="1127">
        <f>'18'!$G$127</f>
        <v>1.1000000000003638</v>
      </c>
      <c r="AH21" s="1127">
        <f t="shared" si="0"/>
        <v>475.66000000022723</v>
      </c>
      <c r="AI21" s="1127">
        <f>'18'!$G$140</f>
        <v>0</v>
      </c>
      <c r="AJ21" s="1127">
        <f>'18'!$G$136</f>
        <v>5.6599999999998545</v>
      </c>
      <c r="AK21" s="1127">
        <f>'18'!$G$137</f>
        <v>2.2700000000004366</v>
      </c>
      <c r="AL21" s="1127">
        <f>'18'!$G$138</f>
        <v>4.3799999999901047</v>
      </c>
      <c r="AM21" s="1124">
        <f t="shared" si="1"/>
        <v>12.309999999990396</v>
      </c>
      <c r="AO21" s="1133">
        <f t="shared" si="2"/>
        <v>-215.25000000031105</v>
      </c>
    </row>
    <row r="22" spans="1:41" s="1130" customFormat="1">
      <c r="A22" s="1128">
        <v>44062</v>
      </c>
      <c r="B22" s="1117">
        <f>'19'!G72</f>
        <v>71</v>
      </c>
      <c r="C22" s="1117">
        <f>'19'!$G$73</f>
        <v>0</v>
      </c>
      <c r="D22" s="1117">
        <f>'19'!$G$74</f>
        <v>29.220000000000027</v>
      </c>
      <c r="E22" s="1117">
        <f>'19'!$G$75</f>
        <v>160.3900000000001</v>
      </c>
      <c r="F22" s="1117">
        <f>'19'!$G$76</f>
        <v>69.059999999999945</v>
      </c>
      <c r="G22" s="1117">
        <f>'19'!$G$77</f>
        <v>52</v>
      </c>
      <c r="H22" s="1117">
        <f>'19'!$G$78</f>
        <v>333</v>
      </c>
      <c r="I22" s="1117">
        <f>'19'!$G$79</f>
        <v>178</v>
      </c>
      <c r="J22" s="1117">
        <f>'19'!$G$80</f>
        <v>344</v>
      </c>
      <c r="K22" s="1117">
        <f>'19'!$G$81</f>
        <v>108</v>
      </c>
      <c r="L22" s="1117">
        <f>'19'!$G$82</f>
        <v>25</v>
      </c>
      <c r="M22" s="1117">
        <f>'19'!$G$58</f>
        <v>219.30999999999767</v>
      </c>
      <c r="N22" s="1117">
        <f>'19'!$G$83</f>
        <v>355</v>
      </c>
      <c r="O22" s="1117">
        <f>'19'!G86</f>
        <v>142</v>
      </c>
      <c r="P22" s="1117">
        <f>'19'!G87</f>
        <v>25</v>
      </c>
      <c r="Q22" s="1117">
        <f>'19'!G88</f>
        <v>93</v>
      </c>
      <c r="R22" s="1117">
        <f>'19'!G87+'19'!H90</f>
        <v>29.800000000000182</v>
      </c>
      <c r="S22" s="1117">
        <f>'19'!$G$62</f>
        <v>2.0000000000436557E-2</v>
      </c>
      <c r="T22" s="1117">
        <f>'19'!$G$63</f>
        <v>13.279999999999973</v>
      </c>
      <c r="U22" s="1117">
        <f>'19'!$G$64</f>
        <v>412.02000000000407</v>
      </c>
      <c r="V22" s="1117">
        <f>'19'!$G$65</f>
        <v>402.89999999999418</v>
      </c>
      <c r="W22" s="1117">
        <f>'19'!$G$66</f>
        <v>405.72000000000116</v>
      </c>
      <c r="X22" s="1117">
        <f>'19'!$G$67</f>
        <v>639</v>
      </c>
      <c r="Y22" s="1117">
        <f>'19'!$G$68</f>
        <v>342.69999999999709</v>
      </c>
      <c r="Z22" s="1117">
        <f>'19'!$G$69</f>
        <v>311.7300000000032</v>
      </c>
      <c r="AA22" s="1117">
        <f>'19'!$G$84</f>
        <v>499</v>
      </c>
      <c r="AB22" s="1117">
        <f>'19'!$G$15</f>
        <v>881.40999999991618</v>
      </c>
      <c r="AC22" s="1117">
        <f>'19'!$G$123</f>
        <v>241.6600000000326</v>
      </c>
      <c r="AD22" s="1117">
        <f>'19'!$G$124</f>
        <v>-0.39999999999417923</v>
      </c>
      <c r="AE22" s="1117">
        <f>'19'!$G$125</f>
        <v>89.25</v>
      </c>
      <c r="AF22" s="1117">
        <f>'19'!$G$126</f>
        <v>23.5</v>
      </c>
      <c r="AG22" s="1117">
        <f>'19'!$G$127</f>
        <v>1.7999999999992724</v>
      </c>
      <c r="AH22" s="1117">
        <f t="shared" si="0"/>
        <v>525.59999999987849</v>
      </c>
      <c r="AI22" s="1117">
        <f>'19'!$G$140</f>
        <v>0</v>
      </c>
      <c r="AJ22" s="1117">
        <f>'19'!$G$136</f>
        <v>8.0999999999985448</v>
      </c>
      <c r="AK22" s="1117">
        <f>'19'!$G$137</f>
        <v>0</v>
      </c>
      <c r="AL22" s="1117">
        <f>'19'!$G$138</f>
        <v>2.8400000000110595</v>
      </c>
      <c r="AM22" s="1129">
        <f t="shared" si="1"/>
        <v>10.940000000009604</v>
      </c>
      <c r="AO22" s="1134">
        <f t="shared" si="2"/>
        <v>-283.9399999998459</v>
      </c>
    </row>
    <row r="23" spans="1:41">
      <c r="A23" s="1126">
        <v>44063</v>
      </c>
      <c r="B23" s="1127">
        <f>'20'!G72</f>
        <v>-2180</v>
      </c>
      <c r="C23" s="1127">
        <f>'20'!$G$73</f>
        <v>-31</v>
      </c>
      <c r="D23" s="1127">
        <f>'20'!$G$74</f>
        <v>881628</v>
      </c>
      <c r="E23" s="1127">
        <f>'20'!$G$75</f>
        <v>733409</v>
      </c>
      <c r="F23" s="1127">
        <f>'20'!$G$76</f>
        <v>685325</v>
      </c>
      <c r="G23" s="1127">
        <f>'20'!$G$77</f>
        <v>-1639</v>
      </c>
      <c r="H23" s="1117">
        <f>'20'!$G$78</f>
        <v>-11671</v>
      </c>
      <c r="I23" s="1117">
        <f>'20'!$G$79</f>
        <v>-5744</v>
      </c>
      <c r="J23" s="1117">
        <f>'20'!$G$80</f>
        <v>-9569.8400000000256</v>
      </c>
      <c r="K23" s="1117">
        <f>'20'!$G$81</f>
        <v>-3205.5600000000559</v>
      </c>
      <c r="L23" s="1117">
        <f>'20'!$G$82</f>
        <v>-1033.0399999999936</v>
      </c>
      <c r="M23" s="1117">
        <f>'20'!$G$58</f>
        <v>-5469.23</v>
      </c>
      <c r="N23" s="1117">
        <f>'20'!$G$83</f>
        <v>-11384</v>
      </c>
      <c r="O23" s="1117">
        <f>'20'!G86</f>
        <v>-3236.640000000014</v>
      </c>
      <c r="P23" s="1117">
        <f>'20'!G87</f>
        <v>-759.5</v>
      </c>
      <c r="Q23" s="1117">
        <f>'20'!G88</f>
        <v>-1984.7999999999884</v>
      </c>
      <c r="R23" s="1117">
        <f>'20'!G87+'20'!H90</f>
        <v>-858.69999999999982</v>
      </c>
      <c r="S23" s="1127">
        <f>'20'!$G$62</f>
        <v>0</v>
      </c>
      <c r="T23" s="1127">
        <f>'20'!$G$63</f>
        <v>-365.09999999999991</v>
      </c>
      <c r="U23" s="1127">
        <f>'20'!$G$64</f>
        <v>-12642.330000000002</v>
      </c>
      <c r="V23" s="1127">
        <f>'20'!$G$65</f>
        <v>-11787.160000000003</v>
      </c>
      <c r="W23" s="1127">
        <f>'20'!$G$66</f>
        <v>-11895.09</v>
      </c>
      <c r="X23" s="1127">
        <f>'20'!$G$67</f>
        <v>-20453.010000000009</v>
      </c>
      <c r="Y23" s="1127">
        <f>'20'!$G$68</f>
        <v>-10062.919999999998</v>
      </c>
      <c r="Z23" s="1127">
        <f>'20'!$G$69</f>
        <v>-9145.3499999999985</v>
      </c>
      <c r="AA23" s="1127">
        <f>'20'!$G$84</f>
        <v>-15159</v>
      </c>
      <c r="AB23" s="1127">
        <f>'20'!$G$15</f>
        <v>-25919</v>
      </c>
      <c r="AC23" s="1127">
        <f>'20'!$G$123</f>
        <v>-8157.1600000000326</v>
      </c>
      <c r="AD23" s="1127">
        <f>'20'!$G$124</f>
        <v>-0.69999999999708962</v>
      </c>
      <c r="AE23" s="1127">
        <f>'20'!$G$125</f>
        <v>-2235.7099999999919</v>
      </c>
      <c r="AF23" s="1127">
        <f>'20'!$G$126</f>
        <v>-1051.5</v>
      </c>
      <c r="AG23" s="1127">
        <f>'20'!$G$127</f>
        <v>-93.899999999999636</v>
      </c>
      <c r="AH23" s="1127">
        <f t="shared" si="0"/>
        <v>-14380.029999999979</v>
      </c>
      <c r="AI23" s="1127">
        <f>'20'!$G$140</f>
        <v>0</v>
      </c>
      <c r="AJ23" s="1127">
        <f>'20'!$G$136</f>
        <v>-207.79000000000087</v>
      </c>
      <c r="AK23" s="1127">
        <f>'20'!$G$137</f>
        <v>-36</v>
      </c>
      <c r="AL23" s="1127">
        <f>'20'!$G$138</f>
        <v>-52.910000000003492</v>
      </c>
      <c r="AM23" s="1124">
        <f t="shared" si="1"/>
        <v>-296.70000000000437</v>
      </c>
      <c r="AO23" s="1133">
        <f t="shared" si="2"/>
        <v>6222.8699999999462</v>
      </c>
    </row>
    <row r="24" spans="1:41">
      <c r="A24" s="1126">
        <v>44064</v>
      </c>
      <c r="B24" s="1127">
        <f>'21'!G72</f>
        <v>50</v>
      </c>
      <c r="C24" s="1127">
        <f>'21'!$G$73</f>
        <v>1</v>
      </c>
      <c r="D24" s="1127">
        <f>'21'!$G$74</f>
        <v>29</v>
      </c>
      <c r="E24" s="1127">
        <f>'21'!$G$75</f>
        <v>186</v>
      </c>
      <c r="F24" s="1127">
        <f>'21'!$G$76</f>
        <v>90</v>
      </c>
      <c r="G24" s="1127">
        <f>'21'!$G$77</f>
        <v>52</v>
      </c>
      <c r="H24" s="1117">
        <f>'21'!$G$78</f>
        <v>327</v>
      </c>
      <c r="I24" s="1117">
        <f>'21'!$G$79</f>
        <v>193</v>
      </c>
      <c r="J24" s="1117">
        <f>'21'!$G$80</f>
        <v>293.24000000004889</v>
      </c>
      <c r="K24" s="1117">
        <f>'21'!$G$81</f>
        <v>103.26000000000931</v>
      </c>
      <c r="L24" s="1117">
        <f>'21'!$G$82</f>
        <v>29.389999999999418</v>
      </c>
      <c r="M24" s="1117">
        <f>'21'!$G$58</f>
        <v>243.34000000000015</v>
      </c>
      <c r="N24" s="1117">
        <f>'21'!$G$83</f>
        <v>227</v>
      </c>
      <c r="O24" s="1117">
        <f>'21'!G86</f>
        <v>134.04000000003725</v>
      </c>
      <c r="P24" s="1117">
        <f>'21'!G87</f>
        <v>30.19999999999709</v>
      </c>
      <c r="Q24" s="1117">
        <f>'21'!G88</f>
        <v>54.589999999996508</v>
      </c>
      <c r="R24" s="1117">
        <f>'21'!G87+'21'!H90</f>
        <v>34.69999999999709</v>
      </c>
      <c r="S24" s="1127">
        <f>'21'!$G$62</f>
        <v>0</v>
      </c>
      <c r="T24" s="1127">
        <f>'21'!$G$63</f>
        <v>9.2400000000000091</v>
      </c>
      <c r="U24" s="1127">
        <f>'21'!$G$64</f>
        <v>445.94999999999709</v>
      </c>
      <c r="V24" s="1127">
        <f>'21'!$G$65</f>
        <v>432.76000000000931</v>
      </c>
      <c r="W24" s="1127">
        <f>'21'!$G$66</f>
        <v>368.80999999999949</v>
      </c>
      <c r="X24" s="1127">
        <f>'21'!$G$67</f>
        <v>637.36000000001513</v>
      </c>
      <c r="Y24" s="1127">
        <f>'21'!$G$68</f>
        <v>310.29999999999563</v>
      </c>
      <c r="Z24" s="1127">
        <f>'21'!$G$69</f>
        <v>291.72999999999593</v>
      </c>
      <c r="AA24" s="1127">
        <f>'21'!$G$84</f>
        <v>537</v>
      </c>
      <c r="AB24" s="1127">
        <f>'21'!$G$15</f>
        <v>906.93999999994412</v>
      </c>
      <c r="AC24" s="1127">
        <f>'21'!$G$123</f>
        <v>243.01000000000931</v>
      </c>
      <c r="AD24" s="1127">
        <f>'21'!$G$124</f>
        <v>0</v>
      </c>
      <c r="AE24" s="1127">
        <f>'21'!$G$125</f>
        <v>80.729999999981374</v>
      </c>
      <c r="AF24" s="1127">
        <f>'21'!$G$126</f>
        <v>38.5</v>
      </c>
      <c r="AG24" s="1127">
        <f>'21'!$G$127</f>
        <v>1.6000000000003638</v>
      </c>
      <c r="AH24" s="1127">
        <f t="shared" si="0"/>
        <v>543.09999999995307</v>
      </c>
      <c r="AI24" s="1127">
        <f>'21'!$G$140</f>
        <v>0</v>
      </c>
      <c r="AJ24" s="1127">
        <f>'21'!$G$136</f>
        <v>0</v>
      </c>
      <c r="AK24" s="1127">
        <f>'21'!$G$137</f>
        <v>9.8599999999969441</v>
      </c>
      <c r="AL24" s="1127">
        <f>'21'!$G$138</f>
        <v>0</v>
      </c>
      <c r="AM24" s="1124">
        <f t="shared" si="1"/>
        <v>9.8599999999969441</v>
      </c>
      <c r="AO24" s="1133">
        <f t="shared" si="2"/>
        <v>-300.08999999994376</v>
      </c>
    </row>
    <row r="25" spans="1:41">
      <c r="A25" s="1126">
        <v>44065</v>
      </c>
      <c r="B25" s="1127">
        <f>'22'!G72</f>
        <v>37</v>
      </c>
      <c r="C25" s="1127">
        <f>'22'!$G$73</f>
        <v>1</v>
      </c>
      <c r="D25" s="1127">
        <f>'22'!$G$74</f>
        <v>31</v>
      </c>
      <c r="E25" s="1127">
        <f>'22'!$G$75</f>
        <v>182</v>
      </c>
      <c r="F25" s="1127">
        <f>'22'!$G$76</f>
        <v>79</v>
      </c>
      <c r="G25" s="1127">
        <f>'22'!$G$77</f>
        <v>55</v>
      </c>
      <c r="H25" s="1117">
        <f>'22'!$G$78</f>
        <v>338</v>
      </c>
      <c r="I25" s="1117">
        <f>'22'!$G$79</f>
        <v>186</v>
      </c>
      <c r="J25" s="1117">
        <f>'22'!$G$80</f>
        <v>294.59999999997672</v>
      </c>
      <c r="K25" s="1117">
        <f>'22'!$G$81</f>
        <v>104.30000000004657</v>
      </c>
      <c r="L25" s="1117">
        <f>'22'!$G$82</f>
        <v>29.649999999994179</v>
      </c>
      <c r="M25" s="1117">
        <f>'22'!$G$58</f>
        <v>221.16999999999825</v>
      </c>
      <c r="N25" s="1117">
        <f>'22'!$G$83</f>
        <v>256</v>
      </c>
      <c r="O25" s="1117">
        <f>'22'!G86</f>
        <v>96.599999999976717</v>
      </c>
      <c r="P25" s="1117">
        <f>'22'!G87</f>
        <v>28</v>
      </c>
      <c r="Q25" s="1117">
        <f>'22'!G88</f>
        <v>61.209999999991851</v>
      </c>
      <c r="R25" s="1117">
        <f>'22'!G87+'22'!H90</f>
        <v>32.699999999999818</v>
      </c>
      <c r="S25" s="1127">
        <f>'22'!$G$62</f>
        <v>0</v>
      </c>
      <c r="T25" s="1127">
        <f>'22'!$G$63</f>
        <v>7.8499999999999091</v>
      </c>
      <c r="U25" s="1127">
        <f>'22'!$G$64</f>
        <v>430.26000000000931</v>
      </c>
      <c r="V25" s="1127">
        <f>'22'!$G$65</f>
        <v>405.01999999998952</v>
      </c>
      <c r="W25" s="1127">
        <f>'22'!$G$66</f>
        <v>352.06000000000131</v>
      </c>
      <c r="X25" s="1127">
        <f>'22'!$G$67</f>
        <v>641.64999999999418</v>
      </c>
      <c r="Y25" s="1127">
        <f>'22'!$G$68</f>
        <v>315.18000000000029</v>
      </c>
      <c r="Z25" s="1127">
        <f>'22'!$G$69</f>
        <v>300.76000000000204</v>
      </c>
      <c r="AA25" s="1127">
        <f>'22'!$G$84</f>
        <v>553</v>
      </c>
      <c r="AB25" s="1127">
        <f>'22'!$G$15</f>
        <v>904</v>
      </c>
      <c r="AC25" s="1166">
        <f>'22'!$G$123</f>
        <v>268.22999999998137</v>
      </c>
      <c r="AD25" s="1127">
        <f>'22'!$G$124</f>
        <v>0</v>
      </c>
      <c r="AE25" s="1127">
        <f>'22'!$G$125</f>
        <v>80.029999999998836</v>
      </c>
      <c r="AF25" s="1127">
        <f>'22'!$G$126</f>
        <v>39</v>
      </c>
      <c r="AG25" s="1127">
        <f>'22'!$G$127</f>
        <v>6.2999999999992724</v>
      </c>
      <c r="AH25" s="1127">
        <f t="shared" si="0"/>
        <v>510.44000000002052</v>
      </c>
      <c r="AI25" s="1127">
        <f>'22'!$G$140</f>
        <v>0</v>
      </c>
      <c r="AJ25" s="1127">
        <f>'22'!$G$136</f>
        <v>0</v>
      </c>
      <c r="AK25" s="1127">
        <f>'22'!$G$137</f>
        <v>9.5200000000004366</v>
      </c>
      <c r="AL25" s="1127">
        <f>'22'!$G$138</f>
        <v>0</v>
      </c>
      <c r="AM25" s="1124">
        <f t="shared" si="1"/>
        <v>9.5200000000004366</v>
      </c>
      <c r="AO25" s="1133">
        <f t="shared" si="2"/>
        <v>-242.21000000003914</v>
      </c>
    </row>
    <row r="26" spans="1:41">
      <c r="A26" s="1126">
        <v>44066</v>
      </c>
      <c r="B26" s="1127">
        <f>'23'!G72</f>
        <v>40</v>
      </c>
      <c r="C26" s="1127">
        <f>'23'!G72</f>
        <v>40</v>
      </c>
      <c r="D26" s="1127">
        <f>'23'!$G$74</f>
        <v>39</v>
      </c>
      <c r="E26" s="1127">
        <f>'23'!$G$75</f>
        <v>221</v>
      </c>
      <c r="F26" s="1127">
        <f>'23'!$G$76</f>
        <v>80</v>
      </c>
      <c r="G26" s="1127">
        <f>'23'!$G$77</f>
        <v>55</v>
      </c>
      <c r="H26" s="1117">
        <f>'23'!$G$78</f>
        <v>339</v>
      </c>
      <c r="I26" s="1117">
        <f>'23'!$G$79</f>
        <v>193</v>
      </c>
      <c r="J26" s="1117">
        <f>'23'!$G$80</f>
        <v>319</v>
      </c>
      <c r="K26" s="1117">
        <f>'23'!$G$81</f>
        <v>83</v>
      </c>
      <c r="L26" s="1117">
        <f>'23'!$G$82</f>
        <v>58</v>
      </c>
      <c r="M26" s="1117">
        <f>'23'!$G$58</f>
        <v>204.78000000000247</v>
      </c>
      <c r="N26" s="1164">
        <f>'23'!$G$83</f>
        <v>228</v>
      </c>
      <c r="O26" s="1117">
        <f>'23'!$G$86</f>
        <v>70</v>
      </c>
      <c r="P26" s="1117">
        <f>'23'!G87</f>
        <v>9.6000000000058208</v>
      </c>
      <c r="Q26" s="1117">
        <f>'23'!G88</f>
        <v>50.60999999998603</v>
      </c>
      <c r="R26" s="1117">
        <f>'23'!G87+'23'!H90</f>
        <v>10.600000000005821</v>
      </c>
      <c r="S26" s="1127">
        <f>'23'!$G$62</f>
        <v>-0.2000000000007276</v>
      </c>
      <c r="T26" s="1127">
        <f>'23'!$G$63</f>
        <v>8.4400000000000546</v>
      </c>
      <c r="U26" s="1127">
        <f>'23'!$G$64</f>
        <v>427.22000000000116</v>
      </c>
      <c r="V26" s="1127">
        <f>'23'!$G$65</f>
        <v>413.43000000000757</v>
      </c>
      <c r="W26" s="1127">
        <f>'23'!$G$66</f>
        <v>342.02999999999884</v>
      </c>
      <c r="X26" s="1127">
        <f>'23'!$G$67</f>
        <v>626.45000000001164</v>
      </c>
      <c r="Y26" s="1127">
        <f>'23'!$G$68</f>
        <v>315.75</v>
      </c>
      <c r="Z26" s="1127">
        <f>'23'!$G$69</f>
        <v>302.12999999999738</v>
      </c>
      <c r="AA26" s="1127">
        <f>'23'!$G$84</f>
        <v>552</v>
      </c>
      <c r="AB26" s="1127">
        <f>'23'!$G$15</f>
        <v>934.93999999994412</v>
      </c>
      <c r="AC26" s="1127">
        <f>'23'!$G$123</f>
        <v>245.85999999998603</v>
      </c>
      <c r="AD26" s="1127">
        <f>'23'!$G$124</f>
        <v>0</v>
      </c>
      <c r="AE26" s="1127">
        <f>'23'!$G$125</f>
        <v>83.430000000022119</v>
      </c>
      <c r="AF26" s="1127">
        <f>'23'!$G$126</f>
        <v>40.400000000001455</v>
      </c>
      <c r="AG26" s="1127">
        <f>'23'!$G$127</f>
        <v>4.1000000000003638</v>
      </c>
      <c r="AH26" s="1127">
        <f t="shared" si="0"/>
        <v>561.14999999993415</v>
      </c>
      <c r="AI26" s="1127">
        <f>'23'!$G$140</f>
        <v>0</v>
      </c>
      <c r="AJ26" s="1127">
        <f>'23'!$G$136</f>
        <v>10.180000000000291</v>
      </c>
      <c r="AK26" s="1127">
        <f>'23'!$G$137</f>
        <v>0</v>
      </c>
      <c r="AL26" s="1127">
        <f>'23'!$G$138</f>
        <v>0</v>
      </c>
      <c r="AM26" s="1124">
        <f t="shared" si="1"/>
        <v>10.180000000000291</v>
      </c>
      <c r="AO26" s="1133">
        <f t="shared" si="2"/>
        <v>-315.28999999994812</v>
      </c>
    </row>
    <row r="27" spans="1:41" s="1167" customFormat="1">
      <c r="A27" s="1128">
        <v>44067</v>
      </c>
      <c r="B27" s="1117">
        <f>'23'!G73</f>
        <v>13</v>
      </c>
      <c r="C27" s="1117">
        <f>'23'!G73</f>
        <v>13</v>
      </c>
      <c r="D27" s="1117">
        <f>'24'!$G$74</f>
        <v>38</v>
      </c>
      <c r="E27" s="1117">
        <f>'24'!$G$75</f>
        <v>185</v>
      </c>
      <c r="F27" s="1117">
        <f>'24'!$G$76</f>
        <v>82</v>
      </c>
      <c r="G27" s="1117">
        <f>'24'!$G$77</f>
        <v>55</v>
      </c>
      <c r="H27" s="1117">
        <f>'24'!$G$78</f>
        <v>333</v>
      </c>
      <c r="I27" s="1117">
        <f>'24'!$G$79</f>
        <v>176</v>
      </c>
      <c r="J27" s="1117">
        <f>'24'!$G$80</f>
        <v>317</v>
      </c>
      <c r="K27" s="1117">
        <f>'24'!$G$81</f>
        <v>96</v>
      </c>
      <c r="L27" s="1117">
        <f>'24'!$G$82</f>
        <v>37</v>
      </c>
      <c r="M27" s="1117">
        <f>'24'!$G$58</f>
        <v>122.93999999999869</v>
      </c>
      <c r="N27" s="1117">
        <f>'24'!$G$83</f>
        <v>233</v>
      </c>
      <c r="O27" s="1117">
        <f>'24'!G86</f>
        <v>42</v>
      </c>
      <c r="P27" s="1117">
        <f>'24'!G87</f>
        <v>6.6999999999970896</v>
      </c>
      <c r="Q27" s="1117">
        <f>'24'!G88</f>
        <v>35.39000000001397</v>
      </c>
      <c r="R27" s="1117">
        <f>'24'!G87+'24'!H90</f>
        <v>8.6999999999970896</v>
      </c>
      <c r="S27" s="1117">
        <f>'24'!$G$62</f>
        <v>0.18000000000029104</v>
      </c>
      <c r="T27" s="1117">
        <f>'24'!$G$63</f>
        <v>8.5699999999999363</v>
      </c>
      <c r="U27" s="1117">
        <f>'24'!$G$64</f>
        <v>403.89999999999418</v>
      </c>
      <c r="V27" s="1117">
        <f>'24'!$G$65</f>
        <v>439.94999999999709</v>
      </c>
      <c r="W27" s="1117">
        <f>'24'!$G$66</f>
        <v>397.19000000000051</v>
      </c>
      <c r="X27" s="1117">
        <f>'24'!$G$67</f>
        <v>620.54999999998836</v>
      </c>
      <c r="Y27" s="1117">
        <f>'24'!$G$68</f>
        <v>350.69000000000233</v>
      </c>
      <c r="Z27" s="1117">
        <f>'24'!$G$69</f>
        <v>299.7300000000032</v>
      </c>
      <c r="AA27" s="1117">
        <f>'24'!$G$84</f>
        <v>524</v>
      </c>
      <c r="AB27" s="1117">
        <f>'24'!$G$15</f>
        <v>748.12000000011176</v>
      </c>
      <c r="AC27" s="1166">
        <f>'24'!$G$123</f>
        <v>269.06000000005588</v>
      </c>
      <c r="AD27" s="1166">
        <f>'24'!$G$124</f>
        <v>-0.30000000000291038</v>
      </c>
      <c r="AE27" s="1166">
        <f>'24'!$G$125</f>
        <v>64.889999999984866</v>
      </c>
      <c r="AF27" s="1117">
        <f>'24'!$G$126</f>
        <v>34.599999999998545</v>
      </c>
      <c r="AG27" s="1117">
        <f>'24'!$G$127</f>
        <v>3.8999999999996362</v>
      </c>
      <c r="AH27" s="1166">
        <f>AB27-SUM(AC27:AG27)</f>
        <v>375.97000000007574</v>
      </c>
      <c r="AI27" s="1117">
        <f>'24'!$G$140</f>
        <v>0</v>
      </c>
      <c r="AJ27" s="1117">
        <f>'24'!$G$136</f>
        <v>6.8800000000010186</v>
      </c>
      <c r="AK27" s="1117">
        <f>'24'!$G$137</f>
        <v>0</v>
      </c>
      <c r="AL27" s="1117">
        <f>'24'!$G$138</f>
        <v>0</v>
      </c>
      <c r="AM27" s="1129">
        <f t="shared" si="1"/>
        <v>6.8800000000010186</v>
      </c>
      <c r="AO27" s="1168">
        <f t="shared" si="2"/>
        <v>-106.91000000001986</v>
      </c>
    </row>
    <row r="28" spans="1:41">
      <c r="A28" s="1126">
        <v>44068</v>
      </c>
      <c r="B28" s="1127">
        <f>'25'!G72</f>
        <v>48</v>
      </c>
      <c r="C28" s="1127">
        <f>'25'!$G$73</f>
        <v>0</v>
      </c>
      <c r="D28" s="1127">
        <f>'25'!$G$74</f>
        <v>33</v>
      </c>
      <c r="E28" s="1127">
        <f>'25'!$G$75</f>
        <v>200</v>
      </c>
      <c r="F28" s="1127">
        <f>'25'!$G$76</f>
        <v>95</v>
      </c>
      <c r="G28" s="1127">
        <f>'25'!$G$77</f>
        <v>61</v>
      </c>
      <c r="H28" s="1117">
        <f>'25'!$G$78</f>
        <v>345</v>
      </c>
      <c r="I28" s="1117">
        <f>'25'!$G$79</f>
        <v>196</v>
      </c>
      <c r="J28" s="1117">
        <f>'25'!$G$80</f>
        <v>328.55999999999767</v>
      </c>
      <c r="K28" s="1117">
        <f>'25'!$G$81</f>
        <v>152.56000000005588</v>
      </c>
      <c r="L28" s="1117">
        <f>'25'!$G$82</f>
        <v>58</v>
      </c>
      <c r="M28" s="1117">
        <f>'25'!$G$58</f>
        <v>179.13999999999942</v>
      </c>
      <c r="N28" s="1117">
        <f>'25'!$G$83</f>
        <v>240</v>
      </c>
      <c r="O28" s="1117">
        <f>'25'!G86</f>
        <v>97.690000000002328</v>
      </c>
      <c r="P28" s="1117">
        <f>'25'!G87</f>
        <v>27.80000000000291</v>
      </c>
      <c r="Q28" s="1117">
        <f>'25'!G88</f>
        <v>51.760000000009313</v>
      </c>
      <c r="R28" s="1117">
        <f>'25'!G87+'25'!H90</f>
        <v>29.80000000000291</v>
      </c>
      <c r="S28" s="1127">
        <f>'25'!$G$62</f>
        <v>0</v>
      </c>
      <c r="T28" s="1127">
        <f>'25'!$G$63</f>
        <v>10.309999999999945</v>
      </c>
      <c r="U28" s="1127">
        <f>'25'!$G$64</f>
        <v>423</v>
      </c>
      <c r="V28" s="1127">
        <f>'25'!$G$65</f>
        <v>416</v>
      </c>
      <c r="W28" s="1127">
        <f>'25'!$G$66</f>
        <v>434.69000000000051</v>
      </c>
      <c r="X28" s="1127">
        <f>'25'!$G$67</f>
        <v>672</v>
      </c>
      <c r="Y28" s="1127">
        <f>'25'!$G$68</f>
        <v>350.84999999999854</v>
      </c>
      <c r="Z28" s="1127">
        <f>'25'!$G$69</f>
        <v>304</v>
      </c>
      <c r="AA28" s="1127">
        <f>'25'!$G$84</f>
        <v>516</v>
      </c>
      <c r="AB28" s="1127">
        <f>'25'!$G$15</f>
        <v>930.86000000010245</v>
      </c>
      <c r="AC28" s="1127">
        <f>'25'!$G$123</f>
        <v>269.20999999996275</v>
      </c>
      <c r="AD28" s="1127">
        <f>'25'!$G$124</f>
        <v>0</v>
      </c>
      <c r="AE28" s="1127">
        <f>'25'!$G$125</f>
        <v>89.630000000004657</v>
      </c>
      <c r="AF28" s="1127">
        <f>'25'!$G$126</f>
        <v>34</v>
      </c>
      <c r="AG28" s="1127">
        <f>'25'!$G$127</f>
        <v>3.6000000000003638</v>
      </c>
      <c r="AH28" s="1127">
        <f t="shared" si="0"/>
        <v>534.42000000013468</v>
      </c>
      <c r="AI28" s="1127">
        <f>'25'!$G$140</f>
        <v>0</v>
      </c>
      <c r="AJ28" s="1127">
        <f>'25'!$G$136</f>
        <v>8.7700000000004366</v>
      </c>
      <c r="AK28" s="1127">
        <f>'25'!$G$137</f>
        <v>0</v>
      </c>
      <c r="AL28" s="1127">
        <f>'25'!$G$138</f>
        <v>1.9799999999959255</v>
      </c>
      <c r="AM28" s="1124">
        <f t="shared" si="1"/>
        <v>10.749999999996362</v>
      </c>
      <c r="AO28" s="1133">
        <f t="shared" si="2"/>
        <v>-265.21000000017193</v>
      </c>
    </row>
    <row r="29" spans="1:41">
      <c r="A29" s="1126">
        <v>44069</v>
      </c>
      <c r="B29" s="1127">
        <f>'26'!G72</f>
        <v>83</v>
      </c>
      <c r="C29" s="1127">
        <f>'26'!$G$73</f>
        <v>1</v>
      </c>
      <c r="D29" s="1127">
        <f>'26'!$G$74</f>
        <v>31</v>
      </c>
      <c r="E29" s="1127">
        <f>'26'!$G$75</f>
        <v>198</v>
      </c>
      <c r="F29" s="1127">
        <f>'26'!$G$76</f>
        <v>79</v>
      </c>
      <c r="G29" s="1127">
        <f>'26'!$G$77</f>
        <v>51</v>
      </c>
      <c r="H29" s="1117">
        <f>'26'!$G$78</f>
        <v>371</v>
      </c>
      <c r="I29" s="1117">
        <f>'26'!$G$79</f>
        <v>195</v>
      </c>
      <c r="J29" s="1117">
        <f>'26'!$G$80</f>
        <v>278.32000000000698</v>
      </c>
      <c r="K29" s="1117">
        <f>'26'!$G$81</f>
        <v>130.07999999995809</v>
      </c>
      <c r="L29" s="1117">
        <f>'26'!$G$82</f>
        <v>55.589999999996508</v>
      </c>
      <c r="M29" s="1117">
        <f>'26'!$G$58</f>
        <v>186.2400000000016</v>
      </c>
      <c r="N29" s="1117">
        <f>'26'!$G$83</f>
        <v>226</v>
      </c>
      <c r="O29" s="1117">
        <f>'26'!G86</f>
        <v>34.309999999997672</v>
      </c>
      <c r="P29" s="1117">
        <f>'26'!G87</f>
        <v>11</v>
      </c>
      <c r="Q29" s="1117">
        <f>'26'!G88</f>
        <v>35.239999999990687</v>
      </c>
      <c r="R29" s="1117">
        <f>'26'!G87+'26'!H90</f>
        <v>11.400000000000091</v>
      </c>
      <c r="S29" s="1127">
        <f>'26'!$G$62</f>
        <v>0</v>
      </c>
      <c r="T29" s="1127">
        <f>'26'!$G$63</f>
        <v>9.4000000000000909</v>
      </c>
      <c r="U29" s="1127">
        <f>'26'!$G$64</f>
        <v>389</v>
      </c>
      <c r="V29" s="1127">
        <f>'26'!$G$65</f>
        <v>411.75999999999476</v>
      </c>
      <c r="W29" s="1127">
        <f>'26'!$G$66</f>
        <v>413.80999999999949</v>
      </c>
      <c r="X29" s="1127">
        <f>'26'!$G$67</f>
        <v>667.69000000000233</v>
      </c>
      <c r="Y29" s="1127">
        <f>'26'!$G$68</f>
        <v>319.09000000000378</v>
      </c>
      <c r="Z29" s="1127">
        <f>'26'!$G$69</f>
        <v>312</v>
      </c>
      <c r="AA29" s="1127">
        <f>'26'!$G$84</f>
        <v>528</v>
      </c>
      <c r="AB29" s="1127">
        <f>'26'!$G$15</f>
        <v>855.13999999989755</v>
      </c>
      <c r="AC29" s="1127">
        <f>'26'!$G$123</f>
        <v>266.14000000001397</v>
      </c>
      <c r="AD29" s="1127">
        <f>'26'!$G$124</f>
        <v>0</v>
      </c>
      <c r="AE29" s="1127">
        <f>'26'!$G$125</f>
        <v>70.559999999997672</v>
      </c>
      <c r="AF29" s="1127">
        <f>'26'!$G$126</f>
        <v>33</v>
      </c>
      <c r="AG29" s="1127">
        <f>'26'!$G$127</f>
        <v>3.3999999999996362</v>
      </c>
      <c r="AH29" s="1127">
        <f t="shared" si="0"/>
        <v>482.03999999988628</v>
      </c>
      <c r="AI29" s="1127">
        <f>'26'!$G$140</f>
        <v>0</v>
      </c>
      <c r="AJ29" s="1127">
        <f>'26'!$G$136</f>
        <v>8.680000000000291</v>
      </c>
      <c r="AK29" s="1127">
        <f>'26'!$G$137</f>
        <v>0</v>
      </c>
      <c r="AL29" s="1127">
        <f>'26'!$G$138</f>
        <v>0</v>
      </c>
      <c r="AM29" s="1124">
        <f t="shared" si="1"/>
        <v>8.680000000000291</v>
      </c>
      <c r="AO29" s="1133">
        <f t="shared" si="2"/>
        <v>-215.89999999987231</v>
      </c>
    </row>
    <row r="30" spans="1:41">
      <c r="A30" s="1126">
        <v>44070</v>
      </c>
      <c r="B30" s="1127">
        <f>'27'!G72</f>
        <v>91</v>
      </c>
      <c r="C30" s="1127">
        <f>'27'!$G$73</f>
        <v>0</v>
      </c>
      <c r="D30" s="1127">
        <f>'27'!$G$74</f>
        <v>31</v>
      </c>
      <c r="E30" s="1127">
        <f>'27'!$G$75</f>
        <v>186</v>
      </c>
      <c r="F30" s="1127">
        <f>'27'!$G$76</f>
        <v>76</v>
      </c>
      <c r="G30" s="1127">
        <f>'27'!$G$77</f>
        <v>52</v>
      </c>
      <c r="H30" s="1117">
        <f>'27'!$G$78</f>
        <v>338</v>
      </c>
      <c r="I30" s="1117">
        <f>'27'!$G$79</f>
        <v>194</v>
      </c>
      <c r="J30" s="1117">
        <f>'27'!$G$80</f>
        <v>288.11999999999534</v>
      </c>
      <c r="K30" s="1117">
        <f>'27'!$G$81</f>
        <v>107.35999999998603</v>
      </c>
      <c r="L30" s="1117">
        <f>'27'!$G$82</f>
        <v>47.130000000004657</v>
      </c>
      <c r="M30" s="1117">
        <f>'27'!$G$58</f>
        <v>272.61999999999898</v>
      </c>
      <c r="N30" s="1117">
        <f>'27'!$G$83</f>
        <v>207</v>
      </c>
      <c r="O30" s="1117">
        <f>'27'!G86</f>
        <v>102</v>
      </c>
      <c r="P30" s="1117">
        <f>'27'!G87</f>
        <v>29</v>
      </c>
      <c r="Q30" s="1117">
        <f>'27'!G88</f>
        <v>117</v>
      </c>
      <c r="R30" s="1117">
        <f>'27'!G87+'27'!H90</f>
        <v>33.599999999999909</v>
      </c>
      <c r="S30" s="1127">
        <f>'27'!$G$62</f>
        <v>0</v>
      </c>
      <c r="T30" s="1127">
        <f>'27'!$G$63</f>
        <v>9.2899999999999636</v>
      </c>
      <c r="U30" s="1127">
        <f>'27'!$G$64</f>
        <v>435.7899999999936</v>
      </c>
      <c r="V30" s="1127">
        <f>'27'!$G$65</f>
        <v>395.24000000000524</v>
      </c>
      <c r="W30" s="1127">
        <f>'27'!$G$66</f>
        <v>417.11000000000058</v>
      </c>
      <c r="X30" s="1127">
        <f>'27'!$G$67</f>
        <v>632.30999999999767</v>
      </c>
      <c r="Y30" s="1127">
        <f>'27'!$G$68</f>
        <v>306.05999999999767</v>
      </c>
      <c r="Z30" s="1127">
        <f>'27'!$G$69</f>
        <v>307.80999999999767</v>
      </c>
      <c r="AA30" s="1127">
        <f>'27'!$G$84</f>
        <v>556</v>
      </c>
      <c r="AB30" s="1127">
        <f>'27'!$G$15</f>
        <v>843.93999999994412</v>
      </c>
      <c r="AC30" s="1127">
        <f>'27'!$G$123</f>
        <v>250.60999999998603</v>
      </c>
      <c r="AD30" s="1127">
        <f>'27'!$G$124</f>
        <v>0</v>
      </c>
      <c r="AE30" s="1127">
        <f>'27'!$G$125</f>
        <v>60.440000000002328</v>
      </c>
      <c r="AF30" s="1127">
        <f>'27'!$G$126</f>
        <v>21</v>
      </c>
      <c r="AG30" s="1127">
        <f>'27'!$G$127</f>
        <v>3</v>
      </c>
      <c r="AH30" s="1127">
        <f t="shared" si="0"/>
        <v>508.88999999995576</v>
      </c>
      <c r="AI30" s="1127">
        <f>'27'!$G$140</f>
        <v>0</v>
      </c>
      <c r="AJ30" s="1127">
        <f>'27'!$G$136</f>
        <v>9.430000000000291</v>
      </c>
      <c r="AK30" s="1127">
        <f>'27'!$G$137</f>
        <v>0</v>
      </c>
      <c r="AL30" s="1127">
        <f>'27'!$G$138</f>
        <v>0</v>
      </c>
      <c r="AM30" s="1124">
        <f t="shared" si="1"/>
        <v>9.430000000000291</v>
      </c>
      <c r="AO30" s="1133">
        <f t="shared" si="2"/>
        <v>-258.27999999996973</v>
      </c>
    </row>
    <row r="31" spans="1:41">
      <c r="A31" s="1126">
        <v>44071</v>
      </c>
      <c r="B31" s="1127">
        <f>'28'!G72</f>
        <v>69</v>
      </c>
      <c r="C31" s="1127">
        <f>'28'!$G$73</f>
        <v>0</v>
      </c>
      <c r="D31" s="1127">
        <f>'28'!$G$74</f>
        <v>31</v>
      </c>
      <c r="E31" s="1127">
        <f>'28'!$G$75</f>
        <v>190</v>
      </c>
      <c r="F31" s="1127">
        <f>'28'!$G$76</f>
        <v>74</v>
      </c>
      <c r="G31" s="1127">
        <f>'28'!$G$77</f>
        <v>54</v>
      </c>
      <c r="H31" s="1117">
        <f>'28'!$G$78</f>
        <v>358</v>
      </c>
      <c r="I31" s="1117">
        <f>'28'!$G$79</f>
        <v>176</v>
      </c>
      <c r="J31" s="1117">
        <f>'28'!$G$80</f>
        <v>335</v>
      </c>
      <c r="K31" s="1117">
        <f>'28'!$G$81</f>
        <v>105</v>
      </c>
      <c r="L31" s="1117">
        <f>'28'!$G$82</f>
        <v>8.6499999999941792</v>
      </c>
      <c r="M31" s="1117">
        <f>'28'!$G$58</f>
        <v>0</v>
      </c>
      <c r="N31" s="1117">
        <f>'28'!$G$83</f>
        <v>293</v>
      </c>
      <c r="O31" s="1117">
        <f>'28'!G86</f>
        <v>106</v>
      </c>
      <c r="P31" s="1117">
        <f>'28'!G87</f>
        <v>29.099999999991269</v>
      </c>
      <c r="Q31" s="1117">
        <f>'28'!G88</f>
        <v>38</v>
      </c>
      <c r="R31" s="1117">
        <f>'28'!G87+'28'!H90</f>
        <v>32.899999999991451</v>
      </c>
      <c r="S31" s="1127">
        <f>'28'!$G$62</f>
        <v>7.0000000014260877E-3</v>
      </c>
      <c r="T31" s="1127">
        <f>'28'!$G$63</f>
        <v>10.660000000000082</v>
      </c>
      <c r="U31" s="1127">
        <f>'28'!$G$64</f>
        <v>463.2100000000064</v>
      </c>
      <c r="V31" s="1127">
        <f>'28'!$G$65</f>
        <v>391.17999999999302</v>
      </c>
      <c r="W31" s="1127">
        <f>'28'!$G$66</f>
        <v>416.38999999999942</v>
      </c>
      <c r="X31" s="1127">
        <f>'28'!$G$67</f>
        <v>648</v>
      </c>
      <c r="Y31" s="1127">
        <f>'28'!$G$68</f>
        <v>328</v>
      </c>
      <c r="Z31" s="1127">
        <f>'28'!$G$69</f>
        <v>305.19000000000233</v>
      </c>
      <c r="AA31" s="1127">
        <f>'28'!$G$84</f>
        <v>540</v>
      </c>
      <c r="AB31" s="1127">
        <f>'28'!$G$15</f>
        <v>434.06000000005588</v>
      </c>
      <c r="AC31" s="1127">
        <f>'28'!$G$123</f>
        <v>267.04000000003725</v>
      </c>
      <c r="AD31" s="1127">
        <f>'28'!$G$124</f>
        <v>0</v>
      </c>
      <c r="AE31" s="1127">
        <f>'28'!$G$125</f>
        <v>59</v>
      </c>
      <c r="AF31" s="1127">
        <f>'28'!$G$126</f>
        <v>20</v>
      </c>
      <c r="AG31" s="1127">
        <f>'28'!$G$127</f>
        <v>2</v>
      </c>
      <c r="AH31" s="1127">
        <f t="shared" si="0"/>
        <v>86.020000000018626</v>
      </c>
      <c r="AI31" s="1127">
        <f>'28'!$G$140</f>
        <v>0.47000000000025466</v>
      </c>
      <c r="AJ31" s="1127">
        <f>'28'!$G$136</f>
        <v>-1.0000000002037268E-2</v>
      </c>
      <c r="AK31" s="1127">
        <f>'28'!$G$137</f>
        <v>0</v>
      </c>
      <c r="AL31" s="1127">
        <f>'28'!$G$138</f>
        <v>0</v>
      </c>
      <c r="AM31" s="1124">
        <f t="shared" si="1"/>
        <v>-1.0000000002037268E-2</v>
      </c>
      <c r="AO31" s="1133">
        <f t="shared" si="2"/>
        <v>181.02000000001863</v>
      </c>
    </row>
    <row r="32" spans="1:41">
      <c r="A32" s="1126">
        <v>44072</v>
      </c>
      <c r="B32" s="1127">
        <f>'29'!G72</f>
        <v>72</v>
      </c>
      <c r="C32" s="1127">
        <f>'29'!$G$73</f>
        <v>1</v>
      </c>
      <c r="D32" s="1127">
        <f>'29'!$G$74</f>
        <v>29</v>
      </c>
      <c r="E32" s="1127">
        <f>'29'!$G$75</f>
        <v>193</v>
      </c>
      <c r="F32" s="1127">
        <f>'29'!$G$76</f>
        <v>75</v>
      </c>
      <c r="G32" s="1127">
        <f>'29'!$G$77</f>
        <v>50</v>
      </c>
      <c r="H32" s="1127">
        <f>'29'!$G$78</f>
        <v>399</v>
      </c>
      <c r="I32" s="1127">
        <f>'29'!$G$79</f>
        <v>199</v>
      </c>
      <c r="J32" s="1127">
        <f>'29'!$G$80</f>
        <v>316</v>
      </c>
      <c r="K32" s="1127">
        <f>'29'!$G$81</f>
        <v>94</v>
      </c>
      <c r="L32" s="1127">
        <f>'29'!$G$82</f>
        <v>59.169999999998254</v>
      </c>
      <c r="M32" s="1127">
        <f>'29'!$G$58</f>
        <v>176.38999999999942</v>
      </c>
      <c r="N32" s="1127">
        <f>'29'!$G$83</f>
        <v>385</v>
      </c>
      <c r="O32" s="1127">
        <f>'29'!G86</f>
        <v>87</v>
      </c>
      <c r="P32" s="1127">
        <f>'29'!G87</f>
        <v>35.100000000005821</v>
      </c>
      <c r="Q32" s="1127">
        <f>'29'!G88</f>
        <v>116.95000000001164</v>
      </c>
      <c r="R32" s="1127">
        <f>'29'!G87+'29'!H90</f>
        <v>39.20000000000573</v>
      </c>
      <c r="S32" s="1127">
        <f>'29'!$G$62</f>
        <v>-7.0000000014260877E-3</v>
      </c>
      <c r="T32" s="1127">
        <f>'29'!$G$63</f>
        <v>12.230000000000018</v>
      </c>
      <c r="U32" s="1127">
        <f>'29'!$G$64</f>
        <v>445.39999999999418</v>
      </c>
      <c r="V32" s="1127">
        <f>'29'!$G$65</f>
        <v>382.47000000000116</v>
      </c>
      <c r="W32" s="1127">
        <f>'29'!$G$66</f>
        <v>416.84000000000015</v>
      </c>
      <c r="X32" s="1127">
        <f>'29'!$G$67</f>
        <v>676.36999999999534</v>
      </c>
      <c r="Y32" s="1127">
        <f>'29'!$G$68</f>
        <v>329.79000000000087</v>
      </c>
      <c r="Z32" s="1127">
        <f>'29'!$G$69</f>
        <v>315</v>
      </c>
      <c r="AA32" s="1127">
        <f>'29'!$G$84</f>
        <v>547</v>
      </c>
      <c r="AB32" s="1127">
        <f>'29'!$G$15</f>
        <v>826.96999999997206</v>
      </c>
      <c r="AC32" s="1127">
        <f>'29'!$G$123</f>
        <v>242.98999999999069</v>
      </c>
      <c r="AD32" s="1127">
        <f>'29'!$G$124</f>
        <v>0</v>
      </c>
      <c r="AE32" s="1127">
        <f>'29'!$G$125</f>
        <v>70.769999999989523</v>
      </c>
      <c r="AF32" s="1127">
        <f>'29'!$G$126</f>
        <v>32</v>
      </c>
      <c r="AG32" s="1127">
        <f>'29'!$G$127</f>
        <v>2</v>
      </c>
      <c r="AH32" s="1127">
        <f t="shared" si="0"/>
        <v>479.20999999999185</v>
      </c>
      <c r="AI32" s="1127">
        <f>'29'!$G$140</f>
        <v>0</v>
      </c>
      <c r="AJ32" s="1127">
        <f>'29'!$G$136</f>
        <v>8.930000000000291</v>
      </c>
      <c r="AK32" s="1127">
        <f>'29'!$G$137</f>
        <v>0</v>
      </c>
      <c r="AL32" s="1127">
        <f>'29'!$G$138</f>
        <v>0</v>
      </c>
      <c r="AM32" s="1124">
        <f t="shared" si="1"/>
        <v>8.930000000000291</v>
      </c>
      <c r="AO32" s="1133">
        <f t="shared" si="2"/>
        <v>-236.22000000000116</v>
      </c>
    </row>
    <row r="33" spans="1:41" s="1130" customFormat="1">
      <c r="A33" s="1126">
        <v>44073</v>
      </c>
      <c r="B33" s="1117">
        <f>'30'!G72</f>
        <v>84</v>
      </c>
      <c r="C33" s="1117">
        <f>'30'!$G$73</f>
        <v>0</v>
      </c>
      <c r="D33" s="1117">
        <f>'30'!$G$74</f>
        <v>33</v>
      </c>
      <c r="E33" s="1117">
        <f>'30'!$G$75</f>
        <v>182</v>
      </c>
      <c r="F33" s="1117">
        <f>'30'!$G$76</f>
        <v>70</v>
      </c>
      <c r="G33" s="1117">
        <f>'30'!$G$77</f>
        <v>44</v>
      </c>
      <c r="H33" s="1117">
        <f>'30'!$G$78</f>
        <v>376</v>
      </c>
      <c r="I33" s="1117">
        <f>'30'!$G$79</f>
        <v>179</v>
      </c>
      <c r="J33" s="1117">
        <f>'30'!$G$80</f>
        <v>291</v>
      </c>
      <c r="K33" s="1117">
        <f>'30'!$G$81</f>
        <v>94.520000000018626</v>
      </c>
      <c r="L33" s="1117">
        <f>'30'!$G$82</f>
        <v>48.370000000009895</v>
      </c>
      <c r="M33" s="1117">
        <f>'30'!$G$58</f>
        <v>107.85000000000218</v>
      </c>
      <c r="N33" s="1117">
        <f>'30'!$G$83</f>
        <v>374</v>
      </c>
      <c r="O33" s="1117">
        <f>'30'!G86</f>
        <v>145</v>
      </c>
      <c r="P33" s="1117">
        <f>'30'!G87</f>
        <v>21.5</v>
      </c>
      <c r="Q33" s="1117">
        <f>'30'!G88</f>
        <v>81.049999999988358</v>
      </c>
      <c r="R33" s="1117">
        <f>'30'!G87+'30'!H90</f>
        <v>23.599999999999909</v>
      </c>
      <c r="S33" s="1117">
        <f>'30'!$G$62</f>
        <v>0</v>
      </c>
      <c r="T33" s="1117">
        <f>'30'!$G$63</f>
        <v>12.759999999999991</v>
      </c>
      <c r="U33" s="1117">
        <f>'30'!$G$64</f>
        <v>401.60000000000582</v>
      </c>
      <c r="V33" s="1117">
        <f>'30'!$G$65</f>
        <v>389.35000000000582</v>
      </c>
      <c r="W33" s="1117">
        <f>'30'!$G$66</f>
        <v>423.15999999999985</v>
      </c>
      <c r="X33" s="1117">
        <f>'30'!$G$67</f>
        <v>677.63000000000466</v>
      </c>
      <c r="Y33" s="1117">
        <f>'30'!$G$68</f>
        <v>315.20999999999913</v>
      </c>
      <c r="Z33" s="1117">
        <f>'30'!$G$69</f>
        <v>314.55999999999767</v>
      </c>
      <c r="AA33" s="1117">
        <f>'30'!$G$84</f>
        <v>489</v>
      </c>
      <c r="AB33" s="1117">
        <f>'30'!$G$15</f>
        <v>667.76000000000931</v>
      </c>
      <c r="AC33" s="1117">
        <f>'30'!$G$123</f>
        <v>270.01000000000931</v>
      </c>
      <c r="AD33" s="1117">
        <f>'30'!$G$124</f>
        <v>0</v>
      </c>
      <c r="AE33" s="1117">
        <f>'30'!$G$125</f>
        <v>52.230000000010477</v>
      </c>
      <c r="AF33" s="1117">
        <f>'30'!$G$126</f>
        <v>31</v>
      </c>
      <c r="AG33" s="1117">
        <f>'30'!$G$127</f>
        <v>5</v>
      </c>
      <c r="AH33" s="1117">
        <f t="shared" si="0"/>
        <v>309.51999999998952</v>
      </c>
      <c r="AI33" s="1117">
        <f>'30'!$G$140</f>
        <v>0</v>
      </c>
      <c r="AJ33" s="1117">
        <f>'30'!$G$136</f>
        <v>3.75</v>
      </c>
      <c r="AK33" s="1117">
        <f>'30'!$G$137</f>
        <v>0</v>
      </c>
      <c r="AL33" s="1117">
        <f>'30'!$G$138</f>
        <v>4.1100000000005821</v>
      </c>
      <c r="AM33" s="1129">
        <f t="shared" si="1"/>
        <v>7.8600000000005821</v>
      </c>
      <c r="AO33" s="1134">
        <f t="shared" si="2"/>
        <v>-39.509999999980209</v>
      </c>
    </row>
    <row r="34" spans="1:41">
      <c r="A34" s="1126">
        <v>44074</v>
      </c>
      <c r="B34" s="1127">
        <f>'31'!G72</f>
        <v>101</v>
      </c>
      <c r="C34" s="1127">
        <f>'31'!$G$73</f>
        <v>0</v>
      </c>
      <c r="D34" s="1127">
        <f>'31'!$G$74</f>
        <v>33</v>
      </c>
      <c r="E34" s="1127">
        <f>'31'!$G$74</f>
        <v>33</v>
      </c>
      <c r="F34" s="1127">
        <f>'31'!$G$76</f>
        <v>74</v>
      </c>
      <c r="G34" s="1117">
        <f>'31'!$G$77</f>
        <v>61</v>
      </c>
      <c r="H34" s="1117">
        <f>'31'!$G$78</f>
        <v>472</v>
      </c>
      <c r="I34" s="1117">
        <f>'31'!$G$79</f>
        <v>189</v>
      </c>
      <c r="J34" s="1117">
        <f>'31'!$G$80</f>
        <v>333</v>
      </c>
      <c r="K34" s="1117">
        <f>'31'!$G$81</f>
        <v>112.47999999998137</v>
      </c>
      <c r="L34" s="1117">
        <f>'31'!$G$82</f>
        <v>52.089999999996508</v>
      </c>
      <c r="M34" s="1117">
        <f>'31'!$G$58</f>
        <v>209.66999999999825</v>
      </c>
      <c r="N34" s="1117">
        <f>'31'!$G$83</f>
        <v>415</v>
      </c>
      <c r="O34" s="1117">
        <f>'31'!G86</f>
        <v>73</v>
      </c>
      <c r="P34" s="1117">
        <f>'31'!G88</f>
        <v>38</v>
      </c>
      <c r="Q34" s="1117">
        <f>'31'!G89</f>
        <v>64</v>
      </c>
      <c r="R34" s="1117">
        <f>'31'!G87+'31'!H90</f>
        <v>17.80000000000291</v>
      </c>
      <c r="S34" s="1127">
        <f>'31'!$G$62</f>
        <v>8.9999999981955625E-3</v>
      </c>
      <c r="T34" s="1127">
        <f>'31'!$G$63</f>
        <v>13.879999999999882</v>
      </c>
      <c r="U34" s="1127">
        <f>'31'!$G$64</f>
        <v>420.4600000000064</v>
      </c>
      <c r="V34" s="1127">
        <f>'31'!$G$65</f>
        <v>395.11000000000058</v>
      </c>
      <c r="W34" s="1127">
        <f>'31'!$G$66</f>
        <v>415.73999999999978</v>
      </c>
      <c r="X34" s="1127">
        <f>'31'!$G$67</f>
        <v>727.52999999999884</v>
      </c>
      <c r="Y34" s="1127">
        <f>'31'!$G$68</f>
        <v>296.86000000000058</v>
      </c>
      <c r="Z34" s="1127">
        <f>'31'!$G$69</f>
        <v>316.15000000000146</v>
      </c>
      <c r="AA34" s="1127">
        <f>'31'!$G$84</f>
        <v>504</v>
      </c>
      <c r="AB34" s="1127">
        <f>'31'!$G$15</f>
        <v>868.41999999992549</v>
      </c>
      <c r="AC34" s="1127">
        <f>'31'!$G$123</f>
        <v>282.40000000002328</v>
      </c>
      <c r="AD34" s="1127">
        <f>'31'!$G$124</f>
        <v>0</v>
      </c>
      <c r="AE34" s="1127">
        <f>'31'!$G$125</f>
        <v>56</v>
      </c>
      <c r="AF34" s="1127">
        <f>'31'!$G$126</f>
        <v>40.69999999999709</v>
      </c>
      <c r="AG34" s="1127">
        <f>'31'!$G$127</f>
        <v>4</v>
      </c>
      <c r="AH34" s="1127">
        <f t="shared" si="0"/>
        <v>485.31999999990512</v>
      </c>
      <c r="AI34" s="1127">
        <f>'31'!$G$140</f>
        <v>0</v>
      </c>
      <c r="AJ34" s="1127">
        <f>'31'!$G$136</f>
        <v>9.4799999999995634</v>
      </c>
      <c r="AK34" s="1127">
        <f>'31'!$G$137</f>
        <v>0</v>
      </c>
      <c r="AL34" s="1127">
        <f>'31'!$G$138</f>
        <v>0</v>
      </c>
      <c r="AM34" s="1124">
        <f t="shared" si="1"/>
        <v>9.4799999999995634</v>
      </c>
      <c r="AO34" s="1133">
        <f t="shared" si="2"/>
        <v>-202.91999999988184</v>
      </c>
    </row>
    <row r="35" spans="1:41">
      <c r="A35" s="1169"/>
      <c r="G35" s="1130"/>
      <c r="H35" s="1130"/>
      <c r="I35" s="1130"/>
      <c r="J35" s="1130"/>
      <c r="K35" s="1130"/>
      <c r="L35" s="1130"/>
      <c r="M35" s="1130"/>
      <c r="N35" s="1130"/>
      <c r="O35" s="1130"/>
      <c r="P35" s="1130"/>
      <c r="Q35" s="1130"/>
      <c r="R35" s="1130"/>
    </row>
    <row r="36" spans="1:41">
      <c r="A36" s="1170"/>
      <c r="AC36" s="1172" t="s">
        <v>122</v>
      </c>
      <c r="AD36" s="1173">
        <v>191</v>
      </c>
      <c r="AE36" s="1173"/>
      <c r="AF36" s="1173"/>
    </row>
    <row r="37" spans="1:41">
      <c r="A37" s="1170"/>
      <c r="AC37" s="1173"/>
      <c r="AD37" s="1173">
        <v>88</v>
      </c>
      <c r="AE37" s="1173"/>
      <c r="AF37" s="1173"/>
    </row>
    <row r="38" spans="1:41">
      <c r="A38" s="1170"/>
      <c r="AC38" s="1173"/>
      <c r="AD38" s="1174">
        <f>SUM(AD36:AD37)</f>
        <v>279</v>
      </c>
      <c r="AE38" s="1175" t="s">
        <v>123</v>
      </c>
      <c r="AF38" s="1175">
        <v>335</v>
      </c>
    </row>
    <row r="39" spans="1:41">
      <c r="A39" s="1170"/>
      <c r="AC39" s="1173"/>
      <c r="AD39" s="1173"/>
      <c r="AE39" s="1173"/>
      <c r="AF39" s="1173"/>
    </row>
    <row r="40" spans="1:41">
      <c r="A40" s="1170"/>
      <c r="B40" s="1133"/>
      <c r="C40" s="1133"/>
      <c r="D40" s="1133"/>
      <c r="E40" s="1133"/>
      <c r="F40" s="1133"/>
      <c r="G40" s="1133"/>
      <c r="H40" s="1133"/>
      <c r="I40" s="1133"/>
      <c r="J40" s="1133"/>
      <c r="K40" s="1133"/>
      <c r="L40" s="1133"/>
      <c r="M40" s="1133"/>
      <c r="N40" s="1133"/>
      <c r="O40" s="1133"/>
      <c r="P40" s="1133"/>
      <c r="Q40" s="1133"/>
      <c r="R40" s="1133"/>
      <c r="S40" s="1133"/>
      <c r="T40" s="1133"/>
      <c r="U40" s="1133"/>
      <c r="V40" s="1133"/>
      <c r="W40" s="1133"/>
      <c r="X40" s="1133"/>
      <c r="Y40" s="1133"/>
      <c r="Z40" s="1133"/>
      <c r="AB40" s="1133"/>
      <c r="AC40" s="1172" t="s">
        <v>124</v>
      </c>
      <c r="AD40" s="1174">
        <v>168</v>
      </c>
      <c r="AE40" s="1173"/>
      <c r="AF40" s="1173"/>
    </row>
    <row r="41" spans="1:41">
      <c r="A41" s="1170"/>
      <c r="AC41" s="1173"/>
      <c r="AD41" s="1173"/>
      <c r="AE41" s="1175" t="s">
        <v>125</v>
      </c>
      <c r="AF41" s="1173"/>
    </row>
    <row r="42" spans="1:41">
      <c r="A42" s="1170"/>
      <c r="AC42" s="1173" t="s">
        <v>126</v>
      </c>
      <c r="AD42" s="1173">
        <f>20*38.68</f>
        <v>773.6</v>
      </c>
      <c r="AE42" s="1173" t="s">
        <v>127</v>
      </c>
      <c r="AF42" s="1173"/>
    </row>
    <row r="43" spans="1:41">
      <c r="A43" s="1170"/>
    </row>
    <row r="44" spans="1:41">
      <c r="A44" s="1170"/>
    </row>
    <row r="45" spans="1:41">
      <c r="A45" s="1170"/>
    </row>
    <row r="46" spans="1:41">
      <c r="A46" s="1170"/>
    </row>
    <row r="47" spans="1:41">
      <c r="A47" s="1170"/>
    </row>
    <row r="48" spans="1:41">
      <c r="A48" s="1170"/>
    </row>
    <row r="49" spans="1:1">
      <c r="A49" s="1170"/>
    </row>
    <row r="50" spans="1:1">
      <c r="A50" s="1170"/>
    </row>
    <row r="51" spans="1:1">
      <c r="A51" s="1170"/>
    </row>
    <row r="52" spans="1:1">
      <c r="A52" s="1170"/>
    </row>
    <row r="53" spans="1:1">
      <c r="A53" s="1170"/>
    </row>
    <row r="54" spans="1:1">
      <c r="A54" s="1170"/>
    </row>
    <row r="55" spans="1:1">
      <c r="A55" s="1170"/>
    </row>
    <row r="56" spans="1:1">
      <c r="A56" s="1170"/>
    </row>
    <row r="57" spans="1:1">
      <c r="A57" s="1170"/>
    </row>
    <row r="58" spans="1:1">
      <c r="A58" s="1170"/>
    </row>
    <row r="59" spans="1:1">
      <c r="A59" s="1170"/>
    </row>
    <row r="60" spans="1:1">
      <c r="A60" s="1170"/>
    </row>
    <row r="61" spans="1:1">
      <c r="A61" s="1170"/>
    </row>
    <row r="62" spans="1:1">
      <c r="A62" s="1170"/>
    </row>
    <row r="63" spans="1:1">
      <c r="A63" s="1170"/>
    </row>
    <row r="64" spans="1:1">
      <c r="A64" s="1170"/>
    </row>
    <row r="65" spans="1:1">
      <c r="A65" s="1170"/>
    </row>
    <row r="66" spans="1:1">
      <c r="A66" s="1170"/>
    </row>
    <row r="67" spans="1:1">
      <c r="A67" s="1170"/>
    </row>
    <row r="68" spans="1:1">
      <c r="A68" s="1170"/>
    </row>
    <row r="69" spans="1:1">
      <c r="A69" s="1170"/>
    </row>
    <row r="70" spans="1:1">
      <c r="A70" s="1170"/>
    </row>
    <row r="71" spans="1:1">
      <c r="A71" s="1170"/>
    </row>
    <row r="72" spans="1:1">
      <c r="A72" s="1170"/>
    </row>
    <row r="73" spans="1:1">
      <c r="A73" s="1170"/>
    </row>
    <row r="74" spans="1:1">
      <c r="A74" s="1170"/>
    </row>
    <row r="75" spans="1:1">
      <c r="A75" s="1170"/>
    </row>
    <row r="76" spans="1:1">
      <c r="A76" s="1170"/>
    </row>
    <row r="77" spans="1:1">
      <c r="A77" s="1170"/>
    </row>
    <row r="78" spans="1:1">
      <c r="A78" s="1170"/>
    </row>
    <row r="79" spans="1:1">
      <c r="A79" s="1170"/>
    </row>
    <row r="80" spans="1:1">
      <c r="A80" s="1170"/>
    </row>
    <row r="81" spans="1:1">
      <c r="A81" s="1170"/>
    </row>
    <row r="82" spans="1:1">
      <c r="A82" s="1170"/>
    </row>
    <row r="83" spans="1:1">
      <c r="A83" s="1170"/>
    </row>
    <row r="84" spans="1:1">
      <c r="A84" s="1170"/>
    </row>
    <row r="85" spans="1:1">
      <c r="A85" s="1170"/>
    </row>
    <row r="86" spans="1:1">
      <c r="A86" s="1171"/>
    </row>
    <row r="87" spans="1:1">
      <c r="A87" s="1171"/>
    </row>
    <row r="88" spans="1:1">
      <c r="A88" s="1171"/>
    </row>
    <row r="89" spans="1:1">
      <c r="A89" s="1171"/>
    </row>
  </sheetData>
  <mergeCells count="3">
    <mergeCell ref="AJ2:AM2"/>
    <mergeCell ref="AB2:AH2"/>
    <mergeCell ref="B2:AA2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2"/>
  <sheetViews>
    <sheetView view="pageBreakPreview" topLeftCell="A37" zoomScale="61" zoomScaleNormal="61" zoomScaleSheetLayoutView="61" zoomScalePageLayoutView="70" workbookViewId="0">
      <selection activeCell="F28" sqref="F28"/>
    </sheetView>
  </sheetViews>
  <sheetFormatPr defaultColWidth="22.33203125" defaultRowHeight="29.25"/>
  <cols>
    <col min="1" max="1" width="48.44140625" style="530" customWidth="1"/>
    <col min="2" max="2" width="30.77734375" style="533" customWidth="1"/>
    <col min="3" max="3" width="15.88671875" style="533" customWidth="1"/>
    <col min="4" max="4" width="13.6640625" style="614" customWidth="1"/>
    <col min="5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109375" style="407" customWidth="1"/>
    <col min="15" max="16384" width="22.33203125" style="407"/>
  </cols>
  <sheetData>
    <row r="1" spans="1:15" ht="33.75">
      <c r="A1" s="1414" t="s">
        <v>128</v>
      </c>
      <c r="B1" s="1415"/>
      <c r="C1" s="1415"/>
      <c r="D1" s="1415"/>
      <c r="E1" s="1415"/>
      <c r="F1" s="1415"/>
      <c r="G1" s="1415"/>
      <c r="H1" s="1415"/>
      <c r="I1" s="1415"/>
      <c r="J1" s="1416"/>
    </row>
    <row r="2" spans="1:15" s="281" customFormat="1" ht="27">
      <c r="A2" s="652" t="s">
        <v>330</v>
      </c>
      <c r="B2" s="1118">
        <v>44228</v>
      </c>
      <c r="C2" s="1233" t="s">
        <v>69</v>
      </c>
      <c r="D2" s="688">
        <v>0.47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5" s="281" customFormat="1" ht="27">
      <c r="A3" s="647"/>
      <c r="B3" s="691"/>
      <c r="C3" s="1233" t="s">
        <v>131</v>
      </c>
      <c r="D3" s="689">
        <v>25</v>
      </c>
      <c r="E3" s="1423" t="s">
        <v>132</v>
      </c>
      <c r="F3" s="1424"/>
      <c r="G3" s="538"/>
      <c r="H3" s="539"/>
      <c r="I3" s="539"/>
      <c r="J3" s="692"/>
      <c r="K3" s="402"/>
      <c r="L3" s="293"/>
    </row>
    <row r="4" spans="1:15" s="281" customFormat="1" ht="27">
      <c r="A4" s="653"/>
      <c r="B4" s="693"/>
      <c r="C4" s="1233" t="s">
        <v>133</v>
      </c>
      <c r="D4" s="688">
        <v>0.8</v>
      </c>
      <c r="E4" s="540"/>
      <c r="F4" s="540"/>
      <c r="G4" s="540"/>
      <c r="H4" s="540"/>
      <c r="I4" s="541"/>
      <c r="J4" s="692"/>
      <c r="K4" s="403"/>
      <c r="L4" s="293"/>
    </row>
    <row r="5" spans="1:15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5">
      <c r="A6" s="1417" t="s">
        <v>141</v>
      </c>
      <c r="B6" s="1418"/>
      <c r="C6" s="1419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30" thickBot="1">
      <c r="A7" s="655" t="s">
        <v>142</v>
      </c>
      <c r="B7" s="656"/>
      <c r="C7" s="656"/>
      <c r="D7" s="599" t="s">
        <v>143</v>
      </c>
      <c r="E7" s="531">
        <v>3888198</v>
      </c>
      <c r="F7" s="531">
        <v>3907489</v>
      </c>
      <c r="G7" s="549">
        <f>F7-E7</f>
        <v>19291</v>
      </c>
      <c r="H7" s="536">
        <f>G7</f>
        <v>19291</v>
      </c>
      <c r="I7" s="550">
        <v>12000</v>
      </c>
      <c r="J7" s="629">
        <f>H7/DAY(B2)</f>
        <v>19291</v>
      </c>
      <c r="K7" s="626"/>
      <c r="L7" s="408"/>
      <c r="N7" s="413"/>
      <c r="O7" s="413"/>
    </row>
    <row r="8" spans="1:15" ht="27.75" thickBot="1">
      <c r="A8" s="657" t="s">
        <v>144</v>
      </c>
      <c r="B8" s="658"/>
      <c r="C8" s="659"/>
      <c r="D8" s="694" t="s">
        <v>25</v>
      </c>
      <c r="E8" s="551">
        <v>3912851</v>
      </c>
      <c r="F8" s="551">
        <v>3932325</v>
      </c>
      <c r="G8" s="552">
        <f>F8-E8</f>
        <v>19474</v>
      </c>
      <c r="H8" s="536">
        <f>G8</f>
        <v>19474</v>
      </c>
      <c r="I8" s="553">
        <v>12000</v>
      </c>
      <c r="J8" s="629">
        <f>H8/DAY(B2)</f>
        <v>19474</v>
      </c>
      <c r="K8" s="626"/>
      <c r="L8" s="464"/>
      <c r="M8" s="479"/>
      <c r="N8" s="413"/>
      <c r="O8" s="413"/>
    </row>
    <row r="9" spans="1:15">
      <c r="A9" s="660" t="s">
        <v>145</v>
      </c>
      <c r="B9" s="661"/>
      <c r="C9" s="661"/>
      <c r="D9" s="599" t="s">
        <v>143</v>
      </c>
      <c r="E9" s="554">
        <v>2535128.5</v>
      </c>
      <c r="F9" s="554">
        <v>2542028.5</v>
      </c>
      <c r="G9" s="549">
        <f>F9-E9</f>
        <v>6900</v>
      </c>
      <c r="H9" s="536">
        <f t="shared" ref="H9:H13" si="0">G9</f>
        <v>6900</v>
      </c>
      <c r="I9" s="555">
        <f>I8-J8</f>
        <v>-7474</v>
      </c>
      <c r="J9" s="629">
        <f>H9/DAY(B2)</f>
        <v>6900</v>
      </c>
      <c r="K9" s="467"/>
      <c r="L9" s="408"/>
      <c r="N9" s="413"/>
      <c r="O9" s="413"/>
    </row>
    <row r="10" spans="1:15">
      <c r="A10" s="655" t="s">
        <v>146</v>
      </c>
      <c r="B10" s="656"/>
      <c r="C10" s="656"/>
      <c r="D10" s="599" t="s">
        <v>143</v>
      </c>
      <c r="E10" s="554">
        <v>1200874.3999999999</v>
      </c>
      <c r="F10" s="554">
        <v>1212601.3</v>
      </c>
      <c r="G10" s="549">
        <f t="shared" ref="G10:G12" si="1">F10-E10</f>
        <v>11726.90000000014</v>
      </c>
      <c r="H10" s="536">
        <f t="shared" si="0"/>
        <v>11726.90000000014</v>
      </c>
      <c r="I10" s="556"/>
      <c r="J10" s="629">
        <f>H10/DAY(B2)</f>
        <v>11726.90000000014</v>
      </c>
      <c r="K10" s="467"/>
      <c r="L10" s="408"/>
      <c r="N10" s="413"/>
      <c r="O10" s="413"/>
    </row>
    <row r="11" spans="1:15">
      <c r="A11" s="655" t="s">
        <v>147</v>
      </c>
      <c r="B11" s="656"/>
      <c r="C11" s="656"/>
      <c r="D11" s="599" t="s">
        <v>143</v>
      </c>
      <c r="E11" s="531">
        <v>35390</v>
      </c>
      <c r="F11" s="531">
        <v>35390</v>
      </c>
      <c r="G11" s="549">
        <f t="shared" si="1"/>
        <v>0</v>
      </c>
      <c r="H11" s="536">
        <f t="shared" si="0"/>
        <v>0</v>
      </c>
      <c r="I11" s="556"/>
      <c r="J11" s="629">
        <f>H11/DAY(B2)</f>
        <v>0</v>
      </c>
      <c r="K11" s="467"/>
      <c r="L11" s="408"/>
      <c r="N11" s="413"/>
      <c r="O11" s="413"/>
    </row>
    <row r="12" spans="1:15">
      <c r="A12" s="655" t="s">
        <v>148</v>
      </c>
      <c r="B12" s="656"/>
      <c r="C12" s="656"/>
      <c r="D12" s="599" t="s">
        <v>143</v>
      </c>
      <c r="E12" s="554">
        <v>37630</v>
      </c>
      <c r="F12" s="554">
        <v>37630</v>
      </c>
      <c r="G12" s="549">
        <f t="shared" si="1"/>
        <v>0</v>
      </c>
      <c r="H12" s="536">
        <f t="shared" si="0"/>
        <v>0</v>
      </c>
      <c r="I12" s="556"/>
      <c r="J12" s="629">
        <f>H12/DAY(B2)</f>
        <v>0</v>
      </c>
      <c r="K12" s="467"/>
      <c r="L12" s="408"/>
      <c r="N12" s="413"/>
      <c r="O12" s="413"/>
    </row>
    <row r="13" spans="1:15">
      <c r="A13" s="662" t="s">
        <v>149</v>
      </c>
      <c r="B13" s="663"/>
      <c r="C13" s="663"/>
      <c r="D13" s="599"/>
      <c r="E13" s="531"/>
      <c r="F13" s="531"/>
      <c r="G13" s="557">
        <f>G9+G10+G11+G12</f>
        <v>18626.90000000014</v>
      </c>
      <c r="H13" s="536">
        <f t="shared" si="0"/>
        <v>18626.90000000014</v>
      </c>
      <c r="I13" s="558">
        <f>G7-G13</f>
        <v>664.0999999998603</v>
      </c>
      <c r="J13" s="629">
        <f>H13/DAY(B2)</f>
        <v>18626.90000000014</v>
      </c>
      <c r="K13" s="467"/>
      <c r="L13" s="408"/>
      <c r="N13" s="413"/>
      <c r="O13" s="413"/>
    </row>
    <row r="14" spans="1:15">
      <c r="A14" s="1420" t="s">
        <v>150</v>
      </c>
      <c r="B14" s="1421"/>
      <c r="C14" s="1422"/>
      <c r="D14" s="548"/>
      <c r="E14" s="548"/>
      <c r="F14" s="548"/>
      <c r="G14" s="559"/>
      <c r="H14" s="548"/>
      <c r="I14" s="548"/>
      <c r="J14" s="628"/>
      <c r="K14" s="468"/>
      <c r="L14" s="408"/>
      <c r="N14" s="413"/>
      <c r="O14" s="413"/>
    </row>
    <row r="15" spans="1:15">
      <c r="A15" s="1231" t="s">
        <v>151</v>
      </c>
      <c r="B15" s="666"/>
      <c r="C15" s="666"/>
      <c r="D15" s="599" t="s">
        <v>152</v>
      </c>
      <c r="E15" s="560">
        <v>1594437.15</v>
      </c>
      <c r="F15" s="560">
        <v>1595235.1</v>
      </c>
      <c r="G15" s="862">
        <f>(F15-E15)</f>
        <v>797.95000000018626</v>
      </c>
      <c r="H15" s="536">
        <f>G15</f>
        <v>797.95000000018626</v>
      </c>
      <c r="I15" s="550">
        <v>800</v>
      </c>
      <c r="J15" s="629">
        <f>H15/DAY(B2)</f>
        <v>797.95000000018626</v>
      </c>
      <c r="K15" s="467"/>
      <c r="L15" s="408"/>
      <c r="N15" s="413"/>
      <c r="O15" s="803"/>
    </row>
    <row r="16" spans="1:15">
      <c r="A16" s="664"/>
      <c r="B16" s="665"/>
      <c r="C16" s="665"/>
      <c r="D16" s="600"/>
      <c r="E16" s="561"/>
      <c r="F16" s="561"/>
      <c r="G16" s="549"/>
      <c r="H16" s="562"/>
      <c r="I16" s="563">
        <f>I15-J15</f>
        <v>2.0499999998137355</v>
      </c>
      <c r="J16" s="630"/>
      <c r="K16" s="467"/>
      <c r="L16" s="408"/>
      <c r="N16" s="413"/>
      <c r="O16" s="413"/>
    </row>
    <row r="17" spans="1:15">
      <c r="A17" s="1420" t="s">
        <v>153</v>
      </c>
      <c r="B17" s="1421"/>
      <c r="C17" s="1422"/>
      <c r="D17" s="548"/>
      <c r="E17" s="548"/>
      <c r="F17" s="548"/>
      <c r="G17" s="564"/>
      <c r="H17" s="548"/>
      <c r="I17" s="548"/>
      <c r="J17" s="628"/>
      <c r="K17" s="467"/>
      <c r="L17" s="408"/>
      <c r="N17" s="413"/>
      <c r="O17" s="413"/>
    </row>
    <row r="18" spans="1:15" ht="27.75">
      <c r="A18" s="1406" t="s">
        <v>154</v>
      </c>
      <c r="B18" s="1407"/>
      <c r="C18" s="1408"/>
      <c r="D18" s="599" t="s">
        <v>155</v>
      </c>
      <c r="E18" s="560">
        <v>12</v>
      </c>
      <c r="F18" s="560">
        <v>12</v>
      </c>
      <c r="G18" s="557">
        <f>F18*10</f>
        <v>120</v>
      </c>
      <c r="H18" s="536">
        <f>G18</f>
        <v>120</v>
      </c>
      <c r="I18" s="550">
        <v>65</v>
      </c>
      <c r="J18" s="629">
        <f>H18/DAY(B2)</f>
        <v>120</v>
      </c>
      <c r="K18" s="467"/>
      <c r="L18" s="408"/>
      <c r="N18" s="413"/>
      <c r="O18" s="413"/>
    </row>
    <row r="19" spans="1:15" ht="27.75">
      <c r="A19" s="1406" t="s">
        <v>71</v>
      </c>
      <c r="B19" s="1407"/>
      <c r="C19" s="1408"/>
      <c r="D19" s="599" t="s">
        <v>155</v>
      </c>
      <c r="E19" s="560">
        <v>133048</v>
      </c>
      <c r="F19" s="560">
        <v>133099</v>
      </c>
      <c r="G19" s="549">
        <f t="shared" ref="G19" si="2">F19-E19</f>
        <v>51</v>
      </c>
      <c r="H19" s="536">
        <f t="shared" ref="H19" si="3">G19</f>
        <v>51</v>
      </c>
      <c r="I19" s="565"/>
      <c r="J19" s="629">
        <f>H19/DAY(B2)</f>
        <v>51</v>
      </c>
      <c r="K19" s="467"/>
      <c r="L19" s="408"/>
      <c r="N19" s="413"/>
      <c r="O19" s="413"/>
    </row>
    <row r="20" spans="1:15">
      <c r="A20" s="662" t="s">
        <v>156</v>
      </c>
      <c r="B20" s="663"/>
      <c r="C20" s="663"/>
      <c r="D20" s="566"/>
      <c r="E20" s="566"/>
      <c r="F20" s="566"/>
      <c r="G20" s="567">
        <f>G18+G19</f>
        <v>171</v>
      </c>
      <c r="H20" s="536">
        <f>G20</f>
        <v>171</v>
      </c>
      <c r="I20" s="568">
        <f>I18-J20</f>
        <v>-106</v>
      </c>
      <c r="J20" s="629">
        <f>H20/DAY(B2)</f>
        <v>171</v>
      </c>
      <c r="K20" s="467"/>
      <c r="L20" s="408"/>
      <c r="N20" s="413"/>
      <c r="O20" s="413"/>
    </row>
    <row r="21" spans="1:15">
      <c r="A21" s="1420" t="s">
        <v>157</v>
      </c>
      <c r="B21" s="1421"/>
      <c r="C21" s="1422"/>
      <c r="D21" s="548"/>
      <c r="E21" s="548"/>
      <c r="F21" s="548"/>
      <c r="G21" s="559"/>
      <c r="H21" s="548"/>
      <c r="I21" s="548"/>
      <c r="J21" s="628"/>
      <c r="K21" s="467"/>
      <c r="L21" s="408"/>
      <c r="N21" s="413"/>
      <c r="O21" s="413"/>
    </row>
    <row r="22" spans="1:15">
      <c r="A22" s="1231" t="s">
        <v>158</v>
      </c>
      <c r="B22" s="666"/>
      <c r="C22" s="666"/>
      <c r="D22" s="599" t="s">
        <v>159</v>
      </c>
      <c r="E22" s="560">
        <v>2250</v>
      </c>
      <c r="F22" s="560">
        <v>2250</v>
      </c>
      <c r="G22" s="557">
        <f t="shared" ref="G22" si="4">(F22-E22)</f>
        <v>0</v>
      </c>
      <c r="H22" s="536">
        <f>G22</f>
        <v>0</v>
      </c>
      <c r="I22" s="556"/>
      <c r="J22" s="629">
        <f>H22/DAY(B2)</f>
        <v>0</v>
      </c>
      <c r="K22" s="467"/>
      <c r="L22" s="408"/>
      <c r="N22" s="413"/>
      <c r="O22" s="413"/>
    </row>
    <row r="23" spans="1:15">
      <c r="A23" s="1231" t="s">
        <v>160</v>
      </c>
      <c r="B23" s="666"/>
      <c r="C23" s="666"/>
      <c r="D23" s="599" t="s">
        <v>159</v>
      </c>
      <c r="E23" s="560">
        <v>2000</v>
      </c>
      <c r="F23" s="560">
        <v>2000</v>
      </c>
      <c r="G23" s="557">
        <v>0</v>
      </c>
      <c r="H23" s="536">
        <f t="shared" ref="H23:H24" si="5">G23</f>
        <v>0</v>
      </c>
      <c r="I23" s="556"/>
      <c r="J23" s="629">
        <f>H23/DAY(B2)</f>
        <v>0</v>
      </c>
      <c r="K23" s="467"/>
      <c r="L23" s="408"/>
      <c r="N23" s="413"/>
      <c r="O23" s="413"/>
    </row>
    <row r="24" spans="1:15">
      <c r="A24" s="667" t="s">
        <v>161</v>
      </c>
      <c r="B24" s="668"/>
      <c r="C24" s="668"/>
      <c r="D24" s="587" t="s">
        <v>159</v>
      </c>
      <c r="E24" s="569">
        <v>4250</v>
      </c>
      <c r="F24" s="569">
        <v>4250</v>
      </c>
      <c r="G24" s="557">
        <f>SUM(G22:G23)</f>
        <v>0</v>
      </c>
      <c r="H24" s="536">
        <f t="shared" si="5"/>
        <v>0</v>
      </c>
      <c r="I24" s="556"/>
      <c r="J24" s="629">
        <f>H24/DAY(B2)</f>
        <v>0</v>
      </c>
      <c r="K24" s="467"/>
      <c r="L24" s="408"/>
      <c r="N24" s="413"/>
      <c r="O24" s="413"/>
    </row>
    <row r="25" spans="1:15" s="481" customFormat="1" ht="27">
      <c r="A25" s="1425" t="s">
        <v>162</v>
      </c>
      <c r="B25" s="1426"/>
      <c r="C25" s="1427"/>
      <c r="D25" s="547"/>
      <c r="E25" s="547"/>
      <c r="F25" s="547"/>
      <c r="G25" s="570"/>
      <c r="H25" s="571"/>
      <c r="I25" s="572"/>
      <c r="J25" s="631"/>
      <c r="K25" s="404"/>
      <c r="L25" s="484"/>
      <c r="N25" s="493"/>
      <c r="O25" s="413"/>
    </row>
    <row r="26" spans="1:15" s="481" customFormat="1" ht="27.75">
      <c r="A26" s="669" t="s">
        <v>163</v>
      </c>
      <c r="B26" s="670"/>
      <c r="C26" s="671"/>
      <c r="D26" s="695" t="s">
        <v>164</v>
      </c>
      <c r="E26" s="573"/>
      <c r="F26" s="573"/>
      <c r="G26" s="574"/>
      <c r="H26" s="536"/>
      <c r="I26" s="575"/>
      <c r="J26" s="629"/>
      <c r="K26" s="405"/>
      <c r="L26" s="484"/>
      <c r="N26" s="493"/>
      <c r="O26" s="413"/>
    </row>
    <row r="27" spans="1:15" s="481" customFormat="1" ht="27.75">
      <c r="A27" s="669" t="s">
        <v>6</v>
      </c>
      <c r="B27" s="670"/>
      <c r="C27" s="671"/>
      <c r="D27" s="696" t="s">
        <v>25</v>
      </c>
      <c r="E27" s="577">
        <f>G8</f>
        <v>19474</v>
      </c>
      <c r="F27" s="577">
        <v>9</v>
      </c>
      <c r="G27" s="578">
        <f>E27*F27</f>
        <v>175266</v>
      </c>
      <c r="H27" s="536">
        <f>G27</f>
        <v>175266</v>
      </c>
      <c r="I27" s="579"/>
      <c r="J27" s="629">
        <f>H27/DAY(B2)</f>
        <v>175266</v>
      </c>
      <c r="K27" s="404"/>
      <c r="L27" s="484"/>
      <c r="N27" s="493"/>
      <c r="O27" s="413"/>
    </row>
    <row r="28" spans="1:15" s="481" customFormat="1" ht="27.75">
      <c r="A28" s="669" t="s">
        <v>165</v>
      </c>
      <c r="B28" s="670"/>
      <c r="C28" s="671"/>
      <c r="D28" s="696" t="s">
        <v>166</v>
      </c>
      <c r="E28" s="577">
        <f>G15</f>
        <v>797.95000000018626</v>
      </c>
      <c r="F28" s="577">
        <v>43.5</v>
      </c>
      <c r="G28" s="578">
        <f>E28*F28</f>
        <v>34710.825000008103</v>
      </c>
      <c r="H28" s="536">
        <f>G28</f>
        <v>34710.825000008103</v>
      </c>
      <c r="I28" s="581"/>
      <c r="J28" s="629">
        <f>H28/DAY(B2)</f>
        <v>34710.825000008103</v>
      </c>
      <c r="K28" s="404"/>
      <c r="L28" s="484"/>
      <c r="N28" s="493"/>
      <c r="O28" s="413"/>
    </row>
    <row r="29" spans="1:15" s="481" customFormat="1" ht="27.75">
      <c r="A29" s="669" t="s">
        <v>167</v>
      </c>
      <c r="B29" s="670"/>
      <c r="C29" s="671"/>
      <c r="D29" s="696" t="s">
        <v>168</v>
      </c>
      <c r="E29" s="577">
        <f>G23</f>
        <v>0</v>
      </c>
      <c r="F29" s="577">
        <v>69</v>
      </c>
      <c r="G29" s="578">
        <f>E29*F29</f>
        <v>0</v>
      </c>
      <c r="H29" s="536">
        <f>G29</f>
        <v>0</v>
      </c>
      <c r="I29" s="581"/>
      <c r="J29" s="629">
        <f>H29/DAY(B2)</f>
        <v>0</v>
      </c>
      <c r="K29" s="404"/>
      <c r="L29" s="484"/>
      <c r="N29" s="493"/>
      <c r="O29" s="413"/>
    </row>
    <row r="30" spans="1:15" s="481" customFormat="1" ht="27.75">
      <c r="A30" s="669" t="s">
        <v>169</v>
      </c>
      <c r="B30" s="670"/>
      <c r="C30" s="671"/>
      <c r="D30" s="696" t="s">
        <v>170</v>
      </c>
      <c r="E30" s="577">
        <f>G19</f>
        <v>51</v>
      </c>
      <c r="F30" s="577">
        <v>134</v>
      </c>
      <c r="G30" s="578">
        <f>E30*F30</f>
        <v>6834</v>
      </c>
      <c r="H30" s="536">
        <f>G30</f>
        <v>6834</v>
      </c>
      <c r="I30" s="581"/>
      <c r="J30" s="629">
        <f>H30/DAY(B2)</f>
        <v>6834</v>
      </c>
      <c r="K30" s="404"/>
      <c r="L30" s="484"/>
      <c r="N30" s="493"/>
      <c r="O30" s="413"/>
    </row>
    <row r="31" spans="1:15" s="481" customFormat="1" ht="27.75">
      <c r="A31" s="669" t="s">
        <v>171</v>
      </c>
      <c r="B31" s="670"/>
      <c r="C31" s="671"/>
      <c r="D31" s="696" t="s">
        <v>155</v>
      </c>
      <c r="E31" s="577">
        <f>G18</f>
        <v>120</v>
      </c>
      <c r="F31" s="577">
        <v>80</v>
      </c>
      <c r="G31" s="578">
        <f>E31*F31</f>
        <v>9600</v>
      </c>
      <c r="H31" s="536">
        <f>G31</f>
        <v>9600</v>
      </c>
      <c r="I31" s="581"/>
      <c r="J31" s="629">
        <f>H31/DAY(B2)</f>
        <v>9600</v>
      </c>
      <c r="K31" s="404"/>
      <c r="L31" s="484"/>
      <c r="N31" s="493"/>
      <c r="O31" s="413"/>
    </row>
    <row r="32" spans="1:15" s="481" customFormat="1" ht="27.75">
      <c r="A32" s="672" t="s">
        <v>172</v>
      </c>
      <c r="B32" s="673"/>
      <c r="C32" s="674"/>
      <c r="D32" s="583"/>
      <c r="E32" s="583"/>
      <c r="F32" s="583"/>
      <c r="G32" s="584">
        <f>G27+G28+G29+G30+G31</f>
        <v>226410.8250000081</v>
      </c>
      <c r="H32" s="536">
        <f t="shared" ref="H32" si="6">G32</f>
        <v>226410.8250000081</v>
      </c>
      <c r="I32" s="585"/>
      <c r="J32" s="629">
        <f>H32/DAY(B2)</f>
        <v>226410.8250000081</v>
      </c>
      <c r="K32" s="404"/>
      <c r="L32" s="484"/>
      <c r="N32" s="493"/>
      <c r="O32" s="413"/>
    </row>
    <row r="33" spans="1:15" ht="25.5">
      <c r="A33" s="1428" t="s">
        <v>173</v>
      </c>
      <c r="B33" s="1429"/>
      <c r="C33" s="1429"/>
      <c r="D33" s="1429"/>
      <c r="E33" s="1429"/>
      <c r="F33" s="1429"/>
      <c r="G33" s="1429"/>
      <c r="H33" s="1429"/>
      <c r="I33" s="1429"/>
      <c r="J33" s="1430"/>
      <c r="K33" s="467"/>
      <c r="L33" s="408"/>
      <c r="N33" s="413"/>
      <c r="O33" s="413"/>
    </row>
    <row r="34" spans="1:15">
      <c r="A34" s="675" t="s">
        <v>174</v>
      </c>
      <c r="B34" s="1236"/>
      <c r="C34" s="1236"/>
      <c r="D34" s="548"/>
      <c r="E34" s="547"/>
      <c r="F34" s="547"/>
      <c r="G34" s="548"/>
      <c r="H34" s="548"/>
      <c r="I34" s="548"/>
      <c r="J34" s="628"/>
      <c r="K34" s="467"/>
      <c r="L34" s="408"/>
      <c r="N34" s="413"/>
      <c r="O34" s="413"/>
    </row>
    <row r="35" spans="1:15">
      <c r="A35" s="655" t="s">
        <v>175</v>
      </c>
      <c r="B35" s="656"/>
      <c r="C35" s="656"/>
      <c r="D35" s="599" t="s">
        <v>143</v>
      </c>
      <c r="E35" s="586">
        <v>629027.67000000004</v>
      </c>
      <c r="F35" s="586">
        <v>629027.67000000004</v>
      </c>
      <c r="G35" s="549">
        <f>F35-E35</f>
        <v>0</v>
      </c>
      <c r="H35" s="536">
        <f>G35</f>
        <v>0</v>
      </c>
      <c r="I35" s="531"/>
      <c r="J35" s="629">
        <f>H35/DAY(B2)</f>
        <v>0</v>
      </c>
      <c r="K35" s="467"/>
      <c r="L35" s="408"/>
      <c r="N35" s="413"/>
      <c r="O35" s="705"/>
    </row>
    <row r="36" spans="1:15">
      <c r="A36" s="655" t="s">
        <v>176</v>
      </c>
      <c r="B36" s="656"/>
      <c r="C36" s="656"/>
      <c r="D36" s="599" t="s">
        <v>143</v>
      </c>
      <c r="E36" s="586">
        <v>276491.45</v>
      </c>
      <c r="F36" s="586">
        <v>277046.65000000002</v>
      </c>
      <c r="G36" s="549">
        <f t="shared" ref="G36:G46" si="7">F36-E36</f>
        <v>555.20000000001164</v>
      </c>
      <c r="H36" s="536">
        <f t="shared" ref="H36:H47" si="8">G36</f>
        <v>555.20000000001164</v>
      </c>
      <c r="I36" s="531"/>
      <c r="J36" s="629">
        <f>H36/DAY(B2)</f>
        <v>555.20000000001164</v>
      </c>
      <c r="K36" s="467"/>
      <c r="L36" s="408"/>
      <c r="N36" s="413"/>
      <c r="O36" s="705"/>
    </row>
    <row r="37" spans="1:15">
      <c r="A37" s="655" t="s">
        <v>177</v>
      </c>
      <c r="B37" s="656"/>
      <c r="C37" s="656"/>
      <c r="D37" s="599" t="s">
        <v>143</v>
      </c>
      <c r="E37" s="586">
        <v>415066</v>
      </c>
      <c r="F37" s="586">
        <v>415066</v>
      </c>
      <c r="G37" s="549">
        <f t="shared" si="7"/>
        <v>0</v>
      </c>
      <c r="H37" s="536">
        <f t="shared" si="8"/>
        <v>0</v>
      </c>
      <c r="I37" s="531"/>
      <c r="J37" s="629">
        <f>H37/DAY(B2)</f>
        <v>0</v>
      </c>
      <c r="K37" s="467"/>
      <c r="L37" s="408"/>
      <c r="N37" s="413"/>
      <c r="O37" s="413"/>
    </row>
    <row r="38" spans="1:15">
      <c r="A38" s="655" t="s">
        <v>178</v>
      </c>
      <c r="B38" s="656"/>
      <c r="C38" s="656"/>
      <c r="D38" s="599" t="s">
        <v>143</v>
      </c>
      <c r="E38" s="545">
        <v>97.88</v>
      </c>
      <c r="F38" s="545">
        <v>97.88</v>
      </c>
      <c r="G38" s="549">
        <f t="shared" si="7"/>
        <v>0</v>
      </c>
      <c r="H38" s="536">
        <f t="shared" si="8"/>
        <v>0</v>
      </c>
      <c r="I38" s="531"/>
      <c r="J38" s="629">
        <f>H38/DAY(B2)</f>
        <v>0</v>
      </c>
      <c r="K38" s="467"/>
      <c r="L38" s="408"/>
      <c r="N38" s="413"/>
      <c r="O38" s="413"/>
    </row>
    <row r="39" spans="1:15">
      <c r="A39" s="655" t="s">
        <v>179</v>
      </c>
      <c r="B39" s="656"/>
      <c r="C39" s="656"/>
      <c r="D39" s="599" t="s">
        <v>143</v>
      </c>
      <c r="E39" s="586">
        <v>912480</v>
      </c>
      <c r="F39" s="586">
        <v>912480</v>
      </c>
      <c r="G39" s="549">
        <f t="shared" si="7"/>
        <v>0</v>
      </c>
      <c r="H39" s="536">
        <f t="shared" si="8"/>
        <v>0</v>
      </c>
      <c r="I39" s="531"/>
      <c r="J39" s="629">
        <f>H39/DAY(B2)</f>
        <v>0</v>
      </c>
      <c r="K39" s="467"/>
      <c r="L39" s="408"/>
      <c r="N39" s="413"/>
      <c r="O39" s="413"/>
    </row>
    <row r="40" spans="1:15">
      <c r="A40" s="676" t="s">
        <v>180</v>
      </c>
      <c r="B40" s="677"/>
      <c r="C40" s="677"/>
      <c r="D40" s="599" t="s">
        <v>143</v>
      </c>
      <c r="E40" s="586">
        <v>0</v>
      </c>
      <c r="F40" s="586">
        <v>0</v>
      </c>
      <c r="G40" s="549">
        <f t="shared" si="7"/>
        <v>0</v>
      </c>
      <c r="H40" s="536">
        <f t="shared" si="8"/>
        <v>0</v>
      </c>
      <c r="I40" s="531"/>
      <c r="J40" s="629">
        <f>H40/DAY(B2)</f>
        <v>0</v>
      </c>
      <c r="K40" s="468"/>
      <c r="L40" s="408"/>
      <c r="N40" s="413"/>
      <c r="O40" s="413"/>
    </row>
    <row r="41" spans="1:15">
      <c r="A41" s="655" t="s">
        <v>181</v>
      </c>
      <c r="B41" s="656"/>
      <c r="C41" s="656"/>
      <c r="D41" s="599" t="s">
        <v>143</v>
      </c>
      <c r="E41" s="586">
        <v>44622.52</v>
      </c>
      <c r="F41" s="586">
        <v>48988.51</v>
      </c>
      <c r="G41" s="549">
        <f t="shared" si="7"/>
        <v>4365.9900000000052</v>
      </c>
      <c r="H41" s="536">
        <f t="shared" si="8"/>
        <v>4365.9900000000052</v>
      </c>
      <c r="I41" s="531"/>
      <c r="J41" s="629">
        <f>H41/DAY(B2)</f>
        <v>4365.9900000000052</v>
      </c>
      <c r="K41" s="467"/>
      <c r="L41" s="408"/>
      <c r="N41" s="413"/>
      <c r="O41" s="803"/>
    </row>
    <row r="42" spans="1:15">
      <c r="A42" s="655" t="s">
        <v>182</v>
      </c>
      <c r="B42" s="656"/>
      <c r="C42" s="656"/>
      <c r="D42" s="599" t="s">
        <v>143</v>
      </c>
      <c r="E42" s="586">
        <v>58926</v>
      </c>
      <c r="F42" s="586">
        <v>58926</v>
      </c>
      <c r="G42" s="549">
        <f t="shared" si="7"/>
        <v>0</v>
      </c>
      <c r="H42" s="536">
        <f t="shared" si="8"/>
        <v>0</v>
      </c>
      <c r="I42" s="531"/>
      <c r="J42" s="629">
        <f>H42/DAY(B2)</f>
        <v>0</v>
      </c>
      <c r="K42" s="467"/>
      <c r="L42" s="408"/>
      <c r="N42" s="413"/>
      <c r="O42" s="413"/>
    </row>
    <row r="43" spans="1:15">
      <c r="A43" s="655" t="s">
        <v>183</v>
      </c>
      <c r="B43" s="656"/>
      <c r="C43" s="656"/>
      <c r="D43" s="599" t="s">
        <v>143</v>
      </c>
      <c r="E43" s="586">
        <v>767811.91</v>
      </c>
      <c r="F43" s="586">
        <v>770084.87</v>
      </c>
      <c r="G43" s="549">
        <f t="shared" si="7"/>
        <v>2272.9599999999627</v>
      </c>
      <c r="H43" s="536">
        <f t="shared" si="8"/>
        <v>2272.9599999999627</v>
      </c>
      <c r="I43" s="531"/>
      <c r="J43" s="629">
        <f>H43/DAY(B2)</f>
        <v>2272.9599999999627</v>
      </c>
      <c r="K43" s="467"/>
      <c r="L43" s="408"/>
      <c r="N43" s="413"/>
      <c r="O43" s="413"/>
    </row>
    <row r="44" spans="1:15">
      <c r="A44" s="655" t="s">
        <v>184</v>
      </c>
      <c r="B44" s="656"/>
      <c r="C44" s="656"/>
      <c r="D44" s="599" t="s">
        <v>143</v>
      </c>
      <c r="E44" s="586">
        <v>0</v>
      </c>
      <c r="F44" s="586">
        <v>0</v>
      </c>
      <c r="G44" s="549">
        <f t="shared" si="7"/>
        <v>0</v>
      </c>
      <c r="H44" s="536">
        <f t="shared" si="8"/>
        <v>0</v>
      </c>
      <c r="I44" s="531"/>
      <c r="J44" s="629">
        <f>H44/DAY(B2)</f>
        <v>0</v>
      </c>
      <c r="K44" s="467"/>
      <c r="L44" s="408"/>
      <c r="N44" s="413"/>
      <c r="O44" s="413"/>
    </row>
    <row r="45" spans="1:15">
      <c r="A45" s="655" t="s">
        <v>185</v>
      </c>
      <c r="B45" s="656"/>
      <c r="C45" s="656"/>
      <c r="D45" s="599" t="s">
        <v>143</v>
      </c>
      <c r="E45" s="586">
        <v>614.48</v>
      </c>
      <c r="F45" s="586">
        <v>614.48</v>
      </c>
      <c r="G45" s="549">
        <f t="shared" si="7"/>
        <v>0</v>
      </c>
      <c r="H45" s="536">
        <f t="shared" si="8"/>
        <v>0</v>
      </c>
      <c r="I45" s="531"/>
      <c r="J45" s="629">
        <f>H45/DAY(B2)</f>
        <v>0</v>
      </c>
      <c r="K45" s="467"/>
      <c r="L45" s="408"/>
      <c r="N45" s="413"/>
      <c r="O45" s="413"/>
    </row>
    <row r="46" spans="1:15">
      <c r="A46" s="655" t="s">
        <v>186</v>
      </c>
      <c r="B46" s="656"/>
      <c r="C46" s="656"/>
      <c r="D46" s="599" t="s">
        <v>143</v>
      </c>
      <c r="E46" s="586">
        <v>187.49</v>
      </c>
      <c r="F46" s="586">
        <v>187.49</v>
      </c>
      <c r="G46" s="549">
        <f t="shared" si="7"/>
        <v>0</v>
      </c>
      <c r="H46" s="536">
        <f t="shared" si="8"/>
        <v>0</v>
      </c>
      <c r="I46" s="531"/>
      <c r="J46" s="629">
        <f>H46/DAY(B2)</f>
        <v>0</v>
      </c>
      <c r="K46" s="467"/>
      <c r="L46" s="408"/>
      <c r="N46" s="413"/>
      <c r="O46" s="413"/>
    </row>
    <row r="47" spans="1:15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7194.1499999999796</v>
      </c>
      <c r="H47" s="536">
        <f t="shared" si="8"/>
        <v>7194.1499999999796</v>
      </c>
      <c r="I47" s="531"/>
      <c r="J47" s="629">
        <f>H47/DAY(B2)</f>
        <v>7194.1499999999796</v>
      </c>
      <c r="K47" s="467"/>
      <c r="L47" s="408"/>
      <c r="N47" s="413"/>
      <c r="O47" s="413"/>
    </row>
    <row r="48" spans="1:15">
      <c r="A48" s="675" t="s">
        <v>188</v>
      </c>
      <c r="B48" s="1236"/>
      <c r="C48" s="1236"/>
      <c r="D48" s="548"/>
      <c r="E48" s="547"/>
      <c r="F48" s="547"/>
      <c r="G48" s="548"/>
      <c r="H48" s="548"/>
      <c r="I48" s="548"/>
      <c r="J48" s="628"/>
      <c r="K48" s="467"/>
      <c r="L48" s="408"/>
      <c r="N48" s="413"/>
      <c r="O48" s="413"/>
    </row>
    <row r="49" spans="1:15">
      <c r="A49" s="655" t="s">
        <v>175</v>
      </c>
      <c r="B49" s="678"/>
      <c r="C49" s="678"/>
      <c r="D49" s="599" t="s">
        <v>143</v>
      </c>
      <c r="E49" s="586">
        <v>245899.05</v>
      </c>
      <c r="F49" s="586">
        <v>248895.09</v>
      </c>
      <c r="G49" s="549">
        <f t="shared" ref="G49:G58" si="9">F49-E49</f>
        <v>2996.0400000000081</v>
      </c>
      <c r="H49" s="536">
        <f>G49</f>
        <v>2996.0400000000081</v>
      </c>
      <c r="I49" s="531"/>
      <c r="J49" s="629">
        <f>H49/DAY(B2)</f>
        <v>2996.0400000000081</v>
      </c>
      <c r="K49" s="467"/>
      <c r="L49" s="408"/>
      <c r="N49" s="413"/>
      <c r="O49" s="413"/>
    </row>
    <row r="50" spans="1:15">
      <c r="A50" s="655" t="s">
        <v>189</v>
      </c>
      <c r="B50" s="678"/>
      <c r="C50" s="678"/>
      <c r="D50" s="599" t="s">
        <v>143</v>
      </c>
      <c r="E50" s="586">
        <v>368617.31</v>
      </c>
      <c r="F50" s="586">
        <v>369638.67</v>
      </c>
      <c r="G50" s="549">
        <f t="shared" si="9"/>
        <v>1021.359999999986</v>
      </c>
      <c r="H50" s="536">
        <f t="shared" ref="H50:H60" si="10">G50</f>
        <v>1021.359999999986</v>
      </c>
      <c r="I50" s="531"/>
      <c r="J50" s="629">
        <f>H50/DAY(B2)</f>
        <v>1021.359999999986</v>
      </c>
      <c r="K50" s="467"/>
      <c r="L50" s="408"/>
      <c r="N50" s="413"/>
      <c r="O50" s="413"/>
    </row>
    <row r="51" spans="1:15">
      <c r="A51" s="655" t="s">
        <v>177</v>
      </c>
      <c r="B51" s="678"/>
      <c r="C51" s="678"/>
      <c r="D51" s="599" t="s">
        <v>143</v>
      </c>
      <c r="E51" s="586">
        <v>110099.74</v>
      </c>
      <c r="F51" s="586">
        <v>111537.57</v>
      </c>
      <c r="G51" s="549">
        <f t="shared" si="9"/>
        <v>1437.8300000000017</v>
      </c>
      <c r="H51" s="536">
        <f t="shared" si="10"/>
        <v>1437.8300000000017</v>
      </c>
      <c r="I51" s="531"/>
      <c r="J51" s="629">
        <f>H51/DAY(B2)</f>
        <v>1437.8300000000017</v>
      </c>
      <c r="K51" s="467"/>
      <c r="L51" s="408"/>
      <c r="N51" s="413"/>
      <c r="O51" s="413"/>
    </row>
    <row r="52" spans="1:15">
      <c r="A52" s="655" t="s">
        <v>190</v>
      </c>
      <c r="B52" s="678"/>
      <c r="C52" s="678"/>
      <c r="D52" s="599" t="s">
        <v>143</v>
      </c>
      <c r="E52" s="586">
        <v>493808.67</v>
      </c>
      <c r="F52" s="586">
        <v>495823.71</v>
      </c>
      <c r="G52" s="549">
        <f t="shared" si="9"/>
        <v>2015.0400000000373</v>
      </c>
      <c r="H52" s="536">
        <f t="shared" si="10"/>
        <v>2015.0400000000373</v>
      </c>
      <c r="I52" s="531"/>
      <c r="J52" s="629">
        <f>H52/DAY(B2)</f>
        <v>2015.0400000000373</v>
      </c>
      <c r="K52" s="467"/>
      <c r="L52" s="408"/>
      <c r="N52" s="413"/>
      <c r="O52" s="803"/>
    </row>
    <row r="53" spans="1:15">
      <c r="A53" s="655" t="s">
        <v>179</v>
      </c>
      <c r="B53" s="678"/>
      <c r="C53" s="678"/>
      <c r="D53" s="599" t="s">
        <v>143</v>
      </c>
      <c r="E53" s="586">
        <v>304298.27</v>
      </c>
      <c r="F53" s="586">
        <v>308402.03000000003</v>
      </c>
      <c r="G53" s="549">
        <f t="shared" si="9"/>
        <v>4103.7600000000093</v>
      </c>
      <c r="H53" s="536">
        <f t="shared" si="10"/>
        <v>4103.7600000000093</v>
      </c>
      <c r="I53" s="531"/>
      <c r="J53" s="629">
        <f>H53/DAY(B2)</f>
        <v>4103.7600000000093</v>
      </c>
      <c r="K53" s="467"/>
      <c r="L53" s="408"/>
      <c r="N53" s="413"/>
      <c r="O53" s="413"/>
    </row>
    <row r="54" spans="1:15">
      <c r="A54" s="655" t="s">
        <v>191</v>
      </c>
      <c r="B54" s="678"/>
      <c r="C54" s="678"/>
      <c r="D54" s="599" t="s">
        <v>143</v>
      </c>
      <c r="E54" s="586">
        <v>6316.64</v>
      </c>
      <c r="F54" s="586">
        <v>6356.96</v>
      </c>
      <c r="G54" s="549">
        <f t="shared" si="9"/>
        <v>40.319999999999709</v>
      </c>
      <c r="H54" s="536">
        <f t="shared" si="10"/>
        <v>40.319999999999709</v>
      </c>
      <c r="I54" s="531"/>
      <c r="J54" s="629">
        <f>H54/DAY(B2)</f>
        <v>40.319999999999709</v>
      </c>
      <c r="K54" s="467"/>
      <c r="L54" s="408"/>
      <c r="N54" s="413"/>
      <c r="O54" s="413"/>
    </row>
    <row r="55" spans="1:15">
      <c r="A55" s="655" t="s">
        <v>192</v>
      </c>
      <c r="B55" s="678"/>
      <c r="C55" s="678"/>
      <c r="D55" s="599" t="s">
        <v>143</v>
      </c>
      <c r="E55" s="586">
        <v>39120.58</v>
      </c>
      <c r="F55" s="586">
        <v>39120.58</v>
      </c>
      <c r="G55" s="549">
        <f t="shared" si="9"/>
        <v>0</v>
      </c>
      <c r="H55" s="536">
        <f t="shared" si="10"/>
        <v>0</v>
      </c>
      <c r="I55" s="531"/>
      <c r="J55" s="629">
        <f>H55/DAY(B2)</f>
        <v>0</v>
      </c>
      <c r="K55" s="467"/>
      <c r="L55" s="408"/>
      <c r="N55" s="413"/>
      <c r="O55" s="413"/>
    </row>
    <row r="56" spans="1:15">
      <c r="A56" s="655" t="s">
        <v>193</v>
      </c>
      <c r="B56" s="678"/>
      <c r="C56" s="678"/>
      <c r="D56" s="599" t="s">
        <v>194</v>
      </c>
      <c r="E56" s="586">
        <v>557731.91</v>
      </c>
      <c r="F56" s="586">
        <v>557732.43000000005</v>
      </c>
      <c r="G56" s="549">
        <f t="shared" si="9"/>
        <v>0.52000000001862645</v>
      </c>
      <c r="H56" s="536">
        <f t="shared" si="10"/>
        <v>0.52000000001862645</v>
      </c>
      <c r="I56" s="531"/>
      <c r="J56" s="629">
        <f>H56/DAY(B2)</f>
        <v>0.52000000001862645</v>
      </c>
      <c r="K56" s="466"/>
      <c r="L56" s="408"/>
      <c r="N56" s="413"/>
      <c r="O56" s="413"/>
    </row>
    <row r="57" spans="1:15">
      <c r="A57" s="655" t="s">
        <v>183</v>
      </c>
      <c r="B57" s="678"/>
      <c r="C57" s="678"/>
      <c r="D57" s="599" t="s">
        <v>143</v>
      </c>
      <c r="E57" s="586">
        <v>0</v>
      </c>
      <c r="F57" s="586">
        <v>0</v>
      </c>
      <c r="G57" s="549">
        <f t="shared" si="9"/>
        <v>0</v>
      </c>
      <c r="H57" s="536">
        <f t="shared" si="10"/>
        <v>0</v>
      </c>
      <c r="I57" s="531"/>
      <c r="J57" s="629">
        <f>H57/DAY(B2)</f>
        <v>0</v>
      </c>
      <c r="K57" s="467"/>
      <c r="L57" s="408"/>
      <c r="N57" s="413"/>
      <c r="O57" s="413"/>
    </row>
    <row r="58" spans="1:15">
      <c r="A58" s="655" t="s">
        <v>195</v>
      </c>
      <c r="B58" s="678"/>
      <c r="C58" s="678"/>
      <c r="D58" s="599" t="s">
        <v>143</v>
      </c>
      <c r="E58" s="586">
        <v>30531.91</v>
      </c>
      <c r="F58" s="586">
        <v>30706.43</v>
      </c>
      <c r="G58" s="549">
        <f t="shared" si="9"/>
        <v>174.52000000000044</v>
      </c>
      <c r="H58" s="536">
        <f t="shared" si="10"/>
        <v>174.52000000000044</v>
      </c>
      <c r="I58" s="531"/>
      <c r="J58" s="629">
        <f>H58/DAY(B2)</f>
        <v>174.52000000000044</v>
      </c>
      <c r="K58" s="467"/>
      <c r="L58" s="408"/>
      <c r="N58" s="413"/>
      <c r="O58" s="413"/>
    </row>
    <row r="59" spans="1:15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11789.390000000061</v>
      </c>
      <c r="H59" s="536">
        <f t="shared" si="10"/>
        <v>11789.390000000061</v>
      </c>
      <c r="I59" s="531">
        <f>G7-G60</f>
        <v>307.45999999995911</v>
      </c>
      <c r="J59" s="629">
        <f>H59/DAY(B2)</f>
        <v>11789.390000000061</v>
      </c>
      <c r="K59" s="467"/>
      <c r="L59" s="408"/>
      <c r="N59" s="413"/>
      <c r="O59" s="413"/>
    </row>
    <row r="60" spans="1:15">
      <c r="A60" s="655"/>
      <c r="B60" s="656"/>
      <c r="C60" s="656"/>
      <c r="D60" s="587" t="s">
        <v>196</v>
      </c>
      <c r="E60" s="587"/>
      <c r="F60" s="587"/>
      <c r="G60" s="557">
        <f>G47+G59</f>
        <v>18983.540000000041</v>
      </c>
      <c r="H60" s="536">
        <f t="shared" si="10"/>
        <v>18983.540000000041</v>
      </c>
      <c r="I60" s="531">
        <f>G13-G60</f>
        <v>-356.63999999990119</v>
      </c>
      <c r="J60" s="629">
        <f>H60/DAY(B2)</f>
        <v>18983.540000000041</v>
      </c>
      <c r="K60" s="467"/>
      <c r="L60" s="408"/>
      <c r="N60" s="413"/>
      <c r="O60" s="413"/>
    </row>
    <row r="61" spans="1:15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  <c r="O61" s="413"/>
    </row>
    <row r="62" spans="1:15">
      <c r="A62" s="680" t="s">
        <v>106</v>
      </c>
      <c r="B62" s="681"/>
      <c r="C62" s="681"/>
      <c r="D62" s="587" t="s">
        <v>198</v>
      </c>
      <c r="E62" s="590">
        <v>20419.188999999998</v>
      </c>
      <c r="F62" s="590">
        <v>20419.188999999998</v>
      </c>
      <c r="G62" s="549">
        <f t="shared" ref="G62:G69" si="11">F62-E62</f>
        <v>0</v>
      </c>
      <c r="H62" s="536">
        <f>G62</f>
        <v>0</v>
      </c>
      <c r="I62" s="591"/>
      <c r="J62" s="629">
        <f>H62/DAY(B2)</f>
        <v>0</v>
      </c>
      <c r="K62" s="467"/>
      <c r="L62" s="408"/>
      <c r="N62" s="413"/>
      <c r="O62" s="413"/>
    </row>
    <row r="63" spans="1:15">
      <c r="A63" s="680" t="s">
        <v>199</v>
      </c>
      <c r="B63" s="681"/>
      <c r="C63" s="681"/>
      <c r="D63" s="587" t="s">
        <v>198</v>
      </c>
      <c r="E63" s="590">
        <v>1332.53</v>
      </c>
      <c r="F63" s="590">
        <v>1346.99</v>
      </c>
      <c r="G63" s="549">
        <f t="shared" si="11"/>
        <v>14.460000000000036</v>
      </c>
      <c r="H63" s="536">
        <f t="shared" ref="H63:H70" si="12">G63</f>
        <v>14.460000000000036</v>
      </c>
      <c r="I63" s="591"/>
      <c r="J63" s="629">
        <f>H63/DAY(B2)</f>
        <v>14.460000000000036</v>
      </c>
      <c r="K63" s="467"/>
      <c r="L63" s="408"/>
      <c r="N63" s="413"/>
      <c r="O63" s="413"/>
    </row>
    <row r="64" spans="1:15" ht="27.75">
      <c r="A64" s="1385" t="s">
        <v>107</v>
      </c>
      <c r="B64" s="1386"/>
      <c r="C64" s="1387"/>
      <c r="D64" s="599" t="s">
        <v>198</v>
      </c>
      <c r="E64" s="560">
        <v>111283.46</v>
      </c>
      <c r="F64" s="560">
        <v>111729.09</v>
      </c>
      <c r="G64" s="549">
        <f t="shared" si="11"/>
        <v>445.6299999999901</v>
      </c>
      <c r="H64" s="536">
        <f t="shared" si="12"/>
        <v>445.6299999999901</v>
      </c>
      <c r="I64" s="556"/>
      <c r="J64" s="629">
        <f>H64/DAY(B2)</f>
        <v>445.6299999999901</v>
      </c>
      <c r="K64" s="467"/>
      <c r="L64" s="408"/>
      <c r="N64" s="413"/>
      <c r="O64" s="413"/>
    </row>
    <row r="65" spans="1:15" ht="27.75">
      <c r="A65" s="1385" t="s">
        <v>108</v>
      </c>
      <c r="B65" s="1386"/>
      <c r="C65" s="1387"/>
      <c r="D65" s="599" t="s">
        <v>198</v>
      </c>
      <c r="E65" s="560">
        <v>121733.11</v>
      </c>
      <c r="F65" s="560">
        <v>122116.01</v>
      </c>
      <c r="G65" s="549">
        <f t="shared" si="11"/>
        <v>382.89999999999418</v>
      </c>
      <c r="H65" s="536">
        <f t="shared" si="12"/>
        <v>382.89999999999418</v>
      </c>
      <c r="I65" s="565"/>
      <c r="J65" s="629">
        <f>H65/DAY(B2)</f>
        <v>382.89999999999418</v>
      </c>
      <c r="K65" s="467"/>
      <c r="L65" s="408"/>
      <c r="N65" s="413"/>
      <c r="O65" s="413"/>
    </row>
    <row r="66" spans="1:15" ht="27.75">
      <c r="A66" s="1385" t="s">
        <v>109</v>
      </c>
      <c r="B66" s="1386"/>
      <c r="C66" s="1387"/>
      <c r="D66" s="599" t="s">
        <v>198</v>
      </c>
      <c r="E66" s="560">
        <v>14159.74</v>
      </c>
      <c r="F66" s="560">
        <v>14549.83</v>
      </c>
      <c r="G66" s="549">
        <f t="shared" si="11"/>
        <v>390.09000000000015</v>
      </c>
      <c r="H66" s="536">
        <f t="shared" si="12"/>
        <v>390.09000000000015</v>
      </c>
      <c r="I66" s="556"/>
      <c r="J66" s="629">
        <f>H66/DAY(B2)</f>
        <v>390.09000000000015</v>
      </c>
      <c r="K66" s="467"/>
      <c r="L66" s="408"/>
      <c r="N66" s="413"/>
      <c r="O66" s="413"/>
    </row>
    <row r="67" spans="1:15" ht="27.75">
      <c r="A67" s="1385" t="s">
        <v>110</v>
      </c>
      <c r="B67" s="1386"/>
      <c r="C67" s="1387"/>
      <c r="D67" s="599" t="s">
        <v>198</v>
      </c>
      <c r="E67" s="560">
        <v>188674.53</v>
      </c>
      <c r="F67" s="560">
        <v>189332.39</v>
      </c>
      <c r="G67" s="549">
        <f t="shared" si="11"/>
        <v>657.86000000001513</v>
      </c>
      <c r="H67" s="536">
        <f t="shared" si="12"/>
        <v>657.86000000001513</v>
      </c>
      <c r="I67" s="565"/>
      <c r="J67" s="629">
        <f>H67/DAY(B2)</f>
        <v>657.86000000001513</v>
      </c>
      <c r="K67" s="468"/>
      <c r="L67" s="408"/>
      <c r="N67" s="413"/>
      <c r="O67" s="413"/>
    </row>
    <row r="68" spans="1:15" ht="27.75">
      <c r="A68" s="1385" t="s">
        <v>111</v>
      </c>
      <c r="B68" s="1386"/>
      <c r="C68" s="1387"/>
      <c r="D68" s="599" t="s">
        <v>198</v>
      </c>
      <c r="E68" s="560">
        <v>63299.86</v>
      </c>
      <c r="F68" s="560">
        <v>63627.65</v>
      </c>
      <c r="G68" s="549">
        <f t="shared" si="11"/>
        <v>327.79000000000087</v>
      </c>
      <c r="H68" s="536">
        <f t="shared" si="12"/>
        <v>327.79000000000087</v>
      </c>
      <c r="I68" s="592"/>
      <c r="J68" s="629">
        <f>H68/DAY(B2)</f>
        <v>327.79000000000087</v>
      </c>
      <c r="K68" s="469"/>
      <c r="L68" s="408"/>
      <c r="N68" s="413"/>
      <c r="O68" s="413"/>
    </row>
    <row r="69" spans="1:15" ht="27.75">
      <c r="A69" s="1385" t="s">
        <v>112</v>
      </c>
      <c r="B69" s="1386"/>
      <c r="C69" s="1387"/>
      <c r="D69" s="599" t="s">
        <v>198</v>
      </c>
      <c r="E69" s="560">
        <v>55723.71</v>
      </c>
      <c r="F69" s="560">
        <v>56043.61</v>
      </c>
      <c r="G69" s="549">
        <f t="shared" si="11"/>
        <v>319.90000000000146</v>
      </c>
      <c r="H69" s="536">
        <f t="shared" si="12"/>
        <v>319.90000000000146</v>
      </c>
      <c r="I69" s="592"/>
      <c r="J69" s="629">
        <f>H69/DAY(B2)</f>
        <v>319.90000000000146</v>
      </c>
      <c r="K69" s="470"/>
      <c r="L69" s="408"/>
      <c r="N69" s="413"/>
      <c r="O69" s="413"/>
    </row>
    <row r="70" spans="1:15" ht="27.75">
      <c r="A70" s="1391" t="s">
        <v>200</v>
      </c>
      <c r="B70" s="1392"/>
      <c r="C70" s="1393"/>
      <c r="D70" s="599" t="s">
        <v>198</v>
      </c>
      <c r="E70" s="594"/>
      <c r="F70" s="594"/>
      <c r="G70" s="594"/>
      <c r="H70" s="536">
        <f t="shared" si="12"/>
        <v>0</v>
      </c>
      <c r="I70" s="594"/>
      <c r="J70" s="633">
        <f>H70/DAY(B2)</f>
        <v>0</v>
      </c>
      <c r="K70" s="470"/>
      <c r="L70" s="408"/>
      <c r="N70" s="413"/>
      <c r="O70" s="413"/>
    </row>
    <row r="71" spans="1:15" ht="31.5">
      <c r="A71" s="1388" t="s">
        <v>201</v>
      </c>
      <c r="B71" s="1389"/>
      <c r="C71" s="1389"/>
      <c r="D71" s="1389"/>
      <c r="E71" s="1389"/>
      <c r="F71" s="1389"/>
      <c r="G71" s="1389"/>
      <c r="H71" s="1389"/>
      <c r="I71" s="1389"/>
      <c r="J71" s="1390"/>
      <c r="K71" s="469"/>
      <c r="L71" s="408"/>
      <c r="N71" s="413"/>
      <c r="O71" s="413"/>
    </row>
    <row r="72" spans="1:15" ht="27.75">
      <c r="A72" s="1385" t="s">
        <v>202</v>
      </c>
      <c r="B72" s="1386"/>
      <c r="C72" s="1387"/>
      <c r="D72" s="599" t="s">
        <v>198</v>
      </c>
      <c r="E72" s="595">
        <v>848465</v>
      </c>
      <c r="F72" s="595">
        <v>848549</v>
      </c>
      <c r="G72" s="549">
        <f t="shared" ref="G72:G83" si="13">F72-E72</f>
        <v>84</v>
      </c>
      <c r="H72" s="536">
        <f>G72</f>
        <v>84</v>
      </c>
      <c r="I72" s="556"/>
      <c r="J72" s="629">
        <f>H72/DAY(B2)</f>
        <v>84</v>
      </c>
      <c r="K72" s="470"/>
      <c r="L72" s="408"/>
      <c r="N72" s="413"/>
      <c r="O72" s="413"/>
    </row>
    <row r="73" spans="1:15" ht="27.75">
      <c r="A73" s="1385" t="s">
        <v>203</v>
      </c>
      <c r="B73" s="1386"/>
      <c r="C73" s="1387"/>
      <c r="D73" s="599" t="s">
        <v>198</v>
      </c>
      <c r="E73" s="596">
        <v>885728</v>
      </c>
      <c r="F73" s="596">
        <v>885728</v>
      </c>
      <c r="G73" s="549">
        <f t="shared" si="13"/>
        <v>0</v>
      </c>
      <c r="H73" s="536">
        <f t="shared" ref="H73:H83" si="14">G73</f>
        <v>0</v>
      </c>
      <c r="I73" s="556"/>
      <c r="J73" s="629">
        <f>H73/DAY(B2)</f>
        <v>0</v>
      </c>
      <c r="K73" s="469"/>
      <c r="L73" s="408"/>
      <c r="N73" s="413"/>
      <c r="O73" s="413"/>
    </row>
    <row r="74" spans="1:15" ht="27.75">
      <c r="A74" s="1391" t="s">
        <v>204</v>
      </c>
      <c r="B74" s="1392"/>
      <c r="C74" s="1393"/>
      <c r="D74" s="599" t="s">
        <v>198</v>
      </c>
      <c r="E74" s="597">
        <v>882369</v>
      </c>
      <c r="F74" s="597">
        <v>882392</v>
      </c>
      <c r="G74" s="549">
        <f t="shared" si="13"/>
        <v>23</v>
      </c>
      <c r="H74" s="536">
        <f t="shared" si="14"/>
        <v>23</v>
      </c>
      <c r="I74" s="556"/>
      <c r="J74" s="629">
        <f>H74/DAY(B2)</f>
        <v>23</v>
      </c>
      <c r="K74" s="470"/>
      <c r="L74" s="408"/>
      <c r="N74" s="413"/>
      <c r="O74" s="413"/>
    </row>
    <row r="75" spans="1:15" ht="27.75">
      <c r="A75" s="1382" t="s">
        <v>205</v>
      </c>
      <c r="B75" s="1383"/>
      <c r="C75" s="1384"/>
      <c r="D75" s="599" t="s">
        <v>198</v>
      </c>
      <c r="E75" s="597">
        <v>737519</v>
      </c>
      <c r="F75" s="597">
        <v>737702</v>
      </c>
      <c r="G75" s="549">
        <f t="shared" si="13"/>
        <v>183</v>
      </c>
      <c r="H75" s="536">
        <f t="shared" si="14"/>
        <v>183</v>
      </c>
      <c r="I75" s="556"/>
      <c r="J75" s="629">
        <f>H75/DAY(B2)</f>
        <v>183</v>
      </c>
      <c r="K75" s="469"/>
      <c r="L75" s="408"/>
      <c r="N75" s="413"/>
      <c r="O75" s="413"/>
    </row>
    <row r="76" spans="1:15" ht="27.75">
      <c r="A76" s="1382" t="s">
        <v>206</v>
      </c>
      <c r="B76" s="1383"/>
      <c r="C76" s="1384"/>
      <c r="D76" s="599" t="s">
        <v>198</v>
      </c>
      <c r="E76" s="596">
        <v>687014</v>
      </c>
      <c r="F76" s="596">
        <v>687088</v>
      </c>
      <c r="G76" s="549">
        <f t="shared" si="13"/>
        <v>74</v>
      </c>
      <c r="H76" s="536">
        <f t="shared" si="14"/>
        <v>74</v>
      </c>
      <c r="I76" s="581"/>
      <c r="J76" s="629">
        <f>H76/DAY(B2)</f>
        <v>74</v>
      </c>
      <c r="K76" s="469"/>
      <c r="L76" s="408"/>
      <c r="N76" s="413"/>
      <c r="O76" s="413"/>
    </row>
    <row r="77" spans="1:15" ht="27.75">
      <c r="A77" s="1385" t="s">
        <v>207</v>
      </c>
      <c r="B77" s="1386"/>
      <c r="C77" s="1387"/>
      <c r="D77" s="599" t="s">
        <v>198</v>
      </c>
      <c r="E77" s="597">
        <v>697107</v>
      </c>
      <c r="F77" s="597">
        <v>697155</v>
      </c>
      <c r="G77" s="549">
        <f t="shared" si="13"/>
        <v>48</v>
      </c>
      <c r="H77" s="536">
        <f t="shared" si="14"/>
        <v>48</v>
      </c>
      <c r="I77" s="581"/>
      <c r="J77" s="629">
        <f>H77/DAY(B2)</f>
        <v>48</v>
      </c>
      <c r="K77" s="469"/>
      <c r="L77" s="408"/>
      <c r="N77" s="413"/>
      <c r="O77" s="413"/>
    </row>
    <row r="78" spans="1:15" ht="27.75">
      <c r="A78" s="1234" t="s">
        <v>208</v>
      </c>
      <c r="B78" s="1205"/>
      <c r="C78" s="1205"/>
      <c r="D78" s="599" t="s">
        <v>198</v>
      </c>
      <c r="E78" s="597">
        <v>641953</v>
      </c>
      <c r="F78" s="597">
        <v>642287</v>
      </c>
      <c r="G78" s="549">
        <f t="shared" si="13"/>
        <v>334</v>
      </c>
      <c r="H78" s="536">
        <f t="shared" si="14"/>
        <v>334</v>
      </c>
      <c r="I78" s="581"/>
      <c r="J78" s="629">
        <f>H78/DAY(B2)</f>
        <v>334</v>
      </c>
      <c r="K78" s="469"/>
      <c r="L78" s="408"/>
      <c r="N78" s="413"/>
      <c r="O78" s="413"/>
    </row>
    <row r="79" spans="1:15" ht="27.75">
      <c r="A79" s="1382" t="s">
        <v>97</v>
      </c>
      <c r="B79" s="1383"/>
      <c r="C79" s="1384"/>
      <c r="D79" s="600" t="s">
        <v>198</v>
      </c>
      <c r="E79" s="597">
        <v>809691</v>
      </c>
      <c r="F79" s="597">
        <v>809896</v>
      </c>
      <c r="G79" s="549">
        <f t="shared" si="13"/>
        <v>205</v>
      </c>
      <c r="H79" s="536">
        <f t="shared" si="14"/>
        <v>205</v>
      </c>
      <c r="I79" s="581"/>
      <c r="J79" s="629">
        <f>H79/DAY(B2)</f>
        <v>205</v>
      </c>
      <c r="K79" s="469"/>
      <c r="L79" s="408"/>
      <c r="N79" s="413"/>
      <c r="O79" s="413"/>
    </row>
    <row r="80" spans="1:15" ht="27.75">
      <c r="A80" s="1382" t="s">
        <v>209</v>
      </c>
      <c r="B80" s="1383"/>
      <c r="C80" s="1384"/>
      <c r="D80" s="600" t="s">
        <v>198</v>
      </c>
      <c r="E80" s="596">
        <v>485127</v>
      </c>
      <c r="F80" s="596">
        <v>485435</v>
      </c>
      <c r="G80" s="549">
        <f t="shared" si="13"/>
        <v>308</v>
      </c>
      <c r="H80" s="536">
        <f t="shared" si="14"/>
        <v>308</v>
      </c>
      <c r="I80" s="581"/>
      <c r="J80" s="629">
        <f>H80/DAY(B2)</f>
        <v>308</v>
      </c>
      <c r="K80" s="469"/>
      <c r="L80" s="408"/>
      <c r="N80" s="413"/>
      <c r="O80" s="413"/>
    </row>
    <row r="81" spans="1:15" ht="27.75">
      <c r="A81" s="1382" t="s">
        <v>210</v>
      </c>
      <c r="B81" s="1383"/>
      <c r="C81" s="1384"/>
      <c r="D81" s="600" t="s">
        <v>198</v>
      </c>
      <c r="E81" s="596">
        <v>622775</v>
      </c>
      <c r="F81" s="596">
        <v>622851</v>
      </c>
      <c r="G81" s="549">
        <f t="shared" si="13"/>
        <v>76</v>
      </c>
      <c r="H81" s="536">
        <f t="shared" si="14"/>
        <v>76</v>
      </c>
      <c r="I81" s="581"/>
      <c r="J81" s="629">
        <f>H81/DAY(B2)</f>
        <v>76</v>
      </c>
      <c r="K81" s="469"/>
      <c r="L81" s="408"/>
      <c r="N81" s="413"/>
      <c r="O81" s="413"/>
    </row>
    <row r="82" spans="1:15" ht="27.75">
      <c r="A82" s="1382" t="s">
        <v>100</v>
      </c>
      <c r="B82" s="1383"/>
      <c r="C82" s="1384"/>
      <c r="D82" s="561" t="s">
        <v>143</v>
      </c>
      <c r="E82" s="598">
        <v>105440</v>
      </c>
      <c r="F82" s="598">
        <v>105485</v>
      </c>
      <c r="G82" s="549">
        <f t="shared" si="13"/>
        <v>45</v>
      </c>
      <c r="H82" s="536">
        <f t="shared" si="14"/>
        <v>45</v>
      </c>
      <c r="I82" s="562"/>
      <c r="J82" s="629">
        <f>H82/DAY(B2)</f>
        <v>45</v>
      </c>
      <c r="K82" s="469"/>
      <c r="L82" s="408"/>
      <c r="N82" s="413"/>
      <c r="O82" s="413"/>
    </row>
    <row r="83" spans="1:15" ht="27.75">
      <c r="A83" s="1382" t="s">
        <v>211</v>
      </c>
      <c r="B83" s="1383"/>
      <c r="C83" s="1384"/>
      <c r="D83" s="697" t="s">
        <v>143</v>
      </c>
      <c r="E83" s="587">
        <v>983741</v>
      </c>
      <c r="F83" s="587">
        <v>984174</v>
      </c>
      <c r="G83" s="549">
        <f t="shared" si="13"/>
        <v>433</v>
      </c>
      <c r="H83" s="536">
        <f t="shared" si="14"/>
        <v>433</v>
      </c>
      <c r="I83" s="557"/>
      <c r="J83" s="629">
        <f>H83/DAY(B2)</f>
        <v>433</v>
      </c>
      <c r="K83" s="468"/>
      <c r="L83" s="408"/>
      <c r="N83" s="413"/>
      <c r="O83" s="803"/>
    </row>
    <row r="84" spans="1:15">
      <c r="A84" s="1235" t="s">
        <v>212</v>
      </c>
      <c r="B84" s="648"/>
      <c r="C84" s="648"/>
      <c r="D84" s="554" t="s">
        <v>143</v>
      </c>
      <c r="E84" s="704">
        <v>416073</v>
      </c>
      <c r="F84" s="704">
        <v>416594</v>
      </c>
      <c r="G84" s="549">
        <f t="shared" ref="G84" si="15">F84-E84</f>
        <v>521</v>
      </c>
      <c r="H84" s="536">
        <f t="shared" ref="H84:H85" si="16">G84</f>
        <v>521</v>
      </c>
      <c r="I84" s="557"/>
      <c r="J84" s="629">
        <f>H84/DAY(B2)</f>
        <v>521</v>
      </c>
      <c r="K84" s="411"/>
      <c r="L84" s="408"/>
      <c r="N84" s="413"/>
      <c r="O84" s="413"/>
    </row>
    <row r="85" spans="1:15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SUM(G71:G84)</f>
        <v>2334</v>
      </c>
      <c r="H85" s="536">
        <f t="shared" si="16"/>
        <v>2334</v>
      </c>
      <c r="I85" s="557"/>
      <c r="J85" s="629">
        <f>H85/DAY(B2)</f>
        <v>2334</v>
      </c>
      <c r="K85" s="411"/>
      <c r="L85" s="409"/>
      <c r="N85" s="859"/>
      <c r="O85" s="803"/>
    </row>
    <row r="86" spans="1:15" s="817" customFormat="1">
      <c r="A86" s="812" t="s">
        <v>102</v>
      </c>
      <c r="B86" s="813"/>
      <c r="C86" s="813"/>
      <c r="D86" s="814" t="s">
        <v>194</v>
      </c>
      <c r="E86" s="728">
        <v>447106</v>
      </c>
      <c r="F86" s="728">
        <v>447230.36</v>
      </c>
      <c r="G86" s="787">
        <f t="shared" ref="G86" si="17">F86-E86</f>
        <v>124.35999999998603</v>
      </c>
      <c r="H86" s="787">
        <f t="shared" ref="H86" si="18">G86</f>
        <v>124.35999999998603</v>
      </c>
      <c r="I86" s="733"/>
      <c r="J86" s="789">
        <f>H86/DAY(B2)</f>
        <v>124.35999999998603</v>
      </c>
      <c r="K86" s="815"/>
      <c r="L86" s="816"/>
      <c r="N86" s="860"/>
      <c r="O86" s="413"/>
    </row>
    <row r="87" spans="1:15" s="817" customFormat="1">
      <c r="A87" s="812" t="s">
        <v>103</v>
      </c>
      <c r="B87" s="813"/>
      <c r="C87" s="813"/>
      <c r="D87" s="814" t="s">
        <v>194</v>
      </c>
      <c r="E87" s="728">
        <v>78446.3</v>
      </c>
      <c r="F87" s="728">
        <v>78477.7</v>
      </c>
      <c r="G87" s="787">
        <f t="shared" ref="G87:G90" si="19">F87-E87</f>
        <v>31.399999999994179</v>
      </c>
      <c r="H87" s="787">
        <f t="shared" ref="H87:H88" si="20">G87</f>
        <v>31.399999999994179</v>
      </c>
      <c r="I87" s="733"/>
      <c r="J87" s="789">
        <f>H87/DAY(B2)</f>
        <v>31.399999999994179</v>
      </c>
      <c r="K87" s="815"/>
      <c r="L87" s="816"/>
      <c r="N87" s="860"/>
      <c r="O87" s="413"/>
    </row>
    <row r="88" spans="1:15" s="817" customFormat="1">
      <c r="A88" s="812" t="s">
        <v>104</v>
      </c>
      <c r="B88" s="813"/>
      <c r="C88" s="813"/>
      <c r="D88" s="814" t="s">
        <v>194</v>
      </c>
      <c r="E88" s="728">
        <v>146502</v>
      </c>
      <c r="F88" s="728">
        <v>146589</v>
      </c>
      <c r="G88" s="787">
        <f t="shared" si="19"/>
        <v>87</v>
      </c>
      <c r="H88" s="787">
        <f t="shared" si="20"/>
        <v>87</v>
      </c>
      <c r="I88" s="733"/>
      <c r="J88" s="789">
        <f>H88/DAY(B2)</f>
        <v>87</v>
      </c>
      <c r="K88" s="815"/>
      <c r="L88" s="816"/>
      <c r="N88" s="860"/>
      <c r="O88" s="413"/>
    </row>
    <row r="89" spans="1:15" s="817" customFormat="1">
      <c r="A89" s="812" t="s">
        <v>214</v>
      </c>
      <c r="B89" s="813"/>
      <c r="C89" s="813"/>
      <c r="D89" s="814" t="s">
        <v>194</v>
      </c>
      <c r="E89" s="728">
        <v>59802</v>
      </c>
      <c r="F89" s="728">
        <v>59873.3</v>
      </c>
      <c r="G89" s="787">
        <f t="shared" si="19"/>
        <v>71.30000000000291</v>
      </c>
      <c r="H89" s="787">
        <f>G89</f>
        <v>71.30000000000291</v>
      </c>
      <c r="I89" s="733"/>
      <c r="J89" s="789">
        <f>H89/DAY(B2)</f>
        <v>71.30000000000291</v>
      </c>
      <c r="K89" s="815"/>
      <c r="L89" s="816"/>
      <c r="N89" s="860"/>
      <c r="O89" s="413"/>
    </row>
    <row r="90" spans="1:15" s="817" customFormat="1">
      <c r="A90" s="812" t="s">
        <v>215</v>
      </c>
      <c r="B90" s="813"/>
      <c r="C90" s="813"/>
      <c r="D90" s="814" t="s">
        <v>194</v>
      </c>
      <c r="E90" s="728">
        <v>3065.9</v>
      </c>
      <c r="F90" s="728">
        <v>3070.5</v>
      </c>
      <c r="G90" s="787">
        <f t="shared" si="19"/>
        <v>4.5999999999999091</v>
      </c>
      <c r="H90" s="787">
        <f>G90</f>
        <v>4.5999999999999091</v>
      </c>
      <c r="I90" s="733"/>
      <c r="J90" s="789">
        <f>H90/DAY(B2)</f>
        <v>4.5999999999999091</v>
      </c>
      <c r="K90" s="815"/>
      <c r="L90" s="816"/>
      <c r="N90" s="860"/>
      <c r="O90" s="413"/>
    </row>
    <row r="91" spans="1:15" s="410" customFormat="1">
      <c r="A91" s="683" t="s">
        <v>216</v>
      </c>
      <c r="B91" s="1237"/>
      <c r="C91" s="1237"/>
      <c r="D91" s="548"/>
      <c r="E91" s="548"/>
      <c r="F91" s="548"/>
      <c r="G91" s="564"/>
      <c r="H91" s="548"/>
      <c r="I91" s="548"/>
      <c r="J91" s="628"/>
      <c r="K91" s="411"/>
      <c r="L91" s="409"/>
      <c r="N91" s="859"/>
      <c r="O91" s="413"/>
    </row>
    <row r="92" spans="1:15" ht="27.75">
      <c r="A92" s="1406" t="s">
        <v>217</v>
      </c>
      <c r="B92" s="1407"/>
      <c r="C92" s="1408"/>
      <c r="D92" s="599" t="s">
        <v>155</v>
      </c>
      <c r="E92" s="560">
        <v>236570</v>
      </c>
      <c r="F92" s="560">
        <v>236657</v>
      </c>
      <c r="G92" s="549">
        <f t="shared" ref="G92" si="21">F92-E92</f>
        <v>87</v>
      </c>
      <c r="H92" s="536">
        <f t="shared" ref="H92" si="22">G92</f>
        <v>87</v>
      </c>
      <c r="I92" s="556"/>
      <c r="J92" s="629">
        <f>H92/DAY(B2)</f>
        <v>87</v>
      </c>
      <c r="K92" s="468"/>
      <c r="L92" s="408"/>
      <c r="N92" s="413"/>
      <c r="O92" s="413"/>
    </row>
    <row r="93" spans="1:15" ht="27.75">
      <c r="A93" s="1406" t="s">
        <v>218</v>
      </c>
      <c r="B93" s="1407"/>
      <c r="C93" s="1408"/>
      <c r="D93" s="599" t="s">
        <v>155</v>
      </c>
      <c r="E93" s="560">
        <v>171176</v>
      </c>
      <c r="F93" s="560">
        <v>171376</v>
      </c>
      <c r="G93" s="549">
        <f t="shared" ref="G93" si="23">F93-E93</f>
        <v>200</v>
      </c>
      <c r="H93" s="536">
        <f>G93</f>
        <v>200</v>
      </c>
      <c r="I93" s="556"/>
      <c r="J93" s="629">
        <f>H93/DAY(B2)</f>
        <v>200</v>
      </c>
      <c r="K93" s="411"/>
      <c r="L93" s="408"/>
      <c r="N93" s="413"/>
      <c r="O93" s="413"/>
    </row>
    <row r="94" spans="1:15">
      <c r="A94" s="1434" t="s">
        <v>219</v>
      </c>
      <c r="B94" s="1435"/>
      <c r="C94" s="1436"/>
      <c r="D94" s="599"/>
      <c r="E94" s="560"/>
      <c r="F94" s="560"/>
      <c r="G94" s="549">
        <f>G92+G93</f>
        <v>287</v>
      </c>
      <c r="H94" s="536"/>
      <c r="I94" s="556"/>
      <c r="J94" s="629"/>
      <c r="K94" s="411"/>
      <c r="L94" s="408"/>
      <c r="N94" s="413"/>
      <c r="O94" s="413"/>
    </row>
    <row r="95" spans="1:15" ht="27.75">
      <c r="A95" s="1406" t="s">
        <v>220</v>
      </c>
      <c r="B95" s="1407"/>
      <c r="C95" s="1408"/>
      <c r="D95" s="599" t="s">
        <v>155</v>
      </c>
      <c r="E95" s="560">
        <v>405876</v>
      </c>
      <c r="F95" s="560">
        <v>405948</v>
      </c>
      <c r="G95" s="549">
        <f t="shared" ref="G95:G100" si="24">F95-E95</f>
        <v>72</v>
      </c>
      <c r="H95" s="536">
        <f t="shared" ref="H95:H101" si="25">G95</f>
        <v>72</v>
      </c>
      <c r="I95" s="556"/>
      <c r="J95" s="629">
        <f>H95/DAY(B2)</f>
        <v>72</v>
      </c>
      <c r="K95" s="411"/>
      <c r="L95" s="408"/>
      <c r="N95" s="413"/>
      <c r="O95" s="413"/>
    </row>
    <row r="96" spans="1:15" ht="27.75">
      <c r="A96" s="1231" t="s">
        <v>221</v>
      </c>
      <c r="B96" s="1232"/>
      <c r="C96" s="1232"/>
      <c r="D96" s="599" t="s">
        <v>155</v>
      </c>
      <c r="E96" s="560">
        <v>100534</v>
      </c>
      <c r="F96" s="560">
        <v>100557</v>
      </c>
      <c r="G96" s="549">
        <f t="shared" si="24"/>
        <v>23</v>
      </c>
      <c r="H96" s="536">
        <f t="shared" si="25"/>
        <v>23</v>
      </c>
      <c r="I96" s="556"/>
      <c r="J96" s="629">
        <f>H96/DAY(B2)</f>
        <v>23</v>
      </c>
      <c r="K96" s="466"/>
      <c r="L96" s="408"/>
      <c r="N96" s="413"/>
      <c r="O96" s="413"/>
    </row>
    <row r="97" spans="1:15" ht="27.75">
      <c r="A97" s="1231" t="s">
        <v>222</v>
      </c>
      <c r="B97" s="1232"/>
      <c r="C97" s="1232"/>
      <c r="D97" s="599" t="s">
        <v>155</v>
      </c>
      <c r="E97" s="560">
        <v>95677</v>
      </c>
      <c r="F97" s="560">
        <v>95695</v>
      </c>
      <c r="G97" s="549">
        <f t="shared" si="24"/>
        <v>18</v>
      </c>
      <c r="H97" s="536">
        <f t="shared" si="25"/>
        <v>18</v>
      </c>
      <c r="I97" s="556"/>
      <c r="J97" s="629">
        <f>H97/DAY(B2)</f>
        <v>18</v>
      </c>
      <c r="K97" s="471"/>
      <c r="L97" s="408"/>
      <c r="N97" s="413"/>
      <c r="O97" s="413"/>
    </row>
    <row r="98" spans="1:15" ht="27.75">
      <c r="A98" s="1231" t="s">
        <v>223</v>
      </c>
      <c r="B98" s="1232"/>
      <c r="C98" s="1232"/>
      <c r="D98" s="599" t="s">
        <v>155</v>
      </c>
      <c r="E98" s="560">
        <v>145554</v>
      </c>
      <c r="F98" s="560">
        <v>145637</v>
      </c>
      <c r="G98" s="549">
        <f t="shared" si="24"/>
        <v>83</v>
      </c>
      <c r="H98" s="536">
        <f t="shared" si="25"/>
        <v>83</v>
      </c>
      <c r="I98" s="556"/>
      <c r="J98" s="629">
        <f>H98/DAY(B2)</f>
        <v>83</v>
      </c>
      <c r="K98" s="411"/>
      <c r="L98" s="408"/>
      <c r="N98" s="413"/>
      <c r="O98" s="413"/>
    </row>
    <row r="99" spans="1:15" ht="27.75">
      <c r="A99" s="1231" t="s">
        <v>224</v>
      </c>
      <c r="B99" s="1232"/>
      <c r="C99" s="1232"/>
      <c r="D99" s="599" t="s">
        <v>155</v>
      </c>
      <c r="E99" s="560">
        <v>5974</v>
      </c>
      <c r="F99" s="560">
        <v>5987</v>
      </c>
      <c r="G99" s="549">
        <f t="shared" si="24"/>
        <v>13</v>
      </c>
      <c r="H99" s="536">
        <f t="shared" si="25"/>
        <v>13</v>
      </c>
      <c r="I99" s="556"/>
      <c r="J99" s="629">
        <f>H99/DAY(B2)</f>
        <v>13</v>
      </c>
      <c r="K99" s="411"/>
      <c r="L99" s="408"/>
      <c r="N99" s="413"/>
      <c r="O99" s="413"/>
    </row>
    <row r="100" spans="1:15" ht="27.75">
      <c r="A100" s="1231" t="s">
        <v>225</v>
      </c>
      <c r="B100" s="1232"/>
      <c r="C100" s="1232"/>
      <c r="D100" s="599" t="s">
        <v>155</v>
      </c>
      <c r="E100" s="560">
        <v>4237</v>
      </c>
      <c r="F100" s="560">
        <v>4243</v>
      </c>
      <c r="G100" s="549">
        <f t="shared" si="24"/>
        <v>6</v>
      </c>
      <c r="H100" s="536">
        <f t="shared" si="25"/>
        <v>6</v>
      </c>
      <c r="I100" s="556" t="s">
        <v>226</v>
      </c>
      <c r="J100" s="629">
        <f>H100/DAY(B2)</f>
        <v>6</v>
      </c>
      <c r="K100" s="411"/>
      <c r="L100" s="408"/>
      <c r="N100" s="413"/>
      <c r="O100" s="413"/>
    </row>
    <row r="101" spans="1:15">
      <c r="A101" s="1434" t="s">
        <v>227</v>
      </c>
      <c r="B101" s="1435"/>
      <c r="C101" s="1436"/>
      <c r="D101" s="600"/>
      <c r="E101" s="600"/>
      <c r="F101" s="600"/>
      <c r="G101" s="601">
        <f>SUM(G95:G100)</f>
        <v>215</v>
      </c>
      <c r="H101" s="536">
        <f t="shared" si="25"/>
        <v>215</v>
      </c>
      <c r="I101" s="602"/>
      <c r="J101" s="629">
        <f>H101/DAY(B2)</f>
        <v>215</v>
      </c>
      <c r="K101" s="411"/>
      <c r="L101" s="408"/>
      <c r="N101" s="413"/>
      <c r="O101" s="413"/>
    </row>
    <row r="102" spans="1:15" s="481" customFormat="1" ht="27">
      <c r="A102" s="684" t="s">
        <v>228</v>
      </c>
      <c r="B102" s="685"/>
      <c r="C102" s="685"/>
      <c r="D102" s="698"/>
      <c r="E102" s="604"/>
      <c r="F102" s="604"/>
      <c r="G102" s="605"/>
      <c r="H102" s="606"/>
      <c r="I102" s="607"/>
      <c r="J102" s="634"/>
      <c r="N102" s="493"/>
      <c r="O102" s="413"/>
    </row>
    <row r="103" spans="1:15" s="481" customFormat="1" ht="27.75">
      <c r="A103" s="1437" t="s">
        <v>229</v>
      </c>
      <c r="B103" s="1438"/>
      <c r="C103" s="650"/>
      <c r="D103" s="699"/>
      <c r="E103" s="608"/>
      <c r="F103" s="608"/>
      <c r="G103" s="608"/>
      <c r="H103" s="609"/>
      <c r="I103" s="608"/>
      <c r="J103" s="635"/>
      <c r="N103" s="493"/>
      <c r="O103" s="413"/>
    </row>
    <row r="104" spans="1:15" s="481" customFormat="1" ht="27.75">
      <c r="A104" s="1398" t="s">
        <v>230</v>
      </c>
      <c r="B104" s="1399"/>
      <c r="C104" s="1229"/>
      <c r="D104" s="699" t="s">
        <v>155</v>
      </c>
      <c r="E104" s="608">
        <v>7010</v>
      </c>
      <c r="F104" s="608">
        <v>7010</v>
      </c>
      <c r="G104" s="608">
        <f>F104-E104</f>
        <v>0</v>
      </c>
      <c r="H104" s="609">
        <f>G104</f>
        <v>0</v>
      </c>
      <c r="I104" s="608"/>
      <c r="J104" s="635">
        <f>H104/DAY(B2)</f>
        <v>0</v>
      </c>
      <c r="N104" s="493"/>
      <c r="O104" s="413"/>
    </row>
    <row r="105" spans="1:15" s="481" customFormat="1" ht="27.75">
      <c r="A105" s="1398" t="s">
        <v>77</v>
      </c>
      <c r="B105" s="1399"/>
      <c r="C105" s="1229"/>
      <c r="D105" s="699" t="s">
        <v>155</v>
      </c>
      <c r="E105" s="610">
        <v>35161</v>
      </c>
      <c r="F105" s="610">
        <v>35169</v>
      </c>
      <c r="G105" s="608">
        <f t="shared" ref="G105:G106" si="26">F105-E105</f>
        <v>8</v>
      </c>
      <c r="H105" s="609">
        <f t="shared" ref="H105:H120" si="27">G105</f>
        <v>8</v>
      </c>
      <c r="I105" s="608"/>
      <c r="J105" s="635">
        <f>H105/DAY(B2)</f>
        <v>8</v>
      </c>
      <c r="N105" s="493"/>
      <c r="O105" s="413"/>
    </row>
    <row r="106" spans="1:15" s="481" customFormat="1" ht="27.75">
      <c r="A106" s="1398" t="s">
        <v>78</v>
      </c>
      <c r="B106" s="1439"/>
      <c r="C106" s="1399"/>
      <c r="D106" s="699" t="s">
        <v>155</v>
      </c>
      <c r="E106" s="608">
        <v>19080</v>
      </c>
      <c r="F106" s="608">
        <v>19087</v>
      </c>
      <c r="G106" s="608">
        <f t="shared" si="26"/>
        <v>7</v>
      </c>
      <c r="H106" s="609">
        <f t="shared" si="27"/>
        <v>7</v>
      </c>
      <c r="I106" s="608"/>
      <c r="J106" s="635">
        <f>H106/DAY(B2)</f>
        <v>7</v>
      </c>
      <c r="N106" s="493"/>
      <c r="O106" s="413"/>
    </row>
    <row r="107" spans="1:15" s="481" customFormat="1" ht="27.75">
      <c r="A107" s="1400" t="s">
        <v>213</v>
      </c>
      <c r="B107" s="1401"/>
      <c r="C107" s="1229"/>
      <c r="D107" s="699"/>
      <c r="E107" s="608"/>
      <c r="F107" s="608"/>
      <c r="G107" s="608">
        <f>SUM(G104:G106)</f>
        <v>15</v>
      </c>
      <c r="H107" s="609">
        <f t="shared" si="27"/>
        <v>15</v>
      </c>
      <c r="I107" s="608"/>
      <c r="J107" s="635">
        <f>H107/DAY(B2)</f>
        <v>15</v>
      </c>
      <c r="N107" s="493"/>
      <c r="O107" s="413"/>
    </row>
    <row r="108" spans="1:15" s="481" customFormat="1" ht="27.75">
      <c r="A108" s="1404" t="s">
        <v>79</v>
      </c>
      <c r="B108" s="1405"/>
      <c r="C108" s="1229"/>
      <c r="D108" s="699" t="s">
        <v>155</v>
      </c>
      <c r="E108" s="608"/>
      <c r="F108" s="608"/>
      <c r="G108" s="608"/>
      <c r="H108" s="609">
        <f t="shared" si="27"/>
        <v>0</v>
      </c>
      <c r="I108" s="608"/>
      <c r="J108" s="635"/>
      <c r="N108" s="493"/>
      <c r="O108" s="413"/>
    </row>
    <row r="109" spans="1:15" s="481" customFormat="1" ht="27.75">
      <c r="A109" s="1398" t="s">
        <v>231</v>
      </c>
      <c r="B109" s="1399"/>
      <c r="C109" s="1229"/>
      <c r="D109" s="699" t="s">
        <v>155</v>
      </c>
      <c r="E109" s="608">
        <v>54674</v>
      </c>
      <c r="F109" s="608">
        <v>54715</v>
      </c>
      <c r="G109" s="608">
        <f>F109-E109</f>
        <v>41</v>
      </c>
      <c r="H109" s="609">
        <f t="shared" si="27"/>
        <v>41</v>
      </c>
      <c r="I109" s="608"/>
      <c r="J109" s="635">
        <f>H109/DAY(B2)</f>
        <v>41</v>
      </c>
      <c r="N109" s="493"/>
      <c r="O109" s="413"/>
    </row>
    <row r="110" spans="1:15" s="481" customFormat="1" ht="27.75">
      <c r="A110" s="1398" t="s">
        <v>232</v>
      </c>
      <c r="B110" s="1399"/>
      <c r="C110" s="1229"/>
      <c r="D110" s="699" t="s">
        <v>155</v>
      </c>
      <c r="E110" s="608">
        <v>28541</v>
      </c>
      <c r="F110" s="608">
        <v>28620</v>
      </c>
      <c r="G110" s="608">
        <f>F110-E110</f>
        <v>79</v>
      </c>
      <c r="H110" s="609">
        <f t="shared" si="27"/>
        <v>79</v>
      </c>
      <c r="I110" s="608"/>
      <c r="J110" s="635">
        <f>H110/DAY(B2)</f>
        <v>79</v>
      </c>
      <c r="N110" s="493"/>
      <c r="O110" s="413"/>
    </row>
    <row r="111" spans="1:15" s="481" customFormat="1" ht="27.75">
      <c r="A111" s="1398" t="s">
        <v>233</v>
      </c>
      <c r="B111" s="1399"/>
      <c r="C111" s="1229"/>
      <c r="D111" s="699" t="s">
        <v>155</v>
      </c>
      <c r="E111" s="608">
        <v>3754</v>
      </c>
      <c r="F111" s="608">
        <v>3754</v>
      </c>
      <c r="G111" s="608">
        <f>F111-E111</f>
        <v>0</v>
      </c>
      <c r="H111" s="609">
        <f t="shared" si="27"/>
        <v>0</v>
      </c>
      <c r="I111" s="608"/>
      <c r="J111" s="635">
        <f>H111/DAY(B2)</f>
        <v>0</v>
      </c>
      <c r="N111" s="493"/>
      <c r="O111" s="413"/>
    </row>
    <row r="112" spans="1:15" s="481" customFormat="1" ht="27.75">
      <c r="A112" s="1402" t="s">
        <v>121</v>
      </c>
      <c r="B112" s="1403"/>
      <c r="C112" s="1229"/>
      <c r="D112" s="699"/>
      <c r="E112" s="608"/>
      <c r="F112" s="608"/>
      <c r="G112" s="608">
        <f>SUM(G109:G111)</f>
        <v>120</v>
      </c>
      <c r="H112" s="609">
        <f t="shared" si="27"/>
        <v>120</v>
      </c>
      <c r="I112" s="608"/>
      <c r="J112" s="635">
        <f>H112/DAY(B2)</f>
        <v>120</v>
      </c>
      <c r="N112" s="493"/>
      <c r="O112" s="413"/>
    </row>
    <row r="113" spans="1:15" s="481" customFormat="1" ht="27.75">
      <c r="A113" s="1404" t="s">
        <v>234</v>
      </c>
      <c r="B113" s="1405"/>
      <c r="C113" s="1229"/>
      <c r="D113" s="699"/>
      <c r="E113" s="608"/>
      <c r="F113" s="608"/>
      <c r="G113" s="608"/>
      <c r="H113" s="609">
        <f t="shared" si="27"/>
        <v>0</v>
      </c>
      <c r="I113" s="608"/>
      <c r="J113" s="635">
        <f>H113/DAY(B2)</f>
        <v>0</v>
      </c>
      <c r="N113" s="493"/>
      <c r="O113" s="413"/>
    </row>
    <row r="114" spans="1:15" s="481" customFormat="1" ht="27.75">
      <c r="A114" s="1398" t="s">
        <v>235</v>
      </c>
      <c r="B114" s="1399"/>
      <c r="C114" s="651"/>
      <c r="D114" s="699" t="s">
        <v>155</v>
      </c>
      <c r="E114" s="610">
        <v>9801</v>
      </c>
      <c r="F114" s="610">
        <v>9817</v>
      </c>
      <c r="G114" s="610">
        <f>F114-E114</f>
        <v>16</v>
      </c>
      <c r="H114" s="609">
        <f t="shared" si="27"/>
        <v>16</v>
      </c>
      <c r="I114" s="608"/>
      <c r="J114" s="635">
        <f>H114/DAY(B2)</f>
        <v>16</v>
      </c>
      <c r="N114" s="493"/>
      <c r="O114" s="413"/>
    </row>
    <row r="115" spans="1:15" s="481" customFormat="1" ht="27.75">
      <c r="A115" s="1398" t="s">
        <v>236</v>
      </c>
      <c r="B115" s="1399"/>
      <c r="C115" s="651"/>
      <c r="D115" s="699" t="s">
        <v>155</v>
      </c>
      <c r="E115" s="610">
        <v>7427</v>
      </c>
      <c r="F115" s="610">
        <v>7432</v>
      </c>
      <c r="G115" s="610">
        <f t="shared" ref="G115:G116" si="28">F115-E115</f>
        <v>5</v>
      </c>
      <c r="H115" s="609">
        <f t="shared" si="27"/>
        <v>5</v>
      </c>
      <c r="I115" s="608"/>
      <c r="J115" s="635">
        <f>H115/DAY(B2)</f>
        <v>5</v>
      </c>
      <c r="N115" s="493"/>
      <c r="O115" s="413"/>
    </row>
    <row r="116" spans="1:15" s="481" customFormat="1" ht="27.75">
      <c r="A116" s="1398" t="s">
        <v>237</v>
      </c>
      <c r="B116" s="1399"/>
      <c r="C116" s="651"/>
      <c r="D116" s="699" t="s">
        <v>155</v>
      </c>
      <c r="E116" s="610"/>
      <c r="F116" s="610"/>
      <c r="G116" s="610">
        <f t="shared" si="28"/>
        <v>0</v>
      </c>
      <c r="H116" s="609">
        <f t="shared" si="27"/>
        <v>0</v>
      </c>
      <c r="I116" s="608"/>
      <c r="J116" s="635">
        <f>H116/DAY(B2)</f>
        <v>0</v>
      </c>
      <c r="N116" s="493"/>
      <c r="O116" s="413"/>
    </row>
    <row r="117" spans="1:15" s="494" customFormat="1" ht="27.75">
      <c r="A117" s="1400" t="s">
        <v>213</v>
      </c>
      <c r="B117" s="1401"/>
      <c r="C117" s="651"/>
      <c r="D117" s="700"/>
      <c r="E117" s="610"/>
      <c r="F117" s="610"/>
      <c r="G117" s="610">
        <f>SUM(G114:G116)</f>
        <v>21</v>
      </c>
      <c r="H117" s="609">
        <f t="shared" si="27"/>
        <v>21</v>
      </c>
      <c r="I117" s="610"/>
      <c r="J117" s="635">
        <f>H117/DAY(B2)</f>
        <v>21</v>
      </c>
      <c r="N117" s="522"/>
      <c r="O117" s="413"/>
    </row>
    <row r="118" spans="1:15" s="495" customFormat="1" ht="27.75">
      <c r="A118" s="1394" t="s">
        <v>238</v>
      </c>
      <c r="B118" s="1395"/>
      <c r="C118" s="1228"/>
      <c r="D118" s="701" t="s">
        <v>155</v>
      </c>
      <c r="E118" s="612">
        <f>SUM(F19+F92)</f>
        <v>369756</v>
      </c>
      <c r="F118" s="612">
        <f>SUM(G19+G92)</f>
        <v>138</v>
      </c>
      <c r="G118" s="612">
        <f>SUM(G19+G92)</f>
        <v>138</v>
      </c>
      <c r="H118" s="609">
        <f t="shared" si="27"/>
        <v>138</v>
      </c>
      <c r="I118" s="611"/>
      <c r="J118" s="636">
        <f>H118/DAY(B2)</f>
        <v>138</v>
      </c>
      <c r="N118" s="861"/>
      <c r="O118" s="413"/>
    </row>
    <row r="119" spans="1:15" s="495" customFormat="1" ht="27.75">
      <c r="A119" s="1394" t="s">
        <v>239</v>
      </c>
      <c r="B119" s="1395"/>
      <c r="C119" s="1228"/>
      <c r="D119" s="701" t="s">
        <v>155</v>
      </c>
      <c r="E119" s="612">
        <f>SUM(F95,F96,F97,F99,F100)</f>
        <v>612430</v>
      </c>
      <c r="F119" s="612">
        <f>SUM(G95,G96,G97,G99,G100)</f>
        <v>132</v>
      </c>
      <c r="G119" s="612">
        <f>SUM(G95,G96,G97,G99,G100)</f>
        <v>132</v>
      </c>
      <c r="H119" s="609">
        <f t="shared" si="27"/>
        <v>132</v>
      </c>
      <c r="I119" s="611"/>
      <c r="J119" s="636">
        <f>H119/DAY(B2)</f>
        <v>132</v>
      </c>
      <c r="N119" s="861"/>
      <c r="O119" s="413"/>
    </row>
    <row r="120" spans="1:15" s="495" customFormat="1" ht="27.75">
      <c r="A120" s="1394" t="s">
        <v>240</v>
      </c>
      <c r="B120" s="1395"/>
      <c r="C120" s="1228"/>
      <c r="D120" s="701" t="s">
        <v>155</v>
      </c>
      <c r="E120" s="610">
        <f>SUM(F112)</f>
        <v>0</v>
      </c>
      <c r="F120" s="610">
        <f>SUM(G112)</f>
        <v>120</v>
      </c>
      <c r="G120" s="610">
        <f>SUM(G112)</f>
        <v>120</v>
      </c>
      <c r="H120" s="609">
        <f t="shared" si="27"/>
        <v>120</v>
      </c>
      <c r="I120" s="611"/>
      <c r="J120" s="636">
        <f>H120/DAY(B2)</f>
        <v>120</v>
      </c>
      <c r="N120" s="861"/>
      <c r="O120" s="413"/>
    </row>
    <row r="121" spans="1:15" s="481" customFormat="1" ht="27.75">
      <c r="A121" s="1396"/>
      <c r="B121" s="1397"/>
      <c r="C121" s="1229"/>
      <c r="D121" s="637"/>
      <c r="E121" s="637" t="s">
        <v>226</v>
      </c>
      <c r="F121" s="637" t="s">
        <v>226</v>
      </c>
      <c r="G121" s="637"/>
      <c r="H121" s="638"/>
      <c r="I121" s="637"/>
      <c r="J121" s="639"/>
      <c r="N121" s="493"/>
      <c r="O121" s="413"/>
    </row>
    <row r="122" spans="1:15">
      <c r="A122" s="1431" t="s">
        <v>241</v>
      </c>
      <c r="B122" s="1432"/>
      <c r="C122" s="1433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  <c r="O122" s="413"/>
    </row>
    <row r="123" spans="1:15" ht="27.75">
      <c r="A123" s="1231" t="s">
        <v>242</v>
      </c>
      <c r="B123" s="1232"/>
      <c r="C123" s="1232"/>
      <c r="D123" s="599" t="s">
        <v>152</v>
      </c>
      <c r="E123" s="554">
        <v>803335.4</v>
      </c>
      <c r="F123" s="554">
        <v>803605.78</v>
      </c>
      <c r="G123" s="549">
        <f>F123-E123</f>
        <v>270.38000000000466</v>
      </c>
      <c r="H123" s="536">
        <f>G123</f>
        <v>270.38000000000466</v>
      </c>
      <c r="I123" s="602"/>
      <c r="J123" s="629">
        <f>H123/DAY(B2)</f>
        <v>270.38000000000466</v>
      </c>
      <c r="K123" s="411"/>
      <c r="L123" s="408"/>
      <c r="N123" s="413"/>
      <c r="O123" s="413"/>
    </row>
    <row r="124" spans="1:15" ht="27.75">
      <c r="A124" s="1231" t="s">
        <v>243</v>
      </c>
      <c r="B124" s="1232"/>
      <c r="C124" s="1232"/>
      <c r="D124" s="599" t="s">
        <v>152</v>
      </c>
      <c r="E124" s="561">
        <v>73582</v>
      </c>
      <c r="F124" s="561">
        <v>73582</v>
      </c>
      <c r="G124" s="549">
        <f t="shared" ref="G124:G127" si="29">F124-E124</f>
        <v>0</v>
      </c>
      <c r="H124" s="536">
        <f t="shared" ref="H124:H128" si="30">G124</f>
        <v>0</v>
      </c>
      <c r="I124" s="602"/>
      <c r="J124" s="629">
        <f>H124/DAY(B2)</f>
        <v>0</v>
      </c>
      <c r="K124" s="411"/>
      <c r="L124" s="408"/>
      <c r="N124" s="413"/>
      <c r="O124" s="413"/>
    </row>
    <row r="125" spans="1:15" ht="27.75">
      <c r="A125" s="1385" t="s">
        <v>244</v>
      </c>
      <c r="B125" s="1386"/>
      <c r="C125" s="1387"/>
      <c r="D125" s="599" t="s">
        <v>152</v>
      </c>
      <c r="E125" s="561">
        <v>137848</v>
      </c>
      <c r="F125" s="561">
        <v>137907</v>
      </c>
      <c r="G125" s="549">
        <f t="shared" si="29"/>
        <v>59</v>
      </c>
      <c r="H125" s="536">
        <f t="shared" si="30"/>
        <v>59</v>
      </c>
      <c r="I125" s="602"/>
      <c r="J125" s="629">
        <f>H125/DAY(B2)</f>
        <v>59</v>
      </c>
      <c r="K125" s="411"/>
      <c r="L125" s="408"/>
      <c r="N125" s="413"/>
      <c r="O125" s="413"/>
    </row>
    <row r="126" spans="1:15" ht="27.75">
      <c r="A126" s="686" t="s">
        <v>245</v>
      </c>
      <c r="B126" s="1232"/>
      <c r="C126" s="1232"/>
      <c r="D126" s="599" t="s">
        <v>152</v>
      </c>
      <c r="E126" s="561">
        <v>58391.7</v>
      </c>
      <c r="F126" s="561">
        <v>58419.9</v>
      </c>
      <c r="G126" s="549">
        <f t="shared" si="29"/>
        <v>28.200000000004366</v>
      </c>
      <c r="H126" s="536">
        <f t="shared" si="30"/>
        <v>28.200000000004366</v>
      </c>
      <c r="I126" s="602"/>
      <c r="J126" s="629">
        <f>H126/DAY(B2)</f>
        <v>28.200000000004366</v>
      </c>
      <c r="K126" s="411"/>
      <c r="L126" s="408"/>
      <c r="N126" s="413"/>
      <c r="O126" s="413"/>
    </row>
    <row r="127" spans="1:15" ht="27.75">
      <c r="A127" s="686" t="s">
        <v>246</v>
      </c>
      <c r="B127" s="1232"/>
      <c r="C127" s="1232"/>
      <c r="D127" s="599" t="s">
        <v>152</v>
      </c>
      <c r="E127" s="561">
        <v>8816</v>
      </c>
      <c r="F127" s="561">
        <v>8816</v>
      </c>
      <c r="G127" s="549">
        <f t="shared" si="29"/>
        <v>0</v>
      </c>
      <c r="H127" s="536">
        <f t="shared" si="30"/>
        <v>0</v>
      </c>
      <c r="I127" s="556"/>
      <c r="J127" s="629">
        <f>H127/DAY(B2)</f>
        <v>0</v>
      </c>
      <c r="K127" s="411"/>
      <c r="L127" s="408"/>
      <c r="N127" s="413"/>
      <c r="O127" s="413"/>
    </row>
    <row r="128" spans="1:15" s="281" customFormat="1" ht="27.75">
      <c r="A128" s="686" t="s">
        <v>247</v>
      </c>
      <c r="B128" s="1232"/>
      <c r="C128" s="1232"/>
      <c r="D128" s="599"/>
      <c r="E128" s="554"/>
      <c r="F128" s="554"/>
      <c r="G128" s="549">
        <f>G15-SUM(G123:G127)</f>
        <v>440.37000000017724</v>
      </c>
      <c r="H128" s="536">
        <f t="shared" si="30"/>
        <v>440.37000000017724</v>
      </c>
      <c r="I128" s="556"/>
      <c r="J128" s="629">
        <f>H128/DAY(B2)</f>
        <v>440.37000000017724</v>
      </c>
      <c r="K128" s="391"/>
      <c r="L128" s="293"/>
      <c r="N128" s="395"/>
      <c r="O128" s="413"/>
    </row>
    <row r="129" spans="1:15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  <c r="O129" s="413"/>
    </row>
    <row r="130" spans="1:15" ht="27.75">
      <c r="A130" s="1231" t="s">
        <v>249</v>
      </c>
      <c r="B130" s="1232"/>
      <c r="C130" s="1232"/>
      <c r="D130" s="599" t="s">
        <v>250</v>
      </c>
      <c r="E130" s="560">
        <v>0</v>
      </c>
      <c r="F130" s="560">
        <v>0</v>
      </c>
      <c r="G130" s="549">
        <f t="shared" ref="G130:G140" si="31">F130-E130</f>
        <v>0</v>
      </c>
      <c r="H130" s="536">
        <f>G130</f>
        <v>0</v>
      </c>
      <c r="I130" s="556"/>
      <c r="J130" s="629">
        <f>H130/DAY(B2)</f>
        <v>0</v>
      </c>
      <c r="N130" s="413"/>
      <c r="O130" s="413"/>
    </row>
    <row r="131" spans="1:15" ht="27.75">
      <c r="A131" s="1231" t="s">
        <v>251</v>
      </c>
      <c r="B131" s="1232"/>
      <c r="C131" s="1232"/>
      <c r="D131" s="599" t="s">
        <v>250</v>
      </c>
      <c r="E131" s="560">
        <v>0</v>
      </c>
      <c r="F131" s="560">
        <v>0</v>
      </c>
      <c r="G131" s="549">
        <f t="shared" si="31"/>
        <v>0</v>
      </c>
      <c r="H131" s="536">
        <f t="shared" ref="H131:H140" si="32">G131</f>
        <v>0</v>
      </c>
      <c r="I131" s="556"/>
      <c r="J131" s="629">
        <f>H131/DAY(B2)</f>
        <v>0</v>
      </c>
      <c r="N131" s="413"/>
      <c r="O131" s="413"/>
    </row>
    <row r="132" spans="1:15" ht="27.75">
      <c r="A132" s="1231" t="s">
        <v>252</v>
      </c>
      <c r="B132" s="1232"/>
      <c r="C132" s="1232"/>
      <c r="D132" s="599" t="s">
        <v>250</v>
      </c>
      <c r="E132" s="618">
        <v>39104.44</v>
      </c>
      <c r="F132" s="618">
        <v>39128.480000000003</v>
      </c>
      <c r="G132" s="549">
        <f t="shared" si="31"/>
        <v>24.040000000000873</v>
      </c>
      <c r="H132" s="536">
        <f t="shared" si="32"/>
        <v>24.040000000000873</v>
      </c>
      <c r="I132" s="556"/>
      <c r="J132" s="629">
        <f>H132/DAY(B2)</f>
        <v>24.040000000000873</v>
      </c>
      <c r="N132" s="413"/>
      <c r="O132" s="413"/>
    </row>
    <row r="133" spans="1:15" s="858" customFormat="1" ht="27.75">
      <c r="A133" s="876" t="s">
        <v>253</v>
      </c>
      <c r="B133" s="1329"/>
      <c r="C133" s="1329"/>
      <c r="D133" s="600" t="s">
        <v>250</v>
      </c>
      <c r="E133" s="598">
        <v>299</v>
      </c>
      <c r="F133" s="598">
        <v>299</v>
      </c>
      <c r="G133" s="549">
        <f t="shared" si="31"/>
        <v>0</v>
      </c>
      <c r="H133" s="562">
        <f t="shared" si="32"/>
        <v>0</v>
      </c>
      <c r="I133" s="1330"/>
      <c r="J133" s="630">
        <f>H133/DAY(B2)</f>
        <v>0</v>
      </c>
      <c r="N133" s="803"/>
      <c r="O133" s="413"/>
    </row>
    <row r="134" spans="1:15" ht="27.75">
      <c r="A134" s="1231" t="s">
        <v>254</v>
      </c>
      <c r="B134" s="1232"/>
      <c r="C134" s="1232"/>
      <c r="D134" s="599" t="s">
        <v>250</v>
      </c>
      <c r="E134" s="618">
        <v>39951</v>
      </c>
      <c r="F134" s="618">
        <v>39951</v>
      </c>
      <c r="G134" s="549">
        <f t="shared" si="31"/>
        <v>0</v>
      </c>
      <c r="H134" s="536">
        <f t="shared" si="32"/>
        <v>0</v>
      </c>
      <c r="I134" s="556"/>
      <c r="J134" s="629">
        <f>H134/DAY(B2)</f>
        <v>0</v>
      </c>
      <c r="N134" s="413"/>
      <c r="O134" s="413"/>
    </row>
    <row r="135" spans="1:15" ht="27.75">
      <c r="A135" s="1231" t="s">
        <v>255</v>
      </c>
      <c r="B135" s="1232"/>
      <c r="C135" s="1232"/>
      <c r="D135" s="599" t="s">
        <v>250</v>
      </c>
      <c r="E135" s="618">
        <v>32423</v>
      </c>
      <c r="F135" s="618">
        <v>32423</v>
      </c>
      <c r="G135" s="549">
        <f t="shared" si="31"/>
        <v>0</v>
      </c>
      <c r="H135" s="536">
        <f t="shared" si="32"/>
        <v>0</v>
      </c>
      <c r="I135" s="556">
        <f>G132+G133+G134+G135</f>
        <v>24.040000000000873</v>
      </c>
      <c r="J135" s="629">
        <f>H135/DAY(B2)</f>
        <v>0</v>
      </c>
      <c r="N135" s="413"/>
      <c r="O135" s="413"/>
    </row>
    <row r="136" spans="1:15" ht="27.75">
      <c r="A136" s="1231" t="s">
        <v>256</v>
      </c>
      <c r="B136" s="1232"/>
      <c r="C136" s="1232"/>
      <c r="D136" s="599" t="s">
        <v>250</v>
      </c>
      <c r="E136" s="618">
        <v>22001.96</v>
      </c>
      <c r="F136" s="618">
        <v>22009.85</v>
      </c>
      <c r="G136" s="549">
        <f t="shared" si="31"/>
        <v>7.8899999999994179</v>
      </c>
      <c r="H136" s="536">
        <f t="shared" si="32"/>
        <v>7.8899999999994179</v>
      </c>
      <c r="I136" s="556"/>
      <c r="J136" s="629">
        <f>H136/DAY(B2)</f>
        <v>7.8899999999994179</v>
      </c>
      <c r="N136" s="413"/>
      <c r="O136" s="413"/>
    </row>
    <row r="137" spans="1:15" ht="27.75">
      <c r="A137" s="1231" t="s">
        <v>257</v>
      </c>
      <c r="B137" s="1232"/>
      <c r="C137" s="1232"/>
      <c r="D137" s="599" t="s">
        <v>250</v>
      </c>
      <c r="E137" s="618">
        <v>25019.94</v>
      </c>
      <c r="F137" s="618">
        <v>25020.34</v>
      </c>
      <c r="G137" s="549">
        <f t="shared" si="31"/>
        <v>0.40000000000145519</v>
      </c>
      <c r="H137" s="536">
        <f t="shared" si="32"/>
        <v>0.40000000000145519</v>
      </c>
      <c r="I137" s="556"/>
      <c r="J137" s="629">
        <f>H137/DAY(B2)</f>
        <v>0.40000000000145519</v>
      </c>
      <c r="N137" s="413"/>
      <c r="O137" s="413"/>
    </row>
    <row r="138" spans="1:15" ht="27.75">
      <c r="A138" s="1231" t="s">
        <v>258</v>
      </c>
      <c r="B138" s="1232"/>
      <c r="C138" s="1232"/>
      <c r="D138" s="599" t="s">
        <v>250</v>
      </c>
      <c r="E138" s="618">
        <v>70063.89</v>
      </c>
      <c r="F138" s="618">
        <v>70063.89</v>
      </c>
      <c r="G138" s="549">
        <f t="shared" si="31"/>
        <v>0</v>
      </c>
      <c r="H138" s="536">
        <f t="shared" si="32"/>
        <v>0</v>
      </c>
      <c r="I138" s="556">
        <f>G136+G137+G138</f>
        <v>8.2900000000008731</v>
      </c>
      <c r="J138" s="629">
        <f>H138/DAY(B2)</f>
        <v>0</v>
      </c>
      <c r="N138" s="413"/>
      <c r="O138" s="413"/>
    </row>
    <row r="139" spans="1:15" ht="27.75">
      <c r="A139" s="1231" t="s">
        <v>259</v>
      </c>
      <c r="B139" s="1232"/>
      <c r="C139" s="1232"/>
      <c r="D139" s="599" t="s">
        <v>250</v>
      </c>
      <c r="E139" s="560">
        <v>1200.5899999999999</v>
      </c>
      <c r="F139" s="560">
        <v>1208.54</v>
      </c>
      <c r="G139" s="549">
        <f t="shared" si="31"/>
        <v>7.9500000000000455</v>
      </c>
      <c r="H139" s="536">
        <f t="shared" si="32"/>
        <v>7.9500000000000455</v>
      </c>
      <c r="I139" s="619"/>
      <c r="J139" s="629">
        <f>H139/DAY(B2)</f>
        <v>7.9500000000000455</v>
      </c>
      <c r="N139" s="413"/>
      <c r="O139" s="413"/>
    </row>
    <row r="140" spans="1:15" ht="27.75">
      <c r="A140" s="1231" t="s">
        <v>260</v>
      </c>
      <c r="B140" s="1232"/>
      <c r="C140" s="1232"/>
      <c r="D140" s="599" t="s">
        <v>250</v>
      </c>
      <c r="E140" s="560">
        <v>4334</v>
      </c>
      <c r="F140" s="560">
        <v>4334</v>
      </c>
      <c r="G140" s="549">
        <f t="shared" si="31"/>
        <v>0</v>
      </c>
      <c r="H140" s="536">
        <f t="shared" si="32"/>
        <v>0</v>
      </c>
      <c r="I140" s="619">
        <f>G139+G140</f>
        <v>7.9500000000000455</v>
      </c>
      <c r="J140" s="629">
        <f>H140/DAY(B2)</f>
        <v>0</v>
      </c>
      <c r="N140" s="413"/>
      <c r="O140" s="413"/>
    </row>
    <row r="141" spans="1:15">
      <c r="A141" s="1412" t="s">
        <v>261</v>
      </c>
      <c r="B141" s="1413"/>
      <c r="C141" s="1237"/>
      <c r="D141" s="548"/>
      <c r="E141" s="548"/>
      <c r="F141" s="548"/>
      <c r="G141" s="559"/>
      <c r="H141" s="559"/>
      <c r="I141" s="559"/>
      <c r="J141" s="640"/>
      <c r="K141" s="411"/>
      <c r="L141" s="408"/>
      <c r="N141" s="413"/>
      <c r="O141" s="413"/>
    </row>
    <row r="142" spans="1:15" ht="27.75">
      <c r="A142" s="1406" t="s">
        <v>262</v>
      </c>
      <c r="B142" s="1407"/>
      <c r="C142" s="1408"/>
      <c r="D142" s="599" t="s">
        <v>143</v>
      </c>
      <c r="E142" s="599"/>
      <c r="F142" s="599"/>
      <c r="G142" s="536">
        <f>G35+G43+G49+G57</f>
        <v>5268.9999999999709</v>
      </c>
      <c r="H142" s="536">
        <f>G142</f>
        <v>5268.9999999999709</v>
      </c>
      <c r="I142" s="556"/>
      <c r="J142" s="629">
        <f>H142/DAY(B2)</f>
        <v>5268.9999999999709</v>
      </c>
      <c r="K142" s="411"/>
      <c r="L142" s="408"/>
      <c r="N142" s="413"/>
      <c r="O142" s="413"/>
    </row>
    <row r="143" spans="1:15" ht="27.75">
      <c r="A143" s="1406" t="s">
        <v>263</v>
      </c>
      <c r="B143" s="1407"/>
      <c r="C143" s="1408"/>
      <c r="D143" s="599" t="s">
        <v>24</v>
      </c>
      <c r="E143" s="587"/>
      <c r="F143" s="587"/>
      <c r="G143" s="620">
        <f>G142/G7</f>
        <v>0.27313254885697841</v>
      </c>
      <c r="H143" s="536">
        <f t="shared" ref="H143:H153" si="33">G143</f>
        <v>0.27313254885697841</v>
      </c>
      <c r="I143" s="621"/>
      <c r="J143" s="629">
        <f>H143/DAY(B2)</f>
        <v>0.27313254885697841</v>
      </c>
      <c r="K143" s="411"/>
      <c r="L143" s="408"/>
      <c r="N143" s="413"/>
      <c r="O143" s="413"/>
    </row>
    <row r="144" spans="1:15" ht="27.75">
      <c r="A144" s="1406" t="s">
        <v>264</v>
      </c>
      <c r="B144" s="1407"/>
      <c r="C144" s="1408"/>
      <c r="D144" s="599" t="s">
        <v>143</v>
      </c>
      <c r="E144" s="531"/>
      <c r="F144" s="531"/>
      <c r="G144" s="536">
        <f>G41+G42+G55+G56</f>
        <v>4366.5100000000239</v>
      </c>
      <c r="H144" s="536">
        <f t="shared" si="33"/>
        <v>4366.5100000000239</v>
      </c>
      <c r="I144" s="556"/>
      <c r="J144" s="629">
        <f>H144/DAY(B2)</f>
        <v>4366.5100000000239</v>
      </c>
      <c r="K144" s="411"/>
      <c r="L144" s="408"/>
      <c r="N144" s="413"/>
      <c r="O144" s="413"/>
    </row>
    <row r="145" spans="1:15" ht="27.75">
      <c r="A145" s="1406" t="s">
        <v>265</v>
      </c>
      <c r="B145" s="1407"/>
      <c r="C145" s="1408"/>
      <c r="D145" s="599" t="s">
        <v>24</v>
      </c>
      <c r="E145" s="531"/>
      <c r="F145" s="531"/>
      <c r="G145" s="620">
        <f>G144/G7</f>
        <v>0.22634959307449193</v>
      </c>
      <c r="H145" s="536">
        <f t="shared" si="33"/>
        <v>0.22634959307449193</v>
      </c>
      <c r="I145" s="621"/>
      <c r="J145" s="629">
        <f>H145/DAY(B2)</f>
        <v>0.22634959307449193</v>
      </c>
      <c r="K145" s="411"/>
      <c r="L145" s="408"/>
      <c r="N145" s="413"/>
      <c r="O145" s="413"/>
    </row>
    <row r="146" spans="1:15" ht="27.75">
      <c r="A146" s="1406" t="s">
        <v>266</v>
      </c>
      <c r="B146" s="1407"/>
      <c r="C146" s="1408"/>
      <c r="D146" s="599" t="s">
        <v>143</v>
      </c>
      <c r="E146" s="531"/>
      <c r="F146" s="531"/>
      <c r="G146" s="536">
        <f>G39+G53</f>
        <v>4103.7600000000093</v>
      </c>
      <c r="H146" s="536">
        <f t="shared" si="33"/>
        <v>4103.7600000000093</v>
      </c>
      <c r="I146" s="622"/>
      <c r="J146" s="629">
        <f>H146/DAY(B2)</f>
        <v>4103.7600000000093</v>
      </c>
      <c r="K146" s="411"/>
      <c r="L146" s="408"/>
      <c r="N146" s="413"/>
      <c r="O146" s="413"/>
    </row>
    <row r="147" spans="1:15" ht="27.75">
      <c r="A147" s="1406" t="s">
        <v>267</v>
      </c>
      <c r="B147" s="1407"/>
      <c r="C147" s="1408"/>
      <c r="D147" s="599" t="s">
        <v>24</v>
      </c>
      <c r="E147" s="531"/>
      <c r="F147" s="531"/>
      <c r="G147" s="620">
        <f>G146/G7</f>
        <v>0.21272925198279038</v>
      </c>
      <c r="H147" s="536">
        <f t="shared" si="33"/>
        <v>0.21272925198279038</v>
      </c>
      <c r="I147" s="622"/>
      <c r="J147" s="629">
        <f>H147/DAY(B2)</f>
        <v>0.21272925198279038</v>
      </c>
      <c r="N147" s="413"/>
      <c r="O147" s="413"/>
    </row>
    <row r="148" spans="1:15" ht="27.75">
      <c r="A148" s="1406" t="s">
        <v>268</v>
      </c>
      <c r="B148" s="1407"/>
      <c r="C148" s="1408"/>
      <c r="D148" s="599" t="s">
        <v>194</v>
      </c>
      <c r="E148" s="531"/>
      <c r="F148" s="531"/>
      <c r="G148" s="536">
        <f>G38+G52</f>
        <v>2015.0400000000373</v>
      </c>
      <c r="H148" s="536">
        <f t="shared" si="33"/>
        <v>2015.0400000000373</v>
      </c>
      <c r="I148" s="556"/>
      <c r="J148" s="629">
        <f>H148/DAY(B2)</f>
        <v>2015.0400000000373</v>
      </c>
      <c r="K148" s="412"/>
      <c r="N148" s="413"/>
      <c r="O148" s="413"/>
    </row>
    <row r="149" spans="1:15" ht="27.75">
      <c r="A149" s="1406" t="s">
        <v>269</v>
      </c>
      <c r="B149" s="1407"/>
      <c r="C149" s="1408"/>
      <c r="D149" s="599" t="s">
        <v>24</v>
      </c>
      <c r="E149" s="531"/>
      <c r="F149" s="531"/>
      <c r="G149" s="620">
        <f>G148/G7</f>
        <v>0.10445492716811142</v>
      </c>
      <c r="H149" s="536">
        <f t="shared" si="33"/>
        <v>0.10445492716811142</v>
      </c>
      <c r="I149" s="622"/>
      <c r="J149" s="629">
        <f>H149/DAY(B2)</f>
        <v>0.10445492716811142</v>
      </c>
      <c r="N149" s="413"/>
      <c r="O149" s="413"/>
    </row>
    <row r="150" spans="1:15" ht="27.75">
      <c r="A150" s="1406" t="s">
        <v>270</v>
      </c>
      <c r="B150" s="1407"/>
      <c r="C150" s="1408"/>
      <c r="D150" s="599" t="s">
        <v>194</v>
      </c>
      <c r="E150" s="531"/>
      <c r="F150" s="531"/>
      <c r="G150" s="536">
        <f>G36+G50</f>
        <v>1576.5599999999977</v>
      </c>
      <c r="H150" s="536">
        <f t="shared" si="33"/>
        <v>1576.5599999999977</v>
      </c>
      <c r="I150" s="622"/>
      <c r="J150" s="629">
        <f>H150/DAY(B2)</f>
        <v>1576.5599999999977</v>
      </c>
      <c r="N150" s="413"/>
      <c r="O150" s="413"/>
    </row>
    <row r="151" spans="1:15" ht="27.75">
      <c r="A151" s="1406" t="s">
        <v>271</v>
      </c>
      <c r="B151" s="1407"/>
      <c r="C151" s="1408"/>
      <c r="D151" s="599" t="s">
        <v>24</v>
      </c>
      <c r="E151" s="531"/>
      <c r="F151" s="531"/>
      <c r="G151" s="620">
        <f>G150/G7</f>
        <v>8.1725156808874488E-2</v>
      </c>
      <c r="H151" s="536">
        <f t="shared" si="33"/>
        <v>8.1725156808874488E-2</v>
      </c>
      <c r="I151" s="556"/>
      <c r="J151" s="629">
        <f>H151/DAY(B2)</f>
        <v>8.1725156808874488E-2</v>
      </c>
      <c r="N151" s="413"/>
      <c r="O151" s="413"/>
    </row>
    <row r="152" spans="1:15" ht="27.75">
      <c r="A152" s="1406" t="s">
        <v>272</v>
      </c>
      <c r="B152" s="1407"/>
      <c r="C152" s="1408"/>
      <c r="D152" s="599" t="s">
        <v>194</v>
      </c>
      <c r="E152" s="531"/>
      <c r="F152" s="531"/>
      <c r="G152" s="536">
        <f>G37+G51</f>
        <v>1437.8300000000017</v>
      </c>
      <c r="H152" s="536">
        <f t="shared" si="33"/>
        <v>1437.8300000000017</v>
      </c>
      <c r="I152" s="556"/>
      <c r="J152" s="629">
        <f>H152/DAY(B2)</f>
        <v>1437.8300000000017</v>
      </c>
      <c r="N152" s="413"/>
      <c r="O152" s="413"/>
    </row>
    <row r="153" spans="1:15" ht="28.5" thickBot="1">
      <c r="A153" s="1409" t="s">
        <v>273</v>
      </c>
      <c r="B153" s="1410"/>
      <c r="C153" s="1411"/>
      <c r="D153" s="702" t="s">
        <v>24</v>
      </c>
      <c r="E153" s="642"/>
      <c r="F153" s="642"/>
      <c r="G153" s="643">
        <f>G152/G7</f>
        <v>7.4533720387745667E-2</v>
      </c>
      <c r="H153" s="536">
        <f t="shared" si="33"/>
        <v>7.4533720387745667E-2</v>
      </c>
      <c r="I153" s="645"/>
      <c r="J153" s="646">
        <f>H153/DAY(B2)</f>
        <v>7.4533720387745667E-2</v>
      </c>
      <c r="N153" s="413"/>
      <c r="O153" s="413"/>
    </row>
    <row r="154" spans="1:15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  <c r="O154" s="413"/>
    </row>
    <row r="160" spans="1:15">
      <c r="A160" s="868" t="s">
        <v>274</v>
      </c>
      <c r="B160" s="869"/>
      <c r="C160" s="869"/>
      <c r="D160" s="587" t="s">
        <v>198</v>
      </c>
      <c r="E160" s="739">
        <v>26075.64</v>
      </c>
      <c r="F160" s="739">
        <v>26145</v>
      </c>
      <c r="G160" s="549">
        <f t="shared" ref="G160:G171" si="34">F160-E160</f>
        <v>69.360000000000582</v>
      </c>
    </row>
    <row r="161" spans="1:7">
      <c r="A161" s="868" t="s">
        <v>275</v>
      </c>
      <c r="B161" s="869"/>
      <c r="C161" s="869"/>
      <c r="D161" s="587" t="s">
        <v>198</v>
      </c>
      <c r="E161" s="739">
        <v>28439.59</v>
      </c>
      <c r="F161" s="739">
        <v>28901</v>
      </c>
      <c r="G161" s="549">
        <f t="shared" si="34"/>
        <v>461.40999999999985</v>
      </c>
    </row>
    <row r="162" spans="1:7">
      <c r="A162" s="868" t="s">
        <v>276</v>
      </c>
      <c r="B162" s="869"/>
      <c r="C162" s="869"/>
      <c r="D162" s="587" t="s">
        <v>198</v>
      </c>
      <c r="E162" s="739">
        <v>4596.3100000000004</v>
      </c>
      <c r="F162" s="739">
        <v>4914</v>
      </c>
      <c r="G162" s="549">
        <f t="shared" si="34"/>
        <v>317.6899999999996</v>
      </c>
    </row>
    <row r="163" spans="1:7">
      <c r="A163" s="868" t="s">
        <v>277</v>
      </c>
      <c r="B163" s="869"/>
      <c r="C163" s="869"/>
      <c r="D163" s="587" t="s">
        <v>198</v>
      </c>
      <c r="E163" s="739">
        <v>4322.88</v>
      </c>
      <c r="F163" s="739">
        <v>4352</v>
      </c>
      <c r="G163" s="549">
        <f t="shared" si="34"/>
        <v>29.119999999999891</v>
      </c>
    </row>
    <row r="164" spans="1:7">
      <c r="A164" s="870" t="s">
        <v>106</v>
      </c>
      <c r="B164" s="681"/>
      <c r="C164" s="681"/>
      <c r="D164" s="587" t="s">
        <v>198</v>
      </c>
      <c r="E164" s="590">
        <f>E62</f>
        <v>20419.188999999998</v>
      </c>
      <c r="F164" s="590">
        <v>20419</v>
      </c>
      <c r="G164" s="549">
        <f>F164-E164</f>
        <v>-0.1889999999984866</v>
      </c>
    </row>
    <row r="165" spans="1:7">
      <c r="A165" s="870" t="s">
        <v>199</v>
      </c>
      <c r="B165" s="681"/>
      <c r="C165" s="681"/>
      <c r="D165" s="587" t="s">
        <v>198</v>
      </c>
      <c r="E165" s="590">
        <f t="shared" ref="E165:E171" si="35">E63</f>
        <v>1332.53</v>
      </c>
      <c r="F165" s="590">
        <f t="shared" ref="F165:F171" si="36">F63</f>
        <v>1346.99</v>
      </c>
      <c r="G165" s="549">
        <f t="shared" si="34"/>
        <v>14.460000000000036</v>
      </c>
    </row>
    <row r="166" spans="1:7" ht="27.75">
      <c r="A166" s="1381" t="s">
        <v>107</v>
      </c>
      <c r="B166" s="1381"/>
      <c r="C166" s="1381"/>
      <c r="D166" s="599" t="s">
        <v>198</v>
      </c>
      <c r="E166" s="590">
        <f t="shared" si="35"/>
        <v>111283.46</v>
      </c>
      <c r="F166" s="590">
        <f t="shared" si="36"/>
        <v>111729.09</v>
      </c>
      <c r="G166" s="549">
        <f t="shared" si="34"/>
        <v>445.6299999999901</v>
      </c>
    </row>
    <row r="167" spans="1:7" ht="27.75">
      <c r="A167" s="1381" t="s">
        <v>108</v>
      </c>
      <c r="B167" s="1381"/>
      <c r="C167" s="1381"/>
      <c r="D167" s="599" t="s">
        <v>198</v>
      </c>
      <c r="E167" s="590">
        <f t="shared" si="35"/>
        <v>121733.11</v>
      </c>
      <c r="F167" s="590">
        <f t="shared" si="36"/>
        <v>122116.01</v>
      </c>
      <c r="G167" s="549">
        <f t="shared" si="34"/>
        <v>382.89999999999418</v>
      </c>
    </row>
    <row r="168" spans="1:7" ht="27.75">
      <c r="A168" s="1381" t="s">
        <v>109</v>
      </c>
      <c r="B168" s="1381"/>
      <c r="C168" s="1381"/>
      <c r="D168" s="599" t="s">
        <v>198</v>
      </c>
      <c r="E168" s="590">
        <f t="shared" si="35"/>
        <v>14159.74</v>
      </c>
      <c r="F168" s="590">
        <f t="shared" si="36"/>
        <v>14549.83</v>
      </c>
      <c r="G168" s="549">
        <f t="shared" si="34"/>
        <v>390.09000000000015</v>
      </c>
    </row>
    <row r="169" spans="1:7" ht="27.75">
      <c r="A169" s="1381" t="s">
        <v>110</v>
      </c>
      <c r="B169" s="1381"/>
      <c r="C169" s="1381"/>
      <c r="D169" s="599" t="s">
        <v>198</v>
      </c>
      <c r="E169" s="590">
        <f t="shared" si="35"/>
        <v>188674.53</v>
      </c>
      <c r="F169" s="590">
        <f t="shared" si="36"/>
        <v>189332.39</v>
      </c>
      <c r="G169" s="549">
        <f t="shared" si="34"/>
        <v>657.86000000001513</v>
      </c>
    </row>
    <row r="170" spans="1:7" ht="27.75">
      <c r="A170" s="1381" t="s">
        <v>111</v>
      </c>
      <c r="B170" s="1381"/>
      <c r="C170" s="1381"/>
      <c r="D170" s="599" t="s">
        <v>198</v>
      </c>
      <c r="E170" s="590">
        <f t="shared" si="35"/>
        <v>63299.86</v>
      </c>
      <c r="F170" s="590">
        <f t="shared" si="36"/>
        <v>63627.65</v>
      </c>
      <c r="G170" s="549">
        <f t="shared" si="34"/>
        <v>327.79000000000087</v>
      </c>
    </row>
    <row r="171" spans="1:7" ht="27.75">
      <c r="A171" s="1381" t="s">
        <v>112</v>
      </c>
      <c r="B171" s="1381"/>
      <c r="C171" s="1381"/>
      <c r="D171" s="599" t="s">
        <v>198</v>
      </c>
      <c r="E171" s="590">
        <f t="shared" si="35"/>
        <v>55723.71</v>
      </c>
      <c r="F171" s="590">
        <f t="shared" si="36"/>
        <v>56043.61</v>
      </c>
      <c r="G171" s="549">
        <f t="shared" si="34"/>
        <v>319.90000000000146</v>
      </c>
    </row>
    <row r="172" spans="1:7">
      <c r="G172" s="616">
        <f>SUM(G160:G171)</f>
        <v>3416.0210000000034</v>
      </c>
    </row>
  </sheetData>
  <mergeCells count="74">
    <mergeCell ref="A122:C122"/>
    <mergeCell ref="A94:C94"/>
    <mergeCell ref="A66:C66"/>
    <mergeCell ref="A67:C67"/>
    <mergeCell ref="A95:C95"/>
    <mergeCell ref="A93:C93"/>
    <mergeCell ref="A68:C68"/>
    <mergeCell ref="A69:C69"/>
    <mergeCell ref="A101:C101"/>
    <mergeCell ref="A103:B103"/>
    <mergeCell ref="A104:B104"/>
    <mergeCell ref="A105:B105"/>
    <mergeCell ref="A106:C106"/>
    <mergeCell ref="A107:B107"/>
    <mergeCell ref="A108:B108"/>
    <mergeCell ref="A109:B109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J33"/>
    <mergeCell ref="A125:C125"/>
    <mergeCell ref="A92:C92"/>
    <mergeCell ref="A70:C70"/>
    <mergeCell ref="A152:C152"/>
    <mergeCell ref="A153:C153"/>
    <mergeCell ref="A146:C146"/>
    <mergeCell ref="A147:C147"/>
    <mergeCell ref="A148:C148"/>
    <mergeCell ref="A149:C149"/>
    <mergeCell ref="A150:C150"/>
    <mergeCell ref="A151:C151"/>
    <mergeCell ref="A141:B141"/>
    <mergeCell ref="A144:C144"/>
    <mergeCell ref="A145:C145"/>
    <mergeCell ref="A143:C143"/>
    <mergeCell ref="A142:C142"/>
    <mergeCell ref="A110:B110"/>
    <mergeCell ref="A111:B111"/>
    <mergeCell ref="A112:B112"/>
    <mergeCell ref="A113:B113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71:J71"/>
    <mergeCell ref="A72:C72"/>
    <mergeCell ref="A73:C73"/>
    <mergeCell ref="A74:C74"/>
    <mergeCell ref="A75:C75"/>
    <mergeCell ref="A82:C82"/>
    <mergeCell ref="A83:C83"/>
    <mergeCell ref="A76:C76"/>
    <mergeCell ref="A77:C77"/>
    <mergeCell ref="A79:C79"/>
    <mergeCell ref="A80:C80"/>
    <mergeCell ref="A81:C81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22" zoomScale="50" zoomScaleSheetLayoutView="50" workbookViewId="0">
      <selection activeCell="F28" sqref="F28"/>
    </sheetView>
  </sheetViews>
  <sheetFormatPr defaultColWidth="22.33203125" defaultRowHeight="29.25"/>
  <cols>
    <col min="1" max="1" width="41.88671875" style="530" customWidth="1"/>
    <col min="2" max="2" width="28.664062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109375" style="407" customWidth="1"/>
    <col min="15" max="15" width="3.88671875" style="407" customWidth="1"/>
    <col min="16" max="16384" width="22.33203125" style="407"/>
  </cols>
  <sheetData>
    <row r="1" spans="1:15" ht="33.75">
      <c r="A1" s="1414" t="s">
        <v>128</v>
      </c>
      <c r="B1" s="1415"/>
      <c r="C1" s="1415"/>
      <c r="D1" s="1415"/>
      <c r="E1" s="1415"/>
      <c r="F1" s="1415"/>
      <c r="G1" s="1415"/>
      <c r="H1" s="1415"/>
      <c r="I1" s="1415"/>
      <c r="J1" s="1416"/>
    </row>
    <row r="2" spans="1:15" s="281" customFormat="1" ht="27">
      <c r="A2" s="652" t="s">
        <v>304</v>
      </c>
      <c r="B2" s="1118">
        <v>44229</v>
      </c>
      <c r="C2" s="1233" t="s">
        <v>69</v>
      </c>
      <c r="D2" s="688">
        <v>0.48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5" s="281" customFormat="1" ht="27">
      <c r="A3" s="647"/>
      <c r="B3" s="691"/>
      <c r="C3" s="1233" t="s">
        <v>131</v>
      </c>
      <c r="D3" s="689">
        <v>27</v>
      </c>
      <c r="E3" s="1423" t="s">
        <v>132</v>
      </c>
      <c r="F3" s="1424"/>
      <c r="G3" s="538"/>
      <c r="H3" s="539"/>
      <c r="I3" s="539"/>
      <c r="J3" s="692"/>
      <c r="K3" s="402"/>
      <c r="L3" s="293"/>
    </row>
    <row r="4" spans="1:15" s="281" customFormat="1" ht="27">
      <c r="A4" s="653"/>
      <c r="B4" s="693"/>
      <c r="C4" s="1233" t="s">
        <v>133</v>
      </c>
      <c r="D4" s="688">
        <v>0.75</v>
      </c>
      <c r="E4" s="540"/>
      <c r="F4" s="540"/>
      <c r="G4" s="540"/>
      <c r="H4" s="540"/>
      <c r="I4" s="541"/>
      <c r="J4" s="692"/>
      <c r="K4" s="403"/>
      <c r="L4" s="293"/>
    </row>
    <row r="5" spans="1:15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5">
      <c r="A6" s="1417" t="s">
        <v>141</v>
      </c>
      <c r="B6" s="1418"/>
      <c r="C6" s="1419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30" thickBot="1">
      <c r="A7" s="655" t="s">
        <v>142</v>
      </c>
      <c r="B7" s="656"/>
      <c r="C7" s="656"/>
      <c r="D7" s="599" t="s">
        <v>143</v>
      </c>
      <c r="E7" s="531">
        <f>'1'!F7</f>
        <v>3907489</v>
      </c>
      <c r="F7" s="531">
        <v>3926870</v>
      </c>
      <c r="G7" s="549">
        <f>F7-E7</f>
        <v>19381</v>
      </c>
      <c r="H7" s="536">
        <f>G7+'1'!H7</f>
        <v>38672</v>
      </c>
      <c r="I7" s="550">
        <f>'1'!I7</f>
        <v>12000</v>
      </c>
      <c r="J7" s="629">
        <f>H7/DAY(B2)</f>
        <v>19336</v>
      </c>
      <c r="K7" s="626"/>
      <c r="L7" s="408"/>
      <c r="O7" s="413"/>
    </row>
    <row r="8" spans="1:15" ht="27.75" thickBot="1">
      <c r="A8" s="657" t="s">
        <v>144</v>
      </c>
      <c r="B8" s="658"/>
      <c r="C8" s="659"/>
      <c r="D8" s="694" t="s">
        <v>25</v>
      </c>
      <c r="E8" s="551">
        <f>'1'!F8</f>
        <v>3932325</v>
      </c>
      <c r="F8" s="551">
        <v>3951858</v>
      </c>
      <c r="G8" s="552">
        <f>F8-E8</f>
        <v>19533</v>
      </c>
      <c r="H8" s="536">
        <f>G8+'1'!H8</f>
        <v>39007</v>
      </c>
      <c r="I8" s="553">
        <v>12000</v>
      </c>
      <c r="J8" s="629">
        <f>H8/DAY(B2)</f>
        <v>19503.5</v>
      </c>
      <c r="K8" s="626"/>
      <c r="L8" s="464"/>
      <c r="M8" s="479"/>
      <c r="O8" s="413"/>
    </row>
    <row r="9" spans="1:15">
      <c r="A9" s="660" t="s">
        <v>145</v>
      </c>
      <c r="B9" s="661"/>
      <c r="C9" s="661"/>
      <c r="D9" s="599" t="s">
        <v>143</v>
      </c>
      <c r="E9" s="554">
        <f>'1'!F9</f>
        <v>2542028.5</v>
      </c>
      <c r="F9" s="554">
        <v>2548795</v>
      </c>
      <c r="G9" s="549">
        <f t="shared" ref="G9:G11" si="0">F9-E9</f>
        <v>6766.5</v>
      </c>
      <c r="H9" s="536">
        <f>G9+'1'!H9</f>
        <v>13666.5</v>
      </c>
      <c r="I9" s="555">
        <f>I8-J8</f>
        <v>-7503.5</v>
      </c>
      <c r="J9" s="629">
        <f>H9/DAY(B2)</f>
        <v>6833.25</v>
      </c>
      <c r="K9" s="467"/>
      <c r="L9" s="408"/>
      <c r="O9" s="413"/>
    </row>
    <row r="10" spans="1:15">
      <c r="A10" s="655" t="s">
        <v>146</v>
      </c>
      <c r="B10" s="656"/>
      <c r="C10" s="656"/>
      <c r="D10" s="599" t="s">
        <v>143</v>
      </c>
      <c r="E10" s="554">
        <f>'1'!F10</f>
        <v>1212601.3</v>
      </c>
      <c r="F10" s="554">
        <v>1224470</v>
      </c>
      <c r="G10" s="549">
        <f t="shared" si="0"/>
        <v>11868.699999999953</v>
      </c>
      <c r="H10" s="536">
        <f>G10+'1'!H10</f>
        <v>23595.600000000093</v>
      </c>
      <c r="I10" s="556"/>
      <c r="J10" s="629">
        <f>H10/DAY(B2)</f>
        <v>11797.800000000047</v>
      </c>
      <c r="K10" s="467"/>
      <c r="L10" s="408"/>
      <c r="O10" s="413"/>
    </row>
    <row r="11" spans="1:15">
      <c r="A11" s="655" t="s">
        <v>147</v>
      </c>
      <c r="B11" s="656"/>
      <c r="C11" s="656"/>
      <c r="D11" s="599" t="s">
        <v>143</v>
      </c>
      <c r="E11" s="531">
        <f>'1'!F11</f>
        <v>35390</v>
      </c>
      <c r="F11" s="531">
        <v>35390</v>
      </c>
      <c r="G11" s="549">
        <f t="shared" si="0"/>
        <v>0</v>
      </c>
      <c r="H11" s="536">
        <f>G11+'1'!H11</f>
        <v>0</v>
      </c>
      <c r="I11" s="556"/>
      <c r="J11" s="629">
        <f>H11/DAY(B2)</f>
        <v>0</v>
      </c>
      <c r="K11" s="467"/>
      <c r="L11" s="408"/>
      <c r="O11" s="413"/>
    </row>
    <row r="12" spans="1:15">
      <c r="A12" s="655" t="s">
        <v>148</v>
      </c>
      <c r="B12" s="656"/>
      <c r="C12" s="656"/>
      <c r="D12" s="599" t="s">
        <v>143</v>
      </c>
      <c r="E12" s="554">
        <f>'1'!F12</f>
        <v>37630</v>
      </c>
      <c r="F12" s="554">
        <v>37630</v>
      </c>
      <c r="G12" s="549">
        <v>0</v>
      </c>
      <c r="H12" s="536">
        <f>G12+'1'!H12</f>
        <v>0</v>
      </c>
      <c r="I12" s="556"/>
      <c r="J12" s="629">
        <f>H12/DAY(B2)</f>
        <v>0</v>
      </c>
      <c r="K12" s="467"/>
      <c r="L12" s="408"/>
      <c r="O12" s="413"/>
    </row>
    <row r="13" spans="1:15">
      <c r="A13" s="662" t="s">
        <v>149</v>
      </c>
      <c r="B13" s="663"/>
      <c r="C13" s="663"/>
      <c r="D13" s="599"/>
      <c r="E13" s="531"/>
      <c r="F13" s="531"/>
      <c r="G13" s="557">
        <f>G9+G10+G11+G12</f>
        <v>18635.199999999953</v>
      </c>
      <c r="H13" s="536">
        <f>G13+'1'!H13</f>
        <v>37262.100000000093</v>
      </c>
      <c r="I13" s="558">
        <f>G7-G13</f>
        <v>745.80000000004657</v>
      </c>
      <c r="J13" s="629">
        <f>H13/DAY(B2)</f>
        <v>18631.050000000047</v>
      </c>
      <c r="K13" s="467"/>
      <c r="L13" s="408"/>
      <c r="O13" s="413"/>
    </row>
    <row r="14" spans="1:15">
      <c r="A14" s="1420" t="s">
        <v>150</v>
      </c>
      <c r="B14" s="1421"/>
      <c r="C14" s="1422"/>
      <c r="D14" s="548"/>
      <c r="E14" s="548"/>
      <c r="F14" s="548"/>
      <c r="G14" s="559"/>
      <c r="H14" s="548"/>
      <c r="I14" s="548"/>
      <c r="J14" s="628"/>
      <c r="K14" s="468"/>
      <c r="L14" s="408"/>
      <c r="O14" s="413"/>
    </row>
    <row r="15" spans="1:15">
      <c r="A15" s="1231" t="s">
        <v>151</v>
      </c>
      <c r="B15" s="666"/>
      <c r="C15" s="666"/>
      <c r="D15" s="599" t="s">
        <v>152</v>
      </c>
      <c r="E15" s="560">
        <f>'1'!F15</f>
        <v>1595235.1</v>
      </c>
      <c r="F15" s="732">
        <v>1596096</v>
      </c>
      <c r="G15" s="862">
        <f>(F15-E15)</f>
        <v>860.89999999990687</v>
      </c>
      <c r="H15" s="536">
        <f>G15+'1'!H15</f>
        <v>1658.8500000000931</v>
      </c>
      <c r="I15" s="550">
        <v>800</v>
      </c>
      <c r="J15" s="629">
        <f>H15/DAY(B2)</f>
        <v>829.42500000004657</v>
      </c>
      <c r="K15" s="467"/>
      <c r="L15" s="408"/>
      <c r="O15" s="413"/>
    </row>
    <row r="16" spans="1:15">
      <c r="A16" s="664"/>
      <c r="B16" s="665"/>
      <c r="C16" s="665"/>
      <c r="D16" s="600"/>
      <c r="E16" s="561"/>
      <c r="F16" s="561"/>
      <c r="G16" s="549"/>
      <c r="H16" s="562"/>
      <c r="I16" s="563">
        <f>I15-J15</f>
        <v>-29.425000000046566</v>
      </c>
      <c r="J16" s="630"/>
      <c r="K16" s="467"/>
      <c r="L16" s="408"/>
      <c r="O16" s="413">
        <f>G15-150</f>
        <v>710.89999999990687</v>
      </c>
    </row>
    <row r="17" spans="1:15">
      <c r="A17" s="1420" t="s">
        <v>153</v>
      </c>
      <c r="B17" s="1421"/>
      <c r="C17" s="1422"/>
      <c r="D17" s="548"/>
      <c r="E17" s="548"/>
      <c r="F17" s="548"/>
      <c r="G17" s="564"/>
      <c r="H17" s="548"/>
      <c r="I17" s="548"/>
      <c r="J17" s="628"/>
      <c r="K17" s="467"/>
      <c r="L17" s="408"/>
      <c r="O17" s="413"/>
    </row>
    <row r="18" spans="1:15" ht="27.75">
      <c r="A18" s="1406" t="s">
        <v>154</v>
      </c>
      <c r="B18" s="1407"/>
      <c r="C18" s="1408"/>
      <c r="D18" s="599" t="s">
        <v>155</v>
      </c>
      <c r="E18" s="560">
        <f>'1'!F18</f>
        <v>12</v>
      </c>
      <c r="F18" s="554">
        <v>12</v>
      </c>
      <c r="G18" s="557">
        <f>F18*10</f>
        <v>120</v>
      </c>
      <c r="H18" s="536">
        <f>G18+'1'!H18</f>
        <v>240</v>
      </c>
      <c r="I18" s="550">
        <f>'1'!I18</f>
        <v>65</v>
      </c>
      <c r="J18" s="629">
        <f>H18/DAY(B2)</f>
        <v>120</v>
      </c>
      <c r="K18" s="467"/>
      <c r="L18" s="408"/>
      <c r="O18" s="413"/>
    </row>
    <row r="19" spans="1:15" ht="27.75">
      <c r="A19" s="1406" t="s">
        <v>71</v>
      </c>
      <c r="B19" s="1407"/>
      <c r="C19" s="1408"/>
      <c r="D19" s="599" t="s">
        <v>155</v>
      </c>
      <c r="E19" s="560">
        <f>'1'!F19</f>
        <v>133099</v>
      </c>
      <c r="F19" s="554">
        <v>133150</v>
      </c>
      <c r="G19" s="549">
        <f>F19-E19</f>
        <v>51</v>
      </c>
      <c r="H19" s="536">
        <f>G19+'1'!H19</f>
        <v>102</v>
      </c>
      <c r="I19" s="565"/>
      <c r="J19" s="629">
        <f>H19/DAY(B2)</f>
        <v>51</v>
      </c>
      <c r="K19" s="467"/>
      <c r="L19" s="408"/>
      <c r="O19" s="413"/>
    </row>
    <row r="20" spans="1:15">
      <c r="A20" s="662" t="s">
        <v>156</v>
      </c>
      <c r="B20" s="663"/>
      <c r="C20" s="663"/>
      <c r="D20" s="566"/>
      <c r="E20" s="566"/>
      <c r="F20" s="599"/>
      <c r="G20" s="1121">
        <f>G18+G19</f>
        <v>171</v>
      </c>
      <c r="H20" s="536">
        <f>G20+'1'!H20</f>
        <v>342</v>
      </c>
      <c r="I20" s="568">
        <f>I18-J20</f>
        <v>-106</v>
      </c>
      <c r="J20" s="629">
        <f>H20/DAY(B2)</f>
        <v>171</v>
      </c>
      <c r="K20" s="467"/>
      <c r="L20" s="408"/>
      <c r="O20" s="413"/>
    </row>
    <row r="21" spans="1:15">
      <c r="A21" s="1420" t="s">
        <v>157</v>
      </c>
      <c r="B21" s="1421"/>
      <c r="C21" s="1422"/>
      <c r="D21" s="548"/>
      <c r="E21" s="548"/>
      <c r="F21" s="548"/>
      <c r="G21" s="559"/>
      <c r="H21" s="548"/>
      <c r="I21" s="548"/>
      <c r="J21" s="628"/>
      <c r="K21" s="467"/>
      <c r="L21" s="408"/>
      <c r="O21" s="413"/>
    </row>
    <row r="22" spans="1:15">
      <c r="A22" s="1231" t="s">
        <v>158</v>
      </c>
      <c r="B22" s="666"/>
      <c r="C22" s="666"/>
      <c r="D22" s="599" t="s">
        <v>159</v>
      </c>
      <c r="E22" s="560">
        <f>'1'!F22</f>
        <v>2250</v>
      </c>
      <c r="F22" s="554">
        <v>2250</v>
      </c>
      <c r="G22" s="557">
        <f t="shared" ref="G22" si="1">(F22-E22)</f>
        <v>0</v>
      </c>
      <c r="H22" s="536">
        <f>G22+'1'!H22</f>
        <v>0</v>
      </c>
      <c r="I22" s="556"/>
      <c r="J22" s="629">
        <f>H22/DAY(B2)</f>
        <v>0</v>
      </c>
      <c r="K22" s="467"/>
      <c r="L22" s="408"/>
      <c r="O22" s="413"/>
    </row>
    <row r="23" spans="1:15">
      <c r="A23" s="1231" t="s">
        <v>160</v>
      </c>
      <c r="B23" s="666"/>
      <c r="C23" s="666"/>
      <c r="D23" s="599" t="s">
        <v>159</v>
      </c>
      <c r="E23" s="560">
        <f>'1'!F23</f>
        <v>2000</v>
      </c>
      <c r="F23" s="554">
        <v>2000</v>
      </c>
      <c r="G23" s="557">
        <v>0</v>
      </c>
      <c r="H23" s="536">
        <f>G23+'1'!H23</f>
        <v>0</v>
      </c>
      <c r="I23" s="556"/>
      <c r="J23" s="629">
        <f>H23/DAY(B2)</f>
        <v>0</v>
      </c>
      <c r="K23" s="467"/>
      <c r="L23" s="408"/>
      <c r="O23" s="413"/>
    </row>
    <row r="24" spans="1:15">
      <c r="A24" s="667" t="s">
        <v>161</v>
      </c>
      <c r="B24" s="668"/>
      <c r="C24" s="668"/>
      <c r="D24" s="587" t="s">
        <v>159</v>
      </c>
      <c r="E24" s="560">
        <f>'1'!F24</f>
        <v>4250</v>
      </c>
      <c r="F24" s="561">
        <v>4250</v>
      </c>
      <c r="G24" s="557">
        <v>0</v>
      </c>
      <c r="H24" s="536">
        <f>G24</f>
        <v>0</v>
      </c>
      <c r="I24" s="556"/>
      <c r="J24" s="629">
        <f>H24/DAY(B2)</f>
        <v>0</v>
      </c>
      <c r="K24" s="467"/>
      <c r="L24" s="408"/>
      <c r="O24" s="413"/>
    </row>
    <row r="25" spans="1:15" s="481" customFormat="1" ht="27">
      <c r="A25" s="1425" t="s">
        <v>162</v>
      </c>
      <c r="B25" s="1426"/>
      <c r="C25" s="1427"/>
      <c r="D25" s="547"/>
      <c r="E25" s="547"/>
      <c r="F25" s="547"/>
      <c r="G25" s="570"/>
      <c r="H25" s="571"/>
      <c r="I25" s="572"/>
      <c r="J25" s="631"/>
      <c r="K25" s="404"/>
      <c r="L25" s="484"/>
      <c r="O25" s="413"/>
    </row>
    <row r="26" spans="1:15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O26" s="413"/>
    </row>
    <row r="27" spans="1:15" s="481" customFormat="1" ht="27.75">
      <c r="A27" s="669" t="s">
        <v>6</v>
      </c>
      <c r="B27" s="670"/>
      <c r="C27" s="671"/>
      <c r="D27" s="696" t="s">
        <v>25</v>
      </c>
      <c r="E27" s="577">
        <f>G8</f>
        <v>19533</v>
      </c>
      <c r="F27" s="577">
        <v>9</v>
      </c>
      <c r="G27" s="578">
        <f>E27*F27</f>
        <v>175797</v>
      </c>
      <c r="H27" s="536">
        <f>G27+'1'!H27</f>
        <v>351063</v>
      </c>
      <c r="I27" s="579"/>
      <c r="J27" s="629">
        <f>H27/DAY(B2)</f>
        <v>175531.5</v>
      </c>
      <c r="K27" s="404"/>
      <c r="L27" s="484"/>
      <c r="O27" s="413"/>
    </row>
    <row r="28" spans="1:15" s="481" customFormat="1" ht="27.75">
      <c r="A28" s="669" t="s">
        <v>165</v>
      </c>
      <c r="B28" s="670"/>
      <c r="C28" s="671"/>
      <c r="D28" s="696" t="s">
        <v>166</v>
      </c>
      <c r="E28" s="577">
        <f>G15</f>
        <v>860.89999999990687</v>
      </c>
      <c r="F28" s="577">
        <v>43.5</v>
      </c>
      <c r="G28" s="578">
        <f>E28*F28</f>
        <v>37449.149999995949</v>
      </c>
      <c r="H28" s="536">
        <f>G28+'1'!H28</f>
        <v>72159.975000004051</v>
      </c>
      <c r="I28" s="581"/>
      <c r="J28" s="629">
        <f>H28/DAY(B2)</f>
        <v>36079.987500002026</v>
      </c>
      <c r="K28" s="404"/>
      <c r="L28" s="484"/>
      <c r="O28" s="413"/>
    </row>
    <row r="29" spans="1:15" s="481" customFormat="1" ht="27.75">
      <c r="A29" s="669" t="s">
        <v>167</v>
      </c>
      <c r="B29" s="670"/>
      <c r="C29" s="671"/>
      <c r="D29" s="696" t="s">
        <v>168</v>
      </c>
      <c r="E29" s="577">
        <f>G24</f>
        <v>0</v>
      </c>
      <c r="F29" s="577">
        <v>69</v>
      </c>
      <c r="G29" s="578">
        <f>E29*F29</f>
        <v>0</v>
      </c>
      <c r="H29" s="536">
        <f>G29+'1'!H29</f>
        <v>0</v>
      </c>
      <c r="I29" s="581"/>
      <c r="J29" s="629">
        <f>H29/DAY(B2)</f>
        <v>0</v>
      </c>
      <c r="K29" s="404"/>
      <c r="L29" s="484"/>
      <c r="O29" s="413"/>
    </row>
    <row r="30" spans="1:15" s="481" customFormat="1" ht="27.75">
      <c r="A30" s="669" t="s">
        <v>169</v>
      </c>
      <c r="B30" s="670"/>
      <c r="C30" s="671"/>
      <c r="D30" s="696" t="s">
        <v>170</v>
      </c>
      <c r="E30" s="577">
        <f>G19</f>
        <v>51</v>
      </c>
      <c r="F30" s="577">
        <v>134</v>
      </c>
      <c r="G30" s="578">
        <f>E30*F30</f>
        <v>6834</v>
      </c>
      <c r="H30" s="536">
        <f>G30+'1'!H30</f>
        <v>13668</v>
      </c>
      <c r="I30" s="581"/>
      <c r="J30" s="629">
        <f>H30/DAY(B2)</f>
        <v>6834</v>
      </c>
      <c r="K30" s="404"/>
      <c r="L30" s="484"/>
      <c r="O30" s="413"/>
    </row>
    <row r="31" spans="1:15" s="481" customFormat="1" ht="27.75">
      <c r="A31" s="669" t="s">
        <v>171</v>
      </c>
      <c r="B31" s="670"/>
      <c r="C31" s="671"/>
      <c r="D31" s="696" t="s">
        <v>155</v>
      </c>
      <c r="E31" s="577">
        <f>G18</f>
        <v>120</v>
      </c>
      <c r="F31" s="577">
        <v>80</v>
      </c>
      <c r="G31" s="578">
        <f>E31*F31</f>
        <v>9600</v>
      </c>
      <c r="H31" s="536">
        <f>G31+'1'!H31</f>
        <v>19200</v>
      </c>
      <c r="I31" s="581"/>
      <c r="J31" s="629">
        <f>H31/DAY(B2)</f>
        <v>9600</v>
      </c>
      <c r="K31" s="404"/>
      <c r="L31" s="484"/>
      <c r="O31" s="413"/>
    </row>
    <row r="32" spans="1:15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229680.14999999595</v>
      </c>
      <c r="H32" s="536">
        <f>G32+'1'!H32</f>
        <v>456090.97500000405</v>
      </c>
      <c r="I32" s="585"/>
      <c r="J32" s="629">
        <f>H32/DAY(B2)</f>
        <v>228045.48750000203</v>
      </c>
      <c r="K32" s="404"/>
      <c r="L32" s="484"/>
      <c r="O32" s="413"/>
    </row>
    <row r="33" spans="1:15" ht="25.5">
      <c r="A33" s="1428" t="s">
        <v>173</v>
      </c>
      <c r="B33" s="1429"/>
      <c r="C33" s="1429"/>
      <c r="D33" s="1429"/>
      <c r="E33" s="1429"/>
      <c r="F33" s="1429"/>
      <c r="G33" s="1429"/>
      <c r="H33" s="1429"/>
      <c r="I33" s="1429"/>
      <c r="J33" s="1430"/>
      <c r="K33" s="467"/>
      <c r="L33" s="408"/>
      <c r="O33" s="413"/>
    </row>
    <row r="34" spans="1:15">
      <c r="A34" s="675" t="s">
        <v>174</v>
      </c>
      <c r="B34" s="1236"/>
      <c r="C34" s="1236"/>
      <c r="D34" s="548"/>
      <c r="E34" s="547"/>
      <c r="F34" s="547"/>
      <c r="G34" s="548"/>
      <c r="H34" s="548"/>
      <c r="I34" s="548"/>
      <c r="J34" s="628"/>
      <c r="K34" s="467"/>
      <c r="L34" s="408"/>
      <c r="O34" s="413"/>
    </row>
    <row r="35" spans="1:15">
      <c r="A35" s="655" t="s">
        <v>175</v>
      </c>
      <c r="B35" s="656"/>
      <c r="C35" s="656"/>
      <c r="D35" s="599" t="s">
        <v>143</v>
      </c>
      <c r="E35" s="586">
        <f>'1'!F35</f>
        <v>629027.67000000004</v>
      </c>
      <c r="F35" s="586">
        <v>629027.67000000004</v>
      </c>
      <c r="G35" s="549">
        <f t="shared" ref="G35:G46" si="2">F35-E35</f>
        <v>0</v>
      </c>
      <c r="H35" s="536">
        <f>G35+'1'!H35</f>
        <v>0</v>
      </c>
      <c r="I35" s="531"/>
      <c r="J35" s="629">
        <f>H35/DAY(B2)</f>
        <v>0</v>
      </c>
      <c r="K35" s="467"/>
      <c r="L35" s="408"/>
      <c r="O35" s="413"/>
    </row>
    <row r="36" spans="1:15">
      <c r="A36" s="655" t="s">
        <v>176</v>
      </c>
      <c r="B36" s="656"/>
      <c r="C36" s="656"/>
      <c r="D36" s="599" t="s">
        <v>143</v>
      </c>
      <c r="E36" s="586">
        <f>'1'!F36</f>
        <v>277046.65000000002</v>
      </c>
      <c r="F36" s="586">
        <v>277668</v>
      </c>
      <c r="G36" s="549">
        <f t="shared" si="2"/>
        <v>621.34999999997672</v>
      </c>
      <c r="H36" s="536">
        <f>G36+'1'!H36</f>
        <v>1176.5499999999884</v>
      </c>
      <c r="I36" s="531"/>
      <c r="J36" s="629">
        <f>H36/DAY(B2)</f>
        <v>588.27499999999418</v>
      </c>
      <c r="K36" s="467"/>
      <c r="L36" s="408"/>
      <c r="O36" s="705"/>
    </row>
    <row r="37" spans="1:15">
      <c r="A37" s="655" t="s">
        <v>177</v>
      </c>
      <c r="B37" s="656"/>
      <c r="C37" s="656"/>
      <c r="D37" s="599" t="s">
        <v>143</v>
      </c>
      <c r="E37" s="586">
        <f>'1'!F37</f>
        <v>415066</v>
      </c>
      <c r="F37" s="586">
        <v>415066</v>
      </c>
      <c r="G37" s="549">
        <f t="shared" si="2"/>
        <v>0</v>
      </c>
      <c r="H37" s="536">
        <f>G37+'1'!H37</f>
        <v>0</v>
      </c>
      <c r="I37" s="531"/>
      <c r="J37" s="629">
        <f>H37/DAY(B2)</f>
        <v>0</v>
      </c>
      <c r="K37" s="467"/>
      <c r="L37" s="408"/>
      <c r="O37" s="706"/>
    </row>
    <row r="38" spans="1:15">
      <c r="A38" s="655" t="s">
        <v>178</v>
      </c>
      <c r="B38" s="656"/>
      <c r="C38" s="656"/>
      <c r="D38" s="599" t="s">
        <v>143</v>
      </c>
      <c r="E38" s="545">
        <f>'1'!F38</f>
        <v>97.88</v>
      </c>
      <c r="F38" s="545">
        <v>97.88</v>
      </c>
      <c r="G38" s="549">
        <f t="shared" si="2"/>
        <v>0</v>
      </c>
      <c r="H38" s="536">
        <f>G38+'1'!H38</f>
        <v>0</v>
      </c>
      <c r="I38" s="531"/>
      <c r="J38" s="629">
        <f>H38/DAY(B2)</f>
        <v>0</v>
      </c>
      <c r="K38" s="467"/>
      <c r="L38" s="408"/>
      <c r="O38" s="413"/>
    </row>
    <row r="39" spans="1:15">
      <c r="A39" s="655" t="s">
        <v>179</v>
      </c>
      <c r="B39" s="656"/>
      <c r="C39" s="656"/>
      <c r="D39" s="599" t="s">
        <v>143</v>
      </c>
      <c r="E39" s="586">
        <f>'1'!F39</f>
        <v>912480</v>
      </c>
      <c r="F39" s="586">
        <v>912480</v>
      </c>
      <c r="G39" s="549">
        <f t="shared" si="2"/>
        <v>0</v>
      </c>
      <c r="H39" s="536">
        <f>G39+'1'!H39</f>
        <v>0</v>
      </c>
      <c r="I39" s="531"/>
      <c r="J39" s="629">
        <f>H39/DAY(B2)</f>
        <v>0</v>
      </c>
      <c r="K39" s="467"/>
      <c r="L39" s="408"/>
      <c r="O39" s="413"/>
    </row>
    <row r="40" spans="1:15">
      <c r="A40" s="676" t="s">
        <v>180</v>
      </c>
      <c r="B40" s="677"/>
      <c r="C40" s="677"/>
      <c r="D40" s="599" t="s">
        <v>143</v>
      </c>
      <c r="E40" s="586">
        <f>'1'!F40</f>
        <v>0</v>
      </c>
      <c r="F40" s="586">
        <v>0</v>
      </c>
      <c r="G40" s="549">
        <f t="shared" si="2"/>
        <v>0</v>
      </c>
      <c r="H40" s="536">
        <f>G40+'1'!H40</f>
        <v>0</v>
      </c>
      <c r="I40" s="531"/>
      <c r="J40" s="629">
        <f>H40/DAY(B2)</f>
        <v>0</v>
      </c>
      <c r="K40" s="468"/>
      <c r="L40" s="408"/>
      <c r="O40" s="413"/>
    </row>
    <row r="41" spans="1:15">
      <c r="A41" s="655" t="s">
        <v>181</v>
      </c>
      <c r="B41" s="656"/>
      <c r="C41" s="656"/>
      <c r="D41" s="599" t="s">
        <v>143</v>
      </c>
      <c r="E41" s="586">
        <f>'1'!F41</f>
        <v>48988.51</v>
      </c>
      <c r="F41" s="586">
        <v>53159</v>
      </c>
      <c r="G41" s="549">
        <f t="shared" si="2"/>
        <v>4170.489999999998</v>
      </c>
      <c r="H41" s="536">
        <f>G41+'1'!H41</f>
        <v>8536.4800000000032</v>
      </c>
      <c r="I41" s="531"/>
      <c r="J41" s="629">
        <f>H41/DAY(B2)</f>
        <v>4268.2400000000016</v>
      </c>
      <c r="K41" s="467"/>
      <c r="L41" s="408"/>
      <c r="O41" s="413"/>
    </row>
    <row r="42" spans="1:15">
      <c r="A42" s="655" t="s">
        <v>182</v>
      </c>
      <c r="B42" s="656"/>
      <c r="C42" s="656"/>
      <c r="D42" s="599" t="s">
        <v>143</v>
      </c>
      <c r="E42" s="586">
        <f>'1'!F42</f>
        <v>58926</v>
      </c>
      <c r="F42" s="586">
        <v>58926.09</v>
      </c>
      <c r="G42" s="549">
        <f t="shared" si="2"/>
        <v>8.999999999650754E-2</v>
      </c>
      <c r="H42" s="536">
        <f>G42+'1'!H42</f>
        <v>8.999999999650754E-2</v>
      </c>
      <c r="I42" s="531"/>
      <c r="J42" s="629">
        <f>H42/DAY(B2)</f>
        <v>4.499999999825377E-2</v>
      </c>
      <c r="K42" s="467"/>
      <c r="L42" s="408"/>
      <c r="O42" s="413"/>
    </row>
    <row r="43" spans="1:15">
      <c r="A43" s="655" t="s">
        <v>183</v>
      </c>
      <c r="B43" s="656"/>
      <c r="C43" s="656"/>
      <c r="D43" s="599" t="s">
        <v>143</v>
      </c>
      <c r="E43" s="586">
        <f>'1'!F43</f>
        <v>770084.87</v>
      </c>
      <c r="F43" s="586">
        <v>772345</v>
      </c>
      <c r="G43" s="549">
        <f t="shared" si="2"/>
        <v>2260.1300000000047</v>
      </c>
      <c r="H43" s="536">
        <f>G43+'1'!H43</f>
        <v>4533.0899999999674</v>
      </c>
      <c r="I43" s="531"/>
      <c r="J43" s="629">
        <f>H43/DAY(B2)</f>
        <v>2266.5449999999837</v>
      </c>
      <c r="K43" s="467"/>
      <c r="L43" s="408"/>
      <c r="O43" s="413"/>
    </row>
    <row r="44" spans="1:15">
      <c r="A44" s="655" t="s">
        <v>184</v>
      </c>
      <c r="B44" s="656"/>
      <c r="C44" s="656"/>
      <c r="D44" s="599" t="s">
        <v>143</v>
      </c>
      <c r="E44" s="586">
        <f>'1'!F44</f>
        <v>0</v>
      </c>
      <c r="F44" s="586">
        <v>0</v>
      </c>
      <c r="G44" s="549">
        <f t="shared" si="2"/>
        <v>0</v>
      </c>
      <c r="H44" s="536">
        <f>G44+'1'!H44</f>
        <v>0</v>
      </c>
      <c r="I44" s="531"/>
      <c r="J44" s="629">
        <f>H44/DAY(B2)</f>
        <v>0</v>
      </c>
      <c r="K44" s="467"/>
      <c r="L44" s="408"/>
      <c r="O44" s="413"/>
    </row>
    <row r="45" spans="1:15">
      <c r="A45" s="655" t="s">
        <v>185</v>
      </c>
      <c r="B45" s="656"/>
      <c r="C45" s="656"/>
      <c r="D45" s="599" t="s">
        <v>143</v>
      </c>
      <c r="E45" s="586">
        <f>'1'!F45</f>
        <v>614.48</v>
      </c>
      <c r="F45" s="586">
        <v>614</v>
      </c>
      <c r="G45" s="549">
        <f t="shared" si="2"/>
        <v>-0.48000000000001819</v>
      </c>
      <c r="H45" s="536">
        <f>G45+'1'!H45</f>
        <v>-0.48000000000001819</v>
      </c>
      <c r="I45" s="531"/>
      <c r="J45" s="629">
        <f>H45/DAY(B2)</f>
        <v>-0.24000000000000909</v>
      </c>
      <c r="K45" s="467"/>
      <c r="L45" s="408"/>
      <c r="O45" s="413"/>
    </row>
    <row r="46" spans="1:15">
      <c r="A46" s="655" t="s">
        <v>186</v>
      </c>
      <c r="B46" s="656"/>
      <c r="C46" s="656"/>
      <c r="D46" s="599" t="s">
        <v>143</v>
      </c>
      <c r="E46" s="586">
        <f>'1'!F46</f>
        <v>187.49</v>
      </c>
      <c r="F46" s="586">
        <v>187</v>
      </c>
      <c r="G46" s="549">
        <f t="shared" si="2"/>
        <v>-0.49000000000000909</v>
      </c>
      <c r="H46" s="536">
        <f>G46+'1'!H46</f>
        <v>-0.49000000000000909</v>
      </c>
      <c r="I46" s="531"/>
      <c r="J46" s="629">
        <f>H46/DAY(B2)</f>
        <v>-0.24500000000000455</v>
      </c>
      <c r="K46" s="467"/>
      <c r="L46" s="408"/>
      <c r="O46" s="413"/>
    </row>
    <row r="47" spans="1:15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7051.0899999999765</v>
      </c>
      <c r="H47" s="536">
        <f>G47+'1'!H47</f>
        <v>14245.239999999956</v>
      </c>
      <c r="I47" s="531"/>
      <c r="J47" s="629">
        <f>H47/DAY(B2)</f>
        <v>7122.6199999999781</v>
      </c>
      <c r="K47" s="467"/>
      <c r="L47" s="408"/>
      <c r="N47" s="413"/>
      <c r="O47" s="413"/>
    </row>
    <row r="48" spans="1:15">
      <c r="A48" s="675" t="s">
        <v>188</v>
      </c>
      <c r="B48" s="1236"/>
      <c r="C48" s="1236"/>
      <c r="D48" s="548"/>
      <c r="E48" s="547"/>
      <c r="F48" s="547"/>
      <c r="G48" s="548"/>
      <c r="H48" s="548"/>
      <c r="I48" s="548"/>
      <c r="J48" s="628"/>
      <c r="K48" s="467"/>
      <c r="L48" s="408"/>
      <c r="O48" s="413"/>
    </row>
    <row r="49" spans="1:15">
      <c r="A49" s="655" t="s">
        <v>175</v>
      </c>
      <c r="B49" s="678"/>
      <c r="C49" s="678"/>
      <c r="D49" s="599" t="s">
        <v>143</v>
      </c>
      <c r="E49" s="586">
        <f>'1'!F49</f>
        <v>248895.09</v>
      </c>
      <c r="F49" s="586">
        <v>251954</v>
      </c>
      <c r="G49" s="549">
        <f t="shared" ref="G49:G58" si="3">F49-E49</f>
        <v>3058.9100000000035</v>
      </c>
      <c r="H49" s="536">
        <f>G49+'1'!H49</f>
        <v>6054.9500000000116</v>
      </c>
      <c r="I49" s="531"/>
      <c r="J49" s="629">
        <f>H49/DAY(B2)</f>
        <v>3027.4750000000058</v>
      </c>
      <c r="K49" s="467"/>
      <c r="L49" s="408"/>
      <c r="O49" s="413"/>
    </row>
    <row r="50" spans="1:15">
      <c r="A50" s="655" t="s">
        <v>189</v>
      </c>
      <c r="B50" s="678"/>
      <c r="C50" s="678"/>
      <c r="D50" s="599" t="s">
        <v>143</v>
      </c>
      <c r="E50" s="586">
        <f>'1'!F50</f>
        <v>369638.67</v>
      </c>
      <c r="F50" s="586">
        <v>370675</v>
      </c>
      <c r="G50" s="549">
        <f t="shared" si="3"/>
        <v>1036.3300000000163</v>
      </c>
      <c r="H50" s="536">
        <f>G50+'1'!H50</f>
        <v>2057.6900000000023</v>
      </c>
      <c r="I50" s="531"/>
      <c r="J50" s="629">
        <f>H50/DAY(B2)</f>
        <v>1028.8450000000012</v>
      </c>
      <c r="K50" s="467"/>
      <c r="L50" s="408"/>
      <c r="O50" s="413"/>
    </row>
    <row r="51" spans="1:15">
      <c r="A51" s="655" t="s">
        <v>177</v>
      </c>
      <c r="B51" s="678"/>
      <c r="C51" s="678"/>
      <c r="D51" s="599" t="s">
        <v>143</v>
      </c>
      <c r="E51" s="586">
        <f>'1'!F51</f>
        <v>111537.57</v>
      </c>
      <c r="F51" s="586">
        <v>112979</v>
      </c>
      <c r="G51" s="549">
        <f t="shared" si="3"/>
        <v>1441.429999999993</v>
      </c>
      <c r="H51" s="536">
        <f>G51+'1'!H51</f>
        <v>2879.2599999999948</v>
      </c>
      <c r="I51" s="531"/>
      <c r="J51" s="629">
        <f>H51/DAY(B2)</f>
        <v>1439.6299999999974</v>
      </c>
      <c r="K51" s="467"/>
      <c r="L51" s="408"/>
      <c r="O51" s="413"/>
    </row>
    <row r="52" spans="1:15">
      <c r="A52" s="655" t="s">
        <v>190</v>
      </c>
      <c r="B52" s="678"/>
      <c r="C52" s="678"/>
      <c r="D52" s="599" t="s">
        <v>143</v>
      </c>
      <c r="E52" s="586">
        <f>'1'!F52</f>
        <v>495823.71</v>
      </c>
      <c r="F52" s="586">
        <v>497846</v>
      </c>
      <c r="G52" s="549">
        <f t="shared" si="3"/>
        <v>2022.289999999979</v>
      </c>
      <c r="H52" s="536">
        <f>G52+'1'!H52</f>
        <v>4037.3300000000163</v>
      </c>
      <c r="I52" s="531"/>
      <c r="J52" s="629">
        <f>H52/DAY(B2)</f>
        <v>2018.6650000000081</v>
      </c>
      <c r="K52" s="467"/>
      <c r="L52" s="408"/>
      <c r="O52" s="413"/>
    </row>
    <row r="53" spans="1:15">
      <c r="A53" s="655" t="s">
        <v>179</v>
      </c>
      <c r="B53" s="678"/>
      <c r="C53" s="678"/>
      <c r="D53" s="599" t="s">
        <v>143</v>
      </c>
      <c r="E53" s="586">
        <f>'1'!F53</f>
        <v>308402.03000000003</v>
      </c>
      <c r="F53" s="586">
        <v>312561</v>
      </c>
      <c r="G53" s="549">
        <f t="shared" si="3"/>
        <v>4158.9699999999721</v>
      </c>
      <c r="H53" s="536">
        <f>G53+'1'!H53</f>
        <v>8262.7299999999814</v>
      </c>
      <c r="I53" s="531"/>
      <c r="J53" s="629">
        <f>H53/DAY(B2)</f>
        <v>4131.3649999999907</v>
      </c>
      <c r="K53" s="467"/>
      <c r="L53" s="408"/>
      <c r="O53" s="413"/>
    </row>
    <row r="54" spans="1:15">
      <c r="A54" s="655" t="s">
        <v>191</v>
      </c>
      <c r="B54" s="678"/>
      <c r="C54" s="678"/>
      <c r="D54" s="599" t="s">
        <v>143</v>
      </c>
      <c r="E54" s="586">
        <f>'1'!F54</f>
        <v>6356.96</v>
      </c>
      <c r="F54" s="586">
        <v>6396</v>
      </c>
      <c r="G54" s="549">
        <f t="shared" si="3"/>
        <v>39.039999999999964</v>
      </c>
      <c r="H54" s="536">
        <f>G54+'1'!H54</f>
        <v>79.359999999999673</v>
      </c>
      <c r="I54" s="531"/>
      <c r="J54" s="629">
        <f>H54/DAY(B2)</f>
        <v>39.679999999999836</v>
      </c>
      <c r="K54" s="467"/>
      <c r="L54" s="408"/>
      <c r="O54" s="413"/>
    </row>
    <row r="55" spans="1:15">
      <c r="A55" s="655" t="s">
        <v>192</v>
      </c>
      <c r="B55" s="678"/>
      <c r="C55" s="678"/>
      <c r="D55" s="599" t="s">
        <v>143</v>
      </c>
      <c r="E55" s="586">
        <f>'1'!F55</f>
        <v>39120.58</v>
      </c>
      <c r="F55" s="1120">
        <v>39120.58</v>
      </c>
      <c r="G55" s="549">
        <f t="shared" si="3"/>
        <v>0</v>
      </c>
      <c r="H55" s="536">
        <f>G55+'1'!H55</f>
        <v>0</v>
      </c>
      <c r="I55" s="531"/>
      <c r="J55" s="629">
        <f>H55/DAY(B2)</f>
        <v>0</v>
      </c>
      <c r="K55" s="467"/>
      <c r="L55" s="408"/>
      <c r="O55" s="413"/>
    </row>
    <row r="56" spans="1:15">
      <c r="A56" s="655" t="s">
        <v>193</v>
      </c>
      <c r="B56" s="678"/>
      <c r="C56" s="678"/>
      <c r="D56" s="599" t="s">
        <v>194</v>
      </c>
      <c r="E56" s="586">
        <f>'1'!F56</f>
        <v>557732.43000000005</v>
      </c>
      <c r="F56" s="1120">
        <v>557734.43000000005</v>
      </c>
      <c r="G56" s="549">
        <f t="shared" si="3"/>
        <v>2</v>
      </c>
      <c r="H56" s="536">
        <f>G56+'1'!H56</f>
        <v>2.5200000000186265</v>
      </c>
      <c r="I56" s="531"/>
      <c r="J56" s="629">
        <f>H56/DAY(B2)</f>
        <v>1.2600000000093132</v>
      </c>
      <c r="K56" s="466"/>
      <c r="L56" s="408"/>
      <c r="O56" s="413"/>
    </row>
    <row r="57" spans="1:15">
      <c r="A57" s="655" t="s">
        <v>183</v>
      </c>
      <c r="B57" s="678"/>
      <c r="C57" s="678"/>
      <c r="D57" s="599" t="s">
        <v>143</v>
      </c>
      <c r="E57" s="586">
        <f>'1'!F57</f>
        <v>0</v>
      </c>
      <c r="F57" s="586">
        <v>0</v>
      </c>
      <c r="G57" s="549">
        <f t="shared" si="3"/>
        <v>0</v>
      </c>
      <c r="H57" s="536">
        <f>G57+'1'!H57</f>
        <v>0</v>
      </c>
      <c r="I57" s="531"/>
      <c r="J57" s="629">
        <f>H57/DAY(B2)</f>
        <v>0</v>
      </c>
      <c r="K57" s="467"/>
      <c r="L57" s="408"/>
      <c r="O57" s="413"/>
    </row>
    <row r="58" spans="1:15">
      <c r="A58" s="655" t="s">
        <v>195</v>
      </c>
      <c r="B58" s="678"/>
      <c r="C58" s="678"/>
      <c r="D58" s="599" t="s">
        <v>143</v>
      </c>
      <c r="E58" s="586">
        <f>'1'!F58</f>
        <v>30706.43</v>
      </c>
      <c r="F58" s="734">
        <v>30860</v>
      </c>
      <c r="G58" s="549">
        <f t="shared" si="3"/>
        <v>153.56999999999971</v>
      </c>
      <c r="H58" s="536">
        <f>G58+'1'!H58</f>
        <v>328.09000000000015</v>
      </c>
      <c r="I58" s="531"/>
      <c r="J58" s="629">
        <f>H58/DAY(B2)</f>
        <v>164.04500000000007</v>
      </c>
      <c r="K58" s="467"/>
      <c r="L58" s="408"/>
      <c r="O58" s="413"/>
    </row>
    <row r="59" spans="1:15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11912.539999999964</v>
      </c>
      <c r="H59" s="536">
        <f>G59+'1'!H59</f>
        <v>23701.930000000026</v>
      </c>
      <c r="I59" s="531">
        <f>G7-G60</f>
        <v>417.37000000006083</v>
      </c>
      <c r="J59" s="629">
        <f>H59/DAY(B2)</f>
        <v>11850.965000000013</v>
      </c>
      <c r="K59" s="467"/>
      <c r="L59" s="408"/>
      <c r="O59" s="413"/>
    </row>
    <row r="60" spans="1:15">
      <c r="A60" s="655"/>
      <c r="B60" s="656"/>
      <c r="C60" s="656"/>
      <c r="D60" s="587" t="s">
        <v>196</v>
      </c>
      <c r="E60" s="587"/>
      <c r="F60" s="587"/>
      <c r="G60" s="557">
        <f>G47+G59</f>
        <v>18963.629999999939</v>
      </c>
      <c r="H60" s="536">
        <f>G60+'1'!H60</f>
        <v>37947.169999999984</v>
      </c>
      <c r="I60" s="531">
        <f>G13-G60</f>
        <v>-328.42999999998574</v>
      </c>
      <c r="J60" s="629">
        <f>H60/DAY(B2)</f>
        <v>18973.584999999992</v>
      </c>
      <c r="K60" s="467"/>
      <c r="L60" s="408"/>
      <c r="O60" s="413"/>
    </row>
    <row r="61" spans="1:15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O61" s="413"/>
    </row>
    <row r="62" spans="1:15">
      <c r="A62" s="680" t="s">
        <v>106</v>
      </c>
      <c r="B62" s="681"/>
      <c r="C62" s="681"/>
      <c r="D62" s="587" t="s">
        <v>198</v>
      </c>
      <c r="E62" s="590">
        <f>'1'!F62</f>
        <v>20419.188999999998</v>
      </c>
      <c r="F62" s="590">
        <v>20419.188999999998</v>
      </c>
      <c r="G62" s="549">
        <f t="shared" ref="G62:G69" si="4">F62-E62</f>
        <v>0</v>
      </c>
      <c r="H62" s="536">
        <f>G62+'1'!H62</f>
        <v>0</v>
      </c>
      <c r="I62" s="591"/>
      <c r="J62" s="629">
        <f>H62/DAY(B2)</f>
        <v>0</v>
      </c>
      <c r="K62" s="467"/>
      <c r="L62" s="408"/>
      <c r="O62" s="413"/>
    </row>
    <row r="63" spans="1:15">
      <c r="A63" s="680" t="s">
        <v>199</v>
      </c>
      <c r="B63" s="681"/>
      <c r="C63" s="681"/>
      <c r="D63" s="587" t="s">
        <v>198</v>
      </c>
      <c r="E63" s="590">
        <f>'1'!F63</f>
        <v>1346.99</v>
      </c>
      <c r="F63" s="590">
        <v>1362</v>
      </c>
      <c r="G63" s="549">
        <f t="shared" si="4"/>
        <v>15.009999999999991</v>
      </c>
      <c r="H63" s="536">
        <f>G63+'1'!H63</f>
        <v>29.470000000000027</v>
      </c>
      <c r="I63" s="591"/>
      <c r="J63" s="629">
        <f>H63/DAY(B2)</f>
        <v>14.735000000000014</v>
      </c>
      <c r="K63" s="467"/>
      <c r="L63" s="408"/>
      <c r="O63" s="413"/>
    </row>
    <row r="64" spans="1:15" ht="27.75">
      <c r="A64" s="1385" t="s">
        <v>107</v>
      </c>
      <c r="B64" s="1386"/>
      <c r="C64" s="1387"/>
      <c r="D64" s="599" t="s">
        <v>198</v>
      </c>
      <c r="E64" s="560">
        <f>'1'!F64</f>
        <v>111729.09</v>
      </c>
      <c r="F64" s="554">
        <v>112165</v>
      </c>
      <c r="G64" s="549">
        <f t="shared" si="4"/>
        <v>435.91000000000349</v>
      </c>
      <c r="H64" s="536">
        <f>G64+'1'!H64</f>
        <v>881.5399999999936</v>
      </c>
      <c r="I64" s="556"/>
      <c r="J64" s="629">
        <f>H64/DAY(B2)</f>
        <v>440.7699999999968</v>
      </c>
      <c r="K64" s="467"/>
      <c r="L64" s="408"/>
      <c r="O64" s="413"/>
    </row>
    <row r="65" spans="1:15" ht="27.75">
      <c r="A65" s="1385" t="s">
        <v>108</v>
      </c>
      <c r="B65" s="1386"/>
      <c r="C65" s="1387"/>
      <c r="D65" s="599" t="s">
        <v>198</v>
      </c>
      <c r="E65" s="560">
        <f>'1'!F65</f>
        <v>122116.01</v>
      </c>
      <c r="F65" s="732">
        <v>122494</v>
      </c>
      <c r="G65" s="549">
        <f t="shared" si="4"/>
        <v>377.99000000000524</v>
      </c>
      <c r="H65" s="536">
        <f>G65+'1'!H65</f>
        <v>760.88999999999942</v>
      </c>
      <c r="I65" s="565"/>
      <c r="J65" s="629">
        <f>H65/DAY(B2)</f>
        <v>380.44499999999971</v>
      </c>
      <c r="K65" s="467"/>
      <c r="L65" s="408"/>
      <c r="O65" s="413"/>
    </row>
    <row r="66" spans="1:15" ht="27.75">
      <c r="A66" s="1385" t="s">
        <v>109</v>
      </c>
      <c r="B66" s="1386"/>
      <c r="C66" s="1387"/>
      <c r="D66" s="599" t="s">
        <v>198</v>
      </c>
      <c r="E66" s="560">
        <f>'1'!F66</f>
        <v>14549.83</v>
      </c>
      <c r="F66" s="554">
        <v>14954</v>
      </c>
      <c r="G66" s="549">
        <f t="shared" si="4"/>
        <v>404.17000000000007</v>
      </c>
      <c r="H66" s="536">
        <f>G66+'1'!H66</f>
        <v>794.26000000000022</v>
      </c>
      <c r="I66" s="556"/>
      <c r="J66" s="629">
        <f>H66/DAY(B2)</f>
        <v>397.13000000000011</v>
      </c>
      <c r="K66" s="467"/>
      <c r="L66" s="408"/>
      <c r="O66" s="413"/>
    </row>
    <row r="67" spans="1:15" ht="27.75">
      <c r="A67" s="1385" t="s">
        <v>110</v>
      </c>
      <c r="B67" s="1386"/>
      <c r="C67" s="1387"/>
      <c r="D67" s="599" t="s">
        <v>198</v>
      </c>
      <c r="E67" s="560">
        <f>'1'!F67</f>
        <v>189332.39</v>
      </c>
      <c r="F67" s="554">
        <v>190003</v>
      </c>
      <c r="G67" s="549">
        <f t="shared" si="4"/>
        <v>670.60999999998603</v>
      </c>
      <c r="H67" s="536">
        <f>G67+'1'!H67</f>
        <v>1328.4700000000012</v>
      </c>
      <c r="I67" s="565"/>
      <c r="J67" s="629">
        <f>H67/DAY(B2)</f>
        <v>664.23500000000058</v>
      </c>
      <c r="K67" s="468"/>
      <c r="L67" s="408"/>
      <c r="O67" s="413"/>
    </row>
    <row r="68" spans="1:15" ht="27.75">
      <c r="A68" s="1385" t="s">
        <v>111</v>
      </c>
      <c r="B68" s="1386"/>
      <c r="C68" s="1387"/>
      <c r="D68" s="599" t="s">
        <v>198</v>
      </c>
      <c r="E68" s="560">
        <f>'1'!F68</f>
        <v>63627.65</v>
      </c>
      <c r="F68" s="554">
        <v>63969</v>
      </c>
      <c r="G68" s="549">
        <f t="shared" si="4"/>
        <v>341.34999999999854</v>
      </c>
      <c r="H68" s="536">
        <f>G68+'1'!H68</f>
        <v>669.13999999999942</v>
      </c>
      <c r="I68" s="592"/>
      <c r="J68" s="629">
        <f>H68/DAY(B2)</f>
        <v>334.56999999999971</v>
      </c>
      <c r="K68" s="469"/>
      <c r="L68" s="408"/>
      <c r="O68" s="413"/>
    </row>
    <row r="69" spans="1:15" ht="27.75">
      <c r="A69" s="1385" t="s">
        <v>112</v>
      </c>
      <c r="B69" s="1386"/>
      <c r="C69" s="1387"/>
      <c r="D69" s="599" t="s">
        <v>198</v>
      </c>
      <c r="E69" s="560">
        <f>'1'!F69</f>
        <v>56043.61</v>
      </c>
      <c r="F69" s="554">
        <v>56354</v>
      </c>
      <c r="G69" s="549">
        <f t="shared" si="4"/>
        <v>310.38999999999942</v>
      </c>
      <c r="H69" s="536">
        <f>G69+'1'!H69</f>
        <v>630.29000000000087</v>
      </c>
      <c r="I69" s="592"/>
      <c r="J69" s="629">
        <f>H69/DAY(B2)</f>
        <v>315.14500000000044</v>
      </c>
      <c r="K69" s="470"/>
      <c r="L69" s="408"/>
      <c r="O69" s="413"/>
    </row>
    <row r="70" spans="1:15" ht="27.75">
      <c r="A70" s="1391" t="s">
        <v>200</v>
      </c>
      <c r="B70" s="1392"/>
      <c r="C70" s="1393"/>
      <c r="D70" s="599" t="s">
        <v>198</v>
      </c>
      <c r="E70" s="594"/>
      <c r="F70" s="594"/>
      <c r="G70" s="594"/>
      <c r="H70" s="536"/>
      <c r="I70" s="594"/>
      <c r="J70" s="633"/>
      <c r="K70" s="470"/>
      <c r="L70" s="408"/>
      <c r="O70" s="413"/>
    </row>
    <row r="71" spans="1:15" ht="31.5">
      <c r="A71" s="1388" t="s">
        <v>201</v>
      </c>
      <c r="B71" s="1389"/>
      <c r="C71" s="1389"/>
      <c r="D71" s="1389"/>
      <c r="E71" s="1389"/>
      <c r="F71" s="1389"/>
      <c r="G71" s="1389"/>
      <c r="H71" s="1389"/>
      <c r="I71" s="1389"/>
      <c r="J71" s="1390"/>
      <c r="K71" s="469"/>
      <c r="L71" s="408"/>
      <c r="O71" s="413"/>
    </row>
    <row r="72" spans="1:15" ht="27.75">
      <c r="A72" s="1385" t="s">
        <v>202</v>
      </c>
      <c r="B72" s="1386"/>
      <c r="C72" s="1387"/>
      <c r="D72" s="599" t="s">
        <v>198</v>
      </c>
      <c r="E72" s="595">
        <f>'1'!F72</f>
        <v>848549</v>
      </c>
      <c r="F72" s="735">
        <v>848633</v>
      </c>
      <c r="G72" s="549">
        <f t="shared" ref="G72:G84" si="5">F72-E72</f>
        <v>84</v>
      </c>
      <c r="H72" s="536">
        <f>G72+'1'!H72</f>
        <v>168</v>
      </c>
      <c r="I72" s="556"/>
      <c r="J72" s="629">
        <f>H72/DAY(B2)</f>
        <v>84</v>
      </c>
      <c r="K72" s="470"/>
      <c r="L72" s="408"/>
      <c r="O72" s="413"/>
    </row>
    <row r="73" spans="1:15" ht="27.75">
      <c r="A73" s="1385" t="s">
        <v>203</v>
      </c>
      <c r="B73" s="1386"/>
      <c r="C73" s="1387"/>
      <c r="D73" s="599" t="s">
        <v>198</v>
      </c>
      <c r="E73" s="596">
        <f>'1'!F73</f>
        <v>885728</v>
      </c>
      <c r="F73" s="736">
        <v>885728</v>
      </c>
      <c r="G73" s="733">
        <f t="shared" si="5"/>
        <v>0</v>
      </c>
      <c r="H73" s="536">
        <f>G73+'1'!H73</f>
        <v>0</v>
      </c>
      <c r="I73" s="556"/>
      <c r="J73" s="629">
        <f>H73/DAY(B2)</f>
        <v>0</v>
      </c>
      <c r="K73" s="469"/>
      <c r="L73" s="408"/>
      <c r="O73" s="413"/>
    </row>
    <row r="74" spans="1:15" ht="27.75">
      <c r="A74" s="1385" t="s">
        <v>204</v>
      </c>
      <c r="B74" s="1386"/>
      <c r="C74" s="1387"/>
      <c r="D74" s="599" t="s">
        <v>198</v>
      </c>
      <c r="E74" s="597">
        <f>'1'!F74</f>
        <v>882392</v>
      </c>
      <c r="F74" s="735">
        <v>882419</v>
      </c>
      <c r="G74" s="549">
        <f t="shared" si="5"/>
        <v>27</v>
      </c>
      <c r="H74" s="536">
        <f>G74+'1'!H74</f>
        <v>50</v>
      </c>
      <c r="I74" s="556"/>
      <c r="J74" s="629">
        <f>H74/DAY(B2)</f>
        <v>25</v>
      </c>
      <c r="K74" s="470"/>
      <c r="L74" s="408"/>
      <c r="O74" s="413"/>
    </row>
    <row r="75" spans="1:15" ht="27.75">
      <c r="A75" s="1382" t="s">
        <v>205</v>
      </c>
      <c r="B75" s="1383"/>
      <c r="C75" s="1384"/>
      <c r="D75" s="599" t="s">
        <v>198</v>
      </c>
      <c r="E75" s="597">
        <f>'1'!F75</f>
        <v>737702</v>
      </c>
      <c r="F75" s="737">
        <v>737886</v>
      </c>
      <c r="G75" s="549">
        <f t="shared" si="5"/>
        <v>184</v>
      </c>
      <c r="H75" s="536">
        <f>G75+'1'!H75</f>
        <v>367</v>
      </c>
      <c r="I75" s="556"/>
      <c r="J75" s="629">
        <f>H75/DAY(B2)</f>
        <v>183.5</v>
      </c>
      <c r="K75" s="469"/>
      <c r="L75" s="408"/>
      <c r="O75" s="413"/>
    </row>
    <row r="76" spans="1:15" ht="27.75">
      <c r="A76" s="1382" t="s">
        <v>206</v>
      </c>
      <c r="B76" s="1383"/>
      <c r="C76" s="1384"/>
      <c r="D76" s="599" t="s">
        <v>198</v>
      </c>
      <c r="E76" s="596">
        <f>'1'!F76</f>
        <v>687088</v>
      </c>
      <c r="F76" s="736">
        <v>687161</v>
      </c>
      <c r="G76" s="549">
        <f t="shared" si="5"/>
        <v>73</v>
      </c>
      <c r="H76" s="536">
        <f>G76+'1'!H76</f>
        <v>147</v>
      </c>
      <c r="I76" s="581"/>
      <c r="J76" s="629">
        <f>H76/DAY(B2)</f>
        <v>73.5</v>
      </c>
      <c r="K76" s="469"/>
      <c r="L76" s="408"/>
      <c r="O76" s="413"/>
    </row>
    <row r="77" spans="1:15" ht="27.75">
      <c r="A77" s="1385" t="s">
        <v>207</v>
      </c>
      <c r="B77" s="1386"/>
      <c r="C77" s="1387"/>
      <c r="D77" s="599" t="s">
        <v>198</v>
      </c>
      <c r="E77" s="596">
        <f>'1'!F77</f>
        <v>697155</v>
      </c>
      <c r="F77" s="736">
        <v>697214</v>
      </c>
      <c r="G77" s="733">
        <f t="shared" si="5"/>
        <v>59</v>
      </c>
      <c r="H77" s="536">
        <f>G77+'1'!H77</f>
        <v>107</v>
      </c>
      <c r="I77" s="581"/>
      <c r="J77" s="629">
        <f>H77/DAY(B2)</f>
        <v>53.5</v>
      </c>
      <c r="K77" s="469"/>
      <c r="L77" s="408"/>
      <c r="O77" s="413"/>
    </row>
    <row r="78" spans="1:15" ht="27.75">
      <c r="A78" s="1234" t="s">
        <v>208</v>
      </c>
      <c r="B78" s="1205"/>
      <c r="C78" s="1205"/>
      <c r="D78" s="599" t="s">
        <v>198</v>
      </c>
      <c r="E78" s="597">
        <f>'1'!F78</f>
        <v>642287</v>
      </c>
      <c r="F78" s="737">
        <v>642667</v>
      </c>
      <c r="G78" s="549">
        <f t="shared" si="5"/>
        <v>380</v>
      </c>
      <c r="H78" s="536">
        <f>G78+'1'!H78</f>
        <v>714</v>
      </c>
      <c r="I78" s="581"/>
      <c r="J78" s="629">
        <f>H78/DAY(B2)</f>
        <v>357</v>
      </c>
      <c r="K78" s="469"/>
      <c r="L78" s="408"/>
      <c r="O78" s="413"/>
    </row>
    <row r="79" spans="1:15" ht="27.75">
      <c r="A79" s="1382" t="s">
        <v>97</v>
      </c>
      <c r="B79" s="1383"/>
      <c r="C79" s="1384"/>
      <c r="D79" s="600" t="s">
        <v>198</v>
      </c>
      <c r="E79" s="597">
        <f>'1'!F79</f>
        <v>809896</v>
      </c>
      <c r="F79" s="737">
        <v>810092</v>
      </c>
      <c r="G79" s="549">
        <f t="shared" si="5"/>
        <v>196</v>
      </c>
      <c r="H79" s="536">
        <f>G79+'1'!H79</f>
        <v>401</v>
      </c>
      <c r="I79" s="581"/>
      <c r="J79" s="629">
        <f>H79/DAY(B2)</f>
        <v>200.5</v>
      </c>
      <c r="K79" s="469"/>
      <c r="L79" s="408"/>
      <c r="O79" s="413"/>
    </row>
    <row r="80" spans="1:15" ht="27.75">
      <c r="A80" s="1382" t="s">
        <v>209</v>
      </c>
      <c r="B80" s="1383"/>
      <c r="C80" s="1384"/>
      <c r="D80" s="600" t="s">
        <v>198</v>
      </c>
      <c r="E80" s="596">
        <f>'1'!F80</f>
        <v>485435</v>
      </c>
      <c r="F80" s="736">
        <v>485753</v>
      </c>
      <c r="G80" s="549">
        <f t="shared" si="5"/>
        <v>318</v>
      </c>
      <c r="H80" s="536">
        <f>G80+'1'!H80</f>
        <v>626</v>
      </c>
      <c r="I80" s="581"/>
      <c r="J80" s="629">
        <f>H80/DAY(B2)</f>
        <v>313</v>
      </c>
      <c r="K80" s="469"/>
      <c r="L80" s="408"/>
      <c r="O80" s="413"/>
    </row>
    <row r="81" spans="1:15" ht="27.75">
      <c r="A81" s="1382" t="s">
        <v>210</v>
      </c>
      <c r="B81" s="1383"/>
      <c r="C81" s="1384"/>
      <c r="D81" s="600" t="s">
        <v>198</v>
      </c>
      <c r="E81" s="596">
        <f>'1'!F81</f>
        <v>622851</v>
      </c>
      <c r="F81" s="736">
        <v>622953</v>
      </c>
      <c r="G81" s="549">
        <f t="shared" si="5"/>
        <v>102</v>
      </c>
      <c r="H81" s="536">
        <f>G81+'1'!H81</f>
        <v>178</v>
      </c>
      <c r="I81" s="581"/>
      <c r="J81" s="629">
        <f>H81/DAY(B2)</f>
        <v>89</v>
      </c>
      <c r="K81" s="469"/>
      <c r="L81" s="408"/>
      <c r="O81" s="413"/>
    </row>
    <row r="82" spans="1:15" ht="27.75">
      <c r="A82" s="1382" t="s">
        <v>100</v>
      </c>
      <c r="B82" s="1383"/>
      <c r="C82" s="1384"/>
      <c r="D82" s="561" t="s">
        <v>143</v>
      </c>
      <c r="E82" s="596">
        <f>'1'!F82</f>
        <v>105485</v>
      </c>
      <c r="F82" s="732">
        <v>105540</v>
      </c>
      <c r="G82" s="549">
        <f t="shared" si="5"/>
        <v>55</v>
      </c>
      <c r="H82" s="536">
        <f>G82+'1'!H82</f>
        <v>100</v>
      </c>
      <c r="I82" s="562"/>
      <c r="J82" s="629">
        <f>H82/DAY(B2)</f>
        <v>50</v>
      </c>
      <c r="K82" s="469"/>
      <c r="L82" s="408"/>
      <c r="O82" s="413"/>
    </row>
    <row r="83" spans="1:15" ht="27.75">
      <c r="A83" s="1382" t="s">
        <v>211</v>
      </c>
      <c r="B83" s="1383"/>
      <c r="C83" s="1384"/>
      <c r="D83" s="697" t="s">
        <v>143</v>
      </c>
      <c r="E83" s="587">
        <f>'1'!F83</f>
        <v>984174</v>
      </c>
      <c r="F83" s="587">
        <v>984602</v>
      </c>
      <c r="G83" s="549">
        <f t="shared" si="5"/>
        <v>428</v>
      </c>
      <c r="H83" s="536">
        <f>G83+'1'!H83</f>
        <v>861</v>
      </c>
      <c r="I83" s="557"/>
      <c r="J83" s="629">
        <f>H83/DAY(B2)</f>
        <v>430.5</v>
      </c>
      <c r="K83" s="468"/>
      <c r="L83" s="408"/>
      <c r="O83" s="413"/>
    </row>
    <row r="84" spans="1:15">
      <c r="A84" s="1235" t="s">
        <v>212</v>
      </c>
      <c r="B84" s="648"/>
      <c r="C84" s="648"/>
      <c r="D84" s="554" t="s">
        <v>143</v>
      </c>
      <c r="E84" s="704">
        <f>'1'!F84</f>
        <v>416594</v>
      </c>
      <c r="F84" s="704">
        <v>417128</v>
      </c>
      <c r="G84" s="549">
        <f t="shared" si="5"/>
        <v>534</v>
      </c>
      <c r="H84" s="536">
        <f>G84+'1'!H84</f>
        <v>1055</v>
      </c>
      <c r="I84" s="557"/>
      <c r="J84" s="629">
        <f>H84/DAY(B2)</f>
        <v>527.5</v>
      </c>
      <c r="K84" s="411"/>
      <c r="L84" s="408"/>
      <c r="O84" s="413"/>
    </row>
    <row r="85" spans="1:15" s="410" customFormat="1">
      <c r="A85" s="682" t="s">
        <v>213</v>
      </c>
      <c r="B85" s="649"/>
      <c r="C85" s="649"/>
      <c r="D85" s="565"/>
      <c r="E85" s="704">
        <f>'1'!F85</f>
        <v>0</v>
      </c>
      <c r="F85" s="599"/>
      <c r="G85" s="536">
        <f xml:space="preserve"> SUM(G71:G84)</f>
        <v>2440</v>
      </c>
      <c r="H85" s="536">
        <f>G85+'1'!H84</f>
        <v>2961</v>
      </c>
      <c r="I85" s="557"/>
      <c r="J85" s="629">
        <f>H85/DAY(B2)</f>
        <v>1480.5</v>
      </c>
      <c r="K85" s="411"/>
      <c r="L85" s="409"/>
      <c r="O85" s="413"/>
    </row>
    <row r="86" spans="1:15" s="817" customFormat="1">
      <c r="A86" s="812" t="s">
        <v>102</v>
      </c>
      <c r="B86" s="813"/>
      <c r="C86" s="813"/>
      <c r="D86" s="814" t="s">
        <v>194</v>
      </c>
      <c r="E86" s="704">
        <f>'1'!F86</f>
        <v>447230.36</v>
      </c>
      <c r="F86" s="728">
        <v>447372</v>
      </c>
      <c r="G86" s="787">
        <f t="shared" ref="G86:G90" si="6">F86-E86</f>
        <v>141.64000000001397</v>
      </c>
      <c r="H86" s="536">
        <f>G86+'1'!H86</f>
        <v>266</v>
      </c>
      <c r="I86" s="733"/>
      <c r="J86" s="789">
        <f>H86/DAY(B2)</f>
        <v>133</v>
      </c>
      <c r="K86" s="815"/>
      <c r="L86" s="816"/>
      <c r="O86" s="795"/>
    </row>
    <row r="87" spans="1:15" s="817" customFormat="1">
      <c r="A87" s="812" t="s">
        <v>103</v>
      </c>
      <c r="B87" s="813"/>
      <c r="C87" s="813"/>
      <c r="D87" s="814" t="s">
        <v>194</v>
      </c>
      <c r="E87" s="704">
        <f>'1'!F87</f>
        <v>78477.7</v>
      </c>
      <c r="F87" s="728">
        <v>78512</v>
      </c>
      <c r="G87" s="787">
        <f t="shared" si="6"/>
        <v>34.30000000000291</v>
      </c>
      <c r="H87" s="536">
        <f>G87+'1'!H87</f>
        <v>65.69999999999709</v>
      </c>
      <c r="I87" s="733"/>
      <c r="J87" s="789">
        <f>H87/DAY(B2)</f>
        <v>32.849999999998545</v>
      </c>
      <c r="K87" s="815"/>
      <c r="L87" s="816"/>
      <c r="O87" s="795"/>
    </row>
    <row r="88" spans="1:15" s="817" customFormat="1">
      <c r="A88" s="812" t="s">
        <v>104</v>
      </c>
      <c r="B88" s="813"/>
      <c r="C88" s="813"/>
      <c r="D88" s="814" t="s">
        <v>194</v>
      </c>
      <c r="E88" s="704">
        <f>'1'!F88</f>
        <v>146589</v>
      </c>
      <c r="F88" s="728">
        <v>146643</v>
      </c>
      <c r="G88" s="787">
        <f t="shared" si="6"/>
        <v>54</v>
      </c>
      <c r="H88" s="536">
        <f>G88+'1'!H88</f>
        <v>141</v>
      </c>
      <c r="I88" s="733"/>
      <c r="J88" s="789">
        <f>H88/DAY(B2)</f>
        <v>70.5</v>
      </c>
      <c r="K88" s="815"/>
      <c r="L88" s="816"/>
      <c r="O88" s="795"/>
    </row>
    <row r="89" spans="1:15" s="817" customFormat="1">
      <c r="A89" s="812" t="s">
        <v>215</v>
      </c>
      <c r="B89" s="813"/>
      <c r="C89" s="813"/>
      <c r="D89" s="814" t="s">
        <v>194</v>
      </c>
      <c r="E89" s="704">
        <f>'1'!F89</f>
        <v>59873.3</v>
      </c>
      <c r="F89" s="728">
        <v>59964</v>
      </c>
      <c r="G89" s="787">
        <f t="shared" si="6"/>
        <v>90.69999999999709</v>
      </c>
      <c r="H89" s="536">
        <f>G89+'1'!H89</f>
        <v>162</v>
      </c>
      <c r="I89" s="733"/>
      <c r="J89" s="789">
        <f>H89/DAY(B2)</f>
        <v>81</v>
      </c>
      <c r="K89" s="815"/>
      <c r="L89" s="816"/>
      <c r="N89" s="860"/>
      <c r="O89" s="413"/>
    </row>
    <row r="90" spans="1:15" s="817" customFormat="1">
      <c r="A90" s="812" t="s">
        <v>215</v>
      </c>
      <c r="B90" s="813"/>
      <c r="C90" s="813"/>
      <c r="D90" s="814" t="s">
        <v>194</v>
      </c>
      <c r="E90" s="704">
        <f>'1'!F90</f>
        <v>3070.5</v>
      </c>
      <c r="F90" s="728">
        <v>3075</v>
      </c>
      <c r="G90" s="787">
        <f t="shared" si="6"/>
        <v>4.5</v>
      </c>
      <c r="H90" s="536">
        <f>G90+'1'!H90</f>
        <v>9.0999999999999091</v>
      </c>
      <c r="I90" s="733"/>
      <c r="J90" s="789">
        <f>H90/DAY(B2)</f>
        <v>4.5499999999999545</v>
      </c>
      <c r="K90" s="815"/>
      <c r="L90" s="816"/>
      <c r="N90" s="860"/>
      <c r="O90" s="413"/>
    </row>
    <row r="91" spans="1:15" s="410" customFormat="1">
      <c r="A91" s="683" t="s">
        <v>216</v>
      </c>
      <c r="B91" s="1237"/>
      <c r="C91" s="1237"/>
      <c r="D91" s="548"/>
      <c r="E91" s="548"/>
      <c r="F91" s="548"/>
      <c r="G91" s="564"/>
      <c r="H91" s="548"/>
      <c r="I91" s="548"/>
      <c r="J91" s="628"/>
      <c r="K91" s="411"/>
      <c r="L91" s="409"/>
      <c r="O91" s="413"/>
    </row>
    <row r="92" spans="1:15" ht="27.75">
      <c r="A92" s="1406" t="s">
        <v>217</v>
      </c>
      <c r="B92" s="1407"/>
      <c r="C92" s="1408"/>
      <c r="D92" s="599" t="s">
        <v>155</v>
      </c>
      <c r="E92" s="560">
        <f>'1'!F92</f>
        <v>236657</v>
      </c>
      <c r="F92" s="554">
        <v>236732</v>
      </c>
      <c r="G92" s="549">
        <f t="shared" ref="G92:G93" si="7">F92-E92</f>
        <v>75</v>
      </c>
      <c r="H92" s="536">
        <f>G92+'1'!H92</f>
        <v>162</v>
      </c>
      <c r="I92" s="556"/>
      <c r="J92" s="629">
        <f>H92/DAY(B2)</f>
        <v>81</v>
      </c>
      <c r="K92" s="468"/>
      <c r="L92" s="408"/>
      <c r="O92" s="413"/>
    </row>
    <row r="93" spans="1:15" ht="27.75">
      <c r="A93" s="1406" t="s">
        <v>218</v>
      </c>
      <c r="B93" s="1407"/>
      <c r="C93" s="1408"/>
      <c r="D93" s="599" t="s">
        <v>155</v>
      </c>
      <c r="E93" s="560">
        <f>'1'!F93</f>
        <v>171376</v>
      </c>
      <c r="F93" s="554">
        <v>171527</v>
      </c>
      <c r="G93" s="549">
        <f t="shared" si="7"/>
        <v>151</v>
      </c>
      <c r="H93" s="536">
        <f>G93+'1'!H93</f>
        <v>351</v>
      </c>
      <c r="I93" s="556"/>
      <c r="J93" s="629">
        <f>H93/DAY(B2)</f>
        <v>175.5</v>
      </c>
      <c r="K93" s="411"/>
      <c r="L93" s="408"/>
      <c r="O93" s="413"/>
    </row>
    <row r="94" spans="1:15">
      <c r="A94" s="1434" t="s">
        <v>219</v>
      </c>
      <c r="B94" s="1435"/>
      <c r="C94" s="1436"/>
      <c r="D94" s="599"/>
      <c r="E94" s="560"/>
      <c r="F94" s="554"/>
      <c r="G94" s="549">
        <f>G92+G93</f>
        <v>226</v>
      </c>
      <c r="H94" s="536">
        <f>G94+'1'!H94</f>
        <v>226</v>
      </c>
      <c r="I94" s="556"/>
      <c r="J94" s="629">
        <f>H94/DAY(B2)</f>
        <v>113</v>
      </c>
      <c r="K94" s="411"/>
      <c r="L94" s="408"/>
      <c r="O94" s="413"/>
    </row>
    <row r="95" spans="1:15" ht="27.75">
      <c r="A95" s="1406" t="s">
        <v>220</v>
      </c>
      <c r="B95" s="1407"/>
      <c r="C95" s="1408"/>
      <c r="D95" s="599" t="s">
        <v>155</v>
      </c>
      <c r="E95" s="560">
        <f>'1'!F95</f>
        <v>405948</v>
      </c>
      <c r="F95" s="554">
        <v>406018</v>
      </c>
      <c r="G95" s="549">
        <f t="shared" ref="G95:G100" si="8">F95-E95</f>
        <v>70</v>
      </c>
      <c r="H95" s="536">
        <f>G95+'1'!H95</f>
        <v>142</v>
      </c>
      <c r="I95" s="556"/>
      <c r="J95" s="629">
        <f>H95/DAY(B2)</f>
        <v>71</v>
      </c>
      <c r="K95" s="411"/>
      <c r="L95" s="408"/>
      <c r="O95" s="413"/>
    </row>
    <row r="96" spans="1:15" ht="27.75">
      <c r="A96" s="1231" t="s">
        <v>221</v>
      </c>
      <c r="B96" s="1232"/>
      <c r="C96" s="1232"/>
      <c r="D96" s="599" t="s">
        <v>155</v>
      </c>
      <c r="E96" s="560">
        <f>'1'!F96</f>
        <v>100557</v>
      </c>
      <c r="F96" s="554">
        <v>100587</v>
      </c>
      <c r="G96" s="549">
        <f t="shared" si="8"/>
        <v>30</v>
      </c>
      <c r="H96" s="536">
        <f>G96+'1'!H96</f>
        <v>53</v>
      </c>
      <c r="I96" s="556"/>
      <c r="J96" s="629">
        <f>H96/DAY(B2)</f>
        <v>26.5</v>
      </c>
      <c r="K96" s="466"/>
      <c r="L96" s="408"/>
      <c r="O96" s="413"/>
    </row>
    <row r="97" spans="1:15" ht="27.75">
      <c r="A97" s="1231" t="s">
        <v>222</v>
      </c>
      <c r="B97" s="1232"/>
      <c r="C97" s="1232"/>
      <c r="D97" s="599" t="s">
        <v>155</v>
      </c>
      <c r="E97" s="560">
        <f>'1'!F97</f>
        <v>95695</v>
      </c>
      <c r="F97" s="554">
        <v>95711</v>
      </c>
      <c r="G97" s="549">
        <f t="shared" si="8"/>
        <v>16</v>
      </c>
      <c r="H97" s="536">
        <f>G97+'1'!H97</f>
        <v>34</v>
      </c>
      <c r="I97" s="556"/>
      <c r="J97" s="629">
        <f>H97/DAY(B2)</f>
        <v>17</v>
      </c>
      <c r="K97" s="471"/>
      <c r="L97" s="408"/>
      <c r="O97" s="413"/>
    </row>
    <row r="98" spans="1:15" ht="27.75">
      <c r="A98" s="1231" t="s">
        <v>223</v>
      </c>
      <c r="B98" s="1232"/>
      <c r="C98" s="1232"/>
      <c r="D98" s="599" t="s">
        <v>155</v>
      </c>
      <c r="E98" s="560">
        <f>'1'!F98</f>
        <v>145637</v>
      </c>
      <c r="F98" s="554">
        <v>145704</v>
      </c>
      <c r="G98" s="549">
        <f t="shared" si="8"/>
        <v>67</v>
      </c>
      <c r="H98" s="536">
        <f>G98+'1'!H98</f>
        <v>150</v>
      </c>
      <c r="I98" s="556"/>
      <c r="J98" s="629">
        <f>H98/DAY(B2)</f>
        <v>75</v>
      </c>
      <c r="K98" s="411"/>
      <c r="L98" s="408"/>
      <c r="O98" s="413"/>
    </row>
    <row r="99" spans="1:15" ht="27.75">
      <c r="A99" s="1231" t="s">
        <v>224</v>
      </c>
      <c r="B99" s="1232"/>
      <c r="C99" s="1232"/>
      <c r="D99" s="599" t="s">
        <v>155</v>
      </c>
      <c r="E99" s="560">
        <f>'1'!F99</f>
        <v>5987</v>
      </c>
      <c r="F99" s="554">
        <v>5995</v>
      </c>
      <c r="G99" s="549">
        <f t="shared" si="8"/>
        <v>8</v>
      </c>
      <c r="H99" s="536">
        <f>G99+'1'!H99</f>
        <v>21</v>
      </c>
      <c r="I99" s="556"/>
      <c r="J99" s="629">
        <f>H99/DAY(B2)</f>
        <v>10.5</v>
      </c>
      <c r="K99" s="411"/>
      <c r="L99" s="408"/>
      <c r="O99" s="413"/>
    </row>
    <row r="100" spans="1:15" ht="27.75">
      <c r="A100" s="1231" t="s">
        <v>225</v>
      </c>
      <c r="B100" s="1232"/>
      <c r="C100" s="1232"/>
      <c r="D100" s="599" t="s">
        <v>155</v>
      </c>
      <c r="E100" s="560">
        <f>'1'!F100</f>
        <v>4243</v>
      </c>
      <c r="F100" s="554">
        <v>4248</v>
      </c>
      <c r="G100" s="549">
        <f t="shared" si="8"/>
        <v>5</v>
      </c>
      <c r="H100" s="536">
        <f>G100+'1'!H100</f>
        <v>11</v>
      </c>
      <c r="I100" s="556"/>
      <c r="J100" s="629">
        <f>H100/DAY(B2)</f>
        <v>5.5</v>
      </c>
      <c r="K100" s="411"/>
      <c r="L100" s="408"/>
      <c r="O100" s="413"/>
    </row>
    <row r="101" spans="1:15">
      <c r="A101" s="1434" t="s">
        <v>227</v>
      </c>
      <c r="B101" s="1435"/>
      <c r="C101" s="1436"/>
      <c r="D101" s="600"/>
      <c r="E101" s="600"/>
      <c r="F101" s="600"/>
      <c r="G101" s="601">
        <f>SUM(G95:G100)</f>
        <v>196</v>
      </c>
      <c r="H101" s="536">
        <f>G101+'1'!H101</f>
        <v>411</v>
      </c>
      <c r="I101" s="602"/>
      <c r="J101" s="629">
        <f>H101/DAY(B2)</f>
        <v>205.5</v>
      </c>
      <c r="K101" s="411"/>
      <c r="L101" s="408"/>
      <c r="O101" s="413"/>
    </row>
    <row r="102" spans="1:15" s="481" customFormat="1" ht="27">
      <c r="A102" s="684" t="s">
        <v>228</v>
      </c>
      <c r="B102" s="685"/>
      <c r="C102" s="685"/>
      <c r="D102" s="698"/>
      <c r="E102" s="604"/>
      <c r="F102" s="738"/>
      <c r="G102" s="605"/>
      <c r="H102" s="606"/>
      <c r="I102" s="607"/>
      <c r="J102" s="634"/>
      <c r="O102" s="413"/>
    </row>
    <row r="103" spans="1:15" s="481" customFormat="1" ht="27.75">
      <c r="A103" s="1437" t="s">
        <v>229</v>
      </c>
      <c r="B103" s="1438"/>
      <c r="C103" s="650"/>
      <c r="D103" s="699"/>
      <c r="E103" s="608"/>
      <c r="F103" s="739"/>
      <c r="G103" s="608"/>
      <c r="H103" s="609"/>
      <c r="I103" s="608"/>
      <c r="J103" s="635"/>
      <c r="O103" s="413"/>
    </row>
    <row r="104" spans="1:15" s="481" customFormat="1" ht="27.75">
      <c r="A104" s="1398" t="s">
        <v>230</v>
      </c>
      <c r="B104" s="1399"/>
      <c r="C104" s="1229"/>
      <c r="D104" s="699" t="s">
        <v>155</v>
      </c>
      <c r="E104" s="608">
        <f>'1'!F104</f>
        <v>7010</v>
      </c>
      <c r="F104" s="739">
        <v>7010</v>
      </c>
      <c r="G104" s="608">
        <f>F104-E104</f>
        <v>0</v>
      </c>
      <c r="H104" s="536">
        <f>G104+'1'!H104</f>
        <v>0</v>
      </c>
      <c r="I104" s="608"/>
      <c r="J104" s="635">
        <f>H104/DAY(B2)</f>
        <v>0</v>
      </c>
      <c r="O104" s="413"/>
    </row>
    <row r="105" spans="1:15" s="481" customFormat="1" ht="27.75">
      <c r="A105" s="1398" t="s">
        <v>77</v>
      </c>
      <c r="B105" s="1399"/>
      <c r="C105" s="1229"/>
      <c r="D105" s="699" t="s">
        <v>155</v>
      </c>
      <c r="E105" s="610">
        <f>'1'!F105</f>
        <v>35169</v>
      </c>
      <c r="F105" s="740">
        <v>35177</v>
      </c>
      <c r="G105" s="608">
        <f t="shared" ref="G105:G106" si="9">F105-E105</f>
        <v>8</v>
      </c>
      <c r="H105" s="536">
        <f>G105+'1'!H105</f>
        <v>16</v>
      </c>
      <c r="I105" s="608"/>
      <c r="J105" s="635">
        <f>H105/DAY(B2)</f>
        <v>8</v>
      </c>
      <c r="O105" s="413"/>
    </row>
    <row r="106" spans="1:15" s="481" customFormat="1" ht="27.75">
      <c r="A106" s="1398" t="s">
        <v>78</v>
      </c>
      <c r="B106" s="1439"/>
      <c r="C106" s="1399"/>
      <c r="D106" s="699" t="s">
        <v>155</v>
      </c>
      <c r="E106" s="608">
        <f>'1'!F106</f>
        <v>19087</v>
      </c>
      <c r="F106" s="739">
        <v>19092</v>
      </c>
      <c r="G106" s="608">
        <f t="shared" si="9"/>
        <v>5</v>
      </c>
      <c r="H106" s="536">
        <f>G106+'1'!H106</f>
        <v>12</v>
      </c>
      <c r="I106" s="608"/>
      <c r="J106" s="635">
        <f>H106/DAY(B2)</f>
        <v>6</v>
      </c>
      <c r="O106" s="413"/>
    </row>
    <row r="107" spans="1:15" s="481" customFormat="1" ht="27.75">
      <c r="A107" s="1400" t="s">
        <v>213</v>
      </c>
      <c r="B107" s="1401"/>
      <c r="C107" s="1229"/>
      <c r="D107" s="699"/>
      <c r="E107" s="608"/>
      <c r="F107" s="739"/>
      <c r="G107" s="608">
        <f>SUM(G104:G106)</f>
        <v>13</v>
      </c>
      <c r="H107" s="536">
        <f>G107+'1'!H107</f>
        <v>28</v>
      </c>
      <c r="I107" s="608"/>
      <c r="J107" s="635">
        <f>H107/DAY(B2)</f>
        <v>14</v>
      </c>
      <c r="O107" s="413"/>
    </row>
    <row r="108" spans="1:15" s="481" customFormat="1" ht="27.75">
      <c r="A108" s="1404" t="s">
        <v>79</v>
      </c>
      <c r="B108" s="1405"/>
      <c r="C108" s="1229"/>
      <c r="D108" s="699" t="s">
        <v>155</v>
      </c>
      <c r="E108" s="608"/>
      <c r="F108" s="739"/>
      <c r="G108" s="608"/>
      <c r="H108" s="536">
        <f>G108+'1'!H108</f>
        <v>0</v>
      </c>
      <c r="I108" s="608"/>
      <c r="J108" s="635"/>
      <c r="O108" s="413"/>
    </row>
    <row r="109" spans="1:15" s="481" customFormat="1" ht="27.75">
      <c r="A109" s="1398" t="s">
        <v>231</v>
      </c>
      <c r="B109" s="1399"/>
      <c r="C109" s="1229"/>
      <c r="D109" s="699" t="s">
        <v>155</v>
      </c>
      <c r="E109" s="608">
        <f>'1'!F109</f>
        <v>54715</v>
      </c>
      <c r="F109" s="739">
        <v>54776</v>
      </c>
      <c r="G109" s="608">
        <f>F109-E109</f>
        <v>61</v>
      </c>
      <c r="H109" s="536">
        <f>G109+'1'!H109</f>
        <v>102</v>
      </c>
      <c r="I109" s="608"/>
      <c r="J109" s="635">
        <f>H109/DAY(B2)</f>
        <v>51</v>
      </c>
      <c r="O109" s="413"/>
    </row>
    <row r="110" spans="1:15" s="481" customFormat="1" ht="27.75">
      <c r="A110" s="1398" t="s">
        <v>232</v>
      </c>
      <c r="B110" s="1399"/>
      <c r="C110" s="1229"/>
      <c r="D110" s="699" t="s">
        <v>155</v>
      </c>
      <c r="E110" s="608">
        <f>'1'!F110</f>
        <v>28620</v>
      </c>
      <c r="F110" s="739">
        <v>28659</v>
      </c>
      <c r="G110" s="608">
        <f t="shared" ref="G110:G111" si="10">F110-E110</f>
        <v>39</v>
      </c>
      <c r="H110" s="536">
        <f>G110+'1'!H110</f>
        <v>118</v>
      </c>
      <c r="I110" s="608"/>
      <c r="J110" s="635">
        <f>H110/DAY(B2)</f>
        <v>59</v>
      </c>
      <c r="O110" s="413"/>
    </row>
    <row r="111" spans="1:15" s="481" customFormat="1" ht="27.75">
      <c r="A111" s="1398" t="s">
        <v>233</v>
      </c>
      <c r="B111" s="1399"/>
      <c r="C111" s="1229"/>
      <c r="D111" s="699" t="s">
        <v>155</v>
      </c>
      <c r="E111" s="608">
        <f>'1'!F111</f>
        <v>3754</v>
      </c>
      <c r="F111" s="739">
        <v>3770</v>
      </c>
      <c r="G111" s="608">
        <f t="shared" si="10"/>
        <v>16</v>
      </c>
      <c r="H111" s="536">
        <f>G111+'1'!H111</f>
        <v>16</v>
      </c>
      <c r="I111" s="608"/>
      <c r="J111" s="635">
        <f>H111/DAY(B2)</f>
        <v>8</v>
      </c>
      <c r="O111" s="413"/>
    </row>
    <row r="112" spans="1:15" s="481" customFormat="1" ht="27.75">
      <c r="A112" s="1402" t="s">
        <v>121</v>
      </c>
      <c r="B112" s="1403"/>
      <c r="C112" s="1229"/>
      <c r="D112" s="699"/>
      <c r="E112" s="608"/>
      <c r="F112" s="739"/>
      <c r="G112" s="608">
        <f>SUM(G109:G111)</f>
        <v>116</v>
      </c>
      <c r="H112" s="536">
        <f>G112+'1'!H112</f>
        <v>236</v>
      </c>
      <c r="I112" s="608"/>
      <c r="J112" s="635">
        <f>H112/DAY(B2)</f>
        <v>118</v>
      </c>
      <c r="O112" s="413"/>
    </row>
    <row r="113" spans="1:15" s="481" customFormat="1" ht="27.75">
      <c r="A113" s="1404" t="s">
        <v>234</v>
      </c>
      <c r="B113" s="1405"/>
      <c r="C113" s="1229"/>
      <c r="D113" s="699"/>
      <c r="E113" s="608"/>
      <c r="F113" s="739"/>
      <c r="G113" s="608"/>
      <c r="H113" s="536">
        <f>G113+'1'!H113</f>
        <v>0</v>
      </c>
      <c r="I113" s="608"/>
      <c r="J113" s="635">
        <f>H113/DAY(B2)</f>
        <v>0</v>
      </c>
      <c r="O113" s="413"/>
    </row>
    <row r="114" spans="1:15" s="481" customFormat="1" ht="27.75">
      <c r="A114" s="1398" t="s">
        <v>235</v>
      </c>
      <c r="B114" s="1399"/>
      <c r="C114" s="651"/>
      <c r="D114" s="699" t="s">
        <v>155</v>
      </c>
      <c r="E114" s="610">
        <f>'1'!F114</f>
        <v>9817</v>
      </c>
      <c r="F114" s="740">
        <v>9828</v>
      </c>
      <c r="G114" s="610">
        <f>F114-E114</f>
        <v>11</v>
      </c>
      <c r="H114" s="536">
        <f>G114+'1'!H114</f>
        <v>27</v>
      </c>
      <c r="I114" s="608"/>
      <c r="J114" s="635">
        <f>H114/DAY(B2)</f>
        <v>13.5</v>
      </c>
      <c r="O114" s="413"/>
    </row>
    <row r="115" spans="1:15" s="481" customFormat="1" ht="27.75">
      <c r="A115" s="1398" t="s">
        <v>236</v>
      </c>
      <c r="B115" s="1399"/>
      <c r="C115" s="651"/>
      <c r="D115" s="699" t="s">
        <v>155</v>
      </c>
      <c r="E115" s="610">
        <f>'1'!F115</f>
        <v>7432</v>
      </c>
      <c r="F115" s="740">
        <v>7435</v>
      </c>
      <c r="G115" s="610">
        <f t="shared" ref="G115:G116" si="11">F115-E115</f>
        <v>3</v>
      </c>
      <c r="H115" s="536">
        <f>G115+'1'!H115</f>
        <v>8</v>
      </c>
      <c r="I115" s="608"/>
      <c r="J115" s="635">
        <f>H115/DAY(B2)</f>
        <v>4</v>
      </c>
      <c r="O115" s="413"/>
    </row>
    <row r="116" spans="1:15" s="481" customFormat="1" ht="27.75">
      <c r="A116" s="1398" t="s">
        <v>237</v>
      </c>
      <c r="B116" s="1399"/>
      <c r="C116" s="651"/>
      <c r="D116" s="699" t="s">
        <v>155</v>
      </c>
      <c r="E116" s="610"/>
      <c r="F116" s="740"/>
      <c r="G116" s="610">
        <f t="shared" si="11"/>
        <v>0</v>
      </c>
      <c r="H116" s="536">
        <f>G116+'1'!H116</f>
        <v>0</v>
      </c>
      <c r="I116" s="608"/>
      <c r="J116" s="635">
        <f>H116/DAY(B2)</f>
        <v>0</v>
      </c>
      <c r="O116" s="413"/>
    </row>
    <row r="117" spans="1:15" s="494" customFormat="1" ht="27.75">
      <c r="A117" s="1400" t="s">
        <v>213</v>
      </c>
      <c r="B117" s="1401"/>
      <c r="C117" s="651"/>
      <c r="D117" s="700"/>
      <c r="E117" s="610"/>
      <c r="F117" s="740"/>
      <c r="G117" s="610">
        <f>SUM(G114:G116)</f>
        <v>14</v>
      </c>
      <c r="H117" s="536">
        <f>G117+'1'!H117</f>
        <v>35</v>
      </c>
      <c r="I117" s="610"/>
      <c r="J117" s="635">
        <f>H117/DAY(B2)</f>
        <v>17.5</v>
      </c>
      <c r="O117" s="413"/>
    </row>
    <row r="118" spans="1:15" s="495" customFormat="1" ht="27.75">
      <c r="A118" s="1394" t="s">
        <v>238</v>
      </c>
      <c r="B118" s="1395"/>
      <c r="C118" s="1228"/>
      <c r="D118" s="701" t="s">
        <v>155</v>
      </c>
      <c r="E118" s="612"/>
      <c r="F118" s="741">
        <f>SUM(G19+G92)</f>
        <v>126</v>
      </c>
      <c r="G118" s="612">
        <f>SUM(G19+G92)</f>
        <v>126</v>
      </c>
      <c r="H118" s="536">
        <f>G118+'1'!H118</f>
        <v>264</v>
      </c>
      <c r="I118" s="611"/>
      <c r="J118" s="636">
        <f>H118/DAY(B2)</f>
        <v>132</v>
      </c>
      <c r="O118" s="413"/>
    </row>
    <row r="119" spans="1:15" s="495" customFormat="1" ht="27.75">
      <c r="A119" s="1394" t="s">
        <v>239</v>
      </c>
      <c r="B119" s="1395"/>
      <c r="C119" s="1228"/>
      <c r="D119" s="701" t="s">
        <v>155</v>
      </c>
      <c r="E119" s="612"/>
      <c r="F119" s="741">
        <f>SUM(G95,G96,G97,G99,G100)</f>
        <v>129</v>
      </c>
      <c r="G119" s="612">
        <f>SUM(G95,G96,G97,G99,G100)</f>
        <v>129</v>
      </c>
      <c r="H119" s="536">
        <f>G119+'1'!H119</f>
        <v>261</v>
      </c>
      <c r="I119" s="611"/>
      <c r="J119" s="636">
        <f>H119/DAY(B2)</f>
        <v>130.5</v>
      </c>
      <c r="O119" s="413"/>
    </row>
    <row r="120" spans="1:15" s="495" customFormat="1" ht="27.75">
      <c r="A120" s="1394" t="s">
        <v>240</v>
      </c>
      <c r="B120" s="1395"/>
      <c r="C120" s="1228"/>
      <c r="D120" s="701" t="s">
        <v>155</v>
      </c>
      <c r="E120" s="610"/>
      <c r="F120" s="740">
        <f>SUM(G112)</f>
        <v>116</v>
      </c>
      <c r="G120" s="610">
        <f>SUM(G112)</f>
        <v>116</v>
      </c>
      <c r="H120" s="536">
        <f>G120+'1'!H120</f>
        <v>236</v>
      </c>
      <c r="I120" s="611"/>
      <c r="J120" s="636">
        <f>H120/DAY(B2)</f>
        <v>118</v>
      </c>
      <c r="O120" s="413"/>
    </row>
    <row r="121" spans="1:15" s="481" customFormat="1" ht="27.75">
      <c r="A121" s="1396"/>
      <c r="B121" s="1397"/>
      <c r="C121" s="1229"/>
      <c r="D121" s="637"/>
      <c r="E121" s="637"/>
      <c r="F121" s="742" t="s">
        <v>226</v>
      </c>
      <c r="G121" s="637"/>
      <c r="H121" s="638"/>
      <c r="I121" s="637"/>
      <c r="J121" s="639"/>
      <c r="O121" s="413"/>
    </row>
    <row r="122" spans="1:15">
      <c r="A122" s="1431" t="s">
        <v>241</v>
      </c>
      <c r="B122" s="1432"/>
      <c r="C122" s="1433"/>
      <c r="D122" s="548"/>
      <c r="E122" s="548"/>
      <c r="F122" s="548"/>
      <c r="G122" s="559"/>
      <c r="H122" s="559"/>
      <c r="I122" s="559"/>
      <c r="J122" s="640"/>
      <c r="K122" s="411"/>
      <c r="L122" s="408"/>
      <c r="O122" s="413"/>
    </row>
    <row r="123" spans="1:15" ht="27.75">
      <c r="A123" s="1231" t="s">
        <v>242</v>
      </c>
      <c r="B123" s="1232"/>
      <c r="C123" s="1232"/>
      <c r="D123" s="599" t="s">
        <v>152</v>
      </c>
      <c r="E123" s="554">
        <f>'1'!F123</f>
        <v>803605.78</v>
      </c>
      <c r="F123" s="554">
        <v>803864</v>
      </c>
      <c r="G123" s="549">
        <f t="shared" ref="G123:G127" si="12">F123-E123</f>
        <v>258.21999999997206</v>
      </c>
      <c r="H123" s="536">
        <f>G123+'1'!H123</f>
        <v>528.59999999997672</v>
      </c>
      <c r="I123" s="602"/>
      <c r="J123" s="629">
        <f>H123/DAY(B2)</f>
        <v>264.29999999998836</v>
      </c>
      <c r="K123" s="411"/>
      <c r="L123" s="408"/>
      <c r="O123" s="413"/>
    </row>
    <row r="124" spans="1:15" ht="27.75">
      <c r="A124" s="1231" t="s">
        <v>243</v>
      </c>
      <c r="B124" s="1232"/>
      <c r="C124" s="1232"/>
      <c r="D124" s="599" t="s">
        <v>152</v>
      </c>
      <c r="E124" s="703">
        <f>'1'!F124</f>
        <v>73582</v>
      </c>
      <c r="F124" s="703">
        <v>73582</v>
      </c>
      <c r="G124" s="549">
        <f t="shared" si="12"/>
        <v>0</v>
      </c>
      <c r="H124" s="536">
        <f>G124+'1'!H124</f>
        <v>0</v>
      </c>
      <c r="I124" s="602"/>
      <c r="J124" s="629">
        <f>H124/DAY(B2)</f>
        <v>0</v>
      </c>
      <c r="K124" s="411"/>
      <c r="L124" s="408"/>
      <c r="O124" s="413"/>
    </row>
    <row r="125" spans="1:15" ht="27.75">
      <c r="A125" s="1385" t="s">
        <v>244</v>
      </c>
      <c r="B125" s="1386"/>
      <c r="C125" s="1387"/>
      <c r="D125" s="599" t="s">
        <v>152</v>
      </c>
      <c r="E125" s="554">
        <f>'1'!F125</f>
        <v>137907</v>
      </c>
      <c r="F125" s="554">
        <v>137969</v>
      </c>
      <c r="G125" s="549">
        <f t="shared" si="12"/>
        <v>62</v>
      </c>
      <c r="H125" s="536">
        <f>G125+'1'!H125</f>
        <v>121</v>
      </c>
      <c r="I125" s="602"/>
      <c r="J125" s="629">
        <f>H125/DAY(B2)</f>
        <v>60.5</v>
      </c>
      <c r="K125" s="411"/>
      <c r="L125" s="408"/>
      <c r="O125" s="413"/>
    </row>
    <row r="126" spans="1:15" ht="27.75">
      <c r="A126" s="686" t="s">
        <v>245</v>
      </c>
      <c r="B126" s="1232"/>
      <c r="C126" s="1232"/>
      <c r="D126" s="599" t="s">
        <v>152</v>
      </c>
      <c r="E126" s="703">
        <f>'1'!F126</f>
        <v>58419.9</v>
      </c>
      <c r="F126" s="703">
        <v>58472</v>
      </c>
      <c r="G126" s="549">
        <f t="shared" si="12"/>
        <v>52.099999999998545</v>
      </c>
      <c r="H126" s="536">
        <f>G126+'1'!H126</f>
        <v>80.30000000000291</v>
      </c>
      <c r="I126" s="602"/>
      <c r="J126" s="629">
        <f>H126/DAY(B2)</f>
        <v>40.150000000001455</v>
      </c>
      <c r="K126" s="411"/>
      <c r="L126" s="408"/>
      <c r="O126" s="413"/>
    </row>
    <row r="127" spans="1:15" ht="27.75">
      <c r="A127" s="686" t="s">
        <v>246</v>
      </c>
      <c r="B127" s="1232"/>
      <c r="C127" s="1232"/>
      <c r="D127" s="599" t="s">
        <v>152</v>
      </c>
      <c r="E127" s="703">
        <f>'1'!F127</f>
        <v>8816</v>
      </c>
      <c r="F127" s="703">
        <v>8819</v>
      </c>
      <c r="G127" s="549">
        <f t="shared" si="12"/>
        <v>3</v>
      </c>
      <c r="H127" s="536">
        <f>G127+'1'!H127</f>
        <v>3</v>
      </c>
      <c r="I127" s="556"/>
      <c r="J127" s="629">
        <f>H127/DAY(B2)</f>
        <v>1.5</v>
      </c>
      <c r="K127" s="411"/>
      <c r="L127" s="408"/>
      <c r="O127" s="413"/>
    </row>
    <row r="128" spans="1:15" s="281" customFormat="1" ht="27.75">
      <c r="A128" s="686" t="s">
        <v>247</v>
      </c>
      <c r="B128" s="1232"/>
      <c r="C128" s="1232"/>
      <c r="D128" s="599"/>
      <c r="E128" s="554"/>
      <c r="F128" s="554"/>
      <c r="G128" s="549">
        <f>G15-SUM(G123:G127)</f>
        <v>485.57999999993626</v>
      </c>
      <c r="H128" s="536">
        <f>G128+'1'!H128</f>
        <v>925.9500000001135</v>
      </c>
      <c r="I128" s="556"/>
      <c r="J128" s="629">
        <f>H128/DAY(B2)</f>
        <v>462.97500000005675</v>
      </c>
      <c r="K128" s="391"/>
      <c r="L128" s="293"/>
      <c r="O128" s="413"/>
    </row>
    <row r="129" spans="1:15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O129" s="413"/>
    </row>
    <row r="130" spans="1:15" ht="27.75">
      <c r="A130" s="1231" t="s">
        <v>249</v>
      </c>
      <c r="B130" s="1232"/>
      <c r="C130" s="1232"/>
      <c r="D130" s="599" t="s">
        <v>250</v>
      </c>
      <c r="E130" s="560">
        <f>'1'!F130</f>
        <v>0</v>
      </c>
      <c r="F130" s="554">
        <v>0</v>
      </c>
      <c r="G130" s="549">
        <f t="shared" ref="G130:G140" si="13">F130-E130</f>
        <v>0</v>
      </c>
      <c r="H130" s="536">
        <f>G130+'1'!H130</f>
        <v>0</v>
      </c>
      <c r="I130" s="556"/>
      <c r="J130" s="629">
        <f>H130/DAY(B2)</f>
        <v>0</v>
      </c>
      <c r="O130" s="413"/>
    </row>
    <row r="131" spans="1:15" ht="27.75">
      <c r="A131" s="1231" t="s">
        <v>251</v>
      </c>
      <c r="B131" s="1232"/>
      <c r="C131" s="1232"/>
      <c r="D131" s="599" t="s">
        <v>250</v>
      </c>
      <c r="E131" s="560">
        <f>'1'!F131</f>
        <v>0</v>
      </c>
      <c r="F131" s="554">
        <v>0</v>
      </c>
      <c r="G131" s="549">
        <f t="shared" si="13"/>
        <v>0</v>
      </c>
      <c r="H131" s="536">
        <f>G131+'1'!H131</f>
        <v>0</v>
      </c>
      <c r="I131" s="556"/>
      <c r="J131" s="629">
        <f>H131/DAY(B2)</f>
        <v>0</v>
      </c>
      <c r="O131" s="413"/>
    </row>
    <row r="132" spans="1:15" ht="27.75">
      <c r="A132" s="1231" t="s">
        <v>252</v>
      </c>
      <c r="B132" s="1232"/>
      <c r="C132" s="1232"/>
      <c r="D132" s="599" t="s">
        <v>250</v>
      </c>
      <c r="E132" s="618">
        <f>'1'!F132</f>
        <v>39128.480000000003</v>
      </c>
      <c r="F132" s="732">
        <v>39152</v>
      </c>
      <c r="G132" s="549">
        <f t="shared" si="13"/>
        <v>23.519999999996799</v>
      </c>
      <c r="H132" s="536">
        <f>G132+'1'!H132</f>
        <v>47.559999999997672</v>
      </c>
      <c r="I132" s="556"/>
      <c r="J132" s="629">
        <f>H132/DAY(B2)</f>
        <v>23.779999999998836</v>
      </c>
      <c r="O132" s="413"/>
    </row>
    <row r="133" spans="1:15" ht="27.75">
      <c r="A133" s="1231" t="s">
        <v>253</v>
      </c>
      <c r="B133" s="1232"/>
      <c r="C133" s="1232"/>
      <c r="D133" s="599" t="s">
        <v>250</v>
      </c>
      <c r="E133" s="618">
        <f>'1'!F133</f>
        <v>299</v>
      </c>
      <c r="F133" s="732">
        <v>299</v>
      </c>
      <c r="G133" s="549">
        <f t="shared" si="13"/>
        <v>0</v>
      </c>
      <c r="H133" s="536">
        <f>G133+'1'!H133</f>
        <v>0</v>
      </c>
      <c r="I133" s="556">
        <f>G132+G133+G134+G135</f>
        <v>23.519999999996799</v>
      </c>
      <c r="J133" s="629">
        <f>H133/DAY(B2)</f>
        <v>0</v>
      </c>
      <c r="O133" s="413"/>
    </row>
    <row r="134" spans="1:15" ht="27.75">
      <c r="A134" s="1231" t="s">
        <v>254</v>
      </c>
      <c r="B134" s="1232"/>
      <c r="C134" s="1232"/>
      <c r="D134" s="599" t="s">
        <v>250</v>
      </c>
      <c r="E134" s="618">
        <f>'1'!F134</f>
        <v>39951</v>
      </c>
      <c r="F134" s="732">
        <v>39951</v>
      </c>
      <c r="G134" s="549">
        <f t="shared" si="13"/>
        <v>0</v>
      </c>
      <c r="H134" s="536">
        <f>G134+'1'!H134</f>
        <v>0</v>
      </c>
      <c r="I134" s="556"/>
      <c r="J134" s="629">
        <f>H134/DAY(B2)</f>
        <v>0</v>
      </c>
      <c r="O134" s="413"/>
    </row>
    <row r="135" spans="1:15" ht="27.75">
      <c r="A135" s="1231" t="s">
        <v>255</v>
      </c>
      <c r="B135" s="1232"/>
      <c r="C135" s="1232"/>
      <c r="D135" s="599" t="s">
        <v>250</v>
      </c>
      <c r="E135" s="618">
        <f>'1'!F135</f>
        <v>32423</v>
      </c>
      <c r="F135" s="732">
        <v>32423</v>
      </c>
      <c r="G135" s="549">
        <f t="shared" si="13"/>
        <v>0</v>
      </c>
      <c r="H135" s="536">
        <f>G135+'1'!H135</f>
        <v>0</v>
      </c>
      <c r="I135" s="556"/>
      <c r="J135" s="629">
        <f>H135/DAY(B2)</f>
        <v>0</v>
      </c>
      <c r="O135" s="413"/>
    </row>
    <row r="136" spans="1:15" ht="27.75">
      <c r="A136" s="1231" t="s">
        <v>256</v>
      </c>
      <c r="B136" s="1232"/>
      <c r="C136" s="1232"/>
      <c r="D136" s="599" t="s">
        <v>250</v>
      </c>
      <c r="E136" s="618">
        <f>'1'!F136</f>
        <v>22009.85</v>
      </c>
      <c r="F136" s="732">
        <v>22018.58</v>
      </c>
      <c r="G136" s="549">
        <f t="shared" si="13"/>
        <v>8.7300000000032014</v>
      </c>
      <c r="H136" s="536">
        <f>G136+'1'!H136</f>
        <v>16.620000000002619</v>
      </c>
      <c r="I136" s="556"/>
      <c r="J136" s="629">
        <f>H136/DAY(B2)</f>
        <v>8.3100000000013097</v>
      </c>
      <c r="O136" s="413"/>
    </row>
    <row r="137" spans="1:15" ht="27.75">
      <c r="A137" s="1231" t="s">
        <v>257</v>
      </c>
      <c r="B137" s="1232"/>
      <c r="C137" s="1232"/>
      <c r="D137" s="599" t="s">
        <v>250</v>
      </c>
      <c r="E137" s="618">
        <f>'1'!F137</f>
        <v>25020.34</v>
      </c>
      <c r="F137" s="732">
        <v>25020.53</v>
      </c>
      <c r="G137" s="549">
        <f t="shared" si="13"/>
        <v>0.18999999999869033</v>
      </c>
      <c r="H137" s="536">
        <f>G137+'1'!H137</f>
        <v>0.59000000000014552</v>
      </c>
      <c r="I137" s="556"/>
      <c r="J137" s="629">
        <f>H137/DAY(B2)</f>
        <v>0.29500000000007276</v>
      </c>
      <c r="O137" s="413"/>
    </row>
    <row r="138" spans="1:15" ht="27.75">
      <c r="A138" s="1231" t="s">
        <v>258</v>
      </c>
      <c r="B138" s="1232"/>
      <c r="C138" s="1232"/>
      <c r="D138" s="599" t="s">
        <v>250</v>
      </c>
      <c r="E138" s="618">
        <f>'1'!F138</f>
        <v>70063.89</v>
      </c>
      <c r="F138" s="732">
        <v>70063.89</v>
      </c>
      <c r="G138" s="549">
        <f t="shared" si="13"/>
        <v>0</v>
      </c>
      <c r="H138" s="536">
        <f>G138+'1'!H138</f>
        <v>0</v>
      </c>
      <c r="I138" s="556">
        <f>G136+G137+G138</f>
        <v>8.9200000000018917</v>
      </c>
      <c r="J138" s="629">
        <f>H138/DAY(B2)</f>
        <v>0</v>
      </c>
      <c r="O138" s="413"/>
    </row>
    <row r="139" spans="1:15" ht="27.75">
      <c r="A139" s="1231" t="s">
        <v>259</v>
      </c>
      <c r="B139" s="1232"/>
      <c r="C139" s="1232"/>
      <c r="D139" s="599" t="s">
        <v>250</v>
      </c>
      <c r="E139" s="560">
        <f>'1'!F139</f>
        <v>1208.54</v>
      </c>
      <c r="F139" s="554">
        <v>1216.17</v>
      </c>
      <c r="G139" s="549">
        <f t="shared" si="13"/>
        <v>7.6300000000001091</v>
      </c>
      <c r="H139" s="536">
        <f>G139+'1'!H139</f>
        <v>15.580000000000155</v>
      </c>
      <c r="I139" s="619"/>
      <c r="J139" s="629">
        <f>H139/DAY(B2)</f>
        <v>7.7900000000000773</v>
      </c>
      <c r="O139" s="413"/>
    </row>
    <row r="140" spans="1:15" ht="27.75">
      <c r="A140" s="1231" t="s">
        <v>260</v>
      </c>
      <c r="B140" s="1232"/>
      <c r="C140" s="1232"/>
      <c r="D140" s="599" t="s">
        <v>250</v>
      </c>
      <c r="E140" s="560">
        <f>'1'!F140</f>
        <v>4334</v>
      </c>
      <c r="F140" s="554">
        <v>4334</v>
      </c>
      <c r="G140" s="549">
        <f t="shared" si="13"/>
        <v>0</v>
      </c>
      <c r="H140" s="536">
        <f>G140+'1'!H140</f>
        <v>0</v>
      </c>
      <c r="I140" s="619">
        <f>G139+G140</f>
        <v>7.6300000000001091</v>
      </c>
      <c r="J140" s="629">
        <f>H140/DAY(B2)</f>
        <v>0</v>
      </c>
      <c r="O140" s="413"/>
    </row>
    <row r="141" spans="1:15">
      <c r="A141" s="1412" t="s">
        <v>261</v>
      </c>
      <c r="B141" s="1413"/>
      <c r="C141" s="1237"/>
      <c r="D141" s="548"/>
      <c r="E141" s="548"/>
      <c r="F141" s="548"/>
      <c r="G141" s="559"/>
      <c r="H141" s="559"/>
      <c r="I141" s="559"/>
      <c r="J141" s="640"/>
      <c r="K141" s="411"/>
      <c r="L141" s="408"/>
      <c r="O141" s="413"/>
    </row>
    <row r="142" spans="1:15" ht="27.75">
      <c r="A142" s="1406" t="s">
        <v>262</v>
      </c>
      <c r="B142" s="1407"/>
      <c r="C142" s="1408"/>
      <c r="D142" s="599" t="s">
        <v>143</v>
      </c>
      <c r="E142" s="599"/>
      <c r="F142" s="599"/>
      <c r="G142" s="536">
        <f>G35+G43+G49+G57</f>
        <v>5319.0400000000081</v>
      </c>
      <c r="H142" s="536">
        <f>G142+'1'!H142</f>
        <v>10588.039999999979</v>
      </c>
      <c r="I142" s="556"/>
      <c r="J142" s="629">
        <f>H142/DAY(B2)</f>
        <v>5294.0199999999895</v>
      </c>
      <c r="K142" s="411"/>
      <c r="L142" s="408"/>
      <c r="O142" s="413"/>
    </row>
    <row r="143" spans="1:15" ht="27.75">
      <c r="A143" s="1406" t="s">
        <v>263</v>
      </c>
      <c r="B143" s="1407"/>
      <c r="C143" s="1408"/>
      <c r="D143" s="599" t="s">
        <v>24</v>
      </c>
      <c r="E143" s="587"/>
      <c r="F143" s="587"/>
      <c r="G143" s="620">
        <f>G142/G7</f>
        <v>0.27444610701202249</v>
      </c>
      <c r="H143" s="536">
        <f>G143+'1'!H153</f>
        <v>0.34897982739976818</v>
      </c>
      <c r="I143" s="621"/>
      <c r="J143" s="629">
        <f>H143/DAY(B2)</f>
        <v>0.17448991369988409</v>
      </c>
      <c r="K143" s="411"/>
      <c r="L143" s="408"/>
      <c r="O143" s="413"/>
    </row>
    <row r="144" spans="1:15" ht="27.75">
      <c r="A144" s="1406" t="s">
        <v>264</v>
      </c>
      <c r="B144" s="1407"/>
      <c r="C144" s="1408"/>
      <c r="D144" s="599" t="s">
        <v>143</v>
      </c>
      <c r="E144" s="531"/>
      <c r="F144" s="531"/>
      <c r="G144" s="536">
        <f>G41+G42+G55+G56</f>
        <v>4172.5799999999945</v>
      </c>
      <c r="H144" s="536">
        <f>G144+'1'!H144</f>
        <v>8539.0900000000183</v>
      </c>
      <c r="I144" s="556"/>
      <c r="J144" s="629">
        <f>H144/DAY(B2)</f>
        <v>4269.5450000000092</v>
      </c>
      <c r="K144" s="411"/>
      <c r="L144" s="408"/>
      <c r="O144" s="413"/>
    </row>
    <row r="145" spans="1:15" ht="27.75">
      <c r="A145" s="1406" t="s">
        <v>265</v>
      </c>
      <c r="B145" s="1407"/>
      <c r="C145" s="1408"/>
      <c r="D145" s="599" t="s">
        <v>24</v>
      </c>
      <c r="E145" s="531"/>
      <c r="F145" s="531"/>
      <c r="G145" s="620">
        <f>G144/G7</f>
        <v>0.2152922965791236</v>
      </c>
      <c r="H145" s="536">
        <f>G145+'1'!H145</f>
        <v>0.4416418896536155</v>
      </c>
      <c r="I145" s="621"/>
      <c r="J145" s="629">
        <f>H145/DAY(B2)</f>
        <v>0.22082094482680775</v>
      </c>
      <c r="K145" s="411"/>
      <c r="L145" s="408"/>
      <c r="O145" s="413"/>
    </row>
    <row r="146" spans="1:15" ht="27.75">
      <c r="A146" s="1406" t="s">
        <v>266</v>
      </c>
      <c r="B146" s="1407"/>
      <c r="C146" s="1408"/>
      <c r="D146" s="599" t="s">
        <v>143</v>
      </c>
      <c r="E146" s="531"/>
      <c r="F146" s="531"/>
      <c r="G146" s="536">
        <f>G39+G53</f>
        <v>4158.9699999999721</v>
      </c>
      <c r="H146" s="536">
        <f>G146+'1'!H146</f>
        <v>8262.7299999999814</v>
      </c>
      <c r="I146" s="622"/>
      <c r="J146" s="629">
        <f>H146/DAY(B2)</f>
        <v>4131.3649999999907</v>
      </c>
      <c r="K146" s="411"/>
      <c r="L146" s="408"/>
      <c r="O146" s="413"/>
    </row>
    <row r="147" spans="1:15" ht="27.75">
      <c r="A147" s="1406" t="s">
        <v>267</v>
      </c>
      <c r="B147" s="1407"/>
      <c r="C147" s="1408"/>
      <c r="D147" s="599" t="s">
        <v>24</v>
      </c>
      <c r="E147" s="531"/>
      <c r="F147" s="531"/>
      <c r="G147" s="620">
        <f>G146/G7</f>
        <v>0.2145900624322776</v>
      </c>
      <c r="H147" s="536">
        <f>G147+'1'!H147</f>
        <v>0.42731931441506799</v>
      </c>
      <c r="I147" s="622"/>
      <c r="J147" s="629">
        <f>H147/DAY(B2)</f>
        <v>0.21365965720753399</v>
      </c>
      <c r="O147" s="413"/>
    </row>
    <row r="148" spans="1:15" ht="27.75">
      <c r="A148" s="1406" t="s">
        <v>268</v>
      </c>
      <c r="B148" s="1407"/>
      <c r="C148" s="1408"/>
      <c r="D148" s="599" t="s">
        <v>194</v>
      </c>
      <c r="E148" s="531"/>
      <c r="F148" s="531"/>
      <c r="G148" s="536">
        <f>G38+G52</f>
        <v>2022.289999999979</v>
      </c>
      <c r="H148" s="536">
        <f>G148+'1'!H148</f>
        <v>4037.3300000000163</v>
      </c>
      <c r="I148" s="556"/>
      <c r="J148" s="629">
        <f>H148/DAY(B2)</f>
        <v>2018.6650000000081</v>
      </c>
      <c r="K148" s="412"/>
      <c r="O148" s="413"/>
    </row>
    <row r="149" spans="1:15" ht="27.75">
      <c r="A149" s="1406" t="s">
        <v>269</v>
      </c>
      <c r="B149" s="1407"/>
      <c r="C149" s="1408"/>
      <c r="D149" s="599" t="s">
        <v>24</v>
      </c>
      <c r="E149" s="531"/>
      <c r="F149" s="531"/>
      <c r="G149" s="620">
        <f>G148/G7</f>
        <v>0.1043439451008709</v>
      </c>
      <c r="H149" s="536">
        <f>G149+'1'!H149</f>
        <v>0.20879887226898231</v>
      </c>
      <c r="I149" s="622"/>
      <c r="J149" s="629">
        <f>H149/DAY(B2)</f>
        <v>0.10439943613449115</v>
      </c>
      <c r="O149" s="413"/>
    </row>
    <row r="150" spans="1:15" ht="27.75">
      <c r="A150" s="1406" t="s">
        <v>270</v>
      </c>
      <c r="B150" s="1407"/>
      <c r="C150" s="1408"/>
      <c r="D150" s="599" t="s">
        <v>194</v>
      </c>
      <c r="E150" s="531"/>
      <c r="F150" s="531"/>
      <c r="G150" s="536">
        <f>G36+G50</f>
        <v>1657.679999999993</v>
      </c>
      <c r="H150" s="536">
        <f>G150+'1'!H150</f>
        <v>3234.2399999999907</v>
      </c>
      <c r="I150" s="622"/>
      <c r="J150" s="629">
        <f>H150/DAY(B2)</f>
        <v>1617.1199999999953</v>
      </c>
      <c r="O150" s="413"/>
    </row>
    <row r="151" spans="1:15" ht="27.75">
      <c r="A151" s="1406" t="s">
        <v>271</v>
      </c>
      <c r="B151" s="1407"/>
      <c r="C151" s="1408"/>
      <c r="D151" s="599" t="s">
        <v>24</v>
      </c>
      <c r="E151" s="531"/>
      <c r="F151" s="531"/>
      <c r="G151" s="620">
        <f>G150/G7</f>
        <v>8.5531190341055316E-2</v>
      </c>
      <c r="H151" s="536">
        <f>G151+'1'!H151</f>
        <v>0.16725634714992982</v>
      </c>
      <c r="I151" s="556"/>
      <c r="J151" s="629">
        <f>H151/DAY(B2)</f>
        <v>8.3628173574964909E-2</v>
      </c>
      <c r="O151" s="413"/>
    </row>
    <row r="152" spans="1:15" ht="27.75">
      <c r="A152" s="1406" t="s">
        <v>272</v>
      </c>
      <c r="B152" s="1407"/>
      <c r="C152" s="1408"/>
      <c r="D152" s="599" t="s">
        <v>194</v>
      </c>
      <c r="E152" s="531"/>
      <c r="F152" s="531"/>
      <c r="G152" s="536">
        <f>G37+G51</f>
        <v>1441.429999999993</v>
      </c>
      <c r="H152" s="536">
        <f>G152+'1'!H152</f>
        <v>2879.2599999999948</v>
      </c>
      <c r="I152" s="556"/>
      <c r="J152" s="629">
        <f>H152/DAY(B2)</f>
        <v>1439.6299999999974</v>
      </c>
      <c r="O152" s="413"/>
    </row>
    <row r="153" spans="1:15" ht="28.5" thickBot="1">
      <c r="A153" s="1409" t="s">
        <v>273</v>
      </c>
      <c r="B153" s="1410"/>
      <c r="C153" s="1411"/>
      <c r="D153" s="702" t="s">
        <v>24</v>
      </c>
      <c r="E153" s="642"/>
      <c r="F153" s="642"/>
      <c r="G153" s="643">
        <f>G152/G7</f>
        <v>7.4373355348020892E-2</v>
      </c>
      <c r="H153" s="536">
        <f>G153+'1'!H153</f>
        <v>0.14890707573576656</v>
      </c>
      <c r="I153" s="645"/>
      <c r="J153" s="646">
        <f>H153/DAY(B2)</f>
        <v>7.4453537867883279E-2</v>
      </c>
      <c r="O153" s="413"/>
    </row>
    <row r="154" spans="1:15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O154" s="413"/>
    </row>
    <row r="157" spans="1:15" ht="29.25" customHeight="1">
      <c r="A157" s="1440" t="s">
        <v>278</v>
      </c>
      <c r="B157" s="1441"/>
      <c r="C157" s="1441"/>
      <c r="D157" s="1441"/>
      <c r="E157" s="1441"/>
      <c r="F157" s="1441"/>
      <c r="G157" s="1442"/>
    </row>
    <row r="158" spans="1:15">
      <c r="A158" s="868"/>
      <c r="B158" s="869"/>
      <c r="C158" s="869"/>
      <c r="D158" s="587"/>
      <c r="E158" s="531"/>
      <c r="F158" s="739"/>
      <c r="G158" s="549"/>
    </row>
    <row r="159" spans="1:15">
      <c r="A159" s="868"/>
      <c r="B159" s="869"/>
      <c r="C159" s="869"/>
      <c r="D159" s="587"/>
      <c r="E159" s="531"/>
      <c r="F159" s="739"/>
      <c r="G159" s="549"/>
    </row>
    <row r="160" spans="1:15">
      <c r="A160" s="868" t="s">
        <v>274</v>
      </c>
      <c r="B160" s="869"/>
      <c r="C160" s="869"/>
      <c r="D160" s="587" t="s">
        <v>198</v>
      </c>
      <c r="E160" s="739">
        <v>28526</v>
      </c>
      <c r="F160" s="739">
        <v>28595</v>
      </c>
      <c r="G160" s="549">
        <f t="shared" ref="G160:G171" si="14">F160-E160</f>
        <v>69</v>
      </c>
    </row>
    <row r="161" spans="1:7">
      <c r="A161" s="868" t="s">
        <v>275</v>
      </c>
      <c r="B161" s="869"/>
      <c r="C161" s="869"/>
      <c r="D161" s="587" t="s">
        <v>198</v>
      </c>
      <c r="E161" s="739">
        <v>43149</v>
      </c>
      <c r="F161" s="739">
        <v>43557</v>
      </c>
      <c r="G161" s="549">
        <f t="shared" si="14"/>
        <v>408</v>
      </c>
    </row>
    <row r="162" spans="1:7">
      <c r="A162" s="868" t="s">
        <v>276</v>
      </c>
      <c r="B162" s="869"/>
      <c r="C162" s="869"/>
      <c r="D162" s="587" t="s">
        <v>198</v>
      </c>
      <c r="E162" s="739">
        <v>13016</v>
      </c>
      <c r="F162" s="739">
        <v>13216</v>
      </c>
      <c r="G162" s="549">
        <f t="shared" si="14"/>
        <v>200</v>
      </c>
    </row>
    <row r="163" spans="1:7">
      <c r="A163" s="868" t="s">
        <v>277</v>
      </c>
      <c r="B163" s="869"/>
      <c r="C163" s="869"/>
      <c r="D163" s="587" t="s">
        <v>198</v>
      </c>
      <c r="E163" s="739">
        <v>5010</v>
      </c>
      <c r="F163" s="739">
        <v>5034</v>
      </c>
      <c r="G163" s="549">
        <f t="shared" si="14"/>
        <v>24</v>
      </c>
    </row>
    <row r="164" spans="1:7">
      <c r="A164" s="870" t="s">
        <v>106</v>
      </c>
      <c r="B164" s="681"/>
      <c r="C164" s="681"/>
      <c r="D164" s="587" t="s">
        <v>198</v>
      </c>
      <c r="E164" s="590">
        <v>20419</v>
      </c>
      <c r="F164" s="590">
        <f>F62</f>
        <v>20419.188999999998</v>
      </c>
      <c r="G164" s="549">
        <f t="shared" si="14"/>
        <v>0.1889999999984866</v>
      </c>
    </row>
    <row r="165" spans="1:7">
      <c r="A165" s="870" t="s">
        <v>199</v>
      </c>
      <c r="B165" s="681"/>
      <c r="C165" s="681"/>
      <c r="D165" s="587" t="s">
        <v>198</v>
      </c>
      <c r="E165" s="590">
        <f t="shared" ref="E165:E171" si="15">E63</f>
        <v>1346.99</v>
      </c>
      <c r="F165" s="590">
        <f t="shared" ref="F165:F171" si="16">F63</f>
        <v>1362</v>
      </c>
      <c r="G165" s="549">
        <f t="shared" si="14"/>
        <v>15.009999999999991</v>
      </c>
    </row>
    <row r="166" spans="1:7" ht="27.75">
      <c r="A166" s="1381" t="s">
        <v>107</v>
      </c>
      <c r="B166" s="1381"/>
      <c r="C166" s="1381"/>
      <c r="D166" s="599" t="s">
        <v>198</v>
      </c>
      <c r="E166" s="590">
        <f t="shared" si="15"/>
        <v>111729.09</v>
      </c>
      <c r="F166" s="590">
        <f t="shared" si="16"/>
        <v>112165</v>
      </c>
      <c r="G166" s="549">
        <f t="shared" si="14"/>
        <v>435.91000000000349</v>
      </c>
    </row>
    <row r="167" spans="1:7" ht="27.75">
      <c r="A167" s="1381" t="s">
        <v>108</v>
      </c>
      <c r="B167" s="1381"/>
      <c r="C167" s="1381"/>
      <c r="D167" s="599" t="s">
        <v>198</v>
      </c>
      <c r="E167" s="590">
        <f t="shared" si="15"/>
        <v>122116.01</v>
      </c>
      <c r="F167" s="590">
        <f t="shared" si="16"/>
        <v>122494</v>
      </c>
      <c r="G167" s="549">
        <f t="shared" si="14"/>
        <v>377.99000000000524</v>
      </c>
    </row>
    <row r="168" spans="1:7" ht="27.75">
      <c r="A168" s="1381" t="s">
        <v>109</v>
      </c>
      <c r="B168" s="1381"/>
      <c r="C168" s="1381"/>
      <c r="D168" s="599" t="s">
        <v>198</v>
      </c>
      <c r="E168" s="590">
        <f t="shared" si="15"/>
        <v>14549.83</v>
      </c>
      <c r="F168" s="590">
        <f t="shared" si="16"/>
        <v>14954</v>
      </c>
      <c r="G168" s="549">
        <f t="shared" si="14"/>
        <v>404.17000000000007</v>
      </c>
    </row>
    <row r="169" spans="1:7" ht="27.75">
      <c r="A169" s="1381" t="s">
        <v>110</v>
      </c>
      <c r="B169" s="1381"/>
      <c r="C169" s="1381"/>
      <c r="D169" s="599" t="s">
        <v>198</v>
      </c>
      <c r="E169" s="590">
        <f t="shared" si="15"/>
        <v>189332.39</v>
      </c>
      <c r="F169" s="590">
        <f t="shared" si="16"/>
        <v>190003</v>
      </c>
      <c r="G169" s="549">
        <f t="shared" si="14"/>
        <v>670.60999999998603</v>
      </c>
    </row>
    <row r="170" spans="1:7" ht="27.75">
      <c r="A170" s="1381" t="s">
        <v>111</v>
      </c>
      <c r="B170" s="1381"/>
      <c r="C170" s="1381"/>
      <c r="D170" s="599" t="s">
        <v>198</v>
      </c>
      <c r="E170" s="590">
        <f t="shared" si="15"/>
        <v>63627.65</v>
      </c>
      <c r="F170" s="590">
        <f t="shared" si="16"/>
        <v>63969</v>
      </c>
      <c r="G170" s="549">
        <f t="shared" si="14"/>
        <v>341.34999999999854</v>
      </c>
    </row>
    <row r="171" spans="1:7" ht="27.75">
      <c r="A171" s="1381" t="s">
        <v>112</v>
      </c>
      <c r="B171" s="1381"/>
      <c r="C171" s="1381"/>
      <c r="D171" s="599" t="s">
        <v>198</v>
      </c>
      <c r="E171" s="590">
        <f t="shared" si="15"/>
        <v>56043.61</v>
      </c>
      <c r="F171" s="590">
        <f t="shared" si="16"/>
        <v>56354</v>
      </c>
      <c r="G171" s="549">
        <f t="shared" si="14"/>
        <v>310.38999999999942</v>
      </c>
    </row>
    <row r="172" spans="1:7" ht="18.75" customHeight="1"/>
    <row r="173" spans="1:7" ht="18.75" customHeight="1"/>
    <row r="174" spans="1:7" ht="18.75" customHeight="1"/>
    <row r="175" spans="1:7" ht="18.75" customHeight="1"/>
    <row r="176" spans="1:7" ht="18.75" customHeight="1"/>
  </sheetData>
  <mergeCells count="75">
    <mergeCell ref="A168:C168"/>
    <mergeCell ref="A169:C169"/>
    <mergeCell ref="A170:C170"/>
    <mergeCell ref="A171:C171"/>
    <mergeCell ref="A166:C166"/>
    <mergeCell ref="A167:C167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42:C142"/>
    <mergeCell ref="A143:C143"/>
    <mergeCell ref="A101:C101"/>
    <mergeCell ref="A122:C122"/>
    <mergeCell ref="A125:C125"/>
    <mergeCell ref="A141:B141"/>
    <mergeCell ref="A104:B104"/>
    <mergeCell ref="A105:B105"/>
    <mergeCell ref="A106:C106"/>
    <mergeCell ref="A107:B107"/>
    <mergeCell ref="A103:B103"/>
    <mergeCell ref="A108:B108"/>
    <mergeCell ref="A109:B109"/>
    <mergeCell ref="A110:B110"/>
    <mergeCell ref="A111:B111"/>
    <mergeCell ref="A112:B112"/>
    <mergeCell ref="A144:C144"/>
    <mergeCell ref="A145:C145"/>
    <mergeCell ref="A146:C146"/>
    <mergeCell ref="A147:C147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57:G157"/>
    <mergeCell ref="A148:C148"/>
    <mergeCell ref="A152:C152"/>
    <mergeCell ref="A153:C153"/>
    <mergeCell ref="A149:C149"/>
    <mergeCell ref="A150:C150"/>
    <mergeCell ref="A151:C151"/>
  </mergeCells>
  <pageMargins left="0.22" right="0.17" top="0.14000000000000001" bottom="0.2" header="0.2" footer="0.2"/>
  <pageSetup paperSize="5" scale="21" orientation="portrait" r:id="rId1"/>
  <colBreaks count="1" manualBreakCount="1">
    <brk id="10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0"/>
  <sheetViews>
    <sheetView view="pageBreakPreview" zoomScale="55" zoomScaleSheetLayoutView="55" workbookViewId="0">
      <selection activeCell="F28" sqref="F28"/>
    </sheetView>
  </sheetViews>
  <sheetFormatPr defaultColWidth="22.33203125" defaultRowHeight="29.25"/>
  <cols>
    <col min="1" max="1" width="40.109375" style="530" customWidth="1"/>
    <col min="2" max="2" width="29.777343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109375" style="407" customWidth="1"/>
    <col min="15" max="16384" width="22.33203125" style="407"/>
  </cols>
  <sheetData>
    <row r="1" spans="1:15" ht="33.75">
      <c r="A1" s="1414" t="s">
        <v>128</v>
      </c>
      <c r="B1" s="1415"/>
      <c r="C1" s="1415"/>
      <c r="D1" s="1415"/>
      <c r="E1" s="1415"/>
      <c r="F1" s="1415"/>
      <c r="G1" s="1415"/>
      <c r="H1" s="1415"/>
      <c r="I1" s="1415"/>
      <c r="J1" s="1416"/>
    </row>
    <row r="2" spans="1:15" s="281" customFormat="1" ht="27">
      <c r="A2" s="652" t="s">
        <v>335</v>
      </c>
      <c r="B2" s="1118">
        <v>44230</v>
      </c>
      <c r="C2" s="1233" t="s">
        <v>69</v>
      </c>
      <c r="D2" s="688">
        <v>0.35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5" s="281" customFormat="1" ht="27">
      <c r="A3" s="647"/>
      <c r="B3" s="691"/>
      <c r="C3" s="1233" t="s">
        <v>131</v>
      </c>
      <c r="D3" s="689">
        <v>27</v>
      </c>
      <c r="E3" s="1423" t="s">
        <v>132</v>
      </c>
      <c r="F3" s="1424"/>
      <c r="G3" s="538"/>
      <c r="H3" s="539"/>
      <c r="I3" s="539"/>
      <c r="J3" s="692"/>
      <c r="K3" s="402"/>
      <c r="L3" s="293"/>
    </row>
    <row r="4" spans="1:15" s="281" customFormat="1" ht="27">
      <c r="A4" s="653"/>
      <c r="B4" s="693"/>
      <c r="C4" s="1233" t="s">
        <v>133</v>
      </c>
      <c r="D4" s="688">
        <v>0.75</v>
      </c>
      <c r="E4" s="540"/>
      <c r="F4" s="540"/>
      <c r="G4" s="540"/>
      <c r="H4" s="540"/>
      <c r="I4" s="541"/>
      <c r="J4" s="692"/>
      <c r="K4" s="403"/>
      <c r="L4" s="293"/>
    </row>
    <row r="5" spans="1:15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5">
      <c r="A6" s="1417" t="s">
        <v>141</v>
      </c>
      <c r="B6" s="1418"/>
      <c r="C6" s="1419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30" thickBot="1">
      <c r="A7" s="757" t="s">
        <v>142</v>
      </c>
      <c r="B7" s="758"/>
      <c r="C7" s="758"/>
      <c r="D7" s="715" t="s">
        <v>143</v>
      </c>
      <c r="E7" s="710">
        <f>'2'!F7</f>
        <v>3926870</v>
      </c>
      <c r="F7" s="531">
        <v>3946245</v>
      </c>
      <c r="G7" s="770">
        <f>F7-E7</f>
        <v>19375</v>
      </c>
      <c r="H7" s="760">
        <f>G7+'2'!H7</f>
        <v>58047</v>
      </c>
      <c r="I7" s="761">
        <f>'1'!I7</f>
        <v>12000</v>
      </c>
      <c r="J7" s="762">
        <f>H7/DAY(B2)</f>
        <v>19349</v>
      </c>
      <c r="K7" s="626"/>
      <c r="L7" s="408"/>
      <c r="O7" s="413"/>
    </row>
    <row r="8" spans="1:15" ht="27.75" thickBot="1">
      <c r="A8" s="763" t="s">
        <v>144</v>
      </c>
      <c r="B8" s="764"/>
      <c r="C8" s="765"/>
      <c r="D8" s="766" t="s">
        <v>25</v>
      </c>
      <c r="E8" s="711">
        <f>'2'!F8</f>
        <v>3951858</v>
      </c>
      <c r="F8" s="551">
        <v>3971529</v>
      </c>
      <c r="G8" s="770">
        <f>F8-E8</f>
        <v>19671</v>
      </c>
      <c r="H8" s="760">
        <f>G8+'2'!H8</f>
        <v>58678</v>
      </c>
      <c r="I8" s="767">
        <v>12000</v>
      </c>
      <c r="J8" s="762">
        <f>H8/DAY(B2)</f>
        <v>19559.333333333332</v>
      </c>
      <c r="K8" s="626"/>
      <c r="L8" s="464"/>
      <c r="M8" s="479"/>
      <c r="O8" s="413"/>
    </row>
    <row r="9" spans="1:15">
      <c r="A9" s="768" t="s">
        <v>145</v>
      </c>
      <c r="B9" s="769"/>
      <c r="C9" s="769"/>
      <c r="D9" s="715" t="s">
        <v>143</v>
      </c>
      <c r="E9" s="712">
        <f>'2'!F9</f>
        <v>2548795</v>
      </c>
      <c r="F9" s="554">
        <v>2558209</v>
      </c>
      <c r="G9" s="783">
        <f t="shared" ref="G9:G12" si="0">F9-E9</f>
        <v>9414</v>
      </c>
      <c r="H9" s="760">
        <f>G9+'2'!H9</f>
        <v>23080.5</v>
      </c>
      <c r="I9" s="771">
        <f>I8-J8</f>
        <v>-7559.3333333333321</v>
      </c>
      <c r="J9" s="762">
        <f>H9/DAY(B2)</f>
        <v>7693.5</v>
      </c>
      <c r="K9" s="467"/>
      <c r="L9" s="408"/>
      <c r="O9" s="413"/>
    </row>
    <row r="10" spans="1:15">
      <c r="A10" s="757" t="s">
        <v>146</v>
      </c>
      <c r="B10" s="758"/>
      <c r="C10" s="758"/>
      <c r="D10" s="715" t="s">
        <v>143</v>
      </c>
      <c r="E10" s="712">
        <f>'2'!F10</f>
        <v>1224470</v>
      </c>
      <c r="F10" s="554">
        <v>1233785</v>
      </c>
      <c r="G10" s="770">
        <f t="shared" si="0"/>
        <v>9315</v>
      </c>
      <c r="H10" s="760">
        <f>G10+'2'!H10</f>
        <v>32910.600000000093</v>
      </c>
      <c r="I10" s="772"/>
      <c r="J10" s="762">
        <f>H10/DAY(B2)</f>
        <v>10970.200000000032</v>
      </c>
      <c r="K10" s="467"/>
      <c r="L10" s="408"/>
      <c r="O10" s="413"/>
    </row>
    <row r="11" spans="1:15">
      <c r="A11" s="757" t="s">
        <v>147</v>
      </c>
      <c r="B11" s="758"/>
      <c r="C11" s="758"/>
      <c r="D11" s="715" t="s">
        <v>143</v>
      </c>
      <c r="E11" s="710">
        <f>'2'!F11</f>
        <v>35390</v>
      </c>
      <c r="F11" s="531">
        <v>35390</v>
      </c>
      <c r="G11" s="770">
        <f t="shared" si="0"/>
        <v>0</v>
      </c>
      <c r="H11" s="760">
        <f>G11+'2'!H11</f>
        <v>0</v>
      </c>
      <c r="I11" s="772"/>
      <c r="J11" s="762">
        <f>H11/DAY(B2)</f>
        <v>0</v>
      </c>
      <c r="K11" s="467"/>
      <c r="L11" s="408"/>
      <c r="O11" s="413"/>
    </row>
    <row r="12" spans="1:15">
      <c r="A12" s="757" t="s">
        <v>148</v>
      </c>
      <c r="B12" s="758"/>
      <c r="C12" s="758"/>
      <c r="D12" s="715" t="s">
        <v>143</v>
      </c>
      <c r="E12" s="712">
        <f>'2'!F12</f>
        <v>37630</v>
      </c>
      <c r="F12" s="554">
        <v>37630</v>
      </c>
      <c r="G12" s="770">
        <f t="shared" si="0"/>
        <v>0</v>
      </c>
      <c r="H12" s="760">
        <f>G12+'2'!H12</f>
        <v>0</v>
      </c>
      <c r="I12" s="772"/>
      <c r="J12" s="762">
        <f>H12/DAY(B2)</f>
        <v>0</v>
      </c>
      <c r="K12" s="467"/>
      <c r="L12" s="408"/>
      <c r="O12" s="413"/>
    </row>
    <row r="13" spans="1:15">
      <c r="A13" s="773" t="s">
        <v>149</v>
      </c>
      <c r="B13" s="774"/>
      <c r="C13" s="774"/>
      <c r="D13" s="715"/>
      <c r="E13" s="710"/>
      <c r="F13" s="531"/>
      <c r="G13" s="775">
        <f>G9+G10+G11+G12</f>
        <v>18729</v>
      </c>
      <c r="H13" s="760">
        <f>G13+'2'!H13</f>
        <v>55991.100000000093</v>
      </c>
      <c r="I13" s="776">
        <f>G7-G13</f>
        <v>646</v>
      </c>
      <c r="J13" s="762">
        <f>H13/DAY(B2)</f>
        <v>18663.70000000003</v>
      </c>
      <c r="K13" s="467"/>
      <c r="L13" s="408"/>
      <c r="O13" s="413"/>
    </row>
    <row r="14" spans="1:15">
      <c r="A14" s="1420" t="s">
        <v>150</v>
      </c>
      <c r="B14" s="1421"/>
      <c r="C14" s="1422"/>
      <c r="D14" s="548"/>
      <c r="E14" s="548"/>
      <c r="F14" s="548"/>
      <c r="G14" s="559"/>
      <c r="H14" s="548"/>
      <c r="I14" s="548"/>
      <c r="J14" s="628"/>
      <c r="K14" s="468"/>
      <c r="L14" s="408"/>
      <c r="O14" s="413"/>
    </row>
    <row r="15" spans="1:15">
      <c r="A15" s="876" t="s">
        <v>151</v>
      </c>
      <c r="B15" s="871"/>
      <c r="C15" s="871"/>
      <c r="D15" s="600" t="s">
        <v>152</v>
      </c>
      <c r="E15" s="561">
        <f>'2'!F15</f>
        <v>1596096</v>
      </c>
      <c r="F15" s="561">
        <v>1596969</v>
      </c>
      <c r="G15" s="862">
        <f>F15-E15</f>
        <v>873</v>
      </c>
      <c r="H15" s="562">
        <f>G15+'2'!H15</f>
        <v>2531.8500000000931</v>
      </c>
      <c r="I15" s="550">
        <v>800</v>
      </c>
      <c r="J15" s="630">
        <f>H15/DAY(B2)</f>
        <v>843.95000000003108</v>
      </c>
      <c r="K15" s="467"/>
      <c r="L15" s="408"/>
      <c r="O15" s="413"/>
    </row>
    <row r="16" spans="1:15">
      <c r="A16" s="874"/>
      <c r="B16" s="875"/>
      <c r="C16" s="875"/>
      <c r="D16" s="872"/>
      <c r="E16" s="873"/>
      <c r="F16" s="561"/>
      <c r="G16" s="1122"/>
      <c r="H16" s="562"/>
      <c r="I16" s="563">
        <f>I15-J15</f>
        <v>-43.950000000031082</v>
      </c>
      <c r="J16" s="630"/>
      <c r="K16" s="467"/>
      <c r="L16" s="408"/>
      <c r="O16" s="413"/>
    </row>
    <row r="17" spans="1:15">
      <c r="A17" s="1420" t="s">
        <v>153</v>
      </c>
      <c r="B17" s="1421"/>
      <c r="C17" s="1422"/>
      <c r="D17" s="548"/>
      <c r="E17" s="548"/>
      <c r="F17" s="548"/>
      <c r="G17" s="564"/>
      <c r="H17" s="548"/>
      <c r="I17" s="548"/>
      <c r="J17" s="628"/>
      <c r="K17" s="467"/>
      <c r="L17" s="408"/>
      <c r="O17" s="413"/>
    </row>
    <row r="18" spans="1:15" ht="27.75">
      <c r="A18" s="1446" t="s">
        <v>154</v>
      </c>
      <c r="B18" s="1447"/>
      <c r="C18" s="1448"/>
      <c r="D18" s="715" t="s">
        <v>155</v>
      </c>
      <c r="E18" s="712">
        <f>'2'!F18</f>
        <v>12</v>
      </c>
      <c r="F18" s="554">
        <v>11</v>
      </c>
      <c r="G18" s="775">
        <f>F18*10</f>
        <v>110</v>
      </c>
      <c r="H18" s="760">
        <f>G18+'2'!H18</f>
        <v>350</v>
      </c>
      <c r="I18" s="761">
        <f>'1'!I18</f>
        <v>65</v>
      </c>
      <c r="J18" s="762">
        <f>H18/DAY(B2)</f>
        <v>116.66666666666667</v>
      </c>
      <c r="K18" s="467"/>
      <c r="L18" s="408"/>
      <c r="O18" s="413"/>
    </row>
    <row r="19" spans="1:15" ht="27.75">
      <c r="A19" s="1446" t="s">
        <v>71</v>
      </c>
      <c r="B19" s="1447"/>
      <c r="C19" s="1448"/>
      <c r="D19" s="715" t="s">
        <v>155</v>
      </c>
      <c r="E19" s="712">
        <f>'2'!F19</f>
        <v>133150</v>
      </c>
      <c r="F19" s="554">
        <v>133201</v>
      </c>
      <c r="G19" s="770">
        <f t="shared" ref="G19" si="1">F19-E19</f>
        <v>51</v>
      </c>
      <c r="H19" s="760">
        <f>G19+'2'!H19</f>
        <v>153</v>
      </c>
      <c r="I19" s="777"/>
      <c r="J19" s="762">
        <f>H19/DAY(B2)</f>
        <v>51</v>
      </c>
      <c r="K19" s="467"/>
      <c r="L19" s="408"/>
      <c r="O19" s="413"/>
    </row>
    <row r="20" spans="1:15">
      <c r="A20" s="773" t="s">
        <v>156</v>
      </c>
      <c r="B20" s="774"/>
      <c r="C20" s="774"/>
      <c r="D20" s="715"/>
      <c r="E20" s="715"/>
      <c r="F20" s="599"/>
      <c r="G20" s="1121">
        <f>G18+G19</f>
        <v>161</v>
      </c>
      <c r="H20" s="760">
        <f>G20+'2'!H20</f>
        <v>503</v>
      </c>
      <c r="I20" s="779">
        <f>I18-J20</f>
        <v>-102.66666666666666</v>
      </c>
      <c r="J20" s="762">
        <f>H20/DAY(B2)</f>
        <v>167.66666666666666</v>
      </c>
      <c r="K20" s="467"/>
      <c r="L20" s="408"/>
      <c r="O20" s="413"/>
    </row>
    <row r="21" spans="1:15">
      <c r="A21" s="1420" t="s">
        <v>157</v>
      </c>
      <c r="B21" s="1421"/>
      <c r="C21" s="1422"/>
      <c r="D21" s="548"/>
      <c r="E21" s="548"/>
      <c r="F21" s="548"/>
      <c r="G21" s="559"/>
      <c r="H21" s="548"/>
      <c r="I21" s="548"/>
      <c r="J21" s="628"/>
      <c r="K21" s="467"/>
      <c r="L21" s="408"/>
      <c r="O21" s="413"/>
    </row>
    <row r="22" spans="1:15">
      <c r="A22" s="1231" t="s">
        <v>158</v>
      </c>
      <c r="B22" s="666"/>
      <c r="C22" s="666"/>
      <c r="D22" s="599" t="s">
        <v>159</v>
      </c>
      <c r="E22" s="712">
        <f>'2'!F22</f>
        <v>2250</v>
      </c>
      <c r="F22" s="554">
        <v>2250</v>
      </c>
      <c r="G22" s="557">
        <f t="shared" ref="G22" si="2">(F22-E22)</f>
        <v>0</v>
      </c>
      <c r="H22" s="536">
        <f>G22+'2'!H22</f>
        <v>0</v>
      </c>
      <c r="I22" s="556"/>
      <c r="J22" s="629">
        <f>H22/DAY(B2)</f>
        <v>0</v>
      </c>
      <c r="K22" s="467"/>
      <c r="L22" s="408"/>
      <c r="O22" s="413"/>
    </row>
    <row r="23" spans="1:15">
      <c r="A23" s="1231" t="s">
        <v>160</v>
      </c>
      <c r="B23" s="666"/>
      <c r="C23" s="666"/>
      <c r="D23" s="599" t="s">
        <v>159</v>
      </c>
      <c r="E23" s="712">
        <f>'2'!F23</f>
        <v>2000</v>
      </c>
      <c r="F23" s="554">
        <v>2000</v>
      </c>
      <c r="G23" s="557">
        <v>0</v>
      </c>
      <c r="H23" s="536">
        <f>G23+'2'!H23</f>
        <v>0</v>
      </c>
      <c r="I23" s="556"/>
      <c r="J23" s="629">
        <f>H23/DAY(B2)</f>
        <v>0</v>
      </c>
      <c r="K23" s="467"/>
      <c r="L23" s="408"/>
      <c r="O23" s="413"/>
    </row>
    <row r="24" spans="1:15">
      <c r="A24" s="667" t="s">
        <v>161</v>
      </c>
      <c r="B24" s="668"/>
      <c r="C24" s="668"/>
      <c r="D24" s="587" t="s">
        <v>159</v>
      </c>
      <c r="E24" s="712">
        <f>'2'!F24</f>
        <v>4250</v>
      </c>
      <c r="F24" s="561">
        <v>4250</v>
      </c>
      <c r="G24" s="557">
        <v>0</v>
      </c>
      <c r="H24" s="536">
        <f>G24</f>
        <v>0</v>
      </c>
      <c r="I24" s="556"/>
      <c r="J24" s="629">
        <f>H24/DAY(B2)</f>
        <v>0</v>
      </c>
      <c r="K24" s="467"/>
      <c r="L24" s="408"/>
      <c r="O24" s="413"/>
    </row>
    <row r="25" spans="1:15" s="481" customFormat="1" ht="27">
      <c r="A25" s="1425" t="s">
        <v>162</v>
      </c>
      <c r="B25" s="1426"/>
      <c r="C25" s="1427"/>
      <c r="D25" s="547"/>
      <c r="E25" s="547"/>
      <c r="F25" s="547"/>
      <c r="G25" s="570"/>
      <c r="H25" s="571"/>
      <c r="I25" s="572"/>
      <c r="J25" s="631"/>
      <c r="K25" s="404"/>
      <c r="L25" s="484"/>
      <c r="O25" s="413"/>
    </row>
    <row r="26" spans="1:15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O26" s="413"/>
    </row>
    <row r="27" spans="1:15" s="481" customFormat="1" ht="27.75">
      <c r="A27" s="669" t="s">
        <v>6</v>
      </c>
      <c r="B27" s="670"/>
      <c r="C27" s="671"/>
      <c r="D27" s="696" t="s">
        <v>25</v>
      </c>
      <c r="E27" s="780">
        <f>G8</f>
        <v>19671</v>
      </c>
      <c r="F27" s="577">
        <v>9</v>
      </c>
      <c r="G27" s="578">
        <f>E27*F27</f>
        <v>177039</v>
      </c>
      <c r="H27" s="536">
        <f>G27+'2'!H27</f>
        <v>528102</v>
      </c>
      <c r="I27" s="579"/>
      <c r="J27" s="629">
        <f>H27/DAY(B2)</f>
        <v>176034</v>
      </c>
      <c r="K27" s="404"/>
      <c r="L27" s="484"/>
      <c r="O27" s="413"/>
    </row>
    <row r="28" spans="1:15" s="481" customFormat="1" ht="27.75">
      <c r="A28" s="669" t="s">
        <v>165</v>
      </c>
      <c r="B28" s="670"/>
      <c r="C28" s="671"/>
      <c r="D28" s="696" t="s">
        <v>166</v>
      </c>
      <c r="E28" s="780">
        <f>G15</f>
        <v>873</v>
      </c>
      <c r="F28" s="577">
        <v>43.5</v>
      </c>
      <c r="G28" s="578">
        <f>E28*F28</f>
        <v>37975.5</v>
      </c>
      <c r="H28" s="536">
        <f>G28+'2'!H28</f>
        <v>110135.47500000405</v>
      </c>
      <c r="I28" s="581"/>
      <c r="J28" s="629">
        <f>H28/DAY(B2)</f>
        <v>36711.82500000135</v>
      </c>
      <c r="K28" s="404"/>
      <c r="L28" s="484"/>
      <c r="O28" s="413"/>
    </row>
    <row r="29" spans="1:15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G29+'2'!H29</f>
        <v>0</v>
      </c>
      <c r="I29" s="581"/>
      <c r="J29" s="629">
        <f>H29/DAY(B2)</f>
        <v>0</v>
      </c>
      <c r="K29" s="404"/>
      <c r="L29" s="484"/>
      <c r="O29" s="413"/>
    </row>
    <row r="30" spans="1:15" s="481" customFormat="1" ht="27.75">
      <c r="A30" s="669" t="s">
        <v>169</v>
      </c>
      <c r="B30" s="670"/>
      <c r="C30" s="671"/>
      <c r="D30" s="696" t="s">
        <v>170</v>
      </c>
      <c r="E30" s="780">
        <f>G19</f>
        <v>51</v>
      </c>
      <c r="F30" s="577">
        <v>134</v>
      </c>
      <c r="G30" s="578">
        <f>E30*F30</f>
        <v>6834</v>
      </c>
      <c r="H30" s="536">
        <f>G30+'2'!H30</f>
        <v>20502</v>
      </c>
      <c r="I30" s="581"/>
      <c r="J30" s="629">
        <f>H30/DAY(B2)</f>
        <v>6834</v>
      </c>
      <c r="K30" s="404"/>
      <c r="L30" s="484"/>
      <c r="O30" s="413"/>
    </row>
    <row r="31" spans="1:15" s="481" customFormat="1" ht="27.75">
      <c r="A31" s="669" t="s">
        <v>171</v>
      </c>
      <c r="B31" s="670"/>
      <c r="C31" s="671"/>
      <c r="D31" s="696" t="s">
        <v>155</v>
      </c>
      <c r="E31" s="780">
        <f>G18</f>
        <v>110</v>
      </c>
      <c r="F31" s="577">
        <v>80</v>
      </c>
      <c r="G31" s="578">
        <f>E31*F31</f>
        <v>8800</v>
      </c>
      <c r="H31" s="536">
        <f>G31+'2'!H31</f>
        <v>28000</v>
      </c>
      <c r="I31" s="581"/>
      <c r="J31" s="629">
        <f>H31/DAY(B2)</f>
        <v>9333.3333333333339</v>
      </c>
      <c r="K31" s="404"/>
      <c r="L31" s="484"/>
      <c r="O31" s="413"/>
    </row>
    <row r="32" spans="1:15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230648.5</v>
      </c>
      <c r="H32" s="536">
        <f>G32+'2'!H32</f>
        <v>686739.47500000405</v>
      </c>
      <c r="I32" s="585"/>
      <c r="J32" s="629">
        <f>H32/DAY(B2)</f>
        <v>228913.15833333469</v>
      </c>
      <c r="K32" s="404"/>
      <c r="L32" s="484"/>
      <c r="O32" s="413"/>
    </row>
    <row r="33" spans="1:15" ht="25.5">
      <c r="A33" s="1428" t="s">
        <v>173</v>
      </c>
      <c r="B33" s="1429"/>
      <c r="C33" s="1429"/>
      <c r="D33" s="1429"/>
      <c r="E33" s="1429"/>
      <c r="F33" s="1429"/>
      <c r="G33" s="1429"/>
      <c r="H33" s="1429"/>
      <c r="I33" s="1429"/>
      <c r="J33" s="1430"/>
      <c r="K33" s="467"/>
      <c r="L33" s="408"/>
      <c r="O33" s="413"/>
    </row>
    <row r="34" spans="1:15">
      <c r="A34" s="675" t="s">
        <v>174</v>
      </c>
      <c r="B34" s="1236"/>
      <c r="C34" s="1236"/>
      <c r="D34" s="548"/>
      <c r="E34" s="547"/>
      <c r="F34" s="547"/>
      <c r="G34" s="548"/>
      <c r="H34" s="548"/>
      <c r="I34" s="548"/>
      <c r="J34" s="628"/>
      <c r="K34" s="467"/>
      <c r="L34" s="408"/>
      <c r="O34" s="413"/>
    </row>
    <row r="35" spans="1:15">
      <c r="A35" s="655" t="s">
        <v>175</v>
      </c>
      <c r="B35" s="656"/>
      <c r="C35" s="656"/>
      <c r="D35" s="599" t="s">
        <v>143</v>
      </c>
      <c r="E35" s="586">
        <f>'2'!F35</f>
        <v>629027.67000000004</v>
      </c>
      <c r="F35" s="586">
        <v>631596</v>
      </c>
      <c r="G35" s="549">
        <f t="shared" ref="G35:G46" si="3">F35-E35</f>
        <v>2568.3299999999581</v>
      </c>
      <c r="H35" s="536">
        <f>G35+'2'!H35</f>
        <v>2568.3299999999581</v>
      </c>
      <c r="I35" s="531"/>
      <c r="J35" s="629">
        <f>H35/DAY(B2)</f>
        <v>856.10999999998603</v>
      </c>
      <c r="K35" s="467"/>
      <c r="L35" s="408"/>
      <c r="O35" s="413"/>
    </row>
    <row r="36" spans="1:15">
      <c r="A36" s="655" t="s">
        <v>176</v>
      </c>
      <c r="B36" s="656"/>
      <c r="C36" s="656"/>
      <c r="D36" s="599" t="s">
        <v>143</v>
      </c>
      <c r="E36" s="586">
        <f>'2'!F36</f>
        <v>277668</v>
      </c>
      <c r="F36" s="586">
        <v>278452</v>
      </c>
      <c r="G36" s="549">
        <f t="shared" si="3"/>
        <v>784</v>
      </c>
      <c r="H36" s="536">
        <f>G36+'2'!H36</f>
        <v>1960.5499999999884</v>
      </c>
      <c r="I36" s="531"/>
      <c r="J36" s="629">
        <f>H36/DAY(B2)</f>
        <v>653.51666666666279</v>
      </c>
      <c r="K36" s="467"/>
      <c r="L36" s="408"/>
      <c r="O36" s="705"/>
    </row>
    <row r="37" spans="1:15">
      <c r="A37" s="655" t="s">
        <v>177</v>
      </c>
      <c r="B37" s="656"/>
      <c r="C37" s="656"/>
      <c r="D37" s="599" t="s">
        <v>143</v>
      </c>
      <c r="E37" s="586">
        <f>'2'!F37</f>
        <v>415066</v>
      </c>
      <c r="F37" s="586">
        <v>415066</v>
      </c>
      <c r="G37" s="549">
        <f t="shared" si="3"/>
        <v>0</v>
      </c>
      <c r="H37" s="536">
        <f>G37+'2'!H37</f>
        <v>0</v>
      </c>
      <c r="I37" s="531"/>
      <c r="J37" s="629">
        <f>H37/DAY(B2)</f>
        <v>0</v>
      </c>
      <c r="K37" s="467"/>
      <c r="L37" s="408"/>
      <c r="O37" s="706"/>
    </row>
    <row r="38" spans="1:15">
      <c r="A38" s="655" t="s">
        <v>178</v>
      </c>
      <c r="B38" s="656"/>
      <c r="C38" s="656"/>
      <c r="D38" s="599" t="s">
        <v>143</v>
      </c>
      <c r="E38" s="545">
        <f>'2'!F38</f>
        <v>97.88</v>
      </c>
      <c r="F38" s="545">
        <v>97.88</v>
      </c>
      <c r="G38" s="549">
        <f t="shared" si="3"/>
        <v>0</v>
      </c>
      <c r="H38" s="536">
        <f>G38+'2'!H38</f>
        <v>0</v>
      </c>
      <c r="I38" s="531"/>
      <c r="J38" s="629">
        <f>H38/DAY(B2)</f>
        <v>0</v>
      </c>
      <c r="K38" s="467"/>
      <c r="L38" s="408"/>
      <c r="O38" s="413"/>
    </row>
    <row r="39" spans="1:15">
      <c r="A39" s="655" t="s">
        <v>179</v>
      </c>
      <c r="B39" s="656"/>
      <c r="C39" s="656"/>
      <c r="D39" s="599" t="s">
        <v>143</v>
      </c>
      <c r="E39" s="586">
        <f>'2'!F39</f>
        <v>912480</v>
      </c>
      <c r="F39" s="586">
        <v>912480</v>
      </c>
      <c r="G39" s="549">
        <f t="shared" si="3"/>
        <v>0</v>
      </c>
      <c r="H39" s="536">
        <f>G39+'2'!H39</f>
        <v>0</v>
      </c>
      <c r="I39" s="531"/>
      <c r="J39" s="629">
        <f>H39/DAY(B2)</f>
        <v>0</v>
      </c>
      <c r="K39" s="467"/>
      <c r="L39" s="408"/>
      <c r="O39" s="413"/>
    </row>
    <row r="40" spans="1:15">
      <c r="A40" s="676" t="s">
        <v>180</v>
      </c>
      <c r="B40" s="677"/>
      <c r="C40" s="677"/>
      <c r="D40" s="599" t="s">
        <v>143</v>
      </c>
      <c r="E40" s="586">
        <v>0.17</v>
      </c>
      <c r="F40" s="586">
        <v>0.17</v>
      </c>
      <c r="G40" s="549">
        <f t="shared" si="3"/>
        <v>0</v>
      </c>
      <c r="H40" s="536">
        <f>G40+'2'!H40</f>
        <v>0</v>
      </c>
      <c r="I40" s="531"/>
      <c r="J40" s="629">
        <f>H40/DAY(B2)</f>
        <v>0</v>
      </c>
      <c r="K40" s="468"/>
      <c r="L40" s="408"/>
      <c r="O40" s="413"/>
    </row>
    <row r="41" spans="1:15">
      <c r="A41" s="655" t="s">
        <v>181</v>
      </c>
      <c r="B41" s="656"/>
      <c r="C41" s="656"/>
      <c r="D41" s="599" t="s">
        <v>143</v>
      </c>
      <c r="E41" s="586">
        <f>'2'!F41</f>
        <v>53159</v>
      </c>
      <c r="F41" s="586">
        <v>57170</v>
      </c>
      <c r="G41" s="549">
        <f t="shared" si="3"/>
        <v>4011</v>
      </c>
      <c r="H41" s="536">
        <f>G41+'2'!H41</f>
        <v>12547.480000000003</v>
      </c>
      <c r="I41" s="531"/>
      <c r="J41" s="629">
        <f>H41/DAY(B2)</f>
        <v>4182.4933333333347</v>
      </c>
      <c r="K41" s="467"/>
      <c r="L41" s="408"/>
      <c r="O41" s="413"/>
    </row>
    <row r="42" spans="1:15">
      <c r="A42" s="655" t="s">
        <v>182</v>
      </c>
      <c r="B42" s="656"/>
      <c r="C42" s="656"/>
      <c r="D42" s="599" t="s">
        <v>143</v>
      </c>
      <c r="E42" s="586">
        <f>'2'!F42</f>
        <v>58926.09</v>
      </c>
      <c r="F42" s="586">
        <v>58926.09</v>
      </c>
      <c r="G42" s="549">
        <f>F42-E42</f>
        <v>0</v>
      </c>
      <c r="H42" s="536">
        <f>G42+'2'!H42</f>
        <v>8.999999999650754E-2</v>
      </c>
      <c r="I42" s="531"/>
      <c r="J42" s="629">
        <f>H42/DAY(B2)</f>
        <v>2.9999999998835847E-2</v>
      </c>
      <c r="K42" s="467"/>
      <c r="L42" s="408"/>
      <c r="O42" s="413"/>
    </row>
    <row r="43" spans="1:15">
      <c r="A43" s="655" t="s">
        <v>183</v>
      </c>
      <c r="B43" s="656"/>
      <c r="C43" s="656"/>
      <c r="D43" s="599" t="s">
        <v>143</v>
      </c>
      <c r="E43" s="586">
        <f>'2'!F43</f>
        <v>772345</v>
      </c>
      <c r="F43" s="586">
        <v>774638</v>
      </c>
      <c r="G43" s="549">
        <f t="shared" si="3"/>
        <v>2293</v>
      </c>
      <c r="H43" s="536">
        <f>G43+'2'!H43</f>
        <v>6826.0899999999674</v>
      </c>
      <c r="I43" s="531"/>
      <c r="J43" s="629">
        <f>H43/DAY(B2)</f>
        <v>2275.3633333333223</v>
      </c>
      <c r="K43" s="467"/>
      <c r="L43" s="408"/>
      <c r="O43" s="413"/>
    </row>
    <row r="44" spans="1:15">
      <c r="A44" s="655" t="s">
        <v>184</v>
      </c>
      <c r="B44" s="656"/>
      <c r="C44" s="656"/>
      <c r="D44" s="599" t="s">
        <v>143</v>
      </c>
      <c r="E44" s="586">
        <f>'2'!F44</f>
        <v>0</v>
      </c>
      <c r="F44" s="586">
        <v>0</v>
      </c>
      <c r="G44" s="549">
        <f t="shared" si="3"/>
        <v>0</v>
      </c>
      <c r="H44" s="536">
        <f>G44+'2'!H44</f>
        <v>0</v>
      </c>
      <c r="I44" s="531"/>
      <c r="J44" s="629">
        <f>H44/DAY(B2)</f>
        <v>0</v>
      </c>
      <c r="K44" s="467"/>
      <c r="L44" s="408"/>
      <c r="O44" s="413"/>
    </row>
    <row r="45" spans="1:15">
      <c r="A45" s="655" t="s">
        <v>185</v>
      </c>
      <c r="B45" s="656"/>
      <c r="C45" s="656"/>
      <c r="D45" s="599" t="s">
        <v>143</v>
      </c>
      <c r="E45" s="586">
        <f>'2'!F45</f>
        <v>614</v>
      </c>
      <c r="F45" s="586">
        <v>614</v>
      </c>
      <c r="G45" s="549">
        <f t="shared" si="3"/>
        <v>0</v>
      </c>
      <c r="H45" s="536">
        <f>G45+'2'!H45</f>
        <v>-0.48000000000001819</v>
      </c>
      <c r="I45" s="531"/>
      <c r="J45" s="629">
        <f>H45/DAY(B2)</f>
        <v>-0.16000000000000605</v>
      </c>
      <c r="K45" s="467"/>
      <c r="L45" s="408"/>
      <c r="O45" s="413"/>
    </row>
    <row r="46" spans="1:15">
      <c r="A46" s="655" t="s">
        <v>186</v>
      </c>
      <c r="B46" s="656"/>
      <c r="C46" s="656"/>
      <c r="D46" s="599" t="s">
        <v>143</v>
      </c>
      <c r="E46" s="586">
        <f>'2'!F46</f>
        <v>187</v>
      </c>
      <c r="F46" s="586">
        <v>187</v>
      </c>
      <c r="G46" s="549">
        <f t="shared" si="3"/>
        <v>0</v>
      </c>
      <c r="H46" s="536">
        <f>G46+'2'!H46</f>
        <v>-0.49000000000000909</v>
      </c>
      <c r="I46" s="531"/>
      <c r="J46" s="629">
        <f>H46/DAY(B2)</f>
        <v>-0.16333333333333636</v>
      </c>
      <c r="K46" s="467"/>
      <c r="L46" s="408"/>
      <c r="O46" s="413"/>
    </row>
    <row r="47" spans="1:15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9656.3299999999581</v>
      </c>
      <c r="H47" s="536">
        <f>G47+'2'!H47</f>
        <v>23901.569999999912</v>
      </c>
      <c r="I47" s="531"/>
      <c r="J47" s="629">
        <f>H47/DAY(B2)</f>
        <v>7967.1899999999705</v>
      </c>
      <c r="K47" s="467"/>
      <c r="L47" s="408"/>
      <c r="N47" s="413"/>
      <c r="O47" s="413"/>
    </row>
    <row r="48" spans="1:15">
      <c r="A48" s="675" t="s">
        <v>188</v>
      </c>
      <c r="B48" s="1236"/>
      <c r="C48" s="1236"/>
      <c r="D48" s="548"/>
      <c r="E48" s="547"/>
      <c r="F48" s="547"/>
      <c r="G48" s="548"/>
      <c r="H48" s="548"/>
      <c r="I48" s="548"/>
      <c r="J48" s="628"/>
      <c r="K48" s="467"/>
      <c r="L48" s="408"/>
      <c r="O48" s="413"/>
    </row>
    <row r="49" spans="1:15">
      <c r="A49" s="655" t="s">
        <v>175</v>
      </c>
      <c r="B49" s="678"/>
      <c r="C49" s="678"/>
      <c r="D49" s="599" t="s">
        <v>143</v>
      </c>
      <c r="E49" s="586">
        <f>'2'!F49</f>
        <v>251954</v>
      </c>
      <c r="F49" s="586">
        <v>251968</v>
      </c>
      <c r="G49" s="549">
        <f t="shared" ref="G49:G58" si="4">F49-E49</f>
        <v>14</v>
      </c>
      <c r="H49" s="536">
        <f>G49+'2'!H49</f>
        <v>6068.9500000000116</v>
      </c>
      <c r="I49" s="531"/>
      <c r="J49" s="629">
        <f>H49/DAY(B2)</f>
        <v>2022.9833333333372</v>
      </c>
      <c r="K49" s="467"/>
      <c r="L49" s="408"/>
      <c r="O49" s="413"/>
    </row>
    <row r="50" spans="1:15">
      <c r="A50" s="655" t="s">
        <v>189</v>
      </c>
      <c r="B50" s="678"/>
      <c r="C50" s="678"/>
      <c r="D50" s="599" t="s">
        <v>143</v>
      </c>
      <c r="E50" s="586">
        <f>'2'!F50</f>
        <v>370675</v>
      </c>
      <c r="F50" s="586">
        <v>372061</v>
      </c>
      <c r="G50" s="549">
        <f t="shared" si="4"/>
        <v>1386</v>
      </c>
      <c r="H50" s="536">
        <f>G50+'2'!H50</f>
        <v>3443.6900000000023</v>
      </c>
      <c r="I50" s="531"/>
      <c r="J50" s="629">
        <f>H50/DAY(B2)</f>
        <v>1147.8966666666674</v>
      </c>
      <c r="K50" s="467"/>
      <c r="L50" s="408"/>
      <c r="O50" s="413"/>
    </row>
    <row r="51" spans="1:15">
      <c r="A51" s="655" t="s">
        <v>177</v>
      </c>
      <c r="B51" s="678"/>
      <c r="C51" s="678"/>
      <c r="D51" s="599" t="s">
        <v>143</v>
      </c>
      <c r="E51" s="586">
        <f>'2'!F51</f>
        <v>112979</v>
      </c>
      <c r="F51" s="586">
        <v>114511</v>
      </c>
      <c r="G51" s="549">
        <f t="shared" si="4"/>
        <v>1532</v>
      </c>
      <c r="H51" s="536">
        <f>G51+'2'!H51</f>
        <v>4411.2599999999948</v>
      </c>
      <c r="I51" s="531"/>
      <c r="J51" s="629">
        <f>H51/DAY(B2)</f>
        <v>1470.4199999999983</v>
      </c>
      <c r="K51" s="467"/>
      <c r="L51" s="408"/>
      <c r="O51" s="413"/>
    </row>
    <row r="52" spans="1:15">
      <c r="A52" s="655" t="s">
        <v>190</v>
      </c>
      <c r="B52" s="678"/>
      <c r="C52" s="678"/>
      <c r="D52" s="599" t="s">
        <v>143</v>
      </c>
      <c r="E52" s="586">
        <f>'2'!F52</f>
        <v>497846</v>
      </c>
      <c r="F52" s="586">
        <v>499795</v>
      </c>
      <c r="G52" s="549">
        <f>F52-E52</f>
        <v>1949</v>
      </c>
      <c r="H52" s="536">
        <f>G52+'2'!H52</f>
        <v>5986.3300000000163</v>
      </c>
      <c r="I52" s="531"/>
      <c r="J52" s="629">
        <f>H52/DAY(B2)</f>
        <v>1995.4433333333388</v>
      </c>
      <c r="K52" s="467"/>
      <c r="L52" s="408"/>
      <c r="O52" s="413"/>
    </row>
    <row r="53" spans="1:15">
      <c r="A53" s="655" t="s">
        <v>179</v>
      </c>
      <c r="B53" s="678"/>
      <c r="C53" s="678"/>
      <c r="D53" s="599" t="s">
        <v>143</v>
      </c>
      <c r="E53" s="586">
        <f>'2'!F53</f>
        <v>312561</v>
      </c>
      <c r="F53" s="586">
        <v>316830</v>
      </c>
      <c r="G53" s="549">
        <f t="shared" si="4"/>
        <v>4269</v>
      </c>
      <c r="H53" s="536">
        <f>G53+'2'!H53</f>
        <v>12531.729999999981</v>
      </c>
      <c r="I53" s="531"/>
      <c r="J53" s="629">
        <f>H53/DAY(B2)</f>
        <v>4177.2433333333274</v>
      </c>
      <c r="K53" s="467"/>
      <c r="L53" s="408"/>
      <c r="O53" s="413"/>
    </row>
    <row r="54" spans="1:15">
      <c r="A54" s="655" t="s">
        <v>191</v>
      </c>
      <c r="B54" s="678"/>
      <c r="C54" s="678"/>
      <c r="D54" s="599" t="s">
        <v>143</v>
      </c>
      <c r="E54" s="586">
        <f>'2'!F54</f>
        <v>6396</v>
      </c>
      <c r="F54" s="734">
        <v>6411</v>
      </c>
      <c r="G54" s="549">
        <f t="shared" si="4"/>
        <v>15</v>
      </c>
      <c r="H54" s="536">
        <f>G54+'2'!H54</f>
        <v>94.359999999999673</v>
      </c>
      <c r="I54" s="531"/>
      <c r="J54" s="629">
        <f>H54/DAY(B2)</f>
        <v>31.453333333333223</v>
      </c>
      <c r="K54" s="467"/>
      <c r="L54" s="408"/>
      <c r="O54" s="413"/>
    </row>
    <row r="55" spans="1:15">
      <c r="A55" s="655" t="s">
        <v>192</v>
      </c>
      <c r="B55" s="678"/>
      <c r="C55" s="678"/>
      <c r="D55" s="599" t="s">
        <v>143</v>
      </c>
      <c r="E55" s="586">
        <f>'2'!F55</f>
        <v>39120.58</v>
      </c>
      <c r="F55" s="734">
        <v>39120.58</v>
      </c>
      <c r="G55" s="549">
        <f t="shared" si="4"/>
        <v>0</v>
      </c>
      <c r="H55" s="536">
        <f>G55+'2'!H55</f>
        <v>0</v>
      </c>
      <c r="I55" s="531"/>
      <c r="J55" s="629">
        <f>H55/DAY(B2)</f>
        <v>0</v>
      </c>
      <c r="K55" s="467"/>
      <c r="L55" s="408"/>
      <c r="O55" s="413"/>
    </row>
    <row r="56" spans="1:15">
      <c r="A56" s="655" t="s">
        <v>193</v>
      </c>
      <c r="B56" s="678"/>
      <c r="C56" s="678"/>
      <c r="D56" s="599" t="s">
        <v>194</v>
      </c>
      <c r="E56" s="586">
        <f>'2'!F56</f>
        <v>557734.43000000005</v>
      </c>
      <c r="F56" s="734">
        <v>557734.43000000005</v>
      </c>
      <c r="G56" s="549">
        <f t="shared" si="4"/>
        <v>0</v>
      </c>
      <c r="H56" s="536">
        <f>G56+'2'!H56</f>
        <v>2.5200000000186265</v>
      </c>
      <c r="I56" s="531"/>
      <c r="J56" s="629">
        <f>H56/DAY(B2)</f>
        <v>0.84000000000620878</v>
      </c>
      <c r="K56" s="466"/>
      <c r="L56" s="408"/>
      <c r="O56" s="413"/>
    </row>
    <row r="57" spans="1:15">
      <c r="A57" s="655" t="s">
        <v>183</v>
      </c>
      <c r="B57" s="678"/>
      <c r="C57" s="678"/>
      <c r="D57" s="599" t="s">
        <v>143</v>
      </c>
      <c r="E57" s="586">
        <f>'2'!F57</f>
        <v>0</v>
      </c>
      <c r="F57" s="734">
        <v>0</v>
      </c>
      <c r="G57" s="549">
        <f t="shared" si="4"/>
        <v>0</v>
      </c>
      <c r="H57" s="536">
        <f>G57+'2'!H57</f>
        <v>0</v>
      </c>
      <c r="I57" s="531"/>
      <c r="J57" s="629">
        <f>H57/DAY(B2)</f>
        <v>0</v>
      </c>
      <c r="K57" s="467"/>
      <c r="L57" s="408"/>
      <c r="O57" s="413"/>
    </row>
    <row r="58" spans="1:15">
      <c r="A58" s="655" t="s">
        <v>195</v>
      </c>
      <c r="B58" s="678"/>
      <c r="C58" s="678"/>
      <c r="D58" s="599" t="s">
        <v>143</v>
      </c>
      <c r="E58" s="586">
        <f>'2'!F58</f>
        <v>30860</v>
      </c>
      <c r="F58" s="734">
        <v>31030</v>
      </c>
      <c r="G58" s="549">
        <f t="shared" si="4"/>
        <v>170</v>
      </c>
      <c r="H58" s="536">
        <f>G58+'2'!H58</f>
        <v>498.09000000000015</v>
      </c>
      <c r="I58" s="531"/>
      <c r="J58" s="629">
        <f>H58/DAY(B2)</f>
        <v>166.03000000000006</v>
      </c>
      <c r="K58" s="467"/>
      <c r="L58" s="408"/>
      <c r="O58" s="413"/>
    </row>
    <row r="59" spans="1:15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9335</v>
      </c>
      <c r="H59" s="536">
        <f>G59+'2'!H59</f>
        <v>33036.930000000022</v>
      </c>
      <c r="I59" s="531">
        <f>G7-G60</f>
        <v>383.67000000004191</v>
      </c>
      <c r="J59" s="629">
        <f>H59/DAY(B2)</f>
        <v>11012.310000000007</v>
      </c>
      <c r="K59" s="467"/>
      <c r="L59" s="408"/>
      <c r="O59" s="413"/>
    </row>
    <row r="60" spans="1:15">
      <c r="A60" s="655"/>
      <c r="B60" s="656"/>
      <c r="C60" s="656"/>
      <c r="D60" s="587" t="s">
        <v>196</v>
      </c>
      <c r="E60" s="587"/>
      <c r="F60" s="587"/>
      <c r="G60" s="557">
        <f>G47+G59</f>
        <v>18991.329999999958</v>
      </c>
      <c r="H60" s="536">
        <f>G60+'2'!H60</f>
        <v>56938.499999999942</v>
      </c>
      <c r="I60" s="531">
        <f>G13-G60</f>
        <v>-262.32999999995809</v>
      </c>
      <c r="J60" s="629">
        <f>H60/DAY(B2)</f>
        <v>18979.499999999982</v>
      </c>
      <c r="K60" s="467"/>
      <c r="L60" s="408"/>
      <c r="O60" s="413"/>
    </row>
    <row r="61" spans="1:15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O61" s="413"/>
    </row>
    <row r="62" spans="1:15">
      <c r="A62" s="680" t="s">
        <v>106</v>
      </c>
      <c r="B62" s="681"/>
      <c r="C62" s="681"/>
      <c r="D62" s="587" t="s">
        <v>198</v>
      </c>
      <c r="E62" s="590">
        <f>'2'!F62</f>
        <v>20419.188999999998</v>
      </c>
      <c r="F62" s="590">
        <v>20419.188999999998</v>
      </c>
      <c r="G62" s="549">
        <f t="shared" ref="G62:G69" si="5">F62-E62</f>
        <v>0</v>
      </c>
      <c r="H62" s="536">
        <f>G62+'2'!H62</f>
        <v>0</v>
      </c>
      <c r="I62" s="591"/>
      <c r="J62" s="629">
        <f>H62/DAY(B2)</f>
        <v>0</v>
      </c>
      <c r="K62" s="467"/>
      <c r="L62" s="408"/>
      <c r="O62" s="413"/>
    </row>
    <row r="63" spans="1:15">
      <c r="A63" s="680" t="s">
        <v>199</v>
      </c>
      <c r="B63" s="681"/>
      <c r="C63" s="681"/>
      <c r="D63" s="587" t="s">
        <v>198</v>
      </c>
      <c r="E63" s="590">
        <f>'2'!F63</f>
        <v>1362</v>
      </c>
      <c r="F63" s="590">
        <v>1377</v>
      </c>
      <c r="G63" s="549">
        <f t="shared" si="5"/>
        <v>15</v>
      </c>
      <c r="H63" s="536">
        <f>G63+'2'!H63</f>
        <v>44.470000000000027</v>
      </c>
      <c r="I63" s="591"/>
      <c r="J63" s="629">
        <f>H63/DAY(B2)</f>
        <v>14.823333333333343</v>
      </c>
      <c r="K63" s="467"/>
      <c r="L63" s="408"/>
      <c r="O63" s="413"/>
    </row>
    <row r="64" spans="1:15" ht="27.75">
      <c r="A64" s="1385" t="s">
        <v>107</v>
      </c>
      <c r="B64" s="1386"/>
      <c r="C64" s="1387"/>
      <c r="D64" s="599" t="s">
        <v>198</v>
      </c>
      <c r="E64" s="560">
        <f>'2'!F64</f>
        <v>112165</v>
      </c>
      <c r="F64" s="554">
        <v>112583</v>
      </c>
      <c r="G64" s="549">
        <f t="shared" si="5"/>
        <v>418</v>
      </c>
      <c r="H64" s="536">
        <f>G64+'2'!H64</f>
        <v>1299.5399999999936</v>
      </c>
      <c r="I64" s="556"/>
      <c r="J64" s="629">
        <f>H64/DAY(B2)</f>
        <v>433.17999999999785</v>
      </c>
      <c r="K64" s="467"/>
      <c r="L64" s="408"/>
      <c r="O64" s="413"/>
    </row>
    <row r="65" spans="1:15" ht="27.75">
      <c r="A65" s="1385" t="s">
        <v>108</v>
      </c>
      <c r="B65" s="1386"/>
      <c r="C65" s="1387"/>
      <c r="D65" s="599" t="s">
        <v>198</v>
      </c>
      <c r="E65" s="560">
        <f>'2'!F65</f>
        <v>122494</v>
      </c>
      <c r="F65" s="732">
        <v>122868</v>
      </c>
      <c r="G65" s="549">
        <f t="shared" si="5"/>
        <v>374</v>
      </c>
      <c r="H65" s="536">
        <f>G65+'2'!H65</f>
        <v>1134.8899999999994</v>
      </c>
      <c r="I65" s="565"/>
      <c r="J65" s="629">
        <f>H65/DAY(B2)</f>
        <v>378.29666666666645</v>
      </c>
      <c r="K65" s="467"/>
      <c r="L65" s="408"/>
      <c r="O65" s="413"/>
    </row>
    <row r="66" spans="1:15" ht="27.75">
      <c r="A66" s="1385" t="s">
        <v>109</v>
      </c>
      <c r="B66" s="1386"/>
      <c r="C66" s="1387"/>
      <c r="D66" s="599" t="s">
        <v>198</v>
      </c>
      <c r="E66" s="560">
        <f>'2'!F66</f>
        <v>14954</v>
      </c>
      <c r="F66" s="554">
        <v>15373</v>
      </c>
      <c r="G66" s="549">
        <f t="shared" si="5"/>
        <v>419</v>
      </c>
      <c r="H66" s="536">
        <f>G66+'2'!H66</f>
        <v>1213.2600000000002</v>
      </c>
      <c r="I66" s="556"/>
      <c r="J66" s="629">
        <f>H66/DAY(B2)</f>
        <v>404.42000000000007</v>
      </c>
      <c r="K66" s="467"/>
      <c r="L66" s="408"/>
      <c r="O66" s="413"/>
    </row>
    <row r="67" spans="1:15" ht="27.75">
      <c r="A67" s="1385" t="s">
        <v>110</v>
      </c>
      <c r="B67" s="1386"/>
      <c r="C67" s="1387"/>
      <c r="D67" s="599" t="s">
        <v>198</v>
      </c>
      <c r="E67" s="560">
        <f>'2'!F67</f>
        <v>190003</v>
      </c>
      <c r="F67" s="554">
        <v>190728</v>
      </c>
      <c r="G67" s="549">
        <f t="shared" si="5"/>
        <v>725</v>
      </c>
      <c r="H67" s="536">
        <f>G67+'2'!H67</f>
        <v>2053.4700000000012</v>
      </c>
      <c r="I67" s="565"/>
      <c r="J67" s="629">
        <f>H67/DAY(B2)</f>
        <v>684.49000000000035</v>
      </c>
      <c r="K67" s="468"/>
      <c r="L67" s="408"/>
      <c r="O67" s="413"/>
    </row>
    <row r="68" spans="1:15" ht="27.75">
      <c r="A68" s="1385" t="s">
        <v>111</v>
      </c>
      <c r="B68" s="1386"/>
      <c r="C68" s="1387"/>
      <c r="D68" s="599" t="s">
        <v>198</v>
      </c>
      <c r="E68" s="560">
        <f>'2'!F68</f>
        <v>63969</v>
      </c>
      <c r="F68" s="554">
        <v>64300</v>
      </c>
      <c r="G68" s="549">
        <f t="shared" si="5"/>
        <v>331</v>
      </c>
      <c r="H68" s="536">
        <f>G68+'2'!H68</f>
        <v>1000.1399999999994</v>
      </c>
      <c r="I68" s="592"/>
      <c r="J68" s="629">
        <f>H68/DAY(B2)</f>
        <v>333.37999999999982</v>
      </c>
      <c r="K68" s="469"/>
      <c r="L68" s="408"/>
      <c r="O68" s="413"/>
    </row>
    <row r="69" spans="1:15" ht="27.75">
      <c r="A69" s="1385" t="s">
        <v>112</v>
      </c>
      <c r="B69" s="1386"/>
      <c r="C69" s="1387"/>
      <c r="D69" s="599" t="s">
        <v>198</v>
      </c>
      <c r="E69" s="560">
        <f>'2'!F69</f>
        <v>56354</v>
      </c>
      <c r="F69" s="554">
        <v>56667</v>
      </c>
      <c r="G69" s="549">
        <f t="shared" si="5"/>
        <v>313</v>
      </c>
      <c r="H69" s="536">
        <f>G69+'2'!H69</f>
        <v>943.29000000000087</v>
      </c>
      <c r="I69" s="592"/>
      <c r="J69" s="629">
        <f>H69/DAY(B2)</f>
        <v>314.43000000000029</v>
      </c>
      <c r="K69" s="470"/>
      <c r="L69" s="408"/>
      <c r="O69" s="413"/>
    </row>
    <row r="70" spans="1:15" ht="27.75">
      <c r="A70" s="1391" t="s">
        <v>200</v>
      </c>
      <c r="B70" s="1392"/>
      <c r="C70" s="1393"/>
      <c r="D70" s="599" t="s">
        <v>198</v>
      </c>
      <c r="E70" s="594"/>
      <c r="F70" s="594"/>
      <c r="G70" s="594"/>
      <c r="H70" s="536"/>
      <c r="I70" s="594"/>
      <c r="J70" s="633"/>
      <c r="K70" s="470"/>
      <c r="L70" s="408"/>
      <c r="O70" s="413"/>
    </row>
    <row r="71" spans="1:15" ht="31.5">
      <c r="A71" s="1388" t="s">
        <v>201</v>
      </c>
      <c r="B71" s="1389"/>
      <c r="C71" s="1389"/>
      <c r="D71" s="1389"/>
      <c r="E71" s="1389"/>
      <c r="F71" s="1389"/>
      <c r="G71" s="1389"/>
      <c r="H71" s="1389"/>
      <c r="I71" s="1389"/>
      <c r="J71" s="1390"/>
      <c r="K71" s="469"/>
      <c r="L71" s="408"/>
      <c r="O71" s="413"/>
    </row>
    <row r="72" spans="1:15" ht="27.75">
      <c r="A72" s="1385" t="s">
        <v>202</v>
      </c>
      <c r="B72" s="1386"/>
      <c r="C72" s="1387"/>
      <c r="D72" s="599" t="s">
        <v>198</v>
      </c>
      <c r="E72" s="595">
        <f>'2'!F72</f>
        <v>848633</v>
      </c>
      <c r="F72" s="735">
        <v>848721</v>
      </c>
      <c r="G72" s="549">
        <f t="shared" ref="G72:G84" si="6">F72-E72</f>
        <v>88</v>
      </c>
      <c r="H72" s="536">
        <f>G72+'2'!H72</f>
        <v>256</v>
      </c>
      <c r="I72" s="556"/>
      <c r="J72" s="629">
        <f>H72/DAY(B2)</f>
        <v>85.333333333333329</v>
      </c>
      <c r="K72" s="470"/>
      <c r="L72" s="408"/>
      <c r="O72" s="413"/>
    </row>
    <row r="73" spans="1:15" ht="27.75">
      <c r="A73" s="1385" t="s">
        <v>203</v>
      </c>
      <c r="B73" s="1386"/>
      <c r="C73" s="1387"/>
      <c r="D73" s="599" t="s">
        <v>198</v>
      </c>
      <c r="E73" s="596">
        <f>'2'!F73</f>
        <v>885728</v>
      </c>
      <c r="F73" s="736">
        <v>885729</v>
      </c>
      <c r="G73" s="733">
        <f t="shared" si="6"/>
        <v>1</v>
      </c>
      <c r="H73" s="536">
        <f>G73+'2'!H73</f>
        <v>1</v>
      </c>
      <c r="I73" s="556"/>
      <c r="J73" s="629">
        <f>H73/DAY(B2)</f>
        <v>0.33333333333333331</v>
      </c>
      <c r="K73" s="469"/>
      <c r="L73" s="408"/>
      <c r="O73" s="413"/>
    </row>
    <row r="74" spans="1:15" ht="27.75">
      <c r="A74" s="1385" t="s">
        <v>204</v>
      </c>
      <c r="B74" s="1386"/>
      <c r="C74" s="1387"/>
      <c r="D74" s="599" t="s">
        <v>198</v>
      </c>
      <c r="E74" s="597">
        <f>'2'!F74</f>
        <v>882419</v>
      </c>
      <c r="F74" s="737">
        <v>882443</v>
      </c>
      <c r="G74" s="549">
        <f t="shared" si="6"/>
        <v>24</v>
      </c>
      <c r="H74" s="536">
        <f>G74+'2'!H74</f>
        <v>74</v>
      </c>
      <c r="I74" s="556"/>
      <c r="J74" s="629">
        <f>H74/DAY(B2)</f>
        <v>24.666666666666668</v>
      </c>
      <c r="K74" s="470"/>
      <c r="L74" s="408"/>
      <c r="O74" s="413"/>
    </row>
    <row r="75" spans="1:15" ht="27.75">
      <c r="A75" s="1382" t="s">
        <v>205</v>
      </c>
      <c r="B75" s="1383"/>
      <c r="C75" s="1384"/>
      <c r="D75" s="599" t="s">
        <v>198</v>
      </c>
      <c r="E75" s="597">
        <f>'2'!F75</f>
        <v>737886</v>
      </c>
      <c r="F75" s="737">
        <v>738078</v>
      </c>
      <c r="G75" s="549">
        <f t="shared" si="6"/>
        <v>192</v>
      </c>
      <c r="H75" s="536">
        <f>G75+'2'!H75</f>
        <v>559</v>
      </c>
      <c r="I75" s="556"/>
      <c r="J75" s="629">
        <f>H75/DAY(B2)</f>
        <v>186.33333333333334</v>
      </c>
      <c r="K75" s="469"/>
      <c r="L75" s="408"/>
      <c r="O75" s="413"/>
    </row>
    <row r="76" spans="1:15" ht="27.75">
      <c r="A76" s="1382" t="s">
        <v>206</v>
      </c>
      <c r="B76" s="1383"/>
      <c r="C76" s="1384"/>
      <c r="D76" s="599" t="s">
        <v>198</v>
      </c>
      <c r="E76" s="596">
        <f>'2'!F76</f>
        <v>687161</v>
      </c>
      <c r="F76" s="736">
        <v>687250</v>
      </c>
      <c r="G76" s="549">
        <f t="shared" si="6"/>
        <v>89</v>
      </c>
      <c r="H76" s="536">
        <f>G76+'2'!H76</f>
        <v>236</v>
      </c>
      <c r="I76" s="581"/>
      <c r="J76" s="629">
        <f>H76/DAY(B2)</f>
        <v>78.666666666666671</v>
      </c>
      <c r="K76" s="469"/>
      <c r="L76" s="408"/>
      <c r="O76" s="413"/>
    </row>
    <row r="77" spans="1:15" ht="27.75">
      <c r="A77" s="1385" t="s">
        <v>207</v>
      </c>
      <c r="B77" s="1386"/>
      <c r="C77" s="1387"/>
      <c r="D77" s="599" t="s">
        <v>198</v>
      </c>
      <c r="E77" s="596">
        <f>'2'!F77</f>
        <v>697214</v>
      </c>
      <c r="F77" s="736">
        <v>697261</v>
      </c>
      <c r="G77" s="733">
        <f t="shared" si="6"/>
        <v>47</v>
      </c>
      <c r="H77" s="536">
        <f>G77+'2'!H77</f>
        <v>154</v>
      </c>
      <c r="I77" s="581"/>
      <c r="J77" s="629">
        <f>H77/DAY(B2)</f>
        <v>51.333333333333336</v>
      </c>
      <c r="K77" s="469"/>
      <c r="L77" s="408"/>
      <c r="O77" s="413"/>
    </row>
    <row r="78" spans="1:15" ht="27.75">
      <c r="A78" s="1234" t="s">
        <v>208</v>
      </c>
      <c r="B78" s="1205"/>
      <c r="C78" s="1205"/>
      <c r="D78" s="599" t="s">
        <v>198</v>
      </c>
      <c r="E78" s="597">
        <f>'2'!F78</f>
        <v>642667</v>
      </c>
      <c r="F78" s="737">
        <v>643092</v>
      </c>
      <c r="G78" s="549">
        <f t="shared" si="6"/>
        <v>425</v>
      </c>
      <c r="H78" s="536">
        <f>G78+'2'!H78</f>
        <v>1139</v>
      </c>
      <c r="I78" s="581"/>
      <c r="J78" s="629">
        <f>H78/DAY(B2)</f>
        <v>379.66666666666669</v>
      </c>
      <c r="K78" s="469"/>
      <c r="L78" s="408"/>
      <c r="O78" s="413"/>
    </row>
    <row r="79" spans="1:15" ht="27.75">
      <c r="A79" s="1382" t="s">
        <v>97</v>
      </c>
      <c r="B79" s="1383"/>
      <c r="C79" s="1384"/>
      <c r="D79" s="600" t="s">
        <v>198</v>
      </c>
      <c r="E79" s="597">
        <f>'2'!F79</f>
        <v>810092</v>
      </c>
      <c r="F79" s="737">
        <v>810295</v>
      </c>
      <c r="G79" s="549">
        <f t="shared" si="6"/>
        <v>203</v>
      </c>
      <c r="H79" s="536">
        <f>G79+'2'!H79</f>
        <v>604</v>
      </c>
      <c r="I79" s="581"/>
      <c r="J79" s="629">
        <f>H79/DAY(B2)</f>
        <v>201.33333333333334</v>
      </c>
      <c r="K79" s="469"/>
      <c r="L79" s="408"/>
      <c r="O79" s="413"/>
    </row>
    <row r="80" spans="1:15" ht="27.75">
      <c r="A80" s="1382" t="s">
        <v>209</v>
      </c>
      <c r="B80" s="1383"/>
      <c r="C80" s="1384"/>
      <c r="D80" s="600" t="s">
        <v>198</v>
      </c>
      <c r="E80" s="596">
        <f>'2'!F80</f>
        <v>485753</v>
      </c>
      <c r="F80" s="736">
        <v>486080</v>
      </c>
      <c r="G80" s="549">
        <f t="shared" si="6"/>
        <v>327</v>
      </c>
      <c r="H80" s="536">
        <f>G80+'2'!H80</f>
        <v>953</v>
      </c>
      <c r="I80" s="581"/>
      <c r="J80" s="629">
        <f>H80/DAY(B2)</f>
        <v>317.66666666666669</v>
      </c>
      <c r="K80" s="469"/>
      <c r="L80" s="408"/>
      <c r="O80" s="413"/>
    </row>
    <row r="81" spans="1:15" ht="27.75">
      <c r="A81" s="1382" t="s">
        <v>210</v>
      </c>
      <c r="B81" s="1383"/>
      <c r="C81" s="1384"/>
      <c r="D81" s="600" t="s">
        <v>198</v>
      </c>
      <c r="E81" s="596">
        <f>'2'!F81</f>
        <v>622953</v>
      </c>
      <c r="F81" s="736">
        <v>623057</v>
      </c>
      <c r="G81" s="549">
        <f t="shared" si="6"/>
        <v>104</v>
      </c>
      <c r="H81" s="536">
        <f>G81+'2'!H81</f>
        <v>282</v>
      </c>
      <c r="I81" s="581"/>
      <c r="J81" s="629">
        <f>H81/DAY(B2)</f>
        <v>94</v>
      </c>
      <c r="K81" s="469"/>
      <c r="L81" s="408"/>
      <c r="O81" s="413"/>
    </row>
    <row r="82" spans="1:15" ht="27.75">
      <c r="A82" s="1382" t="s">
        <v>100</v>
      </c>
      <c r="B82" s="1383"/>
      <c r="C82" s="1384"/>
      <c r="D82" s="561" t="s">
        <v>143</v>
      </c>
      <c r="E82" s="598">
        <f>'2'!F82</f>
        <v>105540</v>
      </c>
      <c r="F82" s="732">
        <v>105581</v>
      </c>
      <c r="G82" s="549">
        <f t="shared" si="6"/>
        <v>41</v>
      </c>
      <c r="H82" s="536">
        <f>G82+'2'!H82</f>
        <v>141</v>
      </c>
      <c r="I82" s="562"/>
      <c r="J82" s="629">
        <f>H82/DAY(B2)</f>
        <v>47</v>
      </c>
      <c r="K82" s="469"/>
      <c r="L82" s="408"/>
      <c r="O82" s="413"/>
    </row>
    <row r="83" spans="1:15" ht="27.75">
      <c r="A83" s="1382" t="s">
        <v>211</v>
      </c>
      <c r="B83" s="1383"/>
      <c r="C83" s="1384"/>
      <c r="D83" s="697" t="s">
        <v>143</v>
      </c>
      <c r="E83" s="587">
        <f>'2'!F83</f>
        <v>984602</v>
      </c>
      <c r="F83" s="587">
        <v>984996</v>
      </c>
      <c r="G83" s="549">
        <f t="shared" si="6"/>
        <v>394</v>
      </c>
      <c r="H83" s="536">
        <f>G83+'2'!H83</f>
        <v>1255</v>
      </c>
      <c r="I83" s="557"/>
      <c r="J83" s="629">
        <f>H83/DAY(B2)</f>
        <v>418.33333333333331</v>
      </c>
      <c r="K83" s="468"/>
      <c r="L83" s="408"/>
      <c r="O83" s="413"/>
    </row>
    <row r="84" spans="1:15">
      <c r="A84" s="1235" t="s">
        <v>212</v>
      </c>
      <c r="B84" s="648"/>
      <c r="C84" s="648"/>
      <c r="D84" s="554" t="s">
        <v>143</v>
      </c>
      <c r="E84" s="704">
        <f>'2'!F84</f>
        <v>417128</v>
      </c>
      <c r="F84" s="704">
        <v>417585</v>
      </c>
      <c r="G84" s="549">
        <f t="shared" si="6"/>
        <v>457</v>
      </c>
      <c r="H84" s="536">
        <f>G84+'2'!H84</f>
        <v>1512</v>
      </c>
      <c r="I84" s="557"/>
      <c r="J84" s="629">
        <f>H84/DAY(B2)</f>
        <v>504</v>
      </c>
      <c r="K84" s="411"/>
      <c r="L84" s="408"/>
      <c r="O84" s="413"/>
    </row>
    <row r="85" spans="1:15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SUM(G71:G84)</f>
        <v>2392</v>
      </c>
      <c r="H85" s="536">
        <f>G85+'2'!H85</f>
        <v>5353</v>
      </c>
      <c r="I85" s="557"/>
      <c r="J85" s="629">
        <f>H85/DAY(B2)</f>
        <v>1784.3333333333333</v>
      </c>
      <c r="K85" s="411"/>
      <c r="L85" s="409"/>
      <c r="O85" s="413"/>
    </row>
    <row r="86" spans="1:15" s="817" customFormat="1">
      <c r="A86" s="812" t="s">
        <v>102</v>
      </c>
      <c r="B86" s="813"/>
      <c r="C86" s="813"/>
      <c r="D86" s="814" t="s">
        <v>194</v>
      </c>
      <c r="E86" s="704">
        <f>'2'!F86</f>
        <v>447372</v>
      </c>
      <c r="F86" s="728">
        <v>447518</v>
      </c>
      <c r="G86" s="787">
        <f t="shared" ref="G86:G90" si="7">F86-E86</f>
        <v>146</v>
      </c>
      <c r="H86" s="536">
        <f>G86+'2'!H86</f>
        <v>412</v>
      </c>
      <c r="I86" s="733"/>
      <c r="J86" s="789">
        <f>H86/DAY(B2)</f>
        <v>137.33333333333334</v>
      </c>
      <c r="K86" s="815"/>
      <c r="L86" s="816"/>
      <c r="O86" s="795"/>
    </row>
    <row r="87" spans="1:15" s="817" customFormat="1">
      <c r="A87" s="812" t="s">
        <v>103</v>
      </c>
      <c r="B87" s="813"/>
      <c r="C87" s="813"/>
      <c r="D87" s="814" t="s">
        <v>194</v>
      </c>
      <c r="E87" s="704">
        <f>'2'!F87</f>
        <v>78512</v>
      </c>
      <c r="F87" s="728">
        <v>78543</v>
      </c>
      <c r="G87" s="787">
        <f t="shared" si="7"/>
        <v>31</v>
      </c>
      <c r="H87" s="536">
        <f>G87+'2'!H87</f>
        <v>96.69999999999709</v>
      </c>
      <c r="I87" s="733"/>
      <c r="J87" s="789">
        <f>H87/DAY(B2)</f>
        <v>32.233333333332361</v>
      </c>
      <c r="K87" s="815"/>
      <c r="L87" s="816"/>
      <c r="O87" s="795"/>
    </row>
    <row r="88" spans="1:15" s="817" customFormat="1">
      <c r="A88" s="812" t="s">
        <v>104</v>
      </c>
      <c r="B88" s="813"/>
      <c r="C88" s="813"/>
      <c r="D88" s="814" t="s">
        <v>194</v>
      </c>
      <c r="E88" s="704">
        <f>'2'!F88</f>
        <v>146643</v>
      </c>
      <c r="F88" s="728">
        <v>146706</v>
      </c>
      <c r="G88" s="787">
        <f t="shared" si="7"/>
        <v>63</v>
      </c>
      <c r="H88" s="536">
        <f>G88+'2'!H88</f>
        <v>204</v>
      </c>
      <c r="I88" s="733"/>
      <c r="J88" s="789">
        <f>H88/DAY(B2)</f>
        <v>68</v>
      </c>
      <c r="K88" s="815"/>
      <c r="L88" s="816"/>
      <c r="O88" s="795"/>
    </row>
    <row r="89" spans="1:15" s="817" customFormat="1">
      <c r="A89" s="812" t="s">
        <v>215</v>
      </c>
      <c r="B89" s="813"/>
      <c r="C89" s="813"/>
      <c r="D89" s="814" t="s">
        <v>194</v>
      </c>
      <c r="E89" s="728">
        <v>59964</v>
      </c>
      <c r="F89" s="728">
        <v>60027</v>
      </c>
      <c r="G89" s="787">
        <f t="shared" si="7"/>
        <v>63</v>
      </c>
      <c r="H89" s="536">
        <f>G89+'2'!H89</f>
        <v>225</v>
      </c>
      <c r="I89" s="733"/>
      <c r="J89" s="789">
        <f>H89/DAY(B2)</f>
        <v>75</v>
      </c>
      <c r="K89" s="815" t="e">
        <f t="shared" ref="K89:K90" si="8">I89/DAY(C3)</f>
        <v>#VALUE!</v>
      </c>
      <c r="L89" s="816"/>
      <c r="N89" s="860"/>
      <c r="O89" s="413"/>
    </row>
    <row r="90" spans="1:15" s="817" customFormat="1">
      <c r="A90" s="812" t="s">
        <v>215</v>
      </c>
      <c r="B90" s="813"/>
      <c r="C90" s="813"/>
      <c r="D90" s="814" t="s">
        <v>194</v>
      </c>
      <c r="E90" s="728">
        <v>3075</v>
      </c>
      <c r="F90" s="728">
        <v>3078</v>
      </c>
      <c r="G90" s="787">
        <f t="shared" si="7"/>
        <v>3</v>
      </c>
      <c r="H90" s="536">
        <f>G90+'2'!H90</f>
        <v>12.099999999999909</v>
      </c>
      <c r="I90" s="733"/>
      <c r="J90" s="789">
        <f>H90/DAY(B2)</f>
        <v>4.033333333333303</v>
      </c>
      <c r="K90" s="815" t="e">
        <f t="shared" si="8"/>
        <v>#VALUE!</v>
      </c>
      <c r="L90" s="816"/>
      <c r="N90" s="860"/>
      <c r="O90" s="413"/>
    </row>
    <row r="91" spans="1:15" s="410" customFormat="1">
      <c r="A91" s="683" t="s">
        <v>216</v>
      </c>
      <c r="B91" s="1237"/>
      <c r="C91" s="1237"/>
      <c r="D91" s="548"/>
      <c r="E91" s="548"/>
      <c r="F91" s="548"/>
      <c r="G91" s="564"/>
      <c r="H91" s="548"/>
      <c r="I91" s="548"/>
      <c r="J91" s="628"/>
      <c r="K91" s="411"/>
      <c r="L91" s="409"/>
      <c r="O91" s="413"/>
    </row>
    <row r="92" spans="1:15" ht="27.75">
      <c r="A92" s="1406" t="s">
        <v>217</v>
      </c>
      <c r="B92" s="1407"/>
      <c r="C92" s="1408"/>
      <c r="D92" s="599" t="s">
        <v>155</v>
      </c>
      <c r="E92" s="560">
        <f>'2'!F92</f>
        <v>236732</v>
      </c>
      <c r="F92" s="554">
        <v>236820</v>
      </c>
      <c r="G92" s="549">
        <f t="shared" ref="G92:G93" si="9">F92-E92</f>
        <v>88</v>
      </c>
      <c r="H92" s="536">
        <f>G92+'2'!H92</f>
        <v>250</v>
      </c>
      <c r="I92" s="556"/>
      <c r="J92" s="629">
        <f>H92/DAY(B2)</f>
        <v>83.333333333333329</v>
      </c>
      <c r="K92" s="468"/>
      <c r="L92" s="408"/>
      <c r="O92" s="413"/>
    </row>
    <row r="93" spans="1:15" ht="27.75">
      <c r="A93" s="1406" t="s">
        <v>218</v>
      </c>
      <c r="B93" s="1407"/>
      <c r="C93" s="1408"/>
      <c r="D93" s="599" t="s">
        <v>155</v>
      </c>
      <c r="E93" s="560">
        <f>'2'!F93</f>
        <v>171527</v>
      </c>
      <c r="F93" s="554">
        <v>171677</v>
      </c>
      <c r="G93" s="549">
        <f t="shared" si="9"/>
        <v>150</v>
      </c>
      <c r="H93" s="536">
        <f>G93+'2'!H93</f>
        <v>501</v>
      </c>
      <c r="I93" s="556"/>
      <c r="J93" s="629">
        <f>H93/DAY(B2)</f>
        <v>167</v>
      </c>
      <c r="K93" s="411"/>
      <c r="L93" s="408"/>
      <c r="O93" s="413"/>
    </row>
    <row r="94" spans="1:15">
      <c r="A94" s="1434" t="s">
        <v>219</v>
      </c>
      <c r="B94" s="1435"/>
      <c r="C94" s="1436"/>
      <c r="D94" s="599"/>
      <c r="E94" s="560"/>
      <c r="F94" s="554"/>
      <c r="G94" s="549">
        <f>G92+G93</f>
        <v>238</v>
      </c>
      <c r="H94" s="536">
        <f>G94+'2'!H94</f>
        <v>464</v>
      </c>
      <c r="I94" s="556"/>
      <c r="J94" s="629">
        <f>H94/DAY(B2)</f>
        <v>154.66666666666666</v>
      </c>
      <c r="K94" s="411"/>
      <c r="L94" s="408"/>
      <c r="O94" s="413"/>
    </row>
    <row r="95" spans="1:15" ht="27.75">
      <c r="A95" s="1406" t="s">
        <v>220</v>
      </c>
      <c r="B95" s="1407"/>
      <c r="C95" s="1408"/>
      <c r="D95" s="599" t="s">
        <v>155</v>
      </c>
      <c r="E95" s="560">
        <f>'2'!F95</f>
        <v>406018</v>
      </c>
      <c r="F95" s="554">
        <v>406082</v>
      </c>
      <c r="G95" s="549">
        <f t="shared" ref="G95:G100" si="10">F95-E95</f>
        <v>64</v>
      </c>
      <c r="H95" s="536">
        <f>G95+'2'!H95</f>
        <v>206</v>
      </c>
      <c r="I95" s="556"/>
      <c r="J95" s="629">
        <f>H95/DAY(B2)</f>
        <v>68.666666666666671</v>
      </c>
      <c r="K95" s="411"/>
      <c r="L95" s="408"/>
      <c r="O95" s="413"/>
    </row>
    <row r="96" spans="1:15" ht="27.75">
      <c r="A96" s="1231" t="s">
        <v>221</v>
      </c>
      <c r="B96" s="1232"/>
      <c r="C96" s="1232"/>
      <c r="D96" s="599" t="s">
        <v>155</v>
      </c>
      <c r="E96" s="560">
        <f>'2'!F96</f>
        <v>100587</v>
      </c>
      <c r="F96" s="554">
        <v>100623</v>
      </c>
      <c r="G96" s="549">
        <f t="shared" si="10"/>
        <v>36</v>
      </c>
      <c r="H96" s="536">
        <f>G96+'2'!H96</f>
        <v>89</v>
      </c>
      <c r="I96" s="556"/>
      <c r="J96" s="629">
        <f>H96/DAY(B2)</f>
        <v>29.666666666666668</v>
      </c>
      <c r="K96" s="466"/>
      <c r="L96" s="408"/>
      <c r="O96" s="413"/>
    </row>
    <row r="97" spans="1:15" ht="27.75">
      <c r="A97" s="1231" t="s">
        <v>222</v>
      </c>
      <c r="B97" s="1232"/>
      <c r="C97" s="1232"/>
      <c r="D97" s="599" t="s">
        <v>155</v>
      </c>
      <c r="E97" s="560">
        <f>'2'!F97</f>
        <v>95711</v>
      </c>
      <c r="F97" s="554">
        <v>95742</v>
      </c>
      <c r="G97" s="549">
        <f t="shared" si="10"/>
        <v>31</v>
      </c>
      <c r="H97" s="536">
        <f>G97+'2'!H97</f>
        <v>65</v>
      </c>
      <c r="I97" s="556"/>
      <c r="J97" s="629">
        <f>H97/DAY(B2)</f>
        <v>21.666666666666668</v>
      </c>
      <c r="K97" s="471"/>
      <c r="L97" s="408"/>
      <c r="O97" s="413"/>
    </row>
    <row r="98" spans="1:15" ht="27.75">
      <c r="A98" s="1231" t="s">
        <v>223</v>
      </c>
      <c r="B98" s="1232"/>
      <c r="C98" s="1232"/>
      <c r="D98" s="599" t="s">
        <v>155</v>
      </c>
      <c r="E98" s="560">
        <f>'2'!F98</f>
        <v>145704</v>
      </c>
      <c r="F98" s="554">
        <v>145776</v>
      </c>
      <c r="G98" s="549">
        <f t="shared" si="10"/>
        <v>72</v>
      </c>
      <c r="H98" s="536">
        <f>G98+'2'!H98</f>
        <v>222</v>
      </c>
      <c r="I98" s="556"/>
      <c r="J98" s="629">
        <f>H98/DAY(B2)</f>
        <v>74</v>
      </c>
      <c r="K98" s="411"/>
      <c r="L98" s="408"/>
      <c r="O98" s="413"/>
    </row>
    <row r="99" spans="1:15" ht="27.75">
      <c r="A99" s="1231" t="s">
        <v>224</v>
      </c>
      <c r="B99" s="1232"/>
      <c r="C99" s="1232"/>
      <c r="D99" s="599" t="s">
        <v>155</v>
      </c>
      <c r="E99" s="560">
        <f>'2'!F99</f>
        <v>5995</v>
      </c>
      <c r="F99" s="554">
        <v>6005</v>
      </c>
      <c r="G99" s="549">
        <f t="shared" si="10"/>
        <v>10</v>
      </c>
      <c r="H99" s="536">
        <f>G99+'2'!H99</f>
        <v>31</v>
      </c>
      <c r="I99" s="556"/>
      <c r="J99" s="629">
        <f>H99/DAY(B2)</f>
        <v>10.333333333333334</v>
      </c>
      <c r="K99" s="411"/>
      <c r="L99" s="408"/>
      <c r="O99" s="413"/>
    </row>
    <row r="100" spans="1:15" ht="27.75">
      <c r="A100" s="1231" t="s">
        <v>225</v>
      </c>
      <c r="B100" s="1232"/>
      <c r="C100" s="1232"/>
      <c r="D100" s="599" t="s">
        <v>155</v>
      </c>
      <c r="E100" s="560">
        <f>'2'!F100</f>
        <v>4248</v>
      </c>
      <c r="F100" s="554">
        <v>4253</v>
      </c>
      <c r="G100" s="549">
        <f t="shared" si="10"/>
        <v>5</v>
      </c>
      <c r="H100" s="536">
        <f>G100+'2'!H100</f>
        <v>16</v>
      </c>
      <c r="I100" s="556"/>
      <c r="J100" s="629">
        <f>H100/DAY(B2)</f>
        <v>5.333333333333333</v>
      </c>
      <c r="K100" s="411"/>
      <c r="L100" s="408"/>
      <c r="O100" s="413"/>
    </row>
    <row r="101" spans="1:15">
      <c r="A101" s="1434" t="s">
        <v>227</v>
      </c>
      <c r="B101" s="1435"/>
      <c r="C101" s="1436"/>
      <c r="D101" s="600"/>
      <c r="E101" s="600"/>
      <c r="F101" s="600"/>
      <c r="G101" s="601">
        <f>SUM(G95:G100)</f>
        <v>218</v>
      </c>
      <c r="H101" s="536">
        <f>G101+'2'!H101</f>
        <v>629</v>
      </c>
      <c r="I101" s="602"/>
      <c r="J101" s="629">
        <f>H101/DAY(B2)</f>
        <v>209.66666666666666</v>
      </c>
      <c r="K101" s="411"/>
      <c r="L101" s="408"/>
      <c r="O101" s="413"/>
    </row>
    <row r="102" spans="1:15" s="481" customFormat="1" ht="27">
      <c r="A102" s="684" t="s">
        <v>228</v>
      </c>
      <c r="B102" s="685"/>
      <c r="C102" s="685"/>
      <c r="D102" s="698"/>
      <c r="E102" s="604"/>
      <c r="F102" s="738"/>
      <c r="G102" s="605"/>
      <c r="H102" s="606"/>
      <c r="I102" s="607"/>
      <c r="J102" s="634"/>
      <c r="O102" s="413"/>
    </row>
    <row r="103" spans="1:15" s="481" customFormat="1" ht="27.75">
      <c r="A103" s="1437" t="s">
        <v>229</v>
      </c>
      <c r="B103" s="1438"/>
      <c r="C103" s="650"/>
      <c r="D103" s="699"/>
      <c r="E103" s="608"/>
      <c r="F103" s="739"/>
      <c r="G103" s="608"/>
      <c r="H103" s="609"/>
      <c r="I103" s="608"/>
      <c r="J103" s="635"/>
      <c r="O103" s="413"/>
    </row>
    <row r="104" spans="1:15" s="481" customFormat="1" ht="27.75">
      <c r="A104" s="1396" t="s">
        <v>230</v>
      </c>
      <c r="B104" s="1397"/>
      <c r="C104" s="1229"/>
      <c r="D104" s="699" t="s">
        <v>155</v>
      </c>
      <c r="E104" s="608">
        <f>'2'!F104</f>
        <v>7010</v>
      </c>
      <c r="F104" s="739">
        <v>7010</v>
      </c>
      <c r="G104" s="608">
        <f>F104-E104</f>
        <v>0</v>
      </c>
      <c r="H104" s="536">
        <f>G104+'2'!H104</f>
        <v>0</v>
      </c>
      <c r="I104" s="608"/>
      <c r="J104" s="635">
        <f>H108/DAY(B2)</f>
        <v>0</v>
      </c>
      <c r="O104" s="413"/>
    </row>
    <row r="105" spans="1:15" s="481" customFormat="1" ht="27.75">
      <c r="A105" s="1396" t="s">
        <v>77</v>
      </c>
      <c r="B105" s="1397"/>
      <c r="C105" s="1229"/>
      <c r="D105" s="699" t="s">
        <v>155</v>
      </c>
      <c r="E105" s="610">
        <f>'2'!F105</f>
        <v>35177</v>
      </c>
      <c r="F105" s="740">
        <v>35183</v>
      </c>
      <c r="G105" s="608">
        <f t="shared" ref="G105:G106" si="11">F105-E105</f>
        <v>6</v>
      </c>
      <c r="H105" s="536">
        <f>G105+'2'!H105</f>
        <v>22</v>
      </c>
      <c r="I105" s="608"/>
      <c r="J105" s="635">
        <f>H105/DAY(B2)</f>
        <v>7.333333333333333</v>
      </c>
      <c r="O105" s="413"/>
    </row>
    <row r="106" spans="1:15" s="481" customFormat="1" ht="27.75">
      <c r="A106" s="1396" t="s">
        <v>78</v>
      </c>
      <c r="B106" s="1445"/>
      <c r="C106" s="1397"/>
      <c r="D106" s="699" t="s">
        <v>155</v>
      </c>
      <c r="E106" s="608">
        <f>'2'!F106</f>
        <v>19092</v>
      </c>
      <c r="F106" s="739">
        <v>19097</v>
      </c>
      <c r="G106" s="608">
        <f t="shared" si="11"/>
        <v>5</v>
      </c>
      <c r="H106" s="536">
        <f>G106+'2'!H106</f>
        <v>17</v>
      </c>
      <c r="I106" s="608"/>
      <c r="J106" s="635">
        <f>H106/DAY(B2)</f>
        <v>5.666666666666667</v>
      </c>
      <c r="O106" s="413"/>
    </row>
    <row r="107" spans="1:15" s="481" customFormat="1" ht="27.75">
      <c r="A107" s="1402" t="s">
        <v>213</v>
      </c>
      <c r="B107" s="1403"/>
      <c r="C107" s="1229"/>
      <c r="D107" s="699"/>
      <c r="E107" s="608"/>
      <c r="F107" s="739" t="s">
        <v>280</v>
      </c>
      <c r="G107" s="608">
        <f>SUM(G104:G106)</f>
        <v>11</v>
      </c>
      <c r="H107" s="536">
        <f>G107+'2'!H107</f>
        <v>39</v>
      </c>
      <c r="I107" s="608"/>
      <c r="J107" s="635">
        <f>H107/DAY(B2)</f>
        <v>13</v>
      </c>
      <c r="O107" s="413"/>
    </row>
    <row r="108" spans="1:15" s="481" customFormat="1" ht="27.75">
      <c r="A108" s="1443" t="s">
        <v>79</v>
      </c>
      <c r="B108" s="1444"/>
      <c r="C108" s="1229"/>
      <c r="D108" s="699" t="s">
        <v>155</v>
      </c>
      <c r="E108" s="608"/>
      <c r="F108" s="739"/>
      <c r="G108" s="608"/>
      <c r="H108" s="536">
        <f>G104+'2'!H104</f>
        <v>0</v>
      </c>
      <c r="I108" s="608"/>
      <c r="J108" s="635"/>
      <c r="O108" s="413"/>
    </row>
    <row r="109" spans="1:15" s="481" customFormat="1" ht="27.75">
      <c r="A109" s="1396" t="s">
        <v>231</v>
      </c>
      <c r="B109" s="1397"/>
      <c r="C109" s="1229"/>
      <c r="D109" s="699" t="s">
        <v>155</v>
      </c>
      <c r="E109" s="608">
        <f>'2'!F109</f>
        <v>54776</v>
      </c>
      <c r="F109" s="739">
        <v>54834</v>
      </c>
      <c r="G109" s="608">
        <f>F109-E109</f>
        <v>58</v>
      </c>
      <c r="H109" s="536">
        <f>G109+'2'!H109</f>
        <v>160</v>
      </c>
      <c r="I109" s="608"/>
      <c r="J109" s="635">
        <f>H109/DAY(B2)</f>
        <v>53.333333333333336</v>
      </c>
      <c r="O109" s="413"/>
    </row>
    <row r="110" spans="1:15" s="481" customFormat="1" ht="27.75">
      <c r="A110" s="1396" t="s">
        <v>232</v>
      </c>
      <c r="B110" s="1397"/>
      <c r="C110" s="1229"/>
      <c r="D110" s="699" t="s">
        <v>155</v>
      </c>
      <c r="E110" s="608">
        <f>'2'!F110</f>
        <v>28659</v>
      </c>
      <c r="F110" s="739">
        <v>28752</v>
      </c>
      <c r="G110" s="608">
        <f t="shared" ref="G110:G111" si="12">F110-E110</f>
        <v>93</v>
      </c>
      <c r="H110" s="536">
        <f>G110+'2'!H110</f>
        <v>211</v>
      </c>
      <c r="I110" s="608"/>
      <c r="J110" s="635">
        <f>H110/DAY(B2)</f>
        <v>70.333333333333329</v>
      </c>
      <c r="O110" s="413"/>
    </row>
    <row r="111" spans="1:15" s="481" customFormat="1" ht="27.75">
      <c r="A111" s="1396" t="s">
        <v>233</v>
      </c>
      <c r="B111" s="1397"/>
      <c r="C111" s="1229"/>
      <c r="D111" s="699" t="s">
        <v>155</v>
      </c>
      <c r="E111" s="608">
        <f>'2'!F111</f>
        <v>3770</v>
      </c>
      <c r="F111" s="739">
        <v>3770</v>
      </c>
      <c r="G111" s="608">
        <f t="shared" si="12"/>
        <v>0</v>
      </c>
      <c r="H111" s="536">
        <f>G111+'2'!H111</f>
        <v>16</v>
      </c>
      <c r="I111" s="608"/>
      <c r="J111" s="635">
        <f>H111/DAY(B2)</f>
        <v>5.333333333333333</v>
      </c>
      <c r="O111" s="413"/>
    </row>
    <row r="112" spans="1:15" s="481" customFormat="1" ht="27.75">
      <c r="A112" s="1402" t="s">
        <v>121</v>
      </c>
      <c r="B112" s="1403"/>
      <c r="C112" s="1229"/>
      <c r="D112" s="699"/>
      <c r="E112" s="608"/>
      <c r="F112" s="739"/>
      <c r="G112" s="608">
        <f>SUM(G109:G111)</f>
        <v>151</v>
      </c>
      <c r="H112" s="536">
        <f>G112+'2'!H112</f>
        <v>387</v>
      </c>
      <c r="I112" s="608"/>
      <c r="J112" s="635">
        <f>H112/DAY(B2)</f>
        <v>129</v>
      </c>
      <c r="O112" s="413"/>
    </row>
    <row r="113" spans="1:15" s="481" customFormat="1" ht="27.75">
      <c r="A113" s="1443" t="s">
        <v>234</v>
      </c>
      <c r="B113" s="1444"/>
      <c r="C113" s="1229"/>
      <c r="D113" s="699"/>
      <c r="E113" s="608"/>
      <c r="F113" s="739"/>
      <c r="G113" s="608"/>
      <c r="H113" s="536">
        <f>G113+'2'!H113</f>
        <v>0</v>
      </c>
      <c r="I113" s="608"/>
      <c r="J113" s="635">
        <f>H113/DAY(B2)</f>
        <v>0</v>
      </c>
      <c r="O113" s="413"/>
    </row>
    <row r="114" spans="1:15" s="481" customFormat="1" ht="27.75">
      <c r="A114" s="1396" t="s">
        <v>235</v>
      </c>
      <c r="B114" s="1397"/>
      <c r="C114" s="1228"/>
      <c r="D114" s="699" t="s">
        <v>155</v>
      </c>
      <c r="E114" s="610">
        <f>'2'!F114</f>
        <v>9828</v>
      </c>
      <c r="F114" s="740">
        <v>9840</v>
      </c>
      <c r="G114" s="610">
        <f>F114-E114</f>
        <v>12</v>
      </c>
      <c r="H114" s="536">
        <f>G114+'2'!H114</f>
        <v>39</v>
      </c>
      <c r="I114" s="608"/>
      <c r="J114" s="635">
        <f>H114/DAY(B2)</f>
        <v>13</v>
      </c>
      <c r="O114" s="413"/>
    </row>
    <row r="115" spans="1:15" s="481" customFormat="1" ht="27.75">
      <c r="A115" s="1396" t="s">
        <v>236</v>
      </c>
      <c r="B115" s="1397"/>
      <c r="C115" s="1228"/>
      <c r="D115" s="699" t="s">
        <v>155</v>
      </c>
      <c r="E115" s="610">
        <f>'2'!F115</f>
        <v>7435</v>
      </c>
      <c r="F115" s="740">
        <v>7441</v>
      </c>
      <c r="G115" s="610">
        <f t="shared" ref="G115:G116" si="13">F115-E115</f>
        <v>6</v>
      </c>
      <c r="H115" s="536">
        <f>G115+'2'!H115</f>
        <v>14</v>
      </c>
      <c r="I115" s="608"/>
      <c r="J115" s="635">
        <f>H115/DAY(B2)</f>
        <v>4.666666666666667</v>
      </c>
      <c r="O115" s="413"/>
    </row>
    <row r="116" spans="1:15" s="481" customFormat="1" ht="27.75">
      <c r="A116" s="1396" t="s">
        <v>237</v>
      </c>
      <c r="B116" s="1397"/>
      <c r="C116" s="1228"/>
      <c r="D116" s="699" t="s">
        <v>155</v>
      </c>
      <c r="E116" s="610"/>
      <c r="F116" s="740"/>
      <c r="G116" s="610">
        <f t="shared" si="13"/>
        <v>0</v>
      </c>
      <c r="H116" s="536">
        <f>G116+'2'!H116</f>
        <v>0</v>
      </c>
      <c r="I116" s="608"/>
      <c r="J116" s="635">
        <f>H116/DAY(B2)</f>
        <v>0</v>
      </c>
      <c r="O116" s="413"/>
    </row>
    <row r="117" spans="1:15" s="494" customFormat="1" ht="27.75">
      <c r="A117" s="1402" t="s">
        <v>213</v>
      </c>
      <c r="B117" s="1403"/>
      <c r="C117" s="1228"/>
      <c r="D117" s="863"/>
      <c r="E117" s="610"/>
      <c r="F117" s="740"/>
      <c r="G117" s="610">
        <f>SUM(G114:G116)</f>
        <v>18</v>
      </c>
      <c r="H117" s="536">
        <f>G117+'2'!H117</f>
        <v>53</v>
      </c>
      <c r="I117" s="610"/>
      <c r="J117" s="635">
        <f>H117/DAY(B2)</f>
        <v>17.666666666666668</v>
      </c>
      <c r="O117" s="413"/>
    </row>
    <row r="118" spans="1:15" s="494" customFormat="1" ht="27.75">
      <c r="A118" s="1394" t="s">
        <v>238</v>
      </c>
      <c r="B118" s="1395"/>
      <c r="C118" s="1228"/>
      <c r="D118" s="701" t="s">
        <v>155</v>
      </c>
      <c r="E118" s="612"/>
      <c r="F118" s="741">
        <f>SUM(G19+G92)</f>
        <v>139</v>
      </c>
      <c r="G118" s="612">
        <f>SUM(G19+G92)</f>
        <v>139</v>
      </c>
      <c r="H118" s="536">
        <f>G118+'2'!H118</f>
        <v>403</v>
      </c>
      <c r="I118" s="611"/>
      <c r="J118" s="636">
        <f>H118/DAY(B2)</f>
        <v>134.33333333333334</v>
      </c>
      <c r="O118" s="413"/>
    </row>
    <row r="119" spans="1:15" s="494" customFormat="1" ht="27.75">
      <c r="A119" s="1394" t="s">
        <v>239</v>
      </c>
      <c r="B119" s="1395"/>
      <c r="C119" s="1228"/>
      <c r="D119" s="701" t="s">
        <v>155</v>
      </c>
      <c r="E119" s="612"/>
      <c r="F119" s="741">
        <f>SUM(G95,G96,G97,G99,G100)</f>
        <v>146</v>
      </c>
      <c r="G119" s="612">
        <f>SUM(G95,G96,G97,G99,G100)</f>
        <v>146</v>
      </c>
      <c r="H119" s="536">
        <f>G119+'2'!H119</f>
        <v>407</v>
      </c>
      <c r="I119" s="611"/>
      <c r="J119" s="636">
        <f>H119/DAY(B2)</f>
        <v>135.66666666666666</v>
      </c>
      <c r="O119" s="413"/>
    </row>
    <row r="120" spans="1:15" s="494" customFormat="1" ht="27.75">
      <c r="A120" s="1394" t="s">
        <v>240</v>
      </c>
      <c r="B120" s="1395"/>
      <c r="C120" s="1228"/>
      <c r="D120" s="701" t="s">
        <v>155</v>
      </c>
      <c r="E120" s="610"/>
      <c r="F120" s="740">
        <f>SUM(G112)</f>
        <v>151</v>
      </c>
      <c r="G120" s="610">
        <f>SUM(G112)</f>
        <v>151</v>
      </c>
      <c r="H120" s="536">
        <f>G120+'2'!H120</f>
        <v>387</v>
      </c>
      <c r="I120" s="611"/>
      <c r="J120" s="636">
        <f>H120/DAY(B2)</f>
        <v>129</v>
      </c>
      <c r="O120" s="413"/>
    </row>
    <row r="121" spans="1:15" s="481" customFormat="1" ht="27.75">
      <c r="A121" s="1396"/>
      <c r="B121" s="1397"/>
      <c r="C121" s="1229"/>
      <c r="D121" s="637"/>
      <c r="E121" s="637"/>
      <c r="F121" s="742" t="s">
        <v>226</v>
      </c>
      <c r="G121" s="637"/>
      <c r="H121" s="638"/>
      <c r="I121" s="637"/>
      <c r="J121" s="639"/>
      <c r="O121" s="413"/>
    </row>
    <row r="122" spans="1:15">
      <c r="A122" s="1431" t="s">
        <v>241</v>
      </c>
      <c r="B122" s="1432"/>
      <c r="C122" s="1433"/>
      <c r="D122" s="548"/>
      <c r="E122" s="548"/>
      <c r="F122" s="548"/>
      <c r="G122" s="559"/>
      <c r="H122" s="559"/>
      <c r="I122" s="559"/>
      <c r="J122" s="640"/>
      <c r="K122" s="411"/>
      <c r="L122" s="408"/>
      <c r="O122" s="413"/>
    </row>
    <row r="123" spans="1:15" ht="27.75">
      <c r="A123" s="1231" t="s">
        <v>242</v>
      </c>
      <c r="B123" s="1232"/>
      <c r="C123" s="1232"/>
      <c r="D123" s="599" t="s">
        <v>152</v>
      </c>
      <c r="E123" s="554">
        <f>'2'!F123</f>
        <v>803864</v>
      </c>
      <c r="F123" s="554">
        <v>804129</v>
      </c>
      <c r="G123" s="549">
        <f t="shared" ref="G123:G127" si="14">F123-E123</f>
        <v>265</v>
      </c>
      <c r="H123" s="536">
        <f>G123+'2'!H123</f>
        <v>793.59999999997672</v>
      </c>
      <c r="I123" s="602"/>
      <c r="J123" s="629">
        <f>H123/DAY(B2)</f>
        <v>264.53333333332557</v>
      </c>
      <c r="K123" s="411"/>
      <c r="L123" s="408"/>
      <c r="O123" s="413"/>
    </row>
    <row r="124" spans="1:15" ht="27.75">
      <c r="A124" s="1231" t="s">
        <v>243</v>
      </c>
      <c r="B124" s="1232"/>
      <c r="C124" s="1232"/>
      <c r="D124" s="599" t="s">
        <v>152</v>
      </c>
      <c r="E124" s="703">
        <f>'2'!F124</f>
        <v>73582</v>
      </c>
      <c r="F124" s="703">
        <v>73582</v>
      </c>
      <c r="G124" s="549">
        <f t="shared" si="14"/>
        <v>0</v>
      </c>
      <c r="H124" s="536">
        <f>G124+'2'!H124</f>
        <v>0</v>
      </c>
      <c r="I124" s="602"/>
      <c r="J124" s="629">
        <f>H124/DAY(B2)</f>
        <v>0</v>
      </c>
      <c r="K124" s="411"/>
      <c r="L124" s="408"/>
      <c r="O124" s="413"/>
    </row>
    <row r="125" spans="1:15" ht="27.75">
      <c r="A125" s="1385" t="s">
        <v>244</v>
      </c>
      <c r="B125" s="1386"/>
      <c r="C125" s="1387"/>
      <c r="D125" s="599" t="s">
        <v>152</v>
      </c>
      <c r="E125" s="554">
        <f>'2'!F125</f>
        <v>137969</v>
      </c>
      <c r="F125" s="554">
        <v>138052</v>
      </c>
      <c r="G125" s="549">
        <f t="shared" si="14"/>
        <v>83</v>
      </c>
      <c r="H125" s="536">
        <f>G125+'2'!H125</f>
        <v>204</v>
      </c>
      <c r="I125" s="602"/>
      <c r="J125" s="629">
        <f>H125/DAY(B2)</f>
        <v>68</v>
      </c>
      <c r="K125" s="411"/>
      <c r="L125" s="408"/>
      <c r="O125" s="413"/>
    </row>
    <row r="126" spans="1:15" ht="27.75">
      <c r="A126" s="686" t="s">
        <v>245</v>
      </c>
      <c r="B126" s="1232"/>
      <c r="C126" s="1232"/>
      <c r="D126" s="599" t="s">
        <v>152</v>
      </c>
      <c r="E126" s="703">
        <f>'2'!F126</f>
        <v>58472</v>
      </c>
      <c r="F126" s="703">
        <v>58529</v>
      </c>
      <c r="G126" s="549">
        <f t="shared" si="14"/>
        <v>57</v>
      </c>
      <c r="H126" s="536">
        <f>G126+'2'!H126</f>
        <v>137.30000000000291</v>
      </c>
      <c r="I126" s="602"/>
      <c r="J126" s="629">
        <f>H126/DAY(B2)</f>
        <v>45.766666666667639</v>
      </c>
      <c r="K126" s="411"/>
      <c r="L126" s="408"/>
      <c r="O126" s="413"/>
    </row>
    <row r="127" spans="1:15" ht="27.75">
      <c r="A127" s="686" t="s">
        <v>246</v>
      </c>
      <c r="B127" s="1232"/>
      <c r="C127" s="1232"/>
      <c r="D127" s="599" t="s">
        <v>152</v>
      </c>
      <c r="E127" s="703">
        <f>'2'!F127</f>
        <v>8819</v>
      </c>
      <c r="F127" s="703">
        <v>8823</v>
      </c>
      <c r="G127" s="549">
        <f t="shared" si="14"/>
        <v>4</v>
      </c>
      <c r="H127" s="536">
        <f>G127+'2'!H127</f>
        <v>7</v>
      </c>
      <c r="I127" s="556"/>
      <c r="J127" s="629">
        <f>H127/DAY(B2)</f>
        <v>2.3333333333333335</v>
      </c>
      <c r="K127" s="411"/>
      <c r="L127" s="408"/>
      <c r="O127" s="413"/>
    </row>
    <row r="128" spans="1:15" s="281" customFormat="1" ht="27.75">
      <c r="A128" s="686" t="s">
        <v>247</v>
      </c>
      <c r="B128" s="1232"/>
      <c r="C128" s="1232"/>
      <c r="D128" s="599"/>
      <c r="E128" s="554"/>
      <c r="F128" s="554"/>
      <c r="G128" s="549">
        <f>G15-SUM(G123:G127)</f>
        <v>464</v>
      </c>
      <c r="H128" s="536">
        <f>G128+'2'!H128</f>
        <v>1389.9500000001135</v>
      </c>
      <c r="I128" s="556"/>
      <c r="J128" s="629">
        <f>H128/DAY(B2)</f>
        <v>463.31666666670452</v>
      </c>
      <c r="K128" s="391"/>
      <c r="L128" s="293"/>
      <c r="O128" s="413"/>
    </row>
    <row r="129" spans="1:15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O129" s="413"/>
    </row>
    <row r="130" spans="1:15" ht="27.75">
      <c r="A130" s="1231" t="s">
        <v>249</v>
      </c>
      <c r="B130" s="1232"/>
      <c r="C130" s="1232"/>
      <c r="D130" s="599" t="s">
        <v>250</v>
      </c>
      <c r="E130" s="560">
        <f>'2'!F130</f>
        <v>0</v>
      </c>
      <c r="F130" s="554">
        <v>0</v>
      </c>
      <c r="G130" s="549">
        <f t="shared" ref="G130:G140" si="15">F130-E130</f>
        <v>0</v>
      </c>
      <c r="H130" s="536">
        <f>G130+'2'!H130</f>
        <v>0</v>
      </c>
      <c r="I130" s="556"/>
      <c r="J130" s="629">
        <f>H130/DAY(B2)</f>
        <v>0</v>
      </c>
      <c r="O130" s="413"/>
    </row>
    <row r="131" spans="1:15" ht="27.75">
      <c r="A131" s="1231" t="s">
        <v>251</v>
      </c>
      <c r="B131" s="1232"/>
      <c r="C131" s="1232"/>
      <c r="D131" s="599" t="s">
        <v>250</v>
      </c>
      <c r="E131" s="560">
        <f>'2'!F131</f>
        <v>0</v>
      </c>
      <c r="F131" s="554">
        <v>0</v>
      </c>
      <c r="G131" s="549">
        <f t="shared" si="15"/>
        <v>0</v>
      </c>
      <c r="H131" s="536">
        <f>G131+'2'!H131</f>
        <v>0</v>
      </c>
      <c r="I131" s="556"/>
      <c r="J131" s="629">
        <f>H131/DAY(B2)</f>
        <v>0</v>
      </c>
      <c r="O131" s="413"/>
    </row>
    <row r="132" spans="1:15" ht="27.75">
      <c r="A132" s="1231" t="s">
        <v>252</v>
      </c>
      <c r="B132" s="1232"/>
      <c r="C132" s="1232"/>
      <c r="D132" s="599" t="s">
        <v>250</v>
      </c>
      <c r="E132" s="618">
        <f>'2'!F132</f>
        <v>39152</v>
      </c>
      <c r="F132" s="732">
        <v>39176</v>
      </c>
      <c r="G132" s="549">
        <f t="shared" si="15"/>
        <v>24</v>
      </c>
      <c r="H132" s="536">
        <f>G132+'2'!H132</f>
        <v>71.559999999997672</v>
      </c>
      <c r="I132" s="556"/>
      <c r="J132" s="629">
        <f>H132/DAY(B2)</f>
        <v>23.853333333332557</v>
      </c>
      <c r="O132" s="413"/>
    </row>
    <row r="133" spans="1:15" ht="27.75">
      <c r="A133" s="1231" t="s">
        <v>253</v>
      </c>
      <c r="B133" s="1232"/>
      <c r="C133" s="1232"/>
      <c r="D133" s="599" t="s">
        <v>250</v>
      </c>
      <c r="E133" s="782">
        <f>'2'!F133</f>
        <v>299</v>
      </c>
      <c r="F133" s="703">
        <v>299</v>
      </c>
      <c r="G133" s="549">
        <f t="shared" si="15"/>
        <v>0</v>
      </c>
      <c r="H133" s="536">
        <f>G133+'2'!H133</f>
        <v>0</v>
      </c>
      <c r="I133" s="556"/>
      <c r="J133" s="629">
        <f>H133/DAY(B2)</f>
        <v>0</v>
      </c>
      <c r="O133" s="413"/>
    </row>
    <row r="134" spans="1:15" ht="27.75">
      <c r="A134" s="1231" t="s">
        <v>254</v>
      </c>
      <c r="B134" s="1232"/>
      <c r="C134" s="1232"/>
      <c r="D134" s="599" t="s">
        <v>250</v>
      </c>
      <c r="E134" s="782">
        <f>'2'!F134</f>
        <v>39951</v>
      </c>
      <c r="F134" s="703">
        <v>39951</v>
      </c>
      <c r="G134" s="549">
        <f t="shared" si="15"/>
        <v>0</v>
      </c>
      <c r="H134" s="536">
        <f>G134+'2'!H134</f>
        <v>0</v>
      </c>
      <c r="I134" s="556"/>
      <c r="J134" s="629">
        <f>H134/DAY(B2)</f>
        <v>0</v>
      </c>
      <c r="O134" s="413"/>
    </row>
    <row r="135" spans="1:15" ht="27.75">
      <c r="A135" s="1231" t="s">
        <v>255</v>
      </c>
      <c r="B135" s="1232"/>
      <c r="C135" s="1232"/>
      <c r="D135" s="599" t="s">
        <v>250</v>
      </c>
      <c r="E135" s="782">
        <f>'2'!F135</f>
        <v>32423</v>
      </c>
      <c r="F135" s="703">
        <v>32423</v>
      </c>
      <c r="G135" s="549">
        <f t="shared" si="15"/>
        <v>0</v>
      </c>
      <c r="H135" s="536">
        <f>G135+'2'!H135</f>
        <v>0</v>
      </c>
      <c r="I135" s="556">
        <f t="shared" ref="I135" si="16">G132+G133+G134+G135</f>
        <v>24</v>
      </c>
      <c r="J135" s="629">
        <f>H135/DAY(B2)</f>
        <v>0</v>
      </c>
      <c r="O135" s="413"/>
    </row>
    <row r="136" spans="1:15" ht="27.75">
      <c r="A136" s="1231" t="s">
        <v>256</v>
      </c>
      <c r="B136" s="1232"/>
      <c r="C136" s="1232"/>
      <c r="D136" s="599" t="s">
        <v>250</v>
      </c>
      <c r="E136" s="618">
        <f>'2'!F136</f>
        <v>22018.58</v>
      </c>
      <c r="F136" s="732">
        <v>22022</v>
      </c>
      <c r="G136" s="549">
        <f t="shared" si="15"/>
        <v>3.4199999999982538</v>
      </c>
      <c r="H136" s="536">
        <f>G136+'2'!H136</f>
        <v>20.040000000000873</v>
      </c>
      <c r="I136" s="556"/>
      <c r="J136" s="629">
        <f>H136/DAY(B2)</f>
        <v>6.680000000000291</v>
      </c>
      <c r="O136" s="413"/>
    </row>
    <row r="137" spans="1:15" ht="27.75">
      <c r="A137" s="1231" t="s">
        <v>257</v>
      </c>
      <c r="B137" s="1232"/>
      <c r="C137" s="1232"/>
      <c r="D137" s="599" t="s">
        <v>250</v>
      </c>
      <c r="E137" s="618">
        <f>'2'!F137</f>
        <v>25020.53</v>
      </c>
      <c r="F137" s="732">
        <v>25025</v>
      </c>
      <c r="G137" s="549">
        <f t="shared" si="15"/>
        <v>4.4700000000011642</v>
      </c>
      <c r="H137" s="536">
        <f>G137+'2'!H137</f>
        <v>5.0600000000013097</v>
      </c>
      <c r="I137" s="556"/>
      <c r="J137" s="629">
        <f>H137/DAY(B2)</f>
        <v>1.6866666666671033</v>
      </c>
      <c r="O137" s="413"/>
    </row>
    <row r="138" spans="1:15" ht="27.75">
      <c r="A138" s="1231" t="s">
        <v>258</v>
      </c>
      <c r="B138" s="1232"/>
      <c r="C138" s="1232"/>
      <c r="D138" s="599" t="s">
        <v>250</v>
      </c>
      <c r="E138" s="618">
        <f>'2'!F138</f>
        <v>70063.89</v>
      </c>
      <c r="F138" s="732">
        <v>70063.89</v>
      </c>
      <c r="G138" s="549">
        <f t="shared" si="15"/>
        <v>0</v>
      </c>
      <c r="H138" s="536">
        <f>G138+'2'!H138</f>
        <v>0</v>
      </c>
      <c r="I138" s="556">
        <f>G136+G137+G138</f>
        <v>7.8899999999994179</v>
      </c>
      <c r="J138" s="629">
        <f>H138/DAY(B2)</f>
        <v>0</v>
      </c>
      <c r="O138" s="413"/>
    </row>
    <row r="139" spans="1:15" ht="27.75">
      <c r="A139" s="1231" t="s">
        <v>259</v>
      </c>
      <c r="B139" s="1232"/>
      <c r="C139" s="1232"/>
      <c r="D139" s="599" t="s">
        <v>250</v>
      </c>
      <c r="E139" s="782">
        <f>'2'!F139</f>
        <v>1216.17</v>
      </c>
      <c r="F139" s="703">
        <v>1223.95</v>
      </c>
      <c r="G139" s="549">
        <f t="shared" si="15"/>
        <v>7.7799999999999727</v>
      </c>
      <c r="H139" s="536">
        <f>G139+'2'!H139</f>
        <v>23.360000000000127</v>
      </c>
      <c r="I139" s="619"/>
      <c r="J139" s="629">
        <f>H139/DAY(B2)</f>
        <v>7.7866666666667088</v>
      </c>
      <c r="O139" s="413"/>
    </row>
    <row r="140" spans="1:15" ht="27.75">
      <c r="A140" s="1231" t="s">
        <v>260</v>
      </c>
      <c r="B140" s="1232"/>
      <c r="C140" s="1232"/>
      <c r="D140" s="599" t="s">
        <v>250</v>
      </c>
      <c r="E140" s="560">
        <f>'2'!F140</f>
        <v>4334</v>
      </c>
      <c r="F140" s="554">
        <v>4334</v>
      </c>
      <c r="G140" s="549">
        <f t="shared" si="15"/>
        <v>0</v>
      </c>
      <c r="H140" s="536">
        <f>G140+'2'!H140</f>
        <v>0</v>
      </c>
      <c r="I140" s="619">
        <f>G140+G177</f>
        <v>0</v>
      </c>
      <c r="J140" s="629">
        <f>H140/DAY(B2)</f>
        <v>0</v>
      </c>
      <c r="O140" s="413"/>
    </row>
    <row r="141" spans="1:15">
      <c r="A141" s="1412" t="s">
        <v>261</v>
      </c>
      <c r="B141" s="1413"/>
      <c r="C141" s="1237"/>
      <c r="D141" s="548"/>
      <c r="E141" s="548"/>
      <c r="F141" s="548"/>
      <c r="G141" s="559"/>
      <c r="H141" s="559"/>
      <c r="I141" s="559"/>
      <c r="J141" s="640"/>
      <c r="K141" s="411"/>
      <c r="L141" s="408"/>
      <c r="O141" s="413"/>
    </row>
    <row r="142" spans="1:15" ht="27.75">
      <c r="A142" s="1406" t="s">
        <v>262</v>
      </c>
      <c r="B142" s="1407"/>
      <c r="C142" s="1408"/>
      <c r="D142" s="599" t="s">
        <v>143</v>
      </c>
      <c r="E142" s="599"/>
      <c r="F142" s="599"/>
      <c r="G142" s="536">
        <f>G35+G43+G49+G57</f>
        <v>4875.3299999999581</v>
      </c>
      <c r="H142" s="536">
        <f>G142+'2'!H142</f>
        <v>15463.369999999937</v>
      </c>
      <c r="I142" s="556"/>
      <c r="J142" s="629">
        <f>H142/DAY(B2)</f>
        <v>5154.456666666646</v>
      </c>
      <c r="K142" s="411"/>
      <c r="L142" s="408"/>
      <c r="O142" s="413"/>
    </row>
    <row r="143" spans="1:15" ht="27.75">
      <c r="A143" s="1406" t="s">
        <v>263</v>
      </c>
      <c r="B143" s="1407"/>
      <c r="C143" s="1408"/>
      <c r="D143" s="599" t="s">
        <v>24</v>
      </c>
      <c r="E143" s="587"/>
      <c r="F143" s="587"/>
      <c r="G143" s="620">
        <f>G142/G7</f>
        <v>0.25162993548386881</v>
      </c>
      <c r="H143" s="536">
        <f>G143+'2'!H143</f>
        <v>0.60060976288363699</v>
      </c>
      <c r="I143" s="621"/>
      <c r="J143" s="629">
        <f>H143/DAY(B2)</f>
        <v>0.20020325429454566</v>
      </c>
      <c r="K143" s="411"/>
      <c r="L143" s="408"/>
      <c r="O143" s="413"/>
    </row>
    <row r="144" spans="1:15" ht="27.75">
      <c r="A144" s="1406" t="s">
        <v>264</v>
      </c>
      <c r="B144" s="1407"/>
      <c r="C144" s="1408"/>
      <c r="D144" s="599" t="s">
        <v>143</v>
      </c>
      <c r="E144" s="531"/>
      <c r="F144" s="531"/>
      <c r="G144" s="536">
        <f>G41+G42+G55+G56</f>
        <v>4011</v>
      </c>
      <c r="H144" s="536">
        <f>G144+'2'!H144</f>
        <v>12550.090000000018</v>
      </c>
      <c r="I144" s="556"/>
      <c r="J144" s="629">
        <f>H144/DAY(B2)</f>
        <v>4183.3633333333391</v>
      </c>
      <c r="K144" s="411"/>
      <c r="L144" s="408"/>
      <c r="O144" s="413"/>
    </row>
    <row r="145" spans="1:15" ht="27.75">
      <c r="A145" s="1406" t="s">
        <v>265</v>
      </c>
      <c r="B145" s="1407"/>
      <c r="C145" s="1408"/>
      <c r="D145" s="599" t="s">
        <v>24</v>
      </c>
      <c r="E145" s="531"/>
      <c r="F145" s="531"/>
      <c r="G145" s="620">
        <f>G144/G7</f>
        <v>0.20701935483870967</v>
      </c>
      <c r="H145" s="536">
        <f>G145+'2'!H145</f>
        <v>0.64866124449232521</v>
      </c>
      <c r="I145" s="621"/>
      <c r="J145" s="629">
        <f>H145/DAY(B2)</f>
        <v>0.21622041483077506</v>
      </c>
      <c r="K145" s="411"/>
      <c r="L145" s="408"/>
      <c r="O145" s="413"/>
    </row>
    <row r="146" spans="1:15" ht="27.75">
      <c r="A146" s="1406" t="s">
        <v>266</v>
      </c>
      <c r="B146" s="1407"/>
      <c r="C146" s="1408"/>
      <c r="D146" s="599" t="s">
        <v>143</v>
      </c>
      <c r="E146" s="531"/>
      <c r="F146" s="531"/>
      <c r="G146" s="536">
        <f>G39+G53</f>
        <v>4269</v>
      </c>
      <c r="H146" s="536">
        <f>G146+'2'!H146</f>
        <v>12531.729999999981</v>
      </c>
      <c r="I146" s="622"/>
      <c r="J146" s="629">
        <f>H146/DAY(B2)</f>
        <v>4177.2433333333274</v>
      </c>
      <c r="K146" s="411"/>
      <c r="L146" s="408"/>
      <c r="O146" s="413"/>
    </row>
    <row r="147" spans="1:15" ht="27.75">
      <c r="A147" s="1406" t="s">
        <v>267</v>
      </c>
      <c r="B147" s="1407"/>
      <c r="C147" s="1408"/>
      <c r="D147" s="599" t="s">
        <v>24</v>
      </c>
      <c r="E147" s="531"/>
      <c r="F147" s="531"/>
      <c r="G147" s="620">
        <f>G146/G7</f>
        <v>0.22033548387096774</v>
      </c>
      <c r="H147" s="536">
        <f>G147+'2'!H147</f>
        <v>0.64765479828603567</v>
      </c>
      <c r="I147" s="622"/>
      <c r="J147" s="629">
        <f>H147/DAY(B2)</f>
        <v>0.2158849327620119</v>
      </c>
      <c r="O147" s="413"/>
    </row>
    <row r="148" spans="1:15" ht="27.75">
      <c r="A148" s="1406" t="s">
        <v>268</v>
      </c>
      <c r="B148" s="1407"/>
      <c r="C148" s="1408"/>
      <c r="D148" s="599" t="s">
        <v>194</v>
      </c>
      <c r="E148" s="531"/>
      <c r="F148" s="531"/>
      <c r="G148" s="536">
        <f>G38+G52</f>
        <v>1949</v>
      </c>
      <c r="H148" s="536">
        <f>G148+'2'!H148</f>
        <v>5986.3300000000163</v>
      </c>
      <c r="I148" s="556"/>
      <c r="J148" s="629">
        <f>H148/DAY(B2)</f>
        <v>1995.4433333333388</v>
      </c>
      <c r="K148" s="412"/>
      <c r="O148" s="413"/>
    </row>
    <row r="149" spans="1:15" ht="27.75">
      <c r="A149" s="1406" t="s">
        <v>269</v>
      </c>
      <c r="B149" s="1407"/>
      <c r="C149" s="1408"/>
      <c r="D149" s="599" t="s">
        <v>24</v>
      </c>
      <c r="E149" s="531"/>
      <c r="F149" s="531"/>
      <c r="G149" s="620">
        <f>G148/G7</f>
        <v>0.10059354838709678</v>
      </c>
      <c r="H149" s="536">
        <f>G149+'2'!H149</f>
        <v>0.30939242065607908</v>
      </c>
      <c r="I149" s="622"/>
      <c r="J149" s="629">
        <f>H149/DAY(B2)</f>
        <v>0.10313080688535969</v>
      </c>
      <c r="O149" s="413"/>
    </row>
    <row r="150" spans="1:15" ht="27.75">
      <c r="A150" s="1406" t="s">
        <v>270</v>
      </c>
      <c r="B150" s="1407"/>
      <c r="C150" s="1408"/>
      <c r="D150" s="599" t="s">
        <v>194</v>
      </c>
      <c r="E150" s="531"/>
      <c r="F150" s="531"/>
      <c r="G150" s="536">
        <f>G36+G50</f>
        <v>2170</v>
      </c>
      <c r="H150" s="536">
        <f>G150+'2'!H150</f>
        <v>5404.2399999999907</v>
      </c>
      <c r="I150" s="622"/>
      <c r="J150" s="629">
        <f>H150/DAY(B2)</f>
        <v>1801.4133333333302</v>
      </c>
      <c r="O150" s="413"/>
    </row>
    <row r="151" spans="1:15" ht="27.75">
      <c r="A151" s="1406" t="s">
        <v>271</v>
      </c>
      <c r="B151" s="1407"/>
      <c r="C151" s="1408"/>
      <c r="D151" s="599" t="s">
        <v>24</v>
      </c>
      <c r="E151" s="531"/>
      <c r="F151" s="531"/>
      <c r="G151" s="620">
        <f>G150/G7</f>
        <v>0.112</v>
      </c>
      <c r="H151" s="536">
        <f>G151+'2'!H151</f>
        <v>0.27925634714992981</v>
      </c>
      <c r="I151" s="556"/>
      <c r="J151" s="629">
        <f>H151/DAY(B2)</f>
        <v>9.3085449049976607E-2</v>
      </c>
      <c r="O151" s="413"/>
    </row>
    <row r="152" spans="1:15" ht="27.75">
      <c r="A152" s="1406" t="s">
        <v>272</v>
      </c>
      <c r="B152" s="1407"/>
      <c r="C152" s="1408"/>
      <c r="D152" s="599" t="s">
        <v>194</v>
      </c>
      <c r="E152" s="531"/>
      <c r="F152" s="531"/>
      <c r="G152" s="536">
        <f>G37+G51</f>
        <v>1532</v>
      </c>
      <c r="H152" s="536">
        <f>G152+'2'!H152</f>
        <v>4411.2599999999948</v>
      </c>
      <c r="I152" s="556"/>
      <c r="J152" s="629">
        <f>H152/DAY(B2)</f>
        <v>1470.4199999999983</v>
      </c>
      <c r="O152" s="413"/>
    </row>
    <row r="153" spans="1:15" ht="28.5" thickBot="1">
      <c r="A153" s="1409" t="s">
        <v>273</v>
      </c>
      <c r="B153" s="1410"/>
      <c r="C153" s="1411"/>
      <c r="D153" s="702" t="s">
        <v>24</v>
      </c>
      <c r="E153" s="642"/>
      <c r="F153" s="642"/>
      <c r="G153" s="643">
        <f>G152/G7</f>
        <v>7.9070967741935477E-2</v>
      </c>
      <c r="H153" s="536">
        <f>G153+'2'!H153</f>
        <v>0.22797804347770204</v>
      </c>
      <c r="I153" s="645"/>
      <c r="J153" s="646">
        <f>H153/DAY(B2)</f>
        <v>7.5992681159234007E-2</v>
      </c>
      <c r="O153" s="413"/>
    </row>
    <row r="154" spans="1:15">
      <c r="O154" s="413"/>
    </row>
    <row r="157" spans="1:15" ht="27.75">
      <c r="A157" s="1440" t="s">
        <v>278</v>
      </c>
      <c r="B157" s="1441"/>
      <c r="C157" s="1441"/>
      <c r="D157" s="1441"/>
      <c r="E157" s="1441"/>
      <c r="F157" s="1441"/>
      <c r="G157" s="1442"/>
    </row>
    <row r="158" spans="1:15">
      <c r="A158" s="868"/>
      <c r="B158" s="869"/>
      <c r="C158" s="869"/>
      <c r="D158" s="587"/>
      <c r="E158" s="531"/>
      <c r="F158" s="739"/>
      <c r="G158" s="549"/>
    </row>
    <row r="159" spans="1:15">
      <c r="A159" s="868"/>
      <c r="B159" s="869"/>
      <c r="C159" s="869"/>
      <c r="D159" s="587"/>
      <c r="E159" s="531"/>
      <c r="F159" s="739"/>
      <c r="G159" s="549"/>
    </row>
    <row r="160" spans="1:15">
      <c r="A160" s="868" t="s">
        <v>274</v>
      </c>
      <c r="B160" s="869"/>
      <c r="C160" s="869"/>
      <c r="D160" s="587" t="s">
        <v>198</v>
      </c>
      <c r="E160" s="739">
        <v>28595</v>
      </c>
      <c r="F160" s="739">
        <v>28678</v>
      </c>
      <c r="G160" s="549">
        <f t="shared" ref="G160:G171" si="17">F160-E160</f>
        <v>83</v>
      </c>
    </row>
    <row r="161" spans="1:7">
      <c r="A161" s="868" t="s">
        <v>275</v>
      </c>
      <c r="B161" s="869"/>
      <c r="C161" s="869"/>
      <c r="D161" s="587" t="s">
        <v>198</v>
      </c>
      <c r="E161" s="739">
        <v>43557</v>
      </c>
      <c r="F161" s="739">
        <v>44054</v>
      </c>
      <c r="G161" s="549">
        <f t="shared" si="17"/>
        <v>497</v>
      </c>
    </row>
    <row r="162" spans="1:7">
      <c r="A162" s="868" t="s">
        <v>276</v>
      </c>
      <c r="B162" s="869"/>
      <c r="C162" s="869"/>
      <c r="D162" s="587" t="s">
        <v>198</v>
      </c>
      <c r="E162" s="739">
        <v>13216</v>
      </c>
      <c r="F162" s="739">
        <v>13431</v>
      </c>
      <c r="G162" s="549">
        <f t="shared" si="17"/>
        <v>215</v>
      </c>
    </row>
    <row r="163" spans="1:7">
      <c r="A163" s="868" t="s">
        <v>277</v>
      </c>
      <c r="B163" s="869"/>
      <c r="C163" s="869"/>
      <c r="D163" s="587" t="s">
        <v>198</v>
      </c>
      <c r="E163" s="739">
        <v>5034</v>
      </c>
      <c r="F163" s="739">
        <v>5050</v>
      </c>
      <c r="G163" s="549">
        <f t="shared" si="17"/>
        <v>16</v>
      </c>
    </row>
    <row r="164" spans="1:7">
      <c r="A164" s="870" t="s">
        <v>106</v>
      </c>
      <c r="B164" s="681"/>
      <c r="C164" s="681"/>
      <c r="D164" s="587" t="s">
        <v>198</v>
      </c>
      <c r="E164" s="590">
        <f>E62</f>
        <v>20419.188999999998</v>
      </c>
      <c r="F164" s="590">
        <f>F62</f>
        <v>20419.188999999998</v>
      </c>
      <c r="G164" s="549">
        <f t="shared" si="17"/>
        <v>0</v>
      </c>
    </row>
    <row r="165" spans="1:7">
      <c r="A165" s="870" t="s">
        <v>199</v>
      </c>
      <c r="B165" s="681"/>
      <c r="C165" s="681"/>
      <c r="D165" s="587" t="s">
        <v>198</v>
      </c>
      <c r="E165" s="590">
        <f t="shared" ref="E165" si="18">E63</f>
        <v>1362</v>
      </c>
      <c r="F165" s="590">
        <f t="shared" ref="F165:F171" si="19">F63</f>
        <v>1377</v>
      </c>
      <c r="G165" s="549">
        <f t="shared" si="17"/>
        <v>15</v>
      </c>
    </row>
    <row r="166" spans="1:7" ht="21.75" customHeight="1">
      <c r="A166" s="1381" t="s">
        <v>107</v>
      </c>
      <c r="B166" s="1381"/>
      <c r="C166" s="1381"/>
      <c r="D166" s="599" t="s">
        <v>198</v>
      </c>
      <c r="E166" s="590">
        <f t="shared" ref="E166" si="20">E64</f>
        <v>112165</v>
      </c>
      <c r="F166" s="590">
        <f t="shared" si="19"/>
        <v>112583</v>
      </c>
      <c r="G166" s="549">
        <f t="shared" si="17"/>
        <v>418</v>
      </c>
    </row>
    <row r="167" spans="1:7" ht="21.75" customHeight="1">
      <c r="A167" s="1381" t="s">
        <v>108</v>
      </c>
      <c r="B167" s="1381"/>
      <c r="C167" s="1381"/>
      <c r="D167" s="599" t="s">
        <v>198</v>
      </c>
      <c r="E167" s="590">
        <f t="shared" ref="E167" si="21">E65</f>
        <v>122494</v>
      </c>
      <c r="F167" s="590">
        <f t="shared" si="19"/>
        <v>122868</v>
      </c>
      <c r="G167" s="549">
        <f t="shared" si="17"/>
        <v>374</v>
      </c>
    </row>
    <row r="168" spans="1:7" ht="21.75" customHeight="1">
      <c r="A168" s="1381" t="s">
        <v>109</v>
      </c>
      <c r="B168" s="1381"/>
      <c r="C168" s="1381"/>
      <c r="D168" s="599" t="s">
        <v>198</v>
      </c>
      <c r="E168" s="590">
        <f t="shared" ref="E168" si="22">E66</f>
        <v>14954</v>
      </c>
      <c r="F168" s="590">
        <f t="shared" si="19"/>
        <v>15373</v>
      </c>
      <c r="G168" s="549">
        <f t="shared" si="17"/>
        <v>419</v>
      </c>
    </row>
    <row r="169" spans="1:7" ht="27.75" customHeight="1">
      <c r="A169" s="1381" t="s">
        <v>110</v>
      </c>
      <c r="B169" s="1381"/>
      <c r="C169" s="1381"/>
      <c r="D169" s="599" t="s">
        <v>198</v>
      </c>
      <c r="E169" s="590">
        <f t="shared" ref="E169" si="23">E67</f>
        <v>190003</v>
      </c>
      <c r="F169" s="590">
        <f t="shared" si="19"/>
        <v>190728</v>
      </c>
      <c r="G169" s="549">
        <f t="shared" si="17"/>
        <v>725</v>
      </c>
    </row>
    <row r="170" spans="1:7" ht="24" customHeight="1">
      <c r="A170" s="1381" t="s">
        <v>111</v>
      </c>
      <c r="B170" s="1381"/>
      <c r="C170" s="1381"/>
      <c r="D170" s="599" t="s">
        <v>198</v>
      </c>
      <c r="E170" s="590">
        <f t="shared" ref="E170" si="24">E68</f>
        <v>63969</v>
      </c>
      <c r="F170" s="590">
        <f t="shared" si="19"/>
        <v>64300</v>
      </c>
      <c r="G170" s="549">
        <f t="shared" si="17"/>
        <v>331</v>
      </c>
    </row>
    <row r="171" spans="1:7" ht="22.5" customHeight="1">
      <c r="A171" s="1381" t="s">
        <v>112</v>
      </c>
      <c r="B171" s="1381"/>
      <c r="C171" s="1381"/>
      <c r="D171" s="599" t="s">
        <v>198</v>
      </c>
      <c r="E171" s="590">
        <f t="shared" ref="E171" si="25">E69</f>
        <v>56354</v>
      </c>
      <c r="F171" s="590">
        <f t="shared" si="19"/>
        <v>56667</v>
      </c>
      <c r="G171" s="549">
        <f t="shared" si="17"/>
        <v>313</v>
      </c>
    </row>
    <row r="176" spans="1:7" ht="18.75" customHeight="1"/>
    <row r="184" ht="29.25" customHeight="1"/>
    <row r="185" ht="29.25" customHeight="1"/>
    <row r="186" ht="29.25" customHeight="1"/>
    <row r="187" ht="29.25" customHeight="1"/>
    <row r="188" ht="29.25" customHeight="1"/>
    <row r="189" ht="29.25" customHeight="1"/>
    <row r="190" ht="29.25" customHeight="1"/>
  </sheetData>
  <mergeCells count="75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53:C153"/>
    <mergeCell ref="A122:C122"/>
    <mergeCell ref="A125:C125"/>
    <mergeCell ref="A141:B141"/>
    <mergeCell ref="A152:C152"/>
    <mergeCell ref="A151:C151"/>
    <mergeCell ref="A143:C143"/>
    <mergeCell ref="A144:C144"/>
    <mergeCell ref="A145:C145"/>
    <mergeCell ref="A146:C146"/>
    <mergeCell ref="A147:C147"/>
    <mergeCell ref="A142:C142"/>
    <mergeCell ref="A148:C148"/>
    <mergeCell ref="A149:C149"/>
    <mergeCell ref="A150:C150"/>
    <mergeCell ref="A121:B121"/>
    <mergeCell ref="A113:B113"/>
    <mergeCell ref="A114:B114"/>
    <mergeCell ref="A115:B115"/>
    <mergeCell ref="A116:B116"/>
    <mergeCell ref="A117:B117"/>
    <mergeCell ref="A82:C82"/>
    <mergeCell ref="A83:C83"/>
    <mergeCell ref="A118:B118"/>
    <mergeCell ref="A119:B119"/>
    <mergeCell ref="A120:B120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70:C170"/>
    <mergeCell ref="A171:C171"/>
    <mergeCell ref="A157:G157"/>
    <mergeCell ref="A166:C166"/>
    <mergeCell ref="A167:C167"/>
    <mergeCell ref="A168:C168"/>
    <mergeCell ref="A169:C169"/>
  </mergeCells>
  <pageMargins left="0.22" right="0.17" top="0.14000000000000001" bottom="0.2" header="0.2" footer="0.2"/>
  <pageSetup paperSize="5" scale="21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0"/>
  <sheetViews>
    <sheetView view="pageBreakPreview" zoomScale="55" zoomScaleNormal="48" zoomScaleSheetLayoutView="55" workbookViewId="0">
      <selection activeCell="F28" sqref="F28"/>
    </sheetView>
  </sheetViews>
  <sheetFormatPr defaultColWidth="22.33203125" defaultRowHeight="29.25"/>
  <cols>
    <col min="1" max="1" width="42.109375" style="530" customWidth="1"/>
    <col min="2" max="2" width="28.109375" style="533" customWidth="1"/>
    <col min="3" max="3" width="15.88671875" style="533" customWidth="1"/>
    <col min="4" max="4" width="13.6640625" style="614" customWidth="1"/>
    <col min="5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407" customWidth="1"/>
    <col min="15" max="16384" width="22.33203125" style="407"/>
  </cols>
  <sheetData>
    <row r="1" spans="1:14" ht="33.75">
      <c r="A1" s="1414" t="s">
        <v>128</v>
      </c>
      <c r="B1" s="1415"/>
      <c r="C1" s="1415"/>
      <c r="D1" s="1415"/>
      <c r="E1" s="1415"/>
      <c r="F1" s="1415"/>
      <c r="G1" s="1415"/>
      <c r="H1" s="1415"/>
      <c r="I1" s="1415"/>
      <c r="J1" s="1416"/>
    </row>
    <row r="2" spans="1:14" s="281" customFormat="1" ht="27">
      <c r="A2" s="652" t="s">
        <v>336</v>
      </c>
      <c r="B2" s="1118">
        <v>44231</v>
      </c>
      <c r="C2" s="1233" t="s">
        <v>69</v>
      </c>
      <c r="D2" s="688">
        <v>0.38</v>
      </c>
      <c r="E2" s="537"/>
      <c r="F2" s="70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4" s="281" customFormat="1" ht="27">
      <c r="A3" s="647"/>
      <c r="B3" s="691"/>
      <c r="C3" s="1233" t="s">
        <v>131</v>
      </c>
      <c r="D3" s="689">
        <v>28</v>
      </c>
      <c r="E3" s="1423" t="s">
        <v>132</v>
      </c>
      <c r="F3" s="1424"/>
      <c r="G3" s="538"/>
      <c r="H3" s="539"/>
      <c r="I3" s="539"/>
      <c r="J3" s="692"/>
      <c r="K3" s="402"/>
      <c r="L3" s="293"/>
    </row>
    <row r="4" spans="1:14" s="281" customFormat="1" ht="27">
      <c r="A4" s="653"/>
      <c r="B4" s="693"/>
      <c r="C4" s="1233" t="s">
        <v>133</v>
      </c>
      <c r="D4" s="688">
        <v>0.75</v>
      </c>
      <c r="E4" s="540"/>
      <c r="F4" s="708"/>
      <c r="G4" s="540"/>
      <c r="H4" s="540"/>
      <c r="I4" s="541"/>
      <c r="J4" s="692"/>
      <c r="K4" s="403"/>
      <c r="L4" s="293"/>
    </row>
    <row r="5" spans="1:14">
      <c r="A5" s="654" t="s">
        <v>134</v>
      </c>
      <c r="B5" s="535"/>
      <c r="C5" s="535"/>
      <c r="D5" s="587" t="s">
        <v>135</v>
      </c>
      <c r="E5" s="543" t="s">
        <v>136</v>
      </c>
      <c r="F5" s="709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4">
      <c r="A6" s="1417" t="s">
        <v>141</v>
      </c>
      <c r="B6" s="1418"/>
      <c r="C6" s="1419"/>
      <c r="D6" s="547"/>
      <c r="E6" s="547"/>
      <c r="F6" s="570"/>
      <c r="G6" s="547"/>
      <c r="H6" s="548"/>
      <c r="I6" s="548"/>
      <c r="J6" s="628"/>
      <c r="K6" s="466"/>
      <c r="L6" s="408"/>
    </row>
    <row r="7" spans="1:14" ht="30" thickBot="1">
      <c r="A7" s="757" t="s">
        <v>142</v>
      </c>
      <c r="B7" s="758"/>
      <c r="C7" s="758"/>
      <c r="D7" s="715" t="s">
        <v>143</v>
      </c>
      <c r="E7" s="710">
        <f>'3'!F7</f>
        <v>3946245</v>
      </c>
      <c r="F7" s="710">
        <v>3964496</v>
      </c>
      <c r="G7" s="770">
        <f>F7-E7</f>
        <v>18251</v>
      </c>
      <c r="H7" s="760">
        <f>G7+'3'!H7</f>
        <v>76298</v>
      </c>
      <c r="I7" s="761">
        <f>'1'!I7</f>
        <v>12000</v>
      </c>
      <c r="J7" s="762">
        <f>H7/DAY(B2)</f>
        <v>19074.5</v>
      </c>
      <c r="K7" s="626"/>
      <c r="L7" s="408"/>
      <c r="N7" s="413"/>
    </row>
    <row r="8" spans="1:14" ht="27.75" thickBot="1">
      <c r="A8" s="763" t="s">
        <v>144</v>
      </c>
      <c r="B8" s="764"/>
      <c r="C8" s="765"/>
      <c r="D8" s="766" t="s">
        <v>25</v>
      </c>
      <c r="E8" s="710">
        <f>'3'!F8</f>
        <v>3971529</v>
      </c>
      <c r="F8" s="711">
        <v>3990282</v>
      </c>
      <c r="G8" s="1137">
        <f>F8-E8</f>
        <v>18753</v>
      </c>
      <c r="H8" s="760">
        <f>G8+'3'!H8</f>
        <v>77431</v>
      </c>
      <c r="I8" s="767">
        <v>12000</v>
      </c>
      <c r="J8" s="762">
        <f>H8/DAY(B2)</f>
        <v>19357.75</v>
      </c>
      <c r="K8" s="626"/>
      <c r="L8" s="464"/>
      <c r="M8" s="479"/>
      <c r="N8" s="784">
        <f>G7/G8</f>
        <v>0.97323094971471236</v>
      </c>
    </row>
    <row r="9" spans="1:14">
      <c r="A9" s="768" t="s">
        <v>145</v>
      </c>
      <c r="B9" s="769"/>
      <c r="C9" s="769"/>
      <c r="D9" s="715" t="s">
        <v>143</v>
      </c>
      <c r="E9" s="712">
        <v>9190</v>
      </c>
      <c r="F9" s="712">
        <v>20960</v>
      </c>
      <c r="G9" s="783">
        <f t="shared" ref="G9:G12" si="0">F9-E9</f>
        <v>11770</v>
      </c>
      <c r="H9" s="760">
        <f>G9+'3'!H9</f>
        <v>34850.5</v>
      </c>
      <c r="I9" s="771">
        <f>I8-J8</f>
        <v>-7357.75</v>
      </c>
      <c r="J9" s="762">
        <f>H9/DAY(B2)</f>
        <v>8712.625</v>
      </c>
      <c r="K9" s="467"/>
      <c r="L9" s="408"/>
      <c r="N9" s="413"/>
    </row>
    <row r="10" spans="1:14">
      <c r="A10" s="757" t="s">
        <v>146</v>
      </c>
      <c r="B10" s="758"/>
      <c r="C10" s="758"/>
      <c r="D10" s="715" t="s">
        <v>143</v>
      </c>
      <c r="E10" s="712">
        <f>'3'!F10</f>
        <v>1233785</v>
      </c>
      <c r="F10" s="712">
        <v>1239081</v>
      </c>
      <c r="G10" s="770">
        <f t="shared" si="0"/>
        <v>5296</v>
      </c>
      <c r="H10" s="760">
        <f>G10+'3'!H10</f>
        <v>38206.600000000093</v>
      </c>
      <c r="I10" s="772"/>
      <c r="J10" s="762">
        <f>H10/DAY(B2)</f>
        <v>9551.6500000000233</v>
      </c>
      <c r="K10" s="467"/>
      <c r="L10" s="408"/>
      <c r="N10" s="413"/>
    </row>
    <row r="11" spans="1:14">
      <c r="A11" s="757" t="s">
        <v>147</v>
      </c>
      <c r="B11" s="758"/>
      <c r="C11" s="758"/>
      <c r="D11" s="715" t="s">
        <v>143</v>
      </c>
      <c r="E11" s="710">
        <f>'3'!F11</f>
        <v>35390</v>
      </c>
      <c r="F11" s="710">
        <v>35540</v>
      </c>
      <c r="G11" s="770">
        <f t="shared" si="0"/>
        <v>150</v>
      </c>
      <c r="H11" s="760">
        <f>G11+'3'!H11</f>
        <v>150</v>
      </c>
      <c r="I11" s="772"/>
      <c r="J11" s="762">
        <f>H11/DAY(B2)</f>
        <v>37.5</v>
      </c>
      <c r="K11" s="467"/>
      <c r="L11" s="408"/>
      <c r="N11" s="413"/>
    </row>
    <row r="12" spans="1:14">
      <c r="A12" s="757" t="s">
        <v>148</v>
      </c>
      <c r="B12" s="758"/>
      <c r="C12" s="758"/>
      <c r="D12" s="715" t="s">
        <v>143</v>
      </c>
      <c r="E12" s="712">
        <f>'3'!F12</f>
        <v>37630</v>
      </c>
      <c r="F12" s="712">
        <v>38010</v>
      </c>
      <c r="G12" s="770">
        <f t="shared" si="0"/>
        <v>380</v>
      </c>
      <c r="H12" s="760">
        <f>G12+'3'!H12</f>
        <v>380</v>
      </c>
      <c r="I12" s="772"/>
      <c r="J12" s="762">
        <f>H12/DAY(B2)</f>
        <v>95</v>
      </c>
      <c r="K12" s="467"/>
      <c r="L12" s="408"/>
      <c r="N12" s="413"/>
    </row>
    <row r="13" spans="1:14">
      <c r="A13" s="773" t="s">
        <v>149</v>
      </c>
      <c r="B13" s="774"/>
      <c r="C13" s="774"/>
      <c r="D13" s="715"/>
      <c r="E13" s="710"/>
      <c r="F13" s="710"/>
      <c r="G13" s="775">
        <f>G9+G10+G11+G12</f>
        <v>17596</v>
      </c>
      <c r="H13" s="760">
        <f>G13+'3'!H13</f>
        <v>73587.100000000093</v>
      </c>
      <c r="I13" s="776">
        <f>G7-G13</f>
        <v>655</v>
      </c>
      <c r="J13" s="762">
        <f>H13/DAY(B2)</f>
        <v>18396.775000000023</v>
      </c>
      <c r="K13" s="467"/>
      <c r="L13" s="408"/>
      <c r="N13" s="413"/>
    </row>
    <row r="14" spans="1:14">
      <c r="A14" s="1420" t="s">
        <v>150</v>
      </c>
      <c r="B14" s="1421"/>
      <c r="C14" s="1422"/>
      <c r="D14" s="548"/>
      <c r="E14" s="548"/>
      <c r="F14" s="559"/>
      <c r="G14" s="559"/>
      <c r="H14" s="548"/>
      <c r="I14" s="548"/>
      <c r="J14" s="628"/>
      <c r="K14" s="468"/>
      <c r="L14" s="408"/>
      <c r="N14" s="413"/>
    </row>
    <row r="15" spans="1:14">
      <c r="A15" s="876" t="s">
        <v>151</v>
      </c>
      <c r="B15" s="871"/>
      <c r="C15" s="871"/>
      <c r="D15" s="600" t="s">
        <v>152</v>
      </c>
      <c r="E15" s="561">
        <f>'3'!F15</f>
        <v>1596969</v>
      </c>
      <c r="F15" s="561">
        <v>1597765</v>
      </c>
      <c r="G15" s="856">
        <f>(F15-E15)</f>
        <v>796</v>
      </c>
      <c r="H15" s="562">
        <f>G15+'3'!H15</f>
        <v>3327.8500000000931</v>
      </c>
      <c r="I15" s="550">
        <v>800</v>
      </c>
      <c r="J15" s="630">
        <f>H15/DAY(B2)</f>
        <v>831.96250000002328</v>
      </c>
      <c r="K15" s="467"/>
      <c r="L15" s="408"/>
      <c r="N15" s="413"/>
    </row>
    <row r="16" spans="1:14">
      <c r="A16" s="874"/>
      <c r="B16" s="875"/>
      <c r="C16" s="875"/>
      <c r="D16" s="600"/>
      <c r="E16" s="561"/>
      <c r="F16" s="561"/>
      <c r="G16" s="549"/>
      <c r="H16" s="562"/>
      <c r="I16" s="563">
        <f>I15-J15</f>
        <v>-31.962500000023283</v>
      </c>
      <c r="J16" s="630"/>
      <c r="K16" s="467"/>
      <c r="L16" s="408"/>
      <c r="N16" s="413"/>
    </row>
    <row r="17" spans="1:14">
      <c r="A17" s="1420" t="s">
        <v>153</v>
      </c>
      <c r="B17" s="1421"/>
      <c r="C17" s="1422"/>
      <c r="D17" s="548"/>
      <c r="E17" s="548"/>
      <c r="F17" s="559"/>
      <c r="G17" s="564" t="s">
        <v>226</v>
      </c>
      <c r="H17" s="548"/>
      <c r="I17" s="548"/>
      <c r="J17" s="628"/>
      <c r="K17" s="467"/>
      <c r="L17" s="408"/>
      <c r="N17" s="413"/>
    </row>
    <row r="18" spans="1:14" ht="27.75">
      <c r="A18" s="1446" t="s">
        <v>154</v>
      </c>
      <c r="B18" s="1447"/>
      <c r="C18" s="1448"/>
      <c r="D18" s="715" t="s">
        <v>155</v>
      </c>
      <c r="E18" s="712">
        <f>'3'!F18</f>
        <v>11</v>
      </c>
      <c r="F18" s="712">
        <v>10</v>
      </c>
      <c r="G18" s="775">
        <f>F18*10</f>
        <v>100</v>
      </c>
      <c r="H18" s="760">
        <f>G18+'3'!H18</f>
        <v>450</v>
      </c>
      <c r="I18" s="761">
        <f>'1'!I18</f>
        <v>65</v>
      </c>
      <c r="J18" s="762">
        <f>H18/DAY(B2)</f>
        <v>112.5</v>
      </c>
      <c r="K18" s="467"/>
      <c r="L18" s="408"/>
      <c r="N18" s="413"/>
    </row>
    <row r="19" spans="1:14" ht="27.75">
      <c r="A19" s="1446" t="s">
        <v>71</v>
      </c>
      <c r="B19" s="1447"/>
      <c r="C19" s="1448"/>
      <c r="D19" s="715" t="s">
        <v>155</v>
      </c>
      <c r="E19" s="712">
        <f>'3'!F19</f>
        <v>133201</v>
      </c>
      <c r="F19" s="712">
        <v>133251</v>
      </c>
      <c r="G19" s="770">
        <f t="shared" ref="G19" si="1">F19-E19</f>
        <v>50</v>
      </c>
      <c r="H19" s="760">
        <f>G19+'3'!H19</f>
        <v>203</v>
      </c>
      <c r="I19" s="777"/>
      <c r="J19" s="762">
        <f>H19/DAY(B2)</f>
        <v>50.75</v>
      </c>
      <c r="K19" s="467"/>
      <c r="L19" s="408"/>
      <c r="N19" s="413"/>
    </row>
    <row r="20" spans="1:14">
      <c r="A20" s="773" t="s">
        <v>156</v>
      </c>
      <c r="B20" s="774"/>
      <c r="C20" s="774"/>
      <c r="D20" s="715"/>
      <c r="E20" s="715"/>
      <c r="F20" s="715"/>
      <c r="G20" s="1136">
        <f>G18+G19</f>
        <v>150</v>
      </c>
      <c r="H20" s="760">
        <f>G20+'3'!H20</f>
        <v>653</v>
      </c>
      <c r="I20" s="779">
        <f>I18-J20</f>
        <v>-98.25</v>
      </c>
      <c r="J20" s="762">
        <f>H20/DAY(B2)</f>
        <v>163.25</v>
      </c>
      <c r="K20" s="467"/>
      <c r="L20" s="408"/>
      <c r="N20" s="413"/>
    </row>
    <row r="21" spans="1:14">
      <c r="A21" s="1420" t="s">
        <v>157</v>
      </c>
      <c r="B21" s="1421"/>
      <c r="C21" s="1422"/>
      <c r="D21" s="548"/>
      <c r="E21" s="548"/>
      <c r="F21" s="559"/>
      <c r="G21" s="559"/>
      <c r="H21" s="548"/>
      <c r="I21" s="548"/>
      <c r="J21" s="628"/>
      <c r="K21" s="467"/>
      <c r="L21" s="408"/>
      <c r="N21" s="413"/>
    </row>
    <row r="22" spans="1:14">
      <c r="A22" s="1231" t="s">
        <v>158</v>
      </c>
      <c r="B22" s="666"/>
      <c r="C22" s="666"/>
      <c r="D22" s="599" t="s">
        <v>159</v>
      </c>
      <c r="E22" s="560">
        <f>'3'!F22</f>
        <v>2250</v>
      </c>
      <c r="F22" s="712">
        <v>2250</v>
      </c>
      <c r="G22" s="770">
        <f t="shared" ref="G22" si="2">F22-E22</f>
        <v>0</v>
      </c>
      <c r="H22" s="536">
        <f>G22+'3'!H22</f>
        <v>0</v>
      </c>
      <c r="I22" s="556"/>
      <c r="J22" s="629">
        <f>H22/DAY(B2)</f>
        <v>0</v>
      </c>
      <c r="K22" s="467"/>
      <c r="L22" s="408"/>
      <c r="M22" s="407" t="s">
        <v>281</v>
      </c>
      <c r="N22" s="413"/>
    </row>
    <row r="23" spans="1:14">
      <c r="A23" s="1231" t="s">
        <v>160</v>
      </c>
      <c r="B23" s="666"/>
      <c r="C23" s="666"/>
      <c r="D23" s="599" t="s">
        <v>159</v>
      </c>
      <c r="E23" s="560">
        <f>'3'!F23</f>
        <v>2000</v>
      </c>
      <c r="F23" s="712">
        <v>1620</v>
      </c>
      <c r="G23" s="770">
        <v>380</v>
      </c>
      <c r="H23" s="536">
        <f>G23+'3'!H23</f>
        <v>380</v>
      </c>
      <c r="I23" s="556"/>
      <c r="J23" s="629">
        <f>H23/DAY(B2)</f>
        <v>95</v>
      </c>
      <c r="K23" s="467"/>
      <c r="L23" s="408"/>
      <c r="N23" s="413"/>
    </row>
    <row r="24" spans="1:14">
      <c r="A24" s="667" t="s">
        <v>161</v>
      </c>
      <c r="B24" s="668"/>
      <c r="C24" s="668"/>
      <c r="D24" s="587" t="s">
        <v>159</v>
      </c>
      <c r="E24" s="569">
        <f>'3'!F24</f>
        <v>4250</v>
      </c>
      <c r="F24" s="714">
        <v>3870</v>
      </c>
      <c r="G24" s="770">
        <v>380</v>
      </c>
      <c r="H24" s="536">
        <f>G24+'3'!H24</f>
        <v>380</v>
      </c>
      <c r="I24" s="556"/>
      <c r="J24" s="629">
        <f>H24/DAY(B2)</f>
        <v>95</v>
      </c>
      <c r="K24" s="467"/>
      <c r="L24" s="408"/>
      <c r="N24" s="413"/>
    </row>
    <row r="25" spans="1:14" s="481" customFormat="1" ht="27">
      <c r="A25" s="1425" t="s">
        <v>162</v>
      </c>
      <c r="B25" s="1426"/>
      <c r="C25" s="1427"/>
      <c r="D25" s="547"/>
      <c r="E25" s="547"/>
      <c r="F25" s="570"/>
      <c r="G25" s="570"/>
      <c r="H25" s="571"/>
      <c r="I25" s="572"/>
      <c r="J25" s="631"/>
      <c r="K25" s="404"/>
      <c r="L25" s="484"/>
      <c r="N25" s="413"/>
    </row>
    <row r="26" spans="1:14" s="481" customFormat="1" ht="27.75">
      <c r="A26" s="669" t="s">
        <v>163</v>
      </c>
      <c r="B26" s="670"/>
      <c r="C26" s="671"/>
      <c r="D26" s="695" t="s">
        <v>164</v>
      </c>
      <c r="E26" s="573"/>
      <c r="F26" s="710"/>
      <c r="G26" s="574"/>
      <c r="H26" s="536"/>
      <c r="I26" s="575"/>
      <c r="J26" s="629"/>
      <c r="K26" s="405"/>
      <c r="L26" s="484"/>
      <c r="N26" s="413"/>
    </row>
    <row r="27" spans="1:14" s="481" customFormat="1" ht="27.75">
      <c r="A27" s="669" t="s">
        <v>6</v>
      </c>
      <c r="B27" s="670"/>
      <c r="C27" s="671"/>
      <c r="D27" s="696" t="s">
        <v>25</v>
      </c>
      <c r="E27" s="780">
        <f>G8</f>
        <v>18753</v>
      </c>
      <c r="F27" s="577">
        <v>9</v>
      </c>
      <c r="G27" s="578">
        <f>E27*F27</f>
        <v>168777</v>
      </c>
      <c r="H27" s="536">
        <f>G27+'3'!H27</f>
        <v>696879</v>
      </c>
      <c r="I27" s="579"/>
      <c r="J27" s="629">
        <f>H27/DAY(B2)</f>
        <v>174219.75</v>
      </c>
      <c r="K27" s="404"/>
      <c r="L27" s="484"/>
      <c r="N27" s="413"/>
    </row>
    <row r="28" spans="1:14" s="481" customFormat="1" ht="27.75">
      <c r="A28" s="669" t="s">
        <v>165</v>
      </c>
      <c r="B28" s="670"/>
      <c r="C28" s="671"/>
      <c r="D28" s="696" t="s">
        <v>166</v>
      </c>
      <c r="E28" s="780">
        <f>G15</f>
        <v>796</v>
      </c>
      <c r="F28" s="577">
        <v>43.5</v>
      </c>
      <c r="G28" s="578">
        <f>E28*F28</f>
        <v>34626</v>
      </c>
      <c r="H28" s="536">
        <f>G28+'3'!H28</f>
        <v>144761.47500000405</v>
      </c>
      <c r="I28" s="581"/>
      <c r="J28" s="629">
        <f>H28/DAY(B2)</f>
        <v>36190.368750001013</v>
      </c>
      <c r="K28" s="404"/>
      <c r="L28" s="484"/>
      <c r="N28" s="413"/>
    </row>
    <row r="29" spans="1:14" s="481" customFormat="1" ht="27.75">
      <c r="A29" s="669" t="s">
        <v>167</v>
      </c>
      <c r="B29" s="670"/>
      <c r="C29" s="671"/>
      <c r="D29" s="696" t="s">
        <v>168</v>
      </c>
      <c r="E29" s="780">
        <f>G24</f>
        <v>380</v>
      </c>
      <c r="F29" s="716">
        <v>69</v>
      </c>
      <c r="G29" s="578">
        <f>E29*F29</f>
        <v>26220</v>
      </c>
      <c r="H29" s="536">
        <f>G29+'3'!H29</f>
        <v>26220</v>
      </c>
      <c r="I29" s="581"/>
      <c r="J29" s="629">
        <f>H29/DAY(B2)</f>
        <v>6555</v>
      </c>
      <c r="K29" s="404"/>
      <c r="L29" s="484"/>
      <c r="N29" s="413"/>
    </row>
    <row r="30" spans="1:14" s="481" customFormat="1" ht="27.75">
      <c r="A30" s="669" t="s">
        <v>169</v>
      </c>
      <c r="B30" s="670"/>
      <c r="C30" s="671"/>
      <c r="D30" s="696" t="s">
        <v>170</v>
      </c>
      <c r="E30" s="780">
        <f>G19</f>
        <v>50</v>
      </c>
      <c r="F30" s="716">
        <v>134</v>
      </c>
      <c r="G30" s="578">
        <f>E30*F30</f>
        <v>6700</v>
      </c>
      <c r="H30" s="536">
        <f>G30+'3'!H30</f>
        <v>27202</v>
      </c>
      <c r="I30" s="581"/>
      <c r="J30" s="629">
        <f>H30/DAY(B2)</f>
        <v>6800.5</v>
      </c>
      <c r="K30" s="404"/>
      <c r="L30" s="484"/>
      <c r="N30" s="413"/>
    </row>
    <row r="31" spans="1:14" s="481" customFormat="1" ht="27.75">
      <c r="A31" s="669" t="s">
        <v>171</v>
      </c>
      <c r="B31" s="670"/>
      <c r="C31" s="671"/>
      <c r="D31" s="696" t="s">
        <v>155</v>
      </c>
      <c r="E31" s="780">
        <f>G18</f>
        <v>100</v>
      </c>
      <c r="F31" s="716">
        <v>80</v>
      </c>
      <c r="G31" s="578">
        <f>E31*F31</f>
        <v>8000</v>
      </c>
      <c r="H31" s="536">
        <f>G31+'3'!H31</f>
        <v>36000</v>
      </c>
      <c r="I31" s="581"/>
      <c r="J31" s="629">
        <f>H31/DAY(B2)</f>
        <v>9000</v>
      </c>
      <c r="K31" s="404"/>
      <c r="L31" s="484"/>
      <c r="N31" s="413"/>
    </row>
    <row r="32" spans="1:14" s="481" customFormat="1" ht="27.75">
      <c r="A32" s="672" t="s">
        <v>172</v>
      </c>
      <c r="B32" s="673"/>
      <c r="C32" s="674"/>
      <c r="D32" s="583"/>
      <c r="E32" s="583"/>
      <c r="F32" s="717"/>
      <c r="G32" s="584">
        <f>G27+G28+G29+G30+G31</f>
        <v>244323</v>
      </c>
      <c r="H32" s="536">
        <f>G32+'3'!H32</f>
        <v>931062.47500000405</v>
      </c>
      <c r="I32" s="585"/>
      <c r="J32" s="629">
        <f>H32/DAY(B2)</f>
        <v>232765.61875000101</v>
      </c>
      <c r="K32" s="404"/>
      <c r="L32" s="484"/>
      <c r="N32" s="413"/>
    </row>
    <row r="33" spans="1:14" ht="25.5">
      <c r="A33" s="1428" t="s">
        <v>173</v>
      </c>
      <c r="B33" s="1429"/>
      <c r="C33" s="1429"/>
      <c r="D33" s="1429"/>
      <c r="E33" s="1429"/>
      <c r="F33" s="1429"/>
      <c r="G33" s="1429"/>
      <c r="H33" s="1429"/>
      <c r="I33" s="1429"/>
      <c r="J33" s="1430"/>
      <c r="K33" s="467"/>
      <c r="L33" s="408"/>
      <c r="N33" s="413"/>
    </row>
    <row r="34" spans="1:14">
      <c r="A34" s="675" t="s">
        <v>174</v>
      </c>
      <c r="B34" s="1236"/>
      <c r="C34" s="1236"/>
      <c r="D34" s="548"/>
      <c r="E34" s="547"/>
      <c r="F34" s="570"/>
      <c r="G34" s="548"/>
      <c r="H34" s="548"/>
      <c r="I34" s="548"/>
      <c r="J34" s="628"/>
      <c r="K34" s="467"/>
      <c r="L34" s="408"/>
      <c r="N34" s="413"/>
    </row>
    <row r="35" spans="1:14">
      <c r="A35" s="655" t="s">
        <v>175</v>
      </c>
      <c r="B35" s="656"/>
      <c r="C35" s="656"/>
      <c r="D35" s="599" t="s">
        <v>143</v>
      </c>
      <c r="E35" s="586">
        <f>'3'!F35</f>
        <v>631596</v>
      </c>
      <c r="F35" s="718">
        <v>634203</v>
      </c>
      <c r="G35" s="549">
        <f t="shared" ref="G35:G46" si="3">F35-E35</f>
        <v>2607</v>
      </c>
      <c r="H35" s="536">
        <f>G35+'3'!H35</f>
        <v>5175.3299999999581</v>
      </c>
      <c r="I35" s="531"/>
      <c r="J35" s="629">
        <f>H35/DAY(B2)</f>
        <v>1293.8324999999895</v>
      </c>
      <c r="K35" s="467"/>
      <c r="L35" s="408"/>
      <c r="N35" s="413"/>
    </row>
    <row r="36" spans="1:14">
      <c r="A36" s="655" t="s">
        <v>176</v>
      </c>
      <c r="B36" s="656"/>
      <c r="C36" s="656"/>
      <c r="D36" s="599" t="s">
        <v>143</v>
      </c>
      <c r="E36" s="586">
        <f>'3'!F36</f>
        <v>278452</v>
      </c>
      <c r="F36" s="718">
        <v>279046</v>
      </c>
      <c r="G36" s="549">
        <f t="shared" si="3"/>
        <v>594</v>
      </c>
      <c r="H36" s="536">
        <f>G36+'3'!H36</f>
        <v>2554.5499999999884</v>
      </c>
      <c r="I36" s="531"/>
      <c r="J36" s="629">
        <f>H36/DAY(B2)</f>
        <v>638.63749999999709</v>
      </c>
      <c r="K36" s="467"/>
      <c r="L36" s="408"/>
      <c r="N36" s="705"/>
    </row>
    <row r="37" spans="1:14">
      <c r="A37" s="655" t="s">
        <v>177</v>
      </c>
      <c r="B37" s="656"/>
      <c r="C37" s="656"/>
      <c r="D37" s="599" t="s">
        <v>143</v>
      </c>
      <c r="E37" s="586">
        <v>0</v>
      </c>
      <c r="F37" s="718">
        <v>1302</v>
      </c>
      <c r="G37" s="549">
        <f t="shared" si="3"/>
        <v>1302</v>
      </c>
      <c r="H37" s="536">
        <f>G37+'3'!H37</f>
        <v>1302</v>
      </c>
      <c r="I37" s="531"/>
      <c r="J37" s="629">
        <f>H37/DAY(B2)</f>
        <v>325.5</v>
      </c>
      <c r="K37" s="467"/>
      <c r="L37" s="408"/>
      <c r="N37" s="706"/>
    </row>
    <row r="38" spans="1:14">
      <c r="A38" s="655" t="s">
        <v>178</v>
      </c>
      <c r="B38" s="656"/>
      <c r="C38" s="656"/>
      <c r="D38" s="599" t="s">
        <v>143</v>
      </c>
      <c r="E38" s="545">
        <f>'3'!F38</f>
        <v>97.88</v>
      </c>
      <c r="F38" s="719">
        <v>904</v>
      </c>
      <c r="G38" s="549">
        <f t="shared" si="3"/>
        <v>806.12</v>
      </c>
      <c r="H38" s="536">
        <f>G38+'3'!H38</f>
        <v>806.12</v>
      </c>
      <c r="I38" s="531"/>
      <c r="J38" s="629">
        <f>H38/DAY(B2)</f>
        <v>201.53</v>
      </c>
      <c r="K38" s="467"/>
      <c r="L38" s="408"/>
      <c r="N38" s="413"/>
    </row>
    <row r="39" spans="1:14">
      <c r="A39" s="655" t="s">
        <v>179</v>
      </c>
      <c r="B39" s="656"/>
      <c r="C39" s="656"/>
      <c r="D39" s="599" t="s">
        <v>143</v>
      </c>
      <c r="E39" s="586">
        <v>0</v>
      </c>
      <c r="F39" s="718">
        <v>3521</v>
      </c>
      <c r="G39" s="549">
        <f t="shared" si="3"/>
        <v>3521</v>
      </c>
      <c r="H39" s="536">
        <f>G39+'3'!H39</f>
        <v>3521</v>
      </c>
      <c r="I39" s="531"/>
      <c r="J39" s="629">
        <f>H39/DAY(B2)</f>
        <v>880.25</v>
      </c>
      <c r="K39" s="467"/>
      <c r="L39" s="408"/>
      <c r="N39" s="413"/>
    </row>
    <row r="40" spans="1:14">
      <c r="A40" s="676" t="s">
        <v>180</v>
      </c>
      <c r="B40" s="677"/>
      <c r="C40" s="677"/>
      <c r="D40" s="599" t="s">
        <v>143</v>
      </c>
      <c r="E40" s="586">
        <f>'3'!F40</f>
        <v>0.17</v>
      </c>
      <c r="F40" s="718">
        <v>0.17</v>
      </c>
      <c r="G40" s="549">
        <f t="shared" si="3"/>
        <v>0</v>
      </c>
      <c r="H40" s="536">
        <f>G40+'3'!H40</f>
        <v>0</v>
      </c>
      <c r="I40" s="531"/>
      <c r="J40" s="629">
        <f>H40/DAY(B2)</f>
        <v>0</v>
      </c>
      <c r="K40" s="468"/>
      <c r="L40" s="408"/>
      <c r="N40" s="413"/>
    </row>
    <row r="41" spans="1:14">
      <c r="A41" s="655" t="s">
        <v>181</v>
      </c>
      <c r="B41" s="656"/>
      <c r="C41" s="656"/>
      <c r="D41" s="599" t="s">
        <v>143</v>
      </c>
      <c r="E41" s="586">
        <f>'3'!F41</f>
        <v>57170</v>
      </c>
      <c r="F41" s="718">
        <v>58615</v>
      </c>
      <c r="G41" s="549">
        <f t="shared" si="3"/>
        <v>1445</v>
      </c>
      <c r="H41" s="536">
        <f>G41+'3'!H41</f>
        <v>13992.480000000003</v>
      </c>
      <c r="I41" s="531"/>
      <c r="J41" s="629">
        <f>H41/DAY(B2)</f>
        <v>3498.1200000000008</v>
      </c>
      <c r="K41" s="467"/>
      <c r="L41" s="408"/>
      <c r="N41" s="413"/>
    </row>
    <row r="42" spans="1:14">
      <c r="A42" s="655" t="s">
        <v>182</v>
      </c>
      <c r="B42" s="656"/>
      <c r="C42" s="656"/>
      <c r="D42" s="599" t="s">
        <v>143</v>
      </c>
      <c r="E42" s="586">
        <f>'3'!F42</f>
        <v>58926.09</v>
      </c>
      <c r="F42" s="718">
        <v>58926</v>
      </c>
      <c r="G42" s="549">
        <f t="shared" si="3"/>
        <v>-8.999999999650754E-2</v>
      </c>
      <c r="H42" s="536">
        <f>G42+'3'!H42</f>
        <v>0</v>
      </c>
      <c r="I42" s="531"/>
      <c r="J42" s="629">
        <f>H42/DAY(B2)</f>
        <v>0</v>
      </c>
      <c r="K42" s="467"/>
      <c r="L42" s="408"/>
      <c r="N42" s="413"/>
    </row>
    <row r="43" spans="1:14">
      <c r="A43" s="655" t="s">
        <v>183</v>
      </c>
      <c r="B43" s="656"/>
      <c r="C43" s="656"/>
      <c r="D43" s="599" t="s">
        <v>143</v>
      </c>
      <c r="E43" s="586">
        <f>'3'!F43</f>
        <v>774638</v>
      </c>
      <c r="F43" s="718">
        <v>776889</v>
      </c>
      <c r="G43" s="549">
        <f t="shared" si="3"/>
        <v>2251</v>
      </c>
      <c r="H43" s="536">
        <f>G43+'3'!H43</f>
        <v>9077.0899999999674</v>
      </c>
      <c r="I43" s="531"/>
      <c r="J43" s="629">
        <f>H43/DAY(B2)</f>
        <v>2269.2724999999919</v>
      </c>
      <c r="K43" s="467"/>
      <c r="L43" s="408"/>
      <c r="N43" s="413"/>
    </row>
    <row r="44" spans="1:14">
      <c r="A44" s="655" t="s">
        <v>184</v>
      </c>
      <c r="B44" s="656"/>
      <c r="C44" s="656"/>
      <c r="D44" s="599" t="s">
        <v>143</v>
      </c>
      <c r="E44" s="586">
        <f>'3'!F44</f>
        <v>0</v>
      </c>
      <c r="F44" s="718">
        <v>0</v>
      </c>
      <c r="G44" s="549">
        <f t="shared" si="3"/>
        <v>0</v>
      </c>
      <c r="H44" s="536">
        <f>G44+'3'!H44</f>
        <v>0</v>
      </c>
      <c r="I44" s="531"/>
      <c r="J44" s="629">
        <f>H44/DAY(B2)</f>
        <v>0</v>
      </c>
      <c r="K44" s="467"/>
      <c r="L44" s="408"/>
      <c r="N44" s="413"/>
    </row>
    <row r="45" spans="1:14">
      <c r="A45" s="655" t="s">
        <v>185</v>
      </c>
      <c r="B45" s="656"/>
      <c r="C45" s="656"/>
      <c r="D45" s="599" t="s">
        <v>143</v>
      </c>
      <c r="E45" s="586">
        <f>'3'!F45</f>
        <v>614</v>
      </c>
      <c r="F45" s="718">
        <v>614</v>
      </c>
      <c r="G45" s="549">
        <f t="shared" si="3"/>
        <v>0</v>
      </c>
      <c r="H45" s="536">
        <f>G45+'3'!H45</f>
        <v>-0.48000000000001819</v>
      </c>
      <c r="I45" s="531"/>
      <c r="J45" s="629">
        <f>H45/DAY(B2)</f>
        <v>-0.12000000000000455</v>
      </c>
      <c r="K45" s="467"/>
      <c r="L45" s="408"/>
      <c r="N45" s="413"/>
    </row>
    <row r="46" spans="1:14">
      <c r="A46" s="655" t="s">
        <v>186</v>
      </c>
      <c r="B46" s="656"/>
      <c r="C46" s="656"/>
      <c r="D46" s="599" t="s">
        <v>143</v>
      </c>
      <c r="E46" s="586">
        <f>'3'!F46</f>
        <v>187</v>
      </c>
      <c r="F46" s="718">
        <v>187</v>
      </c>
      <c r="G46" s="549">
        <f t="shared" si="3"/>
        <v>0</v>
      </c>
      <c r="H46" s="536">
        <f>G46+'3'!H46</f>
        <v>-0.49000000000000909</v>
      </c>
      <c r="I46" s="531"/>
      <c r="J46" s="629">
        <f>H46/DAY(B2)</f>
        <v>-0.12250000000000227</v>
      </c>
      <c r="K46" s="467"/>
      <c r="L46" s="408"/>
      <c r="N46" s="413"/>
    </row>
    <row r="47" spans="1:14">
      <c r="A47" s="662" t="s">
        <v>187</v>
      </c>
      <c r="B47" s="663"/>
      <c r="C47" s="663"/>
      <c r="D47" s="546"/>
      <c r="E47" s="587"/>
      <c r="F47" s="720"/>
      <c r="G47" s="557">
        <f>G35+G36+G37+G38+G39+G40+G41+G42+G43+G44+G45+G46</f>
        <v>12526.030000000002</v>
      </c>
      <c r="H47" s="536">
        <f>G47+'3'!H47</f>
        <v>36427.599999999919</v>
      </c>
      <c r="I47" s="531"/>
      <c r="J47" s="629">
        <f>H47/DAY(B2)</f>
        <v>9106.8999999999796</v>
      </c>
      <c r="K47" s="467"/>
      <c r="L47" s="408"/>
      <c r="N47" s="413"/>
    </row>
    <row r="48" spans="1:14">
      <c r="A48" s="675" t="s">
        <v>188</v>
      </c>
      <c r="B48" s="1236"/>
      <c r="C48" s="1236"/>
      <c r="D48" s="548"/>
      <c r="E48" s="547"/>
      <c r="F48" s="570"/>
      <c r="G48" s="548"/>
      <c r="H48" s="548"/>
      <c r="I48" s="548"/>
      <c r="J48" s="628"/>
      <c r="K48" s="467"/>
      <c r="L48" s="408"/>
      <c r="N48" s="413"/>
    </row>
    <row r="49" spans="1:14">
      <c r="A49" s="655" t="s">
        <v>175</v>
      </c>
      <c r="B49" s="678"/>
      <c r="C49" s="678"/>
      <c r="D49" s="599" t="s">
        <v>143</v>
      </c>
      <c r="E49" s="586">
        <f>'3'!F49</f>
        <v>251968</v>
      </c>
      <c r="F49" s="718">
        <v>251968</v>
      </c>
      <c r="G49" s="549">
        <f t="shared" ref="G49:G58" si="4">F49-E49</f>
        <v>0</v>
      </c>
      <c r="H49" s="536">
        <f>G49+'3'!H49</f>
        <v>6068.9500000000116</v>
      </c>
      <c r="I49" s="531"/>
      <c r="J49" s="629">
        <f>H49/DAY(B2)</f>
        <v>1517.2375000000029</v>
      </c>
      <c r="K49" s="467"/>
      <c r="L49" s="408"/>
      <c r="N49" s="413"/>
    </row>
    <row r="50" spans="1:14">
      <c r="A50" s="655" t="s">
        <v>189</v>
      </c>
      <c r="B50" s="678"/>
      <c r="C50" s="678"/>
      <c r="D50" s="599" t="s">
        <v>143</v>
      </c>
      <c r="E50" s="586">
        <f>'3'!F50</f>
        <v>372061</v>
      </c>
      <c r="F50" s="718">
        <v>373146</v>
      </c>
      <c r="G50" s="549">
        <f t="shared" si="4"/>
        <v>1085</v>
      </c>
      <c r="H50" s="536">
        <f>G50+'3'!H50</f>
        <v>4528.6900000000023</v>
      </c>
      <c r="I50" s="531"/>
      <c r="J50" s="629">
        <f>H50/DAY(B2)</f>
        <v>1132.1725000000006</v>
      </c>
      <c r="K50" s="467"/>
      <c r="L50" s="408"/>
      <c r="N50" s="413"/>
    </row>
    <row r="51" spans="1:14">
      <c r="A51" s="655" t="s">
        <v>177</v>
      </c>
      <c r="B51" s="678"/>
      <c r="C51" s="678"/>
      <c r="D51" s="599" t="s">
        <v>143</v>
      </c>
      <c r="E51" s="586">
        <f>'3'!F51</f>
        <v>114511</v>
      </c>
      <c r="F51" s="718">
        <v>114718</v>
      </c>
      <c r="G51" s="549">
        <f t="shared" si="4"/>
        <v>207</v>
      </c>
      <c r="H51" s="536">
        <f>G51+'3'!H51</f>
        <v>4618.2599999999948</v>
      </c>
      <c r="I51" s="531"/>
      <c r="J51" s="629">
        <f>H51/DAY(B2)</f>
        <v>1154.5649999999987</v>
      </c>
      <c r="K51" s="467"/>
      <c r="L51" s="408"/>
      <c r="N51" s="413"/>
    </row>
    <row r="52" spans="1:14">
      <c r="A52" s="655" t="s">
        <v>190</v>
      </c>
      <c r="B52" s="678"/>
      <c r="C52" s="678"/>
      <c r="D52" s="599" t="s">
        <v>143</v>
      </c>
      <c r="E52" s="586">
        <f>'3'!F52</f>
        <v>499795</v>
      </c>
      <c r="F52" s="718">
        <v>500900</v>
      </c>
      <c r="G52" s="549">
        <f t="shared" si="4"/>
        <v>1105</v>
      </c>
      <c r="H52" s="536">
        <f>G52+'3'!H52</f>
        <v>7091.3300000000163</v>
      </c>
      <c r="I52" s="531"/>
      <c r="J52" s="629">
        <f>H52/DAY(B2)</f>
        <v>1772.8325000000041</v>
      </c>
      <c r="K52" s="467"/>
      <c r="L52" s="408"/>
      <c r="N52" s="413"/>
    </row>
    <row r="53" spans="1:14">
      <c r="A53" s="655" t="s">
        <v>179</v>
      </c>
      <c r="B53" s="678"/>
      <c r="C53" s="678"/>
      <c r="D53" s="599" t="s">
        <v>143</v>
      </c>
      <c r="E53" s="586">
        <f>'3'!F53</f>
        <v>316830</v>
      </c>
      <c r="F53" s="718">
        <v>317457</v>
      </c>
      <c r="G53" s="549">
        <f t="shared" si="4"/>
        <v>627</v>
      </c>
      <c r="H53" s="536">
        <f>G53+'3'!H53</f>
        <v>13158.729999999981</v>
      </c>
      <c r="I53" s="531"/>
      <c r="J53" s="629">
        <f>H53/DAY(B2)</f>
        <v>3289.6824999999953</v>
      </c>
      <c r="K53" s="467"/>
      <c r="L53" s="408"/>
      <c r="N53" s="413"/>
    </row>
    <row r="54" spans="1:14">
      <c r="A54" s="655" t="s">
        <v>191</v>
      </c>
      <c r="B54" s="678"/>
      <c r="C54" s="678"/>
      <c r="D54" s="599" t="s">
        <v>143</v>
      </c>
      <c r="E54" s="586">
        <f>'3'!F54</f>
        <v>6411</v>
      </c>
      <c r="F54" s="718">
        <v>6419</v>
      </c>
      <c r="G54" s="549">
        <f t="shared" si="4"/>
        <v>8</v>
      </c>
      <c r="H54" s="536">
        <f>G54+'3'!H54</f>
        <v>102.35999999999967</v>
      </c>
      <c r="I54" s="531"/>
      <c r="J54" s="629">
        <f>H54/DAY(B2)</f>
        <v>25.589999999999918</v>
      </c>
      <c r="K54" s="467"/>
      <c r="L54" s="408"/>
      <c r="N54" s="413"/>
    </row>
    <row r="55" spans="1:14">
      <c r="A55" s="655" t="s">
        <v>192</v>
      </c>
      <c r="B55" s="678"/>
      <c r="C55" s="678"/>
      <c r="D55" s="599" t="s">
        <v>143</v>
      </c>
      <c r="E55" s="586">
        <f>'3'!F55</f>
        <v>39120.58</v>
      </c>
      <c r="F55" s="721">
        <v>41404</v>
      </c>
      <c r="G55" s="549">
        <f t="shared" si="4"/>
        <v>2283.4199999999983</v>
      </c>
      <c r="H55" s="536">
        <f>G55+'3'!H55</f>
        <v>2283.4199999999983</v>
      </c>
      <c r="I55" s="531"/>
      <c r="J55" s="629">
        <f>H55/DAY(B2)</f>
        <v>570.85499999999956</v>
      </c>
      <c r="K55" s="467"/>
      <c r="L55" s="408"/>
      <c r="N55" s="413"/>
    </row>
    <row r="56" spans="1:14">
      <c r="A56" s="655" t="s">
        <v>193</v>
      </c>
      <c r="B56" s="678"/>
      <c r="C56" s="678"/>
      <c r="D56" s="599" t="s">
        <v>194</v>
      </c>
      <c r="E56" s="586">
        <f>'3'!F56</f>
        <v>557734.43000000005</v>
      </c>
      <c r="F56" s="721">
        <v>557739</v>
      </c>
      <c r="G56" s="549">
        <f t="shared" si="4"/>
        <v>4.5699999999487773</v>
      </c>
      <c r="H56" s="536">
        <f>G56+'3'!H56</f>
        <v>7.0899999999674037</v>
      </c>
      <c r="I56" s="531"/>
      <c r="J56" s="629">
        <f>H56/DAY(B2)</f>
        <v>1.7724999999918509</v>
      </c>
      <c r="K56" s="466"/>
      <c r="L56" s="408"/>
      <c r="N56" s="413"/>
    </row>
    <row r="57" spans="1:14">
      <c r="A57" s="655" t="s">
        <v>183</v>
      </c>
      <c r="B57" s="678"/>
      <c r="C57" s="678"/>
      <c r="D57" s="599" t="s">
        <v>143</v>
      </c>
      <c r="E57" s="586">
        <f>'3'!F57</f>
        <v>0</v>
      </c>
      <c r="F57" s="721">
        <v>0</v>
      </c>
      <c r="G57" s="549">
        <f t="shared" si="4"/>
        <v>0</v>
      </c>
      <c r="H57" s="536">
        <f>G57+'3'!H57</f>
        <v>0</v>
      </c>
      <c r="I57" s="531"/>
      <c r="J57" s="629">
        <f>H57/DAY(B2)</f>
        <v>0</v>
      </c>
      <c r="K57" s="467"/>
      <c r="L57" s="408"/>
      <c r="N57" s="413"/>
    </row>
    <row r="58" spans="1:14">
      <c r="A58" s="655" t="s">
        <v>195</v>
      </c>
      <c r="B58" s="678"/>
      <c r="C58" s="678"/>
      <c r="D58" s="599" t="s">
        <v>143</v>
      </c>
      <c r="E58" s="586">
        <f>'3'!F58</f>
        <v>31030</v>
      </c>
      <c r="F58" s="721">
        <v>31209</v>
      </c>
      <c r="G58" s="549">
        <f t="shared" si="4"/>
        <v>179</v>
      </c>
      <c r="H58" s="536">
        <f>G58+'3'!H58</f>
        <v>677.09000000000015</v>
      </c>
      <c r="I58" s="531"/>
      <c r="J58" s="629">
        <f>H58/DAY(B2)</f>
        <v>169.27250000000004</v>
      </c>
      <c r="K58" s="467"/>
      <c r="L58" s="408"/>
      <c r="N58" s="413"/>
    </row>
    <row r="59" spans="1:14">
      <c r="A59" s="662" t="s">
        <v>187</v>
      </c>
      <c r="B59" s="663"/>
      <c r="C59" s="663"/>
      <c r="D59" s="587"/>
      <c r="E59" s="587"/>
      <c r="F59" s="720"/>
      <c r="G59" s="557">
        <f>G49+G50+G51+G52+G53+G54+G55+G56+G57+G58</f>
        <v>5498.989999999947</v>
      </c>
      <c r="H59" s="536">
        <f>G59+'3'!H59</f>
        <v>38535.919999999969</v>
      </c>
      <c r="I59" s="531">
        <f>G7-G60</f>
        <v>225.9800000000505</v>
      </c>
      <c r="J59" s="629">
        <f>H59/DAY(B2)</f>
        <v>9633.9799999999923</v>
      </c>
      <c r="K59" s="467"/>
      <c r="L59" s="408"/>
      <c r="N59" s="413"/>
    </row>
    <row r="60" spans="1:14">
      <c r="A60" s="655"/>
      <c r="B60" s="656"/>
      <c r="C60" s="656"/>
      <c r="D60" s="587" t="s">
        <v>196</v>
      </c>
      <c r="E60" s="587"/>
      <c r="F60" s="720"/>
      <c r="G60" s="557">
        <f>G47+G59</f>
        <v>18025.01999999995</v>
      </c>
      <c r="H60" s="536">
        <f>G60+'3'!H60</f>
        <v>74963.519999999888</v>
      </c>
      <c r="I60" s="531">
        <f>G13-G60</f>
        <v>-429.0199999999495</v>
      </c>
      <c r="J60" s="629">
        <f>H60/DAY(B2)</f>
        <v>18740.879999999972</v>
      </c>
      <c r="K60" s="467"/>
      <c r="L60" s="408"/>
      <c r="N60" s="413"/>
    </row>
    <row r="61" spans="1:14">
      <c r="A61" s="679" t="s">
        <v>197</v>
      </c>
      <c r="B61" s="529"/>
      <c r="C61" s="529"/>
      <c r="D61" s="589"/>
      <c r="E61" s="588"/>
      <c r="F61" s="722"/>
      <c r="G61" s="589"/>
      <c r="H61" s="589"/>
      <c r="I61" s="589"/>
      <c r="J61" s="632"/>
      <c r="K61" s="467"/>
      <c r="L61" s="408"/>
      <c r="N61" s="413"/>
    </row>
    <row r="62" spans="1:14">
      <c r="A62" s="680" t="s">
        <v>106</v>
      </c>
      <c r="B62" s="681"/>
      <c r="C62" s="681"/>
      <c r="D62" s="587" t="s">
        <v>198</v>
      </c>
      <c r="E62" s="590">
        <f>'3'!F62</f>
        <v>20419.188999999998</v>
      </c>
      <c r="F62" s="723">
        <v>20419.187999999998</v>
      </c>
      <c r="G62" s="549">
        <f t="shared" ref="G62:G69" si="5">F62-E62</f>
        <v>-1.0000000002037268E-3</v>
      </c>
      <c r="H62" s="536">
        <f>G62+'3'!H62</f>
        <v>-1.0000000002037268E-3</v>
      </c>
      <c r="I62" s="591"/>
      <c r="J62" s="629">
        <f>H62/DAY(B2)</f>
        <v>-2.500000000509317E-4</v>
      </c>
      <c r="K62" s="467"/>
      <c r="L62" s="408"/>
      <c r="N62" s="413"/>
    </row>
    <row r="63" spans="1:14">
      <c r="A63" s="680" t="s">
        <v>199</v>
      </c>
      <c r="B63" s="681"/>
      <c r="C63" s="681"/>
      <c r="D63" s="587" t="s">
        <v>198</v>
      </c>
      <c r="E63" s="590">
        <f>'3'!F63</f>
        <v>1377</v>
      </c>
      <c r="F63" s="723">
        <v>1391</v>
      </c>
      <c r="G63" s="549">
        <f t="shared" si="5"/>
        <v>14</v>
      </c>
      <c r="H63" s="536">
        <f>G63+'3'!H63</f>
        <v>58.470000000000027</v>
      </c>
      <c r="I63" s="591"/>
      <c r="J63" s="629">
        <f>H63/DAY(B2)</f>
        <v>14.617500000000007</v>
      </c>
      <c r="K63" s="467"/>
      <c r="L63" s="408"/>
      <c r="N63" s="413"/>
    </row>
    <row r="64" spans="1:14" ht="27.75">
      <c r="A64" s="1385" t="s">
        <v>107</v>
      </c>
      <c r="B64" s="1386"/>
      <c r="C64" s="1387"/>
      <c r="D64" s="599" t="s">
        <v>198</v>
      </c>
      <c r="E64" s="560">
        <f>'3'!F64</f>
        <v>112583</v>
      </c>
      <c r="F64" s="712">
        <v>113002</v>
      </c>
      <c r="G64" s="549">
        <f t="shared" si="5"/>
        <v>419</v>
      </c>
      <c r="H64" s="536">
        <f>G64+'3'!H64</f>
        <v>1718.5399999999936</v>
      </c>
      <c r="I64" s="556"/>
      <c r="J64" s="629">
        <f>H64/DAY(B2)</f>
        <v>429.6349999999984</v>
      </c>
      <c r="K64" s="467"/>
      <c r="L64" s="408"/>
      <c r="N64" s="413"/>
    </row>
    <row r="65" spans="1:14" ht="27.75">
      <c r="A65" s="1385" t="s">
        <v>108</v>
      </c>
      <c r="B65" s="1386"/>
      <c r="C65" s="1387"/>
      <c r="D65" s="599" t="s">
        <v>198</v>
      </c>
      <c r="E65" s="560">
        <f>'3'!F65</f>
        <v>122868</v>
      </c>
      <c r="F65" s="713">
        <v>123239</v>
      </c>
      <c r="G65" s="549">
        <f t="shared" si="5"/>
        <v>371</v>
      </c>
      <c r="H65" s="536">
        <f>G65+'3'!H65</f>
        <v>1505.8899999999994</v>
      </c>
      <c r="I65" s="565"/>
      <c r="J65" s="629">
        <f>H65/DAY(B2)</f>
        <v>376.47249999999985</v>
      </c>
      <c r="K65" s="467"/>
      <c r="L65" s="408"/>
      <c r="N65" s="413"/>
    </row>
    <row r="66" spans="1:14" ht="27.75">
      <c r="A66" s="1385" t="s">
        <v>109</v>
      </c>
      <c r="B66" s="1386"/>
      <c r="C66" s="1387"/>
      <c r="D66" s="599" t="s">
        <v>198</v>
      </c>
      <c r="E66" s="560">
        <f>'3'!F66</f>
        <v>15373</v>
      </c>
      <c r="F66" s="712">
        <v>15769</v>
      </c>
      <c r="G66" s="549">
        <f t="shared" si="5"/>
        <v>396</v>
      </c>
      <c r="H66" s="536">
        <f>G66+'3'!H66</f>
        <v>1609.2600000000002</v>
      </c>
      <c r="I66" s="556"/>
      <c r="J66" s="629">
        <f>H66/DAY(B2)</f>
        <v>402.31500000000005</v>
      </c>
      <c r="K66" s="467"/>
      <c r="L66" s="408"/>
      <c r="N66" s="413"/>
    </row>
    <row r="67" spans="1:14" ht="27.75">
      <c r="A67" s="1385" t="s">
        <v>110</v>
      </c>
      <c r="B67" s="1386"/>
      <c r="C67" s="1387"/>
      <c r="D67" s="599" t="s">
        <v>198</v>
      </c>
      <c r="E67" s="560">
        <f>'3'!F67</f>
        <v>190728</v>
      </c>
      <c r="F67" s="712">
        <v>191429</v>
      </c>
      <c r="G67" s="549">
        <f t="shared" si="5"/>
        <v>701</v>
      </c>
      <c r="H67" s="536">
        <f>G67+'3'!H67</f>
        <v>2754.4700000000012</v>
      </c>
      <c r="I67" s="565"/>
      <c r="J67" s="629">
        <f>H67/DAY(B2)</f>
        <v>688.61750000000029</v>
      </c>
      <c r="K67" s="468"/>
      <c r="L67" s="408"/>
      <c r="N67" s="413"/>
    </row>
    <row r="68" spans="1:14" ht="27.75">
      <c r="A68" s="1385" t="s">
        <v>111</v>
      </c>
      <c r="B68" s="1386"/>
      <c r="C68" s="1387"/>
      <c r="D68" s="599" t="s">
        <v>198</v>
      </c>
      <c r="E68" s="560">
        <f>'3'!F68</f>
        <v>64300</v>
      </c>
      <c r="F68" s="712">
        <v>64643</v>
      </c>
      <c r="G68" s="549">
        <f t="shared" si="5"/>
        <v>343</v>
      </c>
      <c r="H68" s="536">
        <f>G68+'3'!H68</f>
        <v>1343.1399999999994</v>
      </c>
      <c r="I68" s="592"/>
      <c r="J68" s="629">
        <f>H68/DAY(B2)</f>
        <v>335.78499999999985</v>
      </c>
      <c r="K68" s="469"/>
      <c r="L68" s="408"/>
      <c r="N68" s="413"/>
    </row>
    <row r="69" spans="1:14" ht="27.75">
      <c r="A69" s="1385" t="s">
        <v>112</v>
      </c>
      <c r="B69" s="1386"/>
      <c r="C69" s="1387"/>
      <c r="D69" s="599" t="s">
        <v>198</v>
      </c>
      <c r="E69" s="560">
        <f>'3'!F69</f>
        <v>56667</v>
      </c>
      <c r="F69" s="712">
        <v>56963</v>
      </c>
      <c r="G69" s="549">
        <f t="shared" si="5"/>
        <v>296</v>
      </c>
      <c r="H69" s="536">
        <f>G69+'3'!H69</f>
        <v>1239.2900000000009</v>
      </c>
      <c r="I69" s="592"/>
      <c r="J69" s="629">
        <f>H69/DAY(B2)</f>
        <v>309.82250000000022</v>
      </c>
      <c r="K69" s="470"/>
      <c r="L69" s="408"/>
      <c r="N69" s="413"/>
    </row>
    <row r="70" spans="1:14" ht="27.75">
      <c r="A70" s="1391" t="s">
        <v>200</v>
      </c>
      <c r="B70" s="1392"/>
      <c r="C70" s="1393"/>
      <c r="D70" s="599" t="s">
        <v>198</v>
      </c>
      <c r="E70" s="594"/>
      <c r="F70" s="724"/>
      <c r="G70" s="594"/>
      <c r="H70" s="536">
        <f>G70+'3'!H70</f>
        <v>0</v>
      </c>
      <c r="I70" s="594"/>
      <c r="J70" s="633">
        <f>H70/DAY(B2)</f>
        <v>0</v>
      </c>
      <c r="K70" s="470"/>
      <c r="L70" s="408"/>
      <c r="N70" s="413"/>
    </row>
    <row r="71" spans="1:14" ht="31.5">
      <c r="A71" s="1388" t="s">
        <v>201</v>
      </c>
      <c r="B71" s="1389"/>
      <c r="C71" s="1389"/>
      <c r="D71" s="1389"/>
      <c r="E71" s="1389"/>
      <c r="F71" s="1389"/>
      <c r="G71" s="1389"/>
      <c r="H71" s="1389"/>
      <c r="I71" s="1389"/>
      <c r="J71" s="1390"/>
      <c r="K71" s="469"/>
      <c r="L71" s="408"/>
      <c r="N71" s="413"/>
    </row>
    <row r="72" spans="1:14" ht="27.75">
      <c r="A72" s="1385" t="s">
        <v>202</v>
      </c>
      <c r="B72" s="1386"/>
      <c r="C72" s="1387"/>
      <c r="D72" s="599" t="s">
        <v>198</v>
      </c>
      <c r="E72" s="595">
        <f>'3'!F72</f>
        <v>848721</v>
      </c>
      <c r="F72" s="725">
        <v>848804</v>
      </c>
      <c r="G72" s="549">
        <f t="shared" ref="G72:G84" si="6">F72-E72</f>
        <v>83</v>
      </c>
      <c r="H72" s="536">
        <f>G72+'3'!H72</f>
        <v>339</v>
      </c>
      <c r="I72" s="556"/>
      <c r="J72" s="629">
        <f>H72/DAY(B2)</f>
        <v>84.75</v>
      </c>
      <c r="K72" s="470"/>
      <c r="L72" s="408"/>
      <c r="N72" s="413"/>
    </row>
    <row r="73" spans="1:14" ht="27.75">
      <c r="A73" s="1385" t="s">
        <v>203</v>
      </c>
      <c r="B73" s="1386"/>
      <c r="C73" s="1387"/>
      <c r="D73" s="599" t="s">
        <v>198</v>
      </c>
      <c r="E73" s="596">
        <f>'3'!F73</f>
        <v>885729</v>
      </c>
      <c r="F73" s="726">
        <v>885729</v>
      </c>
      <c r="G73" s="733">
        <f t="shared" si="6"/>
        <v>0</v>
      </c>
      <c r="H73" s="536">
        <f>G73+'3'!H73</f>
        <v>1</v>
      </c>
      <c r="I73" s="556"/>
      <c r="J73" s="629">
        <f>H73/DAY(B2)</f>
        <v>0.25</v>
      </c>
      <c r="K73" s="469"/>
      <c r="L73" s="408"/>
      <c r="N73" s="413"/>
    </row>
    <row r="74" spans="1:14" ht="27.75">
      <c r="A74" s="1385" t="s">
        <v>204</v>
      </c>
      <c r="B74" s="1386"/>
      <c r="C74" s="1387"/>
      <c r="D74" s="599" t="s">
        <v>198</v>
      </c>
      <c r="E74" s="597">
        <f>'3'!F74</f>
        <v>882443</v>
      </c>
      <c r="F74" s="727">
        <v>882475</v>
      </c>
      <c r="G74" s="549">
        <f>F74-E74</f>
        <v>32</v>
      </c>
      <c r="H74" s="536">
        <f>G74+'3'!H74</f>
        <v>106</v>
      </c>
      <c r="I74" s="556"/>
      <c r="J74" s="629">
        <f>H74/DAY(B2)</f>
        <v>26.5</v>
      </c>
      <c r="K74" s="470"/>
      <c r="L74" s="408"/>
      <c r="N74" s="413"/>
    </row>
    <row r="75" spans="1:14" ht="27.75">
      <c r="A75" s="1382" t="s">
        <v>205</v>
      </c>
      <c r="B75" s="1383"/>
      <c r="C75" s="1384"/>
      <c r="D75" s="599" t="s">
        <v>198</v>
      </c>
      <c r="E75" s="597">
        <f>'3'!F75</f>
        <v>738078</v>
      </c>
      <c r="F75" s="727">
        <v>738251</v>
      </c>
      <c r="G75" s="549">
        <f t="shared" si="6"/>
        <v>173</v>
      </c>
      <c r="H75" s="536">
        <f>G75+'3'!H75</f>
        <v>732</v>
      </c>
      <c r="I75" s="556"/>
      <c r="J75" s="629">
        <f>H75/DAY(B2)</f>
        <v>183</v>
      </c>
      <c r="K75" s="469"/>
      <c r="L75" s="408"/>
      <c r="N75" s="413"/>
    </row>
    <row r="76" spans="1:14" ht="27.75">
      <c r="A76" s="1382" t="s">
        <v>206</v>
      </c>
      <c r="B76" s="1383"/>
      <c r="C76" s="1384"/>
      <c r="D76" s="599" t="s">
        <v>198</v>
      </c>
      <c r="E76" s="596">
        <f>'3'!F76</f>
        <v>687250</v>
      </c>
      <c r="F76" s="726">
        <v>687337</v>
      </c>
      <c r="G76" s="549">
        <f t="shared" si="6"/>
        <v>87</v>
      </c>
      <c r="H76" s="536">
        <f>G76+'3'!H76</f>
        <v>323</v>
      </c>
      <c r="I76" s="581"/>
      <c r="J76" s="629">
        <f>H76/DAY(B2)</f>
        <v>80.75</v>
      </c>
      <c r="K76" s="469"/>
      <c r="L76" s="408"/>
      <c r="N76" s="413"/>
    </row>
    <row r="77" spans="1:14" ht="27.75">
      <c r="A77" s="1385" t="s">
        <v>207</v>
      </c>
      <c r="B77" s="1386"/>
      <c r="C77" s="1387"/>
      <c r="D77" s="599" t="s">
        <v>198</v>
      </c>
      <c r="E77" s="596">
        <f>'3'!F77</f>
        <v>697261</v>
      </c>
      <c r="F77" s="726">
        <v>697332</v>
      </c>
      <c r="G77" s="733">
        <f t="shared" si="6"/>
        <v>71</v>
      </c>
      <c r="H77" s="536">
        <f>G77+'3'!H77</f>
        <v>225</v>
      </c>
      <c r="I77" s="581"/>
      <c r="J77" s="629">
        <f>H77/DAY(B2)</f>
        <v>56.25</v>
      </c>
      <c r="K77" s="469"/>
      <c r="L77" s="408"/>
      <c r="N77" s="413"/>
    </row>
    <row r="78" spans="1:14" ht="27.75">
      <c r="A78" s="1234" t="s">
        <v>208</v>
      </c>
      <c r="B78" s="1205"/>
      <c r="C78" s="1205"/>
      <c r="D78" s="599" t="s">
        <v>198</v>
      </c>
      <c r="E78" s="597">
        <f>'3'!F78</f>
        <v>643092</v>
      </c>
      <c r="F78" s="727">
        <v>643524</v>
      </c>
      <c r="G78" s="549">
        <f t="shared" si="6"/>
        <v>432</v>
      </c>
      <c r="H78" s="536">
        <f>G78+'3'!H78</f>
        <v>1571</v>
      </c>
      <c r="I78" s="581"/>
      <c r="J78" s="629">
        <f>H78/DAY(B2)</f>
        <v>392.75</v>
      </c>
      <c r="K78" s="469"/>
      <c r="L78" s="408"/>
      <c r="N78" s="413"/>
    </row>
    <row r="79" spans="1:14" ht="27.75">
      <c r="A79" s="1382" t="s">
        <v>97</v>
      </c>
      <c r="B79" s="1383"/>
      <c r="C79" s="1384"/>
      <c r="D79" s="600" t="s">
        <v>198</v>
      </c>
      <c r="E79" s="597">
        <f>'3'!F79</f>
        <v>810295</v>
      </c>
      <c r="F79" s="727">
        <v>810488</v>
      </c>
      <c r="G79" s="549">
        <f t="shared" si="6"/>
        <v>193</v>
      </c>
      <c r="H79" s="536">
        <f>G79+'3'!H79</f>
        <v>797</v>
      </c>
      <c r="I79" s="581"/>
      <c r="J79" s="629">
        <f>H79/DAY(B2)</f>
        <v>199.25</v>
      </c>
      <c r="K79" s="469"/>
      <c r="L79" s="408"/>
      <c r="N79" s="413"/>
    </row>
    <row r="80" spans="1:14" ht="27.75">
      <c r="A80" s="1382" t="s">
        <v>209</v>
      </c>
      <c r="B80" s="1383"/>
      <c r="C80" s="1384"/>
      <c r="D80" s="600" t="s">
        <v>198</v>
      </c>
      <c r="E80" s="596">
        <f>'3'!F80</f>
        <v>486080</v>
      </c>
      <c r="F80" s="726">
        <v>486390</v>
      </c>
      <c r="G80" s="549">
        <f t="shared" si="6"/>
        <v>310</v>
      </c>
      <c r="H80" s="536">
        <f>G80+'3'!H80</f>
        <v>1263</v>
      </c>
      <c r="I80" s="581"/>
      <c r="J80" s="629">
        <f>H80/DAY(B2)</f>
        <v>315.75</v>
      </c>
      <c r="K80" s="469"/>
      <c r="L80" s="408"/>
      <c r="N80" s="413"/>
    </row>
    <row r="81" spans="1:15" ht="27.75">
      <c r="A81" s="1382" t="s">
        <v>210</v>
      </c>
      <c r="B81" s="1383"/>
      <c r="C81" s="1384"/>
      <c r="D81" s="600" t="s">
        <v>198</v>
      </c>
      <c r="E81" s="596">
        <f>'3'!F81</f>
        <v>623057</v>
      </c>
      <c r="F81" s="726">
        <v>623152</v>
      </c>
      <c r="G81" s="549">
        <f t="shared" si="6"/>
        <v>95</v>
      </c>
      <c r="H81" s="536">
        <f>G81+'3'!H81</f>
        <v>377</v>
      </c>
      <c r="I81" s="581"/>
      <c r="J81" s="629">
        <f>H81/DAY(B2)</f>
        <v>94.25</v>
      </c>
      <c r="K81" s="469"/>
      <c r="L81" s="408"/>
      <c r="N81" s="413"/>
    </row>
    <row r="82" spans="1:15" ht="27.75">
      <c r="A82" s="1382" t="s">
        <v>100</v>
      </c>
      <c r="B82" s="1383"/>
      <c r="C82" s="1384"/>
      <c r="D82" s="561" t="s">
        <v>143</v>
      </c>
      <c r="E82" s="598">
        <f>'3'!F82</f>
        <v>105581</v>
      </c>
      <c r="F82" s="713">
        <v>105609</v>
      </c>
      <c r="G82" s="549">
        <f t="shared" si="6"/>
        <v>28</v>
      </c>
      <c r="H82" s="536">
        <f>G82+'3'!H82</f>
        <v>169</v>
      </c>
      <c r="I82" s="562"/>
      <c r="J82" s="629">
        <f>H82/DAY(B2)</f>
        <v>42.25</v>
      </c>
      <c r="K82" s="469"/>
      <c r="L82" s="408"/>
      <c r="N82" s="413"/>
    </row>
    <row r="83" spans="1:15" ht="27.75">
      <c r="A83" s="1382" t="s">
        <v>211</v>
      </c>
      <c r="B83" s="1383"/>
      <c r="C83" s="1384"/>
      <c r="D83" s="697" t="s">
        <v>143</v>
      </c>
      <c r="E83" s="587">
        <f>'3'!F83</f>
        <v>984996</v>
      </c>
      <c r="F83" s="720">
        <v>985414</v>
      </c>
      <c r="G83" s="549">
        <f t="shared" si="6"/>
        <v>418</v>
      </c>
      <c r="H83" s="536">
        <f>G83+'3'!H83</f>
        <v>1673</v>
      </c>
      <c r="I83" s="557"/>
      <c r="J83" s="629">
        <f>H83/DAY(B2)</f>
        <v>418.25</v>
      </c>
      <c r="K83" s="468"/>
      <c r="L83" s="408"/>
      <c r="N83" s="413"/>
    </row>
    <row r="84" spans="1:15">
      <c r="A84" s="1235" t="s">
        <v>212</v>
      </c>
      <c r="B84" s="648"/>
      <c r="C84" s="648"/>
      <c r="D84" s="554" t="s">
        <v>143</v>
      </c>
      <c r="E84" s="704">
        <f>'3'!F84</f>
        <v>417585</v>
      </c>
      <c r="F84" s="728">
        <v>418059</v>
      </c>
      <c r="G84" s="549">
        <f t="shared" si="6"/>
        <v>474</v>
      </c>
      <c r="H84" s="536">
        <f>G84+'3'!H84</f>
        <v>1986</v>
      </c>
      <c r="I84" s="557"/>
      <c r="J84" s="629">
        <f>H84/DAY(B2)</f>
        <v>496.5</v>
      </c>
      <c r="K84" s="411"/>
      <c r="L84" s="408"/>
      <c r="N84" s="413"/>
    </row>
    <row r="85" spans="1:15" s="410" customFormat="1">
      <c r="A85" s="682" t="s">
        <v>213</v>
      </c>
      <c r="B85" s="649"/>
      <c r="C85" s="649"/>
      <c r="D85" s="565"/>
      <c r="E85" s="599"/>
      <c r="F85" s="715"/>
      <c r="G85" s="536">
        <f xml:space="preserve"> SUM(G71:G84)</f>
        <v>2396</v>
      </c>
      <c r="H85" s="536">
        <f>G85+'3'!H85</f>
        <v>7749</v>
      </c>
      <c r="I85" s="557"/>
      <c r="J85" s="629">
        <f>H85/DAY(B2)</f>
        <v>1937.25</v>
      </c>
      <c r="K85" s="411"/>
      <c r="L85" s="409"/>
      <c r="N85" s="413"/>
    </row>
    <row r="86" spans="1:15" s="817" customFormat="1">
      <c r="A86" s="812" t="s">
        <v>102</v>
      </c>
      <c r="B86" s="813"/>
      <c r="C86" s="813"/>
      <c r="D86" s="814" t="s">
        <v>194</v>
      </c>
      <c r="E86" s="704">
        <f>'3'!F86</f>
        <v>447518</v>
      </c>
      <c r="F86" s="728">
        <v>447651</v>
      </c>
      <c r="G86" s="787">
        <f t="shared" ref="G86:G87" si="7">F86-E86</f>
        <v>133</v>
      </c>
      <c r="H86" s="536">
        <f>G86+'3'!H86</f>
        <v>545</v>
      </c>
      <c r="I86" s="733"/>
      <c r="J86" s="789">
        <f>H86/DAY(B2)</f>
        <v>136.25</v>
      </c>
      <c r="K86" s="815"/>
      <c r="L86" s="816"/>
      <c r="O86" s="795"/>
    </row>
    <row r="87" spans="1:15" s="817" customFormat="1">
      <c r="A87" s="812" t="s">
        <v>103</v>
      </c>
      <c r="B87" s="813"/>
      <c r="C87" s="813"/>
      <c r="D87" s="814" t="s">
        <v>194</v>
      </c>
      <c r="E87" s="704">
        <f>'3'!F87</f>
        <v>78543</v>
      </c>
      <c r="F87" s="728">
        <v>78572</v>
      </c>
      <c r="G87" s="787">
        <f t="shared" si="7"/>
        <v>29</v>
      </c>
      <c r="H87" s="536">
        <f>G87+'3'!H87</f>
        <v>125.69999999999709</v>
      </c>
      <c r="I87" s="733"/>
      <c r="J87" s="789">
        <f>H87/DAY(B2)</f>
        <v>31.424999999999272</v>
      </c>
      <c r="K87" s="815"/>
      <c r="L87" s="816"/>
      <c r="O87" s="795"/>
    </row>
    <row r="88" spans="1:15" s="817" customFormat="1">
      <c r="A88" s="812" t="s">
        <v>104</v>
      </c>
      <c r="B88" s="813"/>
      <c r="C88" s="813"/>
      <c r="D88" s="814" t="s">
        <v>194</v>
      </c>
      <c r="E88" s="704">
        <f>'3'!F88</f>
        <v>146706</v>
      </c>
      <c r="F88" s="728">
        <v>146781</v>
      </c>
      <c r="G88" s="787">
        <f>F88-E88</f>
        <v>75</v>
      </c>
      <c r="H88" s="536">
        <f>G88+'3'!H88</f>
        <v>279</v>
      </c>
      <c r="I88" s="733"/>
      <c r="J88" s="789">
        <f>H88/DAY(B2)</f>
        <v>69.75</v>
      </c>
      <c r="K88" s="815"/>
      <c r="L88" s="816"/>
      <c r="O88" s="795"/>
    </row>
    <row r="89" spans="1:15" s="817" customFormat="1">
      <c r="A89" s="812" t="s">
        <v>215</v>
      </c>
      <c r="B89" s="813"/>
      <c r="C89" s="813"/>
      <c r="D89" s="814" t="s">
        <v>194</v>
      </c>
      <c r="E89" s="704">
        <f>'3'!F89</f>
        <v>60027</v>
      </c>
      <c r="F89" s="728">
        <v>60106</v>
      </c>
      <c r="G89" s="787">
        <f>F89-E89</f>
        <v>79</v>
      </c>
      <c r="H89" s="536">
        <f>G89+'3'!H89</f>
        <v>304</v>
      </c>
      <c r="I89" s="733"/>
      <c r="J89" s="789">
        <f>H89/DAY(B2)</f>
        <v>76</v>
      </c>
      <c r="K89" s="815"/>
      <c r="L89" s="816"/>
      <c r="N89" s="860"/>
      <c r="O89" s="413"/>
    </row>
    <row r="90" spans="1:15" s="817" customFormat="1">
      <c r="A90" s="812" t="s">
        <v>215</v>
      </c>
      <c r="B90" s="813"/>
      <c r="C90" s="813"/>
      <c r="D90" s="814" t="s">
        <v>194</v>
      </c>
      <c r="E90" s="704">
        <f>'3'!F90</f>
        <v>3078</v>
      </c>
      <c r="F90" s="728">
        <v>3082</v>
      </c>
      <c r="G90" s="787">
        <f t="shared" ref="G90" si="8">F90-E90</f>
        <v>4</v>
      </c>
      <c r="H90" s="536">
        <f>G90+'3'!H90</f>
        <v>16.099999999999909</v>
      </c>
      <c r="I90" s="733"/>
      <c r="J90" s="789">
        <f>H90/DAY(B2)</f>
        <v>4.0249999999999773</v>
      </c>
      <c r="K90" s="815"/>
      <c r="L90" s="816"/>
      <c r="N90" s="860"/>
      <c r="O90" s="413"/>
    </row>
    <row r="91" spans="1:15" s="410" customFormat="1">
      <c r="A91" s="683" t="s">
        <v>216</v>
      </c>
      <c r="B91" s="1237"/>
      <c r="C91" s="1237"/>
      <c r="D91" s="548"/>
      <c r="E91" s="548"/>
      <c r="F91" s="559"/>
      <c r="G91" s="564"/>
      <c r="H91" s="548"/>
      <c r="I91" s="548"/>
      <c r="J91" s="628"/>
      <c r="K91" s="411"/>
      <c r="L91" s="409"/>
      <c r="N91" s="413"/>
    </row>
    <row r="92" spans="1:15" ht="27.75">
      <c r="A92" s="1406" t="s">
        <v>217</v>
      </c>
      <c r="B92" s="1407"/>
      <c r="C92" s="1408"/>
      <c r="D92" s="599" t="s">
        <v>155</v>
      </c>
      <c r="E92" s="560">
        <f>'3'!F92</f>
        <v>236820</v>
      </c>
      <c r="F92" s="712">
        <v>236922</v>
      </c>
      <c r="G92" s="549">
        <f t="shared" ref="G92:G93" si="9">F92-E92</f>
        <v>102</v>
      </c>
      <c r="H92" s="536">
        <f>G92+'3'!H92</f>
        <v>352</v>
      </c>
      <c r="I92" s="556"/>
      <c r="J92" s="629">
        <f>H92/DAY(B2)</f>
        <v>88</v>
      </c>
      <c r="K92" s="468"/>
      <c r="L92" s="408"/>
      <c r="N92" s="413"/>
    </row>
    <row r="93" spans="1:15" ht="27.75">
      <c r="A93" s="1406" t="s">
        <v>218</v>
      </c>
      <c r="B93" s="1407"/>
      <c r="C93" s="1408"/>
      <c r="D93" s="599" t="s">
        <v>155</v>
      </c>
      <c r="E93" s="560">
        <f>'3'!F93</f>
        <v>171677</v>
      </c>
      <c r="F93" s="712">
        <v>171817</v>
      </c>
      <c r="G93" s="549">
        <f t="shared" si="9"/>
        <v>140</v>
      </c>
      <c r="H93" s="536">
        <f>G93+'3'!H93</f>
        <v>641</v>
      </c>
      <c r="I93" s="556"/>
      <c r="J93" s="629">
        <f>H93/DAY(B2)</f>
        <v>160.25</v>
      </c>
      <c r="K93" s="411"/>
      <c r="L93" s="408"/>
      <c r="N93" s="413"/>
    </row>
    <row r="94" spans="1:15">
      <c r="A94" s="1434" t="s">
        <v>219</v>
      </c>
      <c r="B94" s="1435"/>
      <c r="C94" s="1436"/>
      <c r="D94" s="599"/>
      <c r="E94" s="560"/>
      <c r="F94" s="712"/>
      <c r="G94" s="549">
        <f>G92+G93</f>
        <v>242</v>
      </c>
      <c r="H94" s="536">
        <f>G94+'3'!H94</f>
        <v>706</v>
      </c>
      <c r="I94" s="556"/>
      <c r="J94" s="629">
        <f>H94/DAY(B2)</f>
        <v>176.5</v>
      </c>
      <c r="K94" s="411"/>
      <c r="L94" s="408"/>
      <c r="N94" s="413"/>
    </row>
    <row r="95" spans="1:15" ht="27.75">
      <c r="A95" s="1406" t="s">
        <v>220</v>
      </c>
      <c r="B95" s="1407"/>
      <c r="C95" s="1408"/>
      <c r="D95" s="599" t="s">
        <v>155</v>
      </c>
      <c r="E95" s="560">
        <f>'3'!F95</f>
        <v>406082</v>
      </c>
      <c r="F95" s="712">
        <v>406160</v>
      </c>
      <c r="G95" s="549">
        <f t="shared" ref="G95:G100" si="10">F95-E95</f>
        <v>78</v>
      </c>
      <c r="H95" s="536">
        <f>G95+'3'!H95</f>
        <v>284</v>
      </c>
      <c r="I95" s="556"/>
      <c r="J95" s="629">
        <f>H95/DAY(B2)</f>
        <v>71</v>
      </c>
      <c r="K95" s="411"/>
      <c r="L95" s="408"/>
      <c r="N95" s="413"/>
    </row>
    <row r="96" spans="1:15" ht="27.75">
      <c r="A96" s="1231" t="s">
        <v>221</v>
      </c>
      <c r="B96" s="1232"/>
      <c r="C96" s="1232"/>
      <c r="D96" s="599" t="s">
        <v>155</v>
      </c>
      <c r="E96" s="560">
        <f>'3'!F96</f>
        <v>100623</v>
      </c>
      <c r="F96" s="712">
        <v>100658</v>
      </c>
      <c r="G96" s="549">
        <f t="shared" si="10"/>
        <v>35</v>
      </c>
      <c r="H96" s="536">
        <f>G96+'3'!H96</f>
        <v>124</v>
      </c>
      <c r="I96" s="556"/>
      <c r="J96" s="629">
        <f>H96/DAY(B2)</f>
        <v>31</v>
      </c>
      <c r="K96" s="466"/>
      <c r="L96" s="408"/>
      <c r="N96" s="413"/>
    </row>
    <row r="97" spans="1:14" ht="27.75">
      <c r="A97" s="1231" t="s">
        <v>222</v>
      </c>
      <c r="B97" s="1232"/>
      <c r="C97" s="1232"/>
      <c r="D97" s="599" t="s">
        <v>155</v>
      </c>
      <c r="E97" s="560">
        <f>'3'!F97</f>
        <v>95742</v>
      </c>
      <c r="F97" s="712">
        <v>95787</v>
      </c>
      <c r="G97" s="549">
        <f t="shared" si="10"/>
        <v>45</v>
      </c>
      <c r="H97" s="536">
        <f>G97+'3'!H97</f>
        <v>110</v>
      </c>
      <c r="I97" s="556"/>
      <c r="J97" s="629">
        <f>H97/DAY(B2)</f>
        <v>27.5</v>
      </c>
      <c r="K97" s="471"/>
      <c r="L97" s="408"/>
      <c r="N97" s="413"/>
    </row>
    <row r="98" spans="1:14" ht="27.75">
      <c r="A98" s="1231" t="s">
        <v>223</v>
      </c>
      <c r="B98" s="1232"/>
      <c r="C98" s="1232"/>
      <c r="D98" s="599" t="s">
        <v>155</v>
      </c>
      <c r="E98" s="560">
        <f>'3'!F98</f>
        <v>145776</v>
      </c>
      <c r="F98" s="712">
        <v>145843</v>
      </c>
      <c r="G98" s="549">
        <f t="shared" si="10"/>
        <v>67</v>
      </c>
      <c r="H98" s="536">
        <f>G98+'3'!H98</f>
        <v>289</v>
      </c>
      <c r="I98" s="556"/>
      <c r="J98" s="629">
        <f>H98/DAY(B2)</f>
        <v>72.25</v>
      </c>
      <c r="K98" s="411"/>
      <c r="L98" s="408"/>
      <c r="N98" s="413"/>
    </row>
    <row r="99" spans="1:14" ht="27.75">
      <c r="A99" s="1231" t="s">
        <v>224</v>
      </c>
      <c r="B99" s="1232"/>
      <c r="C99" s="1232"/>
      <c r="D99" s="599" t="s">
        <v>155</v>
      </c>
      <c r="E99" s="560">
        <f>'3'!F99</f>
        <v>6005</v>
      </c>
      <c r="F99" s="712">
        <v>6015</v>
      </c>
      <c r="G99" s="549">
        <f t="shared" si="10"/>
        <v>10</v>
      </c>
      <c r="H99" s="536">
        <f>G99+'3'!H99</f>
        <v>41</v>
      </c>
      <c r="I99" s="556"/>
      <c r="J99" s="629">
        <f>H99/DAY(B2)</f>
        <v>10.25</v>
      </c>
      <c r="K99" s="411"/>
      <c r="L99" s="408"/>
      <c r="N99" s="413"/>
    </row>
    <row r="100" spans="1:14" ht="27.75">
      <c r="A100" s="1231" t="s">
        <v>225</v>
      </c>
      <c r="B100" s="1232"/>
      <c r="C100" s="1232"/>
      <c r="D100" s="599" t="s">
        <v>155</v>
      </c>
      <c r="E100" s="560">
        <f>'3'!F100</f>
        <v>4253</v>
      </c>
      <c r="F100" s="712">
        <v>4260</v>
      </c>
      <c r="G100" s="549">
        <f t="shared" si="10"/>
        <v>7</v>
      </c>
      <c r="H100" s="536">
        <f>G100+'3'!H100</f>
        <v>23</v>
      </c>
      <c r="I100" s="556"/>
      <c r="J100" s="629">
        <f>H100/DAY(B2)</f>
        <v>5.75</v>
      </c>
      <c r="K100" s="411"/>
      <c r="L100" s="408"/>
      <c r="N100" s="413"/>
    </row>
    <row r="101" spans="1:14">
      <c r="A101" s="1434" t="s">
        <v>227</v>
      </c>
      <c r="B101" s="1435"/>
      <c r="C101" s="1436"/>
      <c r="D101" s="600"/>
      <c r="E101" s="600"/>
      <c r="F101" s="717"/>
      <c r="G101" s="601">
        <f>SUM(G95:G100)</f>
        <v>242</v>
      </c>
      <c r="H101" s="536">
        <f>G101+'3'!H101</f>
        <v>871</v>
      </c>
      <c r="I101" s="602"/>
      <c r="J101" s="629">
        <f>H101/DAY(B2)</f>
        <v>217.75</v>
      </c>
      <c r="K101" s="411"/>
      <c r="L101" s="408"/>
      <c r="N101" s="413"/>
    </row>
    <row r="102" spans="1:14" s="481" customFormat="1" ht="27">
      <c r="A102" s="684" t="s">
        <v>228</v>
      </c>
      <c r="B102" s="685"/>
      <c r="C102" s="685"/>
      <c r="D102" s="698"/>
      <c r="E102" s="604"/>
      <c r="F102" s="729"/>
      <c r="G102" s="605"/>
      <c r="H102" s="606"/>
      <c r="I102" s="607"/>
      <c r="J102" s="634"/>
      <c r="N102" s="413"/>
    </row>
    <row r="103" spans="1:14" s="481" customFormat="1" ht="27.75">
      <c r="A103" s="1437" t="s">
        <v>229</v>
      </c>
      <c r="B103" s="1438"/>
      <c r="C103" s="650"/>
      <c r="D103" s="699"/>
      <c r="E103" s="608"/>
      <c r="F103" s="608"/>
      <c r="G103" s="608"/>
      <c r="H103" s="609"/>
      <c r="I103" s="608"/>
      <c r="J103" s="635"/>
      <c r="N103" s="413"/>
    </row>
    <row r="104" spans="1:14" s="481" customFormat="1" ht="27.75">
      <c r="A104" s="1398" t="s">
        <v>230</v>
      </c>
      <c r="B104" s="1399"/>
      <c r="C104" s="1230"/>
      <c r="D104" s="699" t="s">
        <v>155</v>
      </c>
      <c r="E104" s="608">
        <f>'3'!F104</f>
        <v>7010</v>
      </c>
      <c r="F104" s="608">
        <v>7010</v>
      </c>
      <c r="G104" s="608">
        <f>F104-E104</f>
        <v>0</v>
      </c>
      <c r="H104" s="536">
        <f>G104+'3'!H108</f>
        <v>0</v>
      </c>
      <c r="I104" s="608"/>
      <c r="J104" s="635">
        <f>H104/DAY(B2)</f>
        <v>0</v>
      </c>
      <c r="N104" s="413"/>
    </row>
    <row r="105" spans="1:14" s="481" customFormat="1" ht="27.75">
      <c r="A105" s="1398" t="s">
        <v>77</v>
      </c>
      <c r="B105" s="1399"/>
      <c r="C105" s="1230"/>
      <c r="D105" s="699" t="s">
        <v>155</v>
      </c>
      <c r="E105" s="610">
        <f>'3'!F105</f>
        <v>35183</v>
      </c>
      <c r="F105" s="610">
        <v>35189</v>
      </c>
      <c r="G105" s="608">
        <f t="shared" ref="G105:G106" si="11">F105-E105</f>
        <v>6</v>
      </c>
      <c r="H105" s="536">
        <f>G105+'3'!H105</f>
        <v>28</v>
      </c>
      <c r="I105" s="608"/>
      <c r="J105" s="635">
        <f>H105/DAY(B2)</f>
        <v>7</v>
      </c>
      <c r="N105" s="413"/>
    </row>
    <row r="106" spans="1:14" s="481" customFormat="1" ht="27.75">
      <c r="A106" s="1398" t="s">
        <v>78</v>
      </c>
      <c r="B106" s="1439"/>
      <c r="C106" s="1399"/>
      <c r="D106" s="699" t="s">
        <v>155</v>
      </c>
      <c r="E106" s="608">
        <f>'3'!F106</f>
        <v>19097</v>
      </c>
      <c r="F106" s="1135">
        <v>19103</v>
      </c>
      <c r="G106" s="608">
        <f t="shared" si="11"/>
        <v>6</v>
      </c>
      <c r="H106" s="536">
        <f>G106+'3'!H106</f>
        <v>23</v>
      </c>
      <c r="I106" s="608"/>
      <c r="J106" s="635">
        <f>H106/DAY(B2)</f>
        <v>5.75</v>
      </c>
      <c r="N106" s="413"/>
    </row>
    <row r="107" spans="1:14" s="481" customFormat="1" ht="27.75">
      <c r="A107" s="1400" t="s">
        <v>213</v>
      </c>
      <c r="B107" s="1401"/>
      <c r="C107" s="1230"/>
      <c r="D107" s="699"/>
      <c r="E107" s="608"/>
      <c r="F107" s="608"/>
      <c r="G107" s="608">
        <f>SUM(G104:G106)</f>
        <v>12</v>
      </c>
      <c r="H107" s="536">
        <f>G107+'3'!H107</f>
        <v>51</v>
      </c>
      <c r="I107" s="608"/>
      <c r="J107" s="635">
        <f>H107/DAY(B2)</f>
        <v>12.75</v>
      </c>
      <c r="N107" s="413"/>
    </row>
    <row r="108" spans="1:14" s="481" customFormat="1" ht="27.75">
      <c r="A108" s="1404" t="s">
        <v>79</v>
      </c>
      <c r="B108" s="1405"/>
      <c r="C108" s="1230"/>
      <c r="D108" s="699" t="s">
        <v>155</v>
      </c>
      <c r="E108" s="608"/>
      <c r="F108" s="608"/>
      <c r="G108" s="608"/>
      <c r="H108" s="536" t="e">
        <f>G108+'3'!#REF!</f>
        <v>#REF!</v>
      </c>
      <c r="I108" s="608"/>
      <c r="J108" s="635"/>
      <c r="N108" s="413"/>
    </row>
    <row r="109" spans="1:14" s="481" customFormat="1" ht="27.75">
      <c r="A109" s="1398" t="s">
        <v>231</v>
      </c>
      <c r="B109" s="1399"/>
      <c r="C109" s="1230"/>
      <c r="D109" s="699" t="s">
        <v>155</v>
      </c>
      <c r="E109" s="608">
        <f>'3'!F109</f>
        <v>54834</v>
      </c>
      <c r="F109" s="608">
        <v>54889</v>
      </c>
      <c r="G109" s="608">
        <f>F109-E109</f>
        <v>55</v>
      </c>
      <c r="H109" s="536">
        <f>G109+'3'!H109</f>
        <v>215</v>
      </c>
      <c r="I109" s="608"/>
      <c r="J109" s="635">
        <f>H109/DAY(B2)</f>
        <v>53.75</v>
      </c>
      <c r="N109" s="413"/>
    </row>
    <row r="110" spans="1:14" s="481" customFormat="1" ht="27.75">
      <c r="A110" s="1398" t="s">
        <v>232</v>
      </c>
      <c r="B110" s="1399"/>
      <c r="C110" s="1230"/>
      <c r="D110" s="699" t="s">
        <v>155</v>
      </c>
      <c r="E110" s="608">
        <f>'3'!F110</f>
        <v>28752</v>
      </c>
      <c r="F110" s="608">
        <v>28799</v>
      </c>
      <c r="G110" s="608">
        <f t="shared" ref="G110:G111" si="12">F110-E110</f>
        <v>47</v>
      </c>
      <c r="H110" s="536">
        <f>G110+'3'!H110</f>
        <v>258</v>
      </c>
      <c r="I110" s="608"/>
      <c r="J110" s="635">
        <f>H110/DAY(B2)</f>
        <v>64.5</v>
      </c>
      <c r="N110" s="413"/>
    </row>
    <row r="111" spans="1:14" s="481" customFormat="1" ht="27.75">
      <c r="A111" s="1398" t="s">
        <v>233</v>
      </c>
      <c r="B111" s="1399"/>
      <c r="C111" s="1230"/>
      <c r="D111" s="699" t="s">
        <v>155</v>
      </c>
      <c r="E111" s="608">
        <f>'3'!F111</f>
        <v>3770</v>
      </c>
      <c r="F111" s="608">
        <v>3784</v>
      </c>
      <c r="G111" s="608">
        <f t="shared" si="12"/>
        <v>14</v>
      </c>
      <c r="H111" s="536">
        <f>G111+'3'!H111</f>
        <v>30</v>
      </c>
      <c r="I111" s="608"/>
      <c r="J111" s="635">
        <f>H111/DAY(B2)</f>
        <v>7.5</v>
      </c>
      <c r="N111" s="413"/>
    </row>
    <row r="112" spans="1:14" s="481" customFormat="1" ht="27.75">
      <c r="A112" s="1400" t="s">
        <v>121</v>
      </c>
      <c r="B112" s="1401"/>
      <c r="C112" s="1230"/>
      <c r="D112" s="699"/>
      <c r="E112" s="608"/>
      <c r="F112" s="608"/>
      <c r="G112" s="608">
        <f>SUM(G109:G111)</f>
        <v>116</v>
      </c>
      <c r="H112" s="536">
        <f>G112+'3'!H112</f>
        <v>503</v>
      </c>
      <c r="I112" s="608"/>
      <c r="J112" s="635">
        <f>H112/DAY(B2)</f>
        <v>125.75</v>
      </c>
      <c r="N112" s="413"/>
    </row>
    <row r="113" spans="1:14" s="481" customFormat="1" ht="27.75">
      <c r="A113" s="1404" t="s">
        <v>234</v>
      </c>
      <c r="B113" s="1405"/>
      <c r="C113" s="1230"/>
      <c r="D113" s="699"/>
      <c r="E113" s="608"/>
      <c r="F113" s="608"/>
      <c r="G113" s="608"/>
      <c r="H113" s="536">
        <f>G113+'3'!H113</f>
        <v>0</v>
      </c>
      <c r="I113" s="608"/>
      <c r="J113" s="635">
        <f>H113/DAY(B2)</f>
        <v>0</v>
      </c>
      <c r="N113" s="413"/>
    </row>
    <row r="114" spans="1:14" s="481" customFormat="1" ht="27.75">
      <c r="A114" s="1398" t="s">
        <v>235</v>
      </c>
      <c r="B114" s="1399"/>
      <c r="C114" s="651"/>
      <c r="D114" s="699" t="s">
        <v>155</v>
      </c>
      <c r="E114" s="610">
        <f>'3'!F114</f>
        <v>9840</v>
      </c>
      <c r="F114" s="610">
        <v>9854</v>
      </c>
      <c r="G114" s="610">
        <f>F114-E114</f>
        <v>14</v>
      </c>
      <c r="H114" s="536">
        <f>G114+'3'!H114</f>
        <v>53</v>
      </c>
      <c r="I114" s="608"/>
      <c r="J114" s="635">
        <f>H114/DAY(B2)</f>
        <v>13.25</v>
      </c>
      <c r="N114" s="413"/>
    </row>
    <row r="115" spans="1:14" s="481" customFormat="1" ht="27.75">
      <c r="A115" s="1398" t="s">
        <v>236</v>
      </c>
      <c r="B115" s="1399"/>
      <c r="C115" s="651"/>
      <c r="D115" s="699" t="s">
        <v>155</v>
      </c>
      <c r="E115" s="610">
        <f>'3'!F115</f>
        <v>7441</v>
      </c>
      <c r="F115" s="610">
        <v>7448</v>
      </c>
      <c r="G115" s="610">
        <f t="shared" ref="G115:G116" si="13">F115-E115</f>
        <v>7</v>
      </c>
      <c r="H115" s="536">
        <f>G115+'3'!H115</f>
        <v>21</v>
      </c>
      <c r="I115" s="608"/>
      <c r="J115" s="635">
        <f>H115/DAY(B2)</f>
        <v>5.25</v>
      </c>
      <c r="N115" s="413"/>
    </row>
    <row r="116" spans="1:14" s="481" customFormat="1" ht="27.75">
      <c r="A116" s="1398" t="s">
        <v>237</v>
      </c>
      <c r="B116" s="1399"/>
      <c r="C116" s="651"/>
      <c r="D116" s="699" t="s">
        <v>155</v>
      </c>
      <c r="E116" s="610"/>
      <c r="F116" s="610"/>
      <c r="G116" s="610">
        <f t="shared" si="13"/>
        <v>0</v>
      </c>
      <c r="H116" s="536">
        <f>G116+'3'!H116</f>
        <v>0</v>
      </c>
      <c r="I116" s="608"/>
      <c r="J116" s="635">
        <f>H116/DAY(B2)</f>
        <v>0</v>
      </c>
      <c r="N116" s="413"/>
    </row>
    <row r="117" spans="1:14" s="494" customFormat="1" ht="27.75">
      <c r="A117" s="1400" t="s">
        <v>213</v>
      </c>
      <c r="B117" s="1401"/>
      <c r="C117" s="651"/>
      <c r="D117" s="700"/>
      <c r="E117" s="610"/>
      <c r="F117" s="610"/>
      <c r="G117" s="610">
        <f>SUM(G114:G116)</f>
        <v>21</v>
      </c>
      <c r="H117" s="536">
        <f>G117+'3'!H117</f>
        <v>74</v>
      </c>
      <c r="I117" s="610"/>
      <c r="J117" s="635">
        <f>H117/DAY(B2)</f>
        <v>18.5</v>
      </c>
      <c r="N117" s="413"/>
    </row>
    <row r="118" spans="1:14" s="495" customFormat="1" ht="27.75">
      <c r="A118" s="1394" t="s">
        <v>238</v>
      </c>
      <c r="B118" s="1395"/>
      <c r="C118" s="1228"/>
      <c r="D118" s="701" t="s">
        <v>155</v>
      </c>
      <c r="E118" s="612"/>
      <c r="F118" s="612">
        <f>SUM(G19+G92)</f>
        <v>152</v>
      </c>
      <c r="G118" s="612">
        <f>SUM(G19+G92)</f>
        <v>152</v>
      </c>
      <c r="H118" s="536">
        <f>G118+'3'!H118</f>
        <v>555</v>
      </c>
      <c r="I118" s="611"/>
      <c r="J118" s="636">
        <f>H118/DAY(B2)</f>
        <v>138.75</v>
      </c>
      <c r="N118" s="413"/>
    </row>
    <row r="119" spans="1:14" s="495" customFormat="1" ht="27.75">
      <c r="A119" s="1394" t="s">
        <v>239</v>
      </c>
      <c r="B119" s="1395"/>
      <c r="C119" s="1228"/>
      <c r="D119" s="701" t="s">
        <v>155</v>
      </c>
      <c r="E119" s="612"/>
      <c r="F119" s="612">
        <f>SUM(G95,G96,G97,G99,G100)</f>
        <v>175</v>
      </c>
      <c r="G119" s="612">
        <f>SUM(G95,G96,G97,G99,G100)</f>
        <v>175</v>
      </c>
      <c r="H119" s="536">
        <f>G119+'3'!H119</f>
        <v>582</v>
      </c>
      <c r="I119" s="611"/>
      <c r="J119" s="636">
        <f>H119/DAY(B2)</f>
        <v>145.5</v>
      </c>
      <c r="N119" s="413"/>
    </row>
    <row r="120" spans="1:14" s="495" customFormat="1" ht="27.75">
      <c r="A120" s="1394" t="s">
        <v>240</v>
      </c>
      <c r="B120" s="1395"/>
      <c r="C120" s="1228"/>
      <c r="D120" s="701" t="s">
        <v>155</v>
      </c>
      <c r="E120" s="610"/>
      <c r="F120" s="610">
        <f>SUM(G112)</f>
        <v>116</v>
      </c>
      <c r="G120" s="610">
        <f>SUM(G112)</f>
        <v>116</v>
      </c>
      <c r="H120" s="536">
        <f>G120+'3'!H120</f>
        <v>503</v>
      </c>
      <c r="I120" s="611"/>
      <c r="J120" s="636">
        <f>H120/DAY(B2)</f>
        <v>125.75</v>
      </c>
      <c r="N120" s="413"/>
    </row>
    <row r="121" spans="1:14" s="481" customFormat="1" ht="27.75">
      <c r="A121" s="1396"/>
      <c r="B121" s="1397"/>
      <c r="C121" s="1229"/>
      <c r="D121" s="637"/>
      <c r="E121" s="637"/>
      <c r="F121" s="637" t="s">
        <v>226</v>
      </c>
      <c r="G121" s="637"/>
      <c r="H121" s="638"/>
      <c r="I121" s="637"/>
      <c r="J121" s="639"/>
      <c r="N121" s="413"/>
    </row>
    <row r="122" spans="1:14">
      <c r="A122" s="1431" t="s">
        <v>241</v>
      </c>
      <c r="B122" s="1432"/>
      <c r="C122" s="1433"/>
      <c r="D122" s="548"/>
      <c r="E122" s="548"/>
      <c r="F122" s="559"/>
      <c r="G122" s="559"/>
      <c r="H122" s="559"/>
      <c r="I122" s="559"/>
      <c r="J122" s="640"/>
      <c r="K122" s="411"/>
      <c r="L122" s="408"/>
      <c r="N122" s="413"/>
    </row>
    <row r="123" spans="1:14" ht="27.75">
      <c r="A123" s="1231" t="s">
        <v>242</v>
      </c>
      <c r="B123" s="1232"/>
      <c r="C123" s="1232"/>
      <c r="D123" s="599" t="s">
        <v>152</v>
      </c>
      <c r="E123" s="554">
        <f>'3'!F123</f>
        <v>804129</v>
      </c>
      <c r="F123" s="712">
        <v>804404</v>
      </c>
      <c r="G123" s="549">
        <f t="shared" ref="G123:G127" si="14">F123-E123</f>
        <v>275</v>
      </c>
      <c r="H123" s="536">
        <f>G123+'3'!H123</f>
        <v>1068.5999999999767</v>
      </c>
      <c r="I123" s="602"/>
      <c r="J123" s="629">
        <f>H123/DAY(B2)</f>
        <v>267.14999999999418</v>
      </c>
      <c r="K123" s="411"/>
      <c r="L123" s="408"/>
      <c r="N123" s="413"/>
    </row>
    <row r="124" spans="1:14" ht="27.75">
      <c r="A124" s="1231" t="s">
        <v>243</v>
      </c>
      <c r="B124" s="1232"/>
      <c r="C124" s="1232"/>
      <c r="D124" s="599" t="s">
        <v>152</v>
      </c>
      <c r="E124" s="703">
        <f>'3'!F124</f>
        <v>73582</v>
      </c>
      <c r="F124" s="730">
        <v>73582</v>
      </c>
      <c r="G124" s="549">
        <f t="shared" si="14"/>
        <v>0</v>
      </c>
      <c r="H124" s="536">
        <f>G124+'3'!H124</f>
        <v>0</v>
      </c>
      <c r="I124" s="602"/>
      <c r="J124" s="629">
        <f>H124/DAY(B2)</f>
        <v>0</v>
      </c>
      <c r="K124" s="411"/>
      <c r="L124" s="408"/>
      <c r="N124" s="413"/>
    </row>
    <row r="125" spans="1:14" ht="27.75">
      <c r="A125" s="1385" t="s">
        <v>244</v>
      </c>
      <c r="B125" s="1386"/>
      <c r="C125" s="1387"/>
      <c r="D125" s="599" t="s">
        <v>152</v>
      </c>
      <c r="E125" s="554">
        <f>'3'!F125</f>
        <v>138052</v>
      </c>
      <c r="F125" s="712">
        <v>138120</v>
      </c>
      <c r="G125" s="549">
        <f t="shared" si="14"/>
        <v>68</v>
      </c>
      <c r="H125" s="536">
        <f>G125+'3'!H125</f>
        <v>272</v>
      </c>
      <c r="I125" s="602"/>
      <c r="J125" s="629">
        <f>H125/DAY(B2)</f>
        <v>68</v>
      </c>
      <c r="K125" s="411"/>
      <c r="L125" s="408"/>
      <c r="N125" s="413"/>
    </row>
    <row r="126" spans="1:14" ht="27.75">
      <c r="A126" s="686" t="s">
        <v>245</v>
      </c>
      <c r="B126" s="1232"/>
      <c r="C126" s="1232"/>
      <c r="D126" s="599" t="s">
        <v>152</v>
      </c>
      <c r="E126" s="703">
        <f>'3'!F126</f>
        <v>58529</v>
      </c>
      <c r="F126" s="730">
        <v>58561</v>
      </c>
      <c r="G126" s="549">
        <f t="shared" si="14"/>
        <v>32</v>
      </c>
      <c r="H126" s="536">
        <f>G126+'3'!H126</f>
        <v>169.30000000000291</v>
      </c>
      <c r="I126" s="602"/>
      <c r="J126" s="629">
        <f>H126/DAY(B2)</f>
        <v>42.325000000000728</v>
      </c>
      <c r="K126" s="411"/>
      <c r="L126" s="408"/>
      <c r="N126" s="413"/>
    </row>
    <row r="127" spans="1:14" ht="27.75">
      <c r="A127" s="686" t="s">
        <v>246</v>
      </c>
      <c r="B127" s="1232"/>
      <c r="C127" s="1232"/>
      <c r="D127" s="599" t="s">
        <v>152</v>
      </c>
      <c r="E127" s="703">
        <f>'3'!F127</f>
        <v>8823</v>
      </c>
      <c r="F127" s="730">
        <v>8824</v>
      </c>
      <c r="G127" s="549">
        <f t="shared" si="14"/>
        <v>1</v>
      </c>
      <c r="H127" s="536">
        <f>G127+'3'!H127</f>
        <v>8</v>
      </c>
      <c r="I127" s="556"/>
      <c r="J127" s="629">
        <f>H127/DAY(B2)</f>
        <v>2</v>
      </c>
      <c r="K127" s="411"/>
      <c r="L127" s="408"/>
      <c r="N127" s="413"/>
    </row>
    <row r="128" spans="1:14" s="281" customFormat="1" ht="27.75">
      <c r="A128" s="686" t="s">
        <v>247</v>
      </c>
      <c r="B128" s="1232"/>
      <c r="C128" s="1232"/>
      <c r="D128" s="599"/>
      <c r="E128" s="554"/>
      <c r="F128" s="712"/>
      <c r="G128" s="549">
        <f>G15-SUM(G123:G127)</f>
        <v>420</v>
      </c>
      <c r="H128" s="536">
        <f>G128+'3'!H128</f>
        <v>1809.9500000001135</v>
      </c>
      <c r="I128" s="556"/>
      <c r="J128" s="629">
        <f>H128/DAY(B2)</f>
        <v>452.48750000002838</v>
      </c>
      <c r="K128" s="391"/>
      <c r="L128" s="293"/>
      <c r="N128" s="413"/>
    </row>
    <row r="129" spans="1:14">
      <c r="A129" s="687" t="s">
        <v>248</v>
      </c>
      <c r="B129" s="534"/>
      <c r="C129" s="534"/>
      <c r="D129" s="547"/>
      <c r="E129" s="547"/>
      <c r="F129" s="570"/>
      <c r="G129" s="617"/>
      <c r="H129" s="617"/>
      <c r="I129" s="617"/>
      <c r="J129" s="641"/>
      <c r="N129" s="413"/>
    </row>
    <row r="130" spans="1:14" ht="27.75">
      <c r="A130" s="1231" t="s">
        <v>249</v>
      </c>
      <c r="B130" s="1232"/>
      <c r="C130" s="1232"/>
      <c r="D130" s="599" t="s">
        <v>250</v>
      </c>
      <c r="E130" s="560">
        <f>'3'!F130</f>
        <v>0</v>
      </c>
      <c r="F130" s="712">
        <v>0</v>
      </c>
      <c r="G130" s="549">
        <f t="shared" ref="G130:G140" si="15">F130-E130</f>
        <v>0</v>
      </c>
      <c r="H130" s="536">
        <f>G130+'3'!H130</f>
        <v>0</v>
      </c>
      <c r="I130" s="556"/>
      <c r="J130" s="629">
        <f>H130/DAY(B2)</f>
        <v>0</v>
      </c>
      <c r="N130" s="413"/>
    </row>
    <row r="131" spans="1:14" ht="27.75">
      <c r="A131" s="1231" t="s">
        <v>251</v>
      </c>
      <c r="B131" s="1232"/>
      <c r="C131" s="1232"/>
      <c r="D131" s="599" t="s">
        <v>250</v>
      </c>
      <c r="E131" s="560">
        <f>'3'!F131</f>
        <v>0</v>
      </c>
      <c r="F131" s="712">
        <v>0</v>
      </c>
      <c r="G131" s="549">
        <f t="shared" si="15"/>
        <v>0</v>
      </c>
      <c r="H131" s="536">
        <f>G131+'3'!H131</f>
        <v>0</v>
      </c>
      <c r="I131" s="556"/>
      <c r="J131" s="629">
        <f>H131/DAY(B2)</f>
        <v>0</v>
      </c>
      <c r="N131" s="413"/>
    </row>
    <row r="132" spans="1:14" ht="27.75">
      <c r="A132" s="1231" t="s">
        <v>252</v>
      </c>
      <c r="B132" s="1232"/>
      <c r="C132" s="1232"/>
      <c r="D132" s="599" t="s">
        <v>250</v>
      </c>
      <c r="E132" s="618">
        <f>'3'!F132</f>
        <v>39176</v>
      </c>
      <c r="F132" s="713">
        <v>39188</v>
      </c>
      <c r="G132" s="549">
        <f t="shared" si="15"/>
        <v>12</v>
      </c>
      <c r="H132" s="536">
        <f>G132+'3'!H132</f>
        <v>83.559999999997672</v>
      </c>
      <c r="I132" s="556"/>
      <c r="J132" s="629">
        <f>H132/DAY(B2)</f>
        <v>20.889999999999418</v>
      </c>
      <c r="N132" s="413"/>
    </row>
    <row r="133" spans="1:14" ht="27.75">
      <c r="A133" s="1231" t="s">
        <v>253</v>
      </c>
      <c r="B133" s="1232"/>
      <c r="C133" s="1232"/>
      <c r="D133" s="599" t="s">
        <v>250</v>
      </c>
      <c r="E133" s="782">
        <f>'3'!F133</f>
        <v>299</v>
      </c>
      <c r="F133" s="730">
        <v>299</v>
      </c>
      <c r="G133" s="549">
        <f t="shared" si="15"/>
        <v>0</v>
      </c>
      <c r="H133" s="536">
        <f>G133+'3'!H133</f>
        <v>0</v>
      </c>
      <c r="I133" s="556">
        <f>G132+G133+G134+G135</f>
        <v>24</v>
      </c>
      <c r="J133" s="629">
        <f>H133/DAY(B2)</f>
        <v>0</v>
      </c>
      <c r="N133" s="413"/>
    </row>
    <row r="134" spans="1:14" ht="27.75">
      <c r="A134" s="1231" t="s">
        <v>254</v>
      </c>
      <c r="B134" s="1232"/>
      <c r="C134" s="1232"/>
      <c r="D134" s="599" t="s">
        <v>250</v>
      </c>
      <c r="E134" s="782">
        <f>'3'!F134</f>
        <v>39951</v>
      </c>
      <c r="F134" s="730">
        <v>39963</v>
      </c>
      <c r="G134" s="549">
        <f t="shared" si="15"/>
        <v>12</v>
      </c>
      <c r="H134" s="536">
        <f>G134+'3'!H134</f>
        <v>12</v>
      </c>
      <c r="I134" s="556"/>
      <c r="J134" s="629">
        <f>H134/DAY(B2)</f>
        <v>3</v>
      </c>
      <c r="N134" s="413"/>
    </row>
    <row r="135" spans="1:14" ht="27.75">
      <c r="A135" s="1231" t="s">
        <v>255</v>
      </c>
      <c r="B135" s="1232"/>
      <c r="C135" s="1232"/>
      <c r="D135" s="599" t="s">
        <v>250</v>
      </c>
      <c r="E135" s="782">
        <f>'3'!F135</f>
        <v>32423</v>
      </c>
      <c r="F135" s="730">
        <v>32423</v>
      </c>
      <c r="G135" s="549">
        <f t="shared" si="15"/>
        <v>0</v>
      </c>
      <c r="H135" s="536">
        <f>G135+'3'!H135</f>
        <v>0</v>
      </c>
      <c r="I135" s="556"/>
      <c r="J135" s="629">
        <f>H135/DAY(B2)</f>
        <v>0</v>
      </c>
      <c r="N135" s="413"/>
    </row>
    <row r="136" spans="1:14" ht="27.75">
      <c r="A136" s="1231" t="s">
        <v>256</v>
      </c>
      <c r="B136" s="1232"/>
      <c r="C136" s="1232"/>
      <c r="D136" s="599" t="s">
        <v>250</v>
      </c>
      <c r="E136" s="618">
        <f>'3'!F136</f>
        <v>22022</v>
      </c>
      <c r="F136" s="713">
        <v>22027.23</v>
      </c>
      <c r="G136" s="549">
        <f t="shared" si="15"/>
        <v>5.2299999999995634</v>
      </c>
      <c r="H136" s="536">
        <f>G136+'3'!H136</f>
        <v>25.270000000000437</v>
      </c>
      <c r="I136" s="556">
        <f>G136+G137+G138</f>
        <v>7.3999999999978172</v>
      </c>
      <c r="J136" s="629">
        <f>H136/DAY(B2)</f>
        <v>6.3175000000001091</v>
      </c>
      <c r="N136" s="413"/>
    </row>
    <row r="137" spans="1:14" ht="27.75">
      <c r="A137" s="1231" t="s">
        <v>257</v>
      </c>
      <c r="B137" s="1232"/>
      <c r="C137" s="1232"/>
      <c r="D137" s="599" t="s">
        <v>250</v>
      </c>
      <c r="E137" s="618">
        <f>'3'!F137</f>
        <v>25025</v>
      </c>
      <c r="F137" s="713">
        <v>25027.17</v>
      </c>
      <c r="G137" s="549">
        <f t="shared" si="15"/>
        <v>2.1699999999982538</v>
      </c>
      <c r="H137" s="536">
        <f>G137+'3'!H137</f>
        <v>7.2299999999995634</v>
      </c>
      <c r="I137" s="556"/>
      <c r="J137" s="629">
        <f>H137/DAY(B2)</f>
        <v>1.8074999999998909</v>
      </c>
      <c r="N137" s="413"/>
    </row>
    <row r="138" spans="1:14" ht="27.75">
      <c r="A138" s="1231" t="s">
        <v>258</v>
      </c>
      <c r="B138" s="1232"/>
      <c r="C138" s="1232"/>
      <c r="D138" s="599" t="s">
        <v>250</v>
      </c>
      <c r="E138" s="618">
        <f>'3'!F138</f>
        <v>70063.89</v>
      </c>
      <c r="F138" s="713">
        <v>70063.89</v>
      </c>
      <c r="G138" s="549">
        <f t="shared" si="15"/>
        <v>0</v>
      </c>
      <c r="H138" s="536">
        <f>G138+'3'!H138</f>
        <v>0</v>
      </c>
      <c r="I138" s="556"/>
      <c r="J138" s="629">
        <f>H138/DAY(B2)</f>
        <v>0</v>
      </c>
      <c r="N138" s="413"/>
    </row>
    <row r="139" spans="1:14" ht="27.75">
      <c r="A139" s="1231" t="s">
        <v>259</v>
      </c>
      <c r="B139" s="1232"/>
      <c r="C139" s="1232"/>
      <c r="D139" s="599" t="s">
        <v>250</v>
      </c>
      <c r="E139" s="782">
        <f>'3'!F139</f>
        <v>1223.95</v>
      </c>
      <c r="F139" s="730">
        <v>1232</v>
      </c>
      <c r="G139" s="549">
        <f t="shared" si="15"/>
        <v>8.0499999999999545</v>
      </c>
      <c r="H139" s="536">
        <f>G139+'3'!H139</f>
        <v>31.410000000000082</v>
      </c>
      <c r="I139" s="619">
        <f>G139+G140</f>
        <v>8.0499999999999545</v>
      </c>
      <c r="J139" s="629">
        <f>H139/DAY(B2)</f>
        <v>7.8525000000000205</v>
      </c>
      <c r="N139" s="413"/>
    </row>
    <row r="140" spans="1:14" ht="27.75">
      <c r="A140" s="1231" t="s">
        <v>260</v>
      </c>
      <c r="B140" s="1232"/>
      <c r="C140" s="1232"/>
      <c r="D140" s="599" t="s">
        <v>250</v>
      </c>
      <c r="E140" s="560">
        <f>'3'!F140</f>
        <v>4334</v>
      </c>
      <c r="F140" s="712">
        <v>4334</v>
      </c>
      <c r="G140" s="549">
        <f t="shared" si="15"/>
        <v>0</v>
      </c>
      <c r="H140" s="536">
        <f>G140+'3'!H140</f>
        <v>0</v>
      </c>
      <c r="I140" s="619"/>
      <c r="J140" s="629">
        <f>H140/DAY(B2)</f>
        <v>0</v>
      </c>
      <c r="N140" s="413"/>
    </row>
    <row r="141" spans="1:14">
      <c r="A141" s="1412" t="s">
        <v>261</v>
      </c>
      <c r="B141" s="1413"/>
      <c r="C141" s="1237"/>
      <c r="D141" s="548"/>
      <c r="E141" s="548"/>
      <c r="F141" s="559"/>
      <c r="G141" s="559"/>
      <c r="H141" s="559"/>
      <c r="I141" s="559"/>
      <c r="J141" s="640"/>
      <c r="K141" s="411"/>
      <c r="L141" s="408"/>
      <c r="N141" s="413"/>
    </row>
    <row r="142" spans="1:14" ht="27.75">
      <c r="A142" s="1406" t="s">
        <v>262</v>
      </c>
      <c r="B142" s="1407"/>
      <c r="C142" s="1408"/>
      <c r="D142" s="599" t="s">
        <v>143</v>
      </c>
      <c r="E142" s="599"/>
      <c r="F142" s="715"/>
      <c r="G142" s="536">
        <f>G35+G43+G49+G57</f>
        <v>4858</v>
      </c>
      <c r="H142" s="536">
        <f>G142+'3'!H142</f>
        <v>20321.369999999937</v>
      </c>
      <c r="I142" s="556"/>
      <c r="J142" s="629">
        <f>H142/DAY(B2)</f>
        <v>5080.3424999999843</v>
      </c>
      <c r="K142" s="411"/>
      <c r="L142" s="408"/>
      <c r="N142" s="413"/>
    </row>
    <row r="143" spans="1:14" ht="27.75">
      <c r="A143" s="1406" t="s">
        <v>263</v>
      </c>
      <c r="B143" s="1407"/>
      <c r="C143" s="1408"/>
      <c r="D143" s="599" t="s">
        <v>24</v>
      </c>
      <c r="E143" s="587"/>
      <c r="F143" s="720"/>
      <c r="G143" s="620">
        <f>G142/G7</f>
        <v>0.2661771957700948</v>
      </c>
      <c r="H143" s="536">
        <f>G143+'3'!H143</f>
        <v>0.86678695865373179</v>
      </c>
      <c r="I143" s="621"/>
      <c r="J143" s="629">
        <f>H143/DAY(B2)</f>
        <v>0.21669673966343295</v>
      </c>
      <c r="K143" s="411"/>
      <c r="L143" s="408"/>
      <c r="N143" s="413"/>
    </row>
    <row r="144" spans="1:14" ht="27.75">
      <c r="A144" s="1406" t="s">
        <v>264</v>
      </c>
      <c r="B144" s="1407"/>
      <c r="C144" s="1408"/>
      <c r="D144" s="599" t="s">
        <v>143</v>
      </c>
      <c r="E144" s="531"/>
      <c r="F144" s="710"/>
      <c r="G144" s="536">
        <f>G41+G42+G55+G56</f>
        <v>3732.8999999999505</v>
      </c>
      <c r="H144" s="536">
        <f>G144+'3'!H144</f>
        <v>16282.989999999969</v>
      </c>
      <c r="I144" s="556"/>
      <c r="J144" s="629">
        <f>H144/DAY(B2)</f>
        <v>4070.7474999999922</v>
      </c>
      <c r="K144" s="411"/>
      <c r="L144" s="408"/>
      <c r="N144" s="413"/>
    </row>
    <row r="145" spans="1:14" ht="27.75">
      <c r="A145" s="1406" t="s">
        <v>265</v>
      </c>
      <c r="B145" s="1407"/>
      <c r="C145" s="1408"/>
      <c r="D145" s="599" t="s">
        <v>24</v>
      </c>
      <c r="E145" s="531"/>
      <c r="F145" s="710"/>
      <c r="G145" s="620">
        <f>G144/G7</f>
        <v>0.20453125856117202</v>
      </c>
      <c r="H145" s="536">
        <f>G145+'3'!H145</f>
        <v>0.85319250305349725</v>
      </c>
      <c r="I145" s="621"/>
      <c r="J145" s="629">
        <f>H145/DAY(B2)</f>
        <v>0.21329812576337431</v>
      </c>
      <c r="K145" s="411"/>
      <c r="L145" s="408"/>
      <c r="N145" s="413"/>
    </row>
    <row r="146" spans="1:14" ht="27.75">
      <c r="A146" s="1406" t="s">
        <v>266</v>
      </c>
      <c r="B146" s="1407"/>
      <c r="C146" s="1408"/>
      <c r="D146" s="599" t="s">
        <v>143</v>
      </c>
      <c r="E146" s="531"/>
      <c r="F146" s="710"/>
      <c r="G146" s="536">
        <f>G39+G53</f>
        <v>4148</v>
      </c>
      <c r="H146" s="536">
        <f>G146+'3'!H146</f>
        <v>16679.729999999981</v>
      </c>
      <c r="I146" s="622"/>
      <c r="J146" s="629">
        <f>H146/DAY(B2)</f>
        <v>4169.9324999999953</v>
      </c>
      <c r="K146" s="411"/>
      <c r="L146" s="408"/>
      <c r="N146" s="413"/>
    </row>
    <row r="147" spans="1:14" ht="27.75">
      <c r="A147" s="1406" t="s">
        <v>267</v>
      </c>
      <c r="B147" s="1407"/>
      <c r="C147" s="1408"/>
      <c r="D147" s="599" t="s">
        <v>24</v>
      </c>
      <c r="E147" s="531"/>
      <c r="F147" s="710"/>
      <c r="G147" s="620">
        <f>G146/G7</f>
        <v>0.22727521779628512</v>
      </c>
      <c r="H147" s="536">
        <f>G147+'3'!H147</f>
        <v>0.87493001608232079</v>
      </c>
      <c r="I147" s="622"/>
      <c r="J147" s="629">
        <f>H147/DAY(B2)</f>
        <v>0.2187325040205802</v>
      </c>
      <c r="N147" s="413"/>
    </row>
    <row r="148" spans="1:14" ht="27.75">
      <c r="A148" s="1406" t="s">
        <v>268</v>
      </c>
      <c r="B148" s="1407"/>
      <c r="C148" s="1408"/>
      <c r="D148" s="599" t="s">
        <v>194</v>
      </c>
      <c r="E148" s="531"/>
      <c r="F148" s="710"/>
      <c r="G148" s="536">
        <f>G38+G52</f>
        <v>1911.12</v>
      </c>
      <c r="H148" s="536">
        <f>G148+'3'!H148</f>
        <v>7897.4500000000162</v>
      </c>
      <c r="I148" s="556"/>
      <c r="J148" s="629">
        <f>H148/DAY(B2)</f>
        <v>1974.362500000004</v>
      </c>
      <c r="K148" s="412"/>
      <c r="N148" s="413"/>
    </row>
    <row r="149" spans="1:14" ht="27.75">
      <c r="A149" s="1406" t="s">
        <v>269</v>
      </c>
      <c r="B149" s="1407"/>
      <c r="C149" s="1408"/>
      <c r="D149" s="599" t="s">
        <v>24</v>
      </c>
      <c r="E149" s="531"/>
      <c r="F149" s="710"/>
      <c r="G149" s="620">
        <f>G148/G7</f>
        <v>0.10471316640184099</v>
      </c>
      <c r="H149" s="536">
        <f>G149+'3'!H149</f>
        <v>0.41410558705792005</v>
      </c>
      <c r="I149" s="622"/>
      <c r="J149" s="629">
        <f>H149/DAY(B2)</f>
        <v>0.10352639676448001</v>
      </c>
      <c r="N149" s="413"/>
    </row>
    <row r="150" spans="1:14" ht="27.75">
      <c r="A150" s="1406" t="s">
        <v>270</v>
      </c>
      <c r="B150" s="1407"/>
      <c r="C150" s="1408"/>
      <c r="D150" s="599" t="s">
        <v>194</v>
      </c>
      <c r="E150" s="531"/>
      <c r="F150" s="710"/>
      <c r="G150" s="536">
        <f>G36+G50</f>
        <v>1679</v>
      </c>
      <c r="H150" s="536">
        <f>G150+'3'!H150</f>
        <v>7083.2399999999907</v>
      </c>
      <c r="I150" s="622"/>
      <c r="J150" s="629">
        <f>H150/DAY(B2)</f>
        <v>1770.8099999999977</v>
      </c>
      <c r="N150" s="413"/>
    </row>
    <row r="151" spans="1:14" ht="27.75">
      <c r="A151" s="1406" t="s">
        <v>271</v>
      </c>
      <c r="B151" s="1407"/>
      <c r="C151" s="1408"/>
      <c r="D151" s="599" t="s">
        <v>24</v>
      </c>
      <c r="E151" s="531"/>
      <c r="F151" s="710"/>
      <c r="G151" s="620">
        <f>G150/G7</f>
        <v>9.1994959180318886E-2</v>
      </c>
      <c r="H151" s="536">
        <f>G151+'3'!H151</f>
        <v>0.37125130633024872</v>
      </c>
      <c r="I151" s="556"/>
      <c r="J151" s="629">
        <f>H151/DAY(B2)</f>
        <v>9.281282658256218E-2</v>
      </c>
      <c r="N151" s="413"/>
    </row>
    <row r="152" spans="1:14" ht="27.75">
      <c r="A152" s="1406" t="s">
        <v>272</v>
      </c>
      <c r="B152" s="1407"/>
      <c r="C152" s="1408"/>
      <c r="D152" s="599" t="s">
        <v>194</v>
      </c>
      <c r="E152" s="531"/>
      <c r="F152" s="710"/>
      <c r="G152" s="536">
        <f>G37+G51</f>
        <v>1509</v>
      </c>
      <c r="H152" s="536">
        <f>G152+'3'!H152</f>
        <v>5920.2599999999948</v>
      </c>
      <c r="I152" s="556"/>
      <c r="J152" s="629">
        <f>H152/DAY(B2)</f>
        <v>1480.0649999999987</v>
      </c>
      <c r="N152" s="413"/>
    </row>
    <row r="153" spans="1:14" ht="28.5" thickBot="1">
      <c r="A153" s="1409" t="s">
        <v>273</v>
      </c>
      <c r="B153" s="1410"/>
      <c r="C153" s="1411"/>
      <c r="D153" s="702" t="s">
        <v>24</v>
      </c>
      <c r="E153" s="642"/>
      <c r="F153" s="731"/>
      <c r="G153" s="643">
        <f>G152/G7</f>
        <v>8.2680401073913765E-2</v>
      </c>
      <c r="H153" s="536">
        <f>G153+'3'!H153</f>
        <v>0.31065844455161579</v>
      </c>
      <c r="I153" s="645"/>
      <c r="J153" s="646">
        <f>H153/DAY(B2)</f>
        <v>7.7664611137903947E-2</v>
      </c>
      <c r="N153" s="413"/>
    </row>
    <row r="154" spans="1:14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  <c r="N154" s="413"/>
    </row>
    <row r="157" spans="1:14" ht="27.75">
      <c r="A157" s="1440" t="s">
        <v>278</v>
      </c>
      <c r="B157" s="1441"/>
      <c r="C157" s="1441"/>
      <c r="D157" s="1441"/>
      <c r="E157" s="1441"/>
      <c r="F157" s="1441"/>
      <c r="G157" s="1442"/>
    </row>
    <row r="158" spans="1:14">
      <c r="A158" s="868"/>
      <c r="B158" s="869"/>
      <c r="C158" s="869"/>
      <c r="D158" s="587"/>
      <c r="E158" s="531"/>
      <c r="F158" s="739"/>
      <c r="G158" s="549"/>
    </row>
    <row r="159" spans="1:14">
      <c r="A159" s="868"/>
      <c r="B159" s="869"/>
      <c r="C159" s="869"/>
      <c r="D159" s="587"/>
      <c r="E159" s="531"/>
      <c r="F159" s="739"/>
      <c r="G159" s="549"/>
    </row>
    <row r="160" spans="1:14">
      <c r="A160" s="868" t="s">
        <v>274</v>
      </c>
      <c r="B160" s="869"/>
      <c r="C160" s="869"/>
      <c r="D160" s="587" t="s">
        <v>198</v>
      </c>
      <c r="E160" s="739">
        <v>28678</v>
      </c>
      <c r="F160" s="739">
        <v>28760</v>
      </c>
      <c r="G160" s="549">
        <f t="shared" ref="G160:G171" si="16">F160-E160</f>
        <v>82</v>
      </c>
    </row>
    <row r="161" spans="1:7">
      <c r="A161" s="868" t="s">
        <v>275</v>
      </c>
      <c r="B161" s="869"/>
      <c r="C161" s="869"/>
      <c r="D161" s="587" t="s">
        <v>198</v>
      </c>
      <c r="E161" s="739">
        <v>44054</v>
      </c>
      <c r="F161" s="739">
        <v>44539</v>
      </c>
      <c r="G161" s="549">
        <f t="shared" si="16"/>
        <v>485</v>
      </c>
    </row>
    <row r="162" spans="1:7">
      <c r="A162" s="868" t="s">
        <v>276</v>
      </c>
      <c r="B162" s="869"/>
      <c r="C162" s="869"/>
      <c r="D162" s="587" t="s">
        <v>198</v>
      </c>
      <c r="E162" s="739">
        <v>13431</v>
      </c>
      <c r="F162" s="739">
        <v>13657</v>
      </c>
      <c r="G162" s="549">
        <f t="shared" si="16"/>
        <v>226</v>
      </c>
    </row>
    <row r="163" spans="1:7">
      <c r="A163" s="868" t="s">
        <v>277</v>
      </c>
      <c r="B163" s="869"/>
      <c r="C163" s="869"/>
      <c r="D163" s="587" t="s">
        <v>198</v>
      </c>
      <c r="E163" s="739">
        <v>5050</v>
      </c>
      <c r="F163" s="739">
        <v>5067</v>
      </c>
      <c r="G163" s="549">
        <f t="shared" si="16"/>
        <v>17</v>
      </c>
    </row>
    <row r="164" spans="1:7">
      <c r="A164" s="870" t="s">
        <v>106</v>
      </c>
      <c r="B164" s="681"/>
      <c r="C164" s="681"/>
      <c r="D164" s="587" t="s">
        <v>198</v>
      </c>
      <c r="E164" s="590">
        <f>E62</f>
        <v>20419.188999999998</v>
      </c>
      <c r="F164" s="590">
        <f>F62</f>
        <v>20419.187999999998</v>
      </c>
      <c r="G164" s="549">
        <f t="shared" si="16"/>
        <v>-1.0000000002037268E-3</v>
      </c>
    </row>
    <row r="165" spans="1:7">
      <c r="A165" s="870" t="s">
        <v>199</v>
      </c>
      <c r="B165" s="681"/>
      <c r="C165" s="681"/>
      <c r="D165" s="587" t="s">
        <v>198</v>
      </c>
      <c r="E165" s="590">
        <f t="shared" ref="E165" si="17">E63</f>
        <v>1377</v>
      </c>
      <c r="F165" s="590">
        <f t="shared" ref="F165:F171" si="18">F63</f>
        <v>1391</v>
      </c>
      <c r="G165" s="549">
        <f t="shared" si="16"/>
        <v>14</v>
      </c>
    </row>
    <row r="166" spans="1:7" ht="25.5" customHeight="1">
      <c r="A166" s="1381" t="s">
        <v>107</v>
      </c>
      <c r="B166" s="1381"/>
      <c r="C166" s="1381"/>
      <c r="D166" s="599" t="s">
        <v>198</v>
      </c>
      <c r="E166" s="590">
        <f t="shared" ref="E166" si="19">E64</f>
        <v>112583</v>
      </c>
      <c r="F166" s="590">
        <f t="shared" si="18"/>
        <v>113002</v>
      </c>
      <c r="G166" s="549">
        <f t="shared" si="16"/>
        <v>419</v>
      </c>
    </row>
    <row r="167" spans="1:7" ht="24.75" customHeight="1">
      <c r="A167" s="1381" t="s">
        <v>108</v>
      </c>
      <c r="B167" s="1381"/>
      <c r="C167" s="1381"/>
      <c r="D167" s="599" t="s">
        <v>198</v>
      </c>
      <c r="E167" s="590">
        <f t="shared" ref="E167" si="20">E65</f>
        <v>122868</v>
      </c>
      <c r="F167" s="590">
        <f t="shared" si="18"/>
        <v>123239</v>
      </c>
      <c r="G167" s="549">
        <f t="shared" si="16"/>
        <v>371</v>
      </c>
    </row>
    <row r="168" spans="1:7" ht="28.5" customHeight="1">
      <c r="A168" s="1381" t="s">
        <v>109</v>
      </c>
      <c r="B168" s="1381"/>
      <c r="C168" s="1381"/>
      <c r="D168" s="599" t="s">
        <v>198</v>
      </c>
      <c r="E168" s="590">
        <f t="shared" ref="E168" si="21">E66</f>
        <v>15373</v>
      </c>
      <c r="F168" s="590">
        <f t="shared" si="18"/>
        <v>15769</v>
      </c>
      <c r="G168" s="549">
        <f t="shared" si="16"/>
        <v>396</v>
      </c>
    </row>
    <row r="169" spans="1:7" ht="24.75" customHeight="1">
      <c r="A169" s="1381" t="s">
        <v>110</v>
      </c>
      <c r="B169" s="1381"/>
      <c r="C169" s="1381"/>
      <c r="D169" s="599" t="s">
        <v>198</v>
      </c>
      <c r="E169" s="590">
        <f t="shared" ref="E169" si="22">E67</f>
        <v>190728</v>
      </c>
      <c r="F169" s="590">
        <f t="shared" si="18"/>
        <v>191429</v>
      </c>
      <c r="G169" s="549">
        <f t="shared" si="16"/>
        <v>701</v>
      </c>
    </row>
    <row r="170" spans="1:7" ht="24" customHeight="1">
      <c r="A170" s="1381" t="s">
        <v>111</v>
      </c>
      <c r="B170" s="1381"/>
      <c r="C170" s="1381"/>
      <c r="D170" s="599" t="s">
        <v>198</v>
      </c>
      <c r="E170" s="590">
        <f t="shared" ref="E170" si="23">E68</f>
        <v>64300</v>
      </c>
      <c r="F170" s="590">
        <f t="shared" si="18"/>
        <v>64643</v>
      </c>
      <c r="G170" s="549">
        <f t="shared" si="16"/>
        <v>343</v>
      </c>
    </row>
    <row r="171" spans="1:7" ht="27.75">
      <c r="A171" s="1381" t="s">
        <v>112</v>
      </c>
      <c r="B171" s="1381"/>
      <c r="C171" s="1381"/>
      <c r="D171" s="599" t="s">
        <v>198</v>
      </c>
      <c r="E171" s="590">
        <f t="shared" ref="E171" si="24">E69</f>
        <v>56667</v>
      </c>
      <c r="F171" s="590">
        <f t="shared" si="18"/>
        <v>56963</v>
      </c>
      <c r="G171" s="549">
        <f t="shared" si="16"/>
        <v>296</v>
      </c>
    </row>
    <row r="176" spans="1:7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</sheetData>
  <mergeCells count="75">
    <mergeCell ref="A170:C170"/>
    <mergeCell ref="A171:C171"/>
    <mergeCell ref="A157:G157"/>
    <mergeCell ref="A166:C166"/>
    <mergeCell ref="A167:C167"/>
    <mergeCell ref="A168:C168"/>
    <mergeCell ref="A169:C169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153:C153"/>
    <mergeCell ref="A101:C101"/>
    <mergeCell ref="A122:C122"/>
    <mergeCell ref="A125:C125"/>
    <mergeCell ref="A141:B141"/>
    <mergeCell ref="A152:C152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11:B111"/>
    <mergeCell ref="A112:B112"/>
    <mergeCell ref="A121:B121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06:C106"/>
    <mergeCell ref="A107:B107"/>
    <mergeCell ref="A108:B108"/>
    <mergeCell ref="A109:B109"/>
    <mergeCell ref="A110:B110"/>
    <mergeCell ref="A94:C94"/>
    <mergeCell ref="A95:C95"/>
    <mergeCell ref="A103:B103"/>
    <mergeCell ref="A104:B104"/>
    <mergeCell ref="A105:B105"/>
  </mergeCells>
  <pageMargins left="0.22" right="0.17" top="0.14000000000000001" bottom="0.2" header="0.2" footer="0.2"/>
  <pageSetup paperSize="5" scale="23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1"/>
  <sheetViews>
    <sheetView view="pageBreakPreview" zoomScale="55" zoomScaleNormal="48" zoomScaleSheetLayoutView="55" workbookViewId="0">
      <selection activeCell="F28" sqref="F28"/>
    </sheetView>
  </sheetViews>
  <sheetFormatPr defaultColWidth="22.33203125" defaultRowHeight="29.25"/>
  <cols>
    <col min="1" max="1" width="41.33203125" style="530" customWidth="1"/>
    <col min="2" max="2" width="27.109375" style="533" customWidth="1"/>
    <col min="3" max="3" width="15.88671875" style="533" customWidth="1"/>
    <col min="4" max="4" width="13.6640625" style="614" customWidth="1"/>
    <col min="5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407" customWidth="1"/>
    <col min="15" max="16384" width="22.33203125" style="407"/>
  </cols>
  <sheetData>
    <row r="1" spans="1:15" ht="33.75">
      <c r="A1" s="1414" t="s">
        <v>128</v>
      </c>
      <c r="B1" s="1415"/>
      <c r="C1" s="1415"/>
      <c r="D1" s="1415"/>
      <c r="E1" s="1415"/>
      <c r="F1" s="1415"/>
      <c r="G1" s="1415"/>
      <c r="H1" s="1415"/>
      <c r="I1" s="1415"/>
      <c r="J1" s="1416"/>
    </row>
    <row r="2" spans="1:15" s="281" customFormat="1" ht="27">
      <c r="A2" s="652" t="s">
        <v>337</v>
      </c>
      <c r="B2" s="1118">
        <v>44201</v>
      </c>
      <c r="C2" s="1233" t="s">
        <v>69</v>
      </c>
      <c r="D2" s="688">
        <v>0.42</v>
      </c>
      <c r="E2" s="537"/>
      <c r="F2" s="70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5" s="281" customFormat="1" ht="27">
      <c r="A3" s="647"/>
      <c r="B3" s="691"/>
      <c r="C3" s="1233" t="s">
        <v>131</v>
      </c>
      <c r="D3" s="689">
        <v>27</v>
      </c>
      <c r="E3" s="1423" t="s">
        <v>132</v>
      </c>
      <c r="F3" s="1424"/>
      <c r="G3" s="538"/>
      <c r="H3" s="539"/>
      <c r="I3" s="539"/>
      <c r="J3" s="692"/>
      <c r="K3" s="402"/>
      <c r="L3" s="293"/>
    </row>
    <row r="4" spans="1:15" s="281" customFormat="1" ht="27">
      <c r="A4" s="653"/>
      <c r="B4" s="693"/>
      <c r="C4" s="1233" t="s">
        <v>133</v>
      </c>
      <c r="D4" s="688">
        <v>0.75</v>
      </c>
      <c r="E4" s="540"/>
      <c r="F4" s="708"/>
      <c r="G4" s="540"/>
      <c r="H4" s="540"/>
      <c r="I4" s="541"/>
      <c r="J4" s="692"/>
      <c r="K4" s="403"/>
      <c r="L4" s="293"/>
    </row>
    <row r="5" spans="1:15">
      <c r="A5" s="654" t="s">
        <v>134</v>
      </c>
      <c r="B5" s="535"/>
      <c r="C5" s="535"/>
      <c r="D5" s="587" t="s">
        <v>135</v>
      </c>
      <c r="E5" s="543" t="s">
        <v>136</v>
      </c>
      <c r="F5" s="709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5">
      <c r="A6" s="1417" t="s">
        <v>141</v>
      </c>
      <c r="B6" s="1418"/>
      <c r="C6" s="1419"/>
      <c r="D6" s="547"/>
      <c r="E6" s="547"/>
      <c r="F6" s="570"/>
      <c r="G6" s="547"/>
      <c r="H6" s="548"/>
      <c r="I6" s="548"/>
      <c r="J6" s="628"/>
      <c r="K6" s="466"/>
      <c r="L6" s="408"/>
    </row>
    <row r="7" spans="1:15" ht="30" thickBot="1">
      <c r="A7" s="757" t="s">
        <v>142</v>
      </c>
      <c r="B7" s="758"/>
      <c r="C7" s="758"/>
      <c r="D7" s="715" t="s">
        <v>143</v>
      </c>
      <c r="E7" s="710">
        <f>'4'!F7</f>
        <v>3964496</v>
      </c>
      <c r="F7" s="1341">
        <v>3983020</v>
      </c>
      <c r="G7" s="1346">
        <f>F7-E7</f>
        <v>18524</v>
      </c>
      <c r="H7" s="760">
        <f>G7+'4'!H7</f>
        <v>94822</v>
      </c>
      <c r="I7" s="761">
        <f>'1'!I7</f>
        <v>12000</v>
      </c>
      <c r="J7" s="762">
        <f>H7/DAY(B2)</f>
        <v>18964.400000000001</v>
      </c>
      <c r="K7" s="626"/>
      <c r="L7" s="408"/>
      <c r="N7" s="413"/>
      <c r="O7" s="413"/>
    </row>
    <row r="8" spans="1:15" ht="27.75" thickBot="1">
      <c r="A8" s="763" t="s">
        <v>144</v>
      </c>
      <c r="B8" s="764"/>
      <c r="C8" s="765"/>
      <c r="D8" s="766" t="s">
        <v>25</v>
      </c>
      <c r="E8" s="710">
        <f>'4'!F8</f>
        <v>3990282</v>
      </c>
      <c r="F8" s="1342">
        <v>4008878</v>
      </c>
      <c r="G8" s="1346">
        <f t="shared" ref="G8:G9" si="0">F8-E8</f>
        <v>18596</v>
      </c>
      <c r="H8" s="760">
        <f>G8+'4'!H8</f>
        <v>96027</v>
      </c>
      <c r="I8" s="767">
        <v>12000</v>
      </c>
      <c r="J8" s="762">
        <f>H8/DAY(B2)</f>
        <v>19205.400000000001</v>
      </c>
      <c r="K8" s="626"/>
      <c r="L8" s="464"/>
      <c r="M8" s="479"/>
      <c r="N8" s="784"/>
      <c r="O8" s="413"/>
    </row>
    <row r="9" spans="1:15">
      <c r="A9" s="768" t="s">
        <v>145</v>
      </c>
      <c r="B9" s="769"/>
      <c r="C9" s="769"/>
      <c r="D9" s="715" t="s">
        <v>143</v>
      </c>
      <c r="E9" s="712">
        <f>'4'!F9</f>
        <v>20960</v>
      </c>
      <c r="F9" s="1338">
        <v>22540</v>
      </c>
      <c r="G9" s="1346">
        <f t="shared" si="0"/>
        <v>1580</v>
      </c>
      <c r="H9" s="760">
        <f>G9+'4'!H9</f>
        <v>36430.5</v>
      </c>
      <c r="I9" s="771">
        <f>I8-J8</f>
        <v>-7205.4000000000015</v>
      </c>
      <c r="J9" s="762">
        <f>H9/DAY(B2)</f>
        <v>7286.1</v>
      </c>
      <c r="K9" s="467"/>
      <c r="L9" s="408"/>
      <c r="N9" s="413"/>
      <c r="O9" s="413"/>
    </row>
    <row r="10" spans="1:15">
      <c r="A10" s="757" t="s">
        <v>146</v>
      </c>
      <c r="B10" s="758"/>
      <c r="C10" s="758"/>
      <c r="D10" s="715" t="s">
        <v>143</v>
      </c>
      <c r="E10" s="712">
        <f>'4'!F10</f>
        <v>1239081</v>
      </c>
      <c r="F10" s="1338">
        <v>1255235</v>
      </c>
      <c r="G10" s="1346">
        <f>F10-E10</f>
        <v>16154</v>
      </c>
      <c r="H10" s="760">
        <f>G10+'4'!H10</f>
        <v>54360.600000000093</v>
      </c>
      <c r="I10" s="772"/>
      <c r="J10" s="762">
        <f>H10/DAY(B2)</f>
        <v>10872.120000000019</v>
      </c>
      <c r="K10" s="467"/>
      <c r="L10" s="408"/>
      <c r="N10" s="413">
        <v>108</v>
      </c>
      <c r="O10" s="413"/>
    </row>
    <row r="11" spans="1:15">
      <c r="A11" s="757" t="s">
        <v>147</v>
      </c>
      <c r="B11" s="758"/>
      <c r="C11" s="758"/>
      <c r="D11" s="715" t="s">
        <v>143</v>
      </c>
      <c r="E11" s="710">
        <f>'4'!F11</f>
        <v>35540</v>
      </c>
      <c r="F11" s="1341">
        <v>35540</v>
      </c>
      <c r="G11" s="1346">
        <f>F11-E11</f>
        <v>0</v>
      </c>
      <c r="H11" s="760">
        <f>G11+'4'!H11</f>
        <v>150</v>
      </c>
      <c r="I11" s="772"/>
      <c r="J11" s="762">
        <f>H11/DAY(B2)</f>
        <v>30</v>
      </c>
      <c r="K11" s="467"/>
      <c r="L11" s="408"/>
      <c r="N11" s="413">
        <v>28</v>
      </c>
      <c r="O11" s="413"/>
    </row>
    <row r="12" spans="1:15">
      <c r="A12" s="757" t="s">
        <v>148</v>
      </c>
      <c r="B12" s="758"/>
      <c r="C12" s="758"/>
      <c r="D12" s="715" t="s">
        <v>143</v>
      </c>
      <c r="E12" s="712">
        <f>'4'!F12</f>
        <v>38010</v>
      </c>
      <c r="F12" s="1338">
        <v>38010</v>
      </c>
      <c r="G12" s="1346">
        <f t="shared" ref="G12" si="1">F12-E12</f>
        <v>0</v>
      </c>
      <c r="H12" s="760">
        <f>G12+'4'!H12</f>
        <v>380</v>
      </c>
      <c r="I12" s="772"/>
      <c r="J12" s="762">
        <f>H12/DAY(B2)</f>
        <v>76</v>
      </c>
      <c r="K12" s="467"/>
      <c r="L12" s="408"/>
      <c r="N12" s="413">
        <v>342</v>
      </c>
      <c r="O12" s="413"/>
    </row>
    <row r="13" spans="1:15">
      <c r="A13" s="773" t="s">
        <v>149</v>
      </c>
      <c r="B13" s="774"/>
      <c r="C13" s="774"/>
      <c r="D13" s="715"/>
      <c r="E13" s="710"/>
      <c r="F13" s="1341"/>
      <c r="G13" s="1346">
        <f>G9+G10+G11+G12</f>
        <v>17734</v>
      </c>
      <c r="H13" s="760">
        <f>G13+'4'!H13</f>
        <v>91321.100000000093</v>
      </c>
      <c r="I13" s="776">
        <f>G7-G13</f>
        <v>790</v>
      </c>
      <c r="J13" s="762">
        <f>H13/DAY(B2)</f>
        <v>18264.220000000019</v>
      </c>
      <c r="K13" s="467"/>
      <c r="L13" s="408"/>
      <c r="N13" s="413">
        <v>349</v>
      </c>
      <c r="O13" s="413"/>
    </row>
    <row r="14" spans="1:15">
      <c r="A14" s="1420" t="s">
        <v>150</v>
      </c>
      <c r="B14" s="1421"/>
      <c r="C14" s="1422"/>
      <c r="D14" s="548"/>
      <c r="E14" s="548"/>
      <c r="F14" s="1183"/>
      <c r="G14" s="1349"/>
      <c r="H14" s="548"/>
      <c r="I14" s="548"/>
      <c r="J14" s="628"/>
      <c r="K14" s="468"/>
      <c r="L14" s="408"/>
      <c r="N14" s="413">
        <v>432</v>
      </c>
      <c r="O14" s="413"/>
    </row>
    <row r="15" spans="1:15">
      <c r="A15" s="1344" t="s">
        <v>151</v>
      </c>
      <c r="B15" s="871"/>
      <c r="C15" s="871"/>
      <c r="D15" s="872" t="s">
        <v>152</v>
      </c>
      <c r="E15" s="1345">
        <f>'4'!F15</f>
        <v>1597765</v>
      </c>
      <c r="F15" s="1345">
        <v>1598543</v>
      </c>
      <c r="G15" s="1346">
        <f t="shared" ref="G15" si="2">F15-E15</f>
        <v>778</v>
      </c>
      <c r="H15" s="1347">
        <f>G15+'4'!H15</f>
        <v>4105.8500000000931</v>
      </c>
      <c r="I15" s="1185">
        <v>800</v>
      </c>
      <c r="J15" s="1348">
        <f>H15/DAY(B2)</f>
        <v>821.1700000000186</v>
      </c>
      <c r="K15" s="467"/>
      <c r="L15" s="408"/>
      <c r="N15" s="413"/>
      <c r="O15" s="413"/>
    </row>
    <row r="16" spans="1:15">
      <c r="A16" s="874"/>
      <c r="B16" s="875"/>
      <c r="C16" s="875"/>
      <c r="D16" s="872"/>
      <c r="E16" s="1345"/>
      <c r="F16" s="1345"/>
      <c r="G16" s="1346"/>
      <c r="H16" s="1347"/>
      <c r="I16" s="1181">
        <f>I15-J15</f>
        <v>-21.170000000018604</v>
      </c>
      <c r="J16" s="1348"/>
      <c r="K16" s="467"/>
      <c r="L16" s="408"/>
      <c r="N16" s="413"/>
      <c r="O16" s="413"/>
    </row>
    <row r="17" spans="1:15">
      <c r="A17" s="1420" t="s">
        <v>153</v>
      </c>
      <c r="B17" s="1421"/>
      <c r="C17" s="1422"/>
      <c r="D17" s="548"/>
      <c r="E17" s="548"/>
      <c r="F17" s="1183"/>
      <c r="G17" s="1347"/>
      <c r="H17" s="548"/>
      <c r="I17" s="548"/>
      <c r="J17" s="628"/>
      <c r="K17" s="467"/>
      <c r="L17" s="408"/>
      <c r="N17" s="413"/>
      <c r="O17" s="413"/>
    </row>
    <row r="18" spans="1:15" ht="27.75">
      <c r="A18" s="1446" t="s">
        <v>154</v>
      </c>
      <c r="B18" s="1447"/>
      <c r="C18" s="1448"/>
      <c r="D18" s="715" t="s">
        <v>155</v>
      </c>
      <c r="E18" s="712">
        <f>'4'!F18</f>
        <v>10</v>
      </c>
      <c r="F18" s="1338">
        <v>14</v>
      </c>
      <c r="G18" s="1346">
        <f>F18*10</f>
        <v>140</v>
      </c>
      <c r="H18" s="760">
        <f>G18+'4'!H18</f>
        <v>590</v>
      </c>
      <c r="I18" s="761">
        <f>'1'!I18</f>
        <v>65</v>
      </c>
      <c r="J18" s="762">
        <f>H18/DAY(B2)</f>
        <v>118</v>
      </c>
      <c r="K18" s="467"/>
      <c r="L18" s="408"/>
      <c r="N18" s="413"/>
      <c r="O18" s="413"/>
    </row>
    <row r="19" spans="1:15" ht="27.75">
      <c r="A19" s="1446" t="s">
        <v>71</v>
      </c>
      <c r="B19" s="1447"/>
      <c r="C19" s="1448"/>
      <c r="D19" s="715" t="s">
        <v>155</v>
      </c>
      <c r="E19" s="712">
        <f>'4'!F19</f>
        <v>133251</v>
      </c>
      <c r="F19" s="1338">
        <v>133292</v>
      </c>
      <c r="G19" s="1346">
        <f t="shared" ref="G19" si="3">F19-E19</f>
        <v>41</v>
      </c>
      <c r="H19" s="760">
        <f>G19+'4'!H19</f>
        <v>244</v>
      </c>
      <c r="I19" s="777"/>
      <c r="J19" s="762">
        <f>H19/DAY(B2)</f>
        <v>48.8</v>
      </c>
      <c r="K19" s="467"/>
      <c r="L19" s="408"/>
      <c r="N19" s="413"/>
      <c r="O19" s="413"/>
    </row>
    <row r="20" spans="1:15">
      <c r="A20" s="773" t="s">
        <v>156</v>
      </c>
      <c r="B20" s="774"/>
      <c r="C20" s="774"/>
      <c r="D20" s="715"/>
      <c r="E20" s="715"/>
      <c r="F20" s="715"/>
      <c r="G20" s="1350">
        <f>G18+G19</f>
        <v>181</v>
      </c>
      <c r="H20" s="760">
        <f>G20+'4'!H20</f>
        <v>834</v>
      </c>
      <c r="I20" s="779">
        <f>I18-J20</f>
        <v>-101.80000000000001</v>
      </c>
      <c r="J20" s="762">
        <f>H20/DAY(B2)</f>
        <v>166.8</v>
      </c>
      <c r="K20" s="467"/>
      <c r="L20" s="408"/>
      <c r="N20" s="413"/>
      <c r="O20" s="413"/>
    </row>
    <row r="21" spans="1:15">
      <c r="A21" s="1420" t="s">
        <v>157</v>
      </c>
      <c r="B21" s="1421"/>
      <c r="C21" s="1422"/>
      <c r="D21" s="548"/>
      <c r="E21" s="548"/>
      <c r="F21" s="559"/>
      <c r="G21" s="559"/>
      <c r="H21" s="548"/>
      <c r="I21" s="548"/>
      <c r="J21" s="628"/>
      <c r="K21" s="467"/>
      <c r="L21" s="408"/>
      <c r="N21" s="413"/>
      <c r="O21" s="413"/>
    </row>
    <row r="22" spans="1:15">
      <c r="A22" s="1231" t="s">
        <v>158</v>
      </c>
      <c r="B22" s="666"/>
      <c r="C22" s="666"/>
      <c r="D22" s="599" t="s">
        <v>159</v>
      </c>
      <c r="E22" s="712">
        <f>'4'!F22</f>
        <v>2250</v>
      </c>
      <c r="F22" s="712">
        <v>2250</v>
      </c>
      <c r="G22" s="557">
        <f t="shared" ref="G22" si="4">(F22-E22)</f>
        <v>0</v>
      </c>
      <c r="H22" s="536">
        <f>G22+'4'!H22</f>
        <v>0</v>
      </c>
      <c r="I22" s="556"/>
      <c r="J22" s="629">
        <f>H22/DAY(B2)</f>
        <v>0</v>
      </c>
      <c r="K22" s="467"/>
      <c r="L22" s="408"/>
      <c r="N22" s="413"/>
      <c r="O22" s="413"/>
    </row>
    <row r="23" spans="1:15">
      <c r="A23" s="1231" t="s">
        <v>160</v>
      </c>
      <c r="B23" s="666"/>
      <c r="C23" s="666"/>
      <c r="D23" s="599" t="s">
        <v>159</v>
      </c>
      <c r="E23" s="712">
        <f>'4'!F23</f>
        <v>1620</v>
      </c>
      <c r="F23" s="712">
        <v>1620</v>
      </c>
      <c r="G23" s="557">
        <v>0</v>
      </c>
      <c r="H23" s="536">
        <f>G23+'4'!H23</f>
        <v>380</v>
      </c>
      <c r="I23" s="556"/>
      <c r="J23" s="629">
        <f>H23/DAY(B2)</f>
        <v>76</v>
      </c>
      <c r="K23" s="467"/>
      <c r="L23" s="408"/>
      <c r="N23" s="413"/>
      <c r="O23" s="413"/>
    </row>
    <row r="24" spans="1:15">
      <c r="A24" s="667" t="s">
        <v>161</v>
      </c>
      <c r="B24" s="668"/>
      <c r="C24" s="668"/>
      <c r="D24" s="587" t="s">
        <v>159</v>
      </c>
      <c r="E24" s="712">
        <f>'4'!F24</f>
        <v>3870</v>
      </c>
      <c r="F24" s="714">
        <v>3870</v>
      </c>
      <c r="G24" s="557">
        <v>0</v>
      </c>
      <c r="H24" s="536">
        <f>G24+'4'!H24</f>
        <v>380</v>
      </c>
      <c r="I24" s="556"/>
      <c r="J24" s="629">
        <f>H24/DAY(B2)</f>
        <v>76</v>
      </c>
      <c r="K24" s="467"/>
      <c r="L24" s="408"/>
      <c r="N24" s="413"/>
      <c r="O24" s="413"/>
    </row>
    <row r="25" spans="1:15" s="481" customFormat="1" ht="27">
      <c r="A25" s="1425" t="s">
        <v>162</v>
      </c>
      <c r="B25" s="1426"/>
      <c r="C25" s="1427"/>
      <c r="D25" s="547"/>
      <c r="E25" s="547"/>
      <c r="F25" s="570"/>
      <c r="G25" s="570"/>
      <c r="H25" s="571"/>
      <c r="I25" s="572"/>
      <c r="J25" s="631"/>
      <c r="K25" s="404"/>
      <c r="L25" s="484"/>
      <c r="N25" s="413"/>
      <c r="O25" s="413"/>
    </row>
    <row r="26" spans="1:15" s="481" customFormat="1" ht="27.75">
      <c r="A26" s="669" t="s">
        <v>163</v>
      </c>
      <c r="B26" s="670"/>
      <c r="C26" s="671"/>
      <c r="D26" s="695" t="s">
        <v>164</v>
      </c>
      <c r="E26" s="573"/>
      <c r="F26" s="710"/>
      <c r="G26" s="574"/>
      <c r="H26" s="536"/>
      <c r="I26" s="575"/>
      <c r="J26" s="629"/>
      <c r="K26" s="405"/>
      <c r="L26" s="484"/>
      <c r="N26" s="413"/>
      <c r="O26" s="413"/>
    </row>
    <row r="27" spans="1:15" s="481" customFormat="1" ht="27.75">
      <c r="A27" s="669" t="s">
        <v>6</v>
      </c>
      <c r="B27" s="670"/>
      <c r="C27" s="671"/>
      <c r="D27" s="696" t="s">
        <v>25</v>
      </c>
      <c r="E27" s="780">
        <f>G8</f>
        <v>18596</v>
      </c>
      <c r="F27" s="577">
        <v>9</v>
      </c>
      <c r="G27" s="578">
        <f>E27*F27</f>
        <v>167364</v>
      </c>
      <c r="H27" s="536">
        <f>G27+'4'!H27</f>
        <v>864243</v>
      </c>
      <c r="I27" s="579"/>
      <c r="J27" s="629">
        <f>H27/DAY(B2)</f>
        <v>172848.6</v>
      </c>
      <c r="K27" s="404"/>
      <c r="L27" s="484"/>
      <c r="N27" s="413"/>
      <c r="O27" s="413"/>
    </row>
    <row r="28" spans="1:15" s="481" customFormat="1" ht="27.75">
      <c r="A28" s="669" t="s">
        <v>165</v>
      </c>
      <c r="B28" s="670"/>
      <c r="C28" s="671"/>
      <c r="D28" s="696" t="s">
        <v>166</v>
      </c>
      <c r="E28" s="780">
        <f>G15</f>
        <v>778</v>
      </c>
      <c r="F28" s="577">
        <v>43.5</v>
      </c>
      <c r="G28" s="578">
        <f>E28*F28</f>
        <v>33843</v>
      </c>
      <c r="H28" s="536">
        <f>G28+'4'!H28</f>
        <v>178604.47500000405</v>
      </c>
      <c r="I28" s="581"/>
      <c r="J28" s="629">
        <f>H28/DAY(B2)</f>
        <v>35720.895000000812</v>
      </c>
      <c r="K28" s="404"/>
      <c r="L28" s="484"/>
      <c r="N28" s="413"/>
      <c r="O28" s="413"/>
    </row>
    <row r="29" spans="1:15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716">
        <v>69</v>
      </c>
      <c r="G29" s="578">
        <f>E29*F29</f>
        <v>0</v>
      </c>
      <c r="H29" s="536">
        <f>G29+'4'!H29</f>
        <v>26220</v>
      </c>
      <c r="I29" s="581"/>
      <c r="J29" s="629">
        <f>H29/DAY(B2)</f>
        <v>5244</v>
      </c>
      <c r="K29" s="404"/>
      <c r="L29" s="484"/>
      <c r="N29" s="413"/>
      <c r="O29" s="413"/>
    </row>
    <row r="30" spans="1:15" s="481" customFormat="1" ht="27.75">
      <c r="A30" s="669" t="s">
        <v>169</v>
      </c>
      <c r="B30" s="670"/>
      <c r="C30" s="671"/>
      <c r="D30" s="696" t="s">
        <v>170</v>
      </c>
      <c r="E30" s="780">
        <f>G19</f>
        <v>41</v>
      </c>
      <c r="F30" s="716">
        <v>134</v>
      </c>
      <c r="G30" s="578">
        <f>E30*F30</f>
        <v>5494</v>
      </c>
      <c r="H30" s="536">
        <f>G30+'4'!H30</f>
        <v>32696</v>
      </c>
      <c r="I30" s="581"/>
      <c r="J30" s="629">
        <f>H30/DAY(B2)</f>
        <v>6539.2</v>
      </c>
      <c r="K30" s="404"/>
      <c r="L30" s="484"/>
      <c r="N30" s="413"/>
      <c r="O30" s="413"/>
    </row>
    <row r="31" spans="1:15" s="481" customFormat="1" ht="27.75">
      <c r="A31" s="669" t="s">
        <v>171</v>
      </c>
      <c r="B31" s="670"/>
      <c r="C31" s="671"/>
      <c r="D31" s="696" t="s">
        <v>155</v>
      </c>
      <c r="E31" s="780">
        <f>G18</f>
        <v>140</v>
      </c>
      <c r="F31" s="716">
        <v>80</v>
      </c>
      <c r="G31" s="578">
        <f>E31*F31</f>
        <v>11200</v>
      </c>
      <c r="H31" s="536">
        <f>G31+'4'!H31</f>
        <v>47200</v>
      </c>
      <c r="I31" s="581"/>
      <c r="J31" s="629">
        <f>H31/DAY(B2)</f>
        <v>9440</v>
      </c>
      <c r="K31" s="404"/>
      <c r="L31" s="484"/>
      <c r="N31" s="413"/>
      <c r="O31" s="413"/>
    </row>
    <row r="32" spans="1:15" s="481" customFormat="1" ht="27.75">
      <c r="A32" s="672" t="s">
        <v>172</v>
      </c>
      <c r="B32" s="673"/>
      <c r="C32" s="674"/>
      <c r="D32" s="583"/>
      <c r="E32" s="583"/>
      <c r="F32" s="717"/>
      <c r="G32" s="584">
        <f>G27+G28+G29+G30+G31</f>
        <v>217901</v>
      </c>
      <c r="H32" s="536">
        <f>G32+'4'!H32</f>
        <v>1148963.4750000041</v>
      </c>
      <c r="I32" s="585"/>
      <c r="J32" s="629">
        <f>H32/DAY(B2)</f>
        <v>229792.69500000082</v>
      </c>
      <c r="K32" s="404"/>
      <c r="L32" s="484"/>
      <c r="N32" s="413"/>
      <c r="O32" s="413"/>
    </row>
    <row r="33" spans="1:15" ht="25.5">
      <c r="A33" s="1428" t="s">
        <v>173</v>
      </c>
      <c r="B33" s="1429"/>
      <c r="C33" s="1429"/>
      <c r="D33" s="1429"/>
      <c r="E33" s="1429"/>
      <c r="F33" s="1429"/>
      <c r="G33" s="1429"/>
      <c r="H33" s="1429"/>
      <c r="I33" s="1429"/>
      <c r="J33" s="1430"/>
      <c r="K33" s="467"/>
      <c r="L33" s="408"/>
      <c r="N33" s="413"/>
      <c r="O33" s="413"/>
    </row>
    <row r="34" spans="1:15">
      <c r="A34" s="675" t="s">
        <v>174</v>
      </c>
      <c r="B34" s="1236"/>
      <c r="C34" s="1236"/>
      <c r="D34" s="548"/>
      <c r="E34" s="547"/>
      <c r="F34" s="570"/>
      <c r="G34" s="548"/>
      <c r="H34" s="548"/>
      <c r="I34" s="548"/>
      <c r="J34" s="628"/>
      <c r="K34" s="467"/>
      <c r="L34" s="408"/>
      <c r="N34" s="413"/>
      <c r="O34" s="413"/>
    </row>
    <row r="35" spans="1:15">
      <c r="A35" s="655" t="s">
        <v>175</v>
      </c>
      <c r="B35" s="656"/>
      <c r="C35" s="656"/>
      <c r="D35" s="599" t="s">
        <v>143</v>
      </c>
      <c r="E35" s="586">
        <f>'4'!F35</f>
        <v>634203</v>
      </c>
      <c r="F35" s="1331">
        <v>634203</v>
      </c>
      <c r="G35" s="549">
        <f t="shared" ref="G35:G46" si="5">F35-E35</f>
        <v>0</v>
      </c>
      <c r="H35" s="536">
        <f>G35+'4'!H35</f>
        <v>5175.3299999999581</v>
      </c>
      <c r="I35" s="531"/>
      <c r="J35" s="629">
        <f>H35/DAY(B2)</f>
        <v>1035.0659999999916</v>
      </c>
      <c r="K35" s="467"/>
      <c r="L35" s="408"/>
      <c r="N35" s="413"/>
      <c r="O35" s="413"/>
    </row>
    <row r="36" spans="1:15">
      <c r="A36" s="655" t="s">
        <v>176</v>
      </c>
      <c r="B36" s="656"/>
      <c r="C36" s="656"/>
      <c r="D36" s="599" t="s">
        <v>143</v>
      </c>
      <c r="E36" s="586">
        <f>'4'!F36</f>
        <v>279046</v>
      </c>
      <c r="F36" s="1331">
        <v>279610</v>
      </c>
      <c r="G36" s="549">
        <f t="shared" si="5"/>
        <v>564</v>
      </c>
      <c r="H36" s="536">
        <f>G36+'4'!H36</f>
        <v>3118.5499999999884</v>
      </c>
      <c r="I36" s="531"/>
      <c r="J36" s="629">
        <f>H36/DAY(B2)</f>
        <v>623.70999999999765</v>
      </c>
      <c r="K36" s="467"/>
      <c r="L36" s="408"/>
      <c r="N36" s="705"/>
      <c r="O36" s="413"/>
    </row>
    <row r="37" spans="1:15">
      <c r="A37" s="655" t="s">
        <v>177</v>
      </c>
      <c r="B37" s="656"/>
      <c r="C37" s="656"/>
      <c r="D37" s="599" t="s">
        <v>143</v>
      </c>
      <c r="E37" s="586">
        <f>'4'!F37</f>
        <v>1302</v>
      </c>
      <c r="F37" s="1331">
        <v>1472</v>
      </c>
      <c r="G37" s="549">
        <f t="shared" si="5"/>
        <v>170</v>
      </c>
      <c r="H37" s="536">
        <f>G37+'4'!H37</f>
        <v>1472</v>
      </c>
      <c r="I37" s="531"/>
      <c r="J37" s="629">
        <f>H37/DAY(B2)</f>
        <v>294.39999999999998</v>
      </c>
      <c r="K37" s="467"/>
      <c r="L37" s="408"/>
      <c r="N37" s="706"/>
      <c r="O37" s="413"/>
    </row>
    <row r="38" spans="1:15">
      <c r="A38" s="655" t="s">
        <v>178</v>
      </c>
      <c r="B38" s="656"/>
      <c r="C38" s="656"/>
      <c r="D38" s="599" t="s">
        <v>143</v>
      </c>
      <c r="E38" s="545">
        <f>'4'!F38</f>
        <v>904</v>
      </c>
      <c r="F38" s="1332">
        <v>904</v>
      </c>
      <c r="G38" s="549">
        <f t="shared" si="5"/>
        <v>0</v>
      </c>
      <c r="H38" s="536">
        <f>G38+'4'!H38</f>
        <v>806.12</v>
      </c>
      <c r="I38" s="531"/>
      <c r="J38" s="629">
        <f>H38/DAY(B2)</f>
        <v>161.22399999999999</v>
      </c>
      <c r="K38" s="467"/>
      <c r="L38" s="408"/>
      <c r="N38" s="413"/>
      <c r="O38" s="413"/>
    </row>
    <row r="39" spans="1:15">
      <c r="A39" s="655" t="s">
        <v>179</v>
      </c>
      <c r="B39" s="656"/>
      <c r="C39" s="656"/>
      <c r="D39" s="599" t="s">
        <v>143</v>
      </c>
      <c r="E39" s="586">
        <f>'4'!F39</f>
        <v>3521</v>
      </c>
      <c r="F39" s="1331">
        <v>4103</v>
      </c>
      <c r="G39" s="549">
        <f t="shared" si="5"/>
        <v>582</v>
      </c>
      <c r="H39" s="536">
        <f>G39+'4'!H39</f>
        <v>4103</v>
      </c>
      <c r="I39" s="531"/>
      <c r="J39" s="629">
        <f>H39/DAY(B2)</f>
        <v>820.6</v>
      </c>
      <c r="K39" s="467"/>
      <c r="L39" s="408"/>
      <c r="N39" s="413"/>
      <c r="O39" s="413"/>
    </row>
    <row r="40" spans="1:15">
      <c r="A40" s="676" t="s">
        <v>180</v>
      </c>
      <c r="B40" s="677"/>
      <c r="C40" s="677"/>
      <c r="D40" s="599" t="s">
        <v>143</v>
      </c>
      <c r="E40" s="586">
        <f>'4'!F40</f>
        <v>0.17</v>
      </c>
      <c r="F40" s="1331">
        <v>0.17</v>
      </c>
      <c r="G40" s="549">
        <f t="shared" si="5"/>
        <v>0</v>
      </c>
      <c r="H40" s="536">
        <f>G40+'4'!H40</f>
        <v>0</v>
      </c>
      <c r="I40" s="531"/>
      <c r="J40" s="629">
        <f>H40/DAY(B2)</f>
        <v>0</v>
      </c>
      <c r="K40" s="468"/>
      <c r="L40" s="408"/>
      <c r="N40" s="413"/>
      <c r="O40" s="413"/>
    </row>
    <row r="41" spans="1:15">
      <c r="A41" s="655" t="s">
        <v>181</v>
      </c>
      <c r="B41" s="656"/>
      <c r="C41" s="656"/>
      <c r="D41" s="599" t="s">
        <v>143</v>
      </c>
      <c r="E41" s="586">
        <f>'4'!F41</f>
        <v>58615</v>
      </c>
      <c r="F41" s="1331">
        <v>58616</v>
      </c>
      <c r="G41" s="549">
        <f t="shared" si="5"/>
        <v>1</v>
      </c>
      <c r="H41" s="536">
        <f>G41+'4'!H41</f>
        <v>13993.480000000003</v>
      </c>
      <c r="I41" s="531"/>
      <c r="J41" s="629">
        <f>H41/DAY(B2)</f>
        <v>2798.6960000000008</v>
      </c>
      <c r="K41" s="467"/>
      <c r="L41" s="408"/>
      <c r="N41" s="413"/>
      <c r="O41" s="413"/>
    </row>
    <row r="42" spans="1:15">
      <c r="A42" s="655" t="s">
        <v>182</v>
      </c>
      <c r="B42" s="656"/>
      <c r="C42" s="656"/>
      <c r="D42" s="599" t="s">
        <v>143</v>
      </c>
      <c r="E42" s="586">
        <f>'4'!F42</f>
        <v>58926</v>
      </c>
      <c r="F42" s="1331">
        <v>58926</v>
      </c>
      <c r="G42" s="549">
        <f t="shared" si="5"/>
        <v>0</v>
      </c>
      <c r="H42" s="536">
        <f>G42+'4'!H42</f>
        <v>0</v>
      </c>
      <c r="I42" s="531"/>
      <c r="J42" s="629">
        <f>H42/DAY(B2)</f>
        <v>0</v>
      </c>
      <c r="K42" s="467"/>
      <c r="L42" s="408"/>
      <c r="N42" s="413"/>
      <c r="O42" s="413"/>
    </row>
    <row r="43" spans="1:15">
      <c r="A43" s="655" t="s">
        <v>183</v>
      </c>
      <c r="B43" s="656"/>
      <c r="C43" s="656"/>
      <c r="D43" s="599" t="s">
        <v>143</v>
      </c>
      <c r="E43" s="586">
        <f>'4'!F43</f>
        <v>776889</v>
      </c>
      <c r="F43" s="1331">
        <v>777221</v>
      </c>
      <c r="G43" s="549">
        <f t="shared" si="5"/>
        <v>332</v>
      </c>
      <c r="H43" s="536">
        <f>G43+'4'!H43</f>
        <v>9409.0899999999674</v>
      </c>
      <c r="I43" s="531"/>
      <c r="J43" s="629">
        <f>H43/DAY(B2)</f>
        <v>1881.8179999999934</v>
      </c>
      <c r="K43" s="467"/>
      <c r="L43" s="408"/>
      <c r="N43" s="413"/>
      <c r="O43" s="413"/>
    </row>
    <row r="44" spans="1:15">
      <c r="A44" s="655" t="s">
        <v>184</v>
      </c>
      <c r="B44" s="656"/>
      <c r="C44" s="656"/>
      <c r="D44" s="599" t="s">
        <v>143</v>
      </c>
      <c r="E44" s="586">
        <f>'4'!F44</f>
        <v>0</v>
      </c>
      <c r="F44" s="1331">
        <v>0</v>
      </c>
      <c r="G44" s="549">
        <f t="shared" si="5"/>
        <v>0</v>
      </c>
      <c r="H44" s="536">
        <f>G44+'4'!H44</f>
        <v>0</v>
      </c>
      <c r="I44" s="531"/>
      <c r="J44" s="629">
        <f>H44/DAY(B2)</f>
        <v>0</v>
      </c>
      <c r="K44" s="467"/>
      <c r="L44" s="408"/>
      <c r="N44" s="413"/>
      <c r="O44" s="413"/>
    </row>
    <row r="45" spans="1:15">
      <c r="A45" s="655" t="s">
        <v>185</v>
      </c>
      <c r="B45" s="656"/>
      <c r="C45" s="656"/>
      <c r="D45" s="599" t="s">
        <v>143</v>
      </c>
      <c r="E45" s="586">
        <f>'4'!F45</f>
        <v>614</v>
      </c>
      <c r="F45" s="1331">
        <v>614</v>
      </c>
      <c r="G45" s="549">
        <f t="shared" si="5"/>
        <v>0</v>
      </c>
      <c r="H45" s="536">
        <f>G45+'4'!H45</f>
        <v>-0.48000000000001819</v>
      </c>
      <c r="I45" s="531"/>
      <c r="J45" s="629">
        <f>H45/DAY(B2)</f>
        <v>-9.6000000000003638E-2</v>
      </c>
      <c r="K45" s="467"/>
      <c r="L45" s="408"/>
      <c r="N45" s="413"/>
      <c r="O45" s="413"/>
    </row>
    <row r="46" spans="1:15">
      <c r="A46" s="655" t="s">
        <v>186</v>
      </c>
      <c r="B46" s="656"/>
      <c r="C46" s="656"/>
      <c r="D46" s="599" t="s">
        <v>143</v>
      </c>
      <c r="E46" s="586">
        <f>'4'!F46</f>
        <v>187</v>
      </c>
      <c r="F46" s="1331">
        <v>187</v>
      </c>
      <c r="G46" s="549">
        <f t="shared" si="5"/>
        <v>0</v>
      </c>
      <c r="H46" s="536">
        <f>G46+'4'!H46</f>
        <v>-0.49000000000000909</v>
      </c>
      <c r="I46" s="531"/>
      <c r="J46" s="629">
        <f>H46/DAY(B2)</f>
        <v>-9.8000000000001822E-2</v>
      </c>
      <c r="K46" s="467"/>
      <c r="L46" s="408"/>
      <c r="N46" s="413"/>
      <c r="O46" s="413"/>
    </row>
    <row r="47" spans="1:15">
      <c r="A47" s="662" t="s">
        <v>187</v>
      </c>
      <c r="B47" s="663"/>
      <c r="C47" s="663"/>
      <c r="D47" s="546"/>
      <c r="E47" s="587"/>
      <c r="F47" s="1333"/>
      <c r="G47" s="557">
        <f>G35+G36+G37+G38+G39+G40+G41+G42+G43+G44+G45+G46</f>
        <v>1649</v>
      </c>
      <c r="H47" s="536">
        <f>G47+'4'!H47</f>
        <v>38076.599999999919</v>
      </c>
      <c r="I47" s="531"/>
      <c r="J47" s="629">
        <f>H47/DAY(B2)</f>
        <v>7615.3199999999833</v>
      </c>
      <c r="K47" s="467"/>
      <c r="L47" s="408"/>
      <c r="N47" s="413"/>
      <c r="O47" s="413"/>
    </row>
    <row r="48" spans="1:15">
      <c r="A48" s="675" t="s">
        <v>188</v>
      </c>
      <c r="B48" s="1236"/>
      <c r="C48" s="1236"/>
      <c r="D48" s="548"/>
      <c r="E48" s="547"/>
      <c r="F48" s="1334"/>
      <c r="G48" s="548"/>
      <c r="H48" s="548"/>
      <c r="I48" s="548"/>
      <c r="J48" s="628"/>
      <c r="K48" s="467"/>
      <c r="L48" s="408"/>
      <c r="N48" s="413"/>
      <c r="O48" s="413"/>
    </row>
    <row r="49" spans="1:15">
      <c r="A49" s="655" t="s">
        <v>175</v>
      </c>
      <c r="B49" s="678"/>
      <c r="C49" s="678"/>
      <c r="D49" s="599" t="s">
        <v>143</v>
      </c>
      <c r="E49" s="586">
        <f>'4'!F49</f>
        <v>251968</v>
      </c>
      <c r="F49" s="1331">
        <v>254617</v>
      </c>
      <c r="G49" s="549">
        <f t="shared" ref="G49:G58" si="6">F49-E49</f>
        <v>2649</v>
      </c>
      <c r="H49" s="536">
        <f>G49+'4'!H49</f>
        <v>8717.9500000000116</v>
      </c>
      <c r="I49" s="531"/>
      <c r="J49" s="629">
        <f>H49/DAY(B2)</f>
        <v>1743.5900000000024</v>
      </c>
      <c r="K49" s="467"/>
      <c r="L49" s="408"/>
      <c r="N49" s="413"/>
      <c r="O49" s="413"/>
    </row>
    <row r="50" spans="1:15">
      <c r="A50" s="655" t="s">
        <v>189</v>
      </c>
      <c r="B50" s="678"/>
      <c r="C50" s="678"/>
      <c r="D50" s="599" t="s">
        <v>143</v>
      </c>
      <c r="E50" s="586">
        <f>'4'!F50</f>
        <v>373146</v>
      </c>
      <c r="F50" s="1331">
        <v>374251</v>
      </c>
      <c r="G50" s="549">
        <f t="shared" si="6"/>
        <v>1105</v>
      </c>
      <c r="H50" s="536">
        <f>G50+'4'!H50</f>
        <v>5633.6900000000023</v>
      </c>
      <c r="I50" s="531"/>
      <c r="J50" s="629">
        <f>H50/DAY(B2)</f>
        <v>1126.7380000000005</v>
      </c>
      <c r="K50" s="467"/>
      <c r="L50" s="408"/>
      <c r="N50" s="413"/>
      <c r="O50" s="413"/>
    </row>
    <row r="51" spans="1:15">
      <c r="A51" s="655" t="s">
        <v>177</v>
      </c>
      <c r="B51" s="678"/>
      <c r="C51" s="678"/>
      <c r="D51" s="599" t="s">
        <v>143</v>
      </c>
      <c r="E51" s="586">
        <f>'4'!F51</f>
        <v>114718</v>
      </c>
      <c r="F51" s="1331">
        <v>116006</v>
      </c>
      <c r="G51" s="549">
        <f t="shared" si="6"/>
        <v>1288</v>
      </c>
      <c r="H51" s="536">
        <f>G51+'4'!H51</f>
        <v>5906.2599999999948</v>
      </c>
      <c r="I51" s="531"/>
      <c r="J51" s="629">
        <f>H51/DAY(B2)</f>
        <v>1181.251999999999</v>
      </c>
      <c r="K51" s="467"/>
      <c r="L51" s="408"/>
      <c r="N51" s="413"/>
      <c r="O51" s="413"/>
    </row>
    <row r="52" spans="1:15">
      <c r="A52" s="655" t="s">
        <v>190</v>
      </c>
      <c r="B52" s="678"/>
      <c r="C52" s="678"/>
      <c r="D52" s="599" t="s">
        <v>143</v>
      </c>
      <c r="E52" s="586">
        <f>'4'!F52</f>
        <v>500900</v>
      </c>
      <c r="F52" s="1331">
        <v>502975</v>
      </c>
      <c r="G52" s="549">
        <f t="shared" si="6"/>
        <v>2075</v>
      </c>
      <c r="H52" s="536">
        <f>G52+'4'!H52</f>
        <v>9166.3300000000163</v>
      </c>
      <c r="I52" s="531"/>
      <c r="J52" s="629">
        <f>H52/DAY(B2)</f>
        <v>1833.2660000000033</v>
      </c>
      <c r="K52" s="467"/>
      <c r="L52" s="408"/>
      <c r="N52" s="413"/>
      <c r="O52" s="413"/>
    </row>
    <row r="53" spans="1:15">
      <c r="A53" s="655" t="s">
        <v>179</v>
      </c>
      <c r="B53" s="678"/>
      <c r="C53" s="678"/>
      <c r="D53" s="599" t="s">
        <v>143</v>
      </c>
      <c r="E53" s="586">
        <f>'4'!F53</f>
        <v>317457</v>
      </c>
      <c r="F53" s="1331">
        <v>321103</v>
      </c>
      <c r="G53" s="549">
        <f t="shared" si="6"/>
        <v>3646</v>
      </c>
      <c r="H53" s="536">
        <f>G53+'4'!H53</f>
        <v>16804.729999999981</v>
      </c>
      <c r="I53" s="531"/>
      <c r="J53" s="629">
        <f>H53/DAY(B2)</f>
        <v>3360.9459999999963</v>
      </c>
      <c r="K53" s="467"/>
      <c r="L53" s="408"/>
      <c r="N53" s="413"/>
      <c r="O53" s="413"/>
    </row>
    <row r="54" spans="1:15">
      <c r="A54" s="655" t="s">
        <v>191</v>
      </c>
      <c r="B54" s="678"/>
      <c r="C54" s="678"/>
      <c r="D54" s="599" t="s">
        <v>143</v>
      </c>
      <c r="E54" s="586">
        <f>'4'!F54</f>
        <v>6419</v>
      </c>
      <c r="F54" s="1331">
        <v>6494</v>
      </c>
      <c r="G54" s="549">
        <f t="shared" si="6"/>
        <v>75</v>
      </c>
      <c r="H54" s="536">
        <f>G54+'4'!H54</f>
        <v>177.35999999999967</v>
      </c>
      <c r="I54" s="531"/>
      <c r="J54" s="629">
        <f>H54/DAY(B2)</f>
        <v>35.471999999999937</v>
      </c>
      <c r="K54" s="467"/>
      <c r="L54" s="408"/>
      <c r="N54" s="413"/>
      <c r="O54" s="413"/>
    </row>
    <row r="55" spans="1:15">
      <c r="A55" s="655" t="s">
        <v>192</v>
      </c>
      <c r="B55" s="678"/>
      <c r="C55" s="678"/>
      <c r="D55" s="599" t="s">
        <v>143</v>
      </c>
      <c r="E55" s="586">
        <f>'4'!F55</f>
        <v>41404</v>
      </c>
      <c r="F55" s="1343">
        <v>45055</v>
      </c>
      <c r="G55" s="549">
        <f t="shared" si="6"/>
        <v>3651</v>
      </c>
      <c r="H55" s="536">
        <f>G55+'4'!H55</f>
        <v>5934.4199999999983</v>
      </c>
      <c r="I55" s="531"/>
      <c r="J55" s="629">
        <f>H55/DAY(B2)</f>
        <v>1186.8839999999996</v>
      </c>
      <c r="K55" s="467"/>
      <c r="L55" s="408"/>
      <c r="N55" s="413"/>
      <c r="O55" s="413"/>
    </row>
    <row r="56" spans="1:15">
      <c r="A56" s="655" t="s">
        <v>193</v>
      </c>
      <c r="B56" s="678"/>
      <c r="C56" s="678"/>
      <c r="D56" s="599" t="s">
        <v>194</v>
      </c>
      <c r="E56" s="586">
        <f>'4'!F56</f>
        <v>557739</v>
      </c>
      <c r="F56" s="1343">
        <v>557739</v>
      </c>
      <c r="G56" s="549">
        <f t="shared" si="6"/>
        <v>0</v>
      </c>
      <c r="H56" s="536">
        <f>G56+'4'!H56</f>
        <v>7.0899999999674037</v>
      </c>
      <c r="I56" s="531"/>
      <c r="J56" s="629">
        <f>H56/DAY(B2)</f>
        <v>1.4179999999934807</v>
      </c>
      <c r="K56" s="466"/>
      <c r="L56" s="408"/>
      <c r="N56" s="413"/>
      <c r="O56" s="413"/>
    </row>
    <row r="57" spans="1:15">
      <c r="A57" s="655" t="s">
        <v>183</v>
      </c>
      <c r="B57" s="678"/>
      <c r="C57" s="678"/>
      <c r="D57" s="599" t="s">
        <v>143</v>
      </c>
      <c r="E57" s="586">
        <f>'4'!F57</f>
        <v>0</v>
      </c>
      <c r="F57" s="1331">
        <v>1933</v>
      </c>
      <c r="G57" s="549">
        <f t="shared" si="6"/>
        <v>1933</v>
      </c>
      <c r="H57" s="536">
        <f>G57+'4'!H57</f>
        <v>1933</v>
      </c>
      <c r="I57" s="531"/>
      <c r="J57" s="629">
        <f>H57/DAY(B2)</f>
        <v>386.6</v>
      </c>
      <c r="K57" s="467"/>
      <c r="L57" s="408"/>
      <c r="N57" s="413"/>
      <c r="O57" s="413"/>
    </row>
    <row r="58" spans="1:15">
      <c r="A58" s="655" t="s">
        <v>195</v>
      </c>
      <c r="B58" s="678"/>
      <c r="C58" s="678"/>
      <c r="D58" s="599" t="s">
        <v>143</v>
      </c>
      <c r="E58" s="586">
        <f>'4'!F58</f>
        <v>31209</v>
      </c>
      <c r="F58" s="1335">
        <v>31352</v>
      </c>
      <c r="G58" s="549">
        <f t="shared" si="6"/>
        <v>143</v>
      </c>
      <c r="H58" s="536">
        <f>G58+'4'!H58</f>
        <v>820.09000000000015</v>
      </c>
      <c r="I58" s="531"/>
      <c r="J58" s="629">
        <f>H58/DAY(B2)</f>
        <v>164.01800000000003</v>
      </c>
      <c r="K58" s="467"/>
      <c r="L58" s="408"/>
      <c r="N58" s="413"/>
      <c r="O58" s="413"/>
    </row>
    <row r="59" spans="1:15">
      <c r="A59" s="662" t="s">
        <v>187</v>
      </c>
      <c r="B59" s="663"/>
      <c r="C59" s="663"/>
      <c r="D59" s="587"/>
      <c r="E59" s="587"/>
      <c r="F59" s="1333"/>
      <c r="G59" s="557">
        <f>G49+G50+G51+G52+G53+G54+G55+G56+G57+G58</f>
        <v>16565</v>
      </c>
      <c r="H59" s="536">
        <f>G59+'4'!H59</f>
        <v>55100.919999999969</v>
      </c>
      <c r="I59" s="531">
        <f>G7-G60</f>
        <v>310</v>
      </c>
      <c r="J59" s="629">
        <f>H59/DAY(B2)</f>
        <v>11020.183999999994</v>
      </c>
      <c r="K59" s="467"/>
      <c r="L59" s="408"/>
      <c r="N59" s="413"/>
      <c r="O59" s="413"/>
    </row>
    <row r="60" spans="1:15">
      <c r="A60" s="655"/>
      <c r="B60" s="656"/>
      <c r="C60" s="656"/>
      <c r="D60" s="587" t="s">
        <v>196</v>
      </c>
      <c r="E60" s="587"/>
      <c r="F60" s="1333"/>
      <c r="G60" s="557">
        <f>G47+G59</f>
        <v>18214</v>
      </c>
      <c r="H60" s="536">
        <f>G60+'4'!H60</f>
        <v>93177.519999999888</v>
      </c>
      <c r="I60" s="531">
        <f>G13-G60</f>
        <v>-480</v>
      </c>
      <c r="J60" s="629">
        <f>H60/DAY(B2)</f>
        <v>18635.503999999979</v>
      </c>
      <c r="K60" s="467"/>
      <c r="L60" s="408"/>
      <c r="N60" s="413"/>
      <c r="O60" s="413"/>
    </row>
    <row r="61" spans="1:15">
      <c r="A61" s="679" t="s">
        <v>197</v>
      </c>
      <c r="B61" s="529"/>
      <c r="C61" s="529"/>
      <c r="D61" s="589"/>
      <c r="E61" s="588"/>
      <c r="F61" s="1336"/>
      <c r="G61" s="589"/>
      <c r="H61" s="589"/>
      <c r="I61" s="589"/>
      <c r="J61" s="632"/>
      <c r="K61" s="467"/>
      <c r="L61" s="408"/>
      <c r="N61" s="413"/>
      <c r="O61" s="413"/>
    </row>
    <row r="62" spans="1:15">
      <c r="A62" s="680" t="s">
        <v>106</v>
      </c>
      <c r="B62" s="681"/>
      <c r="C62" s="681"/>
      <c r="D62" s="587" t="s">
        <v>198</v>
      </c>
      <c r="E62" s="590">
        <f>'4'!F62</f>
        <v>20419.187999999998</v>
      </c>
      <c r="F62" s="1337">
        <v>20419</v>
      </c>
      <c r="G62" s="549">
        <f t="shared" ref="G62:G69" si="7">F62-E62</f>
        <v>-0.18799999999828287</v>
      </c>
      <c r="H62" s="536">
        <f>G62+'4'!H62</f>
        <v>-0.1889999999984866</v>
      </c>
      <c r="I62" s="591"/>
      <c r="J62" s="629">
        <f>H62/DAY(B2)</f>
        <v>-3.7799999999697319E-2</v>
      </c>
      <c r="K62" s="467"/>
      <c r="L62" s="408"/>
      <c r="N62" s="413"/>
      <c r="O62" s="413"/>
    </row>
    <row r="63" spans="1:15">
      <c r="A63" s="680" t="s">
        <v>199</v>
      </c>
      <c r="B63" s="681"/>
      <c r="C63" s="681"/>
      <c r="D63" s="587" t="s">
        <v>198</v>
      </c>
      <c r="E63" s="590">
        <f>'4'!F63</f>
        <v>1391</v>
      </c>
      <c r="F63" s="1337">
        <v>1406</v>
      </c>
      <c r="G63" s="549">
        <f t="shared" si="7"/>
        <v>15</v>
      </c>
      <c r="H63" s="536">
        <f>G63+'4'!H63</f>
        <v>73.470000000000027</v>
      </c>
      <c r="I63" s="591"/>
      <c r="J63" s="629">
        <f>H63/DAY(B2)</f>
        <v>14.694000000000006</v>
      </c>
      <c r="K63" s="467"/>
      <c r="L63" s="408"/>
      <c r="N63" s="413"/>
      <c r="O63" s="413"/>
    </row>
    <row r="64" spans="1:15" ht="27.75">
      <c r="A64" s="1385" t="s">
        <v>107</v>
      </c>
      <c r="B64" s="1386"/>
      <c r="C64" s="1387"/>
      <c r="D64" s="599" t="s">
        <v>198</v>
      </c>
      <c r="E64" s="560">
        <f>'4'!F64</f>
        <v>113002</v>
      </c>
      <c r="F64" s="1338">
        <v>113454</v>
      </c>
      <c r="G64" s="549">
        <f t="shared" si="7"/>
        <v>452</v>
      </c>
      <c r="H64" s="536">
        <f>G64+'4'!H64</f>
        <v>2170.5399999999936</v>
      </c>
      <c r="I64" s="556"/>
      <c r="J64" s="629">
        <f>H64/DAY(B2)</f>
        <v>434.1079999999987</v>
      </c>
      <c r="K64" s="467"/>
      <c r="L64" s="408"/>
      <c r="N64" s="413"/>
      <c r="O64" s="413"/>
    </row>
    <row r="65" spans="1:15" ht="27.75">
      <c r="A65" s="1385" t="s">
        <v>108</v>
      </c>
      <c r="B65" s="1386"/>
      <c r="C65" s="1387"/>
      <c r="D65" s="599" t="s">
        <v>198</v>
      </c>
      <c r="E65" s="560">
        <f>'4'!F65</f>
        <v>123239</v>
      </c>
      <c r="F65" s="1339">
        <v>123609</v>
      </c>
      <c r="G65" s="549">
        <f t="shared" si="7"/>
        <v>370</v>
      </c>
      <c r="H65" s="536">
        <f>G65+'4'!H65</f>
        <v>1875.8899999999994</v>
      </c>
      <c r="I65" s="565"/>
      <c r="J65" s="629">
        <f>H65/DAY(B2)</f>
        <v>375.17799999999988</v>
      </c>
      <c r="K65" s="467"/>
      <c r="L65" s="408"/>
      <c r="N65" s="413"/>
      <c r="O65" s="413"/>
    </row>
    <row r="66" spans="1:15" ht="27.75">
      <c r="A66" s="1385" t="s">
        <v>109</v>
      </c>
      <c r="B66" s="1386"/>
      <c r="C66" s="1387"/>
      <c r="D66" s="599" t="s">
        <v>198</v>
      </c>
      <c r="E66" s="560">
        <f>'4'!F66</f>
        <v>15769</v>
      </c>
      <c r="F66" s="1338">
        <v>16157</v>
      </c>
      <c r="G66" s="549">
        <f t="shared" si="7"/>
        <v>388</v>
      </c>
      <c r="H66" s="536">
        <f>G66+'4'!H66</f>
        <v>1997.2600000000002</v>
      </c>
      <c r="I66" s="556"/>
      <c r="J66" s="629">
        <f>H66/DAY(B2)</f>
        <v>399.45200000000006</v>
      </c>
      <c r="K66" s="467"/>
      <c r="L66" s="408"/>
      <c r="N66" s="413"/>
      <c r="O66" s="413"/>
    </row>
    <row r="67" spans="1:15" ht="27.75">
      <c r="A67" s="1385" t="s">
        <v>110</v>
      </c>
      <c r="B67" s="1386"/>
      <c r="C67" s="1387"/>
      <c r="D67" s="599" t="s">
        <v>198</v>
      </c>
      <c r="E67" s="560">
        <f>'4'!F67</f>
        <v>191429</v>
      </c>
      <c r="F67" s="1338">
        <v>192139</v>
      </c>
      <c r="G67" s="549">
        <f t="shared" si="7"/>
        <v>710</v>
      </c>
      <c r="H67" s="536">
        <f>G67+'4'!H67</f>
        <v>3464.4700000000012</v>
      </c>
      <c r="I67" s="565"/>
      <c r="J67" s="629">
        <f>H67/DAY(B2)</f>
        <v>692.89400000000023</v>
      </c>
      <c r="K67" s="468"/>
      <c r="L67" s="408"/>
      <c r="N67" s="413"/>
      <c r="O67" s="413"/>
    </row>
    <row r="68" spans="1:15" ht="27.75">
      <c r="A68" s="1385" t="s">
        <v>111</v>
      </c>
      <c r="B68" s="1386"/>
      <c r="C68" s="1387"/>
      <c r="D68" s="599" t="s">
        <v>198</v>
      </c>
      <c r="E68" s="560">
        <f>'4'!F68</f>
        <v>64643</v>
      </c>
      <c r="F68" s="1338">
        <v>64987</v>
      </c>
      <c r="G68" s="549">
        <f t="shared" si="7"/>
        <v>344</v>
      </c>
      <c r="H68" s="536">
        <f>G68+'4'!H68</f>
        <v>1687.1399999999994</v>
      </c>
      <c r="I68" s="592"/>
      <c r="J68" s="629">
        <f>H68/DAY(B2)</f>
        <v>337.42799999999988</v>
      </c>
      <c r="K68" s="469"/>
      <c r="L68" s="408"/>
      <c r="N68" s="413"/>
      <c r="O68" s="413"/>
    </row>
    <row r="69" spans="1:15" ht="27.75">
      <c r="A69" s="1385" t="s">
        <v>112</v>
      </c>
      <c r="B69" s="1386"/>
      <c r="C69" s="1387"/>
      <c r="D69" s="599" t="s">
        <v>198</v>
      </c>
      <c r="E69" s="560">
        <f>'4'!F69</f>
        <v>56963</v>
      </c>
      <c r="F69" s="1338">
        <v>57260</v>
      </c>
      <c r="G69" s="549">
        <f t="shared" si="7"/>
        <v>297</v>
      </c>
      <c r="H69" s="536">
        <f>G69+'4'!H69</f>
        <v>1536.2900000000009</v>
      </c>
      <c r="I69" s="592"/>
      <c r="J69" s="629">
        <f>H69/DAY(B2)</f>
        <v>307.25800000000015</v>
      </c>
      <c r="K69" s="470"/>
      <c r="L69" s="408"/>
      <c r="N69" s="413"/>
      <c r="O69" s="413"/>
    </row>
    <row r="70" spans="1:15" ht="27.75">
      <c r="A70" s="1391" t="s">
        <v>200</v>
      </c>
      <c r="B70" s="1392"/>
      <c r="C70" s="1393"/>
      <c r="D70" s="599" t="s">
        <v>198</v>
      </c>
      <c r="E70" s="594"/>
      <c r="F70" s="1340"/>
      <c r="G70" s="594"/>
      <c r="H70" s="536"/>
      <c r="I70" s="594"/>
      <c r="J70" s="633"/>
      <c r="K70" s="470"/>
      <c r="L70" s="408"/>
      <c r="N70" s="413"/>
      <c r="O70" s="413"/>
    </row>
    <row r="71" spans="1:15" ht="31.5">
      <c r="A71" s="1388" t="s">
        <v>201</v>
      </c>
      <c r="B71" s="1389"/>
      <c r="C71" s="1389"/>
      <c r="D71" s="1389"/>
      <c r="E71" s="1389"/>
      <c r="F71" s="1389"/>
      <c r="G71" s="1389"/>
      <c r="H71" s="1389"/>
      <c r="I71" s="1389"/>
      <c r="J71" s="1390"/>
      <c r="K71" s="469"/>
      <c r="L71" s="408"/>
      <c r="N71" s="413"/>
      <c r="O71" s="413"/>
    </row>
    <row r="72" spans="1:15" ht="27.75">
      <c r="A72" s="1385" t="s">
        <v>202</v>
      </c>
      <c r="B72" s="1386"/>
      <c r="C72" s="1387"/>
      <c r="D72" s="599" t="s">
        <v>198</v>
      </c>
      <c r="E72" s="595">
        <f>'4'!F72</f>
        <v>848804</v>
      </c>
      <c r="F72" s="1351">
        <v>848874</v>
      </c>
      <c r="G72" s="549">
        <f t="shared" ref="G72:G84" si="8">F72-E72</f>
        <v>70</v>
      </c>
      <c r="H72" s="536">
        <f>G72+'4'!H72</f>
        <v>409</v>
      </c>
      <c r="I72" s="556"/>
      <c r="J72" s="629">
        <f>H72/DAY(B2)</f>
        <v>81.8</v>
      </c>
      <c r="K72" s="470"/>
      <c r="L72" s="408"/>
      <c r="N72" s="413"/>
      <c r="O72" s="413"/>
    </row>
    <row r="73" spans="1:15" ht="27.75">
      <c r="A73" s="1385" t="s">
        <v>203</v>
      </c>
      <c r="B73" s="1386"/>
      <c r="C73" s="1387"/>
      <c r="D73" s="599" t="s">
        <v>198</v>
      </c>
      <c r="E73" s="596">
        <f>'4'!F73</f>
        <v>885729</v>
      </c>
      <c r="F73" s="1352">
        <v>885730</v>
      </c>
      <c r="G73" s="733">
        <f t="shared" si="8"/>
        <v>1</v>
      </c>
      <c r="H73" s="536">
        <f>G73+'4'!H73</f>
        <v>2</v>
      </c>
      <c r="I73" s="556"/>
      <c r="J73" s="629">
        <f>H73/DAY(B2)</f>
        <v>0.4</v>
      </c>
      <c r="K73" s="469"/>
      <c r="L73" s="408"/>
      <c r="N73" s="413"/>
      <c r="O73" s="413"/>
    </row>
    <row r="74" spans="1:15" ht="27.75">
      <c r="A74" s="1385" t="s">
        <v>204</v>
      </c>
      <c r="B74" s="1386"/>
      <c r="C74" s="1387"/>
      <c r="D74" s="599" t="s">
        <v>198</v>
      </c>
      <c r="E74" s="597">
        <f>'4'!F74</f>
        <v>882475</v>
      </c>
      <c r="F74" s="1351">
        <v>882503</v>
      </c>
      <c r="G74" s="549">
        <f t="shared" si="8"/>
        <v>28</v>
      </c>
      <c r="H74" s="536">
        <f>G74+'4'!H74</f>
        <v>134</v>
      </c>
      <c r="I74" s="556"/>
      <c r="J74" s="629">
        <f>H74/DAY(B2)</f>
        <v>26.8</v>
      </c>
      <c r="K74" s="470"/>
      <c r="L74" s="408"/>
      <c r="N74" s="413"/>
      <c r="O74" s="413"/>
    </row>
    <row r="75" spans="1:15" ht="27.75">
      <c r="A75" s="1382" t="s">
        <v>205</v>
      </c>
      <c r="B75" s="1383"/>
      <c r="C75" s="1384"/>
      <c r="D75" s="599" t="s">
        <v>198</v>
      </c>
      <c r="E75" s="597">
        <f>'4'!F75</f>
        <v>738251</v>
      </c>
      <c r="F75" s="1353">
        <v>738424</v>
      </c>
      <c r="G75" s="549">
        <f t="shared" si="8"/>
        <v>173</v>
      </c>
      <c r="H75" s="536">
        <f>G75+'4'!H75</f>
        <v>905</v>
      </c>
      <c r="I75" s="556"/>
      <c r="J75" s="629">
        <f>H75/DAY(B2)</f>
        <v>181</v>
      </c>
      <c r="K75" s="469"/>
      <c r="L75" s="408"/>
      <c r="N75" s="413"/>
      <c r="O75" s="413"/>
    </row>
    <row r="76" spans="1:15" ht="27.75">
      <c r="A76" s="1382" t="s">
        <v>206</v>
      </c>
      <c r="B76" s="1383"/>
      <c r="C76" s="1384"/>
      <c r="D76" s="599" t="s">
        <v>198</v>
      </c>
      <c r="E76" s="596">
        <f>'4'!F76</f>
        <v>687337</v>
      </c>
      <c r="F76" s="1352">
        <v>687421</v>
      </c>
      <c r="G76" s="549">
        <f t="shared" si="8"/>
        <v>84</v>
      </c>
      <c r="H76" s="536">
        <f>G76+'4'!H76</f>
        <v>407</v>
      </c>
      <c r="I76" s="581"/>
      <c r="J76" s="629">
        <f>H76/DAY(B2)</f>
        <v>81.400000000000006</v>
      </c>
      <c r="K76" s="469"/>
      <c r="L76" s="408"/>
      <c r="N76" s="413"/>
      <c r="O76" s="413"/>
    </row>
    <row r="77" spans="1:15" ht="27.75">
      <c r="A77" s="1385" t="s">
        <v>207</v>
      </c>
      <c r="B77" s="1386"/>
      <c r="C77" s="1387"/>
      <c r="D77" s="599" t="s">
        <v>198</v>
      </c>
      <c r="E77" s="596">
        <f>'4'!F77</f>
        <v>697332</v>
      </c>
      <c r="F77" s="1352">
        <v>697414</v>
      </c>
      <c r="G77" s="733">
        <f t="shared" si="8"/>
        <v>82</v>
      </c>
      <c r="H77" s="536">
        <f>G77+'4'!H77</f>
        <v>307</v>
      </c>
      <c r="I77" s="581"/>
      <c r="J77" s="629">
        <f>H77/DAY(B2)</f>
        <v>61.4</v>
      </c>
      <c r="K77" s="469"/>
      <c r="L77" s="408"/>
      <c r="N77" s="413"/>
      <c r="O77" s="413"/>
    </row>
    <row r="78" spans="1:15" ht="27.75">
      <c r="A78" s="1234" t="s">
        <v>208</v>
      </c>
      <c r="B78" s="1205"/>
      <c r="C78" s="1205"/>
      <c r="D78" s="599" t="s">
        <v>198</v>
      </c>
      <c r="E78" s="597">
        <f>'4'!F78</f>
        <v>643524</v>
      </c>
      <c r="F78" s="1353">
        <v>643923</v>
      </c>
      <c r="G78" s="549">
        <f t="shared" si="8"/>
        <v>399</v>
      </c>
      <c r="H78" s="536">
        <f>G78+'4'!H78</f>
        <v>1970</v>
      </c>
      <c r="I78" s="581"/>
      <c r="J78" s="629">
        <f>H78/DAY(B2)</f>
        <v>394</v>
      </c>
      <c r="K78" s="469"/>
      <c r="L78" s="408"/>
      <c r="N78" s="413"/>
      <c r="O78" s="413"/>
    </row>
    <row r="79" spans="1:15" ht="27.75">
      <c r="A79" s="1382" t="s">
        <v>97</v>
      </c>
      <c r="B79" s="1383"/>
      <c r="C79" s="1384"/>
      <c r="D79" s="600" t="s">
        <v>198</v>
      </c>
      <c r="E79" s="597">
        <f>'4'!F79</f>
        <v>810488</v>
      </c>
      <c r="F79" s="1353">
        <v>810681</v>
      </c>
      <c r="G79" s="549">
        <f t="shared" si="8"/>
        <v>193</v>
      </c>
      <c r="H79" s="536">
        <f>G79+'4'!H79</f>
        <v>990</v>
      </c>
      <c r="I79" s="581"/>
      <c r="J79" s="629">
        <f>H79/DAY(B2)</f>
        <v>198</v>
      </c>
      <c r="K79" s="469"/>
      <c r="L79" s="408"/>
      <c r="N79" s="413"/>
      <c r="O79" s="413"/>
    </row>
    <row r="80" spans="1:15" ht="27.75">
      <c r="A80" s="1382" t="s">
        <v>209</v>
      </c>
      <c r="B80" s="1383"/>
      <c r="C80" s="1384"/>
      <c r="D80" s="600" t="s">
        <v>198</v>
      </c>
      <c r="E80" s="596">
        <f>'4'!F80</f>
        <v>486390</v>
      </c>
      <c r="F80" s="1352">
        <v>486700</v>
      </c>
      <c r="G80" s="549">
        <f t="shared" si="8"/>
        <v>310</v>
      </c>
      <c r="H80" s="536">
        <f>G80+'4'!H80</f>
        <v>1573</v>
      </c>
      <c r="I80" s="581"/>
      <c r="J80" s="629">
        <f>H80/DAY(B2)</f>
        <v>314.60000000000002</v>
      </c>
      <c r="K80" s="469"/>
      <c r="L80" s="408"/>
      <c r="N80" s="413"/>
      <c r="O80" s="413"/>
    </row>
    <row r="81" spans="1:15" ht="27.75">
      <c r="A81" s="1382" t="s">
        <v>210</v>
      </c>
      <c r="B81" s="1383"/>
      <c r="C81" s="1384"/>
      <c r="D81" s="600" t="s">
        <v>198</v>
      </c>
      <c r="E81" s="596">
        <f>'4'!F81</f>
        <v>623152</v>
      </c>
      <c r="F81" s="1352">
        <v>623252</v>
      </c>
      <c r="G81" s="549">
        <f t="shared" si="8"/>
        <v>100</v>
      </c>
      <c r="H81" s="536">
        <f>G81+'4'!H81</f>
        <v>477</v>
      </c>
      <c r="I81" s="581"/>
      <c r="J81" s="629">
        <f>H81/DAY(B2)</f>
        <v>95.4</v>
      </c>
      <c r="K81" s="469"/>
      <c r="L81" s="408"/>
      <c r="N81" s="413"/>
      <c r="O81" s="413"/>
    </row>
    <row r="82" spans="1:15" ht="27.75">
      <c r="A82" s="1382" t="s">
        <v>100</v>
      </c>
      <c r="B82" s="1383"/>
      <c r="C82" s="1384"/>
      <c r="D82" s="561" t="s">
        <v>143</v>
      </c>
      <c r="E82" s="598">
        <f>'4'!F82</f>
        <v>105609</v>
      </c>
      <c r="F82" s="1339">
        <v>105631</v>
      </c>
      <c r="G82" s="549">
        <f t="shared" si="8"/>
        <v>22</v>
      </c>
      <c r="H82" s="536">
        <f>G82+'4'!H82</f>
        <v>191</v>
      </c>
      <c r="I82" s="562"/>
      <c r="J82" s="629">
        <f>H82/DAY(B2)</f>
        <v>38.200000000000003</v>
      </c>
      <c r="K82" s="469"/>
      <c r="L82" s="408"/>
      <c r="N82" s="413"/>
      <c r="O82" s="413"/>
    </row>
    <row r="83" spans="1:15" ht="27.75">
      <c r="A83" s="1382" t="s">
        <v>211</v>
      </c>
      <c r="B83" s="1383"/>
      <c r="C83" s="1384"/>
      <c r="D83" s="697" t="s">
        <v>143</v>
      </c>
      <c r="E83" s="587">
        <f>'4'!F83</f>
        <v>985414</v>
      </c>
      <c r="F83" s="1333">
        <v>985917</v>
      </c>
      <c r="G83" s="549">
        <f t="shared" si="8"/>
        <v>503</v>
      </c>
      <c r="H83" s="536">
        <f>G83+'4'!H83</f>
        <v>2176</v>
      </c>
      <c r="I83" s="557"/>
      <c r="J83" s="629">
        <f>H83/DAY(B2)</f>
        <v>435.2</v>
      </c>
      <c r="K83" s="468"/>
      <c r="L83" s="408"/>
      <c r="N83" s="413"/>
      <c r="O83" s="413"/>
    </row>
    <row r="84" spans="1:15">
      <c r="A84" s="1235" t="s">
        <v>212</v>
      </c>
      <c r="B84" s="648"/>
      <c r="C84" s="648"/>
      <c r="D84" s="554" t="s">
        <v>143</v>
      </c>
      <c r="E84" s="704">
        <f>'4'!F84</f>
        <v>418059</v>
      </c>
      <c r="F84" s="1354">
        <v>418526</v>
      </c>
      <c r="G84" s="549">
        <f t="shared" si="8"/>
        <v>467</v>
      </c>
      <c r="H84" s="536">
        <f>G84+'4'!H84</f>
        <v>2453</v>
      </c>
      <c r="I84" s="557"/>
      <c r="J84" s="629">
        <f>H84/DAY(B2)</f>
        <v>490.6</v>
      </c>
      <c r="K84" s="411"/>
      <c r="L84" s="408"/>
      <c r="N84" s="413"/>
      <c r="O84" s="413"/>
    </row>
    <row r="85" spans="1:15" s="410" customFormat="1">
      <c r="A85" s="682" t="s">
        <v>213</v>
      </c>
      <c r="B85" s="649"/>
      <c r="C85" s="649"/>
      <c r="D85" s="565"/>
      <c r="E85" s="704">
        <f>'4'!F85</f>
        <v>0</v>
      </c>
      <c r="F85" s="1186"/>
      <c r="G85" s="536">
        <f xml:space="preserve"> SUM(G71:G84)</f>
        <v>2432</v>
      </c>
      <c r="H85" s="536">
        <f>G85+'4'!H85</f>
        <v>10181</v>
      </c>
      <c r="I85" s="557"/>
      <c r="J85" s="629">
        <f>H85/DAY(B2)</f>
        <v>2036.2</v>
      </c>
      <c r="K85" s="411"/>
      <c r="L85" s="409"/>
      <c r="N85" s="413"/>
      <c r="O85" s="413"/>
    </row>
    <row r="86" spans="1:15" s="817" customFormat="1">
      <c r="A86" s="812" t="s">
        <v>102</v>
      </c>
      <c r="B86" s="813"/>
      <c r="C86" s="813"/>
      <c r="D86" s="814" t="s">
        <v>194</v>
      </c>
      <c r="E86" s="704">
        <f>'4'!F86</f>
        <v>447651</v>
      </c>
      <c r="F86" s="1354">
        <v>447763</v>
      </c>
      <c r="G86" s="787">
        <f t="shared" ref="G86:G90" si="9">F86-E86</f>
        <v>112</v>
      </c>
      <c r="H86" s="536">
        <f>G86+'4'!H86</f>
        <v>657</v>
      </c>
      <c r="I86" s="733"/>
      <c r="J86" s="789">
        <f>H86/DAY(B2)</f>
        <v>131.4</v>
      </c>
      <c r="K86" s="815"/>
      <c r="L86" s="816"/>
      <c r="N86" s="860">
        <f>G86-173</f>
        <v>-61</v>
      </c>
      <c r="O86" s="413"/>
    </row>
    <row r="87" spans="1:15" s="817" customFormat="1">
      <c r="A87" s="812" t="s">
        <v>103</v>
      </c>
      <c r="B87" s="813"/>
      <c r="C87" s="813"/>
      <c r="D87" s="814" t="s">
        <v>194</v>
      </c>
      <c r="E87" s="704">
        <f>'4'!F87</f>
        <v>78572</v>
      </c>
      <c r="F87" s="1354">
        <v>78605</v>
      </c>
      <c r="G87" s="787">
        <f t="shared" si="9"/>
        <v>33</v>
      </c>
      <c r="H87" s="536">
        <f>G87+'4'!H87</f>
        <v>158.69999999999709</v>
      </c>
      <c r="I87" s="733"/>
      <c r="J87" s="789">
        <f>H87/DAY(B2)</f>
        <v>31.739999999999419</v>
      </c>
      <c r="K87" s="815"/>
      <c r="L87" s="816"/>
      <c r="N87" s="817">
        <v>108</v>
      </c>
      <c r="O87" s="413"/>
    </row>
    <row r="88" spans="1:15" s="817" customFormat="1">
      <c r="A88" s="812" t="s">
        <v>104</v>
      </c>
      <c r="B88" s="813"/>
      <c r="C88" s="813"/>
      <c r="D88" s="814" t="s">
        <v>194</v>
      </c>
      <c r="E88" s="704">
        <f>'4'!F88</f>
        <v>146781</v>
      </c>
      <c r="F88" s="1354">
        <v>146845</v>
      </c>
      <c r="G88" s="787">
        <f t="shared" si="9"/>
        <v>64</v>
      </c>
      <c r="H88" s="536">
        <f>G88+'4'!H88</f>
        <v>343</v>
      </c>
      <c r="I88" s="733"/>
      <c r="J88" s="789">
        <f>H88/DAY(B2)</f>
        <v>68.599999999999994</v>
      </c>
      <c r="K88" s="815"/>
      <c r="L88" s="816"/>
      <c r="N88" s="817">
        <v>28</v>
      </c>
      <c r="O88" s="413"/>
    </row>
    <row r="89" spans="1:15" s="817" customFormat="1">
      <c r="A89" s="812" t="s">
        <v>214</v>
      </c>
      <c r="B89" s="813"/>
      <c r="C89" s="813"/>
      <c r="D89" s="814" t="s">
        <v>194</v>
      </c>
      <c r="E89" s="704">
        <f>'4'!F89</f>
        <v>60106</v>
      </c>
      <c r="F89" s="1354">
        <v>60205</v>
      </c>
      <c r="G89" s="787">
        <f t="shared" si="9"/>
        <v>99</v>
      </c>
      <c r="H89" s="536">
        <f>G89+'4'!H89</f>
        <v>403</v>
      </c>
      <c r="I89" s="733"/>
      <c r="J89" s="789">
        <f>H89/DAY(B2)</f>
        <v>80.599999999999994</v>
      </c>
      <c r="K89" s="815"/>
      <c r="L89" s="816"/>
      <c r="N89" s="860">
        <v>342</v>
      </c>
      <c r="O89" s="413"/>
    </row>
    <row r="90" spans="1:15" s="817" customFormat="1">
      <c r="A90" s="812" t="s">
        <v>215</v>
      </c>
      <c r="B90" s="813"/>
      <c r="C90" s="813"/>
      <c r="D90" s="814" t="s">
        <v>194</v>
      </c>
      <c r="E90" s="704">
        <f>'4'!F90</f>
        <v>3082</v>
      </c>
      <c r="F90" s="1354">
        <v>3087</v>
      </c>
      <c r="G90" s="787">
        <f t="shared" si="9"/>
        <v>5</v>
      </c>
      <c r="H90" s="536">
        <f>G90+'4'!H90</f>
        <v>21.099999999999909</v>
      </c>
      <c r="I90" s="733"/>
      <c r="J90" s="789">
        <f>H90/DAY(B2)</f>
        <v>4.219999999999982</v>
      </c>
      <c r="K90" s="815"/>
      <c r="L90" s="816"/>
      <c r="N90" s="860">
        <v>349</v>
      </c>
      <c r="O90" s="413"/>
    </row>
    <row r="91" spans="1:15" s="410" customFormat="1">
      <c r="A91" s="683" t="s">
        <v>216</v>
      </c>
      <c r="B91" s="1237"/>
      <c r="C91" s="1237"/>
      <c r="D91" s="548"/>
      <c r="E91" s="548"/>
      <c r="F91" s="1183"/>
      <c r="G91" s="564"/>
      <c r="H91" s="548"/>
      <c r="I91" s="548"/>
      <c r="J91" s="628"/>
      <c r="K91" s="411"/>
      <c r="L91" s="409"/>
      <c r="N91" s="413"/>
      <c r="O91" s="413"/>
    </row>
    <row r="92" spans="1:15" ht="27.75">
      <c r="A92" s="1406" t="s">
        <v>217</v>
      </c>
      <c r="B92" s="1407"/>
      <c r="C92" s="1408"/>
      <c r="D92" s="599" t="s">
        <v>155</v>
      </c>
      <c r="E92" s="560">
        <f>'4'!F92</f>
        <v>236922</v>
      </c>
      <c r="F92" s="1338">
        <v>237032</v>
      </c>
      <c r="G92" s="549">
        <f t="shared" ref="G92:G93" si="10">F92-E92</f>
        <v>110</v>
      </c>
      <c r="H92" s="536">
        <f>G92+'4'!H92</f>
        <v>462</v>
      </c>
      <c r="I92" s="556"/>
      <c r="J92" s="629">
        <f>H92/DAY(B2)</f>
        <v>92.4</v>
      </c>
      <c r="K92" s="468"/>
      <c r="L92" s="408"/>
      <c r="N92" s="413"/>
      <c r="O92" s="413"/>
    </row>
    <row r="93" spans="1:15" ht="27.75">
      <c r="A93" s="1406" t="s">
        <v>218</v>
      </c>
      <c r="B93" s="1407"/>
      <c r="C93" s="1408"/>
      <c r="D93" s="599" t="s">
        <v>155</v>
      </c>
      <c r="E93" s="560">
        <f>'4'!F93</f>
        <v>171817</v>
      </c>
      <c r="F93" s="1338">
        <v>171999</v>
      </c>
      <c r="G93" s="549">
        <f t="shared" si="10"/>
        <v>182</v>
      </c>
      <c r="H93" s="536">
        <f>G93+'4'!H93</f>
        <v>823</v>
      </c>
      <c r="I93" s="556"/>
      <c r="J93" s="629">
        <f>H93/DAY(B2)</f>
        <v>164.6</v>
      </c>
      <c r="K93" s="411"/>
      <c r="L93" s="408"/>
      <c r="N93" s="413"/>
      <c r="O93" s="413"/>
    </row>
    <row r="94" spans="1:15">
      <c r="A94" s="1434" t="s">
        <v>219</v>
      </c>
      <c r="B94" s="1435"/>
      <c r="C94" s="1436"/>
      <c r="D94" s="599"/>
      <c r="E94" s="560"/>
      <c r="F94" s="1338"/>
      <c r="G94" s="549">
        <f>G92+G93</f>
        <v>292</v>
      </c>
      <c r="H94" s="536">
        <f>G94+'4'!H94</f>
        <v>998</v>
      </c>
      <c r="I94" s="556"/>
      <c r="J94" s="629">
        <f>H94/DAY(B2)</f>
        <v>199.6</v>
      </c>
      <c r="K94" s="411"/>
      <c r="L94" s="408"/>
      <c r="N94" s="413"/>
      <c r="O94" s="413"/>
    </row>
    <row r="95" spans="1:15" ht="27.75">
      <c r="A95" s="1406" t="s">
        <v>220</v>
      </c>
      <c r="B95" s="1407"/>
      <c r="C95" s="1408"/>
      <c r="D95" s="599" t="s">
        <v>155</v>
      </c>
      <c r="E95" s="560">
        <f>'4'!F95</f>
        <v>406160</v>
      </c>
      <c r="F95" s="1338">
        <v>406215</v>
      </c>
      <c r="G95" s="549">
        <f t="shared" ref="G95:G100" si="11">F95-E95</f>
        <v>55</v>
      </c>
      <c r="H95" s="536">
        <f>G95+'4'!H95</f>
        <v>339</v>
      </c>
      <c r="I95" s="556"/>
      <c r="J95" s="629">
        <f>H95/DAY(B2)</f>
        <v>67.8</v>
      </c>
      <c r="K95" s="411"/>
      <c r="L95" s="408"/>
      <c r="N95" s="413"/>
      <c r="O95" s="413"/>
    </row>
    <row r="96" spans="1:15" ht="27.75">
      <c r="A96" s="1231" t="s">
        <v>221</v>
      </c>
      <c r="B96" s="1232"/>
      <c r="C96" s="1232"/>
      <c r="D96" s="599" t="s">
        <v>155</v>
      </c>
      <c r="E96" s="560">
        <f>'4'!F96</f>
        <v>100658</v>
      </c>
      <c r="F96" s="1338">
        <v>100681</v>
      </c>
      <c r="G96" s="549">
        <f t="shared" si="11"/>
        <v>23</v>
      </c>
      <c r="H96" s="536">
        <f>G96+'4'!H96</f>
        <v>147</v>
      </c>
      <c r="I96" s="556"/>
      <c r="J96" s="629">
        <f>H96/DAY(B2)</f>
        <v>29.4</v>
      </c>
      <c r="K96" s="466"/>
      <c r="L96" s="408"/>
      <c r="N96" s="413"/>
      <c r="O96" s="413"/>
    </row>
    <row r="97" spans="1:15" ht="27.75">
      <c r="A97" s="1231" t="s">
        <v>222</v>
      </c>
      <c r="B97" s="1232"/>
      <c r="C97" s="1232"/>
      <c r="D97" s="599" t="s">
        <v>155</v>
      </c>
      <c r="E97" s="560">
        <f>'4'!F97</f>
        <v>95787</v>
      </c>
      <c r="F97" s="1338">
        <v>95827</v>
      </c>
      <c r="G97" s="549">
        <f t="shared" si="11"/>
        <v>40</v>
      </c>
      <c r="H97" s="536">
        <f>G97+'4'!H97</f>
        <v>150</v>
      </c>
      <c r="I97" s="556"/>
      <c r="J97" s="629">
        <f>H97/DAY(B2)</f>
        <v>30</v>
      </c>
      <c r="K97" s="471"/>
      <c r="L97" s="408"/>
      <c r="N97" s="413"/>
      <c r="O97" s="413"/>
    </row>
    <row r="98" spans="1:15" ht="27.75">
      <c r="A98" s="1231" t="s">
        <v>223</v>
      </c>
      <c r="B98" s="1232"/>
      <c r="C98" s="1232"/>
      <c r="D98" s="599" t="s">
        <v>155</v>
      </c>
      <c r="E98" s="560">
        <f>'4'!F98</f>
        <v>145843</v>
      </c>
      <c r="F98" s="1338">
        <v>145883</v>
      </c>
      <c r="G98" s="549">
        <f t="shared" si="11"/>
        <v>40</v>
      </c>
      <c r="H98" s="536">
        <f>G98+'4'!H98</f>
        <v>329</v>
      </c>
      <c r="I98" s="556"/>
      <c r="J98" s="629">
        <f>H98/DAY(B2)</f>
        <v>65.8</v>
      </c>
      <c r="K98" s="411"/>
      <c r="L98" s="408"/>
      <c r="N98" s="785"/>
      <c r="O98" s="413"/>
    </row>
    <row r="99" spans="1:15" ht="27.75">
      <c r="A99" s="1231" t="s">
        <v>224</v>
      </c>
      <c r="B99" s="1232"/>
      <c r="C99" s="1232"/>
      <c r="D99" s="599" t="s">
        <v>155</v>
      </c>
      <c r="E99" s="560">
        <f>'4'!F99</f>
        <v>6015</v>
      </c>
      <c r="F99" s="1338">
        <v>6022</v>
      </c>
      <c r="G99" s="549">
        <f t="shared" si="11"/>
        <v>7</v>
      </c>
      <c r="H99" s="536">
        <f>G99+'4'!H99</f>
        <v>48</v>
      </c>
      <c r="I99" s="556"/>
      <c r="J99" s="629">
        <f>H99/DAY(B2)</f>
        <v>9.6</v>
      </c>
      <c r="K99" s="411"/>
      <c r="L99" s="408"/>
      <c r="N99" s="413"/>
      <c r="O99" s="413"/>
    </row>
    <row r="100" spans="1:15" ht="27.75">
      <c r="A100" s="1231" t="s">
        <v>225</v>
      </c>
      <c r="B100" s="1232"/>
      <c r="C100" s="1232"/>
      <c r="D100" s="599" t="s">
        <v>155</v>
      </c>
      <c r="E100" s="560">
        <f>'4'!F100</f>
        <v>4260</v>
      </c>
      <c r="F100" s="1338">
        <v>4266</v>
      </c>
      <c r="G100" s="549">
        <f t="shared" si="11"/>
        <v>6</v>
      </c>
      <c r="H100" s="536">
        <f>G100+'4'!H100</f>
        <v>29</v>
      </c>
      <c r="I100" s="556"/>
      <c r="J100" s="629">
        <f>H100/DAY(B2)</f>
        <v>5.8</v>
      </c>
      <c r="K100" s="411"/>
      <c r="L100" s="408"/>
      <c r="N100" s="413"/>
      <c r="O100" s="413"/>
    </row>
    <row r="101" spans="1:15">
      <c r="A101" s="1434" t="s">
        <v>227</v>
      </c>
      <c r="B101" s="1435"/>
      <c r="C101" s="1436"/>
      <c r="D101" s="600"/>
      <c r="E101" s="600"/>
      <c r="F101" s="1349"/>
      <c r="G101" s="601">
        <f>SUM(G95:G100)</f>
        <v>171</v>
      </c>
      <c r="H101" s="536">
        <f>G101+'4'!H101</f>
        <v>1042</v>
      </c>
      <c r="I101" s="602"/>
      <c r="J101" s="629">
        <f>H101/DAY(B2)</f>
        <v>208.4</v>
      </c>
      <c r="K101" s="411"/>
      <c r="L101" s="408"/>
      <c r="N101" s="413"/>
      <c r="O101" s="413"/>
    </row>
    <row r="102" spans="1:15" s="481" customFormat="1" ht="27">
      <c r="A102" s="684" t="s">
        <v>228</v>
      </c>
      <c r="B102" s="685"/>
      <c r="C102" s="685"/>
      <c r="D102" s="698"/>
      <c r="E102" s="604"/>
      <c r="F102" s="1355"/>
      <c r="G102" s="605"/>
      <c r="H102" s="606"/>
      <c r="I102" s="607"/>
      <c r="J102" s="634"/>
      <c r="N102" s="413"/>
      <c r="O102" s="413"/>
    </row>
    <row r="103" spans="1:15" s="481" customFormat="1" ht="27.75">
      <c r="A103" s="1437" t="s">
        <v>229</v>
      </c>
      <c r="B103" s="1438"/>
      <c r="C103" s="650"/>
      <c r="D103" s="699"/>
      <c r="E103" s="608"/>
      <c r="F103" s="1356"/>
      <c r="G103" s="608"/>
      <c r="H103" s="609"/>
      <c r="I103" s="608"/>
      <c r="J103" s="635"/>
      <c r="N103" s="413"/>
      <c r="O103" s="413"/>
    </row>
    <row r="104" spans="1:15" s="481" customFormat="1" ht="27.75">
      <c r="A104" s="1398" t="s">
        <v>230</v>
      </c>
      <c r="B104" s="1399"/>
      <c r="C104" s="1230"/>
      <c r="D104" s="699" t="s">
        <v>155</v>
      </c>
      <c r="E104" s="608">
        <f>'4'!E104</f>
        <v>7010</v>
      </c>
      <c r="F104" s="1356">
        <v>7010</v>
      </c>
      <c r="G104" s="608">
        <f>F104-E104</f>
        <v>0</v>
      </c>
      <c r="H104" s="536">
        <f>G104+'4'!H104</f>
        <v>0</v>
      </c>
      <c r="I104" s="608"/>
      <c r="J104" s="635">
        <f>H104/DAY(B2)</f>
        <v>0</v>
      </c>
      <c r="N104" s="413"/>
      <c r="O104" s="413"/>
    </row>
    <row r="105" spans="1:15" s="481" customFormat="1" ht="27.75">
      <c r="A105" s="1398" t="s">
        <v>77</v>
      </c>
      <c r="B105" s="1399"/>
      <c r="C105" s="1230"/>
      <c r="D105" s="699" t="s">
        <v>155</v>
      </c>
      <c r="E105" s="608">
        <f>'4'!E105</f>
        <v>35183</v>
      </c>
      <c r="F105" s="1362">
        <v>35197</v>
      </c>
      <c r="G105" s="608">
        <f t="shared" ref="G105:G106" si="12">F105-E105</f>
        <v>14</v>
      </c>
      <c r="H105" s="536">
        <f>G105+'4'!H105</f>
        <v>42</v>
      </c>
      <c r="I105" s="608"/>
      <c r="J105" s="635">
        <f>H105/DAY(B2)</f>
        <v>8.4</v>
      </c>
      <c r="N105" s="413"/>
      <c r="O105" s="413"/>
    </row>
    <row r="106" spans="1:15" s="481" customFormat="1" ht="27.75">
      <c r="A106" s="1398" t="s">
        <v>78</v>
      </c>
      <c r="B106" s="1439"/>
      <c r="C106" s="1399"/>
      <c r="D106" s="699" t="s">
        <v>155</v>
      </c>
      <c r="E106" s="608">
        <f>'4'!E106</f>
        <v>19097</v>
      </c>
      <c r="F106" s="1356">
        <v>19106</v>
      </c>
      <c r="G106" s="608">
        <f t="shared" si="12"/>
        <v>9</v>
      </c>
      <c r="H106" s="536">
        <f>G106+'4'!H106</f>
        <v>32</v>
      </c>
      <c r="I106" s="608"/>
      <c r="J106" s="635">
        <f>H106/DAY(B2)</f>
        <v>6.4</v>
      </c>
      <c r="N106" s="413"/>
      <c r="O106" s="413"/>
    </row>
    <row r="107" spans="1:15" s="481" customFormat="1" ht="27.75">
      <c r="A107" s="1400" t="s">
        <v>213</v>
      </c>
      <c r="B107" s="1401"/>
      <c r="C107" s="1230"/>
      <c r="D107" s="699"/>
      <c r="E107" s="608">
        <f>'4'!E107</f>
        <v>0</v>
      </c>
      <c r="F107" s="1356"/>
      <c r="G107" s="608">
        <f>SUM(G104:G106)</f>
        <v>23</v>
      </c>
      <c r="H107" s="536">
        <f>G107+'4'!H107</f>
        <v>74</v>
      </c>
      <c r="I107" s="608"/>
      <c r="J107" s="635">
        <f>H107/DAY(B2)</f>
        <v>14.8</v>
      </c>
      <c r="N107" s="413"/>
      <c r="O107" s="413"/>
    </row>
    <row r="108" spans="1:15" s="481" customFormat="1" ht="27.75">
      <c r="A108" s="1404" t="s">
        <v>79</v>
      </c>
      <c r="B108" s="1405"/>
      <c r="C108" s="1230"/>
      <c r="D108" s="699" t="s">
        <v>155</v>
      </c>
      <c r="E108" s="608">
        <f>'4'!E108</f>
        <v>0</v>
      </c>
      <c r="F108" s="1356"/>
      <c r="G108" s="608"/>
      <c r="H108" s="536" t="e">
        <f>G108+'4'!H108</f>
        <v>#REF!</v>
      </c>
      <c r="I108" s="608"/>
      <c r="J108" s="635"/>
      <c r="N108" s="413"/>
      <c r="O108" s="413"/>
    </row>
    <row r="109" spans="1:15" s="481" customFormat="1" ht="27.75">
      <c r="A109" s="1398" t="s">
        <v>231</v>
      </c>
      <c r="B109" s="1399"/>
      <c r="C109" s="1230"/>
      <c r="D109" s="699" t="s">
        <v>155</v>
      </c>
      <c r="E109" s="608">
        <f>'4'!E109</f>
        <v>54834</v>
      </c>
      <c r="F109" s="1356">
        <v>54949</v>
      </c>
      <c r="G109" s="608">
        <f>F109-E109</f>
        <v>115</v>
      </c>
      <c r="H109" s="536">
        <f>G109+'4'!H109</f>
        <v>330</v>
      </c>
      <c r="I109" s="608"/>
      <c r="J109" s="635">
        <f>H109/DAY(B2)</f>
        <v>66</v>
      </c>
      <c r="N109" s="413"/>
    </row>
    <row r="110" spans="1:15" s="481" customFormat="1" ht="27.75">
      <c r="A110" s="1398" t="s">
        <v>232</v>
      </c>
      <c r="B110" s="1399"/>
      <c r="C110" s="1230"/>
      <c r="D110" s="699" t="s">
        <v>155</v>
      </c>
      <c r="E110" s="608">
        <f>'4'!E110</f>
        <v>28752</v>
      </c>
      <c r="F110" s="1356">
        <v>28831</v>
      </c>
      <c r="G110" s="608">
        <f t="shared" ref="G110:G111" si="13">F110-E110</f>
        <v>79</v>
      </c>
      <c r="H110" s="536">
        <f>G110+'4'!H110</f>
        <v>337</v>
      </c>
      <c r="I110" s="608"/>
      <c r="J110" s="635">
        <f>H110/DAY(B2)</f>
        <v>67.400000000000006</v>
      </c>
      <c r="N110" s="413"/>
    </row>
    <row r="111" spans="1:15" s="481" customFormat="1" ht="27.75">
      <c r="A111" s="1398" t="s">
        <v>233</v>
      </c>
      <c r="B111" s="1399"/>
      <c r="C111" s="1230"/>
      <c r="D111" s="699" t="s">
        <v>155</v>
      </c>
      <c r="E111" s="608">
        <f>'4'!E111</f>
        <v>3770</v>
      </c>
      <c r="F111" s="1356">
        <v>3770</v>
      </c>
      <c r="G111" s="608">
        <f t="shared" si="13"/>
        <v>0</v>
      </c>
      <c r="H111" s="536">
        <f>G111+'4'!H111</f>
        <v>30</v>
      </c>
      <c r="I111" s="608"/>
      <c r="J111" s="635">
        <f>H111/DAY(B2)</f>
        <v>6</v>
      </c>
      <c r="N111" s="413"/>
    </row>
    <row r="112" spans="1:15" s="481" customFormat="1" ht="27.75">
      <c r="A112" s="1400" t="s">
        <v>121</v>
      </c>
      <c r="B112" s="1401"/>
      <c r="C112" s="1230"/>
      <c r="D112" s="699"/>
      <c r="E112" s="608">
        <f>'4'!E112</f>
        <v>0</v>
      </c>
      <c r="F112" s="1356"/>
      <c r="G112" s="608">
        <f>SUM(G109:G111)</f>
        <v>194</v>
      </c>
      <c r="H112" s="536">
        <f>G112+'4'!H112</f>
        <v>697</v>
      </c>
      <c r="I112" s="608"/>
      <c r="J112" s="635">
        <f>H112/DAY(B2)</f>
        <v>139.4</v>
      </c>
      <c r="N112" s="413"/>
    </row>
    <row r="113" spans="1:14" s="481" customFormat="1" ht="27.75">
      <c r="A113" s="1404" t="s">
        <v>234</v>
      </c>
      <c r="B113" s="1405"/>
      <c r="C113" s="1230"/>
      <c r="D113" s="699"/>
      <c r="E113" s="608">
        <f>'4'!E113</f>
        <v>0</v>
      </c>
      <c r="F113" s="1356"/>
      <c r="G113" s="608"/>
      <c r="H113" s="536">
        <f>G113+'4'!H113</f>
        <v>0</v>
      </c>
      <c r="I113" s="608"/>
      <c r="J113" s="635">
        <f>H113/DAY(B2)</f>
        <v>0</v>
      </c>
      <c r="N113" s="413"/>
    </row>
    <row r="114" spans="1:14" s="481" customFormat="1" ht="27.75">
      <c r="A114" s="1398" t="s">
        <v>235</v>
      </c>
      <c r="B114" s="1399"/>
      <c r="C114" s="651"/>
      <c r="D114" s="699" t="s">
        <v>155</v>
      </c>
      <c r="E114" s="608">
        <f>'4'!E114</f>
        <v>9840</v>
      </c>
      <c r="F114" s="1357">
        <v>9861</v>
      </c>
      <c r="G114" s="610">
        <f>F114-E114</f>
        <v>21</v>
      </c>
      <c r="H114" s="536">
        <f>G114+'4'!H114</f>
        <v>74</v>
      </c>
      <c r="I114" s="608"/>
      <c r="J114" s="635">
        <f>H114/DAY(B2)</f>
        <v>14.8</v>
      </c>
      <c r="N114" s="413"/>
    </row>
    <row r="115" spans="1:14" s="481" customFormat="1" ht="27.75">
      <c r="A115" s="1398" t="s">
        <v>236</v>
      </c>
      <c r="B115" s="1399"/>
      <c r="C115" s="651"/>
      <c r="D115" s="699" t="s">
        <v>155</v>
      </c>
      <c r="E115" s="608">
        <f>'4'!E115</f>
        <v>7441</v>
      </c>
      <c r="F115" s="1357">
        <v>7452</v>
      </c>
      <c r="G115" s="610">
        <f t="shared" ref="G115:G116" si="14">F115-E115</f>
        <v>11</v>
      </c>
      <c r="H115" s="536">
        <f>G115+'4'!H115</f>
        <v>32</v>
      </c>
      <c r="I115" s="608"/>
      <c r="J115" s="635">
        <f>H115/DAY(B2)</f>
        <v>6.4</v>
      </c>
      <c r="N115" s="413"/>
    </row>
    <row r="116" spans="1:14" s="481" customFormat="1" ht="27.75">
      <c r="A116" s="1398" t="s">
        <v>237</v>
      </c>
      <c r="B116" s="1399"/>
      <c r="C116" s="651"/>
      <c r="D116" s="699" t="s">
        <v>155</v>
      </c>
      <c r="E116" s="610"/>
      <c r="F116" s="1357"/>
      <c r="G116" s="610">
        <f t="shared" si="14"/>
        <v>0</v>
      </c>
      <c r="H116" s="536">
        <f>G116+'4'!H116</f>
        <v>0</v>
      </c>
      <c r="I116" s="608"/>
      <c r="J116" s="635">
        <f>H116/DAY(B2)</f>
        <v>0</v>
      </c>
      <c r="N116" s="413"/>
    </row>
    <row r="117" spans="1:14" s="494" customFormat="1" ht="27.75">
      <c r="A117" s="1400" t="s">
        <v>213</v>
      </c>
      <c r="B117" s="1401"/>
      <c r="C117" s="651"/>
      <c r="D117" s="700"/>
      <c r="E117" s="610"/>
      <c r="F117" s="1357"/>
      <c r="G117" s="610">
        <f>SUM(G114:G116)</f>
        <v>32</v>
      </c>
      <c r="H117" s="536">
        <f>G117+'4'!H117</f>
        <v>106</v>
      </c>
      <c r="I117" s="610"/>
      <c r="J117" s="635">
        <f>H117/DAY(B2)</f>
        <v>21.2</v>
      </c>
      <c r="N117" s="413"/>
    </row>
    <row r="118" spans="1:14" s="495" customFormat="1" ht="27.75">
      <c r="A118" s="1394" t="s">
        <v>238</v>
      </c>
      <c r="B118" s="1395"/>
      <c r="C118" s="1228"/>
      <c r="D118" s="701" t="s">
        <v>155</v>
      </c>
      <c r="E118" s="612"/>
      <c r="F118" s="1358">
        <f>SUM(G19+G92)</f>
        <v>151</v>
      </c>
      <c r="G118" s="612">
        <f>SUM(G19+G92)</f>
        <v>151</v>
      </c>
      <c r="H118" s="536">
        <f>G118+'4'!H118</f>
        <v>706</v>
      </c>
      <c r="I118" s="611"/>
      <c r="J118" s="636">
        <f>H118/DAY(B2)</f>
        <v>141.19999999999999</v>
      </c>
      <c r="N118" s="413"/>
    </row>
    <row r="119" spans="1:14" s="495" customFormat="1" ht="27.75">
      <c r="A119" s="1394" t="s">
        <v>239</v>
      </c>
      <c r="B119" s="1395"/>
      <c r="C119" s="1228"/>
      <c r="D119" s="701" t="s">
        <v>155</v>
      </c>
      <c r="E119" s="612"/>
      <c r="F119" s="1358">
        <f>SUM(G95,G96,G97,G99,G100)</f>
        <v>131</v>
      </c>
      <c r="G119" s="612">
        <f>SUM(G95,G96,G97,G99,G100)</f>
        <v>131</v>
      </c>
      <c r="H119" s="536">
        <f>G119+'4'!H119</f>
        <v>713</v>
      </c>
      <c r="I119" s="611"/>
      <c r="J119" s="636">
        <f>H119/DAY(B2)</f>
        <v>142.6</v>
      </c>
      <c r="N119" s="413"/>
    </row>
    <row r="120" spans="1:14" s="495" customFormat="1" ht="27.75">
      <c r="A120" s="1394" t="s">
        <v>240</v>
      </c>
      <c r="B120" s="1395"/>
      <c r="C120" s="1228"/>
      <c r="D120" s="701" t="s">
        <v>155</v>
      </c>
      <c r="E120" s="610"/>
      <c r="F120" s="1357">
        <f>SUM(G112)</f>
        <v>194</v>
      </c>
      <c r="G120" s="610">
        <f>SUM(G112)</f>
        <v>194</v>
      </c>
      <c r="H120" s="536">
        <f>G120+'4'!H120</f>
        <v>697</v>
      </c>
      <c r="I120" s="611"/>
      <c r="J120" s="636">
        <f>H120/DAY(B2)</f>
        <v>139.4</v>
      </c>
      <c r="N120" s="413"/>
    </row>
    <row r="121" spans="1:14" s="481" customFormat="1" ht="27.75">
      <c r="A121" s="1396"/>
      <c r="B121" s="1397"/>
      <c r="C121" s="1229"/>
      <c r="D121" s="637"/>
      <c r="E121" s="637"/>
      <c r="F121" s="1359" t="s">
        <v>226</v>
      </c>
      <c r="G121" s="637"/>
      <c r="H121" s="536">
        <f>G121+'4'!H121</f>
        <v>0</v>
      </c>
      <c r="I121" s="637"/>
      <c r="J121" s="639"/>
      <c r="N121" s="413"/>
    </row>
    <row r="122" spans="1:14">
      <c r="A122" s="1431" t="s">
        <v>241</v>
      </c>
      <c r="B122" s="1432"/>
      <c r="C122" s="1433"/>
      <c r="D122" s="548"/>
      <c r="E122" s="548"/>
      <c r="F122" s="1183"/>
      <c r="G122" s="559"/>
      <c r="H122" s="559"/>
      <c r="I122" s="559"/>
      <c r="J122" s="640"/>
      <c r="K122" s="411"/>
      <c r="L122" s="408"/>
      <c r="N122" s="413"/>
    </row>
    <row r="123" spans="1:14" ht="27.75">
      <c r="A123" s="1231" t="s">
        <v>242</v>
      </c>
      <c r="B123" s="1232"/>
      <c r="C123" s="1232"/>
      <c r="D123" s="599" t="s">
        <v>152</v>
      </c>
      <c r="E123" s="554">
        <f>'4'!F123</f>
        <v>804404</v>
      </c>
      <c r="F123" s="1338">
        <v>804673</v>
      </c>
      <c r="G123" s="549">
        <f t="shared" ref="G123:G127" si="15">F123-E123</f>
        <v>269</v>
      </c>
      <c r="H123" s="536">
        <f>G123+'4'!H123</f>
        <v>1337.5999999999767</v>
      </c>
      <c r="I123" s="602"/>
      <c r="J123" s="629">
        <f>H123/DAY(B2)</f>
        <v>267.51999999999532</v>
      </c>
      <c r="K123" s="411"/>
      <c r="L123" s="408"/>
      <c r="N123" s="413"/>
    </row>
    <row r="124" spans="1:14" ht="27.75">
      <c r="A124" s="1231" t="s">
        <v>243</v>
      </c>
      <c r="B124" s="1232"/>
      <c r="C124" s="1232"/>
      <c r="D124" s="599" t="s">
        <v>152</v>
      </c>
      <c r="E124" s="703">
        <f>'4'!F124</f>
        <v>73582</v>
      </c>
      <c r="F124" s="1360">
        <v>73582</v>
      </c>
      <c r="G124" s="549">
        <f t="shared" si="15"/>
        <v>0</v>
      </c>
      <c r="H124" s="536">
        <f>G124+'4'!H124</f>
        <v>0</v>
      </c>
      <c r="I124" s="602"/>
      <c r="J124" s="629">
        <f>H124/DAY(B2)</f>
        <v>0</v>
      </c>
      <c r="K124" s="411"/>
      <c r="L124" s="408"/>
      <c r="N124" s="413"/>
    </row>
    <row r="125" spans="1:14" ht="27.75">
      <c r="A125" s="1385" t="s">
        <v>244</v>
      </c>
      <c r="B125" s="1386"/>
      <c r="C125" s="1387"/>
      <c r="D125" s="599" t="s">
        <v>152</v>
      </c>
      <c r="E125" s="554">
        <f>'4'!F125</f>
        <v>138120</v>
      </c>
      <c r="F125" s="1338">
        <v>138197</v>
      </c>
      <c r="G125" s="549">
        <f t="shared" si="15"/>
        <v>77</v>
      </c>
      <c r="H125" s="536">
        <f>G125+'4'!H125</f>
        <v>349</v>
      </c>
      <c r="I125" s="602"/>
      <c r="J125" s="629">
        <f>H125/DAY(B2)</f>
        <v>69.8</v>
      </c>
      <c r="K125" s="411"/>
      <c r="L125" s="408"/>
      <c r="N125" s="413"/>
    </row>
    <row r="126" spans="1:14" ht="27.75">
      <c r="A126" s="686" t="s">
        <v>245</v>
      </c>
      <c r="B126" s="1232"/>
      <c r="C126" s="1232"/>
      <c r="D126" s="599" t="s">
        <v>152</v>
      </c>
      <c r="E126" s="703">
        <f>'4'!F126</f>
        <v>58561</v>
      </c>
      <c r="F126" s="1360">
        <v>58591</v>
      </c>
      <c r="G126" s="549">
        <f t="shared" si="15"/>
        <v>30</v>
      </c>
      <c r="H126" s="536">
        <f>G126+'4'!H126</f>
        <v>199.30000000000291</v>
      </c>
      <c r="I126" s="602"/>
      <c r="J126" s="629">
        <f>H126/DAY(B2)</f>
        <v>39.860000000000582</v>
      </c>
      <c r="K126" s="411"/>
      <c r="L126" s="408"/>
      <c r="N126" s="413"/>
    </row>
    <row r="127" spans="1:14" ht="27.75">
      <c r="A127" s="686" t="s">
        <v>246</v>
      </c>
      <c r="B127" s="1232"/>
      <c r="C127" s="1232"/>
      <c r="D127" s="599" t="s">
        <v>152</v>
      </c>
      <c r="E127" s="703">
        <f>'4'!F127</f>
        <v>8824</v>
      </c>
      <c r="F127" s="1360">
        <v>8829</v>
      </c>
      <c r="G127" s="549">
        <f t="shared" si="15"/>
        <v>5</v>
      </c>
      <c r="H127" s="536">
        <f>G127+'4'!H127</f>
        <v>13</v>
      </c>
      <c r="I127" s="556"/>
      <c r="J127" s="629">
        <f>H127/DAY(B2)</f>
        <v>2.6</v>
      </c>
      <c r="K127" s="411"/>
      <c r="L127" s="408"/>
      <c r="N127" s="413"/>
    </row>
    <row r="128" spans="1:14" s="281" customFormat="1" ht="27.75">
      <c r="A128" s="686" t="s">
        <v>247</v>
      </c>
      <c r="B128" s="1232"/>
      <c r="C128" s="1232"/>
      <c r="D128" s="599"/>
      <c r="E128" s="554"/>
      <c r="F128" s="1338"/>
      <c r="G128" s="549">
        <f>G15-SUM(G123:G127)</f>
        <v>397</v>
      </c>
      <c r="H128" s="536">
        <f>G128+'4'!H128</f>
        <v>2206.9500000001135</v>
      </c>
      <c r="I128" s="556"/>
      <c r="J128" s="629">
        <f>H128/DAY(B2)</f>
        <v>441.39000000002272</v>
      </c>
      <c r="K128" s="391"/>
      <c r="L128" s="293"/>
      <c r="N128" s="413"/>
    </row>
    <row r="129" spans="1:14">
      <c r="A129" s="687" t="s">
        <v>248</v>
      </c>
      <c r="B129" s="534"/>
      <c r="C129" s="534"/>
      <c r="D129" s="547"/>
      <c r="E129" s="547"/>
      <c r="F129" s="1334"/>
      <c r="G129" s="617"/>
      <c r="H129" s="617"/>
      <c r="I129" s="617"/>
      <c r="J129" s="641"/>
      <c r="N129" s="413"/>
    </row>
    <row r="130" spans="1:14" ht="27.75">
      <c r="A130" s="1231" t="s">
        <v>249</v>
      </c>
      <c r="B130" s="1232"/>
      <c r="C130" s="1232"/>
      <c r="D130" s="599" t="s">
        <v>250</v>
      </c>
      <c r="E130" s="560">
        <f>'4'!F130</f>
        <v>0</v>
      </c>
      <c r="F130" s="1338">
        <v>0</v>
      </c>
      <c r="G130" s="549">
        <f t="shared" ref="G130:G140" si="16">F130-E130</f>
        <v>0</v>
      </c>
      <c r="H130" s="536">
        <f>G130+'4'!H130</f>
        <v>0</v>
      </c>
      <c r="I130" s="556"/>
      <c r="J130" s="629">
        <f>H130/DAY(B2)</f>
        <v>0</v>
      </c>
      <c r="N130" s="413"/>
    </row>
    <row r="131" spans="1:14" ht="27.75">
      <c r="A131" s="1231" t="s">
        <v>251</v>
      </c>
      <c r="B131" s="1232"/>
      <c r="C131" s="1232"/>
      <c r="D131" s="599" t="s">
        <v>250</v>
      </c>
      <c r="E131" s="560">
        <f>'4'!F131</f>
        <v>0</v>
      </c>
      <c r="F131" s="1338">
        <v>0</v>
      </c>
      <c r="G131" s="549">
        <f t="shared" si="16"/>
        <v>0</v>
      </c>
      <c r="H131" s="536">
        <f>G131+'4'!H131</f>
        <v>0</v>
      </c>
      <c r="I131" s="556"/>
      <c r="J131" s="629">
        <f>H131/DAY(B2)</f>
        <v>0</v>
      </c>
      <c r="N131" s="413"/>
    </row>
    <row r="132" spans="1:14" ht="27.75">
      <c r="A132" s="1231" t="s">
        <v>252</v>
      </c>
      <c r="B132" s="1232"/>
      <c r="C132" s="1232"/>
      <c r="D132" s="599" t="s">
        <v>250</v>
      </c>
      <c r="E132" s="618">
        <f>'4'!F132</f>
        <v>39188</v>
      </c>
      <c r="F132" s="1339">
        <v>39188</v>
      </c>
      <c r="G132" s="549">
        <f t="shared" si="16"/>
        <v>0</v>
      </c>
      <c r="H132" s="536">
        <f>G132+'4'!H132</f>
        <v>83.559999999997672</v>
      </c>
      <c r="I132" s="556"/>
      <c r="J132" s="629">
        <f>H132/DAY(B2)</f>
        <v>16.711999999999534</v>
      </c>
      <c r="N132" s="413"/>
    </row>
    <row r="133" spans="1:14" ht="27.75">
      <c r="A133" s="1231" t="s">
        <v>253</v>
      </c>
      <c r="B133" s="1232"/>
      <c r="C133" s="1232"/>
      <c r="D133" s="599" t="s">
        <v>250</v>
      </c>
      <c r="E133" s="782">
        <f>'4'!F133</f>
        <v>299</v>
      </c>
      <c r="F133" s="1360">
        <v>299</v>
      </c>
      <c r="G133" s="549">
        <f t="shared" si="16"/>
        <v>0</v>
      </c>
      <c r="H133" s="536">
        <f>G133+'4'!H133</f>
        <v>0</v>
      </c>
      <c r="I133" s="556">
        <f>G130+G131+G132+G133</f>
        <v>0</v>
      </c>
      <c r="J133" s="629">
        <f>H133/DAY(B2)</f>
        <v>0</v>
      </c>
      <c r="N133" s="413"/>
    </row>
    <row r="134" spans="1:14" ht="27.75">
      <c r="A134" s="1231" t="s">
        <v>254</v>
      </c>
      <c r="B134" s="1232"/>
      <c r="C134" s="1232"/>
      <c r="D134" s="599" t="s">
        <v>250</v>
      </c>
      <c r="E134" s="782">
        <f>'4'!F134</f>
        <v>39963</v>
      </c>
      <c r="F134" s="1360">
        <v>39987</v>
      </c>
      <c r="G134" s="549">
        <f t="shared" si="16"/>
        <v>24</v>
      </c>
      <c r="H134" s="536">
        <f>G134+'4'!H134</f>
        <v>36</v>
      </c>
      <c r="I134" s="556"/>
      <c r="J134" s="629">
        <f>H134/DAY(B2)</f>
        <v>7.2</v>
      </c>
      <c r="N134" s="413"/>
    </row>
    <row r="135" spans="1:14" ht="27.75">
      <c r="A135" s="1231" t="s">
        <v>255</v>
      </c>
      <c r="B135" s="1232"/>
      <c r="C135" s="1232"/>
      <c r="D135" s="599" t="s">
        <v>250</v>
      </c>
      <c r="E135" s="782">
        <f>'4'!F135</f>
        <v>32423</v>
      </c>
      <c r="F135" s="1360">
        <v>32423</v>
      </c>
      <c r="G135" s="549">
        <f t="shared" si="16"/>
        <v>0</v>
      </c>
      <c r="H135" s="536">
        <f>G135+'4'!H135</f>
        <v>0</v>
      </c>
      <c r="I135" s="556"/>
      <c r="J135" s="629">
        <f>H135/DAY(B2)</f>
        <v>0</v>
      </c>
      <c r="N135" s="413"/>
    </row>
    <row r="136" spans="1:14" ht="27.75">
      <c r="A136" s="1231" t="s">
        <v>256</v>
      </c>
      <c r="B136" s="1232"/>
      <c r="C136" s="1232"/>
      <c r="D136" s="599" t="s">
        <v>250</v>
      </c>
      <c r="E136" s="618">
        <f>'4'!F136</f>
        <v>22027.23</v>
      </c>
      <c r="F136" s="1339">
        <v>22033.22</v>
      </c>
      <c r="G136" s="549">
        <f t="shared" si="16"/>
        <v>5.9900000000016007</v>
      </c>
      <c r="H136" s="536">
        <f>G136+'4'!H136</f>
        <v>31.260000000002037</v>
      </c>
      <c r="I136" s="556">
        <f>G136+G137+G138</f>
        <v>6.6000000000021828</v>
      </c>
      <c r="J136" s="629">
        <f>H136/DAY(B2)</f>
        <v>6.2520000000004075</v>
      </c>
      <c r="N136" s="413"/>
    </row>
    <row r="137" spans="1:14" ht="27.75">
      <c r="A137" s="1231" t="s">
        <v>257</v>
      </c>
      <c r="B137" s="1232"/>
      <c r="C137" s="1232"/>
      <c r="D137" s="599" t="s">
        <v>250</v>
      </c>
      <c r="E137" s="618">
        <f>'4'!F137</f>
        <v>25027.17</v>
      </c>
      <c r="F137" s="1339">
        <v>25027.78</v>
      </c>
      <c r="G137" s="549">
        <f t="shared" si="16"/>
        <v>0.61000000000058208</v>
      </c>
      <c r="H137" s="536">
        <f>G137+'4'!H137</f>
        <v>7.8400000000001455</v>
      </c>
      <c r="I137" s="556"/>
      <c r="J137" s="629">
        <f>H137/DAY(B2)</f>
        <v>1.5680000000000291</v>
      </c>
      <c r="N137" s="413"/>
    </row>
    <row r="138" spans="1:14" ht="27.75">
      <c r="A138" s="1231" t="s">
        <v>258</v>
      </c>
      <c r="B138" s="1232"/>
      <c r="C138" s="1232"/>
      <c r="D138" s="599" t="s">
        <v>250</v>
      </c>
      <c r="E138" s="618">
        <f>'4'!F138</f>
        <v>70063.89</v>
      </c>
      <c r="F138" s="1339">
        <v>70063.89</v>
      </c>
      <c r="G138" s="549">
        <f t="shared" si="16"/>
        <v>0</v>
      </c>
      <c r="H138" s="536">
        <f>G138+'4'!H138</f>
        <v>0</v>
      </c>
      <c r="I138" s="556"/>
      <c r="J138" s="629">
        <f>H138/DAY(B2)</f>
        <v>0</v>
      </c>
      <c r="N138" s="413"/>
    </row>
    <row r="139" spans="1:14" ht="27.75">
      <c r="A139" s="1231" t="s">
        <v>259</v>
      </c>
      <c r="B139" s="1232"/>
      <c r="C139" s="1232"/>
      <c r="D139" s="599" t="s">
        <v>250</v>
      </c>
      <c r="E139" s="782">
        <f>'4'!F139</f>
        <v>1232</v>
      </c>
      <c r="F139" s="1360">
        <v>1239.3800000000001</v>
      </c>
      <c r="G139" s="549">
        <f t="shared" si="16"/>
        <v>7.3800000000001091</v>
      </c>
      <c r="H139" s="536">
        <f>G139+'4'!H139</f>
        <v>38.790000000000191</v>
      </c>
      <c r="I139" s="619">
        <f>G139+G140</f>
        <v>7.3800000000001091</v>
      </c>
      <c r="J139" s="629">
        <f>H139/DAY(B2)</f>
        <v>7.7580000000000382</v>
      </c>
      <c r="N139" s="413"/>
    </row>
    <row r="140" spans="1:14" ht="27.75">
      <c r="A140" s="1231" t="s">
        <v>260</v>
      </c>
      <c r="B140" s="1232"/>
      <c r="C140" s="1232"/>
      <c r="D140" s="599" t="s">
        <v>250</v>
      </c>
      <c r="E140" s="560">
        <f>'4'!F140</f>
        <v>4334</v>
      </c>
      <c r="F140" s="1338">
        <v>4334</v>
      </c>
      <c r="G140" s="549">
        <f t="shared" si="16"/>
        <v>0</v>
      </c>
      <c r="H140" s="536">
        <f>G140+'4'!H140</f>
        <v>0</v>
      </c>
      <c r="I140" s="619"/>
      <c r="J140" s="629">
        <f>H140/DAY(B2)</f>
        <v>0</v>
      </c>
      <c r="N140" s="413"/>
    </row>
    <row r="141" spans="1:14">
      <c r="A141" s="1412" t="s">
        <v>261</v>
      </c>
      <c r="B141" s="1413"/>
      <c r="C141" s="1237"/>
      <c r="D141" s="548"/>
      <c r="E141" s="548"/>
      <c r="F141" s="1183"/>
      <c r="G141" s="559"/>
      <c r="H141" s="559"/>
      <c r="I141" s="559"/>
      <c r="J141" s="640"/>
      <c r="K141" s="411"/>
      <c r="L141" s="408"/>
      <c r="N141" s="413"/>
    </row>
    <row r="142" spans="1:14" ht="27.75">
      <c r="A142" s="1406" t="s">
        <v>262</v>
      </c>
      <c r="B142" s="1407"/>
      <c r="C142" s="1408"/>
      <c r="D142" s="599" t="s">
        <v>143</v>
      </c>
      <c r="E142" s="599"/>
      <c r="F142" s="1186"/>
      <c r="G142" s="536">
        <f>G35+G43+G49+G57</f>
        <v>4914</v>
      </c>
      <c r="H142" s="536">
        <f>G142+'4'!H142</f>
        <v>25235.369999999937</v>
      </c>
      <c r="I142" s="556"/>
      <c r="J142" s="629">
        <f>H142/DAY(B2)</f>
        <v>5047.0739999999878</v>
      </c>
      <c r="K142" s="411"/>
      <c r="L142" s="408"/>
      <c r="N142" s="413"/>
    </row>
    <row r="143" spans="1:14" ht="27.75">
      <c r="A143" s="1406" t="s">
        <v>263</v>
      </c>
      <c r="B143" s="1407"/>
      <c r="C143" s="1408"/>
      <c r="D143" s="599" t="s">
        <v>24</v>
      </c>
      <c r="E143" s="587"/>
      <c r="F143" s="1333"/>
      <c r="G143" s="620">
        <f>G142/G7</f>
        <v>0.26527747786655148</v>
      </c>
      <c r="H143" s="536">
        <f>G143+'4'!H143</f>
        <v>1.1320644365202832</v>
      </c>
      <c r="I143" s="621"/>
      <c r="J143" s="629">
        <f>H143/DAY(B2)</f>
        <v>0.22641288730405665</v>
      </c>
      <c r="K143" s="411"/>
      <c r="L143" s="408"/>
      <c r="N143" s="413"/>
    </row>
    <row r="144" spans="1:14" ht="27.75">
      <c r="A144" s="1406" t="s">
        <v>264</v>
      </c>
      <c r="B144" s="1407"/>
      <c r="C144" s="1408"/>
      <c r="D144" s="599" t="s">
        <v>143</v>
      </c>
      <c r="E144" s="531"/>
      <c r="F144" s="1341"/>
      <c r="G144" s="536">
        <f>G41+G42+G55+G56</f>
        <v>3652</v>
      </c>
      <c r="H144" s="536">
        <f>G144+'4'!H144</f>
        <v>19934.989999999969</v>
      </c>
      <c r="I144" s="556"/>
      <c r="J144" s="629">
        <f>H144/DAY(B2)</f>
        <v>3986.9979999999937</v>
      </c>
      <c r="K144" s="411"/>
      <c r="L144" s="408"/>
      <c r="N144" s="413"/>
    </row>
    <row r="145" spans="1:14" ht="27.75">
      <c r="A145" s="1406" t="s">
        <v>265</v>
      </c>
      <c r="B145" s="1407"/>
      <c r="C145" s="1408"/>
      <c r="D145" s="599" t="s">
        <v>24</v>
      </c>
      <c r="E145" s="531"/>
      <c r="F145" s="1341"/>
      <c r="G145" s="620">
        <f>G144/G7</f>
        <v>0.19714964370546317</v>
      </c>
      <c r="H145" s="536">
        <f>G145+'4'!H145</f>
        <v>1.0503421467589604</v>
      </c>
      <c r="I145" s="621"/>
      <c r="J145" s="629">
        <f>H145/DAY(B2)</f>
        <v>0.2100684293517921</v>
      </c>
      <c r="K145" s="411"/>
      <c r="L145" s="408"/>
      <c r="N145" s="413"/>
    </row>
    <row r="146" spans="1:14" ht="27.75">
      <c r="A146" s="1406" t="s">
        <v>266</v>
      </c>
      <c r="B146" s="1407"/>
      <c r="C146" s="1408"/>
      <c r="D146" s="599" t="s">
        <v>143</v>
      </c>
      <c r="E146" s="531"/>
      <c r="F146" s="1341"/>
      <c r="G146" s="536">
        <f>G39+G53</f>
        <v>4228</v>
      </c>
      <c r="H146" s="536">
        <f>G146+'4'!H146</f>
        <v>20907.729999999981</v>
      </c>
      <c r="I146" s="622"/>
      <c r="J146" s="629">
        <f>H146/DAY(B2)</f>
        <v>4181.5459999999966</v>
      </c>
      <c r="K146" s="411"/>
      <c r="L146" s="408"/>
      <c r="N146" s="413"/>
    </row>
    <row r="147" spans="1:14" ht="27.75">
      <c r="A147" s="1406" t="s">
        <v>267</v>
      </c>
      <c r="B147" s="1407"/>
      <c r="C147" s="1408"/>
      <c r="D147" s="599" t="s">
        <v>24</v>
      </c>
      <c r="E147" s="531"/>
      <c r="F147" s="1341"/>
      <c r="G147" s="620">
        <f>G146/G7</f>
        <v>0.22824443964586483</v>
      </c>
      <c r="H147" s="536">
        <f>G147+'4'!H147</f>
        <v>1.1031744557281855</v>
      </c>
      <c r="I147" s="622"/>
      <c r="J147" s="629">
        <f>H147/DAY(B2)</f>
        <v>0.22063489114563711</v>
      </c>
      <c r="N147" s="413"/>
    </row>
    <row r="148" spans="1:14" ht="27.75">
      <c r="A148" s="1406" t="s">
        <v>268</v>
      </c>
      <c r="B148" s="1407"/>
      <c r="C148" s="1408"/>
      <c r="D148" s="599" t="s">
        <v>194</v>
      </c>
      <c r="E148" s="531"/>
      <c r="F148" s="1341"/>
      <c r="G148" s="536">
        <f>G38+G52</f>
        <v>2075</v>
      </c>
      <c r="H148" s="536">
        <f>G148+'4'!H148</f>
        <v>9972.4500000000153</v>
      </c>
      <c r="I148" s="556"/>
      <c r="J148" s="629">
        <f>H148/DAY(B2)</f>
        <v>1994.490000000003</v>
      </c>
      <c r="K148" s="412"/>
      <c r="N148" s="413"/>
    </row>
    <row r="149" spans="1:14" ht="27.75">
      <c r="A149" s="1406" t="s">
        <v>269</v>
      </c>
      <c r="B149" s="1407"/>
      <c r="C149" s="1408"/>
      <c r="D149" s="599" t="s">
        <v>24</v>
      </c>
      <c r="E149" s="531"/>
      <c r="F149" s="1341"/>
      <c r="G149" s="620">
        <f>G148/G7</f>
        <v>0.11201684301446772</v>
      </c>
      <c r="H149" s="536">
        <f>G149+'4'!H149</f>
        <v>0.52612243007238779</v>
      </c>
      <c r="I149" s="622"/>
      <c r="J149" s="629">
        <f>H149/DAY(B2)</f>
        <v>0.10522448601447756</v>
      </c>
      <c r="N149" s="413"/>
    </row>
    <row r="150" spans="1:14" ht="27.75">
      <c r="A150" s="1406" t="s">
        <v>270</v>
      </c>
      <c r="B150" s="1407"/>
      <c r="C150" s="1408"/>
      <c r="D150" s="599" t="s">
        <v>194</v>
      </c>
      <c r="E150" s="531"/>
      <c r="F150" s="1341"/>
      <c r="G150" s="536">
        <f>G36+G50</f>
        <v>1669</v>
      </c>
      <c r="H150" s="536">
        <f>G150+'4'!H150</f>
        <v>8752.2399999999907</v>
      </c>
      <c r="I150" s="622"/>
      <c r="J150" s="629">
        <f>H150/DAY(B2)</f>
        <v>1750.447999999998</v>
      </c>
      <c r="N150" s="413"/>
    </row>
    <row r="151" spans="1:14" ht="27.75">
      <c r="A151" s="1406" t="s">
        <v>271</v>
      </c>
      <c r="B151" s="1407"/>
      <c r="C151" s="1408"/>
      <c r="D151" s="599" t="s">
        <v>24</v>
      </c>
      <c r="E151" s="531"/>
      <c r="F151" s="1341"/>
      <c r="G151" s="620">
        <f>G150/G7</f>
        <v>9.0099330598142943E-2</v>
      </c>
      <c r="H151" s="536">
        <f>G151+'4'!H151</f>
        <v>0.46135063692839168</v>
      </c>
      <c r="I151" s="556"/>
      <c r="J151" s="629">
        <f>H151/DAY(B2)</f>
        <v>9.227012738567833E-2</v>
      </c>
      <c r="N151" s="413"/>
    </row>
    <row r="152" spans="1:14" ht="27.75">
      <c r="A152" s="1406" t="s">
        <v>272</v>
      </c>
      <c r="B152" s="1407"/>
      <c r="C152" s="1408"/>
      <c r="D152" s="599" t="s">
        <v>194</v>
      </c>
      <c r="E152" s="531"/>
      <c r="F152" s="1341"/>
      <c r="G152" s="536">
        <f>G37+G51</f>
        <v>1458</v>
      </c>
      <c r="H152" s="536">
        <f>G152+'4'!H152</f>
        <v>7378.2599999999948</v>
      </c>
      <c r="I152" s="556"/>
      <c r="J152" s="629">
        <f>H152/DAY(B2)</f>
        <v>1475.6519999999989</v>
      </c>
      <c r="N152" s="413"/>
    </row>
    <row r="153" spans="1:14" ht="28.5" thickBot="1">
      <c r="A153" s="1409" t="s">
        <v>273</v>
      </c>
      <c r="B153" s="1410"/>
      <c r="C153" s="1411"/>
      <c r="D153" s="702" t="s">
        <v>24</v>
      </c>
      <c r="E153" s="642"/>
      <c r="F153" s="1361"/>
      <c r="G153" s="643">
        <f>G152/G7</f>
        <v>7.8708702224141655E-2</v>
      </c>
      <c r="H153" s="536">
        <f>G153+'4'!H153</f>
        <v>0.38936714677575746</v>
      </c>
      <c r="I153" s="645"/>
      <c r="J153" s="646">
        <f>H153/DAY(B2)</f>
        <v>7.7873429355151486E-2</v>
      </c>
      <c r="N153" s="413"/>
    </row>
    <row r="154" spans="1:14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  <c r="N154" s="413"/>
    </row>
    <row r="157" spans="1:14" ht="27.75">
      <c r="A157" s="1440" t="s">
        <v>278</v>
      </c>
      <c r="B157" s="1441"/>
      <c r="C157" s="1441"/>
      <c r="D157" s="1441"/>
      <c r="E157" s="1441"/>
      <c r="F157" s="1441"/>
      <c r="G157" s="1442"/>
    </row>
    <row r="158" spans="1:14">
      <c r="A158" s="868"/>
      <c r="B158" s="869"/>
      <c r="C158" s="869"/>
      <c r="D158" s="587"/>
      <c r="E158" s="531"/>
      <c r="F158" s="739"/>
      <c r="G158" s="549"/>
    </row>
    <row r="159" spans="1:14">
      <c r="A159" s="868"/>
      <c r="B159" s="869"/>
      <c r="C159" s="869"/>
      <c r="D159" s="587"/>
      <c r="E159" s="531"/>
      <c r="F159" s="739"/>
      <c r="G159" s="549"/>
    </row>
    <row r="160" spans="1:14">
      <c r="A160" s="868" t="s">
        <v>274</v>
      </c>
      <c r="B160" s="869"/>
      <c r="C160" s="869"/>
      <c r="D160" s="587" t="s">
        <v>198</v>
      </c>
      <c r="E160" s="739">
        <v>28760</v>
      </c>
      <c r="F160" s="739">
        <v>28843</v>
      </c>
      <c r="G160" s="549">
        <f t="shared" ref="G160:G171" si="17">F160-E160</f>
        <v>83</v>
      </c>
    </row>
    <row r="161" spans="1:7">
      <c r="A161" s="868" t="s">
        <v>275</v>
      </c>
      <c r="B161" s="869"/>
      <c r="C161" s="869"/>
      <c r="D161" s="587" t="s">
        <v>198</v>
      </c>
      <c r="E161" s="739">
        <v>44539</v>
      </c>
      <c r="F161" s="739">
        <v>45035</v>
      </c>
      <c r="G161" s="549">
        <f t="shared" si="17"/>
        <v>496</v>
      </c>
    </row>
    <row r="162" spans="1:7">
      <c r="A162" s="868" t="s">
        <v>276</v>
      </c>
      <c r="B162" s="869"/>
      <c r="C162" s="869"/>
      <c r="D162" s="587" t="s">
        <v>198</v>
      </c>
      <c r="E162" s="739">
        <v>13657</v>
      </c>
      <c r="F162" s="739">
        <v>13891</v>
      </c>
      <c r="G162" s="549">
        <f t="shared" si="17"/>
        <v>234</v>
      </c>
    </row>
    <row r="163" spans="1:7">
      <c r="A163" s="868" t="s">
        <v>277</v>
      </c>
      <c r="B163" s="869"/>
      <c r="C163" s="869"/>
      <c r="D163" s="587" t="s">
        <v>198</v>
      </c>
      <c r="E163" s="739">
        <v>5067</v>
      </c>
      <c r="F163" s="739">
        <v>5083</v>
      </c>
      <c r="G163" s="549">
        <f t="shared" si="17"/>
        <v>16</v>
      </c>
    </row>
    <row r="164" spans="1:7">
      <c r="A164" s="870" t="s">
        <v>106</v>
      </c>
      <c r="B164" s="681"/>
      <c r="C164" s="681"/>
      <c r="D164" s="587" t="s">
        <v>198</v>
      </c>
      <c r="E164" s="590">
        <f>E62</f>
        <v>20419.187999999998</v>
      </c>
      <c r="F164" s="590">
        <f>F62</f>
        <v>20419</v>
      </c>
      <c r="G164" s="549">
        <f t="shared" si="17"/>
        <v>-0.18799999999828287</v>
      </c>
    </row>
    <row r="165" spans="1:7">
      <c r="A165" s="870" t="s">
        <v>199</v>
      </c>
      <c r="B165" s="681"/>
      <c r="C165" s="681"/>
      <c r="D165" s="587" t="s">
        <v>198</v>
      </c>
      <c r="E165" s="590">
        <f t="shared" ref="E165" si="18">E63</f>
        <v>1391</v>
      </c>
      <c r="F165" s="590">
        <f t="shared" ref="F165:F171" si="19">F63</f>
        <v>1406</v>
      </c>
      <c r="G165" s="549">
        <f t="shared" si="17"/>
        <v>15</v>
      </c>
    </row>
    <row r="166" spans="1:7" ht="27.75">
      <c r="A166" s="1381" t="s">
        <v>107</v>
      </c>
      <c r="B166" s="1381"/>
      <c r="C166" s="1381"/>
      <c r="D166" s="599" t="s">
        <v>198</v>
      </c>
      <c r="E166" s="590">
        <f t="shared" ref="E166" si="20">E64</f>
        <v>113002</v>
      </c>
      <c r="F166" s="590">
        <f t="shared" si="19"/>
        <v>113454</v>
      </c>
      <c r="G166" s="549">
        <f t="shared" si="17"/>
        <v>452</v>
      </c>
    </row>
    <row r="167" spans="1:7" ht="27.75">
      <c r="A167" s="1381" t="s">
        <v>108</v>
      </c>
      <c r="B167" s="1381"/>
      <c r="C167" s="1381"/>
      <c r="D167" s="599" t="s">
        <v>198</v>
      </c>
      <c r="E167" s="590">
        <f t="shared" ref="E167" si="21">E65</f>
        <v>123239</v>
      </c>
      <c r="F167" s="590">
        <f t="shared" si="19"/>
        <v>123609</v>
      </c>
      <c r="G167" s="549">
        <f t="shared" si="17"/>
        <v>370</v>
      </c>
    </row>
    <row r="168" spans="1:7" ht="27.75">
      <c r="A168" s="1381" t="s">
        <v>109</v>
      </c>
      <c r="B168" s="1381"/>
      <c r="C168" s="1381"/>
      <c r="D168" s="599" t="s">
        <v>198</v>
      </c>
      <c r="E168" s="590">
        <f t="shared" ref="E168" si="22">E66</f>
        <v>15769</v>
      </c>
      <c r="F168" s="590">
        <f t="shared" si="19"/>
        <v>16157</v>
      </c>
      <c r="G168" s="549">
        <f t="shared" si="17"/>
        <v>388</v>
      </c>
    </row>
    <row r="169" spans="1:7" ht="27.75">
      <c r="A169" s="1381" t="s">
        <v>110</v>
      </c>
      <c r="B169" s="1381"/>
      <c r="C169" s="1381"/>
      <c r="D169" s="599" t="s">
        <v>198</v>
      </c>
      <c r="E169" s="590">
        <f t="shared" ref="E169" si="23">E67</f>
        <v>191429</v>
      </c>
      <c r="F169" s="590">
        <f t="shared" si="19"/>
        <v>192139</v>
      </c>
      <c r="G169" s="549">
        <f t="shared" si="17"/>
        <v>710</v>
      </c>
    </row>
    <row r="170" spans="1:7" ht="27.75">
      <c r="A170" s="1381" t="s">
        <v>111</v>
      </c>
      <c r="B170" s="1381"/>
      <c r="C170" s="1381"/>
      <c r="D170" s="599" t="s">
        <v>198</v>
      </c>
      <c r="E170" s="590">
        <f t="shared" ref="E170" si="24">E68</f>
        <v>64643</v>
      </c>
      <c r="F170" s="590">
        <f t="shared" si="19"/>
        <v>64987</v>
      </c>
      <c r="G170" s="549">
        <f t="shared" si="17"/>
        <v>344</v>
      </c>
    </row>
    <row r="171" spans="1:7" ht="27.75">
      <c r="A171" s="1381" t="s">
        <v>112</v>
      </c>
      <c r="B171" s="1381"/>
      <c r="C171" s="1381"/>
      <c r="D171" s="599" t="s">
        <v>198</v>
      </c>
      <c r="E171" s="590">
        <f t="shared" ref="E171" si="25">E69</f>
        <v>56963</v>
      </c>
      <c r="F171" s="590">
        <f t="shared" si="19"/>
        <v>57260</v>
      </c>
      <c r="G171" s="549">
        <f t="shared" si="17"/>
        <v>297</v>
      </c>
    </row>
  </sheetData>
  <mergeCells count="75">
    <mergeCell ref="A170:C170"/>
    <mergeCell ref="A171:C171"/>
    <mergeCell ref="A157:G157"/>
    <mergeCell ref="A166:C166"/>
    <mergeCell ref="A167:C167"/>
    <mergeCell ref="A168:C168"/>
    <mergeCell ref="A169:C169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153:C153"/>
    <mergeCell ref="A101:C101"/>
    <mergeCell ref="A122:C122"/>
    <mergeCell ref="A125:C125"/>
    <mergeCell ref="A141:B141"/>
    <mergeCell ref="A152:C152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11:B111"/>
    <mergeCell ref="A112:B112"/>
    <mergeCell ref="A121:B121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06:C106"/>
    <mergeCell ref="A107:B107"/>
    <mergeCell ref="A108:B108"/>
    <mergeCell ref="A109:B109"/>
    <mergeCell ref="A110:B110"/>
    <mergeCell ref="A94:C94"/>
    <mergeCell ref="A95:C95"/>
    <mergeCell ref="A103:B103"/>
    <mergeCell ref="A104:B104"/>
    <mergeCell ref="A105:B105"/>
  </mergeCells>
  <pageMargins left="0.22" right="0.17" top="0.14000000000000001" bottom="0.2" header="0.2" footer="0.2"/>
  <pageSetup paperSize="5" scale="21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71"/>
  <sheetViews>
    <sheetView view="pageBreakPreview" zoomScale="55" zoomScaleSheetLayoutView="55" workbookViewId="0">
      <selection activeCell="F28" sqref="F28"/>
    </sheetView>
  </sheetViews>
  <sheetFormatPr defaultColWidth="22.33203125" defaultRowHeight="29.25"/>
  <cols>
    <col min="1" max="1" width="42.109375" style="530" customWidth="1"/>
    <col min="2" max="2" width="31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407" customWidth="1"/>
    <col min="15" max="16384" width="22.33203125" style="407"/>
  </cols>
  <sheetData>
    <row r="1" spans="1:17" ht="33.75">
      <c r="A1" s="1414" t="s">
        <v>128</v>
      </c>
      <c r="B1" s="1415"/>
      <c r="C1" s="1415"/>
      <c r="D1" s="1415"/>
      <c r="E1" s="1415"/>
      <c r="F1" s="1415"/>
      <c r="G1" s="1415"/>
      <c r="H1" s="1415"/>
      <c r="I1" s="1415"/>
      <c r="J1" s="1416"/>
    </row>
    <row r="2" spans="1:17" s="281" customFormat="1" ht="27">
      <c r="A2" s="652" t="s">
        <v>338</v>
      </c>
      <c r="B2" s="1118">
        <v>44233</v>
      </c>
      <c r="C2" s="1233" t="s">
        <v>69</v>
      </c>
      <c r="D2" s="688">
        <v>0.36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7" s="281" customFormat="1" ht="27">
      <c r="A3" s="647"/>
      <c r="B3" s="691"/>
      <c r="C3" s="1233" t="s">
        <v>131</v>
      </c>
      <c r="D3" s="689">
        <v>27</v>
      </c>
      <c r="E3" s="1423" t="s">
        <v>132</v>
      </c>
      <c r="F3" s="1424"/>
      <c r="G3" s="538"/>
      <c r="H3" s="539"/>
      <c r="I3" s="539"/>
      <c r="J3" s="692"/>
      <c r="K3" s="402"/>
      <c r="L3" s="293"/>
    </row>
    <row r="4" spans="1:17" s="281" customFormat="1" ht="27">
      <c r="A4" s="653"/>
      <c r="B4" s="693"/>
      <c r="C4" s="1233" t="s">
        <v>133</v>
      </c>
      <c r="D4" s="688">
        <v>0.75</v>
      </c>
      <c r="E4" s="540"/>
      <c r="F4" s="540"/>
      <c r="G4" s="540"/>
      <c r="H4" s="540"/>
      <c r="I4" s="541"/>
      <c r="J4" s="692"/>
      <c r="K4" s="403"/>
      <c r="L4" s="293"/>
    </row>
    <row r="5" spans="1:17">
      <c r="A5" s="654" t="s">
        <v>134</v>
      </c>
      <c r="B5" s="535"/>
      <c r="C5" s="535"/>
      <c r="D5" s="587"/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7">
      <c r="A6" s="1417" t="s">
        <v>141</v>
      </c>
      <c r="B6" s="1418"/>
      <c r="C6" s="1419"/>
      <c r="D6" s="547"/>
      <c r="E6" s="547"/>
      <c r="F6" s="547"/>
      <c r="G6" s="547"/>
      <c r="H6" s="548"/>
      <c r="I6" s="548"/>
      <c r="J6" s="628"/>
      <c r="K6" s="466"/>
      <c r="L6" s="408"/>
    </row>
    <row r="7" spans="1:17" ht="30" thickBot="1">
      <c r="A7" s="757" t="s">
        <v>142</v>
      </c>
      <c r="B7" s="758"/>
      <c r="C7" s="758"/>
      <c r="D7" s="715" t="s">
        <v>143</v>
      </c>
      <c r="E7" s="710">
        <f>'5'!F7</f>
        <v>3983020</v>
      </c>
      <c r="F7" s="531">
        <v>4002210</v>
      </c>
      <c r="G7" s="770">
        <f>F7-E7</f>
        <v>19190</v>
      </c>
      <c r="H7" s="760">
        <f>G7+'5'!H7</f>
        <v>114012</v>
      </c>
      <c r="I7" s="761">
        <f>'1'!I7</f>
        <v>12000</v>
      </c>
      <c r="J7" s="762">
        <f>H7/DAY(B2)</f>
        <v>19002</v>
      </c>
      <c r="K7" s="626"/>
      <c r="L7" s="408"/>
      <c r="N7" s="790"/>
    </row>
    <row r="8" spans="1:17" ht="27.75" thickBot="1">
      <c r="A8" s="763" t="s">
        <v>144</v>
      </c>
      <c r="B8" s="764"/>
      <c r="C8" s="765"/>
      <c r="D8" s="766" t="s">
        <v>25</v>
      </c>
      <c r="E8" s="710">
        <f>'5'!F8</f>
        <v>4008878</v>
      </c>
      <c r="F8" s="551">
        <v>4028160</v>
      </c>
      <c r="G8" s="770">
        <f t="shared" ref="G8:G12" si="0">F8-E8</f>
        <v>19282</v>
      </c>
      <c r="H8" s="760">
        <f>G8+'5'!H8</f>
        <v>115309</v>
      </c>
      <c r="I8" s="767">
        <v>12000</v>
      </c>
      <c r="J8" s="762">
        <f>H8/DAY(B2)</f>
        <v>19218.166666666668</v>
      </c>
      <c r="K8" s="626"/>
      <c r="L8" s="464"/>
      <c r="M8" s="479"/>
      <c r="N8" s="784"/>
      <c r="O8" s="413"/>
    </row>
    <row r="9" spans="1:17">
      <c r="A9" s="768" t="s">
        <v>145</v>
      </c>
      <c r="B9" s="769"/>
      <c r="C9" s="769"/>
      <c r="D9" s="715" t="s">
        <v>143</v>
      </c>
      <c r="E9" s="712">
        <f>'5'!F9</f>
        <v>22540</v>
      </c>
      <c r="F9" s="554">
        <v>23195</v>
      </c>
      <c r="G9" s="770">
        <f t="shared" si="0"/>
        <v>655</v>
      </c>
      <c r="H9" s="760">
        <f>G9+'5'!H9</f>
        <v>37085.5</v>
      </c>
      <c r="I9" s="771">
        <f>I8-J8</f>
        <v>-7218.1666666666679</v>
      </c>
      <c r="J9" s="762">
        <f>H9/DAY(B2)</f>
        <v>6180.916666666667</v>
      </c>
      <c r="K9" s="467"/>
      <c r="L9" s="408"/>
      <c r="N9" s="413"/>
      <c r="O9" s="479"/>
    </row>
    <row r="10" spans="1:17">
      <c r="A10" s="757" t="s">
        <v>146</v>
      </c>
      <c r="B10" s="758"/>
      <c r="C10" s="758"/>
      <c r="D10" s="715" t="s">
        <v>143</v>
      </c>
      <c r="E10" s="712">
        <f>'5'!F10</f>
        <v>1255235</v>
      </c>
      <c r="F10" s="554">
        <v>1273075</v>
      </c>
      <c r="G10" s="770">
        <f t="shared" si="0"/>
        <v>17840</v>
      </c>
      <c r="H10" s="760">
        <f>G10+'5'!H10</f>
        <v>72200.600000000093</v>
      </c>
      <c r="I10" s="772"/>
      <c r="J10" s="762">
        <f>H10/DAY(B2)</f>
        <v>12033.433333333349</v>
      </c>
      <c r="K10" s="467"/>
      <c r="L10" s="408"/>
      <c r="N10" s="413"/>
      <c r="O10" s="479"/>
      <c r="Q10" s="479"/>
    </row>
    <row r="11" spans="1:17">
      <c r="A11" s="757" t="s">
        <v>147</v>
      </c>
      <c r="B11" s="758"/>
      <c r="C11" s="758"/>
      <c r="D11" s="715" t="s">
        <v>143</v>
      </c>
      <c r="E11" s="710">
        <f>'5'!F11</f>
        <v>35540</v>
      </c>
      <c r="F11" s="531">
        <v>35540</v>
      </c>
      <c r="G11" s="770">
        <f t="shared" si="0"/>
        <v>0</v>
      </c>
      <c r="H11" s="760">
        <f>G11+'5'!H11</f>
        <v>150</v>
      </c>
      <c r="I11" s="772"/>
      <c r="J11" s="762">
        <f>H11/DAY(B2)</f>
        <v>25</v>
      </c>
      <c r="K11" s="467"/>
      <c r="L11" s="408"/>
      <c r="N11" s="413"/>
      <c r="O11" s="479"/>
      <c r="Q11" s="479"/>
    </row>
    <row r="12" spans="1:17">
      <c r="A12" s="757" t="s">
        <v>148</v>
      </c>
      <c r="B12" s="758"/>
      <c r="C12" s="758"/>
      <c r="D12" s="715" t="s">
        <v>143</v>
      </c>
      <c r="E12" s="712">
        <f>'5'!F12</f>
        <v>38010</v>
      </c>
      <c r="F12" s="554">
        <v>38010</v>
      </c>
      <c r="G12" s="770">
        <f t="shared" si="0"/>
        <v>0</v>
      </c>
      <c r="H12" s="760">
        <f>G12+'5'!H12</f>
        <v>380</v>
      </c>
      <c r="I12" s="772"/>
      <c r="J12" s="762">
        <f>H12/DAY(B2)</f>
        <v>63.333333333333336</v>
      </c>
      <c r="K12" s="467"/>
      <c r="L12" s="408"/>
      <c r="N12" s="413"/>
      <c r="O12" s="479"/>
      <c r="Q12" s="479"/>
    </row>
    <row r="13" spans="1:17">
      <c r="A13" s="773" t="s">
        <v>149</v>
      </c>
      <c r="B13" s="774"/>
      <c r="C13" s="774"/>
      <c r="D13" s="715"/>
      <c r="E13" s="710"/>
      <c r="F13" s="531"/>
      <c r="G13" s="775">
        <f>G9+G10+G11+G12</f>
        <v>18495</v>
      </c>
      <c r="H13" s="760">
        <f>G13+'5'!H13</f>
        <v>109816.10000000009</v>
      </c>
      <c r="I13" s="776">
        <f>G7-G13</f>
        <v>695</v>
      </c>
      <c r="J13" s="762">
        <f>H13/DAY(B2)</f>
        <v>18302.683333333349</v>
      </c>
      <c r="K13" s="467"/>
      <c r="L13" s="408"/>
      <c r="N13" s="413"/>
      <c r="O13" s="479"/>
      <c r="Q13" s="479"/>
    </row>
    <row r="14" spans="1:17">
      <c r="A14" s="1420" t="s">
        <v>150</v>
      </c>
      <c r="B14" s="1421"/>
      <c r="C14" s="1422"/>
      <c r="D14" s="548"/>
      <c r="E14" s="548"/>
      <c r="F14" s="548"/>
      <c r="G14" s="559"/>
      <c r="H14" s="548"/>
      <c r="I14" s="548"/>
      <c r="J14" s="628"/>
      <c r="K14" s="468"/>
      <c r="L14" s="408"/>
      <c r="N14" s="413"/>
    </row>
    <row r="15" spans="1:17">
      <c r="A15" s="876" t="s">
        <v>151</v>
      </c>
      <c r="B15" s="871"/>
      <c r="C15" s="871"/>
      <c r="D15" s="600" t="s">
        <v>152</v>
      </c>
      <c r="E15" s="561">
        <f>'5'!F15</f>
        <v>1598543</v>
      </c>
      <c r="F15" s="561">
        <v>1599357</v>
      </c>
      <c r="G15" s="549">
        <f>(F15-E15)</f>
        <v>814</v>
      </c>
      <c r="H15" s="562">
        <f>G15+'5'!H15</f>
        <v>4919.8500000000931</v>
      </c>
      <c r="I15" s="550">
        <v>800</v>
      </c>
      <c r="J15" s="630">
        <f>H15/DAY(B2)</f>
        <v>819.97500000001548</v>
      </c>
      <c r="K15" s="467"/>
      <c r="L15" s="408"/>
      <c r="N15" s="413"/>
    </row>
    <row r="16" spans="1:17">
      <c r="A16" s="874"/>
      <c r="B16" s="875"/>
      <c r="C16" s="875"/>
      <c r="D16" s="872"/>
      <c r="E16" s="873"/>
      <c r="F16" s="561"/>
      <c r="G16" s="1122"/>
      <c r="H16" s="1140"/>
      <c r="I16" s="563">
        <f>I15-J15</f>
        <v>-19.975000000015484</v>
      </c>
      <c r="J16" s="1141"/>
      <c r="K16" s="467"/>
      <c r="L16" s="408"/>
      <c r="N16" s="413"/>
    </row>
    <row r="17" spans="1:14">
      <c r="A17" s="1420" t="s">
        <v>153</v>
      </c>
      <c r="B17" s="1421"/>
      <c r="C17" s="1422"/>
      <c r="D17" s="548"/>
      <c r="E17" s="548"/>
      <c r="F17" s="548"/>
      <c r="G17" s="564"/>
      <c r="H17" s="548"/>
      <c r="I17" s="548"/>
      <c r="J17" s="628"/>
      <c r="K17" s="467"/>
      <c r="L17" s="408"/>
      <c r="N17" s="413"/>
    </row>
    <row r="18" spans="1:14" ht="27.75">
      <c r="A18" s="1446" t="s">
        <v>154</v>
      </c>
      <c r="B18" s="1447"/>
      <c r="C18" s="1448"/>
      <c r="D18" s="717" t="s">
        <v>155</v>
      </c>
      <c r="E18" s="714">
        <f>'5'!F18</f>
        <v>14</v>
      </c>
      <c r="F18" s="561">
        <v>22</v>
      </c>
      <c r="G18" s="770">
        <f>F18*10</f>
        <v>220</v>
      </c>
      <c r="H18" s="760">
        <f>G18+'5'!H18</f>
        <v>810</v>
      </c>
      <c r="I18" s="761">
        <f>'1'!I18</f>
        <v>65</v>
      </c>
      <c r="J18" s="762">
        <f>H18/DAY(B2)</f>
        <v>135</v>
      </c>
      <c r="K18" s="467"/>
      <c r="L18" s="408"/>
      <c r="N18" s="413"/>
    </row>
    <row r="19" spans="1:14" ht="27.75">
      <c r="A19" s="1446" t="s">
        <v>71</v>
      </c>
      <c r="B19" s="1447"/>
      <c r="C19" s="1448"/>
      <c r="D19" s="715" t="s">
        <v>155</v>
      </c>
      <c r="E19" s="712">
        <f>'5'!F19</f>
        <v>133292</v>
      </c>
      <c r="F19" s="554">
        <v>133343</v>
      </c>
      <c r="G19" s="770">
        <f t="shared" ref="G19" si="1">F19-E19</f>
        <v>51</v>
      </c>
      <c r="H19" s="760">
        <f>G19+'5'!H19</f>
        <v>295</v>
      </c>
      <c r="I19" s="777"/>
      <c r="J19" s="762">
        <f>H19/DAY(B2)</f>
        <v>49.166666666666664</v>
      </c>
      <c r="K19" s="467"/>
      <c r="L19" s="408"/>
      <c r="N19" s="413"/>
    </row>
    <row r="20" spans="1:14">
      <c r="A20" s="773" t="s">
        <v>156</v>
      </c>
      <c r="B20" s="774"/>
      <c r="C20" s="774"/>
      <c r="D20" s="715"/>
      <c r="E20" s="715"/>
      <c r="F20" s="599"/>
      <c r="G20" s="778">
        <f>G18+G19</f>
        <v>271</v>
      </c>
      <c r="H20" s="760">
        <f>G20+'5'!H20</f>
        <v>1105</v>
      </c>
      <c r="I20" s="779">
        <f>I18-J20</f>
        <v>-119.16666666666666</v>
      </c>
      <c r="J20" s="762">
        <f>H20/DAY(B2)</f>
        <v>184.16666666666666</v>
      </c>
      <c r="K20" s="467"/>
      <c r="L20" s="408"/>
      <c r="N20" s="413"/>
    </row>
    <row r="21" spans="1:14">
      <c r="A21" s="1420" t="s">
        <v>157</v>
      </c>
      <c r="B21" s="1421"/>
      <c r="C21" s="1422"/>
      <c r="D21" s="548"/>
      <c r="E21" s="548"/>
      <c r="F21" s="548"/>
      <c r="G21" s="559"/>
      <c r="H21" s="548"/>
      <c r="I21" s="548"/>
      <c r="J21" s="628"/>
      <c r="K21" s="467"/>
      <c r="L21" s="408"/>
      <c r="N21" s="413"/>
    </row>
    <row r="22" spans="1:14">
      <c r="A22" s="1231" t="s">
        <v>158</v>
      </c>
      <c r="B22" s="666"/>
      <c r="C22" s="666"/>
      <c r="D22" s="599" t="s">
        <v>159</v>
      </c>
      <c r="E22" s="712">
        <f>'5'!F22</f>
        <v>2250</v>
      </c>
      <c r="F22" s="554">
        <v>2250</v>
      </c>
      <c r="G22" s="557">
        <f t="shared" ref="G22" si="2">(F22-E22)</f>
        <v>0</v>
      </c>
      <c r="H22" s="536">
        <f>G22+'5'!H22</f>
        <v>0</v>
      </c>
      <c r="I22" s="556"/>
      <c r="J22" s="629">
        <f>H22/DAY(B2)</f>
        <v>0</v>
      </c>
      <c r="K22" s="467"/>
      <c r="L22" s="408"/>
      <c r="N22" s="413"/>
    </row>
    <row r="23" spans="1:14">
      <c r="A23" s="1231" t="s">
        <v>160</v>
      </c>
      <c r="B23" s="666"/>
      <c r="C23" s="666"/>
      <c r="D23" s="599" t="s">
        <v>159</v>
      </c>
      <c r="E23" s="712">
        <f>'5'!F23</f>
        <v>1620</v>
      </c>
      <c r="F23" s="554">
        <v>1620</v>
      </c>
      <c r="G23" s="557">
        <v>0</v>
      </c>
      <c r="H23" s="536">
        <f>G23+'5'!H23</f>
        <v>380</v>
      </c>
      <c r="I23" s="556"/>
      <c r="J23" s="629">
        <f>H23/DAY(B2)</f>
        <v>63.333333333333336</v>
      </c>
      <c r="K23" s="467"/>
      <c r="L23" s="408"/>
      <c r="N23" s="413"/>
    </row>
    <row r="24" spans="1:14">
      <c r="A24" s="667" t="s">
        <v>161</v>
      </c>
      <c r="B24" s="668"/>
      <c r="C24" s="668"/>
      <c r="D24" s="587" t="s">
        <v>159</v>
      </c>
      <c r="E24" s="712">
        <f>'5'!F24</f>
        <v>3870</v>
      </c>
      <c r="F24" s="561">
        <v>3870</v>
      </c>
      <c r="G24" s="557">
        <v>0</v>
      </c>
      <c r="H24" s="536">
        <f>G24+'5'!H24</f>
        <v>380</v>
      </c>
      <c r="I24" s="556"/>
      <c r="J24" s="629">
        <f>H24/DAY(B2)</f>
        <v>63.333333333333336</v>
      </c>
      <c r="K24" s="467"/>
      <c r="L24" s="408"/>
      <c r="N24" s="413"/>
    </row>
    <row r="25" spans="1:14" s="481" customFormat="1" ht="27">
      <c r="A25" s="1425" t="s">
        <v>162</v>
      </c>
      <c r="B25" s="1426"/>
      <c r="C25" s="1427"/>
      <c r="D25" s="547"/>
      <c r="E25" s="547"/>
      <c r="F25" s="547"/>
      <c r="G25" s="570"/>
      <c r="H25" s="571"/>
      <c r="I25" s="572"/>
      <c r="J25" s="631"/>
      <c r="K25" s="404"/>
      <c r="L25" s="484"/>
      <c r="N25" s="413"/>
    </row>
    <row r="26" spans="1:14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413"/>
    </row>
    <row r="27" spans="1:14" s="481" customFormat="1" ht="27.75">
      <c r="A27" s="669" t="s">
        <v>6</v>
      </c>
      <c r="B27" s="670"/>
      <c r="C27" s="671"/>
      <c r="D27" s="696" t="s">
        <v>25</v>
      </c>
      <c r="E27" s="780">
        <f>G8</f>
        <v>19282</v>
      </c>
      <c r="F27" s="577">
        <v>9</v>
      </c>
      <c r="G27" s="578">
        <f>E27*F27</f>
        <v>173538</v>
      </c>
      <c r="H27" s="536">
        <f>G27+'5'!H27</f>
        <v>1037781</v>
      </c>
      <c r="I27" s="579"/>
      <c r="J27" s="629">
        <f>H27/DAY(B2)</f>
        <v>172963.5</v>
      </c>
      <c r="K27" s="404"/>
      <c r="L27" s="484"/>
      <c r="N27" s="413"/>
    </row>
    <row r="28" spans="1:14" s="481" customFormat="1" ht="27.75">
      <c r="A28" s="669" t="s">
        <v>165</v>
      </c>
      <c r="B28" s="670"/>
      <c r="C28" s="671"/>
      <c r="D28" s="696" t="s">
        <v>166</v>
      </c>
      <c r="E28" s="780">
        <f>G15</f>
        <v>814</v>
      </c>
      <c r="F28" s="577">
        <v>43.5</v>
      </c>
      <c r="G28" s="578">
        <f t="shared" ref="G28:G31" si="3">E28*F28</f>
        <v>35409</v>
      </c>
      <c r="H28" s="536">
        <f>G28+'5'!H28</f>
        <v>214013.47500000405</v>
      </c>
      <c r="I28" s="581"/>
      <c r="J28" s="629">
        <f>H28/DAY(B2)</f>
        <v>35668.912500000675</v>
      </c>
      <c r="K28" s="404"/>
      <c r="L28" s="484"/>
      <c r="N28" s="413"/>
    </row>
    <row r="29" spans="1:14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716">
        <v>69</v>
      </c>
      <c r="G29" s="578">
        <f t="shared" si="3"/>
        <v>0</v>
      </c>
      <c r="H29" s="536">
        <f>G29+'5'!H29</f>
        <v>26220</v>
      </c>
      <c r="I29" s="581"/>
      <c r="J29" s="629">
        <f>H29/DAY(B2)</f>
        <v>4370</v>
      </c>
      <c r="K29" s="404"/>
      <c r="L29" s="484"/>
      <c r="N29" s="413"/>
    </row>
    <row r="30" spans="1:14" s="481" customFormat="1" ht="27.75">
      <c r="A30" s="669" t="s">
        <v>169</v>
      </c>
      <c r="B30" s="670"/>
      <c r="C30" s="671"/>
      <c r="D30" s="696" t="s">
        <v>170</v>
      </c>
      <c r="E30" s="780">
        <f>G19</f>
        <v>51</v>
      </c>
      <c r="F30" s="716">
        <v>134</v>
      </c>
      <c r="G30" s="578">
        <f t="shared" si="3"/>
        <v>6834</v>
      </c>
      <c r="H30" s="536">
        <f>G30+'5'!H30</f>
        <v>39530</v>
      </c>
      <c r="I30" s="581"/>
      <c r="J30" s="629">
        <f>H30/DAY(B2)</f>
        <v>6588.333333333333</v>
      </c>
      <c r="K30" s="404"/>
      <c r="L30" s="484"/>
      <c r="N30" s="413"/>
    </row>
    <row r="31" spans="1:14" s="481" customFormat="1" ht="27.75">
      <c r="A31" s="669" t="s">
        <v>171</v>
      </c>
      <c r="B31" s="670"/>
      <c r="C31" s="671"/>
      <c r="D31" s="696" t="s">
        <v>155</v>
      </c>
      <c r="E31" s="780">
        <f>G18</f>
        <v>220</v>
      </c>
      <c r="F31" s="716">
        <v>80</v>
      </c>
      <c r="G31" s="578">
        <f t="shared" si="3"/>
        <v>17600</v>
      </c>
      <c r="H31" s="536">
        <f>G31+'5'!H31</f>
        <v>64800</v>
      </c>
      <c r="I31" s="581"/>
      <c r="J31" s="629">
        <f>H31/DAY(B2)</f>
        <v>10800</v>
      </c>
      <c r="K31" s="404"/>
      <c r="L31" s="484"/>
      <c r="N31" s="413"/>
    </row>
    <row r="32" spans="1:14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233381</v>
      </c>
      <c r="H32" s="536">
        <f>G32+'5'!H32</f>
        <v>1382344.4750000041</v>
      </c>
      <c r="I32" s="585"/>
      <c r="J32" s="629">
        <f>H32/DAY(B2)</f>
        <v>230390.74583333402</v>
      </c>
      <c r="K32" s="404"/>
      <c r="L32" s="484"/>
      <c r="N32" s="413"/>
    </row>
    <row r="33" spans="1:14" ht="25.5">
      <c r="A33" s="1428" t="s">
        <v>173</v>
      </c>
      <c r="B33" s="1429"/>
      <c r="C33" s="1429"/>
      <c r="D33" s="1429"/>
      <c r="E33" s="1429"/>
      <c r="F33" s="1429"/>
      <c r="G33" s="1429"/>
      <c r="H33" s="1429"/>
      <c r="I33" s="1429"/>
      <c r="J33" s="1430"/>
      <c r="K33" s="467"/>
      <c r="L33" s="408"/>
      <c r="N33" s="413"/>
    </row>
    <row r="34" spans="1:14">
      <c r="A34" s="675" t="s">
        <v>174</v>
      </c>
      <c r="B34" s="1236"/>
      <c r="C34" s="1236"/>
      <c r="D34" s="548"/>
      <c r="E34" s="547"/>
      <c r="F34" s="547"/>
      <c r="G34" s="548"/>
      <c r="H34" s="548"/>
      <c r="I34" s="548"/>
      <c r="J34" s="628"/>
      <c r="K34" s="467"/>
      <c r="L34" s="408"/>
      <c r="N34" s="413"/>
    </row>
    <row r="35" spans="1:14">
      <c r="A35" s="655" t="s">
        <v>175</v>
      </c>
      <c r="B35" s="656"/>
      <c r="C35" s="656"/>
      <c r="D35" s="599" t="s">
        <v>143</v>
      </c>
      <c r="E35" s="586">
        <f>'5'!F35</f>
        <v>634203</v>
      </c>
      <c r="F35" s="586">
        <v>634203</v>
      </c>
      <c r="G35" s="549">
        <f t="shared" ref="G35:G46" si="4">F35-E35</f>
        <v>0</v>
      </c>
      <c r="H35" s="536">
        <f>G35+'5'!H35</f>
        <v>5175.3299999999581</v>
      </c>
      <c r="I35" s="531"/>
      <c r="J35" s="629">
        <f>H35/DAY(B2)</f>
        <v>862.55499999999302</v>
      </c>
      <c r="K35" s="467"/>
      <c r="L35" s="408"/>
      <c r="N35" s="413"/>
    </row>
    <row r="36" spans="1:14">
      <c r="A36" s="655" t="s">
        <v>176</v>
      </c>
      <c r="B36" s="656"/>
      <c r="C36" s="656"/>
      <c r="D36" s="599" t="s">
        <v>143</v>
      </c>
      <c r="E36" s="586">
        <f>'5'!F36</f>
        <v>279610</v>
      </c>
      <c r="F36" s="586">
        <v>280339</v>
      </c>
      <c r="G36" s="549">
        <f t="shared" si="4"/>
        <v>729</v>
      </c>
      <c r="H36" s="536">
        <f>G36+'5'!H36</f>
        <v>3847.5499999999884</v>
      </c>
      <c r="I36" s="531"/>
      <c r="J36" s="629">
        <f>H36/DAY(B2)</f>
        <v>641.25833333333139</v>
      </c>
      <c r="K36" s="467"/>
      <c r="L36" s="408"/>
      <c r="N36" s="705"/>
    </row>
    <row r="37" spans="1:14">
      <c r="A37" s="655" t="s">
        <v>177</v>
      </c>
      <c r="B37" s="656"/>
      <c r="C37" s="656"/>
      <c r="D37" s="599" t="s">
        <v>143</v>
      </c>
      <c r="E37" s="586">
        <f>'5'!F37</f>
        <v>1472</v>
      </c>
      <c r="F37" s="586">
        <v>1472</v>
      </c>
      <c r="G37" s="549">
        <f t="shared" si="4"/>
        <v>0</v>
      </c>
      <c r="H37" s="536">
        <f>G37+'5'!H37</f>
        <v>1472</v>
      </c>
      <c r="I37" s="531"/>
      <c r="J37" s="629">
        <f>H37/DAY(B2)</f>
        <v>245.33333333333334</v>
      </c>
      <c r="K37" s="467"/>
      <c r="L37" s="408"/>
      <c r="N37" s="706"/>
    </row>
    <row r="38" spans="1:14">
      <c r="A38" s="655" t="s">
        <v>178</v>
      </c>
      <c r="B38" s="656"/>
      <c r="C38" s="656"/>
      <c r="D38" s="599" t="s">
        <v>143</v>
      </c>
      <c r="E38" s="545">
        <f>'5'!F38</f>
        <v>904</v>
      </c>
      <c r="F38" s="545">
        <v>904</v>
      </c>
      <c r="G38" s="549">
        <f t="shared" si="4"/>
        <v>0</v>
      </c>
      <c r="H38" s="536">
        <f>G38+'5'!H38</f>
        <v>806.12</v>
      </c>
      <c r="I38" s="531"/>
      <c r="J38" s="629">
        <f>H38/DAY(B2)</f>
        <v>134.35333333333332</v>
      </c>
      <c r="K38" s="467"/>
      <c r="L38" s="408"/>
      <c r="N38" s="413"/>
    </row>
    <row r="39" spans="1:14">
      <c r="A39" s="655" t="s">
        <v>179</v>
      </c>
      <c r="B39" s="656"/>
      <c r="C39" s="656"/>
      <c r="D39" s="599" t="s">
        <v>143</v>
      </c>
      <c r="E39" s="586">
        <f>'5'!F39</f>
        <v>4103</v>
      </c>
      <c r="F39" s="586">
        <v>4103</v>
      </c>
      <c r="G39" s="549">
        <f t="shared" si="4"/>
        <v>0</v>
      </c>
      <c r="H39" s="536">
        <f>G39+'5'!H39</f>
        <v>4103</v>
      </c>
      <c r="I39" s="531"/>
      <c r="J39" s="629">
        <f>H39/DAY(B2)</f>
        <v>683.83333333333337</v>
      </c>
      <c r="K39" s="467"/>
      <c r="L39" s="408"/>
      <c r="N39" s="413"/>
    </row>
    <row r="40" spans="1:14">
      <c r="A40" s="676" t="s">
        <v>180</v>
      </c>
      <c r="B40" s="677"/>
      <c r="C40" s="677"/>
      <c r="D40" s="599" t="s">
        <v>143</v>
      </c>
      <c r="E40" s="586">
        <f>'5'!F40</f>
        <v>0.17</v>
      </c>
      <c r="F40" s="586">
        <v>0.17</v>
      </c>
      <c r="G40" s="549">
        <f t="shared" si="4"/>
        <v>0</v>
      </c>
      <c r="H40" s="536">
        <f>G40+'5'!H40</f>
        <v>0</v>
      </c>
      <c r="I40" s="531"/>
      <c r="J40" s="629">
        <f>H40/DAY(B2)</f>
        <v>0</v>
      </c>
      <c r="K40" s="468"/>
      <c r="L40" s="408"/>
      <c r="N40" s="413"/>
    </row>
    <row r="41" spans="1:14">
      <c r="A41" s="655" t="s">
        <v>181</v>
      </c>
      <c r="B41" s="656"/>
      <c r="C41" s="656"/>
      <c r="D41" s="599" t="s">
        <v>143</v>
      </c>
      <c r="E41" s="586">
        <f>'5'!F41</f>
        <v>58616</v>
      </c>
      <c r="F41" s="586">
        <v>58616</v>
      </c>
      <c r="G41" s="549">
        <f>F41-E41</f>
        <v>0</v>
      </c>
      <c r="H41" s="536">
        <f>G41+'5'!H41</f>
        <v>13993.480000000003</v>
      </c>
      <c r="I41" s="531"/>
      <c r="J41" s="629">
        <f>H41/DAY(B2)</f>
        <v>2332.2466666666674</v>
      </c>
      <c r="K41" s="467"/>
      <c r="L41" s="408"/>
      <c r="N41" s="413"/>
    </row>
    <row r="42" spans="1:14">
      <c r="A42" s="655" t="s">
        <v>182</v>
      </c>
      <c r="B42" s="656"/>
      <c r="C42" s="656"/>
      <c r="D42" s="599" t="s">
        <v>143</v>
      </c>
      <c r="E42" s="586">
        <f>'5'!F42</f>
        <v>58926</v>
      </c>
      <c r="F42" s="586">
        <v>58926</v>
      </c>
      <c r="G42" s="549">
        <f t="shared" si="4"/>
        <v>0</v>
      </c>
      <c r="H42" s="536">
        <f>G42+'5'!H42</f>
        <v>0</v>
      </c>
      <c r="I42" s="531"/>
      <c r="J42" s="629">
        <f>H42/DAY(B2)</f>
        <v>0</v>
      </c>
      <c r="K42" s="467"/>
      <c r="L42" s="408"/>
      <c r="N42" s="413"/>
    </row>
    <row r="43" spans="1:14">
      <c r="A43" s="655" t="s">
        <v>183</v>
      </c>
      <c r="B43" s="656"/>
      <c r="C43" s="656"/>
      <c r="D43" s="599" t="s">
        <v>143</v>
      </c>
      <c r="E43" s="586">
        <f>'5'!F43</f>
        <v>777221</v>
      </c>
      <c r="F43" s="586">
        <v>777221</v>
      </c>
      <c r="G43" s="549">
        <f t="shared" si="4"/>
        <v>0</v>
      </c>
      <c r="H43" s="536">
        <f>G43+'5'!H43</f>
        <v>9409.0899999999674</v>
      </c>
      <c r="I43" s="531"/>
      <c r="J43" s="629">
        <f>H43/DAY(B2)</f>
        <v>1568.1816666666612</v>
      </c>
      <c r="K43" s="467"/>
      <c r="L43" s="408"/>
      <c r="N43" s="413"/>
    </row>
    <row r="44" spans="1:14">
      <c r="A44" s="655" t="s">
        <v>184</v>
      </c>
      <c r="B44" s="656"/>
      <c r="C44" s="656"/>
      <c r="D44" s="599" t="s">
        <v>143</v>
      </c>
      <c r="E44" s="586">
        <f>'5'!F44</f>
        <v>0</v>
      </c>
      <c r="F44" s="586">
        <v>0</v>
      </c>
      <c r="G44" s="549">
        <f t="shared" si="4"/>
        <v>0</v>
      </c>
      <c r="H44" s="536">
        <f>G44+'5'!H44</f>
        <v>0</v>
      </c>
      <c r="I44" s="531"/>
      <c r="J44" s="629">
        <f>H44/DAY(B2)</f>
        <v>0</v>
      </c>
      <c r="K44" s="467"/>
      <c r="L44" s="408"/>
      <c r="N44" s="413"/>
    </row>
    <row r="45" spans="1:14">
      <c r="A45" s="655" t="s">
        <v>185</v>
      </c>
      <c r="B45" s="656"/>
      <c r="C45" s="656"/>
      <c r="D45" s="599" t="s">
        <v>143</v>
      </c>
      <c r="E45" s="586">
        <f>'5'!F45</f>
        <v>614</v>
      </c>
      <c r="F45" s="586">
        <v>614</v>
      </c>
      <c r="G45" s="549">
        <f t="shared" si="4"/>
        <v>0</v>
      </c>
      <c r="H45" s="536">
        <f>G45+'5'!H45</f>
        <v>-0.48000000000001819</v>
      </c>
      <c r="I45" s="531"/>
      <c r="J45" s="629">
        <f>H45/DAY(B2)</f>
        <v>-8.0000000000003027E-2</v>
      </c>
      <c r="K45" s="467"/>
      <c r="L45" s="408"/>
      <c r="N45" s="413"/>
    </row>
    <row r="46" spans="1:14">
      <c r="A46" s="655" t="s">
        <v>186</v>
      </c>
      <c r="B46" s="656"/>
      <c r="C46" s="656"/>
      <c r="D46" s="599" t="s">
        <v>143</v>
      </c>
      <c r="E46" s="586">
        <f>'5'!F46</f>
        <v>187</v>
      </c>
      <c r="F46" s="586">
        <v>187</v>
      </c>
      <c r="G46" s="549">
        <f t="shared" si="4"/>
        <v>0</v>
      </c>
      <c r="H46" s="536">
        <f>G46+'5'!H46</f>
        <v>-0.49000000000000909</v>
      </c>
      <c r="I46" s="531"/>
      <c r="J46" s="629">
        <f>H46/DAY(B2)</f>
        <v>-8.1666666666668178E-2</v>
      </c>
      <c r="K46" s="467"/>
      <c r="L46" s="408"/>
      <c r="N46" s="413"/>
    </row>
    <row r="47" spans="1:14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729</v>
      </c>
      <c r="H47" s="536">
        <f>G47+'5'!H47</f>
        <v>38805.599999999919</v>
      </c>
      <c r="I47" s="531"/>
      <c r="J47" s="629">
        <f>H47/DAY(B2)</f>
        <v>6467.5999999999867</v>
      </c>
      <c r="K47" s="467"/>
      <c r="L47" s="408"/>
      <c r="N47" s="413"/>
    </row>
    <row r="48" spans="1:14">
      <c r="A48" s="675" t="s">
        <v>188</v>
      </c>
      <c r="B48" s="1236"/>
      <c r="C48" s="1236"/>
      <c r="D48" s="548"/>
      <c r="E48" s="547"/>
      <c r="F48" s="547"/>
      <c r="G48" s="548"/>
      <c r="H48" s="548"/>
      <c r="I48" s="548"/>
      <c r="J48" s="628"/>
      <c r="K48" s="467"/>
      <c r="L48" s="408"/>
      <c r="N48" s="413"/>
    </row>
    <row r="49" spans="1:14">
      <c r="A49" s="655" t="s">
        <v>175</v>
      </c>
      <c r="B49" s="678"/>
      <c r="C49" s="678"/>
      <c r="D49" s="599" t="s">
        <v>143</v>
      </c>
      <c r="E49" s="586">
        <f>'5'!F49</f>
        <v>254617</v>
      </c>
      <c r="F49" s="586">
        <v>257265</v>
      </c>
      <c r="G49" s="549">
        <f t="shared" ref="G49:G58" si="5">F49-E49</f>
        <v>2648</v>
      </c>
      <c r="H49" s="536">
        <f>G49+'5'!H49</f>
        <v>11365.950000000012</v>
      </c>
      <c r="I49" s="531"/>
      <c r="J49" s="629">
        <f>H49/DAY(B2)</f>
        <v>1894.3250000000019</v>
      </c>
      <c r="K49" s="467"/>
      <c r="L49" s="408"/>
      <c r="N49" s="413"/>
    </row>
    <row r="50" spans="1:14">
      <c r="A50" s="655" t="s">
        <v>189</v>
      </c>
      <c r="B50" s="678"/>
      <c r="C50" s="678"/>
      <c r="D50" s="599" t="s">
        <v>143</v>
      </c>
      <c r="E50" s="586">
        <f>'5'!F50</f>
        <v>374251</v>
      </c>
      <c r="F50" s="586">
        <v>375731</v>
      </c>
      <c r="G50" s="549">
        <f t="shared" si="5"/>
        <v>1480</v>
      </c>
      <c r="H50" s="536">
        <f>G50+'5'!H50</f>
        <v>7113.6900000000023</v>
      </c>
      <c r="I50" s="531"/>
      <c r="J50" s="629">
        <f>H50/DAY(B2)</f>
        <v>1185.6150000000005</v>
      </c>
      <c r="K50" s="467"/>
      <c r="L50" s="408"/>
      <c r="N50" s="413"/>
    </row>
    <row r="51" spans="1:14">
      <c r="A51" s="655" t="s">
        <v>177</v>
      </c>
      <c r="B51" s="678"/>
      <c r="C51" s="678"/>
      <c r="D51" s="599" t="s">
        <v>143</v>
      </c>
      <c r="E51" s="586">
        <f>'5'!F51</f>
        <v>116006</v>
      </c>
      <c r="F51" s="586">
        <v>117515</v>
      </c>
      <c r="G51" s="549">
        <f t="shared" si="5"/>
        <v>1509</v>
      </c>
      <c r="H51" s="536">
        <f>G51+'5'!H51</f>
        <v>7415.2599999999948</v>
      </c>
      <c r="I51" s="531"/>
      <c r="J51" s="629">
        <f>H51/DAY(B2)</f>
        <v>1235.8766666666659</v>
      </c>
      <c r="K51" s="467"/>
      <c r="L51" s="408"/>
      <c r="N51" s="413"/>
    </row>
    <row r="52" spans="1:14">
      <c r="A52" s="655" t="s">
        <v>190</v>
      </c>
      <c r="B52" s="678"/>
      <c r="C52" s="678"/>
      <c r="D52" s="599" t="s">
        <v>143</v>
      </c>
      <c r="E52" s="586">
        <f>'5'!F52</f>
        <v>502975</v>
      </c>
      <c r="F52" s="586">
        <v>504975</v>
      </c>
      <c r="G52" s="549">
        <f t="shared" si="5"/>
        <v>2000</v>
      </c>
      <c r="H52" s="536">
        <f>G52+'5'!H52</f>
        <v>11166.330000000016</v>
      </c>
      <c r="I52" s="531"/>
      <c r="J52" s="629">
        <f>H52/DAY(B2)</f>
        <v>1861.0550000000028</v>
      </c>
      <c r="K52" s="467"/>
      <c r="L52" s="408"/>
      <c r="N52" s="413"/>
    </row>
    <row r="53" spans="1:14">
      <c r="A53" s="655" t="s">
        <v>179</v>
      </c>
      <c r="B53" s="678"/>
      <c r="C53" s="678"/>
      <c r="D53" s="599" t="s">
        <v>143</v>
      </c>
      <c r="E53" s="586">
        <f>'5'!F53</f>
        <v>321103</v>
      </c>
      <c r="F53" s="586">
        <v>325256</v>
      </c>
      <c r="G53" s="549">
        <f t="shared" si="5"/>
        <v>4153</v>
      </c>
      <c r="H53" s="536">
        <f>G53+'5'!H53</f>
        <v>20957.729999999981</v>
      </c>
      <c r="I53" s="531"/>
      <c r="J53" s="629">
        <f>H53/DAY(B2)</f>
        <v>3492.9549999999967</v>
      </c>
      <c r="K53" s="467"/>
      <c r="L53" s="408"/>
      <c r="N53" s="413"/>
    </row>
    <row r="54" spans="1:14">
      <c r="A54" s="655" t="s">
        <v>191</v>
      </c>
      <c r="B54" s="678"/>
      <c r="C54" s="678"/>
      <c r="D54" s="599" t="s">
        <v>143</v>
      </c>
      <c r="E54" s="586">
        <f>'5'!F54</f>
        <v>6494</v>
      </c>
      <c r="F54" s="586">
        <v>6564</v>
      </c>
      <c r="G54" s="549">
        <f t="shared" si="5"/>
        <v>70</v>
      </c>
      <c r="H54" s="536">
        <f>G54+'5'!H54</f>
        <v>247.35999999999967</v>
      </c>
      <c r="I54" s="531"/>
      <c r="J54" s="629">
        <f>H54/DAY(B2)</f>
        <v>41.22666666666661</v>
      </c>
      <c r="K54" s="467"/>
      <c r="L54" s="408"/>
      <c r="N54" s="413"/>
    </row>
    <row r="55" spans="1:14">
      <c r="A55" s="655" t="s">
        <v>192</v>
      </c>
      <c r="B55" s="678"/>
      <c r="C55" s="678"/>
      <c r="D55" s="599" t="s">
        <v>143</v>
      </c>
      <c r="E55" s="586">
        <f>'5'!F55</f>
        <v>45055</v>
      </c>
      <c r="F55" s="734">
        <v>48960</v>
      </c>
      <c r="G55" s="733">
        <f t="shared" si="5"/>
        <v>3905</v>
      </c>
      <c r="H55" s="787">
        <f>G55+'5'!H55</f>
        <v>9839.4199999999983</v>
      </c>
      <c r="I55" s="788"/>
      <c r="J55" s="789">
        <f>H55/DAY(B2)</f>
        <v>1639.903333333333</v>
      </c>
      <c r="K55" s="467"/>
      <c r="L55" s="408"/>
      <c r="N55" s="413"/>
    </row>
    <row r="56" spans="1:14">
      <c r="A56" s="655" t="s">
        <v>193</v>
      </c>
      <c r="B56" s="678"/>
      <c r="C56" s="678"/>
      <c r="D56" s="599" t="s">
        <v>194</v>
      </c>
      <c r="E56" s="586">
        <f>'5'!F56</f>
        <v>557739</v>
      </c>
      <c r="F56" s="734">
        <v>557739</v>
      </c>
      <c r="G56" s="549">
        <f t="shared" si="5"/>
        <v>0</v>
      </c>
      <c r="H56" s="536">
        <f>G56+'5'!H56</f>
        <v>7.0899999999674037</v>
      </c>
      <c r="I56" s="531"/>
      <c r="J56" s="629">
        <f>H56/DAY(B2)</f>
        <v>1.1816666666612339</v>
      </c>
      <c r="K56" s="466"/>
      <c r="L56" s="408"/>
      <c r="N56" s="413"/>
    </row>
    <row r="57" spans="1:14">
      <c r="A57" s="655" t="s">
        <v>183</v>
      </c>
      <c r="B57" s="678"/>
      <c r="C57" s="678"/>
      <c r="D57" s="599" t="s">
        <v>143</v>
      </c>
      <c r="E57" s="586">
        <f>'5'!F57</f>
        <v>1933</v>
      </c>
      <c r="F57" s="586">
        <v>4215</v>
      </c>
      <c r="G57" s="549">
        <f t="shared" si="5"/>
        <v>2282</v>
      </c>
      <c r="H57" s="536">
        <f>G57+'5'!H57</f>
        <v>4215</v>
      </c>
      <c r="I57" s="531"/>
      <c r="J57" s="629">
        <f>H57/DAY(B2)</f>
        <v>702.5</v>
      </c>
      <c r="K57" s="467"/>
      <c r="L57" s="408"/>
      <c r="N57" s="413"/>
    </row>
    <row r="58" spans="1:14">
      <c r="A58" s="655" t="s">
        <v>195</v>
      </c>
      <c r="B58" s="678"/>
      <c r="C58" s="678"/>
      <c r="D58" s="599" t="s">
        <v>143</v>
      </c>
      <c r="E58" s="586">
        <f>'5'!F58</f>
        <v>31352</v>
      </c>
      <c r="F58" s="734">
        <v>31510</v>
      </c>
      <c r="G58" s="549">
        <f t="shared" si="5"/>
        <v>158</v>
      </c>
      <c r="H58" s="536">
        <f>G58+'5'!H58</f>
        <v>978.09000000000015</v>
      </c>
      <c r="I58" s="531"/>
      <c r="J58" s="629">
        <f>H58/DAY(B2)</f>
        <v>163.01500000000001</v>
      </c>
      <c r="K58" s="467"/>
      <c r="L58" s="408"/>
      <c r="N58" s="413"/>
    </row>
    <row r="59" spans="1:14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18205</v>
      </c>
      <c r="H59" s="536">
        <f>G59+'5'!H59</f>
        <v>73305.919999999969</v>
      </c>
      <c r="I59" s="531">
        <f>G7-G60</f>
        <v>256</v>
      </c>
      <c r="J59" s="629">
        <f>H59/DAY(B2)</f>
        <v>12217.653333333328</v>
      </c>
      <c r="K59" s="467"/>
      <c r="L59" s="408"/>
      <c r="N59" s="413"/>
    </row>
    <row r="60" spans="1:14">
      <c r="A60" s="655"/>
      <c r="B60" s="656"/>
      <c r="C60" s="656"/>
      <c r="D60" s="587" t="s">
        <v>196</v>
      </c>
      <c r="E60" s="587"/>
      <c r="F60" s="587"/>
      <c r="G60" s="557">
        <f>G47+G59</f>
        <v>18934</v>
      </c>
      <c r="H60" s="536">
        <f>G60+'5'!H60</f>
        <v>112111.51999999989</v>
      </c>
      <c r="I60" s="531">
        <f>G13-G60</f>
        <v>-439</v>
      </c>
      <c r="J60" s="629">
        <f>H60/DAY(B2)</f>
        <v>18685.253333333316</v>
      </c>
      <c r="K60" s="467"/>
      <c r="L60" s="408"/>
      <c r="N60" s="413"/>
    </row>
    <row r="61" spans="1:14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</row>
    <row r="62" spans="1:14">
      <c r="A62" s="680" t="s">
        <v>106</v>
      </c>
      <c r="B62" s="681"/>
      <c r="C62" s="681"/>
      <c r="D62" s="587" t="s">
        <v>198</v>
      </c>
      <c r="E62" s="590">
        <f>'5'!F62</f>
        <v>20419</v>
      </c>
      <c r="F62" s="590">
        <v>20419</v>
      </c>
      <c r="G62" s="549">
        <f t="shared" ref="G62:G69" si="6">F62-E62</f>
        <v>0</v>
      </c>
      <c r="H62" s="536">
        <f>G62+'5'!H62</f>
        <v>-0.1889999999984866</v>
      </c>
      <c r="I62" s="591"/>
      <c r="J62" s="629">
        <f>H62/DAY(B2)</f>
        <v>-3.1499999999747764E-2</v>
      </c>
      <c r="K62" s="467"/>
      <c r="L62" s="408"/>
      <c r="N62" s="413"/>
    </row>
    <row r="63" spans="1:14">
      <c r="A63" s="680" t="s">
        <v>199</v>
      </c>
      <c r="B63" s="681"/>
      <c r="C63" s="681"/>
      <c r="D63" s="587" t="s">
        <v>198</v>
      </c>
      <c r="E63" s="590">
        <f>'5'!F63</f>
        <v>1406</v>
      </c>
      <c r="F63" s="590">
        <v>1420</v>
      </c>
      <c r="G63" s="549">
        <f t="shared" si="6"/>
        <v>14</v>
      </c>
      <c r="H63" s="536">
        <f>G63+'5'!H63</f>
        <v>87.470000000000027</v>
      </c>
      <c r="I63" s="591"/>
      <c r="J63" s="629">
        <f>H63/DAY(B2)</f>
        <v>14.578333333333338</v>
      </c>
      <c r="K63" s="467"/>
      <c r="L63" s="408"/>
      <c r="N63" s="413"/>
    </row>
    <row r="64" spans="1:14" ht="27.75">
      <c r="A64" s="1385" t="s">
        <v>107</v>
      </c>
      <c r="B64" s="1386"/>
      <c r="C64" s="1387"/>
      <c r="D64" s="599" t="s">
        <v>198</v>
      </c>
      <c r="E64" s="560">
        <f>'5'!F64</f>
        <v>113454</v>
      </c>
      <c r="F64" s="554">
        <v>113859</v>
      </c>
      <c r="G64" s="549">
        <f t="shared" si="6"/>
        <v>405</v>
      </c>
      <c r="H64" s="536">
        <f>G64+'5'!H64</f>
        <v>2575.5399999999936</v>
      </c>
      <c r="I64" s="556"/>
      <c r="J64" s="629">
        <f>H64/DAY(B2)</f>
        <v>429.25666666666558</v>
      </c>
      <c r="K64" s="467"/>
      <c r="L64" s="408"/>
      <c r="N64" s="413"/>
    </row>
    <row r="65" spans="1:14" ht="27.75">
      <c r="A65" s="1385" t="s">
        <v>108</v>
      </c>
      <c r="B65" s="1386"/>
      <c r="C65" s="1387"/>
      <c r="D65" s="599" t="s">
        <v>198</v>
      </c>
      <c r="E65" s="560">
        <f>'5'!F65</f>
        <v>123609</v>
      </c>
      <c r="F65" s="732">
        <v>123976</v>
      </c>
      <c r="G65" s="549">
        <f t="shared" si="6"/>
        <v>367</v>
      </c>
      <c r="H65" s="536">
        <f>G65+'5'!H65</f>
        <v>2242.8899999999994</v>
      </c>
      <c r="I65" s="565"/>
      <c r="J65" s="629">
        <f>H65/DAY(B2)</f>
        <v>373.81499999999988</v>
      </c>
      <c r="K65" s="467"/>
      <c r="L65" s="408"/>
      <c r="N65" s="413"/>
    </row>
    <row r="66" spans="1:14" ht="27.75">
      <c r="A66" s="1385" t="s">
        <v>109</v>
      </c>
      <c r="B66" s="1386"/>
      <c r="C66" s="1387"/>
      <c r="D66" s="599" t="s">
        <v>198</v>
      </c>
      <c r="E66" s="560">
        <f>'5'!F66</f>
        <v>16157</v>
      </c>
      <c r="F66" s="554">
        <v>16550</v>
      </c>
      <c r="G66" s="549">
        <f t="shared" si="6"/>
        <v>393</v>
      </c>
      <c r="H66" s="536">
        <f>G66+'5'!H66</f>
        <v>2390.2600000000002</v>
      </c>
      <c r="I66" s="556"/>
      <c r="J66" s="629">
        <f>H66/DAY(B2)</f>
        <v>398.37666666666672</v>
      </c>
      <c r="K66" s="467"/>
      <c r="L66" s="408"/>
      <c r="N66" s="413"/>
    </row>
    <row r="67" spans="1:14" ht="27.75">
      <c r="A67" s="1385" t="s">
        <v>110</v>
      </c>
      <c r="B67" s="1386"/>
      <c r="C67" s="1387"/>
      <c r="D67" s="599" t="s">
        <v>198</v>
      </c>
      <c r="E67" s="560">
        <f>'5'!F67</f>
        <v>192139</v>
      </c>
      <c r="F67" s="554">
        <v>192854</v>
      </c>
      <c r="G67" s="549">
        <f t="shared" si="6"/>
        <v>715</v>
      </c>
      <c r="H67" s="536">
        <f>G67+'5'!H67</f>
        <v>4179.4700000000012</v>
      </c>
      <c r="I67" s="565"/>
      <c r="J67" s="629">
        <f>H67/DAY(B2)</f>
        <v>696.57833333333349</v>
      </c>
      <c r="K67" s="468"/>
      <c r="L67" s="408"/>
      <c r="N67" s="413"/>
    </row>
    <row r="68" spans="1:14" ht="27.75">
      <c r="A68" s="1385" t="s">
        <v>111</v>
      </c>
      <c r="B68" s="1386"/>
      <c r="C68" s="1387"/>
      <c r="D68" s="599" t="s">
        <v>198</v>
      </c>
      <c r="E68" s="560">
        <f>'5'!F68</f>
        <v>64987</v>
      </c>
      <c r="F68" s="554">
        <v>65342</v>
      </c>
      <c r="G68" s="549">
        <f t="shared" si="6"/>
        <v>355</v>
      </c>
      <c r="H68" s="536">
        <f>G68+'5'!H68</f>
        <v>2042.1399999999994</v>
      </c>
      <c r="I68" s="592"/>
      <c r="J68" s="629">
        <f>H68/DAY(B2)</f>
        <v>340.35666666666657</v>
      </c>
      <c r="K68" s="469"/>
      <c r="L68" s="408"/>
      <c r="N68" s="413"/>
    </row>
    <row r="69" spans="1:14" ht="27.75">
      <c r="A69" s="1385" t="s">
        <v>112</v>
      </c>
      <c r="B69" s="1386"/>
      <c r="C69" s="1387"/>
      <c r="D69" s="599" t="s">
        <v>198</v>
      </c>
      <c r="E69" s="560">
        <f>'5'!F69</f>
        <v>57260</v>
      </c>
      <c r="F69" s="554">
        <v>57540</v>
      </c>
      <c r="G69" s="549">
        <f t="shared" si="6"/>
        <v>280</v>
      </c>
      <c r="H69" s="536">
        <f>G69+'5'!H69</f>
        <v>1816.2900000000009</v>
      </c>
      <c r="I69" s="592"/>
      <c r="J69" s="629">
        <f>H69/DAY(B2)</f>
        <v>302.71500000000015</v>
      </c>
      <c r="K69" s="470"/>
      <c r="L69" s="408"/>
      <c r="N69" s="413"/>
    </row>
    <row r="70" spans="1:14" ht="27.75">
      <c r="A70" s="1391" t="s">
        <v>200</v>
      </c>
      <c r="B70" s="1392"/>
      <c r="C70" s="1393"/>
      <c r="D70" s="599" t="s">
        <v>198</v>
      </c>
      <c r="E70" s="594"/>
      <c r="F70" s="594"/>
      <c r="G70" s="594"/>
      <c r="H70" s="536"/>
      <c r="I70" s="594"/>
      <c r="J70" s="633"/>
      <c r="K70" s="470"/>
      <c r="L70" s="408"/>
      <c r="N70" s="413"/>
    </row>
    <row r="71" spans="1:14" ht="31.5">
      <c r="A71" s="1388" t="s">
        <v>201</v>
      </c>
      <c r="B71" s="1389"/>
      <c r="C71" s="1389"/>
      <c r="D71" s="1389"/>
      <c r="E71" s="1389"/>
      <c r="F71" s="1389"/>
      <c r="G71" s="1389"/>
      <c r="H71" s="1389"/>
      <c r="I71" s="1389"/>
      <c r="J71" s="1390"/>
      <c r="K71" s="469"/>
      <c r="L71" s="408"/>
      <c r="N71" s="413"/>
    </row>
    <row r="72" spans="1:14" ht="27.75">
      <c r="A72" s="1385" t="s">
        <v>202</v>
      </c>
      <c r="B72" s="1386"/>
      <c r="C72" s="1387"/>
      <c r="D72" s="599" t="s">
        <v>198</v>
      </c>
      <c r="E72" s="595">
        <f>'5'!F72</f>
        <v>848874</v>
      </c>
      <c r="F72" s="735">
        <v>848941</v>
      </c>
      <c r="G72" s="549">
        <f t="shared" ref="G72:G84" si="7">F72-E72</f>
        <v>67</v>
      </c>
      <c r="H72" s="536">
        <f>G72+'5'!H72</f>
        <v>476</v>
      </c>
      <c r="I72" s="556"/>
      <c r="J72" s="629">
        <f>H72/DAY(B2)</f>
        <v>79.333333333333329</v>
      </c>
      <c r="K72" s="470"/>
      <c r="L72" s="408"/>
      <c r="N72" s="413"/>
    </row>
    <row r="73" spans="1:14" ht="27.75">
      <c r="A73" s="1385" t="s">
        <v>203</v>
      </c>
      <c r="B73" s="1386"/>
      <c r="C73" s="1387"/>
      <c r="D73" s="599" t="s">
        <v>198</v>
      </c>
      <c r="E73" s="596">
        <f>'5'!F73</f>
        <v>885730</v>
      </c>
      <c r="F73" s="736">
        <v>885730</v>
      </c>
      <c r="G73" s="733">
        <f t="shared" si="7"/>
        <v>0</v>
      </c>
      <c r="H73" s="536">
        <f>G73+'5'!H73</f>
        <v>2</v>
      </c>
      <c r="I73" s="556"/>
      <c r="J73" s="629">
        <f>H73/DAY(B2)</f>
        <v>0.33333333333333331</v>
      </c>
      <c r="K73" s="469"/>
      <c r="L73" s="408"/>
      <c r="N73" s="413"/>
    </row>
    <row r="74" spans="1:14" ht="27.75">
      <c r="A74" s="1385" t="s">
        <v>204</v>
      </c>
      <c r="B74" s="1386"/>
      <c r="C74" s="1387"/>
      <c r="D74" s="599" t="s">
        <v>198</v>
      </c>
      <c r="E74" s="597">
        <f>'5'!F74</f>
        <v>882503</v>
      </c>
      <c r="F74" s="735">
        <v>882533</v>
      </c>
      <c r="G74" s="549">
        <f t="shared" si="7"/>
        <v>30</v>
      </c>
      <c r="H74" s="536">
        <f>G74+'5'!H74</f>
        <v>164</v>
      </c>
      <c r="I74" s="556"/>
      <c r="J74" s="629">
        <f>H74/DAY(B2)</f>
        <v>27.333333333333332</v>
      </c>
      <c r="K74" s="470"/>
      <c r="L74" s="408"/>
      <c r="N74" s="413"/>
    </row>
    <row r="75" spans="1:14" ht="27.75">
      <c r="A75" s="1382" t="s">
        <v>205</v>
      </c>
      <c r="B75" s="1383"/>
      <c r="C75" s="1384"/>
      <c r="D75" s="599" t="s">
        <v>198</v>
      </c>
      <c r="E75" s="596">
        <f>'5'!F75</f>
        <v>738424</v>
      </c>
      <c r="F75" s="736">
        <v>738595</v>
      </c>
      <c r="G75" s="549">
        <f t="shared" si="7"/>
        <v>171</v>
      </c>
      <c r="H75" s="536">
        <f>G75+'5'!H75</f>
        <v>1076</v>
      </c>
      <c r="I75" s="556"/>
      <c r="J75" s="629">
        <f>H75/DAY(B2)</f>
        <v>179.33333333333334</v>
      </c>
      <c r="K75" s="469"/>
      <c r="L75" s="408"/>
      <c r="N75" s="413"/>
    </row>
    <row r="76" spans="1:14" ht="27.75">
      <c r="A76" s="1382" t="s">
        <v>206</v>
      </c>
      <c r="B76" s="1383"/>
      <c r="C76" s="1384"/>
      <c r="D76" s="599" t="s">
        <v>198</v>
      </c>
      <c r="E76" s="596">
        <f>'5'!F76</f>
        <v>687421</v>
      </c>
      <c r="F76" s="736">
        <v>687502</v>
      </c>
      <c r="G76" s="549">
        <f t="shared" si="7"/>
        <v>81</v>
      </c>
      <c r="H76" s="536">
        <f>G76+'5'!H76</f>
        <v>488</v>
      </c>
      <c r="I76" s="581"/>
      <c r="J76" s="629">
        <f>H76/DAY(B2)</f>
        <v>81.333333333333329</v>
      </c>
      <c r="K76" s="469"/>
      <c r="L76" s="408"/>
      <c r="N76" s="413"/>
    </row>
    <row r="77" spans="1:14" ht="27.75">
      <c r="A77" s="1385" t="s">
        <v>207</v>
      </c>
      <c r="B77" s="1386"/>
      <c r="C77" s="1387"/>
      <c r="D77" s="599" t="s">
        <v>198</v>
      </c>
      <c r="E77" s="596">
        <f>'5'!F77</f>
        <v>697414</v>
      </c>
      <c r="F77" s="736">
        <v>697478</v>
      </c>
      <c r="G77" s="733">
        <f t="shared" si="7"/>
        <v>64</v>
      </c>
      <c r="H77" s="536">
        <f>G77+'5'!H77</f>
        <v>371</v>
      </c>
      <c r="I77" s="581"/>
      <c r="J77" s="629">
        <f>H77/DAY(B2)</f>
        <v>61.833333333333336</v>
      </c>
      <c r="K77" s="469"/>
      <c r="L77" s="408"/>
      <c r="N77" s="413"/>
    </row>
    <row r="78" spans="1:14" ht="27.75">
      <c r="A78" s="1234" t="s">
        <v>208</v>
      </c>
      <c r="B78" s="1205"/>
      <c r="C78" s="1205"/>
      <c r="D78" s="599" t="s">
        <v>198</v>
      </c>
      <c r="E78" s="597">
        <f>'5'!F78</f>
        <v>643923</v>
      </c>
      <c r="F78" s="737">
        <v>644391</v>
      </c>
      <c r="G78" s="549">
        <f t="shared" si="7"/>
        <v>468</v>
      </c>
      <c r="H78" s="536">
        <f>G78+'5'!H78</f>
        <v>2438</v>
      </c>
      <c r="I78" s="581"/>
      <c r="J78" s="629">
        <f>H78/DAY(B2)</f>
        <v>406.33333333333331</v>
      </c>
      <c r="K78" s="469"/>
      <c r="L78" s="408"/>
      <c r="N78" s="413"/>
    </row>
    <row r="79" spans="1:14" ht="27.75">
      <c r="A79" s="1382" t="s">
        <v>97</v>
      </c>
      <c r="B79" s="1383"/>
      <c r="C79" s="1384"/>
      <c r="D79" s="600" t="s">
        <v>198</v>
      </c>
      <c r="E79" s="597">
        <f>'5'!F79</f>
        <v>810681</v>
      </c>
      <c r="F79" s="737">
        <v>810884</v>
      </c>
      <c r="G79" s="549">
        <f t="shared" si="7"/>
        <v>203</v>
      </c>
      <c r="H79" s="536">
        <f>G79+'5'!H79</f>
        <v>1193</v>
      </c>
      <c r="I79" s="581"/>
      <c r="J79" s="629">
        <f>H79/DAY(B2)</f>
        <v>198.83333333333334</v>
      </c>
      <c r="K79" s="469"/>
      <c r="L79" s="408"/>
      <c r="N79" s="413"/>
    </row>
    <row r="80" spans="1:14" ht="27.75">
      <c r="A80" s="1382" t="s">
        <v>209</v>
      </c>
      <c r="B80" s="1383"/>
      <c r="C80" s="1384"/>
      <c r="D80" s="600" t="s">
        <v>198</v>
      </c>
      <c r="E80" s="596">
        <f>'5'!F80</f>
        <v>486700</v>
      </c>
      <c r="F80" s="736">
        <v>487008</v>
      </c>
      <c r="G80" s="549">
        <f t="shared" si="7"/>
        <v>308</v>
      </c>
      <c r="H80" s="536">
        <f>G80+'5'!H80</f>
        <v>1881</v>
      </c>
      <c r="I80" s="581"/>
      <c r="J80" s="629">
        <f>H80/DAY(B2)</f>
        <v>313.5</v>
      </c>
      <c r="K80" s="469"/>
      <c r="L80" s="408"/>
      <c r="N80" s="413"/>
    </row>
    <row r="81" spans="1:15" ht="27.75">
      <c r="A81" s="1382" t="s">
        <v>210</v>
      </c>
      <c r="B81" s="1383"/>
      <c r="C81" s="1384"/>
      <c r="D81" s="600" t="s">
        <v>198</v>
      </c>
      <c r="E81" s="596">
        <f>'5'!F81</f>
        <v>623252</v>
      </c>
      <c r="F81" s="736">
        <v>623356</v>
      </c>
      <c r="G81" s="549">
        <f t="shared" si="7"/>
        <v>104</v>
      </c>
      <c r="H81" s="536">
        <f>G81+'5'!H81</f>
        <v>581</v>
      </c>
      <c r="I81" s="581"/>
      <c r="J81" s="629">
        <f>H81/DAY(B2)</f>
        <v>96.833333333333329</v>
      </c>
      <c r="K81" s="469"/>
      <c r="L81" s="408"/>
      <c r="N81" s="413"/>
    </row>
    <row r="82" spans="1:15" ht="27.75">
      <c r="A82" s="1382" t="s">
        <v>100</v>
      </c>
      <c r="B82" s="1383"/>
      <c r="C82" s="1384"/>
      <c r="D82" s="561" t="s">
        <v>143</v>
      </c>
      <c r="E82" s="598">
        <f>'5'!F82</f>
        <v>105631</v>
      </c>
      <c r="F82" s="732">
        <v>105652</v>
      </c>
      <c r="G82" s="549">
        <f t="shared" si="7"/>
        <v>21</v>
      </c>
      <c r="H82" s="536">
        <f>G82+'5'!H82</f>
        <v>212</v>
      </c>
      <c r="I82" s="562"/>
      <c r="J82" s="629">
        <f>H82/DAY(B2)</f>
        <v>35.333333333333336</v>
      </c>
      <c r="K82" s="469"/>
      <c r="L82" s="408"/>
      <c r="N82" s="413"/>
    </row>
    <row r="83" spans="1:15" ht="27.75">
      <c r="A83" s="1382" t="s">
        <v>211</v>
      </c>
      <c r="B83" s="1383"/>
      <c r="C83" s="1384"/>
      <c r="D83" s="697" t="s">
        <v>143</v>
      </c>
      <c r="E83" s="587">
        <f>'5'!F83</f>
        <v>985917</v>
      </c>
      <c r="F83" s="587">
        <v>986402</v>
      </c>
      <c r="G83" s="549">
        <f t="shared" si="7"/>
        <v>485</v>
      </c>
      <c r="H83" s="536">
        <f>G83+'5'!H83</f>
        <v>2661</v>
      </c>
      <c r="I83" s="557"/>
      <c r="J83" s="629">
        <f>H83/DAY(B2)</f>
        <v>443.5</v>
      </c>
      <c r="K83" s="468"/>
      <c r="L83" s="408"/>
      <c r="N83" s="413"/>
    </row>
    <row r="84" spans="1:15">
      <c r="A84" s="1235" t="s">
        <v>212</v>
      </c>
      <c r="B84" s="648"/>
      <c r="C84" s="648"/>
      <c r="D84" s="554" t="s">
        <v>143</v>
      </c>
      <c r="E84" s="704">
        <f>'5'!F84</f>
        <v>418526</v>
      </c>
      <c r="F84" s="704">
        <v>419003</v>
      </c>
      <c r="G84" s="549">
        <f t="shared" si="7"/>
        <v>477</v>
      </c>
      <c r="H84" s="536">
        <f>G84+'5'!H84</f>
        <v>2930</v>
      </c>
      <c r="I84" s="557"/>
      <c r="J84" s="629">
        <f>H84/DAY(B2)</f>
        <v>488.33333333333331</v>
      </c>
      <c r="K84" s="411"/>
      <c r="L84" s="408"/>
      <c r="N84" s="413"/>
    </row>
    <row r="85" spans="1:15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SUM(G71:G84)</f>
        <v>2479</v>
      </c>
      <c r="H85" s="536">
        <f>G85+'5'!H85</f>
        <v>12660</v>
      </c>
      <c r="I85" s="557"/>
      <c r="J85" s="629">
        <f>H85/DAY(B2)</f>
        <v>2110</v>
      </c>
      <c r="K85" s="411"/>
      <c r="L85" s="409"/>
      <c r="N85" s="413"/>
    </row>
    <row r="86" spans="1:15" s="817" customFormat="1">
      <c r="A86" s="812" t="s">
        <v>102</v>
      </c>
      <c r="B86" s="813"/>
      <c r="C86" s="813"/>
      <c r="D86" s="814" t="s">
        <v>194</v>
      </c>
      <c r="E86" s="704">
        <f>'5'!F86</f>
        <v>447763</v>
      </c>
      <c r="F86" s="728">
        <v>447922</v>
      </c>
      <c r="G86" s="787">
        <f t="shared" ref="G86:G90" si="8">F86-E86</f>
        <v>159</v>
      </c>
      <c r="H86" s="536">
        <f>G86+'5'!H86</f>
        <v>816</v>
      </c>
      <c r="I86" s="733"/>
      <c r="J86" s="789">
        <f>H86/DAY(B2)</f>
        <v>136</v>
      </c>
      <c r="K86" s="815"/>
      <c r="L86" s="816"/>
      <c r="O86" s="795"/>
    </row>
    <row r="87" spans="1:15" s="817" customFormat="1">
      <c r="A87" s="812" t="s">
        <v>103</v>
      </c>
      <c r="B87" s="813"/>
      <c r="C87" s="813"/>
      <c r="D87" s="814" t="s">
        <v>194</v>
      </c>
      <c r="E87" s="704">
        <f>'5'!F87</f>
        <v>78605</v>
      </c>
      <c r="F87" s="728">
        <v>78625</v>
      </c>
      <c r="G87" s="787">
        <f t="shared" si="8"/>
        <v>20</v>
      </c>
      <c r="H87" s="536">
        <f>G87+'5'!H87</f>
        <v>178.69999999999709</v>
      </c>
      <c r="I87" s="733"/>
      <c r="J87" s="789">
        <f>H87/DAY(B2)</f>
        <v>29.783333333332848</v>
      </c>
      <c r="K87" s="815"/>
      <c r="L87" s="816"/>
      <c r="O87" s="795"/>
    </row>
    <row r="88" spans="1:15" s="817" customFormat="1">
      <c r="A88" s="812" t="s">
        <v>104</v>
      </c>
      <c r="B88" s="813"/>
      <c r="C88" s="813"/>
      <c r="D88" s="814" t="s">
        <v>194</v>
      </c>
      <c r="E88" s="704">
        <f>'5'!F88</f>
        <v>146845</v>
      </c>
      <c r="F88" s="728">
        <v>146908</v>
      </c>
      <c r="G88" s="787">
        <f t="shared" si="8"/>
        <v>63</v>
      </c>
      <c r="H88" s="536">
        <f>G88+'5'!H88</f>
        <v>406</v>
      </c>
      <c r="I88" s="733"/>
      <c r="J88" s="789">
        <f>H88/DAY(B2)</f>
        <v>67.666666666666671</v>
      </c>
      <c r="K88" s="815"/>
      <c r="L88" s="816"/>
      <c r="O88" s="795"/>
    </row>
    <row r="89" spans="1:15" s="817" customFormat="1">
      <c r="A89" s="812" t="s">
        <v>215</v>
      </c>
      <c r="B89" s="813"/>
      <c r="C89" s="813"/>
      <c r="D89" s="814" t="s">
        <v>194</v>
      </c>
      <c r="E89" s="704">
        <f>'5'!F89</f>
        <v>60205</v>
      </c>
      <c r="F89" s="728">
        <v>60255</v>
      </c>
      <c r="G89" s="787">
        <f t="shared" si="8"/>
        <v>50</v>
      </c>
      <c r="H89" s="536">
        <f>G89+'5'!H89</f>
        <v>453</v>
      </c>
      <c r="I89" s="733"/>
      <c r="J89" s="789">
        <f>H89/DAY(B2)</f>
        <v>75.5</v>
      </c>
      <c r="K89" s="815"/>
      <c r="L89" s="816"/>
      <c r="N89" s="860"/>
      <c r="O89" s="413"/>
    </row>
    <row r="90" spans="1:15" s="817" customFormat="1">
      <c r="A90" s="812" t="s">
        <v>215</v>
      </c>
      <c r="B90" s="813"/>
      <c r="C90" s="813"/>
      <c r="D90" s="814" t="s">
        <v>194</v>
      </c>
      <c r="E90" s="704">
        <f>'5'!F90</f>
        <v>3087</v>
      </c>
      <c r="F90" s="728">
        <v>3088</v>
      </c>
      <c r="G90" s="787">
        <f t="shared" si="8"/>
        <v>1</v>
      </c>
      <c r="H90" s="536">
        <f>G90+'5'!H90</f>
        <v>22.099999999999909</v>
      </c>
      <c r="I90" s="733"/>
      <c r="J90" s="789">
        <f>H90/DAY(B2)</f>
        <v>3.683333333333318</v>
      </c>
      <c r="K90" s="815"/>
      <c r="L90" s="816"/>
      <c r="N90" s="860"/>
      <c r="O90" s="413"/>
    </row>
    <row r="91" spans="1:15" s="410" customFormat="1">
      <c r="A91" s="683" t="s">
        <v>216</v>
      </c>
      <c r="B91" s="1237"/>
      <c r="C91" s="1237"/>
      <c r="D91" s="548"/>
      <c r="E91" s="548"/>
      <c r="F91" s="548"/>
      <c r="G91" s="564"/>
      <c r="H91" s="548"/>
      <c r="I91" s="548"/>
      <c r="J91" s="628"/>
      <c r="K91" s="411"/>
      <c r="L91" s="409"/>
      <c r="N91" s="413"/>
    </row>
    <row r="92" spans="1:15" ht="27.75">
      <c r="A92" s="1406" t="s">
        <v>217</v>
      </c>
      <c r="B92" s="1407"/>
      <c r="C92" s="1408"/>
      <c r="D92" s="599" t="s">
        <v>155</v>
      </c>
      <c r="E92" s="560">
        <f>'5'!F92</f>
        <v>237032</v>
      </c>
      <c r="F92" s="554">
        <v>237121</v>
      </c>
      <c r="G92" s="549">
        <f t="shared" ref="G92:G93" si="9">F92-E92</f>
        <v>89</v>
      </c>
      <c r="H92" s="536">
        <f>G92+'5'!H92</f>
        <v>551</v>
      </c>
      <c r="I92" s="556"/>
      <c r="J92" s="629">
        <f>H92/DAY(B2)</f>
        <v>91.833333333333329</v>
      </c>
      <c r="K92" s="468"/>
      <c r="L92" s="408"/>
      <c r="N92" s="413"/>
    </row>
    <row r="93" spans="1:15" ht="27.75">
      <c r="A93" s="1406" t="s">
        <v>218</v>
      </c>
      <c r="B93" s="1407"/>
      <c r="C93" s="1408"/>
      <c r="D93" s="599" t="s">
        <v>155</v>
      </c>
      <c r="E93" s="560">
        <f>'5'!F93</f>
        <v>171999</v>
      </c>
      <c r="F93" s="554">
        <v>172100</v>
      </c>
      <c r="G93" s="549">
        <f t="shared" si="9"/>
        <v>101</v>
      </c>
      <c r="H93" s="536">
        <f>G93+'5'!H93</f>
        <v>924</v>
      </c>
      <c r="I93" s="556"/>
      <c r="J93" s="629">
        <f>H93/DAY(B2)</f>
        <v>154</v>
      </c>
      <c r="K93" s="411"/>
      <c r="L93" s="408"/>
      <c r="N93" s="413"/>
    </row>
    <row r="94" spans="1:15">
      <c r="A94" s="1434" t="s">
        <v>219</v>
      </c>
      <c r="B94" s="1435"/>
      <c r="C94" s="1436"/>
      <c r="D94" s="599"/>
      <c r="E94" s="560">
        <f>'5'!F94</f>
        <v>0</v>
      </c>
      <c r="F94" s="554"/>
      <c r="G94" s="549">
        <f>G92+G93</f>
        <v>190</v>
      </c>
      <c r="H94" s="536">
        <f>G94+'5'!H94</f>
        <v>1188</v>
      </c>
      <c r="I94" s="556"/>
      <c r="J94" s="629">
        <f>H94/DAY(B2)</f>
        <v>198</v>
      </c>
      <c r="K94" s="411"/>
      <c r="L94" s="408"/>
      <c r="N94" s="413"/>
    </row>
    <row r="95" spans="1:15" ht="27.75">
      <c r="A95" s="1406" t="s">
        <v>220</v>
      </c>
      <c r="B95" s="1407"/>
      <c r="C95" s="1408"/>
      <c r="D95" s="599" t="s">
        <v>155</v>
      </c>
      <c r="E95" s="560">
        <f>'5'!F95</f>
        <v>406215</v>
      </c>
      <c r="F95" s="554">
        <v>406276</v>
      </c>
      <c r="G95" s="549">
        <f t="shared" ref="G95:G100" si="10">F95-E95</f>
        <v>61</v>
      </c>
      <c r="H95" s="536">
        <f>G95+'5'!H95</f>
        <v>400</v>
      </c>
      <c r="I95" s="556"/>
      <c r="J95" s="629">
        <f>H95/DAY(B2)</f>
        <v>66.666666666666671</v>
      </c>
      <c r="K95" s="411"/>
      <c r="L95" s="408"/>
      <c r="N95" s="413"/>
    </row>
    <row r="96" spans="1:15" ht="27.75">
      <c r="A96" s="1231" t="s">
        <v>221</v>
      </c>
      <c r="B96" s="1232"/>
      <c r="C96" s="1232"/>
      <c r="D96" s="599" t="s">
        <v>155</v>
      </c>
      <c r="E96" s="560">
        <f>'5'!F96</f>
        <v>100681</v>
      </c>
      <c r="F96" s="554">
        <v>100715</v>
      </c>
      <c r="G96" s="549">
        <f t="shared" si="10"/>
        <v>34</v>
      </c>
      <c r="H96" s="536">
        <f>G96+'5'!H96</f>
        <v>181</v>
      </c>
      <c r="I96" s="556"/>
      <c r="J96" s="629">
        <f>H96/DAY(B2)</f>
        <v>30.166666666666668</v>
      </c>
      <c r="K96" s="466"/>
      <c r="L96" s="408"/>
      <c r="N96" s="413"/>
    </row>
    <row r="97" spans="1:14" ht="27.75">
      <c r="A97" s="1231" t="s">
        <v>222</v>
      </c>
      <c r="B97" s="1232"/>
      <c r="C97" s="1232"/>
      <c r="D97" s="599" t="s">
        <v>155</v>
      </c>
      <c r="E97" s="560">
        <f>'5'!F97</f>
        <v>95827</v>
      </c>
      <c r="F97" s="554">
        <v>95858</v>
      </c>
      <c r="G97" s="549">
        <f t="shared" si="10"/>
        <v>31</v>
      </c>
      <c r="H97" s="536">
        <f>G97+'5'!H97</f>
        <v>181</v>
      </c>
      <c r="I97" s="556"/>
      <c r="J97" s="629">
        <f>H97/DAY(B2)</f>
        <v>30.166666666666668</v>
      </c>
      <c r="K97" s="471"/>
      <c r="L97" s="408"/>
      <c r="N97" s="413"/>
    </row>
    <row r="98" spans="1:14" ht="27.75">
      <c r="A98" s="1231" t="s">
        <v>223</v>
      </c>
      <c r="B98" s="1232"/>
      <c r="C98" s="1232"/>
      <c r="D98" s="599" t="s">
        <v>155</v>
      </c>
      <c r="E98" s="560">
        <f>'5'!F98</f>
        <v>145883</v>
      </c>
      <c r="F98" s="554">
        <v>145955</v>
      </c>
      <c r="G98" s="549">
        <f t="shared" si="10"/>
        <v>72</v>
      </c>
      <c r="H98" s="536">
        <f>G98+'5'!H98</f>
        <v>401</v>
      </c>
      <c r="I98" s="556"/>
      <c r="J98" s="629">
        <f>H98/DAY(B2)</f>
        <v>66.833333333333329</v>
      </c>
      <c r="K98" s="411"/>
      <c r="L98" s="408"/>
      <c r="N98" s="785"/>
    </row>
    <row r="99" spans="1:14" ht="27.75">
      <c r="A99" s="1231" t="s">
        <v>224</v>
      </c>
      <c r="B99" s="1232"/>
      <c r="C99" s="1232"/>
      <c r="D99" s="599" t="s">
        <v>155</v>
      </c>
      <c r="E99" s="560">
        <f>'5'!F99</f>
        <v>6022</v>
      </c>
      <c r="F99" s="554">
        <v>6031</v>
      </c>
      <c r="G99" s="549">
        <f t="shared" si="10"/>
        <v>9</v>
      </c>
      <c r="H99" s="536">
        <f>G99+'5'!H99</f>
        <v>57</v>
      </c>
      <c r="I99" s="556"/>
      <c r="J99" s="629">
        <f>H99/DAY(B2)</f>
        <v>9.5</v>
      </c>
      <c r="K99" s="411"/>
      <c r="L99" s="408"/>
      <c r="N99" s="413"/>
    </row>
    <row r="100" spans="1:14" ht="27.75">
      <c r="A100" s="1231" t="s">
        <v>225</v>
      </c>
      <c r="B100" s="1232"/>
      <c r="C100" s="1232"/>
      <c r="D100" s="599" t="s">
        <v>155</v>
      </c>
      <c r="E100" s="560">
        <f>'5'!F100</f>
        <v>4266</v>
      </c>
      <c r="F100" s="554">
        <v>4275</v>
      </c>
      <c r="G100" s="549">
        <f t="shared" si="10"/>
        <v>9</v>
      </c>
      <c r="H100" s="536">
        <f>G100+'5'!H100</f>
        <v>38</v>
      </c>
      <c r="I100" s="556"/>
      <c r="J100" s="629">
        <f>H100/DAY(B2)</f>
        <v>6.333333333333333</v>
      </c>
      <c r="K100" s="411"/>
      <c r="L100" s="408"/>
      <c r="N100" s="413"/>
    </row>
    <row r="101" spans="1:14">
      <c r="A101" s="1434" t="s">
        <v>227</v>
      </c>
      <c r="B101" s="1435"/>
      <c r="C101" s="1436"/>
      <c r="D101" s="600"/>
      <c r="E101" s="600"/>
      <c r="F101" s="600"/>
      <c r="G101" s="601">
        <f>SUM(G95:G100)</f>
        <v>216</v>
      </c>
      <c r="H101" s="536">
        <f>G101+'5'!H101</f>
        <v>1258</v>
      </c>
      <c r="I101" s="602"/>
      <c r="J101" s="629">
        <f>H101/DAY(B2)</f>
        <v>209.66666666666666</v>
      </c>
      <c r="K101" s="411"/>
      <c r="L101" s="408"/>
      <c r="N101" s="413"/>
    </row>
    <row r="102" spans="1:14" s="481" customFormat="1" ht="27">
      <c r="A102" s="684" t="s">
        <v>228</v>
      </c>
      <c r="B102" s="685"/>
      <c r="C102" s="685"/>
      <c r="D102" s="698"/>
      <c r="E102" s="604"/>
      <c r="F102" s="738"/>
      <c r="G102" s="605"/>
      <c r="H102" s="606"/>
      <c r="I102" s="607"/>
      <c r="J102" s="634"/>
      <c r="N102" s="413"/>
    </row>
    <row r="103" spans="1:14" s="481" customFormat="1" ht="27.75">
      <c r="A103" s="1437" t="s">
        <v>229</v>
      </c>
      <c r="B103" s="1438"/>
      <c r="C103" s="650"/>
      <c r="D103" s="699"/>
      <c r="E103" s="608"/>
      <c r="F103" s="739"/>
      <c r="G103" s="608"/>
      <c r="H103" s="609"/>
      <c r="I103" s="608"/>
      <c r="J103" s="635"/>
      <c r="N103" s="413"/>
    </row>
    <row r="104" spans="1:14" s="481" customFormat="1" ht="27.75">
      <c r="A104" s="1398" t="s">
        <v>230</v>
      </c>
      <c r="B104" s="1399"/>
      <c r="C104" s="1230"/>
      <c r="D104" s="699" t="s">
        <v>155</v>
      </c>
      <c r="E104" s="608">
        <f>'5'!F104</f>
        <v>7010</v>
      </c>
      <c r="F104" s="739">
        <v>7010</v>
      </c>
      <c r="G104" s="608">
        <f>F104-E104</f>
        <v>0</v>
      </c>
      <c r="H104" s="536">
        <f>G104+'5'!H104</f>
        <v>0</v>
      </c>
      <c r="I104" s="608"/>
      <c r="J104" s="635">
        <f>H104/DAY(B2)</f>
        <v>0</v>
      </c>
      <c r="N104" s="413"/>
    </row>
    <row r="105" spans="1:14" s="481" customFormat="1" ht="27.75">
      <c r="A105" s="1398" t="s">
        <v>77</v>
      </c>
      <c r="B105" s="1399"/>
      <c r="C105" s="1230"/>
      <c r="D105" s="699" t="s">
        <v>155</v>
      </c>
      <c r="E105" s="608">
        <f>'5'!F105</f>
        <v>35197</v>
      </c>
      <c r="F105" s="740">
        <v>35203</v>
      </c>
      <c r="G105" s="608">
        <f t="shared" ref="G105" si="11">F105-E105</f>
        <v>6</v>
      </c>
      <c r="H105" s="536">
        <f>G105+'5'!H105</f>
        <v>48</v>
      </c>
      <c r="I105" s="608"/>
      <c r="J105" s="635">
        <f>H105/DAY(B2)</f>
        <v>8</v>
      </c>
      <c r="N105" s="413"/>
    </row>
    <row r="106" spans="1:14" s="481" customFormat="1" ht="27.75">
      <c r="A106" s="1398" t="s">
        <v>78</v>
      </c>
      <c r="B106" s="1439"/>
      <c r="C106" s="1399"/>
      <c r="D106" s="699" t="s">
        <v>155</v>
      </c>
      <c r="E106" s="608">
        <f>'5'!F106</f>
        <v>19106</v>
      </c>
      <c r="F106" s="739">
        <v>19112</v>
      </c>
      <c r="G106" s="608">
        <f>F106-E106</f>
        <v>6</v>
      </c>
      <c r="H106" s="536">
        <f>G106+'5'!H106</f>
        <v>38</v>
      </c>
      <c r="I106" s="608"/>
      <c r="J106" s="635">
        <f>H106/DAY(B2)</f>
        <v>6.333333333333333</v>
      </c>
      <c r="N106" s="413"/>
    </row>
    <row r="107" spans="1:14" s="481" customFormat="1" ht="27.75">
      <c r="A107" s="1400" t="s">
        <v>213</v>
      </c>
      <c r="B107" s="1401"/>
      <c r="C107" s="1230"/>
      <c r="D107" s="699"/>
      <c r="E107" s="608"/>
      <c r="F107" s="739"/>
      <c r="G107" s="608">
        <f>SUM(G104:G106)</f>
        <v>12</v>
      </c>
      <c r="H107" s="536">
        <f>G107+'5'!H107</f>
        <v>86</v>
      </c>
      <c r="I107" s="608"/>
      <c r="J107" s="635">
        <f>H107/DAY(B2)</f>
        <v>14.333333333333334</v>
      </c>
      <c r="N107" s="413"/>
    </row>
    <row r="108" spans="1:14" s="481" customFormat="1" ht="27.75">
      <c r="A108" s="1404" t="s">
        <v>79</v>
      </c>
      <c r="B108" s="1405"/>
      <c r="C108" s="1230"/>
      <c r="D108" s="699" t="s">
        <v>155</v>
      </c>
      <c r="E108" s="608"/>
      <c r="F108" s="739"/>
      <c r="G108" s="608"/>
      <c r="H108" s="536" t="e">
        <f>G108+'5'!H108</f>
        <v>#REF!</v>
      </c>
      <c r="I108" s="608"/>
      <c r="J108" s="635"/>
      <c r="N108" s="413"/>
    </row>
    <row r="109" spans="1:14" s="481" customFormat="1" ht="27.75">
      <c r="A109" s="1398" t="s">
        <v>231</v>
      </c>
      <c r="B109" s="1399"/>
      <c r="C109" s="1230"/>
      <c r="D109" s="699" t="s">
        <v>155</v>
      </c>
      <c r="E109" s="608">
        <f>'5'!F109</f>
        <v>54949</v>
      </c>
      <c r="F109" s="739">
        <v>54989</v>
      </c>
      <c r="G109" s="608">
        <f>F109-E109</f>
        <v>40</v>
      </c>
      <c r="H109" s="536">
        <f>G109+'5'!H109</f>
        <v>370</v>
      </c>
      <c r="I109" s="608"/>
      <c r="J109" s="635">
        <f>H109/DAY(B2)</f>
        <v>61.666666666666664</v>
      </c>
      <c r="N109" s="413"/>
    </row>
    <row r="110" spans="1:14" s="481" customFormat="1" ht="27.75">
      <c r="A110" s="1398" t="s">
        <v>232</v>
      </c>
      <c r="B110" s="1399"/>
      <c r="C110" s="1230"/>
      <c r="D110" s="699" t="s">
        <v>155</v>
      </c>
      <c r="E110" s="608">
        <f>'5'!F110</f>
        <v>28831</v>
      </c>
      <c r="F110" s="739">
        <v>28876</v>
      </c>
      <c r="G110" s="608">
        <f>F110-E110</f>
        <v>45</v>
      </c>
      <c r="H110" s="536">
        <f>G110+'5'!H110</f>
        <v>382</v>
      </c>
      <c r="I110" s="608"/>
      <c r="J110" s="635">
        <f>H110/DAY(B2)</f>
        <v>63.666666666666664</v>
      </c>
      <c r="N110" s="413"/>
    </row>
    <row r="111" spans="1:14" s="481" customFormat="1" ht="27.75">
      <c r="A111" s="1398" t="s">
        <v>233</v>
      </c>
      <c r="B111" s="1399"/>
      <c r="C111" s="1230"/>
      <c r="D111" s="699" t="s">
        <v>155</v>
      </c>
      <c r="E111" s="608">
        <f>'5'!F111</f>
        <v>3770</v>
      </c>
      <c r="F111" s="739">
        <v>3802</v>
      </c>
      <c r="G111" s="608">
        <f t="shared" ref="G111" si="12">F111-E111</f>
        <v>32</v>
      </c>
      <c r="H111" s="536">
        <f>G111+'5'!H111</f>
        <v>62</v>
      </c>
      <c r="I111" s="608"/>
      <c r="J111" s="635">
        <f>H111/DAY(B2)</f>
        <v>10.333333333333334</v>
      </c>
      <c r="N111" s="413"/>
    </row>
    <row r="112" spans="1:14" s="481" customFormat="1" ht="27.75">
      <c r="A112" s="1400" t="s">
        <v>121</v>
      </c>
      <c r="B112" s="1401"/>
      <c r="C112" s="1230"/>
      <c r="D112" s="699"/>
      <c r="E112" s="608"/>
      <c r="F112" s="739"/>
      <c r="G112" s="608">
        <f>SUM(G109:G111)</f>
        <v>117</v>
      </c>
      <c r="H112" s="536">
        <f>G112+'5'!H112</f>
        <v>814</v>
      </c>
      <c r="I112" s="608"/>
      <c r="J112" s="635">
        <f>H112/DAY(B2)</f>
        <v>135.66666666666666</v>
      </c>
      <c r="N112" s="413"/>
    </row>
    <row r="113" spans="1:14" s="481" customFormat="1" ht="27.75">
      <c r="A113" s="1404" t="s">
        <v>234</v>
      </c>
      <c r="B113" s="1405"/>
      <c r="C113" s="1230"/>
      <c r="D113" s="699"/>
      <c r="E113" s="608"/>
      <c r="F113" s="739"/>
      <c r="G113" s="608"/>
      <c r="H113" s="536">
        <f>G113+'5'!H113</f>
        <v>0</v>
      </c>
      <c r="I113" s="608"/>
      <c r="J113" s="635">
        <f>H113/DAY(B2)</f>
        <v>0</v>
      </c>
      <c r="N113" s="413"/>
    </row>
    <row r="114" spans="1:14" s="481" customFormat="1" ht="27.75">
      <c r="A114" s="1398" t="s">
        <v>235</v>
      </c>
      <c r="B114" s="1399"/>
      <c r="C114" s="651"/>
      <c r="D114" s="699" t="s">
        <v>155</v>
      </c>
      <c r="E114" s="608">
        <f>'5'!F114</f>
        <v>9861</v>
      </c>
      <c r="F114" s="740">
        <v>9872</v>
      </c>
      <c r="G114" s="610">
        <f>F114-E114</f>
        <v>11</v>
      </c>
      <c r="H114" s="536">
        <f>G114+'5'!H114</f>
        <v>85</v>
      </c>
      <c r="I114" s="608"/>
      <c r="J114" s="635">
        <f>H114/DAY(B2)</f>
        <v>14.166666666666666</v>
      </c>
      <c r="N114" s="413"/>
    </row>
    <row r="115" spans="1:14" s="481" customFormat="1" ht="27.75">
      <c r="A115" s="1398" t="s">
        <v>236</v>
      </c>
      <c r="B115" s="1399"/>
      <c r="C115" s="651"/>
      <c r="D115" s="699" t="s">
        <v>155</v>
      </c>
      <c r="E115" s="608">
        <f>'5'!F115</f>
        <v>7452</v>
      </c>
      <c r="F115" s="740">
        <v>7458</v>
      </c>
      <c r="G115" s="610">
        <f t="shared" ref="G115:G116" si="13">F115-E115</f>
        <v>6</v>
      </c>
      <c r="H115" s="536">
        <f>G115+'5'!H115</f>
        <v>38</v>
      </c>
      <c r="I115" s="608"/>
      <c r="J115" s="635">
        <f>H115/DAY(B2)</f>
        <v>6.333333333333333</v>
      </c>
      <c r="N115" s="413"/>
    </row>
    <row r="116" spans="1:14" s="481" customFormat="1" ht="27.75">
      <c r="A116" s="1398" t="s">
        <v>237</v>
      </c>
      <c r="B116" s="1399"/>
      <c r="C116" s="651"/>
      <c r="D116" s="699" t="s">
        <v>155</v>
      </c>
      <c r="E116" s="610"/>
      <c r="F116" s="740"/>
      <c r="G116" s="610">
        <f t="shared" si="13"/>
        <v>0</v>
      </c>
      <c r="H116" s="536">
        <f>G116+'5'!H116</f>
        <v>0</v>
      </c>
      <c r="I116" s="608"/>
      <c r="J116" s="635">
        <f>H116/DAY(B2)</f>
        <v>0</v>
      </c>
      <c r="N116" s="413"/>
    </row>
    <row r="117" spans="1:14" s="494" customFormat="1" ht="27.75">
      <c r="A117" s="1400" t="s">
        <v>213</v>
      </c>
      <c r="B117" s="1401"/>
      <c r="C117" s="651"/>
      <c r="D117" s="700"/>
      <c r="E117" s="610"/>
      <c r="F117" s="740"/>
      <c r="G117" s="610">
        <f>SUM(G114:G116)</f>
        <v>17</v>
      </c>
      <c r="H117" s="536">
        <f>G117+'5'!H117</f>
        <v>123</v>
      </c>
      <c r="I117" s="610"/>
      <c r="J117" s="635">
        <f>H117/DAY(B2)</f>
        <v>20.5</v>
      </c>
      <c r="N117" s="413"/>
    </row>
    <row r="118" spans="1:14" s="495" customFormat="1" ht="27.75">
      <c r="A118" s="1394" t="s">
        <v>238</v>
      </c>
      <c r="B118" s="1395"/>
      <c r="C118" s="1228"/>
      <c r="D118" s="701" t="s">
        <v>155</v>
      </c>
      <c r="E118" s="612"/>
      <c r="F118" s="741">
        <f>SUM(G19+G92)</f>
        <v>140</v>
      </c>
      <c r="G118" s="612">
        <f>SUM(G19+G92)</f>
        <v>140</v>
      </c>
      <c r="H118" s="536">
        <f>G118+'5'!H118</f>
        <v>846</v>
      </c>
      <c r="I118" s="611"/>
      <c r="J118" s="636">
        <f>H118/DAY(B2)</f>
        <v>141</v>
      </c>
      <c r="N118" s="413"/>
    </row>
    <row r="119" spans="1:14" s="495" customFormat="1" ht="27.75">
      <c r="A119" s="1394" t="s">
        <v>239</v>
      </c>
      <c r="B119" s="1395"/>
      <c r="C119" s="1228"/>
      <c r="D119" s="701" t="s">
        <v>155</v>
      </c>
      <c r="E119" s="612"/>
      <c r="F119" s="741">
        <f>SUM(G95,G96,G97,G99,G100)</f>
        <v>144</v>
      </c>
      <c r="G119" s="612">
        <f>SUM(G95,G96,G97,G99,G100)</f>
        <v>144</v>
      </c>
      <c r="H119" s="536">
        <f>G119+'5'!H119</f>
        <v>857</v>
      </c>
      <c r="I119" s="611"/>
      <c r="J119" s="636">
        <f>H119/DAY(B2)</f>
        <v>142.83333333333334</v>
      </c>
      <c r="N119" s="413"/>
    </row>
    <row r="120" spans="1:14" s="495" customFormat="1" ht="27.75">
      <c r="A120" s="1394" t="s">
        <v>240</v>
      </c>
      <c r="B120" s="1395"/>
      <c r="C120" s="1228"/>
      <c r="D120" s="701" t="s">
        <v>155</v>
      </c>
      <c r="E120" s="610"/>
      <c r="F120" s="740">
        <f>SUM(G112)</f>
        <v>117</v>
      </c>
      <c r="G120" s="610">
        <f>SUM(G112)</f>
        <v>117</v>
      </c>
      <c r="H120" s="536">
        <f>G120+'5'!H120</f>
        <v>814</v>
      </c>
      <c r="I120" s="611"/>
      <c r="J120" s="636">
        <f>H120/DAY(B2)</f>
        <v>135.66666666666666</v>
      </c>
      <c r="N120" s="413"/>
    </row>
    <row r="121" spans="1:14" s="481" customFormat="1" ht="27.75">
      <c r="A121" s="1396"/>
      <c r="B121" s="1397"/>
      <c r="C121" s="1229"/>
      <c r="D121" s="637"/>
      <c r="E121" s="637"/>
      <c r="F121" s="742" t="s">
        <v>226</v>
      </c>
      <c r="G121" s="637"/>
      <c r="H121" s="638"/>
      <c r="I121" s="637"/>
      <c r="J121" s="639"/>
      <c r="N121" s="413"/>
    </row>
    <row r="122" spans="1:14">
      <c r="A122" s="1431" t="s">
        <v>241</v>
      </c>
      <c r="B122" s="1432"/>
      <c r="C122" s="1433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</row>
    <row r="123" spans="1:14" ht="27.75">
      <c r="A123" s="1231" t="s">
        <v>242</v>
      </c>
      <c r="B123" s="1232"/>
      <c r="C123" s="1232"/>
      <c r="D123" s="599" t="s">
        <v>152</v>
      </c>
      <c r="E123" s="554">
        <f>'5'!F123</f>
        <v>804673</v>
      </c>
      <c r="F123" s="554">
        <v>804961</v>
      </c>
      <c r="G123" s="549">
        <f t="shared" ref="G123:G127" si="14">F123-E123</f>
        <v>288</v>
      </c>
      <c r="H123" s="536">
        <f>G123+'5'!H123</f>
        <v>1625.5999999999767</v>
      </c>
      <c r="I123" s="602"/>
      <c r="J123" s="629">
        <f>H123/DAY(B2)</f>
        <v>270.93333333332947</v>
      </c>
      <c r="K123" s="411"/>
      <c r="L123" s="408"/>
      <c r="N123" s="413"/>
    </row>
    <row r="124" spans="1:14" ht="27.75">
      <c r="A124" s="1231" t="s">
        <v>243</v>
      </c>
      <c r="B124" s="1232"/>
      <c r="C124" s="1232"/>
      <c r="D124" s="599" t="s">
        <v>152</v>
      </c>
      <c r="E124" s="703">
        <f>'5'!F124</f>
        <v>73582</v>
      </c>
      <c r="F124" s="703">
        <v>73582</v>
      </c>
      <c r="G124" s="549">
        <f t="shared" si="14"/>
        <v>0</v>
      </c>
      <c r="H124" s="536">
        <f>G124+'5'!H124</f>
        <v>0</v>
      </c>
      <c r="I124" s="602"/>
      <c r="J124" s="629">
        <f>H124/DAY(B2)</f>
        <v>0</v>
      </c>
      <c r="K124" s="411"/>
      <c r="L124" s="408"/>
      <c r="N124" s="413"/>
    </row>
    <row r="125" spans="1:14" ht="27.75">
      <c r="A125" s="1385" t="s">
        <v>244</v>
      </c>
      <c r="B125" s="1386"/>
      <c r="C125" s="1387"/>
      <c r="D125" s="599" t="s">
        <v>152</v>
      </c>
      <c r="E125" s="554">
        <f>'5'!F125</f>
        <v>138197</v>
      </c>
      <c r="F125" s="554">
        <v>138260</v>
      </c>
      <c r="G125" s="549">
        <f t="shared" si="14"/>
        <v>63</v>
      </c>
      <c r="H125" s="536">
        <f>G125+'5'!H125</f>
        <v>412</v>
      </c>
      <c r="I125" s="602"/>
      <c r="J125" s="629">
        <f>H125/DAY(B2)</f>
        <v>68.666666666666671</v>
      </c>
      <c r="K125" s="411"/>
      <c r="L125" s="408"/>
      <c r="N125" s="413"/>
    </row>
    <row r="126" spans="1:14" ht="27.75">
      <c r="A126" s="686" t="s">
        <v>245</v>
      </c>
      <c r="B126" s="1232"/>
      <c r="C126" s="1232"/>
      <c r="D126" s="599" t="s">
        <v>152</v>
      </c>
      <c r="E126" s="703">
        <f>'5'!F126</f>
        <v>58591</v>
      </c>
      <c r="F126" s="703">
        <v>58634</v>
      </c>
      <c r="G126" s="549">
        <f t="shared" si="14"/>
        <v>43</v>
      </c>
      <c r="H126" s="536">
        <f>G126+'5'!H126</f>
        <v>242.30000000000291</v>
      </c>
      <c r="I126" s="602"/>
      <c r="J126" s="629">
        <f>H126/DAY(B2)</f>
        <v>40.383333333333816</v>
      </c>
      <c r="K126" s="411"/>
      <c r="L126" s="408"/>
      <c r="N126" s="413"/>
    </row>
    <row r="127" spans="1:14" ht="27.75">
      <c r="A127" s="686" t="s">
        <v>246</v>
      </c>
      <c r="B127" s="1232"/>
      <c r="C127" s="1232"/>
      <c r="D127" s="599" t="s">
        <v>152</v>
      </c>
      <c r="E127" s="703">
        <f>'5'!F127</f>
        <v>8829</v>
      </c>
      <c r="F127" s="703">
        <v>8832</v>
      </c>
      <c r="G127" s="549">
        <f t="shared" si="14"/>
        <v>3</v>
      </c>
      <c r="H127" s="536">
        <f>G127+'5'!H127</f>
        <v>16</v>
      </c>
      <c r="I127" s="556"/>
      <c r="J127" s="629">
        <f>H127/DAY(B2)</f>
        <v>2.6666666666666665</v>
      </c>
      <c r="K127" s="411"/>
      <c r="L127" s="408"/>
      <c r="N127" s="413"/>
    </row>
    <row r="128" spans="1:14" s="281" customFormat="1" ht="27.75">
      <c r="A128" s="686" t="s">
        <v>247</v>
      </c>
      <c r="B128" s="1232"/>
      <c r="C128" s="1232"/>
      <c r="D128" s="599"/>
      <c r="E128" s="554"/>
      <c r="F128" s="554"/>
      <c r="G128" s="549">
        <f>G15-SUM(G123:G127)</f>
        <v>417</v>
      </c>
      <c r="H128" s="536">
        <f>G128+'5'!H128</f>
        <v>2623.9500000001135</v>
      </c>
      <c r="I128" s="556"/>
      <c r="J128" s="629">
        <f>H128/DAY(B2)</f>
        <v>437.32500000001892</v>
      </c>
      <c r="K128" s="391"/>
      <c r="L128" s="293"/>
      <c r="N128" s="413"/>
    </row>
    <row r="129" spans="1:14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</row>
    <row r="130" spans="1:14" ht="27.75">
      <c r="A130" s="1231" t="s">
        <v>249</v>
      </c>
      <c r="B130" s="1232"/>
      <c r="C130" s="1232"/>
      <c r="D130" s="599" t="s">
        <v>250</v>
      </c>
      <c r="E130" s="560">
        <f>'5'!F130</f>
        <v>0</v>
      </c>
      <c r="F130" s="554">
        <v>0</v>
      </c>
      <c r="G130" s="549">
        <f t="shared" ref="G130:G140" si="15">F130-E130</f>
        <v>0</v>
      </c>
      <c r="H130" s="536">
        <f>G130+'5'!H130</f>
        <v>0</v>
      </c>
      <c r="I130" s="556"/>
      <c r="J130" s="629">
        <f>H130/DAY(B2)</f>
        <v>0</v>
      </c>
      <c r="N130" s="413"/>
    </row>
    <row r="131" spans="1:14" ht="27.75">
      <c r="A131" s="1231" t="s">
        <v>251</v>
      </c>
      <c r="B131" s="1232"/>
      <c r="C131" s="1232"/>
      <c r="D131" s="599" t="s">
        <v>250</v>
      </c>
      <c r="E131" s="560">
        <f>'5'!F131</f>
        <v>0</v>
      </c>
      <c r="F131" s="554">
        <v>0</v>
      </c>
      <c r="G131" s="549">
        <f t="shared" si="15"/>
        <v>0</v>
      </c>
      <c r="H131" s="536">
        <f>G131+'5'!H131</f>
        <v>0</v>
      </c>
      <c r="I131" s="556"/>
      <c r="J131" s="629">
        <f>H131/DAY(B2)</f>
        <v>0</v>
      </c>
      <c r="N131" s="413"/>
    </row>
    <row r="132" spans="1:14" ht="27.75">
      <c r="A132" s="1231" t="s">
        <v>252</v>
      </c>
      <c r="B132" s="1232"/>
      <c r="C132" s="1232"/>
      <c r="D132" s="599" t="s">
        <v>250</v>
      </c>
      <c r="E132" s="782">
        <f>'5'!F132</f>
        <v>39188</v>
      </c>
      <c r="F132" s="703">
        <v>39188</v>
      </c>
      <c r="G132" s="549">
        <f t="shared" si="15"/>
        <v>0</v>
      </c>
      <c r="H132" s="536">
        <f>G132+'5'!H132</f>
        <v>83.559999999997672</v>
      </c>
      <c r="I132" s="556"/>
      <c r="J132" s="629">
        <f>H132/DAY(B2)</f>
        <v>13.926666666666279</v>
      </c>
      <c r="N132" s="413"/>
    </row>
    <row r="133" spans="1:14" ht="27.75">
      <c r="A133" s="1231" t="s">
        <v>253</v>
      </c>
      <c r="B133" s="1232"/>
      <c r="C133" s="1232"/>
      <c r="D133" s="599" t="s">
        <v>250</v>
      </c>
      <c r="E133" s="782">
        <f>'5'!F133</f>
        <v>299</v>
      </c>
      <c r="F133" s="703">
        <v>299</v>
      </c>
      <c r="G133" s="549">
        <f t="shared" si="15"/>
        <v>0</v>
      </c>
      <c r="H133" s="536">
        <f>G133+'5'!H133</f>
        <v>0</v>
      </c>
      <c r="I133" s="556">
        <f>G132+G133+G134+G135</f>
        <v>24</v>
      </c>
      <c r="J133" s="629">
        <f>H133/DAY(B2)</f>
        <v>0</v>
      </c>
      <c r="N133" s="413"/>
    </row>
    <row r="134" spans="1:14" ht="27.75">
      <c r="A134" s="1231" t="s">
        <v>254</v>
      </c>
      <c r="B134" s="1232"/>
      <c r="C134" s="1232"/>
      <c r="D134" s="599" t="s">
        <v>250</v>
      </c>
      <c r="E134" s="782">
        <f>'5'!F134</f>
        <v>39987</v>
      </c>
      <c r="F134" s="703">
        <v>40011</v>
      </c>
      <c r="G134" s="549">
        <f t="shared" si="15"/>
        <v>24</v>
      </c>
      <c r="H134" s="536">
        <f>G134+'5'!H134</f>
        <v>60</v>
      </c>
      <c r="I134" s="556"/>
      <c r="J134" s="629">
        <f>H134/DAY(B2)</f>
        <v>10</v>
      </c>
      <c r="N134" s="413"/>
    </row>
    <row r="135" spans="1:14" ht="27.75">
      <c r="A135" s="1231" t="s">
        <v>255</v>
      </c>
      <c r="B135" s="1232"/>
      <c r="C135" s="1232"/>
      <c r="D135" s="599" t="s">
        <v>250</v>
      </c>
      <c r="E135" s="598">
        <f>'5'!F135</f>
        <v>32423</v>
      </c>
      <c r="F135" s="561">
        <v>32423</v>
      </c>
      <c r="G135" s="549">
        <f t="shared" si="15"/>
        <v>0</v>
      </c>
      <c r="H135" s="536">
        <f>G135+'5'!H135</f>
        <v>0</v>
      </c>
      <c r="I135" s="556"/>
      <c r="J135" s="629">
        <f>H135/DAY(B2)</f>
        <v>0</v>
      </c>
      <c r="N135" s="413"/>
    </row>
    <row r="136" spans="1:14" ht="27.75">
      <c r="A136" s="1231" t="s">
        <v>256</v>
      </c>
      <c r="B136" s="1232"/>
      <c r="C136" s="1232"/>
      <c r="D136" s="599" t="s">
        <v>250</v>
      </c>
      <c r="E136" s="618">
        <f>'5'!F136</f>
        <v>22033.22</v>
      </c>
      <c r="F136" s="732">
        <v>22038.02</v>
      </c>
      <c r="G136" s="549">
        <f t="shared" si="15"/>
        <v>4.7999999999992724</v>
      </c>
      <c r="H136" s="536">
        <f>G136+'5'!H136</f>
        <v>36.06000000000131</v>
      </c>
      <c r="I136" s="556">
        <f>G136+G137+G138</f>
        <v>7.0499999999992724</v>
      </c>
      <c r="J136" s="629">
        <f>H136/DAY(B2)</f>
        <v>6.0100000000002183</v>
      </c>
      <c r="N136" s="413"/>
    </row>
    <row r="137" spans="1:14" ht="27.75">
      <c r="A137" s="1231" t="s">
        <v>257</v>
      </c>
      <c r="B137" s="1232"/>
      <c r="C137" s="1232"/>
      <c r="D137" s="599" t="s">
        <v>250</v>
      </c>
      <c r="E137" s="618">
        <f>'5'!F137</f>
        <v>25027.78</v>
      </c>
      <c r="F137" s="732">
        <v>25030.03</v>
      </c>
      <c r="G137" s="549">
        <f t="shared" si="15"/>
        <v>2.25</v>
      </c>
      <c r="H137" s="536">
        <f>G137+'5'!H137</f>
        <v>10.090000000000146</v>
      </c>
      <c r="I137" s="556"/>
      <c r="J137" s="629">
        <f>H137/DAY(B2)</f>
        <v>1.6816666666666908</v>
      </c>
      <c r="N137" s="413"/>
    </row>
    <row r="138" spans="1:14" ht="27.75">
      <c r="A138" s="1231" t="s">
        <v>258</v>
      </c>
      <c r="B138" s="1232"/>
      <c r="C138" s="1232"/>
      <c r="D138" s="599" t="s">
        <v>250</v>
      </c>
      <c r="E138" s="618">
        <f>'5'!F138</f>
        <v>70063.89</v>
      </c>
      <c r="F138" s="732">
        <v>70063.89</v>
      </c>
      <c r="G138" s="549">
        <f t="shared" si="15"/>
        <v>0</v>
      </c>
      <c r="H138" s="536">
        <f>G138+'5'!H138</f>
        <v>0</v>
      </c>
      <c r="I138" s="556"/>
      <c r="J138" s="629">
        <f>H138/DAY(B2)</f>
        <v>0</v>
      </c>
      <c r="N138" s="413"/>
    </row>
    <row r="139" spans="1:14" ht="27.75">
      <c r="A139" s="1231" t="s">
        <v>259</v>
      </c>
      <c r="B139" s="1232"/>
      <c r="C139" s="1232"/>
      <c r="D139" s="599" t="s">
        <v>250</v>
      </c>
      <c r="E139" s="782">
        <f>'5'!F139</f>
        <v>1239.3800000000001</v>
      </c>
      <c r="F139" s="703">
        <v>1248.3699999999999</v>
      </c>
      <c r="G139" s="549">
        <f t="shared" si="15"/>
        <v>8.9899999999997817</v>
      </c>
      <c r="H139" s="536">
        <f>G139+'5'!H139</f>
        <v>47.779999999999973</v>
      </c>
      <c r="I139" s="619">
        <f>G140+G1277</f>
        <v>0</v>
      </c>
      <c r="J139" s="629">
        <f>H139/DAY(B2)</f>
        <v>7.9633333333333285</v>
      </c>
      <c r="N139" s="413"/>
    </row>
    <row r="140" spans="1:14" ht="27.75">
      <c r="A140" s="1231" t="s">
        <v>260</v>
      </c>
      <c r="B140" s="1232"/>
      <c r="C140" s="1232"/>
      <c r="D140" s="599" t="s">
        <v>250</v>
      </c>
      <c r="E140" s="560">
        <f>'5'!F140</f>
        <v>4334</v>
      </c>
      <c r="F140" s="554">
        <v>4334</v>
      </c>
      <c r="G140" s="549">
        <f t="shared" si="15"/>
        <v>0</v>
      </c>
      <c r="H140" s="536">
        <f>G140+'5'!H140</f>
        <v>0</v>
      </c>
      <c r="I140" s="619"/>
      <c r="J140" s="629">
        <f>H140/DAY(B2)</f>
        <v>0</v>
      </c>
      <c r="N140" s="413"/>
    </row>
    <row r="141" spans="1:14">
      <c r="A141" s="1412" t="s">
        <v>261</v>
      </c>
      <c r="B141" s="1413"/>
      <c r="C141" s="1237"/>
      <c r="D141" s="548"/>
      <c r="E141" s="548"/>
      <c r="F141" s="548"/>
      <c r="G141" s="559"/>
      <c r="H141" s="559"/>
      <c r="I141" s="559"/>
      <c r="J141" s="640"/>
      <c r="K141" s="411"/>
      <c r="L141" s="408"/>
      <c r="N141" s="413"/>
    </row>
    <row r="142" spans="1:14" ht="27.75">
      <c r="A142" s="1406" t="s">
        <v>262</v>
      </c>
      <c r="B142" s="1407"/>
      <c r="C142" s="1408"/>
      <c r="D142" s="599" t="s">
        <v>143</v>
      </c>
      <c r="E142" s="599"/>
      <c r="F142" s="599"/>
      <c r="G142" s="536">
        <f>G35+G43+G49+G57</f>
        <v>4930</v>
      </c>
      <c r="H142" s="536">
        <f>G142+'5'!H142</f>
        <v>30165.369999999937</v>
      </c>
      <c r="I142" s="556"/>
      <c r="J142" s="629">
        <f>H142/DAY(B2)</f>
        <v>5027.5616666666565</v>
      </c>
      <c r="K142" s="411"/>
      <c r="L142" s="408"/>
      <c r="N142" s="413"/>
    </row>
    <row r="143" spans="1:14" ht="27.75">
      <c r="A143" s="1406" t="s">
        <v>263</v>
      </c>
      <c r="B143" s="1407"/>
      <c r="C143" s="1408"/>
      <c r="D143" s="599" t="s">
        <v>24</v>
      </c>
      <c r="E143" s="587"/>
      <c r="F143" s="587"/>
      <c r="G143" s="620">
        <f>G142/G7</f>
        <v>0.2569046378322043</v>
      </c>
      <c r="H143" s="536">
        <f>G143+'5'!H143</f>
        <v>1.3889690743524876</v>
      </c>
      <c r="I143" s="621"/>
      <c r="J143" s="629">
        <f>H143/DAY(B2)</f>
        <v>0.23149484572541459</v>
      </c>
      <c r="K143" s="411"/>
      <c r="L143" s="408"/>
      <c r="N143" s="413"/>
    </row>
    <row r="144" spans="1:14" ht="27.75">
      <c r="A144" s="1406" t="s">
        <v>264</v>
      </c>
      <c r="B144" s="1407"/>
      <c r="C144" s="1408"/>
      <c r="D144" s="599" t="s">
        <v>143</v>
      </c>
      <c r="E144" s="531"/>
      <c r="F144" s="531"/>
      <c r="G144" s="536">
        <f>G41+G42+G55+G56</f>
        <v>3905</v>
      </c>
      <c r="H144" s="536">
        <f>G144+'5'!H144</f>
        <v>23839.989999999969</v>
      </c>
      <c r="I144" s="556"/>
      <c r="J144" s="629">
        <f>H144/DAY(B2)</f>
        <v>3973.3316666666615</v>
      </c>
      <c r="K144" s="411"/>
      <c r="L144" s="408"/>
      <c r="N144" s="413"/>
    </row>
    <row r="145" spans="1:14" ht="27.75">
      <c r="A145" s="1406" t="s">
        <v>265</v>
      </c>
      <c r="B145" s="1407"/>
      <c r="C145" s="1408"/>
      <c r="D145" s="599" t="s">
        <v>24</v>
      </c>
      <c r="E145" s="531"/>
      <c r="F145" s="531"/>
      <c r="G145" s="620">
        <f>G144/G7</f>
        <v>0.20349140177175612</v>
      </c>
      <c r="H145" s="536">
        <f>G145+'5'!H145</f>
        <v>1.2538335485307166</v>
      </c>
      <c r="I145" s="621"/>
      <c r="J145" s="629">
        <f>H145/DAY(B2)</f>
        <v>0.20897225808845277</v>
      </c>
      <c r="K145" s="411"/>
      <c r="L145" s="408"/>
      <c r="N145" s="413"/>
    </row>
    <row r="146" spans="1:14" ht="27.75">
      <c r="A146" s="1406" t="s">
        <v>266</v>
      </c>
      <c r="B146" s="1407"/>
      <c r="C146" s="1408"/>
      <c r="D146" s="599" t="s">
        <v>143</v>
      </c>
      <c r="E146" s="531"/>
      <c r="F146" s="531"/>
      <c r="G146" s="536">
        <f>G39+G53</f>
        <v>4153</v>
      </c>
      <c r="H146" s="536">
        <f>G146+'5'!H146</f>
        <v>25060.729999999981</v>
      </c>
      <c r="I146" s="622"/>
      <c r="J146" s="629">
        <f>H146/DAY(B2)</f>
        <v>4176.7883333333302</v>
      </c>
      <c r="K146" s="411"/>
      <c r="L146" s="408"/>
      <c r="N146" s="413"/>
    </row>
    <row r="147" spans="1:14" ht="27.75">
      <c r="A147" s="1406" t="s">
        <v>267</v>
      </c>
      <c r="B147" s="1407"/>
      <c r="C147" s="1408"/>
      <c r="D147" s="599" t="s">
        <v>24</v>
      </c>
      <c r="E147" s="531"/>
      <c r="F147" s="531"/>
      <c r="G147" s="620">
        <f>G146/G7</f>
        <v>0.21641479937467431</v>
      </c>
      <c r="H147" s="536">
        <f>G147+'5'!H147</f>
        <v>1.3195892551028598</v>
      </c>
      <c r="I147" s="622"/>
      <c r="J147" s="629">
        <f>H147/DAY(B2)</f>
        <v>0.21993154251714331</v>
      </c>
      <c r="N147" s="413"/>
    </row>
    <row r="148" spans="1:14" ht="27.75">
      <c r="A148" s="1406" t="s">
        <v>268</v>
      </c>
      <c r="B148" s="1407"/>
      <c r="C148" s="1408"/>
      <c r="D148" s="599" t="s">
        <v>194</v>
      </c>
      <c r="E148" s="531"/>
      <c r="F148" s="531"/>
      <c r="G148" s="536">
        <f>G38+G52</f>
        <v>2000</v>
      </c>
      <c r="H148" s="536">
        <f>G148+'5'!H148</f>
        <v>11972.450000000015</v>
      </c>
      <c r="I148" s="556"/>
      <c r="J148" s="629">
        <f>H148/DAY(B2)</f>
        <v>1995.4083333333358</v>
      </c>
      <c r="K148" s="412"/>
      <c r="N148" s="413"/>
    </row>
    <row r="149" spans="1:14" ht="27.75">
      <c r="A149" s="1406" t="s">
        <v>269</v>
      </c>
      <c r="B149" s="1407"/>
      <c r="C149" s="1408"/>
      <c r="D149" s="599" t="s">
        <v>24</v>
      </c>
      <c r="E149" s="531"/>
      <c r="F149" s="531"/>
      <c r="G149" s="620">
        <f>G148/G7</f>
        <v>0.10422094841063054</v>
      </c>
      <c r="H149" s="536">
        <f>G149+'5'!H149</f>
        <v>0.63034337848301836</v>
      </c>
      <c r="I149" s="622"/>
      <c r="J149" s="629">
        <f>H149/DAY(B2)</f>
        <v>0.10505722974716973</v>
      </c>
      <c r="N149" s="413"/>
    </row>
    <row r="150" spans="1:14" ht="27.75">
      <c r="A150" s="1406" t="s">
        <v>270</v>
      </c>
      <c r="B150" s="1407"/>
      <c r="C150" s="1408"/>
      <c r="D150" s="599" t="s">
        <v>194</v>
      </c>
      <c r="E150" s="531"/>
      <c r="F150" s="531"/>
      <c r="G150" s="536">
        <f>G36+G50</f>
        <v>2209</v>
      </c>
      <c r="H150" s="536">
        <f>G150+'5'!H150</f>
        <v>10961.239999999991</v>
      </c>
      <c r="I150" s="622"/>
      <c r="J150" s="629">
        <f>H150/DAY(B2)</f>
        <v>1826.8733333333319</v>
      </c>
      <c r="N150" s="413"/>
    </row>
    <row r="151" spans="1:14" ht="27.75">
      <c r="A151" s="1406" t="s">
        <v>271</v>
      </c>
      <c r="B151" s="1407"/>
      <c r="C151" s="1408"/>
      <c r="D151" s="599" t="s">
        <v>24</v>
      </c>
      <c r="E151" s="531"/>
      <c r="F151" s="531"/>
      <c r="G151" s="620">
        <f>G150/G7</f>
        <v>0.11511203751954142</v>
      </c>
      <c r="H151" s="536">
        <f>G151+'5'!H151</f>
        <v>0.57646267444793309</v>
      </c>
      <c r="I151" s="556"/>
      <c r="J151" s="629">
        <f>H151/DAY(B2)</f>
        <v>9.6077112407988843E-2</v>
      </c>
      <c r="N151" s="413"/>
    </row>
    <row r="152" spans="1:14" ht="27.75">
      <c r="A152" s="1406" t="s">
        <v>272</v>
      </c>
      <c r="B152" s="1407"/>
      <c r="C152" s="1408"/>
      <c r="D152" s="599" t="s">
        <v>194</v>
      </c>
      <c r="E152" s="531"/>
      <c r="F152" s="531"/>
      <c r="G152" s="536">
        <f>G37+G51</f>
        <v>1509</v>
      </c>
      <c r="H152" s="536">
        <f>G152+'5'!H152</f>
        <v>8887.2599999999948</v>
      </c>
      <c r="I152" s="556"/>
      <c r="J152" s="629">
        <f>H152/DAY(B2)</f>
        <v>1481.2099999999991</v>
      </c>
      <c r="N152" s="413"/>
    </row>
    <row r="153" spans="1:14" ht="28.5" thickBot="1">
      <c r="A153" s="1409" t="s">
        <v>273</v>
      </c>
      <c r="B153" s="1410"/>
      <c r="C153" s="1411"/>
      <c r="D153" s="702" t="s">
        <v>24</v>
      </c>
      <c r="E153" s="642"/>
      <c r="F153" s="642"/>
      <c r="G153" s="643">
        <f>G152/G7</f>
        <v>7.8634705575820737E-2</v>
      </c>
      <c r="H153" s="536">
        <f>G153+'5'!H153</f>
        <v>0.46800185235157821</v>
      </c>
      <c r="I153" s="645"/>
      <c r="J153" s="646">
        <f>H153/DAY(B2)</f>
        <v>7.8000308725263034E-2</v>
      </c>
      <c r="N153" s="413"/>
    </row>
    <row r="154" spans="1:14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413"/>
    </row>
    <row r="157" spans="1:14" ht="27.75">
      <c r="A157" s="1440" t="s">
        <v>278</v>
      </c>
      <c r="B157" s="1441"/>
      <c r="C157" s="1441"/>
      <c r="D157" s="1441"/>
      <c r="E157" s="1441"/>
      <c r="F157" s="1441"/>
      <c r="G157" s="1442"/>
    </row>
    <row r="158" spans="1:14">
      <c r="A158" s="868"/>
      <c r="B158" s="869"/>
      <c r="C158" s="869"/>
      <c r="D158" s="587"/>
      <c r="E158" s="531"/>
      <c r="F158" s="739"/>
      <c r="G158" s="549"/>
    </row>
    <row r="159" spans="1:14">
      <c r="A159" s="868"/>
      <c r="B159" s="869"/>
      <c r="C159" s="869"/>
      <c r="D159" s="587"/>
      <c r="E159" s="531"/>
      <c r="F159" s="739"/>
      <c r="G159" s="549"/>
    </row>
    <row r="160" spans="1:14">
      <c r="A160" s="868" t="s">
        <v>274</v>
      </c>
      <c r="B160" s="869"/>
      <c r="C160" s="869"/>
      <c r="D160" s="587" t="s">
        <v>198</v>
      </c>
      <c r="E160" s="739">
        <v>28843</v>
      </c>
      <c r="F160" s="739">
        <v>28924</v>
      </c>
      <c r="G160" s="549">
        <f t="shared" ref="G160:G171" si="16">F160-E160</f>
        <v>81</v>
      </c>
    </row>
    <row r="161" spans="1:7">
      <c r="A161" s="868" t="s">
        <v>275</v>
      </c>
      <c r="B161" s="869"/>
      <c r="C161" s="869"/>
      <c r="D161" s="587" t="s">
        <v>198</v>
      </c>
      <c r="E161" s="739">
        <v>45035</v>
      </c>
      <c r="F161" s="739">
        <v>45463</v>
      </c>
      <c r="G161" s="549">
        <f t="shared" si="16"/>
        <v>428</v>
      </c>
    </row>
    <row r="162" spans="1:7">
      <c r="A162" s="868" t="s">
        <v>276</v>
      </c>
      <c r="B162" s="869"/>
      <c r="C162" s="869"/>
      <c r="D162" s="587" t="s">
        <v>198</v>
      </c>
      <c r="E162" s="739">
        <v>13891</v>
      </c>
      <c r="F162" s="739">
        <v>14130</v>
      </c>
      <c r="G162" s="549">
        <f t="shared" si="16"/>
        <v>239</v>
      </c>
    </row>
    <row r="163" spans="1:7">
      <c r="A163" s="868" t="s">
        <v>277</v>
      </c>
      <c r="B163" s="869"/>
      <c r="C163" s="869"/>
      <c r="D163" s="587" t="s">
        <v>198</v>
      </c>
      <c r="E163" s="739">
        <v>5083</v>
      </c>
      <c r="F163" s="739">
        <v>5100</v>
      </c>
      <c r="G163" s="549">
        <f t="shared" si="16"/>
        <v>17</v>
      </c>
    </row>
    <row r="164" spans="1:7">
      <c r="A164" s="870" t="s">
        <v>106</v>
      </c>
      <c r="B164" s="681"/>
      <c r="C164" s="681"/>
      <c r="D164" s="587" t="s">
        <v>198</v>
      </c>
      <c r="E164" s="590">
        <f>E62</f>
        <v>20419</v>
      </c>
      <c r="F164" s="590">
        <f>F62</f>
        <v>20419</v>
      </c>
      <c r="G164" s="549">
        <f t="shared" si="16"/>
        <v>0</v>
      </c>
    </row>
    <row r="165" spans="1:7">
      <c r="A165" s="870" t="s">
        <v>199</v>
      </c>
      <c r="B165" s="681"/>
      <c r="C165" s="681"/>
      <c r="D165" s="587" t="s">
        <v>198</v>
      </c>
      <c r="E165" s="590">
        <f t="shared" ref="E165" si="17">E63</f>
        <v>1406</v>
      </c>
      <c r="F165" s="590">
        <f t="shared" ref="F165:F171" si="18">F63</f>
        <v>1420</v>
      </c>
      <c r="G165" s="549">
        <f t="shared" si="16"/>
        <v>14</v>
      </c>
    </row>
    <row r="166" spans="1:7" ht="27.75">
      <c r="A166" s="1381" t="s">
        <v>107</v>
      </c>
      <c r="B166" s="1381"/>
      <c r="C166" s="1381"/>
      <c r="D166" s="599" t="s">
        <v>198</v>
      </c>
      <c r="E166" s="590">
        <f t="shared" ref="E166" si="19">E64</f>
        <v>113454</v>
      </c>
      <c r="F166" s="590">
        <f t="shared" si="18"/>
        <v>113859</v>
      </c>
      <c r="G166" s="549">
        <f t="shared" si="16"/>
        <v>405</v>
      </c>
    </row>
    <row r="167" spans="1:7" ht="27.75">
      <c r="A167" s="1381" t="s">
        <v>108</v>
      </c>
      <c r="B167" s="1381"/>
      <c r="C167" s="1381"/>
      <c r="D167" s="599" t="s">
        <v>198</v>
      </c>
      <c r="E167" s="590">
        <f t="shared" ref="E167" si="20">E65</f>
        <v>123609</v>
      </c>
      <c r="F167" s="590">
        <f t="shared" si="18"/>
        <v>123976</v>
      </c>
      <c r="G167" s="549">
        <f t="shared" si="16"/>
        <v>367</v>
      </c>
    </row>
    <row r="168" spans="1:7" ht="27.75">
      <c r="A168" s="1381" t="s">
        <v>109</v>
      </c>
      <c r="B168" s="1381"/>
      <c r="C168" s="1381"/>
      <c r="D168" s="599" t="s">
        <v>198</v>
      </c>
      <c r="E168" s="590">
        <f t="shared" ref="E168" si="21">E66</f>
        <v>16157</v>
      </c>
      <c r="F168" s="590">
        <f t="shared" si="18"/>
        <v>16550</v>
      </c>
      <c r="G168" s="549">
        <f t="shared" si="16"/>
        <v>393</v>
      </c>
    </row>
    <row r="169" spans="1:7" ht="27.75">
      <c r="A169" s="1381" t="s">
        <v>110</v>
      </c>
      <c r="B169" s="1381"/>
      <c r="C169" s="1381"/>
      <c r="D169" s="599" t="s">
        <v>198</v>
      </c>
      <c r="E169" s="590">
        <f t="shared" ref="E169" si="22">E67</f>
        <v>192139</v>
      </c>
      <c r="F169" s="590">
        <f t="shared" si="18"/>
        <v>192854</v>
      </c>
      <c r="G169" s="549">
        <f t="shared" si="16"/>
        <v>715</v>
      </c>
    </row>
    <row r="170" spans="1:7" ht="27.75">
      <c r="A170" s="1381" t="s">
        <v>111</v>
      </c>
      <c r="B170" s="1381"/>
      <c r="C170" s="1381"/>
      <c r="D170" s="599" t="s">
        <v>198</v>
      </c>
      <c r="E170" s="590">
        <f t="shared" ref="E170" si="23">E68</f>
        <v>64987</v>
      </c>
      <c r="F170" s="590">
        <f t="shared" si="18"/>
        <v>65342</v>
      </c>
      <c r="G170" s="549">
        <f t="shared" si="16"/>
        <v>355</v>
      </c>
    </row>
    <row r="171" spans="1:7" ht="27.75">
      <c r="A171" s="1381" t="s">
        <v>112</v>
      </c>
      <c r="B171" s="1381"/>
      <c r="C171" s="1381"/>
      <c r="D171" s="599" t="s">
        <v>198</v>
      </c>
      <c r="E171" s="590">
        <f t="shared" ref="E171" si="24">E69</f>
        <v>57260</v>
      </c>
      <c r="F171" s="590">
        <f t="shared" si="18"/>
        <v>57540</v>
      </c>
      <c r="G171" s="549">
        <f t="shared" si="16"/>
        <v>280</v>
      </c>
    </row>
  </sheetData>
  <mergeCells count="75">
    <mergeCell ref="A170:C170"/>
    <mergeCell ref="A171:C171"/>
    <mergeCell ref="A157:G157"/>
    <mergeCell ref="A166:C166"/>
    <mergeCell ref="A167:C167"/>
    <mergeCell ref="A168:C168"/>
    <mergeCell ref="A169:C169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125:C125"/>
    <mergeCell ref="A101:C101"/>
    <mergeCell ref="A122:C122"/>
    <mergeCell ref="A141:B141"/>
    <mergeCell ref="A69:C69"/>
    <mergeCell ref="A70:C70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52:C152"/>
    <mergeCell ref="A153:C153"/>
    <mergeCell ref="A92:C92"/>
    <mergeCell ref="A93:C93"/>
    <mergeCell ref="A94:C94"/>
    <mergeCell ref="A95:C9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71:J71"/>
    <mergeCell ref="A72:C72"/>
    <mergeCell ref="A73:C73"/>
    <mergeCell ref="A74:C74"/>
    <mergeCell ref="A75:C75"/>
    <mergeCell ref="A82:C82"/>
    <mergeCell ref="A83:C83"/>
    <mergeCell ref="A76:C76"/>
    <mergeCell ref="A77:C77"/>
    <mergeCell ref="A79:C79"/>
    <mergeCell ref="A80:C80"/>
    <mergeCell ref="A81:C81"/>
  </mergeCells>
  <pageMargins left="0.22" right="0.17" top="0.14000000000000001" bottom="0.2" header="0.2" footer="0.2"/>
  <pageSetup paperSize="5" scale="23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000000"/>
  </sheetPr>
  <dimension ref="A1:P171"/>
  <sheetViews>
    <sheetView view="pageBreakPreview" zoomScale="55" zoomScaleNormal="77" zoomScaleSheetLayoutView="55" workbookViewId="0">
      <selection activeCell="F28" sqref="F28"/>
    </sheetView>
  </sheetViews>
  <sheetFormatPr defaultColWidth="22.33203125" defaultRowHeight="29.25"/>
  <cols>
    <col min="1" max="1" width="42.33203125" style="530" customWidth="1"/>
    <col min="2" max="2" width="31.777343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25.33203125" style="615" customWidth="1"/>
    <col min="9" max="9" width="20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407" customWidth="1"/>
    <col min="15" max="16384" width="22.33203125" style="407"/>
  </cols>
  <sheetData>
    <row r="1" spans="1:16" ht="33.75">
      <c r="A1" s="1414" t="s">
        <v>128</v>
      </c>
      <c r="B1" s="1415"/>
      <c r="C1" s="1415"/>
      <c r="D1" s="1415"/>
      <c r="E1" s="1415"/>
      <c r="F1" s="1415"/>
      <c r="G1" s="1415"/>
      <c r="H1" s="1415"/>
      <c r="I1" s="1415"/>
      <c r="J1" s="1416"/>
    </row>
    <row r="2" spans="1:16" s="281" customFormat="1" ht="27">
      <c r="A2" s="652" t="s">
        <v>340</v>
      </c>
      <c r="B2" s="1118">
        <v>44203</v>
      </c>
      <c r="C2" s="1233" t="s">
        <v>69</v>
      </c>
      <c r="D2" s="688">
        <v>0.54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6" s="281" customFormat="1" ht="27">
      <c r="A3" s="647"/>
      <c r="B3" s="691"/>
      <c r="C3" s="1233" t="s">
        <v>131</v>
      </c>
      <c r="D3" s="689">
        <v>26</v>
      </c>
      <c r="E3" s="1423" t="s">
        <v>132</v>
      </c>
      <c r="F3" s="1424"/>
      <c r="G3" s="538"/>
      <c r="H3" s="539"/>
      <c r="I3" s="539"/>
      <c r="J3" s="692"/>
      <c r="K3" s="402"/>
      <c r="L3" s="293"/>
    </row>
    <row r="4" spans="1:16" s="281" customFormat="1" ht="27">
      <c r="A4" s="653"/>
      <c r="B4" s="693"/>
      <c r="C4" s="1233" t="s">
        <v>133</v>
      </c>
      <c r="D4" s="688">
        <v>0.78</v>
      </c>
      <c r="E4" s="540"/>
      <c r="F4" s="540"/>
      <c r="G4" s="540"/>
      <c r="H4" s="540"/>
      <c r="I4" s="541"/>
      <c r="J4" s="692"/>
      <c r="K4" s="403"/>
      <c r="L4" s="293"/>
    </row>
    <row r="5" spans="1:16">
      <c r="A5" s="654" t="s">
        <v>134</v>
      </c>
      <c r="B5" s="535"/>
      <c r="C5" s="535"/>
      <c r="D5" s="587" t="s">
        <v>226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6">
      <c r="A6" s="1417" t="s">
        <v>141</v>
      </c>
      <c r="B6" s="1418"/>
      <c r="C6" s="1419"/>
      <c r="D6" s="547"/>
      <c r="E6" s="547"/>
      <c r="F6" s="547"/>
      <c r="G6" s="547"/>
      <c r="H6" s="548"/>
      <c r="I6" s="548"/>
      <c r="J6" s="628"/>
      <c r="K6" s="466"/>
      <c r="L6" s="408"/>
    </row>
    <row r="7" spans="1:16" ht="30" thickBot="1">
      <c r="A7" s="757" t="s">
        <v>142</v>
      </c>
      <c r="B7" s="758"/>
      <c r="C7" s="758"/>
      <c r="D7" s="715" t="s">
        <v>143</v>
      </c>
      <c r="E7" s="710">
        <f>'6'!F7</f>
        <v>4002210</v>
      </c>
      <c r="F7" s="531">
        <v>4020465</v>
      </c>
      <c r="G7" s="770">
        <f t="shared" ref="G7:G12" si="0">F7-E7</f>
        <v>18255</v>
      </c>
      <c r="H7" s="760">
        <f>G7+'6'!H7</f>
        <v>132267</v>
      </c>
      <c r="I7" s="761">
        <f>'1'!I7</f>
        <v>12000</v>
      </c>
      <c r="J7" s="762">
        <f>H7/DAY(B2)</f>
        <v>18895.285714285714</v>
      </c>
      <c r="K7" s="626"/>
      <c r="L7" s="408"/>
      <c r="N7" s="790"/>
      <c r="P7" s="407" t="s">
        <v>226</v>
      </c>
    </row>
    <row r="8" spans="1:16" ht="27.75" thickBot="1">
      <c r="A8" s="763" t="s">
        <v>144</v>
      </c>
      <c r="B8" s="764"/>
      <c r="C8" s="765"/>
      <c r="D8" s="766" t="s">
        <v>25</v>
      </c>
      <c r="E8" s="710">
        <f>'6'!F8</f>
        <v>4028160</v>
      </c>
      <c r="F8" s="551">
        <v>4046475</v>
      </c>
      <c r="G8" s="770">
        <f t="shared" si="0"/>
        <v>18315</v>
      </c>
      <c r="H8" s="760">
        <f>G8+'6'!H8</f>
        <v>133624</v>
      </c>
      <c r="I8" s="767">
        <v>12000</v>
      </c>
      <c r="J8" s="762">
        <f>H8/DAY(B2)</f>
        <v>19089.142857142859</v>
      </c>
      <c r="K8" s="626"/>
      <c r="L8" s="464"/>
      <c r="M8" s="479"/>
      <c r="N8" s="784"/>
    </row>
    <row r="9" spans="1:16">
      <c r="A9" s="768" t="s">
        <v>145</v>
      </c>
      <c r="B9" s="769"/>
      <c r="C9" s="769"/>
      <c r="D9" s="715" t="s">
        <v>143</v>
      </c>
      <c r="E9" s="712">
        <v>0</v>
      </c>
      <c r="F9" s="554">
        <v>26.75</v>
      </c>
      <c r="G9" s="770">
        <f t="shared" si="0"/>
        <v>26.75</v>
      </c>
      <c r="H9" s="760">
        <f>G9+'6'!H9</f>
        <v>37112.25</v>
      </c>
      <c r="I9" s="771">
        <f>I8-J8</f>
        <v>-7089.1428571428587</v>
      </c>
      <c r="J9" s="762">
        <f>H9/DAY(B2)</f>
        <v>5301.75</v>
      </c>
      <c r="K9" s="467"/>
      <c r="L9" s="408"/>
      <c r="N9" s="413"/>
    </row>
    <row r="10" spans="1:16">
      <c r="A10" s="757" t="s">
        <v>146</v>
      </c>
      <c r="B10" s="758"/>
      <c r="C10" s="758"/>
      <c r="D10" s="715" t="s">
        <v>143</v>
      </c>
      <c r="E10" s="712">
        <f>'6'!F10</f>
        <v>1273075</v>
      </c>
      <c r="F10" s="554">
        <v>1290081</v>
      </c>
      <c r="G10" s="770">
        <f t="shared" si="0"/>
        <v>17006</v>
      </c>
      <c r="H10" s="760">
        <f>G10+'6'!H10</f>
        <v>89206.600000000093</v>
      </c>
      <c r="I10" s="772"/>
      <c r="J10" s="762">
        <f>H10/DAY(B2)</f>
        <v>12743.800000000014</v>
      </c>
      <c r="K10" s="467"/>
      <c r="L10" s="408"/>
      <c r="N10" s="413"/>
    </row>
    <row r="11" spans="1:16">
      <c r="A11" s="757" t="s">
        <v>147</v>
      </c>
      <c r="B11" s="758"/>
      <c r="C11" s="758"/>
      <c r="D11" s="715" t="s">
        <v>143</v>
      </c>
      <c r="E11" s="710">
        <f>'6'!F11</f>
        <v>35540</v>
      </c>
      <c r="F11" s="531">
        <v>35540</v>
      </c>
      <c r="G11" s="770">
        <f t="shared" si="0"/>
        <v>0</v>
      </c>
      <c r="H11" s="760">
        <f>G11+'6'!H11</f>
        <v>150</v>
      </c>
      <c r="I11" s="772"/>
      <c r="J11" s="762">
        <f>H11/DAY(B2)</f>
        <v>21.428571428571427</v>
      </c>
      <c r="K11" s="467"/>
      <c r="L11" s="408"/>
      <c r="N11" s="413"/>
    </row>
    <row r="12" spans="1:16">
      <c r="A12" s="757" t="s">
        <v>148</v>
      </c>
      <c r="B12" s="758"/>
      <c r="C12" s="758"/>
      <c r="D12" s="715" t="s">
        <v>143</v>
      </c>
      <c r="E12" s="712">
        <f>'6'!F12</f>
        <v>38010</v>
      </c>
      <c r="F12" s="554">
        <v>38010</v>
      </c>
      <c r="G12" s="770">
        <f t="shared" si="0"/>
        <v>0</v>
      </c>
      <c r="H12" s="760">
        <f>G12+'6'!H12</f>
        <v>380</v>
      </c>
      <c r="I12" s="772"/>
      <c r="J12" s="762">
        <f>H12/DAY(B2)</f>
        <v>54.285714285714285</v>
      </c>
      <c r="K12" s="467"/>
      <c r="L12" s="408"/>
      <c r="N12" s="413"/>
    </row>
    <row r="13" spans="1:16">
      <c r="A13" s="773" t="s">
        <v>149</v>
      </c>
      <c r="B13" s="774"/>
      <c r="C13" s="774"/>
      <c r="D13" s="715"/>
      <c r="E13" s="710"/>
      <c r="F13" s="531"/>
      <c r="G13" s="775">
        <f>G9+G10+G11+G12</f>
        <v>17032.75</v>
      </c>
      <c r="H13" s="760">
        <f>G13+'6'!H13</f>
        <v>126848.85000000009</v>
      </c>
      <c r="I13" s="776">
        <f>G7-G13</f>
        <v>1222.25</v>
      </c>
      <c r="J13" s="762">
        <f>H13/DAY(B2)</f>
        <v>18121.2642857143</v>
      </c>
      <c r="K13" s="467"/>
      <c r="L13" s="408"/>
      <c r="N13" s="413"/>
    </row>
    <row r="14" spans="1:16">
      <c r="A14" s="1420" t="s">
        <v>150</v>
      </c>
      <c r="B14" s="1421"/>
      <c r="C14" s="1422"/>
      <c r="D14" s="548"/>
      <c r="E14" s="548"/>
      <c r="F14" s="548"/>
      <c r="G14" s="559"/>
      <c r="H14" s="548"/>
      <c r="I14" s="548"/>
      <c r="J14" s="628"/>
      <c r="K14" s="468"/>
      <c r="L14" s="408"/>
      <c r="N14" s="413"/>
    </row>
    <row r="15" spans="1:16">
      <c r="A15" s="876" t="s">
        <v>151</v>
      </c>
      <c r="B15" s="877"/>
      <c r="C15" s="877"/>
      <c r="D15" s="600" t="s">
        <v>152</v>
      </c>
      <c r="E15" s="561">
        <f>'6'!F15</f>
        <v>1599357</v>
      </c>
      <c r="F15" s="561">
        <v>1600201.45</v>
      </c>
      <c r="G15" s="745">
        <f>(F15-E15)</f>
        <v>844.44999999995343</v>
      </c>
      <c r="H15" s="562">
        <f>G15+'6'!H15</f>
        <v>5764.3000000000466</v>
      </c>
      <c r="I15" s="1153">
        <v>800</v>
      </c>
      <c r="J15" s="630">
        <f>H15/DAY(B2)</f>
        <v>823.47142857143524</v>
      </c>
      <c r="K15" s="467"/>
      <c r="L15" s="408"/>
      <c r="N15" s="413"/>
    </row>
    <row r="16" spans="1:16">
      <c r="A16" s="664"/>
      <c r="B16" s="665"/>
      <c r="C16" s="665"/>
      <c r="D16" s="600"/>
      <c r="E16" s="561"/>
      <c r="F16" s="561"/>
      <c r="G16" s="549"/>
      <c r="H16" s="562"/>
      <c r="I16" s="558">
        <f>I15-J15</f>
        <v>-23.47142857143524</v>
      </c>
      <c r="J16" s="630"/>
      <c r="K16" s="467"/>
      <c r="L16" s="408"/>
      <c r="N16" s="413"/>
    </row>
    <row r="17" spans="1:14">
      <c r="A17" s="1420" t="s">
        <v>153</v>
      </c>
      <c r="B17" s="1421"/>
      <c r="C17" s="1422"/>
      <c r="D17" s="548"/>
      <c r="E17" s="548"/>
      <c r="F17" s="548"/>
      <c r="G17" s="564"/>
      <c r="H17" s="548"/>
      <c r="I17" s="548"/>
      <c r="J17" s="628"/>
      <c r="K17" s="467"/>
      <c r="L17" s="408"/>
      <c r="N17" s="413"/>
    </row>
    <row r="18" spans="1:14" ht="27.75">
      <c r="A18" s="1446" t="s">
        <v>154</v>
      </c>
      <c r="B18" s="1447"/>
      <c r="C18" s="1448"/>
      <c r="D18" s="715" t="s">
        <v>155</v>
      </c>
      <c r="E18" s="712">
        <f>'6'!F18</f>
        <v>22</v>
      </c>
      <c r="F18" s="554">
        <v>16</v>
      </c>
      <c r="G18" s="775">
        <f>F18*10</f>
        <v>160</v>
      </c>
      <c r="H18" s="760">
        <f>G18+'6'!H18</f>
        <v>970</v>
      </c>
      <c r="I18" s="761">
        <f>'1'!I18</f>
        <v>65</v>
      </c>
      <c r="J18" s="762">
        <f>H18/DAY(B2)</f>
        <v>138.57142857142858</v>
      </c>
      <c r="K18" s="467"/>
      <c r="L18" s="408"/>
      <c r="N18" s="413"/>
    </row>
    <row r="19" spans="1:14" ht="27.75">
      <c r="A19" s="1446" t="s">
        <v>71</v>
      </c>
      <c r="B19" s="1447"/>
      <c r="C19" s="1448"/>
      <c r="D19" s="715" t="s">
        <v>155</v>
      </c>
      <c r="E19" s="712">
        <f>'6'!F19</f>
        <v>133343</v>
      </c>
      <c r="F19" s="554">
        <v>133395</v>
      </c>
      <c r="G19" s="770">
        <f t="shared" ref="G19" si="1">F19-E19</f>
        <v>52</v>
      </c>
      <c r="H19" s="760">
        <f>G19+'6'!H19</f>
        <v>347</v>
      </c>
      <c r="I19" s="777"/>
      <c r="J19" s="762">
        <f>H19/DAY(B2)</f>
        <v>49.571428571428569</v>
      </c>
      <c r="K19" s="467"/>
      <c r="L19" s="408"/>
      <c r="N19" s="413"/>
    </row>
    <row r="20" spans="1:14">
      <c r="A20" s="773" t="s">
        <v>156</v>
      </c>
      <c r="B20" s="774"/>
      <c r="C20" s="774"/>
      <c r="D20" s="715"/>
      <c r="E20" s="715"/>
      <c r="F20" s="599"/>
      <c r="G20" s="778">
        <f>G18+G19</f>
        <v>212</v>
      </c>
      <c r="H20" s="760">
        <f>G20+'6'!H20</f>
        <v>1317</v>
      </c>
      <c r="I20" s="779">
        <f>I18-J20</f>
        <v>-123.14285714285714</v>
      </c>
      <c r="J20" s="762">
        <f>H20/DAY(B2)</f>
        <v>188.14285714285714</v>
      </c>
      <c r="K20" s="467"/>
      <c r="L20" s="408"/>
      <c r="N20" s="413"/>
    </row>
    <row r="21" spans="1:14">
      <c r="A21" s="1420" t="s">
        <v>157</v>
      </c>
      <c r="B21" s="1421"/>
      <c r="C21" s="1422"/>
      <c r="D21" s="548"/>
      <c r="E21" s="548"/>
      <c r="F21" s="548"/>
      <c r="G21" s="559"/>
      <c r="H21" s="548"/>
      <c r="I21" s="548"/>
      <c r="J21" s="628"/>
      <c r="K21" s="467"/>
      <c r="L21" s="408"/>
      <c r="N21" s="413"/>
    </row>
    <row r="22" spans="1:14">
      <c r="A22" s="1231" t="s">
        <v>158</v>
      </c>
      <c r="B22" s="666"/>
      <c r="C22" s="666"/>
      <c r="D22" s="599" t="s">
        <v>159</v>
      </c>
      <c r="E22" s="712">
        <f>'6'!F22</f>
        <v>2250</v>
      </c>
      <c r="F22" s="554">
        <v>2250</v>
      </c>
      <c r="G22" s="557">
        <f t="shared" ref="G22" si="2">(F22-E22)</f>
        <v>0</v>
      </c>
      <c r="H22" s="536">
        <f>G22+'6'!H22</f>
        <v>0</v>
      </c>
      <c r="I22" s="556"/>
      <c r="J22" s="629">
        <f>H22/DAY(B2)</f>
        <v>0</v>
      </c>
      <c r="K22" s="467"/>
      <c r="L22" s="408"/>
      <c r="N22" s="413"/>
    </row>
    <row r="23" spans="1:14">
      <c r="A23" s="1231" t="s">
        <v>160</v>
      </c>
      <c r="B23" s="666"/>
      <c r="C23" s="666"/>
      <c r="D23" s="599" t="s">
        <v>159</v>
      </c>
      <c r="E23" s="712">
        <f>'6'!F23</f>
        <v>1620</v>
      </c>
      <c r="F23" s="554">
        <v>1620</v>
      </c>
      <c r="G23" s="557">
        <v>0</v>
      </c>
      <c r="H23" s="536">
        <f>G23+'6'!H23</f>
        <v>380</v>
      </c>
      <c r="I23" s="556"/>
      <c r="J23" s="629">
        <f>H23/DAY(B2)</f>
        <v>54.285714285714285</v>
      </c>
      <c r="K23" s="467"/>
      <c r="L23" s="408"/>
      <c r="N23" s="413"/>
    </row>
    <row r="24" spans="1:14">
      <c r="A24" s="667" t="s">
        <v>161</v>
      </c>
      <c r="B24" s="668"/>
      <c r="C24" s="668"/>
      <c r="D24" s="587" t="s">
        <v>159</v>
      </c>
      <c r="E24" s="712">
        <f>'6'!F24</f>
        <v>3870</v>
      </c>
      <c r="F24" s="561">
        <v>3870</v>
      </c>
      <c r="G24" s="557">
        <v>0</v>
      </c>
      <c r="H24" s="536">
        <f>G24+'6'!H24</f>
        <v>380</v>
      </c>
      <c r="I24" s="556"/>
      <c r="J24" s="629">
        <f>H24/DAY(B2)</f>
        <v>54.285714285714285</v>
      </c>
      <c r="K24" s="467"/>
      <c r="L24" s="408"/>
      <c r="N24" s="413"/>
    </row>
    <row r="25" spans="1:14" s="481" customFormat="1" ht="27">
      <c r="A25" s="1425" t="s">
        <v>162</v>
      </c>
      <c r="B25" s="1426"/>
      <c r="C25" s="1427"/>
      <c r="D25" s="547"/>
      <c r="E25" s="547"/>
      <c r="F25" s="547"/>
      <c r="G25" s="570"/>
      <c r="H25" s="571"/>
      <c r="I25" s="572"/>
      <c r="J25" s="631"/>
      <c r="K25" s="404"/>
      <c r="L25" s="484"/>
      <c r="N25" s="413"/>
    </row>
    <row r="26" spans="1:14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413"/>
    </row>
    <row r="27" spans="1:14" s="481" customFormat="1" ht="27.75">
      <c r="A27" s="669" t="s">
        <v>6</v>
      </c>
      <c r="B27" s="670"/>
      <c r="C27" s="671"/>
      <c r="D27" s="696" t="s">
        <v>25</v>
      </c>
      <c r="E27" s="780">
        <f>G8</f>
        <v>18315</v>
      </c>
      <c r="F27" s="577">
        <v>9</v>
      </c>
      <c r="G27" s="578">
        <f>E27*F27</f>
        <v>164835</v>
      </c>
      <c r="H27" s="536">
        <f>G27+'6'!H27</f>
        <v>1202616</v>
      </c>
      <c r="I27" s="579"/>
      <c r="J27" s="629">
        <f>H27/DAY(B2)</f>
        <v>171802.28571428571</v>
      </c>
      <c r="K27" s="404"/>
      <c r="L27" s="484"/>
      <c r="N27" s="413"/>
    </row>
    <row r="28" spans="1:14" s="481" customFormat="1" ht="27.75">
      <c r="A28" s="669" t="s">
        <v>165</v>
      </c>
      <c r="B28" s="670"/>
      <c r="C28" s="671"/>
      <c r="D28" s="696" t="s">
        <v>166</v>
      </c>
      <c r="E28" s="780">
        <f>G15</f>
        <v>844.44999999995343</v>
      </c>
      <c r="F28" s="577">
        <v>43.5</v>
      </c>
      <c r="G28" s="578">
        <f>E28*F28</f>
        <v>36733.574999997974</v>
      </c>
      <c r="H28" s="536">
        <f>G28+'6'!H28</f>
        <v>250747.05000000203</v>
      </c>
      <c r="I28" s="581"/>
      <c r="J28" s="629">
        <f>H28/DAY(B2)</f>
        <v>35821.00714285743</v>
      </c>
      <c r="K28" s="404"/>
      <c r="L28" s="484"/>
      <c r="N28" s="413"/>
    </row>
    <row r="29" spans="1:14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G29+'6'!H29</f>
        <v>26220</v>
      </c>
      <c r="I29" s="581"/>
      <c r="J29" s="629">
        <f>H29/DAY(B2)</f>
        <v>3745.7142857142858</v>
      </c>
      <c r="K29" s="404"/>
      <c r="L29" s="484"/>
      <c r="N29" s="413"/>
    </row>
    <row r="30" spans="1:14" s="481" customFormat="1" ht="27.75">
      <c r="A30" s="669" t="s">
        <v>169</v>
      </c>
      <c r="B30" s="670"/>
      <c r="C30" s="671"/>
      <c r="D30" s="696" t="s">
        <v>170</v>
      </c>
      <c r="E30" s="780">
        <f>G19</f>
        <v>52</v>
      </c>
      <c r="F30" s="577">
        <v>134</v>
      </c>
      <c r="G30" s="578">
        <f>E30*F30</f>
        <v>6968</v>
      </c>
      <c r="H30" s="536">
        <f>G30+'6'!H30</f>
        <v>46498</v>
      </c>
      <c r="I30" s="581"/>
      <c r="J30" s="629">
        <f>H30/DAY(B2)</f>
        <v>6642.5714285714284</v>
      </c>
      <c r="K30" s="404"/>
      <c r="L30" s="484"/>
      <c r="N30" s="413"/>
    </row>
    <row r="31" spans="1:14" s="481" customFormat="1" ht="27.75">
      <c r="A31" s="669" t="s">
        <v>171</v>
      </c>
      <c r="B31" s="670"/>
      <c r="C31" s="671"/>
      <c r="D31" s="696" t="s">
        <v>155</v>
      </c>
      <c r="E31" s="780">
        <f>G18</f>
        <v>160</v>
      </c>
      <c r="F31" s="577">
        <v>80</v>
      </c>
      <c r="G31" s="578">
        <f>E31*F31</f>
        <v>12800</v>
      </c>
      <c r="H31" s="536">
        <f>G31+'6'!H31</f>
        <v>77600</v>
      </c>
      <c r="I31" s="581"/>
      <c r="J31" s="629">
        <f>H31/DAY(B2)</f>
        <v>11085.714285714286</v>
      </c>
      <c r="K31" s="404"/>
      <c r="L31" s="484"/>
      <c r="N31" s="413"/>
    </row>
    <row r="32" spans="1:14" s="481" customFormat="1" ht="27.75">
      <c r="A32" s="672" t="s">
        <v>172</v>
      </c>
      <c r="B32" s="673"/>
      <c r="C32" s="674"/>
      <c r="D32" s="583"/>
      <c r="E32" s="583"/>
      <c r="F32" s="600"/>
      <c r="G32" s="1142">
        <f>G27+G28+G29+G30+G31</f>
        <v>221336.57499999797</v>
      </c>
      <c r="H32" s="536">
        <f>G32+'6'!H32</f>
        <v>1603681.0500000021</v>
      </c>
      <c r="I32" s="585"/>
      <c r="J32" s="629">
        <f>H32/DAY(B2)</f>
        <v>229097.29285714315</v>
      </c>
      <c r="K32" s="404"/>
      <c r="L32" s="484"/>
      <c r="N32" s="413"/>
    </row>
    <row r="33" spans="1:14" ht="25.5">
      <c r="A33" s="1428" t="s">
        <v>173</v>
      </c>
      <c r="B33" s="1429"/>
      <c r="C33" s="1429"/>
      <c r="D33" s="1429"/>
      <c r="E33" s="1429"/>
      <c r="F33" s="1429"/>
      <c r="G33" s="1429"/>
      <c r="H33" s="1429"/>
      <c r="I33" s="1429"/>
      <c r="J33" s="1430"/>
      <c r="K33" s="467"/>
      <c r="L33" s="408"/>
      <c r="N33" s="413"/>
    </row>
    <row r="34" spans="1:14">
      <c r="A34" s="675" t="s">
        <v>174</v>
      </c>
      <c r="B34" s="1236"/>
      <c r="C34" s="1236"/>
      <c r="D34" s="548"/>
      <c r="E34" s="547"/>
      <c r="F34" s="547"/>
      <c r="G34" s="548"/>
      <c r="H34" s="548"/>
      <c r="I34" s="548"/>
      <c r="J34" s="628"/>
      <c r="K34" s="467"/>
      <c r="L34" s="408"/>
      <c r="N34" s="413"/>
    </row>
    <row r="35" spans="1:14">
      <c r="A35" s="655" t="s">
        <v>175</v>
      </c>
      <c r="B35" s="656"/>
      <c r="C35" s="656"/>
      <c r="D35" s="599" t="s">
        <v>143</v>
      </c>
      <c r="E35" s="586">
        <f>'6'!F35</f>
        <v>634203</v>
      </c>
      <c r="F35" s="586">
        <v>634203</v>
      </c>
      <c r="G35" s="549">
        <f t="shared" ref="G35:G46" si="3">F35-E35</f>
        <v>0</v>
      </c>
      <c r="H35" s="536">
        <f>G35+'6'!H35</f>
        <v>5175.3299999999581</v>
      </c>
      <c r="I35" s="531"/>
      <c r="J35" s="629">
        <f>H35/DAY(B2)</f>
        <v>739.33285714285114</v>
      </c>
      <c r="K35" s="467"/>
      <c r="L35" s="408"/>
      <c r="N35" s="413"/>
    </row>
    <row r="36" spans="1:14">
      <c r="A36" s="655" t="s">
        <v>176</v>
      </c>
      <c r="B36" s="656"/>
      <c r="C36" s="656"/>
      <c r="D36" s="599" t="s">
        <v>143</v>
      </c>
      <c r="E36" s="586">
        <f>'6'!F36</f>
        <v>280339</v>
      </c>
      <c r="F36" s="586">
        <v>280916.81</v>
      </c>
      <c r="G36" s="549">
        <f t="shared" si="3"/>
        <v>577.80999999999767</v>
      </c>
      <c r="H36" s="536">
        <f>G36+'6'!H36</f>
        <v>4425.359999999986</v>
      </c>
      <c r="I36" s="531"/>
      <c r="J36" s="629">
        <f>H36/DAY(B2)</f>
        <v>632.19428571428375</v>
      </c>
      <c r="K36" s="467"/>
      <c r="L36" s="408"/>
      <c r="N36" s="705"/>
    </row>
    <row r="37" spans="1:14">
      <c r="A37" s="655" t="s">
        <v>177</v>
      </c>
      <c r="B37" s="656"/>
      <c r="C37" s="656"/>
      <c r="D37" s="599" t="s">
        <v>143</v>
      </c>
      <c r="E37" s="586">
        <f>'6'!F37</f>
        <v>1472</v>
      </c>
      <c r="F37" s="586">
        <v>1472</v>
      </c>
      <c r="G37" s="549">
        <f t="shared" si="3"/>
        <v>0</v>
      </c>
      <c r="H37" s="536">
        <f>G37+'6'!H37</f>
        <v>1472</v>
      </c>
      <c r="I37" s="531"/>
      <c r="J37" s="629">
        <f>H37/DAY(B2)</f>
        <v>210.28571428571428</v>
      </c>
      <c r="K37" s="467"/>
      <c r="L37" s="408"/>
      <c r="N37" s="706"/>
    </row>
    <row r="38" spans="1:14">
      <c r="A38" s="655" t="s">
        <v>178</v>
      </c>
      <c r="B38" s="656"/>
      <c r="C38" s="656"/>
      <c r="D38" s="599" t="s">
        <v>143</v>
      </c>
      <c r="E38" s="586">
        <f>'6'!F38</f>
        <v>904</v>
      </c>
      <c r="F38" s="545">
        <v>904</v>
      </c>
      <c r="G38" s="549">
        <f t="shared" si="3"/>
        <v>0</v>
      </c>
      <c r="H38" s="536">
        <f>G38+'6'!H38</f>
        <v>806.12</v>
      </c>
      <c r="I38" s="531"/>
      <c r="J38" s="629">
        <f>H38/DAY(B2)</f>
        <v>115.16</v>
      </c>
      <c r="K38" s="467"/>
      <c r="L38" s="408"/>
      <c r="N38" s="413"/>
    </row>
    <row r="39" spans="1:14">
      <c r="A39" s="655" t="s">
        <v>179</v>
      </c>
      <c r="B39" s="656"/>
      <c r="C39" s="656"/>
      <c r="D39" s="599" t="s">
        <v>143</v>
      </c>
      <c r="E39" s="586">
        <f>'6'!F39</f>
        <v>4103</v>
      </c>
      <c r="F39" s="586">
        <v>4103</v>
      </c>
      <c r="G39" s="549">
        <f t="shared" si="3"/>
        <v>0</v>
      </c>
      <c r="H39" s="536">
        <f>G39+'6'!H39</f>
        <v>4103</v>
      </c>
      <c r="I39" s="531"/>
      <c r="J39" s="629">
        <f>H39/DAY(B2)</f>
        <v>586.14285714285711</v>
      </c>
      <c r="K39" s="467"/>
      <c r="L39" s="408"/>
      <c r="N39" s="413"/>
    </row>
    <row r="40" spans="1:14">
      <c r="A40" s="676" t="s">
        <v>180</v>
      </c>
      <c r="B40" s="677"/>
      <c r="C40" s="677"/>
      <c r="D40" s="599" t="s">
        <v>143</v>
      </c>
      <c r="E40" s="586">
        <f>'6'!F40</f>
        <v>0.17</v>
      </c>
      <c r="F40" s="586">
        <v>0.17</v>
      </c>
      <c r="G40" s="549">
        <f t="shared" si="3"/>
        <v>0</v>
      </c>
      <c r="H40" s="536">
        <f>G40+'6'!H40</f>
        <v>0</v>
      </c>
      <c r="I40" s="531"/>
      <c r="J40" s="629">
        <f>H40/DAY(B2)</f>
        <v>0</v>
      </c>
      <c r="K40" s="468"/>
      <c r="L40" s="408"/>
      <c r="N40" s="413"/>
    </row>
    <row r="41" spans="1:14">
      <c r="A41" s="655" t="s">
        <v>181</v>
      </c>
      <c r="B41" s="656"/>
      <c r="C41" s="656"/>
      <c r="D41" s="599" t="s">
        <v>143</v>
      </c>
      <c r="E41" s="586">
        <f>'6'!F41</f>
        <v>58616</v>
      </c>
      <c r="F41" s="586">
        <v>58616</v>
      </c>
      <c r="G41" s="549">
        <f t="shared" si="3"/>
        <v>0</v>
      </c>
      <c r="H41" s="536">
        <f>G41+'6'!H41</f>
        <v>13993.480000000003</v>
      </c>
      <c r="I41" s="531"/>
      <c r="J41" s="629">
        <f>H41/DAY(B2)</f>
        <v>1999.0685714285719</v>
      </c>
      <c r="K41" s="467"/>
      <c r="L41" s="408"/>
      <c r="N41" s="413"/>
    </row>
    <row r="42" spans="1:14">
      <c r="A42" s="664" t="s">
        <v>182</v>
      </c>
      <c r="B42" s="665"/>
      <c r="C42" s="665"/>
      <c r="D42" s="600" t="s">
        <v>143</v>
      </c>
      <c r="E42" s="586">
        <f>'6'!F42</f>
        <v>58926</v>
      </c>
      <c r="F42" s="1144">
        <v>58926</v>
      </c>
      <c r="G42" s="856">
        <f t="shared" si="3"/>
        <v>0</v>
      </c>
      <c r="H42" s="536">
        <f>G42+'6'!H42</f>
        <v>0</v>
      </c>
      <c r="I42" s="531"/>
      <c r="J42" s="629">
        <f>H42/DAY(B2)</f>
        <v>0</v>
      </c>
      <c r="K42" s="467"/>
      <c r="L42" s="408"/>
      <c r="N42" s="413"/>
    </row>
    <row r="43" spans="1:14">
      <c r="A43" s="655" t="s">
        <v>183</v>
      </c>
      <c r="B43" s="656"/>
      <c r="C43" s="656"/>
      <c r="D43" s="599" t="s">
        <v>143</v>
      </c>
      <c r="E43" s="586">
        <f>'6'!F43</f>
        <v>777221</v>
      </c>
      <c r="F43" s="586">
        <v>777221</v>
      </c>
      <c r="G43" s="549">
        <f t="shared" si="3"/>
        <v>0</v>
      </c>
      <c r="H43" s="536">
        <f>G43+'6'!H43</f>
        <v>9409.0899999999674</v>
      </c>
      <c r="I43" s="531"/>
      <c r="J43" s="629">
        <f>H43/DAY(B2)</f>
        <v>1344.1557142857096</v>
      </c>
      <c r="K43" s="467"/>
      <c r="L43" s="408"/>
      <c r="N43" s="413"/>
    </row>
    <row r="44" spans="1:14">
      <c r="A44" s="655" t="s">
        <v>184</v>
      </c>
      <c r="B44" s="656"/>
      <c r="C44" s="656"/>
      <c r="D44" s="599" t="s">
        <v>143</v>
      </c>
      <c r="E44" s="586">
        <f>'6'!F44</f>
        <v>0</v>
      </c>
      <c r="F44" s="586">
        <v>0</v>
      </c>
      <c r="G44" s="549">
        <f t="shared" si="3"/>
        <v>0</v>
      </c>
      <c r="H44" s="536">
        <f>G44+'6'!H44</f>
        <v>0</v>
      </c>
      <c r="I44" s="531"/>
      <c r="J44" s="629">
        <f>H44/DAY(B2)</f>
        <v>0</v>
      </c>
      <c r="K44" s="467"/>
      <c r="L44" s="408"/>
      <c r="N44" s="413"/>
    </row>
    <row r="45" spans="1:14">
      <c r="A45" s="655" t="s">
        <v>185</v>
      </c>
      <c r="B45" s="656"/>
      <c r="C45" s="656"/>
      <c r="D45" s="599" t="s">
        <v>143</v>
      </c>
      <c r="E45" s="586">
        <f>'6'!F45</f>
        <v>614</v>
      </c>
      <c r="F45" s="586">
        <v>614</v>
      </c>
      <c r="G45" s="549">
        <f t="shared" si="3"/>
        <v>0</v>
      </c>
      <c r="H45" s="536">
        <f>G45+'6'!H45</f>
        <v>-0.48000000000001819</v>
      </c>
      <c r="I45" s="531"/>
      <c r="J45" s="629">
        <f>H45/DAY(B2)</f>
        <v>-6.857142857143117E-2</v>
      </c>
      <c r="K45" s="467"/>
      <c r="L45" s="408"/>
      <c r="N45" s="413"/>
    </row>
    <row r="46" spans="1:14">
      <c r="A46" s="655" t="s">
        <v>186</v>
      </c>
      <c r="B46" s="656"/>
      <c r="C46" s="656"/>
      <c r="D46" s="599" t="s">
        <v>143</v>
      </c>
      <c r="E46" s="586">
        <f>'6'!F46</f>
        <v>187</v>
      </c>
      <c r="F46" s="586">
        <v>187</v>
      </c>
      <c r="G46" s="549">
        <f t="shared" si="3"/>
        <v>0</v>
      </c>
      <c r="H46" s="536">
        <f>G46+'6'!H46</f>
        <v>-0.49000000000000909</v>
      </c>
      <c r="I46" s="531"/>
      <c r="J46" s="629">
        <f>H46/DAY(B2)</f>
        <v>-7.0000000000001297E-2</v>
      </c>
      <c r="K46" s="467"/>
      <c r="L46" s="408"/>
      <c r="N46" s="413"/>
    </row>
    <row r="47" spans="1:14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577.80999999999767</v>
      </c>
      <c r="H47" s="536">
        <f>G47+'6'!H47</f>
        <v>39383.409999999916</v>
      </c>
      <c r="I47" s="531"/>
      <c r="J47" s="629">
        <f>H47/DAY(B2)</f>
        <v>5626.2014285714167</v>
      </c>
      <c r="K47" s="467"/>
      <c r="L47" s="408"/>
      <c r="N47" s="413"/>
    </row>
    <row r="48" spans="1:14">
      <c r="A48" s="675" t="s">
        <v>188</v>
      </c>
      <c r="B48" s="1236"/>
      <c r="C48" s="1236"/>
      <c r="D48" s="548"/>
      <c r="E48" s="547"/>
      <c r="F48" s="547"/>
      <c r="G48" s="548"/>
      <c r="H48" s="548"/>
      <c r="I48" s="548"/>
      <c r="J48" s="628"/>
      <c r="K48" s="467"/>
      <c r="L48" s="408"/>
      <c r="N48" s="413"/>
    </row>
    <row r="49" spans="1:14">
      <c r="A49" s="655" t="s">
        <v>175</v>
      </c>
      <c r="B49" s="678"/>
      <c r="C49" s="678"/>
      <c r="D49" s="599" t="s">
        <v>143</v>
      </c>
      <c r="E49" s="586">
        <f>'6'!F49</f>
        <v>257265</v>
      </c>
      <c r="F49" s="586">
        <v>259764.67</v>
      </c>
      <c r="G49" s="549">
        <f t="shared" ref="G49:G58" si="4">F49-E49</f>
        <v>2499.6700000000128</v>
      </c>
      <c r="H49" s="536">
        <f>G49+'6'!H49</f>
        <v>13865.620000000024</v>
      </c>
      <c r="I49" s="531"/>
      <c r="J49" s="629">
        <f>H49/DAY(B2)</f>
        <v>1980.8028571428606</v>
      </c>
      <c r="K49" s="467"/>
      <c r="L49" s="408"/>
      <c r="N49" s="413"/>
    </row>
    <row r="50" spans="1:14">
      <c r="A50" s="655" t="s">
        <v>189</v>
      </c>
      <c r="B50" s="678"/>
      <c r="C50" s="678"/>
      <c r="D50" s="599" t="s">
        <v>143</v>
      </c>
      <c r="E50" s="586">
        <f>'6'!F50</f>
        <v>375731</v>
      </c>
      <c r="F50" s="586">
        <v>376840</v>
      </c>
      <c r="G50" s="549">
        <f t="shared" si="4"/>
        <v>1109</v>
      </c>
      <c r="H50" s="536">
        <f>G50+'6'!H50</f>
        <v>8222.6900000000023</v>
      </c>
      <c r="I50" s="531"/>
      <c r="J50" s="629">
        <f>H50/DAY(B2)</f>
        <v>1174.6700000000003</v>
      </c>
      <c r="K50" s="467"/>
      <c r="L50" s="408"/>
      <c r="N50" s="413"/>
    </row>
    <row r="51" spans="1:14">
      <c r="A51" s="655" t="s">
        <v>177</v>
      </c>
      <c r="B51" s="678"/>
      <c r="C51" s="678"/>
      <c r="D51" s="599" t="s">
        <v>143</v>
      </c>
      <c r="E51" s="586">
        <f>'6'!F51</f>
        <v>117515</v>
      </c>
      <c r="F51" s="586">
        <v>118942</v>
      </c>
      <c r="G51" s="549">
        <f t="shared" si="4"/>
        <v>1427</v>
      </c>
      <c r="H51" s="536">
        <f>G51+'6'!H51</f>
        <v>8842.2599999999948</v>
      </c>
      <c r="I51" s="531"/>
      <c r="J51" s="629">
        <f>H51/DAY(B2)</f>
        <v>1263.1799999999992</v>
      </c>
      <c r="K51" s="467"/>
      <c r="L51" s="408"/>
      <c r="N51" s="413"/>
    </row>
    <row r="52" spans="1:14">
      <c r="A52" s="655" t="s">
        <v>190</v>
      </c>
      <c r="B52" s="678"/>
      <c r="C52" s="678"/>
      <c r="D52" s="599" t="s">
        <v>143</v>
      </c>
      <c r="E52" s="586">
        <f>'6'!F52</f>
        <v>504975</v>
      </c>
      <c r="F52" s="586">
        <v>507093</v>
      </c>
      <c r="G52" s="549">
        <f t="shared" si="4"/>
        <v>2118</v>
      </c>
      <c r="H52" s="536">
        <f>G52+'6'!H52</f>
        <v>13284.330000000016</v>
      </c>
      <c r="I52" s="531"/>
      <c r="J52" s="629">
        <f>H52/DAY(B2)</f>
        <v>1897.761428571431</v>
      </c>
      <c r="K52" s="467"/>
      <c r="L52" s="408"/>
      <c r="N52" s="413"/>
    </row>
    <row r="53" spans="1:14">
      <c r="A53" s="655" t="s">
        <v>179</v>
      </c>
      <c r="B53" s="678"/>
      <c r="C53" s="678"/>
      <c r="D53" s="599" t="s">
        <v>143</v>
      </c>
      <c r="E53" s="586">
        <f>'6'!F53</f>
        <v>325256</v>
      </c>
      <c r="F53" s="586">
        <v>329432</v>
      </c>
      <c r="G53" s="549">
        <f t="shared" si="4"/>
        <v>4176</v>
      </c>
      <c r="H53" s="536">
        <f>G53+'6'!H53</f>
        <v>25133.729999999981</v>
      </c>
      <c r="I53" s="531"/>
      <c r="J53" s="629">
        <f>H53/DAY(B2)</f>
        <v>3590.5328571428545</v>
      </c>
      <c r="K53" s="467"/>
      <c r="L53" s="408"/>
      <c r="N53" s="413"/>
    </row>
    <row r="54" spans="1:14">
      <c r="A54" s="655" t="s">
        <v>191</v>
      </c>
      <c r="B54" s="678"/>
      <c r="C54" s="678"/>
      <c r="D54" s="599" t="s">
        <v>143</v>
      </c>
      <c r="E54" s="586">
        <f>'6'!F54</f>
        <v>6564</v>
      </c>
      <c r="F54" s="586">
        <v>6635</v>
      </c>
      <c r="G54" s="549">
        <f t="shared" si="4"/>
        <v>71</v>
      </c>
      <c r="H54" s="536">
        <f>G54+'6'!H54</f>
        <v>318.35999999999967</v>
      </c>
      <c r="I54" s="531"/>
      <c r="J54" s="629">
        <f>H54/DAY(B2)</f>
        <v>45.479999999999954</v>
      </c>
      <c r="K54" s="467"/>
      <c r="L54" s="408"/>
      <c r="N54" s="413"/>
    </row>
    <row r="55" spans="1:14">
      <c r="A55" s="655" t="s">
        <v>192</v>
      </c>
      <c r="B55" s="678"/>
      <c r="C55" s="678"/>
      <c r="D55" s="599" t="s">
        <v>143</v>
      </c>
      <c r="E55" s="586">
        <f>'6'!F55</f>
        <v>48960</v>
      </c>
      <c r="F55" s="734">
        <v>52455.98</v>
      </c>
      <c r="G55" s="733">
        <f t="shared" si="4"/>
        <v>3495.9800000000032</v>
      </c>
      <c r="H55" s="787">
        <f>G55+'6'!H55</f>
        <v>13335.400000000001</v>
      </c>
      <c r="I55" s="788"/>
      <c r="J55" s="789">
        <f>H55/DAY(B2)</f>
        <v>1905.0571428571432</v>
      </c>
      <c r="K55" s="467"/>
      <c r="L55" s="408"/>
      <c r="N55" s="413"/>
    </row>
    <row r="56" spans="1:14">
      <c r="A56" s="664" t="s">
        <v>193</v>
      </c>
      <c r="B56" s="1152"/>
      <c r="C56" s="1152"/>
      <c r="D56" s="600" t="s">
        <v>194</v>
      </c>
      <c r="E56" s="586">
        <f>'6'!F56</f>
        <v>557739</v>
      </c>
      <c r="F56" s="1144">
        <v>557739</v>
      </c>
      <c r="G56" s="856">
        <f t="shared" si="4"/>
        <v>0</v>
      </c>
      <c r="H56" s="536">
        <f>G56+'6'!H56</f>
        <v>7.0899999999674037</v>
      </c>
      <c r="I56" s="531"/>
      <c r="J56" s="629">
        <f>H56/DAY(B2)</f>
        <v>1.0128571428524862</v>
      </c>
      <c r="K56" s="466"/>
      <c r="L56" s="408"/>
      <c r="N56" s="413"/>
    </row>
    <row r="57" spans="1:14">
      <c r="A57" s="655" t="s">
        <v>183</v>
      </c>
      <c r="B57" s="678"/>
      <c r="C57" s="678"/>
      <c r="D57" s="599" t="s">
        <v>143</v>
      </c>
      <c r="E57" s="586">
        <f>'6'!F57</f>
        <v>4215</v>
      </c>
      <c r="F57" s="586">
        <v>6534</v>
      </c>
      <c r="G57" s="549">
        <f t="shared" si="4"/>
        <v>2319</v>
      </c>
      <c r="H57" s="536">
        <f>G57+'6'!H57</f>
        <v>6534</v>
      </c>
      <c r="I57" s="531"/>
      <c r="J57" s="629">
        <f>H57/DAY(B2)</f>
        <v>933.42857142857144</v>
      </c>
      <c r="K57" s="467"/>
      <c r="L57" s="408"/>
      <c r="N57" s="413"/>
    </row>
    <row r="58" spans="1:14">
      <c r="A58" s="655" t="s">
        <v>195</v>
      </c>
      <c r="B58" s="678"/>
      <c r="C58" s="678"/>
      <c r="D58" s="599" t="s">
        <v>143</v>
      </c>
      <c r="E58" s="586">
        <f>'6'!F58</f>
        <v>31510</v>
      </c>
      <c r="F58" s="734">
        <v>31679</v>
      </c>
      <c r="G58" s="549">
        <f t="shared" si="4"/>
        <v>169</v>
      </c>
      <c r="H58" s="536">
        <f>G58+'6'!H58</f>
        <v>1147.0900000000001</v>
      </c>
      <c r="I58" s="531"/>
      <c r="J58" s="629">
        <f>H58/DAY(B2)</f>
        <v>163.87000000000003</v>
      </c>
      <c r="K58" s="467"/>
      <c r="L58" s="408"/>
      <c r="N58" s="413"/>
    </row>
    <row r="59" spans="1:14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17384.650000000016</v>
      </c>
      <c r="H59" s="536">
        <f>G59+'6'!H59</f>
        <v>90690.569999999978</v>
      </c>
      <c r="I59" s="531">
        <f>G7-G60</f>
        <v>292.53999999998632</v>
      </c>
      <c r="J59" s="629">
        <f>H59/DAY(B2)</f>
        <v>12955.79571428571</v>
      </c>
      <c r="K59" s="467"/>
      <c r="L59" s="408"/>
      <c r="N59" s="413"/>
    </row>
    <row r="60" spans="1:14">
      <c r="A60" s="655"/>
      <c r="B60" s="656"/>
      <c r="C60" s="656"/>
      <c r="D60" s="587" t="s">
        <v>196</v>
      </c>
      <c r="E60" s="587"/>
      <c r="F60" s="587"/>
      <c r="G60" s="557">
        <f>G47+G59</f>
        <v>17962.460000000014</v>
      </c>
      <c r="H60" s="536">
        <f>G60+'6'!H60</f>
        <v>130073.97999999989</v>
      </c>
      <c r="I60" s="531">
        <f>G13-G60</f>
        <v>-929.71000000001368</v>
      </c>
      <c r="J60" s="629">
        <f>H60/DAY(B2)</f>
        <v>18581.997142857126</v>
      </c>
      <c r="K60" s="467"/>
      <c r="L60" s="408"/>
      <c r="N60" s="413"/>
    </row>
    <row r="61" spans="1:14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</row>
    <row r="62" spans="1:14">
      <c r="A62" s="680" t="s">
        <v>106</v>
      </c>
      <c r="B62" s="681"/>
      <c r="C62" s="681"/>
      <c r="D62" s="587" t="s">
        <v>198</v>
      </c>
      <c r="E62" s="590">
        <f>'6'!F62</f>
        <v>20419</v>
      </c>
      <c r="F62" s="590">
        <v>20419</v>
      </c>
      <c r="G62" s="549">
        <f t="shared" ref="G62:G69" si="5">F62-E62</f>
        <v>0</v>
      </c>
      <c r="H62" s="536">
        <f>G62+'6'!H62</f>
        <v>-0.1889999999984866</v>
      </c>
      <c r="I62" s="591"/>
      <c r="J62" s="629">
        <f>H62/DAY(B2)</f>
        <v>-2.6999999999783801E-2</v>
      </c>
      <c r="K62" s="467"/>
      <c r="L62" s="408"/>
      <c r="N62" s="413"/>
    </row>
    <row r="63" spans="1:14">
      <c r="A63" s="680" t="s">
        <v>199</v>
      </c>
      <c r="B63" s="681"/>
      <c r="C63" s="681"/>
      <c r="D63" s="587" t="s">
        <v>198</v>
      </c>
      <c r="E63" s="590">
        <f>'6'!F63</f>
        <v>1420</v>
      </c>
      <c r="F63" s="590">
        <v>1434</v>
      </c>
      <c r="G63" s="549">
        <f t="shared" si="5"/>
        <v>14</v>
      </c>
      <c r="H63" s="536">
        <f>G63+'6'!H63</f>
        <v>101.47000000000003</v>
      </c>
      <c r="I63" s="591"/>
      <c r="J63" s="629">
        <f>H63/DAY(B2)</f>
        <v>14.495714285714289</v>
      </c>
      <c r="K63" s="467"/>
      <c r="L63" s="408"/>
      <c r="N63" s="413"/>
    </row>
    <row r="64" spans="1:14" ht="27.75">
      <c r="A64" s="1385" t="s">
        <v>107</v>
      </c>
      <c r="B64" s="1386"/>
      <c r="C64" s="1387"/>
      <c r="D64" s="599" t="s">
        <v>198</v>
      </c>
      <c r="E64" s="560">
        <f>'6'!F64</f>
        <v>113859</v>
      </c>
      <c r="F64" s="554">
        <v>114233.60000000001</v>
      </c>
      <c r="G64" s="549">
        <f t="shared" si="5"/>
        <v>374.60000000000582</v>
      </c>
      <c r="H64" s="536">
        <f>G64+'6'!H64</f>
        <v>2950.1399999999994</v>
      </c>
      <c r="I64" s="556"/>
      <c r="J64" s="629">
        <f>H64/DAY(B2)</f>
        <v>421.44857142857137</v>
      </c>
      <c r="K64" s="467"/>
      <c r="L64" s="408"/>
      <c r="N64" s="413"/>
    </row>
    <row r="65" spans="1:14" ht="27.75">
      <c r="A65" s="1385" t="s">
        <v>108</v>
      </c>
      <c r="B65" s="1386"/>
      <c r="C65" s="1387"/>
      <c r="D65" s="599" t="s">
        <v>198</v>
      </c>
      <c r="E65" s="560">
        <f>'6'!F65</f>
        <v>123976</v>
      </c>
      <c r="F65" s="732">
        <v>124354.67</v>
      </c>
      <c r="G65" s="549">
        <f t="shared" si="5"/>
        <v>378.66999999999825</v>
      </c>
      <c r="H65" s="536">
        <f>G65+'6'!H65</f>
        <v>2621.5599999999977</v>
      </c>
      <c r="I65" s="565"/>
      <c r="J65" s="629">
        <f>H65/DAY(B2)</f>
        <v>374.50857142857109</v>
      </c>
      <c r="K65" s="467"/>
      <c r="L65" s="408"/>
      <c r="N65" s="413"/>
    </row>
    <row r="66" spans="1:14" ht="27.75">
      <c r="A66" s="1385" t="s">
        <v>109</v>
      </c>
      <c r="B66" s="1386"/>
      <c r="C66" s="1387"/>
      <c r="D66" s="599" t="s">
        <v>198</v>
      </c>
      <c r="E66" s="560">
        <f>'6'!F66</f>
        <v>16550</v>
      </c>
      <c r="F66" s="554">
        <v>16959</v>
      </c>
      <c r="G66" s="549">
        <f t="shared" si="5"/>
        <v>409</v>
      </c>
      <c r="H66" s="536">
        <f>G66+'6'!H66</f>
        <v>2799.26</v>
      </c>
      <c r="I66" s="556"/>
      <c r="J66" s="629">
        <f>H66/DAY(B2)</f>
        <v>399.89428571428573</v>
      </c>
      <c r="K66" s="467"/>
      <c r="L66" s="408"/>
      <c r="N66" s="413"/>
    </row>
    <row r="67" spans="1:14" ht="27.75">
      <c r="A67" s="1385" t="s">
        <v>110</v>
      </c>
      <c r="B67" s="1386"/>
      <c r="C67" s="1387"/>
      <c r="D67" s="599" t="s">
        <v>198</v>
      </c>
      <c r="E67" s="560">
        <f>'6'!F67</f>
        <v>192854</v>
      </c>
      <c r="F67" s="554">
        <v>193581.99</v>
      </c>
      <c r="G67" s="549">
        <f t="shared" si="5"/>
        <v>727.98999999999069</v>
      </c>
      <c r="H67" s="536">
        <f>G67+'6'!H67</f>
        <v>4907.4599999999919</v>
      </c>
      <c r="I67" s="565"/>
      <c r="J67" s="629">
        <f>H67/DAY(B2)</f>
        <v>701.06571428571317</v>
      </c>
      <c r="K67" s="468"/>
      <c r="L67" s="408"/>
      <c r="N67" s="413"/>
    </row>
    <row r="68" spans="1:14" ht="27.75">
      <c r="A68" s="1385" t="s">
        <v>111</v>
      </c>
      <c r="B68" s="1386"/>
      <c r="C68" s="1387"/>
      <c r="D68" s="599" t="s">
        <v>198</v>
      </c>
      <c r="E68" s="560">
        <f>'6'!F68</f>
        <v>65342</v>
      </c>
      <c r="F68" s="554">
        <v>65672</v>
      </c>
      <c r="G68" s="549">
        <f t="shared" si="5"/>
        <v>330</v>
      </c>
      <c r="H68" s="536">
        <f>G68+'6'!H68</f>
        <v>2372.1399999999994</v>
      </c>
      <c r="I68" s="592"/>
      <c r="J68" s="629">
        <f>H68/DAY(B2)</f>
        <v>338.87714285714276</v>
      </c>
      <c r="K68" s="469"/>
      <c r="L68" s="408"/>
      <c r="N68" s="413"/>
    </row>
    <row r="69" spans="1:14" ht="27.75">
      <c r="A69" s="1385" t="s">
        <v>112</v>
      </c>
      <c r="B69" s="1386"/>
      <c r="C69" s="1387"/>
      <c r="D69" s="599" t="s">
        <v>198</v>
      </c>
      <c r="E69" s="560">
        <f>'6'!F69</f>
        <v>57540</v>
      </c>
      <c r="F69" s="554">
        <v>57850</v>
      </c>
      <c r="G69" s="549">
        <f t="shared" si="5"/>
        <v>310</v>
      </c>
      <c r="H69" s="536">
        <f>G69+'6'!H69</f>
        <v>2126.2900000000009</v>
      </c>
      <c r="I69" s="592"/>
      <c r="J69" s="629">
        <f>H69/DAY(B2)</f>
        <v>303.75571428571442</v>
      </c>
      <c r="K69" s="470"/>
      <c r="L69" s="408"/>
      <c r="N69" s="413"/>
    </row>
    <row r="70" spans="1:14" ht="27.75">
      <c r="A70" s="1391" t="s">
        <v>200</v>
      </c>
      <c r="B70" s="1392"/>
      <c r="C70" s="1393"/>
      <c r="D70" s="599" t="s">
        <v>198</v>
      </c>
      <c r="E70" s="594"/>
      <c r="F70" s="594"/>
      <c r="G70" s="594"/>
      <c r="H70" s="536"/>
      <c r="I70" s="594"/>
      <c r="J70" s="633"/>
      <c r="K70" s="470"/>
      <c r="L70" s="408"/>
      <c r="N70" s="413"/>
    </row>
    <row r="71" spans="1:14" ht="31.5">
      <c r="A71" s="1388" t="s">
        <v>201</v>
      </c>
      <c r="B71" s="1389"/>
      <c r="C71" s="1389"/>
      <c r="D71" s="1389"/>
      <c r="E71" s="1389"/>
      <c r="F71" s="1389"/>
      <c r="G71" s="1389"/>
      <c r="H71" s="1389"/>
      <c r="I71" s="1389"/>
      <c r="J71" s="1390"/>
      <c r="K71" s="469"/>
      <c r="L71" s="408"/>
      <c r="N71" s="413"/>
    </row>
    <row r="72" spans="1:14" ht="27.75">
      <c r="A72" s="1385" t="s">
        <v>202</v>
      </c>
      <c r="B72" s="1386"/>
      <c r="C72" s="1387"/>
      <c r="D72" s="599" t="s">
        <v>198</v>
      </c>
      <c r="E72" s="595">
        <f>'6'!F72</f>
        <v>848941</v>
      </c>
      <c r="F72" s="735">
        <v>849023</v>
      </c>
      <c r="G72" s="549">
        <f t="shared" ref="G72:G84" si="6">F72-E72</f>
        <v>82</v>
      </c>
      <c r="H72" s="536">
        <f>G72+'6'!H72</f>
        <v>558</v>
      </c>
      <c r="I72" s="556"/>
      <c r="J72" s="629">
        <f>H72/DAY(B2)</f>
        <v>79.714285714285708</v>
      </c>
      <c r="K72" s="470"/>
      <c r="L72" s="408"/>
      <c r="N72" s="413"/>
    </row>
    <row r="73" spans="1:14" ht="27.75">
      <c r="A73" s="1385" t="s">
        <v>203</v>
      </c>
      <c r="B73" s="1386"/>
      <c r="C73" s="1387"/>
      <c r="D73" s="599" t="s">
        <v>198</v>
      </c>
      <c r="E73" s="595">
        <f>'6'!F73</f>
        <v>885730</v>
      </c>
      <c r="F73" s="736">
        <v>885730</v>
      </c>
      <c r="G73" s="733">
        <f t="shared" si="6"/>
        <v>0</v>
      </c>
      <c r="H73" s="536">
        <f>G73+'6'!H73</f>
        <v>2</v>
      </c>
      <c r="I73" s="556"/>
      <c r="J73" s="629">
        <f>H73/DAY(B2)</f>
        <v>0.2857142857142857</v>
      </c>
      <c r="K73" s="469"/>
      <c r="L73" s="408"/>
      <c r="N73" s="413"/>
    </row>
    <row r="74" spans="1:14" ht="27.75">
      <c r="A74" s="1385" t="s">
        <v>204</v>
      </c>
      <c r="B74" s="1386"/>
      <c r="C74" s="1387"/>
      <c r="D74" s="599" t="s">
        <v>198</v>
      </c>
      <c r="E74" s="595">
        <f>'6'!F74</f>
        <v>882533</v>
      </c>
      <c r="F74" s="735">
        <v>882557</v>
      </c>
      <c r="G74" s="549">
        <f t="shared" si="6"/>
        <v>24</v>
      </c>
      <c r="H74" s="536">
        <f>G74+'6'!H74</f>
        <v>188</v>
      </c>
      <c r="I74" s="556"/>
      <c r="J74" s="629">
        <f>H74/DAY(B2)</f>
        <v>26.857142857142858</v>
      </c>
      <c r="K74" s="470"/>
      <c r="L74" s="408"/>
      <c r="N74" s="413"/>
    </row>
    <row r="75" spans="1:14" ht="27.75">
      <c r="A75" s="1382" t="s">
        <v>205</v>
      </c>
      <c r="B75" s="1383"/>
      <c r="C75" s="1384"/>
      <c r="D75" s="599" t="s">
        <v>198</v>
      </c>
      <c r="E75" s="595">
        <f>'6'!F75</f>
        <v>738595</v>
      </c>
      <c r="F75" s="736">
        <v>738774</v>
      </c>
      <c r="G75" s="549">
        <f t="shared" si="6"/>
        <v>179</v>
      </c>
      <c r="H75" s="536">
        <f>G75+'6'!H75</f>
        <v>1255</v>
      </c>
      <c r="I75" s="556"/>
      <c r="J75" s="629">
        <f>H75/DAY(B2)</f>
        <v>179.28571428571428</v>
      </c>
      <c r="K75" s="469"/>
      <c r="L75" s="408"/>
      <c r="N75" s="413"/>
    </row>
    <row r="76" spans="1:14" ht="27.75">
      <c r="A76" s="1382" t="s">
        <v>206</v>
      </c>
      <c r="B76" s="1383"/>
      <c r="C76" s="1384"/>
      <c r="D76" s="599" t="s">
        <v>198</v>
      </c>
      <c r="E76" s="595">
        <f>'6'!F76</f>
        <v>687502</v>
      </c>
      <c r="F76" s="736">
        <v>687589</v>
      </c>
      <c r="G76" s="549">
        <f t="shared" si="6"/>
        <v>87</v>
      </c>
      <c r="H76" s="536">
        <f>G76+'6'!H76</f>
        <v>575</v>
      </c>
      <c r="I76" s="581"/>
      <c r="J76" s="629">
        <f>H76/DAY(B2)</f>
        <v>82.142857142857139</v>
      </c>
      <c r="K76" s="469"/>
      <c r="L76" s="408"/>
      <c r="N76" s="413"/>
    </row>
    <row r="77" spans="1:14" ht="27.75">
      <c r="A77" s="1385" t="s">
        <v>207</v>
      </c>
      <c r="B77" s="1386"/>
      <c r="C77" s="1387"/>
      <c r="D77" s="599" t="s">
        <v>198</v>
      </c>
      <c r="E77" s="595">
        <f>'6'!F77</f>
        <v>697478</v>
      </c>
      <c r="F77" s="736">
        <v>697529</v>
      </c>
      <c r="G77" s="733">
        <f t="shared" si="6"/>
        <v>51</v>
      </c>
      <c r="H77" s="536">
        <f>G77+'6'!H77</f>
        <v>422</v>
      </c>
      <c r="I77" s="581"/>
      <c r="J77" s="629">
        <f>H77/DAY(B2)</f>
        <v>60.285714285714285</v>
      </c>
      <c r="K77" s="469"/>
      <c r="L77" s="408"/>
      <c r="N77" s="413"/>
    </row>
    <row r="78" spans="1:14" ht="27.75">
      <c r="A78" s="1234" t="s">
        <v>208</v>
      </c>
      <c r="B78" s="1205"/>
      <c r="C78" s="1205"/>
      <c r="D78" s="599" t="s">
        <v>198</v>
      </c>
      <c r="E78" s="595">
        <f>'6'!F78</f>
        <v>644391</v>
      </c>
      <c r="F78" s="737">
        <v>644849</v>
      </c>
      <c r="G78" s="549">
        <f t="shared" si="6"/>
        <v>458</v>
      </c>
      <c r="H78" s="536">
        <f>G78+'6'!H78</f>
        <v>2896</v>
      </c>
      <c r="I78" s="581"/>
      <c r="J78" s="629">
        <f>H78/DAY(B2)</f>
        <v>413.71428571428572</v>
      </c>
      <c r="K78" s="469"/>
      <c r="L78" s="408"/>
      <c r="N78" s="413"/>
    </row>
    <row r="79" spans="1:14" ht="27.75">
      <c r="A79" s="1382" t="s">
        <v>97</v>
      </c>
      <c r="B79" s="1383"/>
      <c r="C79" s="1384"/>
      <c r="D79" s="600" t="s">
        <v>198</v>
      </c>
      <c r="E79" s="595">
        <f>'6'!F79</f>
        <v>810884</v>
      </c>
      <c r="F79" s="737">
        <v>811078</v>
      </c>
      <c r="G79" s="549">
        <f t="shared" si="6"/>
        <v>194</v>
      </c>
      <c r="H79" s="536">
        <f>G79+'6'!H79</f>
        <v>1387</v>
      </c>
      <c r="I79" s="581"/>
      <c r="J79" s="629">
        <f>H79/DAY(B2)</f>
        <v>198.14285714285714</v>
      </c>
      <c r="K79" s="469"/>
      <c r="L79" s="408"/>
      <c r="N79" s="413"/>
    </row>
    <row r="80" spans="1:14" ht="27.75">
      <c r="A80" s="1382" t="s">
        <v>209</v>
      </c>
      <c r="B80" s="1383"/>
      <c r="C80" s="1384"/>
      <c r="D80" s="600" t="s">
        <v>198</v>
      </c>
      <c r="E80" s="595">
        <f>'6'!F80</f>
        <v>487008</v>
      </c>
      <c r="F80" s="736">
        <v>487325</v>
      </c>
      <c r="G80" s="549">
        <f t="shared" si="6"/>
        <v>317</v>
      </c>
      <c r="H80" s="536">
        <f>G80+'6'!H80</f>
        <v>2198</v>
      </c>
      <c r="I80" s="581"/>
      <c r="J80" s="629">
        <f>H80/DAY(B2)</f>
        <v>314</v>
      </c>
      <c r="K80" s="469"/>
      <c r="L80" s="408"/>
      <c r="N80" s="413"/>
    </row>
    <row r="81" spans="1:15" ht="27.75">
      <c r="A81" s="1382" t="s">
        <v>210</v>
      </c>
      <c r="B81" s="1383"/>
      <c r="C81" s="1384"/>
      <c r="D81" s="600" t="s">
        <v>198</v>
      </c>
      <c r="E81" s="595">
        <f>'6'!F81</f>
        <v>623356</v>
      </c>
      <c r="F81" s="736">
        <v>623459</v>
      </c>
      <c r="G81" s="549">
        <f t="shared" si="6"/>
        <v>103</v>
      </c>
      <c r="H81" s="536">
        <f>G81+'6'!H81</f>
        <v>684</v>
      </c>
      <c r="I81" s="581"/>
      <c r="J81" s="629">
        <f>H81/DAY(B2)</f>
        <v>97.714285714285708</v>
      </c>
      <c r="K81" s="469"/>
      <c r="L81" s="408"/>
      <c r="N81" s="413"/>
    </row>
    <row r="82" spans="1:15" ht="27.75">
      <c r="A82" s="1382" t="s">
        <v>100</v>
      </c>
      <c r="B82" s="1383"/>
      <c r="C82" s="1384"/>
      <c r="D82" s="561" t="s">
        <v>143</v>
      </c>
      <c r="E82" s="595">
        <f>'6'!F82</f>
        <v>105652</v>
      </c>
      <c r="F82" s="732">
        <v>105678</v>
      </c>
      <c r="G82" s="549">
        <f t="shared" si="6"/>
        <v>26</v>
      </c>
      <c r="H82" s="536">
        <f>G82+'6'!H82</f>
        <v>238</v>
      </c>
      <c r="I82" s="562"/>
      <c r="J82" s="629">
        <f>H82/DAY(B2)</f>
        <v>34</v>
      </c>
      <c r="K82" s="469"/>
      <c r="L82" s="408"/>
      <c r="N82" s="413"/>
    </row>
    <row r="83" spans="1:15" ht="27.75">
      <c r="A83" s="1382" t="s">
        <v>211</v>
      </c>
      <c r="B83" s="1383"/>
      <c r="C83" s="1384"/>
      <c r="D83" s="697" t="s">
        <v>143</v>
      </c>
      <c r="E83" s="595">
        <f>'6'!F83</f>
        <v>986402</v>
      </c>
      <c r="F83" s="587">
        <v>986883</v>
      </c>
      <c r="G83" s="549">
        <f t="shared" si="6"/>
        <v>481</v>
      </c>
      <c r="H83" s="536">
        <f>G83+'6'!H83</f>
        <v>3142</v>
      </c>
      <c r="I83" s="557"/>
      <c r="J83" s="629">
        <f>H83/DAY(B2)</f>
        <v>448.85714285714283</v>
      </c>
      <c r="K83" s="468"/>
      <c r="L83" s="408"/>
      <c r="N83" s="413"/>
    </row>
    <row r="84" spans="1:15">
      <c r="A84" s="1235" t="s">
        <v>212</v>
      </c>
      <c r="B84" s="648"/>
      <c r="C84" s="648"/>
      <c r="D84" s="554" t="s">
        <v>143</v>
      </c>
      <c r="E84" s="595">
        <f>'6'!F84</f>
        <v>419003</v>
      </c>
      <c r="F84" s="704">
        <v>419469</v>
      </c>
      <c r="G84" s="549">
        <f t="shared" si="6"/>
        <v>466</v>
      </c>
      <c r="H84" s="536">
        <f>G84+'6'!H84</f>
        <v>3396</v>
      </c>
      <c r="I84" s="557"/>
      <c r="J84" s="629">
        <f>H84/DAY(B2)</f>
        <v>485.14285714285717</v>
      </c>
      <c r="K84" s="411"/>
      <c r="L84" s="408"/>
      <c r="N84" s="413"/>
    </row>
    <row r="85" spans="1:15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SUM(G71:G84)</f>
        <v>2468</v>
      </c>
      <c r="H85" s="536">
        <f>G85+'6'!H85</f>
        <v>15128</v>
      </c>
      <c r="I85" s="557"/>
      <c r="J85" s="629">
        <f>H85/DAY(B2)</f>
        <v>2161.1428571428573</v>
      </c>
      <c r="K85" s="411"/>
      <c r="L85" s="409"/>
      <c r="N85" s="413"/>
    </row>
    <row r="86" spans="1:15" s="817" customFormat="1">
      <c r="A86" s="812" t="s">
        <v>102</v>
      </c>
      <c r="B86" s="813"/>
      <c r="C86" s="813"/>
      <c r="D86" s="732" t="s">
        <v>194</v>
      </c>
      <c r="E86" s="704">
        <f>'6'!F86</f>
        <v>447922</v>
      </c>
      <c r="F86" s="728">
        <v>448036</v>
      </c>
      <c r="G86" s="787">
        <f t="shared" ref="G86:G90" si="7">F86-E86</f>
        <v>114</v>
      </c>
      <c r="H86" s="787">
        <f t="shared" ref="H86:H88" si="8">G86</f>
        <v>114</v>
      </c>
      <c r="I86" s="733"/>
      <c r="J86" s="789">
        <f>H86/DAY(B2)</f>
        <v>16.285714285714285</v>
      </c>
      <c r="K86" s="815"/>
      <c r="L86" s="816"/>
      <c r="O86" s="795"/>
    </row>
    <row r="87" spans="1:15" s="817" customFormat="1">
      <c r="A87" s="812" t="s">
        <v>103</v>
      </c>
      <c r="B87" s="813"/>
      <c r="C87" s="813"/>
      <c r="D87" s="732" t="s">
        <v>194</v>
      </c>
      <c r="E87" s="704">
        <f>'6'!F87</f>
        <v>78625</v>
      </c>
      <c r="F87" s="728">
        <v>78625.5</v>
      </c>
      <c r="G87" s="787">
        <f t="shared" si="7"/>
        <v>0.5</v>
      </c>
      <c r="H87" s="787">
        <f t="shared" si="8"/>
        <v>0.5</v>
      </c>
      <c r="I87" s="733"/>
      <c r="J87" s="789">
        <f>H87/DAY(B2)</f>
        <v>7.1428571428571425E-2</v>
      </c>
      <c r="K87" s="815"/>
      <c r="L87" s="816"/>
      <c r="O87" s="795"/>
    </row>
    <row r="88" spans="1:15" s="817" customFormat="1">
      <c r="A88" s="812" t="s">
        <v>104</v>
      </c>
      <c r="B88" s="813"/>
      <c r="C88" s="813"/>
      <c r="D88" s="732" t="s">
        <v>194</v>
      </c>
      <c r="E88" s="704">
        <f>'6'!F88</f>
        <v>146908</v>
      </c>
      <c r="F88" s="728">
        <v>146938</v>
      </c>
      <c r="G88" s="787">
        <f t="shared" si="7"/>
        <v>30</v>
      </c>
      <c r="H88" s="787">
        <f t="shared" si="8"/>
        <v>30</v>
      </c>
      <c r="I88" s="733"/>
      <c r="J88" s="789">
        <f>H88/DAY(B2)</f>
        <v>4.2857142857142856</v>
      </c>
      <c r="K88" s="815"/>
      <c r="L88" s="816"/>
      <c r="O88" s="795"/>
    </row>
    <row r="89" spans="1:15" s="817" customFormat="1">
      <c r="A89" s="812" t="s">
        <v>215</v>
      </c>
      <c r="B89" s="813"/>
      <c r="C89" s="813"/>
      <c r="D89" s="732" t="s">
        <v>194</v>
      </c>
      <c r="E89" s="704">
        <f>'6'!F89</f>
        <v>60255</v>
      </c>
      <c r="F89" s="728">
        <v>60303</v>
      </c>
      <c r="G89" s="787">
        <f t="shared" si="7"/>
        <v>48</v>
      </c>
      <c r="H89" s="787">
        <f>G89</f>
        <v>48</v>
      </c>
      <c r="I89" s="733"/>
      <c r="J89" s="789">
        <f>H89/DAY(B2)</f>
        <v>6.8571428571428568</v>
      </c>
      <c r="K89" s="815"/>
      <c r="L89" s="816"/>
      <c r="N89" s="860"/>
      <c r="O89" s="413"/>
    </row>
    <row r="90" spans="1:15" s="817" customFormat="1">
      <c r="A90" s="812" t="s">
        <v>215</v>
      </c>
      <c r="B90" s="813"/>
      <c r="C90" s="813"/>
      <c r="D90" s="732" t="s">
        <v>194</v>
      </c>
      <c r="E90" s="704">
        <f>'6'!F90</f>
        <v>3088</v>
      </c>
      <c r="F90" s="728">
        <v>3089</v>
      </c>
      <c r="G90" s="787">
        <f t="shared" si="7"/>
        <v>1</v>
      </c>
      <c r="H90" s="787">
        <f>G90</f>
        <v>1</v>
      </c>
      <c r="I90" s="733"/>
      <c r="J90" s="789">
        <f>H90/DAY(B2)</f>
        <v>0.14285714285714285</v>
      </c>
      <c r="K90" s="815"/>
      <c r="L90" s="816"/>
      <c r="N90" s="860"/>
      <c r="O90" s="413"/>
    </row>
    <row r="91" spans="1:15" s="410" customFormat="1">
      <c r="A91" s="683" t="s">
        <v>216</v>
      </c>
      <c r="B91" s="1237"/>
      <c r="C91" s="1237"/>
      <c r="D91" s="548"/>
      <c r="E91" s="548"/>
      <c r="F91" s="548"/>
      <c r="G91" s="564"/>
      <c r="H91" s="548"/>
      <c r="I91" s="548"/>
      <c r="J91" s="628"/>
      <c r="K91" s="411"/>
      <c r="L91" s="409"/>
      <c r="N91" s="413"/>
    </row>
    <row r="92" spans="1:15" ht="27.75">
      <c r="A92" s="1406" t="s">
        <v>217</v>
      </c>
      <c r="B92" s="1407"/>
      <c r="C92" s="1408"/>
      <c r="D92" s="599" t="s">
        <v>155</v>
      </c>
      <c r="E92" s="560">
        <f>'6'!F92</f>
        <v>237121</v>
      </c>
      <c r="F92" s="703">
        <v>237225</v>
      </c>
      <c r="G92" s="549">
        <f t="shared" ref="G92:G93" si="9">F92-E92</f>
        <v>104</v>
      </c>
      <c r="H92" s="536">
        <f>G92+'6'!H92</f>
        <v>655</v>
      </c>
      <c r="I92" s="556"/>
      <c r="J92" s="629">
        <f>H92/DAY(B2)</f>
        <v>93.571428571428569</v>
      </c>
      <c r="K92" s="468"/>
      <c r="L92" s="408"/>
      <c r="N92" s="413"/>
    </row>
    <row r="93" spans="1:15" ht="27.75">
      <c r="A93" s="1406" t="s">
        <v>218</v>
      </c>
      <c r="B93" s="1407"/>
      <c r="C93" s="1408"/>
      <c r="D93" s="599" t="s">
        <v>155</v>
      </c>
      <c r="E93" s="560">
        <f>'6'!F93</f>
        <v>172100</v>
      </c>
      <c r="F93" s="554">
        <v>172307</v>
      </c>
      <c r="G93" s="549">
        <f t="shared" si="9"/>
        <v>207</v>
      </c>
      <c r="H93" s="536">
        <f>G93+'6'!H93</f>
        <v>1131</v>
      </c>
      <c r="I93" s="556"/>
      <c r="J93" s="629">
        <f>H93/DAY(B2)</f>
        <v>161.57142857142858</v>
      </c>
      <c r="K93" s="411"/>
      <c r="L93" s="408"/>
      <c r="N93" s="413"/>
    </row>
    <row r="94" spans="1:15">
      <c r="A94" s="1434" t="s">
        <v>219</v>
      </c>
      <c r="B94" s="1435"/>
      <c r="C94" s="1436"/>
      <c r="D94" s="599"/>
      <c r="E94" s="560">
        <f>'6'!F94</f>
        <v>0</v>
      </c>
      <c r="F94" s="554"/>
      <c r="G94" s="549">
        <f>G92+G93</f>
        <v>311</v>
      </c>
      <c r="H94" s="536">
        <f>G94+'6'!H94</f>
        <v>1499</v>
      </c>
      <c r="I94" s="556"/>
      <c r="J94" s="629">
        <f>H94/DAY(B2)</f>
        <v>214.14285714285714</v>
      </c>
      <c r="K94" s="411"/>
      <c r="L94" s="408"/>
      <c r="N94" s="413"/>
    </row>
    <row r="95" spans="1:15" ht="27.75">
      <c r="A95" s="1406" t="s">
        <v>220</v>
      </c>
      <c r="B95" s="1407"/>
      <c r="C95" s="1408"/>
      <c r="D95" s="599" t="s">
        <v>155</v>
      </c>
      <c r="E95" s="560">
        <f>'6'!F95</f>
        <v>406276</v>
      </c>
      <c r="F95" s="554">
        <v>406333</v>
      </c>
      <c r="G95" s="549">
        <f t="shared" ref="G95:G100" si="10">F95-E95</f>
        <v>57</v>
      </c>
      <c r="H95" s="536">
        <f>G95+'6'!H95</f>
        <v>457</v>
      </c>
      <c r="I95" s="556"/>
      <c r="J95" s="629">
        <f>H95/DAY(B2)</f>
        <v>65.285714285714292</v>
      </c>
      <c r="K95" s="411"/>
      <c r="L95" s="408"/>
      <c r="N95" s="413"/>
    </row>
    <row r="96" spans="1:15" ht="27.75">
      <c r="A96" s="1231" t="s">
        <v>221</v>
      </c>
      <c r="B96" s="1232"/>
      <c r="C96" s="1232"/>
      <c r="D96" s="599" t="s">
        <v>155</v>
      </c>
      <c r="E96" s="560">
        <f>'6'!F96</f>
        <v>100715</v>
      </c>
      <c r="F96" s="554">
        <v>100758</v>
      </c>
      <c r="G96" s="549">
        <f t="shared" si="10"/>
        <v>43</v>
      </c>
      <c r="H96" s="536">
        <f>G96+'6'!H96</f>
        <v>224</v>
      </c>
      <c r="I96" s="556"/>
      <c r="J96" s="629">
        <f>H96/DAY(B2)</f>
        <v>32</v>
      </c>
      <c r="K96" s="466"/>
      <c r="L96" s="408"/>
      <c r="N96" s="413"/>
    </row>
    <row r="97" spans="1:14" ht="27.75">
      <c r="A97" s="1231" t="s">
        <v>222</v>
      </c>
      <c r="B97" s="1232"/>
      <c r="C97" s="1232"/>
      <c r="D97" s="599" t="s">
        <v>155</v>
      </c>
      <c r="E97" s="560">
        <f>'6'!F97</f>
        <v>95858</v>
      </c>
      <c r="F97" s="554">
        <v>95881</v>
      </c>
      <c r="G97" s="549">
        <f t="shared" si="10"/>
        <v>23</v>
      </c>
      <c r="H97" s="536">
        <f>G97+'6'!H97</f>
        <v>204</v>
      </c>
      <c r="I97" s="556"/>
      <c r="J97" s="629">
        <f>H97/DAY(B2)</f>
        <v>29.142857142857142</v>
      </c>
      <c r="K97" s="471"/>
      <c r="L97" s="408"/>
      <c r="N97" s="413"/>
    </row>
    <row r="98" spans="1:14" ht="27.75">
      <c r="A98" s="1231" t="s">
        <v>223</v>
      </c>
      <c r="B98" s="1232"/>
      <c r="C98" s="1232"/>
      <c r="D98" s="599" t="s">
        <v>155</v>
      </c>
      <c r="E98" s="560">
        <f>'6'!F98</f>
        <v>145955</v>
      </c>
      <c r="F98" s="554">
        <v>146013</v>
      </c>
      <c r="G98" s="549">
        <f t="shared" si="10"/>
        <v>58</v>
      </c>
      <c r="H98" s="536">
        <f>G98+'6'!H98</f>
        <v>459</v>
      </c>
      <c r="I98" s="556"/>
      <c r="J98" s="629">
        <f>H98/DAY(B2)</f>
        <v>65.571428571428569</v>
      </c>
      <c r="K98" s="411"/>
      <c r="L98" s="408"/>
      <c r="N98" s="785"/>
    </row>
    <row r="99" spans="1:14" ht="27.75">
      <c r="A99" s="1231" t="s">
        <v>224</v>
      </c>
      <c r="B99" s="1232"/>
      <c r="C99" s="1232"/>
      <c r="D99" s="599" t="s">
        <v>155</v>
      </c>
      <c r="E99" s="560">
        <f>'6'!F99</f>
        <v>6031</v>
      </c>
      <c r="F99" s="554">
        <v>6045</v>
      </c>
      <c r="G99" s="549">
        <f t="shared" si="10"/>
        <v>14</v>
      </c>
      <c r="H99" s="536">
        <f>G99+'6'!H99</f>
        <v>71</v>
      </c>
      <c r="I99" s="556"/>
      <c r="J99" s="629">
        <f>H99/DAY(B2)</f>
        <v>10.142857142857142</v>
      </c>
      <c r="K99" s="411"/>
      <c r="L99" s="408"/>
      <c r="N99" s="413"/>
    </row>
    <row r="100" spans="1:14" ht="27.75">
      <c r="A100" s="1231" t="s">
        <v>225</v>
      </c>
      <c r="B100" s="1232"/>
      <c r="C100" s="1232"/>
      <c r="D100" s="599" t="s">
        <v>155</v>
      </c>
      <c r="E100" s="560">
        <f>'6'!F100</f>
        <v>4275</v>
      </c>
      <c r="F100" s="554">
        <v>4283</v>
      </c>
      <c r="G100" s="549">
        <f t="shared" si="10"/>
        <v>8</v>
      </c>
      <c r="H100" s="536">
        <f>G100+'6'!H100</f>
        <v>46</v>
      </c>
      <c r="I100" s="556"/>
      <c r="J100" s="629">
        <f>H100/DAY(B2)</f>
        <v>6.5714285714285712</v>
      </c>
      <c r="K100" s="411"/>
      <c r="L100" s="408"/>
      <c r="N100" s="413"/>
    </row>
    <row r="101" spans="1:14">
      <c r="A101" s="1434" t="s">
        <v>227</v>
      </c>
      <c r="B101" s="1435"/>
      <c r="C101" s="1436"/>
      <c r="D101" s="600"/>
      <c r="E101" s="600"/>
      <c r="F101" s="600"/>
      <c r="G101" s="601">
        <f>SUM(G95:G100)</f>
        <v>203</v>
      </c>
      <c r="H101" s="536">
        <f>G101+'6'!H101</f>
        <v>1461</v>
      </c>
      <c r="I101" s="602"/>
      <c r="J101" s="629">
        <f>H101/DAY(B2)</f>
        <v>208.71428571428572</v>
      </c>
      <c r="K101" s="411"/>
      <c r="L101" s="408"/>
      <c r="N101" s="413"/>
    </row>
    <row r="102" spans="1:14" s="481" customFormat="1" ht="27">
      <c r="A102" s="684" t="s">
        <v>228</v>
      </c>
      <c r="B102" s="685"/>
      <c r="C102" s="685"/>
      <c r="D102" s="698"/>
      <c r="E102" s="604"/>
      <c r="F102" s="738"/>
      <c r="G102" s="605"/>
      <c r="H102" s="606"/>
      <c r="I102" s="607"/>
      <c r="J102" s="634"/>
      <c r="N102" s="413"/>
    </row>
    <row r="103" spans="1:14" s="481" customFormat="1" ht="27.75">
      <c r="A103" s="1437" t="s">
        <v>229</v>
      </c>
      <c r="B103" s="1438"/>
      <c r="C103" s="650"/>
      <c r="D103" s="699"/>
      <c r="E103" s="608"/>
      <c r="F103" s="739"/>
      <c r="G103" s="608"/>
      <c r="H103" s="609"/>
      <c r="I103" s="608"/>
      <c r="J103" s="635"/>
      <c r="N103" s="413"/>
    </row>
    <row r="104" spans="1:14" s="481" customFormat="1" ht="27.75">
      <c r="A104" s="1398" t="s">
        <v>230</v>
      </c>
      <c r="B104" s="1399"/>
      <c r="C104" s="1230"/>
      <c r="D104" s="699" t="s">
        <v>155</v>
      </c>
      <c r="E104" s="608">
        <v>7010</v>
      </c>
      <c r="F104" s="739">
        <v>7010</v>
      </c>
      <c r="G104" s="608">
        <f>F104-E104</f>
        <v>0</v>
      </c>
      <c r="H104" s="536">
        <f>G104+'6'!H104</f>
        <v>0</v>
      </c>
      <c r="I104" s="608"/>
      <c r="J104" s="635">
        <f>H104/DAY(B2)</f>
        <v>0</v>
      </c>
      <c r="N104" s="413"/>
    </row>
    <row r="105" spans="1:14" s="481" customFormat="1" ht="27.75">
      <c r="A105" s="1398" t="s">
        <v>77</v>
      </c>
      <c r="B105" s="1399"/>
      <c r="C105" s="1230"/>
      <c r="D105" s="699" t="s">
        <v>155</v>
      </c>
      <c r="E105" s="608">
        <f>'6'!F105</f>
        <v>35203</v>
      </c>
      <c r="F105" s="740">
        <v>35209</v>
      </c>
      <c r="G105" s="608">
        <f t="shared" ref="G105:G106" si="11">F105-E105</f>
        <v>6</v>
      </c>
      <c r="H105" s="536">
        <f>G105+'6'!H105</f>
        <v>54</v>
      </c>
      <c r="I105" s="608"/>
      <c r="J105" s="635">
        <f>H105/DAY(B2)</f>
        <v>7.7142857142857144</v>
      </c>
      <c r="N105" s="413"/>
    </row>
    <row r="106" spans="1:14" s="481" customFormat="1" ht="27.75">
      <c r="A106" s="1398" t="s">
        <v>78</v>
      </c>
      <c r="B106" s="1439"/>
      <c r="C106" s="1399"/>
      <c r="D106" s="699" t="s">
        <v>155</v>
      </c>
      <c r="E106" s="608">
        <f>'6'!F106</f>
        <v>19112</v>
      </c>
      <c r="F106" s="740">
        <v>19116</v>
      </c>
      <c r="G106" s="608">
        <f t="shared" si="11"/>
        <v>4</v>
      </c>
      <c r="H106" s="536">
        <f>G106+'6'!H106</f>
        <v>42</v>
      </c>
      <c r="I106" s="608"/>
      <c r="J106" s="635">
        <f>H106/DAY(B2)</f>
        <v>6</v>
      </c>
      <c r="N106" s="413"/>
    </row>
    <row r="107" spans="1:14" s="481" customFormat="1" ht="27.75">
      <c r="A107" s="1400" t="s">
        <v>213</v>
      </c>
      <c r="B107" s="1401"/>
      <c r="C107" s="1230"/>
      <c r="D107" s="699"/>
      <c r="E107" s="608"/>
      <c r="F107" s="740"/>
      <c r="G107" s="608">
        <f>SUM(G104:G106)</f>
        <v>10</v>
      </c>
      <c r="H107" s="536">
        <f>G107+'6'!H107</f>
        <v>96</v>
      </c>
      <c r="I107" s="608"/>
      <c r="J107" s="635">
        <f>H107/DAY(B2)</f>
        <v>13.714285714285714</v>
      </c>
      <c r="N107" s="413"/>
    </row>
    <row r="108" spans="1:14" s="481" customFormat="1" ht="27.75">
      <c r="A108" s="1404" t="s">
        <v>79</v>
      </c>
      <c r="B108" s="1405"/>
      <c r="C108" s="1230"/>
      <c r="D108" s="699" t="s">
        <v>155</v>
      </c>
      <c r="E108" s="608"/>
      <c r="F108" s="740"/>
      <c r="G108" s="608"/>
      <c r="H108" s="536" t="e">
        <f>G108+'6'!H108</f>
        <v>#REF!</v>
      </c>
      <c r="I108" s="608"/>
      <c r="J108" s="635"/>
      <c r="N108" s="413"/>
    </row>
    <row r="109" spans="1:14" s="481" customFormat="1" ht="27.75">
      <c r="A109" s="1398" t="s">
        <v>231</v>
      </c>
      <c r="B109" s="1399"/>
      <c r="C109" s="1230"/>
      <c r="D109" s="699" t="s">
        <v>155</v>
      </c>
      <c r="E109" s="608">
        <f>'6'!F109</f>
        <v>54989</v>
      </c>
      <c r="F109" s="740">
        <v>55028</v>
      </c>
      <c r="G109" s="608">
        <f>F109-E109</f>
        <v>39</v>
      </c>
      <c r="H109" s="536">
        <f>G109+'6'!H109</f>
        <v>409</v>
      </c>
      <c r="I109" s="608"/>
      <c r="J109" s="635">
        <f>H109/DAY(B2)</f>
        <v>58.428571428571431</v>
      </c>
      <c r="N109" s="413"/>
    </row>
    <row r="110" spans="1:14" s="481" customFormat="1" ht="27.75">
      <c r="A110" s="1398" t="s">
        <v>232</v>
      </c>
      <c r="B110" s="1399"/>
      <c r="C110" s="1230"/>
      <c r="D110" s="699" t="s">
        <v>155</v>
      </c>
      <c r="E110" s="608">
        <f>'6'!F110</f>
        <v>28876</v>
      </c>
      <c r="F110" s="740">
        <v>28977</v>
      </c>
      <c r="G110" s="608">
        <f t="shared" ref="G110:G111" si="12">F110-E110</f>
        <v>101</v>
      </c>
      <c r="H110" s="536">
        <f>G110+'6'!H110</f>
        <v>483</v>
      </c>
      <c r="I110" s="608"/>
      <c r="J110" s="635">
        <f>H110/DAY(B2)</f>
        <v>69</v>
      </c>
      <c r="N110" s="413"/>
    </row>
    <row r="111" spans="1:14" s="481" customFormat="1" ht="27.75">
      <c r="A111" s="1398" t="s">
        <v>233</v>
      </c>
      <c r="B111" s="1399"/>
      <c r="C111" s="1230"/>
      <c r="D111" s="699" t="s">
        <v>155</v>
      </c>
      <c r="E111" s="608">
        <f>'6'!F111</f>
        <v>3802</v>
      </c>
      <c r="F111" s="740">
        <v>3802</v>
      </c>
      <c r="G111" s="608">
        <f t="shared" si="12"/>
        <v>0</v>
      </c>
      <c r="H111" s="536">
        <f>G111+'6'!H111</f>
        <v>62</v>
      </c>
      <c r="I111" s="608"/>
      <c r="J111" s="635">
        <f>H111/DAY(B2)</f>
        <v>8.8571428571428577</v>
      </c>
      <c r="N111" s="413"/>
    </row>
    <row r="112" spans="1:14" s="481" customFormat="1" ht="27.75">
      <c r="A112" s="1400" t="s">
        <v>121</v>
      </c>
      <c r="B112" s="1401"/>
      <c r="C112" s="1230"/>
      <c r="D112" s="699"/>
      <c r="E112" s="608"/>
      <c r="F112" s="740"/>
      <c r="G112" s="608">
        <f>SUM(G109:G111)</f>
        <v>140</v>
      </c>
      <c r="H112" s="536">
        <f>G112+'6'!H112</f>
        <v>954</v>
      </c>
      <c r="I112" s="608"/>
      <c r="J112" s="635">
        <f>H112/DAY(B2)</f>
        <v>136.28571428571428</v>
      </c>
      <c r="N112" s="413"/>
    </row>
    <row r="113" spans="1:14" s="481" customFormat="1" ht="27.75">
      <c r="A113" s="1404" t="s">
        <v>234</v>
      </c>
      <c r="B113" s="1405"/>
      <c r="C113" s="1230"/>
      <c r="D113" s="699"/>
      <c r="E113" s="608"/>
      <c r="F113" s="740"/>
      <c r="G113" s="608"/>
      <c r="H113" s="536">
        <f>G113+'6'!H113</f>
        <v>0</v>
      </c>
      <c r="I113" s="608"/>
      <c r="J113" s="635">
        <f>H113/DAY(B2)</f>
        <v>0</v>
      </c>
      <c r="N113" s="413"/>
    </row>
    <row r="114" spans="1:14" s="481" customFormat="1" ht="27.75">
      <c r="A114" s="1398" t="s">
        <v>235</v>
      </c>
      <c r="B114" s="1399"/>
      <c r="C114" s="651"/>
      <c r="D114" s="699" t="s">
        <v>155</v>
      </c>
      <c r="E114" s="608">
        <f>'6'!F114</f>
        <v>9872</v>
      </c>
      <c r="F114" s="740">
        <v>9888</v>
      </c>
      <c r="G114" s="610">
        <f>F114-E114</f>
        <v>16</v>
      </c>
      <c r="H114" s="536">
        <f>G114+'6'!H114</f>
        <v>101</v>
      </c>
      <c r="I114" s="608"/>
      <c r="J114" s="635">
        <f>H114/DAY(B2)</f>
        <v>14.428571428571429</v>
      </c>
      <c r="N114" s="413"/>
    </row>
    <row r="115" spans="1:14" s="481" customFormat="1" ht="27.75">
      <c r="A115" s="1398" t="s">
        <v>236</v>
      </c>
      <c r="B115" s="1399"/>
      <c r="C115" s="651"/>
      <c r="D115" s="699" t="s">
        <v>155</v>
      </c>
      <c r="E115" s="608">
        <f>'6'!F115</f>
        <v>7458</v>
      </c>
      <c r="F115" s="740">
        <v>7465</v>
      </c>
      <c r="G115" s="610">
        <f t="shared" ref="G115:G116" si="13">F115-E115</f>
        <v>7</v>
      </c>
      <c r="H115" s="536">
        <f>G115+'6'!H115</f>
        <v>45</v>
      </c>
      <c r="I115" s="608"/>
      <c r="J115" s="635">
        <f>H115/DAY(B2)</f>
        <v>6.4285714285714288</v>
      </c>
      <c r="N115" s="413"/>
    </row>
    <row r="116" spans="1:14" s="481" customFormat="1" ht="27.75">
      <c r="A116" s="1398" t="s">
        <v>237</v>
      </c>
      <c r="B116" s="1399"/>
      <c r="C116" s="651"/>
      <c r="D116" s="699" t="s">
        <v>155</v>
      </c>
      <c r="E116" s="610"/>
      <c r="F116" s="740"/>
      <c r="G116" s="610">
        <f t="shared" si="13"/>
        <v>0</v>
      </c>
      <c r="H116" s="536">
        <f>G116+'6'!H116</f>
        <v>0</v>
      </c>
      <c r="I116" s="608"/>
      <c r="J116" s="635">
        <f>H116/DAY(B2)</f>
        <v>0</v>
      </c>
      <c r="N116" s="413"/>
    </row>
    <row r="117" spans="1:14" s="494" customFormat="1" ht="27.75">
      <c r="A117" s="1400" t="s">
        <v>213</v>
      </c>
      <c r="B117" s="1401"/>
      <c r="C117" s="651"/>
      <c r="D117" s="700"/>
      <c r="E117" s="610"/>
      <c r="F117" s="740"/>
      <c r="G117" s="610">
        <f>SUM(G114:G116)</f>
        <v>23</v>
      </c>
      <c r="H117" s="536">
        <f>G117+'6'!H117</f>
        <v>146</v>
      </c>
      <c r="I117" s="610"/>
      <c r="J117" s="635">
        <f>H117/DAY(B2)</f>
        <v>20.857142857142858</v>
      </c>
      <c r="N117" s="413"/>
    </row>
    <row r="118" spans="1:14" s="495" customFormat="1" ht="27.75">
      <c r="A118" s="1394" t="s">
        <v>238</v>
      </c>
      <c r="B118" s="1395"/>
      <c r="C118" s="1228"/>
      <c r="D118" s="701" t="s">
        <v>155</v>
      </c>
      <c r="E118" s="612"/>
      <c r="F118" s="741">
        <f>SUM(G19+G92)</f>
        <v>156</v>
      </c>
      <c r="G118" s="612">
        <f>SUM(G19+G92)</f>
        <v>156</v>
      </c>
      <c r="H118" s="536">
        <f>G118+'6'!H118</f>
        <v>1002</v>
      </c>
      <c r="I118" s="611"/>
      <c r="J118" s="636">
        <f>H118/DAY(B2)</f>
        <v>143.14285714285714</v>
      </c>
      <c r="N118" s="413"/>
    </row>
    <row r="119" spans="1:14" s="495" customFormat="1" ht="27.75">
      <c r="A119" s="1394" t="s">
        <v>239</v>
      </c>
      <c r="B119" s="1395"/>
      <c r="C119" s="1228"/>
      <c r="D119" s="701" t="s">
        <v>155</v>
      </c>
      <c r="E119" s="612"/>
      <c r="F119" s="741">
        <f>SUM(G95,G96,G97,G99,G100)</f>
        <v>145</v>
      </c>
      <c r="G119" s="612">
        <f>SUM(G95,G96,G97,G99,G100)</f>
        <v>145</v>
      </c>
      <c r="H119" s="536">
        <f>G119+'6'!H119</f>
        <v>1002</v>
      </c>
      <c r="I119" s="611"/>
      <c r="J119" s="636">
        <f>H119/DAY(B2)</f>
        <v>143.14285714285714</v>
      </c>
      <c r="N119" s="413"/>
    </row>
    <row r="120" spans="1:14" s="495" customFormat="1" ht="27.75">
      <c r="A120" s="1394" t="s">
        <v>240</v>
      </c>
      <c r="B120" s="1395"/>
      <c r="C120" s="1228"/>
      <c r="D120" s="701" t="s">
        <v>155</v>
      </c>
      <c r="E120" s="610"/>
      <c r="F120" s="740">
        <f>SUM(G112)</f>
        <v>140</v>
      </c>
      <c r="G120" s="610">
        <f>SUM(G112)</f>
        <v>140</v>
      </c>
      <c r="H120" s="536">
        <f>G120+'6'!H120</f>
        <v>954</v>
      </c>
      <c r="I120" s="611"/>
      <c r="J120" s="636">
        <f>H120/DAY(B2)</f>
        <v>136.28571428571428</v>
      </c>
      <c r="N120" s="413"/>
    </row>
    <row r="121" spans="1:14" s="481" customFormat="1" ht="27.75">
      <c r="A121" s="1396"/>
      <c r="B121" s="1397"/>
      <c r="C121" s="1229"/>
      <c r="D121" s="637"/>
      <c r="E121" s="637"/>
      <c r="F121" s="742" t="s">
        <v>226</v>
      </c>
      <c r="G121" s="637"/>
      <c r="H121" s="638"/>
      <c r="I121" s="637"/>
      <c r="J121" s="639"/>
      <c r="N121" s="413"/>
    </row>
    <row r="122" spans="1:14">
      <c r="A122" s="1431" t="s">
        <v>241</v>
      </c>
      <c r="B122" s="1432"/>
      <c r="C122" s="1433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</row>
    <row r="123" spans="1:14" ht="27.75">
      <c r="A123" s="1231" t="s">
        <v>242</v>
      </c>
      <c r="B123" s="1232"/>
      <c r="C123" s="1232"/>
      <c r="D123" s="599" t="s">
        <v>152</v>
      </c>
      <c r="E123" s="1145">
        <f>'6'!F123</f>
        <v>804961</v>
      </c>
      <c r="F123" s="1145">
        <v>805257</v>
      </c>
      <c r="G123" s="1146">
        <f t="shared" ref="G123:G127" si="14">F123-E123</f>
        <v>296</v>
      </c>
      <c r="H123" s="536">
        <f>G123+'6'!H123</f>
        <v>1921.5999999999767</v>
      </c>
      <c r="I123" s="602"/>
      <c r="J123" s="629">
        <f>H123/DAY(B2)</f>
        <v>274.51428571428238</v>
      </c>
      <c r="K123" s="411"/>
      <c r="L123" s="408"/>
      <c r="N123" s="413"/>
    </row>
    <row r="124" spans="1:14" ht="27.75">
      <c r="A124" s="1231" t="s">
        <v>243</v>
      </c>
      <c r="B124" s="1232"/>
      <c r="C124" s="1232"/>
      <c r="D124" s="599" t="s">
        <v>152</v>
      </c>
      <c r="E124" s="1145">
        <f>'6'!F124</f>
        <v>73582</v>
      </c>
      <c r="F124" s="561">
        <v>73583.399999999994</v>
      </c>
      <c r="G124" s="549">
        <f t="shared" si="14"/>
        <v>1.3999999999941792</v>
      </c>
      <c r="H124" s="536">
        <f>G124+'6'!H124</f>
        <v>1.3999999999941792</v>
      </c>
      <c r="I124" s="602"/>
      <c r="J124" s="629">
        <f>H124/DAY(B2)</f>
        <v>0.19999999999916845</v>
      </c>
      <c r="K124" s="411"/>
      <c r="L124" s="408"/>
      <c r="N124" s="413"/>
    </row>
    <row r="125" spans="1:14" ht="27.75">
      <c r="A125" s="1385" t="s">
        <v>244</v>
      </c>
      <c r="B125" s="1386"/>
      <c r="C125" s="1387"/>
      <c r="D125" s="599" t="s">
        <v>152</v>
      </c>
      <c r="E125" s="1145">
        <f>'6'!F125</f>
        <v>138260</v>
      </c>
      <c r="F125" s="1151">
        <v>138320.97</v>
      </c>
      <c r="G125" s="1147">
        <f t="shared" si="14"/>
        <v>60.970000000001164</v>
      </c>
      <c r="H125" s="536">
        <f>G125+'6'!H125</f>
        <v>472.97000000000116</v>
      </c>
      <c r="I125" s="602"/>
      <c r="J125" s="629">
        <f>H125/DAY(B2)</f>
        <v>67.567142857143025</v>
      </c>
      <c r="K125" s="411"/>
      <c r="L125" s="408"/>
      <c r="N125" s="413"/>
    </row>
    <row r="126" spans="1:14" ht="27.75">
      <c r="A126" s="686" t="s">
        <v>245</v>
      </c>
      <c r="B126" s="1232"/>
      <c r="C126" s="1232"/>
      <c r="D126" s="599" t="s">
        <v>152</v>
      </c>
      <c r="E126" s="1145">
        <f>'6'!F126</f>
        <v>58634</v>
      </c>
      <c r="F126" s="561">
        <v>58674</v>
      </c>
      <c r="G126" s="549">
        <f t="shared" si="14"/>
        <v>40</v>
      </c>
      <c r="H126" s="536">
        <f>G126+'6'!H126</f>
        <v>282.30000000000291</v>
      </c>
      <c r="I126" s="602"/>
      <c r="J126" s="629">
        <f>H126/DAY(B2)</f>
        <v>40.328571428571841</v>
      </c>
      <c r="K126" s="411"/>
      <c r="L126" s="408"/>
      <c r="N126" s="413"/>
    </row>
    <row r="127" spans="1:14" ht="27.75">
      <c r="A127" s="686" t="s">
        <v>246</v>
      </c>
      <c r="B127" s="1232"/>
      <c r="C127" s="1232"/>
      <c r="D127" s="599" t="s">
        <v>152</v>
      </c>
      <c r="E127" s="1145">
        <f>'6'!F127</f>
        <v>8832</v>
      </c>
      <c r="F127" s="561">
        <v>8834</v>
      </c>
      <c r="G127" s="549">
        <f t="shared" si="14"/>
        <v>2</v>
      </c>
      <c r="H127" s="536">
        <f>G127+'6'!H127</f>
        <v>18</v>
      </c>
      <c r="I127" s="556"/>
      <c r="J127" s="629">
        <f>H127/DAY(B2)</f>
        <v>2.5714285714285716</v>
      </c>
      <c r="K127" s="411"/>
      <c r="L127" s="408"/>
      <c r="N127" s="413"/>
    </row>
    <row r="128" spans="1:14" s="281" customFormat="1" ht="27.75">
      <c r="A128" s="686" t="s">
        <v>247</v>
      </c>
      <c r="B128" s="1232"/>
      <c r="C128" s="1232"/>
      <c r="D128" s="599"/>
      <c r="E128" s="554"/>
      <c r="F128" s="554"/>
      <c r="G128" s="1143">
        <f>G15-SUM(G123:G127)</f>
        <v>444.07999999995809</v>
      </c>
      <c r="H128" s="536">
        <f>G128+'6'!H128</f>
        <v>3068.0300000000716</v>
      </c>
      <c r="I128" s="556"/>
      <c r="J128" s="629">
        <f>H128/DAY(B2)</f>
        <v>438.29000000001025</v>
      </c>
      <c r="K128" s="391"/>
      <c r="L128" s="293"/>
      <c r="N128" s="413"/>
    </row>
    <row r="129" spans="1:14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</row>
    <row r="130" spans="1:14" ht="27.75">
      <c r="A130" s="1231" t="s">
        <v>249</v>
      </c>
      <c r="B130" s="1232"/>
      <c r="C130" s="1232"/>
      <c r="D130" s="599" t="s">
        <v>250</v>
      </c>
      <c r="E130" s="560">
        <f>'6'!F130</f>
        <v>0</v>
      </c>
      <c r="F130" s="554">
        <v>0</v>
      </c>
      <c r="G130" s="549">
        <f t="shared" ref="G130:G140" si="15">F130-E130</f>
        <v>0</v>
      </c>
      <c r="H130" s="536">
        <f>G130+'6'!H130</f>
        <v>0</v>
      </c>
      <c r="I130" s="556"/>
      <c r="J130" s="629">
        <f>H130/DAY(B2)</f>
        <v>0</v>
      </c>
      <c r="N130" s="413"/>
    </row>
    <row r="131" spans="1:14" ht="27.75">
      <c r="A131" s="1231" t="s">
        <v>251</v>
      </c>
      <c r="B131" s="1232"/>
      <c r="C131" s="1232"/>
      <c r="D131" s="599" t="s">
        <v>250</v>
      </c>
      <c r="E131" s="560">
        <f>'6'!F131</f>
        <v>0</v>
      </c>
      <c r="F131" s="554">
        <v>0</v>
      </c>
      <c r="G131" s="549">
        <f t="shared" si="15"/>
        <v>0</v>
      </c>
      <c r="H131" s="536">
        <f>G131+'6'!H131</f>
        <v>0</v>
      </c>
      <c r="I131" s="556"/>
      <c r="J131" s="629">
        <f>H131/DAY(B2)</f>
        <v>0</v>
      </c>
      <c r="N131" s="413"/>
    </row>
    <row r="132" spans="1:14" ht="27.75">
      <c r="A132" s="1231" t="s">
        <v>252</v>
      </c>
      <c r="B132" s="1232"/>
      <c r="C132" s="1232"/>
      <c r="D132" s="599" t="s">
        <v>250</v>
      </c>
      <c r="E132" s="598">
        <f>'6'!F132</f>
        <v>39188</v>
      </c>
      <c r="F132" s="561">
        <v>39188</v>
      </c>
      <c r="G132" s="549">
        <f t="shared" si="15"/>
        <v>0</v>
      </c>
      <c r="H132" s="536">
        <f>G132+'6'!H132</f>
        <v>83.559999999997672</v>
      </c>
      <c r="I132" s="556"/>
      <c r="J132" s="629">
        <f>H132/DAY(B2)</f>
        <v>11.937142857142524</v>
      </c>
      <c r="N132" s="413"/>
    </row>
    <row r="133" spans="1:14" ht="27.75">
      <c r="A133" s="1231" t="s">
        <v>253</v>
      </c>
      <c r="B133" s="1232"/>
      <c r="C133" s="1232"/>
      <c r="D133" s="599" t="s">
        <v>250</v>
      </c>
      <c r="E133" s="782">
        <f>'6'!F133</f>
        <v>299</v>
      </c>
      <c r="F133" s="703">
        <v>299</v>
      </c>
      <c r="G133" s="856">
        <f t="shared" si="15"/>
        <v>0</v>
      </c>
      <c r="H133" s="536">
        <f>G133+'6'!H133</f>
        <v>0</v>
      </c>
      <c r="I133" s="556">
        <f>G132+G133+G134+G135</f>
        <v>24</v>
      </c>
      <c r="J133" s="629">
        <f>H133/DAY(B2)</f>
        <v>0</v>
      </c>
      <c r="N133" s="413"/>
    </row>
    <row r="134" spans="1:14" ht="27.75">
      <c r="A134" s="1231" t="s">
        <v>254</v>
      </c>
      <c r="B134" s="1232"/>
      <c r="C134" s="1232"/>
      <c r="D134" s="599" t="s">
        <v>250</v>
      </c>
      <c r="E134" s="598">
        <f>'6'!F134</f>
        <v>40011</v>
      </c>
      <c r="F134" s="561">
        <v>40035</v>
      </c>
      <c r="G134" s="549">
        <f t="shared" si="15"/>
        <v>24</v>
      </c>
      <c r="H134" s="536">
        <f>G134+'6'!H134</f>
        <v>84</v>
      </c>
      <c r="I134" s="556"/>
      <c r="J134" s="629">
        <f>H134/DAY(B2)</f>
        <v>12</v>
      </c>
      <c r="N134" s="413"/>
    </row>
    <row r="135" spans="1:14" ht="27.75">
      <c r="A135" s="1231" t="s">
        <v>255</v>
      </c>
      <c r="B135" s="1232"/>
      <c r="C135" s="1232"/>
      <c r="D135" s="599" t="s">
        <v>250</v>
      </c>
      <c r="E135" s="782">
        <f>'6'!F135</f>
        <v>32423</v>
      </c>
      <c r="F135" s="703">
        <v>32423</v>
      </c>
      <c r="G135" s="856">
        <f t="shared" si="15"/>
        <v>0</v>
      </c>
      <c r="H135" s="536">
        <f>G135+'6'!H135</f>
        <v>0</v>
      </c>
      <c r="I135" s="556"/>
      <c r="J135" s="629">
        <f>H135/DAY(B2)</f>
        <v>0</v>
      </c>
      <c r="N135" s="413"/>
    </row>
    <row r="136" spans="1:14" ht="27.75">
      <c r="A136" s="1231" t="s">
        <v>256</v>
      </c>
      <c r="B136" s="1232"/>
      <c r="C136" s="1232"/>
      <c r="D136" s="599" t="s">
        <v>250</v>
      </c>
      <c r="E136" s="618">
        <f>'6'!F136</f>
        <v>22038.02</v>
      </c>
      <c r="F136" s="732">
        <v>22045.94</v>
      </c>
      <c r="G136" s="549">
        <f t="shared" si="15"/>
        <v>7.9199999999982538</v>
      </c>
      <c r="H136" s="536">
        <f>G136+'6'!H136</f>
        <v>43.979999999999563</v>
      </c>
      <c r="I136" s="556">
        <f>G136+G137+G138</f>
        <v>7.8899999999994179</v>
      </c>
      <c r="J136" s="629">
        <f>H136/DAY(B2)</f>
        <v>6.2828571428570807</v>
      </c>
      <c r="N136" s="413"/>
    </row>
    <row r="137" spans="1:14" ht="27.75">
      <c r="A137" s="1231" t="s">
        <v>257</v>
      </c>
      <c r="B137" s="1232"/>
      <c r="C137" s="1232"/>
      <c r="D137" s="599" t="s">
        <v>250</v>
      </c>
      <c r="E137" s="618">
        <f>'6'!F137</f>
        <v>25030.03</v>
      </c>
      <c r="F137" s="732">
        <v>25030</v>
      </c>
      <c r="G137" s="549">
        <f t="shared" si="15"/>
        <v>-2.9999999998835847E-2</v>
      </c>
      <c r="H137" s="536">
        <f>G137+'6'!H137</f>
        <v>10.06000000000131</v>
      </c>
      <c r="I137" s="556"/>
      <c r="J137" s="629">
        <f>H137/DAY(B2)</f>
        <v>1.4371428571430442</v>
      </c>
      <c r="N137" s="413"/>
    </row>
    <row r="138" spans="1:14" ht="27.75">
      <c r="A138" s="1231" t="s">
        <v>258</v>
      </c>
      <c r="B138" s="1232"/>
      <c r="C138" s="1232"/>
      <c r="D138" s="599" t="s">
        <v>250</v>
      </c>
      <c r="E138" s="1149">
        <f>'6'!F138</f>
        <v>70063.89</v>
      </c>
      <c r="F138" s="1150">
        <v>70063.89</v>
      </c>
      <c r="G138" s="1143">
        <f t="shared" si="15"/>
        <v>0</v>
      </c>
      <c r="H138" s="536">
        <f>G138+'6'!H138</f>
        <v>0</v>
      </c>
      <c r="I138" s="556"/>
      <c r="J138" s="629">
        <f>H138/DAY(B2)</f>
        <v>0</v>
      </c>
      <c r="N138" s="413"/>
    </row>
    <row r="139" spans="1:14" ht="27.75">
      <c r="A139" s="1231" t="s">
        <v>259</v>
      </c>
      <c r="B139" s="1232"/>
      <c r="C139" s="1232"/>
      <c r="D139" s="599" t="s">
        <v>250</v>
      </c>
      <c r="E139" s="598">
        <f>'6'!F139</f>
        <v>1248.3699999999999</v>
      </c>
      <c r="F139" s="561">
        <v>1257</v>
      </c>
      <c r="G139" s="549">
        <f t="shared" si="15"/>
        <v>8.6300000000001091</v>
      </c>
      <c r="H139" s="536">
        <f>G139+'6'!H139</f>
        <v>56.410000000000082</v>
      </c>
      <c r="I139" s="619">
        <f>G139+G140</f>
        <v>8.6300000000001091</v>
      </c>
      <c r="J139" s="629">
        <f>H139/DAY(B2)</f>
        <v>8.0585714285714403</v>
      </c>
      <c r="N139" s="413"/>
    </row>
    <row r="140" spans="1:14" ht="27.75">
      <c r="A140" s="1231" t="s">
        <v>260</v>
      </c>
      <c r="B140" s="1232"/>
      <c r="C140" s="1232"/>
      <c r="D140" s="599" t="s">
        <v>250</v>
      </c>
      <c r="E140" s="1148">
        <f>'6'!F140</f>
        <v>4334</v>
      </c>
      <c r="F140" s="1145">
        <v>4334</v>
      </c>
      <c r="G140" s="1146">
        <f t="shared" si="15"/>
        <v>0</v>
      </c>
      <c r="H140" s="536">
        <f>G140+'6'!H140</f>
        <v>0</v>
      </c>
      <c r="I140" s="619"/>
      <c r="J140" s="629">
        <f>H140/DAY(B2)</f>
        <v>0</v>
      </c>
      <c r="N140" s="413"/>
    </row>
    <row r="141" spans="1:14">
      <c r="A141" s="1412" t="s">
        <v>261</v>
      </c>
      <c r="B141" s="1413"/>
      <c r="C141" s="1237"/>
      <c r="D141" s="548"/>
      <c r="E141" s="548"/>
      <c r="F141" s="548"/>
      <c r="G141" s="559"/>
      <c r="H141" s="559"/>
      <c r="I141" s="559"/>
      <c r="J141" s="640"/>
      <c r="K141" s="411"/>
      <c r="L141" s="408"/>
      <c r="N141" s="413"/>
    </row>
    <row r="142" spans="1:14" ht="27.75">
      <c r="A142" s="1406" t="s">
        <v>262</v>
      </c>
      <c r="B142" s="1407"/>
      <c r="C142" s="1408"/>
      <c r="D142" s="599" t="s">
        <v>143</v>
      </c>
      <c r="E142" s="599"/>
      <c r="F142" s="599"/>
      <c r="G142" s="536">
        <f>G35+G43+G49+G57</f>
        <v>4818.6700000000128</v>
      </c>
      <c r="H142" s="536">
        <f>G142+'6'!H142</f>
        <v>34984.03999999995</v>
      </c>
      <c r="I142" s="556"/>
      <c r="J142" s="629">
        <f>H142/DAY(B2)</f>
        <v>4997.719999999993</v>
      </c>
      <c r="K142" s="411"/>
      <c r="L142" s="408"/>
      <c r="N142" s="413"/>
    </row>
    <row r="143" spans="1:14" ht="27.75">
      <c r="A143" s="1406" t="s">
        <v>263</v>
      </c>
      <c r="B143" s="1407"/>
      <c r="C143" s="1408"/>
      <c r="D143" s="599" t="s">
        <v>24</v>
      </c>
      <c r="E143" s="587"/>
      <c r="F143" s="587"/>
      <c r="G143" s="620">
        <f>G142/G7</f>
        <v>0.26396439331690019</v>
      </c>
      <c r="H143" s="536">
        <f>G143+'6'!H143</f>
        <v>1.6529334676693879</v>
      </c>
      <c r="I143" s="621"/>
      <c r="J143" s="629">
        <f>H143/DAY(B2)</f>
        <v>0.23613335252419826</v>
      </c>
      <c r="K143" s="411"/>
      <c r="L143" s="408"/>
      <c r="N143" s="413"/>
    </row>
    <row r="144" spans="1:14" ht="27.75">
      <c r="A144" s="1406" t="s">
        <v>264</v>
      </c>
      <c r="B144" s="1407"/>
      <c r="C144" s="1408"/>
      <c r="D144" s="599" t="s">
        <v>143</v>
      </c>
      <c r="E144" s="531"/>
      <c r="F144" s="531"/>
      <c r="G144" s="536">
        <f>G41+G42+G55+G56</f>
        <v>3495.9800000000032</v>
      </c>
      <c r="H144" s="536">
        <f>G144+'6'!H144</f>
        <v>27335.969999999972</v>
      </c>
      <c r="I144" s="556"/>
      <c r="J144" s="629">
        <f>H144/DAY(B2)</f>
        <v>3905.1385714285675</v>
      </c>
      <c r="K144" s="411"/>
      <c r="L144" s="408"/>
      <c r="N144" s="413"/>
    </row>
    <row r="145" spans="1:14" ht="27.75">
      <c r="A145" s="1406" t="s">
        <v>265</v>
      </c>
      <c r="B145" s="1407"/>
      <c r="C145" s="1408"/>
      <c r="D145" s="599" t="s">
        <v>24</v>
      </c>
      <c r="E145" s="531"/>
      <c r="F145" s="531"/>
      <c r="G145" s="620">
        <f>G144/G7</f>
        <v>0.19150807997808836</v>
      </c>
      <c r="H145" s="536">
        <f>G145+'6'!H145</f>
        <v>1.445341628508805</v>
      </c>
      <c r="I145" s="621"/>
      <c r="J145" s="629">
        <f>H145/DAY(B2)</f>
        <v>0.20647737550125786</v>
      </c>
      <c r="K145" s="411"/>
      <c r="L145" s="408"/>
      <c r="N145" s="413"/>
    </row>
    <row r="146" spans="1:14" ht="27.75">
      <c r="A146" s="1406" t="s">
        <v>266</v>
      </c>
      <c r="B146" s="1407"/>
      <c r="C146" s="1408"/>
      <c r="D146" s="599" t="s">
        <v>143</v>
      </c>
      <c r="E146" s="531"/>
      <c r="F146" s="531"/>
      <c r="G146" s="536">
        <f>G39+G53</f>
        <v>4176</v>
      </c>
      <c r="H146" s="536">
        <f>G146+'6'!H146</f>
        <v>29236.729999999981</v>
      </c>
      <c r="I146" s="622"/>
      <c r="J146" s="629">
        <f>H146/DAY(B2)</f>
        <v>4176.6757142857114</v>
      </c>
      <c r="K146" s="411"/>
      <c r="L146" s="408"/>
      <c r="N146" s="413"/>
    </row>
    <row r="147" spans="1:14" ht="27.75">
      <c r="A147" s="1406" t="s">
        <v>267</v>
      </c>
      <c r="B147" s="1407"/>
      <c r="C147" s="1408"/>
      <c r="D147" s="599" t="s">
        <v>24</v>
      </c>
      <c r="E147" s="531"/>
      <c r="F147" s="531"/>
      <c r="G147" s="620">
        <f>G146/G7</f>
        <v>0.22875924404272802</v>
      </c>
      <c r="H147" s="536">
        <f>G147+'6'!H147</f>
        <v>1.5483484991455878</v>
      </c>
      <c r="I147" s="622"/>
      <c r="J147" s="629">
        <f>H147/DAY(B2)</f>
        <v>0.22119264273508396</v>
      </c>
      <c r="N147" s="413"/>
    </row>
    <row r="148" spans="1:14" ht="27.75">
      <c r="A148" s="1406" t="s">
        <v>268</v>
      </c>
      <c r="B148" s="1407"/>
      <c r="C148" s="1408"/>
      <c r="D148" s="599" t="s">
        <v>194</v>
      </c>
      <c r="E148" s="531"/>
      <c r="F148" s="531"/>
      <c r="G148" s="536">
        <f>G38+G52</f>
        <v>2118</v>
      </c>
      <c r="H148" s="536">
        <f>G148+'6'!H148</f>
        <v>14090.450000000015</v>
      </c>
      <c r="I148" s="556"/>
      <c r="J148" s="629">
        <f>H148/DAY(B2)</f>
        <v>2012.9214285714309</v>
      </c>
      <c r="K148" s="412"/>
      <c r="N148" s="413"/>
    </row>
    <row r="149" spans="1:14" ht="27.75">
      <c r="A149" s="1406" t="s">
        <v>269</v>
      </c>
      <c r="B149" s="1407"/>
      <c r="C149" s="1408"/>
      <c r="D149" s="599" t="s">
        <v>24</v>
      </c>
      <c r="E149" s="531"/>
      <c r="F149" s="531"/>
      <c r="G149" s="620">
        <f>G148/G7</f>
        <v>0.11602300739523418</v>
      </c>
      <c r="H149" s="536">
        <f>G149+'6'!H149</f>
        <v>0.74636638587825255</v>
      </c>
      <c r="I149" s="622"/>
      <c r="J149" s="629">
        <f>H149/DAY(B2)</f>
        <v>0.10662376941117893</v>
      </c>
      <c r="N149" s="413"/>
    </row>
    <row r="150" spans="1:14" ht="27.75">
      <c r="A150" s="1406" t="s">
        <v>270</v>
      </c>
      <c r="B150" s="1407"/>
      <c r="C150" s="1408"/>
      <c r="D150" s="599" t="s">
        <v>194</v>
      </c>
      <c r="E150" s="531"/>
      <c r="F150" s="531"/>
      <c r="G150" s="536">
        <f>G36+G50</f>
        <v>1686.8099999999977</v>
      </c>
      <c r="H150" s="536">
        <f>G150+'6'!H150</f>
        <v>12648.049999999988</v>
      </c>
      <c r="I150" s="622"/>
      <c r="J150" s="629">
        <f>H150/DAY(B2)</f>
        <v>1806.8642857142841</v>
      </c>
      <c r="N150" s="413"/>
    </row>
    <row r="151" spans="1:14" ht="27.75">
      <c r="A151" s="1406" t="s">
        <v>271</v>
      </c>
      <c r="B151" s="1407"/>
      <c r="C151" s="1408"/>
      <c r="D151" s="599" t="s">
        <v>24</v>
      </c>
      <c r="E151" s="531"/>
      <c r="F151" s="531"/>
      <c r="G151" s="620">
        <f>G150/G7</f>
        <v>9.2402629416598062E-2</v>
      </c>
      <c r="H151" s="536">
        <f>G151+'6'!H151</f>
        <v>0.66886530386453114</v>
      </c>
      <c r="I151" s="556"/>
      <c r="J151" s="629">
        <f>H151/DAY(B2)</f>
        <v>9.5552186266361597E-2</v>
      </c>
      <c r="N151" s="413"/>
    </row>
    <row r="152" spans="1:14" ht="27.75">
      <c r="A152" s="1406" t="s">
        <v>272</v>
      </c>
      <c r="B152" s="1407"/>
      <c r="C152" s="1408"/>
      <c r="D152" s="599" t="s">
        <v>194</v>
      </c>
      <c r="E152" s="531"/>
      <c r="F152" s="531"/>
      <c r="G152" s="536">
        <f>G37+G51</f>
        <v>1427</v>
      </c>
      <c r="H152" s="536">
        <f>G152+'6'!H152</f>
        <v>10314.259999999995</v>
      </c>
      <c r="I152" s="556"/>
      <c r="J152" s="629">
        <f>H152/DAY(B2)</f>
        <v>1473.4657142857136</v>
      </c>
      <c r="N152" s="413"/>
    </row>
    <row r="153" spans="1:14" ht="28.5" thickBot="1">
      <c r="A153" s="1409" t="s">
        <v>273</v>
      </c>
      <c r="B153" s="1410"/>
      <c r="C153" s="1411"/>
      <c r="D153" s="702" t="s">
        <v>24</v>
      </c>
      <c r="E153" s="642"/>
      <c r="F153" s="642"/>
      <c r="G153" s="643">
        <f>G152/G7</f>
        <v>7.817036428375787E-2</v>
      </c>
      <c r="H153" s="536">
        <f>G153+'6'!H153</f>
        <v>0.54617221663533611</v>
      </c>
      <c r="I153" s="645"/>
      <c r="J153" s="646">
        <f>H153/DAY(B2)</f>
        <v>7.8024602376476584E-2</v>
      </c>
      <c r="N153" s="413"/>
    </row>
    <row r="154" spans="1:14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413"/>
    </row>
    <row r="157" spans="1:14" ht="27.75">
      <c r="A157" s="1440" t="s">
        <v>278</v>
      </c>
      <c r="B157" s="1441"/>
      <c r="C157" s="1441"/>
      <c r="D157" s="1441"/>
      <c r="E157" s="1441"/>
      <c r="F157" s="1441"/>
      <c r="G157" s="1442"/>
    </row>
    <row r="158" spans="1:14">
      <c r="A158" s="868"/>
      <c r="B158" s="869"/>
      <c r="C158" s="869"/>
      <c r="D158" s="587"/>
      <c r="E158" s="531"/>
      <c r="F158" s="739"/>
      <c r="G158" s="549"/>
    </row>
    <row r="159" spans="1:14">
      <c r="A159" s="868"/>
      <c r="B159" s="869"/>
      <c r="C159" s="869"/>
      <c r="D159" s="587"/>
      <c r="E159" s="531"/>
      <c r="F159" s="739"/>
      <c r="G159" s="549"/>
    </row>
    <row r="160" spans="1:14">
      <c r="A160" s="868" t="s">
        <v>274</v>
      </c>
      <c r="B160" s="869"/>
      <c r="C160" s="869"/>
      <c r="D160" s="587" t="s">
        <v>198</v>
      </c>
      <c r="E160" s="1148">
        <f>'6'!F160</f>
        <v>28924</v>
      </c>
      <c r="F160" s="739">
        <v>29006</v>
      </c>
      <c r="G160" s="549">
        <f t="shared" ref="G160:G171" si="16">F160-E160</f>
        <v>82</v>
      </c>
    </row>
    <row r="161" spans="1:7">
      <c r="A161" s="868" t="s">
        <v>275</v>
      </c>
      <c r="B161" s="869"/>
      <c r="C161" s="869"/>
      <c r="D161" s="587" t="s">
        <v>198</v>
      </c>
      <c r="E161" s="1148">
        <f>'6'!F161</f>
        <v>45463</v>
      </c>
      <c r="F161" s="739">
        <v>45879.59</v>
      </c>
      <c r="G161" s="549">
        <f t="shared" si="16"/>
        <v>416.58999999999651</v>
      </c>
    </row>
    <row r="162" spans="1:7">
      <c r="A162" s="868" t="s">
        <v>276</v>
      </c>
      <c r="B162" s="869"/>
      <c r="C162" s="869"/>
      <c r="D162" s="587" t="s">
        <v>198</v>
      </c>
      <c r="E162" s="1148">
        <f>'6'!F162</f>
        <v>14130</v>
      </c>
      <c r="F162" s="739">
        <v>14391</v>
      </c>
      <c r="G162" s="549">
        <f t="shared" si="16"/>
        <v>261</v>
      </c>
    </row>
    <row r="163" spans="1:7">
      <c r="A163" s="868" t="s">
        <v>277</v>
      </c>
      <c r="B163" s="869"/>
      <c r="C163" s="869"/>
      <c r="D163" s="587" t="s">
        <v>198</v>
      </c>
      <c r="E163" s="1148">
        <f>'6'!F163</f>
        <v>5100</v>
      </c>
      <c r="F163" s="739">
        <v>5115.96</v>
      </c>
      <c r="G163" s="549">
        <f t="shared" si="16"/>
        <v>15.960000000000036</v>
      </c>
    </row>
    <row r="164" spans="1:7">
      <c r="A164" s="870" t="s">
        <v>106</v>
      </c>
      <c r="B164" s="681"/>
      <c r="C164" s="681"/>
      <c r="D164" s="587" t="s">
        <v>198</v>
      </c>
      <c r="E164" s="1148">
        <f>'6'!F164</f>
        <v>20419</v>
      </c>
      <c r="F164" s="590">
        <f>F62</f>
        <v>20419</v>
      </c>
      <c r="G164" s="549">
        <f t="shared" si="16"/>
        <v>0</v>
      </c>
    </row>
    <row r="165" spans="1:7">
      <c r="A165" s="870" t="s">
        <v>199</v>
      </c>
      <c r="B165" s="681"/>
      <c r="C165" s="681"/>
      <c r="D165" s="587" t="s">
        <v>198</v>
      </c>
      <c r="E165" s="1148">
        <f>'6'!F165</f>
        <v>1420</v>
      </c>
      <c r="F165" s="590">
        <f t="shared" ref="F165:F171" si="17">F63</f>
        <v>1434</v>
      </c>
      <c r="G165" s="549">
        <f t="shared" si="16"/>
        <v>14</v>
      </c>
    </row>
    <row r="166" spans="1:7" ht="27.75">
      <c r="A166" s="1381" t="s">
        <v>107</v>
      </c>
      <c r="B166" s="1381"/>
      <c r="C166" s="1381"/>
      <c r="D166" s="599" t="s">
        <v>198</v>
      </c>
      <c r="E166" s="1148">
        <f>'6'!F166</f>
        <v>113859</v>
      </c>
      <c r="F166" s="590">
        <f t="shared" si="17"/>
        <v>114233.60000000001</v>
      </c>
      <c r="G166" s="549">
        <f t="shared" si="16"/>
        <v>374.60000000000582</v>
      </c>
    </row>
    <row r="167" spans="1:7" ht="27.75">
      <c r="A167" s="1381" t="s">
        <v>108</v>
      </c>
      <c r="B167" s="1381"/>
      <c r="C167" s="1381"/>
      <c r="D167" s="599" t="s">
        <v>198</v>
      </c>
      <c r="E167" s="1148">
        <f>'6'!F167</f>
        <v>123976</v>
      </c>
      <c r="F167" s="590">
        <f t="shared" si="17"/>
        <v>124354.67</v>
      </c>
      <c r="G167" s="549">
        <f t="shared" si="16"/>
        <v>378.66999999999825</v>
      </c>
    </row>
    <row r="168" spans="1:7" ht="27.75">
      <c r="A168" s="1381" t="s">
        <v>109</v>
      </c>
      <c r="B168" s="1381"/>
      <c r="C168" s="1381"/>
      <c r="D168" s="599" t="s">
        <v>198</v>
      </c>
      <c r="E168" s="1148">
        <f>'6'!F168</f>
        <v>16550</v>
      </c>
      <c r="F168" s="590">
        <f t="shared" si="17"/>
        <v>16959</v>
      </c>
      <c r="G168" s="549">
        <f t="shared" si="16"/>
        <v>409</v>
      </c>
    </row>
    <row r="169" spans="1:7" ht="27.75">
      <c r="A169" s="1381" t="s">
        <v>110</v>
      </c>
      <c r="B169" s="1381"/>
      <c r="C169" s="1381"/>
      <c r="D169" s="599" t="s">
        <v>198</v>
      </c>
      <c r="E169" s="1148">
        <f>'6'!F169</f>
        <v>192854</v>
      </c>
      <c r="F169" s="590">
        <f t="shared" si="17"/>
        <v>193581.99</v>
      </c>
      <c r="G169" s="549">
        <f t="shared" si="16"/>
        <v>727.98999999999069</v>
      </c>
    </row>
    <row r="170" spans="1:7" ht="27.75">
      <c r="A170" s="1381" t="s">
        <v>111</v>
      </c>
      <c r="B170" s="1381"/>
      <c r="C170" s="1381"/>
      <c r="D170" s="599" t="s">
        <v>198</v>
      </c>
      <c r="E170" s="1148">
        <f>'6'!F170</f>
        <v>65342</v>
      </c>
      <c r="F170" s="590">
        <f t="shared" si="17"/>
        <v>65672</v>
      </c>
      <c r="G170" s="549">
        <f t="shared" si="16"/>
        <v>330</v>
      </c>
    </row>
    <row r="171" spans="1:7" ht="27.75">
      <c r="A171" s="1381" t="s">
        <v>112</v>
      </c>
      <c r="B171" s="1381"/>
      <c r="C171" s="1381"/>
      <c r="D171" s="599" t="s">
        <v>198</v>
      </c>
      <c r="E171" s="1148">
        <f>'6'!F171</f>
        <v>57540</v>
      </c>
      <c r="F171" s="590">
        <f t="shared" si="17"/>
        <v>57850</v>
      </c>
      <c r="G171" s="549">
        <f t="shared" si="16"/>
        <v>310</v>
      </c>
    </row>
  </sheetData>
  <mergeCells count="75">
    <mergeCell ref="A170:C170"/>
    <mergeCell ref="A171:C171"/>
    <mergeCell ref="A157:G157"/>
    <mergeCell ref="A166:C166"/>
    <mergeCell ref="A167:C167"/>
    <mergeCell ref="A168:C168"/>
    <mergeCell ref="A169:C169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22:C122"/>
    <mergeCell ref="A141:B141"/>
    <mergeCell ref="A152:C152"/>
    <mergeCell ref="A153:C153"/>
    <mergeCell ref="A125:C125"/>
    <mergeCell ref="A149:C149"/>
    <mergeCell ref="A150:C150"/>
    <mergeCell ref="A142:C142"/>
    <mergeCell ref="A143:C143"/>
    <mergeCell ref="A151:C151"/>
    <mergeCell ref="A144:C144"/>
    <mergeCell ref="A145:C145"/>
    <mergeCell ref="A146:C146"/>
    <mergeCell ref="A147:C147"/>
    <mergeCell ref="A148:C148"/>
    <mergeCell ref="A121:B121"/>
    <mergeCell ref="A113:B113"/>
    <mergeCell ref="A114:B114"/>
    <mergeCell ref="A115:B115"/>
    <mergeCell ref="A116:B116"/>
    <mergeCell ref="A117:B117"/>
    <mergeCell ref="A82:C82"/>
    <mergeCell ref="A83:C83"/>
    <mergeCell ref="A118:B118"/>
    <mergeCell ref="A119:B119"/>
    <mergeCell ref="A120:B120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</mergeCells>
  <pageMargins left="0.23622047244094491" right="0.15748031496062992" top="0.15748031496062992" bottom="0.19685039370078741" header="0.19685039370078741" footer="0.19685039370078741"/>
  <pageSetup paperSize="5" scale="23" fitToHeight="3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5"/>
  <sheetViews>
    <sheetView view="pageBreakPreview" zoomScale="55" zoomScaleSheetLayoutView="55" workbookViewId="0">
      <selection activeCell="F28" sqref="F28"/>
    </sheetView>
  </sheetViews>
  <sheetFormatPr defaultColWidth="22.33203125" defaultRowHeight="29.25"/>
  <cols>
    <col min="1" max="1" width="42.33203125" style="530" customWidth="1"/>
    <col min="2" max="2" width="31.1093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407" customWidth="1"/>
    <col min="15" max="16384" width="22.33203125" style="407"/>
  </cols>
  <sheetData>
    <row r="1" spans="1:15" ht="33.75">
      <c r="A1" s="1414" t="s">
        <v>128</v>
      </c>
      <c r="B1" s="1415"/>
      <c r="C1" s="1415"/>
      <c r="D1" s="1415"/>
      <c r="E1" s="1415"/>
      <c r="F1" s="1415"/>
      <c r="G1" s="1415"/>
      <c r="H1" s="1415"/>
      <c r="I1" s="1415"/>
      <c r="J1" s="1416"/>
    </row>
    <row r="2" spans="1:15" s="281" customFormat="1" ht="27">
      <c r="A2" s="652" t="s">
        <v>339</v>
      </c>
      <c r="B2" s="1118">
        <v>44235</v>
      </c>
      <c r="C2" s="1233" t="s">
        <v>69</v>
      </c>
      <c r="D2" s="688">
        <v>0.63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5" s="281" customFormat="1" ht="27">
      <c r="A3" s="647"/>
      <c r="B3" s="691"/>
      <c r="C3" s="1233" t="s">
        <v>131</v>
      </c>
      <c r="D3" s="689">
        <v>25</v>
      </c>
      <c r="E3" s="1423" t="s">
        <v>132</v>
      </c>
      <c r="F3" s="1424"/>
      <c r="G3" s="538"/>
      <c r="H3" s="539"/>
      <c r="I3" s="539"/>
      <c r="J3" s="692"/>
      <c r="K3" s="402"/>
      <c r="L3" s="293"/>
    </row>
    <row r="4" spans="1:15" s="281" customFormat="1" ht="27">
      <c r="A4" s="653"/>
      <c r="B4" s="693"/>
      <c r="C4" s="1233" t="s">
        <v>133</v>
      </c>
      <c r="D4" s="688">
        <v>0.77</v>
      </c>
      <c r="E4" s="540"/>
      <c r="F4" s="540"/>
      <c r="G4" s="540"/>
      <c r="H4" s="540"/>
      <c r="I4" s="541"/>
      <c r="J4" s="692"/>
      <c r="K4" s="403"/>
      <c r="L4" s="293"/>
    </row>
    <row r="5" spans="1:15">
      <c r="A5" s="654" t="s">
        <v>134</v>
      </c>
      <c r="B5" s="535"/>
      <c r="C5" s="535"/>
      <c r="D5" s="587"/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5">
      <c r="A6" s="1417" t="s">
        <v>141</v>
      </c>
      <c r="B6" s="1418"/>
      <c r="C6" s="1419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30" thickBot="1">
      <c r="A7" s="757" t="s">
        <v>142</v>
      </c>
      <c r="B7" s="758"/>
      <c r="C7" s="758"/>
      <c r="D7" s="715" t="s">
        <v>143</v>
      </c>
      <c r="E7" s="710">
        <f>'7'!F7</f>
        <v>4020465</v>
      </c>
      <c r="F7" s="531">
        <v>4035852</v>
      </c>
      <c r="G7" s="759">
        <f>F7-E7</f>
        <v>15387</v>
      </c>
      <c r="H7" s="760">
        <f>G7+'7'!H7</f>
        <v>147654</v>
      </c>
      <c r="I7" s="761">
        <f>'1'!I7</f>
        <v>12000</v>
      </c>
      <c r="J7" s="762">
        <f>H7/DAY(B2)</f>
        <v>18456.75</v>
      </c>
      <c r="K7" s="626"/>
      <c r="L7" s="408"/>
      <c r="N7" s="790">
        <v>11335</v>
      </c>
      <c r="O7" s="413">
        <f>G7-N7</f>
        <v>4052</v>
      </c>
    </row>
    <row r="8" spans="1:15" ht="27.75" thickBot="1">
      <c r="A8" s="763" t="s">
        <v>144</v>
      </c>
      <c r="B8" s="764"/>
      <c r="C8" s="765"/>
      <c r="D8" s="766" t="s">
        <v>25</v>
      </c>
      <c r="E8" s="710">
        <f>'7'!F8</f>
        <v>4046475</v>
      </c>
      <c r="F8" s="551">
        <v>4061912</v>
      </c>
      <c r="G8" s="770">
        <f>F8-E8</f>
        <v>15437</v>
      </c>
      <c r="H8" s="760">
        <f>G8+'7'!H8</f>
        <v>149061</v>
      </c>
      <c r="I8" s="767">
        <v>12000</v>
      </c>
      <c r="J8" s="762">
        <f>H8/DAY(B2)</f>
        <v>18632.625</v>
      </c>
      <c r="K8" s="626"/>
      <c r="L8" s="464"/>
      <c r="M8" s="479"/>
      <c r="N8" s="784"/>
    </row>
    <row r="9" spans="1:15">
      <c r="A9" s="768" t="s">
        <v>145</v>
      </c>
      <c r="B9" s="769"/>
      <c r="C9" s="769"/>
      <c r="D9" s="715" t="s">
        <v>143</v>
      </c>
      <c r="E9" s="712">
        <v>0</v>
      </c>
      <c r="F9" s="554">
        <v>5485</v>
      </c>
      <c r="G9" s="783">
        <f t="shared" ref="G9:G12" si="0">F9-E9</f>
        <v>5485</v>
      </c>
      <c r="H9" s="760">
        <f>G9+'7'!H9</f>
        <v>42597.25</v>
      </c>
      <c r="I9" s="771">
        <f>I7-J7</f>
        <v>-6456.75</v>
      </c>
      <c r="J9" s="762">
        <f>H9/DAY(B2)</f>
        <v>5324.65625</v>
      </c>
      <c r="K9" s="467"/>
      <c r="L9" s="408"/>
      <c r="N9" s="413"/>
    </row>
    <row r="10" spans="1:15">
      <c r="A10" s="757" t="s">
        <v>146</v>
      </c>
      <c r="B10" s="758"/>
      <c r="C10" s="758"/>
      <c r="D10" s="715" t="s">
        <v>143</v>
      </c>
      <c r="E10" s="712">
        <f>'7'!F10</f>
        <v>1290081</v>
      </c>
      <c r="F10" s="554">
        <v>1299346</v>
      </c>
      <c r="G10" s="770">
        <f t="shared" si="0"/>
        <v>9265</v>
      </c>
      <c r="H10" s="760">
        <f>G10+'7'!H10</f>
        <v>98471.600000000093</v>
      </c>
      <c r="I10" s="772"/>
      <c r="J10" s="762">
        <f>H10/DAY(B2)</f>
        <v>12308.950000000012</v>
      </c>
      <c r="K10" s="467"/>
      <c r="L10" s="408"/>
      <c r="N10" s="413"/>
    </row>
    <row r="11" spans="1:15">
      <c r="A11" s="757" t="s">
        <v>147</v>
      </c>
      <c r="B11" s="758"/>
      <c r="C11" s="758"/>
      <c r="D11" s="715" t="s">
        <v>143</v>
      </c>
      <c r="E11" s="710">
        <f>'7'!F11</f>
        <v>35540</v>
      </c>
      <c r="F11" s="531">
        <v>37000</v>
      </c>
      <c r="G11" s="770">
        <f t="shared" si="0"/>
        <v>1460</v>
      </c>
      <c r="H11" s="760">
        <f>G11+'7'!H11</f>
        <v>1610</v>
      </c>
      <c r="I11" s="772"/>
      <c r="J11" s="762">
        <f>H11/DAY(B2)</f>
        <v>201.25</v>
      </c>
      <c r="K11" s="467"/>
      <c r="L11" s="408"/>
      <c r="N11" s="413"/>
    </row>
    <row r="12" spans="1:15">
      <c r="A12" s="757" t="s">
        <v>148</v>
      </c>
      <c r="B12" s="758"/>
      <c r="C12" s="758"/>
      <c r="D12" s="715" t="s">
        <v>143</v>
      </c>
      <c r="E12" s="712">
        <f>'7'!F12</f>
        <v>38010</v>
      </c>
      <c r="F12" s="554">
        <v>40010</v>
      </c>
      <c r="G12" s="770">
        <f t="shared" si="0"/>
        <v>2000</v>
      </c>
      <c r="H12" s="760">
        <f>G12+'7'!H12</f>
        <v>2380</v>
      </c>
      <c r="I12" s="772"/>
      <c r="J12" s="762">
        <f>H12/DAY(B2)</f>
        <v>297.5</v>
      </c>
      <c r="K12" s="467"/>
      <c r="L12" s="408"/>
      <c r="N12" s="413"/>
    </row>
    <row r="13" spans="1:15">
      <c r="A13" s="773" t="s">
        <v>149</v>
      </c>
      <c r="B13" s="774"/>
      <c r="C13" s="774"/>
      <c r="D13" s="715"/>
      <c r="E13" s="710"/>
      <c r="F13" s="531">
        <v>0</v>
      </c>
      <c r="G13" s="775">
        <f>G9+G10+G11+G12</f>
        <v>18210</v>
      </c>
      <c r="H13" s="760">
        <f>G13+'7'!H13</f>
        <v>145058.85000000009</v>
      </c>
      <c r="I13" s="776">
        <f>G7-G13</f>
        <v>-2823</v>
      </c>
      <c r="J13" s="762">
        <f>H13/DAY(B2)</f>
        <v>18132.356250000012</v>
      </c>
      <c r="K13" s="467"/>
      <c r="L13" s="408"/>
      <c r="N13" s="413"/>
    </row>
    <row r="14" spans="1:15">
      <c r="A14" s="1420" t="s">
        <v>150</v>
      </c>
      <c r="B14" s="1421"/>
      <c r="C14" s="1422"/>
      <c r="D14" s="548"/>
      <c r="E14" s="548"/>
      <c r="F14" s="548"/>
      <c r="G14" s="559"/>
      <c r="H14" s="548"/>
      <c r="I14" s="548"/>
      <c r="J14" s="628"/>
      <c r="K14" s="468"/>
      <c r="L14" s="408"/>
      <c r="N14" s="413"/>
      <c r="O14" s="407" t="s">
        <v>226</v>
      </c>
    </row>
    <row r="15" spans="1:15">
      <c r="A15" s="746" t="s">
        <v>151</v>
      </c>
      <c r="B15" s="747"/>
      <c r="C15" s="747"/>
      <c r="D15" s="748" t="s">
        <v>152</v>
      </c>
      <c r="E15" s="749">
        <f>'7'!F15</f>
        <v>1600201.45</v>
      </c>
      <c r="F15" s="781">
        <v>1601017.73</v>
      </c>
      <c r="G15" s="745">
        <f>(F15-E15)</f>
        <v>816.28000000002794</v>
      </c>
      <c r="H15" s="751">
        <f>G15+'7'!H15</f>
        <v>6580.5800000000745</v>
      </c>
      <c r="I15" s="752">
        <v>800</v>
      </c>
      <c r="J15" s="753">
        <f>H15/DAY(B2)</f>
        <v>822.57250000000931</v>
      </c>
      <c r="K15" s="467"/>
      <c r="L15" s="408"/>
      <c r="N15" s="413"/>
    </row>
    <row r="16" spans="1:15">
      <c r="A16" s="754"/>
      <c r="B16" s="755"/>
      <c r="C16" s="755"/>
      <c r="D16" s="748"/>
      <c r="E16" s="749"/>
      <c r="F16" s="781"/>
      <c r="G16" s="750"/>
      <c r="H16" s="751"/>
      <c r="I16" s="756">
        <f>I15-J15</f>
        <v>-22.572500000009313</v>
      </c>
      <c r="J16" s="753"/>
      <c r="K16" s="467"/>
      <c r="L16" s="408"/>
      <c r="N16" s="413"/>
    </row>
    <row r="17" spans="1:14">
      <c r="A17" s="1420" t="s">
        <v>153</v>
      </c>
      <c r="B17" s="1421"/>
      <c r="C17" s="1422"/>
      <c r="D17" s="548"/>
      <c r="E17" s="548"/>
      <c r="F17" s="548"/>
      <c r="G17" s="564"/>
      <c r="H17" s="548"/>
      <c r="I17" s="548"/>
      <c r="J17" s="628"/>
      <c r="K17" s="467"/>
      <c r="L17" s="408"/>
      <c r="N17" s="413"/>
    </row>
    <row r="18" spans="1:14" ht="27.75">
      <c r="A18" s="1446" t="s">
        <v>154</v>
      </c>
      <c r="B18" s="1447"/>
      <c r="C18" s="1448"/>
      <c r="D18" s="715" t="s">
        <v>155</v>
      </c>
      <c r="E18" s="712">
        <f>'7'!F18</f>
        <v>16</v>
      </c>
      <c r="F18" s="703">
        <v>16</v>
      </c>
      <c r="G18" s="775">
        <f>F18*10</f>
        <v>160</v>
      </c>
      <c r="H18" s="760">
        <f>G18+'7'!H18</f>
        <v>1130</v>
      </c>
      <c r="I18" s="761">
        <f>'1'!I18</f>
        <v>65</v>
      </c>
      <c r="J18" s="762">
        <f>H18/DAY(B2)</f>
        <v>141.25</v>
      </c>
      <c r="K18" s="467"/>
      <c r="L18" s="408"/>
      <c r="N18" s="413"/>
    </row>
    <row r="19" spans="1:14" ht="27.75">
      <c r="A19" s="1446" t="s">
        <v>71</v>
      </c>
      <c r="B19" s="1447"/>
      <c r="C19" s="1448"/>
      <c r="D19" s="715" t="s">
        <v>155</v>
      </c>
      <c r="E19" s="712">
        <f>'7'!F19</f>
        <v>133395</v>
      </c>
      <c r="F19" s="554">
        <v>133446</v>
      </c>
      <c r="G19" s="770">
        <f t="shared" ref="G19" si="1">F19-E19</f>
        <v>51</v>
      </c>
      <c r="H19" s="760">
        <f>G19+'7'!H19</f>
        <v>398</v>
      </c>
      <c r="I19" s="777"/>
      <c r="J19" s="762">
        <f>H19/DAY(B2)</f>
        <v>49.75</v>
      </c>
      <c r="K19" s="467"/>
      <c r="L19" s="408"/>
      <c r="N19" s="413"/>
    </row>
    <row r="20" spans="1:14">
      <c r="A20" s="773" t="s">
        <v>156</v>
      </c>
      <c r="B20" s="774"/>
      <c r="C20" s="774"/>
      <c r="D20" s="715"/>
      <c r="E20" s="715"/>
      <c r="F20" s="599"/>
      <c r="G20" s="778">
        <f>G18+G19</f>
        <v>211</v>
      </c>
      <c r="H20" s="760">
        <f>G20+'7'!H20</f>
        <v>1528</v>
      </c>
      <c r="I20" s="779">
        <f>I18-J20</f>
        <v>-126</v>
      </c>
      <c r="J20" s="762">
        <f>H20/DAY(B2)</f>
        <v>191</v>
      </c>
      <c r="K20" s="467"/>
      <c r="L20" s="408"/>
      <c r="N20" s="413"/>
    </row>
    <row r="21" spans="1:14">
      <c r="A21" s="1420" t="s">
        <v>157</v>
      </c>
      <c r="B21" s="1421"/>
      <c r="C21" s="1422"/>
      <c r="D21" s="548"/>
      <c r="E21" s="548"/>
      <c r="F21" s="548"/>
      <c r="G21" s="559"/>
      <c r="H21" s="548"/>
      <c r="I21" s="548"/>
      <c r="J21" s="628"/>
      <c r="K21" s="467"/>
      <c r="L21" s="408"/>
      <c r="N21" s="413"/>
    </row>
    <row r="22" spans="1:14">
      <c r="A22" s="1231" t="s">
        <v>158</v>
      </c>
      <c r="B22" s="666"/>
      <c r="C22" s="666"/>
      <c r="D22" s="599" t="s">
        <v>159</v>
      </c>
      <c r="E22" s="560">
        <f>'7'!F22</f>
        <v>2250</v>
      </c>
      <c r="F22" s="554">
        <v>1500</v>
      </c>
      <c r="G22" s="557">
        <f>(E22-F22)</f>
        <v>750</v>
      </c>
      <c r="H22" s="536">
        <f>G22+'7'!H22</f>
        <v>750</v>
      </c>
      <c r="I22" s="556"/>
      <c r="J22" s="629">
        <f>H22/DAY(B2)</f>
        <v>93.75</v>
      </c>
      <c r="K22" s="467"/>
      <c r="L22" s="408"/>
      <c r="N22" s="413"/>
    </row>
    <row r="23" spans="1:14">
      <c r="A23" s="1231" t="s">
        <v>160</v>
      </c>
      <c r="B23" s="666"/>
      <c r="C23" s="666"/>
      <c r="D23" s="599" t="s">
        <v>159</v>
      </c>
      <c r="E23" s="560">
        <f>'7'!F23</f>
        <v>1620</v>
      </c>
      <c r="F23" s="554">
        <v>400</v>
      </c>
      <c r="G23" s="557">
        <f>(E23-F23)</f>
        <v>1220</v>
      </c>
      <c r="H23" s="536">
        <f>G23+'7'!H23</f>
        <v>1600</v>
      </c>
      <c r="I23" s="556"/>
      <c r="J23" s="629">
        <f>H23/DAY(B2)</f>
        <v>200</v>
      </c>
      <c r="K23" s="467"/>
      <c r="L23" s="408"/>
      <c r="N23" s="413"/>
    </row>
    <row r="24" spans="1:14">
      <c r="A24" s="667" t="s">
        <v>161</v>
      </c>
      <c r="B24" s="668"/>
      <c r="C24" s="668"/>
      <c r="D24" s="587" t="s">
        <v>159</v>
      </c>
      <c r="E24" s="569">
        <f>'7'!F24</f>
        <v>3870</v>
      </c>
      <c r="F24" s="569">
        <f>(F22+F23)</f>
        <v>1900</v>
      </c>
      <c r="G24" s="569">
        <f>(G22+G23)</f>
        <v>1970</v>
      </c>
      <c r="H24" s="536">
        <f>G24+'7'!H24</f>
        <v>2350</v>
      </c>
      <c r="I24" s="556"/>
      <c r="J24" s="629">
        <f>H24/DAY(B2)</f>
        <v>293.75</v>
      </c>
      <c r="K24" s="467"/>
      <c r="L24" s="408"/>
      <c r="N24" s="413"/>
    </row>
    <row r="25" spans="1:14" s="481" customFormat="1" ht="27">
      <c r="A25" s="1425" t="s">
        <v>162</v>
      </c>
      <c r="B25" s="1426"/>
      <c r="C25" s="1427"/>
      <c r="D25" s="547"/>
      <c r="E25" s="547"/>
      <c r="F25" s="547"/>
      <c r="G25" s="570"/>
      <c r="H25" s="571"/>
      <c r="I25" s="572"/>
      <c r="J25" s="631"/>
      <c r="K25" s="404"/>
      <c r="L25" s="484"/>
      <c r="N25" s="413"/>
    </row>
    <row r="26" spans="1:14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413"/>
    </row>
    <row r="27" spans="1:14" s="481" customFormat="1" ht="27.75">
      <c r="A27" s="669" t="s">
        <v>6</v>
      </c>
      <c r="B27" s="670"/>
      <c r="C27" s="671"/>
      <c r="D27" s="696" t="s">
        <v>25</v>
      </c>
      <c r="E27" s="780">
        <f>G8</f>
        <v>15437</v>
      </c>
      <c r="F27" s="577">
        <v>9</v>
      </c>
      <c r="G27" s="578">
        <f>E27*F27</f>
        <v>138933</v>
      </c>
      <c r="H27" s="536">
        <f>G27+'7'!H27</f>
        <v>1341549</v>
      </c>
      <c r="I27" s="579"/>
      <c r="J27" s="629">
        <f>H27/DAY(B2)</f>
        <v>167693.625</v>
      </c>
      <c r="K27" s="404"/>
      <c r="L27" s="484"/>
      <c r="N27" s="413"/>
    </row>
    <row r="28" spans="1:14" s="481" customFormat="1" ht="27.75">
      <c r="A28" s="669" t="s">
        <v>165</v>
      </c>
      <c r="B28" s="670"/>
      <c r="C28" s="671"/>
      <c r="D28" s="696" t="s">
        <v>166</v>
      </c>
      <c r="E28" s="780">
        <f>G15</f>
        <v>816.28000000002794</v>
      </c>
      <c r="F28" s="577">
        <v>43.5</v>
      </c>
      <c r="G28" s="578">
        <f t="shared" ref="G28:G31" si="2">E28*F28</f>
        <v>35508.180000001215</v>
      </c>
      <c r="H28" s="536">
        <f>G28+'7'!H28</f>
        <v>286255.23000000324</v>
      </c>
      <c r="I28" s="581"/>
      <c r="J28" s="629">
        <f>H28/DAY(B2)</f>
        <v>35781.903750000405</v>
      </c>
      <c r="K28" s="404"/>
      <c r="L28" s="484"/>
      <c r="N28" s="413"/>
    </row>
    <row r="29" spans="1:14" s="481" customFormat="1" ht="27.75">
      <c r="A29" s="669" t="s">
        <v>167</v>
      </c>
      <c r="B29" s="670"/>
      <c r="C29" s="671"/>
      <c r="D29" s="696" t="s">
        <v>168</v>
      </c>
      <c r="E29" s="780">
        <f>G24</f>
        <v>1970</v>
      </c>
      <c r="F29" s="577">
        <v>69</v>
      </c>
      <c r="G29" s="578">
        <f t="shared" si="2"/>
        <v>135930</v>
      </c>
      <c r="H29" s="536">
        <f>G29+'7'!H29</f>
        <v>162150</v>
      </c>
      <c r="I29" s="581"/>
      <c r="J29" s="629">
        <f>H29/DAY(B2)</f>
        <v>20268.75</v>
      </c>
      <c r="K29" s="404"/>
      <c r="L29" s="484"/>
      <c r="N29" s="413"/>
    </row>
    <row r="30" spans="1:14" s="481" customFormat="1" ht="27.75">
      <c r="A30" s="669" t="s">
        <v>169</v>
      </c>
      <c r="B30" s="670"/>
      <c r="C30" s="671"/>
      <c r="D30" s="696" t="s">
        <v>170</v>
      </c>
      <c r="E30" s="780">
        <f>G19</f>
        <v>51</v>
      </c>
      <c r="F30" s="577">
        <v>134</v>
      </c>
      <c r="G30" s="578">
        <f t="shared" si="2"/>
        <v>6834</v>
      </c>
      <c r="H30" s="536">
        <f>G30+'7'!H30</f>
        <v>53332</v>
      </c>
      <c r="I30" s="581"/>
      <c r="J30" s="629">
        <f>H30/DAY(B2)</f>
        <v>6666.5</v>
      </c>
      <c r="K30" s="404"/>
      <c r="L30" s="484"/>
      <c r="N30" s="413"/>
    </row>
    <row r="31" spans="1:14" s="481" customFormat="1" ht="27.75">
      <c r="A31" s="669" t="s">
        <v>171</v>
      </c>
      <c r="B31" s="670"/>
      <c r="C31" s="671"/>
      <c r="D31" s="696" t="s">
        <v>155</v>
      </c>
      <c r="E31" s="780">
        <f>G18</f>
        <v>160</v>
      </c>
      <c r="F31" s="577">
        <v>80</v>
      </c>
      <c r="G31" s="578">
        <f t="shared" si="2"/>
        <v>12800</v>
      </c>
      <c r="H31" s="536">
        <f>G31+'7'!H31</f>
        <v>90400</v>
      </c>
      <c r="I31" s="581"/>
      <c r="J31" s="629">
        <f>H31/DAY(B2)</f>
        <v>11300</v>
      </c>
      <c r="K31" s="404"/>
      <c r="L31" s="484"/>
      <c r="N31" s="413"/>
    </row>
    <row r="32" spans="1:14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330005.18000000122</v>
      </c>
      <c r="H32" s="536">
        <f>G32+'7'!H32</f>
        <v>1933686.2300000032</v>
      </c>
      <c r="I32" s="585"/>
      <c r="J32" s="629">
        <f>H32/DAY(B2)</f>
        <v>241710.77875000041</v>
      </c>
      <c r="K32" s="404"/>
      <c r="L32" s="484"/>
      <c r="N32" s="413"/>
    </row>
    <row r="33" spans="1:14" ht="25.5">
      <c r="A33" s="1428" t="s">
        <v>173</v>
      </c>
      <c r="B33" s="1429"/>
      <c r="C33" s="1429"/>
      <c r="D33" s="1429"/>
      <c r="E33" s="1429"/>
      <c r="F33" s="1429"/>
      <c r="G33" s="1429"/>
      <c r="H33" s="1429"/>
      <c r="I33" s="1429"/>
      <c r="J33" s="1430"/>
      <c r="K33" s="467"/>
      <c r="L33" s="408"/>
      <c r="N33" s="413"/>
    </row>
    <row r="34" spans="1:14">
      <c r="A34" s="675" t="s">
        <v>174</v>
      </c>
      <c r="B34" s="1236"/>
      <c r="C34" s="1236"/>
      <c r="D34" s="548"/>
      <c r="E34" s="547"/>
      <c r="F34" s="547"/>
      <c r="G34" s="548"/>
      <c r="H34" s="548"/>
      <c r="I34" s="548"/>
      <c r="J34" s="628"/>
      <c r="K34" s="467"/>
      <c r="L34" s="408"/>
      <c r="N34" s="413"/>
    </row>
    <row r="35" spans="1:14">
      <c r="A35" s="655" t="s">
        <v>175</v>
      </c>
      <c r="B35" s="656"/>
      <c r="C35" s="656"/>
      <c r="D35" s="599" t="s">
        <v>143</v>
      </c>
      <c r="E35" s="586">
        <f>'7'!F35</f>
        <v>634203</v>
      </c>
      <c r="F35" s="586">
        <v>635753.91</v>
      </c>
      <c r="G35" s="549">
        <f t="shared" ref="G35:G46" si="3">F35-E35</f>
        <v>1550.9100000000326</v>
      </c>
      <c r="H35" s="536">
        <f>G35+'7'!H35</f>
        <v>6726.2399999999907</v>
      </c>
      <c r="I35" s="531"/>
      <c r="J35" s="629">
        <f>H35/DAY(B2)</f>
        <v>840.77999999999884</v>
      </c>
      <c r="K35" s="467"/>
      <c r="L35" s="408"/>
      <c r="N35" s="413"/>
    </row>
    <row r="36" spans="1:14">
      <c r="A36" s="655" t="s">
        <v>176</v>
      </c>
      <c r="B36" s="656"/>
      <c r="C36" s="656"/>
      <c r="D36" s="599" t="s">
        <v>143</v>
      </c>
      <c r="E36" s="586">
        <f>'7'!F36</f>
        <v>280916.81</v>
      </c>
      <c r="F36" s="586">
        <v>281545.40999999997</v>
      </c>
      <c r="G36" s="549">
        <f t="shared" si="3"/>
        <v>628.59999999997672</v>
      </c>
      <c r="H36" s="536">
        <f>G36+'7'!H36</f>
        <v>5053.9599999999627</v>
      </c>
      <c r="I36" s="531"/>
      <c r="J36" s="629">
        <f>H36/DAY(B2)</f>
        <v>631.74499999999534</v>
      </c>
      <c r="K36" s="467"/>
      <c r="L36" s="408"/>
      <c r="N36" s="705"/>
    </row>
    <row r="37" spans="1:14">
      <c r="A37" s="655" t="s">
        <v>177</v>
      </c>
      <c r="B37" s="656"/>
      <c r="C37" s="656"/>
      <c r="D37" s="599" t="s">
        <v>143</v>
      </c>
      <c r="E37" s="586">
        <f>'7'!F37</f>
        <v>1472</v>
      </c>
      <c r="F37" s="586">
        <v>2139.27</v>
      </c>
      <c r="G37" s="549">
        <f t="shared" si="3"/>
        <v>667.27</v>
      </c>
      <c r="H37" s="536">
        <f>G37+'7'!H37</f>
        <v>2139.27</v>
      </c>
      <c r="I37" s="531"/>
      <c r="J37" s="629">
        <f>H37/DAY(B2)</f>
        <v>267.40875</v>
      </c>
      <c r="K37" s="467"/>
      <c r="L37" s="408"/>
      <c r="N37" s="706"/>
    </row>
    <row r="38" spans="1:14">
      <c r="A38" s="655" t="s">
        <v>178</v>
      </c>
      <c r="B38" s="656"/>
      <c r="C38" s="656"/>
      <c r="D38" s="599" t="s">
        <v>143</v>
      </c>
      <c r="E38" s="545">
        <f>'7'!F38</f>
        <v>904</v>
      </c>
      <c r="F38" s="545">
        <v>2123.92</v>
      </c>
      <c r="G38" s="549">
        <f t="shared" si="3"/>
        <v>1219.92</v>
      </c>
      <c r="H38" s="536">
        <f>G38+'7'!H38</f>
        <v>2026.04</v>
      </c>
      <c r="I38" s="531"/>
      <c r="J38" s="629">
        <f>H38/DAY(B2)</f>
        <v>253.255</v>
      </c>
      <c r="K38" s="467"/>
      <c r="L38" s="408"/>
      <c r="N38" s="413"/>
    </row>
    <row r="39" spans="1:14">
      <c r="A39" s="655" t="s">
        <v>179</v>
      </c>
      <c r="B39" s="656"/>
      <c r="C39" s="656"/>
      <c r="D39" s="599" t="s">
        <v>143</v>
      </c>
      <c r="E39" s="586">
        <f>'7'!F39</f>
        <v>4103</v>
      </c>
      <c r="F39" s="586">
        <v>5850.78</v>
      </c>
      <c r="G39" s="549">
        <f t="shared" si="3"/>
        <v>1747.7799999999997</v>
      </c>
      <c r="H39" s="536">
        <f>G39+'7'!H39</f>
        <v>5850.78</v>
      </c>
      <c r="I39" s="531"/>
      <c r="J39" s="629">
        <f>H39/DAY(B2)</f>
        <v>731.34749999999997</v>
      </c>
      <c r="K39" s="467"/>
      <c r="L39" s="408"/>
      <c r="N39" s="413"/>
    </row>
    <row r="40" spans="1:14">
      <c r="A40" s="676" t="s">
        <v>180</v>
      </c>
      <c r="B40" s="677"/>
      <c r="C40" s="677"/>
      <c r="D40" s="599" t="s">
        <v>143</v>
      </c>
      <c r="E40" s="586">
        <f>'7'!F40</f>
        <v>0.17</v>
      </c>
      <c r="F40" s="586">
        <v>0.17</v>
      </c>
      <c r="G40" s="549">
        <f t="shared" si="3"/>
        <v>0</v>
      </c>
      <c r="H40" s="536">
        <f>G40+'7'!H40</f>
        <v>0</v>
      </c>
      <c r="I40" s="531"/>
      <c r="J40" s="629">
        <f>H40/DAY(B2)</f>
        <v>0</v>
      </c>
      <c r="K40" s="468"/>
      <c r="L40" s="408"/>
      <c r="N40" s="413"/>
    </row>
    <row r="41" spans="1:14">
      <c r="A41" s="655" t="s">
        <v>181</v>
      </c>
      <c r="B41" s="656"/>
      <c r="C41" s="656"/>
      <c r="D41" s="599" t="s">
        <v>143</v>
      </c>
      <c r="E41" s="586">
        <f>'7'!F41</f>
        <v>58616</v>
      </c>
      <c r="F41" s="1144">
        <v>59259.87</v>
      </c>
      <c r="G41" s="549">
        <f t="shared" si="3"/>
        <v>643.87000000000262</v>
      </c>
      <c r="H41" s="536">
        <f>G41+'7'!H41</f>
        <v>14637.350000000006</v>
      </c>
      <c r="I41" s="531"/>
      <c r="J41" s="629">
        <f>H41/DAY(B2)</f>
        <v>1829.6687500000007</v>
      </c>
      <c r="K41" s="467"/>
      <c r="L41" s="408"/>
      <c r="N41" s="413"/>
    </row>
    <row r="42" spans="1:14">
      <c r="A42" s="655" t="s">
        <v>182</v>
      </c>
      <c r="B42" s="656"/>
      <c r="C42" s="656"/>
      <c r="D42" s="599" t="s">
        <v>143</v>
      </c>
      <c r="E42" s="586">
        <f>'7'!F42</f>
        <v>58926</v>
      </c>
      <c r="F42" s="586">
        <v>58926</v>
      </c>
      <c r="G42" s="549">
        <f t="shared" si="3"/>
        <v>0</v>
      </c>
      <c r="H42" s="536">
        <f>G42+'7'!H42</f>
        <v>0</v>
      </c>
      <c r="I42" s="531"/>
      <c r="J42" s="629">
        <f>H42/DAY(B2)</f>
        <v>0</v>
      </c>
      <c r="K42" s="467"/>
      <c r="L42" s="408"/>
      <c r="N42" s="413"/>
    </row>
    <row r="43" spans="1:14">
      <c r="A43" s="655" t="s">
        <v>183</v>
      </c>
      <c r="B43" s="656"/>
      <c r="C43" s="656"/>
      <c r="D43" s="599" t="s">
        <v>143</v>
      </c>
      <c r="E43" s="586">
        <f>'7'!F43</f>
        <v>777221</v>
      </c>
      <c r="F43" s="586">
        <v>778383.67</v>
      </c>
      <c r="G43" s="549">
        <f t="shared" si="3"/>
        <v>1162.6700000000419</v>
      </c>
      <c r="H43" s="536">
        <f>G43+'7'!H43</f>
        <v>10571.760000000009</v>
      </c>
      <c r="I43" s="531"/>
      <c r="J43" s="629">
        <f>H43/DAY(B2)</f>
        <v>1321.4700000000012</v>
      </c>
      <c r="K43" s="467"/>
      <c r="L43" s="408"/>
      <c r="N43" s="413"/>
    </row>
    <row r="44" spans="1:14">
      <c r="A44" s="655" t="s">
        <v>184</v>
      </c>
      <c r="B44" s="656"/>
      <c r="C44" s="656"/>
      <c r="D44" s="599" t="s">
        <v>143</v>
      </c>
      <c r="E44" s="586">
        <f>'7'!F44</f>
        <v>0</v>
      </c>
      <c r="F44" s="586">
        <v>0</v>
      </c>
      <c r="G44" s="549">
        <f t="shared" si="3"/>
        <v>0</v>
      </c>
      <c r="H44" s="536">
        <f>G44+'7'!H44</f>
        <v>0</v>
      </c>
      <c r="I44" s="531"/>
      <c r="J44" s="629">
        <f>H44/DAY(B2)</f>
        <v>0</v>
      </c>
      <c r="K44" s="467"/>
      <c r="L44" s="408"/>
      <c r="N44" s="413"/>
    </row>
    <row r="45" spans="1:14">
      <c r="A45" s="655" t="s">
        <v>185</v>
      </c>
      <c r="B45" s="656"/>
      <c r="C45" s="656"/>
      <c r="D45" s="599" t="s">
        <v>143</v>
      </c>
      <c r="E45" s="586">
        <f>'7'!F45</f>
        <v>614</v>
      </c>
      <c r="F45" s="586">
        <v>614</v>
      </c>
      <c r="G45" s="549">
        <f t="shared" si="3"/>
        <v>0</v>
      </c>
      <c r="H45" s="536">
        <f>G45+'7'!H45</f>
        <v>-0.48000000000001819</v>
      </c>
      <c r="I45" s="531"/>
      <c r="J45" s="629">
        <f>H45/DAY(B2)</f>
        <v>-6.0000000000002274E-2</v>
      </c>
      <c r="K45" s="467"/>
      <c r="L45" s="408"/>
      <c r="N45" s="413"/>
    </row>
    <row r="46" spans="1:14">
      <c r="A46" s="655" t="s">
        <v>186</v>
      </c>
      <c r="B46" s="656"/>
      <c r="C46" s="656"/>
      <c r="D46" s="599" t="s">
        <v>143</v>
      </c>
      <c r="E46" s="586">
        <f>'7'!F46</f>
        <v>187</v>
      </c>
      <c r="F46" s="586">
        <v>187</v>
      </c>
      <c r="G46" s="549">
        <f t="shared" si="3"/>
        <v>0</v>
      </c>
      <c r="H46" s="536">
        <f>G46+'7'!H46</f>
        <v>-0.49000000000000909</v>
      </c>
      <c r="I46" s="531"/>
      <c r="J46" s="629">
        <f>H46/DAY(B2)</f>
        <v>-6.1250000000001137E-2</v>
      </c>
      <c r="K46" s="467"/>
      <c r="L46" s="408"/>
      <c r="N46" s="413"/>
    </row>
    <row r="47" spans="1:14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7621.0200000000532</v>
      </c>
      <c r="H47" s="536">
        <f>G47+'7'!H47</f>
        <v>47004.429999999971</v>
      </c>
      <c r="I47" s="531"/>
      <c r="J47" s="629">
        <f>H47/DAY(B2)</f>
        <v>5875.5537499999964</v>
      </c>
      <c r="K47" s="467"/>
      <c r="L47" s="408"/>
      <c r="N47" s="413"/>
    </row>
    <row r="48" spans="1:14">
      <c r="A48" s="675" t="s">
        <v>188</v>
      </c>
      <c r="B48" s="1236"/>
      <c r="C48" s="1236"/>
      <c r="D48" s="548"/>
      <c r="E48" s="547"/>
      <c r="F48" s="547"/>
      <c r="G48" s="548"/>
      <c r="H48" s="548"/>
      <c r="I48" s="548"/>
      <c r="J48" s="628"/>
      <c r="K48" s="467"/>
      <c r="L48" s="408"/>
      <c r="N48" s="413"/>
    </row>
    <row r="49" spans="1:14">
      <c r="A49" s="655" t="s">
        <v>175</v>
      </c>
      <c r="B49" s="678"/>
      <c r="C49" s="678"/>
      <c r="D49" s="599" t="s">
        <v>143</v>
      </c>
      <c r="E49" s="586">
        <f>'7'!F49</f>
        <v>259764.67</v>
      </c>
      <c r="F49" s="1144">
        <v>260732</v>
      </c>
      <c r="G49" s="549">
        <f t="shared" ref="G49:G58" si="4">F49-E49</f>
        <v>967.32999999998719</v>
      </c>
      <c r="H49" s="536">
        <f>G49+'7'!H49</f>
        <v>14832.950000000012</v>
      </c>
      <c r="I49" s="531"/>
      <c r="J49" s="629">
        <f>H49/DAY(B2)</f>
        <v>1854.1187500000015</v>
      </c>
      <c r="K49" s="467"/>
      <c r="L49" s="408"/>
      <c r="N49" s="413"/>
    </row>
    <row r="50" spans="1:14">
      <c r="A50" s="655" t="s">
        <v>189</v>
      </c>
      <c r="B50" s="678"/>
      <c r="C50" s="678"/>
      <c r="D50" s="599" t="s">
        <v>143</v>
      </c>
      <c r="E50" s="586">
        <f>'7'!F50</f>
        <v>376840</v>
      </c>
      <c r="F50" s="586">
        <v>377921</v>
      </c>
      <c r="G50" s="549">
        <f t="shared" si="4"/>
        <v>1081</v>
      </c>
      <c r="H50" s="536">
        <f>G50+'7'!H50</f>
        <v>9303.6900000000023</v>
      </c>
      <c r="I50" s="531"/>
      <c r="J50" s="629">
        <f>H50/DAY(B2)</f>
        <v>1162.9612500000003</v>
      </c>
      <c r="K50" s="467"/>
      <c r="L50" s="408"/>
      <c r="N50" s="413"/>
    </row>
    <row r="51" spans="1:14">
      <c r="A51" s="655" t="s">
        <v>177</v>
      </c>
      <c r="B51" s="678"/>
      <c r="C51" s="678"/>
      <c r="D51" s="599" t="s">
        <v>143</v>
      </c>
      <c r="E51" s="586">
        <f>'7'!F51</f>
        <v>118942</v>
      </c>
      <c r="F51" s="1144">
        <v>120050.92</v>
      </c>
      <c r="G51" s="549">
        <f t="shared" si="4"/>
        <v>1108.9199999999983</v>
      </c>
      <c r="H51" s="536">
        <f>G51+'7'!H51</f>
        <v>9951.179999999993</v>
      </c>
      <c r="I51" s="531"/>
      <c r="J51" s="629">
        <f>H51/DAY(B2)</f>
        <v>1243.8974999999991</v>
      </c>
      <c r="K51" s="467"/>
      <c r="L51" s="408"/>
      <c r="N51" s="413"/>
    </row>
    <row r="52" spans="1:14">
      <c r="A52" s="655" t="s">
        <v>190</v>
      </c>
      <c r="B52" s="678"/>
      <c r="C52" s="678"/>
      <c r="D52" s="599" t="s">
        <v>143</v>
      </c>
      <c r="E52" s="586">
        <f>'7'!F52</f>
        <v>507093</v>
      </c>
      <c r="F52" s="1144">
        <v>507912.71</v>
      </c>
      <c r="G52" s="549">
        <f t="shared" si="4"/>
        <v>819.71000000002095</v>
      </c>
      <c r="H52" s="536">
        <f>G52+'7'!H52</f>
        <v>14104.040000000037</v>
      </c>
      <c r="I52" s="531"/>
      <c r="J52" s="629">
        <f>H52/DAY(B2)</f>
        <v>1763.0050000000047</v>
      </c>
      <c r="K52" s="467"/>
      <c r="L52" s="408"/>
      <c r="N52" s="413"/>
    </row>
    <row r="53" spans="1:14">
      <c r="A53" s="655" t="s">
        <v>179</v>
      </c>
      <c r="B53" s="678"/>
      <c r="C53" s="678"/>
      <c r="D53" s="599" t="s">
        <v>143</v>
      </c>
      <c r="E53" s="586">
        <f>'7'!F53</f>
        <v>329432</v>
      </c>
      <c r="F53" s="1144">
        <v>331854.51</v>
      </c>
      <c r="G53" s="549">
        <f t="shared" si="4"/>
        <v>2422.5100000000093</v>
      </c>
      <c r="H53" s="536">
        <f>G53+'7'!H53</f>
        <v>27556.239999999991</v>
      </c>
      <c r="I53" s="531"/>
      <c r="J53" s="629">
        <f>H53/DAY(B2)</f>
        <v>3444.5299999999988</v>
      </c>
      <c r="K53" s="467"/>
      <c r="L53" s="408"/>
      <c r="N53" s="413"/>
    </row>
    <row r="54" spans="1:14">
      <c r="A54" s="655" t="s">
        <v>191</v>
      </c>
      <c r="B54" s="678"/>
      <c r="C54" s="678"/>
      <c r="D54" s="599" t="s">
        <v>143</v>
      </c>
      <c r="E54" s="586">
        <f>'7'!F54</f>
        <v>6635</v>
      </c>
      <c r="F54" s="586">
        <v>6695</v>
      </c>
      <c r="G54" s="549">
        <f t="shared" si="4"/>
        <v>60</v>
      </c>
      <c r="H54" s="536">
        <f>G54+'7'!H54</f>
        <v>378.35999999999967</v>
      </c>
      <c r="I54" s="531"/>
      <c r="J54" s="629">
        <f>H54/DAY(B2)</f>
        <v>47.294999999999959</v>
      </c>
      <c r="K54" s="467"/>
      <c r="L54" s="408"/>
      <c r="N54" s="413"/>
    </row>
    <row r="55" spans="1:14">
      <c r="A55" s="655" t="s">
        <v>192</v>
      </c>
      <c r="B55" s="678"/>
      <c r="C55" s="678"/>
      <c r="D55" s="599" t="s">
        <v>143</v>
      </c>
      <c r="E55" s="586">
        <f>'7'!F55</f>
        <v>52455.98</v>
      </c>
      <c r="F55" s="734">
        <v>55670</v>
      </c>
      <c r="G55" s="733">
        <f t="shared" si="4"/>
        <v>3214.0199999999968</v>
      </c>
      <c r="H55" s="787">
        <f>G55+'7'!H55</f>
        <v>16549.419999999998</v>
      </c>
      <c r="I55" s="788"/>
      <c r="J55" s="789">
        <f>H55/DAY(B2)</f>
        <v>2068.6774999999998</v>
      </c>
      <c r="K55" s="467"/>
      <c r="L55" s="408"/>
      <c r="N55" s="413"/>
    </row>
    <row r="56" spans="1:14">
      <c r="A56" s="655" t="s">
        <v>193</v>
      </c>
      <c r="B56" s="678"/>
      <c r="C56" s="678"/>
      <c r="D56" s="599" t="s">
        <v>194</v>
      </c>
      <c r="E56" s="586">
        <f>'7'!F56</f>
        <v>557739</v>
      </c>
      <c r="F56" s="734">
        <v>557739</v>
      </c>
      <c r="G56" s="549">
        <f t="shared" si="4"/>
        <v>0</v>
      </c>
      <c r="H56" s="536">
        <f>G56+'7'!H56</f>
        <v>7.0899999999674037</v>
      </c>
      <c r="I56" s="531"/>
      <c r="J56" s="629">
        <f>H56/DAY(B2)</f>
        <v>0.88624999999592546</v>
      </c>
      <c r="K56" s="466"/>
      <c r="L56" s="408"/>
      <c r="N56" s="413"/>
    </row>
    <row r="57" spans="1:14">
      <c r="A57" s="655" t="s">
        <v>183</v>
      </c>
      <c r="B57" s="678"/>
      <c r="C57" s="678"/>
      <c r="D57" s="599" t="s">
        <v>143</v>
      </c>
      <c r="E57" s="586">
        <f>'7'!F57</f>
        <v>6534</v>
      </c>
      <c r="F57" s="1144">
        <v>7711</v>
      </c>
      <c r="G57" s="549">
        <f t="shared" si="4"/>
        <v>1177</v>
      </c>
      <c r="H57" s="536">
        <f>G57+'7'!H57</f>
        <v>7711</v>
      </c>
      <c r="I57" s="531"/>
      <c r="J57" s="629">
        <f>H57/DAY(B2)</f>
        <v>963.875</v>
      </c>
      <c r="K57" s="467"/>
      <c r="L57" s="408"/>
      <c r="N57" s="413"/>
    </row>
    <row r="58" spans="1:14">
      <c r="A58" s="655" t="s">
        <v>195</v>
      </c>
      <c r="B58" s="678"/>
      <c r="C58" s="678"/>
      <c r="D58" s="599" t="s">
        <v>143</v>
      </c>
      <c r="E58" s="586">
        <f>'7'!F58</f>
        <v>31679</v>
      </c>
      <c r="F58" s="734">
        <v>31880.560000000001</v>
      </c>
      <c r="G58" s="549">
        <f t="shared" si="4"/>
        <v>201.56000000000131</v>
      </c>
      <c r="H58" s="536">
        <f>G58+'7'!H58</f>
        <v>1348.6500000000015</v>
      </c>
      <c r="I58" s="531"/>
      <c r="J58" s="629">
        <f>H58/DAY(B2)</f>
        <v>168.58125000000018</v>
      </c>
      <c r="K58" s="467"/>
      <c r="L58" s="408"/>
      <c r="N58" s="413"/>
    </row>
    <row r="59" spans="1:14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11052.050000000014</v>
      </c>
      <c r="H59" s="536">
        <f>G59+'7'!H59</f>
        <v>101742.62</v>
      </c>
      <c r="I59" s="531">
        <f>G7-G60</f>
        <v>-3286.0700000000652</v>
      </c>
      <c r="J59" s="629">
        <f>H59/DAY(B2)</f>
        <v>12717.827499999999</v>
      </c>
      <c r="K59" s="467"/>
      <c r="L59" s="408"/>
      <c r="N59" s="413"/>
    </row>
    <row r="60" spans="1:14">
      <c r="A60" s="655"/>
      <c r="B60" s="656"/>
      <c r="C60" s="656"/>
      <c r="D60" s="587" t="s">
        <v>196</v>
      </c>
      <c r="E60" s="587"/>
      <c r="F60" s="587"/>
      <c r="G60" s="557">
        <f>G47+G59</f>
        <v>18673.070000000065</v>
      </c>
      <c r="H60" s="536">
        <f>G60+'7'!H60</f>
        <v>148747.04999999996</v>
      </c>
      <c r="I60" s="531">
        <f>G13-G60</f>
        <v>-463.07000000006519</v>
      </c>
      <c r="J60" s="629">
        <f>H60/DAY(B2)</f>
        <v>18593.381249999995</v>
      </c>
      <c r="K60" s="467"/>
      <c r="L60" s="408"/>
      <c r="N60" s="413"/>
    </row>
    <row r="61" spans="1:14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</row>
    <row r="62" spans="1:14">
      <c r="A62" s="680" t="s">
        <v>106</v>
      </c>
      <c r="B62" s="681"/>
      <c r="C62" s="681"/>
      <c r="D62" s="587" t="s">
        <v>198</v>
      </c>
      <c r="E62" s="590">
        <f>'7'!F62</f>
        <v>20419</v>
      </c>
      <c r="F62" s="590">
        <v>20419</v>
      </c>
      <c r="G62" s="549">
        <f t="shared" ref="G62:G69" si="5">F62-E62</f>
        <v>0</v>
      </c>
      <c r="H62" s="536">
        <f>G62+'7'!H62</f>
        <v>-0.1889999999984866</v>
      </c>
      <c r="I62" s="591"/>
      <c r="J62" s="629">
        <f>H62/DAY(B2)</f>
        <v>-2.3624999999810825E-2</v>
      </c>
      <c r="K62" s="467"/>
      <c r="L62" s="408"/>
      <c r="N62" s="413"/>
    </row>
    <row r="63" spans="1:14">
      <c r="A63" s="680" t="s">
        <v>199</v>
      </c>
      <c r="B63" s="681"/>
      <c r="C63" s="681"/>
      <c r="D63" s="587" t="s">
        <v>198</v>
      </c>
      <c r="E63" s="590">
        <f>'7'!F63</f>
        <v>1434</v>
      </c>
      <c r="F63" s="590">
        <v>1448</v>
      </c>
      <c r="G63" s="549">
        <f t="shared" si="5"/>
        <v>14</v>
      </c>
      <c r="H63" s="536">
        <f>G63+'7'!H63</f>
        <v>115.47000000000003</v>
      </c>
      <c r="I63" s="591"/>
      <c r="J63" s="629">
        <f>H63/DAY(B2)</f>
        <v>14.433750000000003</v>
      </c>
      <c r="K63" s="467"/>
      <c r="L63" s="408"/>
      <c r="N63" s="413"/>
    </row>
    <row r="64" spans="1:14" ht="27.75">
      <c r="A64" s="1385" t="s">
        <v>107</v>
      </c>
      <c r="B64" s="1386"/>
      <c r="C64" s="1387"/>
      <c r="D64" s="599" t="s">
        <v>198</v>
      </c>
      <c r="E64" s="560">
        <f>'7'!F64</f>
        <v>114233.60000000001</v>
      </c>
      <c r="F64" s="554">
        <v>114652</v>
      </c>
      <c r="G64" s="549">
        <f t="shared" si="5"/>
        <v>418.39999999999418</v>
      </c>
      <c r="H64" s="536">
        <f>G64+'7'!H64</f>
        <v>3368.5399999999936</v>
      </c>
      <c r="I64" s="556"/>
      <c r="J64" s="629">
        <f>H64/DAY(B2)</f>
        <v>421.0674999999992</v>
      </c>
      <c r="K64" s="467"/>
      <c r="L64" s="408"/>
      <c r="N64" s="413"/>
    </row>
    <row r="65" spans="1:14" ht="27.75">
      <c r="A65" s="1385" t="s">
        <v>108</v>
      </c>
      <c r="B65" s="1386"/>
      <c r="C65" s="1387"/>
      <c r="D65" s="599" t="s">
        <v>198</v>
      </c>
      <c r="E65" s="560">
        <f>'7'!F65</f>
        <v>124354.67</v>
      </c>
      <c r="F65" s="732">
        <v>124743.57</v>
      </c>
      <c r="G65" s="549">
        <f t="shared" si="5"/>
        <v>388.90000000000873</v>
      </c>
      <c r="H65" s="536">
        <f>G65+'7'!H65</f>
        <v>3010.4600000000064</v>
      </c>
      <c r="I65" s="565"/>
      <c r="J65" s="629">
        <f>H65/DAY(B2)</f>
        <v>376.3075000000008</v>
      </c>
      <c r="K65" s="467"/>
      <c r="L65" s="408"/>
      <c r="N65" s="413"/>
    </row>
    <row r="66" spans="1:14" ht="27.75">
      <c r="A66" s="1385" t="s">
        <v>109</v>
      </c>
      <c r="B66" s="1386"/>
      <c r="C66" s="1387"/>
      <c r="D66" s="599" t="s">
        <v>198</v>
      </c>
      <c r="E66" s="560">
        <f>'7'!F66</f>
        <v>16959</v>
      </c>
      <c r="F66" s="554">
        <v>17352</v>
      </c>
      <c r="G66" s="549">
        <f t="shared" si="5"/>
        <v>393</v>
      </c>
      <c r="H66" s="536">
        <f>G66+'7'!H66</f>
        <v>3192.26</v>
      </c>
      <c r="I66" s="556"/>
      <c r="J66" s="629">
        <f>H66/DAY(B2)</f>
        <v>399.03250000000003</v>
      </c>
      <c r="K66" s="467"/>
      <c r="L66" s="408"/>
      <c r="N66" s="413"/>
    </row>
    <row r="67" spans="1:14" ht="27.75">
      <c r="A67" s="1385" t="s">
        <v>110</v>
      </c>
      <c r="B67" s="1386"/>
      <c r="C67" s="1387"/>
      <c r="D67" s="599" t="s">
        <v>198</v>
      </c>
      <c r="E67" s="560">
        <f>'7'!F67</f>
        <v>193581.99</v>
      </c>
      <c r="F67" s="554">
        <v>194279.53</v>
      </c>
      <c r="G67" s="549">
        <f t="shared" si="5"/>
        <v>697.54000000000815</v>
      </c>
      <c r="H67" s="536">
        <f>G67+'7'!H67</f>
        <v>5605</v>
      </c>
      <c r="I67" s="565"/>
      <c r="J67" s="629">
        <f>H67/DAY(B2)</f>
        <v>700.625</v>
      </c>
      <c r="K67" s="468"/>
      <c r="L67" s="408"/>
      <c r="N67" s="413"/>
    </row>
    <row r="68" spans="1:14" ht="27.75">
      <c r="A68" s="1385" t="s">
        <v>111</v>
      </c>
      <c r="B68" s="1386"/>
      <c r="C68" s="1387"/>
      <c r="D68" s="599" t="s">
        <v>198</v>
      </c>
      <c r="E68" s="560">
        <f>'7'!F68</f>
        <v>65672</v>
      </c>
      <c r="F68" s="554">
        <v>66016</v>
      </c>
      <c r="G68" s="549">
        <f t="shared" si="5"/>
        <v>344</v>
      </c>
      <c r="H68" s="536">
        <f>G68+'7'!H68</f>
        <v>2716.1399999999994</v>
      </c>
      <c r="I68" s="592"/>
      <c r="J68" s="629">
        <f>H68/DAY(B2)</f>
        <v>339.51749999999993</v>
      </c>
      <c r="K68" s="469"/>
      <c r="L68" s="408"/>
      <c r="N68" s="413"/>
    </row>
    <row r="69" spans="1:14" ht="27.75">
      <c r="A69" s="1385" t="s">
        <v>112</v>
      </c>
      <c r="B69" s="1386"/>
      <c r="C69" s="1387"/>
      <c r="D69" s="599" t="s">
        <v>198</v>
      </c>
      <c r="E69" s="560">
        <f>'7'!F69</f>
        <v>57850</v>
      </c>
      <c r="F69" s="554">
        <v>58134</v>
      </c>
      <c r="G69" s="549">
        <f t="shared" si="5"/>
        <v>284</v>
      </c>
      <c r="H69" s="536">
        <f>G69+'7'!H69</f>
        <v>2410.2900000000009</v>
      </c>
      <c r="I69" s="592"/>
      <c r="J69" s="629">
        <f>H69/DAY(B2)</f>
        <v>301.28625000000011</v>
      </c>
      <c r="K69" s="470"/>
      <c r="L69" s="408"/>
      <c r="N69" s="413"/>
    </row>
    <row r="70" spans="1:14" ht="27.75">
      <c r="A70" s="1391" t="s">
        <v>200</v>
      </c>
      <c r="B70" s="1392"/>
      <c r="C70" s="1393"/>
      <c r="D70" s="599" t="s">
        <v>198</v>
      </c>
      <c r="E70" s="594"/>
      <c r="F70" s="594" t="s">
        <v>280</v>
      </c>
      <c r="G70" s="594"/>
      <c r="H70" s="536"/>
      <c r="I70" s="594"/>
      <c r="J70" s="633"/>
      <c r="K70" s="470"/>
      <c r="L70" s="408"/>
      <c r="N70" s="413"/>
    </row>
    <row r="71" spans="1:14" ht="31.5">
      <c r="A71" s="1388" t="s">
        <v>201</v>
      </c>
      <c r="B71" s="1389"/>
      <c r="C71" s="1389"/>
      <c r="D71" s="1389"/>
      <c r="E71" s="1389"/>
      <c r="F71" s="1389"/>
      <c r="G71" s="1389"/>
      <c r="H71" s="1389"/>
      <c r="I71" s="1389"/>
      <c r="J71" s="1390"/>
      <c r="K71" s="469"/>
      <c r="L71" s="408"/>
      <c r="N71" s="413"/>
    </row>
    <row r="72" spans="1:14" ht="27.75">
      <c r="A72" s="1385" t="s">
        <v>202</v>
      </c>
      <c r="B72" s="1386"/>
      <c r="C72" s="1387"/>
      <c r="D72" s="599" t="s">
        <v>198</v>
      </c>
      <c r="E72" s="595">
        <f>'7'!F72</f>
        <v>849023</v>
      </c>
      <c r="F72" s="735">
        <v>849090</v>
      </c>
      <c r="G72" s="549">
        <f t="shared" ref="G72:G84" si="6">F72-E72</f>
        <v>67</v>
      </c>
      <c r="H72" s="536">
        <f>G72+'7'!H72</f>
        <v>625</v>
      </c>
      <c r="I72" s="556"/>
      <c r="J72" s="629">
        <f>H72/DAY(B2)</f>
        <v>78.125</v>
      </c>
      <c r="K72" s="470"/>
      <c r="L72" s="408"/>
      <c r="N72" s="413"/>
    </row>
    <row r="73" spans="1:14" ht="27.75">
      <c r="A73" s="1385" t="s">
        <v>203</v>
      </c>
      <c r="B73" s="1386"/>
      <c r="C73" s="1387"/>
      <c r="D73" s="599" t="s">
        <v>198</v>
      </c>
      <c r="E73" s="595">
        <f>'7'!F73</f>
        <v>885730</v>
      </c>
      <c r="F73" s="736">
        <v>885730</v>
      </c>
      <c r="G73" s="733">
        <f t="shared" si="6"/>
        <v>0</v>
      </c>
      <c r="H73" s="536">
        <f>G73+'7'!H73</f>
        <v>2</v>
      </c>
      <c r="I73" s="556"/>
      <c r="J73" s="629">
        <f>H73/DAY(B2)</f>
        <v>0.25</v>
      </c>
      <c r="K73" s="469"/>
      <c r="L73" s="408"/>
      <c r="N73" s="413"/>
    </row>
    <row r="74" spans="1:14" ht="27.75">
      <c r="A74" s="1385" t="s">
        <v>204</v>
      </c>
      <c r="B74" s="1386"/>
      <c r="C74" s="1387"/>
      <c r="D74" s="599" t="s">
        <v>198</v>
      </c>
      <c r="E74" s="595">
        <f>'7'!F74</f>
        <v>882557</v>
      </c>
      <c r="F74" s="735">
        <v>882580</v>
      </c>
      <c r="G74" s="549">
        <f t="shared" si="6"/>
        <v>23</v>
      </c>
      <c r="H74" s="536">
        <f>G74+'7'!H74</f>
        <v>211</v>
      </c>
      <c r="I74" s="556"/>
      <c r="J74" s="629">
        <f>H74/DAY(B2)</f>
        <v>26.375</v>
      </c>
      <c r="K74" s="470"/>
      <c r="L74" s="408"/>
      <c r="N74" s="413"/>
    </row>
    <row r="75" spans="1:14" ht="27.75">
      <c r="A75" s="1382" t="s">
        <v>205</v>
      </c>
      <c r="B75" s="1383"/>
      <c r="C75" s="1384"/>
      <c r="D75" s="599" t="s">
        <v>198</v>
      </c>
      <c r="E75" s="595">
        <f>'7'!F75</f>
        <v>738774</v>
      </c>
      <c r="F75" s="736">
        <v>738952</v>
      </c>
      <c r="G75" s="549">
        <f t="shared" si="6"/>
        <v>178</v>
      </c>
      <c r="H75" s="536">
        <f>G75+'7'!H75</f>
        <v>1433</v>
      </c>
      <c r="I75" s="556"/>
      <c r="J75" s="629">
        <f>H75/DAY(B2)</f>
        <v>179.125</v>
      </c>
      <c r="K75" s="469"/>
      <c r="L75" s="408"/>
      <c r="N75" s="413"/>
    </row>
    <row r="76" spans="1:14" ht="27.75">
      <c r="A76" s="1382" t="s">
        <v>206</v>
      </c>
      <c r="B76" s="1383"/>
      <c r="C76" s="1384"/>
      <c r="D76" s="599" t="s">
        <v>198</v>
      </c>
      <c r="E76" s="595">
        <f>'7'!F76</f>
        <v>687589</v>
      </c>
      <c r="F76" s="736">
        <v>687684</v>
      </c>
      <c r="G76" s="549">
        <f t="shared" si="6"/>
        <v>95</v>
      </c>
      <c r="H76" s="536">
        <f>G76+'7'!H76</f>
        <v>670</v>
      </c>
      <c r="I76" s="581"/>
      <c r="J76" s="629">
        <f>H76/DAY(B2)</f>
        <v>83.75</v>
      </c>
      <c r="K76" s="469"/>
      <c r="L76" s="408"/>
      <c r="N76" s="413"/>
    </row>
    <row r="77" spans="1:14" ht="27.75">
      <c r="A77" s="1385" t="s">
        <v>207</v>
      </c>
      <c r="B77" s="1386"/>
      <c r="C77" s="1387"/>
      <c r="D77" s="599" t="s">
        <v>198</v>
      </c>
      <c r="E77" s="595">
        <f>'7'!F77</f>
        <v>697529</v>
      </c>
      <c r="F77" s="866">
        <v>697578</v>
      </c>
      <c r="G77" s="733">
        <f t="shared" si="6"/>
        <v>49</v>
      </c>
      <c r="H77" s="536">
        <f>G77+'7'!H77</f>
        <v>471</v>
      </c>
      <c r="I77" s="581"/>
      <c r="J77" s="629">
        <f>H77/DAY(B2)</f>
        <v>58.875</v>
      </c>
      <c r="K77" s="469"/>
      <c r="L77" s="408"/>
      <c r="N77" s="413"/>
    </row>
    <row r="78" spans="1:14" ht="27.75">
      <c r="A78" s="1234" t="s">
        <v>208</v>
      </c>
      <c r="B78" s="1205"/>
      <c r="C78" s="1205"/>
      <c r="D78" s="599" t="s">
        <v>198</v>
      </c>
      <c r="E78" s="595">
        <f>'7'!F78</f>
        <v>644849</v>
      </c>
      <c r="F78" s="737">
        <v>645262</v>
      </c>
      <c r="G78" s="549">
        <f t="shared" si="6"/>
        <v>413</v>
      </c>
      <c r="H78" s="536">
        <f>G78+'7'!H78</f>
        <v>3309</v>
      </c>
      <c r="I78" s="581"/>
      <c r="J78" s="629">
        <f>H78/DAY(B2)</f>
        <v>413.625</v>
      </c>
      <c r="K78" s="469"/>
      <c r="L78" s="408"/>
      <c r="N78" s="413"/>
    </row>
    <row r="79" spans="1:14" ht="27.75">
      <c r="A79" s="1382" t="s">
        <v>97</v>
      </c>
      <c r="B79" s="1383"/>
      <c r="C79" s="1384"/>
      <c r="D79" s="600" t="s">
        <v>198</v>
      </c>
      <c r="E79" s="595">
        <f>'7'!F79</f>
        <v>811078</v>
      </c>
      <c r="F79" s="737">
        <v>811248</v>
      </c>
      <c r="G79" s="549">
        <f t="shared" si="6"/>
        <v>170</v>
      </c>
      <c r="H79" s="536">
        <f>G79+'7'!H79</f>
        <v>1557</v>
      </c>
      <c r="I79" s="581"/>
      <c r="J79" s="629">
        <f>H79/DAY(B2)</f>
        <v>194.625</v>
      </c>
      <c r="K79" s="469"/>
      <c r="L79" s="408"/>
      <c r="N79" s="413"/>
    </row>
    <row r="80" spans="1:14" ht="27.75">
      <c r="A80" s="1382" t="s">
        <v>209</v>
      </c>
      <c r="B80" s="1383"/>
      <c r="C80" s="1384"/>
      <c r="D80" s="600" t="s">
        <v>198</v>
      </c>
      <c r="E80" s="595">
        <f>'7'!F80</f>
        <v>487325</v>
      </c>
      <c r="F80" s="736">
        <v>487589.96</v>
      </c>
      <c r="G80" s="549">
        <f t="shared" si="6"/>
        <v>264.96000000002095</v>
      </c>
      <c r="H80" s="536">
        <f>G80+'7'!H80</f>
        <v>2462.960000000021</v>
      </c>
      <c r="I80" s="581"/>
      <c r="J80" s="629">
        <f>H80/DAY(B2)</f>
        <v>307.87000000000262</v>
      </c>
      <c r="K80" s="469"/>
      <c r="L80" s="408"/>
      <c r="N80" s="413"/>
    </row>
    <row r="81" spans="1:15" ht="27.75">
      <c r="A81" s="1382" t="s">
        <v>210</v>
      </c>
      <c r="B81" s="1383"/>
      <c r="C81" s="1384"/>
      <c r="D81" s="600" t="s">
        <v>198</v>
      </c>
      <c r="E81" s="595">
        <f>'7'!F81</f>
        <v>623459</v>
      </c>
      <c r="F81" s="736">
        <v>623548</v>
      </c>
      <c r="G81" s="549">
        <f t="shared" si="6"/>
        <v>89</v>
      </c>
      <c r="H81" s="536">
        <f>G81+'7'!H81</f>
        <v>773</v>
      </c>
      <c r="I81" s="581"/>
      <c r="J81" s="629">
        <f>H81/DAY(B2)</f>
        <v>96.625</v>
      </c>
      <c r="K81" s="469"/>
      <c r="L81" s="408"/>
      <c r="N81" s="413"/>
    </row>
    <row r="82" spans="1:15" ht="27.75">
      <c r="A82" s="1382" t="s">
        <v>100</v>
      </c>
      <c r="B82" s="1383"/>
      <c r="C82" s="1384"/>
      <c r="D82" s="561" t="s">
        <v>143</v>
      </c>
      <c r="E82" s="595">
        <f>'7'!F82</f>
        <v>105678</v>
      </c>
      <c r="F82" s="732">
        <v>105702.8</v>
      </c>
      <c r="G82" s="549">
        <f t="shared" si="6"/>
        <v>24.80000000000291</v>
      </c>
      <c r="H82" s="536">
        <f>G82+'7'!H82</f>
        <v>262.80000000000291</v>
      </c>
      <c r="I82" s="562"/>
      <c r="J82" s="629">
        <f>H82/DAY(B2)</f>
        <v>32.850000000000364</v>
      </c>
      <c r="K82" s="469"/>
      <c r="L82" s="408"/>
      <c r="N82" s="413"/>
    </row>
    <row r="83" spans="1:15" ht="27.75">
      <c r="A83" s="1382" t="s">
        <v>211</v>
      </c>
      <c r="B83" s="1383"/>
      <c r="C83" s="1384"/>
      <c r="D83" s="697" t="s">
        <v>143</v>
      </c>
      <c r="E83" s="595">
        <f>'7'!F83</f>
        <v>986883</v>
      </c>
      <c r="F83" s="587">
        <v>987367</v>
      </c>
      <c r="G83" s="549">
        <f t="shared" si="6"/>
        <v>484</v>
      </c>
      <c r="H83" s="536">
        <f>G83+'7'!H83</f>
        <v>3626</v>
      </c>
      <c r="I83" s="557"/>
      <c r="J83" s="629">
        <f>H83/DAY(B2)</f>
        <v>453.25</v>
      </c>
      <c r="K83" s="468"/>
      <c r="L83" s="408"/>
      <c r="N83" s="413"/>
    </row>
    <row r="84" spans="1:15">
      <c r="A84" s="1235" t="s">
        <v>212</v>
      </c>
      <c r="B84" s="648"/>
      <c r="C84" s="648"/>
      <c r="D84" s="554" t="s">
        <v>143</v>
      </c>
      <c r="E84" s="595">
        <f>'7'!F84</f>
        <v>419469</v>
      </c>
      <c r="F84" s="704">
        <v>419945</v>
      </c>
      <c r="G84" s="549">
        <f t="shared" si="6"/>
        <v>476</v>
      </c>
      <c r="H84" s="536">
        <f>G84+'7'!H84</f>
        <v>3872</v>
      </c>
      <c r="I84" s="557"/>
      <c r="J84" s="629">
        <f>H84/DAY(B2)</f>
        <v>484</v>
      </c>
      <c r="K84" s="411"/>
      <c r="L84" s="408"/>
      <c r="N84" s="413"/>
    </row>
    <row r="85" spans="1:15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SUM(G71:G84)</f>
        <v>2333.7600000000239</v>
      </c>
      <c r="H85" s="536">
        <f>G85+'7'!H85</f>
        <v>17461.760000000024</v>
      </c>
      <c r="I85" s="557"/>
      <c r="J85" s="629">
        <f>H85/DAY(B2)</f>
        <v>2182.720000000003</v>
      </c>
      <c r="K85" s="411"/>
      <c r="L85" s="409"/>
      <c r="N85" s="413"/>
    </row>
    <row r="86" spans="1:15" s="817" customFormat="1">
      <c r="A86" s="812" t="s">
        <v>102</v>
      </c>
      <c r="B86" s="813"/>
      <c r="C86" s="813"/>
      <c r="D86" s="814" t="s">
        <v>194</v>
      </c>
      <c r="E86" s="704">
        <f>'7'!F86</f>
        <v>448036</v>
      </c>
      <c r="F86" s="728">
        <v>448167</v>
      </c>
      <c r="G86" s="787">
        <f t="shared" ref="G86:G90" si="7">F86-E86</f>
        <v>131</v>
      </c>
      <c r="H86" s="787">
        <f t="shared" ref="H86:H88" si="8">G86</f>
        <v>131</v>
      </c>
      <c r="I86" s="733"/>
      <c r="J86" s="789">
        <f>H86/DAY(B2)</f>
        <v>16.375</v>
      </c>
      <c r="K86" s="815"/>
      <c r="L86" s="816"/>
      <c r="O86" s="795"/>
    </row>
    <row r="87" spans="1:15" s="817" customFormat="1">
      <c r="A87" s="812" t="s">
        <v>103</v>
      </c>
      <c r="B87" s="813"/>
      <c r="C87" s="813"/>
      <c r="D87" s="814" t="s">
        <v>194</v>
      </c>
      <c r="E87" s="704">
        <f>'7'!F87</f>
        <v>78625.5</v>
      </c>
      <c r="F87" s="728">
        <v>78657.5</v>
      </c>
      <c r="G87" s="787">
        <f t="shared" si="7"/>
        <v>32</v>
      </c>
      <c r="H87" s="787">
        <f t="shared" si="8"/>
        <v>32</v>
      </c>
      <c r="I87" s="733"/>
      <c r="J87" s="789">
        <f>H87/DAY(B2)</f>
        <v>4</v>
      </c>
      <c r="K87" s="815"/>
      <c r="L87" s="816"/>
      <c r="O87" s="795"/>
    </row>
    <row r="88" spans="1:15" s="817" customFormat="1">
      <c r="A88" s="812" t="s">
        <v>104</v>
      </c>
      <c r="B88" s="813"/>
      <c r="C88" s="813"/>
      <c r="D88" s="814" t="s">
        <v>194</v>
      </c>
      <c r="E88" s="704">
        <f>'7'!F88</f>
        <v>146938</v>
      </c>
      <c r="F88" s="728">
        <v>147003.56</v>
      </c>
      <c r="G88" s="787">
        <f t="shared" si="7"/>
        <v>65.559999999997672</v>
      </c>
      <c r="H88" s="787">
        <f t="shared" si="8"/>
        <v>65.559999999997672</v>
      </c>
      <c r="I88" s="733"/>
      <c r="J88" s="789">
        <f>H88/DAY(B2)</f>
        <v>8.194999999999709</v>
      </c>
      <c r="K88" s="815"/>
      <c r="L88" s="816"/>
      <c r="O88" s="795"/>
    </row>
    <row r="89" spans="1:15" s="817" customFormat="1">
      <c r="A89" s="812" t="s">
        <v>215</v>
      </c>
      <c r="B89" s="813"/>
      <c r="C89" s="813"/>
      <c r="D89" s="814" t="s">
        <v>194</v>
      </c>
      <c r="E89" s="704">
        <f>'7'!F89</f>
        <v>60303</v>
      </c>
      <c r="F89" s="728">
        <v>60366.3</v>
      </c>
      <c r="G89" s="787">
        <f t="shared" si="7"/>
        <v>63.30000000000291</v>
      </c>
      <c r="H89" s="787">
        <f>G89</f>
        <v>63.30000000000291</v>
      </c>
      <c r="I89" s="733"/>
      <c r="J89" s="789">
        <f>H89/DAY(B2)</f>
        <v>7.9125000000003638</v>
      </c>
      <c r="K89" s="815"/>
      <c r="L89" s="816"/>
      <c r="N89" s="860"/>
      <c r="O89" s="413"/>
    </row>
    <row r="90" spans="1:15" s="817" customFormat="1">
      <c r="A90" s="812" t="s">
        <v>215</v>
      </c>
      <c r="B90" s="813"/>
      <c r="C90" s="813"/>
      <c r="D90" s="814" t="s">
        <v>194</v>
      </c>
      <c r="E90" s="704">
        <f>'7'!F90</f>
        <v>3089</v>
      </c>
      <c r="F90" s="728">
        <v>3093.7</v>
      </c>
      <c r="G90" s="787">
        <f t="shared" si="7"/>
        <v>4.6999999999998181</v>
      </c>
      <c r="H90" s="787">
        <f>G90</f>
        <v>4.6999999999998181</v>
      </c>
      <c r="I90" s="733"/>
      <c r="J90" s="789">
        <f>H90/DAY(B2)</f>
        <v>0.58749999999997726</v>
      </c>
      <c r="K90" s="815"/>
      <c r="L90" s="816"/>
      <c r="N90" s="860"/>
      <c r="O90" s="413"/>
    </row>
    <row r="91" spans="1:15" s="410" customFormat="1">
      <c r="A91" s="683" t="s">
        <v>216</v>
      </c>
      <c r="B91" s="1237"/>
      <c r="C91" s="1237"/>
      <c r="D91" s="548"/>
      <c r="E91" s="548"/>
      <c r="F91" s="548"/>
      <c r="G91" s="564"/>
      <c r="H91" s="548"/>
      <c r="I91" s="548"/>
      <c r="J91" s="628"/>
      <c r="K91" s="411"/>
      <c r="L91" s="409"/>
      <c r="N91" s="413"/>
    </row>
    <row r="92" spans="1:15" ht="27.75">
      <c r="A92" s="1406" t="s">
        <v>217</v>
      </c>
      <c r="B92" s="1407"/>
      <c r="C92" s="1408"/>
      <c r="D92" s="599" t="s">
        <v>155</v>
      </c>
      <c r="E92" s="560">
        <f>'7'!F92</f>
        <v>237225</v>
      </c>
      <c r="F92" s="554">
        <v>237320</v>
      </c>
      <c r="G92" s="549">
        <f t="shared" ref="G92:G93" si="9">F92-E92</f>
        <v>95</v>
      </c>
      <c r="H92" s="536">
        <f>G92+'7'!H92</f>
        <v>750</v>
      </c>
      <c r="I92" s="556"/>
      <c r="J92" s="629">
        <f>H92/DAY(B2)</f>
        <v>93.75</v>
      </c>
      <c r="K92" s="468"/>
      <c r="L92" s="408"/>
      <c r="N92" s="413"/>
    </row>
    <row r="93" spans="1:15" ht="27.75">
      <c r="A93" s="1406" t="s">
        <v>218</v>
      </c>
      <c r="B93" s="1407"/>
      <c r="C93" s="1408"/>
      <c r="D93" s="599" t="s">
        <v>155</v>
      </c>
      <c r="E93" s="560">
        <f>'7'!F93</f>
        <v>172307</v>
      </c>
      <c r="F93" s="554">
        <v>172514</v>
      </c>
      <c r="G93" s="549">
        <f t="shared" si="9"/>
        <v>207</v>
      </c>
      <c r="H93" s="536">
        <f>G93+'7'!H93</f>
        <v>1338</v>
      </c>
      <c r="I93" s="556"/>
      <c r="J93" s="629">
        <f>H93/DAY(B2)</f>
        <v>167.25</v>
      </c>
      <c r="K93" s="411"/>
      <c r="L93" s="408"/>
      <c r="N93" s="413"/>
    </row>
    <row r="94" spans="1:15">
      <c r="A94" s="1434" t="s">
        <v>219</v>
      </c>
      <c r="B94" s="1435"/>
      <c r="C94" s="1436"/>
      <c r="D94" s="599"/>
      <c r="E94" s="560">
        <f>'7'!F94</f>
        <v>0</v>
      </c>
      <c r="F94" s="554"/>
      <c r="G94" s="549">
        <f>G92+G93</f>
        <v>302</v>
      </c>
      <c r="H94" s="536">
        <f>G94+'7'!H94</f>
        <v>1801</v>
      </c>
      <c r="I94" s="556"/>
      <c r="J94" s="629">
        <f>H94/DAY(B2)</f>
        <v>225.125</v>
      </c>
      <c r="K94" s="411"/>
      <c r="L94" s="408"/>
      <c r="N94" s="413"/>
    </row>
    <row r="95" spans="1:15" ht="27.75">
      <c r="A95" s="1406" t="s">
        <v>220</v>
      </c>
      <c r="B95" s="1407"/>
      <c r="C95" s="1408"/>
      <c r="D95" s="599" t="s">
        <v>155</v>
      </c>
      <c r="E95" s="560">
        <f>'7'!F95</f>
        <v>406333</v>
      </c>
      <c r="F95" s="554">
        <v>406404</v>
      </c>
      <c r="G95" s="549">
        <f t="shared" ref="G95:G100" si="10">F95-E95</f>
        <v>71</v>
      </c>
      <c r="H95" s="536">
        <f>G95+'7'!H95</f>
        <v>528</v>
      </c>
      <c r="I95" s="556"/>
      <c r="J95" s="629">
        <f>H95/DAY(B2)</f>
        <v>66</v>
      </c>
      <c r="K95" s="411"/>
      <c r="L95" s="408"/>
      <c r="N95" s="413"/>
    </row>
    <row r="96" spans="1:15" ht="27.75">
      <c r="A96" s="1231" t="s">
        <v>221</v>
      </c>
      <c r="B96" s="1232"/>
      <c r="C96" s="1232"/>
      <c r="D96" s="599" t="s">
        <v>155</v>
      </c>
      <c r="E96" s="560">
        <f>'7'!F96</f>
        <v>100758</v>
      </c>
      <c r="F96" s="554">
        <v>100809</v>
      </c>
      <c r="G96" s="549">
        <f t="shared" si="10"/>
        <v>51</v>
      </c>
      <c r="H96" s="536">
        <f>G96+'7'!H96</f>
        <v>275</v>
      </c>
      <c r="I96" s="556"/>
      <c r="J96" s="629">
        <f>H96/DAY(B2)</f>
        <v>34.375</v>
      </c>
      <c r="K96" s="466"/>
      <c r="L96" s="408"/>
      <c r="N96" s="413"/>
    </row>
    <row r="97" spans="1:14" ht="27.75">
      <c r="A97" s="1231" t="s">
        <v>222</v>
      </c>
      <c r="B97" s="1232"/>
      <c r="C97" s="1232"/>
      <c r="D97" s="599" t="s">
        <v>155</v>
      </c>
      <c r="E97" s="560">
        <f>'7'!F97</f>
        <v>95881</v>
      </c>
      <c r="F97" s="554">
        <v>95901</v>
      </c>
      <c r="G97" s="549">
        <f t="shared" si="10"/>
        <v>20</v>
      </c>
      <c r="H97" s="536">
        <f>G97+'7'!H97</f>
        <v>224</v>
      </c>
      <c r="I97" s="556"/>
      <c r="J97" s="629">
        <f>H97/DAY(B2)</f>
        <v>28</v>
      </c>
      <c r="K97" s="471"/>
      <c r="L97" s="408"/>
      <c r="N97" s="413"/>
    </row>
    <row r="98" spans="1:14" ht="27.75">
      <c r="A98" s="1231" t="s">
        <v>223</v>
      </c>
      <c r="B98" s="1232"/>
      <c r="C98" s="1232"/>
      <c r="D98" s="599" t="s">
        <v>155</v>
      </c>
      <c r="E98" s="560">
        <f>'7'!F98</f>
        <v>146013</v>
      </c>
      <c r="F98" s="554">
        <v>146091</v>
      </c>
      <c r="G98" s="549">
        <f t="shared" si="10"/>
        <v>78</v>
      </c>
      <c r="H98" s="536">
        <f>G98+'7'!H98</f>
        <v>537</v>
      </c>
      <c r="I98" s="556"/>
      <c r="J98" s="629">
        <f>H98/DAY(B2)</f>
        <v>67.125</v>
      </c>
      <c r="K98" s="411"/>
      <c r="L98" s="408"/>
      <c r="N98" s="785"/>
    </row>
    <row r="99" spans="1:14" ht="27.75">
      <c r="A99" s="1231" t="s">
        <v>224</v>
      </c>
      <c r="B99" s="1232"/>
      <c r="C99" s="1232"/>
      <c r="D99" s="599" t="s">
        <v>155</v>
      </c>
      <c r="E99" s="560">
        <f>'7'!F99</f>
        <v>6045</v>
      </c>
      <c r="F99" s="554">
        <v>6057</v>
      </c>
      <c r="G99" s="549">
        <f t="shared" si="10"/>
        <v>12</v>
      </c>
      <c r="H99" s="536">
        <f>G99+'7'!H99</f>
        <v>83</v>
      </c>
      <c r="I99" s="556"/>
      <c r="J99" s="629">
        <f>H99/DAY(B2)</f>
        <v>10.375</v>
      </c>
      <c r="K99" s="411"/>
      <c r="L99" s="408"/>
      <c r="N99" s="413"/>
    </row>
    <row r="100" spans="1:14" ht="27.75">
      <c r="A100" s="1231" t="s">
        <v>225</v>
      </c>
      <c r="B100" s="1232"/>
      <c r="C100" s="1232"/>
      <c r="D100" s="599" t="s">
        <v>155</v>
      </c>
      <c r="E100" s="560">
        <f>'7'!F100</f>
        <v>4283</v>
      </c>
      <c r="F100" s="554">
        <v>4291</v>
      </c>
      <c r="G100" s="549">
        <f t="shared" si="10"/>
        <v>8</v>
      </c>
      <c r="H100" s="536">
        <f>G100+'7'!H100</f>
        <v>54</v>
      </c>
      <c r="I100" s="556"/>
      <c r="J100" s="629">
        <f>H100/DAY(B2)</f>
        <v>6.75</v>
      </c>
      <c r="K100" s="411"/>
      <c r="L100" s="408"/>
      <c r="N100" s="413"/>
    </row>
    <row r="101" spans="1:14">
      <c r="A101" s="1434" t="s">
        <v>227</v>
      </c>
      <c r="B101" s="1435"/>
      <c r="C101" s="1436"/>
      <c r="D101" s="600"/>
      <c r="E101" s="600"/>
      <c r="F101" s="600"/>
      <c r="G101" s="601">
        <f>SUM(G95:G100)</f>
        <v>240</v>
      </c>
      <c r="H101" s="536">
        <f>G101+'7'!H101</f>
        <v>1701</v>
      </c>
      <c r="I101" s="602"/>
      <c r="J101" s="629">
        <f>H101/DAY(B2)</f>
        <v>212.625</v>
      </c>
      <c r="K101" s="411"/>
      <c r="L101" s="408"/>
      <c r="N101" s="413"/>
    </row>
    <row r="102" spans="1:14" s="481" customFormat="1" ht="27">
      <c r="A102" s="684" t="s">
        <v>228</v>
      </c>
      <c r="B102" s="685"/>
      <c r="C102" s="685"/>
      <c r="D102" s="698"/>
      <c r="E102" s="604"/>
      <c r="F102" s="738"/>
      <c r="G102" s="605"/>
      <c r="H102" s="606"/>
      <c r="I102" s="607"/>
      <c r="J102" s="634"/>
      <c r="N102" s="413"/>
    </row>
    <row r="103" spans="1:14" s="481" customFormat="1" ht="27.75">
      <c r="A103" s="1437" t="s">
        <v>229</v>
      </c>
      <c r="B103" s="1438"/>
      <c r="C103" s="650"/>
      <c r="D103" s="699"/>
      <c r="E103" s="608"/>
      <c r="F103" s="739"/>
      <c r="G103" s="608"/>
      <c r="H103" s="609"/>
      <c r="I103" s="608"/>
      <c r="J103" s="635"/>
      <c r="N103" s="413"/>
    </row>
    <row r="104" spans="1:14" s="481" customFormat="1" ht="27.75">
      <c r="A104" s="1398" t="s">
        <v>230</v>
      </c>
      <c r="B104" s="1399"/>
      <c r="C104" s="1230"/>
      <c r="D104" s="699" t="s">
        <v>155</v>
      </c>
      <c r="E104" s="608">
        <f>'7'!F104</f>
        <v>7010</v>
      </c>
      <c r="F104" s="739">
        <v>7010</v>
      </c>
      <c r="G104" s="608">
        <f>F104-E104</f>
        <v>0</v>
      </c>
      <c r="H104" s="536">
        <f>G104+'7'!H104</f>
        <v>0</v>
      </c>
      <c r="I104" s="608"/>
      <c r="J104" s="635">
        <f>H104/DAY(B2)</f>
        <v>0</v>
      </c>
      <c r="N104" s="413"/>
    </row>
    <row r="105" spans="1:14" s="481" customFormat="1" ht="27.75">
      <c r="A105" s="1398" t="s">
        <v>77</v>
      </c>
      <c r="B105" s="1399"/>
      <c r="C105" s="1230"/>
      <c r="D105" s="699" t="s">
        <v>155</v>
      </c>
      <c r="E105" s="608">
        <f>'7'!F105</f>
        <v>35209</v>
      </c>
      <c r="F105" s="740">
        <v>35218</v>
      </c>
      <c r="G105" s="608">
        <f t="shared" ref="G105:G106" si="11">F105-E105</f>
        <v>9</v>
      </c>
      <c r="H105" s="536">
        <f>G105+'7'!H105</f>
        <v>63</v>
      </c>
      <c r="I105" s="608"/>
      <c r="J105" s="635">
        <f>H105/DAY(B2)</f>
        <v>7.875</v>
      </c>
      <c r="N105" s="413"/>
    </row>
    <row r="106" spans="1:14" s="481" customFormat="1" ht="27.75">
      <c r="A106" s="1398" t="s">
        <v>78</v>
      </c>
      <c r="B106" s="1439"/>
      <c r="C106" s="1399"/>
      <c r="D106" s="699" t="s">
        <v>155</v>
      </c>
      <c r="E106" s="608">
        <f>'7'!F106</f>
        <v>19116</v>
      </c>
      <c r="F106" s="740">
        <v>19121</v>
      </c>
      <c r="G106" s="608">
        <f t="shared" si="11"/>
        <v>5</v>
      </c>
      <c r="H106" s="536">
        <f>G106+'7'!H106</f>
        <v>47</v>
      </c>
      <c r="I106" s="608"/>
      <c r="J106" s="635">
        <f>H106/DAY(B2)</f>
        <v>5.875</v>
      </c>
      <c r="N106" s="413"/>
    </row>
    <row r="107" spans="1:14" s="481" customFormat="1" ht="27.75">
      <c r="A107" s="1400" t="s">
        <v>213</v>
      </c>
      <c r="B107" s="1401"/>
      <c r="C107" s="1230"/>
      <c r="D107" s="699"/>
      <c r="E107" s="608"/>
      <c r="F107" s="740"/>
      <c r="G107" s="608">
        <f>SUM(G104:G106)</f>
        <v>14</v>
      </c>
      <c r="H107" s="536">
        <f>G107+'7'!H107</f>
        <v>110</v>
      </c>
      <c r="I107" s="608"/>
      <c r="J107" s="635">
        <f>H107/DAY(B2)</f>
        <v>13.75</v>
      </c>
      <c r="N107" s="413"/>
    </row>
    <row r="108" spans="1:14" s="481" customFormat="1" ht="27.75">
      <c r="A108" s="1404" t="s">
        <v>79</v>
      </c>
      <c r="B108" s="1405"/>
      <c r="C108" s="1230"/>
      <c r="D108" s="699" t="s">
        <v>155</v>
      </c>
      <c r="E108" s="608"/>
      <c r="F108" s="740"/>
      <c r="G108" s="608"/>
      <c r="H108" s="536" t="e">
        <f>G108+'7'!H108</f>
        <v>#REF!</v>
      </c>
      <c r="I108" s="608"/>
      <c r="J108" s="635"/>
      <c r="N108" s="413"/>
    </row>
    <row r="109" spans="1:14" s="481" customFormat="1" ht="27.75">
      <c r="A109" s="1398" t="s">
        <v>231</v>
      </c>
      <c r="B109" s="1399"/>
      <c r="C109" s="1230"/>
      <c r="D109" s="699" t="s">
        <v>155</v>
      </c>
      <c r="E109" s="608">
        <f>'7'!F109</f>
        <v>55028</v>
      </c>
      <c r="F109" s="740">
        <v>55102</v>
      </c>
      <c r="G109" s="608">
        <f>F109-E109</f>
        <v>74</v>
      </c>
      <c r="H109" s="536">
        <f>G109+'7'!H109</f>
        <v>483</v>
      </c>
      <c r="I109" s="608"/>
      <c r="J109" s="635">
        <f>H109/DAY(B2)</f>
        <v>60.375</v>
      </c>
      <c r="N109" s="413"/>
    </row>
    <row r="110" spans="1:14" s="481" customFormat="1" ht="27.75">
      <c r="A110" s="1398" t="s">
        <v>232</v>
      </c>
      <c r="B110" s="1399"/>
      <c r="C110" s="1230"/>
      <c r="D110" s="699" t="s">
        <v>155</v>
      </c>
      <c r="E110" s="608">
        <f>'7'!F110</f>
        <v>28977</v>
      </c>
      <c r="F110" s="740">
        <v>29020</v>
      </c>
      <c r="G110" s="608">
        <f t="shared" ref="G110:G111" si="12">F110-E110</f>
        <v>43</v>
      </c>
      <c r="H110" s="536">
        <f>G110+'7'!H110</f>
        <v>526</v>
      </c>
      <c r="I110" s="608"/>
      <c r="J110" s="635">
        <f>H110/DAY(B2)</f>
        <v>65.75</v>
      </c>
      <c r="N110" s="413"/>
    </row>
    <row r="111" spans="1:14" s="481" customFormat="1" ht="27.75">
      <c r="A111" s="1398" t="s">
        <v>233</v>
      </c>
      <c r="B111" s="1399"/>
      <c r="C111" s="1230"/>
      <c r="D111" s="699" t="s">
        <v>155</v>
      </c>
      <c r="E111" s="608">
        <f>'7'!F111</f>
        <v>3802</v>
      </c>
      <c r="F111" s="740">
        <v>3802</v>
      </c>
      <c r="G111" s="608">
        <f t="shared" si="12"/>
        <v>0</v>
      </c>
      <c r="H111" s="536">
        <f>G111+'7'!H111</f>
        <v>62</v>
      </c>
      <c r="I111" s="608"/>
      <c r="J111" s="635">
        <f>H111/DAY(B2)</f>
        <v>7.75</v>
      </c>
      <c r="N111" s="413"/>
    </row>
    <row r="112" spans="1:14" s="481" customFormat="1" ht="27.75">
      <c r="A112" s="1400" t="s">
        <v>121</v>
      </c>
      <c r="B112" s="1401"/>
      <c r="C112" s="1230"/>
      <c r="D112" s="699"/>
      <c r="E112" s="608"/>
      <c r="F112" s="740"/>
      <c r="G112" s="608">
        <f>SUM(G109:G111)</f>
        <v>117</v>
      </c>
      <c r="H112" s="536">
        <f>G112+'7'!H112</f>
        <v>1071</v>
      </c>
      <c r="I112" s="608"/>
      <c r="J112" s="635">
        <f>H112/DAY(B2)</f>
        <v>133.875</v>
      </c>
      <c r="N112" s="413"/>
    </row>
    <row r="113" spans="1:14" s="481" customFormat="1" ht="27.75">
      <c r="A113" s="1404" t="s">
        <v>234</v>
      </c>
      <c r="B113" s="1405"/>
      <c r="C113" s="1230"/>
      <c r="D113" s="699"/>
      <c r="E113" s="608"/>
      <c r="F113" s="740"/>
      <c r="G113" s="608"/>
      <c r="H113" s="536">
        <f>G113+'7'!H113</f>
        <v>0</v>
      </c>
      <c r="I113" s="608"/>
      <c r="J113" s="635">
        <f>H113/DAY(B2)</f>
        <v>0</v>
      </c>
      <c r="N113" s="413"/>
    </row>
    <row r="114" spans="1:14" s="481" customFormat="1" ht="27.75">
      <c r="A114" s="1398" t="s">
        <v>235</v>
      </c>
      <c r="B114" s="1399"/>
      <c r="C114" s="651"/>
      <c r="D114" s="699" t="s">
        <v>155</v>
      </c>
      <c r="E114" s="608">
        <f>'7'!F114</f>
        <v>9888</v>
      </c>
      <c r="F114" s="740">
        <v>9904</v>
      </c>
      <c r="G114" s="610">
        <f>F114-E114</f>
        <v>16</v>
      </c>
      <c r="H114" s="536">
        <f>G114+'7'!H114</f>
        <v>117</v>
      </c>
      <c r="I114" s="608"/>
      <c r="J114" s="635">
        <f>H114/DAY(B2)</f>
        <v>14.625</v>
      </c>
      <c r="N114" s="413"/>
    </row>
    <row r="115" spans="1:14" s="481" customFormat="1" ht="27.75">
      <c r="A115" s="1398" t="s">
        <v>236</v>
      </c>
      <c r="B115" s="1399"/>
      <c r="C115" s="651"/>
      <c r="D115" s="699" t="s">
        <v>155</v>
      </c>
      <c r="E115" s="608">
        <f>'7'!F115</f>
        <v>7465</v>
      </c>
      <c r="F115" s="740">
        <v>7472</v>
      </c>
      <c r="G115" s="610">
        <f t="shared" ref="G115:G116" si="13">F115-E115</f>
        <v>7</v>
      </c>
      <c r="H115" s="536">
        <f>G115+'7'!H115</f>
        <v>52</v>
      </c>
      <c r="I115" s="608"/>
      <c r="J115" s="635">
        <f>H115/DAY(B2)</f>
        <v>6.5</v>
      </c>
      <c r="N115" s="413"/>
    </row>
    <row r="116" spans="1:14" s="481" customFormat="1" ht="27.75">
      <c r="A116" s="1398" t="s">
        <v>237</v>
      </c>
      <c r="B116" s="1399"/>
      <c r="C116" s="651"/>
      <c r="D116" s="699" t="s">
        <v>155</v>
      </c>
      <c r="E116" s="610"/>
      <c r="F116" s="740"/>
      <c r="G116" s="610">
        <f t="shared" si="13"/>
        <v>0</v>
      </c>
      <c r="H116" s="536">
        <f>G116+'7'!H116</f>
        <v>0</v>
      </c>
      <c r="I116" s="608"/>
      <c r="J116" s="635">
        <f>H116/DAY(B2)</f>
        <v>0</v>
      </c>
      <c r="N116" s="413"/>
    </row>
    <row r="117" spans="1:14" s="494" customFormat="1" ht="27.75">
      <c r="A117" s="1400" t="s">
        <v>213</v>
      </c>
      <c r="B117" s="1401"/>
      <c r="C117" s="651"/>
      <c r="D117" s="700"/>
      <c r="E117" s="610"/>
      <c r="F117" s="740"/>
      <c r="G117" s="610">
        <f>SUM(G114:G116)</f>
        <v>23</v>
      </c>
      <c r="H117" s="536">
        <f>G117+'7'!H117</f>
        <v>169</v>
      </c>
      <c r="I117" s="610"/>
      <c r="J117" s="635">
        <f>H117/DAY(B2)</f>
        <v>21.125</v>
      </c>
      <c r="N117" s="413"/>
    </row>
    <row r="118" spans="1:14" s="495" customFormat="1" ht="27.75">
      <c r="A118" s="1394" t="s">
        <v>238</v>
      </c>
      <c r="B118" s="1395"/>
      <c r="C118" s="1228"/>
      <c r="D118" s="701" t="s">
        <v>155</v>
      </c>
      <c r="E118" s="612"/>
      <c r="F118" s="741">
        <f>SUM(G19+G92)</f>
        <v>146</v>
      </c>
      <c r="G118" s="612">
        <f>SUM(G19+G92)</f>
        <v>146</v>
      </c>
      <c r="H118" s="536">
        <f>G118+'7'!H118</f>
        <v>1148</v>
      </c>
      <c r="I118" s="611"/>
      <c r="J118" s="636">
        <f>H118/DAY(B2)</f>
        <v>143.5</v>
      </c>
      <c r="N118" s="413"/>
    </row>
    <row r="119" spans="1:14" s="495" customFormat="1" ht="27.75">
      <c r="A119" s="1394" t="s">
        <v>239</v>
      </c>
      <c r="B119" s="1395"/>
      <c r="C119" s="1228"/>
      <c r="D119" s="701" t="s">
        <v>155</v>
      </c>
      <c r="E119" s="612"/>
      <c r="F119" s="741">
        <f>SUM(G95,G96,G97,G99,G100)</f>
        <v>162</v>
      </c>
      <c r="G119" s="612">
        <f>SUM(G95,G96,G97,G99,G100)</f>
        <v>162</v>
      </c>
      <c r="H119" s="536">
        <f>G119+'7'!H119</f>
        <v>1164</v>
      </c>
      <c r="I119" s="611"/>
      <c r="J119" s="636">
        <f>H119/DAY(B2)</f>
        <v>145.5</v>
      </c>
      <c r="N119" s="413"/>
    </row>
    <row r="120" spans="1:14" s="495" customFormat="1" ht="27.75">
      <c r="A120" s="1394" t="s">
        <v>240</v>
      </c>
      <c r="B120" s="1395"/>
      <c r="C120" s="1228"/>
      <c r="D120" s="701" t="s">
        <v>155</v>
      </c>
      <c r="E120" s="610"/>
      <c r="F120" s="740">
        <f>SUM(G112)</f>
        <v>117</v>
      </c>
      <c r="G120" s="610">
        <f>SUM(G112)</f>
        <v>117</v>
      </c>
      <c r="H120" s="536">
        <f>G120+'7'!H120</f>
        <v>1071</v>
      </c>
      <c r="I120" s="611"/>
      <c r="J120" s="636">
        <f>H120/DAY(B2)</f>
        <v>133.875</v>
      </c>
      <c r="N120" s="413"/>
    </row>
    <row r="121" spans="1:14" s="481" customFormat="1" ht="27.75">
      <c r="A121" s="1396"/>
      <c r="B121" s="1397"/>
      <c r="C121" s="1229"/>
      <c r="D121" s="637"/>
      <c r="E121" s="637"/>
      <c r="F121" s="742" t="s">
        <v>226</v>
      </c>
      <c r="G121" s="637"/>
      <c r="H121" s="638"/>
      <c r="I121" s="637"/>
      <c r="J121" s="639"/>
      <c r="N121" s="413"/>
    </row>
    <row r="122" spans="1:14">
      <c r="A122" s="1431" t="s">
        <v>241</v>
      </c>
      <c r="B122" s="1432"/>
      <c r="C122" s="1433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</row>
    <row r="123" spans="1:14" ht="27.75">
      <c r="A123" s="1231" t="s">
        <v>242</v>
      </c>
      <c r="B123" s="1232"/>
      <c r="C123" s="1232"/>
      <c r="D123" s="599" t="s">
        <v>152</v>
      </c>
      <c r="E123" s="554">
        <f>'7'!F123</f>
        <v>805257</v>
      </c>
      <c r="F123" s="554">
        <v>805531.98</v>
      </c>
      <c r="G123" s="549">
        <f t="shared" ref="G123:G127" si="14">F123-E123</f>
        <v>274.97999999998137</v>
      </c>
      <c r="H123" s="536">
        <f>G123+'7'!H123</f>
        <v>2196.5799999999581</v>
      </c>
      <c r="I123" s="602"/>
      <c r="J123" s="629">
        <f>H123/DAY(B2)</f>
        <v>274.57249999999476</v>
      </c>
      <c r="K123" s="411"/>
      <c r="L123" s="408"/>
      <c r="N123" s="413"/>
    </row>
    <row r="124" spans="1:14" ht="27.75">
      <c r="A124" s="1231" t="s">
        <v>243</v>
      </c>
      <c r="B124" s="1232"/>
      <c r="C124" s="1232"/>
      <c r="D124" s="599" t="s">
        <v>152</v>
      </c>
      <c r="E124" s="703">
        <f>'7'!F124</f>
        <v>73583.399999999994</v>
      </c>
      <c r="F124" s="703">
        <v>73583.399999999994</v>
      </c>
      <c r="G124" s="549">
        <f t="shared" si="14"/>
        <v>0</v>
      </c>
      <c r="H124" s="536">
        <f>G124+'7'!H124</f>
        <v>1.3999999999941792</v>
      </c>
      <c r="I124" s="602"/>
      <c r="J124" s="629">
        <f>H124/DAY(B2)</f>
        <v>0.1749999999992724</v>
      </c>
      <c r="K124" s="411"/>
      <c r="L124" s="408"/>
      <c r="N124" s="413"/>
    </row>
    <row r="125" spans="1:14" ht="27.75">
      <c r="A125" s="1385" t="s">
        <v>244</v>
      </c>
      <c r="B125" s="1386"/>
      <c r="C125" s="1387"/>
      <c r="D125" s="599" t="s">
        <v>152</v>
      </c>
      <c r="E125" s="554">
        <f>'7'!F125</f>
        <v>138320.97</v>
      </c>
      <c r="F125" s="554">
        <v>138377.72</v>
      </c>
      <c r="G125" s="549">
        <f t="shared" si="14"/>
        <v>56.75</v>
      </c>
      <c r="H125" s="536">
        <f>G125+'7'!H125</f>
        <v>529.72000000000116</v>
      </c>
      <c r="I125" s="602"/>
      <c r="J125" s="629">
        <f>H125/DAY(B2)</f>
        <v>66.215000000000146</v>
      </c>
      <c r="K125" s="411"/>
      <c r="L125" s="408"/>
      <c r="N125" s="413"/>
    </row>
    <row r="126" spans="1:14" ht="27.75">
      <c r="A126" s="686" t="s">
        <v>245</v>
      </c>
      <c r="B126" s="1232"/>
      <c r="C126" s="1232"/>
      <c r="D126" s="599" t="s">
        <v>152</v>
      </c>
      <c r="E126" s="703">
        <f>'7'!F126</f>
        <v>58674</v>
      </c>
      <c r="F126" s="703">
        <v>58706.3</v>
      </c>
      <c r="G126" s="549">
        <f t="shared" si="14"/>
        <v>32.30000000000291</v>
      </c>
      <c r="H126" s="536">
        <f>G126+'7'!H126</f>
        <v>314.60000000000582</v>
      </c>
      <c r="I126" s="602"/>
      <c r="J126" s="629">
        <f>H126/DAY(B2)</f>
        <v>39.325000000000728</v>
      </c>
      <c r="K126" s="411"/>
      <c r="L126" s="408"/>
      <c r="N126" s="413"/>
    </row>
    <row r="127" spans="1:14" ht="27.75">
      <c r="A127" s="686" t="s">
        <v>246</v>
      </c>
      <c r="B127" s="1232"/>
      <c r="C127" s="1232"/>
      <c r="D127" s="599" t="s">
        <v>152</v>
      </c>
      <c r="E127" s="703">
        <f>'7'!F127</f>
        <v>8834</v>
      </c>
      <c r="F127" s="703">
        <v>8836</v>
      </c>
      <c r="G127" s="549">
        <f t="shared" si="14"/>
        <v>2</v>
      </c>
      <c r="H127" s="536">
        <f>G127+'7'!H127</f>
        <v>20</v>
      </c>
      <c r="I127" s="556"/>
      <c r="J127" s="629">
        <f>H127/DAY(B2)</f>
        <v>2.5</v>
      </c>
      <c r="K127" s="411"/>
      <c r="L127" s="408"/>
      <c r="N127" s="413"/>
    </row>
    <row r="128" spans="1:14" s="281" customFormat="1" ht="27.75">
      <c r="A128" s="686" t="s">
        <v>247</v>
      </c>
      <c r="B128" s="1232"/>
      <c r="C128" s="1232"/>
      <c r="D128" s="599"/>
      <c r="E128" s="554"/>
      <c r="F128" s="554"/>
      <c r="G128" s="549">
        <f>G15-SUM(G123:G127)</f>
        <v>450.25000000004366</v>
      </c>
      <c r="H128" s="536"/>
      <c r="I128" s="556"/>
      <c r="J128" s="629"/>
      <c r="K128" s="391"/>
      <c r="L128" s="293"/>
      <c r="N128" s="413"/>
    </row>
    <row r="129" spans="1:14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</row>
    <row r="130" spans="1:14" ht="27.75">
      <c r="A130" s="1231" t="s">
        <v>249</v>
      </c>
      <c r="B130" s="1232"/>
      <c r="C130" s="1232"/>
      <c r="D130" s="599" t="s">
        <v>250</v>
      </c>
      <c r="E130" s="560">
        <f>'7'!F130</f>
        <v>0</v>
      </c>
      <c r="F130" s="554">
        <v>0</v>
      </c>
      <c r="G130" s="549">
        <f t="shared" ref="G130:G140" si="15">F130-E130</f>
        <v>0</v>
      </c>
      <c r="H130" s="536">
        <f>G130+'7'!H130</f>
        <v>0</v>
      </c>
      <c r="I130" s="556"/>
      <c r="J130" s="629">
        <f>H130/DAY(B2)</f>
        <v>0</v>
      </c>
      <c r="N130" s="413"/>
    </row>
    <row r="131" spans="1:14" ht="27.75">
      <c r="A131" s="1231" t="s">
        <v>251</v>
      </c>
      <c r="B131" s="1232"/>
      <c r="C131" s="1232"/>
      <c r="D131" s="599" t="s">
        <v>250</v>
      </c>
      <c r="E131" s="560">
        <f>'7'!F131</f>
        <v>0</v>
      </c>
      <c r="F131" s="554">
        <v>0</v>
      </c>
      <c r="G131" s="549">
        <f t="shared" si="15"/>
        <v>0</v>
      </c>
      <c r="H131" s="536">
        <f>G131+'7'!H131</f>
        <v>0</v>
      </c>
      <c r="I131" s="556"/>
      <c r="J131" s="629">
        <f>H131/DAY(B2)</f>
        <v>0</v>
      </c>
      <c r="N131" s="413"/>
    </row>
    <row r="132" spans="1:14" ht="27.75">
      <c r="A132" s="1231" t="s">
        <v>252</v>
      </c>
      <c r="B132" s="1232"/>
      <c r="C132" s="1232"/>
      <c r="D132" s="599" t="s">
        <v>250</v>
      </c>
      <c r="E132" s="782">
        <f>'7'!F132</f>
        <v>39188</v>
      </c>
      <c r="F132" s="703">
        <v>39191.29</v>
      </c>
      <c r="G132" s="549">
        <f t="shared" si="15"/>
        <v>3.2900000000008731</v>
      </c>
      <c r="H132" s="536">
        <f>G132+'7'!H132</f>
        <v>86.849999999998545</v>
      </c>
      <c r="I132" s="556"/>
      <c r="J132" s="629">
        <f>H132/DAY(B2)</f>
        <v>10.856249999999818</v>
      </c>
      <c r="N132" s="413"/>
    </row>
    <row r="133" spans="1:14" ht="27.75">
      <c r="A133" s="1231" t="s">
        <v>253</v>
      </c>
      <c r="B133" s="1232"/>
      <c r="C133" s="1232"/>
      <c r="D133" s="599" t="s">
        <v>250</v>
      </c>
      <c r="E133" s="598">
        <f>'7'!F133</f>
        <v>299</v>
      </c>
      <c r="F133" s="561">
        <v>299</v>
      </c>
      <c r="G133" s="549">
        <f t="shared" si="15"/>
        <v>0</v>
      </c>
      <c r="H133" s="536">
        <f>G133+'7'!H133</f>
        <v>0</v>
      </c>
      <c r="I133" s="556">
        <f>G130+G131+G132+G133</f>
        <v>3.2900000000008731</v>
      </c>
      <c r="J133" s="629">
        <f>H133/DAY(B2)</f>
        <v>0</v>
      </c>
      <c r="N133" s="413"/>
    </row>
    <row r="134" spans="1:14" ht="27.75">
      <c r="A134" s="1231" t="s">
        <v>254</v>
      </c>
      <c r="B134" s="1232"/>
      <c r="C134" s="1232"/>
      <c r="D134" s="599" t="s">
        <v>250</v>
      </c>
      <c r="E134" s="782">
        <f>'7'!F134</f>
        <v>40035</v>
      </c>
      <c r="F134" s="703">
        <v>40055.449999999997</v>
      </c>
      <c r="G134" s="549">
        <f t="shared" si="15"/>
        <v>20.44999999999709</v>
      </c>
      <c r="H134" s="536">
        <f>G134+'7'!H134</f>
        <v>104.44999999999709</v>
      </c>
      <c r="I134" s="556"/>
      <c r="J134" s="629">
        <f>H134/DAY(B2)</f>
        <v>13.056249999999636</v>
      </c>
      <c r="N134" s="413"/>
    </row>
    <row r="135" spans="1:14" ht="27.75">
      <c r="A135" s="1231" t="s">
        <v>255</v>
      </c>
      <c r="B135" s="1232"/>
      <c r="C135" s="1232"/>
      <c r="D135" s="599" t="s">
        <v>250</v>
      </c>
      <c r="E135" s="782">
        <f>'7'!F135</f>
        <v>32423</v>
      </c>
      <c r="F135" s="703">
        <v>32423</v>
      </c>
      <c r="G135" s="549">
        <f t="shared" si="15"/>
        <v>0</v>
      </c>
      <c r="H135" s="536">
        <f>G135+'7'!H135</f>
        <v>0</v>
      </c>
      <c r="I135" s="556"/>
      <c r="J135" s="629">
        <f>H135/DAY(B2)</f>
        <v>0</v>
      </c>
      <c r="N135" s="413"/>
    </row>
    <row r="136" spans="1:14" ht="27.75">
      <c r="A136" s="1231" t="s">
        <v>256</v>
      </c>
      <c r="B136" s="1232"/>
      <c r="C136" s="1232"/>
      <c r="D136" s="599" t="s">
        <v>250</v>
      </c>
      <c r="E136" s="618">
        <f>'7'!F136</f>
        <v>22045.94</v>
      </c>
      <c r="F136" s="732">
        <v>22054.57</v>
      </c>
      <c r="G136" s="549">
        <f t="shared" si="15"/>
        <v>8.6300000000010186</v>
      </c>
      <c r="H136" s="536">
        <f>G136+'7'!H136</f>
        <v>52.610000000000582</v>
      </c>
      <c r="I136" s="556">
        <f>G134+G135+G136</f>
        <v>29.079999999998108</v>
      </c>
      <c r="J136" s="629">
        <f>H136/DAY(B2)</f>
        <v>6.5762500000000728</v>
      </c>
      <c r="N136" s="413"/>
    </row>
    <row r="137" spans="1:14" ht="27.75">
      <c r="A137" s="1231" t="s">
        <v>257</v>
      </c>
      <c r="B137" s="1232"/>
      <c r="C137" s="1232"/>
      <c r="D137" s="599" t="s">
        <v>250</v>
      </c>
      <c r="E137" s="618">
        <f>'7'!F137</f>
        <v>25030</v>
      </c>
      <c r="F137" s="732">
        <v>25030.03</v>
      </c>
      <c r="G137" s="549">
        <f t="shared" si="15"/>
        <v>2.9999999998835847E-2</v>
      </c>
      <c r="H137" s="536">
        <f>G137+'7'!H137</f>
        <v>10.090000000000146</v>
      </c>
      <c r="I137" s="556"/>
      <c r="J137" s="629">
        <f>H137/DAY(B2)</f>
        <v>1.2612500000000182</v>
      </c>
      <c r="N137" s="413"/>
    </row>
    <row r="138" spans="1:14" ht="27.75">
      <c r="A138" s="1231" t="s">
        <v>258</v>
      </c>
      <c r="B138" s="1232"/>
      <c r="C138" s="1232"/>
      <c r="D138" s="599" t="s">
        <v>250</v>
      </c>
      <c r="E138" s="618">
        <f>'7'!F138</f>
        <v>70063.89</v>
      </c>
      <c r="F138" s="732">
        <v>70063.89</v>
      </c>
      <c r="G138" s="549">
        <f t="shared" si="15"/>
        <v>0</v>
      </c>
      <c r="H138" s="536">
        <f>G138+'7'!H138</f>
        <v>0</v>
      </c>
      <c r="I138" s="556">
        <f>G137+G138</f>
        <v>2.9999999998835847E-2</v>
      </c>
      <c r="J138" s="629">
        <f>H138/DAY(B2)</f>
        <v>0</v>
      </c>
      <c r="N138" s="413"/>
    </row>
    <row r="139" spans="1:14" ht="27.75">
      <c r="A139" s="1231" t="s">
        <v>259</v>
      </c>
      <c r="B139" s="1232"/>
      <c r="C139" s="1232"/>
      <c r="D139" s="599" t="s">
        <v>250</v>
      </c>
      <c r="E139" s="782">
        <f>'7'!F139</f>
        <v>1257</v>
      </c>
      <c r="F139" s="703">
        <v>1265</v>
      </c>
      <c r="G139" s="549">
        <f t="shared" si="15"/>
        <v>8</v>
      </c>
      <c r="H139" s="536">
        <f>G139+'7'!H139</f>
        <v>64.410000000000082</v>
      </c>
      <c r="I139" s="619"/>
      <c r="J139" s="629">
        <f>H139/DAY(B2)</f>
        <v>8.0512500000000102</v>
      </c>
      <c r="N139" s="413"/>
    </row>
    <row r="140" spans="1:14" ht="27.75">
      <c r="A140" s="1231" t="s">
        <v>260</v>
      </c>
      <c r="B140" s="1232"/>
      <c r="C140" s="1232"/>
      <c r="D140" s="599" t="s">
        <v>250</v>
      </c>
      <c r="E140" s="560">
        <f>'7'!F140</f>
        <v>4334</v>
      </c>
      <c r="F140" s="554">
        <v>4334</v>
      </c>
      <c r="G140" s="549">
        <f t="shared" si="15"/>
        <v>0</v>
      </c>
      <c r="H140" s="536">
        <f>G140+'7'!H140</f>
        <v>0</v>
      </c>
      <c r="I140" s="619"/>
      <c r="J140" s="629">
        <f>H140/DAY(B2)</f>
        <v>0</v>
      </c>
      <c r="N140" s="413"/>
    </row>
    <row r="141" spans="1:14">
      <c r="A141" s="1412" t="s">
        <v>261</v>
      </c>
      <c r="B141" s="1413"/>
      <c r="C141" s="1237"/>
      <c r="D141" s="548"/>
      <c r="E141" s="548"/>
      <c r="F141" s="548"/>
      <c r="G141" s="559"/>
      <c r="H141" s="559"/>
      <c r="I141" s="559"/>
      <c r="J141" s="640"/>
      <c r="K141" s="411"/>
      <c r="L141" s="408"/>
      <c r="N141" s="413"/>
    </row>
    <row r="142" spans="1:14" ht="27.75">
      <c r="A142" s="1406" t="s">
        <v>262</v>
      </c>
      <c r="B142" s="1407"/>
      <c r="C142" s="1408"/>
      <c r="D142" s="599" t="s">
        <v>143</v>
      </c>
      <c r="E142" s="599"/>
      <c r="F142" s="599"/>
      <c r="G142" s="536">
        <f>G35+G43+G49+G57</f>
        <v>4857.9100000000617</v>
      </c>
      <c r="H142" s="536">
        <f>G142+'7'!H142</f>
        <v>39841.950000000012</v>
      </c>
      <c r="I142" s="556"/>
      <c r="J142" s="629">
        <f>H142/DAY(B2)</f>
        <v>4980.2437500000015</v>
      </c>
      <c r="K142" s="411"/>
      <c r="L142" s="408"/>
      <c r="N142" s="413"/>
    </row>
    <row r="143" spans="1:14" ht="27.75">
      <c r="A143" s="1406" t="s">
        <v>263</v>
      </c>
      <c r="B143" s="1407"/>
      <c r="C143" s="1408"/>
      <c r="D143" s="599" t="s">
        <v>24</v>
      </c>
      <c r="E143" s="587"/>
      <c r="F143" s="587"/>
      <c r="G143" s="620">
        <f>G142/G7</f>
        <v>0.31571521414181203</v>
      </c>
      <c r="H143" s="536">
        <f>G143+'7'!H143</f>
        <v>1.9686486818111999</v>
      </c>
      <c r="I143" s="621"/>
      <c r="J143" s="629">
        <f>H143/DAY(B2)</f>
        <v>0.24608108522639999</v>
      </c>
      <c r="K143" s="411"/>
      <c r="L143" s="408"/>
      <c r="N143" s="413"/>
    </row>
    <row r="144" spans="1:14" ht="27.75">
      <c r="A144" s="1406" t="s">
        <v>264</v>
      </c>
      <c r="B144" s="1407"/>
      <c r="C144" s="1408"/>
      <c r="D144" s="599" t="s">
        <v>143</v>
      </c>
      <c r="E144" s="531"/>
      <c r="F144" s="531"/>
      <c r="G144" s="536">
        <f>G41+G42+G55+G56</f>
        <v>3857.8899999999994</v>
      </c>
      <c r="H144" s="536">
        <f>G144+'7'!H144</f>
        <v>31193.859999999971</v>
      </c>
      <c r="I144" s="556"/>
      <c r="J144" s="629">
        <f>H144/DAY(B2)</f>
        <v>3899.2324999999964</v>
      </c>
      <c r="K144" s="411"/>
      <c r="L144" s="408"/>
      <c r="N144" s="413"/>
    </row>
    <row r="145" spans="1:14" ht="27.75">
      <c r="A145" s="1406" t="s">
        <v>265</v>
      </c>
      <c r="B145" s="1407"/>
      <c r="C145" s="1408"/>
      <c r="D145" s="599" t="s">
        <v>24</v>
      </c>
      <c r="E145" s="531"/>
      <c r="F145" s="531"/>
      <c r="G145" s="620">
        <f>G144/G7</f>
        <v>0.25072398778189375</v>
      </c>
      <c r="H145" s="536">
        <f>G145+'7'!H145</f>
        <v>1.6960656162906989</v>
      </c>
      <c r="I145" s="621"/>
      <c r="J145" s="629">
        <f>H145/DAY(B2)</f>
        <v>0.21200820203633736</v>
      </c>
      <c r="K145" s="411"/>
      <c r="L145" s="408"/>
      <c r="N145" s="413"/>
    </row>
    <row r="146" spans="1:14" ht="27.75">
      <c r="A146" s="1406" t="s">
        <v>266</v>
      </c>
      <c r="B146" s="1407"/>
      <c r="C146" s="1408"/>
      <c r="D146" s="599" t="s">
        <v>143</v>
      </c>
      <c r="E146" s="531"/>
      <c r="F146" s="531"/>
      <c r="G146" s="536">
        <f>G39+G53</f>
        <v>4170.2900000000091</v>
      </c>
      <c r="H146" s="536">
        <f>G146+'7'!H146</f>
        <v>33407.01999999999</v>
      </c>
      <c r="I146" s="622"/>
      <c r="J146" s="629">
        <f>H146/DAY(B2)</f>
        <v>4175.8774999999987</v>
      </c>
      <c r="K146" s="411"/>
      <c r="L146" s="408"/>
      <c r="N146" s="413"/>
    </row>
    <row r="147" spans="1:14" ht="27.75">
      <c r="A147" s="1406" t="s">
        <v>267</v>
      </c>
      <c r="B147" s="1407"/>
      <c r="C147" s="1408"/>
      <c r="D147" s="599" t="s">
        <v>24</v>
      </c>
      <c r="E147" s="531"/>
      <c r="F147" s="531"/>
      <c r="G147" s="620">
        <f>G146/G7</f>
        <v>0.27102684083967044</v>
      </c>
      <c r="H147" s="536">
        <f>G147+'7'!H147</f>
        <v>1.8193753399852581</v>
      </c>
      <c r="I147" s="622"/>
      <c r="J147" s="629">
        <f>H147/DAY(B2)</f>
        <v>0.22742191749815727</v>
      </c>
      <c r="N147" s="413"/>
    </row>
    <row r="148" spans="1:14" ht="27.75">
      <c r="A148" s="1406" t="s">
        <v>268</v>
      </c>
      <c r="B148" s="1407"/>
      <c r="C148" s="1408"/>
      <c r="D148" s="599" t="s">
        <v>194</v>
      </c>
      <c r="E148" s="531"/>
      <c r="F148" s="531"/>
      <c r="G148" s="536">
        <f>G38+G52</f>
        <v>2039.630000000021</v>
      </c>
      <c r="H148" s="536">
        <f>G148+'7'!H148</f>
        <v>16130.080000000036</v>
      </c>
      <c r="I148" s="556"/>
      <c r="J148" s="629">
        <f>H148/DAY(B2)</f>
        <v>2016.2600000000045</v>
      </c>
      <c r="K148" s="412"/>
      <c r="N148" s="413"/>
    </row>
    <row r="149" spans="1:14" ht="27.75">
      <c r="A149" s="1406" t="s">
        <v>269</v>
      </c>
      <c r="B149" s="1407"/>
      <c r="C149" s="1408"/>
      <c r="D149" s="599" t="s">
        <v>24</v>
      </c>
      <c r="E149" s="531"/>
      <c r="F149" s="531"/>
      <c r="G149" s="620">
        <f>G148/G7</f>
        <v>0.13255540391239495</v>
      </c>
      <c r="H149" s="536">
        <f>G149+'7'!H149</f>
        <v>0.8789217897906475</v>
      </c>
      <c r="I149" s="622"/>
      <c r="J149" s="629">
        <f>H149/DAY(B2)</f>
        <v>0.10986522372383094</v>
      </c>
      <c r="N149" s="413"/>
    </row>
    <row r="150" spans="1:14" ht="27.75">
      <c r="A150" s="1406" t="s">
        <v>270</v>
      </c>
      <c r="B150" s="1407"/>
      <c r="C150" s="1408"/>
      <c r="D150" s="599" t="s">
        <v>194</v>
      </c>
      <c r="E150" s="531"/>
      <c r="F150" s="531"/>
      <c r="G150" s="536">
        <f>G36+G50</f>
        <v>1709.5999999999767</v>
      </c>
      <c r="H150" s="536">
        <f>G150+'7'!H150</f>
        <v>14357.649999999965</v>
      </c>
      <c r="I150" s="622"/>
      <c r="J150" s="629">
        <f>H150/DAY(B2)</f>
        <v>1794.7062499999956</v>
      </c>
      <c r="N150" s="413"/>
    </row>
    <row r="151" spans="1:14" ht="27.75">
      <c r="A151" s="1406" t="s">
        <v>271</v>
      </c>
      <c r="B151" s="1407"/>
      <c r="C151" s="1408"/>
      <c r="D151" s="599" t="s">
        <v>24</v>
      </c>
      <c r="E151" s="531"/>
      <c r="F151" s="531"/>
      <c r="G151" s="620">
        <f>G150/G7</f>
        <v>0.11110677844933883</v>
      </c>
      <c r="H151" s="536">
        <f>G151+'7'!H151</f>
        <v>0.77997208231386994</v>
      </c>
      <c r="I151" s="556"/>
      <c r="J151" s="629">
        <f>H151/DAY(B2)</f>
        <v>9.7496510289233743E-2</v>
      </c>
      <c r="N151" s="413"/>
    </row>
    <row r="152" spans="1:14" ht="27.75">
      <c r="A152" s="1406" t="s">
        <v>272</v>
      </c>
      <c r="B152" s="1407"/>
      <c r="C152" s="1408"/>
      <c r="D152" s="599" t="s">
        <v>194</v>
      </c>
      <c r="E152" s="531"/>
      <c r="F152" s="531"/>
      <c r="G152" s="536">
        <f>G37+G51</f>
        <v>1776.1899999999982</v>
      </c>
      <c r="H152" s="536">
        <f>G152+'7'!H152</f>
        <v>12090.449999999993</v>
      </c>
      <c r="I152" s="556"/>
      <c r="J152" s="629">
        <f>H152/DAY(B2)</f>
        <v>1511.3062499999992</v>
      </c>
      <c r="N152" s="413"/>
    </row>
    <row r="153" spans="1:14" ht="28.5" thickBot="1">
      <c r="A153" s="1409" t="s">
        <v>273</v>
      </c>
      <c r="B153" s="1410"/>
      <c r="C153" s="1411"/>
      <c r="D153" s="702" t="s">
        <v>24</v>
      </c>
      <c r="E153" s="642"/>
      <c r="F153" s="642"/>
      <c r="G153" s="643">
        <f>G152/G7</f>
        <v>0.11543445765906273</v>
      </c>
      <c r="H153" s="536">
        <f>G153+'7'!H153</f>
        <v>0.66160667429439879</v>
      </c>
      <c r="I153" s="645"/>
      <c r="J153" s="646">
        <f>H153/DAY(B2)</f>
        <v>8.2700834286799849E-2</v>
      </c>
      <c r="N153" s="413"/>
    </row>
    <row r="154" spans="1:14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413"/>
    </row>
    <row r="157" spans="1:14" ht="27.75">
      <c r="A157" s="1440" t="s">
        <v>278</v>
      </c>
      <c r="B157" s="1441"/>
      <c r="C157" s="1441"/>
      <c r="D157" s="1441"/>
      <c r="E157" s="1441"/>
      <c r="F157" s="1441"/>
      <c r="G157" s="1442"/>
    </row>
    <row r="158" spans="1:14">
      <c r="A158" s="868"/>
      <c r="B158" s="869"/>
      <c r="C158" s="869"/>
      <c r="D158" s="587"/>
      <c r="E158" s="531"/>
      <c r="F158" s="739"/>
      <c r="G158" s="549"/>
    </row>
    <row r="159" spans="1:14">
      <c r="A159" s="868"/>
      <c r="B159" s="869"/>
      <c r="C159" s="869"/>
      <c r="D159" s="587"/>
      <c r="E159" s="531"/>
      <c r="F159" s="739"/>
      <c r="G159" s="549"/>
    </row>
    <row r="160" spans="1:14">
      <c r="A160" s="868" t="s">
        <v>274</v>
      </c>
      <c r="B160" s="869"/>
      <c r="C160" s="869"/>
      <c r="D160" s="587" t="s">
        <v>198</v>
      </c>
      <c r="E160" s="1148">
        <f>'7'!F160</f>
        <v>29006</v>
      </c>
      <c r="F160" s="739">
        <v>29089.599999999999</v>
      </c>
      <c r="G160" s="549">
        <f t="shared" ref="G160:G171" si="16">F160-E160</f>
        <v>83.599999999998545</v>
      </c>
    </row>
    <row r="161" spans="1:7">
      <c r="A161" s="868" t="s">
        <v>275</v>
      </c>
      <c r="B161" s="869"/>
      <c r="C161" s="869"/>
      <c r="D161" s="587" t="s">
        <v>198</v>
      </c>
      <c r="E161" s="1148">
        <f>'7'!F161</f>
        <v>45879.59</v>
      </c>
      <c r="F161" s="739">
        <v>46314.44</v>
      </c>
      <c r="G161" s="549">
        <f t="shared" si="16"/>
        <v>434.85000000000582</v>
      </c>
    </row>
    <row r="162" spans="1:7">
      <c r="A162" s="868" t="s">
        <v>276</v>
      </c>
      <c r="B162" s="869"/>
      <c r="C162" s="869"/>
      <c r="D162" s="587" t="s">
        <v>198</v>
      </c>
      <c r="E162" s="1148">
        <f>'7'!F162</f>
        <v>14391</v>
      </c>
      <c r="F162" s="739">
        <v>14652</v>
      </c>
      <c r="G162" s="549">
        <f t="shared" si="16"/>
        <v>261</v>
      </c>
    </row>
    <row r="163" spans="1:7">
      <c r="A163" s="868" t="s">
        <v>277</v>
      </c>
      <c r="B163" s="869"/>
      <c r="C163" s="869"/>
      <c r="D163" s="587" t="s">
        <v>198</v>
      </c>
      <c r="E163" s="1148">
        <f>'7'!F163</f>
        <v>5115.96</v>
      </c>
      <c r="F163" s="739">
        <v>5126.93</v>
      </c>
      <c r="G163" s="549">
        <f t="shared" si="16"/>
        <v>10.970000000000255</v>
      </c>
    </row>
    <row r="164" spans="1:7">
      <c r="A164" s="870" t="s">
        <v>106</v>
      </c>
      <c r="B164" s="681"/>
      <c r="C164" s="681"/>
      <c r="D164" s="587" t="s">
        <v>198</v>
      </c>
      <c r="E164" s="1148">
        <f>'7'!F164</f>
        <v>20419</v>
      </c>
      <c r="F164" s="590">
        <f>F62</f>
        <v>20419</v>
      </c>
      <c r="G164" s="549">
        <f t="shared" si="16"/>
        <v>0</v>
      </c>
    </row>
    <row r="165" spans="1:7">
      <c r="A165" s="870" t="s">
        <v>199</v>
      </c>
      <c r="B165" s="681"/>
      <c r="C165" s="681"/>
      <c r="D165" s="587" t="s">
        <v>198</v>
      </c>
      <c r="E165" s="1148">
        <f>'7'!F165</f>
        <v>1434</v>
      </c>
      <c r="F165" s="590">
        <f t="shared" ref="F165:F171" si="17">F63</f>
        <v>1448</v>
      </c>
      <c r="G165" s="549">
        <f t="shared" si="16"/>
        <v>14</v>
      </c>
    </row>
    <row r="166" spans="1:7" ht="27.75">
      <c r="A166" s="1381" t="s">
        <v>107</v>
      </c>
      <c r="B166" s="1381"/>
      <c r="C166" s="1381"/>
      <c r="D166" s="599" t="s">
        <v>198</v>
      </c>
      <c r="E166" s="1148">
        <f>'7'!F166</f>
        <v>114233.60000000001</v>
      </c>
      <c r="F166" s="590">
        <f t="shared" si="17"/>
        <v>114652</v>
      </c>
      <c r="G166" s="549">
        <f t="shared" si="16"/>
        <v>418.39999999999418</v>
      </c>
    </row>
    <row r="167" spans="1:7" ht="27.75">
      <c r="A167" s="1381" t="s">
        <v>108</v>
      </c>
      <c r="B167" s="1381"/>
      <c r="C167" s="1381"/>
      <c r="D167" s="599" t="s">
        <v>198</v>
      </c>
      <c r="E167" s="1148">
        <f>'7'!F167</f>
        <v>124354.67</v>
      </c>
      <c r="F167" s="590">
        <f t="shared" si="17"/>
        <v>124743.57</v>
      </c>
      <c r="G167" s="549">
        <f t="shared" si="16"/>
        <v>388.90000000000873</v>
      </c>
    </row>
    <row r="168" spans="1:7" ht="27.75">
      <c r="A168" s="1381" t="s">
        <v>109</v>
      </c>
      <c r="B168" s="1381"/>
      <c r="C168" s="1381"/>
      <c r="D168" s="599" t="s">
        <v>198</v>
      </c>
      <c r="E168" s="1148">
        <f>'7'!F168</f>
        <v>16959</v>
      </c>
      <c r="F168" s="590">
        <f t="shared" si="17"/>
        <v>17352</v>
      </c>
      <c r="G168" s="549">
        <f t="shared" si="16"/>
        <v>393</v>
      </c>
    </row>
    <row r="169" spans="1:7" ht="27.75">
      <c r="A169" s="1381" t="s">
        <v>110</v>
      </c>
      <c r="B169" s="1381"/>
      <c r="C169" s="1381"/>
      <c r="D169" s="599" t="s">
        <v>198</v>
      </c>
      <c r="E169" s="1148">
        <f>'7'!F169</f>
        <v>193581.99</v>
      </c>
      <c r="F169" s="590">
        <f t="shared" si="17"/>
        <v>194279.53</v>
      </c>
      <c r="G169" s="549">
        <f t="shared" si="16"/>
        <v>697.54000000000815</v>
      </c>
    </row>
    <row r="170" spans="1:7" ht="27.75">
      <c r="A170" s="1381" t="s">
        <v>111</v>
      </c>
      <c r="B170" s="1381"/>
      <c r="C170" s="1381"/>
      <c r="D170" s="599" t="s">
        <v>198</v>
      </c>
      <c r="E170" s="1148">
        <f>'7'!F170</f>
        <v>65672</v>
      </c>
      <c r="F170" s="590">
        <f t="shared" si="17"/>
        <v>66016</v>
      </c>
      <c r="G170" s="549">
        <f t="shared" si="16"/>
        <v>344</v>
      </c>
    </row>
    <row r="171" spans="1:7" ht="27.75">
      <c r="A171" s="1381" t="s">
        <v>112</v>
      </c>
      <c r="B171" s="1381"/>
      <c r="C171" s="1381"/>
      <c r="D171" s="599" t="s">
        <v>198</v>
      </c>
      <c r="E171" s="1148">
        <f>'7'!F171</f>
        <v>57850</v>
      </c>
      <c r="F171" s="590">
        <f t="shared" si="17"/>
        <v>58134</v>
      </c>
      <c r="G171" s="549">
        <f t="shared" si="16"/>
        <v>284</v>
      </c>
    </row>
    <row r="176" spans="1:7" ht="18.75" customHeight="1"/>
    <row r="184" ht="20.25" customHeight="1"/>
    <row r="185" ht="20.25" customHeight="1"/>
  </sheetData>
  <mergeCells count="75"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01:C101"/>
    <mergeCell ref="A122:C122"/>
    <mergeCell ref="A141:B141"/>
    <mergeCell ref="A152:C152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0:C170"/>
    <mergeCell ref="A171:C171"/>
    <mergeCell ref="A157:G157"/>
    <mergeCell ref="A166:C166"/>
    <mergeCell ref="A167:C167"/>
    <mergeCell ref="A168:C168"/>
    <mergeCell ref="A169:C169"/>
  </mergeCells>
  <pageMargins left="0.22" right="0.17" top="0.14000000000000001" bottom="0.2" header="0.2" footer="0.2"/>
  <pageSetup paperSize="5" scale="2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0"/>
  <sheetViews>
    <sheetView view="pageBreakPreview" zoomScale="55" zoomScaleNormal="80" zoomScaleSheetLayoutView="55" workbookViewId="0">
      <selection activeCell="F28" sqref="F28"/>
    </sheetView>
  </sheetViews>
  <sheetFormatPr defaultColWidth="22.33203125" defaultRowHeight="29.25"/>
  <cols>
    <col min="1" max="1" width="42.88671875" style="530" customWidth="1"/>
    <col min="2" max="2" width="31.777343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407" customWidth="1"/>
    <col min="15" max="16384" width="22.33203125" style="407"/>
  </cols>
  <sheetData>
    <row r="1" spans="1:14" ht="33.75">
      <c r="A1" s="1414" t="s">
        <v>128</v>
      </c>
      <c r="B1" s="1415"/>
      <c r="C1" s="1415"/>
      <c r="D1" s="1415"/>
      <c r="E1" s="1415"/>
      <c r="F1" s="1415"/>
      <c r="G1" s="1415"/>
      <c r="H1" s="1415"/>
      <c r="I1" s="1415"/>
      <c r="J1" s="1416"/>
    </row>
    <row r="2" spans="1:14" s="281" customFormat="1" ht="27">
      <c r="A2" s="652" t="s">
        <v>341</v>
      </c>
      <c r="B2" s="1118">
        <v>44236</v>
      </c>
      <c r="C2" s="1233" t="s">
        <v>69</v>
      </c>
      <c r="D2" s="688">
        <v>0.65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  <c r="N2" s="281" t="s">
        <v>129</v>
      </c>
    </row>
    <row r="3" spans="1:14" s="281" customFormat="1" ht="27">
      <c r="A3" s="647"/>
      <c r="B3" s="691"/>
      <c r="C3" s="1233" t="s">
        <v>131</v>
      </c>
      <c r="D3" s="689">
        <v>25</v>
      </c>
      <c r="E3" s="1423" t="s">
        <v>132</v>
      </c>
      <c r="F3" s="1424"/>
      <c r="G3" s="538"/>
      <c r="H3" s="539"/>
      <c r="I3" s="539"/>
      <c r="J3" s="692"/>
      <c r="K3" s="402"/>
      <c r="L3" s="293"/>
    </row>
    <row r="4" spans="1:14" s="281" customFormat="1" ht="27">
      <c r="A4" s="653"/>
      <c r="B4" s="693"/>
      <c r="C4" s="1233" t="s">
        <v>133</v>
      </c>
      <c r="D4" s="688">
        <v>0.77</v>
      </c>
      <c r="E4" s="540"/>
      <c r="F4" s="540"/>
      <c r="G4" s="540"/>
      <c r="H4" s="540"/>
      <c r="I4" s="541"/>
      <c r="J4" s="692"/>
      <c r="K4" s="403"/>
      <c r="L4" s="293"/>
    </row>
    <row r="5" spans="1:14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  <c r="N5" s="407" t="s">
        <v>137</v>
      </c>
    </row>
    <row r="6" spans="1:14">
      <c r="A6" s="1417" t="s">
        <v>141</v>
      </c>
      <c r="B6" s="1418"/>
      <c r="C6" s="1419"/>
      <c r="D6" s="547"/>
      <c r="E6" s="547"/>
      <c r="F6" s="547"/>
      <c r="G6" s="547"/>
      <c r="H6" s="548"/>
      <c r="I6" s="548"/>
      <c r="J6" s="628"/>
      <c r="K6" s="466"/>
      <c r="L6" s="408"/>
    </row>
    <row r="7" spans="1:14" ht="30" thickBot="1">
      <c r="A7" s="757" t="s">
        <v>142</v>
      </c>
      <c r="B7" s="758"/>
      <c r="C7" s="758"/>
      <c r="D7" s="715" t="s">
        <v>143</v>
      </c>
      <c r="E7" s="710">
        <f>'8'!F7</f>
        <v>4035852</v>
      </c>
      <c r="F7" s="531">
        <v>4054249</v>
      </c>
      <c r="G7" s="759">
        <f>F7-E7</f>
        <v>18397</v>
      </c>
      <c r="H7" s="760">
        <f>G7+'8'!H7</f>
        <v>166051</v>
      </c>
      <c r="I7" s="761">
        <f>'1'!I7</f>
        <v>12000</v>
      </c>
      <c r="J7" s="762">
        <f>H7/DAY(B2)</f>
        <v>18450.111111111109</v>
      </c>
      <c r="K7" s="626"/>
      <c r="L7" s="408"/>
      <c r="N7" s="413">
        <v>11359</v>
      </c>
    </row>
    <row r="8" spans="1:14" ht="27.75" thickBot="1">
      <c r="A8" s="763" t="s">
        <v>144</v>
      </c>
      <c r="B8" s="764"/>
      <c r="C8" s="765"/>
      <c r="D8" s="766" t="s">
        <v>25</v>
      </c>
      <c r="E8" s="710">
        <f>'8'!F8</f>
        <v>4061912</v>
      </c>
      <c r="F8" s="551">
        <v>4080365</v>
      </c>
      <c r="G8" s="770">
        <f>F8-E8</f>
        <v>18453</v>
      </c>
      <c r="H8" s="760">
        <f>G8+'8'!H8</f>
        <v>167514</v>
      </c>
      <c r="I8" s="767">
        <v>12000</v>
      </c>
      <c r="J8" s="762">
        <f>H8/DAY(B2)</f>
        <v>18612.666666666668</v>
      </c>
      <c r="K8" s="626"/>
      <c r="L8" s="464"/>
      <c r="M8" s="479"/>
      <c r="N8" s="413">
        <v>11487</v>
      </c>
    </row>
    <row r="9" spans="1:14">
      <c r="A9" s="768" t="s">
        <v>145</v>
      </c>
      <c r="B9" s="769"/>
      <c r="C9" s="769"/>
      <c r="D9" s="715" t="s">
        <v>143</v>
      </c>
      <c r="E9" s="710">
        <f>'8'!F9</f>
        <v>5485</v>
      </c>
      <c r="F9" s="554">
        <v>18605</v>
      </c>
      <c r="G9" s="783">
        <f t="shared" ref="G9:G12" si="0">F9-E9</f>
        <v>13120</v>
      </c>
      <c r="H9" s="760">
        <f>G9+'8'!H9</f>
        <v>55717.25</v>
      </c>
      <c r="I9" s="771">
        <f>I7-J7</f>
        <v>-6450.1111111111095</v>
      </c>
      <c r="J9" s="762">
        <f>H9/DAY(B2)</f>
        <v>6190.8055555555557</v>
      </c>
      <c r="K9" s="467"/>
      <c r="L9" s="408"/>
      <c r="N9" s="413">
        <v>11077</v>
      </c>
    </row>
    <row r="10" spans="1:14">
      <c r="A10" s="757" t="s">
        <v>146</v>
      </c>
      <c r="B10" s="758"/>
      <c r="C10" s="758"/>
      <c r="D10" s="715" t="s">
        <v>143</v>
      </c>
      <c r="E10" s="710">
        <f>'8'!F10</f>
        <v>1299346</v>
      </c>
      <c r="F10" s="554">
        <v>1304083</v>
      </c>
      <c r="G10" s="770">
        <f t="shared" si="0"/>
        <v>4737</v>
      </c>
      <c r="H10" s="760">
        <f>G10+'8'!H10</f>
        <v>103208.60000000009</v>
      </c>
      <c r="I10" s="772"/>
      <c r="J10" s="762">
        <f>H10/DAY(B2)</f>
        <v>11467.622222222233</v>
      </c>
      <c r="K10" s="467"/>
      <c r="L10" s="408"/>
      <c r="N10" s="413">
        <v>0</v>
      </c>
    </row>
    <row r="11" spans="1:14">
      <c r="A11" s="757" t="s">
        <v>147</v>
      </c>
      <c r="B11" s="758"/>
      <c r="C11" s="758"/>
      <c r="D11" s="715" t="s">
        <v>143</v>
      </c>
      <c r="E11" s="710">
        <f>'8'!F11</f>
        <v>37000</v>
      </c>
      <c r="F11" s="531">
        <v>37000</v>
      </c>
      <c r="G11" s="770">
        <f t="shared" si="0"/>
        <v>0</v>
      </c>
      <c r="H11" s="760">
        <f>G11+'8'!H11</f>
        <v>1610</v>
      </c>
      <c r="I11" s="772"/>
      <c r="J11" s="762">
        <f>H11/DAY(B2)</f>
        <v>178.88888888888889</v>
      </c>
      <c r="K11" s="467"/>
      <c r="L11" s="408"/>
      <c r="N11" s="413">
        <v>0</v>
      </c>
    </row>
    <row r="12" spans="1:14">
      <c r="A12" s="757" t="s">
        <v>148</v>
      </c>
      <c r="B12" s="758"/>
      <c r="C12" s="758"/>
      <c r="D12" s="715" t="s">
        <v>143</v>
      </c>
      <c r="E12" s="710">
        <f>'8'!F12</f>
        <v>40010</v>
      </c>
      <c r="F12" s="554">
        <v>40010</v>
      </c>
      <c r="G12" s="770">
        <f t="shared" si="0"/>
        <v>0</v>
      </c>
      <c r="H12" s="760">
        <f>G12+'8'!H12</f>
        <v>2380</v>
      </c>
      <c r="I12" s="772"/>
      <c r="J12" s="762">
        <f>H12/DAY(B2)</f>
        <v>264.44444444444446</v>
      </c>
      <c r="K12" s="467"/>
      <c r="L12" s="408"/>
      <c r="N12" s="413">
        <v>0</v>
      </c>
    </row>
    <row r="13" spans="1:14">
      <c r="A13" s="773" t="s">
        <v>149</v>
      </c>
      <c r="B13" s="774"/>
      <c r="C13" s="774"/>
      <c r="D13" s="715"/>
      <c r="E13" s="710"/>
      <c r="F13" s="531"/>
      <c r="G13" s="775">
        <f>G9+G10+G11+G12</f>
        <v>17857</v>
      </c>
      <c r="H13" s="760">
        <f>G13+'8'!H13</f>
        <v>162915.85000000009</v>
      </c>
      <c r="I13" s="776">
        <f>G7-G13</f>
        <v>540</v>
      </c>
      <c r="J13" s="762">
        <f>H13/DAY(B2)</f>
        <v>18101.761111111122</v>
      </c>
      <c r="K13" s="467"/>
      <c r="L13" s="408"/>
      <c r="N13" s="413">
        <v>11077</v>
      </c>
    </row>
    <row r="14" spans="1:14">
      <c r="A14" s="1420" t="s">
        <v>150</v>
      </c>
      <c r="B14" s="1421"/>
      <c r="C14" s="1422"/>
      <c r="D14" s="548"/>
      <c r="E14" s="548"/>
      <c r="F14" s="548"/>
      <c r="G14" s="559"/>
      <c r="H14" s="548"/>
      <c r="I14" s="548"/>
      <c r="J14" s="628"/>
      <c r="K14" s="468"/>
      <c r="L14" s="408"/>
      <c r="N14" s="413"/>
    </row>
    <row r="15" spans="1:14">
      <c r="A15" s="1269" t="s">
        <v>151</v>
      </c>
      <c r="B15" s="1270"/>
      <c r="C15" s="1270"/>
      <c r="D15" s="1271" t="s">
        <v>152</v>
      </c>
      <c r="E15" s="781">
        <f>'8'!F15</f>
        <v>1601017.73</v>
      </c>
      <c r="F15" s="781">
        <v>1601654.78</v>
      </c>
      <c r="G15" s="759">
        <f>(F15-E15)</f>
        <v>637.05000000004657</v>
      </c>
      <c r="H15" s="1264">
        <f>G15+'8'!H15</f>
        <v>7217.6300000001211</v>
      </c>
      <c r="I15" s="1265">
        <v>800</v>
      </c>
      <c r="J15" s="1266">
        <f>H15/DAY(B2)</f>
        <v>801.95888888890238</v>
      </c>
      <c r="K15" s="1258"/>
      <c r="L15" s="1259"/>
      <c r="M15" s="1260"/>
      <c r="N15" s="1261">
        <v>330.54600000008941</v>
      </c>
    </row>
    <row r="16" spans="1:14">
      <c r="A16" s="1262"/>
      <c r="B16" s="1263"/>
      <c r="C16" s="1263"/>
      <c r="D16" s="1256"/>
      <c r="E16" s="1257"/>
      <c r="F16" s="1257"/>
      <c r="G16" s="1267"/>
      <c r="H16" s="1264"/>
      <c r="I16" s="1268">
        <f>I15-J15</f>
        <v>-1.9588888889023792</v>
      </c>
      <c r="J16" s="1266"/>
      <c r="K16" s="1258"/>
      <c r="L16" s="1259"/>
      <c r="M16" s="1260"/>
      <c r="N16" s="1261"/>
    </row>
    <row r="17" spans="1:14">
      <c r="A17" s="1420" t="s">
        <v>153</v>
      </c>
      <c r="B17" s="1421"/>
      <c r="C17" s="1422"/>
      <c r="D17" s="548"/>
      <c r="E17" s="548"/>
      <c r="F17" s="548"/>
      <c r="G17" s="564"/>
      <c r="H17" s="548"/>
      <c r="I17" s="548"/>
      <c r="J17" s="628"/>
      <c r="K17" s="467"/>
      <c r="L17" s="408"/>
      <c r="N17" s="413"/>
    </row>
    <row r="18" spans="1:14" ht="27.75">
      <c r="A18" s="1446" t="s">
        <v>154</v>
      </c>
      <c r="B18" s="1447"/>
      <c r="C18" s="1448"/>
      <c r="D18" s="715" t="s">
        <v>155</v>
      </c>
      <c r="E18" s="712">
        <f>'8'!F18</f>
        <v>16</v>
      </c>
      <c r="F18" s="554">
        <v>14</v>
      </c>
      <c r="G18" s="775">
        <f>F18*10</f>
        <v>140</v>
      </c>
      <c r="H18" s="760">
        <f>G18+'8'!H18</f>
        <v>1270</v>
      </c>
      <c r="I18" s="761">
        <v>65</v>
      </c>
      <c r="J18" s="762">
        <f>H18/DAY(B2)</f>
        <v>141.11111111111111</v>
      </c>
      <c r="K18" s="467"/>
      <c r="L18" s="408"/>
      <c r="N18" s="413">
        <v>0</v>
      </c>
    </row>
    <row r="19" spans="1:14" ht="27.75">
      <c r="A19" s="1446" t="s">
        <v>71</v>
      </c>
      <c r="B19" s="1447"/>
      <c r="C19" s="1448"/>
      <c r="D19" s="715" t="s">
        <v>155</v>
      </c>
      <c r="E19" s="712">
        <f>'8'!F19</f>
        <v>133446</v>
      </c>
      <c r="F19" s="554">
        <v>133498</v>
      </c>
      <c r="G19" s="770">
        <f t="shared" ref="G19" si="1">F19-E19</f>
        <v>52</v>
      </c>
      <c r="H19" s="760">
        <f>G19+'8'!H19</f>
        <v>450</v>
      </c>
      <c r="I19" s="777"/>
      <c r="J19" s="762">
        <f>H19/DAY(B2)</f>
        <v>50</v>
      </c>
      <c r="K19" s="467"/>
      <c r="L19" s="408"/>
      <c r="N19" s="413">
        <v>55</v>
      </c>
    </row>
    <row r="20" spans="1:14">
      <c r="A20" s="773" t="s">
        <v>156</v>
      </c>
      <c r="B20" s="774"/>
      <c r="C20" s="774"/>
      <c r="D20" s="715"/>
      <c r="E20" s="715"/>
      <c r="F20" s="600"/>
      <c r="G20" s="778">
        <f>G18+G19</f>
        <v>192</v>
      </c>
      <c r="H20" s="760">
        <f>G20+'8'!H20</f>
        <v>1720</v>
      </c>
      <c r="I20" s="779">
        <f>I18-J20</f>
        <v>-126.11111111111111</v>
      </c>
      <c r="J20" s="762">
        <f>H20/DAY(B2)</f>
        <v>191.11111111111111</v>
      </c>
      <c r="K20" s="467"/>
      <c r="L20" s="408"/>
      <c r="N20" s="413">
        <v>55</v>
      </c>
    </row>
    <row r="21" spans="1:14">
      <c r="A21" s="1420" t="s">
        <v>157</v>
      </c>
      <c r="B21" s="1421"/>
      <c r="C21" s="1422"/>
      <c r="D21" s="548"/>
      <c r="E21" s="548"/>
      <c r="F21" s="548"/>
      <c r="G21" s="559"/>
      <c r="H21" s="548"/>
      <c r="I21" s="548"/>
      <c r="J21" s="628"/>
      <c r="K21" s="467"/>
      <c r="L21" s="408"/>
      <c r="N21" s="413"/>
    </row>
    <row r="22" spans="1:14">
      <c r="A22" s="1231" t="s">
        <v>158</v>
      </c>
      <c r="B22" s="666"/>
      <c r="C22" s="666"/>
      <c r="D22" s="599" t="s">
        <v>159</v>
      </c>
      <c r="E22" s="712">
        <f>'8'!F22</f>
        <v>1500</v>
      </c>
      <c r="F22" s="554">
        <v>1500</v>
      </c>
      <c r="G22" s="557">
        <f t="shared" ref="G22" si="2">(F22-E22)</f>
        <v>0</v>
      </c>
      <c r="H22" s="536">
        <f>G22+'8'!H22</f>
        <v>750</v>
      </c>
      <c r="I22" s="556"/>
      <c r="J22" s="629">
        <f>H22/DAY(B2)</f>
        <v>83.333333333333329</v>
      </c>
      <c r="K22" s="467"/>
      <c r="L22" s="408"/>
      <c r="N22" s="413">
        <v>0</v>
      </c>
    </row>
    <row r="23" spans="1:14">
      <c r="A23" s="1231" t="s">
        <v>160</v>
      </c>
      <c r="B23" s="666"/>
      <c r="C23" s="666"/>
      <c r="D23" s="599" t="s">
        <v>159</v>
      </c>
      <c r="E23" s="712">
        <f>'8'!F23</f>
        <v>400</v>
      </c>
      <c r="F23" s="554">
        <v>400</v>
      </c>
      <c r="G23" s="557">
        <v>0</v>
      </c>
      <c r="H23" s="536">
        <f>G23+'8'!H23</f>
        <v>1600</v>
      </c>
      <c r="I23" s="556"/>
      <c r="J23" s="629">
        <f>H23/DAY(B2)</f>
        <v>177.77777777777777</v>
      </c>
      <c r="K23" s="467"/>
      <c r="L23" s="408"/>
      <c r="N23" s="413">
        <v>0</v>
      </c>
    </row>
    <row r="24" spans="1:14">
      <c r="A24" s="667" t="s">
        <v>161</v>
      </c>
      <c r="B24" s="668"/>
      <c r="C24" s="668"/>
      <c r="D24" s="587" t="s">
        <v>159</v>
      </c>
      <c r="E24" s="569">
        <v>1900</v>
      </c>
      <c r="F24" s="561">
        <v>1900</v>
      </c>
      <c r="G24" s="557">
        <v>0</v>
      </c>
      <c r="H24" s="536">
        <f>G24+'8'!H24</f>
        <v>2350</v>
      </c>
      <c r="I24" s="556"/>
      <c r="J24" s="629">
        <f>H24/DAY(B2)</f>
        <v>261.11111111111109</v>
      </c>
      <c r="K24" s="467"/>
      <c r="L24" s="408"/>
      <c r="N24" s="413">
        <v>0</v>
      </c>
    </row>
    <row r="25" spans="1:14" s="481" customFormat="1" ht="27">
      <c r="A25" s="1425" t="s">
        <v>162</v>
      </c>
      <c r="B25" s="1426"/>
      <c r="C25" s="1427"/>
      <c r="D25" s="547"/>
      <c r="E25" s="547"/>
      <c r="F25" s="547"/>
      <c r="G25" s="570"/>
      <c r="H25" s="571"/>
      <c r="I25" s="572"/>
      <c r="J25" s="631"/>
      <c r="K25" s="404"/>
      <c r="L25" s="484"/>
      <c r="N25" s="413"/>
    </row>
    <row r="26" spans="1:14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413"/>
    </row>
    <row r="27" spans="1:14" s="481" customFormat="1" ht="27.75">
      <c r="A27" s="669" t="s">
        <v>6</v>
      </c>
      <c r="B27" s="670"/>
      <c r="C27" s="671"/>
      <c r="D27" s="696" t="s">
        <v>25</v>
      </c>
      <c r="E27" s="780">
        <f>G8</f>
        <v>18453</v>
      </c>
      <c r="F27" s="577">
        <v>9</v>
      </c>
      <c r="G27" s="578">
        <f>E27*F27</f>
        <v>166077</v>
      </c>
      <c r="H27" s="536">
        <f>G27+'8'!H27</f>
        <v>1507626</v>
      </c>
      <c r="I27" s="579"/>
      <c r="J27" s="629">
        <f>H27/DAY(B2)</f>
        <v>167514</v>
      </c>
      <c r="K27" s="404"/>
      <c r="L27" s="484"/>
      <c r="N27" s="413">
        <v>114870</v>
      </c>
    </row>
    <row r="28" spans="1:14" s="481" customFormat="1" ht="27.75">
      <c r="A28" s="669" t="s">
        <v>165</v>
      </c>
      <c r="B28" s="670"/>
      <c r="C28" s="671"/>
      <c r="D28" s="696" t="s">
        <v>166</v>
      </c>
      <c r="E28" s="780">
        <f>G15</f>
        <v>637.05000000004657</v>
      </c>
      <c r="F28" s="577">
        <v>43.5</v>
      </c>
      <c r="G28" s="578">
        <f>E28*F28</f>
        <v>27711.675000002026</v>
      </c>
      <c r="H28" s="536">
        <f>G28+'8'!H28</f>
        <v>313966.90500000527</v>
      </c>
      <c r="I28" s="581"/>
      <c r="J28" s="629">
        <f>H28/DAY(B2)</f>
        <v>34885.211666667252</v>
      </c>
      <c r="K28" s="404"/>
      <c r="L28" s="484"/>
      <c r="N28" s="413">
        <v>11569.110000003129</v>
      </c>
    </row>
    <row r="29" spans="1:14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G29+'8'!H29</f>
        <v>162150</v>
      </c>
      <c r="I29" s="581"/>
      <c r="J29" s="629">
        <f>H29/DAY(B2)</f>
        <v>18016.666666666668</v>
      </c>
      <c r="K29" s="404"/>
      <c r="L29" s="484"/>
      <c r="N29" s="413">
        <v>0</v>
      </c>
    </row>
    <row r="30" spans="1:14" s="481" customFormat="1" ht="27.75">
      <c r="A30" s="669" t="s">
        <v>169</v>
      </c>
      <c r="B30" s="670"/>
      <c r="C30" s="671"/>
      <c r="D30" s="696" t="s">
        <v>170</v>
      </c>
      <c r="E30" s="780">
        <f>G19</f>
        <v>52</v>
      </c>
      <c r="F30" s="577">
        <v>134</v>
      </c>
      <c r="G30" s="578">
        <f>E30*F30</f>
        <v>6968</v>
      </c>
      <c r="H30" s="536">
        <f>G30+'8'!H30</f>
        <v>60300</v>
      </c>
      <c r="I30" s="581"/>
      <c r="J30" s="629">
        <f>H30/DAY(B2)</f>
        <v>6700</v>
      </c>
      <c r="K30" s="404"/>
      <c r="L30" s="484"/>
      <c r="N30" s="413">
        <v>7370</v>
      </c>
    </row>
    <row r="31" spans="1:14" s="481" customFormat="1" ht="27.75">
      <c r="A31" s="669" t="s">
        <v>171</v>
      </c>
      <c r="B31" s="670"/>
      <c r="C31" s="671"/>
      <c r="D31" s="696" t="s">
        <v>155</v>
      </c>
      <c r="E31" s="780">
        <f>G18</f>
        <v>140</v>
      </c>
      <c r="F31" s="577">
        <v>80</v>
      </c>
      <c r="G31" s="578">
        <f>E31*F31</f>
        <v>11200</v>
      </c>
      <c r="H31" s="536">
        <f>G31+'8'!H31</f>
        <v>101600</v>
      </c>
      <c r="I31" s="581"/>
      <c r="J31" s="629">
        <f>H31/DAY(B2)</f>
        <v>11288.888888888889</v>
      </c>
      <c r="K31" s="404"/>
      <c r="L31" s="484"/>
      <c r="N31" s="413">
        <v>0</v>
      </c>
    </row>
    <row r="32" spans="1:14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211956.67500000203</v>
      </c>
      <c r="H32" s="536">
        <f>G32+'8'!H32</f>
        <v>2145642.9050000054</v>
      </c>
      <c r="I32" s="585"/>
      <c r="J32" s="629">
        <f>H32/DAY(B2)</f>
        <v>238404.76722222281</v>
      </c>
      <c r="K32" s="404"/>
      <c r="L32" s="484"/>
      <c r="N32" s="413">
        <v>133809.11000000313</v>
      </c>
    </row>
    <row r="33" spans="1:14" ht="25.5">
      <c r="A33" s="1428" t="s">
        <v>173</v>
      </c>
      <c r="B33" s="1429"/>
      <c r="C33" s="1429"/>
      <c r="D33" s="1429"/>
      <c r="E33" s="1429"/>
      <c r="F33" s="1429"/>
      <c r="G33" s="1429"/>
      <c r="H33" s="1429"/>
      <c r="I33" s="1429"/>
      <c r="J33" s="1430"/>
      <c r="K33" s="467"/>
      <c r="L33" s="408"/>
      <c r="N33" s="413"/>
    </row>
    <row r="34" spans="1:14">
      <c r="A34" s="675" t="s">
        <v>174</v>
      </c>
      <c r="B34" s="1236"/>
      <c r="C34" s="1236"/>
      <c r="D34" s="548"/>
      <c r="E34" s="547"/>
      <c r="F34" s="547"/>
      <c r="G34" s="548"/>
      <c r="H34" s="548"/>
      <c r="I34" s="548"/>
      <c r="J34" s="628"/>
      <c r="K34" s="467"/>
      <c r="L34" s="408"/>
      <c r="N34" s="413"/>
    </row>
    <row r="35" spans="1:14">
      <c r="A35" s="655" t="s">
        <v>175</v>
      </c>
      <c r="B35" s="656"/>
      <c r="C35" s="656"/>
      <c r="D35" s="599" t="s">
        <v>143</v>
      </c>
      <c r="E35" s="586">
        <f>'8'!F35</f>
        <v>635753.91</v>
      </c>
      <c r="F35" s="586">
        <v>638267.82999999996</v>
      </c>
      <c r="G35" s="549">
        <f t="shared" ref="G35:G46" si="3">F35-E35</f>
        <v>2513.9199999999255</v>
      </c>
      <c r="H35" s="536">
        <f>G35+'8'!H35</f>
        <v>9240.1599999999162</v>
      </c>
      <c r="I35" s="531"/>
      <c r="J35" s="629">
        <f>H35/DAY(B2)</f>
        <v>1026.684444444435</v>
      </c>
      <c r="K35" s="467"/>
      <c r="L35" s="408"/>
      <c r="N35" s="413">
        <v>1380.8400000000256</v>
      </c>
    </row>
    <row r="36" spans="1:14">
      <c r="A36" s="655" t="s">
        <v>176</v>
      </c>
      <c r="B36" s="656"/>
      <c r="C36" s="656"/>
      <c r="D36" s="599" t="s">
        <v>143</v>
      </c>
      <c r="E36" s="586">
        <f>'8'!F36</f>
        <v>281545.40999999997</v>
      </c>
      <c r="F36" s="586">
        <v>282190.81</v>
      </c>
      <c r="G36" s="549">
        <f t="shared" si="3"/>
        <v>645.40000000002328</v>
      </c>
      <c r="H36" s="536">
        <f>G36+'8'!H36</f>
        <v>5699.359999999986</v>
      </c>
      <c r="I36" s="531"/>
      <c r="J36" s="629">
        <f>H36/DAY(B2)</f>
        <v>633.26222222222066</v>
      </c>
      <c r="K36" s="467"/>
      <c r="L36" s="408"/>
      <c r="N36" s="705">
        <v>514.63999999999942</v>
      </c>
    </row>
    <row r="37" spans="1:14">
      <c r="A37" s="655" t="s">
        <v>177</v>
      </c>
      <c r="B37" s="656"/>
      <c r="C37" s="656"/>
      <c r="D37" s="599" t="s">
        <v>143</v>
      </c>
      <c r="E37" s="586">
        <f>'8'!F37</f>
        <v>2139.27</v>
      </c>
      <c r="F37" s="586">
        <v>3572.52</v>
      </c>
      <c r="G37" s="549">
        <f t="shared" si="3"/>
        <v>1433.25</v>
      </c>
      <c r="H37" s="536">
        <f>G37+'8'!H37</f>
        <v>3572.52</v>
      </c>
      <c r="I37" s="531"/>
      <c r="J37" s="629">
        <f>H37/DAY(B2)</f>
        <v>396.94666666666666</v>
      </c>
      <c r="K37" s="467"/>
      <c r="L37" s="408"/>
      <c r="N37" s="706">
        <v>1164.4599999999919</v>
      </c>
    </row>
    <row r="38" spans="1:14">
      <c r="A38" s="655" t="s">
        <v>178</v>
      </c>
      <c r="B38" s="656"/>
      <c r="C38" s="656"/>
      <c r="D38" s="599" t="s">
        <v>143</v>
      </c>
      <c r="E38" s="586">
        <f>'8'!F38</f>
        <v>2123.92</v>
      </c>
      <c r="F38" s="545">
        <v>4020.46</v>
      </c>
      <c r="G38" s="549">
        <f t="shared" si="3"/>
        <v>1896.54</v>
      </c>
      <c r="H38" s="536">
        <f>G38+'8'!H38</f>
        <v>3922.58</v>
      </c>
      <c r="I38" s="531"/>
      <c r="J38" s="629">
        <f>H38/DAY(B2)</f>
        <v>435.84222222222223</v>
      </c>
      <c r="K38" s="467"/>
      <c r="L38" s="408"/>
      <c r="N38" s="413">
        <v>0</v>
      </c>
    </row>
    <row r="39" spans="1:14">
      <c r="A39" s="655" t="s">
        <v>179</v>
      </c>
      <c r="B39" s="656"/>
      <c r="C39" s="656"/>
      <c r="D39" s="599" t="s">
        <v>143</v>
      </c>
      <c r="E39" s="586">
        <f>'8'!F39</f>
        <v>5850.78</v>
      </c>
      <c r="F39" s="586">
        <v>9967</v>
      </c>
      <c r="G39" s="549">
        <f t="shared" si="3"/>
        <v>4116.22</v>
      </c>
      <c r="H39" s="536">
        <f>G39+'8'!H39</f>
        <v>9967</v>
      </c>
      <c r="I39" s="531"/>
      <c r="J39" s="629">
        <f>H39/DAY(B2)</f>
        <v>1107.4444444444443</v>
      </c>
      <c r="K39" s="467"/>
      <c r="L39" s="408"/>
      <c r="N39" s="413">
        <v>1951.1300000000047</v>
      </c>
    </row>
    <row r="40" spans="1:14">
      <c r="A40" s="676" t="s">
        <v>180</v>
      </c>
      <c r="B40" s="677"/>
      <c r="C40" s="677"/>
      <c r="D40" s="599" t="s">
        <v>143</v>
      </c>
      <c r="E40" s="586">
        <v>0.23</v>
      </c>
      <c r="F40" s="586">
        <v>0.23</v>
      </c>
      <c r="G40" s="549">
        <f t="shared" si="3"/>
        <v>0</v>
      </c>
      <c r="H40" s="536">
        <f>G40+'8'!H40</f>
        <v>0</v>
      </c>
      <c r="I40" s="531"/>
      <c r="J40" s="629">
        <f>H40/DAY(B2)</f>
        <v>0</v>
      </c>
      <c r="K40" s="468"/>
      <c r="L40" s="408"/>
      <c r="N40" s="413">
        <v>0</v>
      </c>
    </row>
    <row r="41" spans="1:14">
      <c r="A41" s="655" t="s">
        <v>181</v>
      </c>
      <c r="B41" s="656"/>
      <c r="C41" s="656"/>
      <c r="D41" s="599" t="s">
        <v>143</v>
      </c>
      <c r="E41" s="586">
        <f>'8'!F41</f>
        <v>59259.87</v>
      </c>
      <c r="F41" s="586">
        <v>59259.87</v>
      </c>
      <c r="G41" s="549">
        <f t="shared" si="3"/>
        <v>0</v>
      </c>
      <c r="H41" s="536">
        <f>G41+'8'!H41</f>
        <v>14637.350000000006</v>
      </c>
      <c r="I41" s="531"/>
      <c r="J41" s="629">
        <f>H41/DAY(B2)</f>
        <v>1626.3722222222229</v>
      </c>
      <c r="K41" s="467"/>
      <c r="L41" s="408"/>
      <c r="N41" s="413">
        <v>2876.3199999999779</v>
      </c>
    </row>
    <row r="42" spans="1:14">
      <c r="A42" s="655" t="s">
        <v>182</v>
      </c>
      <c r="B42" s="656"/>
      <c r="C42" s="656"/>
      <c r="D42" s="599" t="s">
        <v>143</v>
      </c>
      <c r="E42" s="586">
        <f>'8'!F42</f>
        <v>58926</v>
      </c>
      <c r="F42" s="586">
        <v>58926</v>
      </c>
      <c r="G42" s="549">
        <f t="shared" si="3"/>
        <v>0</v>
      </c>
      <c r="H42" s="536">
        <f>G42+'8'!H42</f>
        <v>0</v>
      </c>
      <c r="I42" s="531"/>
      <c r="J42" s="629">
        <f>H42/DAY(B2)</f>
        <v>0</v>
      </c>
      <c r="K42" s="467"/>
      <c r="L42" s="408"/>
      <c r="N42" s="413">
        <v>0</v>
      </c>
    </row>
    <row r="43" spans="1:14">
      <c r="A43" s="655" t="s">
        <v>183</v>
      </c>
      <c r="B43" s="656"/>
      <c r="C43" s="656"/>
      <c r="D43" s="599" t="s">
        <v>143</v>
      </c>
      <c r="E43" s="586">
        <f>'8'!F43</f>
        <v>778383.67</v>
      </c>
      <c r="F43" s="586">
        <v>780923</v>
      </c>
      <c r="G43" s="549">
        <f t="shared" si="3"/>
        <v>2539.3299999999581</v>
      </c>
      <c r="H43" s="536">
        <f>G43+'8'!H43</f>
        <v>13111.089999999967</v>
      </c>
      <c r="I43" s="531"/>
      <c r="J43" s="629">
        <f>H43/DAY(B2)</f>
        <v>1456.7877777777742</v>
      </c>
      <c r="K43" s="467"/>
      <c r="L43" s="408"/>
      <c r="N43" s="413">
        <v>1531.2399999999907</v>
      </c>
    </row>
    <row r="44" spans="1:14">
      <c r="A44" s="655" t="s">
        <v>184</v>
      </c>
      <c r="B44" s="656"/>
      <c r="C44" s="656"/>
      <c r="D44" s="599" t="s">
        <v>143</v>
      </c>
      <c r="E44" s="586">
        <f>'8'!F44</f>
        <v>0</v>
      </c>
      <c r="F44" s="586">
        <v>0</v>
      </c>
      <c r="G44" s="549">
        <f t="shared" si="3"/>
        <v>0</v>
      </c>
      <c r="H44" s="536">
        <f>G44+'8'!H44</f>
        <v>0</v>
      </c>
      <c r="I44" s="531"/>
      <c r="J44" s="629">
        <f>H44/DAY(B2)</f>
        <v>0</v>
      </c>
      <c r="K44" s="467"/>
      <c r="L44" s="408"/>
      <c r="N44" s="413">
        <v>0</v>
      </c>
    </row>
    <row r="45" spans="1:14">
      <c r="A45" s="655" t="s">
        <v>185</v>
      </c>
      <c r="B45" s="656"/>
      <c r="C45" s="656"/>
      <c r="D45" s="599" t="s">
        <v>143</v>
      </c>
      <c r="E45" s="586">
        <f>'8'!F45</f>
        <v>614</v>
      </c>
      <c r="F45" s="586">
        <v>614</v>
      </c>
      <c r="G45" s="549">
        <f t="shared" si="3"/>
        <v>0</v>
      </c>
      <c r="H45" s="536">
        <f>G45+'8'!H45</f>
        <v>-0.48000000000001819</v>
      </c>
      <c r="I45" s="531"/>
      <c r="J45" s="629">
        <f>H45/DAY(B2)</f>
        <v>-5.3333333333335356E-2</v>
      </c>
      <c r="K45" s="467"/>
      <c r="L45" s="408"/>
      <c r="N45" s="413">
        <v>0</v>
      </c>
    </row>
    <row r="46" spans="1:14">
      <c r="A46" s="655" t="s">
        <v>186</v>
      </c>
      <c r="B46" s="656"/>
      <c r="C46" s="656"/>
      <c r="D46" s="599" t="s">
        <v>143</v>
      </c>
      <c r="E46" s="586">
        <f>'8'!F46</f>
        <v>187</v>
      </c>
      <c r="F46" s="586">
        <v>187</v>
      </c>
      <c r="G46" s="549">
        <f t="shared" si="3"/>
        <v>0</v>
      </c>
      <c r="H46" s="536">
        <f>G46+'8'!H46</f>
        <v>-0.49000000000000909</v>
      </c>
      <c r="I46" s="531"/>
      <c r="J46" s="629">
        <f>H46/DAY(B2)</f>
        <v>-5.4444444444445454E-2</v>
      </c>
      <c r="K46" s="467"/>
      <c r="L46" s="408"/>
      <c r="N46" s="413">
        <v>0</v>
      </c>
    </row>
    <row r="47" spans="1:14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13144.659999999907</v>
      </c>
      <c r="H47" s="536">
        <f>G47+'8'!H47</f>
        <v>60149.08999999988</v>
      </c>
      <c r="I47" s="531"/>
      <c r="J47" s="629">
        <f>H47/DAY(B2)</f>
        <v>6683.2322222222092</v>
      </c>
      <c r="K47" s="467"/>
      <c r="L47" s="408"/>
      <c r="N47" s="413">
        <v>9418.6299999999901</v>
      </c>
    </row>
    <row r="48" spans="1:14">
      <c r="A48" s="675" t="s">
        <v>188</v>
      </c>
      <c r="B48" s="1236"/>
      <c r="C48" s="1236"/>
      <c r="D48" s="548"/>
      <c r="E48" s="547"/>
      <c r="F48" s="547"/>
      <c r="G48" s="548"/>
      <c r="H48" s="548"/>
      <c r="I48" s="548"/>
      <c r="J48" s="628"/>
      <c r="K48" s="467"/>
      <c r="L48" s="408"/>
      <c r="N48" s="413"/>
    </row>
    <row r="49" spans="1:14">
      <c r="A49" s="655" t="s">
        <v>175</v>
      </c>
      <c r="B49" s="678"/>
      <c r="C49" s="678"/>
      <c r="D49" s="599" t="s">
        <v>143</v>
      </c>
      <c r="E49" s="586">
        <f>'8'!F49</f>
        <v>260732</v>
      </c>
      <c r="F49" s="586">
        <v>260732</v>
      </c>
      <c r="G49" s="549">
        <f t="shared" ref="G49:G58" si="4">F49-E49</f>
        <v>0</v>
      </c>
      <c r="H49" s="536">
        <f>G49+'8'!H49</f>
        <v>14832.950000000012</v>
      </c>
      <c r="I49" s="531"/>
      <c r="J49" s="629">
        <f>H49/DAY(B2)</f>
        <v>1648.1055555555567</v>
      </c>
      <c r="K49" s="467"/>
      <c r="L49" s="408"/>
      <c r="N49" s="413">
        <v>0</v>
      </c>
    </row>
    <row r="50" spans="1:14">
      <c r="A50" s="655" t="s">
        <v>189</v>
      </c>
      <c r="B50" s="678"/>
      <c r="C50" s="678"/>
      <c r="D50" s="599" t="s">
        <v>143</v>
      </c>
      <c r="E50" s="586">
        <f>'8'!F50</f>
        <v>377921</v>
      </c>
      <c r="F50" s="586">
        <v>379094</v>
      </c>
      <c r="G50" s="549">
        <f t="shared" si="4"/>
        <v>1173</v>
      </c>
      <c r="H50" s="536">
        <f>G50+'8'!H50</f>
        <v>10476.690000000002</v>
      </c>
      <c r="I50" s="531"/>
      <c r="J50" s="629">
        <f>H50/DAY(B2)</f>
        <v>1164.0766666666668</v>
      </c>
      <c r="K50" s="467"/>
      <c r="L50" s="408"/>
      <c r="N50" s="413">
        <v>609.48999999999069</v>
      </c>
    </row>
    <row r="51" spans="1:14">
      <c r="A51" s="655" t="s">
        <v>177</v>
      </c>
      <c r="B51" s="678"/>
      <c r="C51" s="678"/>
      <c r="D51" s="599" t="s">
        <v>143</v>
      </c>
      <c r="E51" s="586">
        <f>'8'!F51</f>
        <v>120050.92</v>
      </c>
      <c r="F51" s="586">
        <v>120050.92</v>
      </c>
      <c r="G51" s="549">
        <f t="shared" si="4"/>
        <v>0</v>
      </c>
      <c r="H51" s="536">
        <f>G51+'8'!H51</f>
        <v>9951.179999999993</v>
      </c>
      <c r="I51" s="531"/>
      <c r="J51" s="629">
        <f>H51/DAY(B2)</f>
        <v>1105.6866666666658</v>
      </c>
      <c r="K51" s="467"/>
      <c r="L51" s="408"/>
      <c r="N51" s="413">
        <v>0</v>
      </c>
    </row>
    <row r="52" spans="1:14">
      <c r="A52" s="655" t="s">
        <v>190</v>
      </c>
      <c r="B52" s="678"/>
      <c r="C52" s="678"/>
      <c r="D52" s="599" t="s">
        <v>143</v>
      </c>
      <c r="E52" s="586">
        <f>'8'!F52</f>
        <v>507912.71</v>
      </c>
      <c r="F52" s="586">
        <v>507912.71</v>
      </c>
      <c r="G52" s="549">
        <f t="shared" si="4"/>
        <v>0</v>
      </c>
      <c r="H52" s="536">
        <f>G52+'8'!H52</f>
        <v>14104.040000000037</v>
      </c>
      <c r="I52" s="531"/>
      <c r="J52" s="629">
        <f>H52/DAY(B2)</f>
        <v>1567.1155555555597</v>
      </c>
      <c r="K52" s="467"/>
      <c r="L52" s="408"/>
      <c r="N52" s="413">
        <v>1071.8899999999849</v>
      </c>
    </row>
    <row r="53" spans="1:14">
      <c r="A53" s="655" t="s">
        <v>179</v>
      </c>
      <c r="B53" s="678"/>
      <c r="C53" s="678"/>
      <c r="D53" s="599" t="s">
        <v>143</v>
      </c>
      <c r="E53" s="586">
        <f>'8'!F53</f>
        <v>331854.51</v>
      </c>
      <c r="F53" s="586">
        <v>331854.51</v>
      </c>
      <c r="G53" s="549">
        <f t="shared" si="4"/>
        <v>0</v>
      </c>
      <c r="H53" s="536">
        <f>G53+'8'!H53</f>
        <v>27556.239999999991</v>
      </c>
      <c r="I53" s="531"/>
      <c r="J53" s="629">
        <f>H53/DAY(B2)</f>
        <v>3061.8044444444436</v>
      </c>
      <c r="K53" s="467"/>
      <c r="L53" s="408"/>
      <c r="N53" s="413">
        <v>85.455900000000838</v>
      </c>
    </row>
    <row r="54" spans="1:14">
      <c r="A54" s="655" t="s">
        <v>191</v>
      </c>
      <c r="B54" s="678"/>
      <c r="C54" s="678"/>
      <c r="D54" s="599" t="s">
        <v>143</v>
      </c>
      <c r="E54" s="586">
        <f>'8'!F54</f>
        <v>6695</v>
      </c>
      <c r="F54" s="586">
        <v>6764.84</v>
      </c>
      <c r="G54" s="549">
        <f t="shared" si="4"/>
        <v>69.840000000000146</v>
      </c>
      <c r="H54" s="536">
        <f>G54+'8'!H54</f>
        <v>448.19999999999982</v>
      </c>
      <c r="I54" s="531"/>
      <c r="J54" s="629">
        <f>H54/DAY(B2)</f>
        <v>49.799999999999983</v>
      </c>
      <c r="K54" s="467"/>
      <c r="L54" s="408"/>
      <c r="N54" s="413">
        <v>0</v>
      </c>
    </row>
    <row r="55" spans="1:14">
      <c r="A55" s="655" t="s">
        <v>192</v>
      </c>
      <c r="B55" s="678"/>
      <c r="C55" s="678"/>
      <c r="D55" s="599" t="s">
        <v>143</v>
      </c>
      <c r="E55" s="586">
        <f>'8'!F55</f>
        <v>55670</v>
      </c>
      <c r="F55" s="734">
        <v>59206</v>
      </c>
      <c r="G55" s="733">
        <f t="shared" si="4"/>
        <v>3536</v>
      </c>
      <c r="H55" s="787">
        <f>G55+'8'!H55</f>
        <v>20085.419999999998</v>
      </c>
      <c r="I55" s="788"/>
      <c r="J55" s="789">
        <f>H55/DAY(B2)</f>
        <v>2231.7133333333331</v>
      </c>
      <c r="K55" s="467"/>
      <c r="L55" s="408"/>
      <c r="N55" s="413">
        <v>0</v>
      </c>
    </row>
    <row r="56" spans="1:14">
      <c r="A56" s="655" t="s">
        <v>193</v>
      </c>
      <c r="B56" s="678"/>
      <c r="C56" s="678"/>
      <c r="D56" s="599" t="s">
        <v>194</v>
      </c>
      <c r="E56" s="586">
        <f>'8'!F56</f>
        <v>557739</v>
      </c>
      <c r="F56" s="734">
        <v>557739</v>
      </c>
      <c r="G56" s="549">
        <f t="shared" si="4"/>
        <v>0</v>
      </c>
      <c r="H56" s="536">
        <f>G56+'8'!H56</f>
        <v>7.0899999999674037</v>
      </c>
      <c r="I56" s="531"/>
      <c r="J56" s="629">
        <f>H56/DAY(B2)</f>
        <v>0.78777777777415592</v>
      </c>
      <c r="K56" s="466"/>
      <c r="L56" s="408"/>
      <c r="N56" s="413">
        <v>0</v>
      </c>
    </row>
    <row r="57" spans="1:14">
      <c r="A57" s="655" t="s">
        <v>183</v>
      </c>
      <c r="B57" s="678"/>
      <c r="C57" s="678"/>
      <c r="D57" s="599" t="s">
        <v>143</v>
      </c>
      <c r="E57" s="586">
        <f>'8'!F57</f>
        <v>7711</v>
      </c>
      <c r="F57" s="586">
        <v>7711</v>
      </c>
      <c r="G57" s="549">
        <f t="shared" si="4"/>
        <v>0</v>
      </c>
      <c r="H57" s="536">
        <f>G57+'8'!H57</f>
        <v>7711</v>
      </c>
      <c r="I57" s="531"/>
      <c r="J57" s="629">
        <f>H57/DAY(B2)</f>
        <v>856.77777777777783</v>
      </c>
      <c r="K57" s="467"/>
      <c r="L57" s="408"/>
      <c r="N57" s="413">
        <v>0</v>
      </c>
    </row>
    <row r="58" spans="1:14">
      <c r="A58" s="655" t="s">
        <v>195</v>
      </c>
      <c r="B58" s="678"/>
      <c r="C58" s="678"/>
      <c r="D58" s="599" t="s">
        <v>143</v>
      </c>
      <c r="E58" s="586">
        <f>'8'!F58</f>
        <v>31880.560000000001</v>
      </c>
      <c r="F58" s="734">
        <v>31980.79</v>
      </c>
      <c r="G58" s="549">
        <f t="shared" si="4"/>
        <v>100.22999999999956</v>
      </c>
      <c r="H58" s="536">
        <f>G58+'8'!H58</f>
        <v>1448.880000000001</v>
      </c>
      <c r="I58" s="531"/>
      <c r="J58" s="629">
        <f>H58/DAY(B2)</f>
        <v>160.98666666666679</v>
      </c>
      <c r="K58" s="467"/>
      <c r="L58" s="408"/>
      <c r="N58" s="413">
        <v>-0.29700000000048021</v>
      </c>
    </row>
    <row r="59" spans="1:14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4879.07</v>
      </c>
      <c r="H59" s="536">
        <f>G59+'8'!H59</f>
        <v>106621.69</v>
      </c>
      <c r="I59" s="531">
        <f>G7-G60</f>
        <v>373.27000000009139</v>
      </c>
      <c r="J59" s="629">
        <f>H59/DAY(B2)</f>
        <v>11846.854444444445</v>
      </c>
      <c r="K59" s="467"/>
      <c r="L59" s="408"/>
      <c r="N59" s="413">
        <v>1766.5388999999759</v>
      </c>
    </row>
    <row r="60" spans="1:14">
      <c r="A60" s="655"/>
      <c r="B60" s="656"/>
      <c r="C60" s="656"/>
      <c r="D60" s="587" t="s">
        <v>196</v>
      </c>
      <c r="E60" s="587"/>
      <c r="F60" s="587"/>
      <c r="G60" s="557">
        <f>G47+G59</f>
        <v>18023.729999999909</v>
      </c>
      <c r="H60" s="536">
        <f>G60+'8'!H60</f>
        <v>166770.77999999985</v>
      </c>
      <c r="I60" s="531">
        <f>G13-G60</f>
        <v>-166.72999999990861</v>
      </c>
      <c r="J60" s="629">
        <f>H60/DAY(B2)</f>
        <v>18530.086666666652</v>
      </c>
      <c r="K60" s="467"/>
      <c r="L60" s="408"/>
      <c r="N60" s="413">
        <v>11185.168899999966</v>
      </c>
    </row>
    <row r="61" spans="1:14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</row>
    <row r="62" spans="1:14">
      <c r="A62" s="680" t="s">
        <v>106</v>
      </c>
      <c r="B62" s="681"/>
      <c r="C62" s="681"/>
      <c r="D62" s="587" t="s">
        <v>198</v>
      </c>
      <c r="E62" s="590">
        <f>'8'!F62</f>
        <v>20419</v>
      </c>
      <c r="F62" s="590">
        <v>20419</v>
      </c>
      <c r="G62" s="549">
        <f t="shared" ref="G62:G69" si="5">F62-E62</f>
        <v>0</v>
      </c>
      <c r="H62" s="536">
        <f>G62+'8'!H62</f>
        <v>-0.1889999999984866</v>
      </c>
      <c r="I62" s="591"/>
      <c r="J62" s="629">
        <f>H62/DAY(B2)</f>
        <v>-2.0999999999831844E-2</v>
      </c>
      <c r="K62" s="467"/>
      <c r="L62" s="408"/>
      <c r="N62" s="413">
        <v>0</v>
      </c>
    </row>
    <row r="63" spans="1:14">
      <c r="A63" s="680" t="s">
        <v>199</v>
      </c>
      <c r="B63" s="681"/>
      <c r="C63" s="681"/>
      <c r="D63" s="587" t="s">
        <v>198</v>
      </c>
      <c r="E63" s="590">
        <f>'8'!F63</f>
        <v>1448</v>
      </c>
      <c r="F63" s="590">
        <v>1461.25</v>
      </c>
      <c r="G63" s="549">
        <f t="shared" si="5"/>
        <v>13.25</v>
      </c>
      <c r="H63" s="536">
        <f>G63+'8'!H63</f>
        <v>128.72000000000003</v>
      </c>
      <c r="I63" s="591"/>
      <c r="J63" s="629">
        <f>H63/DAY(B2)</f>
        <v>14.302222222222225</v>
      </c>
      <c r="K63" s="467"/>
      <c r="L63" s="408"/>
      <c r="N63" s="413">
        <v>0</v>
      </c>
    </row>
    <row r="64" spans="1:14" ht="27.75">
      <c r="A64" s="1385" t="s">
        <v>107</v>
      </c>
      <c r="B64" s="1386"/>
      <c r="C64" s="1387"/>
      <c r="D64" s="599" t="s">
        <v>198</v>
      </c>
      <c r="E64" s="590">
        <f>'8'!F64</f>
        <v>114652</v>
      </c>
      <c r="F64" s="554">
        <v>115058</v>
      </c>
      <c r="G64" s="549">
        <f t="shared" si="5"/>
        <v>406</v>
      </c>
      <c r="H64" s="536">
        <f>G64+'8'!H64</f>
        <v>3774.5399999999936</v>
      </c>
      <c r="I64" s="556"/>
      <c r="J64" s="629">
        <f>H64/DAY(B2)</f>
        <v>419.39333333333263</v>
      </c>
      <c r="K64" s="467"/>
      <c r="L64" s="408"/>
      <c r="N64" s="413">
        <v>161.90400000000227</v>
      </c>
    </row>
    <row r="65" spans="1:14" ht="27.75">
      <c r="A65" s="1385" t="s">
        <v>108</v>
      </c>
      <c r="B65" s="1386"/>
      <c r="C65" s="1387"/>
      <c r="D65" s="599" t="s">
        <v>198</v>
      </c>
      <c r="E65" s="590">
        <f>'8'!F65</f>
        <v>124743.57</v>
      </c>
      <c r="F65" s="732">
        <v>125120.88</v>
      </c>
      <c r="G65" s="549">
        <f t="shared" si="5"/>
        <v>377.30999999999767</v>
      </c>
      <c r="H65" s="536">
        <f>G65+'8'!H65</f>
        <v>3387.7700000000041</v>
      </c>
      <c r="I65" s="565"/>
      <c r="J65" s="629">
        <f>H65/DAY(B2)</f>
        <v>376.41888888888934</v>
      </c>
      <c r="K65" s="467"/>
      <c r="L65" s="408"/>
      <c r="N65" s="413">
        <v>215.74700000000303</v>
      </c>
    </row>
    <row r="66" spans="1:14" ht="27.75">
      <c r="A66" s="1385" t="s">
        <v>109</v>
      </c>
      <c r="B66" s="1386"/>
      <c r="C66" s="1387"/>
      <c r="D66" s="599" t="s">
        <v>198</v>
      </c>
      <c r="E66" s="590">
        <f>'8'!F66</f>
        <v>17352</v>
      </c>
      <c r="F66" s="554">
        <v>17730</v>
      </c>
      <c r="G66" s="549">
        <f t="shared" si="5"/>
        <v>378</v>
      </c>
      <c r="H66" s="536">
        <f>G66+'8'!H66</f>
        <v>3570.26</v>
      </c>
      <c r="I66" s="556"/>
      <c r="J66" s="629">
        <f>H66/DAY(B2)</f>
        <v>396.69555555555559</v>
      </c>
      <c r="K66" s="467"/>
      <c r="L66" s="408"/>
      <c r="N66" s="413">
        <v>243.63500000000204</v>
      </c>
    </row>
    <row r="67" spans="1:14" ht="27.75">
      <c r="A67" s="1385" t="s">
        <v>110</v>
      </c>
      <c r="B67" s="1386"/>
      <c r="C67" s="1387"/>
      <c r="D67" s="599" t="s">
        <v>198</v>
      </c>
      <c r="E67" s="590">
        <f>'8'!F67</f>
        <v>194279.53</v>
      </c>
      <c r="F67" s="554">
        <v>194973</v>
      </c>
      <c r="G67" s="549">
        <f t="shared" si="5"/>
        <v>693.47000000000116</v>
      </c>
      <c r="H67" s="536">
        <f>G67+'8'!H67</f>
        <v>6298.4700000000012</v>
      </c>
      <c r="I67" s="565"/>
      <c r="J67" s="629">
        <f>H67/DAY(B2)</f>
        <v>699.83000000000015</v>
      </c>
      <c r="K67" s="468"/>
      <c r="L67" s="408"/>
      <c r="N67" s="413">
        <v>74.99199999999837</v>
      </c>
    </row>
    <row r="68" spans="1:14" ht="27.75">
      <c r="A68" s="1385" t="s">
        <v>111</v>
      </c>
      <c r="B68" s="1386"/>
      <c r="C68" s="1387"/>
      <c r="D68" s="599" t="s">
        <v>198</v>
      </c>
      <c r="E68" s="590">
        <f>'8'!F68</f>
        <v>66016</v>
      </c>
      <c r="F68" s="554">
        <v>66359</v>
      </c>
      <c r="G68" s="549">
        <f t="shared" si="5"/>
        <v>343</v>
      </c>
      <c r="H68" s="536">
        <f>G68+'8'!H68</f>
        <v>3059.1399999999994</v>
      </c>
      <c r="I68" s="592"/>
      <c r="J68" s="629">
        <f>H68/DAY(B2)</f>
        <v>339.90444444444438</v>
      </c>
      <c r="K68" s="469"/>
      <c r="L68" s="408"/>
      <c r="N68" s="413">
        <v>92.599999999999909</v>
      </c>
    </row>
    <row r="69" spans="1:14" ht="27.75">
      <c r="A69" s="1385" t="s">
        <v>112</v>
      </c>
      <c r="B69" s="1386"/>
      <c r="C69" s="1387"/>
      <c r="D69" s="599" t="s">
        <v>198</v>
      </c>
      <c r="E69" s="590">
        <f>'8'!F69</f>
        <v>58134</v>
      </c>
      <c r="F69" s="554">
        <v>58410</v>
      </c>
      <c r="G69" s="549">
        <f t="shared" si="5"/>
        <v>276</v>
      </c>
      <c r="H69" s="536">
        <f>G69+'8'!H69</f>
        <v>2686.2900000000009</v>
      </c>
      <c r="I69" s="592"/>
      <c r="J69" s="629">
        <f>H69/DAY(B2)</f>
        <v>298.47666666666674</v>
      </c>
      <c r="K69" s="470"/>
      <c r="L69" s="408"/>
      <c r="N69" s="413">
        <v>12.727999999999156</v>
      </c>
    </row>
    <row r="70" spans="1:14" ht="27.75">
      <c r="A70" s="1391" t="s">
        <v>200</v>
      </c>
      <c r="B70" s="1392"/>
      <c r="C70" s="1393"/>
      <c r="D70" s="599" t="s">
        <v>198</v>
      </c>
      <c r="E70" s="594"/>
      <c r="F70" s="594"/>
      <c r="G70" s="594"/>
      <c r="H70" s="536"/>
      <c r="I70" s="594"/>
      <c r="J70" s="633"/>
      <c r="K70" s="470"/>
      <c r="L70" s="408"/>
      <c r="N70" s="413"/>
    </row>
    <row r="71" spans="1:14" ht="31.5">
      <c r="A71" s="1388" t="s">
        <v>201</v>
      </c>
      <c r="B71" s="1389"/>
      <c r="C71" s="1389"/>
      <c r="D71" s="1389"/>
      <c r="E71" s="1389"/>
      <c r="F71" s="1389"/>
      <c r="G71" s="1389"/>
      <c r="H71" s="1389"/>
      <c r="I71" s="1389"/>
      <c r="J71" s="1390"/>
      <c r="K71" s="469"/>
      <c r="L71" s="408"/>
      <c r="N71" s="413"/>
    </row>
    <row r="72" spans="1:14" ht="27.75">
      <c r="A72" s="1385" t="s">
        <v>202</v>
      </c>
      <c r="B72" s="1386"/>
      <c r="C72" s="1387"/>
      <c r="D72" s="599" t="s">
        <v>198</v>
      </c>
      <c r="E72" s="595">
        <f>'8'!F72</f>
        <v>849090</v>
      </c>
      <c r="F72" s="735">
        <v>849140</v>
      </c>
      <c r="G72" s="549">
        <f t="shared" ref="G72:G84" si="6">F72-E72</f>
        <v>50</v>
      </c>
      <c r="H72" s="536">
        <f>G72+'8'!H72</f>
        <v>675</v>
      </c>
      <c r="I72" s="556"/>
      <c r="J72" s="629">
        <f>H72/DAY(B2)</f>
        <v>75</v>
      </c>
      <c r="K72" s="470"/>
      <c r="L72" s="408"/>
      <c r="N72" s="413">
        <v>11</v>
      </c>
    </row>
    <row r="73" spans="1:14" ht="27.75">
      <c r="A73" s="1385" t="s">
        <v>203</v>
      </c>
      <c r="B73" s="1386"/>
      <c r="C73" s="1387"/>
      <c r="D73" s="599" t="s">
        <v>198</v>
      </c>
      <c r="E73" s="595">
        <f>'8'!F73</f>
        <v>885730</v>
      </c>
      <c r="F73" s="736">
        <v>885730</v>
      </c>
      <c r="G73" s="733">
        <f t="shared" si="6"/>
        <v>0</v>
      </c>
      <c r="H73" s="536">
        <f>G73+'8'!H73</f>
        <v>2</v>
      </c>
      <c r="I73" s="556"/>
      <c r="J73" s="629">
        <f>H73/DAY(B2)</f>
        <v>0.22222222222222221</v>
      </c>
      <c r="K73" s="469"/>
      <c r="L73" s="408"/>
      <c r="N73" s="413">
        <v>2</v>
      </c>
    </row>
    <row r="74" spans="1:14" ht="27.75">
      <c r="A74" s="1385" t="s">
        <v>204</v>
      </c>
      <c r="B74" s="1386"/>
      <c r="C74" s="1387"/>
      <c r="D74" s="599" t="s">
        <v>198</v>
      </c>
      <c r="E74" s="595">
        <f>'8'!F74</f>
        <v>882580</v>
      </c>
      <c r="F74" s="735">
        <v>882604</v>
      </c>
      <c r="G74" s="549">
        <f t="shared" si="6"/>
        <v>24</v>
      </c>
      <c r="H74" s="536">
        <f>G74+'8'!H74</f>
        <v>235</v>
      </c>
      <c r="I74" s="556"/>
      <c r="J74" s="629">
        <f>H74/DAY(B2)</f>
        <v>26.111111111111111</v>
      </c>
      <c r="K74" s="470"/>
      <c r="L74" s="408"/>
      <c r="N74" s="413">
        <v>11</v>
      </c>
    </row>
    <row r="75" spans="1:14" ht="27.75">
      <c r="A75" s="1382" t="s">
        <v>205</v>
      </c>
      <c r="B75" s="1383"/>
      <c r="C75" s="1384"/>
      <c r="D75" s="599" t="s">
        <v>198</v>
      </c>
      <c r="E75" s="595">
        <f>'8'!F75</f>
        <v>738952</v>
      </c>
      <c r="F75" s="736">
        <v>739127</v>
      </c>
      <c r="G75" s="549">
        <f t="shared" si="6"/>
        <v>175</v>
      </c>
      <c r="H75" s="536">
        <f>G75+'8'!H75</f>
        <v>1608</v>
      </c>
      <c r="I75" s="556"/>
      <c r="J75" s="629">
        <f>H75/DAY(B2)</f>
        <v>178.66666666666666</v>
      </c>
      <c r="K75" s="469"/>
      <c r="L75" s="408"/>
      <c r="N75" s="413">
        <v>62</v>
      </c>
    </row>
    <row r="76" spans="1:14" ht="27.75">
      <c r="A76" s="1382" t="s">
        <v>206</v>
      </c>
      <c r="B76" s="1383"/>
      <c r="C76" s="1384"/>
      <c r="D76" s="599" t="s">
        <v>198</v>
      </c>
      <c r="E76" s="595">
        <f>'8'!F76</f>
        <v>687684</v>
      </c>
      <c r="F76" s="736">
        <v>687827</v>
      </c>
      <c r="G76" s="549">
        <f t="shared" si="6"/>
        <v>143</v>
      </c>
      <c r="H76" s="536">
        <f>G76+'8'!H76</f>
        <v>813</v>
      </c>
      <c r="I76" s="581"/>
      <c r="J76" s="629">
        <f>H76/DAY(B2)</f>
        <v>90.333333333333329</v>
      </c>
      <c r="K76" s="469"/>
      <c r="L76" s="408"/>
      <c r="N76" s="413">
        <v>4</v>
      </c>
    </row>
    <row r="77" spans="1:14" ht="27.75">
      <c r="A77" s="1385" t="s">
        <v>207</v>
      </c>
      <c r="B77" s="1386"/>
      <c r="C77" s="1387"/>
      <c r="D77" s="599" t="s">
        <v>198</v>
      </c>
      <c r="E77" s="595">
        <f>'8'!F77</f>
        <v>697578</v>
      </c>
      <c r="F77" s="736">
        <v>697622</v>
      </c>
      <c r="G77" s="733">
        <f t="shared" si="6"/>
        <v>44</v>
      </c>
      <c r="H77" s="536">
        <f>G77+'8'!H77</f>
        <v>515</v>
      </c>
      <c r="I77" s="581"/>
      <c r="J77" s="629">
        <f>H77/DAY(B2)</f>
        <v>57.222222222222221</v>
      </c>
      <c r="K77" s="469"/>
      <c r="L77" s="408"/>
      <c r="N77" s="413">
        <v>19</v>
      </c>
    </row>
    <row r="78" spans="1:14" ht="27.75">
      <c r="A78" s="1234" t="s">
        <v>208</v>
      </c>
      <c r="B78" s="1205"/>
      <c r="C78" s="1205"/>
      <c r="D78" s="599" t="s">
        <v>198</v>
      </c>
      <c r="E78" s="595">
        <f>'8'!F78</f>
        <v>645262</v>
      </c>
      <c r="F78" s="737">
        <v>645674</v>
      </c>
      <c r="G78" s="549">
        <f t="shared" si="6"/>
        <v>412</v>
      </c>
      <c r="H78" s="536">
        <f>G78+'8'!H78</f>
        <v>3721</v>
      </c>
      <c r="I78" s="581"/>
      <c r="J78" s="629">
        <f>H78/DAY(B2)</f>
        <v>413.44444444444446</v>
      </c>
      <c r="K78" s="469"/>
      <c r="L78" s="408"/>
      <c r="N78" s="413">
        <v>31</v>
      </c>
    </row>
    <row r="79" spans="1:14" ht="27.75">
      <c r="A79" s="1382" t="s">
        <v>97</v>
      </c>
      <c r="B79" s="1383"/>
      <c r="C79" s="1384"/>
      <c r="D79" s="600" t="s">
        <v>198</v>
      </c>
      <c r="E79" s="595">
        <f>'8'!F79</f>
        <v>811248</v>
      </c>
      <c r="F79" s="737">
        <v>811438</v>
      </c>
      <c r="G79" s="549">
        <f t="shared" si="6"/>
        <v>190</v>
      </c>
      <c r="H79" s="536">
        <f>G79+'8'!H79</f>
        <v>1747</v>
      </c>
      <c r="I79" s="581"/>
      <c r="J79" s="629">
        <f>H79/DAY(B2)</f>
        <v>194.11111111111111</v>
      </c>
      <c r="K79" s="469"/>
      <c r="L79" s="408"/>
      <c r="N79" s="413">
        <v>100</v>
      </c>
    </row>
    <row r="80" spans="1:14" ht="27.75">
      <c r="A80" s="1382" t="s">
        <v>209</v>
      </c>
      <c r="B80" s="1383"/>
      <c r="C80" s="1384"/>
      <c r="D80" s="600" t="s">
        <v>198</v>
      </c>
      <c r="E80" s="595">
        <f>'8'!F80</f>
        <v>487589.96</v>
      </c>
      <c r="F80" s="736">
        <v>487876</v>
      </c>
      <c r="G80" s="549">
        <f t="shared" si="6"/>
        <v>286.03999999997905</v>
      </c>
      <c r="H80" s="536">
        <f>G80+'8'!H80</f>
        <v>2749</v>
      </c>
      <c r="I80" s="581"/>
      <c r="J80" s="629">
        <f>H80/DAY(B2)</f>
        <v>305.44444444444446</v>
      </c>
      <c r="K80" s="469"/>
      <c r="L80" s="408"/>
      <c r="N80" s="413">
        <v>158.95999999996275</v>
      </c>
    </row>
    <row r="81" spans="1:15" ht="27.75">
      <c r="A81" s="1382" t="s">
        <v>210</v>
      </c>
      <c r="B81" s="1383"/>
      <c r="C81" s="1384"/>
      <c r="D81" s="600" t="s">
        <v>198</v>
      </c>
      <c r="E81" s="595">
        <f>'8'!F81</f>
        <v>623548</v>
      </c>
      <c r="F81" s="736">
        <v>623650.92000000004</v>
      </c>
      <c r="G81" s="549">
        <f t="shared" si="6"/>
        <v>102.92000000004191</v>
      </c>
      <c r="H81" s="536">
        <f>G81+'8'!H81</f>
        <v>875.92000000004191</v>
      </c>
      <c r="I81" s="581"/>
      <c r="J81" s="629">
        <f>H81/DAY(B2)</f>
        <v>97.324444444449099</v>
      </c>
      <c r="K81" s="469"/>
      <c r="L81" s="408"/>
      <c r="N81" s="413">
        <v>79.199999999953434</v>
      </c>
    </row>
    <row r="82" spans="1:15" ht="27.75">
      <c r="A82" s="1382" t="s">
        <v>100</v>
      </c>
      <c r="B82" s="1383"/>
      <c r="C82" s="1384"/>
      <c r="D82" s="561" t="s">
        <v>143</v>
      </c>
      <c r="E82" s="595">
        <f>'8'!F82</f>
        <v>105702.8</v>
      </c>
      <c r="F82" s="732">
        <v>105734.82</v>
      </c>
      <c r="G82" s="549">
        <f t="shared" si="6"/>
        <v>32.020000000004075</v>
      </c>
      <c r="H82" s="536">
        <f>G82+'8'!H82</f>
        <v>294.82000000000698</v>
      </c>
      <c r="I82" s="562"/>
      <c r="J82" s="629">
        <f>H82/DAY(B2)</f>
        <v>32.757777777778557</v>
      </c>
      <c r="K82" s="469"/>
      <c r="L82" s="408"/>
      <c r="N82" s="413">
        <v>30.149999999994179</v>
      </c>
    </row>
    <row r="83" spans="1:15" ht="27.75">
      <c r="A83" s="1382" t="s">
        <v>211</v>
      </c>
      <c r="B83" s="1383"/>
      <c r="C83" s="1384"/>
      <c r="D83" s="697" t="s">
        <v>143</v>
      </c>
      <c r="E83" s="595">
        <f>'8'!F83</f>
        <v>987367</v>
      </c>
      <c r="F83" s="587">
        <v>987780</v>
      </c>
      <c r="G83" s="549">
        <f t="shared" si="6"/>
        <v>413</v>
      </c>
      <c r="H83" s="536">
        <f>G83+'8'!H83</f>
        <v>4039</v>
      </c>
      <c r="I83" s="557"/>
      <c r="J83" s="629">
        <f>H83/DAY(B2)</f>
        <v>448.77777777777777</v>
      </c>
      <c r="K83" s="468"/>
      <c r="L83" s="408"/>
      <c r="N83" s="413">
        <v>316</v>
      </c>
    </row>
    <row r="84" spans="1:15">
      <c r="A84" s="1235" t="s">
        <v>212</v>
      </c>
      <c r="B84" s="648"/>
      <c r="C84" s="648"/>
      <c r="D84" s="554" t="s">
        <v>143</v>
      </c>
      <c r="E84" s="595">
        <f>'8'!F84</f>
        <v>419945</v>
      </c>
      <c r="F84" s="704">
        <v>420427</v>
      </c>
      <c r="G84" s="549">
        <f t="shared" si="6"/>
        <v>482</v>
      </c>
      <c r="H84" s="536">
        <f>G84+'8'!H84</f>
        <v>4354</v>
      </c>
      <c r="I84" s="557"/>
      <c r="J84" s="629">
        <f>H84/DAY(B2)</f>
        <v>483.77777777777777</v>
      </c>
      <c r="K84" s="411"/>
      <c r="L84" s="408"/>
      <c r="N84" s="413">
        <v>408</v>
      </c>
    </row>
    <row r="85" spans="1:15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SUM(G71:G84)</f>
        <v>2353.980000000025</v>
      </c>
      <c r="H85" s="536">
        <f>G85+'8'!H85</f>
        <v>19815.740000000049</v>
      </c>
      <c r="I85" s="557"/>
      <c r="J85" s="629">
        <f>H85/DAY(B2)</f>
        <v>2201.7488888888943</v>
      </c>
      <c r="K85" s="411"/>
      <c r="L85" s="409"/>
      <c r="N85" s="413">
        <v>1232.3099999999104</v>
      </c>
    </row>
    <row r="86" spans="1:15" s="817" customFormat="1">
      <c r="A86" s="812" t="s">
        <v>102</v>
      </c>
      <c r="B86" s="813"/>
      <c r="C86" s="813"/>
      <c r="D86" s="814" t="s">
        <v>194</v>
      </c>
      <c r="E86" s="704">
        <f>'8'!F86</f>
        <v>448167</v>
      </c>
      <c r="F86" s="717">
        <v>448301.8</v>
      </c>
      <c r="G86" s="787">
        <f t="shared" ref="G86:G90" si="7">F86-E86</f>
        <v>134.79999999998836</v>
      </c>
      <c r="H86" s="536">
        <f>G86+'8'!H86</f>
        <v>265.79999999998836</v>
      </c>
      <c r="I86" s="733"/>
      <c r="J86" s="789">
        <f>H86/DAY(B2)</f>
        <v>29.533333333332038</v>
      </c>
      <c r="K86" s="815"/>
      <c r="L86" s="816"/>
      <c r="O86" s="795"/>
    </row>
    <row r="87" spans="1:15" s="817" customFormat="1">
      <c r="A87" s="812" t="s">
        <v>103</v>
      </c>
      <c r="B87" s="813"/>
      <c r="C87" s="813"/>
      <c r="D87" s="814" t="s">
        <v>194</v>
      </c>
      <c r="E87" s="704">
        <f>'8'!F87</f>
        <v>78657.5</v>
      </c>
      <c r="F87" s="728">
        <v>78693.3</v>
      </c>
      <c r="G87" s="787">
        <f t="shared" si="7"/>
        <v>35.80000000000291</v>
      </c>
      <c r="H87" s="536">
        <f>G87+'8'!H87</f>
        <v>67.80000000000291</v>
      </c>
      <c r="I87" s="733"/>
      <c r="J87" s="789">
        <f>H87/DAY(B2)</f>
        <v>7.5333333333336565</v>
      </c>
      <c r="K87" s="815"/>
      <c r="L87" s="816"/>
      <c r="O87" s="795"/>
    </row>
    <row r="88" spans="1:15" s="817" customFormat="1">
      <c r="A88" s="812" t="s">
        <v>104</v>
      </c>
      <c r="B88" s="813"/>
      <c r="C88" s="813"/>
      <c r="D88" s="814" t="s">
        <v>194</v>
      </c>
      <c r="E88" s="704">
        <f>'8'!F88</f>
        <v>147003.56</v>
      </c>
      <c r="F88" s="717">
        <v>147054</v>
      </c>
      <c r="G88" s="787">
        <f t="shared" si="7"/>
        <v>50.440000000002328</v>
      </c>
      <c r="H88" s="536">
        <f>G88+'8'!H88</f>
        <v>116</v>
      </c>
      <c r="I88" s="733"/>
      <c r="J88" s="789">
        <f>H88/DAY(B2)</f>
        <v>12.888888888888889</v>
      </c>
      <c r="K88" s="815"/>
      <c r="L88" s="816"/>
      <c r="O88" s="795"/>
    </row>
    <row r="89" spans="1:15" s="817" customFormat="1">
      <c r="A89" s="812" t="s">
        <v>215</v>
      </c>
      <c r="B89" s="813"/>
      <c r="C89" s="813"/>
      <c r="D89" s="814" t="s">
        <v>194</v>
      </c>
      <c r="E89" s="704">
        <f>'8'!F89</f>
        <v>60366.3</v>
      </c>
      <c r="F89" s="728">
        <v>60423.3</v>
      </c>
      <c r="G89" s="787">
        <f t="shared" si="7"/>
        <v>57</v>
      </c>
      <c r="H89" s="536">
        <f>G89+'8'!H89</f>
        <v>120.30000000000291</v>
      </c>
      <c r="I89" s="733"/>
      <c r="J89" s="789">
        <f>H89/DAY(B2)</f>
        <v>13.36666666666699</v>
      </c>
      <c r="K89" s="815"/>
      <c r="L89" s="816"/>
      <c r="N89" s="860"/>
      <c r="O89" s="413"/>
    </row>
    <row r="90" spans="1:15" s="817" customFormat="1">
      <c r="A90" s="812" t="s">
        <v>215</v>
      </c>
      <c r="B90" s="813"/>
      <c r="C90" s="813"/>
      <c r="D90" s="814" t="s">
        <v>194</v>
      </c>
      <c r="E90" s="704">
        <f>'8'!F90</f>
        <v>3093.7</v>
      </c>
      <c r="F90" s="728">
        <v>3097</v>
      </c>
      <c r="G90" s="787">
        <f t="shared" si="7"/>
        <v>3.3000000000001819</v>
      </c>
      <c r="H90" s="536">
        <f>G90+'8'!H90</f>
        <v>8</v>
      </c>
      <c r="I90" s="733"/>
      <c r="J90" s="789">
        <f>H90/DAY(B2)</f>
        <v>0.88888888888888884</v>
      </c>
      <c r="K90" s="815"/>
      <c r="L90" s="816"/>
      <c r="N90" s="860"/>
      <c r="O90" s="413"/>
    </row>
    <row r="91" spans="1:15" s="410" customFormat="1">
      <c r="A91" s="683" t="s">
        <v>216</v>
      </c>
      <c r="B91" s="1237"/>
      <c r="C91" s="1237"/>
      <c r="D91" s="548"/>
      <c r="E91" s="548"/>
      <c r="F91" s="548"/>
      <c r="G91" s="564"/>
      <c r="H91" s="548"/>
      <c r="I91" s="548"/>
      <c r="J91" s="628"/>
      <c r="K91" s="411"/>
      <c r="L91" s="409"/>
      <c r="N91" s="413"/>
    </row>
    <row r="92" spans="1:15" ht="27.75">
      <c r="A92" s="1406" t="s">
        <v>217</v>
      </c>
      <c r="B92" s="1407"/>
      <c r="C92" s="1408"/>
      <c r="D92" s="599" t="s">
        <v>155</v>
      </c>
      <c r="E92" s="560">
        <f>'8'!F92</f>
        <v>237320</v>
      </c>
      <c r="F92" s="554">
        <v>237424</v>
      </c>
      <c r="G92" s="549">
        <f t="shared" ref="G92:G93" si="8">F92-E92</f>
        <v>104</v>
      </c>
      <c r="H92" s="536">
        <f>G92+'8'!H92</f>
        <v>854</v>
      </c>
      <c r="I92" s="556"/>
      <c r="J92" s="629">
        <f>H92/DAY(B2)</f>
        <v>94.888888888888886</v>
      </c>
      <c r="K92" s="468"/>
      <c r="L92" s="408"/>
      <c r="N92" s="413">
        <v>0</v>
      </c>
    </row>
    <row r="93" spans="1:15" ht="27.75">
      <c r="A93" s="1406" t="s">
        <v>218</v>
      </c>
      <c r="B93" s="1407"/>
      <c r="C93" s="1408"/>
      <c r="D93" s="599" t="s">
        <v>155</v>
      </c>
      <c r="E93" s="560">
        <f>'8'!F93</f>
        <v>172514</v>
      </c>
      <c r="F93" s="554">
        <v>172620</v>
      </c>
      <c r="G93" s="549">
        <f t="shared" si="8"/>
        <v>106</v>
      </c>
      <c r="H93" s="536">
        <f>G93+'8'!H93</f>
        <v>1444</v>
      </c>
      <c r="I93" s="556"/>
      <c r="J93" s="629">
        <f>H93/DAY(B2)</f>
        <v>160.44444444444446</v>
      </c>
      <c r="K93" s="411"/>
      <c r="L93" s="408"/>
      <c r="N93" s="413">
        <v>71</v>
      </c>
    </row>
    <row r="94" spans="1:15">
      <c r="A94" s="1434" t="s">
        <v>219</v>
      </c>
      <c r="B94" s="1435"/>
      <c r="C94" s="1436"/>
      <c r="D94" s="599"/>
      <c r="E94" s="560">
        <f>'8'!F94</f>
        <v>0</v>
      </c>
      <c r="F94" s="554"/>
      <c r="G94" s="549">
        <f>G92+G93</f>
        <v>210</v>
      </c>
      <c r="H94" s="536">
        <f>G94+'8'!H94</f>
        <v>2011</v>
      </c>
      <c r="I94" s="556"/>
      <c r="J94" s="629">
        <f>H94/DAY(B2)</f>
        <v>223.44444444444446</v>
      </c>
      <c r="K94" s="411"/>
      <c r="L94" s="408"/>
      <c r="N94" s="413">
        <v>71</v>
      </c>
    </row>
    <row r="95" spans="1:15" ht="27.75">
      <c r="A95" s="1406" t="s">
        <v>220</v>
      </c>
      <c r="B95" s="1407"/>
      <c r="C95" s="1408"/>
      <c r="D95" s="599" t="s">
        <v>155</v>
      </c>
      <c r="E95" s="560">
        <f>'8'!F95</f>
        <v>406404</v>
      </c>
      <c r="F95" s="554">
        <v>406466</v>
      </c>
      <c r="G95" s="549">
        <f t="shared" ref="G95:G100" si="9">F95-E95</f>
        <v>62</v>
      </c>
      <c r="H95" s="536">
        <f>G95+'8'!H95</f>
        <v>590</v>
      </c>
      <c r="I95" s="556"/>
      <c r="J95" s="629">
        <f>H95/DAY(B2)</f>
        <v>65.555555555555557</v>
      </c>
      <c r="K95" s="411"/>
      <c r="L95" s="408"/>
      <c r="N95" s="413">
        <v>26</v>
      </c>
    </row>
    <row r="96" spans="1:15" ht="27.75">
      <c r="A96" s="1231" t="s">
        <v>221</v>
      </c>
      <c r="B96" s="1232"/>
      <c r="C96" s="1232"/>
      <c r="D96" s="599" t="s">
        <v>155</v>
      </c>
      <c r="E96" s="560">
        <f>'8'!F96</f>
        <v>100809</v>
      </c>
      <c r="F96" s="554">
        <v>100849</v>
      </c>
      <c r="G96" s="549">
        <f t="shared" si="9"/>
        <v>40</v>
      </c>
      <c r="H96" s="536">
        <f>G96+'8'!H96</f>
        <v>315</v>
      </c>
      <c r="I96" s="556"/>
      <c r="J96" s="629">
        <f>H96/DAY(B2)</f>
        <v>35</v>
      </c>
      <c r="K96" s="466"/>
      <c r="L96" s="408"/>
      <c r="N96" s="413">
        <v>11</v>
      </c>
    </row>
    <row r="97" spans="1:14" ht="27.75">
      <c r="A97" s="1231" t="s">
        <v>222</v>
      </c>
      <c r="B97" s="1232"/>
      <c r="C97" s="1232"/>
      <c r="D97" s="599" t="s">
        <v>155</v>
      </c>
      <c r="E97" s="560">
        <f>'8'!F97</f>
        <v>95901</v>
      </c>
      <c r="F97" s="554">
        <v>95930</v>
      </c>
      <c r="G97" s="549">
        <f t="shared" si="9"/>
        <v>29</v>
      </c>
      <c r="H97" s="536">
        <f>G97+'8'!H97</f>
        <v>253</v>
      </c>
      <c r="I97" s="556"/>
      <c r="J97" s="629">
        <f>H97/DAY(B2)</f>
        <v>28.111111111111111</v>
      </c>
      <c r="K97" s="471"/>
      <c r="L97" s="408"/>
      <c r="N97" s="413">
        <v>9</v>
      </c>
    </row>
    <row r="98" spans="1:14" ht="27.75">
      <c r="A98" s="1231" t="s">
        <v>223</v>
      </c>
      <c r="B98" s="1232"/>
      <c r="C98" s="1232"/>
      <c r="D98" s="599" t="s">
        <v>155</v>
      </c>
      <c r="E98" s="560">
        <f>'8'!F98</f>
        <v>146091</v>
      </c>
      <c r="F98" s="554">
        <v>146158</v>
      </c>
      <c r="G98" s="549">
        <f t="shared" si="9"/>
        <v>67</v>
      </c>
      <c r="H98" s="536">
        <f>G98+'8'!H98</f>
        <v>604</v>
      </c>
      <c r="I98" s="556"/>
      <c r="J98" s="629">
        <f>H98/DAY(B2)</f>
        <v>67.111111111111114</v>
      </c>
      <c r="K98" s="411"/>
      <c r="L98" s="408"/>
      <c r="N98" s="785">
        <v>24</v>
      </c>
    </row>
    <row r="99" spans="1:14" ht="27.75">
      <c r="A99" s="1231" t="s">
        <v>224</v>
      </c>
      <c r="B99" s="1232"/>
      <c r="C99" s="1232"/>
      <c r="D99" s="599" t="s">
        <v>155</v>
      </c>
      <c r="E99" s="560">
        <f>'8'!F99</f>
        <v>6057</v>
      </c>
      <c r="F99" s="554">
        <v>6070</v>
      </c>
      <c r="G99" s="549">
        <f t="shared" si="9"/>
        <v>13</v>
      </c>
      <c r="H99" s="536">
        <f>G99+'8'!H99</f>
        <v>96</v>
      </c>
      <c r="I99" s="556"/>
      <c r="J99" s="629">
        <f>H99/DAY(B2)</f>
        <v>10.666666666666666</v>
      </c>
      <c r="K99" s="411"/>
      <c r="L99" s="408"/>
      <c r="N99" s="413">
        <v>3</v>
      </c>
    </row>
    <row r="100" spans="1:14" ht="27.75">
      <c r="A100" s="1231" t="s">
        <v>225</v>
      </c>
      <c r="B100" s="1232"/>
      <c r="C100" s="1232"/>
      <c r="D100" s="599" t="s">
        <v>155</v>
      </c>
      <c r="E100" s="560">
        <f>'8'!F100</f>
        <v>4291</v>
      </c>
      <c r="F100" s="554">
        <v>4300</v>
      </c>
      <c r="G100" s="549">
        <f t="shared" si="9"/>
        <v>9</v>
      </c>
      <c r="H100" s="536">
        <f>G100+'8'!H100</f>
        <v>63</v>
      </c>
      <c r="I100" s="556"/>
      <c r="J100" s="629">
        <f>H100/DAY(B2)</f>
        <v>7</v>
      </c>
      <c r="K100" s="411"/>
      <c r="L100" s="408"/>
      <c r="N100" s="413">
        <v>0</v>
      </c>
    </row>
    <row r="101" spans="1:14">
      <c r="A101" s="1434" t="s">
        <v>227</v>
      </c>
      <c r="B101" s="1435"/>
      <c r="C101" s="1436"/>
      <c r="D101" s="600"/>
      <c r="E101" s="560"/>
      <c r="F101" s="600"/>
      <c r="G101" s="601">
        <f>SUM(G95:G100)</f>
        <v>220</v>
      </c>
      <c r="H101" s="536">
        <f>G101+'8'!H101</f>
        <v>1921</v>
      </c>
      <c r="I101" s="602"/>
      <c r="J101" s="629">
        <f>H101/DAY(B2)</f>
        <v>213.44444444444446</v>
      </c>
      <c r="K101" s="411"/>
      <c r="L101" s="408"/>
      <c r="N101" s="413">
        <v>73</v>
      </c>
    </row>
    <row r="102" spans="1:14" s="481" customFormat="1" ht="27">
      <c r="A102" s="684" t="s">
        <v>228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413"/>
    </row>
    <row r="103" spans="1:14" s="481" customFormat="1" ht="27.75">
      <c r="A103" s="1437" t="s">
        <v>229</v>
      </c>
      <c r="B103" s="1438"/>
      <c r="C103" s="650"/>
      <c r="D103" s="699"/>
      <c r="E103" s="560"/>
      <c r="F103" s="739"/>
      <c r="G103" s="608"/>
      <c r="H103" s="609"/>
      <c r="I103" s="608"/>
      <c r="J103" s="635"/>
      <c r="N103" s="413"/>
    </row>
    <row r="104" spans="1:14" s="481" customFormat="1" ht="27.75">
      <c r="A104" s="1398" t="s">
        <v>230</v>
      </c>
      <c r="B104" s="1399"/>
      <c r="C104" s="1230"/>
      <c r="D104" s="699" t="s">
        <v>155</v>
      </c>
      <c r="E104" s="560">
        <f>'8'!F104</f>
        <v>7010</v>
      </c>
      <c r="F104" s="739">
        <v>7010</v>
      </c>
      <c r="G104" s="608">
        <f>F104-E104</f>
        <v>0</v>
      </c>
      <c r="H104" s="536">
        <f>G104+'8'!H104</f>
        <v>0</v>
      </c>
      <c r="I104" s="608"/>
      <c r="J104" s="635">
        <f>H104/DAY(B2)</f>
        <v>0</v>
      </c>
      <c r="N104" s="413">
        <v>0</v>
      </c>
    </row>
    <row r="105" spans="1:14" s="481" customFormat="1" ht="27.75">
      <c r="A105" s="1398" t="s">
        <v>77</v>
      </c>
      <c r="B105" s="1399"/>
      <c r="C105" s="1230"/>
      <c r="D105" s="699" t="s">
        <v>155</v>
      </c>
      <c r="E105" s="560">
        <f>'8'!F105</f>
        <v>35218</v>
      </c>
      <c r="F105" s="740">
        <v>35218</v>
      </c>
      <c r="G105" s="608">
        <f t="shared" ref="G105:G106" si="10">F105-E105</f>
        <v>0</v>
      </c>
      <c r="H105" s="536">
        <f>G105+'8'!H105</f>
        <v>63</v>
      </c>
      <c r="I105" s="608"/>
      <c r="J105" s="635">
        <f>H105/DAY(B2)</f>
        <v>7</v>
      </c>
      <c r="N105" s="413">
        <v>0</v>
      </c>
    </row>
    <row r="106" spans="1:14" s="481" customFormat="1" ht="27.75">
      <c r="A106" s="1398" t="s">
        <v>78</v>
      </c>
      <c r="B106" s="1439"/>
      <c r="C106" s="1399"/>
      <c r="D106" s="699" t="s">
        <v>155</v>
      </c>
      <c r="E106" s="560">
        <f>'8'!F106</f>
        <v>19121</v>
      </c>
      <c r="F106" s="867">
        <v>19125</v>
      </c>
      <c r="G106" s="608">
        <f t="shared" si="10"/>
        <v>4</v>
      </c>
      <c r="H106" s="536">
        <f>G106+'8'!H106</f>
        <v>51</v>
      </c>
      <c r="I106" s="608"/>
      <c r="J106" s="635">
        <f>H106/DAY(B2)</f>
        <v>5.666666666666667</v>
      </c>
      <c r="N106" s="413">
        <v>4</v>
      </c>
    </row>
    <row r="107" spans="1:14" s="481" customFormat="1" ht="27.75">
      <c r="A107" s="1400" t="s">
        <v>213</v>
      </c>
      <c r="B107" s="1401"/>
      <c r="C107" s="1230"/>
      <c r="D107" s="699"/>
      <c r="E107" s="560"/>
      <c r="F107" s="740"/>
      <c r="G107" s="608">
        <f>SUM(G104:G106)</f>
        <v>4</v>
      </c>
      <c r="H107" s="536">
        <f>G107+'8'!H107</f>
        <v>114</v>
      </c>
      <c r="I107" s="608"/>
      <c r="J107" s="635">
        <f>H107/DAY(B2)</f>
        <v>12.666666666666666</v>
      </c>
      <c r="N107" s="413">
        <v>4</v>
      </c>
    </row>
    <row r="108" spans="1:14" s="481" customFormat="1" ht="27.75">
      <c r="A108" s="1404" t="s">
        <v>79</v>
      </c>
      <c r="B108" s="1405"/>
      <c r="C108" s="1230"/>
      <c r="D108" s="699" t="s">
        <v>155</v>
      </c>
      <c r="E108" s="560">
        <f>'8'!F108</f>
        <v>0</v>
      </c>
      <c r="F108" s="740"/>
      <c r="G108" s="608"/>
      <c r="H108" s="536" t="e">
        <f>G108+'8'!H108</f>
        <v>#REF!</v>
      </c>
      <c r="I108" s="608"/>
      <c r="J108" s="635"/>
      <c r="N108" s="413"/>
    </row>
    <row r="109" spans="1:14" s="481" customFormat="1" ht="27.75">
      <c r="A109" s="1398" t="s">
        <v>231</v>
      </c>
      <c r="B109" s="1399"/>
      <c r="C109" s="1230"/>
      <c r="D109" s="699" t="s">
        <v>155</v>
      </c>
      <c r="E109" s="560">
        <f>'8'!F109</f>
        <v>55102</v>
      </c>
      <c r="F109" s="740">
        <v>55155</v>
      </c>
      <c r="G109" s="608">
        <f>F109-E109</f>
        <v>53</v>
      </c>
      <c r="H109" s="536">
        <f>G109+'8'!H109</f>
        <v>536</v>
      </c>
      <c r="I109" s="608"/>
      <c r="J109" s="635">
        <f>H109/DAY(B2)</f>
        <v>59.555555555555557</v>
      </c>
      <c r="N109" s="413">
        <v>40</v>
      </c>
    </row>
    <row r="110" spans="1:14" s="481" customFormat="1" ht="27.75">
      <c r="A110" s="1398" t="s">
        <v>232</v>
      </c>
      <c r="B110" s="1399"/>
      <c r="C110" s="1230"/>
      <c r="D110" s="699" t="s">
        <v>155</v>
      </c>
      <c r="E110" s="560">
        <f>'8'!F110</f>
        <v>29020</v>
      </c>
      <c r="F110" s="740">
        <v>29083</v>
      </c>
      <c r="G110" s="608">
        <f t="shared" ref="G110:G111" si="11">F110-E110</f>
        <v>63</v>
      </c>
      <c r="H110" s="536">
        <f>G110+'8'!H110</f>
        <v>589</v>
      </c>
      <c r="I110" s="608"/>
      <c r="J110" s="635">
        <f>H110/DAY(B2)</f>
        <v>65.444444444444443</v>
      </c>
      <c r="N110" s="413">
        <v>43</v>
      </c>
    </row>
    <row r="111" spans="1:14" s="481" customFormat="1" ht="27.75">
      <c r="A111" s="1398" t="s">
        <v>233</v>
      </c>
      <c r="B111" s="1399"/>
      <c r="C111" s="1230"/>
      <c r="D111" s="699" t="s">
        <v>155</v>
      </c>
      <c r="E111" s="560">
        <f>'8'!F111</f>
        <v>3802</v>
      </c>
      <c r="F111" s="740">
        <v>3839</v>
      </c>
      <c r="G111" s="608">
        <f t="shared" si="11"/>
        <v>37</v>
      </c>
      <c r="H111" s="536">
        <f>G111+'8'!H111</f>
        <v>99</v>
      </c>
      <c r="I111" s="608"/>
      <c r="J111" s="635">
        <f>H111/DAY(B2)</f>
        <v>11</v>
      </c>
      <c r="N111" s="413">
        <v>0</v>
      </c>
    </row>
    <row r="112" spans="1:14" s="481" customFormat="1" ht="27.75">
      <c r="A112" s="1400" t="s">
        <v>121</v>
      </c>
      <c r="B112" s="1401"/>
      <c r="C112" s="1230"/>
      <c r="D112" s="699"/>
      <c r="E112" s="560"/>
      <c r="F112" s="740"/>
      <c r="G112" s="608">
        <f>SUM(G109:G111)</f>
        <v>153</v>
      </c>
      <c r="H112" s="536">
        <f>G112+'8'!H112</f>
        <v>1224</v>
      </c>
      <c r="I112" s="608"/>
      <c r="J112" s="635">
        <f>H112/DAY(B2)</f>
        <v>136</v>
      </c>
      <c r="N112" s="413">
        <v>83</v>
      </c>
    </row>
    <row r="113" spans="1:14" s="481" customFormat="1" ht="27.75">
      <c r="A113" s="1404" t="s">
        <v>234</v>
      </c>
      <c r="B113" s="1405"/>
      <c r="C113" s="1230"/>
      <c r="D113" s="699"/>
      <c r="E113" s="560"/>
      <c r="F113" s="740"/>
      <c r="G113" s="608"/>
      <c r="H113" s="536">
        <f>G113+'8'!H113</f>
        <v>0</v>
      </c>
      <c r="I113" s="608"/>
      <c r="J113" s="635">
        <f>H113/DAY(B2)</f>
        <v>0</v>
      </c>
      <c r="N113" s="413"/>
    </row>
    <row r="114" spans="1:14" s="481" customFormat="1" ht="27.75">
      <c r="A114" s="1398" t="s">
        <v>235</v>
      </c>
      <c r="B114" s="1399"/>
      <c r="C114" s="651"/>
      <c r="D114" s="699" t="s">
        <v>155</v>
      </c>
      <c r="E114" s="560">
        <f>'8'!F114</f>
        <v>9904</v>
      </c>
      <c r="F114" s="740">
        <v>9919</v>
      </c>
      <c r="G114" s="610">
        <f>F114-E114</f>
        <v>15</v>
      </c>
      <c r="H114" s="536">
        <f>G114+'8'!H114</f>
        <v>132</v>
      </c>
      <c r="I114" s="608"/>
      <c r="J114" s="635">
        <f>H114/DAY(B2)</f>
        <v>14.666666666666666</v>
      </c>
      <c r="N114" s="413">
        <v>5</v>
      </c>
    </row>
    <row r="115" spans="1:14" s="481" customFormat="1" ht="27.75">
      <c r="A115" s="1398" t="s">
        <v>236</v>
      </c>
      <c r="B115" s="1399"/>
      <c r="C115" s="651"/>
      <c r="D115" s="699" t="s">
        <v>155</v>
      </c>
      <c r="E115" s="560">
        <f>'8'!F115</f>
        <v>7472</v>
      </c>
      <c r="F115" s="740">
        <v>7479</v>
      </c>
      <c r="G115" s="610">
        <f t="shared" ref="G115:G116" si="12">F115-E115</f>
        <v>7</v>
      </c>
      <c r="H115" s="536">
        <f>G115+'8'!H115</f>
        <v>59</v>
      </c>
      <c r="I115" s="608"/>
      <c r="J115" s="635">
        <f>H115/DAY(B2)</f>
        <v>6.5555555555555554</v>
      </c>
      <c r="N115" s="413">
        <v>3</v>
      </c>
    </row>
    <row r="116" spans="1:14" s="481" customFormat="1" ht="27.75">
      <c r="A116" s="1398" t="s">
        <v>237</v>
      </c>
      <c r="B116" s="1399"/>
      <c r="C116" s="651"/>
      <c r="D116" s="699" t="s">
        <v>155</v>
      </c>
      <c r="E116" s="610"/>
      <c r="F116" s="740"/>
      <c r="G116" s="610">
        <f t="shared" si="12"/>
        <v>0</v>
      </c>
      <c r="H116" s="536">
        <f>G116+'8'!H116</f>
        <v>0</v>
      </c>
      <c r="I116" s="608"/>
      <c r="J116" s="635">
        <f>H116/DAY(B2)</f>
        <v>0</v>
      </c>
      <c r="N116" s="413">
        <v>0</v>
      </c>
    </row>
    <row r="117" spans="1:14" s="494" customFormat="1" ht="27.75">
      <c r="A117" s="1400" t="s">
        <v>213</v>
      </c>
      <c r="B117" s="1401"/>
      <c r="C117" s="651"/>
      <c r="D117" s="700"/>
      <c r="E117" s="610"/>
      <c r="F117" s="740"/>
      <c r="G117" s="610">
        <f>SUM(G114:G116)</f>
        <v>22</v>
      </c>
      <c r="H117" s="536">
        <f>G117+'8'!H117</f>
        <v>191</v>
      </c>
      <c r="I117" s="610"/>
      <c r="J117" s="635">
        <f>H117/DAY(B2)</f>
        <v>21.222222222222221</v>
      </c>
      <c r="N117" s="413">
        <v>8</v>
      </c>
    </row>
    <row r="118" spans="1:14" s="495" customFormat="1" ht="27.75">
      <c r="A118" s="1394" t="s">
        <v>238</v>
      </c>
      <c r="B118" s="1395"/>
      <c r="C118" s="1228"/>
      <c r="D118" s="701" t="s">
        <v>155</v>
      </c>
      <c r="E118" s="612"/>
      <c r="F118" s="741">
        <f>SUM(G19+G92)</f>
        <v>156</v>
      </c>
      <c r="G118" s="612">
        <f>SUM(G19+G92)</f>
        <v>156</v>
      </c>
      <c r="H118" s="536">
        <f>G118+'8'!H118</f>
        <v>1304</v>
      </c>
      <c r="I118" s="611"/>
      <c r="J118" s="636">
        <f>H118/DAY(B2)</f>
        <v>144.88888888888889</v>
      </c>
      <c r="N118" s="413">
        <v>55</v>
      </c>
    </row>
    <row r="119" spans="1:14" s="495" customFormat="1" ht="27.75">
      <c r="A119" s="1394" t="s">
        <v>239</v>
      </c>
      <c r="B119" s="1395"/>
      <c r="C119" s="1228"/>
      <c r="D119" s="701" t="s">
        <v>155</v>
      </c>
      <c r="E119" s="612"/>
      <c r="F119" s="741">
        <f>SUM(G95,G96,G97,G99,G100)</f>
        <v>153</v>
      </c>
      <c r="G119" s="612">
        <f>SUM(G95,G96,G97,G99,G100)</f>
        <v>153</v>
      </c>
      <c r="H119" s="536">
        <f>G119+'8'!H119</f>
        <v>1317</v>
      </c>
      <c r="I119" s="611"/>
      <c r="J119" s="636">
        <f>H119/DAY(B2)</f>
        <v>146.33333333333334</v>
      </c>
      <c r="N119" s="413">
        <v>49</v>
      </c>
    </row>
    <row r="120" spans="1:14" s="495" customFormat="1" ht="27.75">
      <c r="A120" s="1394" t="s">
        <v>240</v>
      </c>
      <c r="B120" s="1395"/>
      <c r="C120" s="1228"/>
      <c r="D120" s="701" t="s">
        <v>155</v>
      </c>
      <c r="E120" s="610"/>
      <c r="F120" s="740">
        <f>SUM(G112)</f>
        <v>153</v>
      </c>
      <c r="G120" s="610">
        <f>SUM(G112)</f>
        <v>153</v>
      </c>
      <c r="H120" s="536">
        <f>G120+'8'!H120</f>
        <v>1224</v>
      </c>
      <c r="I120" s="611"/>
      <c r="J120" s="636">
        <f>H120/DAY(B2)</f>
        <v>136</v>
      </c>
      <c r="N120" s="413">
        <v>83</v>
      </c>
    </row>
    <row r="121" spans="1:14" s="481" customFormat="1" ht="27.75">
      <c r="A121" s="1396"/>
      <c r="B121" s="1397"/>
      <c r="C121" s="1229"/>
      <c r="D121" s="637"/>
      <c r="E121" s="637"/>
      <c r="F121" s="742" t="s">
        <v>226</v>
      </c>
      <c r="G121" s="637"/>
      <c r="H121" s="638"/>
      <c r="I121" s="637"/>
      <c r="J121" s="639"/>
      <c r="N121" s="413"/>
    </row>
    <row r="122" spans="1:14">
      <c r="A122" s="1431" t="s">
        <v>241</v>
      </c>
      <c r="B122" s="1432"/>
      <c r="C122" s="1433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</row>
    <row r="123" spans="1:14" ht="27.75">
      <c r="A123" s="1231" t="s">
        <v>242</v>
      </c>
      <c r="B123" s="1232"/>
      <c r="C123" s="1232"/>
      <c r="D123" s="599" t="s">
        <v>152</v>
      </c>
      <c r="E123" s="554">
        <f>'8'!F123</f>
        <v>805531.98</v>
      </c>
      <c r="F123" s="554">
        <v>805842</v>
      </c>
      <c r="G123" s="549">
        <f t="shared" ref="G123:G127" si="13">F123-E123</f>
        <v>310.02000000001863</v>
      </c>
      <c r="H123" s="536">
        <f>G123+'8'!H123</f>
        <v>2506.5999999999767</v>
      </c>
      <c r="I123" s="602"/>
      <c r="J123" s="629">
        <f>H123/DAY(B2)</f>
        <v>278.51111111110851</v>
      </c>
      <c r="K123" s="411"/>
      <c r="L123" s="408"/>
      <c r="N123" s="413">
        <v>111.45100000000093</v>
      </c>
    </row>
    <row r="124" spans="1:14" ht="27.75">
      <c r="A124" s="1231" t="s">
        <v>243</v>
      </c>
      <c r="B124" s="1232"/>
      <c r="C124" s="1232"/>
      <c r="D124" s="599" t="s">
        <v>152</v>
      </c>
      <c r="E124" s="703">
        <f>'8'!F124</f>
        <v>73583.399999999994</v>
      </c>
      <c r="F124" s="703">
        <v>73583.399999999994</v>
      </c>
      <c r="G124" s="549">
        <f t="shared" si="13"/>
        <v>0</v>
      </c>
      <c r="H124" s="536">
        <f>G124+'8'!H124</f>
        <v>1.3999999999941792</v>
      </c>
      <c r="I124" s="602"/>
      <c r="J124" s="629">
        <f>H124/DAY(B2)</f>
        <v>0.1555555555549088</v>
      </c>
      <c r="K124" s="411"/>
      <c r="L124" s="408"/>
      <c r="N124" s="413">
        <v>0</v>
      </c>
    </row>
    <row r="125" spans="1:14" ht="27.75">
      <c r="A125" s="1385" t="s">
        <v>244</v>
      </c>
      <c r="B125" s="1386"/>
      <c r="C125" s="1387"/>
      <c r="D125" s="599" t="s">
        <v>152</v>
      </c>
      <c r="E125" s="554">
        <f>'8'!F125</f>
        <v>138377.72</v>
      </c>
      <c r="F125" s="554">
        <v>138425.57999999999</v>
      </c>
      <c r="G125" s="549">
        <f t="shared" si="13"/>
        <v>47.85999999998603</v>
      </c>
      <c r="H125" s="536">
        <f>G125+'8'!H125</f>
        <v>577.57999999998719</v>
      </c>
      <c r="I125" s="602"/>
      <c r="J125" s="629">
        <f>H125/DAY(B2)</f>
        <v>64.175555555554126</v>
      </c>
      <c r="K125" s="411"/>
      <c r="L125" s="408"/>
      <c r="N125" s="413">
        <v>43.220000000001164</v>
      </c>
    </row>
    <row r="126" spans="1:14" ht="27.75">
      <c r="A126" s="686" t="s">
        <v>245</v>
      </c>
      <c r="B126" s="1232"/>
      <c r="C126" s="1232"/>
      <c r="D126" s="599" t="s">
        <v>152</v>
      </c>
      <c r="E126" s="703">
        <f>'8'!F126</f>
        <v>58706.3</v>
      </c>
      <c r="F126" s="703">
        <v>58738</v>
      </c>
      <c r="G126" s="549">
        <f t="shared" si="13"/>
        <v>31.69999999999709</v>
      </c>
      <c r="H126" s="536">
        <f>G126+'8'!H126</f>
        <v>346.30000000000291</v>
      </c>
      <c r="I126" s="602"/>
      <c r="J126" s="629">
        <f>H126/DAY(B2)</f>
        <v>38.477777777778101</v>
      </c>
      <c r="K126" s="411"/>
      <c r="L126" s="408"/>
      <c r="N126" s="413">
        <v>0</v>
      </c>
    </row>
    <row r="127" spans="1:14" ht="27.75">
      <c r="A127" s="686" t="s">
        <v>246</v>
      </c>
      <c r="B127" s="1232"/>
      <c r="C127" s="1232"/>
      <c r="D127" s="599" t="s">
        <v>152</v>
      </c>
      <c r="E127" s="703">
        <f>'8'!F127</f>
        <v>8836</v>
      </c>
      <c r="F127" s="703">
        <v>8837.7999999999993</v>
      </c>
      <c r="G127" s="549">
        <f t="shared" si="13"/>
        <v>1.7999999999992724</v>
      </c>
      <c r="H127" s="536">
        <f>G127+'8'!H127</f>
        <v>21.799999999999272</v>
      </c>
      <c r="I127" s="556"/>
      <c r="J127" s="629">
        <f>H127/DAY(B2)</f>
        <v>2.4222222222221412</v>
      </c>
      <c r="K127" s="411"/>
      <c r="L127" s="408"/>
      <c r="N127" s="413">
        <v>0</v>
      </c>
    </row>
    <row r="128" spans="1:14" s="281" customFormat="1" ht="27.75">
      <c r="A128" s="686" t="s">
        <v>247</v>
      </c>
      <c r="B128" s="1232"/>
      <c r="C128" s="1232"/>
      <c r="D128" s="599"/>
      <c r="E128" s="554"/>
      <c r="F128" s="554"/>
      <c r="G128" s="549">
        <f>G15-SUM(G123:G127)</f>
        <v>245.67000000004555</v>
      </c>
      <c r="H128" s="536"/>
      <c r="I128" s="556"/>
      <c r="J128" s="629"/>
      <c r="K128" s="391"/>
      <c r="L128" s="293"/>
      <c r="N128" s="413">
        <v>175.87500000008731</v>
      </c>
    </row>
    <row r="129" spans="1:14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</row>
    <row r="130" spans="1:14" ht="27.75">
      <c r="A130" s="1231" t="s">
        <v>249</v>
      </c>
      <c r="B130" s="1232"/>
      <c r="C130" s="1232"/>
      <c r="D130" s="599" t="s">
        <v>250</v>
      </c>
      <c r="E130" s="560">
        <f>'8'!F130</f>
        <v>0</v>
      </c>
      <c r="F130" s="554">
        <v>0</v>
      </c>
      <c r="G130" s="549">
        <f t="shared" ref="G130:G140" si="14">F130-E130</f>
        <v>0</v>
      </c>
      <c r="H130" s="536">
        <f>G130+'8'!H130</f>
        <v>0</v>
      </c>
      <c r="I130" s="556"/>
      <c r="J130" s="629">
        <f>H130/DAY(B2)</f>
        <v>0</v>
      </c>
      <c r="N130" s="413">
        <v>0</v>
      </c>
    </row>
    <row r="131" spans="1:14" ht="27.75">
      <c r="A131" s="1231" t="s">
        <v>251</v>
      </c>
      <c r="B131" s="1232"/>
      <c r="C131" s="1232"/>
      <c r="D131" s="599" t="s">
        <v>250</v>
      </c>
      <c r="E131" s="560">
        <f>'8'!F131</f>
        <v>0</v>
      </c>
      <c r="F131" s="554">
        <v>0</v>
      </c>
      <c r="G131" s="549">
        <f t="shared" si="14"/>
        <v>0</v>
      </c>
      <c r="H131" s="536">
        <f>G131+'8'!H131</f>
        <v>0</v>
      </c>
      <c r="I131" s="556"/>
      <c r="J131" s="629">
        <f>H131/DAY(B2)</f>
        <v>0</v>
      </c>
      <c r="N131" s="413">
        <v>0</v>
      </c>
    </row>
    <row r="132" spans="1:14" ht="27.75">
      <c r="A132" s="1231" t="s">
        <v>252</v>
      </c>
      <c r="B132" s="1232"/>
      <c r="C132" s="1232"/>
      <c r="D132" s="599" t="s">
        <v>250</v>
      </c>
      <c r="E132" s="560">
        <f>'8'!F132</f>
        <v>39191.29</v>
      </c>
      <c r="F132" s="703">
        <v>39191.29</v>
      </c>
      <c r="G132" s="549">
        <f t="shared" si="14"/>
        <v>0</v>
      </c>
      <c r="H132" s="536">
        <f>G132+'8'!H132</f>
        <v>86.849999999998545</v>
      </c>
      <c r="I132" s="556"/>
      <c r="J132" s="629">
        <f>H132/DAY(B2)</f>
        <v>9.6499999999998387</v>
      </c>
      <c r="N132" s="413">
        <v>22</v>
      </c>
    </row>
    <row r="133" spans="1:14" ht="27.75">
      <c r="A133" s="1231" t="s">
        <v>253</v>
      </c>
      <c r="B133" s="1232"/>
      <c r="C133" s="1232"/>
      <c r="D133" s="599" t="s">
        <v>250</v>
      </c>
      <c r="E133" s="560">
        <f>'8'!F133</f>
        <v>299</v>
      </c>
      <c r="F133" s="561">
        <v>299</v>
      </c>
      <c r="G133" s="549">
        <f t="shared" si="14"/>
        <v>0</v>
      </c>
      <c r="H133" s="536">
        <f>G133+'8'!H133</f>
        <v>0</v>
      </c>
      <c r="I133" s="556">
        <f>G130+G131+G132+G133</f>
        <v>0</v>
      </c>
      <c r="J133" s="629">
        <f>H133/DAY(B2)</f>
        <v>0</v>
      </c>
      <c r="N133" s="413">
        <v>0</v>
      </c>
    </row>
    <row r="134" spans="1:14" ht="27.75">
      <c r="A134" s="1231" t="s">
        <v>254</v>
      </c>
      <c r="B134" s="1232"/>
      <c r="C134" s="1232"/>
      <c r="D134" s="599" t="s">
        <v>250</v>
      </c>
      <c r="E134" s="560">
        <f>'8'!F134</f>
        <v>40055.449999999997</v>
      </c>
      <c r="F134" s="703">
        <v>40079.49</v>
      </c>
      <c r="G134" s="549">
        <f t="shared" si="14"/>
        <v>24.040000000000873</v>
      </c>
      <c r="H134" s="536">
        <f>G134+'8'!H134</f>
        <v>128.48999999999796</v>
      </c>
      <c r="I134" s="556"/>
      <c r="J134" s="629">
        <f>H134/DAY(B2)</f>
        <v>14.27666666666644</v>
      </c>
      <c r="N134" s="413">
        <v>0</v>
      </c>
    </row>
    <row r="135" spans="1:14" ht="27.75">
      <c r="A135" s="1231" t="s">
        <v>255</v>
      </c>
      <c r="B135" s="1232"/>
      <c r="C135" s="1232"/>
      <c r="D135" s="599" t="s">
        <v>250</v>
      </c>
      <c r="E135" s="560">
        <f>'8'!F135</f>
        <v>32423</v>
      </c>
      <c r="F135" s="703">
        <v>32423</v>
      </c>
      <c r="G135" s="549">
        <f t="shared" si="14"/>
        <v>0</v>
      </c>
      <c r="H135" s="536">
        <f>G135+'8'!H135</f>
        <v>0</v>
      </c>
      <c r="I135" s="556"/>
      <c r="J135" s="629">
        <f>H135/DAY(B2)</f>
        <v>0</v>
      </c>
      <c r="N135" s="413">
        <v>0</v>
      </c>
    </row>
    <row r="136" spans="1:14" ht="27.75">
      <c r="A136" s="1231" t="s">
        <v>256</v>
      </c>
      <c r="B136" s="1232"/>
      <c r="C136" s="1232"/>
      <c r="D136" s="599" t="s">
        <v>250</v>
      </c>
      <c r="E136" s="560">
        <f>'8'!F136</f>
        <v>22054.57</v>
      </c>
      <c r="F136" s="732">
        <v>22054.82</v>
      </c>
      <c r="G136" s="549">
        <f t="shared" si="14"/>
        <v>0.25</v>
      </c>
      <c r="H136" s="536">
        <f>G136+'8'!H136</f>
        <v>52.860000000000582</v>
      </c>
      <c r="I136" s="556">
        <f>G134+G135+G136</f>
        <v>24.290000000000873</v>
      </c>
      <c r="J136" s="629">
        <f>H136/DAY(B2)</f>
        <v>5.8733333333333979</v>
      </c>
      <c r="N136" s="413">
        <v>-0.2999999999992724</v>
      </c>
    </row>
    <row r="137" spans="1:14" ht="27.75">
      <c r="A137" s="1231" t="s">
        <v>257</v>
      </c>
      <c r="B137" s="1232"/>
      <c r="C137" s="1232"/>
      <c r="D137" s="599" t="s">
        <v>250</v>
      </c>
      <c r="E137" s="560">
        <f>'8'!F137</f>
        <v>25030.03</v>
      </c>
      <c r="F137" s="732">
        <v>25030</v>
      </c>
      <c r="G137" s="549">
        <f t="shared" si="14"/>
        <v>-2.9999999998835847E-2</v>
      </c>
      <c r="H137" s="536">
        <f>G137+'8'!H137</f>
        <v>10.06000000000131</v>
      </c>
      <c r="I137" s="556"/>
      <c r="J137" s="629">
        <f>H137/DAY(B2)</f>
        <v>1.1177777777779232</v>
      </c>
      <c r="N137" s="413">
        <v>0</v>
      </c>
    </row>
    <row r="138" spans="1:14" ht="27.75">
      <c r="A138" s="1231" t="s">
        <v>258</v>
      </c>
      <c r="B138" s="1232"/>
      <c r="C138" s="1232"/>
      <c r="D138" s="599" t="s">
        <v>250</v>
      </c>
      <c r="E138" s="560">
        <f>'8'!F138</f>
        <v>70063.89</v>
      </c>
      <c r="F138" s="732">
        <v>70072.97</v>
      </c>
      <c r="G138" s="549">
        <f t="shared" si="14"/>
        <v>9.0800000000017462</v>
      </c>
      <c r="H138" s="536">
        <f>G138+'8'!H138</f>
        <v>9.0800000000017462</v>
      </c>
      <c r="I138" s="556">
        <f>G137+G138</f>
        <v>9.0500000000029104</v>
      </c>
      <c r="J138" s="629">
        <f>H138/DAY(B2)</f>
        <v>1.008888888889083</v>
      </c>
      <c r="N138" s="413">
        <v>9.7100000000064028</v>
      </c>
    </row>
    <row r="139" spans="1:14" ht="27.75">
      <c r="A139" s="1231" t="s">
        <v>259</v>
      </c>
      <c r="B139" s="1232"/>
      <c r="C139" s="1232"/>
      <c r="D139" s="599" t="s">
        <v>250</v>
      </c>
      <c r="E139" s="560">
        <f>'8'!F139</f>
        <v>1265</v>
      </c>
      <c r="F139" s="703">
        <v>1274</v>
      </c>
      <c r="G139" s="549">
        <f t="shared" si="14"/>
        <v>9</v>
      </c>
      <c r="H139" s="536">
        <f>G139+'8'!H139</f>
        <v>73.410000000000082</v>
      </c>
      <c r="I139" s="619"/>
      <c r="J139" s="629">
        <f>H139/DAY(B2)</f>
        <v>8.1566666666666752</v>
      </c>
      <c r="N139" s="413">
        <v>0</v>
      </c>
    </row>
    <row r="140" spans="1:14" ht="27.75">
      <c r="A140" s="1231" t="s">
        <v>260</v>
      </c>
      <c r="B140" s="1232"/>
      <c r="C140" s="1232"/>
      <c r="D140" s="599" t="s">
        <v>250</v>
      </c>
      <c r="E140" s="560">
        <f>'8'!F140</f>
        <v>4334</v>
      </c>
      <c r="F140" s="554">
        <v>4334</v>
      </c>
      <c r="G140" s="549">
        <f t="shared" si="14"/>
        <v>0</v>
      </c>
      <c r="H140" s="536">
        <f>G140+'8'!H140</f>
        <v>0</v>
      </c>
      <c r="I140" s="619"/>
      <c r="J140" s="629">
        <f>H140/DAY(B2)</f>
        <v>0</v>
      </c>
      <c r="N140" s="413">
        <v>3.6500000000000909</v>
      </c>
    </row>
    <row r="141" spans="1:14">
      <c r="A141" s="1412" t="s">
        <v>261</v>
      </c>
      <c r="B141" s="1413"/>
      <c r="C141" s="1237"/>
      <c r="D141" s="548"/>
      <c r="E141" s="548"/>
      <c r="F141" s="548"/>
      <c r="G141" s="559"/>
      <c r="H141" s="559"/>
      <c r="I141" s="559"/>
      <c r="J141" s="640"/>
      <c r="K141" s="411"/>
      <c r="L141" s="408"/>
      <c r="N141" s="413"/>
    </row>
    <row r="142" spans="1:14" ht="27.75">
      <c r="A142" s="1406" t="s">
        <v>262</v>
      </c>
      <c r="B142" s="1407"/>
      <c r="C142" s="1408"/>
      <c r="D142" s="599" t="s">
        <v>143</v>
      </c>
      <c r="E142" s="599"/>
      <c r="F142" s="599"/>
      <c r="G142" s="536">
        <f>G35+G43+G49+G57</f>
        <v>5053.2499999998836</v>
      </c>
      <c r="H142" s="536">
        <f>G142+'8'!H142</f>
        <v>44895.199999999895</v>
      </c>
      <c r="I142" s="556"/>
      <c r="J142" s="629">
        <f>H142/DAY(B2)</f>
        <v>4988.355555555544</v>
      </c>
      <c r="K142" s="411"/>
      <c r="L142" s="408"/>
      <c r="N142" s="413">
        <v>2912.0800000000163</v>
      </c>
    </row>
    <row r="143" spans="1:14" ht="27.75">
      <c r="A143" s="1406" t="s">
        <v>263</v>
      </c>
      <c r="B143" s="1407"/>
      <c r="C143" s="1408"/>
      <c r="D143" s="599" t="s">
        <v>24</v>
      </c>
      <c r="E143" s="587"/>
      <c r="F143" s="587"/>
      <c r="G143" s="620">
        <f>G142/G7</f>
        <v>0.27467793662009476</v>
      </c>
      <c r="H143" s="536">
        <f>G143+'8'!H143</f>
        <v>2.2433266184312948</v>
      </c>
      <c r="I143" s="621"/>
      <c r="J143" s="629">
        <f>H143/DAY(B2)</f>
        <v>0.24925851315903275</v>
      </c>
      <c r="K143" s="411"/>
      <c r="L143" s="408"/>
      <c r="N143" s="413">
        <v>0.25636763799630391</v>
      </c>
    </row>
    <row r="144" spans="1:14" ht="27.75">
      <c r="A144" s="1406" t="s">
        <v>264</v>
      </c>
      <c r="B144" s="1407"/>
      <c r="C144" s="1408"/>
      <c r="D144" s="599" t="s">
        <v>143</v>
      </c>
      <c r="E144" s="531"/>
      <c r="F144" s="531"/>
      <c r="G144" s="536">
        <f>G41+G42+G55+G56</f>
        <v>3536</v>
      </c>
      <c r="H144" s="536">
        <f>G144+'8'!H144</f>
        <v>34729.859999999971</v>
      </c>
      <c r="I144" s="556"/>
      <c r="J144" s="629">
        <f>H144/DAY(B2)</f>
        <v>3858.8733333333303</v>
      </c>
      <c r="K144" s="411"/>
      <c r="L144" s="408"/>
      <c r="N144" s="413">
        <v>2876.3199999999779</v>
      </c>
    </row>
    <row r="145" spans="1:14" ht="27.75">
      <c r="A145" s="1406" t="s">
        <v>265</v>
      </c>
      <c r="B145" s="1407"/>
      <c r="C145" s="1408"/>
      <c r="D145" s="599" t="s">
        <v>24</v>
      </c>
      <c r="E145" s="531"/>
      <c r="F145" s="531"/>
      <c r="G145" s="620">
        <f>G144/G7</f>
        <v>0.19220525085611784</v>
      </c>
      <c r="H145" s="536">
        <f>G145+'8'!H145</f>
        <v>1.8882708671468167</v>
      </c>
      <c r="I145" s="621"/>
      <c r="J145" s="629">
        <f>H145/DAY(B2)</f>
        <v>0.20980787412742408</v>
      </c>
      <c r="K145" s="411"/>
      <c r="L145" s="408"/>
      <c r="N145" s="413">
        <v>0.25321947354520452</v>
      </c>
    </row>
    <row r="146" spans="1:14" ht="27.75">
      <c r="A146" s="1406" t="s">
        <v>266</v>
      </c>
      <c r="B146" s="1407"/>
      <c r="C146" s="1408"/>
      <c r="D146" s="599" t="s">
        <v>143</v>
      </c>
      <c r="E146" s="531"/>
      <c r="F146" s="531"/>
      <c r="G146" s="536">
        <f>G39+G53</f>
        <v>4116.22</v>
      </c>
      <c r="H146" s="536">
        <f>G146+'8'!H146</f>
        <v>37523.239999999991</v>
      </c>
      <c r="I146" s="622"/>
      <c r="J146" s="629">
        <f>H146/DAY(B2)</f>
        <v>4169.2488888888874</v>
      </c>
      <c r="K146" s="411"/>
      <c r="L146" s="408"/>
      <c r="N146" s="413">
        <v>2036.5859000000055</v>
      </c>
    </row>
    <row r="147" spans="1:14" ht="27.75">
      <c r="A147" s="1406" t="s">
        <v>267</v>
      </c>
      <c r="B147" s="1407"/>
      <c r="C147" s="1408"/>
      <c r="D147" s="599" t="s">
        <v>24</v>
      </c>
      <c r="E147" s="531"/>
      <c r="F147" s="531"/>
      <c r="G147" s="620">
        <f>G146/G7</f>
        <v>0.22374408871011581</v>
      </c>
      <c r="H147" s="536">
        <f>G147+'8'!H147</f>
        <v>2.0431194286953738</v>
      </c>
      <c r="I147" s="622"/>
      <c r="J147" s="629">
        <f>H147/DAY(B2)</f>
        <v>0.22701326985504153</v>
      </c>
      <c r="N147" s="413">
        <v>0.17929271062593585</v>
      </c>
    </row>
    <row r="148" spans="1:14" ht="27.75">
      <c r="A148" s="1406" t="s">
        <v>268</v>
      </c>
      <c r="B148" s="1407"/>
      <c r="C148" s="1408"/>
      <c r="D148" s="599" t="s">
        <v>194</v>
      </c>
      <c r="E148" s="531"/>
      <c r="F148" s="531"/>
      <c r="G148" s="536">
        <f>G38+G52</f>
        <v>1896.54</v>
      </c>
      <c r="H148" s="536">
        <f>G148+'8'!H148</f>
        <v>18026.620000000035</v>
      </c>
      <c r="I148" s="556"/>
      <c r="J148" s="629">
        <f>H148/DAY(B2)</f>
        <v>2002.9577777777818</v>
      </c>
      <c r="K148" s="412"/>
      <c r="N148" s="413">
        <v>1071.8899999999849</v>
      </c>
    </row>
    <row r="149" spans="1:14" ht="27.75">
      <c r="A149" s="1406" t="s">
        <v>269</v>
      </c>
      <c r="B149" s="1407"/>
      <c r="C149" s="1408"/>
      <c r="D149" s="599" t="s">
        <v>24</v>
      </c>
      <c r="E149" s="531"/>
      <c r="F149" s="531"/>
      <c r="G149" s="620">
        <f>G148/G7</f>
        <v>0.10308963417948579</v>
      </c>
      <c r="H149" s="536">
        <f>G149+'8'!H149</f>
        <v>0.9820114239701333</v>
      </c>
      <c r="I149" s="622"/>
      <c r="J149" s="629">
        <f>H149/DAY(B2)</f>
        <v>0.10911238044112592</v>
      </c>
      <c r="N149" s="413">
        <v>9.4364820846904202E-2</v>
      </c>
    </row>
    <row r="150" spans="1:14" ht="27.75">
      <c r="A150" s="1406" t="s">
        <v>270</v>
      </c>
      <c r="B150" s="1407"/>
      <c r="C150" s="1408"/>
      <c r="D150" s="599" t="s">
        <v>194</v>
      </c>
      <c r="E150" s="531"/>
      <c r="F150" s="531"/>
      <c r="G150" s="536">
        <f>G36+G50</f>
        <v>1818.4000000000233</v>
      </c>
      <c r="H150" s="536">
        <f>G150+'8'!H150</f>
        <v>16176.049999999988</v>
      </c>
      <c r="I150" s="622"/>
      <c r="J150" s="629">
        <f>H150/DAY(B2)</f>
        <v>1797.3388888888876</v>
      </c>
      <c r="N150" s="413">
        <v>1124.1299999999901</v>
      </c>
    </row>
    <row r="151" spans="1:14" ht="27.75">
      <c r="A151" s="1406" t="s">
        <v>271</v>
      </c>
      <c r="B151" s="1407"/>
      <c r="C151" s="1408"/>
      <c r="D151" s="599" t="s">
        <v>24</v>
      </c>
      <c r="E151" s="531"/>
      <c r="F151" s="531"/>
      <c r="G151" s="620">
        <f>G150/G7</f>
        <v>9.8842202533022949E-2</v>
      </c>
      <c r="H151" s="536">
        <f>G151+'8'!H151</f>
        <v>0.87881428484689295</v>
      </c>
      <c r="I151" s="556"/>
      <c r="J151" s="629">
        <f>H151/DAY(B2)</f>
        <v>9.7646031649654769E-2</v>
      </c>
      <c r="N151" s="413">
        <v>9.8963817237432E-2</v>
      </c>
    </row>
    <row r="152" spans="1:14" ht="27.75">
      <c r="A152" s="1406" t="s">
        <v>272</v>
      </c>
      <c r="B152" s="1407"/>
      <c r="C152" s="1408"/>
      <c r="D152" s="599" t="s">
        <v>194</v>
      </c>
      <c r="E152" s="531"/>
      <c r="F152" s="531"/>
      <c r="G152" s="536">
        <f>G37+G51</f>
        <v>1433.25</v>
      </c>
      <c r="H152" s="536">
        <f>G152+'8'!H152</f>
        <v>13523.699999999993</v>
      </c>
      <c r="I152" s="556"/>
      <c r="J152" s="629">
        <f>H152/DAY(B2)</f>
        <v>1502.6333333333325</v>
      </c>
      <c r="N152" s="413">
        <v>1164.4599999999919</v>
      </c>
    </row>
    <row r="153" spans="1:14" ht="27" customHeight="1" thickBot="1">
      <c r="A153" s="1409" t="s">
        <v>273</v>
      </c>
      <c r="B153" s="1410"/>
      <c r="C153" s="1411"/>
      <c r="D153" s="702" t="s">
        <v>24</v>
      </c>
      <c r="E153" s="642"/>
      <c r="F153" s="642"/>
      <c r="G153" s="643">
        <f>G152/G7</f>
        <v>7.7906723922378643E-2</v>
      </c>
      <c r="H153" s="536">
        <f>G153+'8'!H153</f>
        <v>0.73951339821677742</v>
      </c>
      <c r="I153" s="645"/>
      <c r="J153" s="646">
        <f>H153/DAY(B2)</f>
        <v>8.2168155357419712E-2</v>
      </c>
      <c r="N153" s="413">
        <v>0.10251430583678069</v>
      </c>
    </row>
    <row r="154" spans="1:14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413"/>
    </row>
    <row r="157" spans="1:14" ht="27.75">
      <c r="A157" s="1440" t="s">
        <v>278</v>
      </c>
      <c r="B157" s="1441"/>
      <c r="C157" s="1441"/>
      <c r="D157" s="1441"/>
      <c r="E157" s="1441"/>
      <c r="F157" s="1441"/>
      <c r="G157" s="1442"/>
    </row>
    <row r="158" spans="1:14">
      <c r="A158" s="868"/>
      <c r="B158" s="869"/>
      <c r="C158" s="869"/>
      <c r="D158" s="587"/>
      <c r="E158" s="531"/>
      <c r="F158" s="739"/>
      <c r="G158" s="549"/>
    </row>
    <row r="159" spans="1:14">
      <c r="A159" s="868"/>
      <c r="B159" s="869"/>
      <c r="C159" s="869"/>
      <c r="D159" s="587"/>
      <c r="E159" s="531"/>
      <c r="F159" s="739"/>
      <c r="G159" s="549"/>
    </row>
    <row r="160" spans="1:14">
      <c r="A160" s="868" t="s">
        <v>274</v>
      </c>
      <c r="B160" s="869"/>
      <c r="C160" s="869"/>
      <c r="D160" s="587" t="s">
        <v>198</v>
      </c>
      <c r="E160" s="1148">
        <f>'8'!F160</f>
        <v>29089.599999999999</v>
      </c>
      <c r="F160" s="739">
        <v>29173.9</v>
      </c>
      <c r="G160" s="549">
        <f t="shared" ref="G160:G171" si="15">F160-E160</f>
        <v>84.30000000000291</v>
      </c>
    </row>
    <row r="161" spans="1:7">
      <c r="A161" s="868" t="s">
        <v>275</v>
      </c>
      <c r="B161" s="869"/>
      <c r="C161" s="869"/>
      <c r="D161" s="587" t="s">
        <v>198</v>
      </c>
      <c r="E161" s="1148">
        <f>'8'!F161</f>
        <v>46314.44</v>
      </c>
      <c r="F161" s="739">
        <v>46734.53</v>
      </c>
      <c r="G161" s="549">
        <f t="shared" si="15"/>
        <v>420.08999999999651</v>
      </c>
    </row>
    <row r="162" spans="1:7">
      <c r="A162" s="868" t="s">
        <v>276</v>
      </c>
      <c r="B162" s="869"/>
      <c r="C162" s="869"/>
      <c r="D162" s="587" t="s">
        <v>198</v>
      </c>
      <c r="E162" s="1148">
        <f>'8'!F162</f>
        <v>14652</v>
      </c>
      <c r="F162" s="739">
        <v>14913</v>
      </c>
      <c r="G162" s="549">
        <f t="shared" si="15"/>
        <v>261</v>
      </c>
    </row>
    <row r="163" spans="1:7">
      <c r="A163" s="868" t="s">
        <v>277</v>
      </c>
      <c r="B163" s="869"/>
      <c r="C163" s="869"/>
      <c r="D163" s="587" t="s">
        <v>198</v>
      </c>
      <c r="E163" s="1148">
        <f>'8'!F163</f>
        <v>5126.93</v>
      </c>
      <c r="F163" s="739">
        <v>5133.67</v>
      </c>
      <c r="G163" s="549">
        <f t="shared" si="15"/>
        <v>6.7399999999997817</v>
      </c>
    </row>
    <row r="164" spans="1:7">
      <c r="A164" s="870" t="s">
        <v>106</v>
      </c>
      <c r="B164" s="681"/>
      <c r="C164" s="681"/>
      <c r="D164" s="587" t="s">
        <v>198</v>
      </c>
      <c r="E164" s="1148">
        <f>'8'!F164</f>
        <v>20419</v>
      </c>
      <c r="F164" s="590">
        <f>F62</f>
        <v>20419</v>
      </c>
      <c r="G164" s="549">
        <f t="shared" si="15"/>
        <v>0</v>
      </c>
    </row>
    <row r="165" spans="1:7">
      <c r="A165" s="870" t="s">
        <v>199</v>
      </c>
      <c r="B165" s="681"/>
      <c r="C165" s="681"/>
      <c r="D165" s="587" t="s">
        <v>198</v>
      </c>
      <c r="E165" s="1148">
        <f>'8'!F165</f>
        <v>1448</v>
      </c>
      <c r="F165" s="590">
        <f t="shared" ref="F165:F171" si="16">F63</f>
        <v>1461.25</v>
      </c>
      <c r="G165" s="549">
        <f t="shared" si="15"/>
        <v>13.25</v>
      </c>
    </row>
    <row r="166" spans="1:7" ht="27.75">
      <c r="A166" s="1381" t="s">
        <v>107</v>
      </c>
      <c r="B166" s="1381"/>
      <c r="C166" s="1381"/>
      <c r="D166" s="599" t="s">
        <v>198</v>
      </c>
      <c r="E166" s="1148">
        <f>'8'!F166</f>
        <v>114652</v>
      </c>
      <c r="F166" s="590">
        <f t="shared" si="16"/>
        <v>115058</v>
      </c>
      <c r="G166" s="549">
        <f t="shared" si="15"/>
        <v>406</v>
      </c>
    </row>
    <row r="167" spans="1:7" ht="27.75">
      <c r="A167" s="1381" t="s">
        <v>108</v>
      </c>
      <c r="B167" s="1381"/>
      <c r="C167" s="1381"/>
      <c r="D167" s="599" t="s">
        <v>198</v>
      </c>
      <c r="E167" s="1148">
        <f>'8'!F167</f>
        <v>124743.57</v>
      </c>
      <c r="F167" s="590">
        <f t="shared" si="16"/>
        <v>125120.88</v>
      </c>
      <c r="G167" s="549">
        <f t="shared" si="15"/>
        <v>377.30999999999767</v>
      </c>
    </row>
    <row r="168" spans="1:7" ht="27.75">
      <c r="A168" s="1381" t="s">
        <v>109</v>
      </c>
      <c r="B168" s="1381"/>
      <c r="C168" s="1381"/>
      <c r="D168" s="599" t="s">
        <v>198</v>
      </c>
      <c r="E168" s="1148">
        <f>'8'!F168</f>
        <v>17352</v>
      </c>
      <c r="F168" s="590">
        <f t="shared" si="16"/>
        <v>17730</v>
      </c>
      <c r="G168" s="549">
        <f t="shared" si="15"/>
        <v>378</v>
      </c>
    </row>
    <row r="169" spans="1:7" ht="27.75">
      <c r="A169" s="1381" t="s">
        <v>110</v>
      </c>
      <c r="B169" s="1381"/>
      <c r="C169" s="1381"/>
      <c r="D169" s="599" t="s">
        <v>198</v>
      </c>
      <c r="E169" s="1148">
        <f>'8'!F169</f>
        <v>194279.53</v>
      </c>
      <c r="F169" s="590">
        <f t="shared" si="16"/>
        <v>194973</v>
      </c>
      <c r="G169" s="549">
        <f t="shared" si="15"/>
        <v>693.47000000000116</v>
      </c>
    </row>
    <row r="170" spans="1:7" ht="27.75">
      <c r="A170" s="1381" t="s">
        <v>111</v>
      </c>
      <c r="B170" s="1381"/>
      <c r="C170" s="1381"/>
      <c r="D170" s="599" t="s">
        <v>198</v>
      </c>
      <c r="E170" s="1148">
        <f>'8'!F170</f>
        <v>66016</v>
      </c>
      <c r="F170" s="590">
        <f t="shared" si="16"/>
        <v>66359</v>
      </c>
      <c r="G170" s="549">
        <f t="shared" si="15"/>
        <v>343</v>
      </c>
    </row>
    <row r="171" spans="1:7" ht="27.75">
      <c r="A171" s="1381" t="s">
        <v>112</v>
      </c>
      <c r="B171" s="1381"/>
      <c r="C171" s="1381"/>
      <c r="D171" s="599" t="s">
        <v>198</v>
      </c>
      <c r="E171" s="1148">
        <f>'8'!F171</f>
        <v>58134</v>
      </c>
      <c r="F171" s="590">
        <f t="shared" si="16"/>
        <v>58410</v>
      </c>
      <c r="G171" s="549">
        <f t="shared" si="15"/>
        <v>276</v>
      </c>
    </row>
    <row r="176" spans="1:7" ht="18.75" customHeight="1"/>
    <row r="177" spans="6:6" ht="18.75" customHeight="1">
      <c r="F177" s="744" t="s">
        <v>226</v>
      </c>
    </row>
    <row r="181" spans="6:6" ht="19.5" customHeight="1"/>
    <row r="184" spans="6:6" ht="19.5" customHeight="1"/>
    <row r="185" spans="6:6" ht="19.5" customHeight="1"/>
    <row r="186" spans="6:6" ht="19.5" customHeight="1"/>
    <row r="187" spans="6:6" ht="19.5" customHeight="1"/>
    <row r="188" spans="6:6" ht="19.5" customHeight="1"/>
    <row r="189" spans="6:6" ht="19.5" customHeight="1"/>
    <row r="190" spans="6:6" ht="19.5" customHeight="1"/>
  </sheetData>
  <mergeCells count="75"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01:C101"/>
    <mergeCell ref="A122:C122"/>
    <mergeCell ref="A141:B141"/>
    <mergeCell ref="A152:C152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0:C170"/>
    <mergeCell ref="A171:C171"/>
    <mergeCell ref="A157:G157"/>
    <mergeCell ref="A166:C166"/>
    <mergeCell ref="A167:C167"/>
    <mergeCell ref="A168:C168"/>
    <mergeCell ref="A169:C169"/>
  </mergeCells>
  <pageMargins left="0.22" right="0.17" top="0.14000000000000001" bottom="0.2" header="0.2" footer="0.2"/>
  <pageSetup paperSize="5" scale="23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237"/>
  <sheetViews>
    <sheetView view="pageBreakPreview" topLeftCell="A55" zoomScale="60" zoomScaleNormal="55" workbookViewId="0">
      <selection activeCell="F28" sqref="F28"/>
    </sheetView>
  </sheetViews>
  <sheetFormatPr defaultColWidth="22.33203125" defaultRowHeight="29.25"/>
  <cols>
    <col min="1" max="1" width="41.77734375" style="530" customWidth="1"/>
    <col min="2" max="2" width="31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480" customWidth="1"/>
    <col min="15" max="16384" width="22.33203125" style="407"/>
  </cols>
  <sheetData>
    <row r="1" spans="1:14" ht="33.75">
      <c r="A1" s="1414" t="s">
        <v>128</v>
      </c>
      <c r="B1" s="1415"/>
      <c r="C1" s="1415"/>
      <c r="D1" s="1415"/>
      <c r="E1" s="1415"/>
      <c r="F1" s="1415"/>
      <c r="G1" s="1415"/>
      <c r="H1" s="1415"/>
      <c r="I1" s="1415"/>
      <c r="J1" s="1416"/>
    </row>
    <row r="2" spans="1:14" s="281" customFormat="1" ht="27">
      <c r="A2" s="652" t="s">
        <v>342</v>
      </c>
      <c r="B2" s="1118">
        <v>44237</v>
      </c>
      <c r="C2" s="1233" t="s">
        <v>69</v>
      </c>
      <c r="D2" s="688">
        <v>0.72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  <c r="N2" s="792"/>
    </row>
    <row r="3" spans="1:14" s="281" customFormat="1" ht="27">
      <c r="A3" s="647"/>
      <c r="B3" s="691"/>
      <c r="C3" s="1233" t="s">
        <v>131</v>
      </c>
      <c r="D3" s="689">
        <v>25</v>
      </c>
      <c r="E3" s="1423" t="s">
        <v>132</v>
      </c>
      <c r="F3" s="1424"/>
      <c r="G3" s="538"/>
      <c r="H3" s="539"/>
      <c r="I3" s="539"/>
      <c r="J3" s="692"/>
      <c r="K3" s="402"/>
      <c r="L3" s="293"/>
      <c r="N3" s="792"/>
    </row>
    <row r="4" spans="1:14" s="281" customFormat="1" ht="27">
      <c r="A4" s="653"/>
      <c r="B4" s="693"/>
      <c r="C4" s="1233" t="s">
        <v>133</v>
      </c>
      <c r="D4" s="688">
        <v>0.77</v>
      </c>
      <c r="E4" s="540"/>
      <c r="F4" s="540"/>
      <c r="G4" s="540"/>
      <c r="H4" s="540"/>
      <c r="I4" s="541"/>
      <c r="J4" s="692"/>
      <c r="K4" s="403"/>
      <c r="L4" s="293"/>
      <c r="N4" s="792"/>
    </row>
    <row r="5" spans="1:14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4">
      <c r="A6" s="1417" t="s">
        <v>141</v>
      </c>
      <c r="B6" s="1418"/>
      <c r="C6" s="1419"/>
      <c r="D6" s="547"/>
      <c r="E6" s="547"/>
      <c r="F6" s="547"/>
      <c r="G6" s="547"/>
      <c r="H6" s="548"/>
      <c r="I6" s="548"/>
      <c r="J6" s="628"/>
      <c r="K6" s="466"/>
      <c r="L6" s="408"/>
    </row>
    <row r="7" spans="1:14" ht="30" thickBot="1">
      <c r="A7" s="757" t="s">
        <v>142</v>
      </c>
      <c r="B7" s="758"/>
      <c r="C7" s="758"/>
      <c r="D7" s="715" t="s">
        <v>143</v>
      </c>
      <c r="E7" s="710">
        <f>'9'!F7</f>
        <v>4054249</v>
      </c>
      <c r="F7" s="531">
        <v>4073118</v>
      </c>
      <c r="G7" s="759">
        <f>F7-E7</f>
        <v>18869</v>
      </c>
      <c r="H7" s="760">
        <f>G7+'9'!H7</f>
        <v>184920</v>
      </c>
      <c r="I7" s="761">
        <v>12000</v>
      </c>
      <c r="J7" s="762">
        <f>H7/DAY(B2)</f>
        <v>18492</v>
      </c>
      <c r="K7" s="626"/>
      <c r="L7" s="408"/>
      <c r="N7" s="793"/>
    </row>
    <row r="8" spans="1:14" ht="27.75" thickBot="1">
      <c r="A8" s="763" t="s">
        <v>144</v>
      </c>
      <c r="B8" s="764"/>
      <c r="C8" s="765"/>
      <c r="D8" s="766" t="s">
        <v>25</v>
      </c>
      <c r="E8" s="710">
        <f>'9'!F8</f>
        <v>4080365</v>
      </c>
      <c r="F8" s="551">
        <v>4099303</v>
      </c>
      <c r="G8" s="770">
        <f>F8-E8</f>
        <v>18938</v>
      </c>
      <c r="H8" s="760">
        <f>G8+'9'!H8</f>
        <v>186452</v>
      </c>
      <c r="I8" s="767">
        <v>12000</v>
      </c>
      <c r="J8" s="762">
        <f>H8/DAY(B2)</f>
        <v>18645.2</v>
      </c>
      <c r="K8" s="626"/>
      <c r="L8" s="464"/>
      <c r="M8" s="479"/>
      <c r="N8" s="794"/>
    </row>
    <row r="9" spans="1:14">
      <c r="A9" s="768" t="s">
        <v>145</v>
      </c>
      <c r="B9" s="769"/>
      <c r="C9" s="769"/>
      <c r="D9" s="715" t="s">
        <v>143</v>
      </c>
      <c r="E9" s="710">
        <f>'9'!F9</f>
        <v>18605</v>
      </c>
      <c r="F9" s="554">
        <v>31956</v>
      </c>
      <c r="G9" s="783">
        <f t="shared" ref="G9:G12" si="0">F9-E9</f>
        <v>13351</v>
      </c>
      <c r="H9" s="760">
        <f>G9+'9'!H9</f>
        <v>69068.25</v>
      </c>
      <c r="I9" s="771">
        <f>I7-J7</f>
        <v>-6492</v>
      </c>
      <c r="J9" s="762">
        <f>H9/DAY(B2)</f>
        <v>6906.8249999999998</v>
      </c>
      <c r="K9" s="467"/>
      <c r="L9" s="408"/>
      <c r="N9" s="795"/>
    </row>
    <row r="10" spans="1:14">
      <c r="A10" s="757" t="s">
        <v>146</v>
      </c>
      <c r="B10" s="758"/>
      <c r="C10" s="758"/>
      <c r="D10" s="715" t="s">
        <v>143</v>
      </c>
      <c r="E10" s="710">
        <f>'9'!F10</f>
        <v>1304083</v>
      </c>
      <c r="F10" s="554">
        <v>1309038</v>
      </c>
      <c r="G10" s="770">
        <f t="shared" si="0"/>
        <v>4955</v>
      </c>
      <c r="H10" s="760">
        <f>G10+'9'!H10</f>
        <v>108163.60000000009</v>
      </c>
      <c r="I10" s="772"/>
      <c r="J10" s="762">
        <f>H10/DAY(B2)</f>
        <v>10816.36000000001</v>
      </c>
      <c r="K10" s="467"/>
      <c r="L10" s="408"/>
      <c r="N10" s="795"/>
    </row>
    <row r="11" spans="1:14">
      <c r="A11" s="757" t="s">
        <v>147</v>
      </c>
      <c r="B11" s="758"/>
      <c r="C11" s="758"/>
      <c r="D11" s="715" t="s">
        <v>143</v>
      </c>
      <c r="E11" s="710">
        <f>'9'!F11</f>
        <v>37000</v>
      </c>
      <c r="F11" s="531">
        <v>37000</v>
      </c>
      <c r="G11" s="770">
        <f t="shared" si="0"/>
        <v>0</v>
      </c>
      <c r="H11" s="760">
        <f>G11+'9'!H11</f>
        <v>1610</v>
      </c>
      <c r="I11" s="772"/>
      <c r="J11" s="762">
        <f>H11/DAY(B2)</f>
        <v>161</v>
      </c>
      <c r="K11" s="467"/>
      <c r="L11" s="408"/>
      <c r="N11" s="795"/>
    </row>
    <row r="12" spans="1:14">
      <c r="A12" s="757" t="s">
        <v>148</v>
      </c>
      <c r="B12" s="758"/>
      <c r="C12" s="758"/>
      <c r="D12" s="715" t="s">
        <v>143</v>
      </c>
      <c r="E12" s="710">
        <f>'9'!F12</f>
        <v>40010</v>
      </c>
      <c r="F12" s="554">
        <v>40010</v>
      </c>
      <c r="G12" s="770">
        <f t="shared" si="0"/>
        <v>0</v>
      </c>
      <c r="H12" s="760">
        <f>G12+'9'!H12</f>
        <v>2380</v>
      </c>
      <c r="I12" s="772"/>
      <c r="J12" s="762">
        <f>H12/DAY(B2)</f>
        <v>238</v>
      </c>
      <c r="K12" s="467"/>
      <c r="L12" s="408"/>
      <c r="N12" s="795"/>
    </row>
    <row r="13" spans="1:14">
      <c r="A13" s="773" t="s">
        <v>149</v>
      </c>
      <c r="B13" s="774"/>
      <c r="C13" s="774"/>
      <c r="D13" s="715"/>
      <c r="E13" s="710"/>
      <c r="F13" s="531"/>
      <c r="G13" s="775">
        <f>G9+G10+G11+G12</f>
        <v>18306</v>
      </c>
      <c r="H13" s="760">
        <f>G13+'9'!H13</f>
        <v>181221.85000000009</v>
      </c>
      <c r="I13" s="776">
        <f>G7-G13</f>
        <v>563</v>
      </c>
      <c r="J13" s="762">
        <f>H13/DAY(B2)</f>
        <v>18122.185000000009</v>
      </c>
      <c r="K13" s="467"/>
      <c r="L13" s="408"/>
      <c r="N13" s="795"/>
    </row>
    <row r="14" spans="1:14">
      <c r="A14" s="1420" t="s">
        <v>150</v>
      </c>
      <c r="B14" s="1421"/>
      <c r="C14" s="1422"/>
      <c r="D14" s="548"/>
      <c r="E14" s="548"/>
      <c r="F14" s="548"/>
      <c r="G14" s="559"/>
      <c r="H14" s="548"/>
      <c r="I14" s="548"/>
      <c r="J14" s="628"/>
      <c r="K14" s="468"/>
      <c r="L14" s="408"/>
      <c r="N14" s="795"/>
    </row>
    <row r="15" spans="1:14">
      <c r="A15" s="876" t="s">
        <v>151</v>
      </c>
      <c r="B15" s="871"/>
      <c r="C15" s="871"/>
      <c r="D15" s="600" t="s">
        <v>152</v>
      </c>
      <c r="E15" s="561">
        <f>'9'!F15</f>
        <v>1601654.78</v>
      </c>
      <c r="F15" s="561">
        <v>1602553.88</v>
      </c>
      <c r="G15" s="745">
        <f>(F15-E15)</f>
        <v>899.0999999998603</v>
      </c>
      <c r="H15" s="562">
        <f>G15+'9'!H15</f>
        <v>8116.7299999999814</v>
      </c>
      <c r="I15" s="550">
        <v>800</v>
      </c>
      <c r="J15" s="630">
        <f>H15/DAY(B2)</f>
        <v>811.67299999999818</v>
      </c>
      <c r="K15" s="467"/>
      <c r="L15" s="408"/>
      <c r="N15" s="795"/>
    </row>
    <row r="16" spans="1:14">
      <c r="A16" s="874"/>
      <c r="B16" s="875"/>
      <c r="C16" s="875"/>
      <c r="D16" s="872"/>
      <c r="E16" s="873"/>
      <c r="F16" s="561"/>
      <c r="G16" s="750"/>
      <c r="H16" s="562"/>
      <c r="I16" s="558">
        <f>I15-J15</f>
        <v>-11.672999999998183</v>
      </c>
      <c r="J16" s="630"/>
      <c r="K16" s="467"/>
      <c r="L16" s="408"/>
      <c r="N16" s="795"/>
    </row>
    <row r="17" spans="1:14">
      <c r="A17" s="1420" t="s">
        <v>153</v>
      </c>
      <c r="B17" s="1421"/>
      <c r="C17" s="1422"/>
      <c r="D17" s="548"/>
      <c r="E17" s="548"/>
      <c r="F17" s="548"/>
      <c r="G17" s="564"/>
      <c r="H17" s="548"/>
      <c r="I17" s="548"/>
      <c r="J17" s="628"/>
      <c r="K17" s="467"/>
      <c r="L17" s="408"/>
      <c r="N17" s="795"/>
    </row>
    <row r="18" spans="1:14" ht="27.75">
      <c r="A18" s="1446" t="s">
        <v>154</v>
      </c>
      <c r="B18" s="1447"/>
      <c r="C18" s="1448"/>
      <c r="D18" s="715" t="s">
        <v>155</v>
      </c>
      <c r="E18" s="712">
        <f>'9'!F18</f>
        <v>14</v>
      </c>
      <c r="F18" s="554">
        <v>20</v>
      </c>
      <c r="G18" s="775">
        <f>F18*10</f>
        <v>200</v>
      </c>
      <c r="H18" s="760">
        <f>G18+'9'!H18</f>
        <v>1470</v>
      </c>
      <c r="I18" s="761">
        <v>65</v>
      </c>
      <c r="J18" s="762">
        <f>H18/DAY(B2)</f>
        <v>147</v>
      </c>
      <c r="K18" s="467"/>
      <c r="L18" s="408"/>
      <c r="N18" s="795"/>
    </row>
    <row r="19" spans="1:14" ht="27.75">
      <c r="A19" s="1446" t="s">
        <v>71</v>
      </c>
      <c r="B19" s="1447"/>
      <c r="C19" s="1448"/>
      <c r="D19" s="715" t="s">
        <v>155</v>
      </c>
      <c r="E19" s="712">
        <f>'9'!F19</f>
        <v>133498</v>
      </c>
      <c r="F19" s="554">
        <v>133548</v>
      </c>
      <c r="G19" s="770">
        <f t="shared" ref="G19" si="1">F19-E19</f>
        <v>50</v>
      </c>
      <c r="H19" s="760">
        <f>G19+'9'!H19</f>
        <v>500</v>
      </c>
      <c r="I19" s="777"/>
      <c r="J19" s="762">
        <f>H19/DAY(B2)</f>
        <v>50</v>
      </c>
      <c r="K19" s="467"/>
      <c r="L19" s="408"/>
      <c r="N19" s="795"/>
    </row>
    <row r="20" spans="1:14">
      <c r="A20" s="773" t="s">
        <v>156</v>
      </c>
      <c r="B20" s="774"/>
      <c r="C20" s="774"/>
      <c r="D20" s="715"/>
      <c r="E20" s="715"/>
      <c r="F20" s="600"/>
      <c r="G20" s="778">
        <f>G18+G19</f>
        <v>250</v>
      </c>
      <c r="H20" s="760">
        <f>G20+'9'!H20</f>
        <v>1970</v>
      </c>
      <c r="I20" s="779">
        <f>I18-J20</f>
        <v>-132</v>
      </c>
      <c r="J20" s="762">
        <f>H20/DAY(B2)</f>
        <v>197</v>
      </c>
      <c r="K20" s="467"/>
      <c r="L20" s="408"/>
      <c r="N20" s="795"/>
    </row>
    <row r="21" spans="1:14">
      <c r="A21" s="1420" t="s">
        <v>157</v>
      </c>
      <c r="B21" s="1421"/>
      <c r="C21" s="1422"/>
      <c r="D21" s="548"/>
      <c r="E21" s="548"/>
      <c r="F21" s="548"/>
      <c r="G21" s="559"/>
      <c r="H21" s="548"/>
      <c r="I21" s="548"/>
      <c r="J21" s="628"/>
      <c r="K21" s="467"/>
      <c r="L21" s="408"/>
      <c r="N21" s="795"/>
    </row>
    <row r="22" spans="1:14">
      <c r="A22" s="1231" t="s">
        <v>158</v>
      </c>
      <c r="B22" s="666"/>
      <c r="C22" s="666"/>
      <c r="D22" s="599" t="s">
        <v>159</v>
      </c>
      <c r="E22" s="712">
        <f>'9'!F22</f>
        <v>1500</v>
      </c>
      <c r="F22" s="554">
        <v>1500</v>
      </c>
      <c r="G22" s="557">
        <f t="shared" ref="G22" si="2">(F22-E22)</f>
        <v>0</v>
      </c>
      <c r="H22" s="536">
        <f>G22+'9'!H22</f>
        <v>750</v>
      </c>
      <c r="I22" s="556"/>
      <c r="J22" s="629">
        <f>H22/DAY(B2)</f>
        <v>75</v>
      </c>
      <c r="K22" s="467"/>
      <c r="L22" s="408"/>
      <c r="N22" s="795"/>
    </row>
    <row r="23" spans="1:14">
      <c r="A23" s="1231" t="s">
        <v>160</v>
      </c>
      <c r="B23" s="666"/>
      <c r="C23" s="666"/>
      <c r="D23" s="599" t="s">
        <v>159</v>
      </c>
      <c r="E23" s="712">
        <f>'9'!F23</f>
        <v>400</v>
      </c>
      <c r="F23" s="554">
        <v>400</v>
      </c>
      <c r="G23" s="557">
        <v>0</v>
      </c>
      <c r="H23" s="536">
        <f>G23+'9'!H23</f>
        <v>1600</v>
      </c>
      <c r="I23" s="556"/>
      <c r="J23" s="629">
        <f>H23/DAY(B2)</f>
        <v>160</v>
      </c>
      <c r="K23" s="467"/>
      <c r="L23" s="408"/>
      <c r="N23" s="795"/>
    </row>
    <row r="24" spans="1:14">
      <c r="A24" s="667" t="s">
        <v>161</v>
      </c>
      <c r="B24" s="668"/>
      <c r="C24" s="668"/>
      <c r="D24" s="587" t="s">
        <v>159</v>
      </c>
      <c r="E24" s="569">
        <f>'9'!F24</f>
        <v>1900</v>
      </c>
      <c r="F24" s="561">
        <v>1900</v>
      </c>
      <c r="G24" s="557">
        <v>0</v>
      </c>
      <c r="H24" s="536">
        <f>G24+'9'!H24</f>
        <v>2350</v>
      </c>
      <c r="I24" s="556"/>
      <c r="J24" s="629">
        <f>H24/DAY(B2)</f>
        <v>235</v>
      </c>
      <c r="K24" s="467"/>
      <c r="L24" s="408"/>
      <c r="N24" s="795"/>
    </row>
    <row r="25" spans="1:14" s="481" customFormat="1" ht="27">
      <c r="A25" s="1425" t="s">
        <v>162</v>
      </c>
      <c r="B25" s="1426"/>
      <c r="C25" s="1427"/>
      <c r="D25" s="547"/>
      <c r="E25" s="547"/>
      <c r="F25" s="547"/>
      <c r="G25" s="570"/>
      <c r="H25" s="571"/>
      <c r="I25" s="572"/>
      <c r="J25" s="631"/>
      <c r="K25" s="404"/>
      <c r="L25" s="484"/>
      <c r="N25" s="795"/>
    </row>
    <row r="26" spans="1:14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795"/>
    </row>
    <row r="27" spans="1:14" s="481" customFormat="1" ht="27.75">
      <c r="A27" s="669" t="s">
        <v>6</v>
      </c>
      <c r="B27" s="670"/>
      <c r="C27" s="671"/>
      <c r="D27" s="696" t="s">
        <v>25</v>
      </c>
      <c r="E27" s="780">
        <f>G8</f>
        <v>18938</v>
      </c>
      <c r="F27" s="577">
        <v>9</v>
      </c>
      <c r="G27" s="578">
        <f>E27*F27</f>
        <v>170442</v>
      </c>
      <c r="H27" s="536">
        <f>G27+'9'!H27</f>
        <v>1678068</v>
      </c>
      <c r="I27" s="579"/>
      <c r="J27" s="629">
        <f>H27/DAY(B2)</f>
        <v>167806.8</v>
      </c>
      <c r="K27" s="404"/>
      <c r="L27" s="484"/>
      <c r="N27" s="795"/>
    </row>
    <row r="28" spans="1:14" s="481" customFormat="1" ht="27.75">
      <c r="A28" s="669" t="s">
        <v>165</v>
      </c>
      <c r="B28" s="670"/>
      <c r="C28" s="671"/>
      <c r="D28" s="696" t="s">
        <v>166</v>
      </c>
      <c r="E28" s="780">
        <f>G15</f>
        <v>899.0999999998603</v>
      </c>
      <c r="F28" s="577">
        <v>43.5</v>
      </c>
      <c r="G28" s="578">
        <f>E28*F28</f>
        <v>39110.849999993923</v>
      </c>
      <c r="H28" s="536">
        <f>G28+'9'!H28</f>
        <v>353077.75499999919</v>
      </c>
      <c r="I28" s="581"/>
      <c r="J28" s="629">
        <f>H28/DAY(B2)</f>
        <v>35307.775499999916</v>
      </c>
      <c r="K28" s="404"/>
      <c r="L28" s="484"/>
      <c r="N28" s="795"/>
    </row>
    <row r="29" spans="1:14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G29+'9'!H29</f>
        <v>162150</v>
      </c>
      <c r="I29" s="581"/>
      <c r="J29" s="629">
        <f>H29/DAY(B2)</f>
        <v>16215</v>
      </c>
      <c r="K29" s="404"/>
      <c r="L29" s="484"/>
      <c r="N29" s="795"/>
    </row>
    <row r="30" spans="1:14" s="481" customFormat="1" ht="27.75">
      <c r="A30" s="669" t="s">
        <v>169</v>
      </c>
      <c r="B30" s="670"/>
      <c r="C30" s="671"/>
      <c r="D30" s="696" t="s">
        <v>170</v>
      </c>
      <c r="E30" s="780">
        <f>G19</f>
        <v>50</v>
      </c>
      <c r="F30" s="577">
        <v>134</v>
      </c>
      <c r="G30" s="578">
        <f>E30*F30</f>
        <v>6700</v>
      </c>
      <c r="H30" s="536">
        <f>G30+'9'!H30</f>
        <v>67000</v>
      </c>
      <c r="I30" s="581"/>
      <c r="J30" s="629">
        <f>H30/DAY(B2)</f>
        <v>6700</v>
      </c>
      <c r="K30" s="404"/>
      <c r="L30" s="484"/>
      <c r="N30" s="795"/>
    </row>
    <row r="31" spans="1:14" s="481" customFormat="1" ht="27.75">
      <c r="A31" s="669" t="s">
        <v>171</v>
      </c>
      <c r="B31" s="670"/>
      <c r="C31" s="671"/>
      <c r="D31" s="696" t="s">
        <v>155</v>
      </c>
      <c r="E31" s="780">
        <f>G18</f>
        <v>200</v>
      </c>
      <c r="F31" s="577">
        <v>80</v>
      </c>
      <c r="G31" s="578">
        <f>E31*F31</f>
        <v>16000</v>
      </c>
      <c r="H31" s="536">
        <f>G31+'9'!H31</f>
        <v>117600</v>
      </c>
      <c r="I31" s="581"/>
      <c r="J31" s="629">
        <f>H31/DAY(B2)</f>
        <v>11760</v>
      </c>
      <c r="K31" s="404"/>
      <c r="L31" s="484"/>
      <c r="N31" s="795"/>
    </row>
    <row r="32" spans="1:14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232252.84999999392</v>
      </c>
      <c r="H32" s="536">
        <f>G32+'9'!H32</f>
        <v>2377895.7549999994</v>
      </c>
      <c r="I32" s="585"/>
      <c r="J32" s="629">
        <f>H32/DAY(B2)</f>
        <v>237789.57549999995</v>
      </c>
      <c r="K32" s="404"/>
      <c r="L32" s="484"/>
      <c r="N32" s="795"/>
    </row>
    <row r="33" spans="1:14" ht="25.5">
      <c r="A33" s="1428" t="s">
        <v>173</v>
      </c>
      <c r="B33" s="1429"/>
      <c r="C33" s="1429"/>
      <c r="D33" s="1429"/>
      <c r="E33" s="1429"/>
      <c r="F33" s="1429"/>
      <c r="G33" s="1429"/>
      <c r="H33" s="1429"/>
      <c r="I33" s="1429"/>
      <c r="J33" s="1430"/>
      <c r="K33" s="467"/>
      <c r="L33" s="408"/>
      <c r="N33" s="795"/>
    </row>
    <row r="34" spans="1:14">
      <c r="A34" s="675" t="s">
        <v>174</v>
      </c>
      <c r="B34" s="1236"/>
      <c r="C34" s="1236"/>
      <c r="D34" s="548"/>
      <c r="E34" s="547"/>
      <c r="F34" s="547"/>
      <c r="G34" s="548"/>
      <c r="H34" s="548"/>
      <c r="I34" s="548"/>
      <c r="J34" s="628"/>
      <c r="K34" s="467"/>
      <c r="L34" s="408"/>
      <c r="N34" s="795"/>
    </row>
    <row r="35" spans="1:14">
      <c r="A35" s="655" t="s">
        <v>175</v>
      </c>
      <c r="B35" s="656"/>
      <c r="C35" s="656"/>
      <c r="D35" s="599" t="s">
        <v>143</v>
      </c>
      <c r="E35" s="586">
        <f>'9'!F35</f>
        <v>638267.82999999996</v>
      </c>
      <c r="F35" s="1120">
        <v>640929</v>
      </c>
      <c r="G35" s="549">
        <f t="shared" ref="G35:G46" si="3">F35-E35</f>
        <v>2661.1700000000419</v>
      </c>
      <c r="H35" s="536">
        <f>G35+'9'!H35</f>
        <v>11901.329999999958</v>
      </c>
      <c r="I35" s="531"/>
      <c r="J35" s="629">
        <f>H35/DAY(B2)</f>
        <v>1190.1329999999957</v>
      </c>
      <c r="K35" s="467"/>
      <c r="L35" s="408"/>
      <c r="N35" s="795"/>
    </row>
    <row r="36" spans="1:14">
      <c r="A36" s="655" t="s">
        <v>176</v>
      </c>
      <c r="B36" s="656"/>
      <c r="C36" s="656"/>
      <c r="D36" s="599" t="s">
        <v>143</v>
      </c>
      <c r="E36" s="586">
        <f>'9'!F36</f>
        <v>282190.81</v>
      </c>
      <c r="F36" s="1120">
        <v>282804.89</v>
      </c>
      <c r="G36" s="549">
        <f t="shared" si="3"/>
        <v>614.0800000000163</v>
      </c>
      <c r="H36" s="536">
        <f>G36+'9'!H36</f>
        <v>6313.4400000000023</v>
      </c>
      <c r="I36" s="531"/>
      <c r="J36" s="629">
        <f>H36/DAY(B2)</f>
        <v>631.34400000000028</v>
      </c>
      <c r="K36" s="467"/>
      <c r="L36" s="408"/>
      <c r="N36" s="796"/>
    </row>
    <row r="37" spans="1:14">
      <c r="A37" s="655" t="s">
        <v>177</v>
      </c>
      <c r="B37" s="656"/>
      <c r="C37" s="656"/>
      <c r="D37" s="599" t="s">
        <v>143</v>
      </c>
      <c r="E37" s="586">
        <f>'9'!F37</f>
        <v>3572.52</v>
      </c>
      <c r="F37" s="1120">
        <v>5027.49</v>
      </c>
      <c r="G37" s="549">
        <f t="shared" si="3"/>
        <v>1454.9699999999998</v>
      </c>
      <c r="H37" s="536">
        <f>G37+'9'!H37</f>
        <v>5027.49</v>
      </c>
      <c r="I37" s="531"/>
      <c r="J37" s="629">
        <f>H37/DAY(B2)</f>
        <v>502.74899999999997</v>
      </c>
      <c r="K37" s="467"/>
      <c r="L37" s="408"/>
      <c r="N37" s="796"/>
    </row>
    <row r="38" spans="1:14">
      <c r="A38" s="655" t="s">
        <v>178</v>
      </c>
      <c r="B38" s="656"/>
      <c r="C38" s="656"/>
      <c r="D38" s="599" t="s">
        <v>143</v>
      </c>
      <c r="E38" s="586">
        <f>'9'!F38</f>
        <v>4020.46</v>
      </c>
      <c r="F38" s="543">
        <v>5922</v>
      </c>
      <c r="G38" s="549">
        <f t="shared" si="3"/>
        <v>1901.54</v>
      </c>
      <c r="H38" s="536">
        <f>G38+'9'!H38</f>
        <v>5824.12</v>
      </c>
      <c r="I38" s="531"/>
      <c r="J38" s="629">
        <f>H38/DAY(B2)</f>
        <v>582.41200000000003</v>
      </c>
      <c r="K38" s="467"/>
      <c r="L38" s="408"/>
      <c r="N38" s="795"/>
    </row>
    <row r="39" spans="1:14">
      <c r="A39" s="655" t="s">
        <v>179</v>
      </c>
      <c r="B39" s="656"/>
      <c r="C39" s="656"/>
      <c r="D39" s="599" t="s">
        <v>143</v>
      </c>
      <c r="E39" s="586">
        <f>'9'!F39</f>
        <v>9967</v>
      </c>
      <c r="F39" s="1120">
        <v>14156.47</v>
      </c>
      <c r="G39" s="549">
        <f t="shared" si="3"/>
        <v>4189.4699999999993</v>
      </c>
      <c r="H39" s="536">
        <f>G39+'9'!H39</f>
        <v>14156.47</v>
      </c>
      <c r="I39" s="531"/>
      <c r="J39" s="629">
        <f>H39/DAY(B2)</f>
        <v>1415.6469999999999</v>
      </c>
      <c r="K39" s="467"/>
      <c r="L39" s="408"/>
      <c r="N39" s="795"/>
    </row>
    <row r="40" spans="1:14">
      <c r="A40" s="676" t="s">
        <v>180</v>
      </c>
      <c r="B40" s="677"/>
      <c r="C40" s="677"/>
      <c r="D40" s="599" t="s">
        <v>143</v>
      </c>
      <c r="E40" s="586">
        <f>'9'!F40</f>
        <v>0.23</v>
      </c>
      <c r="F40" s="1120">
        <v>0.23</v>
      </c>
      <c r="G40" s="549">
        <f t="shared" si="3"/>
        <v>0</v>
      </c>
      <c r="H40" s="536">
        <f>G40+'9'!H40</f>
        <v>0</v>
      </c>
      <c r="I40" s="531"/>
      <c r="J40" s="629">
        <f>H40/DAY(B2)</f>
        <v>0</v>
      </c>
      <c r="K40" s="468"/>
      <c r="L40" s="408"/>
      <c r="N40" s="795"/>
    </row>
    <row r="41" spans="1:14">
      <c r="A41" s="655" t="s">
        <v>181</v>
      </c>
      <c r="B41" s="656"/>
      <c r="C41" s="656"/>
      <c r="D41" s="599" t="s">
        <v>143</v>
      </c>
      <c r="E41" s="586">
        <f>'9'!F41</f>
        <v>59259.87</v>
      </c>
      <c r="F41" s="1120">
        <v>59259.87</v>
      </c>
      <c r="G41" s="549">
        <f>F41-E41</f>
        <v>0</v>
      </c>
      <c r="H41" s="536">
        <f>G41+'9'!H41</f>
        <v>14637.350000000006</v>
      </c>
      <c r="I41" s="531"/>
      <c r="J41" s="629">
        <f>H41/DAY(B2)</f>
        <v>1463.7350000000006</v>
      </c>
      <c r="K41" s="467"/>
      <c r="L41" s="408"/>
      <c r="N41" s="795"/>
    </row>
    <row r="42" spans="1:14">
      <c r="A42" s="655" t="s">
        <v>182</v>
      </c>
      <c r="B42" s="656"/>
      <c r="C42" s="656"/>
      <c r="D42" s="599" t="s">
        <v>143</v>
      </c>
      <c r="E42" s="586">
        <f>'9'!F42</f>
        <v>58926</v>
      </c>
      <c r="F42" s="1120">
        <v>58926</v>
      </c>
      <c r="G42" s="549">
        <f t="shared" si="3"/>
        <v>0</v>
      </c>
      <c r="H42" s="536">
        <f>G42+'9'!H42</f>
        <v>0</v>
      </c>
      <c r="I42" s="531"/>
      <c r="J42" s="629">
        <f>H42/DAY(B2)</f>
        <v>0</v>
      </c>
      <c r="K42" s="467"/>
      <c r="L42" s="408"/>
      <c r="N42" s="795"/>
    </row>
    <row r="43" spans="1:14">
      <c r="A43" s="655" t="s">
        <v>183</v>
      </c>
      <c r="B43" s="656"/>
      <c r="C43" s="656"/>
      <c r="D43" s="599" t="s">
        <v>143</v>
      </c>
      <c r="E43" s="586">
        <f>'9'!F43</f>
        <v>780923</v>
      </c>
      <c r="F43" s="1120">
        <v>783471</v>
      </c>
      <c r="G43" s="549">
        <f t="shared" si="3"/>
        <v>2548</v>
      </c>
      <c r="H43" s="536">
        <f>G43+'9'!H43</f>
        <v>15659.089999999967</v>
      </c>
      <c r="I43" s="531"/>
      <c r="J43" s="629">
        <f>H43/DAY(B2)</f>
        <v>1565.9089999999967</v>
      </c>
      <c r="K43" s="467"/>
      <c r="L43" s="408"/>
      <c r="N43" s="795"/>
    </row>
    <row r="44" spans="1:14">
      <c r="A44" s="655" t="s">
        <v>184</v>
      </c>
      <c r="B44" s="656"/>
      <c r="C44" s="656"/>
      <c r="D44" s="599" t="s">
        <v>143</v>
      </c>
      <c r="E44" s="586">
        <f>'9'!F44</f>
        <v>0</v>
      </c>
      <c r="F44" s="586">
        <v>0</v>
      </c>
      <c r="G44" s="549">
        <f t="shared" si="3"/>
        <v>0</v>
      </c>
      <c r="H44" s="536">
        <f>G44+'9'!H44</f>
        <v>0</v>
      </c>
      <c r="I44" s="531"/>
      <c r="J44" s="629">
        <f>H44/DAY(B2)</f>
        <v>0</v>
      </c>
      <c r="K44" s="467"/>
      <c r="L44" s="408"/>
      <c r="N44" s="795"/>
    </row>
    <row r="45" spans="1:14">
      <c r="A45" s="655" t="s">
        <v>185</v>
      </c>
      <c r="B45" s="656"/>
      <c r="C45" s="656"/>
      <c r="D45" s="599" t="s">
        <v>143</v>
      </c>
      <c r="E45" s="586">
        <f>'9'!F45</f>
        <v>614</v>
      </c>
      <c r="F45" s="586">
        <v>614</v>
      </c>
      <c r="G45" s="549">
        <f t="shared" si="3"/>
        <v>0</v>
      </c>
      <c r="H45" s="536">
        <f>G45+'9'!H45</f>
        <v>-0.48000000000001819</v>
      </c>
      <c r="I45" s="531"/>
      <c r="J45" s="629">
        <f>H45/DAY(B2)</f>
        <v>-4.8000000000001819E-2</v>
      </c>
      <c r="K45" s="467"/>
      <c r="L45" s="408"/>
      <c r="N45" s="795"/>
    </row>
    <row r="46" spans="1:14">
      <c r="A46" s="655" t="s">
        <v>186</v>
      </c>
      <c r="B46" s="656"/>
      <c r="C46" s="656"/>
      <c r="D46" s="599" t="s">
        <v>143</v>
      </c>
      <c r="E46" s="586">
        <f>'9'!F46</f>
        <v>187</v>
      </c>
      <c r="F46" s="586">
        <v>187</v>
      </c>
      <c r="G46" s="549">
        <f t="shared" si="3"/>
        <v>0</v>
      </c>
      <c r="H46" s="536">
        <f>G46+'9'!H46</f>
        <v>-0.49000000000000909</v>
      </c>
      <c r="I46" s="531"/>
      <c r="J46" s="629">
        <f>H46/DAY(B2)</f>
        <v>-4.9000000000000911E-2</v>
      </c>
      <c r="K46" s="467"/>
      <c r="L46" s="408"/>
      <c r="N46" s="795"/>
    </row>
    <row r="47" spans="1:14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13369.230000000058</v>
      </c>
      <c r="H47" s="536">
        <f>G47+'9'!H47</f>
        <v>73518.319999999934</v>
      </c>
      <c r="I47" s="531"/>
      <c r="J47" s="629">
        <f>H47/DAY(B2)</f>
        <v>7351.8319999999931</v>
      </c>
      <c r="K47" s="467"/>
      <c r="L47" s="408"/>
      <c r="N47" s="795"/>
    </row>
    <row r="48" spans="1:14">
      <c r="A48" s="675" t="s">
        <v>188</v>
      </c>
      <c r="B48" s="1236"/>
      <c r="C48" s="1236"/>
      <c r="D48" s="548"/>
      <c r="E48" s="547"/>
      <c r="F48" s="547"/>
      <c r="G48" s="548"/>
      <c r="H48" s="548"/>
      <c r="I48" s="548"/>
      <c r="J48" s="628"/>
      <c r="K48" s="467"/>
      <c r="L48" s="408"/>
      <c r="N48" s="795"/>
    </row>
    <row r="49" spans="1:14">
      <c r="A49" s="655" t="s">
        <v>175</v>
      </c>
      <c r="B49" s="678"/>
      <c r="C49" s="678"/>
      <c r="D49" s="599" t="s">
        <v>143</v>
      </c>
      <c r="E49" s="586">
        <f>'9'!F49</f>
        <v>260732</v>
      </c>
      <c r="F49" s="586">
        <v>260732</v>
      </c>
      <c r="G49" s="549">
        <f t="shared" ref="G49:G58" si="4">F49-E49</f>
        <v>0</v>
      </c>
      <c r="H49" s="536">
        <f>G49+'9'!H49</f>
        <v>14832.950000000012</v>
      </c>
      <c r="I49" s="531"/>
      <c r="J49" s="629">
        <f>H49/DAY(B2)</f>
        <v>1483.2950000000012</v>
      </c>
      <c r="K49" s="467"/>
      <c r="L49" s="408"/>
      <c r="N49" s="795"/>
    </row>
    <row r="50" spans="1:14">
      <c r="A50" s="655" t="s">
        <v>189</v>
      </c>
      <c r="B50" s="678"/>
      <c r="C50" s="678"/>
      <c r="D50" s="599" t="s">
        <v>143</v>
      </c>
      <c r="E50" s="586">
        <f>'9'!F50</f>
        <v>379094</v>
      </c>
      <c r="F50" s="1120">
        <v>380137</v>
      </c>
      <c r="G50" s="549">
        <f t="shared" si="4"/>
        <v>1043</v>
      </c>
      <c r="H50" s="536">
        <f>G50+'9'!H50</f>
        <v>11519.690000000002</v>
      </c>
      <c r="I50" s="531"/>
      <c r="J50" s="629">
        <f>H50/DAY(B2)</f>
        <v>1151.9690000000003</v>
      </c>
      <c r="K50" s="467"/>
      <c r="L50" s="408"/>
      <c r="N50" s="795"/>
    </row>
    <row r="51" spans="1:14">
      <c r="A51" s="655" t="s">
        <v>177</v>
      </c>
      <c r="B51" s="678"/>
      <c r="C51" s="678"/>
      <c r="D51" s="599" t="s">
        <v>143</v>
      </c>
      <c r="E51" s="586">
        <f>'9'!F51</f>
        <v>120050.92</v>
      </c>
      <c r="F51" s="586">
        <v>120050.92</v>
      </c>
      <c r="G51" s="549">
        <f t="shared" si="4"/>
        <v>0</v>
      </c>
      <c r="H51" s="536">
        <f>G51+'9'!H51</f>
        <v>9951.179999999993</v>
      </c>
      <c r="I51" s="531"/>
      <c r="J51" s="629">
        <f>H51/DAY(B2)</f>
        <v>995.11799999999926</v>
      </c>
      <c r="K51" s="467"/>
      <c r="L51" s="408"/>
      <c r="N51" s="795"/>
    </row>
    <row r="52" spans="1:14">
      <c r="A52" s="655" t="s">
        <v>190</v>
      </c>
      <c r="B52" s="678"/>
      <c r="C52" s="678"/>
      <c r="D52" s="599" t="s">
        <v>143</v>
      </c>
      <c r="E52" s="586">
        <f>'9'!F52</f>
        <v>507912.71</v>
      </c>
      <c r="F52" s="586">
        <v>507912.71</v>
      </c>
      <c r="G52" s="549">
        <f t="shared" si="4"/>
        <v>0</v>
      </c>
      <c r="H52" s="536">
        <f>G52+'9'!H52</f>
        <v>14104.040000000037</v>
      </c>
      <c r="I52" s="531"/>
      <c r="J52" s="629">
        <f>H52/DAY(B2)</f>
        <v>1410.4040000000036</v>
      </c>
      <c r="K52" s="467"/>
      <c r="L52" s="408"/>
      <c r="N52" s="795"/>
    </row>
    <row r="53" spans="1:14">
      <c r="A53" s="655" t="s">
        <v>179</v>
      </c>
      <c r="B53" s="678"/>
      <c r="C53" s="678"/>
      <c r="D53" s="599" t="s">
        <v>143</v>
      </c>
      <c r="E53" s="586">
        <f>'9'!F53</f>
        <v>331854.51</v>
      </c>
      <c r="F53" s="586">
        <v>331854.51</v>
      </c>
      <c r="G53" s="549">
        <f t="shared" si="4"/>
        <v>0</v>
      </c>
      <c r="H53" s="536">
        <f>G53+'9'!H53</f>
        <v>27556.239999999991</v>
      </c>
      <c r="I53" s="531"/>
      <c r="J53" s="629">
        <f>H53/DAY(B2)</f>
        <v>2755.6239999999989</v>
      </c>
      <c r="K53" s="467"/>
      <c r="L53" s="408"/>
      <c r="N53" s="795"/>
    </row>
    <row r="54" spans="1:14">
      <c r="A54" s="655" t="s">
        <v>191</v>
      </c>
      <c r="B54" s="678"/>
      <c r="C54" s="678"/>
      <c r="D54" s="599" t="s">
        <v>143</v>
      </c>
      <c r="E54" s="586">
        <f>'9'!F54</f>
        <v>6764.84</v>
      </c>
      <c r="F54" s="586">
        <v>6837</v>
      </c>
      <c r="G54" s="549">
        <f t="shared" si="4"/>
        <v>72.159999999999854</v>
      </c>
      <c r="H54" s="536">
        <f>G54+'9'!H54</f>
        <v>520.35999999999967</v>
      </c>
      <c r="I54" s="531"/>
      <c r="J54" s="629">
        <f>H54/DAY(B2)</f>
        <v>52.035999999999966</v>
      </c>
      <c r="K54" s="467"/>
      <c r="L54" s="408"/>
      <c r="N54" s="795"/>
    </row>
    <row r="55" spans="1:14">
      <c r="A55" s="655" t="s">
        <v>192</v>
      </c>
      <c r="B55" s="678"/>
      <c r="C55" s="678"/>
      <c r="D55" s="599" t="s">
        <v>143</v>
      </c>
      <c r="E55" s="586">
        <f>'9'!F55</f>
        <v>59206</v>
      </c>
      <c r="F55" s="734">
        <v>63073.4</v>
      </c>
      <c r="G55" s="733">
        <f t="shared" si="4"/>
        <v>3867.4000000000015</v>
      </c>
      <c r="H55" s="787">
        <f>G55+'9'!H55</f>
        <v>23952.82</v>
      </c>
      <c r="I55" s="788"/>
      <c r="J55" s="789">
        <f>H55/DAY(B2)</f>
        <v>2395.2820000000002</v>
      </c>
      <c r="K55" s="467"/>
      <c r="L55" s="408"/>
      <c r="N55" s="795"/>
    </row>
    <row r="56" spans="1:14">
      <c r="A56" s="655" t="s">
        <v>193</v>
      </c>
      <c r="B56" s="678"/>
      <c r="C56" s="678"/>
      <c r="D56" s="599" t="s">
        <v>194</v>
      </c>
      <c r="E56" s="586">
        <f>'9'!F56</f>
        <v>557739</v>
      </c>
      <c r="F56" s="734">
        <v>557739</v>
      </c>
      <c r="G56" s="549">
        <f t="shared" si="4"/>
        <v>0</v>
      </c>
      <c r="H56" s="536">
        <f>G56+'9'!H56</f>
        <v>7.0899999999674037</v>
      </c>
      <c r="I56" s="531"/>
      <c r="J56" s="629">
        <f>H56/DAY(B2)</f>
        <v>0.70899999999674035</v>
      </c>
      <c r="K56" s="466"/>
      <c r="L56" s="408"/>
      <c r="N56" s="795"/>
    </row>
    <row r="57" spans="1:14">
      <c r="A57" s="655" t="s">
        <v>183</v>
      </c>
      <c r="B57" s="678"/>
      <c r="C57" s="678"/>
      <c r="D57" s="599" t="s">
        <v>143</v>
      </c>
      <c r="E57" s="586">
        <f>'9'!F57</f>
        <v>7711</v>
      </c>
      <c r="F57" s="586">
        <v>7711</v>
      </c>
      <c r="G57" s="549">
        <f t="shared" si="4"/>
        <v>0</v>
      </c>
      <c r="H57" s="536">
        <f>G57+'9'!H57</f>
        <v>7711</v>
      </c>
      <c r="I57" s="531"/>
      <c r="J57" s="629">
        <f>H57/DAY(B2)</f>
        <v>771.1</v>
      </c>
      <c r="K57" s="467"/>
      <c r="L57" s="408"/>
      <c r="N57" s="795"/>
    </row>
    <row r="58" spans="1:14">
      <c r="A58" s="655" t="s">
        <v>195</v>
      </c>
      <c r="B58" s="678"/>
      <c r="C58" s="678"/>
      <c r="D58" s="599" t="s">
        <v>143</v>
      </c>
      <c r="E58" s="586">
        <f>'9'!F58</f>
        <v>31980.79</v>
      </c>
      <c r="F58" s="734">
        <v>32178.42</v>
      </c>
      <c r="G58" s="549">
        <f t="shared" si="4"/>
        <v>197.62999999999738</v>
      </c>
      <c r="H58" s="536">
        <f>G58+'9'!H58</f>
        <v>1646.5099999999984</v>
      </c>
      <c r="I58" s="531"/>
      <c r="J58" s="629">
        <f>H58/DAY(B2)</f>
        <v>164.65099999999984</v>
      </c>
      <c r="K58" s="467"/>
      <c r="L58" s="408"/>
      <c r="N58" s="795"/>
    </row>
    <row r="59" spans="1:14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5180.1899999999987</v>
      </c>
      <c r="H59" s="536">
        <f>G59+'9'!H59</f>
        <v>111801.88</v>
      </c>
      <c r="I59" s="531">
        <f>G7-G60</f>
        <v>319.57999999994354</v>
      </c>
      <c r="J59" s="629">
        <f>H59/DAY(B2)</f>
        <v>11180.188</v>
      </c>
      <c r="K59" s="467"/>
      <c r="L59" s="408"/>
      <c r="N59" s="795"/>
    </row>
    <row r="60" spans="1:14">
      <c r="A60" s="655"/>
      <c r="B60" s="656"/>
      <c r="C60" s="656"/>
      <c r="D60" s="587" t="s">
        <v>196</v>
      </c>
      <c r="E60" s="587"/>
      <c r="F60" s="587"/>
      <c r="G60" s="557">
        <f>G47+G59</f>
        <v>18549.420000000056</v>
      </c>
      <c r="H60" s="536">
        <f>G60+'9'!H60</f>
        <v>185320.1999999999</v>
      </c>
      <c r="I60" s="531">
        <f>G8-G60</f>
        <v>388.57999999994354</v>
      </c>
      <c r="J60" s="629">
        <f>H60/DAY(B2)</f>
        <v>18532.01999999999</v>
      </c>
      <c r="K60" s="467"/>
      <c r="L60" s="408"/>
      <c r="N60" s="795"/>
    </row>
    <row r="61" spans="1:14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795"/>
    </row>
    <row r="62" spans="1:14">
      <c r="A62" s="680" t="s">
        <v>106</v>
      </c>
      <c r="B62" s="681"/>
      <c r="C62" s="681"/>
      <c r="D62" s="587" t="s">
        <v>198</v>
      </c>
      <c r="E62" s="590">
        <f>'9'!F62</f>
        <v>20419</v>
      </c>
      <c r="F62" s="590">
        <v>20419</v>
      </c>
      <c r="G62" s="549">
        <f t="shared" ref="G62:G69" si="5">F62-E62</f>
        <v>0</v>
      </c>
      <c r="H62" s="536">
        <f>G62+'9'!H62</f>
        <v>-0.1889999999984866</v>
      </c>
      <c r="I62" s="591"/>
      <c r="J62" s="629">
        <f>H62/DAY(B2)</f>
        <v>-1.8899999999848659E-2</v>
      </c>
      <c r="K62" s="467"/>
      <c r="L62" s="408"/>
      <c r="N62" s="795"/>
    </row>
    <row r="63" spans="1:14">
      <c r="A63" s="680" t="s">
        <v>199</v>
      </c>
      <c r="B63" s="681"/>
      <c r="C63" s="681"/>
      <c r="D63" s="587" t="s">
        <v>198</v>
      </c>
      <c r="E63" s="590">
        <f>'9'!F63</f>
        <v>1461.25</v>
      </c>
      <c r="F63" s="590">
        <v>1473.7</v>
      </c>
      <c r="G63" s="549">
        <f t="shared" si="5"/>
        <v>12.450000000000045</v>
      </c>
      <c r="H63" s="536">
        <f>G63+'9'!H63</f>
        <v>141.17000000000007</v>
      </c>
      <c r="I63" s="591"/>
      <c r="J63" s="629">
        <f>H63/DAY(B2)</f>
        <v>14.117000000000008</v>
      </c>
      <c r="K63" s="467"/>
      <c r="L63" s="408"/>
      <c r="N63" s="795"/>
    </row>
    <row r="64" spans="1:14" ht="27.75">
      <c r="A64" s="1385" t="s">
        <v>107</v>
      </c>
      <c r="B64" s="1386"/>
      <c r="C64" s="1387"/>
      <c r="D64" s="599" t="s">
        <v>198</v>
      </c>
      <c r="E64" s="590">
        <f>'9'!F64</f>
        <v>115058</v>
      </c>
      <c r="F64" s="554">
        <v>115498.71</v>
      </c>
      <c r="G64" s="549">
        <f t="shared" si="5"/>
        <v>440.7100000000064</v>
      </c>
      <c r="H64" s="536">
        <f>G64+'9'!H64</f>
        <v>4215.25</v>
      </c>
      <c r="I64" s="556"/>
      <c r="J64" s="629">
        <f>H64/DAY(B2)</f>
        <v>421.52499999999998</v>
      </c>
      <c r="K64" s="467"/>
      <c r="L64" s="408"/>
      <c r="N64" s="795"/>
    </row>
    <row r="65" spans="1:14" ht="27.75">
      <c r="A65" s="1385" t="s">
        <v>108</v>
      </c>
      <c r="B65" s="1386"/>
      <c r="C65" s="1387"/>
      <c r="D65" s="599" t="s">
        <v>198</v>
      </c>
      <c r="E65" s="590">
        <f>'9'!F65</f>
        <v>125120.88</v>
      </c>
      <c r="F65" s="732">
        <v>125495</v>
      </c>
      <c r="G65" s="549">
        <f t="shared" si="5"/>
        <v>374.11999999999534</v>
      </c>
      <c r="H65" s="536">
        <f>G65+'9'!H65</f>
        <v>3761.8899999999994</v>
      </c>
      <c r="I65" s="565"/>
      <c r="J65" s="629">
        <f>H65/DAY(B2)</f>
        <v>376.18899999999996</v>
      </c>
      <c r="K65" s="467"/>
      <c r="L65" s="408"/>
      <c r="N65" s="795"/>
    </row>
    <row r="66" spans="1:14" ht="27.75">
      <c r="A66" s="1385" t="s">
        <v>109</v>
      </c>
      <c r="B66" s="1386"/>
      <c r="C66" s="1387"/>
      <c r="D66" s="599" t="s">
        <v>198</v>
      </c>
      <c r="E66" s="590">
        <f>'9'!F66</f>
        <v>17730</v>
      </c>
      <c r="F66" s="554">
        <v>18104</v>
      </c>
      <c r="G66" s="549">
        <f t="shared" si="5"/>
        <v>374</v>
      </c>
      <c r="H66" s="536">
        <f>G66+'9'!H66</f>
        <v>3944.26</v>
      </c>
      <c r="I66" s="556"/>
      <c r="J66" s="629">
        <f>H66/DAY(B2)</f>
        <v>394.42600000000004</v>
      </c>
      <c r="K66" s="467"/>
      <c r="L66" s="408"/>
      <c r="N66" s="795"/>
    </row>
    <row r="67" spans="1:14" ht="27.75">
      <c r="A67" s="1385" t="s">
        <v>110</v>
      </c>
      <c r="B67" s="1386"/>
      <c r="C67" s="1387"/>
      <c r="D67" s="599" t="s">
        <v>198</v>
      </c>
      <c r="E67" s="590">
        <f>'9'!F67</f>
        <v>194973</v>
      </c>
      <c r="F67" s="554">
        <v>195698</v>
      </c>
      <c r="G67" s="549">
        <f t="shared" si="5"/>
        <v>725</v>
      </c>
      <c r="H67" s="536">
        <f>G67+'9'!H67</f>
        <v>7023.4700000000012</v>
      </c>
      <c r="I67" s="565"/>
      <c r="J67" s="629">
        <f>H67/DAY(B2)</f>
        <v>702.34700000000009</v>
      </c>
      <c r="K67" s="468"/>
      <c r="L67" s="408"/>
      <c r="N67" s="795"/>
    </row>
    <row r="68" spans="1:14" ht="27.75">
      <c r="A68" s="1385" t="s">
        <v>111</v>
      </c>
      <c r="B68" s="1386"/>
      <c r="C68" s="1387"/>
      <c r="D68" s="599" t="s">
        <v>198</v>
      </c>
      <c r="E68" s="590">
        <f>'9'!F68</f>
        <v>66359</v>
      </c>
      <c r="F68" s="554">
        <v>66704</v>
      </c>
      <c r="G68" s="549">
        <f t="shared" si="5"/>
        <v>345</v>
      </c>
      <c r="H68" s="536">
        <f>G68+'9'!H68</f>
        <v>3404.1399999999994</v>
      </c>
      <c r="I68" s="592"/>
      <c r="J68" s="629">
        <f>H68/DAY(B2)</f>
        <v>340.41399999999993</v>
      </c>
      <c r="K68" s="469"/>
      <c r="L68" s="408"/>
      <c r="N68" s="795"/>
    </row>
    <row r="69" spans="1:14" ht="27.75">
      <c r="A69" s="1385" t="s">
        <v>112</v>
      </c>
      <c r="B69" s="1386"/>
      <c r="C69" s="1387"/>
      <c r="D69" s="599" t="s">
        <v>198</v>
      </c>
      <c r="E69" s="590">
        <f>'9'!F69</f>
        <v>58410</v>
      </c>
      <c r="F69" s="554">
        <v>58705.8</v>
      </c>
      <c r="G69" s="549">
        <f t="shared" si="5"/>
        <v>295.80000000000291</v>
      </c>
      <c r="H69" s="536">
        <f>G69+'9'!H69</f>
        <v>2982.0900000000038</v>
      </c>
      <c r="I69" s="592"/>
      <c r="J69" s="629">
        <f>H69/DAY(B2)</f>
        <v>298.2090000000004</v>
      </c>
      <c r="K69" s="470"/>
      <c r="L69" s="408"/>
      <c r="N69" s="795"/>
    </row>
    <row r="70" spans="1:14" ht="27.75">
      <c r="A70" s="1391" t="s">
        <v>200</v>
      </c>
      <c r="B70" s="1392"/>
      <c r="C70" s="1393"/>
      <c r="D70" s="599" t="s">
        <v>198</v>
      </c>
      <c r="E70" s="594"/>
      <c r="F70" s="594"/>
      <c r="G70" s="594"/>
      <c r="H70" s="536"/>
      <c r="I70" s="594"/>
      <c r="J70" s="633"/>
      <c r="K70" s="470"/>
      <c r="L70" s="408"/>
      <c r="N70" s="795"/>
    </row>
    <row r="71" spans="1:14" ht="31.5">
      <c r="A71" s="1388" t="s">
        <v>201</v>
      </c>
      <c r="B71" s="1389"/>
      <c r="C71" s="1389"/>
      <c r="D71" s="1389"/>
      <c r="E71" s="1389"/>
      <c r="F71" s="1389"/>
      <c r="G71" s="1389"/>
      <c r="H71" s="1389"/>
      <c r="I71" s="1389"/>
      <c r="J71" s="1390"/>
      <c r="K71" s="469"/>
      <c r="L71" s="408"/>
      <c r="N71" s="795"/>
    </row>
    <row r="72" spans="1:14" ht="27.75">
      <c r="A72" s="1385" t="s">
        <v>202</v>
      </c>
      <c r="B72" s="1386"/>
      <c r="C72" s="1387"/>
      <c r="D72" s="599" t="s">
        <v>198</v>
      </c>
      <c r="E72" s="595">
        <f>'9'!F72</f>
        <v>849140</v>
      </c>
      <c r="F72" s="735">
        <v>849184</v>
      </c>
      <c r="G72" s="549">
        <f t="shared" ref="G72:G84" si="6">F72-E72</f>
        <v>44</v>
      </c>
      <c r="H72" s="536">
        <f>G72+'9'!H72</f>
        <v>719</v>
      </c>
      <c r="I72" s="556"/>
      <c r="J72" s="629">
        <f>H72/DAY(B2)</f>
        <v>71.900000000000006</v>
      </c>
      <c r="K72" s="470"/>
      <c r="L72" s="408"/>
      <c r="N72" s="795"/>
    </row>
    <row r="73" spans="1:14" ht="27.75">
      <c r="A73" s="1385" t="s">
        <v>203</v>
      </c>
      <c r="B73" s="1386"/>
      <c r="C73" s="1387"/>
      <c r="D73" s="599" t="s">
        <v>198</v>
      </c>
      <c r="E73" s="595">
        <f>'9'!F73</f>
        <v>885730</v>
      </c>
      <c r="F73" s="736">
        <v>885730</v>
      </c>
      <c r="G73" s="733">
        <f t="shared" si="6"/>
        <v>0</v>
      </c>
      <c r="H73" s="536">
        <f>G73+'9'!H73</f>
        <v>2</v>
      </c>
      <c r="I73" s="556"/>
      <c r="J73" s="629">
        <f>H73/DAY(B2)</f>
        <v>0.2</v>
      </c>
      <c r="K73" s="469"/>
      <c r="L73" s="408"/>
      <c r="N73" s="795"/>
    </row>
    <row r="74" spans="1:14" ht="27.75">
      <c r="A74" s="1385" t="s">
        <v>204</v>
      </c>
      <c r="B74" s="1386"/>
      <c r="C74" s="1387"/>
      <c r="D74" s="599" t="s">
        <v>198</v>
      </c>
      <c r="E74" s="595">
        <v>5.9</v>
      </c>
      <c r="F74" s="735">
        <v>21.11</v>
      </c>
      <c r="G74" s="549">
        <f t="shared" si="6"/>
        <v>15.209999999999999</v>
      </c>
      <c r="H74" s="536">
        <f>G74+'9'!H74</f>
        <v>250.21</v>
      </c>
      <c r="I74" s="556"/>
      <c r="J74" s="629">
        <f>H74/DAY(B2)</f>
        <v>25.021000000000001</v>
      </c>
      <c r="K74" s="470"/>
      <c r="L74" s="408"/>
      <c r="N74" s="795"/>
    </row>
    <row r="75" spans="1:14" ht="27.75">
      <c r="A75" s="1382" t="s">
        <v>205</v>
      </c>
      <c r="B75" s="1383"/>
      <c r="C75" s="1384"/>
      <c r="D75" s="599" t="s">
        <v>198</v>
      </c>
      <c r="E75" s="595">
        <v>71.599999999999994</v>
      </c>
      <c r="F75" s="736">
        <v>255.45</v>
      </c>
      <c r="G75" s="549">
        <f t="shared" si="6"/>
        <v>183.85</v>
      </c>
      <c r="H75" s="536">
        <f>G75+'9'!H75</f>
        <v>1791.85</v>
      </c>
      <c r="I75" s="556"/>
      <c r="J75" s="629">
        <f>H75/DAY(B2)</f>
        <v>179.185</v>
      </c>
      <c r="K75" s="469"/>
      <c r="L75" s="408"/>
      <c r="N75" s="795"/>
    </row>
    <row r="76" spans="1:14" ht="27.75">
      <c r="A76" s="1382" t="s">
        <v>206</v>
      </c>
      <c r="B76" s="1383"/>
      <c r="C76" s="1384"/>
      <c r="D76" s="599" t="s">
        <v>198</v>
      </c>
      <c r="E76" s="595">
        <v>35.85</v>
      </c>
      <c r="F76" s="736">
        <v>115.9</v>
      </c>
      <c r="G76" s="549">
        <f t="shared" si="6"/>
        <v>80.050000000000011</v>
      </c>
      <c r="H76" s="536">
        <f>G76+'9'!H76</f>
        <v>893.05</v>
      </c>
      <c r="I76" s="581"/>
      <c r="J76" s="629">
        <f>H76/DAY(B2)</f>
        <v>89.304999999999993</v>
      </c>
      <c r="K76" s="469"/>
      <c r="L76" s="408"/>
      <c r="N76" s="795"/>
    </row>
    <row r="77" spans="1:14" ht="27.75">
      <c r="A77" s="1385" t="s">
        <v>207</v>
      </c>
      <c r="B77" s="1386"/>
      <c r="C77" s="1387"/>
      <c r="D77" s="599" t="s">
        <v>198</v>
      </c>
      <c r="E77" s="595">
        <f>'9'!F77</f>
        <v>697622</v>
      </c>
      <c r="F77" s="736">
        <v>697670</v>
      </c>
      <c r="G77" s="733">
        <f t="shared" si="6"/>
        <v>48</v>
      </c>
      <c r="H77" s="536">
        <f>G77+'9'!H77</f>
        <v>563</v>
      </c>
      <c r="I77" s="581"/>
      <c r="J77" s="629">
        <f>H77/DAY(B2)</f>
        <v>56.3</v>
      </c>
      <c r="K77" s="469"/>
      <c r="L77" s="408"/>
      <c r="N77" s="795"/>
    </row>
    <row r="78" spans="1:14" ht="27.75">
      <c r="A78" s="1234" t="s">
        <v>208</v>
      </c>
      <c r="B78" s="1205"/>
      <c r="C78" s="1205"/>
      <c r="D78" s="599" t="s">
        <v>198</v>
      </c>
      <c r="E78" s="595">
        <f>'9'!F78</f>
        <v>645674</v>
      </c>
      <c r="F78" s="737">
        <v>646107</v>
      </c>
      <c r="G78" s="549">
        <f t="shared" si="6"/>
        <v>433</v>
      </c>
      <c r="H78" s="536">
        <f>G78+'9'!H78</f>
        <v>4154</v>
      </c>
      <c r="I78" s="581"/>
      <c r="J78" s="629">
        <f>H78/DAY(B2)</f>
        <v>415.4</v>
      </c>
      <c r="K78" s="469"/>
      <c r="L78" s="408"/>
      <c r="N78" s="795"/>
    </row>
    <row r="79" spans="1:14" ht="27.75">
      <c r="A79" s="1382" t="s">
        <v>97</v>
      </c>
      <c r="B79" s="1383"/>
      <c r="C79" s="1384"/>
      <c r="D79" s="600" t="s">
        <v>198</v>
      </c>
      <c r="E79" s="595">
        <f>'9'!F79</f>
        <v>811438</v>
      </c>
      <c r="F79" s="737">
        <v>811623</v>
      </c>
      <c r="G79" s="549">
        <f t="shared" si="6"/>
        <v>185</v>
      </c>
      <c r="H79" s="536">
        <f>G79+'9'!H79</f>
        <v>1932</v>
      </c>
      <c r="I79" s="581"/>
      <c r="J79" s="629">
        <f>H79/DAY(B2)</f>
        <v>193.2</v>
      </c>
      <c r="K79" s="469"/>
      <c r="L79" s="408"/>
      <c r="N79" s="795"/>
    </row>
    <row r="80" spans="1:14" ht="27.75">
      <c r="A80" s="1382" t="s">
        <v>209</v>
      </c>
      <c r="B80" s="1383"/>
      <c r="C80" s="1384"/>
      <c r="D80" s="600" t="s">
        <v>198</v>
      </c>
      <c r="E80" s="595">
        <f>'9'!F80</f>
        <v>487876</v>
      </c>
      <c r="F80" s="736">
        <v>488160.76</v>
      </c>
      <c r="G80" s="549">
        <f t="shared" si="6"/>
        <v>284.76000000000931</v>
      </c>
      <c r="H80" s="536">
        <f>G80+'9'!H80</f>
        <v>3033.7600000000093</v>
      </c>
      <c r="I80" s="581"/>
      <c r="J80" s="629">
        <f>H80/DAY(B2)</f>
        <v>303.37600000000094</v>
      </c>
      <c r="K80" s="469"/>
      <c r="L80" s="408"/>
      <c r="N80" s="795"/>
    </row>
    <row r="81" spans="1:15" ht="27.75">
      <c r="A81" s="1382" t="s">
        <v>210</v>
      </c>
      <c r="B81" s="1383"/>
      <c r="C81" s="1384"/>
      <c r="D81" s="600" t="s">
        <v>198</v>
      </c>
      <c r="E81" s="595">
        <f>'9'!F81</f>
        <v>623650.92000000004</v>
      </c>
      <c r="F81" s="736">
        <v>623754</v>
      </c>
      <c r="G81" s="549">
        <f t="shared" si="6"/>
        <v>103.07999999995809</v>
      </c>
      <c r="H81" s="536">
        <f>G81+'9'!H81</f>
        <v>979</v>
      </c>
      <c r="I81" s="581"/>
      <c r="J81" s="629">
        <f>H81/DAY(B2)</f>
        <v>97.9</v>
      </c>
      <c r="K81" s="469"/>
      <c r="L81" s="408"/>
      <c r="N81" s="795"/>
    </row>
    <row r="82" spans="1:15" ht="27.75">
      <c r="A82" s="1382" t="s">
        <v>100</v>
      </c>
      <c r="B82" s="1383"/>
      <c r="C82" s="1384"/>
      <c r="D82" s="561" t="s">
        <v>143</v>
      </c>
      <c r="E82" s="595">
        <f>'9'!F82</f>
        <v>105734.82</v>
      </c>
      <c r="F82" s="732">
        <v>105759.98</v>
      </c>
      <c r="G82" s="549">
        <f t="shared" si="6"/>
        <v>25.159999999988941</v>
      </c>
      <c r="H82" s="536">
        <f>G82+'9'!H82</f>
        <v>319.97999999999593</v>
      </c>
      <c r="I82" s="562"/>
      <c r="J82" s="629">
        <f>H82/DAY(B2)</f>
        <v>31.997999999999593</v>
      </c>
      <c r="K82" s="469"/>
      <c r="L82" s="408"/>
      <c r="N82" s="795"/>
    </row>
    <row r="83" spans="1:15" ht="27.75">
      <c r="A83" s="1382" t="s">
        <v>211</v>
      </c>
      <c r="B83" s="1383"/>
      <c r="C83" s="1384"/>
      <c r="D83" s="697" t="s">
        <v>143</v>
      </c>
      <c r="E83" s="595">
        <f>'9'!F83</f>
        <v>987780</v>
      </c>
      <c r="F83" s="587">
        <v>988042</v>
      </c>
      <c r="G83" s="549">
        <f t="shared" si="6"/>
        <v>262</v>
      </c>
      <c r="H83" s="536">
        <f>G83+'9'!H83</f>
        <v>4301</v>
      </c>
      <c r="I83" s="557"/>
      <c r="J83" s="629">
        <f>H83/DAY(B2)</f>
        <v>430.1</v>
      </c>
      <c r="K83" s="468"/>
      <c r="L83" s="408"/>
      <c r="N83" s="795"/>
    </row>
    <row r="84" spans="1:15">
      <c r="A84" s="1235" t="s">
        <v>212</v>
      </c>
      <c r="B84" s="648"/>
      <c r="C84" s="648"/>
      <c r="D84" s="554" t="s">
        <v>143</v>
      </c>
      <c r="E84" s="595">
        <f>'9'!F84</f>
        <v>420427</v>
      </c>
      <c r="F84" s="704">
        <v>420923</v>
      </c>
      <c r="G84" s="549">
        <f t="shared" si="6"/>
        <v>496</v>
      </c>
      <c r="H84" s="536">
        <f>G84+'9'!H84</f>
        <v>4850</v>
      </c>
      <c r="I84" s="557"/>
      <c r="J84" s="629">
        <f>H84/DAY(B2)</f>
        <v>485</v>
      </c>
      <c r="K84" s="411"/>
      <c r="L84" s="408"/>
      <c r="N84" s="795"/>
    </row>
    <row r="85" spans="1:15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SUM(G71:G84)</f>
        <v>2160.1099999999565</v>
      </c>
      <c r="H85" s="536">
        <f>G85+'9'!H85</f>
        <v>21975.850000000006</v>
      </c>
      <c r="I85" s="557"/>
      <c r="J85" s="629">
        <f>H85/DAY(B2)</f>
        <v>2197.5850000000005</v>
      </c>
      <c r="K85" s="411"/>
      <c r="L85" s="409"/>
      <c r="N85" s="795"/>
    </row>
    <row r="86" spans="1:15" s="817" customFormat="1">
      <c r="A86" s="812" t="s">
        <v>102</v>
      </c>
      <c r="B86" s="813"/>
      <c r="C86" s="813"/>
      <c r="D86" s="814" t="s">
        <v>194</v>
      </c>
      <c r="E86" s="704">
        <f>'9'!F86</f>
        <v>448301.8</v>
      </c>
      <c r="F86" s="728">
        <v>448449</v>
      </c>
      <c r="G86" s="787">
        <f t="shared" ref="G86:G90" si="7">F86-E86</f>
        <v>147.20000000001164</v>
      </c>
      <c r="H86" s="536">
        <f>G86+'9'!H86</f>
        <v>413</v>
      </c>
      <c r="I86" s="733"/>
      <c r="J86" s="789">
        <f>H86/DAY(B2)</f>
        <v>41.3</v>
      </c>
      <c r="K86" s="815"/>
      <c r="L86" s="816"/>
      <c r="O86" s="795"/>
    </row>
    <row r="87" spans="1:15" s="817" customFormat="1">
      <c r="A87" s="812" t="s">
        <v>103</v>
      </c>
      <c r="B87" s="813"/>
      <c r="C87" s="813"/>
      <c r="D87" s="814" t="s">
        <v>194</v>
      </c>
      <c r="E87" s="704">
        <f>'9'!F87</f>
        <v>78693.3</v>
      </c>
      <c r="F87" s="728">
        <v>78729.399999999994</v>
      </c>
      <c r="G87" s="787">
        <f t="shared" si="7"/>
        <v>36.099999999991269</v>
      </c>
      <c r="H87" s="536">
        <f>G87+'9'!H87</f>
        <v>103.89999999999418</v>
      </c>
      <c r="I87" s="733"/>
      <c r="J87" s="789">
        <f>H87/DAY(B2)</f>
        <v>10.389999999999418</v>
      </c>
      <c r="K87" s="815"/>
      <c r="L87" s="816"/>
      <c r="O87" s="795"/>
    </row>
    <row r="88" spans="1:15" s="817" customFormat="1">
      <c r="A88" s="812" t="s">
        <v>104</v>
      </c>
      <c r="B88" s="813"/>
      <c r="C88" s="813"/>
      <c r="D88" s="814" t="s">
        <v>194</v>
      </c>
      <c r="E88" s="704">
        <f>'9'!F88</f>
        <v>147054</v>
      </c>
      <c r="F88" s="717">
        <v>147137</v>
      </c>
      <c r="G88" s="787">
        <f t="shared" si="7"/>
        <v>83</v>
      </c>
      <c r="H88" s="536">
        <f>G88+'9'!H88</f>
        <v>199</v>
      </c>
      <c r="I88" s="733"/>
      <c r="J88" s="789">
        <f>H88/DAY(B2)</f>
        <v>19.899999999999999</v>
      </c>
      <c r="K88" s="815"/>
      <c r="L88" s="816"/>
      <c r="O88" s="795"/>
    </row>
    <row r="89" spans="1:15" s="817" customFormat="1">
      <c r="A89" s="812" t="s">
        <v>215</v>
      </c>
      <c r="B89" s="813"/>
      <c r="C89" s="813"/>
      <c r="D89" s="814" t="s">
        <v>194</v>
      </c>
      <c r="E89" s="704">
        <f>'9'!F89</f>
        <v>60423.3</v>
      </c>
      <c r="F89" s="728">
        <v>60508</v>
      </c>
      <c r="G89" s="787">
        <f t="shared" si="7"/>
        <v>84.69999999999709</v>
      </c>
      <c r="H89" s="536">
        <f>G89+'9'!H89</f>
        <v>205</v>
      </c>
      <c r="I89" s="733"/>
      <c r="J89" s="789">
        <f>H89/DAY(B2)</f>
        <v>20.5</v>
      </c>
      <c r="K89" s="815"/>
      <c r="L89" s="816"/>
      <c r="N89" s="860"/>
      <c r="O89" s="413"/>
    </row>
    <row r="90" spans="1:15" s="817" customFormat="1">
      <c r="A90" s="812" t="s">
        <v>215</v>
      </c>
      <c r="B90" s="813"/>
      <c r="C90" s="813"/>
      <c r="D90" s="814" t="s">
        <v>194</v>
      </c>
      <c r="E90" s="704">
        <f>'9'!F90</f>
        <v>3097</v>
      </c>
      <c r="F90" s="728">
        <v>3102.7</v>
      </c>
      <c r="G90" s="787">
        <f t="shared" si="7"/>
        <v>5.6999999999998181</v>
      </c>
      <c r="H90" s="536">
        <f>G90+'9'!H90</f>
        <v>13.699999999999818</v>
      </c>
      <c r="I90" s="733"/>
      <c r="J90" s="789">
        <f>H90/DAY(B2)</f>
        <v>1.3699999999999819</v>
      </c>
      <c r="K90" s="815"/>
      <c r="L90" s="816"/>
      <c r="N90" s="860"/>
      <c r="O90" s="413"/>
    </row>
    <row r="91" spans="1:15" s="410" customFormat="1">
      <c r="A91" s="683" t="s">
        <v>216</v>
      </c>
      <c r="B91" s="1237"/>
      <c r="C91" s="1237"/>
      <c r="D91" s="548"/>
      <c r="E91" s="548"/>
      <c r="F91" s="548"/>
      <c r="G91" s="564"/>
      <c r="H91" s="548"/>
      <c r="I91" s="548"/>
      <c r="J91" s="628"/>
      <c r="K91" s="411"/>
      <c r="L91" s="409"/>
      <c r="N91" s="795"/>
    </row>
    <row r="92" spans="1:15" ht="27.75">
      <c r="A92" s="1406" t="s">
        <v>217</v>
      </c>
      <c r="B92" s="1407"/>
      <c r="C92" s="1408"/>
      <c r="D92" s="599" t="s">
        <v>155</v>
      </c>
      <c r="E92" s="560">
        <f>'9'!F92</f>
        <v>237424</v>
      </c>
      <c r="F92" s="554">
        <v>237561</v>
      </c>
      <c r="G92" s="549">
        <f t="shared" ref="G92:G93" si="8">F92-E92</f>
        <v>137</v>
      </c>
      <c r="H92" s="536">
        <f>G92+'9'!H92</f>
        <v>991</v>
      </c>
      <c r="I92" s="556"/>
      <c r="J92" s="629">
        <f>H92/DAY(B2)</f>
        <v>99.1</v>
      </c>
      <c r="K92" s="468"/>
      <c r="L92" s="408"/>
      <c r="N92" s="795"/>
    </row>
    <row r="93" spans="1:15" ht="27.75">
      <c r="A93" s="1406" t="s">
        <v>218</v>
      </c>
      <c r="B93" s="1407"/>
      <c r="C93" s="1408"/>
      <c r="D93" s="599" t="s">
        <v>155</v>
      </c>
      <c r="E93" s="560">
        <f>'9'!F93</f>
        <v>172620</v>
      </c>
      <c r="F93" s="554">
        <v>172775</v>
      </c>
      <c r="G93" s="549">
        <f t="shared" si="8"/>
        <v>155</v>
      </c>
      <c r="H93" s="536">
        <f>G93+'9'!H93</f>
        <v>1599</v>
      </c>
      <c r="I93" s="556"/>
      <c r="J93" s="629">
        <f>H93/DAY(B2)</f>
        <v>159.9</v>
      </c>
      <c r="K93" s="411"/>
      <c r="L93" s="408"/>
      <c r="N93" s="795"/>
    </row>
    <row r="94" spans="1:15">
      <c r="A94" s="1434" t="s">
        <v>219</v>
      </c>
      <c r="B94" s="1435"/>
      <c r="C94" s="1436"/>
      <c r="D94" s="599"/>
      <c r="E94" s="560"/>
      <c r="F94" s="554"/>
      <c r="G94" s="549">
        <f>G92+G93</f>
        <v>292</v>
      </c>
      <c r="H94" s="536">
        <f>G94+'9'!H94</f>
        <v>2303</v>
      </c>
      <c r="I94" s="556"/>
      <c r="J94" s="629">
        <f>H94/DAY(B2)</f>
        <v>230.3</v>
      </c>
      <c r="K94" s="411"/>
      <c r="L94" s="408"/>
      <c r="N94" s="795"/>
    </row>
    <row r="95" spans="1:15" ht="27.75">
      <c r="A95" s="1406" t="s">
        <v>220</v>
      </c>
      <c r="B95" s="1407"/>
      <c r="C95" s="1408"/>
      <c r="D95" s="599" t="s">
        <v>155</v>
      </c>
      <c r="E95" s="560">
        <f>'9'!F95</f>
        <v>406466</v>
      </c>
      <c r="F95" s="554">
        <v>406543</v>
      </c>
      <c r="G95" s="549">
        <f t="shared" ref="G95:G100" si="9">F95-E95</f>
        <v>77</v>
      </c>
      <c r="H95" s="536">
        <f>G95+'9'!H95</f>
        <v>667</v>
      </c>
      <c r="I95" s="556"/>
      <c r="J95" s="629">
        <f>H95/DAY(B2)</f>
        <v>66.7</v>
      </c>
      <c r="K95" s="411"/>
      <c r="L95" s="408"/>
      <c r="N95" s="795"/>
    </row>
    <row r="96" spans="1:15" ht="27.75">
      <c r="A96" s="1231" t="s">
        <v>221</v>
      </c>
      <c r="B96" s="1232"/>
      <c r="C96" s="1232"/>
      <c r="D96" s="599" t="s">
        <v>155</v>
      </c>
      <c r="E96" s="560">
        <f>'9'!F96</f>
        <v>100849</v>
      </c>
      <c r="F96" s="554">
        <v>100889</v>
      </c>
      <c r="G96" s="549">
        <f t="shared" si="9"/>
        <v>40</v>
      </c>
      <c r="H96" s="536">
        <f>G96+'9'!H96</f>
        <v>355</v>
      </c>
      <c r="I96" s="556"/>
      <c r="J96" s="629">
        <f>H96/DAY(B2)</f>
        <v>35.5</v>
      </c>
      <c r="K96" s="466"/>
      <c r="L96" s="408"/>
      <c r="N96" s="795"/>
    </row>
    <row r="97" spans="1:14" ht="27.75">
      <c r="A97" s="1231" t="s">
        <v>222</v>
      </c>
      <c r="B97" s="1232"/>
      <c r="C97" s="1232"/>
      <c r="D97" s="599" t="s">
        <v>155</v>
      </c>
      <c r="E97" s="560">
        <f>'9'!F97</f>
        <v>95930</v>
      </c>
      <c r="F97" s="554">
        <v>95976</v>
      </c>
      <c r="G97" s="549">
        <f t="shared" si="9"/>
        <v>46</v>
      </c>
      <c r="H97" s="536">
        <f>G97+'9'!H97</f>
        <v>299</v>
      </c>
      <c r="I97" s="556"/>
      <c r="J97" s="629">
        <f>H97/DAY(B2)</f>
        <v>29.9</v>
      </c>
      <c r="K97" s="471"/>
      <c r="L97" s="408"/>
      <c r="N97" s="795"/>
    </row>
    <row r="98" spans="1:14" ht="27.75">
      <c r="A98" s="1231" t="s">
        <v>223</v>
      </c>
      <c r="B98" s="1232"/>
      <c r="C98" s="1232"/>
      <c r="D98" s="599" t="s">
        <v>155</v>
      </c>
      <c r="E98" s="560">
        <f>'9'!F98</f>
        <v>146158</v>
      </c>
      <c r="F98" s="554">
        <v>146238</v>
      </c>
      <c r="G98" s="549">
        <f t="shared" si="9"/>
        <v>80</v>
      </c>
      <c r="H98" s="536">
        <f>G98+'9'!H98</f>
        <v>684</v>
      </c>
      <c r="I98" s="556"/>
      <c r="J98" s="629">
        <f>H98/DAY(B2)</f>
        <v>68.400000000000006</v>
      </c>
      <c r="K98" s="411"/>
      <c r="L98" s="408"/>
      <c r="N98" s="797"/>
    </row>
    <row r="99" spans="1:14" ht="27.75">
      <c r="A99" s="1231" t="s">
        <v>224</v>
      </c>
      <c r="B99" s="1232"/>
      <c r="C99" s="1232"/>
      <c r="D99" s="599" t="s">
        <v>155</v>
      </c>
      <c r="E99" s="560">
        <f>'9'!F99</f>
        <v>6070</v>
      </c>
      <c r="F99" s="554">
        <v>6082</v>
      </c>
      <c r="G99" s="549">
        <f t="shared" si="9"/>
        <v>12</v>
      </c>
      <c r="H99" s="536">
        <f>G99+'9'!H99</f>
        <v>108</v>
      </c>
      <c r="I99" s="556"/>
      <c r="J99" s="629">
        <f>H99/DAY(B2)</f>
        <v>10.8</v>
      </c>
      <c r="K99" s="411"/>
      <c r="L99" s="408"/>
      <c r="N99" s="795"/>
    </row>
    <row r="100" spans="1:14" ht="27.75">
      <c r="A100" s="1231" t="s">
        <v>225</v>
      </c>
      <c r="B100" s="1232"/>
      <c r="C100" s="1232"/>
      <c r="D100" s="599" t="s">
        <v>155</v>
      </c>
      <c r="E100" s="560">
        <f>'9'!F100</f>
        <v>4300</v>
      </c>
      <c r="F100" s="554">
        <v>4312</v>
      </c>
      <c r="G100" s="549">
        <f t="shared" si="9"/>
        <v>12</v>
      </c>
      <c r="H100" s="536">
        <f>G100+'9'!H100</f>
        <v>75</v>
      </c>
      <c r="I100" s="556"/>
      <c r="J100" s="629">
        <f>H100/DAY(B2)</f>
        <v>7.5</v>
      </c>
      <c r="K100" s="411"/>
      <c r="L100" s="408"/>
      <c r="N100" s="795"/>
    </row>
    <row r="101" spans="1:14">
      <c r="A101" s="1434" t="s">
        <v>227</v>
      </c>
      <c r="B101" s="1435"/>
      <c r="C101" s="1436"/>
      <c r="D101" s="600"/>
      <c r="E101" s="560"/>
      <c r="F101" s="600"/>
      <c r="G101" s="601">
        <f>SUM(G95:G100)</f>
        <v>267</v>
      </c>
      <c r="H101" s="536">
        <f>G101+'9'!H101</f>
        <v>2188</v>
      </c>
      <c r="I101" s="602"/>
      <c r="J101" s="629">
        <f>H101/DAY(B2)</f>
        <v>218.8</v>
      </c>
      <c r="K101" s="411"/>
      <c r="L101" s="408"/>
      <c r="N101" s="795"/>
    </row>
    <row r="102" spans="1:14" s="481" customFormat="1" ht="27">
      <c r="A102" s="684" t="s">
        <v>228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795"/>
    </row>
    <row r="103" spans="1:14" s="481" customFormat="1" ht="27.75">
      <c r="A103" s="1437" t="s">
        <v>229</v>
      </c>
      <c r="B103" s="1438"/>
      <c r="C103" s="650"/>
      <c r="D103" s="699"/>
      <c r="E103" s="560"/>
      <c r="F103" s="739"/>
      <c r="G103" s="608"/>
      <c r="H103" s="609"/>
      <c r="I103" s="608"/>
      <c r="J103" s="635"/>
      <c r="N103" s="795"/>
    </row>
    <row r="104" spans="1:14" s="481" customFormat="1" ht="27.75">
      <c r="A104" s="1398" t="s">
        <v>230</v>
      </c>
      <c r="B104" s="1399"/>
      <c r="C104" s="1230"/>
      <c r="D104" s="699" t="s">
        <v>155</v>
      </c>
      <c r="E104" s="560">
        <f>'9'!F104</f>
        <v>7010</v>
      </c>
      <c r="F104" s="739">
        <v>7010</v>
      </c>
      <c r="G104" s="608">
        <v>0</v>
      </c>
      <c r="H104" s="536">
        <f>G104+'9'!H104</f>
        <v>0</v>
      </c>
      <c r="I104" s="608"/>
      <c r="J104" s="635">
        <f>H104/DAY(B2)</f>
        <v>0</v>
      </c>
      <c r="N104" s="795"/>
    </row>
    <row r="105" spans="1:14" s="481" customFormat="1" ht="27.75">
      <c r="A105" s="1398" t="s">
        <v>77</v>
      </c>
      <c r="B105" s="1399"/>
      <c r="C105" s="1230"/>
      <c r="D105" s="699" t="s">
        <v>155</v>
      </c>
      <c r="E105" s="560">
        <f>'9'!F105</f>
        <v>35218</v>
      </c>
      <c r="F105" s="740">
        <v>35230</v>
      </c>
      <c r="G105" s="608">
        <f t="shared" ref="G105:G106" si="10">F105-E105</f>
        <v>12</v>
      </c>
      <c r="H105" s="536">
        <f>G105+'9'!H105</f>
        <v>75</v>
      </c>
      <c r="I105" s="608"/>
      <c r="J105" s="635">
        <f>H105/DAY(B2)</f>
        <v>7.5</v>
      </c>
      <c r="N105" s="795"/>
    </row>
    <row r="106" spans="1:14" s="481" customFormat="1" ht="27.75">
      <c r="A106" s="1398" t="s">
        <v>78</v>
      </c>
      <c r="B106" s="1439"/>
      <c r="C106" s="1399"/>
      <c r="D106" s="699" t="s">
        <v>155</v>
      </c>
      <c r="E106" s="560">
        <f>'9'!F106</f>
        <v>19125</v>
      </c>
      <c r="F106" s="740">
        <v>19128</v>
      </c>
      <c r="G106" s="608">
        <f t="shared" si="10"/>
        <v>3</v>
      </c>
      <c r="H106" s="536">
        <f>G106+'9'!H106</f>
        <v>54</v>
      </c>
      <c r="I106" s="608"/>
      <c r="J106" s="635">
        <f>H106/DAY(B2)</f>
        <v>5.4</v>
      </c>
      <c r="N106" s="795"/>
    </row>
    <row r="107" spans="1:14" s="481" customFormat="1" ht="27.75">
      <c r="A107" s="1400" t="s">
        <v>213</v>
      </c>
      <c r="B107" s="1401"/>
      <c r="C107" s="1230"/>
      <c r="D107" s="699"/>
      <c r="E107" s="560"/>
      <c r="F107" s="740"/>
      <c r="G107" s="608">
        <f>SUM(G104:G106)</f>
        <v>15</v>
      </c>
      <c r="H107" s="536">
        <f>G107+'9'!H107</f>
        <v>129</v>
      </c>
      <c r="I107" s="608"/>
      <c r="J107" s="635">
        <f>H107/DAY(B2)</f>
        <v>12.9</v>
      </c>
      <c r="N107" s="795"/>
    </row>
    <row r="108" spans="1:14" s="481" customFormat="1" ht="27.75">
      <c r="A108" s="1404" t="s">
        <v>79</v>
      </c>
      <c r="B108" s="1405"/>
      <c r="C108" s="1230"/>
      <c r="D108" s="699" t="s">
        <v>155</v>
      </c>
      <c r="E108" s="560"/>
      <c r="F108" s="740"/>
      <c r="G108" s="608"/>
      <c r="H108" s="609"/>
      <c r="I108" s="608"/>
      <c r="J108" s="635"/>
      <c r="N108" s="795"/>
    </row>
    <row r="109" spans="1:14" s="481" customFormat="1" ht="27.75">
      <c r="A109" s="1398" t="s">
        <v>231</v>
      </c>
      <c r="B109" s="1399"/>
      <c r="C109" s="1230"/>
      <c r="D109" s="699" t="s">
        <v>155</v>
      </c>
      <c r="E109" s="560">
        <f>'9'!F109</f>
        <v>55155</v>
      </c>
      <c r="F109" s="740">
        <v>55216</v>
      </c>
      <c r="G109" s="608">
        <f>F109-E109</f>
        <v>61</v>
      </c>
      <c r="H109" s="536">
        <f>G109+'9'!H109</f>
        <v>597</v>
      </c>
      <c r="I109" s="608"/>
      <c r="J109" s="635">
        <f>H109/DAY(B2)</f>
        <v>59.7</v>
      </c>
      <c r="N109" s="795"/>
    </row>
    <row r="110" spans="1:14" s="481" customFormat="1" ht="27.75">
      <c r="A110" s="1398" t="s">
        <v>232</v>
      </c>
      <c r="B110" s="1399"/>
      <c r="C110" s="1230"/>
      <c r="D110" s="699" t="s">
        <v>155</v>
      </c>
      <c r="E110" s="560">
        <f>'9'!F110</f>
        <v>29083</v>
      </c>
      <c r="F110" s="740">
        <v>29147</v>
      </c>
      <c r="G110" s="608">
        <f t="shared" ref="G110:G111" si="11">F110-E110</f>
        <v>64</v>
      </c>
      <c r="H110" s="536">
        <f>G110+'9'!H110</f>
        <v>653</v>
      </c>
      <c r="I110" s="608"/>
      <c r="J110" s="635">
        <f>H110/DAY(B2)</f>
        <v>65.3</v>
      </c>
      <c r="N110" s="795"/>
    </row>
    <row r="111" spans="1:14" s="481" customFormat="1" ht="27.75">
      <c r="A111" s="1398" t="s">
        <v>233</v>
      </c>
      <c r="B111" s="1399"/>
      <c r="C111" s="1230"/>
      <c r="D111" s="699" t="s">
        <v>155</v>
      </c>
      <c r="E111" s="560">
        <f>'9'!F111</f>
        <v>3839</v>
      </c>
      <c r="F111" s="740">
        <v>3845</v>
      </c>
      <c r="G111" s="608">
        <f t="shared" si="11"/>
        <v>6</v>
      </c>
      <c r="H111" s="536">
        <f>G111+'9'!H111</f>
        <v>105</v>
      </c>
      <c r="I111" s="608"/>
      <c r="J111" s="635">
        <f>H111/DAY(B2)</f>
        <v>10.5</v>
      </c>
      <c r="N111" s="795"/>
    </row>
    <row r="112" spans="1:14" s="481" customFormat="1" ht="27.75">
      <c r="A112" s="1400" t="s">
        <v>121</v>
      </c>
      <c r="B112" s="1401"/>
      <c r="C112" s="1230"/>
      <c r="D112" s="699"/>
      <c r="E112" s="560"/>
      <c r="F112" s="740"/>
      <c r="G112" s="608">
        <f>SUM(G109:G111)</f>
        <v>131</v>
      </c>
      <c r="H112" s="536">
        <f>G112+'9'!H112</f>
        <v>1355</v>
      </c>
      <c r="I112" s="608"/>
      <c r="J112" s="635">
        <f>H112/DAY(B2)</f>
        <v>135.5</v>
      </c>
      <c r="N112" s="795"/>
    </row>
    <row r="113" spans="1:14" s="481" customFormat="1" ht="27.75">
      <c r="A113" s="1404" t="s">
        <v>234</v>
      </c>
      <c r="B113" s="1405"/>
      <c r="C113" s="1230"/>
      <c r="D113" s="699"/>
      <c r="E113" s="560"/>
      <c r="F113" s="740"/>
      <c r="G113" s="608"/>
      <c r="H113" s="536">
        <f>G113+'9'!H113</f>
        <v>0</v>
      </c>
      <c r="I113" s="608"/>
      <c r="J113" s="635">
        <f>H113/DAY(B2)</f>
        <v>0</v>
      </c>
      <c r="N113" s="795"/>
    </row>
    <row r="114" spans="1:14" s="481" customFormat="1" ht="27.75">
      <c r="A114" s="1398" t="s">
        <v>235</v>
      </c>
      <c r="B114" s="1399"/>
      <c r="C114" s="651"/>
      <c r="D114" s="699" t="s">
        <v>155</v>
      </c>
      <c r="E114" s="560">
        <f>'9'!F114</f>
        <v>9919</v>
      </c>
      <c r="F114" s="740">
        <v>9933</v>
      </c>
      <c r="G114" s="610">
        <f>F114-E114</f>
        <v>14</v>
      </c>
      <c r="H114" s="536">
        <f>G114+'9'!H114</f>
        <v>146</v>
      </c>
      <c r="I114" s="608"/>
      <c r="J114" s="635">
        <f>H114/DAY(B2)</f>
        <v>14.6</v>
      </c>
      <c r="N114" s="795"/>
    </row>
    <row r="115" spans="1:14" s="481" customFormat="1" ht="27.75">
      <c r="A115" s="1398" t="s">
        <v>236</v>
      </c>
      <c r="B115" s="1399"/>
      <c r="C115" s="651"/>
      <c r="D115" s="699" t="s">
        <v>155</v>
      </c>
      <c r="E115" s="560">
        <f>'9'!F115</f>
        <v>7479</v>
      </c>
      <c r="F115" s="740">
        <v>7492</v>
      </c>
      <c r="G115" s="610">
        <f t="shared" ref="G115:G116" si="12">F115-E115</f>
        <v>13</v>
      </c>
      <c r="H115" s="536">
        <f>G115+'9'!H115</f>
        <v>72</v>
      </c>
      <c r="I115" s="608"/>
      <c r="J115" s="635">
        <f>H115/DAY(B2)</f>
        <v>7.2</v>
      </c>
      <c r="N115" s="795"/>
    </row>
    <row r="116" spans="1:14" s="481" customFormat="1" ht="27.75">
      <c r="A116" s="1398" t="s">
        <v>237</v>
      </c>
      <c r="B116" s="1399"/>
      <c r="C116" s="651"/>
      <c r="D116" s="699" t="s">
        <v>155</v>
      </c>
      <c r="E116" s="610"/>
      <c r="F116" s="740"/>
      <c r="G116" s="610">
        <f t="shared" si="12"/>
        <v>0</v>
      </c>
      <c r="H116" s="536">
        <f>G116+'9'!H116</f>
        <v>0</v>
      </c>
      <c r="I116" s="608"/>
      <c r="J116" s="635">
        <f>H116/DAY(B2)</f>
        <v>0</v>
      </c>
      <c r="N116" s="795"/>
    </row>
    <row r="117" spans="1:14" s="494" customFormat="1" ht="27.75">
      <c r="A117" s="1400" t="s">
        <v>213</v>
      </c>
      <c r="B117" s="1401"/>
      <c r="C117" s="651"/>
      <c r="D117" s="700"/>
      <c r="E117" s="610"/>
      <c r="F117" s="740"/>
      <c r="G117" s="610">
        <f>SUM(G114:G116)</f>
        <v>27</v>
      </c>
      <c r="H117" s="536">
        <f>G117+'9'!H117</f>
        <v>218</v>
      </c>
      <c r="I117" s="610"/>
      <c r="J117" s="635">
        <f>H117/DAY(B2)</f>
        <v>21.8</v>
      </c>
      <c r="N117" s="795"/>
    </row>
    <row r="118" spans="1:14" s="495" customFormat="1" ht="27.75">
      <c r="A118" s="1394" t="s">
        <v>238</v>
      </c>
      <c r="B118" s="1395"/>
      <c r="C118" s="1228"/>
      <c r="D118" s="701" t="s">
        <v>155</v>
      </c>
      <c r="E118" s="612"/>
      <c r="F118" s="741">
        <f>SUM(G19+G92)</f>
        <v>187</v>
      </c>
      <c r="G118" s="612">
        <f>SUM(G19+G92)</f>
        <v>187</v>
      </c>
      <c r="H118" s="536">
        <f>G118+'9'!H118</f>
        <v>1491</v>
      </c>
      <c r="I118" s="611"/>
      <c r="J118" s="636">
        <f>H118/DAY(B2)</f>
        <v>149.1</v>
      </c>
      <c r="N118" s="795"/>
    </row>
    <row r="119" spans="1:14" s="495" customFormat="1" ht="27.75">
      <c r="A119" s="1394" t="s">
        <v>239</v>
      </c>
      <c r="B119" s="1395"/>
      <c r="C119" s="1228"/>
      <c r="D119" s="701" t="s">
        <v>155</v>
      </c>
      <c r="E119" s="612"/>
      <c r="F119" s="741">
        <f>SUM(G95,G96,G97,G99,G100)</f>
        <v>187</v>
      </c>
      <c r="G119" s="612">
        <f>SUM(G95,G96,G97,G99,G100)</f>
        <v>187</v>
      </c>
      <c r="H119" s="536">
        <f>G119+'9'!H119</f>
        <v>1504</v>
      </c>
      <c r="I119" s="611"/>
      <c r="J119" s="636">
        <f>H119/DAY(B2)</f>
        <v>150.4</v>
      </c>
      <c r="N119" s="795"/>
    </row>
    <row r="120" spans="1:14" s="495" customFormat="1" ht="27.75">
      <c r="A120" s="1394" t="s">
        <v>240</v>
      </c>
      <c r="B120" s="1395"/>
      <c r="C120" s="1228"/>
      <c r="D120" s="701" t="s">
        <v>155</v>
      </c>
      <c r="E120" s="610"/>
      <c r="F120" s="740">
        <f>SUM(G112)</f>
        <v>131</v>
      </c>
      <c r="G120" s="610">
        <f>SUM(G112)</f>
        <v>131</v>
      </c>
      <c r="H120" s="536">
        <f>G120+'9'!H120</f>
        <v>1355</v>
      </c>
      <c r="I120" s="611"/>
      <c r="J120" s="636">
        <f>H120/DAY(B2)</f>
        <v>135.5</v>
      </c>
      <c r="N120" s="795"/>
    </row>
    <row r="121" spans="1:14" s="481" customFormat="1" ht="27.75">
      <c r="A121" s="1396"/>
      <c r="B121" s="1397"/>
      <c r="C121" s="1229"/>
      <c r="D121" s="637"/>
      <c r="E121" s="637"/>
      <c r="F121" s="742" t="s">
        <v>226</v>
      </c>
      <c r="G121" s="637"/>
      <c r="H121" s="638"/>
      <c r="I121" s="637"/>
      <c r="J121" s="639"/>
      <c r="N121" s="795"/>
    </row>
    <row r="122" spans="1:14">
      <c r="A122" s="1431" t="s">
        <v>241</v>
      </c>
      <c r="B122" s="1432"/>
      <c r="C122" s="1433"/>
      <c r="D122" s="548"/>
      <c r="E122" s="548"/>
      <c r="F122" s="548"/>
      <c r="G122" s="559"/>
      <c r="H122" s="559"/>
      <c r="I122" s="559"/>
      <c r="J122" s="640"/>
      <c r="K122" s="411"/>
      <c r="L122" s="408"/>
      <c r="N122" s="795"/>
    </row>
    <row r="123" spans="1:14" ht="27.75">
      <c r="A123" s="1231" t="s">
        <v>242</v>
      </c>
      <c r="B123" s="1232"/>
      <c r="C123" s="1232"/>
      <c r="D123" s="599" t="s">
        <v>152</v>
      </c>
      <c r="E123" s="554">
        <f>'9'!F123</f>
        <v>805842</v>
      </c>
      <c r="F123" s="554">
        <v>806128</v>
      </c>
      <c r="G123" s="549">
        <f t="shared" ref="G123:G127" si="13">F123-E123</f>
        <v>286</v>
      </c>
      <c r="H123" s="536">
        <f>G123+'9'!H123</f>
        <v>2792.5999999999767</v>
      </c>
      <c r="I123" s="602"/>
      <c r="J123" s="629">
        <f>H123/DAY(B2)</f>
        <v>279.25999999999766</v>
      </c>
      <c r="K123" s="411"/>
      <c r="L123" s="408"/>
      <c r="N123" s="795"/>
    </row>
    <row r="124" spans="1:14" ht="27.75">
      <c r="A124" s="1231" t="s">
        <v>243</v>
      </c>
      <c r="B124" s="1232"/>
      <c r="C124" s="1232"/>
      <c r="D124" s="599" t="s">
        <v>152</v>
      </c>
      <c r="E124" s="703">
        <f>'9'!F124</f>
        <v>73583.399999999994</v>
      </c>
      <c r="F124" s="703">
        <v>73583.399999999994</v>
      </c>
      <c r="G124" s="549">
        <f t="shared" si="13"/>
        <v>0</v>
      </c>
      <c r="H124" s="536">
        <f>G124+'9'!H124</f>
        <v>1.3999999999941792</v>
      </c>
      <c r="I124" s="602"/>
      <c r="J124" s="629">
        <f>H124/DAY(B2)</f>
        <v>0.13999999999941792</v>
      </c>
      <c r="K124" s="411"/>
      <c r="L124" s="408"/>
      <c r="N124" s="795"/>
    </row>
    <row r="125" spans="1:14" ht="27.75">
      <c r="A125" s="1385" t="s">
        <v>244</v>
      </c>
      <c r="B125" s="1386"/>
      <c r="C125" s="1387"/>
      <c r="D125" s="599" t="s">
        <v>152</v>
      </c>
      <c r="E125" s="554">
        <f>'9'!F125</f>
        <v>138425.57999999999</v>
      </c>
      <c r="F125" s="554">
        <v>138503.84</v>
      </c>
      <c r="G125" s="549">
        <f t="shared" si="13"/>
        <v>78.260000000009313</v>
      </c>
      <c r="H125" s="536">
        <f>G125+'9'!H125</f>
        <v>655.83999999999651</v>
      </c>
      <c r="I125" s="602"/>
      <c r="J125" s="629">
        <f>H125/DAY(B2)</f>
        <v>65.583999999999648</v>
      </c>
      <c r="K125" s="411"/>
      <c r="L125" s="408"/>
      <c r="N125" s="795"/>
    </row>
    <row r="126" spans="1:14" ht="27.75">
      <c r="A126" s="686" t="s">
        <v>245</v>
      </c>
      <c r="B126" s="1232"/>
      <c r="C126" s="1232"/>
      <c r="D126" s="599" t="s">
        <v>152</v>
      </c>
      <c r="E126" s="703">
        <f>'9'!F126</f>
        <v>58738</v>
      </c>
      <c r="F126" s="703">
        <v>58770</v>
      </c>
      <c r="G126" s="549">
        <f t="shared" si="13"/>
        <v>32</v>
      </c>
      <c r="H126" s="536">
        <f>G126+'9'!H126</f>
        <v>378.30000000000291</v>
      </c>
      <c r="I126" s="602"/>
      <c r="J126" s="629">
        <f>H126/DAY(B2)</f>
        <v>37.83000000000029</v>
      </c>
      <c r="K126" s="411"/>
      <c r="L126" s="408"/>
      <c r="N126" s="795"/>
    </row>
    <row r="127" spans="1:14" ht="27.75">
      <c r="A127" s="686" t="s">
        <v>246</v>
      </c>
      <c r="B127" s="1232"/>
      <c r="C127" s="1232"/>
      <c r="D127" s="599" t="s">
        <v>152</v>
      </c>
      <c r="E127" s="703">
        <f>'9'!F127</f>
        <v>8837.7999999999993</v>
      </c>
      <c r="F127" s="703">
        <v>8839</v>
      </c>
      <c r="G127" s="549">
        <f t="shared" si="13"/>
        <v>1.2000000000007276</v>
      </c>
      <c r="H127" s="536">
        <f>G127+'9'!H127</f>
        <v>23</v>
      </c>
      <c r="I127" s="556"/>
      <c r="J127" s="629">
        <f>H127/DAY(B2)</f>
        <v>2.2999999999999998</v>
      </c>
      <c r="K127" s="411"/>
      <c r="L127" s="408"/>
      <c r="N127" s="795"/>
    </row>
    <row r="128" spans="1:14" s="281" customFormat="1" ht="27.75">
      <c r="A128" s="686" t="s">
        <v>247</v>
      </c>
      <c r="B128" s="1232"/>
      <c r="C128" s="1232"/>
      <c r="D128" s="599"/>
      <c r="E128" s="554"/>
      <c r="F128" s="554"/>
      <c r="G128" s="549">
        <f>G15-SUM(G123:G127)</f>
        <v>501.63999999985026</v>
      </c>
      <c r="H128" s="536"/>
      <c r="I128" s="556"/>
      <c r="J128" s="629"/>
      <c r="K128" s="391"/>
      <c r="L128" s="293"/>
      <c r="N128" s="795"/>
    </row>
    <row r="129" spans="1:14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795"/>
    </row>
    <row r="130" spans="1:14" ht="27.75">
      <c r="A130" s="1231" t="s">
        <v>249</v>
      </c>
      <c r="B130" s="1232"/>
      <c r="C130" s="1232"/>
      <c r="D130" s="599" t="s">
        <v>250</v>
      </c>
      <c r="E130" s="560">
        <f>'9'!F130</f>
        <v>0</v>
      </c>
      <c r="F130" s="554">
        <v>0</v>
      </c>
      <c r="G130" s="549">
        <f t="shared" ref="G130:G140" si="14">F130-E130</f>
        <v>0</v>
      </c>
      <c r="H130" s="536">
        <f>G130+'9'!H130</f>
        <v>0</v>
      </c>
      <c r="I130" s="556"/>
      <c r="J130" s="629">
        <f>H130/DAY(B2)</f>
        <v>0</v>
      </c>
      <c r="N130" s="795"/>
    </row>
    <row r="131" spans="1:14" ht="27.75">
      <c r="A131" s="1231" t="s">
        <v>251</v>
      </c>
      <c r="B131" s="1232"/>
      <c r="C131" s="1232"/>
      <c r="D131" s="599" t="s">
        <v>250</v>
      </c>
      <c r="E131" s="560">
        <f>'9'!F131</f>
        <v>0</v>
      </c>
      <c r="F131" s="554">
        <v>0</v>
      </c>
      <c r="G131" s="549">
        <f t="shared" si="14"/>
        <v>0</v>
      </c>
      <c r="H131" s="536">
        <f>G131+'9'!H131</f>
        <v>0</v>
      </c>
      <c r="I131" s="556"/>
      <c r="J131" s="629">
        <f>H131/DAY(B2)</f>
        <v>0</v>
      </c>
      <c r="N131" s="795"/>
    </row>
    <row r="132" spans="1:14" ht="27.75">
      <c r="A132" s="1231" t="s">
        <v>252</v>
      </c>
      <c r="B132" s="1232"/>
      <c r="C132" s="1232"/>
      <c r="D132" s="599" t="s">
        <v>250</v>
      </c>
      <c r="E132" s="560">
        <f>'9'!F132</f>
        <v>39191.29</v>
      </c>
      <c r="F132" s="703">
        <v>39191.29</v>
      </c>
      <c r="G132" s="549">
        <f t="shared" si="14"/>
        <v>0</v>
      </c>
      <c r="H132" s="536">
        <f>G132+'9'!H132</f>
        <v>86.849999999998545</v>
      </c>
      <c r="I132" s="556"/>
      <c r="J132" s="629">
        <f>H132/DAY(B2)</f>
        <v>8.6849999999998548</v>
      </c>
      <c r="N132" s="795"/>
    </row>
    <row r="133" spans="1:14" ht="27.75">
      <c r="A133" s="1231" t="s">
        <v>253</v>
      </c>
      <c r="B133" s="1232"/>
      <c r="C133" s="1232"/>
      <c r="D133" s="599" t="s">
        <v>250</v>
      </c>
      <c r="E133" s="560">
        <f>'9'!F133</f>
        <v>299</v>
      </c>
      <c r="F133" s="561">
        <v>299</v>
      </c>
      <c r="G133" s="549">
        <f t="shared" si="14"/>
        <v>0</v>
      </c>
      <c r="H133" s="536">
        <f>G133+'9'!H133</f>
        <v>0</v>
      </c>
      <c r="I133" s="556">
        <f>G130+G131+G132+G133</f>
        <v>0</v>
      </c>
      <c r="J133" s="629">
        <f>H133/DAY(B2)</f>
        <v>0</v>
      </c>
      <c r="N133" s="795"/>
    </row>
    <row r="134" spans="1:14" ht="27.75">
      <c r="A134" s="1231" t="s">
        <v>254</v>
      </c>
      <c r="B134" s="1232"/>
      <c r="C134" s="1232"/>
      <c r="D134" s="599" t="s">
        <v>250</v>
      </c>
      <c r="E134" s="560">
        <f>'9'!F134</f>
        <v>40079.49</v>
      </c>
      <c r="F134" s="703">
        <v>40103.53</v>
      </c>
      <c r="G134" s="549">
        <f t="shared" si="14"/>
        <v>24.040000000000873</v>
      </c>
      <c r="H134" s="536">
        <f>G134+'9'!H134</f>
        <v>152.52999999999884</v>
      </c>
      <c r="I134" s="556"/>
      <c r="J134" s="629">
        <f>H134/DAY(B2)</f>
        <v>15.252999999999883</v>
      </c>
      <c r="N134" s="795"/>
    </row>
    <row r="135" spans="1:14" ht="27.75">
      <c r="A135" s="1231" t="s">
        <v>255</v>
      </c>
      <c r="B135" s="1232"/>
      <c r="C135" s="1232"/>
      <c r="D135" s="599" t="s">
        <v>250</v>
      </c>
      <c r="E135" s="560">
        <f>'9'!F135</f>
        <v>32423</v>
      </c>
      <c r="F135" s="703">
        <v>32423</v>
      </c>
      <c r="G135" s="549">
        <f t="shared" si="14"/>
        <v>0</v>
      </c>
      <c r="H135" s="536">
        <f>G135+'9'!H135</f>
        <v>0</v>
      </c>
      <c r="I135" s="556"/>
      <c r="J135" s="629">
        <f>H135/DAY(B2)</f>
        <v>0</v>
      </c>
      <c r="N135" s="795"/>
    </row>
    <row r="136" spans="1:14" ht="27.75">
      <c r="A136" s="1231" t="s">
        <v>256</v>
      </c>
      <c r="B136" s="1232"/>
      <c r="C136" s="1232"/>
      <c r="D136" s="599" t="s">
        <v>250</v>
      </c>
      <c r="E136" s="560">
        <f>'9'!F136</f>
        <v>22054.82</v>
      </c>
      <c r="F136" s="732">
        <v>22063.439999999999</v>
      </c>
      <c r="G136" s="549">
        <f t="shared" si="14"/>
        <v>8.6199999999989814</v>
      </c>
      <c r="H136" s="536">
        <f>G136+'9'!H136</f>
        <v>61.479999999999563</v>
      </c>
      <c r="I136" s="556">
        <f>G134+G135+G136</f>
        <v>32.659999999999854</v>
      </c>
      <c r="J136" s="629">
        <f>H136/DAY(B2)</f>
        <v>6.1479999999999562</v>
      </c>
      <c r="N136" s="795"/>
    </row>
    <row r="137" spans="1:14" ht="27.75">
      <c r="A137" s="1231" t="s">
        <v>257</v>
      </c>
      <c r="B137" s="1232"/>
      <c r="C137" s="1232"/>
      <c r="D137" s="599" t="s">
        <v>250</v>
      </c>
      <c r="E137" s="560">
        <f>'9'!F137</f>
        <v>25030</v>
      </c>
      <c r="F137" s="732">
        <v>25030</v>
      </c>
      <c r="G137" s="549">
        <f t="shared" si="14"/>
        <v>0</v>
      </c>
      <c r="H137" s="536">
        <f>G137+'9'!H137</f>
        <v>10.06000000000131</v>
      </c>
      <c r="I137" s="556"/>
      <c r="J137" s="629">
        <f>H137/DAY(B2)</f>
        <v>1.006000000000131</v>
      </c>
      <c r="N137" s="795"/>
    </row>
    <row r="138" spans="1:14" ht="27.75">
      <c r="A138" s="1231" t="s">
        <v>258</v>
      </c>
      <c r="B138" s="1232"/>
      <c r="C138" s="1232"/>
      <c r="D138" s="599" t="s">
        <v>250</v>
      </c>
      <c r="E138" s="560">
        <f>'9'!F138</f>
        <v>70072.97</v>
      </c>
      <c r="F138" s="732">
        <v>70075</v>
      </c>
      <c r="G138" s="549">
        <f t="shared" si="14"/>
        <v>2.0299999999988358</v>
      </c>
      <c r="H138" s="536">
        <f>G138+'9'!H138</f>
        <v>11.110000000000582</v>
      </c>
      <c r="I138" s="556">
        <f>G137+G138</f>
        <v>2.0299999999988358</v>
      </c>
      <c r="J138" s="629">
        <f>H138/DAY(B2)</f>
        <v>1.1110000000000582</v>
      </c>
      <c r="N138" s="795"/>
    </row>
    <row r="139" spans="1:14" ht="27.75">
      <c r="A139" s="1231" t="s">
        <v>259</v>
      </c>
      <c r="B139" s="1232"/>
      <c r="C139" s="1232"/>
      <c r="D139" s="599" t="s">
        <v>250</v>
      </c>
      <c r="E139" s="560">
        <f>'9'!F139</f>
        <v>1274</v>
      </c>
      <c r="F139" s="703">
        <v>1282.3800000000001</v>
      </c>
      <c r="G139" s="549">
        <f t="shared" si="14"/>
        <v>8.3800000000001091</v>
      </c>
      <c r="H139" s="536">
        <f>G139+'9'!H139</f>
        <v>81.790000000000191</v>
      </c>
      <c r="I139" s="619"/>
      <c r="J139" s="629">
        <f>H139/DAY(B2)</f>
        <v>8.1790000000000198</v>
      </c>
      <c r="N139" s="795"/>
    </row>
    <row r="140" spans="1:14" ht="27.75">
      <c r="A140" s="1231" t="s">
        <v>260</v>
      </c>
      <c r="B140" s="1232"/>
      <c r="C140" s="1232"/>
      <c r="D140" s="599" t="s">
        <v>250</v>
      </c>
      <c r="E140" s="560">
        <f>'9'!F140</f>
        <v>4334</v>
      </c>
      <c r="F140" s="554">
        <v>4334</v>
      </c>
      <c r="G140" s="549">
        <f t="shared" si="14"/>
        <v>0</v>
      </c>
      <c r="H140" s="536">
        <f>G140+'9'!H140</f>
        <v>0</v>
      </c>
      <c r="I140" s="619"/>
      <c r="J140" s="629">
        <f>H140/DAY(B2)</f>
        <v>0</v>
      </c>
      <c r="N140" s="795"/>
    </row>
    <row r="141" spans="1:14">
      <c r="A141" s="1412" t="s">
        <v>261</v>
      </c>
      <c r="B141" s="1413"/>
      <c r="C141" s="1237"/>
      <c r="D141" s="548"/>
      <c r="E141" s="548"/>
      <c r="F141" s="548"/>
      <c r="G141" s="559"/>
      <c r="H141" s="559"/>
      <c r="I141" s="559"/>
      <c r="J141" s="640"/>
      <c r="K141" s="411"/>
      <c r="L141" s="408"/>
      <c r="N141" s="795"/>
    </row>
    <row r="142" spans="1:14" ht="27.75">
      <c r="A142" s="1406" t="s">
        <v>262</v>
      </c>
      <c r="B142" s="1407"/>
      <c r="C142" s="1408"/>
      <c r="D142" s="599" t="s">
        <v>143</v>
      </c>
      <c r="E142" s="599"/>
      <c r="F142" s="599"/>
      <c r="G142" s="536">
        <f>G35+G43+G49+G57</f>
        <v>5209.1700000000419</v>
      </c>
      <c r="H142" s="536">
        <f>G142+'9'!H142</f>
        <v>50104.369999999937</v>
      </c>
      <c r="I142" s="556"/>
      <c r="J142" s="629">
        <f>H142/DAY(B2)</f>
        <v>5010.4369999999935</v>
      </c>
      <c r="K142" s="411"/>
      <c r="L142" s="408"/>
      <c r="N142" s="795"/>
    </row>
    <row r="143" spans="1:14" ht="27.75">
      <c r="A143" s="1406" t="s">
        <v>263</v>
      </c>
      <c r="B143" s="1407"/>
      <c r="C143" s="1408"/>
      <c r="D143" s="599" t="s">
        <v>24</v>
      </c>
      <c r="E143" s="587"/>
      <c r="F143" s="587"/>
      <c r="G143" s="620">
        <f>G142/G7</f>
        <v>0.27607027399438455</v>
      </c>
      <c r="H143" s="536">
        <f>G143+'9'!H143</f>
        <v>2.5193968924256795</v>
      </c>
      <c r="I143" s="621"/>
      <c r="J143" s="629">
        <f>H143/DAY(B2)</f>
        <v>0.25193968924256793</v>
      </c>
      <c r="K143" s="411"/>
      <c r="L143" s="408"/>
      <c r="N143" s="795"/>
    </row>
    <row r="144" spans="1:14" ht="27.75">
      <c r="A144" s="1406" t="s">
        <v>264</v>
      </c>
      <c r="B144" s="1407"/>
      <c r="C144" s="1408"/>
      <c r="D144" s="599" t="s">
        <v>143</v>
      </c>
      <c r="E144" s="531"/>
      <c r="F144" s="531"/>
      <c r="G144" s="536">
        <f>G41+G42+G55+G56</f>
        <v>3867.4000000000015</v>
      </c>
      <c r="H144" s="536">
        <f>G144+'9'!H144</f>
        <v>38597.259999999973</v>
      </c>
      <c r="I144" s="556"/>
      <c r="J144" s="629">
        <f>H144/DAY(B2)</f>
        <v>3859.7259999999974</v>
      </c>
      <c r="K144" s="411"/>
      <c r="L144" s="408"/>
      <c r="N144" s="795"/>
    </row>
    <row r="145" spans="1:14" ht="27.75">
      <c r="A145" s="1406" t="s">
        <v>265</v>
      </c>
      <c r="B145" s="1407"/>
      <c r="C145" s="1408"/>
      <c r="D145" s="599" t="s">
        <v>24</v>
      </c>
      <c r="E145" s="531"/>
      <c r="F145" s="531"/>
      <c r="G145" s="620">
        <f>G144/G7</f>
        <v>0.20496051725051681</v>
      </c>
      <c r="H145" s="536">
        <f>G145+'9'!H145</f>
        <v>2.0932313843973334</v>
      </c>
      <c r="I145" s="621"/>
      <c r="J145" s="629">
        <f>H145/DAY(B2)</f>
        <v>0.20932313843973333</v>
      </c>
      <c r="K145" s="411"/>
      <c r="L145" s="408"/>
      <c r="N145" s="795"/>
    </row>
    <row r="146" spans="1:14" ht="27.75">
      <c r="A146" s="1406" t="s">
        <v>266</v>
      </c>
      <c r="B146" s="1407"/>
      <c r="C146" s="1408"/>
      <c r="D146" s="599" t="s">
        <v>143</v>
      </c>
      <c r="E146" s="531"/>
      <c r="F146" s="531"/>
      <c r="G146" s="536">
        <f>G39+G53</f>
        <v>4189.4699999999993</v>
      </c>
      <c r="H146" s="536">
        <f>G146+'9'!H146</f>
        <v>41712.709999999992</v>
      </c>
      <c r="I146" s="622"/>
      <c r="J146" s="629">
        <f>H146/DAY(B2)</f>
        <v>4171.2709999999988</v>
      </c>
      <c r="K146" s="411"/>
      <c r="L146" s="408"/>
      <c r="N146" s="795"/>
    </row>
    <row r="147" spans="1:14" ht="27.75">
      <c r="A147" s="1406" t="s">
        <v>267</v>
      </c>
      <c r="B147" s="1407"/>
      <c r="C147" s="1408"/>
      <c r="D147" s="599" t="s">
        <v>24</v>
      </c>
      <c r="E147" s="531"/>
      <c r="F147" s="531"/>
      <c r="G147" s="620">
        <f>G146/G7</f>
        <v>0.22202925433250301</v>
      </c>
      <c r="H147" s="536">
        <f>G147+'9'!H147</f>
        <v>2.2651486830278769</v>
      </c>
      <c r="I147" s="622"/>
      <c r="J147" s="629">
        <f>H147/DAY(B2)</f>
        <v>0.22651486830278769</v>
      </c>
      <c r="N147" s="795"/>
    </row>
    <row r="148" spans="1:14" ht="27.75">
      <c r="A148" s="1406" t="s">
        <v>268</v>
      </c>
      <c r="B148" s="1407"/>
      <c r="C148" s="1408"/>
      <c r="D148" s="599" t="s">
        <v>194</v>
      </c>
      <c r="E148" s="531"/>
      <c r="F148" s="531"/>
      <c r="G148" s="536">
        <f>G38+G52</f>
        <v>1901.54</v>
      </c>
      <c r="H148" s="536">
        <f>G148+'9'!H148</f>
        <v>19928.160000000036</v>
      </c>
      <c r="I148" s="556"/>
      <c r="J148" s="629">
        <f>H148/DAY(B2)</f>
        <v>1992.8160000000037</v>
      </c>
      <c r="K148" s="412"/>
      <c r="N148" s="795"/>
    </row>
    <row r="149" spans="1:14" ht="27.75">
      <c r="A149" s="1406" t="s">
        <v>269</v>
      </c>
      <c r="B149" s="1407"/>
      <c r="C149" s="1408"/>
      <c r="D149" s="599" t="s">
        <v>24</v>
      </c>
      <c r="E149" s="531"/>
      <c r="F149" s="531"/>
      <c r="G149" s="620">
        <f>G148/G7</f>
        <v>0.10077587577508082</v>
      </c>
      <c r="H149" s="536">
        <f>G149+'9'!H149</f>
        <v>1.0827872997452141</v>
      </c>
      <c r="I149" s="622"/>
      <c r="J149" s="629">
        <f>H149/DAY(B2)</f>
        <v>0.10827872997452141</v>
      </c>
      <c r="N149" s="795"/>
    </row>
    <row r="150" spans="1:14" ht="27.75">
      <c r="A150" s="1406" t="s">
        <v>270</v>
      </c>
      <c r="B150" s="1407"/>
      <c r="C150" s="1408"/>
      <c r="D150" s="599" t="s">
        <v>194</v>
      </c>
      <c r="E150" s="531"/>
      <c r="F150" s="531"/>
      <c r="G150" s="536">
        <f>G36+G50</f>
        <v>1657.0800000000163</v>
      </c>
      <c r="H150" s="536">
        <f>G150+'9'!H150</f>
        <v>17833.130000000005</v>
      </c>
      <c r="I150" s="622"/>
      <c r="J150" s="629">
        <f>H150/DAY(B2)</f>
        <v>1783.3130000000006</v>
      </c>
      <c r="N150" s="795"/>
    </row>
    <row r="151" spans="1:14" ht="27.75">
      <c r="A151" s="1406" t="s">
        <v>271</v>
      </c>
      <c r="B151" s="1407"/>
      <c r="C151" s="1408"/>
      <c r="D151" s="599" t="s">
        <v>24</v>
      </c>
      <c r="E151" s="531"/>
      <c r="F151" s="531"/>
      <c r="G151" s="620">
        <f>G150/G7</f>
        <v>8.782023424664881E-2</v>
      </c>
      <c r="H151" s="536">
        <f>G151+'9'!H151</f>
        <v>0.9666345190935417</v>
      </c>
      <c r="I151" s="556"/>
      <c r="J151" s="629">
        <f>H151/DAY(B2)</f>
        <v>9.6663451909354173E-2</v>
      </c>
      <c r="N151" s="795"/>
    </row>
    <row r="152" spans="1:14" ht="27.75">
      <c r="A152" s="1406" t="s">
        <v>272</v>
      </c>
      <c r="B152" s="1407"/>
      <c r="C152" s="1408"/>
      <c r="D152" s="599" t="s">
        <v>194</v>
      </c>
      <c r="E152" s="531"/>
      <c r="F152" s="531"/>
      <c r="G152" s="536">
        <f>G37+G51</f>
        <v>1454.9699999999998</v>
      </c>
      <c r="H152" s="536">
        <f>G152+'9'!H152</f>
        <v>14978.669999999993</v>
      </c>
      <c r="I152" s="556"/>
      <c r="J152" s="629">
        <f>H152/DAY(B2)</f>
        <v>1497.8669999999993</v>
      </c>
      <c r="N152" s="795"/>
    </row>
    <row r="153" spans="1:14" ht="28.5" thickBot="1">
      <c r="A153" s="1409" t="s">
        <v>273</v>
      </c>
      <c r="B153" s="1410"/>
      <c r="C153" s="1411"/>
      <c r="D153" s="702" t="s">
        <v>24</v>
      </c>
      <c r="E153" s="642"/>
      <c r="F153" s="642"/>
      <c r="G153" s="643">
        <f>G152/G7</f>
        <v>7.7109014786157185E-2</v>
      </c>
      <c r="H153" s="644">
        <f>G153+'9'!H153</f>
        <v>0.81662241300293459</v>
      </c>
      <c r="I153" s="645"/>
      <c r="J153" s="646">
        <f>H153/DAY(B2)</f>
        <v>8.1662241300293453E-2</v>
      </c>
      <c r="N153" s="795"/>
    </row>
    <row r="154" spans="1:14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795"/>
    </row>
    <row r="157" spans="1:14" ht="27.75">
      <c r="A157" s="1440" t="s">
        <v>278</v>
      </c>
      <c r="B157" s="1441"/>
      <c r="C157" s="1441"/>
      <c r="D157" s="1441"/>
      <c r="E157" s="1441"/>
      <c r="F157" s="1441"/>
      <c r="G157" s="1442"/>
    </row>
    <row r="158" spans="1:14">
      <c r="A158" s="868"/>
      <c r="B158" s="869"/>
      <c r="C158" s="869"/>
      <c r="D158" s="587"/>
      <c r="E158" s="531"/>
      <c r="F158" s="739"/>
      <c r="G158" s="549"/>
    </row>
    <row r="159" spans="1:14">
      <c r="A159" s="868"/>
      <c r="B159" s="869"/>
      <c r="C159" s="869"/>
      <c r="D159" s="587"/>
      <c r="E159" s="531"/>
      <c r="F159" s="739"/>
      <c r="G159" s="549"/>
    </row>
    <row r="160" spans="1:14">
      <c r="A160" s="868" t="s">
        <v>274</v>
      </c>
      <c r="B160" s="869"/>
      <c r="C160" s="869"/>
      <c r="D160" s="587" t="s">
        <v>198</v>
      </c>
      <c r="E160" s="1148">
        <f>'9'!F160</f>
        <v>29173.9</v>
      </c>
      <c r="F160" s="739">
        <v>29258.65</v>
      </c>
      <c r="G160" s="549">
        <f>F160-E160</f>
        <v>84.75</v>
      </c>
    </row>
    <row r="161" spans="1:8">
      <c r="A161" s="868" t="s">
        <v>275</v>
      </c>
      <c r="B161" s="869"/>
      <c r="C161" s="869"/>
      <c r="D161" s="587" t="s">
        <v>198</v>
      </c>
      <c r="E161" s="1148">
        <f>'9'!F161</f>
        <v>46734.53</v>
      </c>
      <c r="F161" s="739">
        <v>47162</v>
      </c>
      <c r="G161" s="549">
        <f t="shared" ref="G161:G171" si="15">F161-E161</f>
        <v>427.47000000000116</v>
      </c>
    </row>
    <row r="162" spans="1:8">
      <c r="A162" s="868" t="s">
        <v>276</v>
      </c>
      <c r="B162" s="869"/>
      <c r="C162" s="869"/>
      <c r="D162" s="587" t="s">
        <v>198</v>
      </c>
      <c r="E162" s="1148">
        <f>'9'!F162</f>
        <v>14913</v>
      </c>
      <c r="F162" s="739">
        <v>15149</v>
      </c>
      <c r="G162" s="549">
        <f t="shared" si="15"/>
        <v>236</v>
      </c>
      <c r="H162" s="590"/>
    </row>
    <row r="163" spans="1:8">
      <c r="A163" s="868" t="s">
        <v>277</v>
      </c>
      <c r="B163" s="869"/>
      <c r="C163" s="869"/>
      <c r="D163" s="587" t="s">
        <v>198</v>
      </c>
      <c r="E163" s="1148">
        <f>'9'!F163</f>
        <v>5133.67</v>
      </c>
      <c r="F163" s="739">
        <v>5151</v>
      </c>
      <c r="G163" s="549">
        <f t="shared" si="15"/>
        <v>17.329999999999927</v>
      </c>
    </row>
    <row r="164" spans="1:8">
      <c r="A164" s="870" t="s">
        <v>106</v>
      </c>
      <c r="B164" s="681"/>
      <c r="C164" s="681"/>
      <c r="D164" s="587" t="s">
        <v>198</v>
      </c>
      <c r="E164" s="1148">
        <f>'9'!F164</f>
        <v>20419</v>
      </c>
      <c r="F164" s="590">
        <f>F62</f>
        <v>20419</v>
      </c>
      <c r="G164" s="549">
        <f t="shared" si="15"/>
        <v>0</v>
      </c>
    </row>
    <row r="165" spans="1:8" ht="34.5" customHeight="1">
      <c r="A165" s="870" t="s">
        <v>199</v>
      </c>
      <c r="B165" s="681"/>
      <c r="C165" s="681"/>
      <c r="D165" s="587" t="s">
        <v>198</v>
      </c>
      <c r="E165" s="1148">
        <f>'9'!F165</f>
        <v>1461.25</v>
      </c>
      <c r="F165" s="590">
        <f t="shared" ref="F165:F171" si="16">F63</f>
        <v>1473.7</v>
      </c>
      <c r="G165" s="549">
        <f t="shared" si="15"/>
        <v>12.450000000000045</v>
      </c>
    </row>
    <row r="166" spans="1:8" ht="31.5" customHeight="1">
      <c r="A166" s="1381" t="s">
        <v>107</v>
      </c>
      <c r="B166" s="1381"/>
      <c r="C166" s="1381"/>
      <c r="D166" s="599" t="s">
        <v>198</v>
      </c>
      <c r="E166" s="1148">
        <f>'9'!F166</f>
        <v>115058</v>
      </c>
      <c r="F166" s="590">
        <f t="shared" si="16"/>
        <v>115498.71</v>
      </c>
      <c r="G166" s="549">
        <f t="shared" si="15"/>
        <v>440.7100000000064</v>
      </c>
    </row>
    <row r="167" spans="1:8" ht="21.75" customHeight="1">
      <c r="A167" s="1381" t="s">
        <v>108</v>
      </c>
      <c r="B167" s="1381"/>
      <c r="C167" s="1381"/>
      <c r="D167" s="599" t="s">
        <v>198</v>
      </c>
      <c r="E167" s="1148">
        <f>'9'!F167</f>
        <v>125120.88</v>
      </c>
      <c r="F167" s="590">
        <f t="shared" si="16"/>
        <v>125495</v>
      </c>
      <c r="G167" s="549">
        <f t="shared" si="15"/>
        <v>374.11999999999534</v>
      </c>
    </row>
    <row r="168" spans="1:8" ht="27.75" customHeight="1">
      <c r="A168" s="1381" t="s">
        <v>109</v>
      </c>
      <c r="B168" s="1381"/>
      <c r="C168" s="1381"/>
      <c r="D168" s="599" t="s">
        <v>198</v>
      </c>
      <c r="E168" s="1148">
        <f>'9'!F168</f>
        <v>17730</v>
      </c>
      <c r="F168" s="590">
        <f t="shared" si="16"/>
        <v>18104</v>
      </c>
      <c r="G168" s="549">
        <f t="shared" si="15"/>
        <v>374</v>
      </c>
    </row>
    <row r="169" spans="1:8" ht="21.75" customHeight="1">
      <c r="A169" s="1381" t="s">
        <v>110</v>
      </c>
      <c r="B169" s="1381"/>
      <c r="C169" s="1381"/>
      <c r="D169" s="599" t="s">
        <v>198</v>
      </c>
      <c r="E169" s="1148">
        <f>'9'!F169</f>
        <v>194973</v>
      </c>
      <c r="F169" s="590">
        <f t="shared" si="16"/>
        <v>195698</v>
      </c>
      <c r="G169" s="549">
        <f t="shared" si="15"/>
        <v>725</v>
      </c>
    </row>
    <row r="170" spans="1:8" ht="27.75" customHeight="1">
      <c r="A170" s="1381" t="s">
        <v>111</v>
      </c>
      <c r="B170" s="1381"/>
      <c r="C170" s="1381"/>
      <c r="D170" s="599" t="s">
        <v>198</v>
      </c>
      <c r="E170" s="1148">
        <f>'9'!F170</f>
        <v>66359</v>
      </c>
      <c r="F170" s="590">
        <f t="shared" si="16"/>
        <v>66704</v>
      </c>
      <c r="G170" s="549">
        <f t="shared" si="15"/>
        <v>345</v>
      </c>
    </row>
    <row r="171" spans="1:8" ht="27.75">
      <c r="A171" s="1381" t="s">
        <v>112</v>
      </c>
      <c r="B171" s="1381"/>
      <c r="C171" s="1381"/>
      <c r="D171" s="599" t="s">
        <v>198</v>
      </c>
      <c r="E171" s="1148">
        <f>'9'!F171</f>
        <v>58410</v>
      </c>
      <c r="F171" s="590">
        <f t="shared" si="16"/>
        <v>58705.8</v>
      </c>
      <c r="G171" s="549">
        <f t="shared" si="15"/>
        <v>295.80000000000291</v>
      </c>
    </row>
    <row r="176" spans="1:8" ht="18.75" customHeight="1"/>
    <row r="177" spans="1:7" ht="44.25" customHeight="1">
      <c r="A177" s="530" t="s">
        <v>228</v>
      </c>
    </row>
    <row r="178" spans="1:7" ht="21.75" customHeight="1">
      <c r="A178" s="530" t="s">
        <v>229</v>
      </c>
    </row>
    <row r="179" spans="1:7" ht="21.75" customHeight="1">
      <c r="A179" s="530" t="s">
        <v>230</v>
      </c>
      <c r="D179" s="614" t="s">
        <v>155</v>
      </c>
      <c r="E179" s="614">
        <v>7010</v>
      </c>
      <c r="F179" s="744">
        <v>7010</v>
      </c>
      <c r="G179" s="614">
        <f>F179-E179</f>
        <v>0</v>
      </c>
    </row>
    <row r="180" spans="1:7" ht="21.75" customHeight="1">
      <c r="A180" s="530" t="s">
        <v>77</v>
      </c>
      <c r="D180" s="614" t="s">
        <v>155</v>
      </c>
      <c r="E180" s="614">
        <v>34070</v>
      </c>
      <c r="F180" s="744">
        <v>34070</v>
      </c>
      <c r="G180" s="614">
        <f t="shared" ref="G180:G181" si="17">F180-E180</f>
        <v>0</v>
      </c>
    </row>
    <row r="181" spans="1:7" ht="21.75" customHeight="1">
      <c r="A181" s="530" t="s">
        <v>78</v>
      </c>
      <c r="D181" s="614" t="s">
        <v>155</v>
      </c>
      <c r="E181" s="614">
        <v>18160</v>
      </c>
      <c r="F181" s="744">
        <v>18171</v>
      </c>
      <c r="G181" s="614">
        <f t="shared" si="17"/>
        <v>11</v>
      </c>
    </row>
    <row r="182" spans="1:7" ht="21.75" customHeight="1">
      <c r="A182" s="530" t="s">
        <v>213</v>
      </c>
      <c r="G182" s="614">
        <f>SUM(G179:G181)</f>
        <v>11</v>
      </c>
    </row>
    <row r="183" spans="1:7" ht="21.75" customHeight="1">
      <c r="A183" s="530" t="s">
        <v>79</v>
      </c>
      <c r="D183" s="614" t="s">
        <v>155</v>
      </c>
    </row>
    <row r="184" spans="1:7" ht="21.75" customHeight="1">
      <c r="A184" s="530" t="s">
        <v>231</v>
      </c>
      <c r="D184" s="614" t="s">
        <v>155</v>
      </c>
      <c r="E184" s="614">
        <v>42234</v>
      </c>
      <c r="F184" s="744">
        <v>42285</v>
      </c>
      <c r="G184" s="614">
        <f>F184-E184</f>
        <v>51</v>
      </c>
    </row>
    <row r="185" spans="1:7" ht="21.75" customHeight="1">
      <c r="A185" s="530" t="s">
        <v>232</v>
      </c>
      <c r="D185" s="614" t="s">
        <v>155</v>
      </c>
      <c r="E185" s="614">
        <v>20656</v>
      </c>
      <c r="F185" s="744">
        <v>20656</v>
      </c>
      <c r="G185" s="614">
        <f t="shared" ref="G185:G186" si="18">F185-E185</f>
        <v>0</v>
      </c>
    </row>
    <row r="186" spans="1:7" ht="21.75" customHeight="1">
      <c r="A186" s="530" t="s">
        <v>233</v>
      </c>
      <c r="D186" s="614" t="s">
        <v>155</v>
      </c>
      <c r="E186" s="614">
        <v>2801</v>
      </c>
      <c r="F186" s="744">
        <v>2801</v>
      </c>
      <c r="G186" s="614">
        <f t="shared" si="18"/>
        <v>0</v>
      </c>
    </row>
    <row r="187" spans="1:7" ht="21.75" customHeight="1">
      <c r="A187" s="530" t="s">
        <v>121</v>
      </c>
      <c r="G187" s="614">
        <f>SUM(G184:G186)</f>
        <v>51</v>
      </c>
    </row>
    <row r="188" spans="1:7" ht="21.75" customHeight="1">
      <c r="A188" s="530" t="s">
        <v>234</v>
      </c>
    </row>
    <row r="189" spans="1:7" ht="21.75" customHeight="1">
      <c r="A189" s="530" t="s">
        <v>235</v>
      </c>
      <c r="D189" s="614" t="s">
        <v>155</v>
      </c>
      <c r="E189" s="614">
        <v>6979</v>
      </c>
      <c r="F189" s="744">
        <v>6983</v>
      </c>
      <c r="G189" s="614">
        <f>F189-E189</f>
        <v>4</v>
      </c>
    </row>
    <row r="190" spans="1:7" ht="21.75" customHeight="1">
      <c r="A190" s="530" t="s">
        <v>236</v>
      </c>
      <c r="D190" s="614" t="s">
        <v>155</v>
      </c>
      <c r="E190" s="614">
        <v>5846</v>
      </c>
      <c r="F190" s="744">
        <v>5849</v>
      </c>
      <c r="G190" s="614">
        <f t="shared" ref="G190:G191" si="19">F190-E190</f>
        <v>3</v>
      </c>
    </row>
    <row r="191" spans="1:7" ht="21.75" customHeight="1">
      <c r="A191" s="530" t="s">
        <v>237</v>
      </c>
      <c r="D191" s="614" t="s">
        <v>155</v>
      </c>
      <c r="G191" s="614">
        <f t="shared" si="19"/>
        <v>0</v>
      </c>
    </row>
    <row r="192" spans="1:7" ht="21.75" customHeight="1"/>
    <row r="193" spans="1:8" ht="36.75" customHeight="1">
      <c r="A193" s="530" t="s">
        <v>213</v>
      </c>
      <c r="G193" s="614">
        <f>SUM(G189:G191)</f>
        <v>7</v>
      </c>
    </row>
    <row r="194" spans="1:8">
      <c r="A194" s="530" t="s">
        <v>238</v>
      </c>
      <c r="D194" s="614" t="s">
        <v>155</v>
      </c>
      <c r="F194" s="744">
        <f>SUM(G92+G19)</f>
        <v>187</v>
      </c>
      <c r="G194" s="614">
        <f>F194+'[3]9'!I145</f>
        <v>187</v>
      </c>
      <c r="H194" s="615" t="e">
        <f>G194/DAY(D147)</f>
        <v>#VALUE!</v>
      </c>
    </row>
    <row r="196" spans="1:8">
      <c r="A196" s="530" t="s">
        <v>239</v>
      </c>
      <c r="D196" s="614" t="s">
        <v>155</v>
      </c>
      <c r="F196" s="744">
        <f>SUM(G95:G97,G189:G191)</f>
        <v>170</v>
      </c>
      <c r="G196" s="614">
        <f>F196+'[3]9'!I147</f>
        <v>170</v>
      </c>
      <c r="H196" s="615" t="e">
        <f>G196/DAY(D147)</f>
        <v>#VALUE!</v>
      </c>
    </row>
    <row r="198" spans="1:8">
      <c r="A198" s="530" t="s">
        <v>240</v>
      </c>
      <c r="D198" s="614" t="s">
        <v>155</v>
      </c>
      <c r="F198" s="744">
        <f>H188+H139</f>
        <v>81.790000000000191</v>
      </c>
      <c r="G198" s="614">
        <f>SUM(G98,G184:G186)</f>
        <v>131</v>
      </c>
      <c r="H198" s="615" t="e">
        <f>G198/DAY(D147)</f>
        <v>#VALUE!</v>
      </c>
    </row>
    <row r="199" spans="1:8" ht="21.75" customHeight="1"/>
    <row r="200" spans="1:8" ht="21.75" customHeight="1"/>
    <row r="201" spans="1:8" ht="21.75" customHeight="1"/>
    <row r="202" spans="1:8" ht="21.75" customHeight="1"/>
    <row r="203" spans="1:8" ht="21.75" customHeight="1"/>
    <row r="204" spans="1:8" ht="21.75" customHeight="1"/>
    <row r="205" spans="1:8" ht="21.75" customHeight="1"/>
    <row r="206" spans="1:8" ht="21.75" customHeight="1"/>
    <row r="207" spans="1:8" ht="21.75" customHeight="1"/>
    <row r="208" spans="1: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</sheetData>
  <mergeCells count="75">
    <mergeCell ref="A25:C25"/>
    <mergeCell ref="A1:J1"/>
    <mergeCell ref="A6:C6"/>
    <mergeCell ref="A14:C14"/>
    <mergeCell ref="A17:C17"/>
    <mergeCell ref="E3:F3"/>
    <mergeCell ref="A18:C18"/>
    <mergeCell ref="A19:C19"/>
    <mergeCell ref="A21:C21"/>
    <mergeCell ref="A125:C125"/>
    <mergeCell ref="A101:C101"/>
    <mergeCell ref="A122:C122"/>
    <mergeCell ref="A33:J33"/>
    <mergeCell ref="A67:C67"/>
    <mergeCell ref="A68:C68"/>
    <mergeCell ref="A69:C69"/>
    <mergeCell ref="A70:C70"/>
    <mergeCell ref="A64:C64"/>
    <mergeCell ref="A65:C65"/>
    <mergeCell ref="A66:C66"/>
    <mergeCell ref="A114:B114"/>
    <mergeCell ref="A120:B120"/>
    <mergeCell ref="A121:B121"/>
    <mergeCell ref="A115:B115"/>
    <mergeCell ref="A116:B116"/>
    <mergeCell ref="A109:B109"/>
    <mergeCell ref="A110:B110"/>
    <mergeCell ref="A111:B111"/>
    <mergeCell ref="A112:B112"/>
    <mergeCell ref="A113:B113"/>
    <mergeCell ref="A104:B104"/>
    <mergeCell ref="A105:B105"/>
    <mergeCell ref="A106:C106"/>
    <mergeCell ref="A107:B107"/>
    <mergeCell ref="A108:B108"/>
    <mergeCell ref="A92:C92"/>
    <mergeCell ref="A93:C93"/>
    <mergeCell ref="A94:C94"/>
    <mergeCell ref="A95:C95"/>
    <mergeCell ref="A103:B103"/>
    <mergeCell ref="A117:B117"/>
    <mergeCell ref="A118:B118"/>
    <mergeCell ref="A119:B119"/>
    <mergeCell ref="A152:C152"/>
    <mergeCell ref="A153:C153"/>
    <mergeCell ref="A142:C142"/>
    <mergeCell ref="A143:C143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1:B141"/>
    <mergeCell ref="A71:J71"/>
    <mergeCell ref="A72:C72"/>
    <mergeCell ref="A73:C73"/>
    <mergeCell ref="A74:C74"/>
    <mergeCell ref="A75:C75"/>
    <mergeCell ref="A82:C82"/>
    <mergeCell ref="A83:C83"/>
    <mergeCell ref="A76:C76"/>
    <mergeCell ref="A77:C77"/>
    <mergeCell ref="A79:C79"/>
    <mergeCell ref="A80:C80"/>
    <mergeCell ref="A81:C81"/>
    <mergeCell ref="A157:G15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18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topLeftCell="A67" zoomScale="55" zoomScaleNormal="55" workbookViewId="0">
      <selection activeCell="F28" sqref="F28"/>
    </sheetView>
  </sheetViews>
  <sheetFormatPr defaultColWidth="22.33203125" defaultRowHeight="29.25"/>
  <cols>
    <col min="1" max="1" width="39.77734375" style="530" customWidth="1"/>
    <col min="2" max="2" width="30.1093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22.33203125" style="407" hidden="1" customWidth="1"/>
    <col min="14" max="14" width="25.5546875" style="798" customWidth="1"/>
    <col min="15" max="16384" width="22.33203125" style="407"/>
  </cols>
  <sheetData>
    <row r="1" spans="1:16" ht="33.75">
      <c r="A1" s="1414" t="s">
        <v>128</v>
      </c>
      <c r="B1" s="1415"/>
      <c r="C1" s="1415"/>
      <c r="D1" s="1415"/>
      <c r="E1" s="1415"/>
      <c r="F1" s="1415"/>
      <c r="G1" s="1415"/>
      <c r="H1" s="1415"/>
      <c r="I1" s="1415"/>
      <c r="J1" s="1416"/>
    </row>
    <row r="2" spans="1:16" s="281" customFormat="1" ht="27">
      <c r="A2" s="652" t="s">
        <v>326</v>
      </c>
      <c r="B2" s="1118">
        <v>44238</v>
      </c>
      <c r="C2" s="1233" t="s">
        <v>69</v>
      </c>
      <c r="D2" s="688">
        <v>0.64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  <c r="N2" s="799" t="s">
        <v>129</v>
      </c>
    </row>
    <row r="3" spans="1:16" s="281" customFormat="1" ht="27">
      <c r="A3" s="647"/>
      <c r="B3" s="691"/>
      <c r="C3" s="1233" t="s">
        <v>131</v>
      </c>
      <c r="D3" s="689">
        <v>24</v>
      </c>
      <c r="E3" s="1423" t="s">
        <v>132</v>
      </c>
      <c r="F3" s="1424"/>
      <c r="G3" s="538"/>
      <c r="H3" s="539"/>
      <c r="I3" s="539"/>
      <c r="J3" s="692"/>
      <c r="K3" s="402"/>
      <c r="L3" s="293"/>
      <c r="N3" s="799"/>
    </row>
    <row r="4" spans="1:16" s="281" customFormat="1" ht="27">
      <c r="A4" s="653"/>
      <c r="B4" s="693"/>
      <c r="C4" s="1233" t="s">
        <v>133</v>
      </c>
      <c r="D4" s="688">
        <v>0.77</v>
      </c>
      <c r="E4" s="540"/>
      <c r="F4" s="540"/>
      <c r="G4" s="540"/>
      <c r="H4" s="540"/>
      <c r="I4" s="541"/>
      <c r="J4" s="692"/>
      <c r="K4" s="403"/>
      <c r="L4" s="293"/>
      <c r="N4" s="799"/>
    </row>
    <row r="5" spans="1:16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  <c r="N5" s="798" t="s">
        <v>137</v>
      </c>
    </row>
    <row r="6" spans="1:16">
      <c r="A6" s="1417" t="s">
        <v>141</v>
      </c>
      <c r="B6" s="1418"/>
      <c r="C6" s="1419"/>
      <c r="D6" s="547"/>
      <c r="E6" s="547"/>
      <c r="F6" s="547"/>
      <c r="G6" s="547"/>
      <c r="H6" s="548"/>
      <c r="I6" s="548"/>
      <c r="J6" s="628"/>
      <c r="K6" s="466"/>
      <c r="L6" s="408"/>
      <c r="P6" s="407" t="s">
        <v>282</v>
      </c>
    </row>
    <row r="7" spans="1:16" ht="30" thickBot="1">
      <c r="A7" s="757" t="s">
        <v>142</v>
      </c>
      <c r="B7" s="758"/>
      <c r="C7" s="758"/>
      <c r="D7" s="715" t="s">
        <v>143</v>
      </c>
      <c r="E7" s="710">
        <f>'10'!F7</f>
        <v>4073118</v>
      </c>
      <c r="F7" s="531">
        <v>4091743</v>
      </c>
      <c r="G7" s="759">
        <f>F7-E7</f>
        <v>18625</v>
      </c>
      <c r="H7" s="760">
        <f>G7+'10'!H7</f>
        <v>203545</v>
      </c>
      <c r="I7" s="761">
        <v>12000</v>
      </c>
      <c r="J7" s="762">
        <f>H7/DAY(B2)</f>
        <v>18504.090909090908</v>
      </c>
      <c r="K7" s="626"/>
      <c r="L7" s="408"/>
      <c r="N7" s="800">
        <v>11918</v>
      </c>
      <c r="P7" s="803">
        <f>G7-N7</f>
        <v>6707</v>
      </c>
    </row>
    <row r="8" spans="1:16" ht="27.75" thickBot="1">
      <c r="A8" s="763" t="s">
        <v>144</v>
      </c>
      <c r="B8" s="764"/>
      <c r="C8" s="765"/>
      <c r="D8" s="766" t="s">
        <v>25</v>
      </c>
      <c r="E8" s="710">
        <f>'10'!F8</f>
        <v>4099303</v>
      </c>
      <c r="F8" s="551">
        <v>4117992</v>
      </c>
      <c r="G8" s="770">
        <f t="shared" ref="G8:G12" si="0">F8-E8</f>
        <v>18689</v>
      </c>
      <c r="H8" s="760">
        <f>G8+'10'!H8</f>
        <v>205141</v>
      </c>
      <c r="I8" s="767">
        <v>12000</v>
      </c>
      <c r="J8" s="762">
        <f>H8/DAY(B2)</f>
        <v>18649.18181818182</v>
      </c>
      <c r="K8" s="626"/>
      <c r="L8" s="464"/>
      <c r="M8" s="479"/>
      <c r="N8" s="800">
        <v>12018</v>
      </c>
      <c r="P8" s="413">
        <f t="shared" ref="P8:P71" si="1">G8-N8</f>
        <v>6671</v>
      </c>
    </row>
    <row r="9" spans="1:16">
      <c r="A9" s="768" t="s">
        <v>145</v>
      </c>
      <c r="B9" s="769"/>
      <c r="C9" s="769"/>
      <c r="D9" s="715" t="s">
        <v>143</v>
      </c>
      <c r="E9" s="710">
        <f>'10'!F9</f>
        <v>31956</v>
      </c>
      <c r="F9" s="554">
        <v>44936</v>
      </c>
      <c r="G9" s="783">
        <f t="shared" si="0"/>
        <v>12980</v>
      </c>
      <c r="H9" s="760">
        <f>G9+'10'!H9</f>
        <v>82048.25</v>
      </c>
      <c r="I9" s="771">
        <f>I7-J7</f>
        <v>-6504.0909090909081</v>
      </c>
      <c r="J9" s="762">
        <f>H9/DAY(B2)</f>
        <v>7458.931818181818</v>
      </c>
      <c r="K9" s="467"/>
      <c r="L9" s="408"/>
      <c r="N9" s="800">
        <v>11759.219000000001</v>
      </c>
      <c r="O9" s="407">
        <f>G7/G8</f>
        <v>0.99657552571031083</v>
      </c>
      <c r="P9" s="413">
        <f t="shared" si="1"/>
        <v>1220.780999999999</v>
      </c>
    </row>
    <row r="10" spans="1:16">
      <c r="A10" s="757" t="s">
        <v>146</v>
      </c>
      <c r="B10" s="758"/>
      <c r="C10" s="758"/>
      <c r="D10" s="715" t="s">
        <v>143</v>
      </c>
      <c r="E10" s="710">
        <f>'10'!F10</f>
        <v>1309038</v>
      </c>
      <c r="F10" s="554">
        <v>1314138.5</v>
      </c>
      <c r="G10" s="770">
        <f t="shared" si="0"/>
        <v>5100.5</v>
      </c>
      <c r="H10" s="760">
        <f>G10+'10'!H10</f>
        <v>113264.10000000009</v>
      </c>
      <c r="I10" s="772"/>
      <c r="J10" s="762">
        <f>H10/DAY(B2)</f>
        <v>10296.736363636372</v>
      </c>
      <c r="K10" s="467"/>
      <c r="L10" s="408"/>
      <c r="N10" s="800">
        <v>0</v>
      </c>
      <c r="P10" s="413">
        <f t="shared" si="1"/>
        <v>5100.5</v>
      </c>
    </row>
    <row r="11" spans="1:16">
      <c r="A11" s="757" t="s">
        <v>147</v>
      </c>
      <c r="B11" s="758"/>
      <c r="C11" s="758"/>
      <c r="D11" s="715" t="s">
        <v>143</v>
      </c>
      <c r="E11" s="710">
        <f>'10'!F11</f>
        <v>37000</v>
      </c>
      <c r="F11" s="531">
        <v>37000</v>
      </c>
      <c r="G11" s="770">
        <f t="shared" si="0"/>
        <v>0</v>
      </c>
      <c r="H11" s="760">
        <f>G11+'10'!H11</f>
        <v>1610</v>
      </c>
      <c r="I11" s="772"/>
      <c r="J11" s="762">
        <f>H11/DAY(B2)</f>
        <v>146.36363636363637</v>
      </c>
      <c r="K11" s="467"/>
      <c r="L11" s="408"/>
      <c r="N11" s="800">
        <v>0</v>
      </c>
      <c r="P11" s="413">
        <f t="shared" si="1"/>
        <v>0</v>
      </c>
    </row>
    <row r="12" spans="1:16">
      <c r="A12" s="757" t="s">
        <v>148</v>
      </c>
      <c r="B12" s="758"/>
      <c r="C12" s="758"/>
      <c r="D12" s="715" t="s">
        <v>143</v>
      </c>
      <c r="E12" s="710">
        <f>'10'!F12</f>
        <v>40010</v>
      </c>
      <c r="F12" s="554">
        <v>40010</v>
      </c>
      <c r="G12" s="770">
        <f t="shared" si="0"/>
        <v>0</v>
      </c>
      <c r="H12" s="760">
        <f>G12+'10'!H12</f>
        <v>2380</v>
      </c>
      <c r="I12" s="772"/>
      <c r="J12" s="762">
        <f>H12/DAY(B2)</f>
        <v>216.36363636363637</v>
      </c>
      <c r="K12" s="467"/>
      <c r="L12" s="408"/>
      <c r="N12" s="800">
        <v>0</v>
      </c>
      <c r="P12" s="413">
        <f t="shared" si="1"/>
        <v>0</v>
      </c>
    </row>
    <row r="13" spans="1:16">
      <c r="A13" s="773" t="s">
        <v>149</v>
      </c>
      <c r="B13" s="774"/>
      <c r="C13" s="774"/>
      <c r="D13" s="715"/>
      <c r="E13" s="710"/>
      <c r="F13" s="531"/>
      <c r="G13" s="775">
        <f>G9+G10+G11+G12</f>
        <v>18080.5</v>
      </c>
      <c r="H13" s="760">
        <f>G13+'9'!H13</f>
        <v>180996.35000000009</v>
      </c>
      <c r="I13" s="776">
        <f>G7-G13</f>
        <v>544.5</v>
      </c>
      <c r="J13" s="762">
        <f>H13/DAY(B2)</f>
        <v>16454.213636363645</v>
      </c>
      <c r="K13" s="467"/>
      <c r="L13" s="408"/>
      <c r="N13" s="800">
        <v>11759.219000000001</v>
      </c>
      <c r="P13" s="413">
        <f t="shared" si="1"/>
        <v>6321.280999999999</v>
      </c>
    </row>
    <row r="14" spans="1:16">
      <c r="A14" s="1420" t="s">
        <v>150</v>
      </c>
      <c r="B14" s="1421"/>
      <c r="C14" s="1422"/>
      <c r="D14" s="548"/>
      <c r="E14" s="548"/>
      <c r="F14" s="548"/>
      <c r="G14" s="559"/>
      <c r="H14" s="548"/>
      <c r="I14" s="548"/>
      <c r="J14" s="628"/>
      <c r="K14" s="468"/>
      <c r="L14" s="408"/>
      <c r="N14" s="800"/>
      <c r="P14" s="413">
        <f t="shared" si="1"/>
        <v>0</v>
      </c>
    </row>
    <row r="15" spans="1:16">
      <c r="A15" s="876" t="s">
        <v>151</v>
      </c>
      <c r="B15" s="877"/>
      <c r="C15" s="877"/>
      <c r="D15" s="600" t="s">
        <v>152</v>
      </c>
      <c r="E15" s="561">
        <f>'10'!F15</f>
        <v>1602553.88</v>
      </c>
      <c r="F15" s="561">
        <v>1603441</v>
      </c>
      <c r="G15" s="745">
        <f>(F15-E15)</f>
        <v>887.12000000011176</v>
      </c>
      <c r="H15" s="562">
        <f>G15+'10'!H15</f>
        <v>9003.8500000000931</v>
      </c>
      <c r="I15" s="550">
        <v>800</v>
      </c>
      <c r="J15" s="630">
        <f>H15/DAY(B2)</f>
        <v>818.53181818182668</v>
      </c>
      <c r="K15" s="467"/>
      <c r="L15" s="408"/>
      <c r="N15" s="800">
        <v>339.24300000001676</v>
      </c>
      <c r="P15" s="413">
        <f t="shared" si="1"/>
        <v>547.87700000009499</v>
      </c>
    </row>
    <row r="16" spans="1:16">
      <c r="A16" s="664"/>
      <c r="B16" s="665"/>
      <c r="C16" s="665"/>
      <c r="D16" s="600"/>
      <c r="E16" s="561"/>
      <c r="F16" s="561"/>
      <c r="G16" s="750"/>
      <c r="H16" s="562"/>
      <c r="I16" s="558">
        <f>I15-J15</f>
        <v>-18.531818181826679</v>
      </c>
      <c r="J16" s="630"/>
      <c r="K16" s="467"/>
      <c r="L16" s="408"/>
      <c r="N16" s="800"/>
      <c r="P16" s="413">
        <f t="shared" si="1"/>
        <v>0</v>
      </c>
    </row>
    <row r="17" spans="1:16">
      <c r="A17" s="1420" t="s">
        <v>153</v>
      </c>
      <c r="B17" s="1421"/>
      <c r="C17" s="1422"/>
      <c r="D17" s="548"/>
      <c r="E17" s="548"/>
      <c r="F17" s="548"/>
      <c r="G17" s="564"/>
      <c r="H17" s="548"/>
      <c r="I17" s="548"/>
      <c r="J17" s="628"/>
      <c r="K17" s="467"/>
      <c r="L17" s="408"/>
      <c r="N17" s="800"/>
      <c r="P17" s="413">
        <f t="shared" si="1"/>
        <v>0</v>
      </c>
    </row>
    <row r="18" spans="1:16" ht="27.75">
      <c r="A18" s="1446" t="s">
        <v>154</v>
      </c>
      <c r="B18" s="1447"/>
      <c r="C18" s="1448"/>
      <c r="D18" s="715" t="s">
        <v>155</v>
      </c>
      <c r="E18" s="712">
        <f>'10'!F18</f>
        <v>20</v>
      </c>
      <c r="F18" s="554">
        <v>16</v>
      </c>
      <c r="G18" s="775">
        <f>F18*10</f>
        <v>160</v>
      </c>
      <c r="H18" s="760">
        <f>G18+'10'!H18</f>
        <v>1630</v>
      </c>
      <c r="I18" s="761">
        <v>65</v>
      </c>
      <c r="J18" s="762">
        <f>H18/DAY(B2)</f>
        <v>148.18181818181819</v>
      </c>
      <c r="K18" s="467"/>
      <c r="L18" s="408"/>
      <c r="N18" s="800">
        <v>20</v>
      </c>
      <c r="P18" s="413">
        <f t="shared" si="1"/>
        <v>140</v>
      </c>
    </row>
    <row r="19" spans="1:16" ht="27.75">
      <c r="A19" s="1446" t="s">
        <v>71</v>
      </c>
      <c r="B19" s="1447"/>
      <c r="C19" s="1448"/>
      <c r="D19" s="715" t="s">
        <v>155</v>
      </c>
      <c r="E19" s="712">
        <f>'10'!F19</f>
        <v>133548</v>
      </c>
      <c r="F19" s="554">
        <v>133599</v>
      </c>
      <c r="G19" s="770">
        <f t="shared" ref="G19" si="2">F19-E19</f>
        <v>51</v>
      </c>
      <c r="H19" s="760">
        <f>G19+'10'!H19</f>
        <v>551</v>
      </c>
      <c r="I19" s="777"/>
      <c r="J19" s="762">
        <f>H19/DAY(B2)</f>
        <v>50.090909090909093</v>
      </c>
      <c r="K19" s="467"/>
      <c r="L19" s="408"/>
      <c r="N19" s="800">
        <v>55</v>
      </c>
      <c r="P19" s="413">
        <f t="shared" si="1"/>
        <v>-4</v>
      </c>
    </row>
    <row r="20" spans="1:16">
      <c r="A20" s="773" t="s">
        <v>156</v>
      </c>
      <c r="B20" s="774"/>
      <c r="C20" s="774"/>
      <c r="D20" s="715"/>
      <c r="E20" s="715"/>
      <c r="F20" s="600"/>
      <c r="G20" s="778">
        <f>G18+G19</f>
        <v>211</v>
      </c>
      <c r="H20" s="760">
        <f>G20+'10'!H20</f>
        <v>2181</v>
      </c>
      <c r="I20" s="779">
        <f>I18-J20</f>
        <v>-133.27272727272728</v>
      </c>
      <c r="J20" s="762">
        <f>H20/DAY(B2)</f>
        <v>198.27272727272728</v>
      </c>
      <c r="K20" s="467"/>
      <c r="L20" s="408"/>
      <c r="N20" s="800">
        <v>75</v>
      </c>
      <c r="P20" s="413">
        <f t="shared" si="1"/>
        <v>136</v>
      </c>
    </row>
    <row r="21" spans="1:16">
      <c r="A21" s="1420" t="s">
        <v>157</v>
      </c>
      <c r="B21" s="1421"/>
      <c r="C21" s="1422"/>
      <c r="D21" s="548"/>
      <c r="E21" s="548"/>
      <c r="F21" s="548"/>
      <c r="G21" s="559"/>
      <c r="H21" s="548"/>
      <c r="I21" s="548"/>
      <c r="J21" s="628"/>
      <c r="K21" s="467"/>
      <c r="L21" s="408"/>
      <c r="N21" s="800"/>
      <c r="P21" s="413">
        <f t="shared" si="1"/>
        <v>0</v>
      </c>
    </row>
    <row r="22" spans="1:16">
      <c r="A22" s="1231" t="s">
        <v>158</v>
      </c>
      <c r="B22" s="666"/>
      <c r="C22" s="666"/>
      <c r="D22" s="599" t="s">
        <v>159</v>
      </c>
      <c r="E22" s="712">
        <f>'10'!F22</f>
        <v>1500</v>
      </c>
      <c r="F22" s="554">
        <v>1500</v>
      </c>
      <c r="G22" s="557">
        <f t="shared" ref="G22" si="3">(F22-E22)</f>
        <v>0</v>
      </c>
      <c r="H22" s="536">
        <f>G22+'10'!H22</f>
        <v>750</v>
      </c>
      <c r="I22" s="556"/>
      <c r="J22" s="629">
        <f>H22/DAY(B2)</f>
        <v>68.181818181818187</v>
      </c>
      <c r="K22" s="467"/>
      <c r="L22" s="408"/>
      <c r="N22" s="800">
        <v>0</v>
      </c>
      <c r="P22" s="413">
        <f t="shared" si="1"/>
        <v>0</v>
      </c>
    </row>
    <row r="23" spans="1:16">
      <c r="A23" s="1231" t="s">
        <v>160</v>
      </c>
      <c r="B23" s="666"/>
      <c r="C23" s="666"/>
      <c r="D23" s="599" t="s">
        <v>159</v>
      </c>
      <c r="E23" s="712">
        <f>'10'!F23</f>
        <v>400</v>
      </c>
      <c r="F23" s="554">
        <v>400</v>
      </c>
      <c r="G23" s="557">
        <v>0</v>
      </c>
      <c r="H23" s="536">
        <f>G23+'10'!H23</f>
        <v>1600</v>
      </c>
      <c r="I23" s="556"/>
      <c r="J23" s="629">
        <f>H23/DAY(B2)</f>
        <v>145.45454545454547</v>
      </c>
      <c r="K23" s="467"/>
      <c r="L23" s="408"/>
      <c r="N23" s="800">
        <v>0</v>
      </c>
      <c r="P23" s="413">
        <f t="shared" si="1"/>
        <v>0</v>
      </c>
    </row>
    <row r="24" spans="1:16">
      <c r="A24" s="667" t="s">
        <v>161</v>
      </c>
      <c r="B24" s="668"/>
      <c r="C24" s="668"/>
      <c r="D24" s="587" t="s">
        <v>159</v>
      </c>
      <c r="E24" s="569">
        <f>'10'!F24</f>
        <v>1900</v>
      </c>
      <c r="F24" s="561">
        <v>1900</v>
      </c>
      <c r="G24" s="557">
        <v>0</v>
      </c>
      <c r="H24" s="536">
        <f>G24+'10'!H24</f>
        <v>2350</v>
      </c>
      <c r="I24" s="556"/>
      <c r="J24" s="629">
        <f>H24/DAY(B2)</f>
        <v>213.63636363636363</v>
      </c>
      <c r="K24" s="467"/>
      <c r="L24" s="408"/>
      <c r="N24" s="800">
        <v>0</v>
      </c>
      <c r="P24" s="413">
        <f t="shared" si="1"/>
        <v>0</v>
      </c>
    </row>
    <row r="25" spans="1:16" s="481" customFormat="1" ht="27">
      <c r="A25" s="1425" t="s">
        <v>162</v>
      </c>
      <c r="B25" s="1426"/>
      <c r="C25" s="1427"/>
      <c r="D25" s="547"/>
      <c r="E25" s="547"/>
      <c r="F25" s="547"/>
      <c r="G25" s="570"/>
      <c r="H25" s="571"/>
      <c r="I25" s="572"/>
      <c r="J25" s="631"/>
      <c r="K25" s="404"/>
      <c r="L25" s="484"/>
      <c r="N25" s="800"/>
      <c r="P25" s="413">
        <f t="shared" si="1"/>
        <v>0</v>
      </c>
    </row>
    <row r="26" spans="1:16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800"/>
      <c r="P26" s="413">
        <f t="shared" si="1"/>
        <v>0</v>
      </c>
    </row>
    <row r="27" spans="1:16" s="481" customFormat="1" ht="27.75">
      <c r="A27" s="669" t="s">
        <v>6</v>
      </c>
      <c r="B27" s="670"/>
      <c r="C27" s="671"/>
      <c r="D27" s="696" t="s">
        <v>25</v>
      </c>
      <c r="E27" s="780">
        <f>G8</f>
        <v>18689</v>
      </c>
      <c r="F27" s="577">
        <v>9</v>
      </c>
      <c r="G27" s="578">
        <f>E27*F27</f>
        <v>168201</v>
      </c>
      <c r="H27" s="536">
        <f>G27+'10'!H27</f>
        <v>1846269</v>
      </c>
      <c r="I27" s="579"/>
      <c r="J27" s="629">
        <f>H27/DAY(B2)</f>
        <v>167842.63636363635</v>
      </c>
      <c r="K27" s="404"/>
      <c r="L27" s="484"/>
      <c r="N27" s="800">
        <v>120180</v>
      </c>
      <c r="P27" s="413">
        <f t="shared" si="1"/>
        <v>48021</v>
      </c>
    </row>
    <row r="28" spans="1:16" s="481" customFormat="1" ht="27.75">
      <c r="A28" s="669" t="s">
        <v>165</v>
      </c>
      <c r="B28" s="670"/>
      <c r="C28" s="671"/>
      <c r="D28" s="696" t="s">
        <v>166</v>
      </c>
      <c r="E28" s="780">
        <f>G15</f>
        <v>887.12000000011176</v>
      </c>
      <c r="F28" s="577">
        <v>43.5</v>
      </c>
      <c r="G28" s="578">
        <f>E28*F28</f>
        <v>38589.720000004862</v>
      </c>
      <c r="H28" s="536">
        <f>G28+'10'!H28</f>
        <v>391667.47500000405</v>
      </c>
      <c r="I28" s="581"/>
      <c r="J28" s="629">
        <f>H28/DAY(B2)</f>
        <v>35606.134090909458</v>
      </c>
      <c r="K28" s="404"/>
      <c r="L28" s="484"/>
      <c r="N28" s="800">
        <v>11873.505000000587</v>
      </c>
      <c r="P28" s="413">
        <f t="shared" si="1"/>
        <v>26716.215000004275</v>
      </c>
    </row>
    <row r="29" spans="1:16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G29+'10'!H29</f>
        <v>162150</v>
      </c>
      <c r="I29" s="581"/>
      <c r="J29" s="629">
        <f>H29/DAY(B2)</f>
        <v>14740.90909090909</v>
      </c>
      <c r="K29" s="404"/>
      <c r="L29" s="484"/>
      <c r="N29" s="800">
        <v>0</v>
      </c>
      <c r="P29" s="413">
        <f t="shared" si="1"/>
        <v>0</v>
      </c>
    </row>
    <row r="30" spans="1:16" s="481" customFormat="1" ht="27.75">
      <c r="A30" s="669" t="s">
        <v>169</v>
      </c>
      <c r="B30" s="670"/>
      <c r="C30" s="671"/>
      <c r="D30" s="696" t="s">
        <v>170</v>
      </c>
      <c r="E30" s="780">
        <f>G19</f>
        <v>51</v>
      </c>
      <c r="F30" s="577">
        <v>134</v>
      </c>
      <c r="G30" s="578">
        <f>E30*F30</f>
        <v>6834</v>
      </c>
      <c r="H30" s="536">
        <f>G30+'10'!H30</f>
        <v>73834</v>
      </c>
      <c r="I30" s="581"/>
      <c r="J30" s="629">
        <f>H30/DAY(B2)</f>
        <v>6712.181818181818</v>
      </c>
      <c r="K30" s="404"/>
      <c r="L30" s="484"/>
      <c r="N30" s="800">
        <v>7370</v>
      </c>
      <c r="P30" s="413">
        <f t="shared" si="1"/>
        <v>-536</v>
      </c>
    </row>
    <row r="31" spans="1:16" s="481" customFormat="1" ht="27.75">
      <c r="A31" s="669" t="s">
        <v>171</v>
      </c>
      <c r="B31" s="670"/>
      <c r="C31" s="671"/>
      <c r="D31" s="696" t="s">
        <v>155</v>
      </c>
      <c r="E31" s="780">
        <f>G18</f>
        <v>160</v>
      </c>
      <c r="F31" s="577">
        <v>80</v>
      </c>
      <c r="G31" s="578">
        <f>E31*F31</f>
        <v>12800</v>
      </c>
      <c r="H31" s="536">
        <f>G31+'10'!H31</f>
        <v>130400</v>
      </c>
      <c r="I31" s="581"/>
      <c r="J31" s="629">
        <f>H31/DAY(B2)</f>
        <v>11854.545454545454</v>
      </c>
      <c r="K31" s="404"/>
      <c r="L31" s="484"/>
      <c r="N31" s="800">
        <v>1600</v>
      </c>
      <c r="O31" s="481">
        <f>76*134</f>
        <v>10184</v>
      </c>
      <c r="P31" s="413">
        <f>G31-N31</f>
        <v>11200</v>
      </c>
    </row>
    <row r="32" spans="1:16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226424.72000000486</v>
      </c>
      <c r="H32" s="536">
        <f>G32+'10'!H32</f>
        <v>2604320.4750000043</v>
      </c>
      <c r="I32" s="585"/>
      <c r="J32" s="629">
        <f>H32/DAY(B2)</f>
        <v>236756.40681818221</v>
      </c>
      <c r="K32" s="404"/>
      <c r="L32" s="484"/>
      <c r="N32" s="800">
        <v>141023.50500000059</v>
      </c>
      <c r="P32" s="413">
        <f>G32-N32</f>
        <v>85401.215000004275</v>
      </c>
    </row>
    <row r="33" spans="1:16" ht="25.5">
      <c r="A33" s="1428" t="s">
        <v>173</v>
      </c>
      <c r="B33" s="1429"/>
      <c r="C33" s="1429"/>
      <c r="D33" s="1429"/>
      <c r="E33" s="1429"/>
      <c r="F33" s="1429"/>
      <c r="G33" s="1429"/>
      <c r="H33" s="1429"/>
      <c r="I33" s="1429"/>
      <c r="J33" s="1430"/>
      <c r="K33" s="467"/>
      <c r="L33" s="408"/>
      <c r="N33" s="800"/>
      <c r="P33" s="413">
        <f t="shared" si="1"/>
        <v>0</v>
      </c>
    </row>
    <row r="34" spans="1:16">
      <c r="A34" s="675" t="s">
        <v>174</v>
      </c>
      <c r="B34" s="1236"/>
      <c r="C34" s="1236"/>
      <c r="D34" s="548"/>
      <c r="E34" s="547"/>
      <c r="F34" s="547"/>
      <c r="G34" s="548"/>
      <c r="H34" s="548"/>
      <c r="I34" s="548"/>
      <c r="J34" s="628"/>
      <c r="K34" s="467"/>
      <c r="L34" s="408"/>
      <c r="N34" s="800"/>
      <c r="P34" s="413">
        <f t="shared" si="1"/>
        <v>0</v>
      </c>
    </row>
    <row r="35" spans="1:16">
      <c r="A35" s="655" t="s">
        <v>175</v>
      </c>
      <c r="B35" s="656"/>
      <c r="C35" s="656"/>
      <c r="D35" s="599" t="s">
        <v>143</v>
      </c>
      <c r="E35" s="586">
        <f>'10'!F35</f>
        <v>640929</v>
      </c>
      <c r="F35" s="586">
        <v>643287</v>
      </c>
      <c r="G35" s="549">
        <f t="shared" ref="G35:G46" si="4">F35-E35</f>
        <v>2358</v>
      </c>
      <c r="H35" s="536">
        <f>G35+'10'!H35</f>
        <v>14259.329999999958</v>
      </c>
      <c r="I35" s="531"/>
      <c r="J35" s="629">
        <f>H35/DAY(B2)</f>
        <v>1296.3027272727234</v>
      </c>
      <c r="K35" s="467"/>
      <c r="L35" s="408"/>
      <c r="N35" s="800">
        <v>1428.320000000007</v>
      </c>
      <c r="P35" s="413">
        <f t="shared" si="1"/>
        <v>929.67999999999302</v>
      </c>
    </row>
    <row r="36" spans="1:16">
      <c r="A36" s="655" t="s">
        <v>176</v>
      </c>
      <c r="B36" s="656"/>
      <c r="C36" s="656"/>
      <c r="D36" s="599" t="s">
        <v>143</v>
      </c>
      <c r="E36" s="586">
        <f>'10'!F36</f>
        <v>282804.89</v>
      </c>
      <c r="F36" s="586">
        <v>283502</v>
      </c>
      <c r="G36" s="549">
        <f t="shared" si="4"/>
        <v>697.10999999998603</v>
      </c>
      <c r="H36" s="536">
        <f>G36+'10'!H36</f>
        <v>7010.5499999999884</v>
      </c>
      <c r="I36" s="531"/>
      <c r="J36" s="629">
        <f>H36/DAY(B2)</f>
        <v>637.32272727272618</v>
      </c>
      <c r="K36" s="467"/>
      <c r="L36" s="408"/>
      <c r="N36" s="801">
        <v>535.05999999999767</v>
      </c>
      <c r="P36" s="413">
        <f t="shared" si="1"/>
        <v>162.04999999998836</v>
      </c>
    </row>
    <row r="37" spans="1:16">
      <c r="A37" s="655" t="s">
        <v>177</v>
      </c>
      <c r="B37" s="656"/>
      <c r="C37" s="656"/>
      <c r="D37" s="599" t="s">
        <v>143</v>
      </c>
      <c r="E37" s="586">
        <f>'10'!F37</f>
        <v>5027.49</v>
      </c>
      <c r="F37" s="586">
        <v>6499.81</v>
      </c>
      <c r="G37" s="549">
        <f t="shared" si="4"/>
        <v>1472.3200000000006</v>
      </c>
      <c r="H37" s="536">
        <f>G37+'10'!H37</f>
        <v>6499.81</v>
      </c>
      <c r="I37" s="531"/>
      <c r="J37" s="629">
        <f>H37/DAY(B2)</f>
        <v>590.89181818181817</v>
      </c>
      <c r="K37" s="467"/>
      <c r="L37" s="408"/>
      <c r="N37" s="801">
        <v>1155.7000000000116</v>
      </c>
      <c r="P37" s="413">
        <f t="shared" si="1"/>
        <v>316.61999999998898</v>
      </c>
    </row>
    <row r="38" spans="1:16">
      <c r="A38" s="655" t="s">
        <v>178</v>
      </c>
      <c r="B38" s="656"/>
      <c r="C38" s="656"/>
      <c r="D38" s="599" t="s">
        <v>143</v>
      </c>
      <c r="E38" s="586">
        <f>'10'!F38</f>
        <v>5922</v>
      </c>
      <c r="F38" s="545">
        <v>7753</v>
      </c>
      <c r="G38" s="549">
        <f t="shared" si="4"/>
        <v>1831</v>
      </c>
      <c r="H38" s="536">
        <f>G38+'10'!H38</f>
        <v>7655.12</v>
      </c>
      <c r="I38" s="531"/>
      <c r="J38" s="629">
        <f>H38/DAY(B2)</f>
        <v>695.92</v>
      </c>
      <c r="K38" s="467"/>
      <c r="L38" s="408"/>
      <c r="N38" s="800">
        <v>0.39000000001396984</v>
      </c>
      <c r="P38" s="413">
        <f t="shared" si="1"/>
        <v>1830.609999999986</v>
      </c>
    </row>
    <row r="39" spans="1:16">
      <c r="A39" s="655" t="s">
        <v>179</v>
      </c>
      <c r="B39" s="656"/>
      <c r="C39" s="656"/>
      <c r="D39" s="599" t="s">
        <v>143</v>
      </c>
      <c r="E39" s="586">
        <f>'10'!F39</f>
        <v>14156.47</v>
      </c>
      <c r="F39" s="586">
        <v>18260</v>
      </c>
      <c r="G39" s="549">
        <f t="shared" si="4"/>
        <v>4103.5300000000007</v>
      </c>
      <c r="H39" s="536">
        <f>G39+'10'!H39</f>
        <v>18260</v>
      </c>
      <c r="I39" s="531"/>
      <c r="J39" s="629">
        <f>H39/DAY(B2)</f>
        <v>1660</v>
      </c>
      <c r="K39" s="467"/>
      <c r="L39" s="408"/>
      <c r="N39" s="800">
        <v>2080</v>
      </c>
      <c r="P39" s="413">
        <f t="shared" si="1"/>
        <v>2023.5300000000007</v>
      </c>
    </row>
    <row r="40" spans="1:16">
      <c r="A40" s="676" t="s">
        <v>180</v>
      </c>
      <c r="B40" s="677"/>
      <c r="C40" s="677"/>
      <c r="D40" s="599" t="s">
        <v>143</v>
      </c>
      <c r="E40" s="586">
        <f>'10'!F40</f>
        <v>0.23</v>
      </c>
      <c r="F40" s="586">
        <v>0.23</v>
      </c>
      <c r="G40" s="549">
        <f t="shared" si="4"/>
        <v>0</v>
      </c>
      <c r="H40" s="536">
        <f>G40+'10'!H40</f>
        <v>0</v>
      </c>
      <c r="I40" s="531"/>
      <c r="J40" s="629">
        <f>H40/DAY(B2)</f>
        <v>0</v>
      </c>
      <c r="K40" s="468"/>
      <c r="L40" s="408"/>
      <c r="N40" s="800">
        <v>0</v>
      </c>
      <c r="P40" s="413">
        <f t="shared" si="1"/>
        <v>0</v>
      </c>
    </row>
    <row r="41" spans="1:16">
      <c r="A41" s="655" t="s">
        <v>181</v>
      </c>
      <c r="B41" s="656"/>
      <c r="C41" s="656"/>
      <c r="D41" s="599" t="s">
        <v>143</v>
      </c>
      <c r="E41" s="586">
        <f>'10'!F41</f>
        <v>59259.87</v>
      </c>
      <c r="F41" s="586">
        <v>59259.87</v>
      </c>
      <c r="G41" s="549">
        <f t="shared" si="4"/>
        <v>0</v>
      </c>
      <c r="H41" s="536">
        <f>G41+'10'!H41</f>
        <v>14637.350000000006</v>
      </c>
      <c r="I41" s="531"/>
      <c r="J41" s="629">
        <f>H41/DAY(B2)</f>
        <v>1330.6681818181823</v>
      </c>
      <c r="K41" s="467"/>
      <c r="L41" s="408"/>
      <c r="N41" s="800">
        <v>3297.5400000000081</v>
      </c>
      <c r="P41" s="803">
        <f t="shared" si="1"/>
        <v>-3297.5400000000081</v>
      </c>
    </row>
    <row r="42" spans="1:16">
      <c r="A42" s="655" t="s">
        <v>182</v>
      </c>
      <c r="B42" s="656"/>
      <c r="C42" s="656"/>
      <c r="D42" s="599" t="s">
        <v>143</v>
      </c>
      <c r="E42" s="586">
        <f>'10'!F42</f>
        <v>58926</v>
      </c>
      <c r="F42" s="586">
        <v>58926</v>
      </c>
      <c r="G42" s="549">
        <f t="shared" si="4"/>
        <v>0</v>
      </c>
      <c r="H42" s="536">
        <f>G42+'10'!H42</f>
        <v>0</v>
      </c>
      <c r="I42" s="531"/>
      <c r="J42" s="629">
        <f>H42/DAY(B2)</f>
        <v>0</v>
      </c>
      <c r="K42" s="467"/>
      <c r="L42" s="408"/>
      <c r="N42" s="800">
        <v>0</v>
      </c>
      <c r="P42" s="413">
        <f t="shared" si="1"/>
        <v>0</v>
      </c>
    </row>
    <row r="43" spans="1:16">
      <c r="A43" s="655" t="s">
        <v>183</v>
      </c>
      <c r="B43" s="656"/>
      <c r="C43" s="656"/>
      <c r="D43" s="599" t="s">
        <v>143</v>
      </c>
      <c r="E43" s="586">
        <f>'10'!F43</f>
        <v>783471</v>
      </c>
      <c r="F43" s="586">
        <v>786014</v>
      </c>
      <c r="G43" s="549">
        <f>F43-E43</f>
        <v>2543</v>
      </c>
      <c r="H43" s="536">
        <f>G43+'10'!H43</f>
        <v>18202.089999999967</v>
      </c>
      <c r="I43" s="531"/>
      <c r="J43" s="629">
        <f>H43/DAY(B2)</f>
        <v>1654.7354545454516</v>
      </c>
      <c r="K43" s="467"/>
      <c r="L43" s="408"/>
      <c r="N43" s="800">
        <v>1592.9000000000233</v>
      </c>
      <c r="P43" s="413">
        <f t="shared" si="1"/>
        <v>950.09999999997672</v>
      </c>
    </row>
    <row r="44" spans="1:16">
      <c r="A44" s="655" t="s">
        <v>184</v>
      </c>
      <c r="B44" s="656"/>
      <c r="C44" s="656"/>
      <c r="D44" s="599" t="s">
        <v>143</v>
      </c>
      <c r="E44" s="586">
        <f>'10'!F44</f>
        <v>0</v>
      </c>
      <c r="F44" s="586">
        <v>0</v>
      </c>
      <c r="G44" s="549">
        <f t="shared" si="4"/>
        <v>0</v>
      </c>
      <c r="H44" s="536">
        <f>G44+'10'!H44</f>
        <v>0</v>
      </c>
      <c r="I44" s="531"/>
      <c r="J44" s="629">
        <f>H44/DAY(B2)</f>
        <v>0</v>
      </c>
      <c r="K44" s="467"/>
      <c r="L44" s="408"/>
      <c r="N44" s="800">
        <v>0</v>
      </c>
      <c r="P44" s="413">
        <f t="shared" si="1"/>
        <v>0</v>
      </c>
    </row>
    <row r="45" spans="1:16">
      <c r="A45" s="655" t="s">
        <v>185</v>
      </c>
      <c r="B45" s="656"/>
      <c r="C45" s="656"/>
      <c r="D45" s="599" t="s">
        <v>143</v>
      </c>
      <c r="E45" s="586">
        <f>'10'!F45</f>
        <v>614</v>
      </c>
      <c r="F45" s="586">
        <v>614</v>
      </c>
      <c r="G45" s="549">
        <f t="shared" si="4"/>
        <v>0</v>
      </c>
      <c r="H45" s="536">
        <f>G45+'10'!H45</f>
        <v>-0.48000000000001819</v>
      </c>
      <c r="I45" s="531"/>
      <c r="J45" s="629">
        <f>H45/DAY(B2)</f>
        <v>-4.3636363636365291E-2</v>
      </c>
      <c r="K45" s="467"/>
      <c r="L45" s="408"/>
      <c r="N45" s="800">
        <v>0</v>
      </c>
      <c r="P45" s="413">
        <f t="shared" si="1"/>
        <v>0</v>
      </c>
    </row>
    <row r="46" spans="1:16">
      <c r="A46" s="655" t="s">
        <v>186</v>
      </c>
      <c r="B46" s="656"/>
      <c r="C46" s="656"/>
      <c r="D46" s="599" t="s">
        <v>143</v>
      </c>
      <c r="E46" s="586">
        <f>'10'!F46</f>
        <v>187</v>
      </c>
      <c r="F46" s="586">
        <v>187.49</v>
      </c>
      <c r="G46" s="549">
        <f t="shared" si="4"/>
        <v>0.49000000000000909</v>
      </c>
      <c r="H46" s="536">
        <f>G46+'10'!H46</f>
        <v>0</v>
      </c>
      <c r="I46" s="531"/>
      <c r="J46" s="629">
        <f>H46/DAY(B2)</f>
        <v>0</v>
      </c>
      <c r="K46" s="467"/>
      <c r="L46" s="408"/>
      <c r="N46" s="800">
        <v>0</v>
      </c>
      <c r="P46" s="413">
        <f t="shared" si="1"/>
        <v>0.49000000000000909</v>
      </c>
    </row>
    <row r="47" spans="1:16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13005.449999999988</v>
      </c>
      <c r="H47" s="536">
        <f>G47+'10'!H47</f>
        <v>86523.769999999917</v>
      </c>
      <c r="I47" s="531"/>
      <c r="J47" s="629">
        <f>H47/DAY(B2)</f>
        <v>7865.7972727272654</v>
      </c>
      <c r="K47" s="467"/>
      <c r="L47" s="408"/>
      <c r="N47" s="800">
        <v>10089.910000000062</v>
      </c>
      <c r="P47" s="413">
        <f>G47-N47</f>
        <v>2915.5399999999263</v>
      </c>
    </row>
    <row r="48" spans="1:16">
      <c r="A48" s="675" t="s">
        <v>188</v>
      </c>
      <c r="B48" s="1236"/>
      <c r="C48" s="1236"/>
      <c r="D48" s="548"/>
      <c r="E48" s="547"/>
      <c r="F48" s="547"/>
      <c r="G48" s="548"/>
      <c r="H48" s="548"/>
      <c r="I48" s="548"/>
      <c r="J48" s="628"/>
      <c r="K48" s="467"/>
      <c r="L48" s="408"/>
      <c r="N48" s="800"/>
      <c r="P48" s="413">
        <f t="shared" si="1"/>
        <v>0</v>
      </c>
    </row>
    <row r="49" spans="1:16">
      <c r="A49" s="655" t="s">
        <v>175</v>
      </c>
      <c r="B49" s="678"/>
      <c r="C49" s="678"/>
      <c r="D49" s="599" t="s">
        <v>143</v>
      </c>
      <c r="E49" s="586">
        <f>'10'!F49</f>
        <v>260732</v>
      </c>
      <c r="F49" s="586">
        <v>260732</v>
      </c>
      <c r="G49" s="549">
        <f t="shared" ref="G49:G58" si="5">F49-E49</f>
        <v>0</v>
      </c>
      <c r="H49" s="536">
        <f>G49+'9'!H49</f>
        <v>14832.950000000012</v>
      </c>
      <c r="I49" s="531"/>
      <c r="J49" s="629">
        <f>H49/DAY(B2)</f>
        <v>1348.450000000001</v>
      </c>
      <c r="K49" s="467"/>
      <c r="L49" s="408"/>
      <c r="N49" s="800">
        <v>0</v>
      </c>
      <c r="P49" s="413">
        <f t="shared" si="1"/>
        <v>0</v>
      </c>
    </row>
    <row r="50" spans="1:16">
      <c r="A50" s="655" t="s">
        <v>189</v>
      </c>
      <c r="B50" s="678"/>
      <c r="C50" s="678"/>
      <c r="D50" s="599" t="s">
        <v>143</v>
      </c>
      <c r="E50" s="586">
        <f>'10'!F50</f>
        <v>380137</v>
      </c>
      <c r="F50" s="586">
        <v>381175.71</v>
      </c>
      <c r="G50" s="549">
        <f t="shared" si="5"/>
        <v>1038.710000000021</v>
      </c>
      <c r="H50" s="536">
        <f>G50+'9'!H50</f>
        <v>11515.400000000023</v>
      </c>
      <c r="I50" s="531"/>
      <c r="J50" s="629">
        <f>H50/DAY(B2)</f>
        <v>1046.8545454545476</v>
      </c>
      <c r="K50" s="467"/>
      <c r="L50" s="408"/>
      <c r="N50" s="800">
        <v>559.97000000000116</v>
      </c>
      <c r="P50" s="413">
        <f t="shared" si="1"/>
        <v>478.74000000001979</v>
      </c>
    </row>
    <row r="51" spans="1:16">
      <c r="A51" s="655" t="s">
        <v>177</v>
      </c>
      <c r="B51" s="678"/>
      <c r="C51" s="678"/>
      <c r="D51" s="599" t="s">
        <v>143</v>
      </c>
      <c r="E51" s="586">
        <f>'10'!F51</f>
        <v>120050.92</v>
      </c>
      <c r="F51" s="586">
        <v>120050.92</v>
      </c>
      <c r="G51" s="549">
        <f t="shared" si="5"/>
        <v>0</v>
      </c>
      <c r="H51" s="536">
        <f>G51+'9'!H51</f>
        <v>9951.179999999993</v>
      </c>
      <c r="I51" s="531"/>
      <c r="J51" s="629">
        <f>H51/DAY(B2)</f>
        <v>904.65272727272668</v>
      </c>
      <c r="K51" s="467"/>
      <c r="L51" s="408"/>
      <c r="N51" s="800">
        <v>0</v>
      </c>
      <c r="P51" s="413">
        <f t="shared" si="1"/>
        <v>0</v>
      </c>
    </row>
    <row r="52" spans="1:16">
      <c r="A52" s="655" t="s">
        <v>190</v>
      </c>
      <c r="B52" s="678"/>
      <c r="C52" s="678"/>
      <c r="D52" s="599" t="s">
        <v>143</v>
      </c>
      <c r="E52" s="586">
        <f>'10'!F52</f>
        <v>507912.71</v>
      </c>
      <c r="F52" s="586">
        <v>507912.71</v>
      </c>
      <c r="G52" s="549">
        <f t="shared" si="5"/>
        <v>0</v>
      </c>
      <c r="H52" s="536">
        <f>G52+'9'!H52</f>
        <v>14104.040000000037</v>
      </c>
      <c r="I52" s="531"/>
      <c r="J52" s="629">
        <f>H52/DAY(B2)</f>
        <v>1282.185454545458</v>
      </c>
      <c r="K52" s="467"/>
      <c r="L52" s="408"/>
      <c r="N52" s="800">
        <v>1007.1900000000023</v>
      </c>
      <c r="P52" s="413">
        <f t="shared" si="1"/>
        <v>-1007.1900000000023</v>
      </c>
    </row>
    <row r="53" spans="1:16">
      <c r="A53" s="655" t="s">
        <v>179</v>
      </c>
      <c r="B53" s="678"/>
      <c r="C53" s="678"/>
      <c r="D53" s="599" t="s">
        <v>143</v>
      </c>
      <c r="E53" s="586">
        <f>'10'!F53</f>
        <v>331854.51</v>
      </c>
      <c r="F53" s="586">
        <v>331854.51</v>
      </c>
      <c r="G53" s="549">
        <f t="shared" si="5"/>
        <v>0</v>
      </c>
      <c r="H53" s="536">
        <f>G53+'9'!H53</f>
        <v>27556.239999999991</v>
      </c>
      <c r="I53" s="531"/>
      <c r="J53" s="629">
        <f>H53/DAY(B2)</f>
        <v>2505.1127272727263</v>
      </c>
      <c r="K53" s="467"/>
      <c r="L53" s="408"/>
      <c r="N53" s="800">
        <v>85.61410000000069</v>
      </c>
      <c r="P53" s="413">
        <f t="shared" si="1"/>
        <v>-85.61410000000069</v>
      </c>
    </row>
    <row r="54" spans="1:16">
      <c r="A54" s="655" t="s">
        <v>191</v>
      </c>
      <c r="B54" s="678"/>
      <c r="C54" s="678"/>
      <c r="D54" s="599" t="s">
        <v>143</v>
      </c>
      <c r="E54" s="586">
        <f>'10'!F54</f>
        <v>6837</v>
      </c>
      <c r="F54" s="586">
        <v>6907.71</v>
      </c>
      <c r="G54" s="549">
        <f t="shared" si="5"/>
        <v>70.710000000000036</v>
      </c>
      <c r="H54" s="536">
        <f>G54+'9'!H54</f>
        <v>518.90999999999985</v>
      </c>
      <c r="I54" s="531"/>
      <c r="J54" s="629">
        <f>H54/DAY(B2)</f>
        <v>47.173636363636348</v>
      </c>
      <c r="K54" s="467"/>
      <c r="L54" s="408"/>
      <c r="N54" s="800">
        <v>0</v>
      </c>
      <c r="P54" s="413">
        <f t="shared" si="1"/>
        <v>70.710000000000036</v>
      </c>
    </row>
    <row r="55" spans="1:16">
      <c r="A55" s="655" t="s">
        <v>192</v>
      </c>
      <c r="B55" s="678"/>
      <c r="C55" s="678"/>
      <c r="D55" s="599" t="s">
        <v>143</v>
      </c>
      <c r="E55" s="586">
        <f>'10'!F55</f>
        <v>63073.4</v>
      </c>
      <c r="F55" s="734">
        <v>67125</v>
      </c>
      <c r="G55" s="733">
        <f t="shared" si="5"/>
        <v>4051.5999999999985</v>
      </c>
      <c r="H55" s="787">
        <f>G55+'9'!H55</f>
        <v>24137.019999999997</v>
      </c>
      <c r="I55" s="788"/>
      <c r="J55" s="789">
        <f>H55/DAY(B2)</f>
        <v>2194.2745454545452</v>
      </c>
      <c r="K55" s="467"/>
      <c r="L55" s="408"/>
      <c r="N55" s="800">
        <v>29.730000000010477</v>
      </c>
      <c r="P55" s="413">
        <f t="shared" si="1"/>
        <v>4021.8699999999881</v>
      </c>
    </row>
    <row r="56" spans="1:16">
      <c r="A56" s="655" t="s">
        <v>193</v>
      </c>
      <c r="B56" s="678"/>
      <c r="C56" s="678"/>
      <c r="D56" s="599" t="s">
        <v>194</v>
      </c>
      <c r="E56" s="586">
        <f>'10'!F56</f>
        <v>557739</v>
      </c>
      <c r="F56" s="734">
        <v>557739</v>
      </c>
      <c r="G56" s="549">
        <f t="shared" si="5"/>
        <v>0</v>
      </c>
      <c r="H56" s="536">
        <f>G56+'9'!H56</f>
        <v>7.0899999999674037</v>
      </c>
      <c r="I56" s="531"/>
      <c r="J56" s="629">
        <f>H56/DAY(B2)</f>
        <v>0.64454545454249124</v>
      </c>
      <c r="K56" s="466"/>
      <c r="L56" s="408"/>
      <c r="N56" s="800">
        <v>0</v>
      </c>
      <c r="P56" s="413">
        <f t="shared" si="1"/>
        <v>0</v>
      </c>
    </row>
    <row r="57" spans="1:16">
      <c r="A57" s="655" t="s">
        <v>183</v>
      </c>
      <c r="B57" s="678"/>
      <c r="C57" s="678"/>
      <c r="D57" s="599" t="s">
        <v>143</v>
      </c>
      <c r="E57" s="586">
        <f>'10'!F57</f>
        <v>7711</v>
      </c>
      <c r="F57" s="586">
        <v>7711</v>
      </c>
      <c r="G57" s="549">
        <f t="shared" si="5"/>
        <v>0</v>
      </c>
      <c r="H57" s="536">
        <f>G57+'9'!H57</f>
        <v>7711</v>
      </c>
      <c r="I57" s="531"/>
      <c r="J57" s="629">
        <f>H57/DAY(B2)</f>
        <v>701</v>
      </c>
      <c r="K57" s="467"/>
      <c r="L57" s="408"/>
      <c r="N57" s="800">
        <v>0</v>
      </c>
      <c r="P57" s="413">
        <f t="shared" si="1"/>
        <v>0</v>
      </c>
    </row>
    <row r="58" spans="1:16">
      <c r="A58" s="655" t="s">
        <v>195</v>
      </c>
      <c r="B58" s="678"/>
      <c r="C58" s="678"/>
      <c r="D58" s="599" t="s">
        <v>143</v>
      </c>
      <c r="E58" s="586">
        <f>'10'!F58</f>
        <v>32178.42</v>
      </c>
      <c r="F58" s="734">
        <v>32346</v>
      </c>
      <c r="G58" s="549">
        <f t="shared" si="5"/>
        <v>167.58000000000175</v>
      </c>
      <c r="H58" s="536">
        <f>G58+'9'!H58</f>
        <v>1616.4600000000028</v>
      </c>
      <c r="I58" s="531"/>
      <c r="J58" s="629">
        <f>H58/DAY(B2)</f>
        <v>146.95090909090933</v>
      </c>
      <c r="K58" s="467"/>
      <c r="L58" s="408"/>
      <c r="N58" s="800">
        <v>7.3549999999995634</v>
      </c>
      <c r="P58" s="413">
        <f t="shared" si="1"/>
        <v>160.22500000000218</v>
      </c>
    </row>
    <row r="59" spans="1:16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5328.6000000000213</v>
      </c>
      <c r="H59" s="536">
        <f>G59+'9'!H59</f>
        <v>111950.29000000002</v>
      </c>
      <c r="I59" s="531">
        <f>G7-G60</f>
        <v>290.94999999998981</v>
      </c>
      <c r="J59" s="629">
        <f>H59/DAY(B2)</f>
        <v>10177.299090909093</v>
      </c>
      <c r="K59" s="467"/>
      <c r="L59" s="408"/>
      <c r="N59" s="800">
        <v>1689.8591000000142</v>
      </c>
      <c r="P59" s="413">
        <f t="shared" si="1"/>
        <v>3638.7409000000071</v>
      </c>
    </row>
    <row r="60" spans="1:16">
      <c r="A60" s="655"/>
      <c r="B60" s="656"/>
      <c r="C60" s="656"/>
      <c r="D60" s="587" t="s">
        <v>196</v>
      </c>
      <c r="E60" s="587"/>
      <c r="F60" s="587"/>
      <c r="G60" s="557">
        <f>G47+G59</f>
        <v>18334.05000000001</v>
      </c>
      <c r="H60" s="536">
        <f>G60+'10'!H60</f>
        <v>203654.24999999991</v>
      </c>
      <c r="I60" s="531">
        <f>G13-G60</f>
        <v>-253.55000000001019</v>
      </c>
      <c r="J60" s="629">
        <f>H60/DAY(B2)</f>
        <v>18514.022727272721</v>
      </c>
      <c r="K60" s="467"/>
      <c r="L60" s="408"/>
      <c r="N60" s="800">
        <v>11779.769100000076</v>
      </c>
      <c r="P60" s="413">
        <f>G60-N60</f>
        <v>6554.2808999999343</v>
      </c>
    </row>
    <row r="61" spans="1:16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800"/>
      <c r="P61" s="413">
        <f t="shared" si="1"/>
        <v>0</v>
      </c>
    </row>
    <row r="62" spans="1:16">
      <c r="A62" s="680" t="s">
        <v>106</v>
      </c>
      <c r="B62" s="681"/>
      <c r="C62" s="681"/>
      <c r="D62" s="587" t="s">
        <v>198</v>
      </c>
      <c r="E62" s="590">
        <f>'10'!F62</f>
        <v>20419</v>
      </c>
      <c r="F62" s="590">
        <v>20419</v>
      </c>
      <c r="G62" s="549">
        <f t="shared" ref="G62:G69" si="6">F62-E62</f>
        <v>0</v>
      </c>
      <c r="H62" s="536">
        <f>G62+'10'!H62</f>
        <v>-0.1889999999984866</v>
      </c>
      <c r="I62" s="591"/>
      <c r="J62" s="629">
        <f>H62/DAY(B2)</f>
        <v>-1.7181818181680599E-2</v>
      </c>
      <c r="K62" s="467"/>
      <c r="L62" s="408"/>
      <c r="N62" s="800">
        <v>0</v>
      </c>
      <c r="P62" s="413">
        <f t="shared" si="1"/>
        <v>0</v>
      </c>
    </row>
    <row r="63" spans="1:16">
      <c r="A63" s="680" t="s">
        <v>199</v>
      </c>
      <c r="B63" s="681"/>
      <c r="C63" s="681"/>
      <c r="D63" s="587" t="s">
        <v>198</v>
      </c>
      <c r="E63" s="590">
        <f>'10'!F63</f>
        <v>1473.7</v>
      </c>
      <c r="F63" s="590">
        <v>1486</v>
      </c>
      <c r="G63" s="549">
        <f t="shared" si="6"/>
        <v>12.299999999999955</v>
      </c>
      <c r="H63" s="536">
        <f>G63+'10'!H63</f>
        <v>153.47000000000003</v>
      </c>
      <c r="I63" s="591"/>
      <c r="J63" s="629">
        <f>H63/DAY(B2)</f>
        <v>13.951818181818185</v>
      </c>
      <c r="K63" s="467"/>
      <c r="L63" s="408"/>
      <c r="N63" s="800">
        <v>0</v>
      </c>
      <c r="P63" s="413">
        <f t="shared" si="1"/>
        <v>12.299999999999955</v>
      </c>
    </row>
    <row r="64" spans="1:16" ht="27.75">
      <c r="A64" s="1385" t="s">
        <v>107</v>
      </c>
      <c r="B64" s="1386"/>
      <c r="C64" s="1387"/>
      <c r="D64" s="599" t="s">
        <v>198</v>
      </c>
      <c r="E64" s="590">
        <f>'10'!F64</f>
        <v>115498.71</v>
      </c>
      <c r="F64" s="554">
        <v>115893</v>
      </c>
      <c r="G64" s="549">
        <f t="shared" si="6"/>
        <v>394.2899999999936</v>
      </c>
      <c r="H64" s="536">
        <f>G64+'10'!H64</f>
        <v>4609.5399999999936</v>
      </c>
      <c r="I64" s="556"/>
      <c r="J64" s="629">
        <f>H64/DAY(B2)</f>
        <v>419.04909090909035</v>
      </c>
      <c r="K64" s="467"/>
      <c r="L64" s="408"/>
      <c r="N64" s="800">
        <v>163.8269999999975</v>
      </c>
      <c r="P64" s="413">
        <f t="shared" si="1"/>
        <v>230.4629999999961</v>
      </c>
    </row>
    <row r="65" spans="1:16" ht="27.75">
      <c r="A65" s="1385" t="s">
        <v>108</v>
      </c>
      <c r="B65" s="1386"/>
      <c r="C65" s="1387"/>
      <c r="D65" s="599" t="s">
        <v>198</v>
      </c>
      <c r="E65" s="590">
        <f>'10'!F65</f>
        <v>125495</v>
      </c>
      <c r="F65" s="732">
        <v>125865</v>
      </c>
      <c r="G65" s="549">
        <f t="shared" si="6"/>
        <v>370</v>
      </c>
      <c r="H65" s="536">
        <f>G65+'10'!H65</f>
        <v>4131.8899999999994</v>
      </c>
      <c r="I65" s="565"/>
      <c r="J65" s="629">
        <f>H65/DAY(B2)</f>
        <v>375.62636363636358</v>
      </c>
      <c r="K65" s="467"/>
      <c r="L65" s="408"/>
      <c r="N65" s="800">
        <v>268.47299999999814</v>
      </c>
      <c r="P65" s="413">
        <f t="shared" si="1"/>
        <v>101.52700000000186</v>
      </c>
    </row>
    <row r="66" spans="1:16" ht="27.75">
      <c r="A66" s="1385" t="s">
        <v>109</v>
      </c>
      <c r="B66" s="1386"/>
      <c r="C66" s="1387"/>
      <c r="D66" s="599" t="s">
        <v>198</v>
      </c>
      <c r="E66" s="590">
        <f>'10'!F66</f>
        <v>18104</v>
      </c>
      <c r="F66" s="554">
        <v>18485</v>
      </c>
      <c r="G66" s="549">
        <f t="shared" si="6"/>
        <v>381</v>
      </c>
      <c r="H66" s="536">
        <f>G66+'10'!H66</f>
        <v>4325.26</v>
      </c>
      <c r="I66" s="556"/>
      <c r="J66" s="629">
        <f>H66/DAY(B2)</f>
        <v>393.20545454545459</v>
      </c>
      <c r="K66" s="467"/>
      <c r="L66" s="408"/>
      <c r="N66" s="800">
        <v>269.34500000000116</v>
      </c>
      <c r="P66" s="413">
        <f t="shared" si="1"/>
        <v>111.65499999999884</v>
      </c>
    </row>
    <row r="67" spans="1:16" ht="27.75">
      <c r="A67" s="1385" t="s">
        <v>110</v>
      </c>
      <c r="B67" s="1386"/>
      <c r="C67" s="1387"/>
      <c r="D67" s="599" t="s">
        <v>198</v>
      </c>
      <c r="E67" s="590">
        <f>'10'!F67</f>
        <v>195698</v>
      </c>
      <c r="F67" s="554">
        <v>196406</v>
      </c>
      <c r="G67" s="549">
        <f t="shared" si="6"/>
        <v>708</v>
      </c>
      <c r="H67" s="536">
        <f>G67+'10'!H67</f>
        <v>7731.4700000000012</v>
      </c>
      <c r="I67" s="565"/>
      <c r="J67" s="629">
        <f>H67/DAY(B2)</f>
        <v>702.86090909090922</v>
      </c>
      <c r="K67" s="468"/>
      <c r="L67" s="408"/>
      <c r="N67" s="800">
        <v>278.32000000000698</v>
      </c>
      <c r="P67" s="413">
        <f t="shared" si="1"/>
        <v>429.67999999999302</v>
      </c>
    </row>
    <row r="68" spans="1:16" ht="27.75">
      <c r="A68" s="1385" t="s">
        <v>111</v>
      </c>
      <c r="B68" s="1386"/>
      <c r="C68" s="1387"/>
      <c r="D68" s="599" t="s">
        <v>198</v>
      </c>
      <c r="E68" s="590">
        <f>'10'!F68</f>
        <v>66704</v>
      </c>
      <c r="F68" s="554">
        <v>67026</v>
      </c>
      <c r="G68" s="549">
        <f t="shared" si="6"/>
        <v>322</v>
      </c>
      <c r="H68" s="536">
        <f>G68+'10'!H68</f>
        <v>3726.1399999999994</v>
      </c>
      <c r="I68" s="592"/>
      <c r="J68" s="629">
        <f>H68/DAY(B2)</f>
        <v>338.73999999999995</v>
      </c>
      <c r="K68" s="469"/>
      <c r="L68" s="408"/>
      <c r="N68" s="800">
        <v>96.661499999999705</v>
      </c>
      <c r="P68" s="413">
        <f t="shared" si="1"/>
        <v>225.33850000000029</v>
      </c>
    </row>
    <row r="69" spans="1:16" ht="27.75">
      <c r="A69" s="1385" t="s">
        <v>112</v>
      </c>
      <c r="B69" s="1386"/>
      <c r="C69" s="1387"/>
      <c r="D69" s="599" t="s">
        <v>198</v>
      </c>
      <c r="E69" s="590">
        <f>'10'!F69</f>
        <v>58705.8</v>
      </c>
      <c r="F69" s="554">
        <v>59018</v>
      </c>
      <c r="G69" s="549">
        <f t="shared" si="6"/>
        <v>312.19999999999709</v>
      </c>
      <c r="H69" s="536">
        <f>G69+'10'!H69</f>
        <v>3294.2900000000009</v>
      </c>
      <c r="I69" s="592"/>
      <c r="J69" s="629">
        <f>H69/DAY(B2)</f>
        <v>299.48090909090917</v>
      </c>
      <c r="K69" s="470"/>
      <c r="L69" s="408"/>
      <c r="N69" s="800">
        <v>12.966000000000349</v>
      </c>
      <c r="P69" s="413">
        <f t="shared" si="1"/>
        <v>299.23399999999674</v>
      </c>
    </row>
    <row r="70" spans="1:16" ht="27.75">
      <c r="A70" s="1391" t="s">
        <v>200</v>
      </c>
      <c r="B70" s="1392"/>
      <c r="C70" s="1393"/>
      <c r="D70" s="599" t="s">
        <v>198</v>
      </c>
      <c r="E70" s="594"/>
      <c r="F70" s="594"/>
      <c r="G70" s="594"/>
      <c r="H70" s="536">
        <f>G70+'10'!H70</f>
        <v>0</v>
      </c>
      <c r="I70" s="594"/>
      <c r="J70" s="633">
        <f>H70/DAY(B2)</f>
        <v>0</v>
      </c>
      <c r="K70" s="470"/>
      <c r="L70" s="408"/>
      <c r="N70" s="800"/>
      <c r="P70" s="413">
        <f t="shared" si="1"/>
        <v>0</v>
      </c>
    </row>
    <row r="71" spans="1:16" ht="31.5">
      <c r="A71" s="1388" t="s">
        <v>201</v>
      </c>
      <c r="B71" s="1389"/>
      <c r="C71" s="1389"/>
      <c r="D71" s="1389"/>
      <c r="E71" s="1389"/>
      <c r="F71" s="1389"/>
      <c r="G71" s="1389"/>
      <c r="H71" s="1389"/>
      <c r="I71" s="1389"/>
      <c r="J71" s="1390"/>
      <c r="K71" s="469"/>
      <c r="L71" s="408"/>
      <c r="N71" s="800"/>
      <c r="P71" s="413">
        <f t="shared" si="1"/>
        <v>0</v>
      </c>
    </row>
    <row r="72" spans="1:16" ht="27.75">
      <c r="A72" s="1385" t="s">
        <v>202</v>
      </c>
      <c r="B72" s="1386"/>
      <c r="C72" s="1387"/>
      <c r="D72" s="599" t="s">
        <v>198</v>
      </c>
      <c r="E72" s="595">
        <f>'10'!F72</f>
        <v>849184</v>
      </c>
      <c r="F72" s="735">
        <v>849234</v>
      </c>
      <c r="G72" s="856">
        <f t="shared" ref="G72:G84" si="7">F72-E72</f>
        <v>50</v>
      </c>
      <c r="H72" s="536">
        <f>G72+'10'!H72</f>
        <v>769</v>
      </c>
      <c r="I72" s="556"/>
      <c r="J72" s="629">
        <f>H72/DAY(B2)</f>
        <v>69.909090909090907</v>
      </c>
      <c r="K72" s="470"/>
      <c r="L72" s="408"/>
      <c r="N72" s="800">
        <v>17</v>
      </c>
      <c r="P72" s="413">
        <f t="shared" ref="P72:P140" si="8">G72-N72</f>
        <v>33</v>
      </c>
    </row>
    <row r="73" spans="1:16" ht="27.75">
      <c r="A73" s="1385" t="s">
        <v>203</v>
      </c>
      <c r="B73" s="1386"/>
      <c r="C73" s="1387"/>
      <c r="D73" s="599" t="s">
        <v>198</v>
      </c>
      <c r="E73" s="595">
        <f>'10'!F73</f>
        <v>885730</v>
      </c>
      <c r="F73" s="736">
        <v>885731</v>
      </c>
      <c r="G73" s="733">
        <f t="shared" si="7"/>
        <v>1</v>
      </c>
      <c r="H73" s="536">
        <f>G73+'10'!H73</f>
        <v>3</v>
      </c>
      <c r="I73" s="556"/>
      <c r="J73" s="629">
        <f>H73/DAY(B2)</f>
        <v>0.27272727272727271</v>
      </c>
      <c r="K73" s="469"/>
      <c r="L73" s="408"/>
      <c r="N73" s="800">
        <v>1</v>
      </c>
      <c r="P73" s="413">
        <f t="shared" si="8"/>
        <v>0</v>
      </c>
    </row>
    <row r="74" spans="1:16" ht="27.75">
      <c r="A74" s="1385" t="s">
        <v>204</v>
      </c>
      <c r="B74" s="1386"/>
      <c r="C74" s="1387"/>
      <c r="D74" s="599" t="s">
        <v>198</v>
      </c>
      <c r="E74" s="595">
        <f>'10'!F74</f>
        <v>21.11</v>
      </c>
      <c r="F74" s="736">
        <v>36.229999999999997</v>
      </c>
      <c r="G74" s="549">
        <f t="shared" si="7"/>
        <v>15.119999999999997</v>
      </c>
      <c r="H74" s="536">
        <f>G74+'10'!H74</f>
        <v>265.33</v>
      </c>
      <c r="I74" s="556"/>
      <c r="J74" s="629">
        <f>H74/DAY(B2)</f>
        <v>24.120909090909091</v>
      </c>
      <c r="K74" s="470"/>
      <c r="L74" s="408"/>
      <c r="N74" s="800">
        <v>7</v>
      </c>
      <c r="P74" s="413">
        <f t="shared" si="8"/>
        <v>8.1199999999999974</v>
      </c>
    </row>
    <row r="75" spans="1:16" ht="27.75">
      <c r="A75" s="1382" t="s">
        <v>205</v>
      </c>
      <c r="B75" s="1383"/>
      <c r="C75" s="1384"/>
      <c r="D75" s="599" t="s">
        <v>198</v>
      </c>
      <c r="E75" s="595">
        <f>'10'!F75</f>
        <v>255.45</v>
      </c>
      <c r="F75" s="736">
        <v>426.93</v>
      </c>
      <c r="G75" s="549">
        <f t="shared" si="7"/>
        <v>171.48000000000002</v>
      </c>
      <c r="H75" s="536">
        <f>G75+'10'!H75</f>
        <v>1963.33</v>
      </c>
      <c r="I75" s="556"/>
      <c r="J75" s="629">
        <f>H75/DAY(B2)</f>
        <v>178.48454545454544</v>
      </c>
      <c r="K75" s="469"/>
      <c r="L75" s="408"/>
      <c r="N75" s="800">
        <v>63</v>
      </c>
      <c r="P75" s="413">
        <f t="shared" si="8"/>
        <v>108.48000000000002</v>
      </c>
    </row>
    <row r="76" spans="1:16" ht="27.75">
      <c r="A76" s="1382" t="s">
        <v>206</v>
      </c>
      <c r="B76" s="1383"/>
      <c r="C76" s="1384"/>
      <c r="D76" s="599" t="s">
        <v>198</v>
      </c>
      <c r="E76" s="595">
        <f>'10'!F76</f>
        <v>115.9</v>
      </c>
      <c r="F76" s="736">
        <v>176.57</v>
      </c>
      <c r="G76" s="549">
        <f t="shared" si="7"/>
        <v>60.669999999999987</v>
      </c>
      <c r="H76" s="536">
        <f>G76+'10'!H76</f>
        <v>953.71999999999991</v>
      </c>
      <c r="I76" s="581"/>
      <c r="J76" s="629">
        <f>H76/DAY(B2)</f>
        <v>86.701818181818169</v>
      </c>
      <c r="K76" s="469"/>
      <c r="L76" s="408"/>
      <c r="N76" s="800">
        <v>2</v>
      </c>
      <c r="P76" s="413">
        <f t="shared" si="8"/>
        <v>58.669999999999987</v>
      </c>
    </row>
    <row r="77" spans="1:16" ht="27.75">
      <c r="A77" s="1385" t="s">
        <v>207</v>
      </c>
      <c r="B77" s="1386"/>
      <c r="C77" s="1387"/>
      <c r="D77" s="599" t="s">
        <v>198</v>
      </c>
      <c r="E77" s="595">
        <f>'10'!F77</f>
        <v>697670</v>
      </c>
      <c r="F77" s="736">
        <v>697728</v>
      </c>
      <c r="G77" s="733">
        <f t="shared" si="7"/>
        <v>58</v>
      </c>
      <c r="H77" s="536">
        <f>G77+'10'!H77</f>
        <v>621</v>
      </c>
      <c r="I77" s="581"/>
      <c r="J77" s="629">
        <f>H77/DAY(B2)</f>
        <v>56.454545454545453</v>
      </c>
      <c r="K77" s="469"/>
      <c r="L77" s="408"/>
      <c r="N77" s="800">
        <v>15</v>
      </c>
      <c r="P77" s="413">
        <f t="shared" si="8"/>
        <v>43</v>
      </c>
    </row>
    <row r="78" spans="1:16" ht="27.75">
      <c r="A78" s="1234" t="s">
        <v>208</v>
      </c>
      <c r="B78" s="1205"/>
      <c r="C78" s="1205"/>
      <c r="D78" s="599" t="s">
        <v>198</v>
      </c>
      <c r="E78" s="595">
        <f>'10'!F78</f>
        <v>646107</v>
      </c>
      <c r="F78" s="737">
        <v>646541</v>
      </c>
      <c r="G78" s="549">
        <f t="shared" si="7"/>
        <v>434</v>
      </c>
      <c r="H78" s="536">
        <f>G78+'10'!H78</f>
        <v>4588</v>
      </c>
      <c r="I78" s="581"/>
      <c r="J78" s="629">
        <f>H78/DAY(B2)</f>
        <v>417.09090909090907</v>
      </c>
      <c r="K78" s="469"/>
      <c r="L78" s="408"/>
      <c r="N78" s="800">
        <v>38</v>
      </c>
      <c r="P78" s="413">
        <f t="shared" si="8"/>
        <v>396</v>
      </c>
    </row>
    <row r="79" spans="1:16" ht="27.75">
      <c r="A79" s="1382" t="s">
        <v>97</v>
      </c>
      <c r="B79" s="1383"/>
      <c r="C79" s="1384"/>
      <c r="D79" s="600" t="s">
        <v>198</v>
      </c>
      <c r="E79" s="595">
        <f>'10'!F79</f>
        <v>811623</v>
      </c>
      <c r="F79" s="737">
        <v>811809</v>
      </c>
      <c r="G79" s="549">
        <f t="shared" si="7"/>
        <v>186</v>
      </c>
      <c r="H79" s="536">
        <f>G79+'10'!H79</f>
        <v>2118</v>
      </c>
      <c r="I79" s="581"/>
      <c r="J79" s="629">
        <f>H79/DAY(B2)</f>
        <v>192.54545454545453</v>
      </c>
      <c r="K79" s="469"/>
      <c r="L79" s="408"/>
      <c r="N79" s="800">
        <v>94</v>
      </c>
      <c r="P79" s="413">
        <f t="shared" si="8"/>
        <v>92</v>
      </c>
    </row>
    <row r="80" spans="1:16" ht="27.75">
      <c r="A80" s="1382" t="s">
        <v>209</v>
      </c>
      <c r="B80" s="1383"/>
      <c r="C80" s="1384"/>
      <c r="D80" s="600" t="s">
        <v>198</v>
      </c>
      <c r="E80" s="595">
        <f>'10'!F80</f>
        <v>488160.76</v>
      </c>
      <c r="F80" s="736">
        <v>488478.92</v>
      </c>
      <c r="G80" s="549">
        <f t="shared" si="7"/>
        <v>318.15999999997439</v>
      </c>
      <c r="H80" s="536">
        <f>G80+'10'!H80</f>
        <v>3351.9199999999837</v>
      </c>
      <c r="I80" s="581"/>
      <c r="J80" s="629">
        <f>H80/DAY(B2)</f>
        <v>304.71999999999849</v>
      </c>
      <c r="K80" s="469"/>
      <c r="L80" s="408"/>
      <c r="N80" s="800">
        <v>188.48000000003958</v>
      </c>
      <c r="P80" s="413">
        <f t="shared" si="8"/>
        <v>129.67999999993481</v>
      </c>
    </row>
    <row r="81" spans="1:16" ht="27.75">
      <c r="A81" s="1382" t="s">
        <v>210</v>
      </c>
      <c r="B81" s="1383"/>
      <c r="C81" s="1384"/>
      <c r="D81" s="600" t="s">
        <v>198</v>
      </c>
      <c r="E81" s="595">
        <f>'10'!F81</f>
        <v>623754</v>
      </c>
      <c r="F81" s="736">
        <v>623876.52</v>
      </c>
      <c r="G81" s="549">
        <f t="shared" si="7"/>
        <v>122.52000000001863</v>
      </c>
      <c r="H81" s="536">
        <f>G81+'10'!H81</f>
        <v>1101.5200000000186</v>
      </c>
      <c r="I81" s="581"/>
      <c r="J81" s="629">
        <f>H81/DAY(B2)</f>
        <v>100.13818181818351</v>
      </c>
      <c r="K81" s="469"/>
      <c r="L81" s="408"/>
      <c r="N81" s="800">
        <v>84.92000000004191</v>
      </c>
      <c r="P81" s="413">
        <f t="shared" si="8"/>
        <v>37.599999999976717</v>
      </c>
    </row>
    <row r="82" spans="1:16" ht="27.75">
      <c r="A82" s="1382" t="s">
        <v>100</v>
      </c>
      <c r="B82" s="1383"/>
      <c r="C82" s="1384"/>
      <c r="D82" s="561" t="s">
        <v>143</v>
      </c>
      <c r="E82" s="595">
        <f>'10'!F82</f>
        <v>105759.98</v>
      </c>
      <c r="F82" s="732">
        <v>105783.46</v>
      </c>
      <c r="G82" s="549">
        <f t="shared" si="7"/>
        <v>23.480000000010477</v>
      </c>
      <c r="H82" s="536">
        <f>G82+'10'!H82</f>
        <v>343.4600000000064</v>
      </c>
      <c r="I82" s="562"/>
      <c r="J82" s="629">
        <f>H82/DAY(B2)</f>
        <v>31.223636363636945</v>
      </c>
      <c r="K82" s="469"/>
      <c r="L82" s="408"/>
      <c r="N82" s="800">
        <v>31.630000000004657</v>
      </c>
      <c r="P82" s="413">
        <f t="shared" si="8"/>
        <v>-8.1499999999941792</v>
      </c>
    </row>
    <row r="83" spans="1:16" ht="27.75">
      <c r="A83" s="1382" t="s">
        <v>211</v>
      </c>
      <c r="B83" s="1383"/>
      <c r="C83" s="1384"/>
      <c r="D83" s="697" t="s">
        <v>143</v>
      </c>
      <c r="E83" s="595">
        <f>'10'!F83</f>
        <v>988042</v>
      </c>
      <c r="F83" s="587">
        <v>988348</v>
      </c>
      <c r="G83" s="549">
        <f t="shared" si="7"/>
        <v>306</v>
      </c>
      <c r="H83" s="536">
        <f>G83+'10'!H83</f>
        <v>4607</v>
      </c>
      <c r="I83" s="557"/>
      <c r="J83" s="629">
        <f>H83/DAY(B2)</f>
        <v>418.81818181818181</v>
      </c>
      <c r="K83" s="468"/>
      <c r="L83" s="408"/>
      <c r="N83" s="800">
        <v>235</v>
      </c>
      <c r="P83" s="413">
        <f t="shared" si="8"/>
        <v>71</v>
      </c>
    </row>
    <row r="84" spans="1:16">
      <c r="A84" s="1235" t="s">
        <v>212</v>
      </c>
      <c r="B84" s="648"/>
      <c r="C84" s="648"/>
      <c r="D84" s="554" t="s">
        <v>143</v>
      </c>
      <c r="E84" s="595">
        <f>'10'!F84</f>
        <v>420923</v>
      </c>
      <c r="F84" s="704">
        <v>421370</v>
      </c>
      <c r="G84" s="549">
        <f t="shared" si="7"/>
        <v>447</v>
      </c>
      <c r="H84" s="536">
        <f>G84+'10'!H84</f>
        <v>5297</v>
      </c>
      <c r="I84" s="557"/>
      <c r="J84" s="629">
        <f>H84/DAY(B2)</f>
        <v>481.54545454545456</v>
      </c>
      <c r="K84" s="411"/>
      <c r="L84" s="408"/>
      <c r="N84" s="800">
        <v>433</v>
      </c>
      <c r="P84" s="413">
        <f t="shared" si="8"/>
        <v>14</v>
      </c>
    </row>
    <row r="85" spans="1:16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SUM(G71:G84)</f>
        <v>2193.4300000000035</v>
      </c>
      <c r="H85" s="536">
        <f>G85+'10'!H85</f>
        <v>24169.28000000001</v>
      </c>
      <c r="I85" s="557"/>
      <c r="J85" s="629">
        <f>H85/DAY(B2)</f>
        <v>2197.2072727272734</v>
      </c>
      <c r="K85" s="411"/>
      <c r="L85" s="409"/>
      <c r="N85" s="800">
        <v>1210.0300000000861</v>
      </c>
      <c r="P85" s="413">
        <f t="shared" si="8"/>
        <v>983.39999999991733</v>
      </c>
    </row>
    <row r="86" spans="1:16" s="817" customFormat="1">
      <c r="A86" s="812" t="s">
        <v>102</v>
      </c>
      <c r="B86" s="813"/>
      <c r="C86" s="813"/>
      <c r="D86" s="814" t="s">
        <v>194</v>
      </c>
      <c r="E86" s="704">
        <f>'10'!F86</f>
        <v>448449</v>
      </c>
      <c r="F86" s="728">
        <v>448563.88</v>
      </c>
      <c r="G86" s="787">
        <f t="shared" ref="G86:G90" si="9">F86-E86</f>
        <v>114.88000000000466</v>
      </c>
      <c r="H86" s="787">
        <f t="shared" ref="H86:H88" si="10">G86</f>
        <v>114.88000000000466</v>
      </c>
      <c r="I86" s="733"/>
      <c r="J86" s="789">
        <f>H86/DAY(B2)</f>
        <v>10.443636363636786</v>
      </c>
      <c r="K86" s="815"/>
      <c r="L86" s="816"/>
      <c r="O86" s="795"/>
    </row>
    <row r="87" spans="1:16" s="817" customFormat="1">
      <c r="A87" s="812" t="s">
        <v>103</v>
      </c>
      <c r="B87" s="813"/>
      <c r="C87" s="813"/>
      <c r="D87" s="814" t="s">
        <v>194</v>
      </c>
      <c r="E87" s="704">
        <f>'10'!F87</f>
        <v>78729.399999999994</v>
      </c>
      <c r="F87" s="728">
        <v>78760.3</v>
      </c>
      <c r="G87" s="787">
        <f t="shared" si="9"/>
        <v>30.900000000008731</v>
      </c>
      <c r="H87" s="787">
        <f t="shared" si="10"/>
        <v>30.900000000008731</v>
      </c>
      <c r="I87" s="733"/>
      <c r="J87" s="789">
        <f>H87/DAY(B2)</f>
        <v>2.8090909090917027</v>
      </c>
      <c r="K87" s="815"/>
      <c r="L87" s="816"/>
      <c r="O87" s="795"/>
    </row>
    <row r="88" spans="1:16" s="817" customFormat="1">
      <c r="A88" s="812" t="s">
        <v>104</v>
      </c>
      <c r="B88" s="813"/>
      <c r="C88" s="813"/>
      <c r="D88" s="814" t="s">
        <v>194</v>
      </c>
      <c r="E88" s="704">
        <f>'10'!F88</f>
        <v>147137</v>
      </c>
      <c r="F88" s="728">
        <v>147204.70000000001</v>
      </c>
      <c r="G88" s="787">
        <f t="shared" si="9"/>
        <v>67.700000000011642</v>
      </c>
      <c r="H88" s="787">
        <f t="shared" si="10"/>
        <v>67.700000000011642</v>
      </c>
      <c r="I88" s="733"/>
      <c r="J88" s="789">
        <f>H88/DAY(B2)</f>
        <v>6.154545454546513</v>
      </c>
      <c r="K88" s="815"/>
      <c r="L88" s="816"/>
      <c r="O88" s="795"/>
    </row>
    <row r="89" spans="1:16" s="817" customFormat="1">
      <c r="A89" s="812" t="s">
        <v>215</v>
      </c>
      <c r="B89" s="813"/>
      <c r="C89" s="813"/>
      <c r="D89" s="814" t="s">
        <v>194</v>
      </c>
      <c r="E89" s="704">
        <f>'10'!F89</f>
        <v>60508</v>
      </c>
      <c r="F89" s="728">
        <v>60564.6</v>
      </c>
      <c r="G89" s="787">
        <f t="shared" si="9"/>
        <v>56.599999999998545</v>
      </c>
      <c r="H89" s="787">
        <f>G89</f>
        <v>56.599999999998545</v>
      </c>
      <c r="I89" s="733"/>
      <c r="J89" s="789">
        <f>H89/DAY(B2)</f>
        <v>5.1454545454544132</v>
      </c>
      <c r="K89" s="815"/>
      <c r="L89" s="816"/>
      <c r="N89" s="860"/>
      <c r="O89" s="413"/>
    </row>
    <row r="90" spans="1:16" s="817" customFormat="1">
      <c r="A90" s="812" t="s">
        <v>215</v>
      </c>
      <c r="B90" s="813"/>
      <c r="C90" s="813"/>
      <c r="D90" s="814" t="s">
        <v>194</v>
      </c>
      <c r="E90" s="704">
        <f>'10'!F90</f>
        <v>3102.7</v>
      </c>
      <c r="F90" s="728">
        <v>3106.4</v>
      </c>
      <c r="G90" s="787">
        <f t="shared" si="9"/>
        <v>3.7000000000002728</v>
      </c>
      <c r="H90" s="787">
        <f>G90</f>
        <v>3.7000000000002728</v>
      </c>
      <c r="I90" s="733"/>
      <c r="J90" s="789">
        <f>H90/DAY(B2)</f>
        <v>0.33636363636366118</v>
      </c>
      <c r="K90" s="815"/>
      <c r="L90" s="816"/>
      <c r="N90" s="860"/>
      <c r="O90" s="413"/>
    </row>
    <row r="91" spans="1:16" s="410" customFormat="1">
      <c r="A91" s="683" t="s">
        <v>216</v>
      </c>
      <c r="B91" s="1237"/>
      <c r="C91" s="1237"/>
      <c r="D91" s="548"/>
      <c r="E91" s="548"/>
      <c r="F91" s="548"/>
      <c r="G91" s="564"/>
      <c r="H91" s="548"/>
      <c r="I91" s="548"/>
      <c r="J91" s="628"/>
      <c r="K91" s="411"/>
      <c r="L91" s="409"/>
      <c r="N91" s="800"/>
      <c r="P91" s="413">
        <f t="shared" si="8"/>
        <v>0</v>
      </c>
    </row>
    <row r="92" spans="1:16" ht="27.75">
      <c r="A92" s="1406" t="s">
        <v>217</v>
      </c>
      <c r="B92" s="1407"/>
      <c r="C92" s="1408"/>
      <c r="D92" s="599" t="s">
        <v>155</v>
      </c>
      <c r="E92" s="560">
        <f>'10'!F92</f>
        <v>237561</v>
      </c>
      <c r="F92" s="554">
        <v>237662</v>
      </c>
      <c r="G92" s="549">
        <f t="shared" ref="G92:G93" si="11">F92-E92</f>
        <v>101</v>
      </c>
      <c r="H92" s="536">
        <f>G92+'10'!H92</f>
        <v>1092</v>
      </c>
      <c r="I92" s="556"/>
      <c r="J92" s="629">
        <f>H92/DAY(B2)</f>
        <v>99.272727272727266</v>
      </c>
      <c r="K92" s="468"/>
      <c r="L92" s="408"/>
      <c r="N92" s="800">
        <v>6</v>
      </c>
      <c r="P92" s="413">
        <f t="shared" si="8"/>
        <v>95</v>
      </c>
    </row>
    <row r="93" spans="1:16" ht="27.75">
      <c r="A93" s="1406" t="s">
        <v>218</v>
      </c>
      <c r="B93" s="1407"/>
      <c r="C93" s="1408"/>
      <c r="D93" s="599" t="s">
        <v>155</v>
      </c>
      <c r="E93" s="560">
        <f>'10'!F93</f>
        <v>172775</v>
      </c>
      <c r="F93" s="554">
        <v>172909</v>
      </c>
      <c r="G93" s="549">
        <f t="shared" si="11"/>
        <v>134</v>
      </c>
      <c r="H93" s="536">
        <f>G93+'10'!H93</f>
        <v>1733</v>
      </c>
      <c r="I93" s="556"/>
      <c r="J93" s="629">
        <f>H93/DAY(B2)</f>
        <v>157.54545454545453</v>
      </c>
      <c r="K93" s="411"/>
      <c r="L93" s="408"/>
      <c r="N93" s="800">
        <v>73</v>
      </c>
      <c r="P93" s="413">
        <f t="shared" si="8"/>
        <v>61</v>
      </c>
    </row>
    <row r="94" spans="1:16">
      <c r="A94" s="1434" t="s">
        <v>219</v>
      </c>
      <c r="B94" s="1435"/>
      <c r="C94" s="1436"/>
      <c r="D94" s="599"/>
      <c r="E94" s="560">
        <f>'10'!F94</f>
        <v>0</v>
      </c>
      <c r="F94" s="554"/>
      <c r="G94" s="549">
        <f>G92+G93</f>
        <v>235</v>
      </c>
      <c r="H94" s="536">
        <f>G94+'10'!H94</f>
        <v>2538</v>
      </c>
      <c r="I94" s="556"/>
      <c r="J94" s="629">
        <f>H94/DAY(B2)</f>
        <v>230.72727272727272</v>
      </c>
      <c r="K94" s="411"/>
      <c r="L94" s="408"/>
      <c r="N94" s="800">
        <v>79</v>
      </c>
      <c r="P94" s="413">
        <f t="shared" si="8"/>
        <v>156</v>
      </c>
    </row>
    <row r="95" spans="1:16" ht="27.75">
      <c r="A95" s="1406" t="s">
        <v>220</v>
      </c>
      <c r="B95" s="1407"/>
      <c r="C95" s="1408"/>
      <c r="D95" s="599" t="s">
        <v>155</v>
      </c>
      <c r="E95" s="560">
        <f>'10'!F95</f>
        <v>406543</v>
      </c>
      <c r="F95" s="554">
        <v>406614</v>
      </c>
      <c r="G95" s="549">
        <f t="shared" ref="G95:G100" si="12">F95-E95</f>
        <v>71</v>
      </c>
      <c r="H95" s="536">
        <f>G95+'10'!H95</f>
        <v>738</v>
      </c>
      <c r="I95" s="556"/>
      <c r="J95" s="629">
        <f>H95/DAY(B2)</f>
        <v>67.090909090909093</v>
      </c>
      <c r="K95" s="411"/>
      <c r="L95" s="408"/>
      <c r="N95" s="800">
        <v>28</v>
      </c>
      <c r="P95" s="413">
        <f t="shared" si="8"/>
        <v>43</v>
      </c>
    </row>
    <row r="96" spans="1:16" ht="27.75">
      <c r="A96" s="1231" t="s">
        <v>221</v>
      </c>
      <c r="B96" s="1232"/>
      <c r="C96" s="1232"/>
      <c r="D96" s="599" t="s">
        <v>155</v>
      </c>
      <c r="E96" s="560">
        <f>'10'!F96</f>
        <v>100889</v>
      </c>
      <c r="F96" s="554">
        <v>100938</v>
      </c>
      <c r="G96" s="549">
        <f t="shared" si="12"/>
        <v>49</v>
      </c>
      <c r="H96" s="536">
        <f>G96+'10'!H96</f>
        <v>404</v>
      </c>
      <c r="I96" s="556"/>
      <c r="J96" s="629">
        <f>H96/DAY(B2)</f>
        <v>36.727272727272727</v>
      </c>
      <c r="K96" s="466"/>
      <c r="L96" s="408"/>
      <c r="N96" s="800">
        <v>10</v>
      </c>
      <c r="P96" s="413">
        <f t="shared" si="8"/>
        <v>39</v>
      </c>
    </row>
    <row r="97" spans="1:16" ht="27.75">
      <c r="A97" s="1231" t="s">
        <v>222</v>
      </c>
      <c r="B97" s="1232"/>
      <c r="C97" s="1232"/>
      <c r="D97" s="599" t="s">
        <v>155</v>
      </c>
      <c r="E97" s="560">
        <f>'10'!F97</f>
        <v>95976</v>
      </c>
      <c r="F97" s="703">
        <v>95999</v>
      </c>
      <c r="G97" s="549">
        <f t="shared" si="12"/>
        <v>23</v>
      </c>
      <c r="H97" s="536">
        <f>G97+'10'!H97</f>
        <v>322</v>
      </c>
      <c r="I97" s="556"/>
      <c r="J97" s="629">
        <f>H97/DAY(B2)</f>
        <v>29.272727272727273</v>
      </c>
      <c r="K97" s="471"/>
      <c r="L97" s="408"/>
      <c r="N97" s="800">
        <v>10</v>
      </c>
      <c r="P97" s="413">
        <f t="shared" si="8"/>
        <v>13</v>
      </c>
    </row>
    <row r="98" spans="1:16" ht="27.75">
      <c r="A98" s="1231" t="s">
        <v>223</v>
      </c>
      <c r="B98" s="1232"/>
      <c r="C98" s="1232"/>
      <c r="D98" s="599" t="s">
        <v>155</v>
      </c>
      <c r="E98" s="560">
        <f>'10'!F98</f>
        <v>146238</v>
      </c>
      <c r="F98" s="554">
        <v>146313</v>
      </c>
      <c r="G98" s="549">
        <f t="shared" si="12"/>
        <v>75</v>
      </c>
      <c r="H98" s="536">
        <f>G98+'10'!H98</f>
        <v>759</v>
      </c>
      <c r="I98" s="556"/>
      <c r="J98" s="629">
        <f>H98/DAY(B2)</f>
        <v>69</v>
      </c>
      <c r="K98" s="411"/>
      <c r="L98" s="408"/>
      <c r="N98" s="802">
        <v>28</v>
      </c>
      <c r="P98" s="413">
        <f t="shared" si="8"/>
        <v>47</v>
      </c>
    </row>
    <row r="99" spans="1:16" ht="27.75">
      <c r="A99" s="1231" t="s">
        <v>224</v>
      </c>
      <c r="B99" s="1232"/>
      <c r="C99" s="1232"/>
      <c r="D99" s="599" t="s">
        <v>155</v>
      </c>
      <c r="E99" s="560">
        <f>'10'!F99</f>
        <v>6082</v>
      </c>
      <c r="F99" s="554">
        <v>6092</v>
      </c>
      <c r="G99" s="549">
        <f t="shared" si="12"/>
        <v>10</v>
      </c>
      <c r="H99" s="536">
        <f>G99+'10'!H99</f>
        <v>118</v>
      </c>
      <c r="I99" s="556"/>
      <c r="J99" s="629">
        <f>H99/DAY(B2)</f>
        <v>10.727272727272727</v>
      </c>
      <c r="K99" s="411"/>
      <c r="L99" s="408"/>
      <c r="N99" s="800">
        <v>5</v>
      </c>
      <c r="P99" s="413">
        <f t="shared" si="8"/>
        <v>5</v>
      </c>
    </row>
    <row r="100" spans="1:16" ht="27.75">
      <c r="A100" s="1231" t="s">
        <v>225</v>
      </c>
      <c r="B100" s="1232"/>
      <c r="C100" s="1232"/>
      <c r="D100" s="599" t="s">
        <v>155</v>
      </c>
      <c r="E100" s="560">
        <f>'10'!F100</f>
        <v>4312</v>
      </c>
      <c r="F100" s="703">
        <v>4321</v>
      </c>
      <c r="G100" s="549">
        <f t="shared" si="12"/>
        <v>9</v>
      </c>
      <c r="H100" s="536">
        <f>G100+'10'!H100</f>
        <v>84</v>
      </c>
      <c r="I100" s="556"/>
      <c r="J100" s="629">
        <f>H100/DAY(B2)</f>
        <v>7.6363636363636367</v>
      </c>
      <c r="K100" s="411"/>
      <c r="L100" s="408"/>
      <c r="N100" s="800">
        <v>0</v>
      </c>
      <c r="P100" s="413">
        <f t="shared" si="8"/>
        <v>9</v>
      </c>
    </row>
    <row r="101" spans="1:16">
      <c r="A101" s="1434" t="s">
        <v>227</v>
      </c>
      <c r="B101" s="1435"/>
      <c r="C101" s="1436"/>
      <c r="D101" s="600"/>
      <c r="E101" s="560"/>
      <c r="F101" s="600"/>
      <c r="G101" s="601">
        <f>SUM(G95:G100)</f>
        <v>237</v>
      </c>
      <c r="H101" s="536">
        <f>G101+'10'!H101</f>
        <v>2425</v>
      </c>
      <c r="I101" s="602"/>
      <c r="J101" s="629">
        <f>H101/DAY(B2)</f>
        <v>220.45454545454547</v>
      </c>
      <c r="K101" s="411"/>
      <c r="L101" s="408"/>
      <c r="N101" s="800">
        <v>81</v>
      </c>
      <c r="P101" s="413">
        <f t="shared" si="8"/>
        <v>156</v>
      </c>
    </row>
    <row r="102" spans="1:16" s="481" customFormat="1" ht="27">
      <c r="A102" s="684" t="s">
        <v>228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800"/>
      <c r="P102" s="413">
        <f t="shared" si="8"/>
        <v>0</v>
      </c>
    </row>
    <row r="103" spans="1:16" s="481" customFormat="1" ht="27.75">
      <c r="A103" s="1437" t="s">
        <v>229</v>
      </c>
      <c r="B103" s="1438"/>
      <c r="C103" s="650"/>
      <c r="D103" s="699"/>
      <c r="E103" s="560"/>
      <c r="F103" s="739"/>
      <c r="G103" s="608"/>
      <c r="H103" s="609"/>
      <c r="I103" s="608"/>
      <c r="J103" s="635"/>
      <c r="N103" s="800"/>
      <c r="P103" s="413">
        <f t="shared" si="8"/>
        <v>0</v>
      </c>
    </row>
    <row r="104" spans="1:16" s="481" customFormat="1" ht="27.75">
      <c r="A104" s="1398" t="s">
        <v>230</v>
      </c>
      <c r="B104" s="1399"/>
      <c r="C104" s="1230"/>
      <c r="D104" s="699" t="s">
        <v>155</v>
      </c>
      <c r="E104" s="560">
        <f>'10'!F104</f>
        <v>7010</v>
      </c>
      <c r="F104" s="739">
        <v>7010</v>
      </c>
      <c r="G104" s="608">
        <f>F104-E104</f>
        <v>0</v>
      </c>
      <c r="H104" s="609">
        <f>SUM(G104+'1'!G76)</f>
        <v>74</v>
      </c>
      <c r="I104" s="608"/>
      <c r="J104" s="635">
        <f>H104/DAY(B2)</f>
        <v>6.7272727272727275</v>
      </c>
      <c r="N104" s="800">
        <v>0</v>
      </c>
      <c r="P104" s="413">
        <f t="shared" si="8"/>
        <v>0</v>
      </c>
    </row>
    <row r="105" spans="1:16" s="481" customFormat="1" ht="27.75">
      <c r="A105" s="1398" t="s">
        <v>77</v>
      </c>
      <c r="B105" s="1399"/>
      <c r="C105" s="1230"/>
      <c r="D105" s="699" t="s">
        <v>155</v>
      </c>
      <c r="E105" s="560">
        <f>'10'!F105</f>
        <v>35230</v>
      </c>
      <c r="F105" s="740">
        <v>35237</v>
      </c>
      <c r="G105" s="608">
        <f t="shared" ref="G105:G106" si="13">F105-E105</f>
        <v>7</v>
      </c>
      <c r="H105" s="609">
        <f>SUM(G105+'1'!G77)</f>
        <v>55</v>
      </c>
      <c r="I105" s="608"/>
      <c r="J105" s="635">
        <f>H105/DAY(B2)</f>
        <v>5</v>
      </c>
      <c r="N105" s="800">
        <v>0</v>
      </c>
      <c r="P105" s="413">
        <f t="shared" si="8"/>
        <v>7</v>
      </c>
    </row>
    <row r="106" spans="1:16" s="481" customFormat="1" ht="27.75">
      <c r="A106" s="1398" t="s">
        <v>78</v>
      </c>
      <c r="B106" s="1439"/>
      <c r="C106" s="1399"/>
      <c r="D106" s="699" t="s">
        <v>155</v>
      </c>
      <c r="E106" s="560">
        <f>'10'!F106</f>
        <v>19128</v>
      </c>
      <c r="F106" s="740">
        <v>19134</v>
      </c>
      <c r="G106" s="608">
        <f t="shared" si="13"/>
        <v>6</v>
      </c>
      <c r="H106" s="609">
        <f>SUM(G106+'1'!G78)</f>
        <v>340</v>
      </c>
      <c r="I106" s="608"/>
      <c r="J106" s="635">
        <f>H106/DAY(B2)</f>
        <v>30.90909090909091</v>
      </c>
      <c r="N106" s="800">
        <v>4</v>
      </c>
      <c r="P106" s="413">
        <f t="shared" si="8"/>
        <v>2</v>
      </c>
    </row>
    <row r="107" spans="1:16" s="481" customFormat="1" ht="27.75">
      <c r="A107" s="1400" t="s">
        <v>213</v>
      </c>
      <c r="B107" s="1401"/>
      <c r="C107" s="1230"/>
      <c r="D107" s="699"/>
      <c r="E107" s="560"/>
      <c r="F107" s="740"/>
      <c r="G107" s="608">
        <f>SUM(G104:G106)</f>
        <v>13</v>
      </c>
      <c r="H107" s="609">
        <f>SUM(G107+'1'!G79)</f>
        <v>218</v>
      </c>
      <c r="I107" s="608"/>
      <c r="J107" s="635">
        <f>H107/DAY(B2)</f>
        <v>19.818181818181817</v>
      </c>
      <c r="N107" s="800">
        <v>4</v>
      </c>
      <c r="P107" s="413">
        <f t="shared" si="8"/>
        <v>9</v>
      </c>
    </row>
    <row r="108" spans="1:16" s="481" customFormat="1" ht="27.75">
      <c r="A108" s="1404" t="s">
        <v>79</v>
      </c>
      <c r="B108" s="1405"/>
      <c r="C108" s="1230"/>
      <c r="D108" s="699" t="s">
        <v>155</v>
      </c>
      <c r="E108" s="560"/>
      <c r="F108" s="740"/>
      <c r="G108" s="608"/>
      <c r="H108" s="609"/>
      <c r="I108" s="608"/>
      <c r="J108" s="635"/>
      <c r="N108" s="800"/>
      <c r="P108" s="413">
        <f t="shared" si="8"/>
        <v>0</v>
      </c>
    </row>
    <row r="109" spans="1:16" s="481" customFormat="1" ht="27.75">
      <c r="A109" s="1398" t="s">
        <v>231</v>
      </c>
      <c r="B109" s="1399"/>
      <c r="C109" s="1230"/>
      <c r="D109" s="699" t="s">
        <v>155</v>
      </c>
      <c r="E109" s="560">
        <f>'10'!F109</f>
        <v>55216</v>
      </c>
      <c r="F109" s="740">
        <v>55321</v>
      </c>
      <c r="G109" s="608">
        <f>F109-E109</f>
        <v>105</v>
      </c>
      <c r="H109" s="609">
        <f>SUM(G109+'1'!G81)</f>
        <v>181</v>
      </c>
      <c r="I109" s="608"/>
      <c r="J109" s="635">
        <f>H109/DAY(B2)</f>
        <v>16.454545454545453</v>
      </c>
      <c r="N109" s="800">
        <v>40</v>
      </c>
      <c r="P109" s="413">
        <f t="shared" si="8"/>
        <v>65</v>
      </c>
    </row>
    <row r="110" spans="1:16" s="481" customFormat="1" ht="27.75">
      <c r="A110" s="1398" t="s">
        <v>232</v>
      </c>
      <c r="B110" s="1399"/>
      <c r="C110" s="1230"/>
      <c r="D110" s="699" t="s">
        <v>155</v>
      </c>
      <c r="E110" s="560">
        <f>'10'!F110</f>
        <v>29147</v>
      </c>
      <c r="F110" s="740">
        <v>29246</v>
      </c>
      <c r="G110" s="608">
        <f t="shared" ref="G110:G111" si="14">F110-E110</f>
        <v>99</v>
      </c>
      <c r="H110" s="609">
        <f>SUM(G110+'1'!G82)</f>
        <v>144</v>
      </c>
      <c r="I110" s="608"/>
      <c r="J110" s="635">
        <f>H110/DAY(B2)</f>
        <v>13.090909090909092</v>
      </c>
      <c r="N110" s="800">
        <v>0</v>
      </c>
      <c r="P110" s="413">
        <f t="shared" si="8"/>
        <v>99</v>
      </c>
    </row>
    <row r="111" spans="1:16" s="481" customFormat="1" ht="27.75">
      <c r="A111" s="1398" t="s">
        <v>233</v>
      </c>
      <c r="B111" s="1399"/>
      <c r="C111" s="1230"/>
      <c r="D111" s="699" t="s">
        <v>155</v>
      </c>
      <c r="E111" s="560">
        <f>'10'!F111</f>
        <v>3845</v>
      </c>
      <c r="F111" s="740">
        <v>3857</v>
      </c>
      <c r="G111" s="608">
        <f t="shared" si="14"/>
        <v>12</v>
      </c>
      <c r="H111" s="609">
        <f>SUM(G111+'1'!G83)</f>
        <v>445</v>
      </c>
      <c r="I111" s="608"/>
      <c r="J111" s="635">
        <f>H111/DAY(B2)</f>
        <v>40.454545454545453</v>
      </c>
      <c r="N111" s="800">
        <v>0</v>
      </c>
      <c r="P111" s="413">
        <f t="shared" si="8"/>
        <v>12</v>
      </c>
    </row>
    <row r="112" spans="1:16" s="481" customFormat="1" ht="27.75">
      <c r="A112" s="1400" t="s">
        <v>121</v>
      </c>
      <c r="B112" s="1401"/>
      <c r="C112" s="1230"/>
      <c r="D112" s="699"/>
      <c r="E112" s="560"/>
      <c r="F112" s="740"/>
      <c r="G112" s="608">
        <f>SUM(G109:G111)</f>
        <v>216</v>
      </c>
      <c r="H112" s="609">
        <f>SUM(G112+'1'!G84)</f>
        <v>737</v>
      </c>
      <c r="I112" s="608"/>
      <c r="J112" s="635">
        <f>H112/DAY(B2)</f>
        <v>67</v>
      </c>
      <c r="N112" s="800">
        <v>40</v>
      </c>
      <c r="P112" s="413">
        <f t="shared" si="8"/>
        <v>176</v>
      </c>
    </row>
    <row r="113" spans="1:16" s="481" customFormat="1" ht="27.75">
      <c r="A113" s="1404" t="s">
        <v>234</v>
      </c>
      <c r="B113" s="1405"/>
      <c r="C113" s="1230"/>
      <c r="D113" s="699"/>
      <c r="E113" s="560"/>
      <c r="F113" s="740"/>
      <c r="G113" s="608"/>
      <c r="H113" s="609"/>
      <c r="I113" s="608"/>
      <c r="J113" s="635">
        <f>H113/DAY(B2)</f>
        <v>0</v>
      </c>
      <c r="N113" s="800"/>
      <c r="P113" s="413">
        <f t="shared" si="8"/>
        <v>0</v>
      </c>
    </row>
    <row r="114" spans="1:16" s="481" customFormat="1" ht="27.75">
      <c r="A114" s="1398" t="s">
        <v>235</v>
      </c>
      <c r="B114" s="1399"/>
      <c r="C114" s="651"/>
      <c r="D114" s="699" t="s">
        <v>155</v>
      </c>
      <c r="E114" s="560">
        <f>'10'!F114</f>
        <v>9933</v>
      </c>
      <c r="F114" s="740">
        <v>9945</v>
      </c>
      <c r="G114" s="610">
        <f>F114-E114</f>
        <v>12</v>
      </c>
      <c r="H114" s="609">
        <f>SUM(G114+'1'!G91)</f>
        <v>12</v>
      </c>
      <c r="I114" s="608"/>
      <c r="J114" s="635">
        <f>H114/DAY(B2)</f>
        <v>1.0909090909090908</v>
      </c>
      <c r="N114" s="800">
        <v>5</v>
      </c>
      <c r="P114" s="413">
        <f t="shared" si="8"/>
        <v>7</v>
      </c>
    </row>
    <row r="115" spans="1:16" s="481" customFormat="1" ht="27.75">
      <c r="A115" s="1398" t="s">
        <v>236</v>
      </c>
      <c r="B115" s="1399"/>
      <c r="C115" s="651"/>
      <c r="D115" s="699" t="s">
        <v>155</v>
      </c>
      <c r="E115" s="560">
        <f>'10'!F115</f>
        <v>7492</v>
      </c>
      <c r="F115" s="740">
        <v>7495</v>
      </c>
      <c r="G115" s="610">
        <f t="shared" ref="G115:G116" si="15">F115-E115</f>
        <v>3</v>
      </c>
      <c r="H115" s="609">
        <f>SUM(G115+'1'!G92)</f>
        <v>90</v>
      </c>
      <c r="I115" s="608"/>
      <c r="J115" s="635">
        <f>H115/DAY(B2)</f>
        <v>8.1818181818181817</v>
      </c>
      <c r="N115" s="800">
        <v>2</v>
      </c>
      <c r="P115" s="413">
        <f t="shared" si="8"/>
        <v>1</v>
      </c>
    </row>
    <row r="116" spans="1:16" s="481" customFormat="1" ht="27.75">
      <c r="A116" s="1398" t="s">
        <v>237</v>
      </c>
      <c r="B116" s="1399"/>
      <c r="C116" s="651"/>
      <c r="D116" s="699" t="s">
        <v>155</v>
      </c>
      <c r="E116" s="610"/>
      <c r="F116" s="740"/>
      <c r="G116" s="610">
        <f t="shared" si="15"/>
        <v>0</v>
      </c>
      <c r="H116" s="609">
        <f>SUM(G116+'1'!G93)</f>
        <v>200</v>
      </c>
      <c r="I116" s="608"/>
      <c r="J116" s="635">
        <f>H116/DAY(B2)</f>
        <v>18.181818181818183</v>
      </c>
      <c r="N116" s="800">
        <v>0</v>
      </c>
      <c r="P116" s="413">
        <f t="shared" si="8"/>
        <v>0</v>
      </c>
    </row>
    <row r="117" spans="1:16" s="494" customFormat="1" ht="27.75">
      <c r="A117" s="1400" t="s">
        <v>213</v>
      </c>
      <c r="B117" s="1401"/>
      <c r="C117" s="651"/>
      <c r="D117" s="700"/>
      <c r="E117" s="610"/>
      <c r="F117" s="740"/>
      <c r="G117" s="610">
        <f>SUM(G114:G116)</f>
        <v>15</v>
      </c>
      <c r="H117" s="609">
        <f>SUM(G117+'1'!G95)</f>
        <v>87</v>
      </c>
      <c r="I117" s="610"/>
      <c r="J117" s="635">
        <f>H117/DAY(B2)</f>
        <v>7.9090909090909092</v>
      </c>
      <c r="N117" s="800">
        <v>7</v>
      </c>
      <c r="P117" s="413">
        <f t="shared" si="8"/>
        <v>8</v>
      </c>
    </row>
    <row r="118" spans="1:16" s="495" customFormat="1" ht="27.75">
      <c r="A118" s="1394" t="s">
        <v>238</v>
      </c>
      <c r="B118" s="1395"/>
      <c r="C118" s="1228"/>
      <c r="D118" s="701" t="s">
        <v>155</v>
      </c>
      <c r="E118" s="612"/>
      <c r="F118" s="741">
        <f>SUM(G19+G92)</f>
        <v>152</v>
      </c>
      <c r="G118" s="612">
        <f>SUM(G19+G92)</f>
        <v>152</v>
      </c>
      <c r="H118" s="609">
        <f>SUM(G118+'1'!G96)</f>
        <v>175</v>
      </c>
      <c r="I118" s="611"/>
      <c r="J118" s="636">
        <f>H118/DAY(B2)</f>
        <v>15.909090909090908</v>
      </c>
      <c r="N118" s="800">
        <v>61</v>
      </c>
      <c r="P118" s="413">
        <f t="shared" si="8"/>
        <v>91</v>
      </c>
    </row>
    <row r="119" spans="1:16" s="495" customFormat="1" ht="27.75">
      <c r="A119" s="1394" t="s">
        <v>239</v>
      </c>
      <c r="B119" s="1395"/>
      <c r="C119" s="1228"/>
      <c r="D119" s="701" t="s">
        <v>155</v>
      </c>
      <c r="E119" s="612"/>
      <c r="F119" s="741">
        <f>SUM(G95,G96,G97,G99,G100)</f>
        <v>162</v>
      </c>
      <c r="G119" s="612">
        <f>SUM(G95,G96,G97,G99,G100)</f>
        <v>162</v>
      </c>
      <c r="H119" s="609">
        <f>SUM(G119+'1'!G98)</f>
        <v>245</v>
      </c>
      <c r="I119" s="611"/>
      <c r="J119" s="636">
        <f>H119/DAY(B2)</f>
        <v>22.272727272727273</v>
      </c>
      <c r="N119" s="800">
        <v>53</v>
      </c>
      <c r="P119" s="413">
        <f t="shared" si="8"/>
        <v>109</v>
      </c>
    </row>
    <row r="120" spans="1:16" s="495" customFormat="1" ht="27.75">
      <c r="A120" s="1394" t="s">
        <v>240</v>
      </c>
      <c r="B120" s="1395"/>
      <c r="C120" s="1228"/>
      <c r="D120" s="701" t="s">
        <v>155</v>
      </c>
      <c r="E120" s="610"/>
      <c r="F120" s="740">
        <f>SUM(G112)</f>
        <v>216</v>
      </c>
      <c r="G120" s="610">
        <f>SUM(G112)</f>
        <v>216</v>
      </c>
      <c r="H120" s="609">
        <f>SUM(G120+'1'!G100)</f>
        <v>222</v>
      </c>
      <c r="I120" s="611"/>
      <c r="J120" s="636">
        <f>H120/DAY(B2)</f>
        <v>20.181818181818183</v>
      </c>
      <c r="N120" s="800">
        <v>40</v>
      </c>
      <c r="P120" s="413">
        <f t="shared" si="8"/>
        <v>176</v>
      </c>
    </row>
    <row r="121" spans="1:16" s="481" customFormat="1" ht="27.75">
      <c r="A121" s="1396"/>
      <c r="B121" s="1397"/>
      <c r="C121" s="1229"/>
      <c r="D121" s="637"/>
      <c r="E121" s="637"/>
      <c r="F121" s="742" t="s">
        <v>226</v>
      </c>
      <c r="G121" s="637"/>
      <c r="H121" s="638"/>
      <c r="I121" s="637"/>
      <c r="J121" s="639"/>
      <c r="N121" s="800"/>
      <c r="P121" s="413">
        <f t="shared" si="8"/>
        <v>0</v>
      </c>
    </row>
    <row r="122" spans="1:16">
      <c r="A122" s="1431" t="s">
        <v>241</v>
      </c>
      <c r="B122" s="1432"/>
      <c r="C122" s="1433"/>
      <c r="D122" s="548"/>
      <c r="E122" s="548"/>
      <c r="F122" s="548"/>
      <c r="G122" s="559"/>
      <c r="H122" s="559"/>
      <c r="I122" s="559"/>
      <c r="J122" s="640"/>
      <c r="K122" s="411"/>
      <c r="L122" s="408"/>
      <c r="N122" s="800"/>
      <c r="P122" s="413">
        <f t="shared" si="8"/>
        <v>0</v>
      </c>
    </row>
    <row r="123" spans="1:16" ht="27.75">
      <c r="A123" s="1231" t="s">
        <v>242</v>
      </c>
      <c r="B123" s="1232"/>
      <c r="C123" s="1232"/>
      <c r="D123" s="599" t="s">
        <v>152</v>
      </c>
      <c r="E123" s="554">
        <f>'10'!F123</f>
        <v>806128</v>
      </c>
      <c r="F123" s="554">
        <v>806430.86</v>
      </c>
      <c r="G123" s="549">
        <f t="shared" ref="G123:G127" si="16">F123-E123</f>
        <v>302.85999999998603</v>
      </c>
      <c r="H123" s="536">
        <f>G123+'10'!H123</f>
        <v>3095.4599999999627</v>
      </c>
      <c r="I123" s="602"/>
      <c r="J123" s="629">
        <f>H123/DAY(B2)</f>
        <v>281.40545454545116</v>
      </c>
      <c r="K123" s="411"/>
      <c r="L123" s="408"/>
      <c r="N123" s="800">
        <v>139.71999999997206</v>
      </c>
      <c r="P123" s="413">
        <f t="shared" si="8"/>
        <v>163.14000000001397</v>
      </c>
    </row>
    <row r="124" spans="1:16" ht="27.75">
      <c r="A124" s="1231" t="s">
        <v>243</v>
      </c>
      <c r="B124" s="1232"/>
      <c r="C124" s="1232"/>
      <c r="D124" s="599" t="s">
        <v>152</v>
      </c>
      <c r="E124" s="703">
        <f>'10'!F124</f>
        <v>73583.399999999994</v>
      </c>
      <c r="F124" s="703">
        <v>73583.399999999994</v>
      </c>
      <c r="G124" s="549">
        <f t="shared" si="16"/>
        <v>0</v>
      </c>
      <c r="H124" s="536">
        <f>G124+'10'!H124</f>
        <v>1.3999999999941792</v>
      </c>
      <c r="I124" s="602"/>
      <c r="J124" s="629">
        <f>H124/DAY(B2)</f>
        <v>0.1272727272721981</v>
      </c>
      <c r="K124" s="411"/>
      <c r="L124" s="408"/>
      <c r="N124" s="800">
        <v>0</v>
      </c>
      <c r="P124" s="413">
        <f t="shared" si="8"/>
        <v>0</v>
      </c>
    </row>
    <row r="125" spans="1:16" ht="27.75">
      <c r="A125" s="1385" t="s">
        <v>244</v>
      </c>
      <c r="B125" s="1386"/>
      <c r="C125" s="1387"/>
      <c r="D125" s="599" t="s">
        <v>152</v>
      </c>
      <c r="E125" s="554">
        <f>'10'!F125</f>
        <v>138503.84</v>
      </c>
      <c r="F125" s="554">
        <v>138568.85999999999</v>
      </c>
      <c r="G125" s="549">
        <f t="shared" si="16"/>
        <v>65.019999999989523</v>
      </c>
      <c r="H125" s="536">
        <f>G125+'10'!H125</f>
        <v>720.85999999998603</v>
      </c>
      <c r="I125" s="602"/>
      <c r="J125" s="629">
        <f>H125/DAY(B2)</f>
        <v>65.532727272726007</v>
      </c>
      <c r="K125" s="411"/>
      <c r="L125" s="408"/>
      <c r="N125" s="800">
        <v>53.380000000004657</v>
      </c>
      <c r="P125" s="413">
        <f t="shared" si="8"/>
        <v>11.639999999984866</v>
      </c>
    </row>
    <row r="126" spans="1:16" ht="27.75">
      <c r="A126" s="686" t="s">
        <v>245</v>
      </c>
      <c r="B126" s="1232"/>
      <c r="C126" s="1232"/>
      <c r="D126" s="599" t="s">
        <v>152</v>
      </c>
      <c r="E126" s="703">
        <f>'10'!F126</f>
        <v>58770</v>
      </c>
      <c r="F126" s="703">
        <v>58808.800000000003</v>
      </c>
      <c r="G126" s="549">
        <f t="shared" si="16"/>
        <v>38.80000000000291</v>
      </c>
      <c r="H126" s="536">
        <f>G126+'10'!H126</f>
        <v>417.10000000000582</v>
      </c>
      <c r="I126" s="602"/>
      <c r="J126" s="629">
        <f>H126/DAY(B2)</f>
        <v>37.918181818182347</v>
      </c>
      <c r="K126" s="411"/>
      <c r="L126" s="408"/>
      <c r="N126" s="800">
        <v>0</v>
      </c>
      <c r="P126" s="413">
        <f t="shared" si="8"/>
        <v>38.80000000000291</v>
      </c>
    </row>
    <row r="127" spans="1:16" ht="27.75">
      <c r="A127" s="686" t="s">
        <v>246</v>
      </c>
      <c r="B127" s="1232"/>
      <c r="C127" s="1232"/>
      <c r="D127" s="599" t="s">
        <v>152</v>
      </c>
      <c r="E127" s="703">
        <f>'10'!F127</f>
        <v>8839</v>
      </c>
      <c r="F127" s="703">
        <v>8839</v>
      </c>
      <c r="G127" s="549">
        <f t="shared" si="16"/>
        <v>0</v>
      </c>
      <c r="H127" s="536">
        <f>G127+'10'!H127</f>
        <v>23</v>
      </c>
      <c r="I127" s="556"/>
      <c r="J127" s="629">
        <f>H127/DAY(B2)</f>
        <v>2.0909090909090908</v>
      </c>
      <c r="K127" s="411"/>
      <c r="L127" s="408"/>
      <c r="N127" s="800">
        <v>0</v>
      </c>
      <c r="P127" s="413">
        <f t="shared" si="8"/>
        <v>0</v>
      </c>
    </row>
    <row r="128" spans="1:16" s="281" customFormat="1" ht="27.75">
      <c r="A128" s="686" t="s">
        <v>247</v>
      </c>
      <c r="B128" s="1232"/>
      <c r="C128" s="1232"/>
      <c r="D128" s="599"/>
      <c r="E128" s="554"/>
      <c r="F128" s="554"/>
      <c r="G128" s="549">
        <f>G15-SUM(G123:G127)</f>
        <v>480.4400000001333</v>
      </c>
      <c r="H128" s="536"/>
      <c r="I128" s="556"/>
      <c r="J128" s="629"/>
      <c r="K128" s="391"/>
      <c r="L128" s="293"/>
      <c r="N128" s="800">
        <v>146.14300000004005</v>
      </c>
      <c r="P128" s="413">
        <f t="shared" si="8"/>
        <v>334.29700000009325</v>
      </c>
    </row>
    <row r="129" spans="1:16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800"/>
      <c r="P129" s="413">
        <f t="shared" si="8"/>
        <v>0</v>
      </c>
    </row>
    <row r="130" spans="1:16" ht="27.75">
      <c r="A130" s="1231" t="s">
        <v>249</v>
      </c>
      <c r="B130" s="1232"/>
      <c r="C130" s="1232"/>
      <c r="D130" s="599" t="s">
        <v>250</v>
      </c>
      <c r="E130" s="560">
        <f>'10'!F130</f>
        <v>0</v>
      </c>
      <c r="F130" s="554">
        <v>0</v>
      </c>
      <c r="G130" s="549">
        <f t="shared" ref="G130:G140" si="17">F130-E130</f>
        <v>0</v>
      </c>
      <c r="H130" s="536">
        <f>G130+'10'!H130</f>
        <v>0</v>
      </c>
      <c r="I130" s="556"/>
      <c r="J130" s="629">
        <f>H130/DAY(B2)</f>
        <v>0</v>
      </c>
      <c r="N130" s="800">
        <v>0</v>
      </c>
      <c r="P130" s="413">
        <f t="shared" si="8"/>
        <v>0</v>
      </c>
    </row>
    <row r="131" spans="1:16" ht="27.75">
      <c r="A131" s="1231" t="s">
        <v>251</v>
      </c>
      <c r="B131" s="1232"/>
      <c r="C131" s="1232"/>
      <c r="D131" s="599" t="s">
        <v>250</v>
      </c>
      <c r="E131" s="560">
        <f>'10'!F131</f>
        <v>0</v>
      </c>
      <c r="F131" s="554">
        <v>0</v>
      </c>
      <c r="G131" s="549">
        <f t="shared" si="17"/>
        <v>0</v>
      </c>
      <c r="H131" s="536">
        <f>G131+'10'!H131</f>
        <v>0</v>
      </c>
      <c r="I131" s="556"/>
      <c r="J131" s="629">
        <f>H131/DAY(B2)</f>
        <v>0</v>
      </c>
      <c r="N131" s="800">
        <v>0</v>
      </c>
      <c r="P131" s="413">
        <f t="shared" si="8"/>
        <v>0</v>
      </c>
    </row>
    <row r="132" spans="1:16" ht="27.75">
      <c r="A132" s="1231" t="s">
        <v>252</v>
      </c>
      <c r="B132" s="1232"/>
      <c r="C132" s="1232"/>
      <c r="D132" s="599" t="s">
        <v>250</v>
      </c>
      <c r="E132" s="560">
        <f>'10'!F132</f>
        <v>39191.29</v>
      </c>
      <c r="F132" s="732">
        <v>39191.29</v>
      </c>
      <c r="G132" s="549">
        <f t="shared" si="17"/>
        <v>0</v>
      </c>
      <c r="H132" s="536">
        <f>G132+'10'!H132</f>
        <v>86.849999999998545</v>
      </c>
      <c r="I132" s="556"/>
      <c r="J132" s="629">
        <f>H132/DAY(B2)</f>
        <v>7.8954545454544132</v>
      </c>
      <c r="N132" s="800">
        <v>22</v>
      </c>
      <c r="P132" s="413">
        <f t="shared" si="8"/>
        <v>-22</v>
      </c>
    </row>
    <row r="133" spans="1:16" ht="27.75">
      <c r="A133" s="1231" t="s">
        <v>253</v>
      </c>
      <c r="B133" s="1232"/>
      <c r="C133" s="1232"/>
      <c r="D133" s="599" t="s">
        <v>250</v>
      </c>
      <c r="E133" s="560">
        <f>'10'!F133</f>
        <v>299</v>
      </c>
      <c r="F133" s="703">
        <v>299</v>
      </c>
      <c r="G133" s="549">
        <f t="shared" si="17"/>
        <v>0</v>
      </c>
      <c r="H133" s="536">
        <f>G133+'10'!H133</f>
        <v>0</v>
      </c>
      <c r="I133" s="556">
        <f>G130+G131+G132+G133</f>
        <v>0</v>
      </c>
      <c r="J133" s="629">
        <f>H133/DAY(B2)</f>
        <v>0</v>
      </c>
      <c r="N133" s="800">
        <v>9.0000000000145519E-2</v>
      </c>
      <c r="P133" s="413">
        <f t="shared" si="8"/>
        <v>-9.0000000000145519E-2</v>
      </c>
    </row>
    <row r="134" spans="1:16" ht="27.75">
      <c r="A134" s="1231" t="s">
        <v>254</v>
      </c>
      <c r="B134" s="1232"/>
      <c r="C134" s="1232"/>
      <c r="D134" s="599" t="s">
        <v>250</v>
      </c>
      <c r="E134" s="560">
        <f>'10'!F134</f>
        <v>40103.53</v>
      </c>
      <c r="F134" s="703">
        <v>40128.019999999997</v>
      </c>
      <c r="G134" s="549">
        <f t="shared" si="17"/>
        <v>24.489999999997963</v>
      </c>
      <c r="H134" s="536">
        <f>G134+'10'!H134</f>
        <v>177.0199999999968</v>
      </c>
      <c r="I134" s="556"/>
      <c r="J134" s="629">
        <f>H134/DAY(B2)</f>
        <v>16.092727272726982</v>
      </c>
      <c r="N134" s="800">
        <v>1</v>
      </c>
      <c r="P134" s="413">
        <f t="shared" si="8"/>
        <v>23.489999999997963</v>
      </c>
    </row>
    <row r="135" spans="1:16" ht="27.75">
      <c r="A135" s="1231" t="s">
        <v>255</v>
      </c>
      <c r="B135" s="1232"/>
      <c r="C135" s="1232"/>
      <c r="D135" s="599" t="s">
        <v>250</v>
      </c>
      <c r="E135" s="560">
        <f>'10'!F135</f>
        <v>32423</v>
      </c>
      <c r="F135" s="703">
        <v>32423</v>
      </c>
      <c r="G135" s="549">
        <f t="shared" si="17"/>
        <v>0</v>
      </c>
      <c r="H135" s="536">
        <f>G135+'10'!H135</f>
        <v>0</v>
      </c>
      <c r="I135" s="556"/>
      <c r="J135" s="629">
        <f>H135/DAY(B2)</f>
        <v>0</v>
      </c>
      <c r="N135" s="800">
        <v>0</v>
      </c>
      <c r="P135" s="413">
        <f t="shared" si="8"/>
        <v>0</v>
      </c>
    </row>
    <row r="136" spans="1:16" ht="27.75">
      <c r="A136" s="1231" t="s">
        <v>256</v>
      </c>
      <c r="B136" s="1232"/>
      <c r="C136" s="1232"/>
      <c r="D136" s="599" t="s">
        <v>250</v>
      </c>
      <c r="E136" s="560">
        <f>'10'!F136</f>
        <v>22063.439999999999</v>
      </c>
      <c r="F136" s="732">
        <v>22071.279999999999</v>
      </c>
      <c r="G136" s="549">
        <f t="shared" si="17"/>
        <v>7.8400000000001455</v>
      </c>
      <c r="H136" s="536">
        <f>G136+'10'!H136</f>
        <v>69.319999999999709</v>
      </c>
      <c r="I136" s="556">
        <f>G134+G135+G136</f>
        <v>32.329999999998108</v>
      </c>
      <c r="J136" s="629">
        <f>H136/DAY(B2)</f>
        <v>6.3018181818181551</v>
      </c>
      <c r="N136" s="800">
        <v>0</v>
      </c>
      <c r="P136" s="413">
        <f t="shared" si="8"/>
        <v>7.8400000000001455</v>
      </c>
    </row>
    <row r="137" spans="1:16" ht="27.75">
      <c r="A137" s="1231" t="s">
        <v>257</v>
      </c>
      <c r="B137" s="1232"/>
      <c r="C137" s="1232"/>
      <c r="D137" s="599" t="s">
        <v>250</v>
      </c>
      <c r="E137" s="560">
        <f>'10'!F137</f>
        <v>25030</v>
      </c>
      <c r="F137" s="732">
        <v>25030</v>
      </c>
      <c r="G137" s="549">
        <f t="shared" si="17"/>
        <v>0</v>
      </c>
      <c r="H137" s="536">
        <f>G137+'10'!H137</f>
        <v>10.06000000000131</v>
      </c>
      <c r="I137" s="556"/>
      <c r="J137" s="629">
        <f>H137/DAY(B2)</f>
        <v>0.91454545454557357</v>
      </c>
      <c r="N137" s="800">
        <v>0</v>
      </c>
      <c r="P137" s="413">
        <f t="shared" si="8"/>
        <v>0</v>
      </c>
    </row>
    <row r="138" spans="1:16" ht="27.75">
      <c r="A138" s="1231" t="s">
        <v>258</v>
      </c>
      <c r="B138" s="1232"/>
      <c r="C138" s="1232"/>
      <c r="D138" s="599" t="s">
        <v>250</v>
      </c>
      <c r="E138" s="560">
        <f>'10'!F138</f>
        <v>70075</v>
      </c>
      <c r="F138" s="732">
        <v>70078</v>
      </c>
      <c r="G138" s="549">
        <f t="shared" si="17"/>
        <v>3</v>
      </c>
      <c r="H138" s="536">
        <f>G138+'10'!H138</f>
        <v>14.110000000000582</v>
      </c>
      <c r="I138" s="556">
        <f>G137+G138</f>
        <v>3</v>
      </c>
      <c r="J138" s="629">
        <f>H138/DAY(B2)</f>
        <v>1.2827272727273256</v>
      </c>
      <c r="N138" s="800">
        <v>7.75</v>
      </c>
      <c r="P138" s="413">
        <f t="shared" si="8"/>
        <v>-4.75</v>
      </c>
    </row>
    <row r="139" spans="1:16" ht="27.75">
      <c r="A139" s="1231" t="s">
        <v>259</v>
      </c>
      <c r="B139" s="1232"/>
      <c r="C139" s="1232"/>
      <c r="D139" s="599" t="s">
        <v>250</v>
      </c>
      <c r="E139" s="560">
        <f>'10'!F139</f>
        <v>1282.3800000000001</v>
      </c>
      <c r="F139" s="703">
        <v>1291.79</v>
      </c>
      <c r="G139" s="549">
        <f t="shared" si="17"/>
        <v>9.4099999999998545</v>
      </c>
      <c r="H139" s="536">
        <f>G139+'10'!H139</f>
        <v>91.200000000000045</v>
      </c>
      <c r="I139" s="619"/>
      <c r="J139" s="629">
        <f>H139/DAY(B2)</f>
        <v>8.2909090909090946</v>
      </c>
      <c r="N139" s="800">
        <v>0</v>
      </c>
      <c r="P139" s="413">
        <f t="shared" si="8"/>
        <v>9.4099999999998545</v>
      </c>
    </row>
    <row r="140" spans="1:16" ht="27.75">
      <c r="A140" s="1231" t="s">
        <v>260</v>
      </c>
      <c r="B140" s="1232"/>
      <c r="C140" s="1232"/>
      <c r="D140" s="599" t="s">
        <v>250</v>
      </c>
      <c r="E140" s="560">
        <f>'10'!F140</f>
        <v>4334</v>
      </c>
      <c r="F140" s="554">
        <v>4334</v>
      </c>
      <c r="G140" s="549">
        <f t="shared" si="17"/>
        <v>0</v>
      </c>
      <c r="H140" s="536">
        <f>G140+'10'!H140</f>
        <v>0</v>
      </c>
      <c r="I140" s="619"/>
      <c r="J140" s="629">
        <f>H140/DAY(B2)</f>
        <v>0</v>
      </c>
      <c r="N140" s="800">
        <v>4.6199999999998909</v>
      </c>
      <c r="P140" s="413">
        <f t="shared" si="8"/>
        <v>-4.6199999999998909</v>
      </c>
    </row>
    <row r="141" spans="1:16">
      <c r="A141" s="1412" t="s">
        <v>261</v>
      </c>
      <c r="B141" s="1413"/>
      <c r="C141" s="1237"/>
      <c r="D141" s="548"/>
      <c r="E141" s="548"/>
      <c r="F141" s="548"/>
      <c r="G141" s="559"/>
      <c r="H141" s="559"/>
      <c r="I141" s="559"/>
      <c r="J141" s="640"/>
      <c r="K141" s="411"/>
      <c r="L141" s="408"/>
      <c r="N141" s="800"/>
      <c r="P141" s="413">
        <f t="shared" ref="P141:P153" si="18">G141-N141</f>
        <v>0</v>
      </c>
    </row>
    <row r="142" spans="1:16" ht="27.75">
      <c r="A142" s="1406" t="s">
        <v>262</v>
      </c>
      <c r="B142" s="1407"/>
      <c r="C142" s="1408"/>
      <c r="D142" s="599" t="s">
        <v>143</v>
      </c>
      <c r="E142" s="599"/>
      <c r="F142" s="599"/>
      <c r="G142" s="536">
        <f>G35+G43+G49+G57</f>
        <v>4901</v>
      </c>
      <c r="H142" s="536">
        <f>G142+'10'!H142</f>
        <v>55005.369999999937</v>
      </c>
      <c r="I142" s="556"/>
      <c r="J142" s="629">
        <f>H142/DAY(B2)</f>
        <v>5000.4881818181757</v>
      </c>
      <c r="K142" s="411"/>
      <c r="L142" s="408"/>
      <c r="N142" s="800">
        <v>3021.2200000000303</v>
      </c>
      <c r="O142" s="407">
        <f>24-9</f>
        <v>15</v>
      </c>
      <c r="P142" s="413">
        <f t="shared" si="18"/>
        <v>1879.7799999999697</v>
      </c>
    </row>
    <row r="143" spans="1:16" ht="27.75">
      <c r="A143" s="1406" t="s">
        <v>263</v>
      </c>
      <c r="B143" s="1407"/>
      <c r="C143" s="1408"/>
      <c r="D143" s="599" t="s">
        <v>24</v>
      </c>
      <c r="E143" s="587"/>
      <c r="F143" s="587"/>
      <c r="G143" s="620">
        <f>G142/G7</f>
        <v>0.26314093959731544</v>
      </c>
      <c r="H143" s="536">
        <f>G143+'10'!H143</f>
        <v>2.782537832022995</v>
      </c>
      <c r="I143" s="621"/>
      <c r="J143" s="629">
        <f>H143/DAY(B2)</f>
        <v>0.25295798472936321</v>
      </c>
      <c r="K143" s="411"/>
      <c r="L143" s="408"/>
      <c r="N143" s="800">
        <v>0.25350058734687281</v>
      </c>
      <c r="P143" s="413">
        <f t="shared" si="18"/>
        <v>9.6403522504426298E-3</v>
      </c>
    </row>
    <row r="144" spans="1:16" ht="27.75">
      <c r="A144" s="1406" t="s">
        <v>264</v>
      </c>
      <c r="B144" s="1407"/>
      <c r="C144" s="1408"/>
      <c r="D144" s="599" t="s">
        <v>143</v>
      </c>
      <c r="E144" s="531"/>
      <c r="F144" s="531"/>
      <c r="G144" s="536">
        <f>G41+G42+G55+G56</f>
        <v>4051.5999999999985</v>
      </c>
      <c r="H144" s="536">
        <f>G144+'10'!H144</f>
        <v>42648.859999999971</v>
      </c>
      <c r="I144" s="556"/>
      <c r="J144" s="629">
        <f>H144/DAY(B2)</f>
        <v>3877.1690909090885</v>
      </c>
      <c r="K144" s="411"/>
      <c r="L144" s="408"/>
      <c r="N144" s="800">
        <v>3327.2700000000186</v>
      </c>
      <c r="P144" s="413">
        <f t="shared" si="18"/>
        <v>724.32999999997992</v>
      </c>
    </row>
    <row r="145" spans="1:16" ht="27.75">
      <c r="A145" s="1406" t="s">
        <v>265</v>
      </c>
      <c r="B145" s="1407"/>
      <c r="C145" s="1408"/>
      <c r="D145" s="599" t="s">
        <v>24</v>
      </c>
      <c r="E145" s="531"/>
      <c r="F145" s="531"/>
      <c r="G145" s="620">
        <f>G144/G7</f>
        <v>0.21753557046979857</v>
      </c>
      <c r="H145" s="536">
        <f>G145+'10'!H145</f>
        <v>2.3107669548671321</v>
      </c>
      <c r="I145" s="621"/>
      <c r="J145" s="629">
        <f>H145/DAY(B2)</f>
        <v>0.21006972316973929</v>
      </c>
      <c r="K145" s="411"/>
      <c r="L145" s="408"/>
      <c r="N145" s="800">
        <v>0.27918023158248184</v>
      </c>
      <c r="P145" s="413">
        <f t="shared" si="18"/>
        <v>-6.1644661112683269E-2</v>
      </c>
    </row>
    <row r="146" spans="1:16" ht="27.75">
      <c r="A146" s="1406" t="s">
        <v>266</v>
      </c>
      <c r="B146" s="1407"/>
      <c r="C146" s="1408"/>
      <c r="D146" s="599" t="s">
        <v>143</v>
      </c>
      <c r="E146" s="531"/>
      <c r="F146" s="531"/>
      <c r="G146" s="536">
        <f>G39+G53</f>
        <v>4103.5300000000007</v>
      </c>
      <c r="H146" s="536">
        <f>G146+'10'!H146</f>
        <v>45816.239999999991</v>
      </c>
      <c r="I146" s="622"/>
      <c r="J146" s="629">
        <f>H146/DAY(B2)</f>
        <v>4165.1127272727263</v>
      </c>
      <c r="K146" s="411"/>
      <c r="L146" s="408"/>
      <c r="N146" s="800">
        <v>2165.6141000000007</v>
      </c>
      <c r="P146" s="413">
        <f t="shared" si="18"/>
        <v>1937.9159</v>
      </c>
    </row>
    <row r="147" spans="1:16" ht="27.75">
      <c r="A147" s="1406" t="s">
        <v>267</v>
      </c>
      <c r="B147" s="1407"/>
      <c r="C147" s="1408"/>
      <c r="D147" s="599" t="s">
        <v>24</v>
      </c>
      <c r="E147" s="531"/>
      <c r="F147" s="531"/>
      <c r="G147" s="620">
        <f>G146/G7</f>
        <v>0.22032375838926177</v>
      </c>
      <c r="H147" s="536">
        <f>G147+'10'!H147</f>
        <v>2.4854724414171385</v>
      </c>
      <c r="I147" s="622"/>
      <c r="J147" s="629">
        <f>H147/DAY(B2)</f>
        <v>0.22595204012883077</v>
      </c>
      <c r="N147" s="800">
        <v>0.18170952340996818</v>
      </c>
      <c r="P147" s="413">
        <f t="shared" si="18"/>
        <v>3.8614234979293588E-2</v>
      </c>
    </row>
    <row r="148" spans="1:16" ht="27.75">
      <c r="A148" s="1406" t="s">
        <v>268</v>
      </c>
      <c r="B148" s="1407"/>
      <c r="C148" s="1408"/>
      <c r="D148" s="599" t="s">
        <v>194</v>
      </c>
      <c r="E148" s="531"/>
      <c r="F148" s="531"/>
      <c r="G148" s="536">
        <f>G38+G52</f>
        <v>1831</v>
      </c>
      <c r="H148" s="536">
        <f>G148+'10'!H148</f>
        <v>21759.160000000036</v>
      </c>
      <c r="I148" s="556"/>
      <c r="J148" s="629">
        <f>H148/DAY(B2)</f>
        <v>1978.1054545454579</v>
      </c>
      <c r="K148" s="412"/>
      <c r="N148" s="800">
        <v>1007.5800000000163</v>
      </c>
      <c r="P148" s="413">
        <f t="shared" si="18"/>
        <v>823.4199999999837</v>
      </c>
    </row>
    <row r="149" spans="1:16" ht="27.75">
      <c r="A149" s="1406" t="s">
        <v>269</v>
      </c>
      <c r="B149" s="1407"/>
      <c r="C149" s="1408"/>
      <c r="D149" s="599" t="s">
        <v>24</v>
      </c>
      <c r="E149" s="531"/>
      <c r="F149" s="531" t="s">
        <v>226</v>
      </c>
      <c r="G149" s="620">
        <f>G148/G7</f>
        <v>9.8308724832214769E-2</v>
      </c>
      <c r="H149" s="536">
        <f>G149+'10'!H149</f>
        <v>1.1810960245774289</v>
      </c>
      <c r="I149" s="622"/>
      <c r="J149" s="629">
        <f>H149/DAY(B2)</f>
        <v>0.10737236587067535</v>
      </c>
      <c r="N149" s="800">
        <v>8.4542708508140316E-2</v>
      </c>
      <c r="P149" s="413">
        <f t="shared" si="18"/>
        <v>1.3766016324074454E-2</v>
      </c>
    </row>
    <row r="150" spans="1:16" ht="27.75">
      <c r="A150" s="1406" t="s">
        <v>270</v>
      </c>
      <c r="B150" s="1407"/>
      <c r="C150" s="1408"/>
      <c r="D150" s="599" t="s">
        <v>194</v>
      </c>
      <c r="E150" s="531"/>
      <c r="F150" s="531"/>
      <c r="G150" s="536">
        <f>G36+G50</f>
        <v>1735.820000000007</v>
      </c>
      <c r="H150" s="536">
        <f>G150+'10'!H150</f>
        <v>19568.950000000012</v>
      </c>
      <c r="I150" s="622"/>
      <c r="J150" s="629">
        <f>H150/DAY(B2)</f>
        <v>1778.9954545454557</v>
      </c>
      <c r="N150" s="800">
        <v>1095.0299999999988</v>
      </c>
      <c r="P150" s="413">
        <f t="shared" si="18"/>
        <v>640.79000000000815</v>
      </c>
    </row>
    <row r="151" spans="1:16" ht="27.75">
      <c r="A151" s="1406" t="s">
        <v>271</v>
      </c>
      <c r="B151" s="1407"/>
      <c r="C151" s="1408"/>
      <c r="D151" s="599" t="s">
        <v>24</v>
      </c>
      <c r="E151" s="531"/>
      <c r="F151" s="531"/>
      <c r="G151" s="620">
        <f>G150/G7</f>
        <v>9.319838926174534E-2</v>
      </c>
      <c r="H151" s="536">
        <f>G151+'10'!H151</f>
        <v>1.0598329083552871</v>
      </c>
      <c r="I151" s="556"/>
      <c r="J151" s="629">
        <f>H151/DAY(B2)</f>
        <v>9.6348446214117006E-2</v>
      </c>
      <c r="N151" s="800">
        <v>9.1880349051854243E-2</v>
      </c>
      <c r="P151" s="413">
        <f t="shared" si="18"/>
        <v>1.318040209891097E-3</v>
      </c>
    </row>
    <row r="152" spans="1:16" ht="27.75">
      <c r="A152" s="1406" t="s">
        <v>272</v>
      </c>
      <c r="B152" s="1407"/>
      <c r="C152" s="1408"/>
      <c r="D152" s="599" t="s">
        <v>194</v>
      </c>
      <c r="E152" s="531"/>
      <c r="F152" s="531"/>
      <c r="G152" s="536">
        <f>G37+G51</f>
        <v>1472.3200000000006</v>
      </c>
      <c r="H152" s="536">
        <f>G152+'10'!H152</f>
        <v>16450.989999999994</v>
      </c>
      <c r="I152" s="556"/>
      <c r="J152" s="629"/>
      <c r="N152" s="800">
        <v>1155.7000000000116</v>
      </c>
      <c r="P152" s="413">
        <f t="shared" si="18"/>
        <v>316.61999999998898</v>
      </c>
    </row>
    <row r="153" spans="1:16" ht="28.5" thickBot="1">
      <c r="A153" s="1409" t="s">
        <v>273</v>
      </c>
      <c r="B153" s="1410"/>
      <c r="C153" s="1411"/>
      <c r="D153" s="702" t="s">
        <v>24</v>
      </c>
      <c r="E153" s="642"/>
      <c r="F153" s="642"/>
      <c r="G153" s="643">
        <f>G152/G7</f>
        <v>7.9050738255033587E-2</v>
      </c>
      <c r="H153" s="536">
        <f>G153+'10'!H153</f>
        <v>0.8956731512579682</v>
      </c>
      <c r="I153" s="645"/>
      <c r="J153" s="646">
        <f>H153/DAY(B2)</f>
        <v>8.142483193254256E-2</v>
      </c>
      <c r="N153" s="800">
        <v>9.6970968283269982E-2</v>
      </c>
      <c r="P153" s="413">
        <f t="shared" si="18"/>
        <v>-1.7920230028236395E-2</v>
      </c>
    </row>
    <row r="154" spans="1:16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800"/>
    </row>
    <row r="155" spans="1:16">
      <c r="N155" s="800"/>
    </row>
    <row r="156" spans="1:16">
      <c r="N156" s="800"/>
    </row>
    <row r="157" spans="1:16">
      <c r="N157" s="800"/>
    </row>
    <row r="158" spans="1:16">
      <c r="N158" s="800"/>
    </row>
    <row r="159" spans="1:16">
      <c r="N159" s="800"/>
    </row>
    <row r="160" spans="1:16">
      <c r="A160" s="868" t="s">
        <v>274</v>
      </c>
      <c r="B160" s="869"/>
      <c r="C160" s="869"/>
      <c r="D160" s="587" t="s">
        <v>198</v>
      </c>
      <c r="E160" s="561">
        <f>'10'!F160</f>
        <v>29258.65</v>
      </c>
      <c r="F160" s="867">
        <v>29344</v>
      </c>
      <c r="G160" s="549">
        <f t="shared" ref="G160:G163" si="19">F160-E160</f>
        <v>85.349999999998545</v>
      </c>
      <c r="N160" s="800"/>
    </row>
    <row r="161" spans="1:14">
      <c r="A161" s="868" t="s">
        <v>275</v>
      </c>
      <c r="B161" s="869"/>
      <c r="C161" s="869"/>
      <c r="D161" s="587" t="s">
        <v>198</v>
      </c>
      <c r="E161" s="561">
        <f>'10'!F161</f>
        <v>47162</v>
      </c>
      <c r="F161" s="739">
        <v>47573.83</v>
      </c>
      <c r="G161" s="549">
        <f t="shared" si="19"/>
        <v>411.83000000000175</v>
      </c>
      <c r="N161" s="800"/>
    </row>
    <row r="162" spans="1:14">
      <c r="A162" s="868" t="s">
        <v>276</v>
      </c>
      <c r="B162" s="869"/>
      <c r="C162" s="869"/>
      <c r="D162" s="587" t="s">
        <v>198</v>
      </c>
      <c r="E162" s="561">
        <f>'10'!F162</f>
        <v>15149</v>
      </c>
      <c r="F162" s="739">
        <v>15399</v>
      </c>
      <c r="G162" s="549">
        <f t="shared" si="19"/>
        <v>250</v>
      </c>
      <c r="N162" s="800"/>
    </row>
    <row r="163" spans="1:14">
      <c r="A163" s="868" t="s">
        <v>277</v>
      </c>
      <c r="B163" s="869"/>
      <c r="C163" s="869"/>
      <c r="D163" s="587" t="s">
        <v>198</v>
      </c>
      <c r="E163" s="561">
        <f>'10'!F163</f>
        <v>5151</v>
      </c>
      <c r="F163" s="739">
        <v>5162.3999999999996</v>
      </c>
      <c r="G163" s="549">
        <f t="shared" si="19"/>
        <v>11.399999999999636</v>
      </c>
      <c r="N163" s="800"/>
    </row>
    <row r="164" spans="1:14" ht="37.5" customHeight="1">
      <c r="A164" s="870" t="s">
        <v>106</v>
      </c>
      <c r="B164" s="681"/>
      <c r="C164" s="681"/>
      <c r="D164" s="587" t="s">
        <v>198</v>
      </c>
      <c r="E164" s="561">
        <f>'12'!F164</f>
        <v>20419</v>
      </c>
      <c r="F164" s="590">
        <f>F62</f>
        <v>20419</v>
      </c>
      <c r="G164" s="549">
        <f t="shared" ref="G164:G171" si="20">F164-E164</f>
        <v>0</v>
      </c>
      <c r="N164" s="800"/>
    </row>
    <row r="165" spans="1:14">
      <c r="A165" s="870" t="s">
        <v>199</v>
      </c>
      <c r="B165" s="681"/>
      <c r="C165" s="681"/>
      <c r="D165" s="587" t="s">
        <v>198</v>
      </c>
      <c r="E165" s="823">
        <f>E63</f>
        <v>1473.7</v>
      </c>
      <c r="F165" s="590">
        <f>F63</f>
        <v>1486</v>
      </c>
      <c r="G165" s="549">
        <f t="shared" si="20"/>
        <v>12.299999999999955</v>
      </c>
      <c r="N165" s="800"/>
    </row>
    <row r="166" spans="1:14" ht="35.25" customHeight="1">
      <c r="A166" s="1381" t="s">
        <v>107</v>
      </c>
      <c r="B166" s="1381"/>
      <c r="C166" s="1381"/>
      <c r="D166" s="599" t="s">
        <v>198</v>
      </c>
      <c r="E166" s="823">
        <f t="shared" ref="E166:E171" si="21">E64</f>
        <v>115498.71</v>
      </c>
      <c r="F166" s="590">
        <f t="shared" ref="F166:F171" si="22">F64</f>
        <v>115893</v>
      </c>
      <c r="G166" s="549">
        <f t="shared" si="20"/>
        <v>394.2899999999936</v>
      </c>
      <c r="N166" s="800"/>
    </row>
    <row r="167" spans="1:14" ht="33" customHeight="1">
      <c r="A167" s="1381" t="s">
        <v>108</v>
      </c>
      <c r="B167" s="1381"/>
      <c r="C167" s="1381"/>
      <c r="D167" s="599" t="s">
        <v>198</v>
      </c>
      <c r="E167" s="823">
        <f t="shared" si="21"/>
        <v>125495</v>
      </c>
      <c r="F167" s="590">
        <f t="shared" si="22"/>
        <v>125865</v>
      </c>
      <c r="G167" s="549">
        <f t="shared" si="20"/>
        <v>370</v>
      </c>
      <c r="N167" s="800"/>
    </row>
    <row r="168" spans="1:14" ht="40.5" customHeight="1">
      <c r="A168" s="1381" t="s">
        <v>109</v>
      </c>
      <c r="B168" s="1381"/>
      <c r="C168" s="1381"/>
      <c r="D168" s="599" t="s">
        <v>198</v>
      </c>
      <c r="E168" s="823">
        <f t="shared" si="21"/>
        <v>18104</v>
      </c>
      <c r="F168" s="590">
        <f t="shared" si="22"/>
        <v>18485</v>
      </c>
      <c r="G168" s="549">
        <f t="shared" si="20"/>
        <v>381</v>
      </c>
      <c r="N168" s="800"/>
    </row>
    <row r="169" spans="1:14" ht="30.75" customHeight="1">
      <c r="A169" s="1381" t="s">
        <v>110</v>
      </c>
      <c r="B169" s="1381"/>
      <c r="C169" s="1381"/>
      <c r="D169" s="599" t="s">
        <v>198</v>
      </c>
      <c r="E169" s="823">
        <f t="shared" si="21"/>
        <v>195698</v>
      </c>
      <c r="F169" s="590">
        <f t="shared" si="22"/>
        <v>196406</v>
      </c>
      <c r="G169" s="549">
        <f t="shared" si="20"/>
        <v>708</v>
      </c>
      <c r="N169" s="800"/>
    </row>
    <row r="170" spans="1:14" ht="30.75" customHeight="1">
      <c r="A170" s="1381" t="s">
        <v>111</v>
      </c>
      <c r="B170" s="1381"/>
      <c r="C170" s="1381"/>
      <c r="D170" s="599" t="s">
        <v>198</v>
      </c>
      <c r="E170" s="823">
        <f t="shared" si="21"/>
        <v>66704</v>
      </c>
      <c r="F170" s="590">
        <f t="shared" si="22"/>
        <v>67026</v>
      </c>
      <c r="G170" s="549">
        <f t="shared" si="20"/>
        <v>322</v>
      </c>
      <c r="N170" s="800"/>
    </row>
    <row r="171" spans="1:14" ht="28.5" customHeight="1">
      <c r="A171" s="1381" t="s">
        <v>112</v>
      </c>
      <c r="B171" s="1381"/>
      <c r="C171" s="1381"/>
      <c r="D171" s="599" t="s">
        <v>198</v>
      </c>
      <c r="E171" s="823">
        <f t="shared" si="21"/>
        <v>58705.8</v>
      </c>
      <c r="F171" s="590">
        <f t="shared" si="22"/>
        <v>59018</v>
      </c>
      <c r="G171" s="549">
        <f t="shared" si="20"/>
        <v>312.19999999999709</v>
      </c>
      <c r="N171" s="800"/>
    </row>
    <row r="172" spans="1:14">
      <c r="G172" s="616">
        <f>SUM(G160:G171)</f>
        <v>3258.3699999999908</v>
      </c>
      <c r="N172" s="800"/>
    </row>
    <row r="173" spans="1:14">
      <c r="N173" s="800"/>
    </row>
    <row r="174" spans="1:14">
      <c r="N174" s="800"/>
    </row>
    <row r="175" spans="1:14">
      <c r="N175" s="800"/>
    </row>
    <row r="176" spans="1:14" ht="18.75" customHeight="1">
      <c r="N176" s="800"/>
    </row>
    <row r="177" spans="14:14" ht="44.25" customHeight="1">
      <c r="N177" s="800"/>
    </row>
    <row r="178" spans="14:14" ht="21.75" customHeight="1">
      <c r="N178" s="800"/>
    </row>
    <row r="179" spans="14:14" ht="21.75" customHeight="1">
      <c r="N179" s="800">
        <v>0</v>
      </c>
    </row>
    <row r="180" spans="14:14" ht="21.75" customHeight="1">
      <c r="N180" s="800">
        <v>0</v>
      </c>
    </row>
    <row r="181" spans="14:14" ht="21.75" customHeight="1">
      <c r="N181" s="800">
        <v>11</v>
      </c>
    </row>
    <row r="182" spans="14:14" ht="21.75" customHeight="1">
      <c r="N182" s="800">
        <v>11</v>
      </c>
    </row>
    <row r="183" spans="14:14" ht="21.75" customHeight="1">
      <c r="N183" s="800"/>
    </row>
    <row r="184" spans="14:14" ht="21.75" customHeight="1">
      <c r="N184" s="800">
        <v>51</v>
      </c>
    </row>
    <row r="185" spans="14:14" ht="21.75" customHeight="1">
      <c r="N185" s="800">
        <v>0</v>
      </c>
    </row>
    <row r="186" spans="14:14" ht="21.75" customHeight="1">
      <c r="N186" s="800">
        <v>0</v>
      </c>
    </row>
    <row r="187" spans="14:14" ht="21.75" customHeight="1">
      <c r="N187" s="800">
        <v>51</v>
      </c>
    </row>
    <row r="188" spans="14:14" ht="21.75" customHeight="1">
      <c r="N188" s="800"/>
    </row>
    <row r="189" spans="14:14" ht="21.75" customHeight="1">
      <c r="N189" s="800">
        <v>4</v>
      </c>
    </row>
    <row r="190" spans="14:14" ht="21.75" customHeight="1">
      <c r="N190" s="800">
        <v>3</v>
      </c>
    </row>
    <row r="191" spans="14:14" ht="21.75" customHeight="1">
      <c r="N191" s="800">
        <v>0</v>
      </c>
    </row>
    <row r="192" spans="14:14" ht="21.75" customHeight="1">
      <c r="N192" s="800"/>
    </row>
    <row r="193" spans="14:14" ht="36.75" customHeight="1">
      <c r="N193" s="800">
        <v>7</v>
      </c>
    </row>
    <row r="194" spans="14:14">
      <c r="N194" s="800">
        <v>61</v>
      </c>
    </row>
    <row r="195" spans="14:14">
      <c r="N195" s="800"/>
    </row>
    <row r="196" spans="14:14">
      <c r="N196" s="800">
        <v>55</v>
      </c>
    </row>
    <row r="197" spans="14:14">
      <c r="N197" s="800"/>
    </row>
    <row r="198" spans="14:14">
      <c r="N198" s="798">
        <v>79</v>
      </c>
    </row>
    <row r="199" spans="14:14" ht="21.75" customHeight="1"/>
    <row r="200" spans="14:14" ht="21.75" customHeight="1"/>
    <row r="201" spans="14:14" ht="21.75" customHeight="1"/>
    <row r="202" spans="14:14" ht="21.75" customHeight="1"/>
    <row r="203" spans="14:14" ht="21.75" customHeight="1"/>
    <row r="204" spans="14:14" ht="21.75" customHeight="1"/>
    <row r="205" spans="14:14" ht="21.75" customHeight="1"/>
    <row r="206" spans="14:14" ht="21.75" customHeight="1"/>
    <row r="207" spans="14:14" ht="21.75" customHeight="1"/>
    <row r="208" spans="14:14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22:C122"/>
    <mergeCell ref="A141:B141"/>
    <mergeCell ref="A152:C152"/>
    <mergeCell ref="A153:C153"/>
    <mergeCell ref="A150:C150"/>
    <mergeCell ref="A151:C151"/>
    <mergeCell ref="A147:C147"/>
    <mergeCell ref="A148:C148"/>
    <mergeCell ref="A149:C149"/>
    <mergeCell ref="A146:C146"/>
    <mergeCell ref="A142:C142"/>
    <mergeCell ref="A143:C143"/>
    <mergeCell ref="A144:C144"/>
    <mergeCell ref="A145:C145"/>
    <mergeCell ref="A125:C125"/>
    <mergeCell ref="A121:B121"/>
    <mergeCell ref="A113:B113"/>
    <mergeCell ref="A114:B114"/>
    <mergeCell ref="A115:B115"/>
    <mergeCell ref="A116:B116"/>
    <mergeCell ref="A117:B117"/>
    <mergeCell ref="A82:C82"/>
    <mergeCell ref="A83:C83"/>
    <mergeCell ref="A118:B118"/>
    <mergeCell ref="A119:B119"/>
    <mergeCell ref="A120:B120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237"/>
  <sheetViews>
    <sheetView view="pageBreakPreview" topLeftCell="A37" zoomScale="55" zoomScaleNormal="75" zoomScaleSheetLayoutView="55" workbookViewId="0">
      <selection activeCell="F28" sqref="F28"/>
    </sheetView>
  </sheetViews>
  <sheetFormatPr defaultColWidth="22.33203125" defaultRowHeight="29.25"/>
  <cols>
    <col min="1" max="1" width="39.6640625" style="530" customWidth="1"/>
    <col min="2" max="2" width="30.1093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22.33203125" style="407" hidden="1" customWidth="1"/>
    <col min="14" max="14" width="25.5546875" style="798" customWidth="1"/>
    <col min="15" max="15" width="22.33203125" style="1272"/>
    <col min="16" max="17" width="22.33203125" style="480"/>
    <col min="18" max="16384" width="22.33203125" style="407"/>
  </cols>
  <sheetData>
    <row r="1" spans="1:17" ht="33.75">
      <c r="A1" s="1414" t="s">
        <v>128</v>
      </c>
      <c r="B1" s="1415"/>
      <c r="C1" s="1415"/>
      <c r="D1" s="1415"/>
      <c r="E1" s="1415"/>
      <c r="F1" s="1415"/>
      <c r="G1" s="1415"/>
      <c r="H1" s="1415"/>
      <c r="I1" s="1415"/>
      <c r="J1" s="1416"/>
    </row>
    <row r="2" spans="1:17" s="281" customFormat="1" ht="27">
      <c r="A2" s="652" t="s">
        <v>290</v>
      </c>
      <c r="B2" s="1118">
        <v>44239</v>
      </c>
      <c r="C2" s="1233" t="s">
        <v>69</v>
      </c>
      <c r="D2" s="688">
        <v>0.72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  <c r="N2" s="799"/>
      <c r="O2" s="1273"/>
      <c r="P2" s="792"/>
      <c r="Q2" s="792"/>
    </row>
    <row r="3" spans="1:17" s="281" customFormat="1" ht="27">
      <c r="A3" s="647"/>
      <c r="B3" s="691"/>
      <c r="C3" s="1233" t="s">
        <v>131</v>
      </c>
      <c r="D3" s="689">
        <v>24</v>
      </c>
      <c r="E3" s="1423" t="s">
        <v>132</v>
      </c>
      <c r="F3" s="1424"/>
      <c r="G3" s="538">
        <f>'1'!G3</f>
        <v>0</v>
      </c>
      <c r="H3" s="539">
        <f>'1'!H3</f>
        <v>0</v>
      </c>
      <c r="I3" s="539">
        <f>'1'!I3</f>
        <v>0</v>
      </c>
      <c r="J3" s="692">
        <f>'1'!J3</f>
        <v>0</v>
      </c>
      <c r="K3" s="402"/>
      <c r="L3" s="293"/>
      <c r="N3" s="799"/>
      <c r="O3" s="1273"/>
      <c r="P3" s="792"/>
      <c r="Q3" s="792"/>
    </row>
    <row r="4" spans="1:17" s="281" customFormat="1" ht="27">
      <c r="A4" s="653"/>
      <c r="B4" s="693"/>
      <c r="C4" s="1233" t="s">
        <v>133</v>
      </c>
      <c r="D4" s="688">
        <v>0.68</v>
      </c>
      <c r="E4" s="540"/>
      <c r="F4" s="540"/>
      <c r="G4" s="540"/>
      <c r="H4" s="540"/>
      <c r="I4" s="541"/>
      <c r="J4" s="692"/>
      <c r="K4" s="403"/>
      <c r="L4" s="293"/>
      <c r="N4" s="799"/>
      <c r="O4" s="1273"/>
      <c r="P4" s="792"/>
      <c r="Q4" s="792"/>
    </row>
    <row r="5" spans="1:17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7">
      <c r="A6" s="1417" t="s">
        <v>141</v>
      </c>
      <c r="B6" s="1418"/>
      <c r="C6" s="1419"/>
      <c r="D6" s="547"/>
      <c r="E6" s="547"/>
      <c r="F6" s="547"/>
      <c r="G6" s="547"/>
      <c r="H6" s="548"/>
      <c r="I6" s="548"/>
      <c r="J6" s="628"/>
      <c r="K6" s="466"/>
      <c r="L6" s="408"/>
    </row>
    <row r="7" spans="1:17" ht="30" thickBot="1">
      <c r="A7" s="757" t="s">
        <v>142</v>
      </c>
      <c r="B7" s="758"/>
      <c r="C7" s="758"/>
      <c r="D7" s="715" t="s">
        <v>143</v>
      </c>
      <c r="E7" s="710">
        <f>'11'!F7</f>
        <v>4091743</v>
      </c>
      <c r="F7" s="531">
        <v>4111191</v>
      </c>
      <c r="G7" s="759">
        <f>F7-E7</f>
        <v>19448</v>
      </c>
      <c r="H7" s="760">
        <f>G7+'11'!H7</f>
        <v>222993</v>
      </c>
      <c r="I7" s="761">
        <f>'1'!I7</f>
        <v>12000</v>
      </c>
      <c r="J7" s="762">
        <f>H7/DAY(B2)</f>
        <v>18582.75</v>
      </c>
      <c r="K7" s="626"/>
      <c r="L7" s="408"/>
      <c r="N7" s="800"/>
      <c r="O7" s="809"/>
      <c r="P7" s="793"/>
    </row>
    <row r="8" spans="1:17" ht="27.75" thickBot="1">
      <c r="A8" s="763" t="s">
        <v>144</v>
      </c>
      <c r="B8" s="764"/>
      <c r="C8" s="765"/>
      <c r="D8" s="766" t="s">
        <v>25</v>
      </c>
      <c r="E8" s="710">
        <f>'11'!F8</f>
        <v>4117992</v>
      </c>
      <c r="F8" s="551">
        <v>4137523</v>
      </c>
      <c r="G8" s="770">
        <f>F8-E8</f>
        <v>19531</v>
      </c>
      <c r="H8" s="760">
        <f>G8+'11'!H8</f>
        <v>224672</v>
      </c>
      <c r="I8" s="767">
        <f>'1'!I8</f>
        <v>12000</v>
      </c>
      <c r="J8" s="762">
        <f>H8/DAY(B2)</f>
        <v>18722.666666666668</v>
      </c>
      <c r="K8" s="626"/>
      <c r="L8" s="464"/>
      <c r="M8" s="479"/>
      <c r="N8" s="800"/>
      <c r="O8" s="809"/>
      <c r="P8" s="795"/>
    </row>
    <row r="9" spans="1:17">
      <c r="A9" s="768" t="s">
        <v>145</v>
      </c>
      <c r="B9" s="769"/>
      <c r="C9" s="769"/>
      <c r="D9" s="715" t="s">
        <v>143</v>
      </c>
      <c r="E9" s="710">
        <f>'11'!F9</f>
        <v>44936</v>
      </c>
      <c r="F9" s="554">
        <v>57903</v>
      </c>
      <c r="G9" s="783">
        <f t="shared" ref="G9:G12" si="0">F9-E9</f>
        <v>12967</v>
      </c>
      <c r="H9" s="760">
        <f>G9+'11'!H9</f>
        <v>95015.25</v>
      </c>
      <c r="I9" s="771">
        <f>I7-J7</f>
        <v>-6582.75</v>
      </c>
      <c r="J9" s="762">
        <f>H9/DAY(B2)</f>
        <v>7917.9375</v>
      </c>
      <c r="K9" s="467"/>
      <c r="L9" s="408"/>
      <c r="N9" s="800"/>
      <c r="O9" s="809"/>
      <c r="P9" s="795"/>
    </row>
    <row r="10" spans="1:17">
      <c r="A10" s="757" t="s">
        <v>146</v>
      </c>
      <c r="B10" s="758"/>
      <c r="C10" s="758"/>
      <c r="D10" s="715" t="s">
        <v>143</v>
      </c>
      <c r="E10" s="710">
        <f>'11'!F10</f>
        <v>1314138.5</v>
      </c>
      <c r="F10" s="554">
        <v>1320056.8</v>
      </c>
      <c r="G10" s="770">
        <f t="shared" si="0"/>
        <v>5918.3000000000466</v>
      </c>
      <c r="H10" s="760">
        <f>G10+'11'!H10</f>
        <v>119182.40000000014</v>
      </c>
      <c r="I10" s="772"/>
      <c r="J10" s="762">
        <f>H10/DAY(B2)</f>
        <v>9931.8666666666777</v>
      </c>
      <c r="K10" s="467"/>
      <c r="L10" s="408"/>
      <c r="N10" s="800"/>
      <c r="O10" s="809"/>
      <c r="P10" s="795"/>
    </row>
    <row r="11" spans="1:17">
      <c r="A11" s="757" t="s">
        <v>147</v>
      </c>
      <c r="B11" s="758"/>
      <c r="C11" s="758"/>
      <c r="D11" s="715" t="s">
        <v>143</v>
      </c>
      <c r="E11" s="710">
        <f>'11'!F11</f>
        <v>37000</v>
      </c>
      <c r="F11" s="531">
        <v>37000</v>
      </c>
      <c r="G11" s="770">
        <f t="shared" si="0"/>
        <v>0</v>
      </c>
      <c r="H11" s="760">
        <f>G11+'11'!H11</f>
        <v>1610</v>
      </c>
      <c r="I11" s="772"/>
      <c r="J11" s="762">
        <f>H11/DAY(B2)</f>
        <v>134.16666666666666</v>
      </c>
      <c r="K11" s="467"/>
      <c r="L11" s="408"/>
      <c r="N11" s="800"/>
      <c r="O11" s="809"/>
      <c r="P11" s="795"/>
    </row>
    <row r="12" spans="1:17">
      <c r="A12" s="757" t="s">
        <v>148</v>
      </c>
      <c r="B12" s="758"/>
      <c r="C12" s="758"/>
      <c r="D12" s="715" t="s">
        <v>143</v>
      </c>
      <c r="E12" s="710">
        <f>'11'!F12</f>
        <v>40010</v>
      </c>
      <c r="F12" s="554">
        <v>40010</v>
      </c>
      <c r="G12" s="770">
        <f t="shared" si="0"/>
        <v>0</v>
      </c>
      <c r="H12" s="760">
        <f>G12+'11'!H12</f>
        <v>2380</v>
      </c>
      <c r="I12" s="772"/>
      <c r="J12" s="762">
        <f>H12/DAY(B2)</f>
        <v>198.33333333333334</v>
      </c>
      <c r="K12" s="467"/>
      <c r="L12" s="408"/>
      <c r="N12" s="800"/>
      <c r="O12" s="809"/>
      <c r="P12" s="795"/>
    </row>
    <row r="13" spans="1:17">
      <c r="A13" s="773" t="s">
        <v>149</v>
      </c>
      <c r="B13" s="774"/>
      <c r="C13" s="774"/>
      <c r="D13" s="715"/>
      <c r="E13" s="710"/>
      <c r="F13" s="531"/>
      <c r="G13" s="775">
        <f>G9+G10+G11+G12</f>
        <v>18885.300000000047</v>
      </c>
      <c r="H13" s="760">
        <f>G13+'11'!H13</f>
        <v>199881.65000000014</v>
      </c>
      <c r="I13" s="776">
        <f>G7-G13</f>
        <v>562.69999999995343</v>
      </c>
      <c r="J13" s="762">
        <f>H13/DAY(B2)</f>
        <v>16656.80416666668</v>
      </c>
      <c r="K13" s="467"/>
      <c r="L13" s="408"/>
      <c r="N13" s="800"/>
      <c r="O13" s="809"/>
      <c r="P13" s="795"/>
    </row>
    <row r="14" spans="1:17">
      <c r="A14" s="1420" t="s">
        <v>150</v>
      </c>
      <c r="B14" s="1421"/>
      <c r="C14" s="1422"/>
      <c r="D14" s="548"/>
      <c r="E14" s="548"/>
      <c r="F14" s="548"/>
      <c r="G14" s="559"/>
      <c r="H14" s="548"/>
      <c r="I14" s="548"/>
      <c r="J14" s="628"/>
      <c r="K14" s="468"/>
      <c r="L14" s="408"/>
      <c r="N14" s="800"/>
      <c r="O14" s="809"/>
      <c r="P14" s="795"/>
    </row>
    <row r="15" spans="1:17">
      <c r="A15" s="876" t="s">
        <v>151</v>
      </c>
      <c r="B15" s="877"/>
      <c r="C15" s="877"/>
      <c r="D15" s="600" t="s">
        <v>152</v>
      </c>
      <c r="E15" s="561">
        <f>'11'!F15</f>
        <v>1603441</v>
      </c>
      <c r="F15" s="561">
        <v>1604355.9180000001</v>
      </c>
      <c r="G15" s="745">
        <f>(F15-E15)</f>
        <v>914.91800000006333</v>
      </c>
      <c r="H15" s="562">
        <f>G15+'11'!H15</f>
        <v>9918.7680000001565</v>
      </c>
      <c r="I15" s="550">
        <v>800</v>
      </c>
      <c r="J15" s="630">
        <f>H15/DAY(B2)</f>
        <v>826.56400000001304</v>
      </c>
      <c r="K15" s="467"/>
      <c r="L15" s="408"/>
      <c r="N15" s="800"/>
      <c r="O15" s="809"/>
      <c r="P15" s="795"/>
    </row>
    <row r="16" spans="1:17">
      <c r="A16" s="664"/>
      <c r="B16" s="665"/>
      <c r="C16" s="665"/>
      <c r="D16" s="600"/>
      <c r="E16" s="561"/>
      <c r="F16" s="561"/>
      <c r="G16" s="750"/>
      <c r="H16" s="562"/>
      <c r="I16" s="558">
        <f>I15-J15</f>
        <v>-26.564000000013039</v>
      </c>
      <c r="J16" s="630"/>
      <c r="K16" s="467"/>
      <c r="L16" s="408"/>
      <c r="N16" s="800"/>
      <c r="O16" s="809"/>
      <c r="P16" s="795"/>
    </row>
    <row r="17" spans="1:17">
      <c r="A17" s="1420" t="s">
        <v>153</v>
      </c>
      <c r="B17" s="1421"/>
      <c r="C17" s="1422"/>
      <c r="D17" s="548"/>
      <c r="E17" s="548"/>
      <c r="F17" s="548"/>
      <c r="G17" s="564"/>
      <c r="H17" s="548"/>
      <c r="I17" s="548"/>
      <c r="J17" s="628"/>
      <c r="K17" s="467"/>
      <c r="L17" s="408"/>
      <c r="N17" s="800"/>
      <c r="O17" s="809"/>
      <c r="P17" s="795"/>
    </row>
    <row r="18" spans="1:17" ht="27.75">
      <c r="A18" s="1446" t="s">
        <v>154</v>
      </c>
      <c r="B18" s="1447"/>
      <c r="C18" s="1448"/>
      <c r="D18" s="715" t="s">
        <v>155</v>
      </c>
      <c r="E18" s="712">
        <f>'11'!F18</f>
        <v>16</v>
      </c>
      <c r="F18" s="554">
        <v>16</v>
      </c>
      <c r="G18" s="775">
        <f>F18*10</f>
        <v>160</v>
      </c>
      <c r="H18" s="760">
        <f>G18+'11'!H18</f>
        <v>1790</v>
      </c>
      <c r="I18" s="761">
        <f>'1'!I18</f>
        <v>65</v>
      </c>
      <c r="J18" s="762">
        <f>H18/DAY(B2)</f>
        <v>149.16666666666666</v>
      </c>
      <c r="K18" s="467"/>
      <c r="L18" s="408"/>
      <c r="N18" s="800"/>
      <c r="O18" s="809"/>
      <c r="P18" s="795"/>
    </row>
    <row r="19" spans="1:17" ht="27.75">
      <c r="A19" s="1446" t="s">
        <v>71</v>
      </c>
      <c r="B19" s="1447"/>
      <c r="C19" s="1448"/>
      <c r="D19" s="715" t="s">
        <v>155</v>
      </c>
      <c r="E19" s="712">
        <f>'11'!F19</f>
        <v>133599</v>
      </c>
      <c r="F19" s="554">
        <v>133650</v>
      </c>
      <c r="G19" s="770">
        <f t="shared" ref="G19" si="1">F19-E19</f>
        <v>51</v>
      </c>
      <c r="H19" s="760">
        <f>G19+'11'!H19</f>
        <v>602</v>
      </c>
      <c r="I19" s="777"/>
      <c r="J19" s="762">
        <f>H19/DAY(B2)</f>
        <v>50.166666666666664</v>
      </c>
      <c r="K19" s="467"/>
      <c r="L19" s="408"/>
      <c r="N19" s="800"/>
      <c r="O19" s="809"/>
      <c r="P19" s="795"/>
    </row>
    <row r="20" spans="1:17">
      <c r="A20" s="773" t="s">
        <v>156</v>
      </c>
      <c r="B20" s="774"/>
      <c r="C20" s="774"/>
      <c r="D20" s="715"/>
      <c r="E20" s="715"/>
      <c r="F20" s="791"/>
      <c r="G20" s="778">
        <f>G18+G19</f>
        <v>211</v>
      </c>
      <c r="H20" s="760">
        <f>G20+'11'!H20</f>
        <v>2392</v>
      </c>
      <c r="I20" s="779">
        <f>I18-J20</f>
        <v>-134.33333333333334</v>
      </c>
      <c r="J20" s="762">
        <f>H20/DAY(B2)</f>
        <v>199.33333333333334</v>
      </c>
      <c r="K20" s="467"/>
      <c r="L20" s="408"/>
      <c r="N20" s="800"/>
      <c r="O20" s="809"/>
      <c r="P20" s="795"/>
    </row>
    <row r="21" spans="1:17">
      <c r="A21" s="1420" t="s">
        <v>157</v>
      </c>
      <c r="B21" s="1421"/>
      <c r="C21" s="1422"/>
      <c r="D21" s="548"/>
      <c r="E21" s="548"/>
      <c r="F21" s="548"/>
      <c r="G21" s="559"/>
      <c r="H21" s="548"/>
      <c r="I21" s="548"/>
      <c r="J21" s="628"/>
      <c r="K21" s="467"/>
      <c r="L21" s="408"/>
      <c r="N21" s="800"/>
      <c r="O21" s="809"/>
      <c r="P21" s="795"/>
    </row>
    <row r="22" spans="1:17">
      <c r="A22" s="1231" t="s">
        <v>158</v>
      </c>
      <c r="B22" s="666"/>
      <c r="C22" s="666"/>
      <c r="D22" s="599" t="s">
        <v>159</v>
      </c>
      <c r="E22" s="712">
        <f>'11'!F22</f>
        <v>1500</v>
      </c>
      <c r="F22" s="554">
        <v>2250</v>
      </c>
      <c r="G22" s="557">
        <f t="shared" ref="G22" si="2">(F22-E22)</f>
        <v>750</v>
      </c>
      <c r="H22" s="536">
        <f>G22+'11'!H22</f>
        <v>1500</v>
      </c>
      <c r="I22" s="556"/>
      <c r="J22" s="629">
        <f>H22/DAY(B2)</f>
        <v>125</v>
      </c>
      <c r="K22" s="467"/>
      <c r="L22" s="408"/>
      <c r="N22" s="800"/>
      <c r="O22" s="809"/>
      <c r="P22" s="795"/>
    </row>
    <row r="23" spans="1:17">
      <c r="A23" s="1231" t="s">
        <v>160</v>
      </c>
      <c r="B23" s="666"/>
      <c r="C23" s="666"/>
      <c r="D23" s="599" t="s">
        <v>159</v>
      </c>
      <c r="E23" s="712">
        <f>'11'!F23</f>
        <v>400</v>
      </c>
      <c r="F23" s="554">
        <v>2000</v>
      </c>
      <c r="G23" s="557">
        <v>0</v>
      </c>
      <c r="H23" s="536">
        <f>G23+'11'!H23</f>
        <v>1600</v>
      </c>
      <c r="I23" s="556"/>
      <c r="J23" s="629">
        <f>H23/DAY(B2)</f>
        <v>133.33333333333334</v>
      </c>
      <c r="K23" s="467"/>
      <c r="L23" s="408"/>
      <c r="N23" s="800"/>
      <c r="O23" s="809"/>
      <c r="P23" s="795"/>
    </row>
    <row r="24" spans="1:17">
      <c r="A24" s="667" t="s">
        <v>161</v>
      </c>
      <c r="B24" s="668"/>
      <c r="C24" s="668"/>
      <c r="D24" s="587" t="s">
        <v>159</v>
      </c>
      <c r="E24" s="569">
        <f>'11'!F24</f>
        <v>1900</v>
      </c>
      <c r="F24" s="561">
        <v>4250</v>
      </c>
      <c r="G24" s="557">
        <v>0</v>
      </c>
      <c r="H24" s="536">
        <f>G24+'11'!H24</f>
        <v>2350</v>
      </c>
      <c r="I24" s="556"/>
      <c r="J24" s="629">
        <f>H24/DAY(B2)</f>
        <v>195.83333333333334</v>
      </c>
      <c r="K24" s="467"/>
      <c r="L24" s="408"/>
      <c r="N24" s="800"/>
      <c r="O24" s="809"/>
      <c r="P24" s="795"/>
    </row>
    <row r="25" spans="1:17" s="481" customFormat="1" ht="27">
      <c r="A25" s="1425" t="s">
        <v>162</v>
      </c>
      <c r="B25" s="1426"/>
      <c r="C25" s="1427"/>
      <c r="D25" s="547"/>
      <c r="E25" s="547"/>
      <c r="F25" s="547"/>
      <c r="G25" s="570"/>
      <c r="H25" s="571"/>
      <c r="I25" s="572"/>
      <c r="J25" s="631"/>
      <c r="K25" s="404"/>
      <c r="L25" s="484"/>
      <c r="N25" s="800"/>
      <c r="O25" s="809"/>
      <c r="P25" s="795"/>
      <c r="Q25" s="494"/>
    </row>
    <row r="26" spans="1:17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800"/>
      <c r="O26" s="809"/>
      <c r="P26" s="795"/>
      <c r="Q26" s="494"/>
    </row>
    <row r="27" spans="1:17" s="481" customFormat="1" ht="27.75">
      <c r="A27" s="669" t="s">
        <v>6</v>
      </c>
      <c r="B27" s="670"/>
      <c r="C27" s="671"/>
      <c r="D27" s="696" t="s">
        <v>25</v>
      </c>
      <c r="E27" s="780">
        <f>G8</f>
        <v>19531</v>
      </c>
      <c r="F27" s="577">
        <v>9</v>
      </c>
      <c r="G27" s="578">
        <f>E27*F27</f>
        <v>175779</v>
      </c>
      <c r="H27" s="536">
        <f>G27+'11'!H27</f>
        <v>2022048</v>
      </c>
      <c r="I27" s="579"/>
      <c r="J27" s="629">
        <f>H27/DAY(B2)</f>
        <v>168504</v>
      </c>
      <c r="K27" s="404"/>
      <c r="L27" s="484"/>
      <c r="N27" s="800"/>
      <c r="O27" s="809"/>
      <c r="P27" s="795"/>
      <c r="Q27" s="494"/>
    </row>
    <row r="28" spans="1:17" s="481" customFormat="1" ht="27.75">
      <c r="A28" s="669" t="s">
        <v>165</v>
      </c>
      <c r="B28" s="670"/>
      <c r="C28" s="671"/>
      <c r="D28" s="696" t="s">
        <v>166</v>
      </c>
      <c r="E28" s="780">
        <f>G15</f>
        <v>914.91800000006333</v>
      </c>
      <c r="F28" s="577">
        <v>43.5</v>
      </c>
      <c r="G28" s="578">
        <f>E28*F28</f>
        <v>39798.933000002755</v>
      </c>
      <c r="H28" s="536">
        <f>G28+'11'!H28</f>
        <v>431466.40800000681</v>
      </c>
      <c r="I28" s="581"/>
      <c r="J28" s="629">
        <f>H28/DAY(B2)</f>
        <v>35955.534000000567</v>
      </c>
      <c r="K28" s="404"/>
      <c r="L28" s="484"/>
      <c r="N28" s="800"/>
      <c r="O28" s="809"/>
      <c r="P28" s="795"/>
      <c r="Q28" s="494"/>
    </row>
    <row r="29" spans="1:17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G29+'11'!H29</f>
        <v>162150</v>
      </c>
      <c r="I29" s="581"/>
      <c r="J29" s="629">
        <f>H29/DAY(B2)</f>
        <v>13512.5</v>
      </c>
      <c r="K29" s="404"/>
      <c r="L29" s="484"/>
      <c r="N29" s="800"/>
      <c r="O29" s="809"/>
      <c r="P29" s="795"/>
      <c r="Q29" s="494"/>
    </row>
    <row r="30" spans="1:17" s="481" customFormat="1" ht="27.75">
      <c r="A30" s="669" t="s">
        <v>169</v>
      </c>
      <c r="B30" s="670"/>
      <c r="C30" s="671"/>
      <c r="D30" s="696" t="s">
        <v>170</v>
      </c>
      <c r="E30" s="780">
        <f>G19</f>
        <v>51</v>
      </c>
      <c r="F30" s="577">
        <v>134</v>
      </c>
      <c r="G30" s="578">
        <f>E30*F30</f>
        <v>6834</v>
      </c>
      <c r="H30" s="536">
        <f>G30+'11'!H30</f>
        <v>80668</v>
      </c>
      <c r="I30" s="581"/>
      <c r="J30" s="629">
        <f>H30/DAY(B2)</f>
        <v>6722.333333333333</v>
      </c>
      <c r="K30" s="404"/>
      <c r="L30" s="484"/>
      <c r="N30" s="800"/>
      <c r="O30" s="809"/>
      <c r="P30" s="795"/>
      <c r="Q30" s="494"/>
    </row>
    <row r="31" spans="1:17" s="481" customFormat="1" ht="27.75">
      <c r="A31" s="669" t="s">
        <v>171</v>
      </c>
      <c r="B31" s="670"/>
      <c r="C31" s="671"/>
      <c r="D31" s="696" t="s">
        <v>155</v>
      </c>
      <c r="E31" s="780">
        <f>G18</f>
        <v>160</v>
      </c>
      <c r="F31" s="577">
        <v>80</v>
      </c>
      <c r="G31" s="578">
        <f>E31*F31</f>
        <v>12800</v>
      </c>
      <c r="H31" s="536">
        <f>G31+'11'!H31</f>
        <v>143200</v>
      </c>
      <c r="I31" s="581"/>
      <c r="J31" s="629"/>
      <c r="K31" s="404"/>
      <c r="L31" s="484"/>
      <c r="N31" s="800"/>
      <c r="O31" s="809"/>
      <c r="P31" s="795"/>
      <c r="Q31" s="494"/>
    </row>
    <row r="32" spans="1:17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235211.93300000275</v>
      </c>
      <c r="H32" s="536">
        <f>G32+'11'!H32</f>
        <v>2839532.4080000073</v>
      </c>
      <c r="I32" s="585"/>
      <c r="J32" s="629">
        <f>H32/DAY(B2)</f>
        <v>236627.70066666728</v>
      </c>
      <c r="K32" s="404"/>
      <c r="L32" s="484"/>
      <c r="N32" s="800"/>
      <c r="O32" s="809"/>
      <c r="P32" s="795"/>
      <c r="Q32" s="494"/>
    </row>
    <row r="33" spans="1:16" ht="25.5">
      <c r="A33" s="1428" t="s">
        <v>173</v>
      </c>
      <c r="B33" s="1429"/>
      <c r="C33" s="1429"/>
      <c r="D33" s="1429"/>
      <c r="E33" s="1429"/>
      <c r="F33" s="1429"/>
      <c r="G33" s="1429"/>
      <c r="H33" s="1429"/>
      <c r="I33" s="1429"/>
      <c r="J33" s="1430"/>
      <c r="K33" s="467"/>
      <c r="L33" s="408"/>
      <c r="N33" s="800"/>
      <c r="O33" s="809"/>
      <c r="P33" s="795"/>
    </row>
    <row r="34" spans="1:16">
      <c r="A34" s="675" t="s">
        <v>174</v>
      </c>
      <c r="B34" s="1236"/>
      <c r="C34" s="1236"/>
      <c r="D34" s="548"/>
      <c r="E34" s="547"/>
      <c r="F34" s="547"/>
      <c r="G34" s="548"/>
      <c r="H34" s="548"/>
      <c r="I34" s="548"/>
      <c r="J34" s="628"/>
      <c r="K34" s="467"/>
      <c r="L34" s="408"/>
      <c r="N34" s="800"/>
      <c r="O34" s="809"/>
      <c r="P34" s="795"/>
    </row>
    <row r="35" spans="1:16">
      <c r="A35" s="655" t="s">
        <v>175</v>
      </c>
      <c r="B35" s="656"/>
      <c r="C35" s="656"/>
      <c r="D35" s="599" t="s">
        <v>143</v>
      </c>
      <c r="E35" s="586">
        <f>'11'!F35</f>
        <v>643287</v>
      </c>
      <c r="F35" s="586">
        <v>645693.94999999995</v>
      </c>
      <c r="G35" s="549">
        <f t="shared" ref="G35:G46" si="3">F35-E35</f>
        <v>2406.9499999999534</v>
      </c>
      <c r="H35" s="536">
        <f>G35+'11'!H35</f>
        <v>16666.279999999912</v>
      </c>
      <c r="I35" s="531"/>
      <c r="J35" s="629">
        <f>H35/DAY(B2)</f>
        <v>1388.8566666666593</v>
      </c>
      <c r="K35" s="467"/>
      <c r="L35" s="408"/>
      <c r="N35" s="800"/>
      <c r="O35" s="809"/>
      <c r="P35" s="795"/>
    </row>
    <row r="36" spans="1:16">
      <c r="A36" s="655" t="s">
        <v>176</v>
      </c>
      <c r="B36" s="656"/>
      <c r="C36" s="656"/>
      <c r="D36" s="599" t="s">
        <v>143</v>
      </c>
      <c r="E36" s="586">
        <f>'11'!F36</f>
        <v>283502</v>
      </c>
      <c r="F36" s="586">
        <v>284113.75</v>
      </c>
      <c r="G36" s="549">
        <f t="shared" si="3"/>
        <v>611.75</v>
      </c>
      <c r="H36" s="536">
        <f>G36+'11'!H36</f>
        <v>7622.2999999999884</v>
      </c>
      <c r="I36" s="531"/>
      <c r="J36" s="629">
        <f>H36/DAY(B2)</f>
        <v>635.1916666666657</v>
      </c>
      <c r="K36" s="467"/>
      <c r="L36" s="408"/>
      <c r="N36" s="801"/>
      <c r="O36" s="809"/>
      <c r="P36" s="795"/>
    </row>
    <row r="37" spans="1:16">
      <c r="A37" s="655" t="s">
        <v>177</v>
      </c>
      <c r="B37" s="656"/>
      <c r="C37" s="656"/>
      <c r="D37" s="599" t="s">
        <v>143</v>
      </c>
      <c r="E37" s="586">
        <f>'11'!F37</f>
        <v>6499.81</v>
      </c>
      <c r="F37" s="586">
        <v>8004.01</v>
      </c>
      <c r="G37" s="549">
        <f t="shared" si="3"/>
        <v>1504.1999999999998</v>
      </c>
      <c r="H37" s="536">
        <f>G37+'11'!H37</f>
        <v>8004.01</v>
      </c>
      <c r="I37" s="531"/>
      <c r="J37" s="629">
        <f>H37/DAY(B2)</f>
        <v>667.00083333333339</v>
      </c>
      <c r="K37" s="467"/>
      <c r="L37" s="408"/>
      <c r="N37" s="801"/>
      <c r="O37" s="809"/>
      <c r="P37" s="795"/>
    </row>
    <row r="38" spans="1:16">
      <c r="A38" s="655" t="s">
        <v>178</v>
      </c>
      <c r="B38" s="656"/>
      <c r="C38" s="656"/>
      <c r="D38" s="599" t="s">
        <v>143</v>
      </c>
      <c r="E38" s="586">
        <f>'11'!F38</f>
        <v>7753</v>
      </c>
      <c r="F38" s="545">
        <v>9743.94</v>
      </c>
      <c r="G38" s="549">
        <f t="shared" si="3"/>
        <v>1990.9400000000005</v>
      </c>
      <c r="H38" s="536">
        <f>G38+'11'!H38</f>
        <v>9646.0600000000013</v>
      </c>
      <c r="I38" s="531"/>
      <c r="J38" s="629">
        <f>H38/DAY(B2)</f>
        <v>803.83833333333348</v>
      </c>
      <c r="K38" s="467"/>
      <c r="L38" s="408"/>
      <c r="N38" s="800"/>
      <c r="O38" s="809"/>
      <c r="P38" s="795"/>
    </row>
    <row r="39" spans="1:16">
      <c r="A39" s="655" t="s">
        <v>179</v>
      </c>
      <c r="B39" s="656"/>
      <c r="C39" s="656"/>
      <c r="D39" s="599" t="s">
        <v>143</v>
      </c>
      <c r="E39" s="586">
        <f>'11'!F39</f>
        <v>18260</v>
      </c>
      <c r="F39" s="586">
        <v>22323.9</v>
      </c>
      <c r="G39" s="549">
        <f t="shared" si="3"/>
        <v>4063.9000000000015</v>
      </c>
      <c r="H39" s="536">
        <f>G39+'11'!H39</f>
        <v>22323.9</v>
      </c>
      <c r="I39" s="531"/>
      <c r="J39" s="629">
        <f>H39/DAY(B2)</f>
        <v>1860.325</v>
      </c>
      <c r="K39" s="467"/>
      <c r="L39" s="408"/>
      <c r="N39" s="800"/>
      <c r="O39" s="809"/>
      <c r="P39" s="795"/>
    </row>
    <row r="40" spans="1:16">
      <c r="A40" s="676" t="s">
        <v>180</v>
      </c>
      <c r="B40" s="677"/>
      <c r="C40" s="677"/>
      <c r="D40" s="599" t="s">
        <v>143</v>
      </c>
      <c r="E40" s="586">
        <f>'11'!F40</f>
        <v>0.23</v>
      </c>
      <c r="F40" s="586">
        <v>0.17</v>
      </c>
      <c r="G40" s="549">
        <f t="shared" si="3"/>
        <v>-0.06</v>
      </c>
      <c r="H40" s="536">
        <f>G40+'11'!H40</f>
        <v>-0.06</v>
      </c>
      <c r="I40" s="531"/>
      <c r="J40" s="629">
        <f>H40/DAY(B2)</f>
        <v>-5.0000000000000001E-3</v>
      </c>
      <c r="K40" s="468"/>
      <c r="L40" s="408"/>
      <c r="N40" s="800"/>
      <c r="O40" s="809"/>
      <c r="P40" s="795"/>
    </row>
    <row r="41" spans="1:16">
      <c r="A41" s="655" t="s">
        <v>181</v>
      </c>
      <c r="B41" s="656"/>
      <c r="C41" s="656"/>
      <c r="D41" s="599" t="s">
        <v>143</v>
      </c>
      <c r="E41" s="586">
        <f>'11'!F41</f>
        <v>59259.87</v>
      </c>
      <c r="F41" s="586">
        <v>59259.87</v>
      </c>
      <c r="G41" s="549">
        <f>F41-E41</f>
        <v>0</v>
      </c>
      <c r="H41" s="536">
        <f>G41+'11'!H41</f>
        <v>14637.350000000006</v>
      </c>
      <c r="I41" s="531"/>
      <c r="J41" s="629">
        <f>H41/DAY(B2)</f>
        <v>1219.7791666666672</v>
      </c>
      <c r="K41" s="467"/>
      <c r="L41" s="408"/>
      <c r="N41" s="800"/>
      <c r="O41" s="809"/>
      <c r="P41" s="795"/>
    </row>
    <row r="42" spans="1:16">
      <c r="A42" s="655" t="s">
        <v>182</v>
      </c>
      <c r="B42" s="656"/>
      <c r="C42" s="656"/>
      <c r="D42" s="599" t="s">
        <v>143</v>
      </c>
      <c r="E42" s="586">
        <f>'11'!F42</f>
        <v>58926</v>
      </c>
      <c r="F42" s="586">
        <v>58926.099000000002</v>
      </c>
      <c r="G42" s="549">
        <f t="shared" si="3"/>
        <v>9.900000000197906E-2</v>
      </c>
      <c r="H42" s="536">
        <f>G42+'11'!H42</f>
        <v>9.900000000197906E-2</v>
      </c>
      <c r="I42" s="531"/>
      <c r="J42" s="629">
        <f>H42/DAY(B2)</f>
        <v>8.2500000001649223E-3</v>
      </c>
      <c r="K42" s="467"/>
      <c r="L42" s="408"/>
      <c r="N42" s="800"/>
      <c r="O42" s="809"/>
      <c r="P42" s="795"/>
    </row>
    <row r="43" spans="1:16">
      <c r="A43" s="655" t="s">
        <v>183</v>
      </c>
      <c r="B43" s="656"/>
      <c r="C43" s="656"/>
      <c r="D43" s="599" t="s">
        <v>143</v>
      </c>
      <c r="E43" s="586">
        <f>'11'!F43</f>
        <v>786014</v>
      </c>
      <c r="F43" s="586">
        <v>788414.03</v>
      </c>
      <c r="G43" s="549">
        <f t="shared" si="3"/>
        <v>2400.0300000000279</v>
      </c>
      <c r="H43" s="536">
        <f>G43+'11'!H43</f>
        <v>20602.119999999995</v>
      </c>
      <c r="I43" s="531"/>
      <c r="J43" s="629">
        <f>H43/DAY(B2)</f>
        <v>1716.843333333333</v>
      </c>
      <c r="K43" s="467"/>
      <c r="L43" s="408"/>
      <c r="N43" s="800"/>
      <c r="O43" s="809"/>
      <c r="P43" s="795"/>
    </row>
    <row r="44" spans="1:16">
      <c r="A44" s="655" t="s">
        <v>184</v>
      </c>
      <c r="B44" s="656"/>
      <c r="C44" s="656"/>
      <c r="D44" s="599" t="s">
        <v>143</v>
      </c>
      <c r="E44" s="586">
        <f>'11'!F44</f>
        <v>0</v>
      </c>
      <c r="F44" s="586">
        <v>0</v>
      </c>
      <c r="G44" s="549">
        <f t="shared" si="3"/>
        <v>0</v>
      </c>
      <c r="H44" s="536">
        <f>G44+'11'!H44</f>
        <v>0</v>
      </c>
      <c r="I44" s="531"/>
      <c r="J44" s="629">
        <f>H44/DAY(B2)</f>
        <v>0</v>
      </c>
      <c r="K44" s="467"/>
      <c r="L44" s="408"/>
      <c r="N44" s="800"/>
      <c r="O44" s="809"/>
      <c r="P44" s="795"/>
    </row>
    <row r="45" spans="1:16">
      <c r="A45" s="655" t="s">
        <v>185</v>
      </c>
      <c r="B45" s="656"/>
      <c r="C45" s="656"/>
      <c r="D45" s="599" t="s">
        <v>143</v>
      </c>
      <c r="E45" s="586">
        <f>'11'!F45</f>
        <v>614</v>
      </c>
      <c r="F45" s="586">
        <v>614</v>
      </c>
      <c r="G45" s="549">
        <f t="shared" si="3"/>
        <v>0</v>
      </c>
      <c r="H45" s="536">
        <f>G45+'11'!H45</f>
        <v>-0.48000000000001819</v>
      </c>
      <c r="I45" s="531"/>
      <c r="J45" s="629">
        <f>H45/DAY(B2)</f>
        <v>-4.0000000000001514E-2</v>
      </c>
      <c r="K45" s="467"/>
      <c r="L45" s="408"/>
      <c r="N45" s="800"/>
      <c r="O45" s="809"/>
      <c r="P45" s="795"/>
    </row>
    <row r="46" spans="1:16">
      <c r="A46" s="655" t="s">
        <v>186</v>
      </c>
      <c r="B46" s="656"/>
      <c r="C46" s="656"/>
      <c r="D46" s="599" t="s">
        <v>143</v>
      </c>
      <c r="E46" s="586">
        <f>'11'!F46</f>
        <v>187.49</v>
      </c>
      <c r="F46" s="586">
        <v>187.49</v>
      </c>
      <c r="G46" s="549">
        <f t="shared" si="3"/>
        <v>0</v>
      </c>
      <c r="H46" s="536">
        <f>G46+'11'!H46</f>
        <v>0</v>
      </c>
      <c r="I46" s="531"/>
      <c r="J46" s="629">
        <f>H46/DAY(B2)</f>
        <v>0</v>
      </c>
      <c r="K46" s="467"/>
      <c r="L46" s="408"/>
      <c r="N46" s="800"/>
      <c r="O46" s="809"/>
      <c r="P46" s="795"/>
    </row>
    <row r="47" spans="1:16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12977.808999999985</v>
      </c>
      <c r="H47" s="536">
        <f>G47+'11'!H47</f>
        <v>99501.578999999896</v>
      </c>
      <c r="I47" s="531"/>
      <c r="J47" s="629">
        <f>H47/DAY(B2)</f>
        <v>8291.7982499999907</v>
      </c>
      <c r="K47" s="467"/>
      <c r="L47" s="408"/>
      <c r="N47" s="800"/>
      <c r="O47" s="809"/>
      <c r="P47" s="795"/>
    </row>
    <row r="48" spans="1:16">
      <c r="A48" s="675" t="s">
        <v>188</v>
      </c>
      <c r="B48" s="1236"/>
      <c r="C48" s="1236"/>
      <c r="D48" s="548"/>
      <c r="E48" s="547"/>
      <c r="F48" s="547"/>
      <c r="G48" s="548"/>
      <c r="H48" s="548"/>
      <c r="I48" s="548"/>
      <c r="J48" s="628"/>
      <c r="K48" s="467"/>
      <c r="L48" s="408"/>
      <c r="N48" s="800"/>
      <c r="O48" s="809"/>
      <c r="P48" s="795"/>
    </row>
    <row r="49" spans="1:16">
      <c r="A49" s="655" t="s">
        <v>175</v>
      </c>
      <c r="B49" s="678"/>
      <c r="C49" s="678"/>
      <c r="D49" s="599" t="s">
        <v>143</v>
      </c>
      <c r="E49" s="586">
        <f>'11'!F49</f>
        <v>260732</v>
      </c>
      <c r="F49" s="586">
        <v>260732.13</v>
      </c>
      <c r="G49" s="549">
        <f t="shared" ref="G49:G58" si="4">F49-E49</f>
        <v>0.13000000000465661</v>
      </c>
      <c r="H49" s="536">
        <f>G49+'11'!H49</f>
        <v>14833.080000000016</v>
      </c>
      <c r="I49" s="531"/>
      <c r="J49" s="629">
        <f>H49/DAY(B2)</f>
        <v>1236.0900000000013</v>
      </c>
      <c r="K49" s="467"/>
      <c r="L49" s="408"/>
      <c r="N49" s="800"/>
      <c r="O49" s="809"/>
      <c r="P49" s="795"/>
    </row>
    <row r="50" spans="1:16">
      <c r="A50" s="655" t="s">
        <v>189</v>
      </c>
      <c r="B50" s="678"/>
      <c r="C50" s="678"/>
      <c r="D50" s="599" t="s">
        <v>143</v>
      </c>
      <c r="E50" s="586">
        <f>'11'!F50</f>
        <v>381175.71</v>
      </c>
      <c r="F50" s="586">
        <v>382221.75</v>
      </c>
      <c r="G50" s="549">
        <f t="shared" si="4"/>
        <v>1046.039999999979</v>
      </c>
      <c r="H50" s="536">
        <f>G50+'11'!H50</f>
        <v>12561.440000000002</v>
      </c>
      <c r="I50" s="531"/>
      <c r="J50" s="629">
        <f>H50/DAY(B2)</f>
        <v>1046.7866666666669</v>
      </c>
      <c r="K50" s="467"/>
      <c r="L50" s="408"/>
      <c r="N50" s="800"/>
      <c r="O50" s="809"/>
      <c r="P50" s="795"/>
    </row>
    <row r="51" spans="1:16">
      <c r="A51" s="655" t="s">
        <v>177</v>
      </c>
      <c r="B51" s="678"/>
      <c r="C51" s="678"/>
      <c r="D51" s="599" t="s">
        <v>143</v>
      </c>
      <c r="E51" s="586">
        <f>'11'!F51</f>
        <v>120050.92</v>
      </c>
      <c r="F51" s="586">
        <v>120050.92</v>
      </c>
      <c r="G51" s="549">
        <f t="shared" si="4"/>
        <v>0</v>
      </c>
      <c r="H51" s="536">
        <f>G51+'11'!H51</f>
        <v>9951.179999999993</v>
      </c>
      <c r="I51" s="531"/>
      <c r="J51" s="629">
        <f>H51/DAY(B2)</f>
        <v>829.26499999999942</v>
      </c>
      <c r="K51" s="467"/>
      <c r="L51" s="408"/>
      <c r="N51" s="800"/>
      <c r="O51" s="809"/>
      <c r="P51" s="795"/>
    </row>
    <row r="52" spans="1:16">
      <c r="A52" s="655" t="s">
        <v>190</v>
      </c>
      <c r="B52" s="678"/>
      <c r="C52" s="678"/>
      <c r="D52" s="599" t="s">
        <v>143</v>
      </c>
      <c r="E52" s="586">
        <f>'11'!F52</f>
        <v>507912.71</v>
      </c>
      <c r="F52" s="586">
        <v>507912.71</v>
      </c>
      <c r="G52" s="549">
        <f t="shared" si="4"/>
        <v>0</v>
      </c>
      <c r="H52" s="536">
        <f>G52+'11'!H52</f>
        <v>14104.040000000037</v>
      </c>
      <c r="I52" s="531"/>
      <c r="J52" s="629">
        <f>H52/DAY(B2)</f>
        <v>1175.3366666666698</v>
      </c>
      <c r="K52" s="467"/>
      <c r="L52" s="408"/>
      <c r="N52" s="800"/>
      <c r="O52" s="809"/>
      <c r="P52" s="795"/>
    </row>
    <row r="53" spans="1:16">
      <c r="A53" s="655" t="s">
        <v>179</v>
      </c>
      <c r="B53" s="678"/>
      <c r="C53" s="678"/>
      <c r="D53" s="599" t="s">
        <v>143</v>
      </c>
      <c r="E53" s="586">
        <f>'11'!F53</f>
        <v>331854.51</v>
      </c>
      <c r="F53" s="586">
        <v>331854.51</v>
      </c>
      <c r="G53" s="549">
        <f t="shared" si="4"/>
        <v>0</v>
      </c>
      <c r="H53" s="536">
        <f>G53+'11'!H53</f>
        <v>27556.239999999991</v>
      </c>
      <c r="I53" s="531"/>
      <c r="J53" s="629">
        <f>H53/DAY(B2)</f>
        <v>2296.3533333333326</v>
      </c>
      <c r="K53" s="467"/>
      <c r="L53" s="408"/>
      <c r="N53" s="800"/>
      <c r="O53" s="809"/>
      <c r="P53" s="795"/>
    </row>
    <row r="54" spans="1:16">
      <c r="A54" s="655" t="s">
        <v>191</v>
      </c>
      <c r="B54" s="678"/>
      <c r="C54" s="678"/>
      <c r="D54" s="599" t="s">
        <v>143</v>
      </c>
      <c r="E54" s="586">
        <f>'11'!F54</f>
        <v>6907.71</v>
      </c>
      <c r="F54" s="586">
        <v>6978.04</v>
      </c>
      <c r="G54" s="549">
        <f t="shared" si="4"/>
        <v>70.329999999999927</v>
      </c>
      <c r="H54" s="536">
        <f>G54+'11'!H54</f>
        <v>589.23999999999978</v>
      </c>
      <c r="I54" s="531"/>
      <c r="J54" s="629">
        <f>H54/DAY(B2)</f>
        <v>49.103333333333318</v>
      </c>
      <c r="K54" s="467"/>
      <c r="L54" s="408"/>
      <c r="N54" s="800"/>
      <c r="O54" s="809"/>
      <c r="P54" s="795"/>
    </row>
    <row r="55" spans="1:16">
      <c r="A55" s="655" t="s">
        <v>192</v>
      </c>
      <c r="B55" s="678"/>
      <c r="C55" s="678"/>
      <c r="D55" s="599" t="s">
        <v>143</v>
      </c>
      <c r="E55" s="586">
        <f>'11'!F55</f>
        <v>67125</v>
      </c>
      <c r="F55" s="734">
        <v>72010.475000000006</v>
      </c>
      <c r="G55" s="733">
        <f t="shared" si="4"/>
        <v>4885.4750000000058</v>
      </c>
      <c r="H55" s="787">
        <f>G55+'11'!H55</f>
        <v>29022.495000000003</v>
      </c>
      <c r="I55" s="788"/>
      <c r="J55" s="789">
        <f>H55/DAY(B2)</f>
        <v>2418.5412500000002</v>
      </c>
      <c r="K55" s="467"/>
      <c r="L55" s="408"/>
      <c r="N55" s="800"/>
      <c r="O55" s="809"/>
      <c r="P55" s="795"/>
    </row>
    <row r="56" spans="1:16">
      <c r="A56" s="655" t="s">
        <v>193</v>
      </c>
      <c r="B56" s="678"/>
      <c r="C56" s="678"/>
      <c r="D56" s="599" t="s">
        <v>194</v>
      </c>
      <c r="E56" s="586">
        <f>'11'!F56</f>
        <v>557739</v>
      </c>
      <c r="F56" s="734">
        <v>557739</v>
      </c>
      <c r="G56" s="549">
        <f t="shared" si="4"/>
        <v>0</v>
      </c>
      <c r="H56" s="536">
        <f>G56+'11'!H56</f>
        <v>7.0899999999674037</v>
      </c>
      <c r="I56" s="531"/>
      <c r="J56" s="629">
        <f>H56/DAY(B2)</f>
        <v>0.59083333333061694</v>
      </c>
      <c r="K56" s="466"/>
      <c r="L56" s="408"/>
      <c r="N56" s="800"/>
      <c r="O56" s="809"/>
      <c r="P56" s="795"/>
    </row>
    <row r="57" spans="1:16">
      <c r="A57" s="655" t="s">
        <v>183</v>
      </c>
      <c r="B57" s="678"/>
      <c r="C57" s="678"/>
      <c r="D57" s="599" t="s">
        <v>143</v>
      </c>
      <c r="E57" s="586">
        <f>'11'!F57</f>
        <v>7711</v>
      </c>
      <c r="F57" s="586">
        <v>7711</v>
      </c>
      <c r="G57" s="549">
        <f t="shared" si="4"/>
        <v>0</v>
      </c>
      <c r="H57" s="536">
        <f>G57+'11'!H57</f>
        <v>7711</v>
      </c>
      <c r="I57" s="531"/>
      <c r="J57" s="629">
        <f>H57/DAY(B2)</f>
        <v>642.58333333333337</v>
      </c>
      <c r="K57" s="467"/>
      <c r="L57" s="408"/>
      <c r="N57" s="800"/>
      <c r="O57" s="809"/>
      <c r="P57" s="795"/>
    </row>
    <row r="58" spans="1:16">
      <c r="A58" s="655" t="s">
        <v>195</v>
      </c>
      <c r="B58" s="678"/>
      <c r="C58" s="678"/>
      <c r="D58" s="599" t="s">
        <v>143</v>
      </c>
      <c r="E58" s="586">
        <f>'11'!F58</f>
        <v>32346</v>
      </c>
      <c r="F58" s="734">
        <v>32526.080000000002</v>
      </c>
      <c r="G58" s="549">
        <f t="shared" si="4"/>
        <v>180.08000000000175</v>
      </c>
      <c r="H58" s="536">
        <f>G58+'11'!H58</f>
        <v>1796.5400000000045</v>
      </c>
      <c r="I58" s="531"/>
      <c r="J58" s="629">
        <f>H58/DAY(B2)</f>
        <v>149.71166666666704</v>
      </c>
      <c r="K58" s="467"/>
      <c r="L58" s="408"/>
      <c r="N58" s="800"/>
      <c r="O58" s="809"/>
      <c r="P58" s="795"/>
    </row>
    <row r="59" spans="1:16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6182.0549999999912</v>
      </c>
      <c r="H59" s="536">
        <f>G59+'11'!H59</f>
        <v>118132.34500000002</v>
      </c>
      <c r="I59" s="531">
        <f>G7-G60</f>
        <v>288.13600000002407</v>
      </c>
      <c r="J59" s="629">
        <f>H59/DAY(B2)</f>
        <v>9844.3620833333352</v>
      </c>
      <c r="K59" s="467"/>
      <c r="L59" s="408"/>
      <c r="N59" s="800"/>
      <c r="O59" s="809"/>
      <c r="P59" s="795"/>
    </row>
    <row r="60" spans="1:16">
      <c r="A60" s="655"/>
      <c r="B60" s="656"/>
      <c r="C60" s="656"/>
      <c r="D60" s="587" t="s">
        <v>196</v>
      </c>
      <c r="E60" s="587"/>
      <c r="F60" s="587"/>
      <c r="G60" s="557">
        <f>G47+G59</f>
        <v>19159.863999999976</v>
      </c>
      <c r="H60" s="536">
        <f>G60+'11'!H60</f>
        <v>222814.11399999988</v>
      </c>
      <c r="I60" s="531">
        <f>G13-G60</f>
        <v>-274.56399999992937</v>
      </c>
      <c r="J60" s="629">
        <f>H60/DAY(B2)</f>
        <v>18567.842833333325</v>
      </c>
      <c r="K60" s="467"/>
      <c r="L60" s="408"/>
      <c r="N60" s="800"/>
      <c r="O60" s="809"/>
      <c r="P60" s="795"/>
    </row>
    <row r="61" spans="1:16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800"/>
      <c r="O61" s="809"/>
      <c r="P61" s="795"/>
    </row>
    <row r="62" spans="1:16">
      <c r="A62" s="680" t="s">
        <v>106</v>
      </c>
      <c r="B62" s="681"/>
      <c r="C62" s="681"/>
      <c r="D62" s="587" t="s">
        <v>198</v>
      </c>
      <c r="E62" s="590">
        <f>'11'!F62</f>
        <v>20419</v>
      </c>
      <c r="F62" s="590">
        <v>20419</v>
      </c>
      <c r="G62" s="549">
        <f t="shared" ref="G62:G69" si="5">F62-E62</f>
        <v>0</v>
      </c>
      <c r="H62" s="536">
        <f>G62+'11'!H62</f>
        <v>-0.1889999999984866</v>
      </c>
      <c r="I62" s="591"/>
      <c r="J62" s="629">
        <f>H62/DAY(B2)</f>
        <v>-1.5749999999873882E-2</v>
      </c>
      <c r="K62" s="467"/>
      <c r="L62" s="408"/>
      <c r="N62" s="800"/>
      <c r="O62" s="809"/>
      <c r="P62" s="795"/>
    </row>
    <row r="63" spans="1:16">
      <c r="A63" s="680" t="s">
        <v>199</v>
      </c>
      <c r="B63" s="681"/>
      <c r="C63" s="681"/>
      <c r="D63" s="587" t="s">
        <v>198</v>
      </c>
      <c r="E63" s="590">
        <f>'11'!F63</f>
        <v>1486</v>
      </c>
      <c r="F63" s="590">
        <v>1493.87</v>
      </c>
      <c r="G63" s="549">
        <f t="shared" si="5"/>
        <v>7.8699999999998909</v>
      </c>
      <c r="H63" s="536">
        <f>G63+'11'!H63</f>
        <v>161.33999999999992</v>
      </c>
      <c r="I63" s="591"/>
      <c r="J63" s="629">
        <f>H63/DAY(B2)</f>
        <v>13.444999999999993</v>
      </c>
      <c r="K63" s="467"/>
      <c r="L63" s="408"/>
      <c r="N63" s="800"/>
      <c r="O63" s="809"/>
      <c r="P63" s="795"/>
    </row>
    <row r="64" spans="1:16" ht="27.75">
      <c r="A64" s="1385" t="s">
        <v>107</v>
      </c>
      <c r="B64" s="1386"/>
      <c r="C64" s="1387"/>
      <c r="D64" s="599" t="s">
        <v>198</v>
      </c>
      <c r="E64" s="590">
        <f>'11'!F64</f>
        <v>115893</v>
      </c>
      <c r="F64" s="554">
        <v>116317.59</v>
      </c>
      <c r="G64" s="549">
        <f t="shared" si="5"/>
        <v>424.58999999999651</v>
      </c>
      <c r="H64" s="536">
        <f>G64+'11'!H64</f>
        <v>5034.1299999999901</v>
      </c>
      <c r="I64" s="556"/>
      <c r="J64" s="629">
        <f>H64/DAY(B2)</f>
        <v>419.51083333333253</v>
      </c>
      <c r="K64" s="467"/>
      <c r="L64" s="408"/>
      <c r="N64" s="800"/>
      <c r="O64" s="809"/>
      <c r="P64" s="795"/>
    </row>
    <row r="65" spans="1:16" ht="27.75">
      <c r="A65" s="1385" t="s">
        <v>108</v>
      </c>
      <c r="B65" s="1386"/>
      <c r="C65" s="1387"/>
      <c r="D65" s="599" t="s">
        <v>198</v>
      </c>
      <c r="E65" s="590">
        <f>'11'!F65</f>
        <v>125865</v>
      </c>
      <c r="F65" s="732">
        <v>126241.2</v>
      </c>
      <c r="G65" s="549">
        <f t="shared" si="5"/>
        <v>376.19999999999709</v>
      </c>
      <c r="H65" s="536">
        <f>G65+'11'!H65</f>
        <v>4508.0899999999965</v>
      </c>
      <c r="I65" s="565"/>
      <c r="J65" s="629">
        <f>H65/DAY(B2)</f>
        <v>375.67416666666639</v>
      </c>
      <c r="K65" s="467"/>
      <c r="L65" s="408"/>
      <c r="N65" s="800"/>
      <c r="O65" s="809"/>
      <c r="P65" s="795"/>
    </row>
    <row r="66" spans="1:16" ht="27.75">
      <c r="A66" s="1385" t="s">
        <v>109</v>
      </c>
      <c r="B66" s="1386"/>
      <c r="C66" s="1387"/>
      <c r="D66" s="599" t="s">
        <v>198</v>
      </c>
      <c r="E66" s="590">
        <f>'11'!F66</f>
        <v>18485</v>
      </c>
      <c r="F66" s="554">
        <v>18844.145</v>
      </c>
      <c r="G66" s="549">
        <f t="shared" si="5"/>
        <v>359.14500000000044</v>
      </c>
      <c r="H66" s="536">
        <f>G66+'11'!H66</f>
        <v>4684.4050000000007</v>
      </c>
      <c r="I66" s="556"/>
      <c r="J66" s="629">
        <f>H66/DAY(B2)</f>
        <v>390.36708333333337</v>
      </c>
      <c r="K66" s="467"/>
      <c r="L66" s="408"/>
      <c r="N66" s="800"/>
      <c r="O66" s="809"/>
      <c r="P66" s="795"/>
    </row>
    <row r="67" spans="1:16" ht="27.75">
      <c r="A67" s="1385" t="s">
        <v>110</v>
      </c>
      <c r="B67" s="1386"/>
      <c r="C67" s="1387"/>
      <c r="D67" s="599" t="s">
        <v>198</v>
      </c>
      <c r="E67" s="590">
        <f>'11'!F67</f>
        <v>196406</v>
      </c>
      <c r="F67" s="554">
        <v>197071.71</v>
      </c>
      <c r="G67" s="549">
        <f t="shared" si="5"/>
        <v>665.70999999999185</v>
      </c>
      <c r="H67" s="536">
        <f>G67+'11'!H67</f>
        <v>8397.179999999993</v>
      </c>
      <c r="I67" s="565"/>
      <c r="J67" s="629">
        <f>H67/DAY(B2)</f>
        <v>699.76499999999942</v>
      </c>
      <c r="K67" s="468"/>
      <c r="L67" s="408"/>
      <c r="N67" s="800"/>
      <c r="O67" s="809"/>
      <c r="P67" s="795"/>
    </row>
    <row r="68" spans="1:16" ht="27.75">
      <c r="A68" s="1385" t="s">
        <v>111</v>
      </c>
      <c r="B68" s="1386"/>
      <c r="C68" s="1387"/>
      <c r="D68" s="599" t="s">
        <v>198</v>
      </c>
      <c r="E68" s="590">
        <f>'11'!F68</f>
        <v>67026</v>
      </c>
      <c r="F68" s="554">
        <v>67375.86</v>
      </c>
      <c r="G68" s="549">
        <f t="shared" si="5"/>
        <v>349.86000000000058</v>
      </c>
      <c r="H68" s="536">
        <f>G68+'11'!H68</f>
        <v>4076</v>
      </c>
      <c r="I68" s="592"/>
      <c r="J68" s="629">
        <f>H68/DAY(B2)</f>
        <v>339.66666666666669</v>
      </c>
      <c r="K68" s="469"/>
      <c r="L68" s="408"/>
      <c r="N68" s="800"/>
      <c r="O68" s="809"/>
      <c r="P68" s="795"/>
    </row>
    <row r="69" spans="1:16" ht="27.75">
      <c r="A69" s="1385" t="s">
        <v>112</v>
      </c>
      <c r="B69" s="1386"/>
      <c r="C69" s="1387"/>
      <c r="D69" s="599" t="s">
        <v>198</v>
      </c>
      <c r="E69" s="590">
        <f>'11'!F69</f>
        <v>59018</v>
      </c>
      <c r="F69" s="554">
        <v>59324.55</v>
      </c>
      <c r="G69" s="549">
        <f t="shared" si="5"/>
        <v>306.55000000000291</v>
      </c>
      <c r="H69" s="536">
        <f>G69+'11'!H69</f>
        <v>3600.8400000000038</v>
      </c>
      <c r="I69" s="592"/>
      <c r="J69" s="629">
        <f>H69/DAY(B2)</f>
        <v>300.07000000000033</v>
      </c>
      <c r="K69" s="470"/>
      <c r="L69" s="408"/>
      <c r="N69" s="800"/>
      <c r="O69" s="809"/>
      <c r="P69" s="795"/>
    </row>
    <row r="70" spans="1:16" ht="27.75">
      <c r="A70" s="1391" t="s">
        <v>200</v>
      </c>
      <c r="B70" s="1392"/>
      <c r="C70" s="1393"/>
      <c r="D70" s="599" t="s">
        <v>198</v>
      </c>
      <c r="E70" s="594"/>
      <c r="F70" s="594"/>
      <c r="G70" s="594">
        <v>0</v>
      </c>
      <c r="H70" s="536">
        <f>G70+'11'!H70</f>
        <v>0</v>
      </c>
      <c r="I70" s="594"/>
      <c r="J70" s="633">
        <f>H70/DAY(B2)</f>
        <v>0</v>
      </c>
      <c r="K70" s="470"/>
      <c r="L70" s="408"/>
      <c r="N70" s="800"/>
      <c r="O70" s="809"/>
      <c r="P70" s="795"/>
    </row>
    <row r="71" spans="1:16" ht="31.5">
      <c r="A71" s="1388" t="s">
        <v>201</v>
      </c>
      <c r="B71" s="1389"/>
      <c r="C71" s="1389"/>
      <c r="D71" s="1389"/>
      <c r="E71" s="1389"/>
      <c r="F71" s="1389"/>
      <c r="G71" s="1389"/>
      <c r="H71" s="1389"/>
      <c r="I71" s="1389"/>
      <c r="J71" s="1390"/>
      <c r="K71" s="469"/>
      <c r="L71" s="408"/>
      <c r="N71" s="800"/>
      <c r="O71" s="809"/>
      <c r="P71" s="795"/>
    </row>
    <row r="72" spans="1:16" ht="27.75">
      <c r="A72" s="1385" t="s">
        <v>202</v>
      </c>
      <c r="B72" s="1386"/>
      <c r="C72" s="1387"/>
      <c r="D72" s="599" t="s">
        <v>198</v>
      </c>
      <c r="E72" s="595">
        <f>'11'!F72</f>
        <v>849234</v>
      </c>
      <c r="F72" s="735">
        <v>849334</v>
      </c>
      <c r="G72" s="549">
        <f t="shared" ref="G72:G84" si="6">F72-E72</f>
        <v>100</v>
      </c>
      <c r="H72" s="536">
        <f>G72+'11'!H72</f>
        <v>869</v>
      </c>
      <c r="I72" s="556"/>
      <c r="J72" s="629">
        <f>H72/DAY(B2)</f>
        <v>72.416666666666671</v>
      </c>
      <c r="K72" s="470"/>
      <c r="L72" s="408"/>
      <c r="N72" s="800"/>
      <c r="O72" s="809"/>
      <c r="P72" s="795"/>
    </row>
    <row r="73" spans="1:16" ht="27.75">
      <c r="A73" s="1385" t="s">
        <v>203</v>
      </c>
      <c r="B73" s="1386"/>
      <c r="C73" s="1387"/>
      <c r="D73" s="599" t="s">
        <v>198</v>
      </c>
      <c r="E73" s="595">
        <f>'11'!F73</f>
        <v>885731</v>
      </c>
      <c r="F73" s="736">
        <v>885734</v>
      </c>
      <c r="G73" s="733">
        <f t="shared" si="6"/>
        <v>3</v>
      </c>
      <c r="H73" s="536">
        <f>G73+'11'!H73</f>
        <v>6</v>
      </c>
      <c r="I73" s="556"/>
      <c r="J73" s="629">
        <f>H73/DAY(B2)</f>
        <v>0.5</v>
      </c>
      <c r="K73" s="469"/>
      <c r="L73" s="408"/>
      <c r="N73" s="800"/>
      <c r="O73" s="809"/>
      <c r="P73" s="795"/>
    </row>
    <row r="74" spans="1:16" ht="27.75">
      <c r="A74" s="1385" t="s">
        <v>204</v>
      </c>
      <c r="B74" s="1386"/>
      <c r="C74" s="1387"/>
      <c r="D74" s="599" t="s">
        <v>198</v>
      </c>
      <c r="E74" s="595">
        <f>'11'!F74</f>
        <v>36.229999999999997</v>
      </c>
      <c r="F74" s="736">
        <v>51.01</v>
      </c>
      <c r="G74" s="549">
        <f t="shared" si="6"/>
        <v>14.780000000000001</v>
      </c>
      <c r="H74" s="536">
        <f>G74+'11'!H74</f>
        <v>280.11</v>
      </c>
      <c r="I74" s="556"/>
      <c r="J74" s="629">
        <f>H74/DAY(B2)</f>
        <v>23.342500000000001</v>
      </c>
      <c r="K74" s="470"/>
      <c r="L74" s="408"/>
      <c r="N74" s="800"/>
      <c r="O74" s="809"/>
      <c r="P74" s="795"/>
    </row>
    <row r="75" spans="1:16" ht="27.75">
      <c r="A75" s="1382" t="s">
        <v>205</v>
      </c>
      <c r="B75" s="1383"/>
      <c r="C75" s="1384"/>
      <c r="D75" s="599" t="s">
        <v>198</v>
      </c>
      <c r="E75" s="595">
        <f>'11'!F75</f>
        <v>426.93</v>
      </c>
      <c r="F75" s="736">
        <v>609.38</v>
      </c>
      <c r="G75" s="549">
        <f t="shared" si="6"/>
        <v>182.45</v>
      </c>
      <c r="H75" s="536">
        <f>G75+'11'!H75</f>
        <v>2145.7799999999997</v>
      </c>
      <c r="I75" s="556"/>
      <c r="J75" s="629">
        <f>H75/DAY(B2)</f>
        <v>178.81499999999997</v>
      </c>
      <c r="K75" s="469"/>
      <c r="L75" s="408"/>
      <c r="N75" s="800"/>
      <c r="O75" s="809"/>
      <c r="P75" s="795"/>
    </row>
    <row r="76" spans="1:16" ht="27.75">
      <c r="A76" s="1382" t="s">
        <v>206</v>
      </c>
      <c r="B76" s="1383"/>
      <c r="C76" s="1384"/>
      <c r="D76" s="599" t="s">
        <v>198</v>
      </c>
      <c r="E76" s="595">
        <f>'11'!F76</f>
        <v>176.57</v>
      </c>
      <c r="F76" s="736">
        <v>257.77999999999997</v>
      </c>
      <c r="G76" s="549">
        <f t="shared" si="6"/>
        <v>81.20999999999998</v>
      </c>
      <c r="H76" s="536">
        <f>G76+'11'!H76</f>
        <v>1034.9299999999998</v>
      </c>
      <c r="I76" s="581"/>
      <c r="J76" s="629">
        <f>H76/DAY(B2)</f>
        <v>86.244166666666658</v>
      </c>
      <c r="K76" s="469"/>
      <c r="L76" s="408"/>
      <c r="N76" s="800"/>
      <c r="O76" s="809"/>
      <c r="P76" s="795"/>
    </row>
    <row r="77" spans="1:16" ht="27.75">
      <c r="A77" s="1385" t="s">
        <v>207</v>
      </c>
      <c r="B77" s="1386"/>
      <c r="C77" s="1387"/>
      <c r="D77" s="599" t="s">
        <v>198</v>
      </c>
      <c r="E77" s="595">
        <f>'11'!F77</f>
        <v>697728</v>
      </c>
      <c r="F77" s="736">
        <v>697782</v>
      </c>
      <c r="G77" s="733">
        <f t="shared" si="6"/>
        <v>54</v>
      </c>
      <c r="H77" s="536">
        <f>G77+'11'!H77</f>
        <v>675</v>
      </c>
      <c r="I77" s="581"/>
      <c r="J77" s="629">
        <f>H77/DAY(B2)</f>
        <v>56.25</v>
      </c>
      <c r="K77" s="469"/>
      <c r="L77" s="408"/>
      <c r="N77" s="800"/>
      <c r="O77" s="809"/>
      <c r="P77" s="795"/>
    </row>
    <row r="78" spans="1:16" ht="27.75">
      <c r="A78" s="1234" t="s">
        <v>208</v>
      </c>
      <c r="B78" s="1205"/>
      <c r="C78" s="1205"/>
      <c r="D78" s="599" t="s">
        <v>198</v>
      </c>
      <c r="E78" s="595">
        <f>'11'!F78</f>
        <v>646541</v>
      </c>
      <c r="F78" s="737">
        <v>646909</v>
      </c>
      <c r="G78" s="549">
        <f t="shared" si="6"/>
        <v>368</v>
      </c>
      <c r="H78" s="536">
        <f>G78+'11'!H78</f>
        <v>4956</v>
      </c>
      <c r="I78" s="581"/>
      <c r="J78" s="629">
        <f>H78/DAY(B2)</f>
        <v>413</v>
      </c>
      <c r="K78" s="469"/>
      <c r="L78" s="408"/>
      <c r="N78" s="800"/>
      <c r="O78" s="809"/>
      <c r="P78" s="795"/>
    </row>
    <row r="79" spans="1:16" ht="27.75">
      <c r="A79" s="1382" t="s">
        <v>97</v>
      </c>
      <c r="B79" s="1383"/>
      <c r="C79" s="1384"/>
      <c r="D79" s="600" t="s">
        <v>198</v>
      </c>
      <c r="E79" s="595">
        <f>'11'!F79</f>
        <v>811809</v>
      </c>
      <c r="F79" s="737">
        <v>811983</v>
      </c>
      <c r="G79" s="549">
        <f t="shared" si="6"/>
        <v>174</v>
      </c>
      <c r="H79" s="536">
        <f>G79+'11'!H79</f>
        <v>2292</v>
      </c>
      <c r="I79" s="581"/>
      <c r="J79" s="629">
        <f>H79/DAY(B2)</f>
        <v>191</v>
      </c>
      <c r="K79" s="469"/>
      <c r="L79" s="408"/>
      <c r="N79" s="800"/>
      <c r="O79" s="809"/>
      <c r="P79" s="795"/>
    </row>
    <row r="80" spans="1:16" ht="27.75">
      <c r="A80" s="1382" t="s">
        <v>209</v>
      </c>
      <c r="B80" s="1383"/>
      <c r="C80" s="1384"/>
      <c r="D80" s="600" t="s">
        <v>198</v>
      </c>
      <c r="E80" s="595">
        <f>'11'!F80</f>
        <v>488478.92</v>
      </c>
      <c r="F80" s="736">
        <v>488774.44</v>
      </c>
      <c r="G80" s="549">
        <f t="shared" si="6"/>
        <v>295.52000000001863</v>
      </c>
      <c r="H80" s="536">
        <f>G80+'11'!H80</f>
        <v>3647.4400000000023</v>
      </c>
      <c r="I80" s="581"/>
      <c r="J80" s="629">
        <f>H80/DAY(B2)</f>
        <v>303.95333333333355</v>
      </c>
      <c r="K80" s="469"/>
      <c r="L80" s="408"/>
      <c r="N80" s="800"/>
      <c r="O80" s="809"/>
      <c r="P80" s="795"/>
    </row>
    <row r="81" spans="1:17" ht="27.75">
      <c r="A81" s="1382" t="s">
        <v>210</v>
      </c>
      <c r="B81" s="1383"/>
      <c r="C81" s="1384"/>
      <c r="D81" s="600" t="s">
        <v>198</v>
      </c>
      <c r="E81" s="595">
        <f>'11'!F81</f>
        <v>623876.52</v>
      </c>
      <c r="F81" s="736">
        <v>623980.43999999994</v>
      </c>
      <c r="G81" s="549">
        <f t="shared" si="6"/>
        <v>103.91999999992549</v>
      </c>
      <c r="H81" s="536">
        <f>G81+'11'!H81</f>
        <v>1205.4399999999441</v>
      </c>
      <c r="I81" s="581"/>
      <c r="J81" s="629">
        <f>H81/DAY(B2)</f>
        <v>100.45333333332867</v>
      </c>
      <c r="K81" s="469"/>
      <c r="L81" s="408"/>
      <c r="N81" s="800"/>
      <c r="O81" s="809"/>
      <c r="P81" s="795"/>
    </row>
    <row r="82" spans="1:17" ht="27.75">
      <c r="A82" s="1382" t="s">
        <v>100</v>
      </c>
      <c r="B82" s="1383"/>
      <c r="C82" s="1384"/>
      <c r="D82" s="561" t="s">
        <v>143</v>
      </c>
      <c r="E82" s="595">
        <f>'11'!F82</f>
        <v>105783.46</v>
      </c>
      <c r="F82" s="732">
        <v>105806.69</v>
      </c>
      <c r="G82" s="549">
        <f t="shared" si="6"/>
        <v>23.229999999995925</v>
      </c>
      <c r="H82" s="536">
        <f>G82+'11'!H82</f>
        <v>366.69000000000233</v>
      </c>
      <c r="I82" s="562"/>
      <c r="J82" s="629">
        <f>H82/DAY(B2)</f>
        <v>30.557500000000193</v>
      </c>
      <c r="K82" s="469"/>
      <c r="L82" s="408"/>
      <c r="N82" s="800"/>
      <c r="O82" s="809"/>
      <c r="P82" s="795"/>
    </row>
    <row r="83" spans="1:17" ht="27.75">
      <c r="A83" s="1382" t="s">
        <v>211</v>
      </c>
      <c r="B83" s="1383"/>
      <c r="C83" s="1384"/>
      <c r="D83" s="697" t="s">
        <v>143</v>
      </c>
      <c r="E83" s="595">
        <f>'11'!F83</f>
        <v>988348</v>
      </c>
      <c r="F83" s="587">
        <v>988651</v>
      </c>
      <c r="G83" s="549">
        <f t="shared" si="6"/>
        <v>303</v>
      </c>
      <c r="H83" s="536">
        <f>G83+'11'!H83</f>
        <v>4910</v>
      </c>
      <c r="I83" s="557"/>
      <c r="J83" s="629">
        <f>H83/DAY(B2)</f>
        <v>409.16666666666669</v>
      </c>
      <c r="K83" s="468"/>
      <c r="L83" s="408"/>
      <c r="N83" s="800"/>
      <c r="O83" s="809"/>
      <c r="P83" s="795"/>
    </row>
    <row r="84" spans="1:17">
      <c r="A84" s="1235" t="s">
        <v>212</v>
      </c>
      <c r="B84" s="648"/>
      <c r="C84" s="648"/>
      <c r="D84" s="554" t="s">
        <v>143</v>
      </c>
      <c r="E84" s="595">
        <f>'11'!F84</f>
        <v>421370</v>
      </c>
      <c r="F84" s="704">
        <v>421718</v>
      </c>
      <c r="G84" s="549">
        <f t="shared" si="6"/>
        <v>348</v>
      </c>
      <c r="H84" s="536">
        <f>G84+'11'!H84</f>
        <v>5645</v>
      </c>
      <c r="I84" s="557"/>
      <c r="J84" s="629">
        <f>H84/DAY(B2)</f>
        <v>470.41666666666669</v>
      </c>
      <c r="K84" s="411"/>
      <c r="L84" s="408"/>
      <c r="N84" s="800"/>
      <c r="O84" s="809"/>
      <c r="P84" s="795"/>
    </row>
    <row r="85" spans="1:17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SUM(G71:G84)</f>
        <v>2051.1099999999401</v>
      </c>
      <c r="H85" s="536">
        <f>G85+'11'!H85</f>
        <v>26220.389999999948</v>
      </c>
      <c r="I85" s="557"/>
      <c r="J85" s="629">
        <f>H85/DAY(B2)</f>
        <v>2185.0324999999957</v>
      </c>
      <c r="K85" s="411"/>
      <c r="L85" s="409"/>
      <c r="N85" s="800"/>
      <c r="O85" s="809"/>
      <c r="P85" s="795"/>
      <c r="Q85" s="817"/>
    </row>
    <row r="86" spans="1:17" s="817" customFormat="1">
      <c r="A86" s="812" t="s">
        <v>102</v>
      </c>
      <c r="B86" s="813"/>
      <c r="C86" s="813"/>
      <c r="D86" s="814" t="s">
        <v>194</v>
      </c>
      <c r="E86" s="704">
        <f>'11'!F86</f>
        <v>448563.88</v>
      </c>
      <c r="F86" s="728">
        <v>448682.92</v>
      </c>
      <c r="G86" s="787">
        <f t="shared" ref="G86:G90" si="7">F86-E86</f>
        <v>119.03999999997905</v>
      </c>
      <c r="H86" s="787">
        <f t="shared" ref="H86:H88" si="8">G86</f>
        <v>119.03999999997905</v>
      </c>
      <c r="I86" s="733"/>
      <c r="J86" s="789">
        <f>H86/DAY(B2)</f>
        <v>9.9199999999982538</v>
      </c>
      <c r="K86" s="815"/>
      <c r="L86" s="816"/>
      <c r="O86" s="795"/>
    </row>
    <row r="87" spans="1:17" s="817" customFormat="1">
      <c r="A87" s="812" t="s">
        <v>103</v>
      </c>
      <c r="B87" s="813"/>
      <c r="C87" s="813"/>
      <c r="D87" s="814" t="s">
        <v>194</v>
      </c>
      <c r="E87" s="704">
        <f>'11'!F87</f>
        <v>78760.3</v>
      </c>
      <c r="F87" s="728">
        <v>78787.600000000006</v>
      </c>
      <c r="G87" s="787">
        <f t="shared" si="7"/>
        <v>27.30000000000291</v>
      </c>
      <c r="H87" s="787">
        <f t="shared" si="8"/>
        <v>27.30000000000291</v>
      </c>
      <c r="I87" s="733"/>
      <c r="J87" s="789">
        <f>H87/DAY(B2)</f>
        <v>2.2750000000002424</v>
      </c>
      <c r="K87" s="815"/>
      <c r="L87" s="816"/>
      <c r="O87" s="795"/>
    </row>
    <row r="88" spans="1:17" s="817" customFormat="1">
      <c r="A88" s="812" t="s">
        <v>104</v>
      </c>
      <c r="B88" s="813"/>
      <c r="C88" s="813"/>
      <c r="D88" s="814" t="s">
        <v>194</v>
      </c>
      <c r="E88" s="704">
        <f>'11'!F88</f>
        <v>147204.70000000001</v>
      </c>
      <c r="F88" s="728">
        <v>147280.16</v>
      </c>
      <c r="G88" s="787">
        <f t="shared" si="7"/>
        <v>75.459999999991851</v>
      </c>
      <c r="H88" s="787">
        <f t="shared" si="8"/>
        <v>75.459999999991851</v>
      </c>
      <c r="I88" s="733"/>
      <c r="J88" s="789">
        <f>H88/DAY(B2)</f>
        <v>6.2883333333326545</v>
      </c>
      <c r="K88" s="815"/>
      <c r="L88" s="816"/>
      <c r="O88" s="795"/>
    </row>
    <row r="89" spans="1:17" s="817" customFormat="1">
      <c r="A89" s="812" t="s">
        <v>215</v>
      </c>
      <c r="B89" s="813"/>
      <c r="C89" s="813"/>
      <c r="D89" s="814" t="s">
        <v>194</v>
      </c>
      <c r="E89" s="704">
        <f>'11'!F89</f>
        <v>60564.6</v>
      </c>
      <c r="F89" s="728">
        <v>60630.9</v>
      </c>
      <c r="G89" s="787">
        <f t="shared" si="7"/>
        <v>66.30000000000291</v>
      </c>
      <c r="H89" s="787">
        <f>G89</f>
        <v>66.30000000000291</v>
      </c>
      <c r="I89" s="733"/>
      <c r="J89" s="789">
        <f>H89/DAY(B2)</f>
        <v>5.5250000000002428</v>
      </c>
      <c r="K89" s="815"/>
      <c r="L89" s="816"/>
      <c r="N89" s="860"/>
      <c r="O89" s="795"/>
    </row>
    <row r="90" spans="1:17" s="817" customFormat="1">
      <c r="A90" s="812" t="s">
        <v>215</v>
      </c>
      <c r="B90" s="813"/>
      <c r="C90" s="813"/>
      <c r="D90" s="814" t="s">
        <v>194</v>
      </c>
      <c r="E90" s="704">
        <f>'11'!F90</f>
        <v>3106.4</v>
      </c>
      <c r="F90" s="728">
        <v>3111.1</v>
      </c>
      <c r="G90" s="787">
        <f t="shared" si="7"/>
        <v>4.6999999999998181</v>
      </c>
      <c r="H90" s="787">
        <f>G90</f>
        <v>4.6999999999998181</v>
      </c>
      <c r="I90" s="733"/>
      <c r="J90" s="789">
        <f>H90/DAY(B2)</f>
        <v>0.39166666666665151</v>
      </c>
      <c r="K90" s="815"/>
      <c r="L90" s="816"/>
      <c r="N90" s="860"/>
      <c r="O90" s="795"/>
    </row>
    <row r="91" spans="1:17" s="410" customFormat="1">
      <c r="A91" s="683" t="s">
        <v>216</v>
      </c>
      <c r="B91" s="1237"/>
      <c r="C91" s="1237"/>
      <c r="D91" s="548"/>
      <c r="E91" s="548"/>
      <c r="F91" s="548"/>
      <c r="G91" s="564"/>
      <c r="H91" s="548"/>
      <c r="I91" s="548"/>
      <c r="J91" s="628"/>
      <c r="K91" s="411"/>
      <c r="L91" s="409"/>
      <c r="N91" s="800"/>
      <c r="O91" s="809"/>
      <c r="P91" s="795"/>
      <c r="Q91" s="817"/>
    </row>
    <row r="92" spans="1:17" ht="27.75">
      <c r="A92" s="1406" t="s">
        <v>217</v>
      </c>
      <c r="B92" s="1407"/>
      <c r="C92" s="1408"/>
      <c r="D92" s="599" t="s">
        <v>155</v>
      </c>
      <c r="E92" s="560">
        <f>'11'!F92</f>
        <v>237662</v>
      </c>
      <c r="F92" s="554">
        <v>237791</v>
      </c>
      <c r="G92" s="549">
        <f t="shared" ref="G92:G93" si="9">F92-E92</f>
        <v>129</v>
      </c>
      <c r="H92" s="536">
        <f>G92+'11'!H92</f>
        <v>1221</v>
      </c>
      <c r="I92" s="556"/>
      <c r="J92" s="629">
        <f>H92/DAY(B2)</f>
        <v>101.75</v>
      </c>
      <c r="K92" s="468"/>
      <c r="L92" s="408"/>
      <c r="N92" s="800"/>
      <c r="O92" s="809"/>
      <c r="P92" s="795"/>
    </row>
    <row r="93" spans="1:17" ht="27.75">
      <c r="A93" s="1406" t="s">
        <v>218</v>
      </c>
      <c r="B93" s="1407"/>
      <c r="C93" s="1408"/>
      <c r="D93" s="599" t="s">
        <v>155</v>
      </c>
      <c r="E93" s="560">
        <f>'11'!F93</f>
        <v>172909</v>
      </c>
      <c r="F93" s="554">
        <v>173026</v>
      </c>
      <c r="G93" s="549">
        <f t="shared" si="9"/>
        <v>117</v>
      </c>
      <c r="H93" s="536">
        <f>G93+'11'!H93</f>
        <v>1850</v>
      </c>
      <c r="I93" s="556"/>
      <c r="J93" s="629">
        <f>H93/DAY(B2)</f>
        <v>154.16666666666666</v>
      </c>
      <c r="K93" s="411"/>
      <c r="L93" s="408"/>
      <c r="N93" s="800"/>
      <c r="O93" s="809"/>
      <c r="P93" s="795"/>
    </row>
    <row r="94" spans="1:17">
      <c r="A94" s="1434" t="s">
        <v>219</v>
      </c>
      <c r="B94" s="1435"/>
      <c r="C94" s="1436"/>
      <c r="D94" s="599"/>
      <c r="E94" s="560">
        <f>'11'!F94</f>
        <v>0</v>
      </c>
      <c r="F94" s="554"/>
      <c r="G94" s="549">
        <f>G92+G93</f>
        <v>246</v>
      </c>
      <c r="H94" s="536">
        <f>G94+'11'!H94</f>
        <v>2784</v>
      </c>
      <c r="I94" s="556"/>
      <c r="J94" s="629">
        <f>H94/DAY(B2)</f>
        <v>232</v>
      </c>
      <c r="K94" s="411"/>
      <c r="L94" s="408"/>
      <c r="N94" s="800"/>
      <c r="O94" s="809"/>
      <c r="P94" s="795"/>
    </row>
    <row r="95" spans="1:17" ht="27.75">
      <c r="A95" s="1406" t="s">
        <v>220</v>
      </c>
      <c r="B95" s="1407"/>
      <c r="C95" s="1408"/>
      <c r="D95" s="599" t="s">
        <v>155</v>
      </c>
      <c r="E95" s="560">
        <f>'11'!F95</f>
        <v>406614</v>
      </c>
      <c r="F95" s="554">
        <v>406700</v>
      </c>
      <c r="G95" s="549">
        <f t="shared" ref="G95:G100" si="10">F95-E95</f>
        <v>86</v>
      </c>
      <c r="H95" s="536">
        <f>G95+'11'!H95</f>
        <v>824</v>
      </c>
      <c r="I95" s="556"/>
      <c r="J95" s="629">
        <f>H95/DAY(B2)</f>
        <v>68.666666666666671</v>
      </c>
      <c r="K95" s="411"/>
      <c r="L95" s="408"/>
      <c r="N95" s="800"/>
      <c r="O95" s="809"/>
      <c r="P95" s="795"/>
    </row>
    <row r="96" spans="1:17" ht="27.75">
      <c r="A96" s="1231" t="s">
        <v>221</v>
      </c>
      <c r="B96" s="1232"/>
      <c r="C96" s="1232"/>
      <c r="D96" s="599" t="s">
        <v>155</v>
      </c>
      <c r="E96" s="560">
        <f>'11'!F96</f>
        <v>100938</v>
      </c>
      <c r="F96" s="554">
        <v>100976</v>
      </c>
      <c r="G96" s="549">
        <f t="shared" si="10"/>
        <v>38</v>
      </c>
      <c r="H96" s="536">
        <f>G96+'11'!H96</f>
        <v>442</v>
      </c>
      <c r="I96" s="556"/>
      <c r="J96" s="629">
        <f>H96/DAY(B2)</f>
        <v>36.833333333333336</v>
      </c>
      <c r="K96" s="466"/>
      <c r="L96" s="408"/>
      <c r="N96" s="800"/>
      <c r="O96" s="809"/>
      <c r="P96" s="795"/>
    </row>
    <row r="97" spans="1:17" ht="27.75">
      <c r="A97" s="1231" t="s">
        <v>222</v>
      </c>
      <c r="B97" s="1232"/>
      <c r="C97" s="1232"/>
      <c r="D97" s="599" t="s">
        <v>155</v>
      </c>
      <c r="E97" s="560">
        <f>'11'!F97</f>
        <v>95999</v>
      </c>
      <c r="F97" s="554">
        <v>96026</v>
      </c>
      <c r="G97" s="549">
        <f t="shared" si="10"/>
        <v>27</v>
      </c>
      <c r="H97" s="536">
        <f>G97+'11'!H97</f>
        <v>349</v>
      </c>
      <c r="I97" s="556"/>
      <c r="J97" s="629">
        <f>H97/DAY(B2)</f>
        <v>29.083333333333332</v>
      </c>
      <c r="K97" s="471"/>
      <c r="L97" s="408"/>
      <c r="N97" s="800"/>
      <c r="O97" s="809"/>
      <c r="P97" s="795"/>
    </row>
    <row r="98" spans="1:17" ht="27.75">
      <c r="A98" s="1231" t="s">
        <v>223</v>
      </c>
      <c r="B98" s="1232"/>
      <c r="C98" s="1232"/>
      <c r="D98" s="599" t="s">
        <v>155</v>
      </c>
      <c r="E98" s="560">
        <f>'11'!F98</f>
        <v>146313</v>
      </c>
      <c r="F98" s="554">
        <v>146396</v>
      </c>
      <c r="G98" s="549">
        <f t="shared" si="10"/>
        <v>83</v>
      </c>
      <c r="H98" s="536">
        <f>G98+'11'!H98</f>
        <v>842</v>
      </c>
      <c r="I98" s="556"/>
      <c r="J98" s="629">
        <f>H98/DAY(B2)</f>
        <v>70.166666666666671</v>
      </c>
      <c r="K98" s="411"/>
      <c r="L98" s="408"/>
      <c r="N98" s="802"/>
      <c r="O98" s="809"/>
      <c r="P98" s="795"/>
    </row>
    <row r="99" spans="1:17" ht="27.75">
      <c r="A99" s="1231" t="s">
        <v>224</v>
      </c>
      <c r="B99" s="1232"/>
      <c r="C99" s="1232"/>
      <c r="D99" s="599" t="s">
        <v>155</v>
      </c>
      <c r="E99" s="560">
        <f>'11'!F99</f>
        <v>6092</v>
      </c>
      <c r="F99" s="554">
        <v>6102</v>
      </c>
      <c r="G99" s="549">
        <f t="shared" si="10"/>
        <v>10</v>
      </c>
      <c r="H99" s="536">
        <f>G99+'11'!H99</f>
        <v>128</v>
      </c>
      <c r="I99" s="556"/>
      <c r="J99" s="629">
        <f>H99/DAY(B2)</f>
        <v>10.666666666666666</v>
      </c>
      <c r="K99" s="411"/>
      <c r="L99" s="408"/>
      <c r="N99" s="800"/>
      <c r="O99" s="809"/>
      <c r="P99" s="795"/>
    </row>
    <row r="100" spans="1:17" ht="27.75">
      <c r="A100" s="1231" t="s">
        <v>225</v>
      </c>
      <c r="B100" s="1232"/>
      <c r="C100" s="1232"/>
      <c r="D100" s="599" t="s">
        <v>155</v>
      </c>
      <c r="E100" s="560">
        <f>'11'!F100</f>
        <v>4321</v>
      </c>
      <c r="F100" s="554">
        <v>4328</v>
      </c>
      <c r="G100" s="549">
        <f t="shared" si="10"/>
        <v>7</v>
      </c>
      <c r="H100" s="536">
        <f>G100+'11'!H100</f>
        <v>91</v>
      </c>
      <c r="I100" s="556"/>
      <c r="J100" s="629">
        <f>H100/DAY(B2)</f>
        <v>7.583333333333333</v>
      </c>
      <c r="K100" s="411"/>
      <c r="L100" s="408"/>
      <c r="N100" s="800"/>
      <c r="O100" s="809"/>
      <c r="P100" s="795"/>
    </row>
    <row r="101" spans="1:17">
      <c r="A101" s="1434" t="s">
        <v>227</v>
      </c>
      <c r="B101" s="1435"/>
      <c r="C101" s="1436"/>
      <c r="D101" s="600"/>
      <c r="E101" s="560"/>
      <c r="F101" s="600"/>
      <c r="G101" s="601">
        <f>SUM(G95:G100)</f>
        <v>251</v>
      </c>
      <c r="H101" s="536">
        <f>G101+'11'!H101</f>
        <v>2676</v>
      </c>
      <c r="I101" s="602"/>
      <c r="J101" s="629">
        <f>H101/DAY(B2)</f>
        <v>223</v>
      </c>
      <c r="K101" s="411"/>
      <c r="L101" s="408"/>
      <c r="N101" s="800"/>
      <c r="O101" s="809"/>
      <c r="P101" s="795"/>
    </row>
    <row r="102" spans="1:17" s="481" customFormat="1" ht="27">
      <c r="A102" s="684" t="s">
        <v>228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800"/>
      <c r="O102" s="809"/>
      <c r="P102" s="795"/>
      <c r="Q102" s="494"/>
    </row>
    <row r="103" spans="1:17" s="481" customFormat="1" ht="27.75">
      <c r="A103" s="1437" t="s">
        <v>229</v>
      </c>
      <c r="B103" s="1438"/>
      <c r="C103" s="650"/>
      <c r="D103" s="699"/>
      <c r="E103" s="560"/>
      <c r="F103" s="739"/>
      <c r="G103" s="608"/>
      <c r="H103" s="609"/>
      <c r="I103" s="608"/>
      <c r="J103" s="635"/>
      <c r="N103" s="800"/>
      <c r="O103" s="809"/>
      <c r="P103" s="795"/>
      <c r="Q103" s="494"/>
    </row>
    <row r="104" spans="1:17" s="481" customFormat="1" ht="27.75">
      <c r="A104" s="1398" t="s">
        <v>230</v>
      </c>
      <c r="B104" s="1399"/>
      <c r="C104" s="1230"/>
      <c r="D104" s="699" t="s">
        <v>155</v>
      </c>
      <c r="E104" s="560">
        <f>'11'!F104</f>
        <v>7010</v>
      </c>
      <c r="F104" s="739">
        <v>7010</v>
      </c>
      <c r="G104" s="608">
        <f>F104-E104</f>
        <v>0</v>
      </c>
      <c r="H104" s="609">
        <f>SUM(G104+'1'!G76)</f>
        <v>74</v>
      </c>
      <c r="I104" s="608"/>
      <c r="J104" s="635">
        <f>H104/DAY(B2)</f>
        <v>6.166666666666667</v>
      </c>
      <c r="N104" s="800"/>
      <c r="O104" s="809"/>
      <c r="P104" s="795"/>
      <c r="Q104" s="494"/>
    </row>
    <row r="105" spans="1:17" s="481" customFormat="1" ht="27.75">
      <c r="A105" s="1398" t="s">
        <v>77</v>
      </c>
      <c r="B105" s="1399"/>
      <c r="C105" s="1230"/>
      <c r="D105" s="699" t="s">
        <v>155</v>
      </c>
      <c r="E105" s="560">
        <f>'11'!F105</f>
        <v>35237</v>
      </c>
      <c r="F105" s="740">
        <v>35246</v>
      </c>
      <c r="G105" s="608">
        <f t="shared" ref="G105:G106" si="11">F105-E105</f>
        <v>9</v>
      </c>
      <c r="H105" s="609">
        <f>SUM(G105+'1'!G77)</f>
        <v>57</v>
      </c>
      <c r="I105" s="608"/>
      <c r="J105" s="635">
        <f>H105/DAY(B2)</f>
        <v>4.75</v>
      </c>
      <c r="N105" s="800"/>
      <c r="O105" s="809"/>
      <c r="P105" s="795"/>
      <c r="Q105" s="494"/>
    </row>
    <row r="106" spans="1:17" s="481" customFormat="1" ht="27.75">
      <c r="A106" s="1398" t="s">
        <v>78</v>
      </c>
      <c r="B106" s="1439"/>
      <c r="C106" s="1399"/>
      <c r="D106" s="699" t="s">
        <v>155</v>
      </c>
      <c r="E106" s="560">
        <f>'11'!F106</f>
        <v>19134</v>
      </c>
      <c r="F106" s="740">
        <v>19146</v>
      </c>
      <c r="G106" s="608">
        <f t="shared" si="11"/>
        <v>12</v>
      </c>
      <c r="H106" s="609">
        <f>SUM(G106+'1'!G78)</f>
        <v>346</v>
      </c>
      <c r="I106" s="608"/>
      <c r="J106" s="635">
        <f>H106/DAY(B2)</f>
        <v>28.833333333333332</v>
      </c>
      <c r="N106" s="800"/>
      <c r="O106" s="809"/>
      <c r="P106" s="795"/>
      <c r="Q106" s="494"/>
    </row>
    <row r="107" spans="1:17" s="481" customFormat="1" ht="27.75">
      <c r="A107" s="1400" t="s">
        <v>213</v>
      </c>
      <c r="B107" s="1401"/>
      <c r="C107" s="1230"/>
      <c r="D107" s="699"/>
      <c r="E107" s="560"/>
      <c r="F107" s="740"/>
      <c r="G107" s="608">
        <f>SUM(G104:G106)</f>
        <v>21</v>
      </c>
      <c r="H107" s="609">
        <f>SUM(G107+'1'!G79)</f>
        <v>226</v>
      </c>
      <c r="I107" s="608"/>
      <c r="J107" s="635">
        <f>H107/DAY(B2)</f>
        <v>18.833333333333332</v>
      </c>
      <c r="N107" s="800"/>
      <c r="O107" s="809"/>
      <c r="P107" s="795"/>
      <c r="Q107" s="494"/>
    </row>
    <row r="108" spans="1:17" s="481" customFormat="1" ht="27.75">
      <c r="A108" s="1404" t="s">
        <v>79</v>
      </c>
      <c r="B108" s="1405"/>
      <c r="C108" s="1230"/>
      <c r="D108" s="699" t="s">
        <v>155</v>
      </c>
      <c r="E108" s="560"/>
      <c r="F108" s="740"/>
      <c r="G108" s="608"/>
      <c r="H108" s="609"/>
      <c r="I108" s="608"/>
      <c r="J108" s="635"/>
      <c r="N108" s="800"/>
      <c r="O108" s="809"/>
      <c r="P108" s="795"/>
      <c r="Q108" s="494"/>
    </row>
    <row r="109" spans="1:17" s="481" customFormat="1" ht="27.75">
      <c r="A109" s="1398" t="s">
        <v>231</v>
      </c>
      <c r="B109" s="1399"/>
      <c r="C109" s="1230"/>
      <c r="D109" s="699" t="s">
        <v>155</v>
      </c>
      <c r="E109" s="560">
        <f>'11'!F109</f>
        <v>55321</v>
      </c>
      <c r="F109" s="740">
        <v>55385</v>
      </c>
      <c r="G109" s="608">
        <f>F109-E109</f>
        <v>64</v>
      </c>
      <c r="H109" s="609">
        <f>SUM(G109+'1'!G81)</f>
        <v>140</v>
      </c>
      <c r="I109" s="608"/>
      <c r="J109" s="635">
        <f>H109/DAY(B2)</f>
        <v>11.666666666666666</v>
      </c>
      <c r="N109" s="800"/>
      <c r="O109" s="809"/>
      <c r="P109" s="795"/>
      <c r="Q109" s="494"/>
    </row>
    <row r="110" spans="1:17" s="481" customFormat="1" ht="27.75">
      <c r="A110" s="1398" t="s">
        <v>232</v>
      </c>
      <c r="B110" s="1399"/>
      <c r="C110" s="1230"/>
      <c r="D110" s="699" t="s">
        <v>155</v>
      </c>
      <c r="E110" s="560">
        <f>'11'!F110</f>
        <v>29246</v>
      </c>
      <c r="F110" s="740">
        <v>29305</v>
      </c>
      <c r="G110" s="608">
        <f t="shared" ref="G110:G111" si="12">F110-E110</f>
        <v>59</v>
      </c>
      <c r="H110" s="609">
        <f>SUM(G110+'1'!G82)</f>
        <v>104</v>
      </c>
      <c r="I110" s="608"/>
      <c r="J110" s="635">
        <f>H110/DAY(B2)</f>
        <v>8.6666666666666661</v>
      </c>
      <c r="N110" s="800"/>
      <c r="O110" s="809"/>
      <c r="P110" s="795"/>
      <c r="Q110" s="494"/>
    </row>
    <row r="111" spans="1:17" s="481" customFormat="1" ht="27.75">
      <c r="A111" s="1398" t="s">
        <v>233</v>
      </c>
      <c r="B111" s="1399"/>
      <c r="C111" s="1230"/>
      <c r="D111" s="699" t="s">
        <v>155</v>
      </c>
      <c r="E111" s="560">
        <f>'11'!F111</f>
        <v>3857</v>
      </c>
      <c r="F111" s="740">
        <v>3857</v>
      </c>
      <c r="G111" s="608">
        <f t="shared" si="12"/>
        <v>0</v>
      </c>
      <c r="H111" s="609">
        <f>SUM(G111+'1'!G83)</f>
        <v>433</v>
      </c>
      <c r="I111" s="608"/>
      <c r="J111" s="635">
        <f>H111/DAY(B2)</f>
        <v>36.083333333333336</v>
      </c>
      <c r="N111" s="800"/>
      <c r="O111" s="809"/>
      <c r="P111" s="795"/>
      <c r="Q111" s="494"/>
    </row>
    <row r="112" spans="1:17" s="481" customFormat="1" ht="27.75">
      <c r="A112" s="1400" t="s">
        <v>121</v>
      </c>
      <c r="B112" s="1401"/>
      <c r="C112" s="1230"/>
      <c r="D112" s="699"/>
      <c r="E112" s="560"/>
      <c r="F112" s="740"/>
      <c r="G112" s="608">
        <f>SUM(G109:G111)</f>
        <v>123</v>
      </c>
      <c r="H112" s="609">
        <f>SUM(G112+'1'!G84)</f>
        <v>644</v>
      </c>
      <c r="I112" s="608"/>
      <c r="J112" s="635">
        <f>H112/DAY(B2)</f>
        <v>53.666666666666664</v>
      </c>
      <c r="N112" s="800"/>
      <c r="O112" s="809"/>
      <c r="P112" s="795"/>
      <c r="Q112" s="494"/>
    </row>
    <row r="113" spans="1:17" s="481" customFormat="1" ht="27.75">
      <c r="A113" s="1404" t="s">
        <v>234</v>
      </c>
      <c r="B113" s="1405"/>
      <c r="C113" s="1230"/>
      <c r="D113" s="699"/>
      <c r="E113" s="560"/>
      <c r="F113" s="740"/>
      <c r="G113" s="608"/>
      <c r="H113" s="609"/>
      <c r="I113" s="608"/>
      <c r="J113" s="635">
        <f>H113/DAY(B2)</f>
        <v>0</v>
      </c>
      <c r="N113" s="800"/>
      <c r="O113" s="809"/>
      <c r="P113" s="795"/>
      <c r="Q113" s="494"/>
    </row>
    <row r="114" spans="1:17" s="481" customFormat="1" ht="27.75">
      <c r="A114" s="1398" t="s">
        <v>235</v>
      </c>
      <c r="B114" s="1399"/>
      <c r="C114" s="651"/>
      <c r="D114" s="699" t="s">
        <v>155</v>
      </c>
      <c r="E114" s="560">
        <f>'11'!F114</f>
        <v>9945</v>
      </c>
      <c r="F114" s="740">
        <v>9959</v>
      </c>
      <c r="G114" s="610">
        <f>F114-E114</f>
        <v>14</v>
      </c>
      <c r="H114" s="609">
        <f>SUM(G114+'1'!G91)</f>
        <v>14</v>
      </c>
      <c r="I114" s="608"/>
      <c r="J114" s="635">
        <f>H114/DAY(B2)</f>
        <v>1.1666666666666667</v>
      </c>
      <c r="N114" s="800"/>
      <c r="O114" s="809"/>
      <c r="P114" s="795"/>
      <c r="Q114" s="494"/>
    </row>
    <row r="115" spans="1:17" s="481" customFormat="1" ht="27.75">
      <c r="A115" s="1398" t="s">
        <v>236</v>
      </c>
      <c r="B115" s="1399"/>
      <c r="C115" s="651"/>
      <c r="D115" s="699" t="s">
        <v>155</v>
      </c>
      <c r="E115" s="560">
        <f>'11'!F115</f>
        <v>7495</v>
      </c>
      <c r="F115" s="740">
        <v>7503</v>
      </c>
      <c r="G115" s="610">
        <f t="shared" ref="G115:G116" si="13">F115-E115</f>
        <v>8</v>
      </c>
      <c r="H115" s="609">
        <f>SUM(G115+'1'!G92)</f>
        <v>95</v>
      </c>
      <c r="I115" s="608"/>
      <c r="J115" s="635">
        <f>H115/DAY(B2)</f>
        <v>7.916666666666667</v>
      </c>
      <c r="N115" s="800"/>
      <c r="O115" s="809"/>
      <c r="P115" s="795"/>
      <c r="Q115" s="494"/>
    </row>
    <row r="116" spans="1:17" s="481" customFormat="1" ht="27.75">
      <c r="A116" s="1398" t="s">
        <v>237</v>
      </c>
      <c r="B116" s="1399"/>
      <c r="C116" s="651"/>
      <c r="D116" s="699" t="s">
        <v>155</v>
      </c>
      <c r="E116" s="610"/>
      <c r="F116" s="740"/>
      <c r="G116" s="610">
        <f t="shared" si="13"/>
        <v>0</v>
      </c>
      <c r="H116" s="609">
        <f>SUM(G116+'1'!G93)</f>
        <v>200</v>
      </c>
      <c r="I116" s="608"/>
      <c r="J116" s="635">
        <f>H116/DAY(B2)</f>
        <v>16.666666666666668</v>
      </c>
      <c r="N116" s="800"/>
      <c r="O116" s="809"/>
      <c r="P116" s="795"/>
      <c r="Q116" s="494"/>
    </row>
    <row r="117" spans="1:17" s="494" customFormat="1" ht="27.75">
      <c r="A117" s="1400" t="s">
        <v>213</v>
      </c>
      <c r="B117" s="1401"/>
      <c r="C117" s="651"/>
      <c r="D117" s="700"/>
      <c r="E117" s="610"/>
      <c r="F117" s="740"/>
      <c r="G117" s="610">
        <f>SUM(G114:G116)</f>
        <v>22</v>
      </c>
      <c r="H117" s="609">
        <f>SUM(G117+'1'!G95)</f>
        <v>94</v>
      </c>
      <c r="I117" s="610"/>
      <c r="J117" s="635">
        <f>H117/DAY(B2)</f>
        <v>7.833333333333333</v>
      </c>
      <c r="N117" s="800"/>
      <c r="O117" s="809"/>
      <c r="P117" s="795"/>
    </row>
    <row r="118" spans="1:17" s="495" customFormat="1" ht="27.75">
      <c r="A118" s="1394" t="s">
        <v>238</v>
      </c>
      <c r="B118" s="1395"/>
      <c r="C118" s="1228"/>
      <c r="D118" s="701" t="s">
        <v>155</v>
      </c>
      <c r="E118" s="612"/>
      <c r="F118" s="741">
        <f>SUM(G19+G92)</f>
        <v>180</v>
      </c>
      <c r="G118" s="612">
        <f>SUM(G19+G92)</f>
        <v>180</v>
      </c>
      <c r="H118" s="609">
        <f>SUM(G118+'1'!G96)</f>
        <v>203</v>
      </c>
      <c r="I118" s="611"/>
      <c r="J118" s="636">
        <f>H118/DAY(B2)</f>
        <v>16.916666666666668</v>
      </c>
      <c r="N118" s="800"/>
      <c r="O118" s="809"/>
      <c r="P118" s="795"/>
    </row>
    <row r="119" spans="1:17" s="495" customFormat="1" ht="27.75">
      <c r="A119" s="1394" t="s">
        <v>239</v>
      </c>
      <c r="B119" s="1395"/>
      <c r="C119" s="1228"/>
      <c r="D119" s="701" t="s">
        <v>155</v>
      </c>
      <c r="E119" s="612"/>
      <c r="F119" s="741">
        <f>SUM(G95,G96,G97,G99,G100)</f>
        <v>168</v>
      </c>
      <c r="G119" s="612">
        <f>SUM(G95,G96,G97,G99,G100)</f>
        <v>168</v>
      </c>
      <c r="H119" s="609">
        <f>SUM(G119+'1'!G98)</f>
        <v>251</v>
      </c>
      <c r="I119" s="611"/>
      <c r="J119" s="636">
        <f>H119/DAY(B2)</f>
        <v>20.916666666666668</v>
      </c>
      <c r="N119" s="800"/>
      <c r="O119" s="809"/>
      <c r="P119" s="795"/>
    </row>
    <row r="120" spans="1:17" s="495" customFormat="1" ht="27.75">
      <c r="A120" s="1394" t="s">
        <v>240</v>
      </c>
      <c r="B120" s="1395"/>
      <c r="C120" s="1228"/>
      <c r="D120" s="701" t="s">
        <v>155</v>
      </c>
      <c r="E120" s="610"/>
      <c r="F120" s="740">
        <f>SUM(G112)</f>
        <v>123</v>
      </c>
      <c r="G120" s="610">
        <f>SUM(G112)</f>
        <v>123</v>
      </c>
      <c r="H120" s="609">
        <f>SUM(G120+'1'!G100)</f>
        <v>129</v>
      </c>
      <c r="I120" s="611"/>
      <c r="J120" s="636">
        <f>H120/DAY(B2)</f>
        <v>10.75</v>
      </c>
      <c r="N120" s="800"/>
      <c r="O120" s="809"/>
      <c r="P120" s="795"/>
    </row>
    <row r="121" spans="1:17" s="481" customFormat="1" ht="27.75">
      <c r="A121" s="1396"/>
      <c r="B121" s="1397"/>
      <c r="C121" s="1229"/>
      <c r="D121" s="637"/>
      <c r="E121" s="637"/>
      <c r="F121" s="742" t="s">
        <v>226</v>
      </c>
      <c r="G121" s="637"/>
      <c r="H121" s="638"/>
      <c r="I121" s="637"/>
      <c r="J121" s="639"/>
      <c r="N121" s="800"/>
      <c r="O121" s="809"/>
      <c r="P121" s="795"/>
      <c r="Q121" s="494"/>
    </row>
    <row r="122" spans="1:17">
      <c r="A122" s="1431" t="s">
        <v>241</v>
      </c>
      <c r="B122" s="1432"/>
      <c r="C122" s="1433"/>
      <c r="D122" s="548"/>
      <c r="E122" s="548"/>
      <c r="F122" s="548"/>
      <c r="G122" s="559"/>
      <c r="H122" s="559"/>
      <c r="I122" s="559"/>
      <c r="J122" s="640"/>
      <c r="K122" s="411"/>
      <c r="L122" s="408"/>
      <c r="N122" s="800"/>
      <c r="O122" s="809"/>
      <c r="P122" s="795"/>
    </row>
    <row r="123" spans="1:17" ht="27.75">
      <c r="A123" s="1231" t="s">
        <v>242</v>
      </c>
      <c r="B123" s="1232"/>
      <c r="C123" s="1232"/>
      <c r="D123" s="599" t="s">
        <v>152</v>
      </c>
      <c r="E123" s="554">
        <f>'11'!F123</f>
        <v>806430.86</v>
      </c>
      <c r="F123" s="554">
        <v>806704.88</v>
      </c>
      <c r="G123" s="549">
        <f t="shared" ref="G123:G127" si="14">F123-E123</f>
        <v>274.02000000001863</v>
      </c>
      <c r="H123" s="536">
        <f>G123+'11'!H123</f>
        <v>3369.4799999999814</v>
      </c>
      <c r="I123" s="602"/>
      <c r="J123" s="629">
        <f>H123/DAY(B2)</f>
        <v>280.78999999999843</v>
      </c>
      <c r="K123" s="411"/>
      <c r="L123" s="408"/>
      <c r="N123" s="800"/>
      <c r="O123" s="809"/>
      <c r="P123" s="795"/>
    </row>
    <row r="124" spans="1:17" ht="27.75">
      <c r="A124" s="1231" t="s">
        <v>243</v>
      </c>
      <c r="B124" s="1232"/>
      <c r="C124" s="1232"/>
      <c r="D124" s="599" t="s">
        <v>152</v>
      </c>
      <c r="E124" s="703">
        <f>'11'!F124</f>
        <v>73583.399999999994</v>
      </c>
      <c r="F124" s="703">
        <v>73583.399999999994</v>
      </c>
      <c r="G124" s="549">
        <f t="shared" si="14"/>
        <v>0</v>
      </c>
      <c r="H124" s="536">
        <f>G124+'11'!H124</f>
        <v>1.3999999999941792</v>
      </c>
      <c r="I124" s="602"/>
      <c r="J124" s="629">
        <f>H124/DAY(B2)</f>
        <v>0.1166666666661816</v>
      </c>
      <c r="K124" s="411"/>
      <c r="L124" s="408"/>
      <c r="N124" s="800"/>
      <c r="O124" s="809"/>
      <c r="P124" s="795"/>
    </row>
    <row r="125" spans="1:17" ht="27.75">
      <c r="A125" s="1385" t="s">
        <v>244</v>
      </c>
      <c r="B125" s="1386"/>
      <c r="C125" s="1387"/>
      <c r="D125" s="599" t="s">
        <v>152</v>
      </c>
      <c r="E125" s="554">
        <f>'11'!F125</f>
        <v>138568.85999999999</v>
      </c>
      <c r="F125" s="554">
        <v>138647</v>
      </c>
      <c r="G125" s="549">
        <f t="shared" si="14"/>
        <v>78.14000000001397</v>
      </c>
      <c r="H125" s="536">
        <f>G125+'11'!H125</f>
        <v>799</v>
      </c>
      <c r="I125" s="602"/>
      <c r="J125" s="629">
        <f>H125/DAY(B2)</f>
        <v>66.583333333333329</v>
      </c>
      <c r="K125" s="411"/>
      <c r="L125" s="408"/>
      <c r="N125" s="800"/>
      <c r="O125" s="809"/>
      <c r="P125" s="795"/>
    </row>
    <row r="126" spans="1:17" ht="27.75">
      <c r="A126" s="686" t="s">
        <v>245</v>
      </c>
      <c r="B126" s="1232"/>
      <c r="C126" s="1232"/>
      <c r="D126" s="599" t="s">
        <v>152</v>
      </c>
      <c r="E126" s="703">
        <f>'11'!F126</f>
        <v>58808.800000000003</v>
      </c>
      <c r="F126" s="703">
        <v>58846.5</v>
      </c>
      <c r="G126" s="549">
        <f t="shared" si="14"/>
        <v>37.69999999999709</v>
      </c>
      <c r="H126" s="536">
        <f>G126+'11'!H126</f>
        <v>454.80000000000291</v>
      </c>
      <c r="I126" s="602"/>
      <c r="J126" s="629">
        <f>H126/DAY(B2)</f>
        <v>37.90000000000024</v>
      </c>
      <c r="K126" s="411"/>
      <c r="L126" s="408"/>
      <c r="N126" s="800"/>
      <c r="O126" s="809"/>
      <c r="P126" s="795"/>
    </row>
    <row r="127" spans="1:17" ht="27.75">
      <c r="A127" s="686" t="s">
        <v>246</v>
      </c>
      <c r="B127" s="1232"/>
      <c r="C127" s="1232"/>
      <c r="D127" s="599" t="s">
        <v>152</v>
      </c>
      <c r="E127" s="703">
        <f>'11'!F127</f>
        <v>8839</v>
      </c>
      <c r="F127" s="703">
        <v>8842.4</v>
      </c>
      <c r="G127" s="549">
        <f t="shared" si="14"/>
        <v>3.3999999999996362</v>
      </c>
      <c r="H127" s="536">
        <f>G127+'11'!H127</f>
        <v>26.399999999999636</v>
      </c>
      <c r="I127" s="556"/>
      <c r="J127" s="629">
        <f>H127/DAY(B2)</f>
        <v>2.1999999999999695</v>
      </c>
      <c r="K127" s="411"/>
      <c r="L127" s="408"/>
      <c r="N127" s="800"/>
      <c r="O127" s="809"/>
      <c r="P127" s="795"/>
    </row>
    <row r="128" spans="1:17" s="281" customFormat="1" ht="27.75">
      <c r="A128" s="686" t="s">
        <v>247</v>
      </c>
      <c r="B128" s="1232"/>
      <c r="C128" s="1232"/>
      <c r="D128" s="599"/>
      <c r="E128" s="554"/>
      <c r="F128" s="554"/>
      <c r="G128" s="549">
        <f>G15-SUM(G123:G127)</f>
        <v>521.65800000003401</v>
      </c>
      <c r="H128" s="536">
        <f>H15-SUM(H123:H127)</f>
        <v>5267.6880000001784</v>
      </c>
      <c r="I128" s="556"/>
      <c r="J128" s="629"/>
      <c r="K128" s="391"/>
      <c r="L128" s="293"/>
      <c r="N128" s="800"/>
      <c r="O128" s="809"/>
      <c r="P128" s="795"/>
      <c r="Q128" s="792"/>
    </row>
    <row r="129" spans="1:16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800"/>
      <c r="O129" s="809"/>
      <c r="P129" s="795"/>
    </row>
    <row r="130" spans="1:16" ht="27.75">
      <c r="A130" s="1231" t="s">
        <v>249</v>
      </c>
      <c r="B130" s="1232"/>
      <c r="C130" s="1232"/>
      <c r="D130" s="599" t="s">
        <v>250</v>
      </c>
      <c r="E130" s="560">
        <f>'11'!F130</f>
        <v>0</v>
      </c>
      <c r="F130" s="554">
        <v>0</v>
      </c>
      <c r="G130" s="549">
        <f t="shared" ref="G130:G140" si="15">F130-E130</f>
        <v>0</v>
      </c>
      <c r="H130" s="536">
        <f>G130+'11'!H130</f>
        <v>0</v>
      </c>
      <c r="I130" s="556"/>
      <c r="J130" s="629">
        <f>H130/DAY(B2)</f>
        <v>0</v>
      </c>
      <c r="N130" s="800"/>
      <c r="O130" s="809"/>
      <c r="P130" s="795"/>
    </row>
    <row r="131" spans="1:16" ht="27.75">
      <c r="A131" s="1231" t="s">
        <v>251</v>
      </c>
      <c r="B131" s="1232"/>
      <c r="C131" s="1232"/>
      <c r="D131" s="599" t="s">
        <v>250</v>
      </c>
      <c r="E131" s="560">
        <f>'11'!F131</f>
        <v>0</v>
      </c>
      <c r="F131" s="554">
        <v>0</v>
      </c>
      <c r="G131" s="549">
        <f t="shared" si="15"/>
        <v>0</v>
      </c>
      <c r="H131" s="536">
        <f>G131+'11'!H131</f>
        <v>0</v>
      </c>
      <c r="I131" s="556"/>
      <c r="J131" s="629">
        <f>H131/DAY(B2)</f>
        <v>0</v>
      </c>
      <c r="N131" s="800"/>
      <c r="O131" s="809"/>
      <c r="P131" s="795"/>
    </row>
    <row r="132" spans="1:16" ht="27.75">
      <c r="A132" s="1231" t="s">
        <v>252</v>
      </c>
      <c r="B132" s="1232"/>
      <c r="C132" s="1232"/>
      <c r="D132" s="599" t="s">
        <v>250</v>
      </c>
      <c r="E132" s="618">
        <f>'11'!F132</f>
        <v>39191.29</v>
      </c>
      <c r="F132" s="732">
        <v>39191.29</v>
      </c>
      <c r="G132" s="549">
        <f t="shared" si="15"/>
        <v>0</v>
      </c>
      <c r="H132" s="536">
        <f>G132+'11'!H132</f>
        <v>86.849999999998545</v>
      </c>
      <c r="I132" s="556"/>
      <c r="J132" s="629">
        <f>H132/DAY(B2)</f>
        <v>7.237499999999879</v>
      </c>
      <c r="N132" s="800"/>
      <c r="O132" s="809"/>
      <c r="P132" s="795"/>
    </row>
    <row r="133" spans="1:16" ht="27.75">
      <c r="A133" s="1231" t="s">
        <v>253</v>
      </c>
      <c r="B133" s="1232"/>
      <c r="C133" s="1232"/>
      <c r="D133" s="599" t="s">
        <v>250</v>
      </c>
      <c r="E133" s="782">
        <f>'11'!F133</f>
        <v>299</v>
      </c>
      <c r="F133" s="703">
        <v>299</v>
      </c>
      <c r="G133" s="549">
        <f t="shared" si="15"/>
        <v>0</v>
      </c>
      <c r="H133" s="536">
        <f>G133+'11'!H133</f>
        <v>0</v>
      </c>
      <c r="I133" s="556">
        <f>G130+G131+G132+G133</f>
        <v>0</v>
      </c>
      <c r="J133" s="629">
        <f>H133/DAY(B2)</f>
        <v>0</v>
      </c>
      <c r="N133" s="800"/>
      <c r="O133" s="809"/>
      <c r="P133" s="795"/>
    </row>
    <row r="134" spans="1:16" ht="27.75">
      <c r="A134" s="1231" t="s">
        <v>254</v>
      </c>
      <c r="B134" s="1232"/>
      <c r="C134" s="1232"/>
      <c r="D134" s="599" t="s">
        <v>250</v>
      </c>
      <c r="E134" s="782">
        <f>'11'!F134</f>
        <v>40128.019999999997</v>
      </c>
      <c r="F134" s="703">
        <v>40152</v>
      </c>
      <c r="G134" s="549">
        <f t="shared" si="15"/>
        <v>23.980000000003201</v>
      </c>
      <c r="H134" s="536">
        <f>G134+'11'!H134</f>
        <v>201</v>
      </c>
      <c r="I134" s="556"/>
      <c r="J134" s="629">
        <f>H134/DAY(B2)</f>
        <v>16.75</v>
      </c>
      <c r="N134" s="800"/>
      <c r="O134" s="809"/>
      <c r="P134" s="795"/>
    </row>
    <row r="135" spans="1:16" ht="27.75">
      <c r="A135" s="1231" t="s">
        <v>255</v>
      </c>
      <c r="B135" s="1232"/>
      <c r="C135" s="1232"/>
      <c r="D135" s="599" t="s">
        <v>250</v>
      </c>
      <c r="E135" s="598">
        <f>'11'!F135</f>
        <v>32423</v>
      </c>
      <c r="F135" s="732">
        <v>32423</v>
      </c>
      <c r="G135" s="549">
        <f t="shared" si="15"/>
        <v>0</v>
      </c>
      <c r="H135" s="536">
        <f>G135+'11'!H135</f>
        <v>0</v>
      </c>
      <c r="I135" s="556"/>
      <c r="J135" s="629">
        <f>H135/DAY(B2)</f>
        <v>0</v>
      </c>
      <c r="N135" s="800"/>
      <c r="O135" s="809"/>
      <c r="P135" s="795"/>
    </row>
    <row r="136" spans="1:16" ht="27.75">
      <c r="A136" s="1231" t="s">
        <v>256</v>
      </c>
      <c r="B136" s="1232"/>
      <c r="C136" s="1232"/>
      <c r="D136" s="599" t="s">
        <v>250</v>
      </c>
      <c r="E136" s="618">
        <f>'11'!F136</f>
        <v>22071.279999999999</v>
      </c>
      <c r="F136" s="732">
        <v>22080.14</v>
      </c>
      <c r="G136" s="549">
        <f t="shared" si="15"/>
        <v>8.8600000000005821</v>
      </c>
      <c r="H136" s="536">
        <f>G136+'11'!H136</f>
        <v>78.180000000000291</v>
      </c>
      <c r="I136" s="556">
        <f>G134+G135+G136</f>
        <v>32.840000000003783</v>
      </c>
      <c r="J136" s="629">
        <f>H136/DAY(B2)</f>
        <v>6.5150000000000245</v>
      </c>
      <c r="N136" s="800"/>
      <c r="O136" s="809"/>
      <c r="P136" s="795"/>
    </row>
    <row r="137" spans="1:16" ht="27.75">
      <c r="A137" s="1231" t="s">
        <v>257</v>
      </c>
      <c r="B137" s="1232"/>
      <c r="C137" s="1232"/>
      <c r="D137" s="599" t="s">
        <v>250</v>
      </c>
      <c r="E137" s="618">
        <f>'11'!F137</f>
        <v>25030</v>
      </c>
      <c r="F137" s="732">
        <v>25030.03</v>
      </c>
      <c r="G137" s="549">
        <f t="shared" si="15"/>
        <v>2.9999999998835847E-2</v>
      </c>
      <c r="H137" s="536">
        <f>G137+'11'!H137</f>
        <v>10.090000000000146</v>
      </c>
      <c r="I137" s="556"/>
      <c r="J137" s="629">
        <f>H137/DAY(B2)</f>
        <v>0.84083333333334542</v>
      </c>
      <c r="N137" s="800"/>
      <c r="O137" s="809"/>
      <c r="P137" s="795"/>
    </row>
    <row r="138" spans="1:16" ht="27.75">
      <c r="A138" s="1231" t="s">
        <v>258</v>
      </c>
      <c r="B138" s="1232"/>
      <c r="C138" s="1232"/>
      <c r="D138" s="599" t="s">
        <v>250</v>
      </c>
      <c r="E138" s="618">
        <f>'11'!F138</f>
        <v>70078</v>
      </c>
      <c r="F138" s="732">
        <v>70083.520000000004</v>
      </c>
      <c r="G138" s="549">
        <f t="shared" si="15"/>
        <v>5.5200000000040745</v>
      </c>
      <c r="H138" s="536">
        <f>G138+'11'!H138</f>
        <v>19.630000000004657</v>
      </c>
      <c r="I138" s="556">
        <f>G137+G138</f>
        <v>5.5500000000029104</v>
      </c>
      <c r="J138" s="629">
        <f>H138/DAY(B2)</f>
        <v>1.6358333333337214</v>
      </c>
      <c r="N138" s="800"/>
      <c r="O138" s="809"/>
      <c r="P138" s="795"/>
    </row>
    <row r="139" spans="1:16" ht="27.75">
      <c r="A139" s="1231" t="s">
        <v>259</v>
      </c>
      <c r="B139" s="1232"/>
      <c r="C139" s="1232"/>
      <c r="D139" s="599" t="s">
        <v>250</v>
      </c>
      <c r="E139" s="782">
        <f>'11'!F139</f>
        <v>1291.79</v>
      </c>
      <c r="F139" s="703">
        <v>1299.07</v>
      </c>
      <c r="G139" s="549">
        <f t="shared" si="15"/>
        <v>7.2799999999999727</v>
      </c>
      <c r="H139" s="536">
        <f>G139+'11'!H139</f>
        <v>98.480000000000018</v>
      </c>
      <c r="I139" s="619"/>
      <c r="J139" s="629">
        <f>H139/DAY(B2)</f>
        <v>8.2066666666666688</v>
      </c>
      <c r="N139" s="800"/>
      <c r="O139" s="809"/>
      <c r="P139" s="795"/>
    </row>
    <row r="140" spans="1:16" ht="27.75">
      <c r="A140" s="1231" t="s">
        <v>260</v>
      </c>
      <c r="B140" s="1232"/>
      <c r="C140" s="1232"/>
      <c r="D140" s="599" t="s">
        <v>250</v>
      </c>
      <c r="E140" s="560">
        <f>'11'!F140</f>
        <v>4334</v>
      </c>
      <c r="F140" s="554">
        <v>4333.53</v>
      </c>
      <c r="G140" s="549">
        <f t="shared" si="15"/>
        <v>-0.47000000000025466</v>
      </c>
      <c r="H140" s="536">
        <f>G140+'11'!H140</f>
        <v>-0.47000000000025466</v>
      </c>
      <c r="I140" s="619"/>
      <c r="J140" s="629">
        <f>H140/DAY(B2)</f>
        <v>-3.9166666666687888E-2</v>
      </c>
      <c r="N140" s="800"/>
      <c r="O140" s="809"/>
      <c r="P140" s="795"/>
    </row>
    <row r="141" spans="1:16">
      <c r="A141" s="1412" t="s">
        <v>261</v>
      </c>
      <c r="B141" s="1413"/>
      <c r="C141" s="1237"/>
      <c r="D141" s="548"/>
      <c r="E141" s="548"/>
      <c r="F141" s="548"/>
      <c r="G141" s="559"/>
      <c r="H141" s="559"/>
      <c r="I141" s="559"/>
      <c r="J141" s="640"/>
      <c r="K141" s="411"/>
      <c r="L141" s="408"/>
      <c r="N141" s="800"/>
      <c r="O141" s="809"/>
      <c r="P141" s="795"/>
    </row>
    <row r="142" spans="1:16" ht="27.75">
      <c r="A142" s="1406" t="s">
        <v>262</v>
      </c>
      <c r="B142" s="1407"/>
      <c r="C142" s="1408"/>
      <c r="D142" s="599" t="s">
        <v>143</v>
      </c>
      <c r="E142" s="599"/>
      <c r="F142" s="599"/>
      <c r="G142" s="536">
        <f>G35+G43+G49+G57</f>
        <v>4807.109999999986</v>
      </c>
      <c r="H142" s="536">
        <f>G142+'11'!H142</f>
        <v>59812.479999999923</v>
      </c>
      <c r="I142" s="556"/>
      <c r="J142" s="629">
        <f>H142/DAY(B2)</f>
        <v>4984.3733333333266</v>
      </c>
      <c r="K142" s="411"/>
      <c r="L142" s="408"/>
      <c r="N142" s="800"/>
      <c r="O142" s="809"/>
      <c r="P142" s="795"/>
    </row>
    <row r="143" spans="1:16" ht="27.75">
      <c r="A143" s="1406" t="s">
        <v>263</v>
      </c>
      <c r="B143" s="1407"/>
      <c r="C143" s="1408"/>
      <c r="D143" s="599" t="s">
        <v>24</v>
      </c>
      <c r="E143" s="587"/>
      <c r="F143" s="587"/>
      <c r="G143" s="620">
        <f>G142/G7</f>
        <v>0.24717760180995405</v>
      </c>
      <c r="H143" s="536">
        <f>G143+'11'!H143</f>
        <v>3.0297154338329491</v>
      </c>
      <c r="I143" s="621"/>
      <c r="J143" s="629">
        <f>H143/DAY(B2)</f>
        <v>0.25247628615274575</v>
      </c>
      <c r="K143" s="411"/>
      <c r="L143" s="408"/>
      <c r="N143" s="800"/>
      <c r="O143" s="809"/>
      <c r="P143" s="795"/>
    </row>
    <row r="144" spans="1:16" ht="27.75">
      <c r="A144" s="1406" t="s">
        <v>264</v>
      </c>
      <c r="B144" s="1407"/>
      <c r="C144" s="1408"/>
      <c r="D144" s="599" t="s">
        <v>143</v>
      </c>
      <c r="E144" s="531"/>
      <c r="F144" s="531"/>
      <c r="G144" s="536">
        <f>G41+G42+G55+G56</f>
        <v>4885.5740000000078</v>
      </c>
      <c r="H144" s="536">
        <f>G144+'11'!H144</f>
        <v>47534.433999999979</v>
      </c>
      <c r="I144" s="556"/>
      <c r="J144" s="629">
        <f>H144/DAY(B2)</f>
        <v>3961.2028333333315</v>
      </c>
      <c r="K144" s="411"/>
      <c r="L144" s="408"/>
      <c r="N144" s="800"/>
      <c r="O144" s="809"/>
      <c r="P144" s="795"/>
    </row>
    <row r="145" spans="1:16" ht="27.75">
      <c r="A145" s="1406" t="s">
        <v>265</v>
      </c>
      <c r="B145" s="1407"/>
      <c r="C145" s="1408"/>
      <c r="D145" s="599" t="s">
        <v>24</v>
      </c>
      <c r="E145" s="531"/>
      <c r="F145" s="531"/>
      <c r="G145" s="620">
        <f>G144/G7</f>
        <v>0.25121215549156767</v>
      </c>
      <c r="H145" s="536">
        <f>G145+'11'!H145</f>
        <v>2.5619791103587</v>
      </c>
      <c r="I145" s="621"/>
      <c r="J145" s="629">
        <f>H145/DAY(B2)</f>
        <v>0.21349825919655832</v>
      </c>
      <c r="K145" s="411"/>
      <c r="L145" s="408"/>
      <c r="N145" s="800"/>
      <c r="O145" s="809"/>
      <c r="P145" s="795"/>
    </row>
    <row r="146" spans="1:16" ht="27.75">
      <c r="A146" s="1406" t="s">
        <v>266</v>
      </c>
      <c r="B146" s="1407"/>
      <c r="C146" s="1408"/>
      <c r="D146" s="599" t="s">
        <v>143</v>
      </c>
      <c r="E146" s="531"/>
      <c r="F146" s="531"/>
      <c r="G146" s="536">
        <f>G39+G53</f>
        <v>4063.9000000000015</v>
      </c>
      <c r="H146" s="536">
        <f>G146+'11'!H146</f>
        <v>49880.139999999992</v>
      </c>
      <c r="I146" s="622"/>
      <c r="J146" s="629">
        <f>H146/DAY(B2)</f>
        <v>4156.6783333333324</v>
      </c>
      <c r="K146" s="411"/>
      <c r="L146" s="408"/>
      <c r="N146" s="800"/>
      <c r="O146" s="809"/>
      <c r="P146" s="795"/>
    </row>
    <row r="147" spans="1:16" ht="27.75">
      <c r="A147" s="1406" t="s">
        <v>267</v>
      </c>
      <c r="B147" s="1407"/>
      <c r="C147" s="1408"/>
      <c r="D147" s="599" t="s">
        <v>24</v>
      </c>
      <c r="E147" s="531"/>
      <c r="F147" s="531"/>
      <c r="G147" s="620">
        <f>G146/G7</f>
        <v>0.2089623611682436</v>
      </c>
      <c r="H147" s="536">
        <f>G147+'11'!H147</f>
        <v>2.6944348025853819</v>
      </c>
      <c r="I147" s="622"/>
      <c r="J147" s="629">
        <f>H147/DAY(B2)</f>
        <v>0.22453623354878183</v>
      </c>
      <c r="N147" s="800"/>
      <c r="O147" s="809"/>
      <c r="P147" s="795"/>
    </row>
    <row r="148" spans="1:16" ht="27.75">
      <c r="A148" s="1406" t="s">
        <v>268</v>
      </c>
      <c r="B148" s="1407"/>
      <c r="C148" s="1408"/>
      <c r="D148" s="599" t="s">
        <v>194</v>
      </c>
      <c r="E148" s="531"/>
      <c r="F148" s="531"/>
      <c r="G148" s="536">
        <f>G38+G52</f>
        <v>1990.9400000000005</v>
      </c>
      <c r="H148" s="536">
        <f>G148+'11'!H148</f>
        <v>23750.100000000035</v>
      </c>
      <c r="I148" s="556"/>
      <c r="J148" s="629">
        <f>H148/DAY(B2)</f>
        <v>1979.1750000000029</v>
      </c>
      <c r="K148" s="412"/>
      <c r="N148" s="800"/>
      <c r="O148" s="809"/>
      <c r="P148" s="795"/>
    </row>
    <row r="149" spans="1:16" ht="27.75">
      <c r="A149" s="1406" t="s">
        <v>269</v>
      </c>
      <c r="B149" s="1407"/>
      <c r="C149" s="1408"/>
      <c r="D149" s="599" t="s">
        <v>24</v>
      </c>
      <c r="E149" s="531"/>
      <c r="F149" s="531"/>
      <c r="G149" s="620">
        <f>G148/G7</f>
        <v>0.10237248046071579</v>
      </c>
      <c r="H149" s="536">
        <f>G149+'11'!H149</f>
        <v>1.2834685050381447</v>
      </c>
      <c r="I149" s="622"/>
      <c r="J149" s="629">
        <f>H149/DAY(B2)</f>
        <v>0.10695570875317872</v>
      </c>
      <c r="N149" s="800"/>
      <c r="O149" s="809"/>
      <c r="P149" s="795"/>
    </row>
    <row r="150" spans="1:16" ht="27.75">
      <c r="A150" s="1406" t="s">
        <v>270</v>
      </c>
      <c r="B150" s="1407"/>
      <c r="C150" s="1408"/>
      <c r="D150" s="599" t="s">
        <v>194</v>
      </c>
      <c r="E150" s="531"/>
      <c r="F150" s="531"/>
      <c r="G150" s="536">
        <f>G36+G50</f>
        <v>1657.789999999979</v>
      </c>
      <c r="H150" s="536">
        <f>G150+'11'!H150</f>
        <v>21226.739999999991</v>
      </c>
      <c r="I150" s="622"/>
      <c r="J150" s="629">
        <f>H150/DAY(B2)</f>
        <v>1768.8949999999993</v>
      </c>
      <c r="N150" s="800"/>
      <c r="O150" s="809"/>
      <c r="P150" s="795"/>
    </row>
    <row r="151" spans="1:16" ht="27.75">
      <c r="A151" s="1406" t="s">
        <v>271</v>
      </c>
      <c r="B151" s="1407"/>
      <c r="C151" s="1408"/>
      <c r="D151" s="599" t="s">
        <v>24</v>
      </c>
      <c r="E151" s="531"/>
      <c r="F151" s="531"/>
      <c r="G151" s="620">
        <f>G150/G7</f>
        <v>8.5242184286300857E-2</v>
      </c>
      <c r="H151" s="536">
        <f>G151+'11'!H151</f>
        <v>1.145075092641588</v>
      </c>
      <c r="I151" s="556"/>
      <c r="J151" s="629">
        <f>H151/DAY(B2)</f>
        <v>9.5422924386799002E-2</v>
      </c>
      <c r="N151" s="800"/>
      <c r="O151" s="809"/>
      <c r="P151" s="795"/>
    </row>
    <row r="152" spans="1:16" ht="27.75">
      <c r="A152" s="1406" t="s">
        <v>272</v>
      </c>
      <c r="B152" s="1407"/>
      <c r="C152" s="1408"/>
      <c r="D152" s="599" t="s">
        <v>194</v>
      </c>
      <c r="E152" s="531"/>
      <c r="F152" s="531"/>
      <c r="G152" s="536">
        <f>G37+G51</f>
        <v>1504.1999999999998</v>
      </c>
      <c r="H152" s="536">
        <f>G152+'11'!H152</f>
        <v>17955.189999999995</v>
      </c>
      <c r="I152" s="556"/>
      <c r="J152" s="629">
        <f>H152/DAY(B2)</f>
        <v>1496.2658333333329</v>
      </c>
      <c r="N152" s="800"/>
      <c r="O152" s="809"/>
      <c r="P152" s="795"/>
    </row>
    <row r="153" spans="1:16" ht="28.5" thickBot="1">
      <c r="A153" s="1409" t="s">
        <v>273</v>
      </c>
      <c r="B153" s="1410"/>
      <c r="C153" s="1411"/>
      <c r="D153" s="702" t="s">
        <v>24</v>
      </c>
      <c r="E153" s="642"/>
      <c r="F153" s="642"/>
      <c r="G153" s="643">
        <f>G152/G7</f>
        <v>7.7344714109419982E-2</v>
      </c>
      <c r="H153" s="536">
        <f>G153+'11'!H153</f>
        <v>0.97301786536738821</v>
      </c>
      <c r="I153" s="645"/>
      <c r="J153" s="646">
        <f>H153/DAY(B2)</f>
        <v>8.1084822113949018E-2</v>
      </c>
      <c r="N153" s="800"/>
      <c r="O153" s="809"/>
      <c r="P153" s="795"/>
    </row>
    <row r="154" spans="1:16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800"/>
    </row>
    <row r="155" spans="1:16">
      <c r="N155" s="800"/>
    </row>
    <row r="156" spans="1:16">
      <c r="N156" s="800"/>
    </row>
    <row r="157" spans="1:16">
      <c r="N157" s="800"/>
    </row>
    <row r="158" spans="1:16">
      <c r="N158" s="800"/>
    </row>
    <row r="159" spans="1:16">
      <c r="N159" s="800"/>
    </row>
    <row r="160" spans="1:16">
      <c r="A160" s="868" t="s">
        <v>274</v>
      </c>
      <c r="B160" s="869"/>
      <c r="C160" s="869"/>
      <c r="D160" s="587" t="s">
        <v>198</v>
      </c>
      <c r="E160" s="618">
        <f>'11'!F160</f>
        <v>29344</v>
      </c>
      <c r="F160" s="739">
        <v>29427.86</v>
      </c>
      <c r="G160" s="549">
        <f t="shared" ref="G160:G163" si="16">F160-E160</f>
        <v>83.860000000000582</v>
      </c>
      <c r="N160" s="800"/>
    </row>
    <row r="161" spans="1:14">
      <c r="A161" s="868" t="s">
        <v>275</v>
      </c>
      <c r="B161" s="869"/>
      <c r="C161" s="869"/>
      <c r="D161" s="587" t="s">
        <v>198</v>
      </c>
      <c r="E161" s="618">
        <f>'11'!F161</f>
        <v>47573.83</v>
      </c>
      <c r="F161" s="739">
        <v>47984.411</v>
      </c>
      <c r="G161" s="549">
        <f t="shared" si="16"/>
        <v>410.58099999999831</v>
      </c>
      <c r="N161" s="800"/>
    </row>
    <row r="162" spans="1:14">
      <c r="A162" s="868" t="s">
        <v>276</v>
      </c>
      <c r="B162" s="869"/>
      <c r="C162" s="869"/>
      <c r="D162" s="587" t="s">
        <v>198</v>
      </c>
      <c r="E162" s="618">
        <f>'11'!F162</f>
        <v>15399</v>
      </c>
      <c r="F162" s="739">
        <v>15650.165000000001</v>
      </c>
      <c r="G162" s="549">
        <f t="shared" si="16"/>
        <v>251.16500000000087</v>
      </c>
      <c r="N162" s="800"/>
    </row>
    <row r="163" spans="1:14">
      <c r="A163" s="868" t="s">
        <v>277</v>
      </c>
      <c r="B163" s="869"/>
      <c r="C163" s="869"/>
      <c r="D163" s="587" t="s">
        <v>198</v>
      </c>
      <c r="E163" s="618">
        <f>'11'!F163</f>
        <v>5162.3999999999996</v>
      </c>
      <c r="F163" s="739">
        <v>5178.42</v>
      </c>
      <c r="G163" s="549">
        <f t="shared" si="16"/>
        <v>16.020000000000437</v>
      </c>
      <c r="N163" s="800"/>
    </row>
    <row r="164" spans="1:14">
      <c r="A164" s="870" t="s">
        <v>106</v>
      </c>
      <c r="B164" s="681"/>
      <c r="C164" s="681"/>
      <c r="D164" s="587" t="s">
        <v>198</v>
      </c>
      <c r="E164" s="590">
        <f>E62</f>
        <v>20419</v>
      </c>
      <c r="F164" s="590">
        <f>F62</f>
        <v>20419</v>
      </c>
      <c r="G164" s="549">
        <f t="shared" ref="G164:G171" si="17">F164-E164</f>
        <v>0</v>
      </c>
      <c r="N164" s="800"/>
    </row>
    <row r="165" spans="1:14">
      <c r="A165" s="870" t="s">
        <v>199</v>
      </c>
      <c r="B165" s="681"/>
      <c r="C165" s="681"/>
      <c r="D165" s="587" t="s">
        <v>198</v>
      </c>
      <c r="E165" s="590">
        <f t="shared" ref="E165:E171" si="18">E63</f>
        <v>1486</v>
      </c>
      <c r="F165" s="590">
        <f t="shared" ref="F165:F171" si="19">F63</f>
        <v>1493.87</v>
      </c>
      <c r="G165" s="549">
        <f t="shared" si="17"/>
        <v>7.8699999999998909</v>
      </c>
      <c r="N165" s="800"/>
    </row>
    <row r="166" spans="1:14" ht="33" customHeight="1">
      <c r="A166" s="1381" t="s">
        <v>107</v>
      </c>
      <c r="B166" s="1381"/>
      <c r="C166" s="1381"/>
      <c r="D166" s="599" t="s">
        <v>198</v>
      </c>
      <c r="E166" s="590">
        <f t="shared" si="18"/>
        <v>115893</v>
      </c>
      <c r="F166" s="590">
        <f t="shared" si="19"/>
        <v>116317.59</v>
      </c>
      <c r="G166" s="549">
        <f t="shared" si="17"/>
        <v>424.58999999999651</v>
      </c>
      <c r="N166" s="800"/>
    </row>
    <row r="167" spans="1:14" ht="33" customHeight="1">
      <c r="A167" s="1381" t="s">
        <v>108</v>
      </c>
      <c r="B167" s="1381"/>
      <c r="C167" s="1381"/>
      <c r="D167" s="599" t="s">
        <v>198</v>
      </c>
      <c r="E167" s="590">
        <f t="shared" si="18"/>
        <v>125865</v>
      </c>
      <c r="F167" s="590">
        <f t="shared" si="19"/>
        <v>126241.2</v>
      </c>
      <c r="G167" s="549">
        <f t="shared" si="17"/>
        <v>376.19999999999709</v>
      </c>
      <c r="N167" s="800"/>
    </row>
    <row r="168" spans="1:14" ht="41.25" customHeight="1">
      <c r="A168" s="1381" t="s">
        <v>109</v>
      </c>
      <c r="B168" s="1381"/>
      <c r="C168" s="1381"/>
      <c r="D168" s="599" t="s">
        <v>198</v>
      </c>
      <c r="E168" s="590">
        <f t="shared" si="18"/>
        <v>18485</v>
      </c>
      <c r="F168" s="590">
        <f t="shared" si="19"/>
        <v>18844.145</v>
      </c>
      <c r="G168" s="549">
        <f t="shared" si="17"/>
        <v>359.14500000000044</v>
      </c>
      <c r="N168" s="800"/>
    </row>
    <row r="169" spans="1:14" ht="26.25" customHeight="1">
      <c r="A169" s="1381" t="s">
        <v>110</v>
      </c>
      <c r="B169" s="1381"/>
      <c r="C169" s="1381"/>
      <c r="D169" s="599" t="s">
        <v>198</v>
      </c>
      <c r="E169" s="590">
        <f t="shared" si="18"/>
        <v>196406</v>
      </c>
      <c r="F169" s="590">
        <f t="shared" si="19"/>
        <v>197071.71</v>
      </c>
      <c r="G169" s="549">
        <f t="shared" si="17"/>
        <v>665.70999999999185</v>
      </c>
      <c r="N169" s="800"/>
    </row>
    <row r="170" spans="1:14" ht="24" customHeight="1">
      <c r="A170" s="1381" t="s">
        <v>111</v>
      </c>
      <c r="B170" s="1381"/>
      <c r="C170" s="1381"/>
      <c r="D170" s="599" t="s">
        <v>198</v>
      </c>
      <c r="E170" s="590">
        <f t="shared" si="18"/>
        <v>67026</v>
      </c>
      <c r="F170" s="590">
        <f t="shared" si="19"/>
        <v>67375.86</v>
      </c>
      <c r="G170" s="549">
        <f t="shared" si="17"/>
        <v>349.86000000000058</v>
      </c>
      <c r="N170" s="800"/>
    </row>
    <row r="171" spans="1:14" ht="27.75">
      <c r="A171" s="1381" t="s">
        <v>112</v>
      </c>
      <c r="B171" s="1381"/>
      <c r="C171" s="1381"/>
      <c r="D171" s="599" t="s">
        <v>198</v>
      </c>
      <c r="E171" s="590">
        <f t="shared" si="18"/>
        <v>59018</v>
      </c>
      <c r="F171" s="590">
        <f t="shared" si="19"/>
        <v>59324.55</v>
      </c>
      <c r="G171" s="549">
        <f t="shared" si="17"/>
        <v>306.55000000000291</v>
      </c>
      <c r="N171" s="800"/>
    </row>
    <row r="172" spans="1:14">
      <c r="G172" s="616">
        <f>SUM(G160:G171)</f>
        <v>3251.5509999999895</v>
      </c>
      <c r="N172" s="800"/>
    </row>
    <row r="173" spans="1:14">
      <c r="N173" s="800"/>
    </row>
    <row r="174" spans="1:14">
      <c r="N174" s="800"/>
    </row>
    <row r="175" spans="1:14">
      <c r="N175" s="800"/>
    </row>
    <row r="176" spans="1:14" ht="18.75" customHeight="1">
      <c r="N176" s="800"/>
    </row>
    <row r="177" spans="14:14" ht="18.75" customHeight="1">
      <c r="N177" s="800"/>
    </row>
    <row r="178" spans="14:14" ht="18.75" customHeight="1">
      <c r="N178" s="800"/>
    </row>
    <row r="179" spans="14:14" ht="18" customHeight="1">
      <c r="N179" s="800"/>
    </row>
    <row r="180" spans="14:14" ht="18.75" customHeight="1">
      <c r="N180" s="800"/>
    </row>
    <row r="181" spans="14:14" ht="18.75" customHeight="1">
      <c r="N181" s="800"/>
    </row>
    <row r="182" spans="14:14" ht="18" customHeight="1">
      <c r="N182" s="800"/>
    </row>
    <row r="183" spans="14:14" ht="18" customHeight="1">
      <c r="N183" s="800"/>
    </row>
    <row r="184" spans="14:14" ht="18" customHeight="1">
      <c r="N184" s="800"/>
    </row>
    <row r="185" spans="14:14" ht="18" customHeight="1">
      <c r="N185" s="800"/>
    </row>
    <row r="186" spans="14:14" ht="18" customHeight="1">
      <c r="N186" s="800"/>
    </row>
    <row r="187" spans="14:14" ht="18" customHeight="1">
      <c r="N187" s="800"/>
    </row>
    <row r="188" spans="14:14" ht="18" customHeight="1">
      <c r="N188" s="800"/>
    </row>
    <row r="189" spans="14:14" ht="18.75" customHeight="1">
      <c r="N189" s="800"/>
    </row>
    <row r="190" spans="14:14" ht="18.75" customHeight="1">
      <c r="N190" s="800"/>
    </row>
    <row r="191" spans="14:14" ht="18.75" customHeight="1">
      <c r="N191" s="800"/>
    </row>
    <row r="192" spans="14:14" ht="18.75" customHeight="1">
      <c r="N192" s="800"/>
    </row>
    <row r="193" spans="14:14" ht="18.75" customHeight="1">
      <c r="N193" s="800"/>
    </row>
    <row r="194" spans="14:14" ht="18.75" customHeight="1">
      <c r="N194" s="800"/>
    </row>
    <row r="195" spans="14:14" ht="18.75" customHeight="1">
      <c r="N195" s="800"/>
    </row>
    <row r="196" spans="14:14" ht="18.75" customHeight="1">
      <c r="N196" s="800"/>
    </row>
    <row r="197" spans="14:14" ht="18.75" customHeight="1">
      <c r="N197" s="800"/>
    </row>
    <row r="198" spans="14:14" ht="18.75" customHeight="1"/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92:C92"/>
    <mergeCell ref="A93:C93"/>
    <mergeCell ref="A69:C69"/>
    <mergeCell ref="A70:C70"/>
    <mergeCell ref="A64:C64"/>
    <mergeCell ref="A65:C65"/>
    <mergeCell ref="A66:C66"/>
    <mergeCell ref="A67:C67"/>
    <mergeCell ref="A68:C68"/>
    <mergeCell ref="A71:J71"/>
    <mergeCell ref="A72:C72"/>
    <mergeCell ref="A73:C73"/>
    <mergeCell ref="A74:C74"/>
    <mergeCell ref="A75:C75"/>
    <mergeCell ref="A76:C76"/>
    <mergeCell ref="A77:C77"/>
    <mergeCell ref="A141:B141"/>
    <mergeCell ref="A125:C125"/>
    <mergeCell ref="A94:C94"/>
    <mergeCell ref="A95:C95"/>
    <mergeCell ref="A101:C101"/>
    <mergeCell ref="A122:C122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46:C146"/>
    <mergeCell ref="A142:C142"/>
    <mergeCell ref="A143:C143"/>
    <mergeCell ref="A144:C144"/>
    <mergeCell ref="A145:C145"/>
    <mergeCell ref="A152:C152"/>
    <mergeCell ref="A153:C153"/>
    <mergeCell ref="A150:C150"/>
    <mergeCell ref="A151:C151"/>
    <mergeCell ref="A147:C147"/>
    <mergeCell ref="A148:C148"/>
    <mergeCell ref="A149:C149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79:C79"/>
    <mergeCell ref="A80:C80"/>
    <mergeCell ref="A81:C81"/>
    <mergeCell ref="A82:C82"/>
    <mergeCell ref="A83:C83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zoomScale="55" zoomScaleSheetLayoutView="55" workbookViewId="0">
      <selection activeCell="F28" sqref="F28"/>
    </sheetView>
  </sheetViews>
  <sheetFormatPr defaultColWidth="22.33203125" defaultRowHeight="29.25"/>
  <cols>
    <col min="1" max="1" width="40.6640625" style="530" customWidth="1"/>
    <col min="2" max="2" width="28.55468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22.33203125" style="407" hidden="1" customWidth="1"/>
    <col min="14" max="14" width="25.5546875" style="798" customWidth="1"/>
    <col min="15" max="15" width="22.33203125" style="805"/>
    <col min="16" max="16384" width="22.33203125" style="407"/>
  </cols>
  <sheetData>
    <row r="1" spans="1:16" ht="33.75">
      <c r="A1" s="1414" t="s">
        <v>128</v>
      </c>
      <c r="B1" s="1415"/>
      <c r="C1" s="1415"/>
      <c r="D1" s="1415"/>
      <c r="E1" s="1415"/>
      <c r="F1" s="1415"/>
      <c r="G1" s="1415"/>
      <c r="H1" s="1415"/>
      <c r="I1" s="1415"/>
      <c r="J1" s="1416"/>
    </row>
    <row r="2" spans="1:16" s="281" customFormat="1" ht="27">
      <c r="A2" s="652" t="s">
        <v>287</v>
      </c>
      <c r="B2" s="1118">
        <v>44240</v>
      </c>
      <c r="C2" s="1233" t="s">
        <v>69</v>
      </c>
      <c r="D2" s="688">
        <v>0.71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  <c r="N2" s="799"/>
      <c r="O2" s="806"/>
    </row>
    <row r="3" spans="1:16" s="281" customFormat="1" ht="27">
      <c r="A3" s="647"/>
      <c r="B3" s="691"/>
      <c r="C3" s="1233" t="s">
        <v>131</v>
      </c>
      <c r="D3" s="689">
        <v>26</v>
      </c>
      <c r="E3" s="1423" t="s">
        <v>132</v>
      </c>
      <c r="F3" s="1424"/>
      <c r="G3" s="538"/>
      <c r="H3" s="539"/>
      <c r="I3" s="539"/>
      <c r="J3" s="692"/>
      <c r="K3" s="402"/>
      <c r="L3" s="293"/>
      <c r="N3" s="799"/>
      <c r="O3" s="806"/>
    </row>
    <row r="4" spans="1:16" s="281" customFormat="1" ht="27">
      <c r="A4" s="653"/>
      <c r="B4" s="693"/>
      <c r="C4" s="1233" t="s">
        <v>133</v>
      </c>
      <c r="D4" s="688">
        <v>0.74</v>
      </c>
      <c r="E4" s="540"/>
      <c r="F4" s="540"/>
      <c r="G4" s="540"/>
      <c r="H4" s="540"/>
      <c r="I4" s="541"/>
      <c r="J4" s="692"/>
      <c r="K4" s="403"/>
      <c r="L4" s="293"/>
      <c r="N4" s="799"/>
      <c r="O4" s="806"/>
    </row>
    <row r="5" spans="1:16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6">
      <c r="A6" s="1417" t="s">
        <v>141</v>
      </c>
      <c r="B6" s="1418"/>
      <c r="C6" s="1419"/>
      <c r="D6" s="547"/>
      <c r="E6" s="547"/>
      <c r="F6" s="547"/>
      <c r="G6" s="547"/>
      <c r="H6" s="548"/>
      <c r="I6" s="548"/>
      <c r="J6" s="628"/>
      <c r="K6" s="466"/>
      <c r="L6" s="408"/>
    </row>
    <row r="7" spans="1:16" ht="30" thickBot="1">
      <c r="A7" s="757" t="s">
        <v>142</v>
      </c>
      <c r="B7" s="758"/>
      <c r="C7" s="758"/>
      <c r="D7" s="715" t="s">
        <v>143</v>
      </c>
      <c r="E7" s="710">
        <f>'12'!F7</f>
        <v>4111191</v>
      </c>
      <c r="F7" s="531">
        <v>4131415</v>
      </c>
      <c r="G7" s="759">
        <f>F7-E7</f>
        <v>20224</v>
      </c>
      <c r="H7" s="760">
        <f>G7+'12'!H7</f>
        <v>243217</v>
      </c>
      <c r="I7" s="761">
        <f>'1'!I7</f>
        <v>12000</v>
      </c>
      <c r="J7" s="762">
        <f>H7/DAY(B2)</f>
        <v>18709</v>
      </c>
      <c r="K7" s="626"/>
      <c r="L7" s="408"/>
      <c r="N7" s="811">
        <f>G7/G8</f>
        <v>0.99645250295624754</v>
      </c>
      <c r="O7" s="807">
        <f>F7+200</f>
        <v>4131615</v>
      </c>
      <c r="P7" s="810"/>
    </row>
    <row r="8" spans="1:16" ht="27.75" thickBot="1">
      <c r="A8" s="763" t="s">
        <v>144</v>
      </c>
      <c r="B8" s="764"/>
      <c r="C8" s="765"/>
      <c r="D8" s="766" t="s">
        <v>25</v>
      </c>
      <c r="E8" s="710">
        <f>'12'!F8</f>
        <v>4137523</v>
      </c>
      <c r="F8" s="551">
        <v>4157819</v>
      </c>
      <c r="G8" s="770">
        <f>F8-E8</f>
        <v>20296</v>
      </c>
      <c r="H8" s="760">
        <f>G8+'12'!H8</f>
        <v>244968</v>
      </c>
      <c r="I8" s="767">
        <f>'1'!I8</f>
        <v>12000</v>
      </c>
      <c r="J8" s="762">
        <f>H8/DAY(B2)</f>
        <v>18843.692307692309</v>
      </c>
      <c r="K8" s="626"/>
      <c r="L8" s="464"/>
      <c r="M8" s="479"/>
      <c r="N8" s="800"/>
      <c r="O8" s="807">
        <f>F8+200</f>
        <v>4158019</v>
      </c>
      <c r="P8" s="413"/>
    </row>
    <row r="9" spans="1:16">
      <c r="A9" s="768" t="s">
        <v>145</v>
      </c>
      <c r="B9" s="769"/>
      <c r="C9" s="769"/>
      <c r="D9" s="715" t="s">
        <v>143</v>
      </c>
      <c r="E9" s="710">
        <f>'12'!F9</f>
        <v>57903</v>
      </c>
      <c r="F9" s="554">
        <v>71968</v>
      </c>
      <c r="G9" s="783">
        <f t="shared" ref="G9:G12" si="0">F9-E9</f>
        <v>14065</v>
      </c>
      <c r="H9" s="760">
        <f>G9+'12'!H9</f>
        <v>109080.25</v>
      </c>
      <c r="I9" s="771">
        <f>I7-J7</f>
        <v>-6709</v>
      </c>
      <c r="J9" s="762">
        <f>H9/DAY(B2)</f>
        <v>8390.788461538461</v>
      </c>
      <c r="K9" s="467"/>
      <c r="L9" s="408"/>
      <c r="N9" s="800"/>
      <c r="O9" s="807"/>
      <c r="P9" s="413"/>
    </row>
    <row r="10" spans="1:16">
      <c r="A10" s="757" t="s">
        <v>146</v>
      </c>
      <c r="B10" s="758"/>
      <c r="C10" s="758"/>
      <c r="D10" s="715" t="s">
        <v>143</v>
      </c>
      <c r="E10" s="710">
        <f>'12'!F10</f>
        <v>1320056.8</v>
      </c>
      <c r="F10" s="554">
        <v>1325624.3999999999</v>
      </c>
      <c r="G10" s="770">
        <f t="shared" si="0"/>
        <v>5567.5999999998603</v>
      </c>
      <c r="H10" s="760">
        <f>G10+'12'!H10</f>
        <v>124750</v>
      </c>
      <c r="I10" s="772"/>
      <c r="J10" s="762">
        <f>H10/DAY(B2)</f>
        <v>9596.1538461538457</v>
      </c>
      <c r="K10" s="467"/>
      <c r="L10" s="408"/>
      <c r="N10" s="800"/>
      <c r="O10" s="807"/>
      <c r="P10" s="413"/>
    </row>
    <row r="11" spans="1:16">
      <c r="A11" s="757" t="s">
        <v>147</v>
      </c>
      <c r="B11" s="758"/>
      <c r="C11" s="758"/>
      <c r="D11" s="715" t="s">
        <v>143</v>
      </c>
      <c r="E11" s="710">
        <f>'12'!F11</f>
        <v>37000</v>
      </c>
      <c r="F11" s="531">
        <v>37000</v>
      </c>
      <c r="G11" s="770">
        <f t="shared" si="0"/>
        <v>0</v>
      </c>
      <c r="H11" s="760">
        <f>G11+'12'!H11</f>
        <v>1610</v>
      </c>
      <c r="I11" s="772"/>
      <c r="J11" s="762">
        <f>H11/DAY(B2)</f>
        <v>123.84615384615384</v>
      </c>
      <c r="K11" s="467"/>
      <c r="L11" s="408"/>
      <c r="N11" s="800"/>
      <c r="O11" s="807"/>
      <c r="P11" s="413"/>
    </row>
    <row r="12" spans="1:16">
      <c r="A12" s="757" t="s">
        <v>148</v>
      </c>
      <c r="B12" s="758"/>
      <c r="C12" s="758"/>
      <c r="D12" s="715" t="s">
        <v>143</v>
      </c>
      <c r="E12" s="710">
        <f>'12'!F12</f>
        <v>40010</v>
      </c>
      <c r="F12" s="554">
        <v>40010</v>
      </c>
      <c r="G12" s="770">
        <f t="shared" si="0"/>
        <v>0</v>
      </c>
      <c r="H12" s="760">
        <f>G12+'12'!H12</f>
        <v>2380</v>
      </c>
      <c r="I12" s="772"/>
      <c r="J12" s="762">
        <f>H12/DAY(B2)</f>
        <v>183.07692307692307</v>
      </c>
      <c r="K12" s="467"/>
      <c r="L12" s="408"/>
      <c r="N12" s="800"/>
      <c r="O12" s="807"/>
      <c r="P12" s="413"/>
    </row>
    <row r="13" spans="1:16">
      <c r="A13" s="773" t="s">
        <v>149</v>
      </c>
      <c r="B13" s="774"/>
      <c r="C13" s="774"/>
      <c r="D13" s="715"/>
      <c r="E13" s="710"/>
      <c r="F13" s="531"/>
      <c r="G13" s="775">
        <f>G9+G10+G11+G12</f>
        <v>19632.59999999986</v>
      </c>
      <c r="H13" s="760">
        <f>G13+'12'!H13</f>
        <v>219514.25</v>
      </c>
      <c r="I13" s="776">
        <f>G7-G13</f>
        <v>591.4000000001397</v>
      </c>
      <c r="J13" s="762">
        <f>H13/DAY(B2)</f>
        <v>16885.711538461539</v>
      </c>
      <c r="K13" s="467"/>
      <c r="L13" s="408"/>
      <c r="N13" s="800"/>
      <c r="O13" s="807"/>
      <c r="P13" s="413"/>
    </row>
    <row r="14" spans="1:16">
      <c r="A14" s="1420" t="s">
        <v>150</v>
      </c>
      <c r="B14" s="1421"/>
      <c r="C14" s="1422"/>
      <c r="D14" s="548"/>
      <c r="E14" s="548"/>
      <c r="F14" s="548"/>
      <c r="G14" s="559"/>
      <c r="H14" s="548"/>
      <c r="I14" s="548"/>
      <c r="J14" s="628"/>
      <c r="K14" s="468"/>
      <c r="L14" s="408"/>
      <c r="N14" s="800"/>
      <c r="O14" s="807"/>
      <c r="P14" s="413"/>
    </row>
    <row r="15" spans="1:16">
      <c r="A15" s="876" t="s">
        <v>151</v>
      </c>
      <c r="B15" s="877"/>
      <c r="C15" s="877"/>
      <c r="D15" s="600" t="s">
        <v>152</v>
      </c>
      <c r="E15" s="561">
        <f>'12'!F15</f>
        <v>1604355.9180000001</v>
      </c>
      <c r="F15" s="561">
        <v>1605399.588</v>
      </c>
      <c r="G15" s="745">
        <f>(F15-E15)</f>
        <v>1043.6699999999255</v>
      </c>
      <c r="H15" s="562">
        <f>G15+'12'!H15</f>
        <v>10962.438000000082</v>
      </c>
      <c r="I15" s="550">
        <v>800</v>
      </c>
      <c r="J15" s="630">
        <f>H15/DAY(B2)</f>
        <v>843.2644615384678</v>
      </c>
      <c r="K15" s="467"/>
      <c r="L15" s="408"/>
      <c r="N15" s="800"/>
      <c r="O15" s="807"/>
      <c r="P15" s="413"/>
    </row>
    <row r="16" spans="1:16">
      <c r="A16" s="664"/>
      <c r="B16" s="665"/>
      <c r="C16" s="665"/>
      <c r="D16" s="600"/>
      <c r="E16" s="561"/>
      <c r="F16" s="561"/>
      <c r="G16" s="750"/>
      <c r="H16" s="562"/>
      <c r="I16" s="558">
        <f>I15-J15</f>
        <v>-43.264461538467799</v>
      </c>
      <c r="J16" s="630"/>
      <c r="K16" s="467"/>
      <c r="L16" s="408"/>
      <c r="N16" s="800"/>
      <c r="O16" s="807"/>
      <c r="P16" s="413"/>
    </row>
    <row r="17" spans="1:16">
      <c r="A17" s="1420" t="s">
        <v>153</v>
      </c>
      <c r="B17" s="1421"/>
      <c r="C17" s="1422"/>
      <c r="D17" s="548"/>
      <c r="E17" s="548"/>
      <c r="F17" s="548"/>
      <c r="G17" s="564"/>
      <c r="H17" s="548"/>
      <c r="I17" s="548"/>
      <c r="J17" s="628"/>
      <c r="K17" s="467"/>
      <c r="L17" s="408"/>
      <c r="N17" s="800"/>
      <c r="O17" s="807"/>
      <c r="P17" s="413"/>
    </row>
    <row r="18" spans="1:16" ht="27.75">
      <c r="A18" s="1446" t="s">
        <v>154</v>
      </c>
      <c r="B18" s="1447"/>
      <c r="C18" s="1448"/>
      <c r="D18" s="715" t="s">
        <v>155</v>
      </c>
      <c r="E18" s="712">
        <f>'12'!F18</f>
        <v>16</v>
      </c>
      <c r="F18" s="554">
        <v>22</v>
      </c>
      <c r="G18" s="775">
        <f>F18*10</f>
        <v>220</v>
      </c>
      <c r="H18" s="760">
        <f>G18+'12'!H18</f>
        <v>2010</v>
      </c>
      <c r="I18" s="761">
        <f>'1'!I18</f>
        <v>65</v>
      </c>
      <c r="J18" s="762">
        <f>H18/DAY(B2)</f>
        <v>154.61538461538461</v>
      </c>
      <c r="K18" s="467"/>
      <c r="L18" s="408"/>
      <c r="N18" s="800"/>
      <c r="O18" s="807"/>
      <c r="P18" s="413"/>
    </row>
    <row r="19" spans="1:16" ht="27.75">
      <c r="A19" s="1446" t="s">
        <v>71</v>
      </c>
      <c r="B19" s="1447"/>
      <c r="C19" s="1448"/>
      <c r="D19" s="715" t="s">
        <v>155</v>
      </c>
      <c r="E19" s="712">
        <f>'12'!F19</f>
        <v>133650</v>
      </c>
      <c r="F19" s="554">
        <v>133702</v>
      </c>
      <c r="G19" s="770">
        <f t="shared" ref="G19" si="1">F19-E19</f>
        <v>52</v>
      </c>
      <c r="H19" s="760">
        <f>G19+'12'!H19</f>
        <v>654</v>
      </c>
      <c r="I19" s="777"/>
      <c r="J19" s="762">
        <f>H19/DAY(B2)</f>
        <v>50.307692307692307</v>
      </c>
      <c r="K19" s="467"/>
      <c r="L19" s="408"/>
      <c r="N19" s="800"/>
      <c r="O19" s="807"/>
      <c r="P19" s="413"/>
    </row>
    <row r="20" spans="1:16">
      <c r="A20" s="773" t="s">
        <v>156</v>
      </c>
      <c r="B20" s="774"/>
      <c r="C20" s="774"/>
      <c r="D20" s="715"/>
      <c r="E20" s="715"/>
      <c r="F20" s="791"/>
      <c r="G20" s="778">
        <f>G18+G19</f>
        <v>272</v>
      </c>
      <c r="H20" s="760">
        <f>G20+'12'!H20</f>
        <v>2664</v>
      </c>
      <c r="I20" s="779">
        <f>I18-J20</f>
        <v>-139.92307692307693</v>
      </c>
      <c r="J20" s="762">
        <f>H20/DAY(B2)</f>
        <v>204.92307692307693</v>
      </c>
      <c r="K20" s="467"/>
      <c r="L20" s="408"/>
      <c r="N20" s="800"/>
      <c r="O20" s="807"/>
      <c r="P20" s="413"/>
    </row>
    <row r="21" spans="1:16">
      <c r="A21" s="1420" t="s">
        <v>157</v>
      </c>
      <c r="B21" s="1421"/>
      <c r="C21" s="1422"/>
      <c r="D21" s="548"/>
      <c r="E21" s="548"/>
      <c r="F21" s="548"/>
      <c r="G21" s="559"/>
      <c r="H21" s="548"/>
      <c r="I21" s="548"/>
      <c r="J21" s="628"/>
      <c r="K21" s="467"/>
      <c r="L21" s="408"/>
      <c r="N21" s="800"/>
      <c r="O21" s="807"/>
      <c r="P21" s="413"/>
    </row>
    <row r="22" spans="1:16">
      <c r="A22" s="1231" t="s">
        <v>158</v>
      </c>
      <c r="B22" s="666"/>
      <c r="C22" s="666"/>
      <c r="D22" s="599" t="s">
        <v>159</v>
      </c>
      <c r="E22" s="712">
        <f>'7'!F22</f>
        <v>2250</v>
      </c>
      <c r="F22" s="554">
        <v>2250</v>
      </c>
      <c r="G22" s="557">
        <f t="shared" ref="G22" si="2">(F22-E22)</f>
        <v>0</v>
      </c>
      <c r="H22" s="536">
        <v>0</v>
      </c>
      <c r="I22" s="556"/>
      <c r="J22" s="629">
        <f>H22/DAY(B2)</f>
        <v>0</v>
      </c>
      <c r="K22" s="467"/>
      <c r="L22" s="408"/>
      <c r="N22" s="800"/>
      <c r="O22" s="807"/>
      <c r="P22" s="413"/>
    </row>
    <row r="23" spans="1:16">
      <c r="A23" s="1231" t="s">
        <v>160</v>
      </c>
      <c r="B23" s="666"/>
      <c r="C23" s="666"/>
      <c r="D23" s="599" t="s">
        <v>159</v>
      </c>
      <c r="E23" s="712">
        <f>'7'!F23</f>
        <v>1620</v>
      </c>
      <c r="F23" s="554">
        <v>2000</v>
      </c>
      <c r="G23" s="557">
        <v>0</v>
      </c>
      <c r="H23" s="536">
        <f>G23+'12'!H23</f>
        <v>1600</v>
      </c>
      <c r="I23" s="556"/>
      <c r="J23" s="629">
        <f>H23/DAY(B2)</f>
        <v>123.07692307692308</v>
      </c>
      <c r="K23" s="467"/>
      <c r="L23" s="408"/>
      <c r="N23" s="800"/>
      <c r="O23" s="807"/>
      <c r="P23" s="413"/>
    </row>
    <row r="24" spans="1:16">
      <c r="A24" s="667" t="s">
        <v>161</v>
      </c>
      <c r="B24" s="668"/>
      <c r="C24" s="668"/>
      <c r="D24" s="587" t="s">
        <v>159</v>
      </c>
      <c r="E24" s="569">
        <f>'7'!F24</f>
        <v>3870</v>
      </c>
      <c r="F24" s="561">
        <v>4250</v>
      </c>
      <c r="G24" s="557">
        <v>0</v>
      </c>
      <c r="H24" s="536">
        <f>G24+'12'!H24</f>
        <v>2350</v>
      </c>
      <c r="I24" s="556"/>
      <c r="J24" s="629">
        <f>H24/DAY(B2)</f>
        <v>180.76923076923077</v>
      </c>
      <c r="K24" s="467"/>
      <c r="L24" s="408"/>
      <c r="N24" s="800"/>
      <c r="O24" s="807"/>
      <c r="P24" s="413"/>
    </row>
    <row r="25" spans="1:16" s="481" customFormat="1" ht="27">
      <c r="A25" s="1425" t="s">
        <v>162</v>
      </c>
      <c r="B25" s="1426"/>
      <c r="C25" s="1427"/>
      <c r="D25" s="547"/>
      <c r="E25" s="547"/>
      <c r="F25" s="547"/>
      <c r="G25" s="570"/>
      <c r="H25" s="571"/>
      <c r="I25" s="572"/>
      <c r="J25" s="631"/>
      <c r="K25" s="404"/>
      <c r="L25" s="484"/>
      <c r="N25" s="800"/>
      <c r="O25" s="807"/>
      <c r="P25" s="413"/>
    </row>
    <row r="26" spans="1:16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800"/>
      <c r="O26" s="807"/>
      <c r="P26" s="413"/>
    </row>
    <row r="27" spans="1:16" s="481" customFormat="1" ht="27.75">
      <c r="A27" s="669" t="s">
        <v>6</v>
      </c>
      <c r="B27" s="670"/>
      <c r="C27" s="671"/>
      <c r="D27" s="696" t="s">
        <v>25</v>
      </c>
      <c r="E27" s="780">
        <f>G8</f>
        <v>20296</v>
      </c>
      <c r="F27" s="577">
        <v>9</v>
      </c>
      <c r="G27" s="578">
        <f>E27*F27</f>
        <v>182664</v>
      </c>
      <c r="H27" s="536">
        <f>G27+'12'!H27</f>
        <v>2204712</v>
      </c>
      <c r="I27" s="579"/>
      <c r="J27" s="629">
        <f>H27/DAY(B2)</f>
        <v>169593.23076923078</v>
      </c>
      <c r="K27" s="404"/>
      <c r="L27" s="484"/>
      <c r="N27" s="800"/>
      <c r="O27" s="807"/>
      <c r="P27" s="413"/>
    </row>
    <row r="28" spans="1:16" s="481" customFormat="1" ht="27.75">
      <c r="A28" s="669" t="s">
        <v>165</v>
      </c>
      <c r="B28" s="670"/>
      <c r="C28" s="671"/>
      <c r="D28" s="696" t="s">
        <v>166</v>
      </c>
      <c r="E28" s="780">
        <f>G15</f>
        <v>1043.6699999999255</v>
      </c>
      <c r="F28" s="577">
        <v>43.5</v>
      </c>
      <c r="G28" s="578">
        <f>E28*F28</f>
        <v>45399.644999996759</v>
      </c>
      <c r="H28" s="536">
        <f>G28+'12'!H28</f>
        <v>476866.05300000357</v>
      </c>
      <c r="I28" s="581"/>
      <c r="J28" s="629">
        <f>H28/DAY(B2)</f>
        <v>36682.004076923353</v>
      </c>
      <c r="K28" s="404"/>
      <c r="L28" s="484"/>
      <c r="N28" s="800"/>
      <c r="O28" s="807"/>
      <c r="P28" s="413"/>
    </row>
    <row r="29" spans="1:16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G29+'12'!H29</f>
        <v>162150</v>
      </c>
      <c r="I29" s="581"/>
      <c r="J29" s="629">
        <f>H29/DAY(B2)</f>
        <v>12473.076923076924</v>
      </c>
      <c r="K29" s="404"/>
      <c r="L29" s="484"/>
      <c r="N29" s="800"/>
      <c r="O29" s="807"/>
      <c r="P29" s="413"/>
    </row>
    <row r="30" spans="1:16" s="481" customFormat="1" ht="27.75">
      <c r="A30" s="669" t="s">
        <v>169</v>
      </c>
      <c r="B30" s="670"/>
      <c r="C30" s="671"/>
      <c r="D30" s="696" t="s">
        <v>170</v>
      </c>
      <c r="E30" s="780">
        <f>G19</f>
        <v>52</v>
      </c>
      <c r="F30" s="577">
        <v>134</v>
      </c>
      <c r="G30" s="578">
        <f>E30*F30</f>
        <v>6968</v>
      </c>
      <c r="H30" s="536">
        <f>G30+'12'!H30</f>
        <v>87636</v>
      </c>
      <c r="I30" s="581"/>
      <c r="J30" s="629">
        <f>H30/DAY(B2)</f>
        <v>6741.2307692307695</v>
      </c>
      <c r="K30" s="404"/>
      <c r="L30" s="484"/>
      <c r="N30" s="800"/>
      <c r="O30" s="807"/>
      <c r="P30" s="413"/>
    </row>
    <row r="31" spans="1:16" s="481" customFormat="1" ht="27.75">
      <c r="A31" s="669" t="s">
        <v>171</v>
      </c>
      <c r="B31" s="670"/>
      <c r="C31" s="671"/>
      <c r="D31" s="696" t="s">
        <v>155</v>
      </c>
      <c r="E31" s="780">
        <f>G18</f>
        <v>220</v>
      </c>
      <c r="F31" s="577">
        <v>80</v>
      </c>
      <c r="G31" s="578">
        <f>E31*F31</f>
        <v>17600</v>
      </c>
      <c r="H31" s="536">
        <f>G31+'12'!H31</f>
        <v>160800</v>
      </c>
      <c r="I31" s="581"/>
      <c r="J31" s="629"/>
      <c r="K31" s="404"/>
      <c r="L31" s="484"/>
      <c r="N31" s="800"/>
      <c r="O31" s="807"/>
      <c r="P31" s="413"/>
    </row>
    <row r="32" spans="1:16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252631.64499999676</v>
      </c>
      <c r="H32" s="536">
        <f>G32+'12'!H32</f>
        <v>3092164.053000004</v>
      </c>
      <c r="I32" s="585"/>
      <c r="J32" s="629">
        <f>H32/DAY(B2)</f>
        <v>237858.77330769261</v>
      </c>
      <c r="K32" s="404"/>
      <c r="L32" s="484"/>
      <c r="N32" s="800"/>
      <c r="O32" s="807"/>
      <c r="P32" s="413"/>
    </row>
    <row r="33" spans="1:16" ht="25.5">
      <c r="A33" s="1428" t="s">
        <v>173</v>
      </c>
      <c r="B33" s="1429"/>
      <c r="C33" s="1429"/>
      <c r="D33" s="1429"/>
      <c r="E33" s="1429"/>
      <c r="F33" s="1429"/>
      <c r="G33" s="1429"/>
      <c r="H33" s="1429"/>
      <c r="I33" s="1429"/>
      <c r="J33" s="1430"/>
      <c r="K33" s="467"/>
      <c r="L33" s="408"/>
      <c r="N33" s="800"/>
      <c r="O33" s="807"/>
      <c r="P33" s="413"/>
    </row>
    <row r="34" spans="1:16">
      <c r="A34" s="675" t="s">
        <v>174</v>
      </c>
      <c r="B34" s="1236"/>
      <c r="C34" s="1236"/>
      <c r="D34" s="548"/>
      <c r="E34" s="547"/>
      <c r="F34" s="547"/>
      <c r="G34" s="548"/>
      <c r="H34" s="548"/>
      <c r="I34" s="548"/>
      <c r="J34" s="628"/>
      <c r="K34" s="467"/>
      <c r="L34" s="408"/>
      <c r="N34" s="800"/>
      <c r="O34" s="807"/>
      <c r="P34" s="413"/>
    </row>
    <row r="35" spans="1:16">
      <c r="A35" s="655" t="s">
        <v>175</v>
      </c>
      <c r="B35" s="656"/>
      <c r="C35" s="656"/>
      <c r="D35" s="599" t="s">
        <v>143</v>
      </c>
      <c r="E35" s="586">
        <f>'12'!F35</f>
        <v>645693.94999999995</v>
      </c>
      <c r="F35" s="586">
        <v>648397.67000000004</v>
      </c>
      <c r="G35" s="549">
        <f t="shared" ref="G35:G46" si="3">F35-E35</f>
        <v>2703.7200000000885</v>
      </c>
      <c r="H35" s="536">
        <f>G35+'12'!H35</f>
        <v>19370</v>
      </c>
      <c r="I35" s="531"/>
      <c r="J35" s="629">
        <f>H35/DAY(B2)</f>
        <v>1490</v>
      </c>
      <c r="K35" s="467"/>
      <c r="L35" s="408"/>
      <c r="N35" s="800"/>
      <c r="O35" s="808"/>
      <c r="P35" s="413"/>
    </row>
    <row r="36" spans="1:16">
      <c r="A36" s="655" t="s">
        <v>176</v>
      </c>
      <c r="B36" s="656"/>
      <c r="C36" s="656"/>
      <c r="D36" s="599" t="s">
        <v>143</v>
      </c>
      <c r="E36" s="586">
        <f>'12'!F36</f>
        <v>284113.75</v>
      </c>
      <c r="F36" s="586">
        <v>284799.33</v>
      </c>
      <c r="G36" s="549">
        <f t="shared" si="3"/>
        <v>685.5800000000163</v>
      </c>
      <c r="H36" s="536">
        <f>G36+'12'!H36</f>
        <v>8307.8800000000047</v>
      </c>
      <c r="I36" s="531"/>
      <c r="J36" s="629">
        <f>H36/DAY(B2)</f>
        <v>639.06769230769271</v>
      </c>
      <c r="K36" s="467"/>
      <c r="L36" s="408"/>
      <c r="N36" s="801"/>
      <c r="O36" s="808"/>
      <c r="P36" s="413"/>
    </row>
    <row r="37" spans="1:16">
      <c r="A37" s="655" t="s">
        <v>177</v>
      </c>
      <c r="B37" s="656"/>
      <c r="C37" s="656"/>
      <c r="D37" s="599" t="s">
        <v>143</v>
      </c>
      <c r="E37" s="586">
        <f>'12'!F37</f>
        <v>8004.01</v>
      </c>
      <c r="F37" s="586">
        <v>9603.93</v>
      </c>
      <c r="G37" s="549">
        <f t="shared" si="3"/>
        <v>1599.92</v>
      </c>
      <c r="H37" s="536">
        <f>G37+'12'!H37</f>
        <v>9603.93</v>
      </c>
      <c r="I37" s="531"/>
      <c r="J37" s="629">
        <f>H37/DAY(B2)</f>
        <v>738.7638461538462</v>
      </c>
      <c r="K37" s="467"/>
      <c r="L37" s="408"/>
      <c r="N37" s="801"/>
      <c r="O37" s="808"/>
      <c r="P37" s="413"/>
    </row>
    <row r="38" spans="1:16">
      <c r="A38" s="655" t="s">
        <v>178</v>
      </c>
      <c r="B38" s="656"/>
      <c r="C38" s="656"/>
      <c r="D38" s="599" t="s">
        <v>143</v>
      </c>
      <c r="E38" s="586">
        <f>'12'!F38</f>
        <v>9743.94</v>
      </c>
      <c r="F38" s="545">
        <v>12063.86</v>
      </c>
      <c r="G38" s="549">
        <f t="shared" si="3"/>
        <v>2319.92</v>
      </c>
      <c r="H38" s="536">
        <f>G38+'12'!H38</f>
        <v>11965.980000000001</v>
      </c>
      <c r="I38" s="531"/>
      <c r="J38" s="629">
        <f>H38/DAY(B2)</f>
        <v>920.46000000000015</v>
      </c>
      <c r="K38" s="467"/>
      <c r="L38" s="408"/>
      <c r="N38" s="800"/>
      <c r="O38" s="807"/>
      <c r="P38" s="413"/>
    </row>
    <row r="39" spans="1:16">
      <c r="A39" s="655" t="s">
        <v>179</v>
      </c>
      <c r="B39" s="656"/>
      <c r="C39" s="656"/>
      <c r="D39" s="599" t="s">
        <v>143</v>
      </c>
      <c r="E39" s="586">
        <f>'12'!F39</f>
        <v>22323.9</v>
      </c>
      <c r="F39" s="586">
        <v>26707.7</v>
      </c>
      <c r="G39" s="549">
        <f t="shared" si="3"/>
        <v>4383.7999999999993</v>
      </c>
      <c r="H39" s="536">
        <f>G39+'12'!H39</f>
        <v>26707.7</v>
      </c>
      <c r="I39" s="531"/>
      <c r="J39" s="629">
        <f>H39/DAY(B2)</f>
        <v>2054.4384615384615</v>
      </c>
      <c r="K39" s="467"/>
      <c r="L39" s="408"/>
      <c r="N39" s="800"/>
      <c r="O39" s="808"/>
      <c r="P39" s="413"/>
    </row>
    <row r="40" spans="1:16">
      <c r="A40" s="676" t="s">
        <v>180</v>
      </c>
      <c r="B40" s="677"/>
      <c r="C40" s="677"/>
      <c r="D40" s="599" t="s">
        <v>143</v>
      </c>
      <c r="E40" s="586">
        <f>'12'!F40</f>
        <v>0.17</v>
      </c>
      <c r="F40" s="586">
        <v>0.17</v>
      </c>
      <c r="G40" s="549">
        <f t="shared" si="3"/>
        <v>0</v>
      </c>
      <c r="H40" s="536">
        <f>G40+'12'!H40</f>
        <v>-0.06</v>
      </c>
      <c r="I40" s="531"/>
      <c r="J40" s="629">
        <f>H40/DAY(B2)</f>
        <v>-4.6153846153846149E-3</v>
      </c>
      <c r="K40" s="468"/>
      <c r="L40" s="408"/>
      <c r="N40" s="800"/>
      <c r="O40" s="807"/>
      <c r="P40" s="413"/>
    </row>
    <row r="41" spans="1:16">
      <c r="A41" s="655" t="s">
        <v>181</v>
      </c>
      <c r="B41" s="656"/>
      <c r="C41" s="656"/>
      <c r="D41" s="599" t="s">
        <v>143</v>
      </c>
      <c r="E41" s="586">
        <f>'12'!F41</f>
        <v>59259.87</v>
      </c>
      <c r="F41" s="586">
        <v>59259.87</v>
      </c>
      <c r="G41" s="549">
        <f t="shared" si="3"/>
        <v>0</v>
      </c>
      <c r="H41" s="536">
        <f>G41+'12'!H41</f>
        <v>14637.350000000006</v>
      </c>
      <c r="I41" s="531"/>
      <c r="J41" s="629">
        <f>H41/DAY(B2)</f>
        <v>1125.9500000000005</v>
      </c>
      <c r="K41" s="467"/>
      <c r="L41" s="408"/>
      <c r="N41" s="800"/>
      <c r="O41" s="809"/>
      <c r="P41" s="803"/>
    </row>
    <row r="42" spans="1:16">
      <c r="A42" s="655" t="s">
        <v>182</v>
      </c>
      <c r="B42" s="656"/>
      <c r="C42" s="656"/>
      <c r="D42" s="599" t="s">
        <v>143</v>
      </c>
      <c r="E42" s="586">
        <f>'12'!F42</f>
        <v>58926.099000000002</v>
      </c>
      <c r="F42" s="586">
        <v>58926.099000000002</v>
      </c>
      <c r="G42" s="549">
        <f t="shared" si="3"/>
        <v>0</v>
      </c>
      <c r="H42" s="536">
        <f>G42+'12'!H42</f>
        <v>9.900000000197906E-2</v>
      </c>
      <c r="I42" s="531"/>
      <c r="J42" s="629">
        <f>H42/DAY(B2)</f>
        <v>7.6153846155368509E-3</v>
      </c>
      <c r="K42" s="467"/>
      <c r="L42" s="408"/>
      <c r="N42" s="800"/>
      <c r="O42" s="807"/>
      <c r="P42" s="413"/>
    </row>
    <row r="43" spans="1:16">
      <c r="A43" s="655" t="s">
        <v>183</v>
      </c>
      <c r="B43" s="656"/>
      <c r="C43" s="656"/>
      <c r="D43" s="599" t="s">
        <v>143</v>
      </c>
      <c r="E43" s="586">
        <f>'12'!F43</f>
        <v>788414.03</v>
      </c>
      <c r="F43" s="586">
        <v>790789.19</v>
      </c>
      <c r="G43" s="549">
        <f t="shared" si="3"/>
        <v>2375.1599999999162</v>
      </c>
      <c r="H43" s="536">
        <f>G43+'12'!H43</f>
        <v>22977.279999999912</v>
      </c>
      <c r="I43" s="531"/>
      <c r="J43" s="629">
        <f>H43/DAY(B2)</f>
        <v>1767.48307692307</v>
      </c>
      <c r="K43" s="467"/>
      <c r="L43" s="408"/>
      <c r="N43" s="800"/>
      <c r="O43" s="808"/>
      <c r="P43" s="413"/>
    </row>
    <row r="44" spans="1:16">
      <c r="A44" s="655" t="s">
        <v>184</v>
      </c>
      <c r="B44" s="656"/>
      <c r="C44" s="656"/>
      <c r="D44" s="599" t="s">
        <v>143</v>
      </c>
      <c r="E44" s="586">
        <f>'12'!F44</f>
        <v>0</v>
      </c>
      <c r="F44" s="586">
        <v>0</v>
      </c>
      <c r="G44" s="549">
        <f t="shared" si="3"/>
        <v>0</v>
      </c>
      <c r="H44" s="536">
        <f>G44+'12'!H44</f>
        <v>0</v>
      </c>
      <c r="I44" s="531"/>
      <c r="J44" s="629">
        <f>H44/DAY(B2)</f>
        <v>0</v>
      </c>
      <c r="K44" s="467"/>
      <c r="L44" s="408"/>
      <c r="N44" s="800"/>
      <c r="O44" s="807"/>
      <c r="P44" s="413"/>
    </row>
    <row r="45" spans="1:16">
      <c r="A45" s="655" t="s">
        <v>185</v>
      </c>
      <c r="B45" s="656"/>
      <c r="C45" s="656"/>
      <c r="D45" s="599" t="s">
        <v>143</v>
      </c>
      <c r="E45" s="586">
        <f>'12'!F45</f>
        <v>614</v>
      </c>
      <c r="F45" s="586">
        <v>614</v>
      </c>
      <c r="G45" s="549">
        <f t="shared" si="3"/>
        <v>0</v>
      </c>
      <c r="H45" s="536">
        <f>G45+'12'!H45</f>
        <v>-0.48000000000001819</v>
      </c>
      <c r="I45" s="531"/>
      <c r="J45" s="629">
        <f>H45/DAY(B2)</f>
        <v>-3.6923076923078321E-2</v>
      </c>
      <c r="K45" s="467"/>
      <c r="L45" s="408"/>
      <c r="N45" s="804"/>
      <c r="O45" s="807"/>
      <c r="P45" s="413"/>
    </row>
    <row r="46" spans="1:16">
      <c r="A46" s="655" t="s">
        <v>186</v>
      </c>
      <c r="B46" s="656"/>
      <c r="C46" s="656"/>
      <c r="D46" s="599" t="s">
        <v>143</v>
      </c>
      <c r="E46" s="586">
        <f>'12'!F46</f>
        <v>187.49</v>
      </c>
      <c r="F46" s="586">
        <v>187.49</v>
      </c>
      <c r="G46" s="549">
        <f t="shared" si="3"/>
        <v>0</v>
      </c>
      <c r="H46" s="536">
        <f>G46+'12'!H46</f>
        <v>0</v>
      </c>
      <c r="I46" s="531"/>
      <c r="J46" s="629">
        <f>H46/DAY(B2)</f>
        <v>0</v>
      </c>
      <c r="K46" s="467"/>
      <c r="L46" s="408"/>
      <c r="N46" s="800"/>
      <c r="O46" s="807"/>
      <c r="P46" s="413"/>
    </row>
    <row r="47" spans="1:16">
      <c r="A47" s="662" t="s">
        <v>187</v>
      </c>
      <c r="B47" s="663"/>
      <c r="C47" s="663"/>
      <c r="D47" s="546"/>
      <c r="E47" s="587"/>
      <c r="F47" s="587" t="s">
        <v>280</v>
      </c>
      <c r="G47" s="557">
        <f>G35+G36+G37+G38+G39+G40+G41+G42+G43+G44+G45+G46</f>
        <v>14068.10000000002</v>
      </c>
      <c r="H47" s="536">
        <f>G47+'12'!H47</f>
        <v>113569.67899999992</v>
      </c>
      <c r="I47" s="531"/>
      <c r="J47" s="629">
        <f>H47/DAY(B2)</f>
        <v>8736.1291538461483</v>
      </c>
      <c r="K47" s="467"/>
      <c r="L47" s="408"/>
      <c r="N47" s="800"/>
      <c r="O47" s="807"/>
      <c r="P47" s="413"/>
    </row>
    <row r="48" spans="1:16">
      <c r="A48" s="675" t="s">
        <v>188</v>
      </c>
      <c r="B48" s="1236"/>
      <c r="C48" s="1236"/>
      <c r="D48" s="548"/>
      <c r="E48" s="547"/>
      <c r="F48" s="547"/>
      <c r="G48" s="548"/>
      <c r="H48" s="548"/>
      <c r="I48" s="548"/>
      <c r="J48" s="628"/>
      <c r="K48" s="467"/>
      <c r="L48" s="408"/>
      <c r="N48" s="800"/>
      <c r="O48" s="807"/>
      <c r="P48" s="413"/>
    </row>
    <row r="49" spans="1:16">
      <c r="A49" s="655" t="s">
        <v>175</v>
      </c>
      <c r="B49" s="678"/>
      <c r="C49" s="678"/>
      <c r="D49" s="599" t="s">
        <v>143</v>
      </c>
      <c r="E49" s="586">
        <f>'12'!F49</f>
        <v>260732.13</v>
      </c>
      <c r="F49" s="586">
        <v>260732.13</v>
      </c>
      <c r="G49" s="549">
        <f t="shared" ref="G49:G58" si="4">F49-E49</f>
        <v>0</v>
      </c>
      <c r="H49" s="536">
        <f>G49+'12'!H49</f>
        <v>14833.080000000016</v>
      </c>
      <c r="I49" s="531"/>
      <c r="J49" s="629">
        <f>H49/DAY(B2)</f>
        <v>1141.006153846155</v>
      </c>
      <c r="K49" s="467"/>
      <c r="L49" s="408"/>
      <c r="N49" s="800"/>
      <c r="O49" s="807"/>
      <c r="P49" s="413"/>
    </row>
    <row r="50" spans="1:16">
      <c r="A50" s="655" t="s">
        <v>189</v>
      </c>
      <c r="B50" s="678"/>
      <c r="C50" s="678"/>
      <c r="D50" s="599" t="s">
        <v>143</v>
      </c>
      <c r="E50" s="586">
        <f>'12'!F50</f>
        <v>382221.75</v>
      </c>
      <c r="F50" s="586">
        <v>383353.91</v>
      </c>
      <c r="G50" s="549">
        <f t="shared" si="4"/>
        <v>1132.1599999999744</v>
      </c>
      <c r="H50" s="536">
        <f>G50+'12'!H50</f>
        <v>13693.599999999977</v>
      </c>
      <c r="I50" s="531"/>
      <c r="J50" s="629">
        <f>H50/DAY(B2)</f>
        <v>1053.3538461538444</v>
      </c>
      <c r="K50" s="467"/>
      <c r="L50" s="408"/>
      <c r="N50" s="800"/>
      <c r="O50" s="808"/>
      <c r="P50" s="413"/>
    </row>
    <row r="51" spans="1:16">
      <c r="A51" s="655" t="s">
        <v>177</v>
      </c>
      <c r="B51" s="678"/>
      <c r="C51" s="678"/>
      <c r="D51" s="599" t="s">
        <v>143</v>
      </c>
      <c r="E51" s="586">
        <f>'12'!F51</f>
        <v>120050.92</v>
      </c>
      <c r="F51" s="586">
        <v>120050.92</v>
      </c>
      <c r="G51" s="549">
        <f t="shared" si="4"/>
        <v>0</v>
      </c>
      <c r="H51" s="536">
        <f>G51+'12'!H51</f>
        <v>9951.179999999993</v>
      </c>
      <c r="I51" s="531"/>
      <c r="J51" s="629">
        <f>H51/DAY(B2)</f>
        <v>765.47538461538409</v>
      </c>
      <c r="K51" s="467"/>
      <c r="L51" s="408"/>
      <c r="N51" s="800"/>
      <c r="O51" s="807"/>
      <c r="P51" s="413"/>
    </row>
    <row r="52" spans="1:16">
      <c r="A52" s="655" t="s">
        <v>190</v>
      </c>
      <c r="B52" s="678"/>
      <c r="C52" s="678"/>
      <c r="D52" s="599" t="s">
        <v>143</v>
      </c>
      <c r="E52" s="586">
        <f>'12'!F52</f>
        <v>507912.71</v>
      </c>
      <c r="F52" s="586">
        <v>507912.71</v>
      </c>
      <c r="G52" s="549">
        <f t="shared" si="4"/>
        <v>0</v>
      </c>
      <c r="H52" s="536">
        <f>G52+'12'!H52</f>
        <v>14104.040000000037</v>
      </c>
      <c r="I52" s="531"/>
      <c r="J52" s="629">
        <f>H52/DAY(B2)</f>
        <v>1084.9261538461567</v>
      </c>
      <c r="K52" s="467"/>
      <c r="L52" s="408"/>
      <c r="N52" s="800"/>
      <c r="O52" s="807"/>
      <c r="P52" s="413"/>
    </row>
    <row r="53" spans="1:16">
      <c r="A53" s="655" t="s">
        <v>179</v>
      </c>
      <c r="B53" s="678"/>
      <c r="C53" s="678"/>
      <c r="D53" s="599" t="s">
        <v>143</v>
      </c>
      <c r="E53" s="586">
        <f>'12'!F53</f>
        <v>331854.51</v>
      </c>
      <c r="F53" s="586">
        <v>331854.51</v>
      </c>
      <c r="G53" s="549">
        <f t="shared" si="4"/>
        <v>0</v>
      </c>
      <c r="H53" s="536">
        <f>G53+'12'!H53</f>
        <v>27556.239999999991</v>
      </c>
      <c r="I53" s="531"/>
      <c r="J53" s="629">
        <f>H53/DAY(B2)</f>
        <v>2119.7107692307686</v>
      </c>
      <c r="K53" s="467"/>
      <c r="L53" s="408"/>
      <c r="N53" s="800"/>
      <c r="O53" s="807"/>
      <c r="P53" s="413"/>
    </row>
    <row r="54" spans="1:16">
      <c r="A54" s="655" t="s">
        <v>191</v>
      </c>
      <c r="B54" s="678"/>
      <c r="C54" s="678"/>
      <c r="D54" s="599" t="s">
        <v>143</v>
      </c>
      <c r="E54" s="586">
        <f>'12'!F54</f>
        <v>6978.04</v>
      </c>
      <c r="F54" s="586">
        <v>7049.48</v>
      </c>
      <c r="G54" s="549">
        <f t="shared" si="4"/>
        <v>71.4399999999996</v>
      </c>
      <c r="H54" s="536">
        <f>G54+'12'!H54</f>
        <v>660.67999999999938</v>
      </c>
      <c r="I54" s="531"/>
      <c r="J54" s="629">
        <f>H54/DAY(B2)</f>
        <v>50.821538461538417</v>
      </c>
      <c r="K54" s="467"/>
      <c r="L54" s="408"/>
      <c r="N54" s="800"/>
      <c r="O54" s="807"/>
      <c r="P54" s="413"/>
    </row>
    <row r="55" spans="1:16">
      <c r="A55" s="655" t="s">
        <v>192</v>
      </c>
      <c r="B55" s="678"/>
      <c r="C55" s="678"/>
      <c r="D55" s="599" t="s">
        <v>143</v>
      </c>
      <c r="E55" s="586">
        <f>'12'!F55</f>
        <v>72010.475000000006</v>
      </c>
      <c r="F55" s="734">
        <v>76422.934999999998</v>
      </c>
      <c r="G55" s="733">
        <f t="shared" si="4"/>
        <v>4412.4599999999919</v>
      </c>
      <c r="H55" s="787">
        <f>G55+'12'!H55</f>
        <v>33434.954999999994</v>
      </c>
      <c r="I55" s="788"/>
      <c r="J55" s="789">
        <f>H55/DAY(B2)</f>
        <v>2571.9196153846151</v>
      </c>
      <c r="K55" s="467"/>
      <c r="L55" s="408"/>
      <c r="N55" s="800"/>
      <c r="O55" s="807"/>
      <c r="P55" s="413"/>
    </row>
    <row r="56" spans="1:16">
      <c r="A56" s="655" t="s">
        <v>193</v>
      </c>
      <c r="B56" s="678"/>
      <c r="C56" s="678"/>
      <c r="D56" s="599" t="s">
        <v>194</v>
      </c>
      <c r="E56" s="586">
        <f>'12'!F56</f>
        <v>557739</v>
      </c>
      <c r="F56" s="734">
        <v>557739</v>
      </c>
      <c r="G56" s="549">
        <f t="shared" si="4"/>
        <v>0</v>
      </c>
      <c r="H56" s="536">
        <f>G56+'12'!H56</f>
        <v>7.0899999999674037</v>
      </c>
      <c r="I56" s="531"/>
      <c r="J56" s="629">
        <f>H56/DAY(B2)</f>
        <v>0.54538461538210803</v>
      </c>
      <c r="K56" s="466"/>
      <c r="L56" s="408"/>
      <c r="N56" s="800"/>
      <c r="O56" s="809"/>
      <c r="P56" s="413"/>
    </row>
    <row r="57" spans="1:16">
      <c r="A57" s="655" t="s">
        <v>183</v>
      </c>
      <c r="B57" s="678"/>
      <c r="C57" s="678"/>
      <c r="D57" s="599" t="s">
        <v>143</v>
      </c>
      <c r="E57" s="586">
        <f>'12'!F57</f>
        <v>7711</v>
      </c>
      <c r="F57" s="586">
        <v>7711.33</v>
      </c>
      <c r="G57" s="549">
        <f t="shared" si="4"/>
        <v>0.32999999999992724</v>
      </c>
      <c r="H57" s="536">
        <f>G57+'12'!H57</f>
        <v>7711.33</v>
      </c>
      <c r="I57" s="531"/>
      <c r="J57" s="629">
        <f>H57/DAY(B2)</f>
        <v>593.1792307692308</v>
      </c>
      <c r="K57" s="467"/>
      <c r="L57" s="408"/>
      <c r="N57" s="800"/>
      <c r="O57" s="807"/>
      <c r="P57" s="413"/>
    </row>
    <row r="58" spans="1:16">
      <c r="A58" s="655" t="s">
        <v>195</v>
      </c>
      <c r="B58" s="678"/>
      <c r="C58" s="678"/>
      <c r="D58" s="599" t="s">
        <v>143</v>
      </c>
      <c r="E58" s="586">
        <f>'12'!F58</f>
        <v>32526.080000000002</v>
      </c>
      <c r="F58" s="734">
        <v>32719.97</v>
      </c>
      <c r="G58" s="549">
        <f t="shared" si="4"/>
        <v>193.88999999999942</v>
      </c>
      <c r="H58" s="536">
        <f>G58+'12'!H58</f>
        <v>1990.4300000000039</v>
      </c>
      <c r="I58" s="531"/>
      <c r="J58" s="629">
        <f>H58/DAY(B2)</f>
        <v>153.1100000000003</v>
      </c>
      <c r="K58" s="467"/>
      <c r="L58" s="408"/>
      <c r="N58" s="800"/>
      <c r="O58" s="807"/>
      <c r="P58" s="413"/>
    </row>
    <row r="59" spans="1:16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5810.2799999999652</v>
      </c>
      <c r="H59" s="536">
        <f>G59+'12'!H59</f>
        <v>123942.62499999999</v>
      </c>
      <c r="I59" s="531">
        <f>G7-G60</f>
        <v>345.62000000001353</v>
      </c>
      <c r="J59" s="629">
        <f>H59/DAY(B2)</f>
        <v>9534.0480769230762</v>
      </c>
      <c r="K59" s="467"/>
      <c r="L59" s="408"/>
      <c r="N59" s="800"/>
      <c r="O59" s="807"/>
      <c r="P59" s="413"/>
    </row>
    <row r="60" spans="1:16">
      <c r="A60" s="655"/>
      <c r="B60" s="656"/>
      <c r="C60" s="656"/>
      <c r="D60" s="587" t="s">
        <v>196</v>
      </c>
      <c r="E60" s="587"/>
      <c r="F60" s="587"/>
      <c r="G60" s="557">
        <f>G47+G59</f>
        <v>19878.379999999986</v>
      </c>
      <c r="H60" s="536">
        <f>G60+'12'!H60</f>
        <v>242692.49399999986</v>
      </c>
      <c r="I60" s="531">
        <f>G13-G60</f>
        <v>-245.78000000012617</v>
      </c>
      <c r="J60" s="629">
        <f>H60/DAY(B2)</f>
        <v>18668.653384615372</v>
      </c>
      <c r="K60" s="467"/>
      <c r="L60" s="408"/>
      <c r="N60" s="800"/>
      <c r="O60" s="807"/>
      <c r="P60" s="413"/>
    </row>
    <row r="61" spans="1:16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800"/>
      <c r="O61" s="807"/>
      <c r="P61" s="413"/>
    </row>
    <row r="62" spans="1:16">
      <c r="A62" s="680" t="s">
        <v>106</v>
      </c>
      <c r="B62" s="681"/>
      <c r="C62" s="681"/>
      <c r="D62" s="587" t="s">
        <v>198</v>
      </c>
      <c r="E62" s="590">
        <f>'12'!F62</f>
        <v>20419</v>
      </c>
      <c r="F62" s="590">
        <v>20419.18</v>
      </c>
      <c r="G62" s="549">
        <f t="shared" ref="G62:G70" si="5">F62-E62</f>
        <v>0.18000000000029104</v>
      </c>
      <c r="H62" s="536">
        <f>G62+'12'!H62</f>
        <v>-8.9999999981955625E-3</v>
      </c>
      <c r="I62" s="591"/>
      <c r="J62" s="629">
        <f>H62/DAY(B2)</f>
        <v>-6.9230769216888945E-4</v>
      </c>
      <c r="K62" s="467"/>
      <c r="L62" s="408"/>
      <c r="N62" s="800"/>
      <c r="O62" s="807"/>
      <c r="P62" s="413"/>
    </row>
    <row r="63" spans="1:16">
      <c r="A63" s="680" t="s">
        <v>199</v>
      </c>
      <c r="B63" s="681"/>
      <c r="C63" s="681"/>
      <c r="D63" s="587" t="s">
        <v>198</v>
      </c>
      <c r="E63" s="590">
        <f>'12'!F63</f>
        <v>1493.87</v>
      </c>
      <c r="F63" s="590">
        <v>1507.25</v>
      </c>
      <c r="G63" s="549">
        <f t="shared" si="5"/>
        <v>13.380000000000109</v>
      </c>
      <c r="H63" s="536">
        <f>G63+'12'!H63</f>
        <v>174.72000000000003</v>
      </c>
      <c r="I63" s="591"/>
      <c r="J63" s="629">
        <f>H63/DAY(B2)</f>
        <v>13.440000000000001</v>
      </c>
      <c r="K63" s="467"/>
      <c r="L63" s="408"/>
      <c r="N63" s="800"/>
      <c r="O63" s="807"/>
      <c r="P63" s="413"/>
    </row>
    <row r="64" spans="1:16" ht="27.75">
      <c r="A64" s="1385" t="s">
        <v>107</v>
      </c>
      <c r="B64" s="1386"/>
      <c r="C64" s="1387"/>
      <c r="D64" s="599" t="s">
        <v>198</v>
      </c>
      <c r="E64" s="590">
        <f>'12'!F64</f>
        <v>116317.59</v>
      </c>
      <c r="F64" s="554">
        <v>116718.44</v>
      </c>
      <c r="G64" s="549">
        <f t="shared" si="5"/>
        <v>400.85000000000582</v>
      </c>
      <c r="H64" s="536">
        <f>G64+'12'!H64</f>
        <v>5434.9799999999959</v>
      </c>
      <c r="I64" s="556"/>
      <c r="J64" s="629">
        <f>H64/DAY(B2)</f>
        <v>418.07538461538428</v>
      </c>
      <c r="K64" s="467"/>
      <c r="L64" s="408"/>
      <c r="N64" s="800"/>
      <c r="O64" s="807"/>
      <c r="P64" s="413"/>
    </row>
    <row r="65" spans="1:16" ht="27.75">
      <c r="A65" s="1385" t="s">
        <v>108</v>
      </c>
      <c r="B65" s="1386"/>
      <c r="C65" s="1387"/>
      <c r="D65" s="599" t="s">
        <v>198</v>
      </c>
      <c r="E65" s="590">
        <f>'12'!F65</f>
        <v>126241.2</v>
      </c>
      <c r="F65" s="732">
        <v>126633.84</v>
      </c>
      <c r="G65" s="549">
        <f t="shared" si="5"/>
        <v>392.63999999999942</v>
      </c>
      <c r="H65" s="536">
        <f>G65+'12'!H65</f>
        <v>4900.7299999999959</v>
      </c>
      <c r="I65" s="565"/>
      <c r="J65" s="629">
        <f>H65/DAY(B2)</f>
        <v>376.97923076923047</v>
      </c>
      <c r="K65" s="467"/>
      <c r="L65" s="408"/>
      <c r="N65" s="800"/>
      <c r="O65" s="808"/>
      <c r="P65" s="413"/>
    </row>
    <row r="66" spans="1:16" ht="27.75">
      <c r="A66" s="1385" t="s">
        <v>109</v>
      </c>
      <c r="B66" s="1386"/>
      <c r="C66" s="1387"/>
      <c r="D66" s="599" t="s">
        <v>198</v>
      </c>
      <c r="E66" s="590">
        <f>'12'!F66</f>
        <v>18844.145</v>
      </c>
      <c r="F66" s="554">
        <v>19244.102999999999</v>
      </c>
      <c r="G66" s="549">
        <f t="shared" si="5"/>
        <v>399.95799999999872</v>
      </c>
      <c r="H66" s="536">
        <f>G66+'12'!H66</f>
        <v>5084.3629999999994</v>
      </c>
      <c r="I66" s="556"/>
      <c r="J66" s="629">
        <f>H66/DAY(B2)</f>
        <v>391.1048461538461</v>
      </c>
      <c r="K66" s="467"/>
      <c r="L66" s="408"/>
      <c r="N66" s="800"/>
      <c r="O66" s="807"/>
      <c r="P66" s="413"/>
    </row>
    <row r="67" spans="1:16" ht="27.75">
      <c r="A67" s="1385" t="s">
        <v>110</v>
      </c>
      <c r="B67" s="1386"/>
      <c r="C67" s="1387"/>
      <c r="D67" s="599" t="s">
        <v>198</v>
      </c>
      <c r="E67" s="590">
        <f>'12'!F67</f>
        <v>197071.71</v>
      </c>
      <c r="F67" s="554">
        <v>197786.33</v>
      </c>
      <c r="G67" s="549">
        <f t="shared" si="5"/>
        <v>714.61999999999534</v>
      </c>
      <c r="H67" s="536">
        <f>G67+'12'!H67</f>
        <v>9111.7999999999884</v>
      </c>
      <c r="I67" s="565"/>
      <c r="J67" s="629">
        <f>H67/DAY(B2)</f>
        <v>700.90769230769138</v>
      </c>
      <c r="K67" s="468"/>
      <c r="L67" s="408"/>
      <c r="N67" s="800"/>
      <c r="O67" s="807"/>
      <c r="P67" s="413"/>
    </row>
    <row r="68" spans="1:16" ht="27.75">
      <c r="A68" s="1385" t="s">
        <v>111</v>
      </c>
      <c r="B68" s="1386"/>
      <c r="C68" s="1387"/>
      <c r="D68" s="599" t="s">
        <v>198</v>
      </c>
      <c r="E68" s="590">
        <f>'12'!F68</f>
        <v>67375.86</v>
      </c>
      <c r="F68" s="554">
        <v>67742.77</v>
      </c>
      <c r="G68" s="549">
        <f t="shared" si="5"/>
        <v>366.91000000000349</v>
      </c>
      <c r="H68" s="536">
        <f>G68+'12'!H68</f>
        <v>4442.9100000000035</v>
      </c>
      <c r="I68" s="592"/>
      <c r="J68" s="629">
        <f>H68/DAY(B2)</f>
        <v>341.76230769230796</v>
      </c>
      <c r="K68" s="469"/>
      <c r="L68" s="408"/>
      <c r="N68" s="800"/>
      <c r="O68" s="807"/>
      <c r="P68" s="413"/>
    </row>
    <row r="69" spans="1:16" ht="27.75">
      <c r="A69" s="1385" t="s">
        <v>112</v>
      </c>
      <c r="B69" s="1386"/>
      <c r="C69" s="1387"/>
      <c r="D69" s="599" t="s">
        <v>198</v>
      </c>
      <c r="E69" s="590">
        <f>'12'!F69</f>
        <v>59324.55</v>
      </c>
      <c r="F69" s="554">
        <v>59644.04</v>
      </c>
      <c r="G69" s="549">
        <f t="shared" si="5"/>
        <v>319.48999999999796</v>
      </c>
      <c r="H69" s="536">
        <f>G69+'12'!H69</f>
        <v>3920.3300000000017</v>
      </c>
      <c r="I69" s="592"/>
      <c r="J69" s="629">
        <f>H69/DAY(B2)</f>
        <v>301.56384615384627</v>
      </c>
      <c r="K69" s="470"/>
      <c r="L69" s="408"/>
      <c r="N69" s="800"/>
      <c r="O69" s="807"/>
      <c r="P69" s="413"/>
    </row>
    <row r="70" spans="1:16" ht="27.75">
      <c r="A70" s="1391" t="s">
        <v>200</v>
      </c>
      <c r="B70" s="1392"/>
      <c r="C70" s="1393"/>
      <c r="D70" s="599" t="s">
        <v>198</v>
      </c>
      <c r="E70" s="594">
        <f>'12'!F70</f>
        <v>0</v>
      </c>
      <c r="F70" s="594">
        <v>0</v>
      </c>
      <c r="G70" s="594">
        <f t="shared" si="5"/>
        <v>0</v>
      </c>
      <c r="H70" s="536">
        <f>G70+'12'!H70</f>
        <v>0</v>
      </c>
      <c r="I70" s="594"/>
      <c r="J70" s="633">
        <f>H70/DAY(B2)</f>
        <v>0</v>
      </c>
      <c r="K70" s="470"/>
      <c r="L70" s="408"/>
      <c r="N70" s="800"/>
      <c r="O70" s="807"/>
      <c r="P70" s="413"/>
    </row>
    <row r="71" spans="1:16" ht="31.5">
      <c r="A71" s="1388" t="s">
        <v>201</v>
      </c>
      <c r="B71" s="1389"/>
      <c r="C71" s="1389"/>
      <c r="D71" s="1389"/>
      <c r="E71" s="1389"/>
      <c r="F71" s="1389"/>
      <c r="G71" s="1389"/>
      <c r="H71" s="1389"/>
      <c r="I71" s="1389"/>
      <c r="J71" s="1390"/>
      <c r="K71" s="469"/>
      <c r="L71" s="408"/>
      <c r="N71" s="800"/>
      <c r="O71" s="807"/>
      <c r="P71" s="413"/>
    </row>
    <row r="72" spans="1:16" ht="27.75">
      <c r="A72" s="1385" t="s">
        <v>202</v>
      </c>
      <c r="B72" s="1386"/>
      <c r="C72" s="1387"/>
      <c r="D72" s="599" t="s">
        <v>198</v>
      </c>
      <c r="E72" s="595">
        <f>'12'!F72</f>
        <v>849334</v>
      </c>
      <c r="F72" s="735">
        <v>849421</v>
      </c>
      <c r="G72" s="549">
        <f t="shared" ref="G72:G84" si="6">F72-E72</f>
        <v>87</v>
      </c>
      <c r="H72" s="536">
        <f>G72+'12'!H72</f>
        <v>956</v>
      </c>
      <c r="I72" s="556"/>
      <c r="J72" s="629">
        <f>H72/DAY(B2)</f>
        <v>73.538461538461533</v>
      </c>
      <c r="K72" s="470"/>
      <c r="L72" s="408"/>
      <c r="N72" s="800"/>
      <c r="O72" s="807"/>
      <c r="P72" s="413"/>
    </row>
    <row r="73" spans="1:16" ht="27.75">
      <c r="A73" s="1385" t="s">
        <v>203</v>
      </c>
      <c r="B73" s="1386"/>
      <c r="C73" s="1387"/>
      <c r="D73" s="599" t="s">
        <v>198</v>
      </c>
      <c r="E73" s="595">
        <f>'12'!F73</f>
        <v>885734</v>
      </c>
      <c r="F73" s="736">
        <v>885737</v>
      </c>
      <c r="G73" s="733">
        <f t="shared" si="6"/>
        <v>3</v>
      </c>
      <c r="H73" s="536">
        <f>G73+'12'!H73</f>
        <v>9</v>
      </c>
      <c r="I73" s="556"/>
      <c r="J73" s="629">
        <f>H73/DAY(B2)</f>
        <v>0.69230769230769229</v>
      </c>
      <c r="K73" s="469"/>
      <c r="L73" s="408"/>
      <c r="N73" s="800"/>
      <c r="O73" s="807"/>
      <c r="P73" s="413"/>
    </row>
    <row r="74" spans="1:16" ht="27.75">
      <c r="A74" s="1385" t="s">
        <v>204</v>
      </c>
      <c r="B74" s="1386"/>
      <c r="C74" s="1387"/>
      <c r="D74" s="599" t="s">
        <v>198</v>
      </c>
      <c r="E74" s="595">
        <f>'12'!F74</f>
        <v>51.01</v>
      </c>
      <c r="F74" s="736">
        <v>74.944999999999993</v>
      </c>
      <c r="G74" s="549">
        <f t="shared" si="6"/>
        <v>23.934999999999995</v>
      </c>
      <c r="H74" s="536">
        <f>G74+'12'!H74</f>
        <v>304.04500000000002</v>
      </c>
      <c r="I74" s="556"/>
      <c r="J74" s="629">
        <f>H74/DAY(B2)</f>
        <v>23.388076923076923</v>
      </c>
      <c r="K74" s="470"/>
      <c r="L74" s="408"/>
      <c r="N74" s="800"/>
      <c r="O74" s="807"/>
      <c r="P74" s="413"/>
    </row>
    <row r="75" spans="1:16" ht="27.75">
      <c r="A75" s="1382" t="s">
        <v>205</v>
      </c>
      <c r="B75" s="1383"/>
      <c r="C75" s="1384"/>
      <c r="D75" s="599" t="s">
        <v>198</v>
      </c>
      <c r="E75" s="595">
        <f>'12'!F75</f>
        <v>609.38</v>
      </c>
      <c r="F75" s="736">
        <v>799.68</v>
      </c>
      <c r="G75" s="549">
        <f t="shared" si="6"/>
        <v>190.29999999999995</v>
      </c>
      <c r="H75" s="536">
        <f>G75+'12'!H75</f>
        <v>2336.08</v>
      </c>
      <c r="I75" s="556"/>
      <c r="J75" s="629">
        <f>H75/DAY(B2)</f>
        <v>179.69846153846154</v>
      </c>
      <c r="K75" s="469"/>
      <c r="L75" s="408"/>
      <c r="N75" s="800"/>
      <c r="O75" s="807"/>
      <c r="P75" s="413"/>
    </row>
    <row r="76" spans="1:16" ht="27.75">
      <c r="A76" s="1382" t="s">
        <v>206</v>
      </c>
      <c r="B76" s="1383"/>
      <c r="C76" s="1384"/>
      <c r="D76" s="599" t="s">
        <v>198</v>
      </c>
      <c r="E76" s="595">
        <f>'12'!F76</f>
        <v>257.77999999999997</v>
      </c>
      <c r="F76" s="736">
        <v>338.88</v>
      </c>
      <c r="G76" s="549">
        <f t="shared" si="6"/>
        <v>81.100000000000023</v>
      </c>
      <c r="H76" s="536">
        <f>G76+'12'!H76</f>
        <v>1116.0299999999997</v>
      </c>
      <c r="I76" s="581"/>
      <c r="J76" s="629">
        <f>H76/DAY(B2)</f>
        <v>85.848461538461521</v>
      </c>
      <c r="K76" s="469"/>
      <c r="L76" s="408"/>
      <c r="N76" s="800"/>
      <c r="O76" s="807"/>
      <c r="P76" s="413"/>
    </row>
    <row r="77" spans="1:16" ht="27.75">
      <c r="A77" s="1385" t="s">
        <v>207</v>
      </c>
      <c r="B77" s="1386"/>
      <c r="C77" s="1387"/>
      <c r="D77" s="599" t="s">
        <v>198</v>
      </c>
      <c r="E77" s="595">
        <f>'12'!F77</f>
        <v>697782</v>
      </c>
      <c r="F77" s="736">
        <v>697837</v>
      </c>
      <c r="G77" s="733">
        <f t="shared" si="6"/>
        <v>55</v>
      </c>
      <c r="H77" s="536">
        <f>G77+'12'!H77</f>
        <v>730</v>
      </c>
      <c r="I77" s="581"/>
      <c r="J77" s="629">
        <f>H77/DAY(B2)</f>
        <v>56.153846153846153</v>
      </c>
      <c r="K77" s="469"/>
      <c r="L77" s="408"/>
      <c r="N77" s="800"/>
      <c r="O77" s="807"/>
      <c r="P77" s="413"/>
    </row>
    <row r="78" spans="1:16" ht="27.75">
      <c r="A78" s="1234" t="s">
        <v>208</v>
      </c>
      <c r="B78" s="1205"/>
      <c r="C78" s="1205"/>
      <c r="D78" s="599" t="s">
        <v>198</v>
      </c>
      <c r="E78" s="595">
        <f>'12'!F78</f>
        <v>646909</v>
      </c>
      <c r="F78" s="737">
        <v>647325</v>
      </c>
      <c r="G78" s="549">
        <f t="shared" si="6"/>
        <v>416</v>
      </c>
      <c r="H78" s="536">
        <f>G78+'12'!H78</f>
        <v>5372</v>
      </c>
      <c r="I78" s="581"/>
      <c r="J78" s="629">
        <f>H78/DAY(B2)</f>
        <v>413.23076923076923</v>
      </c>
      <c r="K78" s="469"/>
      <c r="L78" s="408"/>
      <c r="N78" s="800"/>
      <c r="O78" s="807"/>
      <c r="P78" s="413"/>
    </row>
    <row r="79" spans="1:16" ht="27.75">
      <c r="A79" s="1382" t="s">
        <v>97</v>
      </c>
      <c r="B79" s="1383"/>
      <c r="C79" s="1384"/>
      <c r="D79" s="600" t="s">
        <v>198</v>
      </c>
      <c r="E79" s="595">
        <f>'12'!F79</f>
        <v>811983</v>
      </c>
      <c r="F79" s="737">
        <v>812198</v>
      </c>
      <c r="G79" s="549">
        <f t="shared" si="6"/>
        <v>215</v>
      </c>
      <c r="H79" s="536">
        <f>G79+'12'!H79</f>
        <v>2507</v>
      </c>
      <c r="I79" s="581"/>
      <c r="J79" s="629">
        <f>H79/DAY(B2)</f>
        <v>192.84615384615384</v>
      </c>
      <c r="K79" s="469"/>
      <c r="L79" s="408"/>
      <c r="N79" s="800"/>
      <c r="O79" s="807"/>
      <c r="P79" s="413"/>
    </row>
    <row r="80" spans="1:16" ht="27.75">
      <c r="A80" s="1382" t="s">
        <v>209</v>
      </c>
      <c r="B80" s="1383"/>
      <c r="C80" s="1384"/>
      <c r="D80" s="600" t="s">
        <v>198</v>
      </c>
      <c r="E80" s="595">
        <f>'12'!F80</f>
        <v>488774.44</v>
      </c>
      <c r="F80" s="736">
        <v>489088.68</v>
      </c>
      <c r="G80" s="549">
        <f t="shared" si="6"/>
        <v>314.23999999999069</v>
      </c>
      <c r="H80" s="536">
        <f>G80+'12'!H80</f>
        <v>3961.679999999993</v>
      </c>
      <c r="I80" s="581"/>
      <c r="J80" s="629">
        <f>H80/DAY(B2)</f>
        <v>304.74461538461486</v>
      </c>
      <c r="K80" s="469"/>
      <c r="L80" s="408"/>
      <c r="N80" s="800"/>
      <c r="O80" s="807"/>
      <c r="P80" s="413"/>
    </row>
    <row r="81" spans="1:16" ht="27.75">
      <c r="A81" s="1382" t="s">
        <v>210</v>
      </c>
      <c r="B81" s="1383"/>
      <c r="C81" s="1384"/>
      <c r="D81" s="600" t="s">
        <v>198</v>
      </c>
      <c r="E81" s="595">
        <f>'12'!F81</f>
        <v>623980.43999999994</v>
      </c>
      <c r="F81" s="736">
        <v>624108.12</v>
      </c>
      <c r="G81" s="549">
        <f t="shared" si="6"/>
        <v>127.68000000005122</v>
      </c>
      <c r="H81" s="536">
        <f>G81+'12'!H81</f>
        <v>1333.1199999999953</v>
      </c>
      <c r="I81" s="581"/>
      <c r="J81" s="629">
        <f>H81/DAY(B2)</f>
        <v>102.54769230769195</v>
      </c>
      <c r="K81" s="469"/>
      <c r="L81" s="408"/>
      <c r="N81" s="800"/>
      <c r="O81" s="807"/>
      <c r="P81" s="413"/>
    </row>
    <row r="82" spans="1:16" ht="27.75">
      <c r="A82" s="1382" t="s">
        <v>100</v>
      </c>
      <c r="B82" s="1383"/>
      <c r="C82" s="1384"/>
      <c r="D82" s="561" t="s">
        <v>143</v>
      </c>
      <c r="E82" s="595">
        <f>'12'!F82</f>
        <v>105806.69</v>
      </c>
      <c r="F82" s="732">
        <v>105834.02</v>
      </c>
      <c r="G82" s="549">
        <f t="shared" si="6"/>
        <v>27.330000000001746</v>
      </c>
      <c r="H82" s="536">
        <f>G82+'12'!H82</f>
        <v>394.02000000000407</v>
      </c>
      <c r="I82" s="562"/>
      <c r="J82" s="629">
        <f>H82/DAY(B2)</f>
        <v>30.309230769231082</v>
      </c>
      <c r="K82" s="469"/>
      <c r="L82" s="408"/>
      <c r="N82" s="800"/>
      <c r="O82" s="807"/>
      <c r="P82" s="413"/>
    </row>
    <row r="83" spans="1:16" ht="27.75">
      <c r="A83" s="1382" t="s">
        <v>211</v>
      </c>
      <c r="B83" s="1383"/>
      <c r="C83" s="1384"/>
      <c r="D83" s="697" t="s">
        <v>143</v>
      </c>
      <c r="E83" s="595">
        <f>'12'!F83</f>
        <v>988651</v>
      </c>
      <c r="F83" s="587">
        <v>989212</v>
      </c>
      <c r="G83" s="549">
        <f t="shared" si="6"/>
        <v>561</v>
      </c>
      <c r="H83" s="536">
        <f>G83+'12'!H83</f>
        <v>5471</v>
      </c>
      <c r="I83" s="557"/>
      <c r="J83" s="629">
        <f>H83/DAY(B2)</f>
        <v>420.84615384615387</v>
      </c>
      <c r="K83" s="468"/>
      <c r="L83" s="408"/>
      <c r="N83" s="800"/>
      <c r="O83" s="807"/>
      <c r="P83" s="413"/>
    </row>
    <row r="84" spans="1:16">
      <c r="A84" s="1235" t="s">
        <v>212</v>
      </c>
      <c r="B84" s="648"/>
      <c r="C84" s="648"/>
      <c r="D84" s="554" t="s">
        <v>143</v>
      </c>
      <c r="E84" s="595">
        <f>'12'!F84</f>
        <v>421718</v>
      </c>
      <c r="F84" s="704">
        <v>422230</v>
      </c>
      <c r="G84" s="549">
        <f t="shared" si="6"/>
        <v>512</v>
      </c>
      <c r="H84" s="536">
        <f>G84+'12'!H84</f>
        <v>6157</v>
      </c>
      <c r="I84" s="557"/>
      <c r="J84" s="629">
        <f>H84/DAY(B2)</f>
        <v>473.61538461538464</v>
      </c>
      <c r="K84" s="411"/>
      <c r="L84" s="408"/>
      <c r="N84" s="800"/>
      <c r="O84" s="807"/>
      <c r="P84" s="413"/>
    </row>
    <row r="85" spans="1:16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SUM(G71:G84)</f>
        <v>2613.5850000000437</v>
      </c>
      <c r="H85" s="536">
        <f>G85+'12'!H85</f>
        <v>28833.974999999991</v>
      </c>
      <c r="I85" s="557"/>
      <c r="J85" s="629">
        <f>H85/DAY(B2)</f>
        <v>2217.998076923076</v>
      </c>
      <c r="K85" s="411"/>
      <c r="L85" s="409"/>
      <c r="N85" s="800"/>
      <c r="O85" s="807"/>
      <c r="P85" s="413"/>
    </row>
    <row r="86" spans="1:16" s="817" customFormat="1">
      <c r="A86" s="812" t="s">
        <v>102</v>
      </c>
      <c r="B86" s="813"/>
      <c r="C86" s="813"/>
      <c r="D86" s="814" t="s">
        <v>194</v>
      </c>
      <c r="E86" s="704">
        <f>'12'!F86</f>
        <v>448682.92</v>
      </c>
      <c r="F86" s="728">
        <v>448790.44</v>
      </c>
      <c r="G86" s="787">
        <f t="shared" ref="G86:G90" si="7">F86-E86</f>
        <v>107.52000000001863</v>
      </c>
      <c r="H86" s="787">
        <f t="shared" ref="H86:H88" si="8">G86</f>
        <v>107.52000000001863</v>
      </c>
      <c r="I86" s="733"/>
      <c r="J86" s="789">
        <f>H86/DAY(B2)</f>
        <v>8.2707692307706644</v>
      </c>
      <c r="K86" s="815"/>
      <c r="L86" s="816"/>
      <c r="O86" s="795"/>
    </row>
    <row r="87" spans="1:16" s="817" customFormat="1">
      <c r="A87" s="812" t="s">
        <v>103</v>
      </c>
      <c r="B87" s="813"/>
      <c r="C87" s="813"/>
      <c r="D87" s="814" t="s">
        <v>194</v>
      </c>
      <c r="E87" s="704">
        <f>'12'!F87</f>
        <v>78787.600000000006</v>
      </c>
      <c r="F87" s="728">
        <v>78813</v>
      </c>
      <c r="G87" s="787">
        <f t="shared" si="7"/>
        <v>25.399999999994179</v>
      </c>
      <c r="H87" s="787">
        <f t="shared" si="8"/>
        <v>25.399999999994179</v>
      </c>
      <c r="I87" s="733"/>
      <c r="J87" s="789">
        <f>H87/DAY(B2)</f>
        <v>1.9538461538457061</v>
      </c>
      <c r="K87" s="815"/>
      <c r="L87" s="816"/>
      <c r="O87" s="795"/>
    </row>
    <row r="88" spans="1:16" s="817" customFormat="1">
      <c r="A88" s="812" t="s">
        <v>104</v>
      </c>
      <c r="B88" s="813"/>
      <c r="C88" s="813"/>
      <c r="D88" s="814" t="s">
        <v>194</v>
      </c>
      <c r="E88" s="704">
        <f>'12'!F88</f>
        <v>147280.16</v>
      </c>
      <c r="F88" s="728">
        <v>147355.99</v>
      </c>
      <c r="G88" s="787">
        <f t="shared" si="7"/>
        <v>75.829999999987194</v>
      </c>
      <c r="H88" s="787">
        <f t="shared" si="8"/>
        <v>75.829999999987194</v>
      </c>
      <c r="I88" s="733"/>
      <c r="J88" s="789">
        <f>H88/DAY(B2)</f>
        <v>5.8330769230759376</v>
      </c>
      <c r="K88" s="815"/>
      <c r="L88" s="816"/>
      <c r="O88" s="795"/>
    </row>
    <row r="89" spans="1:16" s="817" customFormat="1">
      <c r="A89" s="812" t="s">
        <v>215</v>
      </c>
      <c r="B89" s="813"/>
      <c r="C89" s="813"/>
      <c r="D89" s="814" t="s">
        <v>194</v>
      </c>
      <c r="E89" s="704">
        <f>'12'!F89</f>
        <v>60630.9</v>
      </c>
      <c r="F89" s="728">
        <v>60681</v>
      </c>
      <c r="G89" s="787">
        <f t="shared" si="7"/>
        <v>50.099999999998545</v>
      </c>
      <c r="H89" s="787">
        <f>G89</f>
        <v>50.099999999998545</v>
      </c>
      <c r="I89" s="733"/>
      <c r="J89" s="789">
        <f>H89/DAY(B2)</f>
        <v>3.853846153846042</v>
      </c>
      <c r="K89" s="815"/>
      <c r="L89" s="816"/>
      <c r="N89" s="860"/>
      <c r="O89" s="413"/>
    </row>
    <row r="90" spans="1:16" s="817" customFormat="1">
      <c r="A90" s="812" t="s">
        <v>215</v>
      </c>
      <c r="B90" s="813"/>
      <c r="C90" s="813"/>
      <c r="D90" s="814" t="s">
        <v>194</v>
      </c>
      <c r="E90" s="704">
        <f>'12'!F90</f>
        <v>3111.1</v>
      </c>
      <c r="F90" s="728">
        <v>3112.1</v>
      </c>
      <c r="G90" s="787">
        <f t="shared" si="7"/>
        <v>1</v>
      </c>
      <c r="H90" s="787">
        <f>G90</f>
        <v>1</v>
      </c>
      <c r="I90" s="733"/>
      <c r="J90" s="789">
        <f>H90/DAY(B2)</f>
        <v>7.6923076923076927E-2</v>
      </c>
      <c r="K90" s="815"/>
      <c r="L90" s="816"/>
      <c r="N90" s="860"/>
      <c r="O90" s="413"/>
    </row>
    <row r="91" spans="1:16" s="410" customFormat="1">
      <c r="A91" s="683" t="s">
        <v>216</v>
      </c>
      <c r="B91" s="1237"/>
      <c r="C91" s="1237"/>
      <c r="D91" s="548"/>
      <c r="E91" s="548"/>
      <c r="F91" s="548"/>
      <c r="G91" s="564"/>
      <c r="H91" s="548"/>
      <c r="I91" s="548"/>
      <c r="J91" s="628"/>
      <c r="K91" s="411"/>
      <c r="L91" s="409"/>
      <c r="N91" s="800"/>
      <c r="O91" s="807"/>
      <c r="P91" s="413"/>
    </row>
    <row r="92" spans="1:16" ht="27.75">
      <c r="A92" s="1406" t="s">
        <v>217</v>
      </c>
      <c r="B92" s="1407"/>
      <c r="C92" s="1408"/>
      <c r="D92" s="599" t="s">
        <v>155</v>
      </c>
      <c r="E92" s="560">
        <f>'12'!F92</f>
        <v>237791</v>
      </c>
      <c r="F92" s="554">
        <v>237940</v>
      </c>
      <c r="G92" s="549">
        <f t="shared" ref="G92:G93" si="9">F92-E92</f>
        <v>149</v>
      </c>
      <c r="H92" s="536">
        <f>G92+'12'!H92</f>
        <v>1370</v>
      </c>
      <c r="I92" s="556"/>
      <c r="J92" s="629">
        <f>H92/DAY(B2)</f>
        <v>105.38461538461539</v>
      </c>
      <c r="K92" s="468"/>
      <c r="L92" s="408"/>
      <c r="N92" s="800"/>
      <c r="O92" s="807"/>
      <c r="P92" s="413"/>
    </row>
    <row r="93" spans="1:16" ht="27.75">
      <c r="A93" s="1406" t="s">
        <v>218</v>
      </c>
      <c r="B93" s="1407"/>
      <c r="C93" s="1408"/>
      <c r="D93" s="599" t="s">
        <v>155</v>
      </c>
      <c r="E93" s="560">
        <f>'12'!F93</f>
        <v>173026</v>
      </c>
      <c r="F93" s="554">
        <v>173275</v>
      </c>
      <c r="G93" s="549">
        <f t="shared" si="9"/>
        <v>249</v>
      </c>
      <c r="H93" s="536">
        <f>G93+'12'!H93</f>
        <v>2099</v>
      </c>
      <c r="I93" s="556"/>
      <c r="J93" s="629">
        <f>H93/DAY(B2)</f>
        <v>161.46153846153845</v>
      </c>
      <c r="K93" s="411"/>
      <c r="L93" s="408"/>
      <c r="N93" s="800"/>
      <c r="O93" s="807"/>
      <c r="P93" s="413"/>
    </row>
    <row r="94" spans="1:16">
      <c r="A94" s="1434" t="s">
        <v>219</v>
      </c>
      <c r="B94" s="1435"/>
      <c r="C94" s="1436"/>
      <c r="D94" s="599"/>
      <c r="E94" s="560">
        <f>'12'!F94</f>
        <v>0</v>
      </c>
      <c r="F94" s="554"/>
      <c r="G94" s="549">
        <f>G92+G93</f>
        <v>398</v>
      </c>
      <c r="H94" s="536">
        <f>G94+'12'!H94</f>
        <v>3182</v>
      </c>
      <c r="I94" s="556"/>
      <c r="J94" s="629">
        <f>H94/DAY(B2)</f>
        <v>244.76923076923077</v>
      </c>
      <c r="K94" s="411"/>
      <c r="L94" s="408"/>
      <c r="N94" s="800"/>
      <c r="O94" s="807"/>
      <c r="P94" s="413"/>
    </row>
    <row r="95" spans="1:16" ht="27.75">
      <c r="A95" s="1406" t="s">
        <v>220</v>
      </c>
      <c r="B95" s="1407"/>
      <c r="C95" s="1408"/>
      <c r="D95" s="599" t="s">
        <v>155</v>
      </c>
      <c r="E95" s="560">
        <f>'12'!F95</f>
        <v>406700</v>
      </c>
      <c r="F95" s="554">
        <v>406788</v>
      </c>
      <c r="G95" s="549">
        <f t="shared" ref="G95:G100" si="10">F95-E95</f>
        <v>88</v>
      </c>
      <c r="H95" s="536">
        <f>G95+'12'!H95</f>
        <v>912</v>
      </c>
      <c r="I95" s="556"/>
      <c r="J95" s="629">
        <f>H95/DAY(B2)</f>
        <v>70.15384615384616</v>
      </c>
      <c r="K95" s="411"/>
      <c r="L95" s="408"/>
      <c r="N95" s="800"/>
      <c r="O95" s="807"/>
      <c r="P95" s="413"/>
    </row>
    <row r="96" spans="1:16" ht="27.75">
      <c r="A96" s="1231" t="s">
        <v>221</v>
      </c>
      <c r="B96" s="1232"/>
      <c r="C96" s="1232"/>
      <c r="D96" s="599" t="s">
        <v>155</v>
      </c>
      <c r="E96" s="560">
        <f>'12'!F96</f>
        <v>100976</v>
      </c>
      <c r="F96" s="554">
        <v>101019</v>
      </c>
      <c r="G96" s="549">
        <f t="shared" si="10"/>
        <v>43</v>
      </c>
      <c r="H96" s="536">
        <f>G96+'12'!H96</f>
        <v>485</v>
      </c>
      <c r="I96" s="556"/>
      <c r="J96" s="629">
        <f>H96/DAY(B2)</f>
        <v>37.307692307692307</v>
      </c>
      <c r="K96" s="466"/>
      <c r="L96" s="408"/>
      <c r="N96" s="800"/>
      <c r="O96" s="807"/>
      <c r="P96" s="413"/>
    </row>
    <row r="97" spans="1:16" ht="27.75">
      <c r="A97" s="1231" t="s">
        <v>222</v>
      </c>
      <c r="B97" s="1232"/>
      <c r="C97" s="1232"/>
      <c r="D97" s="599" t="s">
        <v>155</v>
      </c>
      <c r="E97" s="560">
        <f>'12'!F97</f>
        <v>96026</v>
      </c>
      <c r="F97" s="554">
        <v>96072</v>
      </c>
      <c r="G97" s="549">
        <f t="shared" si="10"/>
        <v>46</v>
      </c>
      <c r="H97" s="536">
        <f>G97+'12'!H97</f>
        <v>395</v>
      </c>
      <c r="I97" s="556"/>
      <c r="J97" s="629">
        <f>H97/DAY(B2)</f>
        <v>30.384615384615383</v>
      </c>
      <c r="K97" s="471"/>
      <c r="L97" s="408"/>
      <c r="N97" s="800"/>
      <c r="O97" s="807"/>
      <c r="P97" s="413"/>
    </row>
    <row r="98" spans="1:16" ht="27.75">
      <c r="A98" s="1231" t="s">
        <v>223</v>
      </c>
      <c r="B98" s="1232"/>
      <c r="C98" s="1232"/>
      <c r="D98" s="599" t="s">
        <v>155</v>
      </c>
      <c r="E98" s="560">
        <f>'12'!F98</f>
        <v>146396</v>
      </c>
      <c r="F98" s="554">
        <v>146459</v>
      </c>
      <c r="G98" s="549">
        <f t="shared" si="10"/>
        <v>63</v>
      </c>
      <c r="H98" s="536">
        <f>G98+'12'!H98</f>
        <v>905</v>
      </c>
      <c r="I98" s="556"/>
      <c r="J98" s="629">
        <f>H98/DAY(B2)</f>
        <v>69.615384615384613</v>
      </c>
      <c r="K98" s="411"/>
      <c r="L98" s="408"/>
      <c r="N98" s="802"/>
      <c r="O98" s="807"/>
      <c r="P98" s="413"/>
    </row>
    <row r="99" spans="1:16" ht="27.75">
      <c r="A99" s="1231" t="s">
        <v>224</v>
      </c>
      <c r="B99" s="1232"/>
      <c r="C99" s="1232"/>
      <c r="D99" s="599" t="s">
        <v>155</v>
      </c>
      <c r="E99" s="560">
        <f>'12'!F99</f>
        <v>6102</v>
      </c>
      <c r="F99" s="554">
        <v>6118</v>
      </c>
      <c r="G99" s="549">
        <f t="shared" si="10"/>
        <v>16</v>
      </c>
      <c r="H99" s="536">
        <f>G99+'12'!H99</f>
        <v>144</v>
      </c>
      <c r="I99" s="556"/>
      <c r="J99" s="629">
        <f>H99/DAY(B2)</f>
        <v>11.076923076923077</v>
      </c>
      <c r="K99" s="411"/>
      <c r="L99" s="408"/>
      <c r="N99" s="800"/>
      <c r="O99" s="807"/>
      <c r="P99" s="413"/>
    </row>
    <row r="100" spans="1:16" ht="27.75">
      <c r="A100" s="1231" t="s">
        <v>225</v>
      </c>
      <c r="B100" s="1232"/>
      <c r="C100" s="1232"/>
      <c r="D100" s="599" t="s">
        <v>155</v>
      </c>
      <c r="E100" s="560">
        <f>'12'!F100</f>
        <v>4328</v>
      </c>
      <c r="F100" s="554">
        <v>4342</v>
      </c>
      <c r="G100" s="549">
        <f t="shared" si="10"/>
        <v>14</v>
      </c>
      <c r="H100" s="536">
        <f>G100+'12'!H100</f>
        <v>105</v>
      </c>
      <c r="I100" s="556"/>
      <c r="J100" s="629">
        <f>H100/DAY(B2)</f>
        <v>8.0769230769230766</v>
      </c>
      <c r="K100" s="411"/>
      <c r="L100" s="408"/>
      <c r="N100" s="800"/>
      <c r="O100" s="807"/>
      <c r="P100" s="413"/>
    </row>
    <row r="101" spans="1:16">
      <c r="A101" s="1434" t="s">
        <v>227</v>
      </c>
      <c r="B101" s="1435"/>
      <c r="C101" s="1436"/>
      <c r="D101" s="600"/>
      <c r="E101" s="560"/>
      <c r="F101" s="600"/>
      <c r="G101" s="601">
        <f>SUM(G95:G100)</f>
        <v>270</v>
      </c>
      <c r="H101" s="536">
        <f>G101+'12'!H101</f>
        <v>2946</v>
      </c>
      <c r="I101" s="602"/>
      <c r="J101" s="629">
        <f>H101/DAY(B2)</f>
        <v>226.61538461538461</v>
      </c>
      <c r="K101" s="411"/>
      <c r="L101" s="408"/>
      <c r="N101" s="800"/>
      <c r="O101" s="807"/>
      <c r="P101" s="413"/>
    </row>
    <row r="102" spans="1:16" s="481" customFormat="1" ht="27">
      <c r="A102" s="684" t="s">
        <v>228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800"/>
      <c r="O102" s="807"/>
      <c r="P102" s="413"/>
    </row>
    <row r="103" spans="1:16" s="481" customFormat="1" ht="27.75">
      <c r="A103" s="1437" t="s">
        <v>229</v>
      </c>
      <c r="B103" s="1438"/>
      <c r="C103" s="650"/>
      <c r="D103" s="699"/>
      <c r="E103" s="560"/>
      <c r="F103" s="739"/>
      <c r="G103" s="608"/>
      <c r="H103" s="609"/>
      <c r="I103" s="608"/>
      <c r="J103" s="635"/>
      <c r="N103" s="800"/>
      <c r="O103" s="807"/>
      <c r="P103" s="413"/>
    </row>
    <row r="104" spans="1:16" s="481" customFormat="1" ht="27.75">
      <c r="A104" s="1398" t="s">
        <v>230</v>
      </c>
      <c r="B104" s="1399"/>
      <c r="C104" s="1230"/>
      <c r="D104" s="699" t="s">
        <v>155</v>
      </c>
      <c r="E104" s="560">
        <f>'12'!F104</f>
        <v>7010</v>
      </c>
      <c r="F104" s="740">
        <v>7010</v>
      </c>
      <c r="G104" s="608">
        <f>F104-E104</f>
        <v>0</v>
      </c>
      <c r="H104" s="609">
        <f>SUM(G104+'1'!G76)</f>
        <v>74</v>
      </c>
      <c r="I104" s="608"/>
      <c r="J104" s="635">
        <f>H104/DAY(B2)</f>
        <v>5.6923076923076925</v>
      </c>
      <c r="N104" s="800"/>
      <c r="O104" s="807"/>
      <c r="P104" s="413"/>
    </row>
    <row r="105" spans="1:16" s="481" customFormat="1" ht="27.75">
      <c r="A105" s="1398" t="s">
        <v>77</v>
      </c>
      <c r="B105" s="1399"/>
      <c r="C105" s="1230"/>
      <c r="D105" s="699" t="s">
        <v>155</v>
      </c>
      <c r="E105" s="560">
        <f>'12'!F105</f>
        <v>35246</v>
      </c>
      <c r="F105" s="740">
        <v>35257</v>
      </c>
      <c r="G105" s="608">
        <f t="shared" ref="G105:G106" si="11">F105-E105</f>
        <v>11</v>
      </c>
      <c r="H105" s="609">
        <f>SUM(G105+'1'!G77)</f>
        <v>59</v>
      </c>
      <c r="I105" s="608"/>
      <c r="J105" s="635">
        <f>H105/DAY(B2)</f>
        <v>4.5384615384615383</v>
      </c>
      <c r="N105" s="800"/>
      <c r="O105" s="807"/>
      <c r="P105" s="413"/>
    </row>
    <row r="106" spans="1:16" s="481" customFormat="1" ht="27.75">
      <c r="A106" s="1398" t="s">
        <v>78</v>
      </c>
      <c r="B106" s="1439"/>
      <c r="C106" s="1399"/>
      <c r="D106" s="699" t="s">
        <v>155</v>
      </c>
      <c r="E106" s="560">
        <f>'12'!F106</f>
        <v>19146</v>
      </c>
      <c r="F106" s="740">
        <v>19152</v>
      </c>
      <c r="G106" s="608">
        <f t="shared" si="11"/>
        <v>6</v>
      </c>
      <c r="H106" s="609">
        <f>SUM(G106+'1'!G78)</f>
        <v>340</v>
      </c>
      <c r="I106" s="608"/>
      <c r="J106" s="635">
        <f>H106/DAY(B2)</f>
        <v>26.153846153846153</v>
      </c>
      <c r="N106" s="800"/>
      <c r="O106" s="807"/>
      <c r="P106" s="413"/>
    </row>
    <row r="107" spans="1:16" s="481" customFormat="1" ht="27.75">
      <c r="A107" s="1400" t="s">
        <v>213</v>
      </c>
      <c r="B107" s="1401"/>
      <c r="C107" s="1230"/>
      <c r="D107" s="699"/>
      <c r="E107" s="560"/>
      <c r="F107" s="740"/>
      <c r="G107" s="608">
        <f>SUM(G104:G106)</f>
        <v>17</v>
      </c>
      <c r="H107" s="609">
        <f>SUM(G107+'1'!G79)</f>
        <v>222</v>
      </c>
      <c r="I107" s="608"/>
      <c r="J107" s="635">
        <f>H107/DAY(B2)</f>
        <v>17.076923076923077</v>
      </c>
      <c r="N107" s="800"/>
      <c r="O107" s="807"/>
      <c r="P107" s="413"/>
    </row>
    <row r="108" spans="1:16" s="481" customFormat="1" ht="27.75">
      <c r="A108" s="1404" t="s">
        <v>79</v>
      </c>
      <c r="B108" s="1405"/>
      <c r="C108" s="1230"/>
      <c r="D108" s="699" t="s">
        <v>155</v>
      </c>
      <c r="E108" s="560"/>
      <c r="F108" s="740"/>
      <c r="G108" s="608"/>
      <c r="H108" s="609"/>
      <c r="I108" s="608"/>
      <c r="J108" s="635"/>
      <c r="N108" s="800"/>
      <c r="O108" s="807"/>
      <c r="P108" s="413"/>
    </row>
    <row r="109" spans="1:16" s="481" customFormat="1" ht="27.75">
      <c r="A109" s="1398" t="s">
        <v>231</v>
      </c>
      <c r="B109" s="1399"/>
      <c r="C109" s="1230"/>
      <c r="D109" s="699" t="s">
        <v>155</v>
      </c>
      <c r="E109" s="560">
        <f>'12'!F109</f>
        <v>55385</v>
      </c>
      <c r="F109" s="740">
        <v>55445</v>
      </c>
      <c r="G109" s="608">
        <f>F109-E109</f>
        <v>60</v>
      </c>
      <c r="H109" s="609">
        <f>SUM(G109+'1'!G81)</f>
        <v>136</v>
      </c>
      <c r="I109" s="608"/>
      <c r="J109" s="635">
        <f>H109/DAY(B2)</f>
        <v>10.461538461538462</v>
      </c>
      <c r="N109" s="800"/>
      <c r="O109" s="807"/>
      <c r="P109" s="413"/>
    </row>
    <row r="110" spans="1:16" s="481" customFormat="1" ht="27.75">
      <c r="A110" s="1398" t="s">
        <v>232</v>
      </c>
      <c r="B110" s="1399"/>
      <c r="C110" s="1230"/>
      <c r="D110" s="699" t="s">
        <v>155</v>
      </c>
      <c r="E110" s="560">
        <f>'12'!F110</f>
        <v>29305</v>
      </c>
      <c r="F110" s="740">
        <v>29391</v>
      </c>
      <c r="G110" s="608">
        <f t="shared" ref="G110:G111" si="12">F110-E110</f>
        <v>86</v>
      </c>
      <c r="H110" s="609">
        <f>SUM(G110+'1'!G82)</f>
        <v>131</v>
      </c>
      <c r="I110" s="608"/>
      <c r="J110" s="635">
        <f>H110/DAY(B2)</f>
        <v>10.076923076923077</v>
      </c>
      <c r="N110" s="800"/>
      <c r="O110" s="807"/>
      <c r="P110" s="413"/>
    </row>
    <row r="111" spans="1:16" s="481" customFormat="1" ht="27.75">
      <c r="A111" s="1398" t="s">
        <v>233</v>
      </c>
      <c r="B111" s="1399"/>
      <c r="C111" s="1230"/>
      <c r="D111" s="699" t="s">
        <v>155</v>
      </c>
      <c r="E111" s="560">
        <f>'12'!F111</f>
        <v>3857</v>
      </c>
      <c r="F111" s="740">
        <v>3870</v>
      </c>
      <c r="G111" s="608">
        <f t="shared" si="12"/>
        <v>13</v>
      </c>
      <c r="H111" s="609">
        <f>SUM(G111+'1'!G83)</f>
        <v>446</v>
      </c>
      <c r="I111" s="608"/>
      <c r="J111" s="635">
        <f>H111/DAY(B2)</f>
        <v>34.307692307692307</v>
      </c>
      <c r="N111" s="800"/>
      <c r="O111" s="807"/>
      <c r="P111" s="413"/>
    </row>
    <row r="112" spans="1:16" s="481" customFormat="1" ht="27.75">
      <c r="A112" s="1400" t="s">
        <v>121</v>
      </c>
      <c r="B112" s="1401"/>
      <c r="C112" s="1230"/>
      <c r="D112" s="699"/>
      <c r="E112" s="560"/>
      <c r="F112" s="740"/>
      <c r="G112" s="608">
        <f>SUM(G109:G111)</f>
        <v>159</v>
      </c>
      <c r="H112" s="609">
        <f>SUM(G112+'1'!G84)</f>
        <v>680</v>
      </c>
      <c r="I112" s="608"/>
      <c r="J112" s="635">
        <f>H112/DAY(B2)</f>
        <v>52.307692307692307</v>
      </c>
      <c r="N112" s="800"/>
      <c r="O112" s="807"/>
      <c r="P112" s="413"/>
    </row>
    <row r="113" spans="1:16" s="481" customFormat="1" ht="27.75">
      <c r="A113" s="1404" t="s">
        <v>234</v>
      </c>
      <c r="B113" s="1405"/>
      <c r="C113" s="1230"/>
      <c r="D113" s="699"/>
      <c r="E113" s="560"/>
      <c r="F113" s="740"/>
      <c r="G113" s="608"/>
      <c r="H113" s="609"/>
      <c r="I113" s="608"/>
      <c r="J113" s="635">
        <f>H113/DAY(B2)</f>
        <v>0</v>
      </c>
      <c r="N113" s="800"/>
      <c r="O113" s="807"/>
      <c r="P113" s="413"/>
    </row>
    <row r="114" spans="1:16" s="481" customFormat="1" ht="27.75">
      <c r="A114" s="1398" t="s">
        <v>235</v>
      </c>
      <c r="B114" s="1399"/>
      <c r="C114" s="651"/>
      <c r="D114" s="699" t="s">
        <v>155</v>
      </c>
      <c r="E114" s="560">
        <f>'12'!F114</f>
        <v>9959</v>
      </c>
      <c r="F114" s="740">
        <v>9979</v>
      </c>
      <c r="G114" s="610">
        <f>F114-E114</f>
        <v>20</v>
      </c>
      <c r="H114" s="609">
        <f>SUM(G114+'1'!G91)</f>
        <v>20</v>
      </c>
      <c r="I114" s="608"/>
      <c r="J114" s="635">
        <f>H114/DAY(B2)</f>
        <v>1.5384615384615385</v>
      </c>
      <c r="N114" s="800"/>
      <c r="O114" s="807"/>
      <c r="P114" s="413"/>
    </row>
    <row r="115" spans="1:16" s="481" customFormat="1" ht="27.75">
      <c r="A115" s="1398" t="s">
        <v>236</v>
      </c>
      <c r="B115" s="1399"/>
      <c r="C115" s="651"/>
      <c r="D115" s="699" t="s">
        <v>155</v>
      </c>
      <c r="E115" s="560">
        <f>'12'!F115</f>
        <v>7503</v>
      </c>
      <c r="F115" s="740">
        <v>7509</v>
      </c>
      <c r="G115" s="610">
        <f t="shared" ref="G115:G116" si="13">F115-E115</f>
        <v>6</v>
      </c>
      <c r="H115" s="609">
        <f>SUM(G115+'1'!G92)</f>
        <v>93</v>
      </c>
      <c r="I115" s="608"/>
      <c r="J115" s="635">
        <f>H115/DAY(B2)</f>
        <v>7.1538461538461542</v>
      </c>
      <c r="N115" s="800"/>
      <c r="O115" s="807"/>
      <c r="P115" s="413"/>
    </row>
    <row r="116" spans="1:16" s="481" customFormat="1" ht="27.75">
      <c r="A116" s="1398" t="s">
        <v>237</v>
      </c>
      <c r="B116" s="1399"/>
      <c r="C116" s="651"/>
      <c r="D116" s="699" t="s">
        <v>155</v>
      </c>
      <c r="E116" s="610"/>
      <c r="F116" s="740"/>
      <c r="G116" s="610">
        <f t="shared" si="13"/>
        <v>0</v>
      </c>
      <c r="H116" s="609">
        <f>SUM(G116+'1'!G93)</f>
        <v>200</v>
      </c>
      <c r="I116" s="608"/>
      <c r="J116" s="635">
        <f>H116/DAY(B2)</f>
        <v>15.384615384615385</v>
      </c>
      <c r="N116" s="800"/>
      <c r="O116" s="807"/>
      <c r="P116" s="413"/>
    </row>
    <row r="117" spans="1:16" s="494" customFormat="1" ht="27.75">
      <c r="A117" s="1400" t="s">
        <v>213</v>
      </c>
      <c r="B117" s="1401"/>
      <c r="C117" s="651"/>
      <c r="D117" s="700"/>
      <c r="E117" s="610"/>
      <c r="F117" s="740"/>
      <c r="G117" s="610">
        <f>SUM(G114:G116)</f>
        <v>26</v>
      </c>
      <c r="H117" s="609">
        <f>SUM(G117+'1'!G95)</f>
        <v>98</v>
      </c>
      <c r="I117" s="610"/>
      <c r="J117" s="635">
        <f>H117/DAY(B2)</f>
        <v>7.5384615384615383</v>
      </c>
      <c r="N117" s="800"/>
      <c r="O117" s="807"/>
      <c r="P117" s="413"/>
    </row>
    <row r="118" spans="1:16" s="495" customFormat="1" ht="27.75">
      <c r="A118" s="1394" t="s">
        <v>238</v>
      </c>
      <c r="B118" s="1395"/>
      <c r="C118" s="1228"/>
      <c r="D118" s="701" t="s">
        <v>155</v>
      </c>
      <c r="E118" s="612"/>
      <c r="F118" s="741">
        <f>SUM(G19+G92)</f>
        <v>201</v>
      </c>
      <c r="G118" s="612">
        <f>SUM(G19+G92)</f>
        <v>201</v>
      </c>
      <c r="H118" s="609">
        <f>SUM(G118+'1'!G96)</f>
        <v>224</v>
      </c>
      <c r="I118" s="611"/>
      <c r="J118" s="636">
        <f>H118/DAY(B2)</f>
        <v>17.23076923076923</v>
      </c>
      <c r="N118" s="800"/>
      <c r="O118" s="807"/>
      <c r="P118" s="413"/>
    </row>
    <row r="119" spans="1:16" s="495" customFormat="1" ht="27.75">
      <c r="A119" s="1394" t="s">
        <v>239</v>
      </c>
      <c r="B119" s="1395"/>
      <c r="C119" s="1228"/>
      <c r="D119" s="701" t="s">
        <v>155</v>
      </c>
      <c r="E119" s="612"/>
      <c r="F119" s="741">
        <f>SUM(G95,G96,G97,G99,G100)</f>
        <v>207</v>
      </c>
      <c r="G119" s="612">
        <f>SUM(G95,G96,G97,G99,G100)</f>
        <v>207</v>
      </c>
      <c r="H119" s="609">
        <f>SUM(G119+'1'!G98)</f>
        <v>290</v>
      </c>
      <c r="I119" s="611"/>
      <c r="J119" s="636">
        <f>H119/DAY(B2)</f>
        <v>22.307692307692307</v>
      </c>
      <c r="N119" s="800"/>
      <c r="O119" s="807"/>
      <c r="P119" s="413"/>
    </row>
    <row r="120" spans="1:16" s="495" customFormat="1" ht="27.75">
      <c r="A120" s="1394" t="s">
        <v>240</v>
      </c>
      <c r="B120" s="1395"/>
      <c r="C120" s="1228"/>
      <c r="D120" s="701" t="s">
        <v>155</v>
      </c>
      <c r="E120" s="610"/>
      <c r="F120" s="740">
        <f>SUM(G112)</f>
        <v>159</v>
      </c>
      <c r="G120" s="610">
        <f>SUM(G112)</f>
        <v>159</v>
      </c>
      <c r="H120" s="609">
        <f>SUM(G120+'1'!G100)</f>
        <v>165</v>
      </c>
      <c r="I120" s="611"/>
      <c r="J120" s="636">
        <f>H120/DAY(B2)</f>
        <v>12.692307692307692</v>
      </c>
      <c r="N120" s="800"/>
      <c r="O120" s="807"/>
      <c r="P120" s="413"/>
    </row>
    <row r="121" spans="1:16" s="481" customFormat="1" ht="27.75">
      <c r="A121" s="1396"/>
      <c r="B121" s="1397"/>
      <c r="C121" s="1229"/>
      <c r="D121" s="637"/>
      <c r="E121" s="637"/>
      <c r="F121" s="742" t="s">
        <v>226</v>
      </c>
      <c r="G121" s="637"/>
      <c r="H121" s="638"/>
      <c r="I121" s="637"/>
      <c r="J121" s="639"/>
      <c r="N121" s="800"/>
      <c r="O121" s="807"/>
      <c r="P121" s="413"/>
    </row>
    <row r="122" spans="1:16">
      <c r="A122" s="1431" t="s">
        <v>241</v>
      </c>
      <c r="B122" s="1432"/>
      <c r="C122" s="1433"/>
      <c r="D122" s="548"/>
      <c r="E122" s="548"/>
      <c r="F122" s="548"/>
      <c r="G122" s="559"/>
      <c r="H122" s="559"/>
      <c r="I122" s="559"/>
      <c r="J122" s="640"/>
      <c r="K122" s="411"/>
      <c r="L122" s="408"/>
      <c r="N122" s="800"/>
      <c r="O122" s="807"/>
      <c r="P122" s="413"/>
    </row>
    <row r="123" spans="1:16" ht="27.75">
      <c r="A123" s="1231" t="s">
        <v>242</v>
      </c>
      <c r="B123" s="1232"/>
      <c r="C123" s="1232"/>
      <c r="D123" s="599" t="s">
        <v>152</v>
      </c>
      <c r="E123" s="554">
        <f>'12'!F123</f>
        <v>806704.88</v>
      </c>
      <c r="F123" s="554">
        <v>806998.4</v>
      </c>
      <c r="G123" s="549">
        <f t="shared" ref="G123:G127" si="14">F123-E123</f>
        <v>293.52000000001863</v>
      </c>
      <c r="H123" s="536">
        <f>G123+'12'!H123</f>
        <v>3663</v>
      </c>
      <c r="I123" s="602"/>
      <c r="J123" s="629">
        <f>H123/DAY(B2)</f>
        <v>281.76923076923077</v>
      </c>
      <c r="K123" s="411"/>
      <c r="L123" s="408"/>
      <c r="N123" s="800"/>
      <c r="O123" s="807"/>
      <c r="P123" s="413"/>
    </row>
    <row r="124" spans="1:16" ht="27.75">
      <c r="A124" s="1231" t="s">
        <v>243</v>
      </c>
      <c r="B124" s="1232"/>
      <c r="C124" s="1232"/>
      <c r="D124" s="599" t="s">
        <v>152</v>
      </c>
      <c r="E124" s="703">
        <f>'12'!F124</f>
        <v>73583.399999999994</v>
      </c>
      <c r="F124" s="703">
        <v>73583.399999999994</v>
      </c>
      <c r="G124" s="549">
        <f t="shared" si="14"/>
        <v>0</v>
      </c>
      <c r="H124" s="536">
        <f>G124+'12'!H124</f>
        <v>1.3999999999941792</v>
      </c>
      <c r="I124" s="602"/>
      <c r="J124" s="629">
        <f>H124/DAY(B2)</f>
        <v>0.10769230769185995</v>
      </c>
      <c r="K124" s="411"/>
      <c r="L124" s="408"/>
      <c r="N124" s="800"/>
      <c r="O124" s="807"/>
      <c r="P124" s="413"/>
    </row>
    <row r="125" spans="1:16" ht="27.75">
      <c r="A125" s="1385" t="s">
        <v>244</v>
      </c>
      <c r="B125" s="1386"/>
      <c r="C125" s="1387"/>
      <c r="D125" s="599" t="s">
        <v>152</v>
      </c>
      <c r="E125" s="554">
        <f>'12'!F125</f>
        <v>138647</v>
      </c>
      <c r="F125" s="554">
        <v>138746.25</v>
      </c>
      <c r="G125" s="549">
        <f t="shared" si="14"/>
        <v>99.25</v>
      </c>
      <c r="H125" s="536">
        <f>G125+'12'!H125</f>
        <v>898.25</v>
      </c>
      <c r="I125" s="602"/>
      <c r="J125" s="629">
        <f>H125/DAY(B2)</f>
        <v>69.09615384615384</v>
      </c>
      <c r="K125" s="411"/>
      <c r="L125" s="408"/>
      <c r="N125" s="800"/>
      <c r="O125" s="807"/>
      <c r="P125" s="413"/>
    </row>
    <row r="126" spans="1:16" ht="27.75">
      <c r="A126" s="686" t="s">
        <v>245</v>
      </c>
      <c r="B126" s="1232"/>
      <c r="C126" s="1232"/>
      <c r="D126" s="599" t="s">
        <v>152</v>
      </c>
      <c r="E126" s="703">
        <f>'12'!F126</f>
        <v>58846.5</v>
      </c>
      <c r="F126" s="703">
        <v>58895.3</v>
      </c>
      <c r="G126" s="549">
        <f t="shared" si="14"/>
        <v>48.80000000000291</v>
      </c>
      <c r="H126" s="536">
        <f>G126+'12'!H126</f>
        <v>503.60000000000582</v>
      </c>
      <c r="I126" s="602"/>
      <c r="J126" s="629">
        <f>H126/DAY(B2)</f>
        <v>38.738461538461983</v>
      </c>
      <c r="K126" s="411"/>
      <c r="L126" s="408"/>
      <c r="N126" s="800"/>
      <c r="O126" s="807"/>
      <c r="P126" s="413"/>
    </row>
    <row r="127" spans="1:16" ht="27.75">
      <c r="A127" s="686" t="s">
        <v>246</v>
      </c>
      <c r="B127" s="1232"/>
      <c r="C127" s="1232"/>
      <c r="D127" s="599" t="s">
        <v>152</v>
      </c>
      <c r="E127" s="703">
        <f>'12'!F127</f>
        <v>8842.4</v>
      </c>
      <c r="F127" s="703">
        <v>8847.2999999999993</v>
      </c>
      <c r="G127" s="549">
        <f t="shared" si="14"/>
        <v>4.8999999999996362</v>
      </c>
      <c r="H127" s="536">
        <f>G127+'12'!H127</f>
        <v>31.299999999999272</v>
      </c>
      <c r="I127" s="556"/>
      <c r="J127" s="629">
        <f>H127/DAY(B2)</f>
        <v>2.4076923076922516</v>
      </c>
      <c r="K127" s="411"/>
      <c r="L127" s="408"/>
      <c r="N127" s="800"/>
      <c r="O127" s="807"/>
      <c r="P127" s="413"/>
    </row>
    <row r="128" spans="1:16" s="281" customFormat="1" ht="27.75">
      <c r="A128" s="686" t="s">
        <v>247</v>
      </c>
      <c r="B128" s="1232"/>
      <c r="C128" s="1232"/>
      <c r="D128" s="599"/>
      <c r="E128" s="554"/>
      <c r="F128" s="554"/>
      <c r="G128" s="549">
        <f>G15-SUM(G123:G127)</f>
        <v>597.19999999990432</v>
      </c>
      <c r="H128" s="536"/>
      <c r="I128" s="556"/>
      <c r="J128" s="629"/>
      <c r="K128" s="391"/>
      <c r="L128" s="293"/>
      <c r="N128" s="800"/>
      <c r="O128" s="807"/>
      <c r="P128" s="413"/>
    </row>
    <row r="129" spans="1:16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800"/>
      <c r="O129" s="807"/>
      <c r="P129" s="413"/>
    </row>
    <row r="130" spans="1:16" ht="27.75">
      <c r="A130" s="1231" t="s">
        <v>249</v>
      </c>
      <c r="B130" s="1232"/>
      <c r="C130" s="1232"/>
      <c r="D130" s="599" t="s">
        <v>250</v>
      </c>
      <c r="E130" s="560">
        <f>'12'!F130</f>
        <v>0</v>
      </c>
      <c r="F130" s="554">
        <v>0</v>
      </c>
      <c r="G130" s="549">
        <f t="shared" ref="G130:G140" si="15">F130-E130</f>
        <v>0</v>
      </c>
      <c r="H130" s="536">
        <f>G130+'12'!H130</f>
        <v>0</v>
      </c>
      <c r="I130" s="556"/>
      <c r="J130" s="629">
        <f>H130/DAY(B2)</f>
        <v>0</v>
      </c>
      <c r="N130" s="800"/>
      <c r="O130" s="807"/>
      <c r="P130" s="413"/>
    </row>
    <row r="131" spans="1:16" ht="27.75">
      <c r="A131" s="1231" t="s">
        <v>251</v>
      </c>
      <c r="B131" s="1232"/>
      <c r="C131" s="1232"/>
      <c r="D131" s="599" t="s">
        <v>250</v>
      </c>
      <c r="E131" s="560">
        <f>'12'!F131</f>
        <v>0</v>
      </c>
      <c r="F131" s="554">
        <v>0</v>
      </c>
      <c r="G131" s="549">
        <f t="shared" si="15"/>
        <v>0</v>
      </c>
      <c r="H131" s="536">
        <f>G131+'12'!H131</f>
        <v>0</v>
      </c>
      <c r="I131" s="556"/>
      <c r="J131" s="629">
        <f>H131/DAY(B2)</f>
        <v>0</v>
      </c>
      <c r="N131" s="800"/>
      <c r="O131" s="807"/>
      <c r="P131" s="413"/>
    </row>
    <row r="132" spans="1:16" ht="27.75">
      <c r="A132" s="1231" t="s">
        <v>252</v>
      </c>
      <c r="B132" s="1232"/>
      <c r="C132" s="1232"/>
      <c r="D132" s="599" t="s">
        <v>250</v>
      </c>
      <c r="E132" s="618">
        <f>'12'!F132</f>
        <v>39191.29</v>
      </c>
      <c r="F132" s="732">
        <v>39191.29</v>
      </c>
      <c r="G132" s="549">
        <f t="shared" si="15"/>
        <v>0</v>
      </c>
      <c r="H132" s="536">
        <f>G132+'12'!H132</f>
        <v>86.849999999998545</v>
      </c>
      <c r="I132" s="556"/>
      <c r="J132" s="629">
        <f>H132/DAY(B2)</f>
        <v>6.6807692307691191</v>
      </c>
      <c r="N132" s="800"/>
      <c r="O132" s="807"/>
      <c r="P132" s="413"/>
    </row>
    <row r="133" spans="1:16" ht="27.75">
      <c r="A133" s="1231" t="s">
        <v>253</v>
      </c>
      <c r="B133" s="1232"/>
      <c r="C133" s="1232"/>
      <c r="D133" s="599" t="s">
        <v>250</v>
      </c>
      <c r="E133" s="782">
        <f>'12'!F133</f>
        <v>299</v>
      </c>
      <c r="F133" s="703">
        <v>299</v>
      </c>
      <c r="G133" s="549">
        <f t="shared" si="15"/>
        <v>0</v>
      </c>
      <c r="H133" s="536">
        <f>G133+'12'!H133</f>
        <v>0</v>
      </c>
      <c r="I133" s="556">
        <f>G130+G131+G132+G133</f>
        <v>0</v>
      </c>
      <c r="J133" s="629">
        <f>H133/DAY(B2)</f>
        <v>0</v>
      </c>
      <c r="N133" s="800"/>
      <c r="O133" s="807"/>
      <c r="P133" s="413"/>
    </row>
    <row r="134" spans="1:16" ht="27.75">
      <c r="A134" s="1231" t="s">
        <v>254</v>
      </c>
      <c r="B134" s="1232"/>
      <c r="C134" s="1232"/>
      <c r="D134" s="599" t="s">
        <v>250</v>
      </c>
      <c r="E134" s="782">
        <f>'12'!F134</f>
        <v>40152</v>
      </c>
      <c r="F134" s="703">
        <v>40176.080000000002</v>
      </c>
      <c r="G134" s="549">
        <f t="shared" si="15"/>
        <v>24.080000000001746</v>
      </c>
      <c r="H134" s="536">
        <f>G134+'12'!H134</f>
        <v>225.08000000000175</v>
      </c>
      <c r="I134" s="556"/>
      <c r="J134" s="629">
        <f>H134/DAY(B2)</f>
        <v>17.313846153846288</v>
      </c>
      <c r="N134" s="800"/>
      <c r="O134" s="807"/>
      <c r="P134" s="413"/>
    </row>
    <row r="135" spans="1:16" ht="27.75">
      <c r="A135" s="1231" t="s">
        <v>255</v>
      </c>
      <c r="B135" s="1232"/>
      <c r="C135" s="1232"/>
      <c r="D135" s="599" t="s">
        <v>250</v>
      </c>
      <c r="E135" s="618">
        <f>'12'!F135</f>
        <v>32423</v>
      </c>
      <c r="F135" s="732">
        <v>32423</v>
      </c>
      <c r="G135" s="549">
        <f t="shared" si="15"/>
        <v>0</v>
      </c>
      <c r="H135" s="536">
        <f>G135+'12'!H135</f>
        <v>0</v>
      </c>
      <c r="I135" s="556"/>
      <c r="J135" s="629">
        <f>H135/DAY(B2)</f>
        <v>0</v>
      </c>
      <c r="N135" s="800"/>
      <c r="O135" s="807"/>
      <c r="P135" s="413"/>
    </row>
    <row r="136" spans="1:16" ht="27.75">
      <c r="A136" s="1231" t="s">
        <v>256</v>
      </c>
      <c r="B136" s="1232"/>
      <c r="C136" s="1232"/>
      <c r="D136" s="599" t="s">
        <v>250</v>
      </c>
      <c r="E136" s="618">
        <f>'12'!F136</f>
        <v>22080.14</v>
      </c>
      <c r="F136" s="732">
        <v>22089.439999999999</v>
      </c>
      <c r="G136" s="549">
        <f t="shared" si="15"/>
        <v>9.2999999999992724</v>
      </c>
      <c r="H136" s="536">
        <f>G136+'12'!H136</f>
        <v>87.479999999999563</v>
      </c>
      <c r="I136" s="556">
        <f>G134+G135+G136</f>
        <v>33.380000000001019</v>
      </c>
      <c r="J136" s="629">
        <f>H136/DAY(B2)</f>
        <v>6.7292307692307354</v>
      </c>
      <c r="N136" s="800"/>
      <c r="O136" s="807"/>
      <c r="P136" s="413"/>
    </row>
    <row r="137" spans="1:16" ht="27.75">
      <c r="A137" s="1231" t="s">
        <v>257</v>
      </c>
      <c r="B137" s="1232"/>
      <c r="C137" s="1232"/>
      <c r="D137" s="599" t="s">
        <v>250</v>
      </c>
      <c r="E137" s="618">
        <f>'12'!F137</f>
        <v>25030.03</v>
      </c>
      <c r="F137" s="732">
        <v>25030.03</v>
      </c>
      <c r="G137" s="549">
        <f t="shared" si="15"/>
        <v>0</v>
      </c>
      <c r="H137" s="536">
        <f>G137+'12'!H137</f>
        <v>10.090000000000146</v>
      </c>
      <c r="I137" s="556"/>
      <c r="J137" s="629">
        <f>H137/DAY(B2)</f>
        <v>0.7761538461538573</v>
      </c>
      <c r="N137" s="800"/>
      <c r="O137" s="807"/>
      <c r="P137" s="413"/>
    </row>
    <row r="138" spans="1:16" ht="27.75">
      <c r="A138" s="1231" t="s">
        <v>258</v>
      </c>
      <c r="B138" s="1232"/>
      <c r="C138" s="1232"/>
      <c r="D138" s="599" t="s">
        <v>250</v>
      </c>
      <c r="E138" s="618">
        <f>'12'!F138</f>
        <v>70083.520000000004</v>
      </c>
      <c r="F138" s="732">
        <v>70086.490000000005</v>
      </c>
      <c r="G138" s="549">
        <f t="shared" si="15"/>
        <v>2.9700000000011642</v>
      </c>
      <c r="H138" s="536">
        <f>G138+'12'!H138</f>
        <v>22.600000000005821</v>
      </c>
      <c r="I138" s="556">
        <f>G137+G138</f>
        <v>2.9700000000011642</v>
      </c>
      <c r="J138" s="629">
        <f>H138/DAY(B2)</f>
        <v>1.7384615384619861</v>
      </c>
      <c r="N138" s="800"/>
      <c r="O138" s="807"/>
      <c r="P138" s="413"/>
    </row>
    <row r="139" spans="1:16" ht="27.75">
      <c r="A139" s="1231" t="s">
        <v>259</v>
      </c>
      <c r="B139" s="1232"/>
      <c r="C139" s="1232"/>
      <c r="D139" s="599" t="s">
        <v>250</v>
      </c>
      <c r="E139" s="782">
        <f>'12'!F139</f>
        <v>1299.07</v>
      </c>
      <c r="F139" s="703">
        <v>1307.58</v>
      </c>
      <c r="G139" s="549">
        <f t="shared" si="15"/>
        <v>8.5099999999999909</v>
      </c>
      <c r="H139" s="536">
        <f>G139+'12'!H139</f>
        <v>106.99000000000001</v>
      </c>
      <c r="I139" s="619"/>
      <c r="J139" s="629">
        <f>H139/DAY(B2)</f>
        <v>8.23</v>
      </c>
      <c r="N139" s="800"/>
      <c r="O139" s="807"/>
      <c r="P139" s="413"/>
    </row>
    <row r="140" spans="1:16" ht="27.75">
      <c r="A140" s="1231" t="s">
        <v>260</v>
      </c>
      <c r="B140" s="1232"/>
      <c r="C140" s="1232"/>
      <c r="D140" s="599" t="s">
        <v>250</v>
      </c>
      <c r="E140" s="560">
        <f>'12'!F140</f>
        <v>4333.53</v>
      </c>
      <c r="F140" s="554">
        <v>4333.53</v>
      </c>
      <c r="G140" s="549">
        <f t="shared" si="15"/>
        <v>0</v>
      </c>
      <c r="H140" s="536">
        <f>G140+'12'!H140</f>
        <v>-0.47000000000025466</v>
      </c>
      <c r="I140" s="619"/>
      <c r="J140" s="629">
        <f>H140/DAY(B2)</f>
        <v>-3.6153846153865743E-2</v>
      </c>
      <c r="N140" s="800"/>
      <c r="O140" s="807"/>
      <c r="P140" s="413"/>
    </row>
    <row r="141" spans="1:16">
      <c r="A141" s="1412" t="s">
        <v>261</v>
      </c>
      <c r="B141" s="1413"/>
      <c r="C141" s="1237"/>
      <c r="D141" s="548"/>
      <c r="E141" s="548"/>
      <c r="F141" s="548"/>
      <c r="G141" s="559"/>
      <c r="H141" s="559"/>
      <c r="I141" s="559"/>
      <c r="J141" s="640"/>
      <c r="K141" s="411"/>
      <c r="L141" s="408"/>
      <c r="N141" s="800"/>
      <c r="O141" s="807"/>
      <c r="P141" s="413"/>
    </row>
    <row r="142" spans="1:16" ht="27.75">
      <c r="A142" s="1406" t="s">
        <v>262</v>
      </c>
      <c r="B142" s="1407"/>
      <c r="C142" s="1408"/>
      <c r="D142" s="599" t="s">
        <v>143</v>
      </c>
      <c r="E142" s="599"/>
      <c r="F142" s="599"/>
      <c r="G142" s="536">
        <f>G35+G43+G49+G57</f>
        <v>5079.2100000000046</v>
      </c>
      <c r="H142" s="536">
        <f>G142+'12'!H142</f>
        <v>64891.68999999993</v>
      </c>
      <c r="I142" s="556"/>
      <c r="J142" s="629">
        <f>H142/DAY(B2)</f>
        <v>4991.6684615384565</v>
      </c>
      <c r="K142" s="411"/>
      <c r="L142" s="408"/>
      <c r="N142" s="800"/>
      <c r="O142" s="807"/>
      <c r="P142" s="413"/>
    </row>
    <row r="143" spans="1:16" ht="27.75">
      <c r="A143" s="1406" t="s">
        <v>263</v>
      </c>
      <c r="B143" s="1407"/>
      <c r="C143" s="1408"/>
      <c r="D143" s="599" t="s">
        <v>24</v>
      </c>
      <c r="E143" s="587"/>
      <c r="F143" s="587"/>
      <c r="G143" s="620">
        <f>G142/G7</f>
        <v>0.2511476463607597</v>
      </c>
      <c r="H143" s="536">
        <f>G143+'12'!H143</f>
        <v>3.2808630801937086</v>
      </c>
      <c r="I143" s="621"/>
      <c r="J143" s="629">
        <f>H143/DAY(B2)</f>
        <v>0.25237408309182374</v>
      </c>
      <c r="K143" s="411"/>
      <c r="L143" s="408"/>
      <c r="N143" s="800"/>
      <c r="O143" s="807"/>
      <c r="P143" s="413"/>
    </row>
    <row r="144" spans="1:16" ht="27.75">
      <c r="A144" s="1406" t="s">
        <v>264</v>
      </c>
      <c r="B144" s="1407"/>
      <c r="C144" s="1408"/>
      <c r="D144" s="599" t="s">
        <v>143</v>
      </c>
      <c r="E144" s="531"/>
      <c r="F144" s="531"/>
      <c r="G144" s="536">
        <f>G41+G42+G55+G56</f>
        <v>4412.4599999999919</v>
      </c>
      <c r="H144" s="536">
        <f>G144+'12'!H144</f>
        <v>51946.893999999971</v>
      </c>
      <c r="I144" s="556"/>
      <c r="J144" s="629">
        <f>H144/DAY(B2)</f>
        <v>3995.9149230769208</v>
      </c>
      <c r="K144" s="411"/>
      <c r="L144" s="408"/>
      <c r="N144" s="800"/>
      <c r="O144" s="807"/>
      <c r="P144" s="413"/>
    </row>
    <row r="145" spans="1:16" ht="27.75">
      <c r="A145" s="1406" t="s">
        <v>265</v>
      </c>
      <c r="B145" s="1407"/>
      <c r="C145" s="1408"/>
      <c r="D145" s="599" t="s">
        <v>24</v>
      </c>
      <c r="E145" s="531"/>
      <c r="F145" s="531"/>
      <c r="G145" s="620">
        <f>G144/G7</f>
        <v>0.2181793908227844</v>
      </c>
      <c r="H145" s="536">
        <f>G145+'12'!H145</f>
        <v>2.7801585011814844</v>
      </c>
      <c r="I145" s="621"/>
      <c r="J145" s="629">
        <f>H145/DAY(B2)</f>
        <v>0.21385834624472957</v>
      </c>
      <c r="K145" s="411"/>
      <c r="L145" s="408"/>
      <c r="N145" s="800"/>
      <c r="O145" s="807"/>
      <c r="P145" s="413"/>
    </row>
    <row r="146" spans="1:16" ht="27.75">
      <c r="A146" s="1406" t="s">
        <v>266</v>
      </c>
      <c r="B146" s="1407"/>
      <c r="C146" s="1408"/>
      <c r="D146" s="599" t="s">
        <v>143</v>
      </c>
      <c r="E146" s="531"/>
      <c r="F146" s="531"/>
      <c r="G146" s="536">
        <f>G39+G53</f>
        <v>4383.7999999999993</v>
      </c>
      <c r="H146" s="536">
        <f>G146+'12'!H146</f>
        <v>54263.939999999988</v>
      </c>
      <c r="I146" s="622"/>
      <c r="J146" s="629">
        <f>H146/DAY(B2)</f>
        <v>4174.1492307692297</v>
      </c>
      <c r="K146" s="411"/>
      <c r="L146" s="408"/>
      <c r="N146" s="800"/>
      <c r="O146" s="807"/>
      <c r="P146" s="413"/>
    </row>
    <row r="147" spans="1:16" ht="27.75">
      <c r="A147" s="1406" t="s">
        <v>267</v>
      </c>
      <c r="B147" s="1407"/>
      <c r="C147" s="1408"/>
      <c r="D147" s="599" t="s">
        <v>24</v>
      </c>
      <c r="E147" s="531"/>
      <c r="F147" s="531"/>
      <c r="G147" s="620">
        <f>G146/G7</f>
        <v>0.21676226265822782</v>
      </c>
      <c r="H147" s="536">
        <f>G147+'12'!H147</f>
        <v>2.9111970652436097</v>
      </c>
      <c r="I147" s="622"/>
      <c r="J147" s="629">
        <f>H147/DAY(B2)</f>
        <v>0.22393823578796998</v>
      </c>
      <c r="N147" s="800"/>
      <c r="O147" s="807"/>
      <c r="P147" s="413"/>
    </row>
    <row r="148" spans="1:16" ht="27.75">
      <c r="A148" s="1406" t="s">
        <v>268</v>
      </c>
      <c r="B148" s="1407"/>
      <c r="C148" s="1408"/>
      <c r="D148" s="599" t="s">
        <v>194</v>
      </c>
      <c r="E148" s="531"/>
      <c r="F148" s="531"/>
      <c r="G148" s="536">
        <f>G38+G52</f>
        <v>2319.92</v>
      </c>
      <c r="H148" s="536">
        <f>G148+'12'!H148</f>
        <v>26070.020000000033</v>
      </c>
      <c r="I148" s="556"/>
      <c r="J148" s="629">
        <f>H148/DAY(B2)</f>
        <v>2005.3861538461565</v>
      </c>
      <c r="K148" s="412"/>
      <c r="N148" s="800"/>
      <c r="O148" s="807"/>
      <c r="P148" s="413"/>
    </row>
    <row r="149" spans="1:16" ht="27.75">
      <c r="A149" s="1406" t="s">
        <v>269</v>
      </c>
      <c r="B149" s="1407"/>
      <c r="C149" s="1408"/>
      <c r="D149" s="599" t="s">
        <v>24</v>
      </c>
      <c r="E149" s="531"/>
      <c r="F149" s="531"/>
      <c r="G149" s="620">
        <f>G148/G7</f>
        <v>0.1147112341772152</v>
      </c>
      <c r="H149" s="536">
        <f>G149+'12'!H149</f>
        <v>1.3981797392153599</v>
      </c>
      <c r="I149" s="622"/>
      <c r="J149" s="629">
        <f>H149/DAY(B2)</f>
        <v>0.10755228763195077</v>
      </c>
      <c r="N149" s="800"/>
      <c r="O149" s="807"/>
      <c r="P149" s="413"/>
    </row>
    <row r="150" spans="1:16" ht="27.75">
      <c r="A150" s="1406" t="s">
        <v>270</v>
      </c>
      <c r="B150" s="1407"/>
      <c r="C150" s="1408"/>
      <c r="D150" s="599" t="s">
        <v>194</v>
      </c>
      <c r="E150" s="531"/>
      <c r="F150" s="531"/>
      <c r="G150" s="536">
        <f>G36+G50</f>
        <v>1817.7399999999907</v>
      </c>
      <c r="H150" s="536">
        <f>G150+'12'!H150</f>
        <v>23044.479999999981</v>
      </c>
      <c r="I150" s="622"/>
      <c r="J150" s="629">
        <f>H150/DAY(B2)</f>
        <v>1772.6523076923063</v>
      </c>
      <c r="N150" s="800"/>
      <c r="O150" s="807"/>
      <c r="P150" s="413"/>
    </row>
    <row r="151" spans="1:16" ht="27.75">
      <c r="A151" s="1406" t="s">
        <v>271</v>
      </c>
      <c r="B151" s="1407"/>
      <c r="C151" s="1408"/>
      <c r="D151" s="599" t="s">
        <v>24</v>
      </c>
      <c r="E151" s="531"/>
      <c r="F151" s="531"/>
      <c r="G151" s="620">
        <f>G150/G7</f>
        <v>8.9880340189872954E-2</v>
      </c>
      <c r="H151" s="536">
        <f>G151+'12'!H151</f>
        <v>1.2349554328314609</v>
      </c>
      <c r="I151" s="556"/>
      <c r="J151" s="629">
        <f>H151/DAY(B2)</f>
        <v>9.4996571756266218E-2</v>
      </c>
      <c r="N151" s="800"/>
      <c r="O151" s="807"/>
      <c r="P151" s="413"/>
    </row>
    <row r="152" spans="1:16" ht="27.75">
      <c r="A152" s="1406" t="s">
        <v>272</v>
      </c>
      <c r="B152" s="1407"/>
      <c r="C152" s="1408"/>
      <c r="D152" s="599" t="s">
        <v>194</v>
      </c>
      <c r="E152" s="531"/>
      <c r="F152" s="531"/>
      <c r="G152" s="536">
        <f>G37+G51</f>
        <v>1599.92</v>
      </c>
      <c r="H152" s="536">
        <f>G152+'12'!H152</f>
        <v>19555.109999999993</v>
      </c>
      <c r="I152" s="556"/>
      <c r="J152" s="629">
        <f>H152/DAY(B2)</f>
        <v>1504.2392307692303</v>
      </c>
      <c r="N152" s="800"/>
      <c r="O152" s="807"/>
      <c r="P152" s="413"/>
    </row>
    <row r="153" spans="1:16" ht="28.5" thickBot="1">
      <c r="A153" s="1409" t="s">
        <v>273</v>
      </c>
      <c r="B153" s="1410"/>
      <c r="C153" s="1411"/>
      <c r="D153" s="702" t="s">
        <v>24</v>
      </c>
      <c r="E153" s="642"/>
      <c r="F153" s="642"/>
      <c r="G153" s="643">
        <f>G152/G7</f>
        <v>7.9109968354430377E-2</v>
      </c>
      <c r="H153" s="536">
        <f>G153+'12'!H153</f>
        <v>1.0521278337218185</v>
      </c>
      <c r="I153" s="645"/>
      <c r="J153" s="646">
        <f>H153/DAY(B2)</f>
        <v>8.0932910286293736E-2</v>
      </c>
      <c r="N153" s="800"/>
      <c r="O153" s="807"/>
      <c r="P153" s="413"/>
    </row>
    <row r="154" spans="1:16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800"/>
    </row>
    <row r="155" spans="1:16">
      <c r="N155" s="800"/>
    </row>
    <row r="156" spans="1:16">
      <c r="N156" s="800"/>
    </row>
    <row r="157" spans="1:16">
      <c r="N157" s="800"/>
    </row>
    <row r="158" spans="1:16">
      <c r="N158" s="800"/>
    </row>
    <row r="159" spans="1:16">
      <c r="N159" s="800"/>
    </row>
    <row r="160" spans="1:16">
      <c r="A160" s="878" t="s">
        <v>274</v>
      </c>
      <c r="B160" s="879"/>
      <c r="C160" s="879"/>
      <c r="D160" s="697" t="s">
        <v>198</v>
      </c>
      <c r="E160" s="598">
        <f>'12'!F160</f>
        <v>29427.86</v>
      </c>
      <c r="F160" s="887">
        <v>29515.62</v>
      </c>
      <c r="G160" s="549">
        <f t="shared" ref="G160:G163" si="16">F160-E160</f>
        <v>87.759999999998399</v>
      </c>
      <c r="N160" s="800"/>
    </row>
    <row r="161" spans="1:14">
      <c r="A161" s="878" t="s">
        <v>275</v>
      </c>
      <c r="B161" s="879"/>
      <c r="C161" s="879"/>
      <c r="D161" s="697" t="s">
        <v>198</v>
      </c>
      <c r="E161" s="598">
        <f>'12'!F161</f>
        <v>47984.411</v>
      </c>
      <c r="F161" s="887">
        <v>48426.707999999999</v>
      </c>
      <c r="G161" s="549">
        <f t="shared" si="16"/>
        <v>442.29699999999866</v>
      </c>
      <c r="N161" s="800"/>
    </row>
    <row r="162" spans="1:14">
      <c r="A162" s="878" t="s">
        <v>276</v>
      </c>
      <c r="B162" s="879"/>
      <c r="C162" s="879"/>
      <c r="D162" s="697" t="s">
        <v>198</v>
      </c>
      <c r="E162" s="598">
        <f>'12'!F162</f>
        <v>15650.165000000001</v>
      </c>
      <c r="F162" s="887">
        <v>15992.409</v>
      </c>
      <c r="G162" s="549">
        <f t="shared" si="16"/>
        <v>342.24399999999878</v>
      </c>
      <c r="N162" s="800"/>
    </row>
    <row r="163" spans="1:14">
      <c r="A163" s="878" t="s">
        <v>277</v>
      </c>
      <c r="B163" s="879"/>
      <c r="C163" s="879"/>
      <c r="D163" s="697" t="s">
        <v>198</v>
      </c>
      <c r="E163" s="598">
        <f>'12'!F163</f>
        <v>5178.42</v>
      </c>
      <c r="F163" s="887">
        <v>5190.32</v>
      </c>
      <c r="G163" s="549">
        <f t="shared" si="16"/>
        <v>11.899999999999636</v>
      </c>
      <c r="N163" s="800"/>
    </row>
    <row r="164" spans="1:14">
      <c r="A164" s="880" t="s">
        <v>106</v>
      </c>
      <c r="B164" s="881"/>
      <c r="C164" s="881"/>
      <c r="D164" s="697" t="s">
        <v>198</v>
      </c>
      <c r="E164" s="590">
        <f>E62</f>
        <v>20419</v>
      </c>
      <c r="F164" s="590">
        <f>F62</f>
        <v>20419.18</v>
      </c>
      <c r="G164" s="549">
        <f t="shared" ref="G164:G171" si="17">F164-E164</f>
        <v>0.18000000000029104</v>
      </c>
      <c r="N164" s="800"/>
    </row>
    <row r="165" spans="1:14">
      <c r="A165" s="880" t="s">
        <v>199</v>
      </c>
      <c r="B165" s="881"/>
      <c r="C165" s="881"/>
      <c r="D165" s="697" t="s">
        <v>198</v>
      </c>
      <c r="E165" s="590">
        <f t="shared" ref="E165:E171" si="18">E63</f>
        <v>1493.87</v>
      </c>
      <c r="F165" s="590">
        <f t="shared" ref="F165:F171" si="19">F63</f>
        <v>1507.25</v>
      </c>
      <c r="G165" s="549">
        <f t="shared" si="17"/>
        <v>13.380000000000109</v>
      </c>
      <c r="N165" s="800"/>
    </row>
    <row r="166" spans="1:14" ht="21.75" customHeight="1">
      <c r="A166" s="1449" t="s">
        <v>107</v>
      </c>
      <c r="B166" s="1449"/>
      <c r="C166" s="1449"/>
      <c r="D166" s="600" t="s">
        <v>198</v>
      </c>
      <c r="E166" s="590">
        <f t="shared" si="18"/>
        <v>116317.59</v>
      </c>
      <c r="F166" s="590">
        <f t="shared" si="19"/>
        <v>116718.44</v>
      </c>
      <c r="G166" s="549">
        <f t="shared" si="17"/>
        <v>400.85000000000582</v>
      </c>
      <c r="N166" s="800"/>
    </row>
    <row r="167" spans="1:14" ht="21.75" customHeight="1">
      <c r="A167" s="1449" t="s">
        <v>108</v>
      </c>
      <c r="B167" s="1449"/>
      <c r="C167" s="1449"/>
      <c r="D167" s="600" t="s">
        <v>198</v>
      </c>
      <c r="E167" s="590">
        <f t="shared" si="18"/>
        <v>126241.2</v>
      </c>
      <c r="F167" s="590">
        <f t="shared" si="19"/>
        <v>126633.84</v>
      </c>
      <c r="G167" s="549">
        <f t="shared" si="17"/>
        <v>392.63999999999942</v>
      </c>
      <c r="N167" s="800"/>
    </row>
    <row r="168" spans="1:14" ht="21.75" customHeight="1">
      <c r="A168" s="1449" t="s">
        <v>109</v>
      </c>
      <c r="B168" s="1449"/>
      <c r="C168" s="1449"/>
      <c r="D168" s="600" t="s">
        <v>198</v>
      </c>
      <c r="E168" s="590">
        <f t="shared" si="18"/>
        <v>18844.145</v>
      </c>
      <c r="F168" s="590">
        <f t="shared" si="19"/>
        <v>19244.102999999999</v>
      </c>
      <c r="G168" s="549">
        <f t="shared" si="17"/>
        <v>399.95799999999872</v>
      </c>
      <c r="N168" s="800"/>
    </row>
    <row r="169" spans="1:14" ht="26.25" customHeight="1">
      <c r="A169" s="1449" t="s">
        <v>110</v>
      </c>
      <c r="B169" s="1449"/>
      <c r="C169" s="1449"/>
      <c r="D169" s="600" t="s">
        <v>198</v>
      </c>
      <c r="E169" s="590">
        <f t="shared" si="18"/>
        <v>197071.71</v>
      </c>
      <c r="F169" s="590">
        <f t="shared" si="19"/>
        <v>197786.33</v>
      </c>
      <c r="G169" s="549">
        <f t="shared" si="17"/>
        <v>714.61999999999534</v>
      </c>
      <c r="N169" s="800"/>
    </row>
    <row r="170" spans="1:14" ht="24" customHeight="1">
      <c r="A170" s="1449" t="s">
        <v>111</v>
      </c>
      <c r="B170" s="1449"/>
      <c r="C170" s="1449"/>
      <c r="D170" s="600" t="s">
        <v>198</v>
      </c>
      <c r="E170" s="590">
        <f t="shared" si="18"/>
        <v>67375.86</v>
      </c>
      <c r="F170" s="590">
        <f t="shared" si="19"/>
        <v>67742.77</v>
      </c>
      <c r="G170" s="549">
        <f t="shared" si="17"/>
        <v>366.91000000000349</v>
      </c>
      <c r="N170" s="800"/>
    </row>
    <row r="171" spans="1:14" ht="27.75">
      <c r="A171" s="1449" t="s">
        <v>112</v>
      </c>
      <c r="B171" s="1449"/>
      <c r="C171" s="1449"/>
      <c r="D171" s="600" t="s">
        <v>198</v>
      </c>
      <c r="E171" s="590">
        <f t="shared" si="18"/>
        <v>59324.55</v>
      </c>
      <c r="F171" s="590">
        <f t="shared" si="19"/>
        <v>59644.04</v>
      </c>
      <c r="G171" s="549">
        <f t="shared" si="17"/>
        <v>319.48999999999796</v>
      </c>
      <c r="N171" s="800"/>
    </row>
    <row r="172" spans="1:14">
      <c r="A172" s="882"/>
      <c r="B172" s="883"/>
      <c r="C172" s="883"/>
      <c r="D172" s="884"/>
      <c r="E172" s="884"/>
      <c r="F172" s="885"/>
      <c r="G172" s="886">
        <f>SUM(G160:G171)</f>
        <v>3492.2289999999966</v>
      </c>
      <c r="N172" s="800"/>
    </row>
    <row r="173" spans="1:14">
      <c r="N173" s="800"/>
    </row>
    <row r="174" spans="1:14">
      <c r="N174" s="800"/>
    </row>
    <row r="175" spans="1:14">
      <c r="N175" s="800"/>
    </row>
    <row r="176" spans="1:14" ht="18.75" customHeight="1">
      <c r="N176" s="800"/>
    </row>
    <row r="177" spans="14:14" ht="18.75" customHeight="1">
      <c r="N177" s="800"/>
    </row>
    <row r="178" spans="14:14" ht="18.75" customHeight="1">
      <c r="N178" s="800"/>
    </row>
    <row r="179" spans="14:14" ht="18" customHeight="1">
      <c r="N179" s="800"/>
    </row>
    <row r="180" spans="14:14" ht="18.75" customHeight="1">
      <c r="N180" s="800"/>
    </row>
    <row r="181" spans="14:14" ht="18.75" customHeight="1">
      <c r="N181" s="800"/>
    </row>
    <row r="182" spans="14:14" ht="18" customHeight="1">
      <c r="N182" s="800"/>
    </row>
    <row r="183" spans="14:14" ht="18" customHeight="1">
      <c r="N183" s="800"/>
    </row>
    <row r="184" spans="14:14" ht="18" customHeight="1">
      <c r="N184" s="800"/>
    </row>
    <row r="185" spans="14:14" ht="18" customHeight="1">
      <c r="N185" s="800"/>
    </row>
    <row r="186" spans="14:14" ht="18" customHeight="1">
      <c r="N186" s="800"/>
    </row>
    <row r="187" spans="14:14" ht="18" customHeight="1">
      <c r="N187" s="800"/>
    </row>
    <row r="188" spans="14:14" ht="18" customHeight="1">
      <c r="N188" s="800"/>
    </row>
    <row r="189" spans="14:14" ht="18.75" customHeight="1">
      <c r="N189" s="800"/>
    </row>
    <row r="190" spans="14:14" ht="18.75" customHeight="1">
      <c r="N190" s="800"/>
    </row>
    <row r="191" spans="14:14" ht="18.75" customHeight="1">
      <c r="N191" s="800"/>
    </row>
    <row r="192" spans="14:14" ht="18.75" customHeight="1">
      <c r="N192" s="800"/>
    </row>
    <row r="193" spans="14:14" ht="18.75" customHeight="1">
      <c r="N193" s="800"/>
    </row>
    <row r="194" spans="14:14" ht="18.75" customHeight="1">
      <c r="N194" s="800"/>
    </row>
    <row r="195" spans="14:14" ht="18.75" customHeight="1">
      <c r="N195" s="800"/>
    </row>
    <row r="196" spans="14:14" ht="18.75" customHeight="1">
      <c r="N196" s="800"/>
    </row>
    <row r="197" spans="14:14" ht="18.75" customHeight="1">
      <c r="N197" s="800"/>
    </row>
    <row r="198" spans="14:14" ht="18.75" customHeight="1"/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</sheetData>
  <mergeCells count="74">
    <mergeCell ref="A83:C83"/>
    <mergeCell ref="A25:C25"/>
    <mergeCell ref="A150:C150"/>
    <mergeCell ref="A151:C151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66:C66"/>
    <mergeCell ref="A67:C67"/>
    <mergeCell ref="A68:C68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152:C152"/>
    <mergeCell ref="A153:C153"/>
    <mergeCell ref="E3:F3"/>
    <mergeCell ref="A101:C101"/>
    <mergeCell ref="A122:C122"/>
    <mergeCell ref="A141:B141"/>
    <mergeCell ref="A148:C148"/>
    <mergeCell ref="A149:C149"/>
    <mergeCell ref="A142:C142"/>
    <mergeCell ref="A143:C143"/>
    <mergeCell ref="A144:C144"/>
    <mergeCell ref="A145:C145"/>
    <mergeCell ref="A146:C146"/>
    <mergeCell ref="A147:C147"/>
    <mergeCell ref="A125:C125"/>
    <mergeCell ref="A94:C94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1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139" zoomScale="55" zoomScaleSheetLayoutView="55" workbookViewId="0">
      <selection activeCell="F163" sqref="F163"/>
    </sheetView>
  </sheetViews>
  <sheetFormatPr defaultColWidth="22.33203125" defaultRowHeight="29.25"/>
  <cols>
    <col min="1" max="1" width="40.6640625" style="530" customWidth="1"/>
    <col min="2" max="2" width="28.55468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22.33203125" style="407" hidden="1" customWidth="1"/>
    <col min="14" max="14" width="25.5546875" style="798" customWidth="1"/>
    <col min="15" max="15" width="22.33203125" style="805"/>
    <col min="16" max="16384" width="22.33203125" style="407"/>
  </cols>
  <sheetData>
    <row r="1" spans="1:16" ht="33.75">
      <c r="A1" s="1414" t="s">
        <v>283</v>
      </c>
      <c r="B1" s="1415"/>
      <c r="C1" s="1415"/>
      <c r="D1" s="1415"/>
      <c r="E1" s="1415"/>
      <c r="F1" s="1415"/>
      <c r="G1" s="1415"/>
      <c r="H1" s="1415"/>
      <c r="I1" s="1415"/>
      <c r="J1" s="1416"/>
    </row>
    <row r="2" spans="1:16" s="281" customFormat="1" ht="27">
      <c r="A2" s="652" t="s">
        <v>290</v>
      </c>
      <c r="B2" s="1118">
        <v>44241</v>
      </c>
      <c r="C2" s="1282" t="s">
        <v>69</v>
      </c>
      <c r="D2" s="688">
        <v>0.66830000000000001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  <c r="N2" s="799"/>
      <c r="O2" s="806"/>
    </row>
    <row r="3" spans="1:16" s="281" customFormat="1" ht="27">
      <c r="A3" s="647"/>
      <c r="B3" s="691"/>
      <c r="C3" s="1282" t="s">
        <v>131</v>
      </c>
      <c r="D3" s="689">
        <v>24</v>
      </c>
      <c r="E3" s="1423" t="s">
        <v>132</v>
      </c>
      <c r="F3" s="1424"/>
      <c r="G3" s="538"/>
      <c r="H3" s="539"/>
      <c r="I3" s="539"/>
      <c r="J3" s="692"/>
      <c r="K3" s="402"/>
      <c r="L3" s="293"/>
      <c r="N3" s="799"/>
      <c r="O3" s="806"/>
    </row>
    <row r="4" spans="1:16" s="281" customFormat="1" ht="27">
      <c r="A4" s="653"/>
      <c r="B4" s="693"/>
      <c r="C4" s="1282" t="s">
        <v>133</v>
      </c>
      <c r="D4" s="688">
        <v>0.64</v>
      </c>
      <c r="E4" s="540"/>
      <c r="F4" s="540"/>
      <c r="G4" s="540"/>
      <c r="H4" s="540"/>
      <c r="I4" s="541"/>
      <c r="J4" s="692" t="s">
        <v>226</v>
      </c>
      <c r="K4" s="403"/>
      <c r="L4" s="293"/>
      <c r="N4" s="799"/>
      <c r="O4" s="806"/>
    </row>
    <row r="5" spans="1:16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6">
      <c r="A6" s="1417" t="s">
        <v>141</v>
      </c>
      <c r="B6" s="1418"/>
      <c r="C6" s="1419"/>
      <c r="D6" s="547"/>
      <c r="E6" s="547"/>
      <c r="F6" s="547"/>
      <c r="G6" s="547"/>
      <c r="H6" s="548"/>
      <c r="I6" s="548"/>
      <c r="J6" s="628"/>
      <c r="K6" s="466"/>
      <c r="L6" s="408"/>
    </row>
    <row r="7" spans="1:16" ht="30" thickBot="1">
      <c r="A7" s="757" t="s">
        <v>142</v>
      </c>
      <c r="B7" s="758"/>
      <c r="C7" s="758"/>
      <c r="D7" s="715" t="s">
        <v>143</v>
      </c>
      <c r="E7" s="710">
        <f>'13'!F7</f>
        <v>4131415</v>
      </c>
      <c r="F7" s="531">
        <v>4153992</v>
      </c>
      <c r="G7" s="759">
        <f>F7-E7</f>
        <v>22577</v>
      </c>
      <c r="H7" s="760">
        <f>G7+'13'!H7</f>
        <v>265794</v>
      </c>
      <c r="I7" s="761">
        <f>'1'!I7</f>
        <v>12000</v>
      </c>
      <c r="J7" s="762">
        <f>H7/DAY(B2)</f>
        <v>18985.285714285714</v>
      </c>
      <c r="K7" s="626"/>
      <c r="L7" s="408"/>
      <c r="N7" s="811"/>
      <c r="O7" s="807"/>
      <c r="P7" s="810"/>
    </row>
    <row r="8" spans="1:16" ht="27.75" thickBot="1">
      <c r="A8" s="763" t="s">
        <v>144</v>
      </c>
      <c r="B8" s="764"/>
      <c r="C8" s="765"/>
      <c r="D8" s="766" t="s">
        <v>25</v>
      </c>
      <c r="E8" s="710">
        <f>'13'!F8</f>
        <v>4157819</v>
      </c>
      <c r="F8" s="551">
        <v>4180498</v>
      </c>
      <c r="G8" s="770">
        <f>F8-E8</f>
        <v>22679</v>
      </c>
      <c r="H8" s="760">
        <f>G8+'13'!H8</f>
        <v>267647</v>
      </c>
      <c r="I8" s="767">
        <f>'1'!I8</f>
        <v>12000</v>
      </c>
      <c r="J8" s="762">
        <f>H8/DAY(B2)</f>
        <v>19117.642857142859</v>
      </c>
      <c r="K8" s="626"/>
      <c r="L8" s="464"/>
      <c r="M8" s="479"/>
      <c r="N8" s="800"/>
      <c r="O8" s="807"/>
      <c r="P8" s="413"/>
    </row>
    <row r="9" spans="1:16">
      <c r="A9" s="768" t="s">
        <v>145</v>
      </c>
      <c r="B9" s="769"/>
      <c r="C9" s="769"/>
      <c r="D9" s="715" t="s">
        <v>143</v>
      </c>
      <c r="E9" s="710">
        <f>'13'!F9</f>
        <v>71968</v>
      </c>
      <c r="F9" s="554">
        <v>86884</v>
      </c>
      <c r="G9" s="783">
        <f t="shared" ref="G9:G12" si="0">F9-E9</f>
        <v>14916</v>
      </c>
      <c r="H9" s="760">
        <f>G9+'13'!H9</f>
        <v>123996.25</v>
      </c>
      <c r="I9" s="771">
        <f>I7-J7</f>
        <v>-6985.2857142857138</v>
      </c>
      <c r="J9" s="762">
        <f>H9/DAY(B2)</f>
        <v>8856.875</v>
      </c>
      <c r="K9" s="467"/>
      <c r="L9" s="408"/>
      <c r="N9" s="800"/>
      <c r="O9" s="807"/>
      <c r="P9" s="413"/>
    </row>
    <row r="10" spans="1:16">
      <c r="A10" s="757" t="s">
        <v>146</v>
      </c>
      <c r="B10" s="758"/>
      <c r="C10" s="758"/>
      <c r="D10" s="715" t="s">
        <v>143</v>
      </c>
      <c r="E10" s="710">
        <f>'13'!F10</f>
        <v>1325624.3999999999</v>
      </c>
      <c r="F10" s="554">
        <v>1332635.8999999999</v>
      </c>
      <c r="G10" s="770">
        <f t="shared" si="0"/>
        <v>7011.5</v>
      </c>
      <c r="H10" s="760">
        <f>G10+'13'!H10</f>
        <v>131761.5</v>
      </c>
      <c r="I10" s="772"/>
      <c r="J10" s="762">
        <f>H10/DAY(B2)</f>
        <v>9411.5357142857138</v>
      </c>
      <c r="K10" s="467"/>
      <c r="L10" s="408"/>
      <c r="N10" s="800"/>
      <c r="O10" s="807"/>
      <c r="P10" s="413"/>
    </row>
    <row r="11" spans="1:16">
      <c r="A11" s="757" t="s">
        <v>147</v>
      </c>
      <c r="B11" s="758"/>
      <c r="C11" s="758"/>
      <c r="D11" s="715" t="s">
        <v>143</v>
      </c>
      <c r="E11" s="710">
        <f>'13'!F11</f>
        <v>37000</v>
      </c>
      <c r="F11" s="531">
        <v>37000</v>
      </c>
      <c r="G11" s="770">
        <f t="shared" si="0"/>
        <v>0</v>
      </c>
      <c r="H11" s="760">
        <f>G11+'13'!H11</f>
        <v>1610</v>
      </c>
      <c r="I11" s="772"/>
      <c r="J11" s="762">
        <f>H11/DAY(B2)</f>
        <v>115</v>
      </c>
      <c r="K11" s="467"/>
      <c r="L11" s="408"/>
      <c r="N11" s="800"/>
      <c r="O11" s="807"/>
      <c r="P11" s="413"/>
    </row>
    <row r="12" spans="1:16">
      <c r="A12" s="757" t="s">
        <v>148</v>
      </c>
      <c r="B12" s="758"/>
      <c r="C12" s="758"/>
      <c r="D12" s="715" t="s">
        <v>143</v>
      </c>
      <c r="E12" s="710">
        <f>'13'!F12</f>
        <v>40010</v>
      </c>
      <c r="F12" s="554">
        <v>40010</v>
      </c>
      <c r="G12" s="770">
        <f t="shared" si="0"/>
        <v>0</v>
      </c>
      <c r="H12" s="760">
        <f>G12+'13'!H12</f>
        <v>2380</v>
      </c>
      <c r="I12" s="772"/>
      <c r="J12" s="762">
        <f>H12/DAY(B2)</f>
        <v>170</v>
      </c>
      <c r="K12" s="467"/>
      <c r="L12" s="408" t="s">
        <v>280</v>
      </c>
      <c r="N12" s="800"/>
      <c r="O12" s="807">
        <v>0</v>
      </c>
      <c r="P12" s="413"/>
    </row>
    <row r="13" spans="1:16">
      <c r="A13" s="773" t="s">
        <v>149</v>
      </c>
      <c r="B13" s="774"/>
      <c r="C13" s="774"/>
      <c r="D13" s="715"/>
      <c r="E13" s="710"/>
      <c r="F13" s="531"/>
      <c r="G13" s="775">
        <f>G9+G10+G11+G12</f>
        <v>21927.5</v>
      </c>
      <c r="H13" s="760">
        <f>G13+'13'!H13</f>
        <v>241441.75</v>
      </c>
      <c r="I13" s="776">
        <f>G7-G13</f>
        <v>649.5</v>
      </c>
      <c r="J13" s="762">
        <f>H13/DAY(B2)</f>
        <v>17245.839285714286</v>
      </c>
      <c r="K13" s="467"/>
      <c r="L13" s="408"/>
      <c r="N13" s="800"/>
      <c r="O13" s="807"/>
      <c r="P13" s="413"/>
    </row>
    <row r="14" spans="1:16">
      <c r="A14" s="1420" t="s">
        <v>150</v>
      </c>
      <c r="B14" s="1421"/>
      <c r="C14" s="1422"/>
      <c r="D14" s="548"/>
      <c r="E14" s="548"/>
      <c r="F14" s="548"/>
      <c r="G14" s="559"/>
      <c r="H14" s="548"/>
      <c r="I14" s="548"/>
      <c r="J14" s="628"/>
      <c r="K14" s="468"/>
      <c r="L14" s="408"/>
      <c r="N14" s="800"/>
      <c r="O14" s="807"/>
      <c r="P14" s="413"/>
    </row>
    <row r="15" spans="1:16">
      <c r="A15" s="876" t="s">
        <v>151</v>
      </c>
      <c r="B15" s="877"/>
      <c r="C15" s="877"/>
      <c r="D15" s="600" t="s">
        <v>152</v>
      </c>
      <c r="E15" s="561">
        <f>'13'!F15</f>
        <v>1605399.588</v>
      </c>
      <c r="F15" s="561">
        <v>1606535.081</v>
      </c>
      <c r="G15" s="745">
        <f>(F15-E15)</f>
        <v>1135.4930000000168</v>
      </c>
      <c r="H15" s="562">
        <f>G15+'13'!H15</f>
        <v>12097.931000000099</v>
      </c>
      <c r="I15" s="550">
        <v>800</v>
      </c>
      <c r="J15" s="630">
        <f>H15/DAY(B2)</f>
        <v>864.13792857143562</v>
      </c>
      <c r="K15" s="467"/>
      <c r="L15" s="408"/>
      <c r="N15" s="800"/>
      <c r="O15" s="807"/>
      <c r="P15" s="413"/>
    </row>
    <row r="16" spans="1:16">
      <c r="A16" s="664"/>
      <c r="B16" s="665"/>
      <c r="C16" s="665"/>
      <c r="D16" s="600"/>
      <c r="E16" s="561"/>
      <c r="F16" s="561"/>
      <c r="G16" s="750"/>
      <c r="H16" s="562"/>
      <c r="I16" s="558">
        <f>I15-J15</f>
        <v>-64.137928571435623</v>
      </c>
      <c r="J16" s="630"/>
      <c r="K16" s="467"/>
      <c r="L16" s="408"/>
      <c r="N16" s="800"/>
      <c r="O16" s="807"/>
      <c r="P16" s="413"/>
    </row>
    <row r="17" spans="1:16">
      <c r="A17" s="1420" t="s">
        <v>153</v>
      </c>
      <c r="B17" s="1421"/>
      <c r="C17" s="1422"/>
      <c r="D17" s="548"/>
      <c r="E17" s="548"/>
      <c r="F17" s="548"/>
      <c r="G17" s="564"/>
      <c r="H17" s="548"/>
      <c r="I17" s="548"/>
      <c r="J17" s="628"/>
      <c r="K17" s="467"/>
      <c r="L17" s="408"/>
      <c r="N17" s="800"/>
      <c r="O17" s="807"/>
      <c r="P17" s="413"/>
    </row>
    <row r="18" spans="1:16" ht="27.75">
      <c r="A18" s="1446" t="s">
        <v>154</v>
      </c>
      <c r="B18" s="1447"/>
      <c r="C18" s="1448"/>
      <c r="D18" s="715" t="s">
        <v>155</v>
      </c>
      <c r="E18" s="712">
        <f>'13'!F18</f>
        <v>22</v>
      </c>
      <c r="F18" s="554">
        <v>19</v>
      </c>
      <c r="G18" s="775">
        <f>F18*10</f>
        <v>190</v>
      </c>
      <c r="H18" s="760">
        <f>G18+'13'!H18</f>
        <v>2200</v>
      </c>
      <c r="I18" s="761">
        <f>'1'!I18</f>
        <v>65</v>
      </c>
      <c r="J18" s="762">
        <f>H18/DAY(B2)</f>
        <v>157.14285714285714</v>
      </c>
      <c r="K18" s="467"/>
      <c r="L18" s="408"/>
      <c r="N18" s="800"/>
      <c r="O18" s="807"/>
      <c r="P18" s="413"/>
    </row>
    <row r="19" spans="1:16" ht="27.75">
      <c r="A19" s="1446" t="s">
        <v>71</v>
      </c>
      <c r="B19" s="1447"/>
      <c r="C19" s="1448"/>
      <c r="D19" s="715" t="s">
        <v>155</v>
      </c>
      <c r="E19" s="712">
        <f>'13'!F19</f>
        <v>133702</v>
      </c>
      <c r="F19" s="554">
        <v>133753</v>
      </c>
      <c r="G19" s="770">
        <f t="shared" ref="G19" si="1">F19-E19</f>
        <v>51</v>
      </c>
      <c r="H19" s="760">
        <f>G19+'13'!H19</f>
        <v>705</v>
      </c>
      <c r="I19" s="777"/>
      <c r="J19" s="762">
        <f>H19/DAY(B2)</f>
        <v>50.357142857142854</v>
      </c>
      <c r="K19" s="467"/>
      <c r="L19" s="408"/>
      <c r="N19" s="800"/>
      <c r="O19" s="807"/>
      <c r="P19" s="413"/>
    </row>
    <row r="20" spans="1:16">
      <c r="A20" s="773" t="s">
        <v>156</v>
      </c>
      <c r="B20" s="774"/>
      <c r="C20" s="774"/>
      <c r="D20" s="715"/>
      <c r="E20" s="715"/>
      <c r="F20" s="791"/>
      <c r="G20" s="778">
        <f>G18+G19</f>
        <v>241</v>
      </c>
      <c r="H20" s="760">
        <f>G20+'13'!H20</f>
        <v>2905</v>
      </c>
      <c r="I20" s="779">
        <f>I18-J20</f>
        <v>-142.5</v>
      </c>
      <c r="J20" s="762">
        <f>H20/DAY(B2)</f>
        <v>207.5</v>
      </c>
      <c r="K20" s="467"/>
      <c r="L20" s="408"/>
      <c r="N20" s="800"/>
      <c r="O20" s="807"/>
      <c r="P20" s="413"/>
    </row>
    <row r="21" spans="1:16">
      <c r="A21" s="1420" t="s">
        <v>157</v>
      </c>
      <c r="B21" s="1421"/>
      <c r="C21" s="1422"/>
      <c r="D21" s="548"/>
      <c r="E21" s="548"/>
      <c r="F21" s="548"/>
      <c r="G21" s="559"/>
      <c r="H21" s="548"/>
      <c r="I21" s="548"/>
      <c r="J21" s="628"/>
      <c r="K21" s="467"/>
      <c r="L21" s="408"/>
      <c r="N21" s="800"/>
      <c r="O21" s="807"/>
      <c r="P21" s="413"/>
    </row>
    <row r="22" spans="1:16">
      <c r="A22" s="1275" t="s">
        <v>158</v>
      </c>
      <c r="B22" s="666"/>
      <c r="C22" s="666"/>
      <c r="D22" s="599" t="s">
        <v>159</v>
      </c>
      <c r="E22" s="712">
        <f>'13'!F22</f>
        <v>2250</v>
      </c>
      <c r="F22" s="554">
        <v>2250</v>
      </c>
      <c r="G22" s="557">
        <f t="shared" ref="G22" si="2">(F22-E22)</f>
        <v>0</v>
      </c>
      <c r="H22" s="536">
        <f>G22+'13'!H22</f>
        <v>0</v>
      </c>
      <c r="I22" s="556"/>
      <c r="J22" s="629">
        <f>H22/DAY(B2)</f>
        <v>0</v>
      </c>
      <c r="K22" s="467"/>
      <c r="L22" s="408"/>
      <c r="N22" s="800"/>
      <c r="O22" s="807"/>
      <c r="P22" s="413"/>
    </row>
    <row r="23" spans="1:16">
      <c r="A23" s="1275" t="s">
        <v>160</v>
      </c>
      <c r="B23" s="666"/>
      <c r="C23" s="666"/>
      <c r="D23" s="599" t="s">
        <v>159</v>
      </c>
      <c r="E23" s="712">
        <f>'13'!F23</f>
        <v>2000</v>
      </c>
      <c r="F23" s="554">
        <v>2000</v>
      </c>
      <c r="G23" s="557">
        <v>0</v>
      </c>
      <c r="H23" s="536">
        <f>G23+'13'!H23</f>
        <v>1600</v>
      </c>
      <c r="I23" s="556"/>
      <c r="J23" s="629">
        <f>H23/DAY(B2)</f>
        <v>114.28571428571429</v>
      </c>
      <c r="K23" s="467"/>
      <c r="L23" s="408"/>
      <c r="N23" s="800"/>
      <c r="O23" s="807"/>
      <c r="P23" s="413"/>
    </row>
    <row r="24" spans="1:16">
      <c r="A24" s="667" t="s">
        <v>161</v>
      </c>
      <c r="B24" s="668"/>
      <c r="C24" s="668"/>
      <c r="D24" s="587" t="s">
        <v>159</v>
      </c>
      <c r="E24" s="569">
        <f>'13'!F24</f>
        <v>4250</v>
      </c>
      <c r="F24" s="561">
        <v>4250</v>
      </c>
      <c r="G24" s="557">
        <v>0</v>
      </c>
      <c r="H24" s="536">
        <f>G24+'13'!H24</f>
        <v>2350</v>
      </c>
      <c r="I24" s="556"/>
      <c r="J24" s="629">
        <f>H24/DAY(B2)</f>
        <v>167.85714285714286</v>
      </c>
      <c r="K24" s="467"/>
      <c r="L24" s="408"/>
      <c r="N24" s="800"/>
      <c r="O24" s="807"/>
      <c r="P24" s="413"/>
    </row>
    <row r="25" spans="1:16" s="481" customFormat="1" ht="27">
      <c r="A25" s="1425" t="s">
        <v>162</v>
      </c>
      <c r="B25" s="1426"/>
      <c r="C25" s="1427"/>
      <c r="D25" s="547"/>
      <c r="E25" s="547"/>
      <c r="F25" s="547"/>
      <c r="G25" s="570"/>
      <c r="H25" s="571"/>
      <c r="I25" s="572"/>
      <c r="J25" s="631"/>
      <c r="K25" s="404"/>
      <c r="L25" s="484"/>
      <c r="N25" s="800"/>
      <c r="O25" s="807"/>
      <c r="P25" s="413"/>
    </row>
    <row r="26" spans="1:16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800"/>
      <c r="O26" s="807"/>
      <c r="P26" s="413"/>
    </row>
    <row r="27" spans="1:16" s="481" customFormat="1" ht="27.75">
      <c r="A27" s="669" t="s">
        <v>6</v>
      </c>
      <c r="B27" s="670"/>
      <c r="C27" s="671"/>
      <c r="D27" s="696" t="s">
        <v>25</v>
      </c>
      <c r="E27" s="780">
        <f>G8</f>
        <v>22679</v>
      </c>
      <c r="F27" s="577">
        <v>9</v>
      </c>
      <c r="G27" s="578">
        <f>E27*F27</f>
        <v>204111</v>
      </c>
      <c r="H27" s="536">
        <f>G27+'13'!H27</f>
        <v>2408823</v>
      </c>
      <c r="I27" s="579"/>
      <c r="J27" s="629">
        <f>H27/DAY(B2)</f>
        <v>172058.78571428571</v>
      </c>
      <c r="K27" s="404"/>
      <c r="L27" s="484"/>
      <c r="N27" s="800"/>
      <c r="O27" s="807"/>
      <c r="P27" s="413"/>
    </row>
    <row r="28" spans="1:16" s="481" customFormat="1" ht="27.75">
      <c r="A28" s="669" t="s">
        <v>165</v>
      </c>
      <c r="B28" s="670"/>
      <c r="C28" s="671"/>
      <c r="D28" s="696" t="s">
        <v>166</v>
      </c>
      <c r="E28" s="780">
        <f>G15</f>
        <v>1135.4930000000168</v>
      </c>
      <c r="F28" s="577">
        <v>43.5</v>
      </c>
      <c r="G28" s="578">
        <f>E28*F28</f>
        <v>49393.945500000729</v>
      </c>
      <c r="H28" s="536">
        <f>G28+'13'!H28</f>
        <v>526259.99850000429</v>
      </c>
      <c r="I28" s="581"/>
      <c r="J28" s="629">
        <f>H28/DAY(B2)</f>
        <v>37589.99989285745</v>
      </c>
      <c r="K28" s="404"/>
      <c r="L28" s="484"/>
      <c r="N28" s="800"/>
      <c r="O28" s="807"/>
      <c r="P28" s="413"/>
    </row>
    <row r="29" spans="1:16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G29+'13'!H29</f>
        <v>162150</v>
      </c>
      <c r="I29" s="581"/>
      <c r="J29" s="629">
        <f>H29/DAY(B2)</f>
        <v>11582.142857142857</v>
      </c>
      <c r="K29" s="404"/>
      <c r="L29" s="484"/>
      <c r="N29" s="800"/>
      <c r="O29" s="807"/>
      <c r="P29" s="413"/>
    </row>
    <row r="30" spans="1:16" s="481" customFormat="1" ht="27.75">
      <c r="A30" s="669" t="s">
        <v>169</v>
      </c>
      <c r="B30" s="670"/>
      <c r="C30" s="671"/>
      <c r="D30" s="696" t="s">
        <v>170</v>
      </c>
      <c r="E30" s="780">
        <f>G19</f>
        <v>51</v>
      </c>
      <c r="F30" s="577">
        <v>134</v>
      </c>
      <c r="G30" s="578">
        <f>E30*F30</f>
        <v>6834</v>
      </c>
      <c r="H30" s="536">
        <f>G30+'13'!H30</f>
        <v>94470</v>
      </c>
      <c r="I30" s="581"/>
      <c r="J30" s="629">
        <f>H30/DAY(B2)</f>
        <v>6747.8571428571431</v>
      </c>
      <c r="K30" s="404"/>
      <c r="L30" s="484"/>
      <c r="N30" s="800"/>
      <c r="O30" s="807"/>
      <c r="P30" s="413"/>
    </row>
    <row r="31" spans="1:16" s="481" customFormat="1" ht="27.75">
      <c r="A31" s="669" t="s">
        <v>171</v>
      </c>
      <c r="B31" s="670"/>
      <c r="C31" s="671"/>
      <c r="D31" s="696" t="s">
        <v>155</v>
      </c>
      <c r="E31" s="780">
        <f>G18</f>
        <v>190</v>
      </c>
      <c r="F31" s="577">
        <v>80</v>
      </c>
      <c r="G31" s="578">
        <f>E31*F31</f>
        <v>15200</v>
      </c>
      <c r="H31" s="536">
        <f>G31+'13'!H31</f>
        <v>176000</v>
      </c>
      <c r="I31" s="581"/>
      <c r="J31" s="629"/>
      <c r="K31" s="404"/>
      <c r="L31" s="484"/>
      <c r="N31" s="800"/>
      <c r="O31" s="807"/>
      <c r="P31" s="413"/>
    </row>
    <row r="32" spans="1:16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275538.94550000073</v>
      </c>
      <c r="H32" s="536">
        <f>G32+'13'!H32</f>
        <v>3367702.9985000049</v>
      </c>
      <c r="I32" s="585"/>
      <c r="J32" s="629">
        <f>H32/DAY(B2)</f>
        <v>240550.21417857177</v>
      </c>
      <c r="K32" s="404"/>
      <c r="L32" s="484"/>
      <c r="N32" s="800"/>
      <c r="O32" s="807"/>
      <c r="P32" s="413"/>
    </row>
    <row r="33" spans="1:16" ht="25.5">
      <c r="A33" s="1428" t="s">
        <v>173</v>
      </c>
      <c r="B33" s="1429"/>
      <c r="C33" s="1429"/>
      <c r="D33" s="1429"/>
      <c r="E33" s="1429"/>
      <c r="F33" s="1429"/>
      <c r="G33" s="1429"/>
      <c r="H33" s="1429"/>
      <c r="I33" s="1429"/>
      <c r="J33" s="1430"/>
      <c r="K33" s="467"/>
      <c r="L33" s="408"/>
      <c r="N33" s="800"/>
      <c r="O33" s="807"/>
      <c r="P33" s="413"/>
    </row>
    <row r="34" spans="1:16">
      <c r="A34" s="675" t="s">
        <v>174</v>
      </c>
      <c r="B34" s="1277"/>
      <c r="C34" s="1277"/>
      <c r="D34" s="548"/>
      <c r="E34" s="547"/>
      <c r="F34" s="547"/>
      <c r="G34" s="548"/>
      <c r="H34" s="548"/>
      <c r="I34" s="548"/>
      <c r="J34" s="628"/>
      <c r="K34" s="467"/>
      <c r="L34" s="408"/>
      <c r="N34" s="800"/>
      <c r="O34" s="807"/>
      <c r="P34" s="413"/>
    </row>
    <row r="35" spans="1:16">
      <c r="A35" s="655" t="s">
        <v>175</v>
      </c>
      <c r="B35" s="656"/>
      <c r="C35" s="656"/>
      <c r="D35" s="599" t="s">
        <v>143</v>
      </c>
      <c r="E35" s="586">
        <f>'13'!F35</f>
        <v>648397.67000000004</v>
      </c>
      <c r="F35" s="586">
        <v>651365.87</v>
      </c>
      <c r="G35" s="549">
        <f t="shared" ref="G35:G46" si="3">F35-E35</f>
        <v>2968.1999999999534</v>
      </c>
      <c r="H35" s="536">
        <f>G35+'13'!H35</f>
        <v>22338.199999999953</v>
      </c>
      <c r="I35" s="531"/>
      <c r="J35" s="629">
        <f>H35/DAY(B2)</f>
        <v>1595.585714285711</v>
      </c>
      <c r="K35" s="467"/>
      <c r="L35" s="408"/>
      <c r="N35" s="800"/>
      <c r="O35" s="808" t="s">
        <v>280</v>
      </c>
      <c r="P35" s="413"/>
    </row>
    <row r="36" spans="1:16">
      <c r="A36" s="655" t="s">
        <v>176</v>
      </c>
      <c r="B36" s="656"/>
      <c r="C36" s="656"/>
      <c r="D36" s="599" t="s">
        <v>143</v>
      </c>
      <c r="E36" s="586">
        <f>'13'!F36</f>
        <v>284799.33</v>
      </c>
      <c r="F36" s="586">
        <v>285663.95</v>
      </c>
      <c r="G36" s="549">
        <f t="shared" si="3"/>
        <v>864.61999999999534</v>
      </c>
      <c r="H36" s="536">
        <f>G36+'13'!H36</f>
        <v>9172.5</v>
      </c>
      <c r="I36" s="531"/>
      <c r="J36" s="629">
        <f>H36/DAY(B2)</f>
        <v>655.17857142857144</v>
      </c>
      <c r="K36" s="467"/>
      <c r="L36" s="408"/>
      <c r="N36" s="801"/>
      <c r="O36" s="808" t="s">
        <v>285</v>
      </c>
      <c r="P36" s="413"/>
    </row>
    <row r="37" spans="1:16">
      <c r="A37" s="655" t="s">
        <v>177</v>
      </c>
      <c r="B37" s="656"/>
      <c r="C37" s="656"/>
      <c r="D37" s="599" t="s">
        <v>143</v>
      </c>
      <c r="E37" s="586">
        <f>'13'!F37</f>
        <v>9603.93</v>
      </c>
      <c r="F37" s="586">
        <v>11184.16</v>
      </c>
      <c r="G37" s="549">
        <f t="shared" si="3"/>
        <v>1580.2299999999996</v>
      </c>
      <c r="H37" s="536">
        <f>G37+'13'!H37</f>
        <v>11184.16</v>
      </c>
      <c r="I37" s="531"/>
      <c r="J37" s="629">
        <f>H37/DAY(B2)</f>
        <v>798.86857142857139</v>
      </c>
      <c r="K37" s="467"/>
      <c r="L37" s="408"/>
      <c r="N37" s="801"/>
      <c r="O37" s="808"/>
      <c r="P37" s="413"/>
    </row>
    <row r="38" spans="1:16">
      <c r="A38" s="655" t="s">
        <v>178</v>
      </c>
      <c r="B38" s="656"/>
      <c r="C38" s="656"/>
      <c r="D38" s="599" t="s">
        <v>143</v>
      </c>
      <c r="E38" s="586">
        <f>'13'!F38</f>
        <v>12063.86</v>
      </c>
      <c r="F38" s="545">
        <v>14504.92</v>
      </c>
      <c r="G38" s="549">
        <f t="shared" si="3"/>
        <v>2441.0599999999995</v>
      </c>
      <c r="H38" s="536">
        <f>G38+'13'!H38</f>
        <v>14407.04</v>
      </c>
      <c r="I38" s="531"/>
      <c r="J38" s="629">
        <f>H38/DAY(B2)</f>
        <v>1029.0742857142857</v>
      </c>
      <c r="K38" s="467"/>
      <c r="L38" s="408"/>
      <c r="N38" s="800"/>
      <c r="O38" s="807"/>
      <c r="P38" s="413"/>
    </row>
    <row r="39" spans="1:16">
      <c r="A39" s="655" t="s">
        <v>179</v>
      </c>
      <c r="B39" s="656"/>
      <c r="C39" s="656"/>
      <c r="D39" s="599" t="s">
        <v>143</v>
      </c>
      <c r="E39" s="586">
        <f>'13'!F39</f>
        <v>26707.7</v>
      </c>
      <c r="F39" s="586">
        <v>31362.84</v>
      </c>
      <c r="G39" s="549">
        <f t="shared" si="3"/>
        <v>4655.1399999999994</v>
      </c>
      <c r="H39" s="536">
        <f>G39+'13'!H39</f>
        <v>31362.84</v>
      </c>
      <c r="I39" s="531"/>
      <c r="J39" s="629">
        <f>H39/DAY(B2)</f>
        <v>2240.2028571428573</v>
      </c>
      <c r="K39" s="467"/>
      <c r="L39" s="408"/>
      <c r="N39" s="800"/>
      <c r="O39" s="808"/>
      <c r="P39" s="413"/>
    </row>
    <row r="40" spans="1:16">
      <c r="A40" s="676" t="s">
        <v>180</v>
      </c>
      <c r="B40" s="677"/>
      <c r="C40" s="677"/>
      <c r="D40" s="599" t="s">
        <v>143</v>
      </c>
      <c r="E40" s="586">
        <f>'13'!F40</f>
        <v>0.17</v>
      </c>
      <c r="F40" s="586">
        <v>0.17</v>
      </c>
      <c r="G40" s="549">
        <f t="shared" si="3"/>
        <v>0</v>
      </c>
      <c r="H40" s="536">
        <f>G40+'13'!H40</f>
        <v>-0.06</v>
      </c>
      <c r="I40" s="531"/>
      <c r="J40" s="629">
        <f>H40/DAY(B2)</f>
        <v>-4.2857142857142859E-3</v>
      </c>
      <c r="K40" s="468"/>
      <c r="L40" s="408"/>
      <c r="N40" s="800"/>
      <c r="O40" s="807"/>
      <c r="P40" s="413"/>
    </row>
    <row r="41" spans="1:16">
      <c r="A41" s="655" t="s">
        <v>181</v>
      </c>
      <c r="B41" s="656"/>
      <c r="C41" s="656" t="s">
        <v>226</v>
      </c>
      <c r="D41" s="599" t="s">
        <v>143</v>
      </c>
      <c r="E41" s="586">
        <f>'13'!F41</f>
        <v>59259.87</v>
      </c>
      <c r="F41" s="586">
        <v>59259.87</v>
      </c>
      <c r="G41" s="549">
        <f t="shared" si="3"/>
        <v>0</v>
      </c>
      <c r="H41" s="536">
        <f>G41+'13'!H41</f>
        <v>14637.350000000006</v>
      </c>
      <c r="I41" s="531"/>
      <c r="J41" s="629">
        <f>H41/DAY(B2)</f>
        <v>1045.5250000000003</v>
      </c>
      <c r="K41" s="467"/>
      <c r="L41" s="408"/>
      <c r="N41" s="800"/>
      <c r="O41" s="809"/>
      <c r="P41" s="803"/>
    </row>
    <row r="42" spans="1:16">
      <c r="A42" s="655" t="s">
        <v>182</v>
      </c>
      <c r="B42" s="656"/>
      <c r="C42" s="656"/>
      <c r="D42" s="599" t="s">
        <v>143</v>
      </c>
      <c r="E42" s="586">
        <f>'13'!F42</f>
        <v>58926.099000000002</v>
      </c>
      <c r="F42" s="586">
        <v>58926.099000000002</v>
      </c>
      <c r="G42" s="549">
        <f t="shared" si="3"/>
        <v>0</v>
      </c>
      <c r="H42" s="536">
        <f>G42+'13'!H42</f>
        <v>9.900000000197906E-2</v>
      </c>
      <c r="I42" s="531"/>
      <c r="J42" s="629">
        <f>H42/DAY(B2)</f>
        <v>7.0714285715699331E-3</v>
      </c>
      <c r="K42" s="467"/>
      <c r="L42" s="408"/>
      <c r="N42" s="800"/>
      <c r="O42" s="807"/>
      <c r="P42" s="413"/>
    </row>
    <row r="43" spans="1:16">
      <c r="A43" s="655" t="s">
        <v>183</v>
      </c>
      <c r="B43" s="656"/>
      <c r="C43" s="656"/>
      <c r="D43" s="599" t="s">
        <v>143</v>
      </c>
      <c r="E43" s="586">
        <f>'13'!F43</f>
        <v>790789.19</v>
      </c>
      <c r="F43" s="586">
        <v>793149.27</v>
      </c>
      <c r="G43" s="549">
        <f t="shared" si="3"/>
        <v>2360.0800000000745</v>
      </c>
      <c r="H43" s="536">
        <f>G43+'13'!H43</f>
        <v>25337.359999999986</v>
      </c>
      <c r="I43" s="531"/>
      <c r="J43" s="629">
        <f>H43/DAY(B2)</f>
        <v>1809.8114285714275</v>
      </c>
      <c r="K43" s="467"/>
      <c r="L43" s="408"/>
      <c r="N43" s="800"/>
      <c r="O43" s="808"/>
      <c r="P43" s="413"/>
    </row>
    <row r="44" spans="1:16">
      <c r="A44" s="655" t="s">
        <v>184</v>
      </c>
      <c r="B44" s="656"/>
      <c r="C44" s="656"/>
      <c r="D44" s="599" t="s">
        <v>143</v>
      </c>
      <c r="E44" s="586">
        <f>'13'!F44</f>
        <v>0</v>
      </c>
      <c r="F44" s="586">
        <v>0</v>
      </c>
      <c r="G44" s="549">
        <f t="shared" si="3"/>
        <v>0</v>
      </c>
      <c r="H44" s="536">
        <f>G44+'13'!H44</f>
        <v>0</v>
      </c>
      <c r="I44" s="531"/>
      <c r="J44" s="629">
        <f>H44/DAY(B2)</f>
        <v>0</v>
      </c>
      <c r="K44" s="467"/>
      <c r="L44" s="408"/>
      <c r="N44" s="800"/>
      <c r="O44" s="807"/>
      <c r="P44" s="413"/>
    </row>
    <row r="45" spans="1:16">
      <c r="A45" s="655" t="s">
        <v>185</v>
      </c>
      <c r="B45" s="656"/>
      <c r="C45" s="656"/>
      <c r="D45" s="599" t="s">
        <v>143</v>
      </c>
      <c r="E45" s="586">
        <f>'13'!F45</f>
        <v>614</v>
      </c>
      <c r="F45" s="586">
        <v>614</v>
      </c>
      <c r="G45" s="549">
        <f t="shared" si="3"/>
        <v>0</v>
      </c>
      <c r="H45" s="536">
        <f>G45+'13'!H45</f>
        <v>-0.48000000000001819</v>
      </c>
      <c r="I45" s="531"/>
      <c r="J45" s="629">
        <f>H45/DAY(B2)</f>
        <v>-3.4285714285715585E-2</v>
      </c>
      <c r="K45" s="467"/>
      <c r="L45" s="408"/>
      <c r="N45" s="804"/>
      <c r="O45" s="807"/>
      <c r="P45" s="413"/>
    </row>
    <row r="46" spans="1:16">
      <c r="A46" s="655" t="s">
        <v>186</v>
      </c>
      <c r="B46" s="656"/>
      <c r="C46" s="656"/>
      <c r="D46" s="599" t="s">
        <v>143</v>
      </c>
      <c r="E46" s="586">
        <f>'13'!F46</f>
        <v>187.49</v>
      </c>
      <c r="F46" s="586">
        <v>187.49</v>
      </c>
      <c r="G46" s="549">
        <f t="shared" si="3"/>
        <v>0</v>
      </c>
      <c r="H46" s="536">
        <f>G46+'13'!H46</f>
        <v>0</v>
      </c>
      <c r="I46" s="531"/>
      <c r="J46" s="629">
        <f>H46/DAY(B2)</f>
        <v>0</v>
      </c>
      <c r="K46" s="467"/>
      <c r="L46" s="408"/>
      <c r="N46" s="800"/>
      <c r="O46" s="807"/>
      <c r="P46" s="413"/>
    </row>
    <row r="47" spans="1:16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14869.330000000022</v>
      </c>
      <c r="H47" s="536">
        <f>G47+'13'!H47</f>
        <v>128439.00899999993</v>
      </c>
      <c r="I47" s="531"/>
      <c r="J47" s="629">
        <f>H47/DAY(B2)</f>
        <v>9174.214928571424</v>
      </c>
      <c r="K47" s="467"/>
      <c r="L47" s="408"/>
      <c r="N47" s="800"/>
      <c r="O47" s="807"/>
      <c r="P47" s="413"/>
    </row>
    <row r="48" spans="1:16">
      <c r="A48" s="675" t="s">
        <v>188</v>
      </c>
      <c r="B48" s="1277"/>
      <c r="C48" s="1277"/>
      <c r="D48" s="548"/>
      <c r="E48" s="547"/>
      <c r="F48" s="547"/>
      <c r="G48" s="548"/>
      <c r="H48" s="548"/>
      <c r="I48" s="548"/>
      <c r="J48" s="628"/>
      <c r="K48" s="467"/>
      <c r="L48" s="408"/>
      <c r="N48" s="800"/>
      <c r="O48" s="807"/>
      <c r="P48" s="413"/>
    </row>
    <row r="49" spans="1:16">
      <c r="A49" s="655" t="s">
        <v>175</v>
      </c>
      <c r="B49" s="678"/>
      <c r="C49" s="678"/>
      <c r="D49" s="599" t="s">
        <v>143</v>
      </c>
      <c r="E49" s="586">
        <f>'13'!F49</f>
        <v>260732.13</v>
      </c>
      <c r="F49" s="586">
        <v>260732.13</v>
      </c>
      <c r="G49" s="549">
        <f t="shared" ref="G49:G58" si="4">F49-E49</f>
        <v>0</v>
      </c>
      <c r="H49" s="536">
        <f>G49+'13'!H49</f>
        <v>14833.080000000016</v>
      </c>
      <c r="I49" s="531"/>
      <c r="J49" s="629">
        <f>H49/DAY(B2)</f>
        <v>1059.5057142857154</v>
      </c>
      <c r="K49" s="467"/>
      <c r="L49" s="408"/>
      <c r="N49" s="800"/>
      <c r="O49" s="807"/>
      <c r="P49" s="413"/>
    </row>
    <row r="50" spans="1:16">
      <c r="A50" s="655" t="s">
        <v>189</v>
      </c>
      <c r="B50" s="678"/>
      <c r="C50" s="678"/>
      <c r="D50" s="599" t="s">
        <v>143</v>
      </c>
      <c r="E50" s="586">
        <f>'13'!F50</f>
        <v>383353.91</v>
      </c>
      <c r="F50" s="586">
        <v>384723.19</v>
      </c>
      <c r="G50" s="549">
        <f t="shared" si="4"/>
        <v>1369.2800000000279</v>
      </c>
      <c r="H50" s="536">
        <f>G50+'13'!H50</f>
        <v>15062.880000000005</v>
      </c>
      <c r="I50" s="531"/>
      <c r="J50" s="629">
        <f>H50/DAY(B2)</f>
        <v>1075.9200000000003</v>
      </c>
      <c r="K50" s="467"/>
      <c r="L50" s="408"/>
      <c r="N50" s="800"/>
      <c r="O50" s="808"/>
      <c r="P50" s="413"/>
    </row>
    <row r="51" spans="1:16">
      <c r="A51" s="655" t="s">
        <v>177</v>
      </c>
      <c r="B51" s="678"/>
      <c r="C51" s="678"/>
      <c r="D51" s="599" t="s">
        <v>143</v>
      </c>
      <c r="E51" s="586">
        <f>'13'!F51</f>
        <v>120050.92</v>
      </c>
      <c r="F51" s="586">
        <v>120050.92</v>
      </c>
      <c r="G51" s="549">
        <f t="shared" si="4"/>
        <v>0</v>
      </c>
      <c r="H51" s="536">
        <f>G51+'13'!H51</f>
        <v>9951.179999999993</v>
      </c>
      <c r="I51" s="531"/>
      <c r="J51" s="629">
        <f>H51/DAY(B2)</f>
        <v>710.79857142857088</v>
      </c>
      <c r="K51" s="467"/>
      <c r="L51" s="408"/>
      <c r="N51" s="800"/>
      <c r="O51" s="807"/>
      <c r="P51" s="413"/>
    </row>
    <row r="52" spans="1:16">
      <c r="A52" s="655" t="s">
        <v>190</v>
      </c>
      <c r="B52" s="678"/>
      <c r="C52" s="678"/>
      <c r="D52" s="599" t="s">
        <v>143</v>
      </c>
      <c r="E52" s="586">
        <f>'13'!F52</f>
        <v>507912.71</v>
      </c>
      <c r="F52" s="586">
        <v>507912.71</v>
      </c>
      <c r="G52" s="549">
        <f t="shared" si="4"/>
        <v>0</v>
      </c>
      <c r="H52" s="536">
        <f>G52+'13'!H52</f>
        <v>14104.040000000037</v>
      </c>
      <c r="I52" s="531"/>
      <c r="J52" s="629">
        <f>H52/DAY(B2)</f>
        <v>1007.4314285714312</v>
      </c>
      <c r="K52" s="467"/>
      <c r="L52" s="408"/>
      <c r="N52" s="800"/>
      <c r="O52" s="807"/>
      <c r="P52" s="413"/>
    </row>
    <row r="53" spans="1:16">
      <c r="A53" s="655" t="s">
        <v>179</v>
      </c>
      <c r="B53" s="678"/>
      <c r="C53" s="678"/>
      <c r="D53" s="599" t="s">
        <v>143</v>
      </c>
      <c r="E53" s="586">
        <f>'13'!F53</f>
        <v>331854.51</v>
      </c>
      <c r="F53" s="586">
        <v>331854.51</v>
      </c>
      <c r="G53" s="549">
        <f t="shared" si="4"/>
        <v>0</v>
      </c>
      <c r="H53" s="536">
        <f>G53+'13'!H53</f>
        <v>27556.239999999991</v>
      </c>
      <c r="I53" s="531"/>
      <c r="J53" s="629">
        <f>H53/DAY(B2)</f>
        <v>1968.3028571428565</v>
      </c>
      <c r="K53" s="467"/>
      <c r="L53" s="408"/>
      <c r="N53" s="800"/>
      <c r="O53" s="807"/>
      <c r="P53" s="413"/>
    </row>
    <row r="54" spans="1:16">
      <c r="A54" s="655" t="s">
        <v>191</v>
      </c>
      <c r="B54" s="678"/>
      <c r="C54" s="678"/>
      <c r="D54" s="599" t="s">
        <v>143</v>
      </c>
      <c r="E54" s="586">
        <f>'13'!F54</f>
        <v>7049.48</v>
      </c>
      <c r="F54" s="586">
        <v>7120.84</v>
      </c>
      <c r="G54" s="549">
        <f t="shared" si="4"/>
        <v>71.360000000000582</v>
      </c>
      <c r="H54" s="536">
        <f>G54+'13'!H54</f>
        <v>732.04</v>
      </c>
      <c r="I54" s="531"/>
      <c r="J54" s="629">
        <f>H54/DAY(B2)</f>
        <v>52.288571428571423</v>
      </c>
      <c r="K54" s="467"/>
      <c r="L54" s="408"/>
      <c r="N54" s="800"/>
      <c r="O54" s="807"/>
      <c r="P54" s="413"/>
    </row>
    <row r="55" spans="1:16">
      <c r="A55" s="655" t="s">
        <v>192</v>
      </c>
      <c r="B55" s="678"/>
      <c r="C55" s="678"/>
      <c r="D55" s="599" t="s">
        <v>143</v>
      </c>
      <c r="E55" s="586">
        <f>'13'!F55</f>
        <v>76422.934999999998</v>
      </c>
      <c r="F55" s="734">
        <v>82061.69</v>
      </c>
      <c r="G55" s="733">
        <f t="shared" si="4"/>
        <v>5638.7550000000047</v>
      </c>
      <c r="H55" s="787">
        <f>G55+'13'!H55</f>
        <v>39073.71</v>
      </c>
      <c r="I55" s="788"/>
      <c r="J55" s="789">
        <f>H55/DAY(B2)</f>
        <v>2790.9792857142857</v>
      </c>
      <c r="K55" s="467"/>
      <c r="L55" s="408"/>
      <c r="N55" s="800"/>
      <c r="O55" s="807"/>
      <c r="P55" s="413"/>
    </row>
    <row r="56" spans="1:16">
      <c r="A56" s="655" t="s">
        <v>193</v>
      </c>
      <c r="B56" s="678"/>
      <c r="C56" s="678"/>
      <c r="D56" s="599" t="s">
        <v>194</v>
      </c>
      <c r="E56" s="586">
        <f>'13'!F56</f>
        <v>557739</v>
      </c>
      <c r="F56" s="734">
        <v>557739</v>
      </c>
      <c r="G56" s="549">
        <f t="shared" si="4"/>
        <v>0</v>
      </c>
      <c r="H56" s="536">
        <f>G56+'13'!H56</f>
        <v>7.0899999999674037</v>
      </c>
      <c r="I56" s="531"/>
      <c r="J56" s="629">
        <f>H56/DAY(B2)</f>
        <v>0.50642857142624309</v>
      </c>
      <c r="K56" s="466"/>
      <c r="L56" s="408"/>
      <c r="N56" s="800"/>
      <c r="O56" s="809"/>
      <c r="P56" s="413"/>
    </row>
    <row r="57" spans="1:16">
      <c r="A57" s="655" t="s">
        <v>183</v>
      </c>
      <c r="B57" s="678"/>
      <c r="C57" s="678"/>
      <c r="D57" s="599" t="s">
        <v>143</v>
      </c>
      <c r="E57" s="586">
        <f>'13'!F57</f>
        <v>7711.33</v>
      </c>
      <c r="F57" s="586">
        <v>7711.33</v>
      </c>
      <c r="G57" s="549">
        <f t="shared" si="4"/>
        <v>0</v>
      </c>
      <c r="H57" s="536">
        <f>G57+'13'!H57</f>
        <v>7711.33</v>
      </c>
      <c r="I57" s="531"/>
      <c r="J57" s="629">
        <f>H57/DAY(B2)</f>
        <v>550.80928571428569</v>
      </c>
      <c r="K57" s="467"/>
      <c r="L57" s="408"/>
      <c r="N57" s="800"/>
      <c r="O57" s="807"/>
      <c r="P57" s="413"/>
    </row>
    <row r="58" spans="1:16">
      <c r="A58" s="655" t="s">
        <v>195</v>
      </c>
      <c r="B58" s="678"/>
      <c r="C58" s="678"/>
      <c r="D58" s="599" t="s">
        <v>143</v>
      </c>
      <c r="E58" s="586">
        <f>'13'!F58</f>
        <v>32719.97</v>
      </c>
      <c r="F58" s="734">
        <v>32945.339999999997</v>
      </c>
      <c r="G58" s="549">
        <f t="shared" si="4"/>
        <v>225.36999999999534</v>
      </c>
      <c r="H58" s="536">
        <f>G58+'13'!H58</f>
        <v>2215.7999999999993</v>
      </c>
      <c r="I58" s="531"/>
      <c r="J58" s="629">
        <f>H58/DAY(B2)</f>
        <v>158.27142857142852</v>
      </c>
      <c r="K58" s="467"/>
      <c r="L58" s="408"/>
      <c r="N58" s="800"/>
      <c r="O58" s="807"/>
      <c r="P58" s="413"/>
    </row>
    <row r="59" spans="1:16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7304.7650000000285</v>
      </c>
      <c r="H59" s="536">
        <f>G59+'13'!H59</f>
        <v>131247.39000000001</v>
      </c>
      <c r="I59" s="531">
        <f>G7-G60</f>
        <v>402.9049999999479</v>
      </c>
      <c r="J59" s="629">
        <f>H59/DAY(B2)</f>
        <v>9374.8135714285727</v>
      </c>
      <c r="K59" s="467"/>
      <c r="L59" s="408"/>
      <c r="N59" s="800"/>
      <c r="O59" s="807"/>
      <c r="P59" s="413"/>
    </row>
    <row r="60" spans="1:16">
      <c r="A60" s="655"/>
      <c r="B60" s="656"/>
      <c r="C60" s="656"/>
      <c r="D60" s="587" t="s">
        <v>196</v>
      </c>
      <c r="E60" s="587"/>
      <c r="F60" s="587"/>
      <c r="G60" s="557">
        <f>G47+G59</f>
        <v>22174.095000000052</v>
      </c>
      <c r="H60" s="536">
        <f>G60+'13'!H60</f>
        <v>264866.58899999992</v>
      </c>
      <c r="I60" s="531">
        <f>G13-G60</f>
        <v>-246.5950000000521</v>
      </c>
      <c r="J60" s="629">
        <f>H60/DAY(B2)</f>
        <v>18919.042071428565</v>
      </c>
      <c r="K60" s="467"/>
      <c r="L60" s="408"/>
      <c r="N60" s="800"/>
      <c r="O60" s="807"/>
      <c r="P60" s="413"/>
    </row>
    <row r="61" spans="1:16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800"/>
      <c r="O61" s="807"/>
      <c r="P61" s="413"/>
    </row>
    <row r="62" spans="1:16">
      <c r="A62" s="680" t="s">
        <v>106</v>
      </c>
      <c r="B62" s="681"/>
      <c r="C62" s="681"/>
      <c r="D62" s="587" t="s">
        <v>198</v>
      </c>
      <c r="E62" s="590">
        <f>'13'!F62</f>
        <v>20419.18</v>
      </c>
      <c r="F62" s="590">
        <v>20419.18</v>
      </c>
      <c r="G62" s="549">
        <f t="shared" ref="G62:G69" si="5">F62-E62</f>
        <v>0</v>
      </c>
      <c r="H62" s="536">
        <f>G62+'13'!H62</f>
        <v>-8.9999999981955625E-3</v>
      </c>
      <c r="I62" s="591"/>
      <c r="J62" s="629">
        <f>H62/DAY(B2)</f>
        <v>-6.428571427282545E-4</v>
      </c>
      <c r="K62" s="467"/>
      <c r="L62" s="408"/>
      <c r="N62" s="800"/>
      <c r="O62" s="807"/>
      <c r="P62" s="413"/>
    </row>
    <row r="63" spans="1:16">
      <c r="A63" s="680" t="s">
        <v>199</v>
      </c>
      <c r="B63" s="681"/>
      <c r="C63" s="681"/>
      <c r="D63" s="587" t="s">
        <v>198</v>
      </c>
      <c r="E63" s="590">
        <f>'13'!F63</f>
        <v>1507.25</v>
      </c>
      <c r="F63" s="590">
        <v>1520.48</v>
      </c>
      <c r="G63" s="549">
        <f t="shared" si="5"/>
        <v>13.230000000000018</v>
      </c>
      <c r="H63" s="536">
        <f>G63+'13'!H63</f>
        <v>187.95000000000005</v>
      </c>
      <c r="I63" s="591"/>
      <c r="J63" s="629">
        <f>H63/DAY(B2)</f>
        <v>13.425000000000002</v>
      </c>
      <c r="K63" s="467"/>
      <c r="L63" s="408"/>
      <c r="N63" s="800"/>
      <c r="O63" s="807"/>
      <c r="P63" s="413"/>
    </row>
    <row r="64" spans="1:16" ht="27.75">
      <c r="A64" s="1385" t="s">
        <v>107</v>
      </c>
      <c r="B64" s="1386"/>
      <c r="C64" s="1387"/>
      <c r="D64" s="599" t="s">
        <v>198</v>
      </c>
      <c r="E64" s="590">
        <f>'13'!F64</f>
        <v>116718.44</v>
      </c>
      <c r="F64" s="554">
        <v>117109.7</v>
      </c>
      <c r="G64" s="549">
        <f t="shared" si="5"/>
        <v>391.25999999999476</v>
      </c>
      <c r="H64" s="536">
        <f>G64+'13'!H64</f>
        <v>5826.2399999999907</v>
      </c>
      <c r="I64" s="556"/>
      <c r="J64" s="629">
        <f>H64/DAY(B2)</f>
        <v>416.15999999999934</v>
      </c>
      <c r="K64" s="467"/>
      <c r="L64" s="408"/>
      <c r="N64" s="800"/>
      <c r="O64" s="807"/>
      <c r="P64" s="413"/>
    </row>
    <row r="65" spans="1:16" ht="27.75">
      <c r="A65" s="1385" t="s">
        <v>108</v>
      </c>
      <c r="B65" s="1386"/>
      <c r="C65" s="1387"/>
      <c r="D65" s="599" t="s">
        <v>198</v>
      </c>
      <c r="E65" s="590">
        <f>'13'!F65</f>
        <v>126633.84</v>
      </c>
      <c r="F65" s="732">
        <v>127037.93</v>
      </c>
      <c r="G65" s="549">
        <f t="shared" si="5"/>
        <v>404.08999999999651</v>
      </c>
      <c r="H65" s="536">
        <f>G65+'13'!H65</f>
        <v>5304.8199999999924</v>
      </c>
      <c r="I65" s="565"/>
      <c r="J65" s="629">
        <f>H65/DAY(B2)</f>
        <v>378.91571428571376</v>
      </c>
      <c r="K65" s="467"/>
      <c r="L65" s="408"/>
      <c r="N65" s="800"/>
      <c r="O65" s="808"/>
      <c r="P65" s="413"/>
    </row>
    <row r="66" spans="1:16" ht="27.75">
      <c r="A66" s="1385" t="s">
        <v>109</v>
      </c>
      <c r="B66" s="1386"/>
      <c r="C66" s="1387"/>
      <c r="D66" s="599" t="s">
        <v>198</v>
      </c>
      <c r="E66" s="590">
        <f>'13'!F66</f>
        <v>19244.102999999999</v>
      </c>
      <c r="F66" s="554">
        <v>19646.939999999999</v>
      </c>
      <c r="G66" s="549">
        <f t="shared" si="5"/>
        <v>402.83699999999953</v>
      </c>
      <c r="H66" s="536">
        <f>G66+'13'!H66</f>
        <v>5487.1999999999989</v>
      </c>
      <c r="I66" s="556"/>
      <c r="J66" s="629">
        <f>H66/DAY(B2)</f>
        <v>391.94285714285706</v>
      </c>
      <c r="K66" s="467"/>
      <c r="L66" s="408"/>
      <c r="N66" s="800"/>
      <c r="O66" s="807"/>
      <c r="P66" s="413"/>
    </row>
    <row r="67" spans="1:16" ht="27.75">
      <c r="A67" s="1385" t="s">
        <v>110</v>
      </c>
      <c r="B67" s="1386"/>
      <c r="C67" s="1387"/>
      <c r="D67" s="599" t="s">
        <v>198</v>
      </c>
      <c r="E67" s="590">
        <f>'13'!F67</f>
        <v>197786.33</v>
      </c>
      <c r="F67" s="554">
        <v>198524.69</v>
      </c>
      <c r="G67" s="549">
        <f t="shared" si="5"/>
        <v>738.36000000001513</v>
      </c>
      <c r="H67" s="536">
        <f>G67+'13'!H67</f>
        <v>9850.1600000000035</v>
      </c>
      <c r="I67" s="565"/>
      <c r="J67" s="629">
        <f>H67/DAY(B2)</f>
        <v>703.58285714285739</v>
      </c>
      <c r="K67" s="468"/>
      <c r="L67" s="408"/>
      <c r="N67" s="800"/>
      <c r="O67" s="807"/>
      <c r="P67" s="413"/>
    </row>
    <row r="68" spans="1:16" ht="27.75">
      <c r="A68" s="1385" t="s">
        <v>111</v>
      </c>
      <c r="B68" s="1386"/>
      <c r="C68" s="1387"/>
      <c r="D68" s="599" t="s">
        <v>198</v>
      </c>
      <c r="E68" s="590">
        <f>'13'!F68</f>
        <v>67742.77</v>
      </c>
      <c r="F68" s="554">
        <v>68100.536999999997</v>
      </c>
      <c r="G68" s="549">
        <f t="shared" si="5"/>
        <v>357.76699999999255</v>
      </c>
      <c r="H68" s="536">
        <f>G68+'13'!H68</f>
        <v>4800.676999999996</v>
      </c>
      <c r="I68" s="592"/>
      <c r="J68" s="629">
        <f>H68/DAY(B2)</f>
        <v>342.90549999999973</v>
      </c>
      <c r="K68" s="469"/>
      <c r="L68" s="408"/>
      <c r="N68" s="800"/>
      <c r="O68" s="807"/>
      <c r="P68" s="413"/>
    </row>
    <row r="69" spans="1:16" ht="27.75">
      <c r="A69" s="1385" t="s">
        <v>112</v>
      </c>
      <c r="B69" s="1386"/>
      <c r="C69" s="1387"/>
      <c r="D69" s="599" t="s">
        <v>198</v>
      </c>
      <c r="E69" s="590">
        <f>'13'!F69</f>
        <v>59644.04</v>
      </c>
      <c r="F69" s="554">
        <v>59956.39</v>
      </c>
      <c r="G69" s="549">
        <f t="shared" si="5"/>
        <v>312.34999999999854</v>
      </c>
      <c r="H69" s="536">
        <f>G69+'13'!H69</f>
        <v>4232.68</v>
      </c>
      <c r="I69" s="592"/>
      <c r="J69" s="629">
        <f>H69/DAY(B2)</f>
        <v>302.33428571428573</v>
      </c>
      <c r="K69" s="470"/>
      <c r="L69" s="408"/>
      <c r="N69" s="800"/>
      <c r="O69" s="807"/>
      <c r="P69" s="413"/>
    </row>
    <row r="70" spans="1:16" ht="27.75">
      <c r="A70" s="1391" t="s">
        <v>200</v>
      </c>
      <c r="B70" s="1392"/>
      <c r="C70" s="1393"/>
      <c r="D70" s="599" t="s">
        <v>198</v>
      </c>
      <c r="E70" s="594"/>
      <c r="F70" s="594"/>
      <c r="G70" s="594"/>
      <c r="H70" s="536">
        <f>G70+'13'!H70</f>
        <v>0</v>
      </c>
      <c r="I70" s="594"/>
      <c r="J70" s="633"/>
      <c r="K70" s="470"/>
      <c r="L70" s="408"/>
      <c r="N70" s="800"/>
      <c r="O70" s="807"/>
      <c r="P70" s="413"/>
    </row>
    <row r="71" spans="1:16" ht="31.5">
      <c r="A71" s="1388" t="s">
        <v>201</v>
      </c>
      <c r="B71" s="1389"/>
      <c r="C71" s="1389"/>
      <c r="D71" s="1389"/>
      <c r="E71" s="1389"/>
      <c r="F71" s="1389"/>
      <c r="G71" s="1389"/>
      <c r="H71" s="1389"/>
      <c r="I71" s="1389"/>
      <c r="J71" s="1390"/>
      <c r="K71" s="469"/>
      <c r="L71" s="408"/>
      <c r="N71" s="800"/>
      <c r="O71" s="807"/>
      <c r="P71" s="413"/>
    </row>
    <row r="72" spans="1:16" ht="27.75">
      <c r="A72" s="1385" t="s">
        <v>202</v>
      </c>
      <c r="B72" s="1386"/>
      <c r="C72" s="1387"/>
      <c r="D72" s="599" t="s">
        <v>198</v>
      </c>
      <c r="E72" s="595">
        <f>'13'!F72</f>
        <v>849421</v>
      </c>
      <c r="F72" s="735">
        <v>849524</v>
      </c>
      <c r="G72" s="549">
        <f t="shared" ref="G72" si="6">F72-E72</f>
        <v>103</v>
      </c>
      <c r="H72" s="536">
        <f>G72+'12'!H72</f>
        <v>972</v>
      </c>
      <c r="I72" s="556"/>
      <c r="J72" s="629">
        <f>H72/DAY(B2)</f>
        <v>69.428571428571431</v>
      </c>
      <c r="K72" s="470"/>
      <c r="L72" s="408"/>
      <c r="N72" s="800"/>
      <c r="O72" s="807"/>
      <c r="P72" s="413"/>
    </row>
    <row r="73" spans="1:16" ht="27.75">
      <c r="A73" s="1385" t="s">
        <v>203</v>
      </c>
      <c r="B73" s="1386"/>
      <c r="C73" s="1387"/>
      <c r="D73" s="599" t="s">
        <v>198</v>
      </c>
      <c r="E73" s="595">
        <f>'13'!F73</f>
        <v>885737</v>
      </c>
      <c r="F73" s="736">
        <v>885738</v>
      </c>
      <c r="G73" s="733">
        <f t="shared" ref="G73:G84" si="7">F73-E73</f>
        <v>1</v>
      </c>
      <c r="H73" s="536">
        <f>G73+'13'!H72</f>
        <v>957</v>
      </c>
      <c r="I73" s="556"/>
      <c r="J73" s="629">
        <f>H73/DAY(B2)</f>
        <v>68.357142857142861</v>
      </c>
      <c r="K73" s="469"/>
      <c r="L73" s="408"/>
      <c r="N73" s="800"/>
      <c r="O73" s="807"/>
      <c r="P73" s="413"/>
    </row>
    <row r="74" spans="1:16" ht="27.75">
      <c r="A74" s="1385" t="s">
        <v>204</v>
      </c>
      <c r="B74" s="1386"/>
      <c r="C74" s="1387"/>
      <c r="D74" s="599" t="s">
        <v>198</v>
      </c>
      <c r="E74" s="595">
        <f>'13'!F74</f>
        <v>74.944999999999993</v>
      </c>
      <c r="F74" s="736">
        <v>136.44</v>
      </c>
      <c r="G74" s="549">
        <f t="shared" si="7"/>
        <v>61.495000000000005</v>
      </c>
      <c r="H74" s="536">
        <f>G74+'13'!H74</f>
        <v>365.54</v>
      </c>
      <c r="I74" s="556"/>
      <c r="J74" s="629">
        <f>H74/DAY(B2)</f>
        <v>26.110000000000003</v>
      </c>
      <c r="K74" s="470"/>
      <c r="L74" s="408"/>
      <c r="N74" s="800"/>
      <c r="O74" s="807"/>
      <c r="P74" s="413"/>
    </row>
    <row r="75" spans="1:16" ht="27.75">
      <c r="A75" s="1382" t="s">
        <v>205</v>
      </c>
      <c r="B75" s="1383"/>
      <c r="C75" s="1384"/>
      <c r="D75" s="599" t="s">
        <v>198</v>
      </c>
      <c r="E75" s="595">
        <f>'13'!F75</f>
        <v>799.68</v>
      </c>
      <c r="F75" s="736">
        <v>1007.36</v>
      </c>
      <c r="G75" s="549">
        <f t="shared" si="7"/>
        <v>207.68000000000006</v>
      </c>
      <c r="H75" s="536">
        <f>G75+'13'!H75</f>
        <v>2543.7600000000002</v>
      </c>
      <c r="I75" s="556"/>
      <c r="J75" s="629">
        <f>H75/DAY(B2)</f>
        <v>181.69714285714286</v>
      </c>
      <c r="K75" s="469"/>
      <c r="L75" s="408"/>
      <c r="N75" s="800"/>
      <c r="O75" s="807"/>
      <c r="P75" s="413"/>
    </row>
    <row r="76" spans="1:16" ht="27.75">
      <c r="A76" s="1382" t="s">
        <v>206</v>
      </c>
      <c r="B76" s="1383"/>
      <c r="C76" s="1384"/>
      <c r="D76" s="599" t="s">
        <v>198</v>
      </c>
      <c r="E76" s="595">
        <f>'13'!F76</f>
        <v>338.88</v>
      </c>
      <c r="F76" s="736">
        <v>429.39</v>
      </c>
      <c r="G76" s="549">
        <f t="shared" si="7"/>
        <v>90.509999999999991</v>
      </c>
      <c r="H76" s="536">
        <f>G76+'13'!H75</f>
        <v>2426.59</v>
      </c>
      <c r="I76" s="581"/>
      <c r="J76" s="629">
        <f>H76/DAY(B2)</f>
        <v>173.32785714285714</v>
      </c>
      <c r="K76" s="469"/>
      <c r="L76" s="408"/>
      <c r="N76" s="800"/>
      <c r="O76" s="807"/>
      <c r="P76" s="413"/>
    </row>
    <row r="77" spans="1:16" ht="27.75">
      <c r="A77" s="1385" t="s">
        <v>207</v>
      </c>
      <c r="B77" s="1386"/>
      <c r="C77" s="1387"/>
      <c r="D77" s="599" t="s">
        <v>198</v>
      </c>
      <c r="E77" s="595">
        <f>'13'!F77</f>
        <v>697837</v>
      </c>
      <c r="F77" s="736">
        <v>697891</v>
      </c>
      <c r="G77" s="733">
        <f t="shared" si="7"/>
        <v>54</v>
      </c>
      <c r="H77" s="536">
        <f>G77+'13'!H77</f>
        <v>784</v>
      </c>
      <c r="I77" s="581"/>
      <c r="J77" s="629">
        <f>H77/DAY(B2)</f>
        <v>56</v>
      </c>
      <c r="K77" s="469"/>
      <c r="L77" s="408"/>
      <c r="N77" s="800"/>
      <c r="O77" s="807"/>
      <c r="P77" s="413"/>
    </row>
    <row r="78" spans="1:16" ht="27.75">
      <c r="A78" s="1278" t="s">
        <v>208</v>
      </c>
      <c r="B78" s="1274"/>
      <c r="C78" s="1274"/>
      <c r="D78" s="599" t="s">
        <v>198</v>
      </c>
      <c r="E78" s="595">
        <f>'13'!F78</f>
        <v>647325</v>
      </c>
      <c r="F78" s="737">
        <v>647779</v>
      </c>
      <c r="G78" s="549">
        <f t="shared" si="7"/>
        <v>454</v>
      </c>
      <c r="H78" s="536">
        <f>G78+'13'!H78</f>
        <v>5826</v>
      </c>
      <c r="I78" s="581"/>
      <c r="J78" s="629">
        <f>H78/DAY(B2)</f>
        <v>416.14285714285717</v>
      </c>
      <c r="K78" s="469"/>
      <c r="L78" s="408"/>
      <c r="N78" s="800"/>
      <c r="O78" s="807"/>
      <c r="P78" s="413"/>
    </row>
    <row r="79" spans="1:16" ht="27.75">
      <c r="A79" s="1382" t="s">
        <v>97</v>
      </c>
      <c r="B79" s="1383"/>
      <c r="C79" s="1384"/>
      <c r="D79" s="600" t="s">
        <v>198</v>
      </c>
      <c r="E79" s="595">
        <f>'13'!F79</f>
        <v>812198</v>
      </c>
      <c r="F79" s="737">
        <v>812390</v>
      </c>
      <c r="G79" s="549">
        <f t="shared" si="7"/>
        <v>192</v>
      </c>
      <c r="H79" s="536">
        <f>G79+'13'!H78</f>
        <v>5564</v>
      </c>
      <c r="I79" s="581"/>
      <c r="J79" s="629">
        <f>H79/DAY(B2)</f>
        <v>397.42857142857144</v>
      </c>
      <c r="K79" s="469"/>
      <c r="L79" s="408"/>
      <c r="N79" s="800"/>
      <c r="O79" s="807"/>
      <c r="P79" s="413"/>
    </row>
    <row r="80" spans="1:16" ht="27.75">
      <c r="A80" s="1382" t="s">
        <v>209</v>
      </c>
      <c r="B80" s="1383"/>
      <c r="C80" s="1384"/>
      <c r="D80" s="600" t="s">
        <v>198</v>
      </c>
      <c r="E80" s="595">
        <f>'13'!F80</f>
        <v>489088.68</v>
      </c>
      <c r="F80" s="736">
        <v>489475.56</v>
      </c>
      <c r="G80" s="549">
        <f t="shared" si="7"/>
        <v>386.88000000000466</v>
      </c>
      <c r="H80" s="536">
        <f>G80+'13'!H79</f>
        <v>2893.8800000000047</v>
      </c>
      <c r="I80" s="581"/>
      <c r="J80" s="629">
        <f>H80/DAY(B2)</f>
        <v>206.70571428571461</v>
      </c>
      <c r="K80" s="469"/>
      <c r="L80" s="408"/>
      <c r="N80" s="800"/>
      <c r="O80" s="807"/>
      <c r="P80" s="413"/>
    </row>
    <row r="81" spans="1:16" ht="27.75">
      <c r="A81" s="1382" t="s">
        <v>210</v>
      </c>
      <c r="B81" s="1383"/>
      <c r="C81" s="1384"/>
      <c r="D81" s="600" t="s">
        <v>198</v>
      </c>
      <c r="E81" s="595">
        <f>'13'!F81</f>
        <v>624108.12</v>
      </c>
      <c r="F81" s="736">
        <v>624243.31999999995</v>
      </c>
      <c r="G81" s="549">
        <f t="shared" si="7"/>
        <v>135.19999999995343</v>
      </c>
      <c r="H81" s="536">
        <f>G81+'13'!H81</f>
        <v>1468.3199999999488</v>
      </c>
      <c r="I81" s="581"/>
      <c r="J81" s="629">
        <f>H81/DAY(B2)</f>
        <v>104.87999999999634</v>
      </c>
      <c r="K81" s="469"/>
      <c r="L81" s="408"/>
      <c r="N81" s="800"/>
      <c r="O81" s="807"/>
      <c r="P81" s="413"/>
    </row>
    <row r="82" spans="1:16" ht="27.75">
      <c r="A82" s="1382" t="s">
        <v>100</v>
      </c>
      <c r="B82" s="1383"/>
      <c r="C82" s="1384"/>
      <c r="D82" s="561" t="s">
        <v>143</v>
      </c>
      <c r="E82" s="595">
        <f>'13'!F82</f>
        <v>105834.02</v>
      </c>
      <c r="F82" s="732">
        <v>105860.95</v>
      </c>
      <c r="G82" s="549">
        <f t="shared" si="7"/>
        <v>26.929999999993015</v>
      </c>
      <c r="H82" s="536">
        <f>G82+'13'!H82</f>
        <v>420.94999999999709</v>
      </c>
      <c r="I82" s="562"/>
      <c r="J82" s="629">
        <f>H82/DAY(B2)</f>
        <v>30.067857142856933</v>
      </c>
      <c r="K82" s="469"/>
      <c r="L82" s="408"/>
      <c r="N82" s="800"/>
      <c r="O82" s="807"/>
      <c r="P82" s="413"/>
    </row>
    <row r="83" spans="1:16" ht="27.75">
      <c r="A83" s="1382" t="s">
        <v>211</v>
      </c>
      <c r="B83" s="1383"/>
      <c r="C83" s="1384"/>
      <c r="D83" s="697" t="s">
        <v>143</v>
      </c>
      <c r="E83" s="595">
        <f>'13'!F83</f>
        <v>989212</v>
      </c>
      <c r="F83" s="587">
        <v>989702</v>
      </c>
      <c r="G83" s="549">
        <f t="shared" si="7"/>
        <v>490</v>
      </c>
      <c r="H83" s="536">
        <f>G83+'13'!H83</f>
        <v>5961</v>
      </c>
      <c r="I83" s="557"/>
      <c r="J83" s="629">
        <f>H83/DAY(B2)</f>
        <v>425.78571428571428</v>
      </c>
      <c r="K83" s="468"/>
      <c r="L83" s="408"/>
      <c r="N83" s="800"/>
      <c r="O83" s="807"/>
      <c r="P83" s="413"/>
    </row>
    <row r="84" spans="1:16">
      <c r="A84" s="1281" t="s">
        <v>212</v>
      </c>
      <c r="B84" s="648"/>
      <c r="C84" s="648"/>
      <c r="D84" s="554" t="s">
        <v>143</v>
      </c>
      <c r="E84" s="595">
        <f>'13'!F84</f>
        <v>422230</v>
      </c>
      <c r="F84" s="704">
        <v>422728</v>
      </c>
      <c r="G84" s="549">
        <f t="shared" si="7"/>
        <v>498</v>
      </c>
      <c r="H84" s="536">
        <f>G84+'13'!H84</f>
        <v>6655</v>
      </c>
      <c r="I84" s="557"/>
      <c r="J84" s="629">
        <f>H84/DAY(B2)</f>
        <v>475.35714285714283</v>
      </c>
      <c r="K84" s="411"/>
      <c r="L84" s="408"/>
      <c r="N84" s="800"/>
      <c r="O84" s="807"/>
      <c r="P84" s="413"/>
    </row>
    <row r="85" spans="1:16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SUM(G72:G84)</f>
        <v>2700.6949999999511</v>
      </c>
      <c r="H85" s="536">
        <f>G85+'13'!H85</f>
        <v>31534.669999999944</v>
      </c>
      <c r="I85" s="557"/>
      <c r="J85" s="629">
        <f>H85/DAY(B2)</f>
        <v>2252.4764285714245</v>
      </c>
      <c r="K85" s="411"/>
      <c r="L85" s="409"/>
      <c r="N85" s="800"/>
      <c r="O85" s="807"/>
      <c r="P85" s="413"/>
    </row>
    <row r="86" spans="1:16" s="817" customFormat="1">
      <c r="A86" s="812" t="s">
        <v>102</v>
      </c>
      <c r="B86" s="813"/>
      <c r="C86" s="813"/>
      <c r="D86" s="814" t="s">
        <v>194</v>
      </c>
      <c r="E86" s="704">
        <f>'13'!F86</f>
        <v>448790.44</v>
      </c>
      <c r="F86" s="728">
        <v>448812.44</v>
      </c>
      <c r="G86" s="787">
        <f t="shared" ref="G86:G90" si="8">F86-E86</f>
        <v>22</v>
      </c>
      <c r="H86" s="787">
        <f t="shared" ref="H86:H88" si="9">G86</f>
        <v>22</v>
      </c>
      <c r="I86" s="733"/>
      <c r="J86" s="789">
        <f>H86/DAY(B2)</f>
        <v>1.5714285714285714</v>
      </c>
      <c r="K86" s="815"/>
      <c r="L86" s="816"/>
      <c r="O86" s="795"/>
    </row>
    <row r="87" spans="1:16" s="817" customFormat="1">
      <c r="A87" s="812" t="s">
        <v>103</v>
      </c>
      <c r="B87" s="813"/>
      <c r="C87" s="813"/>
      <c r="D87" s="814" t="s">
        <v>194</v>
      </c>
      <c r="E87" s="704">
        <f>'13'!F87</f>
        <v>78813</v>
      </c>
      <c r="F87" s="728">
        <v>78823.5</v>
      </c>
      <c r="G87" s="787">
        <f t="shared" si="8"/>
        <v>10.5</v>
      </c>
      <c r="H87" s="787">
        <f t="shared" si="9"/>
        <v>10.5</v>
      </c>
      <c r="I87" s="733"/>
      <c r="J87" s="789">
        <f>H87/DAY(B2)</f>
        <v>0.75</v>
      </c>
      <c r="K87" s="815"/>
      <c r="L87" s="816"/>
      <c r="O87" s="795"/>
    </row>
    <row r="88" spans="1:16" s="817" customFormat="1">
      <c r="A88" s="812" t="s">
        <v>104</v>
      </c>
      <c r="B88" s="813"/>
      <c r="C88" s="813"/>
      <c r="D88" s="814" t="s">
        <v>194</v>
      </c>
      <c r="E88" s="704">
        <f>'13'!F88</f>
        <v>147355.99</v>
      </c>
      <c r="F88" s="728">
        <v>147397.81</v>
      </c>
      <c r="G88" s="787">
        <f t="shared" si="8"/>
        <v>41.820000000006985</v>
      </c>
      <c r="H88" s="787">
        <f t="shared" si="9"/>
        <v>41.820000000006985</v>
      </c>
      <c r="I88" s="733"/>
      <c r="J88" s="789">
        <f>H88/DAY(B2)</f>
        <v>2.9871428571433563</v>
      </c>
      <c r="K88" s="815"/>
      <c r="L88" s="816"/>
      <c r="O88" s="795"/>
    </row>
    <row r="89" spans="1:16" s="817" customFormat="1">
      <c r="A89" s="812" t="s">
        <v>215</v>
      </c>
      <c r="B89" s="813"/>
      <c r="C89" s="813"/>
      <c r="D89" s="814" t="s">
        <v>194</v>
      </c>
      <c r="E89" s="704">
        <f>'13'!F89</f>
        <v>60681</v>
      </c>
      <c r="F89" s="728">
        <v>60730.1</v>
      </c>
      <c r="G89" s="787">
        <f t="shared" si="8"/>
        <v>49.099999999998545</v>
      </c>
      <c r="H89" s="787">
        <f>G89</f>
        <v>49.099999999998545</v>
      </c>
      <c r="I89" s="733"/>
      <c r="J89" s="789">
        <f>H89/DAY(B2)</f>
        <v>3.5071428571427532</v>
      </c>
      <c r="K89" s="815"/>
      <c r="L89" s="816"/>
      <c r="N89" s="860"/>
      <c r="O89" s="413"/>
    </row>
    <row r="90" spans="1:16" s="817" customFormat="1">
      <c r="A90" s="812" t="s">
        <v>215</v>
      </c>
      <c r="B90" s="813"/>
      <c r="C90" s="813"/>
      <c r="D90" s="814" t="s">
        <v>194</v>
      </c>
      <c r="E90" s="704">
        <f>'13'!F90</f>
        <v>3112.1</v>
      </c>
      <c r="F90" s="728">
        <v>3113.1</v>
      </c>
      <c r="G90" s="787">
        <f t="shared" si="8"/>
        <v>1</v>
      </c>
      <c r="H90" s="787">
        <f>G90</f>
        <v>1</v>
      </c>
      <c r="I90" s="733"/>
      <c r="J90" s="789">
        <f>H90/DAY(B2)</f>
        <v>7.1428571428571425E-2</v>
      </c>
      <c r="K90" s="815"/>
      <c r="L90" s="816"/>
      <c r="N90" s="860"/>
      <c r="O90" s="413"/>
    </row>
    <row r="91" spans="1:16" s="410" customFormat="1">
      <c r="A91" s="683" t="s">
        <v>216</v>
      </c>
      <c r="B91" s="1279"/>
      <c r="C91" s="1279"/>
      <c r="D91" s="548"/>
      <c r="E91" s="548"/>
      <c r="F91" s="548"/>
      <c r="G91" s="564"/>
      <c r="H91" s="548"/>
      <c r="I91" s="548"/>
      <c r="J91" s="628"/>
      <c r="K91" s="411"/>
      <c r="L91" s="409"/>
      <c r="N91" s="800"/>
      <c r="O91" s="807"/>
      <c r="P91" s="413"/>
    </row>
    <row r="92" spans="1:16" ht="27.75">
      <c r="A92" s="1406" t="s">
        <v>217</v>
      </c>
      <c r="B92" s="1407"/>
      <c r="C92" s="1408"/>
      <c r="D92" s="599" t="s">
        <v>155</v>
      </c>
      <c r="E92" s="560">
        <f>'13'!F92</f>
        <v>237940</v>
      </c>
      <c r="F92" s="554">
        <v>238106</v>
      </c>
      <c r="G92" s="549">
        <f t="shared" ref="G92:G93" si="10">F92-E92</f>
        <v>166</v>
      </c>
      <c r="H92" s="536">
        <f>G92+'13'!H92</f>
        <v>1536</v>
      </c>
      <c r="I92" s="556"/>
      <c r="J92" s="629">
        <f>H92/DAY(B2)</f>
        <v>109.71428571428571</v>
      </c>
      <c r="K92" s="468"/>
      <c r="L92" s="408"/>
      <c r="N92" s="800"/>
      <c r="O92" s="807"/>
      <c r="P92" s="413"/>
    </row>
    <row r="93" spans="1:16" ht="27.75">
      <c r="A93" s="1406" t="s">
        <v>218</v>
      </c>
      <c r="B93" s="1407"/>
      <c r="C93" s="1408"/>
      <c r="D93" s="599" t="s">
        <v>155</v>
      </c>
      <c r="E93" s="560">
        <f>'13'!F93</f>
        <v>173275</v>
      </c>
      <c r="F93" s="554">
        <v>173449</v>
      </c>
      <c r="G93" s="549">
        <f t="shared" si="10"/>
        <v>174</v>
      </c>
      <c r="H93" s="536">
        <f>G93+'13'!H93</f>
        <v>2273</v>
      </c>
      <c r="I93" s="556"/>
      <c r="J93" s="629">
        <f>H93/DAY(B2)</f>
        <v>162.35714285714286</v>
      </c>
      <c r="K93" s="411"/>
      <c r="L93" s="408"/>
      <c r="N93" s="800"/>
      <c r="O93" s="807"/>
      <c r="P93" s="413"/>
    </row>
    <row r="94" spans="1:16">
      <c r="A94" s="1434" t="s">
        <v>219</v>
      </c>
      <c r="B94" s="1435"/>
      <c r="C94" s="1436"/>
      <c r="D94" s="599"/>
      <c r="E94" s="560">
        <f>'13'!F94</f>
        <v>0</v>
      </c>
      <c r="F94" s="554"/>
      <c r="G94" s="549">
        <f>G92+G93</f>
        <v>340</v>
      </c>
      <c r="H94" s="536">
        <f>G94+'13'!H94</f>
        <v>3522</v>
      </c>
      <c r="I94" s="556"/>
      <c r="J94" s="629">
        <f>H94/DAY(B2)</f>
        <v>251.57142857142858</v>
      </c>
      <c r="K94" s="411"/>
      <c r="L94" s="408"/>
      <c r="N94" s="800"/>
      <c r="O94" s="807"/>
      <c r="P94" s="413"/>
    </row>
    <row r="95" spans="1:16" ht="27.75">
      <c r="A95" s="1406" t="s">
        <v>220</v>
      </c>
      <c r="B95" s="1407"/>
      <c r="C95" s="1408"/>
      <c r="D95" s="599" t="s">
        <v>155</v>
      </c>
      <c r="E95" s="560">
        <f>'13'!F95</f>
        <v>406788</v>
      </c>
      <c r="F95" s="554">
        <v>406909</v>
      </c>
      <c r="G95" s="549">
        <f t="shared" ref="G95:G100" si="11">F95-E95</f>
        <v>121</v>
      </c>
      <c r="H95" s="536">
        <f>G95+'13'!H95</f>
        <v>1033</v>
      </c>
      <c r="I95" s="556"/>
      <c r="J95" s="629">
        <f>H95/DAY(B2)</f>
        <v>73.785714285714292</v>
      </c>
      <c r="K95" s="411"/>
      <c r="L95" s="408"/>
      <c r="N95" s="800"/>
      <c r="O95" s="807"/>
      <c r="P95" s="413"/>
    </row>
    <row r="96" spans="1:16" ht="27.75">
      <c r="A96" s="1275" t="s">
        <v>221</v>
      </c>
      <c r="B96" s="1276"/>
      <c r="C96" s="1276"/>
      <c r="D96" s="599" t="s">
        <v>155</v>
      </c>
      <c r="E96" s="560">
        <f>'13'!F96</f>
        <v>101019</v>
      </c>
      <c r="F96" s="554">
        <v>101066</v>
      </c>
      <c r="G96" s="549">
        <f t="shared" si="11"/>
        <v>47</v>
      </c>
      <c r="H96" s="536">
        <f>G96+'13'!H96</f>
        <v>532</v>
      </c>
      <c r="I96" s="556"/>
      <c r="J96" s="629">
        <f>H96/DAY(B2)</f>
        <v>38</v>
      </c>
      <c r="K96" s="466"/>
      <c r="L96" s="408"/>
      <c r="N96" s="800"/>
      <c r="O96" s="807"/>
      <c r="P96" s="413"/>
    </row>
    <row r="97" spans="1:16" ht="27.75">
      <c r="A97" s="1275" t="s">
        <v>222</v>
      </c>
      <c r="B97" s="1276"/>
      <c r="C97" s="1276"/>
      <c r="D97" s="599" t="s">
        <v>155</v>
      </c>
      <c r="E97" s="560">
        <f>'13'!F97</f>
        <v>96072</v>
      </c>
      <c r="F97" s="554">
        <v>96118</v>
      </c>
      <c r="G97" s="549">
        <f t="shared" si="11"/>
        <v>46</v>
      </c>
      <c r="H97" s="536">
        <f>G97+'13'!H97</f>
        <v>441</v>
      </c>
      <c r="I97" s="556"/>
      <c r="J97" s="629">
        <f>H97/DAY(B2)</f>
        <v>31.5</v>
      </c>
      <c r="K97" s="471"/>
      <c r="L97" s="408"/>
      <c r="N97" s="800"/>
      <c r="O97" s="807"/>
      <c r="P97" s="413"/>
    </row>
    <row r="98" spans="1:16" ht="27.75">
      <c r="A98" s="1275" t="s">
        <v>223</v>
      </c>
      <c r="B98" s="1276"/>
      <c r="C98" s="1276"/>
      <c r="D98" s="599" t="s">
        <v>155</v>
      </c>
      <c r="E98" s="560">
        <f>'13'!F98</f>
        <v>146459</v>
      </c>
      <c r="F98" s="554">
        <v>146530</v>
      </c>
      <c r="G98" s="549">
        <f t="shared" si="11"/>
        <v>71</v>
      </c>
      <c r="H98" s="536">
        <f>G98+'13'!H98</f>
        <v>976</v>
      </c>
      <c r="I98" s="556"/>
      <c r="J98" s="629">
        <f>H98/DAY(B2)</f>
        <v>69.714285714285708</v>
      </c>
      <c r="K98" s="411"/>
      <c r="L98" s="408"/>
      <c r="N98" s="802"/>
      <c r="O98" s="807"/>
      <c r="P98" s="413"/>
    </row>
    <row r="99" spans="1:16" ht="27.75">
      <c r="A99" s="1275" t="s">
        <v>224</v>
      </c>
      <c r="B99" s="1276"/>
      <c r="C99" s="1276"/>
      <c r="D99" s="599" t="s">
        <v>155</v>
      </c>
      <c r="E99" s="560">
        <f>'13'!F99</f>
        <v>6118</v>
      </c>
      <c r="F99" s="554">
        <v>6137</v>
      </c>
      <c r="G99" s="549">
        <f t="shared" si="11"/>
        <v>19</v>
      </c>
      <c r="H99" s="536">
        <f>G99+'13'!H99</f>
        <v>163</v>
      </c>
      <c r="I99" s="556"/>
      <c r="J99" s="629">
        <f>H99/DAY(B2)</f>
        <v>11.642857142857142</v>
      </c>
      <c r="K99" s="411"/>
      <c r="L99" s="408"/>
      <c r="N99" s="800"/>
      <c r="O99" s="807"/>
      <c r="P99" s="413"/>
    </row>
    <row r="100" spans="1:16" ht="27.75">
      <c r="A100" s="1275" t="s">
        <v>225</v>
      </c>
      <c r="B100" s="1276"/>
      <c r="C100" s="1276"/>
      <c r="D100" s="599" t="s">
        <v>155</v>
      </c>
      <c r="E100" s="560">
        <f>'13'!F100</f>
        <v>4342</v>
      </c>
      <c r="F100" s="554">
        <v>4366</v>
      </c>
      <c r="G100" s="549">
        <f t="shared" si="11"/>
        <v>24</v>
      </c>
      <c r="H100" s="536">
        <f>G100+'13'!H100</f>
        <v>129</v>
      </c>
      <c r="I100" s="556"/>
      <c r="J100" s="629">
        <f>H100/DAY(B2)</f>
        <v>9.2142857142857135</v>
      </c>
      <c r="K100" s="411"/>
      <c r="L100" s="408"/>
      <c r="N100" s="800"/>
      <c r="O100" s="807"/>
      <c r="P100" s="413"/>
    </row>
    <row r="101" spans="1:16">
      <c r="A101" s="1434" t="s">
        <v>227</v>
      </c>
      <c r="B101" s="1435"/>
      <c r="C101" s="1436"/>
      <c r="D101" s="600"/>
      <c r="E101" s="560"/>
      <c r="F101" s="600"/>
      <c r="G101" s="601">
        <f>SUM(G95:G100)</f>
        <v>328</v>
      </c>
      <c r="H101" s="536">
        <f>G101+'13'!H101</f>
        <v>3274</v>
      </c>
      <c r="I101" s="602"/>
      <c r="J101" s="629">
        <f>H101/DAY(B2)</f>
        <v>233.85714285714286</v>
      </c>
      <c r="K101" s="411"/>
      <c r="L101" s="408"/>
      <c r="N101" s="800"/>
      <c r="O101" s="807"/>
      <c r="P101" s="413"/>
    </row>
    <row r="102" spans="1:16" s="481" customFormat="1" ht="27">
      <c r="A102" s="684" t="s">
        <v>228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800"/>
      <c r="O102" s="807"/>
      <c r="P102" s="413"/>
    </row>
    <row r="103" spans="1:16" s="481" customFormat="1" ht="27.75">
      <c r="A103" s="1437" t="s">
        <v>229</v>
      </c>
      <c r="B103" s="1438"/>
      <c r="C103" s="650"/>
      <c r="D103" s="699"/>
      <c r="E103" s="560"/>
      <c r="F103" s="739"/>
      <c r="G103" s="608"/>
      <c r="H103" s="609"/>
      <c r="I103" s="608"/>
      <c r="J103" s="635"/>
      <c r="N103" s="800"/>
      <c r="O103" s="807"/>
      <c r="P103" s="413"/>
    </row>
    <row r="104" spans="1:16" s="481" customFormat="1" ht="27.75">
      <c r="A104" s="1398" t="s">
        <v>230</v>
      </c>
      <c r="B104" s="1399"/>
      <c r="C104" s="1280"/>
      <c r="D104" s="699" t="s">
        <v>155</v>
      </c>
      <c r="E104" s="560">
        <f>'13'!F104</f>
        <v>7010</v>
      </c>
      <c r="F104" s="739">
        <v>7097</v>
      </c>
      <c r="G104" s="608">
        <f>F104-E104</f>
        <v>87</v>
      </c>
      <c r="H104" s="609">
        <f>SUM(G104+'1'!G76)</f>
        <v>161</v>
      </c>
      <c r="I104" s="608"/>
      <c r="J104" s="635">
        <f>H104/DAY(B2)</f>
        <v>11.5</v>
      </c>
      <c r="N104" s="800"/>
      <c r="O104" s="807"/>
      <c r="P104" s="413"/>
    </row>
    <row r="105" spans="1:16" s="481" customFormat="1" ht="27.75">
      <c r="A105" s="1398" t="s">
        <v>77</v>
      </c>
      <c r="B105" s="1399"/>
      <c r="C105" s="1280"/>
      <c r="D105" s="699" t="s">
        <v>155</v>
      </c>
      <c r="E105" s="560">
        <f>'13'!F105</f>
        <v>35257</v>
      </c>
      <c r="F105" s="740">
        <v>35268</v>
      </c>
      <c r="G105" s="608">
        <f t="shared" ref="G105:G106" si="12">F105-E105</f>
        <v>11</v>
      </c>
      <c r="H105" s="609">
        <f>SUM(G105+'1'!G77)</f>
        <v>59</v>
      </c>
      <c r="I105" s="608"/>
      <c r="J105" s="635">
        <f>H105/DAY(B2)</f>
        <v>4.2142857142857144</v>
      </c>
      <c r="N105" s="800"/>
      <c r="O105" s="807"/>
      <c r="P105" s="413"/>
    </row>
    <row r="106" spans="1:16" s="481" customFormat="1" ht="27.75">
      <c r="A106" s="1398" t="s">
        <v>78</v>
      </c>
      <c r="B106" s="1439"/>
      <c r="C106" s="1399"/>
      <c r="D106" s="699" t="s">
        <v>155</v>
      </c>
      <c r="E106" s="560">
        <f>'13'!F106</f>
        <v>19152</v>
      </c>
      <c r="F106" s="740">
        <v>19157</v>
      </c>
      <c r="G106" s="608">
        <f t="shared" si="12"/>
        <v>5</v>
      </c>
      <c r="H106" s="609">
        <f>SUM(G106+'1'!G78)</f>
        <v>339</v>
      </c>
      <c r="I106" s="608"/>
      <c r="J106" s="635">
        <f>H106/DAY(B2)</f>
        <v>24.214285714285715</v>
      </c>
      <c r="N106" s="800"/>
      <c r="O106" s="807"/>
      <c r="P106" s="413"/>
    </row>
    <row r="107" spans="1:16" s="481" customFormat="1" ht="27.75">
      <c r="A107" s="1400" t="s">
        <v>213</v>
      </c>
      <c r="B107" s="1401"/>
      <c r="C107" s="1280"/>
      <c r="D107" s="699"/>
      <c r="E107" s="560">
        <f>'13'!F107</f>
        <v>0</v>
      </c>
      <c r="F107" s="740"/>
      <c r="G107" s="608">
        <f>SUM(G104:G106)</f>
        <v>103</v>
      </c>
      <c r="H107" s="609">
        <f>SUM(G107+'1'!G79)</f>
        <v>308</v>
      </c>
      <c r="I107" s="608"/>
      <c r="J107" s="635">
        <f>H107/DAY(B2)</f>
        <v>22</v>
      </c>
      <c r="N107" s="800"/>
      <c r="O107" s="807"/>
      <c r="P107" s="413"/>
    </row>
    <row r="108" spans="1:16" s="481" customFormat="1" ht="27.75">
      <c r="A108" s="1404" t="s">
        <v>79</v>
      </c>
      <c r="B108" s="1405"/>
      <c r="C108" s="1280"/>
      <c r="D108" s="699" t="s">
        <v>155</v>
      </c>
      <c r="E108" s="560">
        <f>'13'!F108</f>
        <v>0</v>
      </c>
      <c r="F108" s="740"/>
      <c r="G108" s="608"/>
      <c r="H108" s="609"/>
      <c r="I108" s="608"/>
      <c r="J108" s="635"/>
      <c r="N108" s="800"/>
      <c r="O108" s="807"/>
      <c r="P108" s="413"/>
    </row>
    <row r="109" spans="1:16" s="481" customFormat="1" ht="27.75">
      <c r="A109" s="1398" t="s">
        <v>231</v>
      </c>
      <c r="B109" s="1399"/>
      <c r="C109" s="1280"/>
      <c r="D109" s="699" t="s">
        <v>155</v>
      </c>
      <c r="E109" s="560">
        <f>'13'!F109</f>
        <v>55445</v>
      </c>
      <c r="F109" s="740">
        <v>55505</v>
      </c>
      <c r="G109" s="608">
        <f>F109-E109</f>
        <v>60</v>
      </c>
      <c r="H109" s="609">
        <f>SUM(G109+'1'!G81)</f>
        <v>136</v>
      </c>
      <c r="I109" s="608"/>
      <c r="J109" s="635">
        <f>H109/DAY(B2)</f>
        <v>9.7142857142857135</v>
      </c>
      <c r="N109" s="800"/>
      <c r="O109" s="807"/>
      <c r="P109" s="413"/>
    </row>
    <row r="110" spans="1:16" s="481" customFormat="1" ht="27.75">
      <c r="A110" s="1398" t="s">
        <v>232</v>
      </c>
      <c r="B110" s="1399"/>
      <c r="C110" s="1280"/>
      <c r="D110" s="699" t="s">
        <v>155</v>
      </c>
      <c r="E110" s="560">
        <f>'13'!F110</f>
        <v>29391</v>
      </c>
      <c r="F110" s="740">
        <v>29433</v>
      </c>
      <c r="G110" s="608">
        <f t="shared" ref="G110:G111" si="13">F110-E110</f>
        <v>42</v>
      </c>
      <c r="H110" s="609">
        <f>SUM(G110+'1'!G82)</f>
        <v>87</v>
      </c>
      <c r="I110" s="608"/>
      <c r="J110" s="635">
        <f>H110/DAY(B2)</f>
        <v>6.2142857142857144</v>
      </c>
      <c r="N110" s="800"/>
      <c r="O110" s="807"/>
      <c r="P110" s="413"/>
    </row>
    <row r="111" spans="1:16" s="481" customFormat="1" ht="27.75">
      <c r="A111" s="1398" t="s">
        <v>233</v>
      </c>
      <c r="B111" s="1399"/>
      <c r="C111" s="1280"/>
      <c r="D111" s="699" t="s">
        <v>155</v>
      </c>
      <c r="E111" s="560">
        <f>'13'!F111</f>
        <v>3870</v>
      </c>
      <c r="F111" s="740">
        <v>3870</v>
      </c>
      <c r="G111" s="608">
        <f t="shared" si="13"/>
        <v>0</v>
      </c>
      <c r="H111" s="609">
        <f>SUM(G111+'1'!G83)</f>
        <v>433</v>
      </c>
      <c r="I111" s="608"/>
      <c r="J111" s="635">
        <f>H111/DAY(B2)</f>
        <v>30.928571428571427</v>
      </c>
      <c r="N111" s="800"/>
      <c r="O111" s="807"/>
      <c r="P111" s="413"/>
    </row>
    <row r="112" spans="1:16" s="481" customFormat="1" ht="27.75">
      <c r="A112" s="1400" t="s">
        <v>121</v>
      </c>
      <c r="B112" s="1401"/>
      <c r="C112" s="1280"/>
      <c r="D112" s="699"/>
      <c r="E112" s="560">
        <f>'13'!F112</f>
        <v>0</v>
      </c>
      <c r="F112" s="740"/>
      <c r="G112" s="608">
        <f>SUM(G109:G111)</f>
        <v>102</v>
      </c>
      <c r="H112" s="609">
        <f>SUM(G112+'1'!G84)</f>
        <v>623</v>
      </c>
      <c r="I112" s="608"/>
      <c r="J112" s="635">
        <f>H112/DAY(B2)</f>
        <v>44.5</v>
      </c>
      <c r="N112" s="800"/>
      <c r="O112" s="807"/>
      <c r="P112" s="413"/>
    </row>
    <row r="113" spans="1:16" s="481" customFormat="1" ht="27.75">
      <c r="A113" s="1404" t="s">
        <v>234</v>
      </c>
      <c r="B113" s="1405"/>
      <c r="C113" s="1280"/>
      <c r="D113" s="699"/>
      <c r="E113" s="560">
        <f>'13'!F113</f>
        <v>0</v>
      </c>
      <c r="F113" s="740"/>
      <c r="G113" s="608"/>
      <c r="H113" s="609"/>
      <c r="I113" s="608"/>
      <c r="J113" s="635">
        <f>H113/DAY(B2)</f>
        <v>0</v>
      </c>
      <c r="N113" s="800"/>
      <c r="O113" s="807"/>
      <c r="P113" s="413"/>
    </row>
    <row r="114" spans="1:16" s="481" customFormat="1" ht="27.75">
      <c r="A114" s="1398" t="s">
        <v>235</v>
      </c>
      <c r="B114" s="1399"/>
      <c r="C114" s="651"/>
      <c r="D114" s="699" t="s">
        <v>155</v>
      </c>
      <c r="E114" s="560">
        <f>'13'!F114</f>
        <v>9979</v>
      </c>
      <c r="F114" s="740">
        <v>10001</v>
      </c>
      <c r="G114" s="610">
        <f>F114-E114</f>
        <v>22</v>
      </c>
      <c r="H114" s="609">
        <f>SUM(G114+'1'!G91)</f>
        <v>22</v>
      </c>
      <c r="I114" s="608"/>
      <c r="J114" s="635">
        <f>H114/DAY(B2)</f>
        <v>1.5714285714285714</v>
      </c>
      <c r="N114" s="800"/>
      <c r="O114" s="807"/>
      <c r="P114" s="413"/>
    </row>
    <row r="115" spans="1:16" s="481" customFormat="1" ht="27.75">
      <c r="A115" s="1398" t="s">
        <v>236</v>
      </c>
      <c r="B115" s="1399"/>
      <c r="C115" s="651"/>
      <c r="D115" s="699" t="s">
        <v>155</v>
      </c>
      <c r="E115" s="560">
        <f>'13'!F115</f>
        <v>7509</v>
      </c>
      <c r="F115" s="740">
        <v>7529</v>
      </c>
      <c r="G115" s="610">
        <f t="shared" ref="G115:G116" si="14">F115-E115</f>
        <v>20</v>
      </c>
      <c r="H115" s="609">
        <f>SUM(G115+'1'!G92)</f>
        <v>107</v>
      </c>
      <c r="I115" s="608"/>
      <c r="J115" s="635">
        <f>H115/DAY(B2)</f>
        <v>7.6428571428571432</v>
      </c>
      <c r="N115" s="800"/>
      <c r="O115" s="807"/>
      <c r="P115" s="413"/>
    </row>
    <row r="116" spans="1:16" s="481" customFormat="1" ht="27.75">
      <c r="A116" s="1398" t="s">
        <v>237</v>
      </c>
      <c r="B116" s="1399"/>
      <c r="C116" s="651"/>
      <c r="D116" s="699" t="s">
        <v>155</v>
      </c>
      <c r="E116" s="610"/>
      <c r="F116" s="740"/>
      <c r="G116" s="610">
        <f t="shared" si="14"/>
        <v>0</v>
      </c>
      <c r="H116" s="609">
        <f>SUM(G116+'1'!G93)</f>
        <v>200</v>
      </c>
      <c r="I116" s="608"/>
      <c r="J116" s="635">
        <f>H116/DAY(B2)</f>
        <v>14.285714285714286</v>
      </c>
      <c r="N116" s="800"/>
      <c r="O116" s="807"/>
      <c r="P116" s="413"/>
    </row>
    <row r="117" spans="1:16" s="494" customFormat="1" ht="27.75">
      <c r="A117" s="1400" t="s">
        <v>213</v>
      </c>
      <c r="B117" s="1401"/>
      <c r="C117" s="651"/>
      <c r="D117" s="700"/>
      <c r="E117" s="610"/>
      <c r="F117" s="740"/>
      <c r="G117" s="610">
        <f>SUM(G114:G116)</f>
        <v>42</v>
      </c>
      <c r="H117" s="609">
        <f>SUM(G117+'1'!G95)</f>
        <v>114</v>
      </c>
      <c r="I117" s="610"/>
      <c r="J117" s="635">
        <f>H117/DAY(B2)</f>
        <v>8.1428571428571423</v>
      </c>
      <c r="N117" s="800"/>
      <c r="O117" s="807"/>
      <c r="P117" s="413"/>
    </row>
    <row r="118" spans="1:16" s="495" customFormat="1" ht="27.75">
      <c r="A118" s="1394" t="s">
        <v>238</v>
      </c>
      <c r="B118" s="1395"/>
      <c r="C118" s="1283"/>
      <c r="D118" s="701" t="s">
        <v>155</v>
      </c>
      <c r="E118" s="612"/>
      <c r="F118" s="741"/>
      <c r="G118" s="612">
        <f>SUM(G19+G92)</f>
        <v>217</v>
      </c>
      <c r="H118" s="609">
        <f>SUM(G118+'1'!G96)</f>
        <v>240</v>
      </c>
      <c r="I118" s="611"/>
      <c r="J118" s="636">
        <f>H118/DAY(B2)</f>
        <v>17.142857142857142</v>
      </c>
      <c r="N118" s="800"/>
      <c r="O118" s="807"/>
      <c r="P118" s="413"/>
    </row>
    <row r="119" spans="1:16" s="495" customFormat="1" ht="27.75">
      <c r="A119" s="1394" t="s">
        <v>239</v>
      </c>
      <c r="B119" s="1395"/>
      <c r="C119" s="1283"/>
      <c r="D119" s="701" t="s">
        <v>155</v>
      </c>
      <c r="E119" s="612"/>
      <c r="F119" s="741">
        <f>SUM(G95,G96,G97,G99,G100)</f>
        <v>257</v>
      </c>
      <c r="G119" s="612">
        <f>SUM(G95,G96,G97,G99,G100)</f>
        <v>257</v>
      </c>
      <c r="H119" s="609">
        <f>SUM(G119+'1'!G98)</f>
        <v>340</v>
      </c>
      <c r="I119" s="611"/>
      <c r="J119" s="636">
        <f>H119/DAY(B2)</f>
        <v>24.285714285714285</v>
      </c>
      <c r="N119" s="800"/>
      <c r="O119" s="807"/>
      <c r="P119" s="413"/>
    </row>
    <row r="120" spans="1:16" s="495" customFormat="1" ht="27.75">
      <c r="A120" s="1394" t="s">
        <v>240</v>
      </c>
      <c r="B120" s="1395"/>
      <c r="C120" s="1283"/>
      <c r="D120" s="701" t="s">
        <v>155</v>
      </c>
      <c r="E120" s="610"/>
      <c r="F120" s="740">
        <f>SUM(G112)</f>
        <v>102</v>
      </c>
      <c r="G120" s="610">
        <f>SUM(G112)</f>
        <v>102</v>
      </c>
      <c r="H120" s="609">
        <f>SUM(G120+'1'!G100)</f>
        <v>108</v>
      </c>
      <c r="I120" s="611"/>
      <c r="J120" s="636">
        <f>H120/DAY(B2)</f>
        <v>7.7142857142857144</v>
      </c>
      <c r="N120" s="800"/>
      <c r="O120" s="807"/>
      <c r="P120" s="413"/>
    </row>
    <row r="121" spans="1:16" s="481" customFormat="1" ht="27.75">
      <c r="A121" s="1396"/>
      <c r="B121" s="1397"/>
      <c r="C121" s="1284"/>
      <c r="D121" s="637"/>
      <c r="E121" s="637"/>
      <c r="F121" s="742" t="s">
        <v>226</v>
      </c>
      <c r="G121" s="637"/>
      <c r="H121" s="638"/>
      <c r="I121" s="637"/>
      <c r="J121" s="639"/>
      <c r="N121" s="800"/>
      <c r="O121" s="807"/>
      <c r="P121" s="413"/>
    </row>
    <row r="122" spans="1:16">
      <c r="A122" s="1431" t="s">
        <v>241</v>
      </c>
      <c r="B122" s="1432"/>
      <c r="C122" s="1433"/>
      <c r="D122" s="548"/>
      <c r="E122" s="548"/>
      <c r="F122" s="548"/>
      <c r="G122" s="559"/>
      <c r="H122" s="559"/>
      <c r="I122" s="559"/>
      <c r="J122" s="640"/>
      <c r="K122" s="411"/>
      <c r="L122" s="408"/>
      <c r="N122" s="800"/>
      <c r="O122" s="807"/>
      <c r="P122" s="413"/>
    </row>
    <row r="123" spans="1:16" ht="27.75">
      <c r="A123" s="1275" t="s">
        <v>242</v>
      </c>
      <c r="B123" s="1276"/>
      <c r="C123" s="1276"/>
      <c r="D123" s="599" t="s">
        <v>152</v>
      </c>
      <c r="E123" s="554">
        <f>'13'!F123</f>
        <v>806998.4</v>
      </c>
      <c r="F123" s="554">
        <v>807305.93</v>
      </c>
      <c r="G123" s="549">
        <f t="shared" ref="G123:G127" si="15">F123-E123</f>
        <v>307.53000000002794</v>
      </c>
      <c r="H123" s="536">
        <f>G123+'13'!H123</f>
        <v>3970.5300000000279</v>
      </c>
      <c r="I123" s="602"/>
      <c r="J123" s="629">
        <f>H123/DAY(B2)</f>
        <v>283.60928571428769</v>
      </c>
      <c r="K123" s="411"/>
      <c r="L123" s="408"/>
      <c r="N123" s="800"/>
      <c r="O123" s="807"/>
      <c r="P123" s="413"/>
    </row>
    <row r="124" spans="1:16" ht="27.75">
      <c r="A124" s="1275" t="s">
        <v>243</v>
      </c>
      <c r="B124" s="1276"/>
      <c r="C124" s="1276"/>
      <c r="D124" s="599" t="s">
        <v>152</v>
      </c>
      <c r="E124" s="703">
        <f>'13'!F124</f>
        <v>73583.399999999994</v>
      </c>
      <c r="F124" s="703">
        <v>73583.399999999994</v>
      </c>
      <c r="G124" s="549">
        <f t="shared" si="15"/>
        <v>0</v>
      </c>
      <c r="H124" s="536">
        <f>G124+'13'!H124</f>
        <v>1.3999999999941792</v>
      </c>
      <c r="I124" s="602"/>
      <c r="J124" s="629">
        <f>H124/DAY(B2)</f>
        <v>9.9999999999584227E-2</v>
      </c>
      <c r="K124" s="411"/>
      <c r="L124" s="408"/>
      <c r="N124" s="800"/>
      <c r="O124" s="807"/>
      <c r="P124" s="413"/>
    </row>
    <row r="125" spans="1:16" ht="27.75">
      <c r="A125" s="1385" t="s">
        <v>244</v>
      </c>
      <c r="B125" s="1386"/>
      <c r="C125" s="1387"/>
      <c r="D125" s="599" t="s">
        <v>152</v>
      </c>
      <c r="E125" s="554">
        <f>'13'!F125</f>
        <v>138746.25</v>
      </c>
      <c r="F125" s="554">
        <v>138858.59</v>
      </c>
      <c r="G125" s="549">
        <f t="shared" si="15"/>
        <v>112.33999999999651</v>
      </c>
      <c r="H125" s="536">
        <f>G125+'13'!H125</f>
        <v>1010.5899999999965</v>
      </c>
      <c r="I125" s="602"/>
      <c r="J125" s="629">
        <f>H125/DAY(B2)</f>
        <v>72.184999999999746</v>
      </c>
      <c r="K125" s="411"/>
      <c r="L125" s="408"/>
      <c r="N125" s="800"/>
      <c r="O125" s="807"/>
      <c r="P125" s="413"/>
    </row>
    <row r="126" spans="1:16" ht="27.75">
      <c r="A126" s="686" t="s">
        <v>245</v>
      </c>
      <c r="B126" s="1276"/>
      <c r="C126" s="1276"/>
      <c r="D126" s="599" t="s">
        <v>152</v>
      </c>
      <c r="E126" s="703">
        <f>'13'!F126</f>
        <v>58895.3</v>
      </c>
      <c r="F126" s="703">
        <v>58947.4</v>
      </c>
      <c r="G126" s="549">
        <f t="shared" si="15"/>
        <v>52.099999999998545</v>
      </c>
      <c r="H126" s="536">
        <f>G126+'13'!H126</f>
        <v>555.70000000000437</v>
      </c>
      <c r="I126" s="602"/>
      <c r="J126" s="629">
        <f>H126/DAY(B2)</f>
        <v>39.692857142857456</v>
      </c>
      <c r="K126" s="411"/>
      <c r="L126" s="408"/>
      <c r="N126" s="800"/>
      <c r="O126" s="807"/>
      <c r="P126" s="413"/>
    </row>
    <row r="127" spans="1:16" ht="27.75">
      <c r="A127" s="686" t="s">
        <v>246</v>
      </c>
      <c r="B127" s="1276"/>
      <c r="C127" s="1276"/>
      <c r="D127" s="599" t="s">
        <v>152</v>
      </c>
      <c r="E127" s="703">
        <f>'13'!F127</f>
        <v>8847.2999999999993</v>
      </c>
      <c r="F127" s="703">
        <v>8855.7999999999993</v>
      </c>
      <c r="G127" s="549">
        <f t="shared" si="15"/>
        <v>8.5</v>
      </c>
      <c r="H127" s="536">
        <f>G127+'13'!H127</f>
        <v>39.799999999999272</v>
      </c>
      <c r="I127" s="556"/>
      <c r="J127" s="629">
        <f>H127/DAY(B2)</f>
        <v>2.842857142857091</v>
      </c>
      <c r="K127" s="411"/>
      <c r="L127" s="408"/>
      <c r="N127" s="800"/>
      <c r="O127" s="807"/>
      <c r="P127" s="413"/>
    </row>
    <row r="128" spans="1:16" s="281" customFormat="1" ht="27.75">
      <c r="A128" s="686" t="s">
        <v>247</v>
      </c>
      <c r="B128" s="1276"/>
      <c r="C128" s="1276"/>
      <c r="D128" s="599"/>
      <c r="E128" s="554"/>
      <c r="F128" s="554"/>
      <c r="G128" s="549">
        <f>G15-SUM(G123:G127)</f>
        <v>655.02299999999377</v>
      </c>
      <c r="H128" s="536"/>
      <c r="I128" s="556"/>
      <c r="J128" s="629"/>
      <c r="K128" s="391"/>
      <c r="L128" s="293"/>
      <c r="N128" s="800"/>
      <c r="O128" s="807"/>
      <c r="P128" s="413"/>
    </row>
    <row r="129" spans="1:16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800"/>
      <c r="O129" s="807"/>
      <c r="P129" s="413"/>
    </row>
    <row r="130" spans="1:16" ht="27.75">
      <c r="A130" s="1275" t="s">
        <v>249</v>
      </c>
      <c r="B130" s="1276"/>
      <c r="C130" s="1276"/>
      <c r="D130" s="599" t="s">
        <v>250</v>
      </c>
      <c r="E130" s="560">
        <f>'13'!F130</f>
        <v>0</v>
      </c>
      <c r="F130" s="554">
        <v>0</v>
      </c>
      <c r="G130" s="549">
        <f t="shared" ref="G130:G140" si="16">F130-E130</f>
        <v>0</v>
      </c>
      <c r="H130" s="536">
        <f>G130+'13'!H130</f>
        <v>0</v>
      </c>
      <c r="I130" s="556"/>
      <c r="J130" s="629">
        <f>H130/DAY(B2)</f>
        <v>0</v>
      </c>
      <c r="N130" s="800"/>
      <c r="O130" s="807"/>
      <c r="P130" s="413"/>
    </row>
    <row r="131" spans="1:16" ht="27.75">
      <c r="A131" s="1275" t="s">
        <v>251</v>
      </c>
      <c r="B131" s="1276"/>
      <c r="C131" s="1276"/>
      <c r="D131" s="599" t="s">
        <v>250</v>
      </c>
      <c r="E131" s="560">
        <f>'13'!F131</f>
        <v>0</v>
      </c>
      <c r="F131" s="554">
        <v>0</v>
      </c>
      <c r="G131" s="549">
        <f t="shared" si="16"/>
        <v>0</v>
      </c>
      <c r="H131" s="536">
        <f>G131+'13'!H131</f>
        <v>0</v>
      </c>
      <c r="I131" s="556"/>
      <c r="J131" s="629">
        <f>H131/DAY(B2)</f>
        <v>0</v>
      </c>
      <c r="N131" s="800"/>
      <c r="O131" s="807"/>
      <c r="P131" s="413"/>
    </row>
    <row r="132" spans="1:16" ht="27.75">
      <c r="A132" s="1275" t="s">
        <v>252</v>
      </c>
      <c r="B132" s="1276"/>
      <c r="C132" s="1276"/>
      <c r="D132" s="599" t="s">
        <v>250</v>
      </c>
      <c r="E132" s="618">
        <f>'13'!F132</f>
        <v>39191.29</v>
      </c>
      <c r="F132" s="732">
        <v>39191.29</v>
      </c>
      <c r="G132" s="549">
        <f t="shared" si="16"/>
        <v>0</v>
      </c>
      <c r="H132" s="536">
        <f>G132+'13'!H132</f>
        <v>86.849999999998545</v>
      </c>
      <c r="I132" s="556"/>
      <c r="J132" s="629">
        <f>H132/DAY(B2)</f>
        <v>6.2035714285713244</v>
      </c>
      <c r="N132" s="800"/>
      <c r="O132" s="807"/>
      <c r="P132" s="413"/>
    </row>
    <row r="133" spans="1:16" ht="27.75">
      <c r="A133" s="1275" t="s">
        <v>253</v>
      </c>
      <c r="B133" s="1276"/>
      <c r="C133" s="1276"/>
      <c r="D133" s="599" t="s">
        <v>250</v>
      </c>
      <c r="E133" s="782">
        <f>'13'!F133</f>
        <v>299</v>
      </c>
      <c r="F133" s="703">
        <v>299</v>
      </c>
      <c r="G133" s="549">
        <f t="shared" si="16"/>
        <v>0</v>
      </c>
      <c r="H133" s="536">
        <f>G133+'13'!H133</f>
        <v>0</v>
      </c>
      <c r="I133" s="556">
        <f>G130+G131+G132+G133</f>
        <v>0</v>
      </c>
      <c r="J133" s="629">
        <f>H133/DAY(B2)</f>
        <v>0</v>
      </c>
      <c r="N133" s="800"/>
      <c r="O133" s="807"/>
      <c r="P133" s="413"/>
    </row>
    <row r="134" spans="1:16" ht="27.75">
      <c r="A134" s="1275" t="s">
        <v>254</v>
      </c>
      <c r="B134" s="1276"/>
      <c r="C134" s="1276"/>
      <c r="D134" s="599" t="s">
        <v>250</v>
      </c>
      <c r="E134" s="782">
        <f>'13'!F134</f>
        <v>40176.080000000002</v>
      </c>
      <c r="F134" s="703">
        <v>40200.25</v>
      </c>
      <c r="G134" s="549">
        <f t="shared" si="16"/>
        <v>24.169999999998254</v>
      </c>
      <c r="H134" s="536">
        <f>G134+'13'!H134</f>
        <v>249.25</v>
      </c>
      <c r="I134" s="556"/>
      <c r="J134" s="629">
        <f>H134/DAY(B2)</f>
        <v>17.803571428571427</v>
      </c>
      <c r="N134" s="800"/>
      <c r="O134" s="807"/>
      <c r="P134" s="413"/>
    </row>
    <row r="135" spans="1:16" ht="27.75">
      <c r="A135" s="1275" t="s">
        <v>255</v>
      </c>
      <c r="B135" s="1276"/>
      <c r="C135" s="1276"/>
      <c r="D135" s="599" t="s">
        <v>250</v>
      </c>
      <c r="E135" s="618">
        <f>'13'!F135</f>
        <v>32423</v>
      </c>
      <c r="F135" s="732">
        <v>32423</v>
      </c>
      <c r="G135" s="549">
        <f t="shared" si="16"/>
        <v>0</v>
      </c>
      <c r="H135" s="536">
        <f>G135+'13'!H135</f>
        <v>0</v>
      </c>
      <c r="I135" s="556"/>
      <c r="J135" s="629">
        <f>H135/DAY(B2)</f>
        <v>0</v>
      </c>
      <c r="N135" s="800"/>
      <c r="O135" s="807"/>
      <c r="P135" s="413"/>
    </row>
    <row r="136" spans="1:16" ht="27.75">
      <c r="A136" s="1275" t="s">
        <v>256</v>
      </c>
      <c r="B136" s="1276"/>
      <c r="C136" s="1276"/>
      <c r="D136" s="599" t="s">
        <v>250</v>
      </c>
      <c r="E136" s="618">
        <f>'13'!F136</f>
        <v>22089.439999999999</v>
      </c>
      <c r="F136" s="732">
        <v>22099.41</v>
      </c>
      <c r="G136" s="549">
        <f t="shared" si="16"/>
        <v>9.9700000000011642</v>
      </c>
      <c r="H136" s="536">
        <f>G136+'13'!H136</f>
        <v>97.450000000000728</v>
      </c>
      <c r="I136" s="556">
        <f>G134+G135+G136</f>
        <v>34.139999999999418</v>
      </c>
      <c r="J136" s="629">
        <f>H136/DAY(B2)</f>
        <v>6.9607142857143378</v>
      </c>
      <c r="N136" s="800"/>
      <c r="O136" s="807"/>
      <c r="P136" s="413"/>
    </row>
    <row r="137" spans="1:16" ht="27.75">
      <c r="A137" s="1275" t="s">
        <v>257</v>
      </c>
      <c r="B137" s="1276"/>
      <c r="C137" s="1276"/>
      <c r="D137" s="599" t="s">
        <v>250</v>
      </c>
      <c r="E137" s="618">
        <f>'13'!F137</f>
        <v>25030.03</v>
      </c>
      <c r="F137" s="732">
        <v>25030.03</v>
      </c>
      <c r="G137" s="549">
        <f t="shared" si="16"/>
        <v>0</v>
      </c>
      <c r="H137" s="536">
        <f>G137+'13'!H137</f>
        <v>10.090000000000146</v>
      </c>
      <c r="I137" s="556"/>
      <c r="J137" s="629">
        <f>H137/DAY(B2)</f>
        <v>0.72071428571429608</v>
      </c>
      <c r="N137" s="800"/>
      <c r="O137" s="807"/>
      <c r="P137" s="413"/>
    </row>
    <row r="138" spans="1:16" ht="27.75">
      <c r="A138" s="1275" t="s">
        <v>258</v>
      </c>
      <c r="B138" s="1276"/>
      <c r="C138" s="1276"/>
      <c r="D138" s="599" t="s">
        <v>250</v>
      </c>
      <c r="E138" s="618">
        <f>'13'!F138</f>
        <v>70086.490000000005</v>
      </c>
      <c r="F138" s="732">
        <v>70093.899999999994</v>
      </c>
      <c r="G138" s="549">
        <f t="shared" si="16"/>
        <v>7.4099999999889405</v>
      </c>
      <c r="H138" s="536">
        <f>G138+'13'!H138</f>
        <v>30.009999999994761</v>
      </c>
      <c r="I138" s="556">
        <f>G137+G138</f>
        <v>7.4099999999889405</v>
      </c>
      <c r="J138" s="629">
        <f>H138/DAY(B2)</f>
        <v>2.1435714285710543</v>
      </c>
      <c r="N138" s="800"/>
      <c r="O138" s="807"/>
      <c r="P138" s="413"/>
    </row>
    <row r="139" spans="1:16" ht="27.75">
      <c r="A139" s="1275" t="s">
        <v>259</v>
      </c>
      <c r="B139" s="1276"/>
      <c r="C139" s="1276"/>
      <c r="D139" s="599" t="s">
        <v>250</v>
      </c>
      <c r="E139" s="782">
        <f>'13'!F139</f>
        <v>1307.58</v>
      </c>
      <c r="F139" s="703">
        <v>1316.53</v>
      </c>
      <c r="G139" s="549">
        <f t="shared" si="16"/>
        <v>8.9500000000000455</v>
      </c>
      <c r="H139" s="536">
        <f>G139+'13'!H139</f>
        <v>115.94000000000005</v>
      </c>
      <c r="I139" s="619"/>
      <c r="J139" s="629">
        <f>H139/DAY(B2)</f>
        <v>8.2814285714285756</v>
      </c>
      <c r="N139" s="800"/>
      <c r="O139" s="807"/>
      <c r="P139" s="413"/>
    </row>
    <row r="140" spans="1:16" ht="27.75">
      <c r="A140" s="1275" t="s">
        <v>260</v>
      </c>
      <c r="B140" s="1276"/>
      <c r="C140" s="1276"/>
      <c r="D140" s="599" t="s">
        <v>250</v>
      </c>
      <c r="E140" s="560">
        <f>'13'!F140</f>
        <v>4333.53</v>
      </c>
      <c r="F140" s="554">
        <v>4333.53</v>
      </c>
      <c r="G140" s="549">
        <f t="shared" si="16"/>
        <v>0</v>
      </c>
      <c r="H140" s="536">
        <f>G140+'13'!H140</f>
        <v>-0.47000000000025466</v>
      </c>
      <c r="I140" s="619"/>
      <c r="J140" s="629">
        <f>H140/DAY(B2)</f>
        <v>-3.3571428571446758E-2</v>
      </c>
      <c r="N140" s="800"/>
      <c r="O140" s="807"/>
      <c r="P140" s="413"/>
    </row>
    <row r="141" spans="1:16">
      <c r="A141" s="1412" t="s">
        <v>261</v>
      </c>
      <c r="B141" s="1413"/>
      <c r="C141" s="1279"/>
      <c r="D141" s="548"/>
      <c r="E141" s="548"/>
      <c r="F141" s="548"/>
      <c r="G141" s="559"/>
      <c r="H141" s="559"/>
      <c r="I141" s="559"/>
      <c r="J141" s="640"/>
      <c r="K141" s="411"/>
      <c r="L141" s="408"/>
      <c r="N141" s="800"/>
      <c r="O141" s="807"/>
      <c r="P141" s="413"/>
    </row>
    <row r="142" spans="1:16" ht="27.75">
      <c r="A142" s="1406" t="s">
        <v>262</v>
      </c>
      <c r="B142" s="1407"/>
      <c r="C142" s="1408"/>
      <c r="D142" s="599" t="s">
        <v>143</v>
      </c>
      <c r="E142" s="599"/>
      <c r="F142" s="599"/>
      <c r="G142" s="536">
        <f>G35+G43+G49+G57</f>
        <v>5328.2800000000279</v>
      </c>
      <c r="H142" s="536">
        <f>G142+'13'!H142</f>
        <v>70219.969999999958</v>
      </c>
      <c r="I142" s="556"/>
      <c r="J142" s="629">
        <f>H142/DAY(B2)</f>
        <v>5015.71214285714</v>
      </c>
      <c r="K142" s="411"/>
      <c r="L142" s="408"/>
      <c r="N142" s="800"/>
      <c r="O142" s="807"/>
      <c r="P142" s="413"/>
    </row>
    <row r="143" spans="1:16" ht="27.75">
      <c r="A143" s="1406" t="s">
        <v>263</v>
      </c>
      <c r="B143" s="1407"/>
      <c r="C143" s="1408"/>
      <c r="D143" s="599" t="s">
        <v>24</v>
      </c>
      <c r="E143" s="587"/>
      <c r="F143" s="587"/>
      <c r="G143" s="620">
        <f>G142/G7</f>
        <v>0.23600478362935856</v>
      </c>
      <c r="H143" s="536">
        <f>G143+'13'!H143</f>
        <v>3.5168678638230673</v>
      </c>
      <c r="I143" s="621"/>
      <c r="J143" s="629">
        <f>H143/DAY(B2)</f>
        <v>0.25120484741593335</v>
      </c>
      <c r="K143" s="411"/>
      <c r="L143" s="408"/>
      <c r="N143" s="800"/>
      <c r="O143" s="807"/>
      <c r="P143" s="413"/>
    </row>
    <row r="144" spans="1:16" ht="27.75">
      <c r="A144" s="1406" t="s">
        <v>264</v>
      </c>
      <c r="B144" s="1407"/>
      <c r="C144" s="1408"/>
      <c r="D144" s="599" t="s">
        <v>143</v>
      </c>
      <c r="E144" s="531"/>
      <c r="F144" s="531"/>
      <c r="G144" s="536">
        <f>G41+G42+G55+G56</f>
        <v>5638.7550000000047</v>
      </c>
      <c r="H144" s="536">
        <f>G144+'13'!H144</f>
        <v>57585.648999999976</v>
      </c>
      <c r="I144" s="556"/>
      <c r="J144" s="629">
        <f>H144/DAY(B2)</f>
        <v>4113.2606428571407</v>
      </c>
      <c r="K144" s="411"/>
      <c r="L144" s="408"/>
      <c r="N144" s="800"/>
      <c r="O144" s="807"/>
      <c r="P144" s="413"/>
    </row>
    <row r="145" spans="1:16" ht="27.75">
      <c r="A145" s="1406" t="s">
        <v>265</v>
      </c>
      <c r="B145" s="1407"/>
      <c r="C145" s="1408"/>
      <c r="D145" s="599" t="s">
        <v>24</v>
      </c>
      <c r="E145" s="531"/>
      <c r="F145" s="531"/>
      <c r="G145" s="620">
        <f>G144/G7</f>
        <v>0.24975661071001481</v>
      </c>
      <c r="H145" s="536">
        <f>G145+'13'!H145</f>
        <v>3.0299151118914991</v>
      </c>
      <c r="I145" s="621"/>
      <c r="J145" s="629">
        <f>H145/DAY(B2)</f>
        <v>0.21642250799224994</v>
      </c>
      <c r="K145" s="411"/>
      <c r="L145" s="408"/>
      <c r="N145" s="800"/>
      <c r="O145" s="807"/>
      <c r="P145" s="413"/>
    </row>
    <row r="146" spans="1:16" ht="27.75">
      <c r="A146" s="1406" t="s">
        <v>266</v>
      </c>
      <c r="B146" s="1407"/>
      <c r="C146" s="1408"/>
      <c r="D146" s="599" t="s">
        <v>143</v>
      </c>
      <c r="E146" s="531"/>
      <c r="F146" s="531"/>
      <c r="G146" s="536">
        <f>G39+G53</f>
        <v>4655.1399999999994</v>
      </c>
      <c r="H146" s="536">
        <f>G146+'13'!H146</f>
        <v>58919.079999999987</v>
      </c>
      <c r="I146" s="622"/>
      <c r="J146" s="629">
        <f>H146/DAY(B2)</f>
        <v>4208.5057142857131</v>
      </c>
      <c r="K146" s="411"/>
      <c r="L146" s="408"/>
      <c r="N146" s="800"/>
      <c r="O146" s="807"/>
      <c r="P146" s="413"/>
    </row>
    <row r="147" spans="1:16" ht="27.75">
      <c r="A147" s="1406" t="s">
        <v>267</v>
      </c>
      <c r="B147" s="1407"/>
      <c r="C147" s="1408"/>
      <c r="D147" s="599" t="s">
        <v>24</v>
      </c>
      <c r="E147" s="531"/>
      <c r="F147" s="531"/>
      <c r="G147" s="620">
        <f>G146/G7</f>
        <v>0.20618948487398678</v>
      </c>
      <c r="H147" s="536">
        <f>G147+'13'!H147</f>
        <v>3.1173865501175966</v>
      </c>
      <c r="I147" s="622"/>
      <c r="J147" s="629">
        <f>H147/DAY(B2)</f>
        <v>0.22267046786554262</v>
      </c>
      <c r="N147" s="800"/>
      <c r="O147" s="807"/>
      <c r="P147" s="413"/>
    </row>
    <row r="148" spans="1:16" ht="27.75">
      <c r="A148" s="1406" t="s">
        <v>268</v>
      </c>
      <c r="B148" s="1407"/>
      <c r="C148" s="1408"/>
      <c r="D148" s="599" t="s">
        <v>194</v>
      </c>
      <c r="E148" s="531"/>
      <c r="F148" s="531"/>
      <c r="G148" s="536">
        <f>G38+G52</f>
        <v>2441.0599999999995</v>
      </c>
      <c r="H148" s="536">
        <f>G148+'13'!H148</f>
        <v>28511.080000000031</v>
      </c>
      <c r="I148" s="556"/>
      <c r="J148" s="629">
        <f>H148/DAY(B2)</f>
        <v>2036.5057142857165</v>
      </c>
      <c r="K148" s="412"/>
      <c r="N148" s="800"/>
      <c r="O148" s="807"/>
      <c r="P148" s="413"/>
    </row>
    <row r="149" spans="1:16" ht="27.75">
      <c r="A149" s="1406" t="s">
        <v>269</v>
      </c>
      <c r="B149" s="1407"/>
      <c r="C149" s="1408"/>
      <c r="D149" s="599" t="s">
        <v>24</v>
      </c>
      <c r="E149" s="531"/>
      <c r="F149" s="531"/>
      <c r="G149" s="620">
        <f>G148/G7</f>
        <v>0.10812153961996721</v>
      </c>
      <c r="H149" s="536">
        <f>G149+'13'!H149</f>
        <v>1.5063012788353272</v>
      </c>
      <c r="I149" s="622"/>
      <c r="J149" s="629">
        <f>H149/DAY(B2)</f>
        <v>0.10759294848823765</v>
      </c>
      <c r="N149" s="800"/>
      <c r="O149" s="807"/>
      <c r="P149" s="413"/>
    </row>
    <row r="150" spans="1:16" ht="27.75">
      <c r="A150" s="1406" t="s">
        <v>270</v>
      </c>
      <c r="B150" s="1407"/>
      <c r="C150" s="1408"/>
      <c r="D150" s="599" t="s">
        <v>194</v>
      </c>
      <c r="E150" s="531"/>
      <c r="F150" s="531"/>
      <c r="G150" s="536">
        <f>G36+G50</f>
        <v>2233.9000000000233</v>
      </c>
      <c r="H150" s="536">
        <f>G150+'13'!H150</f>
        <v>25278.380000000005</v>
      </c>
      <c r="I150" s="622"/>
      <c r="J150" s="629">
        <f>H150/DAY(B2)</f>
        <v>1805.5985714285719</v>
      </c>
      <c r="N150" s="800"/>
      <c r="O150" s="807"/>
      <c r="P150" s="413"/>
    </row>
    <row r="151" spans="1:16" ht="27.75">
      <c r="A151" s="1406" t="s">
        <v>271</v>
      </c>
      <c r="B151" s="1407"/>
      <c r="C151" s="1408"/>
      <c r="D151" s="599" t="s">
        <v>24</v>
      </c>
      <c r="E151" s="531"/>
      <c r="F151" s="531"/>
      <c r="G151" s="620">
        <f>G150/G7</f>
        <v>9.8945829826815934E-2</v>
      </c>
      <c r="H151" s="536">
        <f>G151+'13'!H151</f>
        <v>1.3339012626582769</v>
      </c>
      <c r="I151" s="556"/>
      <c r="J151" s="629">
        <f>H151/DAY(B2)</f>
        <v>9.5278661618448349E-2</v>
      </c>
      <c r="N151" s="800"/>
      <c r="O151" s="807"/>
      <c r="P151" s="413"/>
    </row>
    <row r="152" spans="1:16" ht="27.75">
      <c r="A152" s="1406" t="s">
        <v>272</v>
      </c>
      <c r="B152" s="1407"/>
      <c r="C152" s="1408"/>
      <c r="D152" s="599" t="s">
        <v>194</v>
      </c>
      <c r="E152" s="531"/>
      <c r="F152" s="531"/>
      <c r="G152" s="536">
        <f>G37+G51</f>
        <v>1580.2299999999996</v>
      </c>
      <c r="H152" s="536">
        <f>G152+'13'!H152</f>
        <v>21135.339999999993</v>
      </c>
      <c r="I152" s="556"/>
      <c r="J152" s="629">
        <f>H152/DAY(B2)</f>
        <v>1509.6671428571424</v>
      </c>
      <c r="N152" s="800"/>
      <c r="O152" s="807"/>
      <c r="P152" s="413"/>
    </row>
    <row r="153" spans="1:16" ht="28.5" thickBot="1">
      <c r="A153" s="1409" t="s">
        <v>273</v>
      </c>
      <c r="B153" s="1410"/>
      <c r="C153" s="1411"/>
      <c r="D153" s="702" t="s">
        <v>24</v>
      </c>
      <c r="E153" s="642"/>
      <c r="F153" s="642"/>
      <c r="G153" s="643">
        <f>G152/G7</f>
        <v>6.9992913141692856E-2</v>
      </c>
      <c r="H153" s="536">
        <f>G153+'13'!H153</f>
        <v>1.1221207468635113</v>
      </c>
      <c r="I153" s="645"/>
      <c r="J153" s="646">
        <f>H153/DAY(B2)</f>
        <v>8.0151481918822237E-2</v>
      </c>
      <c r="N153" s="800"/>
      <c r="O153" s="807"/>
      <c r="P153" s="413"/>
    </row>
    <row r="154" spans="1:16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800"/>
    </row>
    <row r="155" spans="1:16">
      <c r="N155" s="800"/>
    </row>
    <row r="156" spans="1:16">
      <c r="N156" s="800"/>
    </row>
    <row r="157" spans="1:16">
      <c r="N157" s="800"/>
    </row>
    <row r="158" spans="1:16">
      <c r="N158" s="800"/>
    </row>
    <row r="159" spans="1:16">
      <c r="N159" s="800"/>
    </row>
    <row r="160" spans="1:16">
      <c r="A160" s="878" t="s">
        <v>274</v>
      </c>
      <c r="B160" s="879"/>
      <c r="C160" s="879"/>
      <c r="D160" s="697" t="s">
        <v>198</v>
      </c>
      <c r="E160" s="598">
        <f>'13'!F160</f>
        <v>29515.62</v>
      </c>
      <c r="F160" s="887">
        <v>29602.005000000001</v>
      </c>
      <c r="G160" s="549">
        <f t="shared" ref="G160:G163" si="17">F160-E160</f>
        <v>86.385000000002037</v>
      </c>
      <c r="N160" s="800"/>
    </row>
    <row r="161" spans="1:14" ht="21.75" customHeight="1">
      <c r="A161" s="878" t="s">
        <v>275</v>
      </c>
      <c r="B161" s="879"/>
      <c r="C161" s="879"/>
      <c r="D161" s="697" t="s">
        <v>198</v>
      </c>
      <c r="E161" s="598">
        <f>'13'!F161</f>
        <v>48426.707999999999</v>
      </c>
      <c r="F161" s="887">
        <v>48871.898999999998</v>
      </c>
      <c r="G161" s="549">
        <f t="shared" si="17"/>
        <v>445.19099999999889</v>
      </c>
      <c r="N161" s="800"/>
    </row>
    <row r="162" spans="1:14" ht="21.75" customHeight="1">
      <c r="A162" s="878" t="s">
        <v>276</v>
      </c>
      <c r="B162" s="879"/>
      <c r="C162" s="879"/>
      <c r="D162" s="697" t="s">
        <v>198</v>
      </c>
      <c r="E162" s="598">
        <f>'13'!F162</f>
        <v>15992.409</v>
      </c>
      <c r="F162" s="887">
        <v>16517.762999999999</v>
      </c>
      <c r="G162" s="549">
        <f t="shared" si="17"/>
        <v>525.35399999999936</v>
      </c>
      <c r="N162" s="800"/>
    </row>
    <row r="163" spans="1:14" ht="21.75" customHeight="1">
      <c r="A163" s="878" t="s">
        <v>277</v>
      </c>
      <c r="B163" s="879"/>
      <c r="C163" s="879"/>
      <c r="D163" s="697" t="s">
        <v>198</v>
      </c>
      <c r="E163" s="598">
        <f>'13'!F163</f>
        <v>5190.32</v>
      </c>
      <c r="F163" s="887">
        <v>5198.2700000000004</v>
      </c>
      <c r="G163" s="549">
        <f t="shared" si="17"/>
        <v>7.9500000000007276</v>
      </c>
      <c r="N163" s="800"/>
    </row>
    <row r="164" spans="1:14" ht="21.75" customHeight="1">
      <c r="A164" s="880" t="s">
        <v>106</v>
      </c>
      <c r="B164" s="881"/>
      <c r="C164" s="881"/>
      <c r="D164" s="697" t="s">
        <v>198</v>
      </c>
      <c r="E164" s="590">
        <f>E62</f>
        <v>20419.18</v>
      </c>
      <c r="F164" s="590">
        <f>F62</f>
        <v>20419.18</v>
      </c>
      <c r="G164" s="549">
        <f t="shared" ref="G164:G171" si="18">F164-E164</f>
        <v>0</v>
      </c>
      <c r="N164" s="800"/>
    </row>
    <row r="165" spans="1:14" ht="21.75" customHeight="1">
      <c r="A165" s="880" t="s">
        <v>199</v>
      </c>
      <c r="B165" s="881"/>
      <c r="C165" s="881"/>
      <c r="D165" s="697" t="s">
        <v>198</v>
      </c>
      <c r="E165" s="590">
        <f t="shared" ref="E165:E171" si="19">E63</f>
        <v>1507.25</v>
      </c>
      <c r="F165" s="590">
        <f t="shared" ref="F165:F171" si="20">F63</f>
        <v>1520.48</v>
      </c>
      <c r="G165" s="549">
        <f t="shared" si="18"/>
        <v>13.230000000000018</v>
      </c>
      <c r="N165" s="800"/>
    </row>
    <row r="166" spans="1:14" ht="21.75" customHeight="1">
      <c r="A166" s="1449" t="s">
        <v>107</v>
      </c>
      <c r="B166" s="1449"/>
      <c r="C166" s="1449"/>
      <c r="D166" s="600" t="s">
        <v>198</v>
      </c>
      <c r="E166" s="590">
        <f t="shared" si="19"/>
        <v>116718.44</v>
      </c>
      <c r="F166" s="590">
        <f t="shared" si="20"/>
        <v>117109.7</v>
      </c>
      <c r="G166" s="549">
        <f t="shared" si="18"/>
        <v>391.25999999999476</v>
      </c>
      <c r="N166" s="800"/>
    </row>
    <row r="167" spans="1:14" ht="21.75" customHeight="1">
      <c r="A167" s="1449" t="s">
        <v>108</v>
      </c>
      <c r="B167" s="1449"/>
      <c r="C167" s="1449"/>
      <c r="D167" s="600" t="s">
        <v>198</v>
      </c>
      <c r="E167" s="590">
        <f t="shared" si="19"/>
        <v>126633.84</v>
      </c>
      <c r="F167" s="590">
        <f t="shared" si="20"/>
        <v>127037.93</v>
      </c>
      <c r="G167" s="549">
        <f t="shared" si="18"/>
        <v>404.08999999999651</v>
      </c>
      <c r="N167" s="800"/>
    </row>
    <row r="168" spans="1:14" ht="21.75" customHeight="1">
      <c r="A168" s="1449" t="s">
        <v>109</v>
      </c>
      <c r="B168" s="1449"/>
      <c r="C168" s="1449"/>
      <c r="D168" s="600" t="s">
        <v>198</v>
      </c>
      <c r="E168" s="590">
        <f t="shared" si="19"/>
        <v>19244.102999999999</v>
      </c>
      <c r="F168" s="590">
        <f t="shared" si="20"/>
        <v>19646.939999999999</v>
      </c>
      <c r="G168" s="549">
        <f t="shared" si="18"/>
        <v>402.83699999999953</v>
      </c>
      <c r="N168" s="800"/>
    </row>
    <row r="169" spans="1:14" ht="21.75" customHeight="1">
      <c r="A169" s="1449" t="s">
        <v>110</v>
      </c>
      <c r="B169" s="1449"/>
      <c r="C169" s="1449"/>
      <c r="D169" s="600" t="s">
        <v>198</v>
      </c>
      <c r="E169" s="590">
        <f t="shared" si="19"/>
        <v>197786.33</v>
      </c>
      <c r="F169" s="590">
        <f t="shared" si="20"/>
        <v>198524.69</v>
      </c>
      <c r="G169" s="549">
        <f t="shared" si="18"/>
        <v>738.36000000001513</v>
      </c>
      <c r="N169" s="800"/>
    </row>
    <row r="170" spans="1:14" ht="24" customHeight="1">
      <c r="A170" s="1449" t="s">
        <v>111</v>
      </c>
      <c r="B170" s="1449"/>
      <c r="C170" s="1449"/>
      <c r="D170" s="600" t="s">
        <v>198</v>
      </c>
      <c r="E170" s="590">
        <f t="shared" si="19"/>
        <v>67742.77</v>
      </c>
      <c r="F170" s="590">
        <f t="shared" si="20"/>
        <v>68100.536999999997</v>
      </c>
      <c r="G170" s="549">
        <f t="shared" si="18"/>
        <v>357.76699999999255</v>
      </c>
      <c r="N170" s="800"/>
    </row>
    <row r="171" spans="1:14" ht="27.75">
      <c r="A171" s="1449" t="s">
        <v>112</v>
      </c>
      <c r="B171" s="1449"/>
      <c r="C171" s="1449"/>
      <c r="D171" s="600" t="s">
        <v>198</v>
      </c>
      <c r="E171" s="590">
        <f t="shared" si="19"/>
        <v>59644.04</v>
      </c>
      <c r="F171" s="590">
        <f t="shared" si="20"/>
        <v>59956.39</v>
      </c>
      <c r="G171" s="549">
        <f t="shared" si="18"/>
        <v>312.34999999999854</v>
      </c>
      <c r="N171" s="800"/>
    </row>
    <row r="172" spans="1:14">
      <c r="A172" s="882"/>
      <c r="B172" s="883"/>
      <c r="C172" s="883"/>
      <c r="D172" s="884"/>
      <c r="E172" s="884"/>
      <c r="F172" s="885"/>
      <c r="G172" s="886">
        <f>SUM(G160:G171)</f>
        <v>3684.7739999999981</v>
      </c>
      <c r="N172" s="800"/>
    </row>
    <row r="173" spans="1:14">
      <c r="N173" s="800"/>
    </row>
    <row r="174" spans="1:14">
      <c r="N174" s="800"/>
    </row>
    <row r="175" spans="1:14">
      <c r="N175" s="800"/>
    </row>
    <row r="176" spans="1:14" ht="18.75" customHeight="1">
      <c r="N176" s="800"/>
    </row>
    <row r="177" spans="14:14" ht="22.5" customHeight="1">
      <c r="N177" s="800"/>
    </row>
    <row r="178" spans="14:14" ht="22.5" customHeight="1">
      <c r="N178" s="800"/>
    </row>
    <row r="179" spans="14:14" ht="22.5" customHeight="1">
      <c r="N179" s="800"/>
    </row>
    <row r="180" spans="14:14" ht="22.5" customHeight="1">
      <c r="N180" s="800"/>
    </row>
    <row r="181" spans="14:14" ht="22.5" customHeight="1">
      <c r="N181" s="800"/>
    </row>
    <row r="182" spans="14:14" ht="22.5" customHeight="1">
      <c r="N182" s="800"/>
    </row>
    <row r="183" spans="14:14" ht="22.5" customHeight="1">
      <c r="N183" s="800"/>
    </row>
    <row r="184" spans="14:14" ht="22.5" customHeight="1">
      <c r="N184" s="800"/>
    </row>
    <row r="185" spans="14:14" ht="22.5" customHeight="1">
      <c r="N185" s="800"/>
    </row>
    <row r="186" spans="14:14" ht="22.5" customHeight="1">
      <c r="N186" s="800"/>
    </row>
    <row r="187" spans="14:14" ht="22.5" customHeight="1">
      <c r="N187" s="800"/>
    </row>
    <row r="188" spans="14:14" ht="22.5" customHeight="1">
      <c r="N188" s="800"/>
    </row>
    <row r="189" spans="14:14" ht="22.5" customHeight="1">
      <c r="N189" s="800"/>
    </row>
    <row r="190" spans="14:14" ht="22.5" customHeight="1">
      <c r="N190" s="800"/>
    </row>
    <row r="191" spans="14:14" ht="22.5" customHeight="1">
      <c r="N191" s="800"/>
    </row>
    <row r="192" spans="14:14" ht="22.5" customHeight="1">
      <c r="N192" s="800"/>
    </row>
    <row r="193" spans="14:14" ht="22.5" customHeight="1">
      <c r="N193" s="800"/>
    </row>
    <row r="194" spans="14:14" ht="22.5" customHeight="1">
      <c r="N194" s="800"/>
    </row>
    <row r="195" spans="14:14" ht="22.5" customHeight="1">
      <c r="N195" s="800"/>
    </row>
    <row r="196" spans="14:14" ht="22.5" customHeight="1">
      <c r="N196" s="800"/>
    </row>
    <row r="197" spans="14:14" ht="22.5" customHeight="1">
      <c r="N197" s="800"/>
    </row>
    <row r="198" spans="14:14" ht="22.5" customHeight="1"/>
    <row r="199" spans="14:14" ht="22.5" customHeight="1"/>
    <row r="200" spans="14:14" ht="22.5" customHeight="1"/>
    <row r="201" spans="14:14" ht="22.5" customHeight="1"/>
    <row r="202" spans="14:14" ht="22.5" customHeight="1"/>
    <row r="203" spans="14:14" ht="22.5" customHeight="1"/>
    <row r="204" spans="14:14" ht="22.5" customHeight="1"/>
    <row r="205" spans="14:14" ht="22.5" customHeight="1"/>
    <row r="206" spans="14:14" ht="22.5" customHeight="1"/>
    <row r="207" spans="14:14" ht="22.5" customHeight="1"/>
    <row r="208" spans="14:14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0:C70"/>
    <mergeCell ref="A71:J71"/>
    <mergeCell ref="A76:C76"/>
    <mergeCell ref="A77:C77"/>
    <mergeCell ref="A79:C79"/>
    <mergeCell ref="A80:C80"/>
    <mergeCell ref="A81:C81"/>
    <mergeCell ref="A101:C101"/>
    <mergeCell ref="A94:C94"/>
    <mergeCell ref="A95:C95"/>
    <mergeCell ref="A82:C82"/>
    <mergeCell ref="A83:C83"/>
    <mergeCell ref="A92:C92"/>
    <mergeCell ref="A93:C93"/>
    <mergeCell ref="A122:C122"/>
    <mergeCell ref="A141:B141"/>
    <mergeCell ref="A152:C152"/>
    <mergeCell ref="A153:C153"/>
    <mergeCell ref="A150:C150"/>
    <mergeCell ref="A151:C151"/>
    <mergeCell ref="A147:C147"/>
    <mergeCell ref="A148:C148"/>
    <mergeCell ref="A149:C149"/>
    <mergeCell ref="A146:C146"/>
    <mergeCell ref="A142:C142"/>
    <mergeCell ref="A143:C143"/>
    <mergeCell ref="A144:C144"/>
    <mergeCell ref="A145:C145"/>
    <mergeCell ref="A125:C12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142" zoomScale="55" zoomScaleNormal="80" zoomScaleSheetLayoutView="55" workbookViewId="0">
      <selection activeCell="F162" sqref="F162"/>
    </sheetView>
  </sheetViews>
  <sheetFormatPr defaultColWidth="22.33203125" defaultRowHeight="29.25"/>
  <cols>
    <col min="1" max="1" width="40.6640625" style="530" customWidth="1"/>
    <col min="2" max="2" width="28.55468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22.33203125" style="407" hidden="1" customWidth="1"/>
    <col min="14" max="14" width="25.5546875" style="798" customWidth="1"/>
    <col min="15" max="15" width="22.33203125" style="805"/>
    <col min="16" max="16384" width="22.33203125" style="407"/>
  </cols>
  <sheetData>
    <row r="1" spans="1:16" ht="33.75">
      <c r="A1" s="1414" t="s">
        <v>128</v>
      </c>
      <c r="B1" s="1415"/>
      <c r="C1" s="1415"/>
      <c r="D1" s="1415"/>
      <c r="E1" s="1415"/>
      <c r="F1" s="1415"/>
      <c r="G1" s="1415"/>
      <c r="H1" s="1415"/>
      <c r="I1" s="1415"/>
      <c r="J1" s="1416"/>
    </row>
    <row r="2" spans="1:16" s="281" customFormat="1" ht="27">
      <c r="A2" s="652" t="s">
        <v>330</v>
      </c>
      <c r="B2" s="1118">
        <v>44242</v>
      </c>
      <c r="C2" s="1291" t="s">
        <v>69</v>
      </c>
      <c r="D2" s="688">
        <v>0.67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  <c r="N2" s="799"/>
      <c r="O2" s="806"/>
    </row>
    <row r="3" spans="1:16" s="281" customFormat="1" ht="27">
      <c r="A3" s="647"/>
      <c r="B3" s="691"/>
      <c r="C3" s="1291" t="s">
        <v>131</v>
      </c>
      <c r="D3" s="689">
        <v>24</v>
      </c>
      <c r="E3" s="1423" t="s">
        <v>132</v>
      </c>
      <c r="F3" s="1424"/>
      <c r="G3" s="538"/>
      <c r="H3" s="539"/>
      <c r="I3" s="539"/>
      <c r="J3" s="692"/>
      <c r="K3" s="402"/>
      <c r="L3" s="293"/>
      <c r="N3" s="799"/>
      <c r="O3" s="806"/>
    </row>
    <row r="4" spans="1:16" s="281" customFormat="1" ht="27">
      <c r="A4" s="653"/>
      <c r="B4" s="693"/>
      <c r="C4" s="1291" t="s">
        <v>133</v>
      </c>
      <c r="D4" s="688">
        <v>0.64</v>
      </c>
      <c r="E4" s="540"/>
      <c r="F4" s="540"/>
      <c r="G4" s="540"/>
      <c r="H4" s="540"/>
      <c r="I4" s="541"/>
      <c r="J4" s="692"/>
      <c r="K4" s="403"/>
      <c r="L4" s="293"/>
      <c r="N4" s="799"/>
      <c r="O4" s="806"/>
    </row>
    <row r="5" spans="1:16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6">
      <c r="A6" s="1417" t="s">
        <v>141</v>
      </c>
      <c r="B6" s="1418"/>
      <c r="C6" s="1419"/>
      <c r="D6" s="547"/>
      <c r="E6" s="547"/>
      <c r="F6" s="547"/>
      <c r="G6" s="547"/>
      <c r="H6" s="548"/>
      <c r="I6" s="548"/>
      <c r="J6" s="628"/>
      <c r="K6" s="466"/>
      <c r="L6" s="408"/>
    </row>
    <row r="7" spans="1:16" ht="30" thickBot="1">
      <c r="A7" s="757" t="s">
        <v>142</v>
      </c>
      <c r="B7" s="758"/>
      <c r="C7" s="758"/>
      <c r="D7" s="715" t="s">
        <v>143</v>
      </c>
      <c r="E7" s="710">
        <f>'14'!F7</f>
        <v>4153992</v>
      </c>
      <c r="F7" s="531">
        <v>4177199</v>
      </c>
      <c r="G7" s="759">
        <f t="shared" ref="G7:G12" si="0">F7-E7</f>
        <v>23207</v>
      </c>
      <c r="H7" s="760">
        <f>G7+'14'!H7</f>
        <v>289001</v>
      </c>
      <c r="I7" s="761">
        <f>'1'!I7</f>
        <v>12000</v>
      </c>
      <c r="J7" s="762">
        <f>H7/DAY(B2)</f>
        <v>19266.733333333334</v>
      </c>
      <c r="K7" s="626"/>
      <c r="L7" s="408"/>
      <c r="N7" s="811"/>
      <c r="O7" s="807"/>
      <c r="P7" s="810"/>
    </row>
    <row r="8" spans="1:16" ht="27.75" thickBot="1">
      <c r="A8" s="763" t="s">
        <v>144</v>
      </c>
      <c r="B8" s="764"/>
      <c r="C8" s="765"/>
      <c r="D8" s="766" t="s">
        <v>25</v>
      </c>
      <c r="E8" s="710">
        <f>'14'!F8</f>
        <v>4180498</v>
      </c>
      <c r="F8" s="551">
        <v>4203853</v>
      </c>
      <c r="G8" s="770">
        <f t="shared" si="0"/>
        <v>23355</v>
      </c>
      <c r="H8" s="760">
        <f>G8+'14'!H8</f>
        <v>291002</v>
      </c>
      <c r="I8" s="767">
        <f>'1'!I8</f>
        <v>12000</v>
      </c>
      <c r="J8" s="762">
        <f>H8/DAY(B2)</f>
        <v>19400.133333333335</v>
      </c>
      <c r="K8" s="626"/>
      <c r="L8" s="464"/>
      <c r="M8" s="479"/>
      <c r="N8" s="800"/>
      <c r="O8" s="807"/>
      <c r="P8" s="413"/>
    </row>
    <row r="9" spans="1:16">
      <c r="A9" s="768" t="s">
        <v>145</v>
      </c>
      <c r="B9" s="769"/>
      <c r="C9" s="769"/>
      <c r="D9" s="715" t="s">
        <v>143</v>
      </c>
      <c r="E9" s="710">
        <f>'14'!F9</f>
        <v>86884</v>
      </c>
      <c r="F9" s="554">
        <v>101861</v>
      </c>
      <c r="G9" s="783">
        <f t="shared" si="0"/>
        <v>14977</v>
      </c>
      <c r="H9" s="760">
        <f>G9+'14'!H9</f>
        <v>138973.25</v>
      </c>
      <c r="I9" s="771">
        <f>I7-J7</f>
        <v>-7266.7333333333336</v>
      </c>
      <c r="J9" s="762">
        <f>H9/DAY(B2)</f>
        <v>9264.8833333333332</v>
      </c>
      <c r="K9" s="467"/>
      <c r="L9" s="408"/>
      <c r="N9" s="800"/>
      <c r="O9" s="807"/>
      <c r="P9" s="413"/>
    </row>
    <row r="10" spans="1:16">
      <c r="A10" s="757" t="s">
        <v>146</v>
      </c>
      <c r="B10" s="758"/>
      <c r="C10" s="758"/>
      <c r="D10" s="715" t="s">
        <v>143</v>
      </c>
      <c r="E10" s="710">
        <f>'14'!F10</f>
        <v>1332635.8999999999</v>
      </c>
      <c r="F10" s="554">
        <v>1340215.3999999999</v>
      </c>
      <c r="G10" s="770">
        <f t="shared" si="0"/>
        <v>7579.5</v>
      </c>
      <c r="H10" s="760">
        <f>G10+'14'!H10</f>
        <v>139341</v>
      </c>
      <c r="I10" s="772"/>
      <c r="J10" s="762">
        <f>H10/DAY(B2)</f>
        <v>9289.4</v>
      </c>
      <c r="K10" s="467"/>
      <c r="L10" s="408"/>
      <c r="N10" s="800"/>
      <c r="O10" s="807"/>
      <c r="P10" s="413"/>
    </row>
    <row r="11" spans="1:16">
      <c r="A11" s="757" t="s">
        <v>147</v>
      </c>
      <c r="B11" s="758"/>
      <c r="C11" s="758"/>
      <c r="D11" s="715" t="s">
        <v>143</v>
      </c>
      <c r="E11" s="710">
        <f>'14'!F11</f>
        <v>37000</v>
      </c>
      <c r="F11" s="531">
        <v>37000</v>
      </c>
      <c r="G11" s="770">
        <f t="shared" si="0"/>
        <v>0</v>
      </c>
      <c r="H11" s="760">
        <f>G11+'14'!H11</f>
        <v>1610</v>
      </c>
      <c r="I11" s="772"/>
      <c r="J11" s="762">
        <f>H11/DAY(B2)</f>
        <v>107.33333333333333</v>
      </c>
      <c r="K11" s="467"/>
      <c r="L11" s="408"/>
      <c r="N11" s="800"/>
      <c r="O11" s="807"/>
      <c r="P11" s="413"/>
    </row>
    <row r="12" spans="1:16">
      <c r="A12" s="757" t="s">
        <v>148</v>
      </c>
      <c r="B12" s="758"/>
      <c r="C12" s="758"/>
      <c r="D12" s="715" t="s">
        <v>143</v>
      </c>
      <c r="E12" s="710">
        <f>'14'!F12</f>
        <v>40010</v>
      </c>
      <c r="F12" s="554">
        <v>40010</v>
      </c>
      <c r="G12" s="770">
        <f t="shared" si="0"/>
        <v>0</v>
      </c>
      <c r="H12" s="760">
        <f>G12+'14'!H12</f>
        <v>2380</v>
      </c>
      <c r="I12" s="772"/>
      <c r="J12" s="762">
        <f>H12/DAY(B2)</f>
        <v>158.66666666666666</v>
      </c>
      <c r="K12" s="467"/>
      <c r="L12" s="408"/>
      <c r="N12" s="800"/>
      <c r="O12" s="807"/>
      <c r="P12" s="413"/>
    </row>
    <row r="13" spans="1:16">
      <c r="A13" s="773" t="s">
        <v>149</v>
      </c>
      <c r="B13" s="774"/>
      <c r="C13" s="774"/>
      <c r="D13" s="715"/>
      <c r="E13" s="710"/>
      <c r="F13" s="531"/>
      <c r="G13" s="775">
        <f>G9+G10+G11+G12</f>
        <v>22556.5</v>
      </c>
      <c r="H13" s="760">
        <f>G13+'14'!H13</f>
        <v>263998.25</v>
      </c>
      <c r="I13" s="776">
        <f>G7-G13</f>
        <v>650.5</v>
      </c>
      <c r="J13" s="762">
        <f>H13/DAY(B2)</f>
        <v>17599.883333333335</v>
      </c>
      <c r="K13" s="467"/>
      <c r="L13" s="408"/>
      <c r="N13" s="800"/>
      <c r="O13" s="807"/>
      <c r="P13" s="413"/>
    </row>
    <row r="14" spans="1:16">
      <c r="A14" s="1420" t="s">
        <v>150</v>
      </c>
      <c r="B14" s="1421"/>
      <c r="C14" s="1422"/>
      <c r="D14" s="548"/>
      <c r="E14" s="548"/>
      <c r="F14" s="548"/>
      <c r="G14" s="559"/>
      <c r="H14" s="548"/>
      <c r="I14" s="548"/>
      <c r="J14" s="1309"/>
      <c r="K14" s="468"/>
      <c r="L14" s="408"/>
      <c r="N14" s="800"/>
      <c r="O14" s="807"/>
      <c r="P14" s="413"/>
    </row>
    <row r="15" spans="1:16">
      <c r="A15" s="876" t="s">
        <v>151</v>
      </c>
      <c r="B15" s="877"/>
      <c r="C15" s="877"/>
      <c r="D15" s="600" t="s">
        <v>152</v>
      </c>
      <c r="E15" s="561">
        <f>'14'!F15</f>
        <v>1606535.081</v>
      </c>
      <c r="F15" s="561">
        <v>1607770.37</v>
      </c>
      <c r="G15" s="745">
        <f>(F15-E15)</f>
        <v>1235.2890000001062</v>
      </c>
      <c r="H15" s="562">
        <f>G15+'14'!H15</f>
        <v>13333.220000000205</v>
      </c>
      <c r="I15" s="550">
        <v>800</v>
      </c>
      <c r="J15" s="630">
        <f>H15/DAY(B2)</f>
        <v>888.88133333334702</v>
      </c>
      <c r="K15" s="467"/>
      <c r="L15" s="408"/>
      <c r="N15" s="800"/>
      <c r="O15" s="807"/>
      <c r="P15" s="413"/>
    </row>
    <row r="16" spans="1:16">
      <c r="A16" s="664"/>
      <c r="B16" s="665"/>
      <c r="C16" s="665"/>
      <c r="D16" s="600"/>
      <c r="E16" s="561"/>
      <c r="F16" s="561"/>
      <c r="G16" s="750"/>
      <c r="H16" s="562"/>
      <c r="I16" s="558">
        <f>I15-J15</f>
        <v>-88.881333333347015</v>
      </c>
      <c r="J16" s="630"/>
      <c r="K16" s="467"/>
      <c r="L16" s="408"/>
      <c r="N16" s="800"/>
      <c r="O16" s="807"/>
      <c r="P16" s="413"/>
    </row>
    <row r="17" spans="1:16">
      <c r="A17" s="1420" t="s">
        <v>153</v>
      </c>
      <c r="B17" s="1421"/>
      <c r="C17" s="1422"/>
      <c r="D17" s="548"/>
      <c r="E17" s="548"/>
      <c r="F17" s="548"/>
      <c r="G17" s="564"/>
      <c r="H17" s="548"/>
      <c r="I17" s="548"/>
      <c r="J17" s="628"/>
      <c r="K17" s="467"/>
      <c r="L17" s="408"/>
      <c r="N17" s="800"/>
      <c r="O17" s="807"/>
      <c r="P17" s="413"/>
    </row>
    <row r="18" spans="1:16" ht="27.75">
      <c r="A18" s="1446" t="s">
        <v>154</v>
      </c>
      <c r="B18" s="1447"/>
      <c r="C18" s="1448"/>
      <c r="D18" s="715" t="s">
        <v>155</v>
      </c>
      <c r="E18" s="712">
        <f>'14'!F18</f>
        <v>19</v>
      </c>
      <c r="F18" s="554">
        <v>32</v>
      </c>
      <c r="G18" s="775">
        <f>F18*10</f>
        <v>320</v>
      </c>
      <c r="H18" s="760">
        <f>G18+'14'!H18</f>
        <v>2520</v>
      </c>
      <c r="I18" s="761">
        <f>'1'!I18</f>
        <v>65</v>
      </c>
      <c r="J18" s="762">
        <f>H18/DAY(B2)</f>
        <v>168</v>
      </c>
      <c r="K18" s="467"/>
      <c r="L18" s="408"/>
      <c r="N18" s="800"/>
      <c r="O18" s="807"/>
      <c r="P18" s="413"/>
    </row>
    <row r="19" spans="1:16" ht="27.75">
      <c r="A19" s="1446" t="s">
        <v>71</v>
      </c>
      <c r="B19" s="1447"/>
      <c r="C19" s="1448"/>
      <c r="D19" s="715" t="s">
        <v>155</v>
      </c>
      <c r="E19" s="712">
        <f>'14'!F19</f>
        <v>133753</v>
      </c>
      <c r="F19" s="554">
        <v>133805</v>
      </c>
      <c r="G19" s="770">
        <f t="shared" ref="G19" si="1">F19-E19</f>
        <v>52</v>
      </c>
      <c r="H19" s="760">
        <f>G19+'14'!H19</f>
        <v>757</v>
      </c>
      <c r="I19" s="777"/>
      <c r="J19" s="762">
        <f>H19/DAY(B2)</f>
        <v>50.466666666666669</v>
      </c>
      <c r="K19" s="467"/>
      <c r="L19" s="408"/>
      <c r="N19" s="800"/>
      <c r="O19" s="807"/>
      <c r="P19" s="413"/>
    </row>
    <row r="20" spans="1:16">
      <c r="A20" s="773" t="s">
        <v>156</v>
      </c>
      <c r="B20" s="774"/>
      <c r="C20" s="774"/>
      <c r="D20" s="715"/>
      <c r="E20" s="715"/>
      <c r="F20" s="791"/>
      <c r="G20" s="778">
        <f>G18+G19</f>
        <v>372</v>
      </c>
      <c r="H20" s="760">
        <f>G20+'14'!H20</f>
        <v>3277</v>
      </c>
      <c r="I20" s="779">
        <f>I18-J20</f>
        <v>-153.46666666666667</v>
      </c>
      <c r="J20" s="762">
        <f>H20/DAY(B2)</f>
        <v>218.46666666666667</v>
      </c>
      <c r="K20" s="467"/>
      <c r="L20" s="408"/>
      <c r="N20" s="800"/>
      <c r="O20" s="807"/>
      <c r="P20" s="413"/>
    </row>
    <row r="21" spans="1:16">
      <c r="A21" s="1420" t="s">
        <v>157</v>
      </c>
      <c r="B21" s="1421"/>
      <c r="C21" s="1422"/>
      <c r="D21" s="548"/>
      <c r="E21" s="548"/>
      <c r="F21" s="548"/>
      <c r="G21" s="559"/>
      <c r="H21" s="548"/>
      <c r="I21" s="548"/>
      <c r="J21" s="628"/>
      <c r="K21" s="467"/>
      <c r="L21" s="408"/>
      <c r="N21" s="800"/>
      <c r="O21" s="807"/>
      <c r="P21" s="413"/>
    </row>
    <row r="22" spans="1:16">
      <c r="A22" s="1289" t="s">
        <v>158</v>
      </c>
      <c r="B22" s="666"/>
      <c r="C22" s="666"/>
      <c r="D22" s="599" t="s">
        <v>159</v>
      </c>
      <c r="E22" s="712">
        <f>'14'!F22</f>
        <v>2250</v>
      </c>
      <c r="F22" s="554">
        <v>2250</v>
      </c>
      <c r="G22" s="557">
        <f t="shared" ref="G22" si="2">(F22-E22)</f>
        <v>0</v>
      </c>
      <c r="H22" s="536">
        <f>G22+'14'!H22</f>
        <v>0</v>
      </c>
      <c r="I22" s="556"/>
      <c r="J22" s="629">
        <f>H22/DAY(B2)</f>
        <v>0</v>
      </c>
      <c r="K22" s="467"/>
      <c r="L22" s="408"/>
      <c r="N22" s="800"/>
      <c r="O22" s="807"/>
      <c r="P22" s="413"/>
    </row>
    <row r="23" spans="1:16">
      <c r="A23" s="1289" t="s">
        <v>160</v>
      </c>
      <c r="B23" s="666"/>
      <c r="C23" s="666"/>
      <c r="D23" s="599" t="s">
        <v>159</v>
      </c>
      <c r="E23" s="712">
        <f>'14'!F23</f>
        <v>2000</v>
      </c>
      <c r="F23" s="554">
        <v>2000</v>
      </c>
      <c r="G23" s="557">
        <v>0</v>
      </c>
      <c r="H23" s="536">
        <f>G23+'14'!H23</f>
        <v>1600</v>
      </c>
      <c r="I23" s="556"/>
      <c r="J23" s="629">
        <f>H23/DAY(B2)</f>
        <v>106.66666666666667</v>
      </c>
      <c r="K23" s="467"/>
      <c r="L23" s="408"/>
      <c r="N23" s="800"/>
      <c r="O23" s="807"/>
      <c r="P23" s="413"/>
    </row>
    <row r="24" spans="1:16">
      <c r="A24" s="667" t="s">
        <v>161</v>
      </c>
      <c r="B24" s="668"/>
      <c r="C24" s="668"/>
      <c r="D24" s="587" t="s">
        <v>159</v>
      </c>
      <c r="E24" s="569">
        <f>'14'!F24</f>
        <v>4250</v>
      </c>
      <c r="F24" s="561">
        <v>4250</v>
      </c>
      <c r="G24" s="557">
        <v>0</v>
      </c>
      <c r="H24" s="536">
        <f>G24+'14'!H24</f>
        <v>2350</v>
      </c>
      <c r="I24" s="556"/>
      <c r="J24" s="629">
        <f>H24/DAY(B2)</f>
        <v>156.66666666666666</v>
      </c>
      <c r="K24" s="467"/>
      <c r="L24" s="408"/>
      <c r="N24" s="800"/>
      <c r="O24" s="807"/>
      <c r="P24" s="413"/>
    </row>
    <row r="25" spans="1:16" s="481" customFormat="1" ht="27">
      <c r="A25" s="1425" t="s">
        <v>162</v>
      </c>
      <c r="B25" s="1426"/>
      <c r="C25" s="1427"/>
      <c r="D25" s="547"/>
      <c r="E25" s="547"/>
      <c r="F25" s="547"/>
      <c r="G25" s="570"/>
      <c r="H25" s="571"/>
      <c r="I25" s="572"/>
      <c r="J25" s="631"/>
      <c r="K25" s="404"/>
      <c r="L25" s="484"/>
      <c r="N25" s="800"/>
      <c r="O25" s="807"/>
      <c r="P25" s="413"/>
    </row>
    <row r="26" spans="1:16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800"/>
      <c r="O26" s="807"/>
      <c r="P26" s="413"/>
    </row>
    <row r="27" spans="1:16" s="481" customFormat="1" ht="27.75">
      <c r="A27" s="669" t="s">
        <v>6</v>
      </c>
      <c r="B27" s="670"/>
      <c r="C27" s="671"/>
      <c r="D27" s="696" t="s">
        <v>25</v>
      </c>
      <c r="E27" s="780">
        <f>G8</f>
        <v>23355</v>
      </c>
      <c r="F27" s="577">
        <v>9</v>
      </c>
      <c r="G27" s="578">
        <f>E27*F27</f>
        <v>210195</v>
      </c>
      <c r="H27" s="536">
        <f>G27+'14'!H27</f>
        <v>2619018</v>
      </c>
      <c r="I27" s="579"/>
      <c r="J27" s="629">
        <f>H27/DAY(B2)</f>
        <v>174601.2</v>
      </c>
      <c r="K27" s="404"/>
      <c r="L27" s="484"/>
      <c r="N27" s="800"/>
      <c r="O27" s="807"/>
      <c r="P27" s="413"/>
    </row>
    <row r="28" spans="1:16" s="481" customFormat="1" ht="27.75">
      <c r="A28" s="669" t="s">
        <v>165</v>
      </c>
      <c r="B28" s="670"/>
      <c r="C28" s="671"/>
      <c r="D28" s="696" t="s">
        <v>166</v>
      </c>
      <c r="E28" s="780">
        <f>G15</f>
        <v>1235.2890000001062</v>
      </c>
      <c r="F28" s="577">
        <v>43.5</v>
      </c>
      <c r="G28" s="578">
        <f>E28*F28</f>
        <v>53735.071500004618</v>
      </c>
      <c r="H28" s="536">
        <f>G28+'14'!H28</f>
        <v>579995.07000000891</v>
      </c>
      <c r="I28" s="581"/>
      <c r="J28" s="629">
        <f>H28/DAY(B2)</f>
        <v>38666.338000000593</v>
      </c>
      <c r="K28" s="404"/>
      <c r="L28" s="484"/>
      <c r="N28" s="800"/>
      <c r="O28" s="807"/>
      <c r="P28" s="413"/>
    </row>
    <row r="29" spans="1:16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G29+'14'!H29</f>
        <v>162150</v>
      </c>
      <c r="I29" s="581"/>
      <c r="J29" s="629">
        <f>H29/DAY(B2)</f>
        <v>10810</v>
      </c>
      <c r="K29" s="404"/>
      <c r="L29" s="484"/>
      <c r="N29" s="800"/>
      <c r="O29" s="807"/>
      <c r="P29" s="413"/>
    </row>
    <row r="30" spans="1:16" s="481" customFormat="1" ht="27.75">
      <c r="A30" s="669" t="s">
        <v>169</v>
      </c>
      <c r="B30" s="670"/>
      <c r="C30" s="671"/>
      <c r="D30" s="696" t="s">
        <v>170</v>
      </c>
      <c r="E30" s="780">
        <f>G19</f>
        <v>52</v>
      </c>
      <c r="F30" s="577">
        <v>134</v>
      </c>
      <c r="G30" s="578">
        <f>E30*F30</f>
        <v>6968</v>
      </c>
      <c r="H30" s="536">
        <f>G30+'14'!H30</f>
        <v>101438</v>
      </c>
      <c r="I30" s="581"/>
      <c r="J30" s="629">
        <f>H30/DAY(B2)</f>
        <v>6762.5333333333338</v>
      </c>
      <c r="K30" s="404"/>
      <c r="L30" s="484"/>
      <c r="N30" s="800"/>
      <c r="O30" s="807"/>
      <c r="P30" s="413"/>
    </row>
    <row r="31" spans="1:16" s="481" customFormat="1" ht="27.75">
      <c r="A31" s="669" t="s">
        <v>171</v>
      </c>
      <c r="B31" s="670"/>
      <c r="C31" s="671"/>
      <c r="D31" s="696" t="s">
        <v>155</v>
      </c>
      <c r="E31" s="780">
        <f>G18</f>
        <v>320</v>
      </c>
      <c r="F31" s="577">
        <v>80</v>
      </c>
      <c r="G31" s="578">
        <f>E31*F31</f>
        <v>25600</v>
      </c>
      <c r="H31" s="536">
        <f>G31+'14'!H31</f>
        <v>201600</v>
      </c>
      <c r="I31" s="581"/>
      <c r="J31" s="629"/>
      <c r="K31" s="404"/>
      <c r="L31" s="484"/>
      <c r="N31" s="800"/>
      <c r="O31" s="807"/>
      <c r="P31" s="413"/>
    </row>
    <row r="32" spans="1:16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296498.07150000462</v>
      </c>
      <c r="H32" s="536">
        <f>G32+'14'!H32</f>
        <v>3664201.0700000096</v>
      </c>
      <c r="I32" s="585"/>
      <c r="J32" s="629">
        <f>H32/DAY(B2)</f>
        <v>244280.07133333397</v>
      </c>
      <c r="K32" s="404"/>
      <c r="L32" s="484"/>
      <c r="N32" s="800"/>
      <c r="O32" s="807"/>
      <c r="P32" s="413"/>
    </row>
    <row r="33" spans="1:16" ht="25.5">
      <c r="A33" s="1428" t="s">
        <v>173</v>
      </c>
      <c r="B33" s="1429"/>
      <c r="C33" s="1429"/>
      <c r="D33" s="1429"/>
      <c r="E33" s="1429"/>
      <c r="F33" s="1429"/>
      <c r="G33" s="1429"/>
      <c r="H33" s="1429"/>
      <c r="I33" s="1429"/>
      <c r="J33" s="1430"/>
      <c r="K33" s="467"/>
      <c r="L33" s="408"/>
      <c r="N33" s="800"/>
      <c r="O33" s="807"/>
      <c r="P33" s="413"/>
    </row>
    <row r="34" spans="1:16">
      <c r="A34" s="675" t="s">
        <v>174</v>
      </c>
      <c r="B34" s="1294"/>
      <c r="C34" s="1294"/>
      <c r="D34" s="548"/>
      <c r="E34" s="547"/>
      <c r="F34" s="547"/>
      <c r="G34" s="548"/>
      <c r="H34" s="548"/>
      <c r="I34" s="548"/>
      <c r="J34" s="628"/>
      <c r="K34" s="467"/>
      <c r="L34" s="408"/>
      <c r="N34" s="800"/>
      <c r="O34" s="807"/>
      <c r="P34" s="413"/>
    </row>
    <row r="35" spans="1:16">
      <c r="A35" s="655" t="s">
        <v>175</v>
      </c>
      <c r="B35" s="656"/>
      <c r="C35" s="656"/>
      <c r="D35" s="599" t="s">
        <v>143</v>
      </c>
      <c r="E35" s="586">
        <f>'14'!F35</f>
        <v>651365.87</v>
      </c>
      <c r="F35" s="586">
        <v>654285.63</v>
      </c>
      <c r="G35" s="549">
        <f t="shared" ref="G35:G46" si="3">F35-E35</f>
        <v>2919.7600000000093</v>
      </c>
      <c r="H35" s="536">
        <f>G35+'14'!H35</f>
        <v>25257.959999999963</v>
      </c>
      <c r="I35" s="531"/>
      <c r="J35" s="629">
        <f>H35/DAY(B2)</f>
        <v>1683.8639999999975</v>
      </c>
      <c r="K35" s="467"/>
      <c r="L35" s="408"/>
      <c r="N35" s="800"/>
      <c r="O35" s="808"/>
      <c r="P35" s="413"/>
    </row>
    <row r="36" spans="1:16">
      <c r="A36" s="655" t="s">
        <v>176</v>
      </c>
      <c r="B36" s="656"/>
      <c r="C36" s="656"/>
      <c r="D36" s="599" t="s">
        <v>143</v>
      </c>
      <c r="E36" s="586">
        <f>'14'!F36</f>
        <v>285663.95</v>
      </c>
      <c r="F36" s="586">
        <v>286605.46999999997</v>
      </c>
      <c r="G36" s="549">
        <f t="shared" si="3"/>
        <v>941.51999999996042</v>
      </c>
      <c r="H36" s="536">
        <f>G36+'14'!H36</f>
        <v>10114.01999999996</v>
      </c>
      <c r="I36" s="531"/>
      <c r="J36" s="629">
        <f>H36/DAY(B2)</f>
        <v>674.26799999999741</v>
      </c>
      <c r="K36" s="467"/>
      <c r="L36" s="408"/>
      <c r="N36" s="801"/>
      <c r="O36" s="808"/>
      <c r="P36" s="413"/>
    </row>
    <row r="37" spans="1:16">
      <c r="A37" s="655" t="s">
        <v>177</v>
      </c>
      <c r="B37" s="656"/>
      <c r="C37" s="656"/>
      <c r="D37" s="599" t="s">
        <v>143</v>
      </c>
      <c r="E37" s="586">
        <f>'14'!F37</f>
        <v>11184.16</v>
      </c>
      <c r="F37" s="586">
        <v>12764.25</v>
      </c>
      <c r="G37" s="549">
        <f t="shared" si="3"/>
        <v>1580.0900000000001</v>
      </c>
      <c r="H37" s="536">
        <f>G37+'14'!H37</f>
        <v>12764.25</v>
      </c>
      <c r="I37" s="531"/>
      <c r="J37" s="629">
        <f>H37/DAY(B2)</f>
        <v>850.95</v>
      </c>
      <c r="K37" s="467"/>
      <c r="L37" s="408"/>
      <c r="N37" s="801"/>
      <c r="O37" s="808"/>
      <c r="P37" s="413"/>
    </row>
    <row r="38" spans="1:16">
      <c r="A38" s="655" t="s">
        <v>178</v>
      </c>
      <c r="B38" s="656"/>
      <c r="C38" s="656"/>
      <c r="D38" s="599" t="s">
        <v>143</v>
      </c>
      <c r="E38" s="586">
        <f>'14'!F38</f>
        <v>14504.92</v>
      </c>
      <c r="F38" s="545">
        <v>16973.82</v>
      </c>
      <c r="G38" s="549">
        <f t="shared" si="3"/>
        <v>2468.8999999999996</v>
      </c>
      <c r="H38" s="536">
        <f>G38+'14'!H38</f>
        <v>16875.940000000002</v>
      </c>
      <c r="I38" s="531"/>
      <c r="J38" s="629">
        <f>H38/DAY(B2)</f>
        <v>1125.0626666666669</v>
      </c>
      <c r="K38" s="467"/>
      <c r="L38" s="408"/>
      <c r="N38" s="800"/>
      <c r="O38" s="807"/>
      <c r="P38" s="413"/>
    </row>
    <row r="39" spans="1:16">
      <c r="A39" s="655" t="s">
        <v>179</v>
      </c>
      <c r="B39" s="656"/>
      <c r="C39" s="656"/>
      <c r="D39" s="599" t="s">
        <v>143</v>
      </c>
      <c r="E39" s="586">
        <f>'14'!F39</f>
        <v>31362.84</v>
      </c>
      <c r="F39" s="586">
        <v>36017.43</v>
      </c>
      <c r="G39" s="549">
        <f t="shared" si="3"/>
        <v>4654.59</v>
      </c>
      <c r="H39" s="536">
        <f>G39+'14'!H39</f>
        <v>36017.43</v>
      </c>
      <c r="I39" s="531"/>
      <c r="J39" s="629">
        <f>H39/DAY(B2)</f>
        <v>2401.1619999999998</v>
      </c>
      <c r="K39" s="467"/>
      <c r="L39" s="408"/>
      <c r="N39" s="800"/>
      <c r="O39" s="808"/>
      <c r="P39" s="413"/>
    </row>
    <row r="40" spans="1:16">
      <c r="A40" s="676" t="s">
        <v>180</v>
      </c>
      <c r="B40" s="677"/>
      <c r="C40" s="677"/>
      <c r="D40" s="599" t="s">
        <v>143</v>
      </c>
      <c r="E40" s="586">
        <f>'14'!F40</f>
        <v>0.17</v>
      </c>
      <c r="F40" s="586">
        <v>0.17</v>
      </c>
      <c r="G40" s="549">
        <f t="shared" si="3"/>
        <v>0</v>
      </c>
      <c r="H40" s="536">
        <f>G40+'14'!H40</f>
        <v>-0.06</v>
      </c>
      <c r="I40" s="531"/>
      <c r="J40" s="629">
        <f>H40/DAY(B2)</f>
        <v>-4.0000000000000001E-3</v>
      </c>
      <c r="K40" s="468"/>
      <c r="L40" s="408"/>
      <c r="N40" s="800"/>
      <c r="O40" s="807"/>
      <c r="P40" s="413"/>
    </row>
    <row r="41" spans="1:16">
      <c r="A41" s="655" t="s">
        <v>181</v>
      </c>
      <c r="B41" s="656"/>
      <c r="C41" s="656"/>
      <c r="D41" s="599" t="s">
        <v>143</v>
      </c>
      <c r="E41" s="586">
        <f>'14'!F41</f>
        <v>59259.87</v>
      </c>
      <c r="F41" s="586">
        <v>59259.87</v>
      </c>
      <c r="G41" s="549">
        <f t="shared" si="3"/>
        <v>0</v>
      </c>
      <c r="H41" s="536">
        <f>G41+'14'!H41</f>
        <v>14637.350000000006</v>
      </c>
      <c r="I41" s="531"/>
      <c r="J41" s="629">
        <f>H41/DAY(B2)</f>
        <v>975.82333333333372</v>
      </c>
      <c r="K41" s="467"/>
      <c r="L41" s="408"/>
      <c r="N41" s="800"/>
      <c r="O41" s="809"/>
      <c r="P41" s="803"/>
    </row>
    <row r="42" spans="1:16">
      <c r="A42" s="655" t="s">
        <v>182</v>
      </c>
      <c r="B42" s="656"/>
      <c r="C42" s="656"/>
      <c r="D42" s="599" t="s">
        <v>143</v>
      </c>
      <c r="E42" s="586">
        <f>'14'!F42</f>
        <v>58926.099000000002</v>
      </c>
      <c r="F42" s="586">
        <v>58926</v>
      </c>
      <c r="G42" s="549">
        <f t="shared" si="3"/>
        <v>-9.900000000197906E-2</v>
      </c>
      <c r="H42" s="536">
        <f>G42+'14'!H42</f>
        <v>0</v>
      </c>
      <c r="I42" s="531"/>
      <c r="J42" s="629">
        <f>H42/DAY(B2)</f>
        <v>0</v>
      </c>
      <c r="K42" s="467"/>
      <c r="L42" s="408"/>
      <c r="N42" s="800"/>
      <c r="O42" s="807"/>
      <c r="P42" s="413"/>
    </row>
    <row r="43" spans="1:16">
      <c r="A43" s="655" t="s">
        <v>183</v>
      </c>
      <c r="B43" s="656"/>
      <c r="C43" s="656"/>
      <c r="D43" s="599" t="s">
        <v>143</v>
      </c>
      <c r="E43" s="586">
        <f>'14'!F43</f>
        <v>793149.27</v>
      </c>
      <c r="F43" s="586">
        <v>795495.43</v>
      </c>
      <c r="G43" s="549">
        <f t="shared" si="3"/>
        <v>2346.1600000000326</v>
      </c>
      <c r="H43" s="536">
        <f>G43+'14'!H43</f>
        <v>27683.520000000019</v>
      </c>
      <c r="I43" s="531"/>
      <c r="J43" s="629">
        <f>H43/DAY(B2)</f>
        <v>1845.5680000000013</v>
      </c>
      <c r="K43" s="467"/>
      <c r="L43" s="408"/>
      <c r="N43" s="800"/>
      <c r="O43" s="808"/>
      <c r="P43" s="413"/>
    </row>
    <row r="44" spans="1:16">
      <c r="A44" s="655" t="s">
        <v>184</v>
      </c>
      <c r="B44" s="656"/>
      <c r="C44" s="656"/>
      <c r="D44" s="599" t="s">
        <v>143</v>
      </c>
      <c r="E44" s="586">
        <f>'14'!F44</f>
        <v>0</v>
      </c>
      <c r="F44" s="586">
        <v>0</v>
      </c>
      <c r="G44" s="549">
        <f t="shared" si="3"/>
        <v>0</v>
      </c>
      <c r="H44" s="536">
        <f>G44+'14'!H44</f>
        <v>0</v>
      </c>
      <c r="I44" s="531"/>
      <c r="J44" s="629">
        <f>H44/DAY(B2)</f>
        <v>0</v>
      </c>
      <c r="K44" s="467"/>
      <c r="L44" s="408"/>
      <c r="N44" s="800"/>
      <c r="O44" s="807"/>
      <c r="P44" s="413"/>
    </row>
    <row r="45" spans="1:16">
      <c r="A45" s="655" t="s">
        <v>185</v>
      </c>
      <c r="B45" s="656"/>
      <c r="C45" s="656"/>
      <c r="D45" s="599" t="s">
        <v>143</v>
      </c>
      <c r="E45" s="586">
        <f>'14'!F45</f>
        <v>614</v>
      </c>
      <c r="F45" s="586">
        <v>614</v>
      </c>
      <c r="G45" s="549">
        <f t="shared" si="3"/>
        <v>0</v>
      </c>
      <c r="H45" s="536">
        <f>G45+'14'!H45</f>
        <v>-0.48000000000001819</v>
      </c>
      <c r="I45" s="531"/>
      <c r="J45" s="629">
        <f>H45/DAY(B2)</f>
        <v>-3.2000000000001215E-2</v>
      </c>
      <c r="K45" s="467"/>
      <c r="L45" s="408"/>
      <c r="N45" s="804"/>
      <c r="O45" s="807"/>
      <c r="P45" s="413"/>
    </row>
    <row r="46" spans="1:16">
      <c r="A46" s="655" t="s">
        <v>186</v>
      </c>
      <c r="B46" s="656"/>
      <c r="C46" s="656"/>
      <c r="D46" s="599" t="s">
        <v>143</v>
      </c>
      <c r="E46" s="586">
        <f>'14'!F46</f>
        <v>187.49</v>
      </c>
      <c r="F46" s="586">
        <v>187.49</v>
      </c>
      <c r="G46" s="549">
        <f t="shared" si="3"/>
        <v>0</v>
      </c>
      <c r="H46" s="536">
        <f>G46+'14'!H46</f>
        <v>0</v>
      </c>
      <c r="I46" s="531"/>
      <c r="J46" s="629">
        <f>H46/DAY(B2)</f>
        <v>0</v>
      </c>
      <c r="K46" s="467"/>
      <c r="L46" s="408"/>
      <c r="N46" s="800"/>
      <c r="O46" s="807"/>
      <c r="P46" s="413"/>
    </row>
    <row r="47" spans="1:16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14910.921</v>
      </c>
      <c r="H47" s="536">
        <f>G47+'14'!H47</f>
        <v>143349.92999999993</v>
      </c>
      <c r="I47" s="531"/>
      <c r="J47" s="629">
        <f>H47/DAY(B2)</f>
        <v>9556.6619999999948</v>
      </c>
      <c r="K47" s="467"/>
      <c r="L47" s="408"/>
      <c r="N47" s="800"/>
      <c r="O47" s="807"/>
      <c r="P47" s="413"/>
    </row>
    <row r="48" spans="1:16">
      <c r="A48" s="675" t="s">
        <v>188</v>
      </c>
      <c r="B48" s="1294"/>
      <c r="C48" s="1294"/>
      <c r="D48" s="548"/>
      <c r="E48" s="547"/>
      <c r="F48" s="547"/>
      <c r="G48" s="548"/>
      <c r="H48" s="548"/>
      <c r="I48" s="548"/>
      <c r="J48" s="628"/>
      <c r="K48" s="467"/>
      <c r="L48" s="408"/>
      <c r="N48" s="800"/>
      <c r="O48" s="807"/>
      <c r="P48" s="413"/>
    </row>
    <row r="49" spans="1:16">
      <c r="A49" s="655" t="s">
        <v>175</v>
      </c>
      <c r="B49" s="678"/>
      <c r="C49" s="678"/>
      <c r="D49" s="599" t="s">
        <v>143</v>
      </c>
      <c r="E49" s="586">
        <f>'14'!F49</f>
        <v>260732.13</v>
      </c>
      <c r="F49" s="586">
        <v>260732.13</v>
      </c>
      <c r="G49" s="549">
        <f t="shared" ref="G49:G58" si="4">F49-E49</f>
        <v>0</v>
      </c>
      <c r="H49" s="536">
        <f>G49+'14'!H49</f>
        <v>14833.080000000016</v>
      </c>
      <c r="I49" s="531"/>
      <c r="J49" s="629">
        <f>H49/DAY(B2)</f>
        <v>988.87200000000109</v>
      </c>
      <c r="K49" s="467">
        <f>E49+242</f>
        <v>260974.13</v>
      </c>
      <c r="L49" s="408"/>
      <c r="N49" s="800"/>
      <c r="O49" s="807"/>
      <c r="P49" s="413"/>
    </row>
    <row r="50" spans="1:16">
      <c r="A50" s="655" t="s">
        <v>189</v>
      </c>
      <c r="B50" s="678"/>
      <c r="C50" s="678"/>
      <c r="D50" s="599" t="s">
        <v>143</v>
      </c>
      <c r="E50" s="586">
        <f>'14'!F50</f>
        <v>384723.19</v>
      </c>
      <c r="F50" s="586">
        <v>386713.19</v>
      </c>
      <c r="G50" s="549">
        <f t="shared" si="4"/>
        <v>1990</v>
      </c>
      <c r="H50" s="536">
        <f>G50+'14'!H50</f>
        <v>17052.880000000005</v>
      </c>
      <c r="I50" s="531"/>
      <c r="J50" s="629">
        <f>H50/DAY(B2)</f>
        <v>1136.858666666667</v>
      </c>
      <c r="K50" s="467"/>
      <c r="L50" s="408"/>
      <c r="N50" s="800"/>
      <c r="O50" s="808"/>
      <c r="P50" s="413"/>
    </row>
    <row r="51" spans="1:16">
      <c r="A51" s="655" t="s">
        <v>177</v>
      </c>
      <c r="B51" s="678"/>
      <c r="C51" s="678"/>
      <c r="D51" s="599" t="s">
        <v>143</v>
      </c>
      <c r="E51" s="586">
        <f>'14'!F51</f>
        <v>120050.92</v>
      </c>
      <c r="F51" s="586">
        <v>120050.92</v>
      </c>
      <c r="G51" s="549">
        <f t="shared" si="4"/>
        <v>0</v>
      </c>
      <c r="H51" s="536">
        <f>G51+'14'!H51</f>
        <v>9951.179999999993</v>
      </c>
      <c r="I51" s="531"/>
      <c r="J51" s="629">
        <f>H51/DAY(B2)</f>
        <v>663.41199999999958</v>
      </c>
      <c r="K51" s="467"/>
      <c r="L51" s="408"/>
      <c r="N51" s="800"/>
      <c r="O51" s="807"/>
      <c r="P51" s="413"/>
    </row>
    <row r="52" spans="1:16">
      <c r="A52" s="655" t="s">
        <v>190</v>
      </c>
      <c r="B52" s="678"/>
      <c r="C52" s="678"/>
      <c r="D52" s="599" t="s">
        <v>143</v>
      </c>
      <c r="E52" s="586">
        <f>'14'!F52</f>
        <v>507912.71</v>
      </c>
      <c r="F52" s="586">
        <v>507912.71</v>
      </c>
      <c r="G52" s="549">
        <f t="shared" si="4"/>
        <v>0</v>
      </c>
      <c r="H52" s="536">
        <f>G52+'14'!H52</f>
        <v>14104.040000000037</v>
      </c>
      <c r="I52" s="531"/>
      <c r="J52" s="629">
        <f>H52/DAY(B2)</f>
        <v>940.26933333333579</v>
      </c>
      <c r="K52" s="467"/>
      <c r="L52" s="408"/>
      <c r="N52" s="800"/>
      <c r="O52" s="807"/>
      <c r="P52" s="413"/>
    </row>
    <row r="53" spans="1:16">
      <c r="A53" s="655" t="s">
        <v>179</v>
      </c>
      <c r="B53" s="678"/>
      <c r="C53" s="678"/>
      <c r="D53" s="599" t="s">
        <v>143</v>
      </c>
      <c r="E53" s="586">
        <f>'14'!F53</f>
        <v>331854.51</v>
      </c>
      <c r="F53" s="586">
        <v>331854.51</v>
      </c>
      <c r="G53" s="549">
        <f t="shared" si="4"/>
        <v>0</v>
      </c>
      <c r="H53" s="536">
        <f>G53+'14'!H53</f>
        <v>27556.239999999991</v>
      </c>
      <c r="I53" s="531"/>
      <c r="J53" s="629">
        <f>H53/DAY(B2)</f>
        <v>1837.082666666666</v>
      </c>
      <c r="K53" s="467"/>
      <c r="L53" s="408"/>
      <c r="N53" s="800"/>
      <c r="O53" s="807"/>
      <c r="P53" s="413"/>
    </row>
    <row r="54" spans="1:16">
      <c r="A54" s="655" t="s">
        <v>191</v>
      </c>
      <c r="B54" s="678"/>
      <c r="C54" s="678"/>
      <c r="D54" s="599" t="s">
        <v>143</v>
      </c>
      <c r="E54" s="586">
        <f>'14'!F54</f>
        <v>7120.84</v>
      </c>
      <c r="F54" s="586">
        <v>7189.82</v>
      </c>
      <c r="G54" s="549">
        <f t="shared" si="4"/>
        <v>68.979999999999563</v>
      </c>
      <c r="H54" s="536">
        <f>G54+'14'!H54</f>
        <v>801.01999999999953</v>
      </c>
      <c r="I54" s="531"/>
      <c r="J54" s="629">
        <f>H54/DAY(B2)</f>
        <v>53.401333333333305</v>
      </c>
      <c r="K54" s="467"/>
      <c r="L54" s="408"/>
      <c r="N54" s="800"/>
      <c r="O54" s="807"/>
      <c r="P54" s="413"/>
    </row>
    <row r="55" spans="1:16">
      <c r="A55" s="655" t="s">
        <v>192</v>
      </c>
      <c r="B55" s="678"/>
      <c r="C55" s="678"/>
      <c r="D55" s="599" t="s">
        <v>143</v>
      </c>
      <c r="E55" s="586">
        <f>'14'!F55</f>
        <v>82061.69</v>
      </c>
      <c r="F55" s="734">
        <v>87594.01</v>
      </c>
      <c r="G55" s="733">
        <f t="shared" si="4"/>
        <v>5532.3199999999924</v>
      </c>
      <c r="H55" s="787">
        <f>G55+'14'!H55</f>
        <v>44606.029999999992</v>
      </c>
      <c r="I55" s="788"/>
      <c r="J55" s="789">
        <f>H55/DAY(B2)</f>
        <v>2973.7353333333326</v>
      </c>
      <c r="K55" s="467"/>
      <c r="L55" s="408"/>
      <c r="N55" s="800"/>
      <c r="O55" s="807"/>
      <c r="P55" s="413"/>
    </row>
    <row r="56" spans="1:16">
      <c r="A56" s="655" t="s">
        <v>193</v>
      </c>
      <c r="B56" s="678"/>
      <c r="C56" s="678"/>
      <c r="D56" s="599" t="s">
        <v>194</v>
      </c>
      <c r="E56" s="586">
        <f>'14'!F56</f>
        <v>557739</v>
      </c>
      <c r="F56" s="734">
        <v>557789.75</v>
      </c>
      <c r="G56" s="549">
        <f t="shared" si="4"/>
        <v>50.75</v>
      </c>
      <c r="H56" s="536">
        <f>G56+'14'!H56</f>
        <v>57.839999999967404</v>
      </c>
      <c r="I56" s="531"/>
      <c r="J56" s="629">
        <f>H56/DAY(B2)</f>
        <v>3.8559999999978269</v>
      </c>
      <c r="K56" s="466"/>
      <c r="L56" s="408"/>
      <c r="N56" s="800"/>
      <c r="O56" s="809"/>
      <c r="P56" s="413"/>
    </row>
    <row r="57" spans="1:16">
      <c r="A57" s="655" t="s">
        <v>183</v>
      </c>
      <c r="B57" s="678"/>
      <c r="C57" s="678"/>
      <c r="D57" s="599" t="s">
        <v>143</v>
      </c>
      <c r="E57" s="586">
        <f>'14'!F57</f>
        <v>7711.33</v>
      </c>
      <c r="F57" s="586">
        <v>7711.33</v>
      </c>
      <c r="G57" s="549">
        <f t="shared" si="4"/>
        <v>0</v>
      </c>
      <c r="H57" s="536">
        <f>G57+'14'!H57</f>
        <v>7711.33</v>
      </c>
      <c r="I57" s="531"/>
      <c r="J57" s="629">
        <f>H57/DAY(B2)</f>
        <v>514.08866666666665</v>
      </c>
      <c r="K57" s="467"/>
      <c r="L57" s="408"/>
      <c r="N57" s="800"/>
      <c r="O57" s="807"/>
      <c r="P57" s="413"/>
    </row>
    <row r="58" spans="1:16">
      <c r="A58" s="655" t="s">
        <v>195</v>
      </c>
      <c r="B58" s="678"/>
      <c r="C58" s="678"/>
      <c r="D58" s="599" t="s">
        <v>143</v>
      </c>
      <c r="E58" s="586">
        <f>'14'!F58</f>
        <v>32945.339999999997</v>
      </c>
      <c r="F58" s="734">
        <v>33231.67</v>
      </c>
      <c r="G58" s="549">
        <f t="shared" si="4"/>
        <v>286.33000000000175</v>
      </c>
      <c r="H58" s="536">
        <f>G58+'14'!H58</f>
        <v>2502.130000000001</v>
      </c>
      <c r="I58" s="531"/>
      <c r="J58" s="629">
        <f>H58/DAY(B2)</f>
        <v>166.80866666666674</v>
      </c>
      <c r="K58" s="467"/>
      <c r="L58" s="408"/>
      <c r="N58" s="800"/>
      <c r="O58" s="807"/>
      <c r="P58" s="413"/>
    </row>
    <row r="59" spans="1:16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7928.3799999999937</v>
      </c>
      <c r="H59" s="536">
        <f>G59+'14'!H59</f>
        <v>139175.77000000002</v>
      </c>
      <c r="I59" s="531">
        <f>G7-G60</f>
        <v>367.6990000000078</v>
      </c>
      <c r="J59" s="629">
        <f>H59/DAY(B2)</f>
        <v>9278.3846666666686</v>
      </c>
      <c r="K59" s="467"/>
      <c r="L59" s="408"/>
      <c r="N59" s="800"/>
      <c r="O59" s="807"/>
      <c r="P59" s="413"/>
    </row>
    <row r="60" spans="1:16">
      <c r="A60" s="655"/>
      <c r="B60" s="656"/>
      <c r="C60" s="656"/>
      <c r="D60" s="587" t="s">
        <v>196</v>
      </c>
      <c r="E60" s="587"/>
      <c r="F60" s="587"/>
      <c r="G60" s="557">
        <f>G47+G59</f>
        <v>22839.300999999992</v>
      </c>
      <c r="H60" s="536">
        <f>G60+'14'!H60</f>
        <v>287705.8899999999</v>
      </c>
      <c r="I60" s="531">
        <f>G13-G60</f>
        <v>-282.8009999999922</v>
      </c>
      <c r="J60" s="629">
        <f>H60/DAY(B2)</f>
        <v>19180.392666666659</v>
      </c>
      <c r="K60" s="467"/>
      <c r="L60" s="408"/>
      <c r="N60" s="800"/>
      <c r="O60" s="807"/>
      <c r="P60" s="413"/>
    </row>
    <row r="61" spans="1:16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800"/>
      <c r="O61" s="807"/>
      <c r="P61" s="413"/>
    </row>
    <row r="62" spans="1:16">
      <c r="A62" s="680" t="s">
        <v>106</v>
      </c>
      <c r="B62" s="681"/>
      <c r="C62" s="681"/>
      <c r="D62" s="587" t="s">
        <v>198</v>
      </c>
      <c r="E62" s="590">
        <f>'14'!F62</f>
        <v>20419.18</v>
      </c>
      <c r="F62" s="590">
        <v>20419.18</v>
      </c>
      <c r="G62" s="549">
        <f t="shared" ref="G62:G69" si="5">F62-E62</f>
        <v>0</v>
      </c>
      <c r="H62" s="536">
        <f>G62+'14'!H62</f>
        <v>-8.9999999981955625E-3</v>
      </c>
      <c r="I62" s="591"/>
      <c r="J62" s="629">
        <f>H62/DAY(B2)</f>
        <v>-5.9999999987970414E-4</v>
      </c>
      <c r="K62" s="467"/>
      <c r="L62" s="408"/>
      <c r="N62" s="800"/>
      <c r="O62" s="807"/>
      <c r="P62" s="413"/>
    </row>
    <row r="63" spans="1:16">
      <c r="A63" s="680" t="s">
        <v>199</v>
      </c>
      <c r="B63" s="681"/>
      <c r="C63" s="681"/>
      <c r="D63" s="587" t="s">
        <v>198</v>
      </c>
      <c r="E63" s="590">
        <f>'14'!F63</f>
        <v>1520.48</v>
      </c>
      <c r="F63" s="590">
        <v>1532.7</v>
      </c>
      <c r="G63" s="549">
        <f t="shared" si="5"/>
        <v>12.220000000000027</v>
      </c>
      <c r="H63" s="536">
        <f>G63+'14'!H63</f>
        <v>200.17000000000007</v>
      </c>
      <c r="I63" s="591"/>
      <c r="J63" s="629">
        <f>H63/DAY(B2)</f>
        <v>13.344666666666672</v>
      </c>
      <c r="K63" s="467"/>
      <c r="L63" s="408"/>
      <c r="N63" s="800"/>
      <c r="O63" s="807"/>
      <c r="P63" s="413"/>
    </row>
    <row r="64" spans="1:16" ht="27.75">
      <c r="A64" s="1385" t="s">
        <v>107</v>
      </c>
      <c r="B64" s="1386"/>
      <c r="C64" s="1387"/>
      <c r="D64" s="599" t="s">
        <v>198</v>
      </c>
      <c r="E64" s="590">
        <f>'14'!F64</f>
        <v>117109.7</v>
      </c>
      <c r="F64" s="554">
        <v>117536.58</v>
      </c>
      <c r="G64" s="549">
        <f t="shared" si="5"/>
        <v>426.88000000000466</v>
      </c>
      <c r="H64" s="536">
        <f>G64+'14'!H64</f>
        <v>6253.1199999999953</v>
      </c>
      <c r="I64" s="556"/>
      <c r="J64" s="629">
        <f>H64/DAY(B2)</f>
        <v>416.87466666666637</v>
      </c>
      <c r="K64" s="467"/>
      <c r="L64" s="408"/>
      <c r="N64" s="800"/>
      <c r="O64" s="807"/>
      <c r="P64" s="413"/>
    </row>
    <row r="65" spans="1:16" ht="27.75">
      <c r="A65" s="1385" t="s">
        <v>108</v>
      </c>
      <c r="B65" s="1386"/>
      <c r="C65" s="1387"/>
      <c r="D65" s="599" t="s">
        <v>198</v>
      </c>
      <c r="E65" s="590">
        <f>'14'!F65</f>
        <v>127037.93</v>
      </c>
      <c r="F65" s="732">
        <v>127442.35</v>
      </c>
      <c r="G65" s="549">
        <f t="shared" si="5"/>
        <v>404.42000000001281</v>
      </c>
      <c r="H65" s="536">
        <f>G65+'14'!H65</f>
        <v>5709.2400000000052</v>
      </c>
      <c r="I65" s="565"/>
      <c r="J65" s="629">
        <f>H65/DAY(B2)</f>
        <v>380.61600000000033</v>
      </c>
      <c r="K65" s="467"/>
      <c r="L65" s="408"/>
      <c r="N65" s="800"/>
      <c r="O65" s="808"/>
      <c r="P65" s="413"/>
    </row>
    <row r="66" spans="1:16" ht="27.75">
      <c r="A66" s="1385" t="s">
        <v>109</v>
      </c>
      <c r="B66" s="1386"/>
      <c r="C66" s="1387"/>
      <c r="D66" s="599" t="s">
        <v>198</v>
      </c>
      <c r="E66" s="590">
        <f>'14'!F66</f>
        <v>19646.939999999999</v>
      </c>
      <c r="F66" s="554">
        <v>20047.63</v>
      </c>
      <c r="G66" s="549">
        <f t="shared" si="5"/>
        <v>400.69000000000233</v>
      </c>
      <c r="H66" s="536">
        <f>G66+'14'!H66</f>
        <v>5887.8900000000012</v>
      </c>
      <c r="I66" s="556"/>
      <c r="J66" s="629">
        <f>H66/DAY(B2)</f>
        <v>392.52600000000007</v>
      </c>
      <c r="K66" s="467"/>
      <c r="L66" s="408"/>
      <c r="N66" s="800"/>
      <c r="O66" s="807"/>
      <c r="P66" s="413"/>
    </row>
    <row r="67" spans="1:16" ht="27.75">
      <c r="A67" s="1385" t="s">
        <v>110</v>
      </c>
      <c r="B67" s="1386"/>
      <c r="C67" s="1387"/>
      <c r="D67" s="599" t="s">
        <v>198</v>
      </c>
      <c r="E67" s="590">
        <f>'14'!F67</f>
        <v>198524.69</v>
      </c>
      <c r="F67" s="554">
        <v>199239.17</v>
      </c>
      <c r="G67" s="549">
        <f t="shared" si="5"/>
        <v>714.48000000001048</v>
      </c>
      <c r="H67" s="536">
        <f>G67+'14'!H67</f>
        <v>10564.640000000014</v>
      </c>
      <c r="I67" s="565"/>
      <c r="J67" s="629">
        <f>H67/DAY(B2)</f>
        <v>704.30933333333428</v>
      </c>
      <c r="K67" s="468"/>
      <c r="L67" s="408"/>
      <c r="N67" s="800"/>
      <c r="O67" s="807"/>
      <c r="P67" s="413"/>
    </row>
    <row r="68" spans="1:16" ht="27.75">
      <c r="A68" s="1385" t="s">
        <v>111</v>
      </c>
      <c r="B68" s="1386"/>
      <c r="C68" s="1387"/>
      <c r="D68" s="599" t="s">
        <v>198</v>
      </c>
      <c r="E68" s="590">
        <f>'14'!F68</f>
        <v>68100.536999999997</v>
      </c>
      <c r="F68" s="554">
        <v>68438.38</v>
      </c>
      <c r="G68" s="549">
        <f t="shared" si="5"/>
        <v>337.84300000000803</v>
      </c>
      <c r="H68" s="536">
        <f>G68+'14'!H68</f>
        <v>5138.5200000000041</v>
      </c>
      <c r="I68" s="592"/>
      <c r="J68" s="629">
        <f>H68/DAY(B2)</f>
        <v>342.56800000000027</v>
      </c>
      <c r="K68" s="469"/>
      <c r="L68" s="408"/>
      <c r="N68" s="800"/>
      <c r="O68" s="807"/>
      <c r="P68" s="413"/>
    </row>
    <row r="69" spans="1:16" ht="27.75">
      <c r="A69" s="1385" t="s">
        <v>112</v>
      </c>
      <c r="B69" s="1386"/>
      <c r="C69" s="1387"/>
      <c r="D69" s="599" t="s">
        <v>198</v>
      </c>
      <c r="E69" s="590">
        <f>'14'!F69</f>
        <v>59956.39</v>
      </c>
      <c r="F69" s="554">
        <v>60262.21</v>
      </c>
      <c r="G69" s="549">
        <f t="shared" si="5"/>
        <v>305.81999999999971</v>
      </c>
      <c r="H69" s="536">
        <f>G69+'14'!H69</f>
        <v>4538.5</v>
      </c>
      <c r="I69" s="592"/>
      <c r="J69" s="629">
        <f>H69/DAY(B2)</f>
        <v>302.56666666666666</v>
      </c>
      <c r="K69" s="470"/>
      <c r="L69" s="408"/>
      <c r="N69" s="800"/>
      <c r="O69" s="807"/>
      <c r="P69" s="413"/>
    </row>
    <row r="70" spans="1:16" ht="27.75">
      <c r="A70" s="1391" t="s">
        <v>200</v>
      </c>
      <c r="B70" s="1392"/>
      <c r="C70" s="1393"/>
      <c r="D70" s="599" t="s">
        <v>198</v>
      </c>
      <c r="E70" s="594"/>
      <c r="F70" s="594"/>
      <c r="G70" s="594"/>
      <c r="H70" s="536"/>
      <c r="I70" s="594"/>
      <c r="J70" s="633"/>
      <c r="K70" s="470"/>
      <c r="L70" s="408"/>
      <c r="N70" s="800"/>
      <c r="O70" s="807"/>
      <c r="P70" s="413"/>
    </row>
    <row r="71" spans="1:16" ht="31.5">
      <c r="A71" s="1388" t="s">
        <v>201</v>
      </c>
      <c r="B71" s="1389"/>
      <c r="C71" s="1389"/>
      <c r="D71" s="1389"/>
      <c r="E71" s="1389"/>
      <c r="F71" s="1389"/>
      <c r="G71" s="1389"/>
      <c r="H71" s="1389"/>
      <c r="I71" s="1389"/>
      <c r="J71" s="1390"/>
      <c r="K71" s="469"/>
      <c r="L71" s="408"/>
      <c r="N71" s="800"/>
      <c r="O71" s="807"/>
      <c r="P71" s="413"/>
    </row>
    <row r="72" spans="1:16" ht="27.75">
      <c r="A72" s="1385" t="s">
        <v>202</v>
      </c>
      <c r="B72" s="1386"/>
      <c r="C72" s="1387"/>
      <c r="D72" s="599" t="s">
        <v>198</v>
      </c>
      <c r="E72" s="595">
        <f>'14'!F72</f>
        <v>849524</v>
      </c>
      <c r="F72" s="735">
        <v>849617</v>
      </c>
      <c r="G72" s="549">
        <f t="shared" ref="G72:G84" si="6">F72-E72</f>
        <v>93</v>
      </c>
      <c r="H72" s="536">
        <f>G72+'14'!H72</f>
        <v>1065</v>
      </c>
      <c r="I72" s="556"/>
      <c r="J72" s="629">
        <f>H72/DAY(B2)</f>
        <v>71</v>
      </c>
      <c r="K72" s="470"/>
      <c r="L72" s="408"/>
      <c r="N72" s="800"/>
      <c r="O72" s="807"/>
      <c r="P72" s="413"/>
    </row>
    <row r="73" spans="1:16" ht="27.75">
      <c r="A73" s="1385" t="s">
        <v>203</v>
      </c>
      <c r="B73" s="1386"/>
      <c r="C73" s="1387"/>
      <c r="D73" s="599" t="s">
        <v>198</v>
      </c>
      <c r="E73" s="595">
        <f>'14'!F73</f>
        <v>885738</v>
      </c>
      <c r="F73" s="736">
        <v>885739</v>
      </c>
      <c r="G73" s="733">
        <f t="shared" si="6"/>
        <v>1</v>
      </c>
      <c r="H73" s="536">
        <f>G73+'14'!H73</f>
        <v>958</v>
      </c>
      <c r="I73" s="556"/>
      <c r="J73" s="629">
        <f>H73/DAY(B2)</f>
        <v>63.866666666666667</v>
      </c>
      <c r="K73" s="469"/>
      <c r="L73" s="408"/>
      <c r="N73" s="800"/>
      <c r="O73" s="807"/>
      <c r="P73" s="413"/>
    </row>
    <row r="74" spans="1:16" ht="27.75">
      <c r="A74" s="1385" t="s">
        <v>204</v>
      </c>
      <c r="B74" s="1386"/>
      <c r="C74" s="1387"/>
      <c r="D74" s="599" t="s">
        <v>198</v>
      </c>
      <c r="E74" s="595">
        <f>'14'!F74</f>
        <v>136.44</v>
      </c>
      <c r="F74" s="736">
        <v>199.82</v>
      </c>
      <c r="G74" s="549">
        <f t="shared" si="6"/>
        <v>63.379999999999995</v>
      </c>
      <c r="H74" s="536">
        <f>G74+'14'!H74</f>
        <v>428.92</v>
      </c>
      <c r="I74" s="556"/>
      <c r="J74" s="629">
        <f>H74/DAY(B2)</f>
        <v>28.594666666666669</v>
      </c>
      <c r="K74" s="470"/>
      <c r="L74" s="408"/>
      <c r="N74" s="800"/>
      <c r="O74" s="807"/>
      <c r="P74" s="413"/>
    </row>
    <row r="75" spans="1:16" ht="27.75">
      <c r="A75" s="1382" t="s">
        <v>205</v>
      </c>
      <c r="B75" s="1383"/>
      <c r="C75" s="1384"/>
      <c r="D75" s="599" t="s">
        <v>198</v>
      </c>
      <c r="E75" s="595">
        <f>'14'!F75</f>
        <v>1007.36</v>
      </c>
      <c r="F75" s="736">
        <v>1216.72</v>
      </c>
      <c r="G75" s="549">
        <f t="shared" si="6"/>
        <v>209.36</v>
      </c>
      <c r="H75" s="536">
        <f>G75+'14'!H75</f>
        <v>2753.1200000000003</v>
      </c>
      <c r="I75" s="556"/>
      <c r="J75" s="629">
        <f>H75/DAY(B2)</f>
        <v>183.54133333333337</v>
      </c>
      <c r="K75" s="469"/>
      <c r="L75" s="408"/>
      <c r="N75" s="800"/>
      <c r="O75" s="807"/>
      <c r="P75" s="413"/>
    </row>
    <row r="76" spans="1:16" ht="27.75">
      <c r="A76" s="1382" t="s">
        <v>206</v>
      </c>
      <c r="B76" s="1383"/>
      <c r="C76" s="1384"/>
      <c r="D76" s="599" t="s">
        <v>198</v>
      </c>
      <c r="E76" s="595">
        <f>'14'!F76</f>
        <v>429.39</v>
      </c>
      <c r="F76" s="736">
        <v>508.4</v>
      </c>
      <c r="G76" s="549">
        <f t="shared" si="6"/>
        <v>79.009999999999991</v>
      </c>
      <c r="H76" s="536">
        <f>G76+'14'!H76</f>
        <v>2505.6000000000004</v>
      </c>
      <c r="I76" s="581"/>
      <c r="J76" s="629">
        <f>H76/DAY(B2)</f>
        <v>167.04000000000002</v>
      </c>
      <c r="K76" s="469"/>
      <c r="L76" s="408"/>
      <c r="N76" s="800"/>
      <c r="O76" s="807"/>
      <c r="P76" s="413"/>
    </row>
    <row r="77" spans="1:16" ht="27.75">
      <c r="A77" s="1385" t="s">
        <v>207</v>
      </c>
      <c r="B77" s="1386"/>
      <c r="C77" s="1387"/>
      <c r="D77" s="599" t="s">
        <v>198</v>
      </c>
      <c r="E77" s="595">
        <f>'14'!F77</f>
        <v>697891</v>
      </c>
      <c r="F77" s="736">
        <v>697945</v>
      </c>
      <c r="G77" s="733">
        <f t="shared" si="6"/>
        <v>54</v>
      </c>
      <c r="H77" s="536">
        <f>G77+'14'!H77</f>
        <v>838</v>
      </c>
      <c r="I77" s="581"/>
      <c r="J77" s="629">
        <f>H77/DAY(B2)</f>
        <v>55.866666666666667</v>
      </c>
      <c r="K77" s="469"/>
      <c r="L77" s="408"/>
      <c r="N77" s="800"/>
      <c r="O77" s="807"/>
      <c r="P77" s="413"/>
    </row>
    <row r="78" spans="1:16" ht="27.75">
      <c r="A78" s="1292" t="s">
        <v>208</v>
      </c>
      <c r="B78" s="1285"/>
      <c r="C78" s="1285"/>
      <c r="D78" s="599" t="s">
        <v>198</v>
      </c>
      <c r="E78" s="595">
        <f>'14'!F78</f>
        <v>647779</v>
      </c>
      <c r="F78" s="737">
        <v>648180</v>
      </c>
      <c r="G78" s="549">
        <f t="shared" si="6"/>
        <v>401</v>
      </c>
      <c r="H78" s="536">
        <f>G78+'14'!H78</f>
        <v>6227</v>
      </c>
      <c r="I78" s="581"/>
      <c r="J78" s="629">
        <f>H78/DAY(B2)</f>
        <v>415.13333333333333</v>
      </c>
      <c r="K78" s="469"/>
      <c r="L78" s="408"/>
      <c r="N78" s="800"/>
      <c r="O78" s="807"/>
      <c r="P78" s="413"/>
    </row>
    <row r="79" spans="1:16" ht="27.75">
      <c r="A79" s="1382" t="s">
        <v>97</v>
      </c>
      <c r="B79" s="1383"/>
      <c r="C79" s="1384"/>
      <c r="D79" s="600" t="s">
        <v>198</v>
      </c>
      <c r="E79" s="595">
        <f>'14'!F79</f>
        <v>812390</v>
      </c>
      <c r="F79" s="737">
        <v>812601</v>
      </c>
      <c r="G79" s="549">
        <f t="shared" si="6"/>
        <v>211</v>
      </c>
      <c r="H79" s="536">
        <f>G79+'14'!H79</f>
        <v>5775</v>
      </c>
      <c r="I79" s="581"/>
      <c r="J79" s="629">
        <f>H79/DAY(B2)</f>
        <v>385</v>
      </c>
      <c r="K79" s="469"/>
      <c r="L79" s="408"/>
      <c r="N79" s="800"/>
      <c r="O79" s="807"/>
      <c r="P79" s="413"/>
    </row>
    <row r="80" spans="1:16" ht="27.75">
      <c r="A80" s="1382" t="s">
        <v>209</v>
      </c>
      <c r="B80" s="1383"/>
      <c r="C80" s="1384"/>
      <c r="D80" s="600" t="s">
        <v>198</v>
      </c>
      <c r="E80" s="595">
        <f>'14'!F80</f>
        <v>489475.56</v>
      </c>
      <c r="F80" s="736">
        <v>489888.52</v>
      </c>
      <c r="G80" s="549">
        <f t="shared" si="6"/>
        <v>412.96000000002095</v>
      </c>
      <c r="H80" s="536">
        <f>G80+'14'!H80</f>
        <v>3306.8400000000256</v>
      </c>
      <c r="I80" s="581"/>
      <c r="J80" s="629">
        <f>H80/DAY(B2)</f>
        <v>220.45600000000169</v>
      </c>
      <c r="K80" s="469"/>
      <c r="L80" s="408"/>
      <c r="N80" s="800"/>
      <c r="O80" s="807"/>
      <c r="P80" s="413"/>
    </row>
    <row r="81" spans="1:16" ht="27.75">
      <c r="A81" s="1382" t="s">
        <v>210</v>
      </c>
      <c r="B81" s="1383"/>
      <c r="C81" s="1384"/>
      <c r="D81" s="600" t="s">
        <v>198</v>
      </c>
      <c r="E81" s="595">
        <f>'14'!F81</f>
        <v>624243.31999999995</v>
      </c>
      <c r="F81" s="736">
        <v>624383.04</v>
      </c>
      <c r="G81" s="549">
        <f t="shared" si="6"/>
        <v>139.72000000008848</v>
      </c>
      <c r="H81" s="536">
        <f>G81+'14'!H81</f>
        <v>1608.0400000000373</v>
      </c>
      <c r="I81" s="581"/>
      <c r="J81" s="629">
        <f>H81/DAY(B2)</f>
        <v>107.20266666666915</v>
      </c>
      <c r="K81" s="469"/>
      <c r="L81" s="408"/>
      <c r="N81" s="800"/>
      <c r="O81" s="807"/>
      <c r="P81" s="413"/>
    </row>
    <row r="82" spans="1:16" s="858" customFormat="1" ht="27.75">
      <c r="A82" s="1450" t="s">
        <v>100</v>
      </c>
      <c r="B82" s="1451"/>
      <c r="C82" s="1452"/>
      <c r="D82" s="561" t="s">
        <v>143</v>
      </c>
      <c r="E82" s="595">
        <f>'14'!F82</f>
        <v>105860.95</v>
      </c>
      <c r="F82" s="561">
        <v>105889.01</v>
      </c>
      <c r="G82" s="549">
        <f t="shared" si="6"/>
        <v>28.059999999997672</v>
      </c>
      <c r="H82" s="562">
        <f>G82+'14'!H82</f>
        <v>449.00999999999476</v>
      </c>
      <c r="I82" s="562"/>
      <c r="J82" s="630">
        <f>H82/DAY(B2)</f>
        <v>29.933999999999649</v>
      </c>
      <c r="K82" s="1307"/>
      <c r="L82" s="1308"/>
      <c r="N82" s="804"/>
      <c r="O82" s="808"/>
      <c r="P82" s="803"/>
    </row>
    <row r="83" spans="1:16" ht="27.75">
      <c r="A83" s="1382" t="s">
        <v>211</v>
      </c>
      <c r="B83" s="1383"/>
      <c r="C83" s="1384"/>
      <c r="D83" s="697" t="s">
        <v>143</v>
      </c>
      <c r="E83" s="595">
        <f>'14'!F83</f>
        <v>989702</v>
      </c>
      <c r="F83" s="587">
        <v>990240</v>
      </c>
      <c r="G83" s="549">
        <f t="shared" si="6"/>
        <v>538</v>
      </c>
      <c r="H83" s="536">
        <f>G83+'14'!H83</f>
        <v>6499</v>
      </c>
      <c r="I83" s="557"/>
      <c r="J83" s="629">
        <f>H83/DAY(B2)</f>
        <v>433.26666666666665</v>
      </c>
      <c r="K83" s="468"/>
      <c r="L83" s="408"/>
      <c r="N83" s="800"/>
      <c r="O83" s="807"/>
      <c r="P83" s="413"/>
    </row>
    <row r="84" spans="1:16">
      <c r="A84" s="1293" t="s">
        <v>212</v>
      </c>
      <c r="B84" s="648"/>
      <c r="C84" s="648"/>
      <c r="D84" s="554" t="s">
        <v>143</v>
      </c>
      <c r="E84" s="595">
        <f>'14'!F84</f>
        <v>422728</v>
      </c>
      <c r="F84" s="704">
        <v>423264</v>
      </c>
      <c r="G84" s="549">
        <f t="shared" si="6"/>
        <v>536</v>
      </c>
      <c r="H84" s="536">
        <f>G84+'14'!H84</f>
        <v>7191</v>
      </c>
      <c r="I84" s="557"/>
      <c r="J84" s="629">
        <f>H84/DAY(B2)</f>
        <v>479.4</v>
      </c>
      <c r="K84" s="411"/>
      <c r="L84" s="408"/>
      <c r="N84" s="800"/>
      <c r="O84" s="807"/>
      <c r="P84" s="413"/>
    </row>
    <row r="85" spans="1:16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SUM(G72:G84)</f>
        <v>2766.4900000001071</v>
      </c>
      <c r="H85" s="536">
        <f>G85+'14'!H85</f>
        <v>34301.160000000047</v>
      </c>
      <c r="I85" s="557"/>
      <c r="J85" s="629">
        <f>H85/DAY(B2)</f>
        <v>2286.7440000000033</v>
      </c>
      <c r="K85" s="411"/>
      <c r="L85" s="409"/>
      <c r="N85" s="800"/>
      <c r="O85" s="807"/>
      <c r="P85" s="413"/>
    </row>
    <row r="86" spans="1:16" s="817" customFormat="1">
      <c r="A86" s="812" t="s">
        <v>102</v>
      </c>
      <c r="B86" s="813"/>
      <c r="C86" s="813"/>
      <c r="D86" s="814" t="s">
        <v>194</v>
      </c>
      <c r="E86" s="704">
        <f>'14'!F86</f>
        <v>448812.44</v>
      </c>
      <c r="F86" s="728">
        <v>448916.84</v>
      </c>
      <c r="G86" s="787">
        <f t="shared" ref="G86:G90" si="7">F86-E86</f>
        <v>104.40000000002328</v>
      </c>
      <c r="H86" s="787">
        <f t="shared" ref="H86:H88" si="8">G86</f>
        <v>104.40000000002328</v>
      </c>
      <c r="I86" s="733"/>
      <c r="J86" s="789">
        <f>H86/DAY(B2)</f>
        <v>6.9600000000015525</v>
      </c>
      <c r="K86" s="815"/>
      <c r="L86" s="816"/>
      <c r="O86" s="795"/>
    </row>
    <row r="87" spans="1:16" s="817" customFormat="1">
      <c r="A87" s="812" t="s">
        <v>103</v>
      </c>
      <c r="B87" s="813"/>
      <c r="C87" s="813"/>
      <c r="D87" s="814" t="s">
        <v>194</v>
      </c>
      <c r="E87" s="704">
        <f>'14'!F87</f>
        <v>78823.5</v>
      </c>
      <c r="F87" s="728">
        <v>78857.8</v>
      </c>
      <c r="G87" s="787">
        <f t="shared" si="7"/>
        <v>34.30000000000291</v>
      </c>
      <c r="H87" s="787">
        <f t="shared" si="8"/>
        <v>34.30000000000291</v>
      </c>
      <c r="I87" s="733"/>
      <c r="J87" s="789">
        <f>H87/DAY(B2)</f>
        <v>2.2866666666668607</v>
      </c>
      <c r="K87" s="815"/>
      <c r="L87" s="816"/>
      <c r="O87" s="795"/>
    </row>
    <row r="88" spans="1:16" s="817" customFormat="1">
      <c r="A88" s="812" t="s">
        <v>104</v>
      </c>
      <c r="B88" s="813"/>
      <c r="C88" s="813"/>
      <c r="D88" s="814" t="s">
        <v>194</v>
      </c>
      <c r="E88" s="704">
        <f>'14'!F88</f>
        <v>147397.81</v>
      </c>
      <c r="F88" s="728">
        <v>147474.89000000001</v>
      </c>
      <c r="G88" s="787">
        <f t="shared" si="7"/>
        <v>77.080000000016298</v>
      </c>
      <c r="H88" s="787">
        <f t="shared" si="8"/>
        <v>77.080000000016298</v>
      </c>
      <c r="I88" s="733"/>
      <c r="J88" s="789">
        <f>H88/DAY(B2)</f>
        <v>5.1386666666677536</v>
      </c>
      <c r="K88" s="815"/>
      <c r="L88" s="816"/>
      <c r="O88" s="795"/>
    </row>
    <row r="89" spans="1:16" s="817" customFormat="1">
      <c r="A89" s="812" t="s">
        <v>215</v>
      </c>
      <c r="B89" s="813"/>
      <c r="C89" s="813"/>
      <c r="D89" s="814" t="s">
        <v>194</v>
      </c>
      <c r="E89" s="704">
        <f>'14'!F89</f>
        <v>60730.1</v>
      </c>
      <c r="F89" s="728">
        <v>60789.9</v>
      </c>
      <c r="G89" s="787">
        <f t="shared" si="7"/>
        <v>59.80000000000291</v>
      </c>
      <c r="H89" s="787">
        <f>G89</f>
        <v>59.80000000000291</v>
      </c>
      <c r="I89" s="733"/>
      <c r="J89" s="789">
        <f>H89/DAY(B2)</f>
        <v>3.9866666666668609</v>
      </c>
      <c r="K89" s="815"/>
      <c r="L89" s="816"/>
      <c r="N89" s="860"/>
      <c r="O89" s="413"/>
    </row>
    <row r="90" spans="1:16" s="817" customFormat="1">
      <c r="A90" s="812" t="s">
        <v>215</v>
      </c>
      <c r="B90" s="813"/>
      <c r="C90" s="813"/>
      <c r="D90" s="814" t="s">
        <v>194</v>
      </c>
      <c r="E90" s="704">
        <f>'14'!F90</f>
        <v>3113.1</v>
      </c>
      <c r="F90" s="728">
        <v>3117.1</v>
      </c>
      <c r="G90" s="787">
        <f t="shared" si="7"/>
        <v>4</v>
      </c>
      <c r="H90" s="787">
        <f>G90</f>
        <v>4</v>
      </c>
      <c r="I90" s="733"/>
      <c r="J90" s="789">
        <f>H90/DAY(B2)</f>
        <v>0.26666666666666666</v>
      </c>
      <c r="K90" s="815"/>
      <c r="L90" s="816"/>
      <c r="N90" s="860"/>
      <c r="O90" s="413"/>
    </row>
    <row r="91" spans="1:16" s="410" customFormat="1">
      <c r="A91" s="683" t="s">
        <v>216</v>
      </c>
      <c r="B91" s="1295"/>
      <c r="C91" s="1295"/>
      <c r="D91" s="548"/>
      <c r="E91" s="548"/>
      <c r="F91" s="548"/>
      <c r="G91" s="564"/>
      <c r="H91" s="548"/>
      <c r="I91" s="548"/>
      <c r="J91" s="628"/>
      <c r="K91" s="411"/>
      <c r="L91" s="409"/>
      <c r="N91" s="800"/>
      <c r="O91" s="807"/>
      <c r="P91" s="413"/>
    </row>
    <row r="92" spans="1:16" ht="27.75">
      <c r="A92" s="1406" t="s">
        <v>217</v>
      </c>
      <c r="B92" s="1407"/>
      <c r="C92" s="1408"/>
      <c r="D92" s="599" t="s">
        <v>155</v>
      </c>
      <c r="E92" s="560">
        <f>'14'!F92</f>
        <v>238106</v>
      </c>
      <c r="F92" s="554">
        <v>238298</v>
      </c>
      <c r="G92" s="549">
        <f t="shared" ref="G92:G93" si="9">F92-E92</f>
        <v>192</v>
      </c>
      <c r="H92" s="536">
        <f>G92+'14'!H92</f>
        <v>1728</v>
      </c>
      <c r="I92" s="556"/>
      <c r="J92" s="629">
        <f>H92/DAY(B2)</f>
        <v>115.2</v>
      </c>
      <c r="K92" s="468"/>
      <c r="L92" s="408"/>
      <c r="N92" s="800"/>
      <c r="O92" s="807"/>
      <c r="P92" s="413"/>
    </row>
    <row r="93" spans="1:16" ht="27.75">
      <c r="A93" s="1406" t="s">
        <v>218</v>
      </c>
      <c r="B93" s="1407"/>
      <c r="C93" s="1408"/>
      <c r="D93" s="599" t="s">
        <v>155</v>
      </c>
      <c r="E93" s="560">
        <f>'14'!F93</f>
        <v>173449</v>
      </c>
      <c r="F93" s="554">
        <v>173643</v>
      </c>
      <c r="G93" s="549">
        <f t="shared" si="9"/>
        <v>194</v>
      </c>
      <c r="H93" s="536">
        <f>G93+'14'!H93</f>
        <v>2467</v>
      </c>
      <c r="I93" s="556"/>
      <c r="J93" s="629">
        <f>H93/DAY(B2)</f>
        <v>164.46666666666667</v>
      </c>
      <c r="K93" s="411"/>
      <c r="L93" s="408"/>
      <c r="N93" s="800"/>
      <c r="O93" s="807"/>
      <c r="P93" s="413"/>
    </row>
    <row r="94" spans="1:16">
      <c r="A94" s="1434" t="s">
        <v>219</v>
      </c>
      <c r="B94" s="1435"/>
      <c r="C94" s="1436"/>
      <c r="D94" s="599"/>
      <c r="E94" s="560"/>
      <c r="F94" s="554"/>
      <c r="G94" s="549">
        <f>G92+G93</f>
        <v>386</v>
      </c>
      <c r="H94" s="536">
        <f>G94+'14'!H94</f>
        <v>3908</v>
      </c>
      <c r="I94" s="556"/>
      <c r="J94" s="629">
        <f>H94/DAY(B2)</f>
        <v>260.53333333333336</v>
      </c>
      <c r="K94" s="411"/>
      <c r="L94" s="408"/>
      <c r="N94" s="800"/>
      <c r="O94" s="807"/>
      <c r="P94" s="413"/>
    </row>
    <row r="95" spans="1:16" ht="27.75">
      <c r="A95" s="1406" t="s">
        <v>220</v>
      </c>
      <c r="B95" s="1407"/>
      <c r="C95" s="1408"/>
      <c r="D95" s="599" t="s">
        <v>155</v>
      </c>
      <c r="E95" s="560">
        <f>'14'!F95</f>
        <v>406909</v>
      </c>
      <c r="F95" s="554">
        <v>407040</v>
      </c>
      <c r="G95" s="549">
        <f t="shared" ref="G95:G100" si="10">F95-E95</f>
        <v>131</v>
      </c>
      <c r="H95" s="536">
        <f>G95+'14'!H95</f>
        <v>1164</v>
      </c>
      <c r="I95" s="556"/>
      <c r="J95" s="629">
        <f>H95/DAY(B2)</f>
        <v>77.599999999999994</v>
      </c>
      <c r="K95" s="411"/>
      <c r="L95" s="408"/>
      <c r="N95" s="800"/>
      <c r="O95" s="807"/>
      <c r="P95" s="413"/>
    </row>
    <row r="96" spans="1:16" ht="27.75">
      <c r="A96" s="1289" t="s">
        <v>221</v>
      </c>
      <c r="B96" s="1290"/>
      <c r="C96" s="1290"/>
      <c r="D96" s="599" t="s">
        <v>155</v>
      </c>
      <c r="E96" s="560">
        <f>'14'!F96</f>
        <v>101066</v>
      </c>
      <c r="F96" s="554">
        <v>101091</v>
      </c>
      <c r="G96" s="549">
        <f t="shared" si="10"/>
        <v>25</v>
      </c>
      <c r="H96" s="536">
        <f>G96+'14'!H96</f>
        <v>557</v>
      </c>
      <c r="I96" s="556"/>
      <c r="J96" s="629">
        <f>H96/DAY(B2)</f>
        <v>37.133333333333333</v>
      </c>
      <c r="K96" s="466"/>
      <c r="L96" s="408"/>
      <c r="N96" s="800"/>
      <c r="O96" s="807"/>
      <c r="P96" s="413"/>
    </row>
    <row r="97" spans="1:16" ht="27.75">
      <c r="A97" s="1289" t="s">
        <v>222</v>
      </c>
      <c r="B97" s="1290"/>
      <c r="C97" s="1290"/>
      <c r="D97" s="599" t="s">
        <v>155</v>
      </c>
      <c r="E97" s="560">
        <f>'14'!F97</f>
        <v>96118</v>
      </c>
      <c r="F97" s="554">
        <v>96153</v>
      </c>
      <c r="G97" s="549">
        <f t="shared" si="10"/>
        <v>35</v>
      </c>
      <c r="H97" s="536">
        <f>G97+'14'!H97</f>
        <v>476</v>
      </c>
      <c r="I97" s="556"/>
      <c r="J97" s="629">
        <f>H97/DAY(B2)</f>
        <v>31.733333333333334</v>
      </c>
      <c r="K97" s="471"/>
      <c r="L97" s="408"/>
      <c r="N97" s="800"/>
      <c r="O97" s="807"/>
      <c r="P97" s="413"/>
    </row>
    <row r="98" spans="1:16" ht="27.75">
      <c r="A98" s="1289" t="s">
        <v>223</v>
      </c>
      <c r="B98" s="1290"/>
      <c r="C98" s="1290"/>
      <c r="D98" s="599" t="s">
        <v>155</v>
      </c>
      <c r="E98" s="560">
        <f>'14'!F98</f>
        <v>146530</v>
      </c>
      <c r="F98" s="554">
        <v>146606</v>
      </c>
      <c r="G98" s="549">
        <f t="shared" si="10"/>
        <v>76</v>
      </c>
      <c r="H98" s="536">
        <f>G98+'14'!H98</f>
        <v>1052</v>
      </c>
      <c r="I98" s="556"/>
      <c r="J98" s="629">
        <f>H98/DAY(B2)</f>
        <v>70.13333333333334</v>
      </c>
      <c r="K98" s="411"/>
      <c r="L98" s="408"/>
      <c r="N98" s="802"/>
      <c r="O98" s="807"/>
      <c r="P98" s="413"/>
    </row>
    <row r="99" spans="1:16" ht="27.75">
      <c r="A99" s="1289" t="s">
        <v>224</v>
      </c>
      <c r="B99" s="1290"/>
      <c r="C99" s="1290"/>
      <c r="D99" s="599" t="s">
        <v>155</v>
      </c>
      <c r="E99" s="560">
        <f>'14'!F99</f>
        <v>6137</v>
      </c>
      <c r="F99" s="554">
        <v>6167</v>
      </c>
      <c r="G99" s="549">
        <f t="shared" si="10"/>
        <v>30</v>
      </c>
      <c r="H99" s="536">
        <f>G99+'14'!H99</f>
        <v>193</v>
      </c>
      <c r="I99" s="556"/>
      <c r="J99" s="629">
        <f>H99/DAY(B2)</f>
        <v>12.866666666666667</v>
      </c>
      <c r="K99" s="411"/>
      <c r="L99" s="408"/>
      <c r="N99" s="800"/>
      <c r="O99" s="807"/>
      <c r="P99" s="413"/>
    </row>
    <row r="100" spans="1:16" ht="27.75">
      <c r="A100" s="1289" t="s">
        <v>225</v>
      </c>
      <c r="B100" s="1290"/>
      <c r="C100" s="1290"/>
      <c r="D100" s="599" t="s">
        <v>155</v>
      </c>
      <c r="E100" s="560">
        <f>'14'!F100</f>
        <v>4366</v>
      </c>
      <c r="F100" s="554">
        <v>4389</v>
      </c>
      <c r="G100" s="549">
        <f t="shared" si="10"/>
        <v>23</v>
      </c>
      <c r="H100" s="536">
        <f>G100+'14'!H100</f>
        <v>152</v>
      </c>
      <c r="I100" s="556"/>
      <c r="J100" s="629">
        <f>H100/DAY(B2)</f>
        <v>10.133333333333333</v>
      </c>
      <c r="K100" s="411"/>
      <c r="L100" s="408"/>
      <c r="N100" s="800"/>
      <c r="O100" s="807"/>
      <c r="P100" s="413"/>
    </row>
    <row r="101" spans="1:16">
      <c r="A101" s="1434" t="s">
        <v>227</v>
      </c>
      <c r="B101" s="1435"/>
      <c r="C101" s="1436"/>
      <c r="D101" s="600"/>
      <c r="E101" s="560"/>
      <c r="F101" s="600"/>
      <c r="G101" s="601">
        <f>SUM(G95:G100)</f>
        <v>320</v>
      </c>
      <c r="H101" s="536">
        <f>G101+'14'!H101</f>
        <v>3594</v>
      </c>
      <c r="I101" s="602"/>
      <c r="J101" s="629">
        <f>H101/DAY(B2)</f>
        <v>239.6</v>
      </c>
      <c r="K101" s="411"/>
      <c r="L101" s="408"/>
      <c r="N101" s="800"/>
      <c r="O101" s="807"/>
      <c r="P101" s="413"/>
    </row>
    <row r="102" spans="1:16" s="481" customFormat="1" ht="27">
      <c r="A102" s="684" t="s">
        <v>228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800"/>
      <c r="O102" s="807"/>
      <c r="P102" s="413"/>
    </row>
    <row r="103" spans="1:16" s="481" customFormat="1" ht="27.75">
      <c r="A103" s="1437" t="s">
        <v>229</v>
      </c>
      <c r="B103" s="1438"/>
      <c r="C103" s="650"/>
      <c r="D103" s="699"/>
      <c r="E103" s="560"/>
      <c r="F103" s="739"/>
      <c r="G103" s="608"/>
      <c r="H103" s="609"/>
      <c r="I103" s="608"/>
      <c r="J103" s="635"/>
      <c r="N103" s="800"/>
      <c r="O103" s="807"/>
      <c r="P103" s="413"/>
    </row>
    <row r="104" spans="1:16" s="481" customFormat="1" ht="27.75">
      <c r="A104" s="1398" t="s">
        <v>230</v>
      </c>
      <c r="B104" s="1399"/>
      <c r="C104" s="1288"/>
      <c r="D104" s="699" t="s">
        <v>155</v>
      </c>
      <c r="E104" s="560">
        <f>'14'!F104</f>
        <v>7097</v>
      </c>
      <c r="F104" s="739">
        <v>7097</v>
      </c>
      <c r="G104" s="608">
        <f>F104-E104</f>
        <v>0</v>
      </c>
      <c r="H104" s="609">
        <f>SUM(G104+'1'!G76)</f>
        <v>74</v>
      </c>
      <c r="I104" s="608"/>
      <c r="J104" s="635">
        <f>H104/DAY(B2)</f>
        <v>4.9333333333333336</v>
      </c>
      <c r="N104" s="800"/>
      <c r="O104" s="807"/>
      <c r="P104" s="413"/>
    </row>
    <row r="105" spans="1:16" s="481" customFormat="1" ht="27.75">
      <c r="A105" s="1398" t="s">
        <v>77</v>
      </c>
      <c r="B105" s="1399"/>
      <c r="C105" s="1288"/>
      <c r="D105" s="699" t="s">
        <v>155</v>
      </c>
      <c r="E105" s="560">
        <f>'14'!F105</f>
        <v>35268</v>
      </c>
      <c r="F105" s="740">
        <v>35285</v>
      </c>
      <c r="G105" s="608">
        <f t="shared" ref="G105:G106" si="11">F105-E105</f>
        <v>17</v>
      </c>
      <c r="H105" s="609">
        <f>SUM(G105+'1'!G77)</f>
        <v>65</v>
      </c>
      <c r="I105" s="608"/>
      <c r="J105" s="635">
        <f>H105/DAY(B2)</f>
        <v>4.333333333333333</v>
      </c>
      <c r="N105" s="800"/>
      <c r="O105" s="807"/>
      <c r="P105" s="413"/>
    </row>
    <row r="106" spans="1:16" s="481" customFormat="1" ht="27.75">
      <c r="A106" s="1398" t="s">
        <v>78</v>
      </c>
      <c r="B106" s="1439"/>
      <c r="C106" s="1399"/>
      <c r="D106" s="699" t="s">
        <v>155</v>
      </c>
      <c r="E106" s="560">
        <f>'14'!F106</f>
        <v>19157</v>
      </c>
      <c r="F106" s="740">
        <v>19168</v>
      </c>
      <c r="G106" s="608">
        <f t="shared" si="11"/>
        <v>11</v>
      </c>
      <c r="H106" s="609">
        <f>SUM(G106+'1'!G78)</f>
        <v>345</v>
      </c>
      <c r="I106" s="608"/>
      <c r="J106" s="635">
        <f>H106/DAY(B2)</f>
        <v>23</v>
      </c>
      <c r="N106" s="800"/>
      <c r="O106" s="807"/>
      <c r="P106" s="413"/>
    </row>
    <row r="107" spans="1:16" s="481" customFormat="1" ht="27.75">
      <c r="A107" s="1400" t="s">
        <v>213</v>
      </c>
      <c r="B107" s="1401"/>
      <c r="C107" s="1288"/>
      <c r="D107" s="699"/>
      <c r="E107" s="560">
        <f>'14'!F107</f>
        <v>0</v>
      </c>
      <c r="F107" s="740"/>
      <c r="G107" s="608">
        <f>SUM(G104:G106)</f>
        <v>28</v>
      </c>
      <c r="H107" s="609">
        <f>SUM(G107+'1'!G79)</f>
        <v>233</v>
      </c>
      <c r="I107" s="608"/>
      <c r="J107" s="635">
        <f>H107/DAY(B2)</f>
        <v>15.533333333333333</v>
      </c>
      <c r="N107" s="800"/>
      <c r="O107" s="807"/>
      <c r="P107" s="413"/>
    </row>
    <row r="108" spans="1:16" s="481" customFormat="1" ht="27.75">
      <c r="A108" s="1404" t="s">
        <v>79</v>
      </c>
      <c r="B108" s="1405"/>
      <c r="C108" s="1288"/>
      <c r="D108" s="699" t="s">
        <v>155</v>
      </c>
      <c r="E108" s="560">
        <f>'14'!F108</f>
        <v>0</v>
      </c>
      <c r="F108" s="740"/>
      <c r="G108" s="608"/>
      <c r="H108" s="609"/>
      <c r="I108" s="608"/>
      <c r="J108" s="635"/>
      <c r="N108" s="800"/>
      <c r="O108" s="807"/>
      <c r="P108" s="413"/>
    </row>
    <row r="109" spans="1:16" s="481" customFormat="1" ht="27.75">
      <c r="A109" s="1398" t="s">
        <v>231</v>
      </c>
      <c r="B109" s="1399"/>
      <c r="C109" s="1288"/>
      <c r="D109" s="699" t="s">
        <v>155</v>
      </c>
      <c r="E109" s="560">
        <f>'14'!F109</f>
        <v>55505</v>
      </c>
      <c r="F109" s="740">
        <v>55588</v>
      </c>
      <c r="G109" s="608">
        <f>F109-E109</f>
        <v>83</v>
      </c>
      <c r="H109" s="609">
        <f>SUM(G109+'1'!G81)</f>
        <v>159</v>
      </c>
      <c r="I109" s="608"/>
      <c r="J109" s="635">
        <f>H109/DAY(B2)</f>
        <v>10.6</v>
      </c>
      <c r="N109" s="800"/>
      <c r="O109" s="807"/>
      <c r="P109" s="413"/>
    </row>
    <row r="110" spans="1:16" s="481" customFormat="1" ht="27.75">
      <c r="A110" s="1398" t="s">
        <v>232</v>
      </c>
      <c r="B110" s="1399"/>
      <c r="C110" s="1288"/>
      <c r="D110" s="699" t="s">
        <v>155</v>
      </c>
      <c r="E110" s="560">
        <f>'14'!F110</f>
        <v>29433</v>
      </c>
      <c r="F110" s="740">
        <v>29519</v>
      </c>
      <c r="G110" s="608">
        <f t="shared" ref="G110:G111" si="12">F110-E110</f>
        <v>86</v>
      </c>
      <c r="H110" s="609">
        <f>SUM(G110+'1'!G82)</f>
        <v>131</v>
      </c>
      <c r="I110" s="608"/>
      <c r="J110" s="635">
        <f>H110/DAY(B2)</f>
        <v>8.7333333333333325</v>
      </c>
      <c r="N110" s="800"/>
      <c r="O110" s="807"/>
      <c r="P110" s="413"/>
    </row>
    <row r="111" spans="1:16" s="481" customFormat="1" ht="27.75">
      <c r="A111" s="1398" t="s">
        <v>233</v>
      </c>
      <c r="B111" s="1399"/>
      <c r="C111" s="1288"/>
      <c r="D111" s="699" t="s">
        <v>155</v>
      </c>
      <c r="E111" s="560">
        <f>'14'!F111</f>
        <v>3870</v>
      </c>
      <c r="F111" s="740">
        <v>3883</v>
      </c>
      <c r="G111" s="608">
        <f t="shared" si="12"/>
        <v>13</v>
      </c>
      <c r="H111" s="609">
        <f>SUM(G111+'1'!G83)</f>
        <v>446</v>
      </c>
      <c r="I111" s="608"/>
      <c r="J111" s="635">
        <f>H111/DAY(B2)</f>
        <v>29.733333333333334</v>
      </c>
      <c r="N111" s="800"/>
      <c r="O111" s="807"/>
      <c r="P111" s="413"/>
    </row>
    <row r="112" spans="1:16" s="481" customFormat="1" ht="27.75">
      <c r="A112" s="1400" t="s">
        <v>121</v>
      </c>
      <c r="B112" s="1401"/>
      <c r="C112" s="1288"/>
      <c r="D112" s="699"/>
      <c r="E112" s="560">
        <f>'14'!F112</f>
        <v>0</v>
      </c>
      <c r="F112" s="740"/>
      <c r="G112" s="608">
        <f>SUM(G109:G111)</f>
        <v>182</v>
      </c>
      <c r="H112" s="609">
        <f>SUM(G112+'1'!G84)</f>
        <v>703</v>
      </c>
      <c r="I112" s="608"/>
      <c r="J112" s="635">
        <f>H112/DAY(B2)</f>
        <v>46.866666666666667</v>
      </c>
      <c r="N112" s="800"/>
      <c r="O112" s="807"/>
      <c r="P112" s="413"/>
    </row>
    <row r="113" spans="1:16" s="481" customFormat="1" ht="27.75">
      <c r="A113" s="1404" t="s">
        <v>234</v>
      </c>
      <c r="B113" s="1405"/>
      <c r="C113" s="1288"/>
      <c r="D113" s="699"/>
      <c r="E113" s="560">
        <f>'14'!F113</f>
        <v>0</v>
      </c>
      <c r="F113" s="740"/>
      <c r="G113" s="608"/>
      <c r="H113" s="609"/>
      <c r="I113" s="608"/>
      <c r="J113" s="635">
        <f>H113/DAY(B2)</f>
        <v>0</v>
      </c>
      <c r="N113" s="800"/>
      <c r="O113" s="807"/>
      <c r="P113" s="413"/>
    </row>
    <row r="114" spans="1:16" s="481" customFormat="1" ht="27.75">
      <c r="A114" s="1398" t="s">
        <v>235</v>
      </c>
      <c r="B114" s="1399"/>
      <c r="C114" s="651"/>
      <c r="D114" s="699" t="s">
        <v>155</v>
      </c>
      <c r="E114" s="560">
        <f>'14'!F114</f>
        <v>10001</v>
      </c>
      <c r="F114" s="740">
        <v>10036</v>
      </c>
      <c r="G114" s="610">
        <f>F114-E114</f>
        <v>35</v>
      </c>
      <c r="H114" s="609">
        <f>SUM(G114+'1'!G91)</f>
        <v>35</v>
      </c>
      <c r="I114" s="608"/>
      <c r="J114" s="635">
        <f>H114/DAY(B2)</f>
        <v>2.3333333333333335</v>
      </c>
      <c r="N114" s="800"/>
      <c r="O114" s="807"/>
      <c r="P114" s="413"/>
    </row>
    <row r="115" spans="1:16" s="481" customFormat="1" ht="27.75">
      <c r="A115" s="1398" t="s">
        <v>236</v>
      </c>
      <c r="B115" s="1399"/>
      <c r="C115" s="651"/>
      <c r="D115" s="699" t="s">
        <v>155</v>
      </c>
      <c r="E115" s="560">
        <f>'14'!F115</f>
        <v>7529</v>
      </c>
      <c r="F115" s="740">
        <v>7542</v>
      </c>
      <c r="G115" s="610">
        <f t="shared" ref="G115:G116" si="13">F115-E115</f>
        <v>13</v>
      </c>
      <c r="H115" s="609">
        <f>SUM(G115+'1'!G92)</f>
        <v>100</v>
      </c>
      <c r="I115" s="608"/>
      <c r="J115" s="635">
        <f>H115/DAY(B2)</f>
        <v>6.666666666666667</v>
      </c>
      <c r="N115" s="800"/>
      <c r="O115" s="807"/>
      <c r="P115" s="413"/>
    </row>
    <row r="116" spans="1:16" s="481" customFormat="1" ht="27.75">
      <c r="A116" s="1398" t="s">
        <v>237</v>
      </c>
      <c r="B116" s="1399"/>
      <c r="C116" s="651"/>
      <c r="D116" s="699" t="s">
        <v>155</v>
      </c>
      <c r="E116" s="610">
        <f>'14'!F116</f>
        <v>0</v>
      </c>
      <c r="F116" s="740">
        <v>0</v>
      </c>
      <c r="G116" s="610">
        <f t="shared" si="13"/>
        <v>0</v>
      </c>
      <c r="H116" s="609">
        <f>SUM(G116+'1'!G93)</f>
        <v>200</v>
      </c>
      <c r="I116" s="608"/>
      <c r="J116" s="635">
        <f>H116/DAY(B2)</f>
        <v>13.333333333333334</v>
      </c>
      <c r="N116" s="800"/>
      <c r="O116" s="807"/>
      <c r="P116" s="413"/>
    </row>
    <row r="117" spans="1:16" s="494" customFormat="1" ht="27.75">
      <c r="A117" s="1400" t="s">
        <v>213</v>
      </c>
      <c r="B117" s="1401"/>
      <c r="C117" s="651"/>
      <c r="D117" s="700"/>
      <c r="E117" s="610"/>
      <c r="F117" s="740"/>
      <c r="G117" s="610">
        <f>SUM(G114:G116)</f>
        <v>48</v>
      </c>
      <c r="H117" s="609">
        <f>SUM(G117+'1'!G95)</f>
        <v>120</v>
      </c>
      <c r="I117" s="610"/>
      <c r="J117" s="635">
        <f>H117/DAY(B2)</f>
        <v>8</v>
      </c>
      <c r="N117" s="800"/>
      <c r="O117" s="807"/>
      <c r="P117" s="413"/>
    </row>
    <row r="118" spans="1:16" s="495" customFormat="1" ht="27.75">
      <c r="A118" s="1394" t="s">
        <v>238</v>
      </c>
      <c r="B118" s="1395"/>
      <c r="C118" s="1286"/>
      <c r="D118" s="701" t="s">
        <v>155</v>
      </c>
      <c r="E118" s="612"/>
      <c r="F118" s="741">
        <f>SUM(G19+G92)</f>
        <v>244</v>
      </c>
      <c r="G118" s="612">
        <f>SUM(G19+G92)</f>
        <v>244</v>
      </c>
      <c r="H118" s="609">
        <f>SUM(G118+'1'!G96)</f>
        <v>267</v>
      </c>
      <c r="I118" s="611"/>
      <c r="J118" s="636">
        <f>H118/DAY(B2)</f>
        <v>17.8</v>
      </c>
      <c r="N118" s="800"/>
      <c r="O118" s="807"/>
      <c r="P118" s="413"/>
    </row>
    <row r="119" spans="1:16" s="495" customFormat="1" ht="27.75">
      <c r="A119" s="1394" t="s">
        <v>239</v>
      </c>
      <c r="B119" s="1395"/>
      <c r="C119" s="1286"/>
      <c r="D119" s="701" t="s">
        <v>155</v>
      </c>
      <c r="E119" s="612"/>
      <c r="F119" s="741">
        <f>SUM(G95,G96,G97,G99,G100)</f>
        <v>244</v>
      </c>
      <c r="G119" s="612">
        <f>SUM(G95,G96,G97,G99,G100)</f>
        <v>244</v>
      </c>
      <c r="H119" s="609">
        <f>SUM(G119+'1'!G98)</f>
        <v>327</v>
      </c>
      <c r="I119" s="611"/>
      <c r="J119" s="636">
        <f>H119/DAY(B2)</f>
        <v>21.8</v>
      </c>
      <c r="N119" s="800"/>
      <c r="O119" s="807"/>
      <c r="P119" s="413"/>
    </row>
    <row r="120" spans="1:16" s="495" customFormat="1" ht="27.75">
      <c r="A120" s="1394" t="s">
        <v>240</v>
      </c>
      <c r="B120" s="1395"/>
      <c r="C120" s="1286"/>
      <c r="D120" s="701" t="s">
        <v>155</v>
      </c>
      <c r="E120" s="610"/>
      <c r="F120" s="740">
        <f>SUM(G112)</f>
        <v>182</v>
      </c>
      <c r="G120" s="610">
        <f>SUM(G112)</f>
        <v>182</v>
      </c>
      <c r="H120" s="609">
        <f>SUM(G120+'1'!G100)</f>
        <v>188</v>
      </c>
      <c r="I120" s="611"/>
      <c r="J120" s="636">
        <f>H120/DAY(B2)</f>
        <v>12.533333333333333</v>
      </c>
      <c r="N120" s="800"/>
      <c r="O120" s="807"/>
      <c r="P120" s="413"/>
    </row>
    <row r="121" spans="1:16" s="481" customFormat="1" ht="27.75">
      <c r="A121" s="1396"/>
      <c r="B121" s="1397"/>
      <c r="C121" s="1287"/>
      <c r="D121" s="637"/>
      <c r="E121" s="637"/>
      <c r="F121" s="742" t="s">
        <v>226</v>
      </c>
      <c r="G121" s="637"/>
      <c r="H121" s="638"/>
      <c r="I121" s="637"/>
      <c r="J121" s="639"/>
      <c r="N121" s="800"/>
      <c r="O121" s="807"/>
      <c r="P121" s="413"/>
    </row>
    <row r="122" spans="1:16">
      <c r="A122" s="1431" t="s">
        <v>241</v>
      </c>
      <c r="B122" s="1432"/>
      <c r="C122" s="1433"/>
      <c r="D122" s="548"/>
      <c r="E122" s="548"/>
      <c r="F122" s="548"/>
      <c r="G122" s="559"/>
      <c r="H122" s="559"/>
      <c r="I122" s="559"/>
      <c r="J122" s="640"/>
      <c r="K122" s="411"/>
      <c r="L122" s="408"/>
      <c r="N122" s="800"/>
      <c r="O122" s="807"/>
      <c r="P122" s="413"/>
    </row>
    <row r="123" spans="1:16" ht="27.75">
      <c r="A123" s="1289" t="s">
        <v>242</v>
      </c>
      <c r="B123" s="1290"/>
      <c r="C123" s="1290"/>
      <c r="D123" s="599" t="s">
        <v>152</v>
      </c>
      <c r="E123" s="554">
        <f>'14'!F123</f>
        <v>807305.93</v>
      </c>
      <c r="F123" s="554">
        <v>807582.34</v>
      </c>
      <c r="G123" s="549">
        <f>F123-E123</f>
        <v>276.40999999991618</v>
      </c>
      <c r="H123" s="536">
        <f>G123+'14'!H123</f>
        <v>4246.9399999999441</v>
      </c>
      <c r="I123" s="602"/>
      <c r="J123" s="629">
        <f>H123/DAY(B2)</f>
        <v>283.12933333332961</v>
      </c>
      <c r="K123" s="411"/>
      <c r="L123" s="408"/>
      <c r="N123" s="800"/>
      <c r="O123" s="807"/>
      <c r="P123" s="413"/>
    </row>
    <row r="124" spans="1:16" ht="27.75">
      <c r="A124" s="1289" t="s">
        <v>243</v>
      </c>
      <c r="B124" s="1290"/>
      <c r="C124" s="1290"/>
      <c r="D124" s="599" t="s">
        <v>152</v>
      </c>
      <c r="E124" s="703">
        <f>'14'!F124</f>
        <v>73583.399999999994</v>
      </c>
      <c r="F124" s="703">
        <v>73583.399999999994</v>
      </c>
      <c r="G124" s="549">
        <f t="shared" ref="G124:G127" si="14">F124-E124</f>
        <v>0</v>
      </c>
      <c r="H124" s="536">
        <f>G124+'14'!H124</f>
        <v>1.3999999999941792</v>
      </c>
      <c r="I124" s="602"/>
      <c r="J124" s="629">
        <f>H124/DAY(B2)</f>
        <v>9.3333333332945287E-2</v>
      </c>
      <c r="K124" s="411"/>
      <c r="L124" s="408"/>
      <c r="N124" s="800"/>
      <c r="O124" s="807"/>
      <c r="P124" s="413"/>
    </row>
    <row r="125" spans="1:16" ht="27.75">
      <c r="A125" s="1385" t="s">
        <v>244</v>
      </c>
      <c r="B125" s="1386"/>
      <c r="C125" s="1387"/>
      <c r="D125" s="599" t="s">
        <v>152</v>
      </c>
      <c r="E125" s="554">
        <f>'14'!F125</f>
        <v>138858.59</v>
      </c>
      <c r="F125" s="554">
        <v>138993.94</v>
      </c>
      <c r="G125" s="549">
        <f t="shared" si="14"/>
        <v>135.35000000000582</v>
      </c>
      <c r="H125" s="536">
        <f>G125+'14'!H125</f>
        <v>1145.9400000000023</v>
      </c>
      <c r="I125" s="602"/>
      <c r="J125" s="629">
        <f>H125/DAY(B2)</f>
        <v>76.396000000000157</v>
      </c>
      <c r="K125" s="411"/>
      <c r="L125" s="408"/>
      <c r="N125" s="800"/>
      <c r="O125" s="807"/>
      <c r="P125" s="413"/>
    </row>
    <row r="126" spans="1:16" ht="27.75">
      <c r="A126" s="686" t="s">
        <v>245</v>
      </c>
      <c r="B126" s="1290"/>
      <c r="C126" s="1290"/>
      <c r="D126" s="599" t="s">
        <v>152</v>
      </c>
      <c r="E126" s="703">
        <f>'14'!F126</f>
        <v>58947.4</v>
      </c>
      <c r="F126" s="703">
        <v>58988.9</v>
      </c>
      <c r="G126" s="549">
        <f t="shared" si="14"/>
        <v>41.5</v>
      </c>
      <c r="H126" s="536">
        <f>G126+'14'!H126</f>
        <v>597.20000000000437</v>
      </c>
      <c r="I126" s="602"/>
      <c r="J126" s="629">
        <f>H126/DAY(B2)</f>
        <v>39.813333333333624</v>
      </c>
      <c r="K126" s="411"/>
      <c r="L126" s="408"/>
      <c r="N126" s="800"/>
      <c r="O126" s="807"/>
      <c r="P126" s="413"/>
    </row>
    <row r="127" spans="1:16" ht="27.75">
      <c r="A127" s="686" t="s">
        <v>246</v>
      </c>
      <c r="B127" s="1290"/>
      <c r="C127" s="1290"/>
      <c r="D127" s="599" t="s">
        <v>152</v>
      </c>
      <c r="E127" s="703">
        <f>'14'!F127</f>
        <v>8855.7999999999993</v>
      </c>
      <c r="F127" s="703">
        <v>8861.2999999999993</v>
      </c>
      <c r="G127" s="549">
        <f t="shared" si="14"/>
        <v>5.5</v>
      </c>
      <c r="H127" s="536">
        <f>G127+'14'!H127</f>
        <v>45.299999999999272</v>
      </c>
      <c r="I127" s="556"/>
      <c r="J127" s="629">
        <f>H127/DAY(B2)</f>
        <v>3.0199999999999516</v>
      </c>
      <c r="K127" s="411"/>
      <c r="L127" s="408"/>
      <c r="N127" s="800"/>
      <c r="O127" s="807"/>
      <c r="P127" s="413"/>
    </row>
    <row r="128" spans="1:16" s="281" customFormat="1" ht="27.75">
      <c r="A128" s="686" t="s">
        <v>247</v>
      </c>
      <c r="B128" s="1290"/>
      <c r="C128" s="1290"/>
      <c r="D128" s="599"/>
      <c r="E128" s="554"/>
      <c r="F128" s="554"/>
      <c r="G128" s="549">
        <f>G15-SUM(G123:G127)</f>
        <v>776.52900000018417</v>
      </c>
      <c r="H128" s="536"/>
      <c r="I128" s="556"/>
      <c r="J128" s="629"/>
      <c r="K128" s="391"/>
      <c r="L128" s="293"/>
      <c r="N128" s="800"/>
      <c r="O128" s="807"/>
      <c r="P128" s="413"/>
    </row>
    <row r="129" spans="1:16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800"/>
      <c r="O129" s="807"/>
      <c r="P129" s="413"/>
    </row>
    <row r="130" spans="1:16" ht="27.75">
      <c r="A130" s="1289" t="s">
        <v>249</v>
      </c>
      <c r="B130" s="1290"/>
      <c r="C130" s="1290"/>
      <c r="D130" s="599" t="s">
        <v>250</v>
      </c>
      <c r="E130" s="560">
        <f>'14'!F130</f>
        <v>0</v>
      </c>
      <c r="F130" s="554">
        <v>0</v>
      </c>
      <c r="G130" s="549">
        <f t="shared" ref="G130:G140" si="15">F130-E130</f>
        <v>0</v>
      </c>
      <c r="H130" s="536">
        <f>G130+'14'!H130</f>
        <v>0</v>
      </c>
      <c r="I130" s="556"/>
      <c r="J130" s="629">
        <f>H130/DAY(B2)</f>
        <v>0</v>
      </c>
      <c r="N130" s="800"/>
      <c r="O130" s="807"/>
      <c r="P130" s="413"/>
    </row>
    <row r="131" spans="1:16" ht="27.75">
      <c r="A131" s="1289" t="s">
        <v>251</v>
      </c>
      <c r="B131" s="1290"/>
      <c r="C131" s="1290"/>
      <c r="D131" s="599" t="s">
        <v>250</v>
      </c>
      <c r="E131" s="560">
        <f>'14'!F131</f>
        <v>0</v>
      </c>
      <c r="F131" s="554">
        <v>0</v>
      </c>
      <c r="G131" s="549">
        <f t="shared" si="15"/>
        <v>0</v>
      </c>
      <c r="H131" s="536">
        <f>G131+'14'!H131</f>
        <v>0</v>
      </c>
      <c r="I131" s="556"/>
      <c r="J131" s="629">
        <f>H131/DAY(B2)</f>
        <v>0</v>
      </c>
      <c r="N131" s="800"/>
      <c r="O131" s="807"/>
      <c r="P131" s="413"/>
    </row>
    <row r="132" spans="1:16" ht="27.75">
      <c r="A132" s="1289" t="s">
        <v>252</v>
      </c>
      <c r="B132" s="1290"/>
      <c r="C132" s="1290"/>
      <c r="D132" s="599" t="s">
        <v>250</v>
      </c>
      <c r="E132" s="618">
        <f>'14'!F132</f>
        <v>39191.29</v>
      </c>
      <c r="F132" s="732">
        <v>39191.29</v>
      </c>
      <c r="G132" s="549">
        <f t="shared" si="15"/>
        <v>0</v>
      </c>
      <c r="H132" s="536">
        <f>G132+'14'!H132</f>
        <v>86.849999999998545</v>
      </c>
      <c r="I132" s="556"/>
      <c r="J132" s="629">
        <f>H132/DAY(B2)</f>
        <v>5.7899999999999032</v>
      </c>
      <c r="N132" s="800"/>
      <c r="O132" s="807"/>
      <c r="P132" s="413"/>
    </row>
    <row r="133" spans="1:16" ht="27.75">
      <c r="A133" s="1289" t="s">
        <v>253</v>
      </c>
      <c r="B133" s="1290"/>
      <c r="C133" s="1290"/>
      <c r="D133" s="599" t="s">
        <v>250</v>
      </c>
      <c r="E133" s="782">
        <f>'14'!F133</f>
        <v>299</v>
      </c>
      <c r="F133" s="703">
        <v>299</v>
      </c>
      <c r="G133" s="549">
        <f t="shared" si="15"/>
        <v>0</v>
      </c>
      <c r="H133" s="536">
        <f>G133+'14'!H133</f>
        <v>0</v>
      </c>
      <c r="I133" s="556">
        <f>G130+G131+G132+G133</f>
        <v>0</v>
      </c>
      <c r="J133" s="629">
        <f>H133/DAY(B2)</f>
        <v>0</v>
      </c>
      <c r="N133" s="800"/>
      <c r="O133" s="807"/>
      <c r="P133" s="413"/>
    </row>
    <row r="134" spans="1:16" ht="27.75">
      <c r="A134" s="1289" t="s">
        <v>254</v>
      </c>
      <c r="B134" s="1290"/>
      <c r="C134" s="1290"/>
      <c r="D134" s="599" t="s">
        <v>250</v>
      </c>
      <c r="E134" s="782">
        <f>'14'!F134</f>
        <v>40200.25</v>
      </c>
      <c r="F134" s="703">
        <v>40224.239999999998</v>
      </c>
      <c r="G134" s="549">
        <f t="shared" si="15"/>
        <v>23.989999999997963</v>
      </c>
      <c r="H134" s="536">
        <f>G134+'14'!H134</f>
        <v>273.23999999999796</v>
      </c>
      <c r="I134" s="556"/>
      <c r="J134" s="629">
        <f>H134/DAY(B2)</f>
        <v>18.215999999999863</v>
      </c>
      <c r="N134" s="800"/>
      <c r="O134" s="807"/>
      <c r="P134" s="413"/>
    </row>
    <row r="135" spans="1:16" ht="27.75">
      <c r="A135" s="1289" t="s">
        <v>255</v>
      </c>
      <c r="B135" s="1290"/>
      <c r="C135" s="1290"/>
      <c r="D135" s="599" t="s">
        <v>250</v>
      </c>
      <c r="E135" s="618">
        <f>'14'!F135</f>
        <v>32423</v>
      </c>
      <c r="F135" s="732">
        <v>32423</v>
      </c>
      <c r="G135" s="549">
        <f t="shared" si="15"/>
        <v>0</v>
      </c>
      <c r="H135" s="536">
        <f>G135+'14'!H135</f>
        <v>0</v>
      </c>
      <c r="I135" s="556"/>
      <c r="J135" s="629">
        <f>H135/DAY(B2)</f>
        <v>0</v>
      </c>
      <c r="N135" s="800"/>
      <c r="O135" s="807"/>
      <c r="P135" s="413"/>
    </row>
    <row r="136" spans="1:16" ht="27.75">
      <c r="A136" s="1289" t="s">
        <v>256</v>
      </c>
      <c r="B136" s="1290"/>
      <c r="C136" s="1290"/>
      <c r="D136" s="599" t="s">
        <v>250</v>
      </c>
      <c r="E136" s="618">
        <f>'14'!F136</f>
        <v>22099.41</v>
      </c>
      <c r="F136" s="732">
        <v>22109.91</v>
      </c>
      <c r="G136" s="549">
        <f t="shared" si="15"/>
        <v>10.5</v>
      </c>
      <c r="H136" s="536">
        <f>G136+'14'!H136</f>
        <v>107.95000000000073</v>
      </c>
      <c r="I136" s="556">
        <f>G134+G135+G136</f>
        <v>34.489999999997963</v>
      </c>
      <c r="J136" s="629">
        <f>H136/DAY(B2)</f>
        <v>7.1966666666667152</v>
      </c>
      <c r="N136" s="800"/>
      <c r="O136" s="807"/>
      <c r="P136" s="413"/>
    </row>
    <row r="137" spans="1:16" ht="27.75">
      <c r="A137" s="1289" t="s">
        <v>257</v>
      </c>
      <c r="B137" s="1290"/>
      <c r="C137" s="1290"/>
      <c r="D137" s="599" t="s">
        <v>250</v>
      </c>
      <c r="E137" s="618">
        <f>'14'!F137</f>
        <v>25030.03</v>
      </c>
      <c r="F137" s="732">
        <v>25034.29</v>
      </c>
      <c r="G137" s="549">
        <f t="shared" si="15"/>
        <v>4.2600000000020373</v>
      </c>
      <c r="H137" s="536">
        <f>G137+'14'!H137</f>
        <v>14.350000000002183</v>
      </c>
      <c r="I137" s="556"/>
      <c r="J137" s="629">
        <f>H137/DAY(B2)</f>
        <v>0.95666666666681222</v>
      </c>
      <c r="N137" s="800"/>
      <c r="O137" s="807"/>
      <c r="P137" s="413"/>
    </row>
    <row r="138" spans="1:16" ht="27.75">
      <c r="A138" s="1289" t="s">
        <v>258</v>
      </c>
      <c r="B138" s="1290"/>
      <c r="C138" s="1290"/>
      <c r="D138" s="599" t="s">
        <v>250</v>
      </c>
      <c r="E138" s="618">
        <f>'14'!F138</f>
        <v>70093.899999999994</v>
      </c>
      <c r="F138" s="732">
        <v>70094.59</v>
      </c>
      <c r="G138" s="549">
        <f t="shared" si="15"/>
        <v>0.69000000000232831</v>
      </c>
      <c r="H138" s="536">
        <f>G138+'14'!H138</f>
        <v>30.69999999999709</v>
      </c>
      <c r="I138" s="556">
        <f>G137+G138</f>
        <v>4.9500000000043656</v>
      </c>
      <c r="J138" s="629">
        <f>H138/DAY(B2)</f>
        <v>2.0466666666664728</v>
      </c>
      <c r="N138" s="800"/>
      <c r="O138" s="807"/>
      <c r="P138" s="413"/>
    </row>
    <row r="139" spans="1:16" ht="27.75">
      <c r="A139" s="1289" t="s">
        <v>259</v>
      </c>
      <c r="B139" s="1290"/>
      <c r="C139" s="1290"/>
      <c r="D139" s="599" t="s">
        <v>250</v>
      </c>
      <c r="E139" s="782">
        <f>'14'!F139</f>
        <v>1316.53</v>
      </c>
      <c r="F139" s="703">
        <v>1324.32</v>
      </c>
      <c r="G139" s="549">
        <f t="shared" si="15"/>
        <v>7.7899999999999636</v>
      </c>
      <c r="H139" s="536">
        <f>G139+'14'!H139</f>
        <v>123.73000000000002</v>
      </c>
      <c r="I139" s="619"/>
      <c r="J139" s="629">
        <f>H139/DAY(B2)</f>
        <v>8.2486666666666686</v>
      </c>
      <c r="N139" s="800"/>
      <c r="O139" s="807"/>
      <c r="P139" s="413"/>
    </row>
    <row r="140" spans="1:16" ht="27.75">
      <c r="A140" s="1289" t="s">
        <v>260</v>
      </c>
      <c r="B140" s="1290"/>
      <c r="C140" s="1290"/>
      <c r="D140" s="599" t="s">
        <v>250</v>
      </c>
      <c r="E140" s="560">
        <f>'14'!F140</f>
        <v>4333.53</v>
      </c>
      <c r="F140" s="554">
        <v>4333.53</v>
      </c>
      <c r="G140" s="549">
        <f t="shared" si="15"/>
        <v>0</v>
      </c>
      <c r="H140" s="536">
        <f>G140+'14'!H140</f>
        <v>-0.47000000000025466</v>
      </c>
      <c r="I140" s="619"/>
      <c r="J140" s="629">
        <f>H140/DAY(B2)</f>
        <v>-3.1333333333350311E-2</v>
      </c>
      <c r="N140" s="800"/>
      <c r="O140" s="807"/>
      <c r="P140" s="413"/>
    </row>
    <row r="141" spans="1:16">
      <c r="A141" s="1412" t="s">
        <v>261</v>
      </c>
      <c r="B141" s="1413"/>
      <c r="C141" s="1295"/>
      <c r="D141" s="548"/>
      <c r="E141" s="548"/>
      <c r="F141" s="548"/>
      <c r="G141" s="559"/>
      <c r="H141" s="559"/>
      <c r="I141" s="559"/>
      <c r="J141" s="640"/>
      <c r="K141" s="411"/>
      <c r="L141" s="408"/>
      <c r="N141" s="800"/>
      <c r="O141" s="807"/>
      <c r="P141" s="413"/>
    </row>
    <row r="142" spans="1:16" ht="27.75">
      <c r="A142" s="1406" t="s">
        <v>262</v>
      </c>
      <c r="B142" s="1407"/>
      <c r="C142" s="1408"/>
      <c r="D142" s="599" t="s">
        <v>143</v>
      </c>
      <c r="E142" s="599"/>
      <c r="F142" s="599"/>
      <c r="G142" s="536">
        <f>G35+G43+G49+G57</f>
        <v>5265.9200000000419</v>
      </c>
      <c r="H142" s="536">
        <f>G142+'14'!H142</f>
        <v>75485.89</v>
      </c>
      <c r="I142" s="556"/>
      <c r="J142" s="629">
        <f>H142/DAY(B2)</f>
        <v>5032.3926666666666</v>
      </c>
      <c r="K142" s="411"/>
      <c r="L142" s="408"/>
      <c r="N142" s="800"/>
      <c r="O142" s="807"/>
      <c r="P142" s="413"/>
    </row>
    <row r="143" spans="1:16" ht="27.75">
      <c r="A143" s="1406" t="s">
        <v>263</v>
      </c>
      <c r="B143" s="1407"/>
      <c r="C143" s="1408"/>
      <c r="D143" s="599" t="s">
        <v>24</v>
      </c>
      <c r="E143" s="587"/>
      <c r="F143" s="587"/>
      <c r="G143" s="620">
        <f>G142/G7</f>
        <v>0.22691084586547344</v>
      </c>
      <c r="H143" s="536">
        <f>G143+'14'!H143</f>
        <v>3.7437787096885407</v>
      </c>
      <c r="I143" s="621"/>
      <c r="J143" s="629">
        <f>H143/DAY(B2)</f>
        <v>0.24958524731256937</v>
      </c>
      <c r="K143" s="411"/>
      <c r="L143" s="408"/>
      <c r="N143" s="800"/>
      <c r="O143" s="807"/>
      <c r="P143" s="413"/>
    </row>
    <row r="144" spans="1:16" ht="27.75">
      <c r="A144" s="1406" t="s">
        <v>264</v>
      </c>
      <c r="B144" s="1407"/>
      <c r="C144" s="1408"/>
      <c r="D144" s="599" t="s">
        <v>143</v>
      </c>
      <c r="E144" s="531"/>
      <c r="F144" s="531"/>
      <c r="G144" s="536">
        <f>G41+G42+G55+G56</f>
        <v>5582.9709999999905</v>
      </c>
      <c r="H144" s="536">
        <f>G144+'14'!H144</f>
        <v>63168.619999999966</v>
      </c>
      <c r="I144" s="556"/>
      <c r="J144" s="629">
        <f>H144/DAY(B2)</f>
        <v>4211.2413333333307</v>
      </c>
      <c r="K144" s="411"/>
      <c r="L144" s="408"/>
      <c r="N144" s="800"/>
      <c r="O144" s="807"/>
      <c r="P144" s="413"/>
    </row>
    <row r="145" spans="1:16" ht="27.75">
      <c r="A145" s="1406" t="s">
        <v>265</v>
      </c>
      <c r="B145" s="1407"/>
      <c r="C145" s="1408"/>
      <c r="D145" s="599" t="s">
        <v>24</v>
      </c>
      <c r="E145" s="531"/>
      <c r="F145" s="531"/>
      <c r="G145" s="620">
        <f>G144/G7</f>
        <v>0.24057271512905548</v>
      </c>
      <c r="H145" s="536">
        <f>G145+'14'!H145</f>
        <v>3.2704878270205544</v>
      </c>
      <c r="I145" s="621"/>
      <c r="J145" s="629">
        <f>H145/DAY(B2)</f>
        <v>0.21803252180137028</v>
      </c>
      <c r="K145" s="411"/>
      <c r="L145" s="408"/>
      <c r="N145" s="800"/>
      <c r="O145" s="807"/>
      <c r="P145" s="413"/>
    </row>
    <row r="146" spans="1:16" ht="27.75">
      <c r="A146" s="1406" t="s">
        <v>266</v>
      </c>
      <c r="B146" s="1407"/>
      <c r="C146" s="1408"/>
      <c r="D146" s="599" t="s">
        <v>143</v>
      </c>
      <c r="E146" s="531"/>
      <c r="F146" s="531"/>
      <c r="G146" s="536">
        <f>G39+G53</f>
        <v>4654.59</v>
      </c>
      <c r="H146" s="536">
        <f>G146+'14'!H146</f>
        <v>63573.669999999984</v>
      </c>
      <c r="I146" s="622"/>
      <c r="J146" s="629">
        <f>H146/DAY(B2)</f>
        <v>4238.2446666666656</v>
      </c>
      <c r="K146" s="411"/>
      <c r="L146" s="408"/>
      <c r="N146" s="800"/>
      <c r="O146" s="807"/>
      <c r="P146" s="413"/>
    </row>
    <row r="147" spans="1:16" ht="27.75">
      <c r="A147" s="1406" t="s">
        <v>267</v>
      </c>
      <c r="B147" s="1407"/>
      <c r="C147" s="1408"/>
      <c r="D147" s="599" t="s">
        <v>24</v>
      </c>
      <c r="E147" s="531"/>
      <c r="F147" s="531"/>
      <c r="G147" s="620">
        <f>G146/G7</f>
        <v>0.20056836299392425</v>
      </c>
      <c r="H147" s="536">
        <f>G147+'14'!H147</f>
        <v>3.3179549131115209</v>
      </c>
      <c r="I147" s="622"/>
      <c r="J147" s="629">
        <f>H147/DAY(B2)</f>
        <v>0.22119699420743472</v>
      </c>
      <c r="N147" s="800"/>
      <c r="O147" s="807"/>
      <c r="P147" s="413"/>
    </row>
    <row r="148" spans="1:16" ht="27.75">
      <c r="A148" s="1406" t="s">
        <v>268</v>
      </c>
      <c r="B148" s="1407"/>
      <c r="C148" s="1408"/>
      <c r="D148" s="599" t="s">
        <v>194</v>
      </c>
      <c r="E148" s="531"/>
      <c r="F148" s="531"/>
      <c r="G148" s="536">
        <f>G38+G52</f>
        <v>2468.8999999999996</v>
      </c>
      <c r="H148" s="536">
        <f>G148+'14'!H148</f>
        <v>30979.980000000032</v>
      </c>
      <c r="I148" s="556"/>
      <c r="J148" s="629">
        <f>H148/DAY(B2)</f>
        <v>2065.3320000000022</v>
      </c>
      <c r="K148" s="412"/>
      <c r="N148" s="800"/>
      <c r="O148" s="807"/>
      <c r="P148" s="413"/>
    </row>
    <row r="149" spans="1:16" ht="27.75">
      <c r="A149" s="1406" t="s">
        <v>269</v>
      </c>
      <c r="B149" s="1407"/>
      <c r="C149" s="1408"/>
      <c r="D149" s="599" t="s">
        <v>24</v>
      </c>
      <c r="E149" s="531"/>
      <c r="F149" s="531"/>
      <c r="G149" s="620">
        <f>G148/G7</f>
        <v>0.10638600422286378</v>
      </c>
      <c r="H149" s="536">
        <f>G149+'14'!H149</f>
        <v>1.6126872830581909</v>
      </c>
      <c r="I149" s="622"/>
      <c r="J149" s="629">
        <f>H149/DAY(B2)</f>
        <v>0.10751248553721272</v>
      </c>
      <c r="N149" s="800"/>
      <c r="O149" s="807"/>
      <c r="P149" s="413"/>
    </row>
    <row r="150" spans="1:16" ht="27.75">
      <c r="A150" s="1406" t="s">
        <v>270</v>
      </c>
      <c r="B150" s="1407"/>
      <c r="C150" s="1408"/>
      <c r="D150" s="599" t="s">
        <v>194</v>
      </c>
      <c r="E150" s="531"/>
      <c r="F150" s="531"/>
      <c r="G150" s="536">
        <f>G36+G50</f>
        <v>2931.5199999999604</v>
      </c>
      <c r="H150" s="536">
        <f>G150+'14'!H150</f>
        <v>28209.899999999965</v>
      </c>
      <c r="I150" s="622"/>
      <c r="J150" s="629">
        <f>H150/DAY(B2)</f>
        <v>1880.6599999999976</v>
      </c>
      <c r="N150" s="800"/>
      <c r="O150" s="807"/>
      <c r="P150" s="413"/>
    </row>
    <row r="151" spans="1:16" ht="27.75">
      <c r="A151" s="1406" t="s">
        <v>271</v>
      </c>
      <c r="B151" s="1407"/>
      <c r="C151" s="1408"/>
      <c r="D151" s="599" t="s">
        <v>24</v>
      </c>
      <c r="E151" s="531"/>
      <c r="F151" s="531"/>
      <c r="G151" s="620">
        <f>G150/G7</f>
        <v>0.12632050674365322</v>
      </c>
      <c r="H151" s="536">
        <f>G151+'14'!H151</f>
        <v>1.4602217694019302</v>
      </c>
      <c r="I151" s="556"/>
      <c r="J151" s="629">
        <f>H151/DAY(B2)</f>
        <v>9.7348117960128683E-2</v>
      </c>
      <c r="N151" s="800"/>
      <c r="O151" s="807"/>
      <c r="P151" s="413"/>
    </row>
    <row r="152" spans="1:16" ht="27.75">
      <c r="A152" s="1406" t="s">
        <v>272</v>
      </c>
      <c r="B152" s="1407"/>
      <c r="C152" s="1408"/>
      <c r="D152" s="599" t="s">
        <v>194</v>
      </c>
      <c r="E152" s="531"/>
      <c r="F152" s="531"/>
      <c r="G152" s="536">
        <f>G37+G51</f>
        <v>1580.0900000000001</v>
      </c>
      <c r="H152" s="536">
        <f>G152+'14'!H152</f>
        <v>22715.429999999993</v>
      </c>
      <c r="I152" s="556"/>
      <c r="J152" s="629">
        <f>H152/DAY(B2)</f>
        <v>1514.3619999999996</v>
      </c>
      <c r="N152" s="800"/>
      <c r="O152" s="807"/>
      <c r="P152" s="413"/>
    </row>
    <row r="153" spans="1:16" ht="28.5" thickBot="1">
      <c r="A153" s="1409" t="s">
        <v>273</v>
      </c>
      <c r="B153" s="1410"/>
      <c r="C153" s="1411"/>
      <c r="D153" s="702" t="s">
        <v>24</v>
      </c>
      <c r="E153" s="642"/>
      <c r="F153" s="642"/>
      <c r="G153" s="643">
        <f>G152/G7</f>
        <v>6.8086784159951744E-2</v>
      </c>
      <c r="H153" s="536">
        <f>G153+'14'!H153</f>
        <v>1.190207531023463</v>
      </c>
      <c r="I153" s="645"/>
      <c r="J153" s="646">
        <f>H153/DAY(B2)</f>
        <v>7.9347168734897527E-2</v>
      </c>
      <c r="N153" s="800"/>
      <c r="O153" s="807"/>
      <c r="P153" s="413"/>
    </row>
    <row r="154" spans="1:16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800"/>
    </row>
    <row r="155" spans="1:16">
      <c r="N155" s="800"/>
    </row>
    <row r="156" spans="1:16">
      <c r="N156" s="800"/>
    </row>
    <row r="157" spans="1:16">
      <c r="N157" s="800"/>
    </row>
    <row r="158" spans="1:16">
      <c r="N158" s="800"/>
    </row>
    <row r="159" spans="1:16">
      <c r="N159" s="800"/>
    </row>
    <row r="160" spans="1:16">
      <c r="A160" s="878" t="s">
        <v>274</v>
      </c>
      <c r="B160" s="879"/>
      <c r="C160" s="879"/>
      <c r="D160" s="697" t="s">
        <v>198</v>
      </c>
      <c r="E160" s="598">
        <f>'14'!F160</f>
        <v>29602.005000000001</v>
      </c>
      <c r="F160" s="887">
        <v>29687.06</v>
      </c>
      <c r="G160" s="549">
        <f t="shared" ref="G160:G163" si="16">F160-E160</f>
        <v>85.055000000000291</v>
      </c>
      <c r="N160" s="800"/>
    </row>
    <row r="161" spans="1:14" ht="21.75" customHeight="1">
      <c r="A161" s="878" t="s">
        <v>275</v>
      </c>
      <c r="B161" s="879"/>
      <c r="C161" s="879"/>
      <c r="D161" s="697" t="s">
        <v>198</v>
      </c>
      <c r="E161" s="598">
        <f>'14'!F161</f>
        <v>48871.898999999998</v>
      </c>
      <c r="F161" s="887">
        <v>49334.61</v>
      </c>
      <c r="G161" s="549">
        <f t="shared" si="16"/>
        <v>462.71100000000297</v>
      </c>
      <c r="N161" s="800"/>
    </row>
    <row r="162" spans="1:14" ht="21.75" customHeight="1">
      <c r="A162" s="878" t="s">
        <v>276</v>
      </c>
      <c r="B162" s="879"/>
      <c r="C162" s="879"/>
      <c r="D162" s="697" t="s">
        <v>198</v>
      </c>
      <c r="E162" s="598">
        <f>'14'!F162</f>
        <v>16517.762999999999</v>
      </c>
      <c r="F162" s="887">
        <v>17070.150000000001</v>
      </c>
      <c r="G162" s="549">
        <f t="shared" si="16"/>
        <v>552.38700000000244</v>
      </c>
      <c r="N162" s="800"/>
    </row>
    <row r="163" spans="1:14" ht="21.75" customHeight="1">
      <c r="A163" s="878" t="s">
        <v>277</v>
      </c>
      <c r="B163" s="879"/>
      <c r="C163" s="879"/>
      <c r="D163" s="697" t="s">
        <v>198</v>
      </c>
      <c r="E163" s="598">
        <f>'14'!F163</f>
        <v>5198.2700000000004</v>
      </c>
      <c r="F163" s="887">
        <v>5204.53</v>
      </c>
      <c r="G163" s="549">
        <f t="shared" si="16"/>
        <v>6.2599999999993088</v>
      </c>
      <c r="N163" s="800"/>
    </row>
    <row r="164" spans="1:14" ht="21.75" customHeight="1">
      <c r="A164" s="880" t="s">
        <v>106</v>
      </c>
      <c r="B164" s="881"/>
      <c r="C164" s="881"/>
      <c r="D164" s="697" t="s">
        <v>198</v>
      </c>
      <c r="E164" s="590">
        <f>E62</f>
        <v>20419.18</v>
      </c>
      <c r="F164" s="590">
        <f>F62</f>
        <v>20419.18</v>
      </c>
      <c r="G164" s="549">
        <f t="shared" ref="G164:G171" si="17">F164-E164</f>
        <v>0</v>
      </c>
      <c r="N164" s="800"/>
    </row>
    <row r="165" spans="1:14" ht="21.75" customHeight="1">
      <c r="A165" s="880" t="s">
        <v>199</v>
      </c>
      <c r="B165" s="881"/>
      <c r="C165" s="881"/>
      <c r="D165" s="697" t="s">
        <v>198</v>
      </c>
      <c r="E165" s="590">
        <f t="shared" ref="E165:E171" si="18">E63</f>
        <v>1520.48</v>
      </c>
      <c r="F165" s="590">
        <f t="shared" ref="F165:F171" si="19">F63</f>
        <v>1532.7</v>
      </c>
      <c r="G165" s="549">
        <f t="shared" si="17"/>
        <v>12.220000000000027</v>
      </c>
      <c r="N165" s="800"/>
    </row>
    <row r="166" spans="1:14" ht="21.75" customHeight="1">
      <c r="A166" s="1449" t="s">
        <v>107</v>
      </c>
      <c r="B166" s="1449"/>
      <c r="C166" s="1449"/>
      <c r="D166" s="600" t="s">
        <v>198</v>
      </c>
      <c r="E166" s="590">
        <f t="shared" si="18"/>
        <v>117109.7</v>
      </c>
      <c r="F166" s="590">
        <f t="shared" si="19"/>
        <v>117536.58</v>
      </c>
      <c r="G166" s="549">
        <f t="shared" si="17"/>
        <v>426.88000000000466</v>
      </c>
      <c r="N166" s="800"/>
    </row>
    <row r="167" spans="1:14" ht="21.75" customHeight="1">
      <c r="A167" s="1449" t="s">
        <v>108</v>
      </c>
      <c r="B167" s="1449"/>
      <c r="C167" s="1449"/>
      <c r="D167" s="600" t="s">
        <v>198</v>
      </c>
      <c r="E167" s="590">
        <f t="shared" si="18"/>
        <v>127037.93</v>
      </c>
      <c r="F167" s="590">
        <f t="shared" si="19"/>
        <v>127442.35</v>
      </c>
      <c r="G167" s="549">
        <f t="shared" si="17"/>
        <v>404.42000000001281</v>
      </c>
      <c r="N167" s="800"/>
    </row>
    <row r="168" spans="1:14" ht="21.75" customHeight="1">
      <c r="A168" s="1449" t="s">
        <v>109</v>
      </c>
      <c r="B168" s="1449"/>
      <c r="C168" s="1449"/>
      <c r="D168" s="600" t="s">
        <v>198</v>
      </c>
      <c r="E168" s="590">
        <f t="shared" si="18"/>
        <v>19646.939999999999</v>
      </c>
      <c r="F168" s="590">
        <f t="shared" si="19"/>
        <v>20047.63</v>
      </c>
      <c r="G168" s="549">
        <f t="shared" si="17"/>
        <v>400.69000000000233</v>
      </c>
      <c r="N168" s="800"/>
    </row>
    <row r="169" spans="1:14" ht="23.25" customHeight="1">
      <c r="A169" s="1449" t="s">
        <v>110</v>
      </c>
      <c r="B169" s="1449"/>
      <c r="C169" s="1449"/>
      <c r="D169" s="600" t="s">
        <v>198</v>
      </c>
      <c r="E169" s="590">
        <f t="shared" si="18"/>
        <v>198524.69</v>
      </c>
      <c r="F169" s="590">
        <f t="shared" si="19"/>
        <v>199239.17</v>
      </c>
      <c r="G169" s="549">
        <f t="shared" si="17"/>
        <v>714.48000000001048</v>
      </c>
      <c r="N169" s="800"/>
    </row>
    <row r="170" spans="1:14" ht="24" customHeight="1">
      <c r="A170" s="1449" t="s">
        <v>111</v>
      </c>
      <c r="B170" s="1449"/>
      <c r="C170" s="1449"/>
      <c r="D170" s="600" t="s">
        <v>198</v>
      </c>
      <c r="E170" s="590">
        <f t="shared" si="18"/>
        <v>68100.536999999997</v>
      </c>
      <c r="F170" s="590">
        <f t="shared" si="19"/>
        <v>68438.38</v>
      </c>
      <c r="G170" s="549">
        <f t="shared" si="17"/>
        <v>337.84300000000803</v>
      </c>
      <c r="N170" s="800"/>
    </row>
    <row r="171" spans="1:14" ht="27.75">
      <c r="A171" s="1449" t="s">
        <v>112</v>
      </c>
      <c r="B171" s="1449"/>
      <c r="C171" s="1449"/>
      <c r="D171" s="600" t="s">
        <v>198</v>
      </c>
      <c r="E171" s="590">
        <f t="shared" si="18"/>
        <v>59956.39</v>
      </c>
      <c r="F171" s="590">
        <f t="shared" si="19"/>
        <v>60262.21</v>
      </c>
      <c r="G171" s="549">
        <f t="shared" si="17"/>
        <v>305.81999999999971</v>
      </c>
      <c r="N171" s="800"/>
    </row>
    <row r="172" spans="1:14">
      <c r="A172" s="882"/>
      <c r="B172" s="883"/>
      <c r="C172" s="883"/>
      <c r="D172" s="884"/>
      <c r="E172" s="884"/>
      <c r="F172" s="885"/>
      <c r="G172" s="886">
        <f>SUM(G160:G171)</f>
        <v>3708.7660000000433</v>
      </c>
      <c r="N172" s="800"/>
    </row>
    <row r="173" spans="1:14">
      <c r="N173" s="800"/>
    </row>
    <row r="174" spans="1:14">
      <c r="N174" s="800"/>
    </row>
    <row r="175" spans="1:14">
      <c r="N175" s="800"/>
    </row>
    <row r="176" spans="1:14" ht="18.75" customHeight="1">
      <c r="N176" s="800"/>
    </row>
    <row r="177" spans="14:14" ht="27" customHeight="1">
      <c r="N177" s="800"/>
    </row>
    <row r="178" spans="14:14" ht="27" customHeight="1">
      <c r="N178" s="800"/>
    </row>
    <row r="179" spans="14:14" ht="27" customHeight="1">
      <c r="N179" s="800"/>
    </row>
    <row r="180" spans="14:14" ht="27" customHeight="1">
      <c r="N180" s="800"/>
    </row>
    <row r="181" spans="14:14" ht="27" customHeight="1">
      <c r="N181" s="800"/>
    </row>
    <row r="182" spans="14:14" ht="27" customHeight="1">
      <c r="N182" s="800"/>
    </row>
    <row r="183" spans="14:14" ht="27" customHeight="1">
      <c r="N183" s="800"/>
    </row>
    <row r="184" spans="14:14" ht="27" customHeight="1">
      <c r="N184" s="800"/>
    </row>
    <row r="185" spans="14:14" ht="27" customHeight="1">
      <c r="N185" s="800"/>
    </row>
    <row r="186" spans="14:14" ht="27" customHeight="1">
      <c r="N186" s="800"/>
    </row>
    <row r="187" spans="14:14" ht="27" customHeight="1">
      <c r="N187" s="800"/>
    </row>
    <row r="188" spans="14:14" ht="27" customHeight="1">
      <c r="N188" s="800"/>
    </row>
    <row r="189" spans="14:14" ht="27" customHeight="1">
      <c r="N189" s="800"/>
    </row>
    <row r="190" spans="14:14" ht="27" customHeight="1">
      <c r="N190" s="800"/>
    </row>
    <row r="191" spans="14:14" ht="27" customHeight="1">
      <c r="N191" s="800"/>
    </row>
    <row r="192" spans="14:14" ht="27" customHeight="1">
      <c r="N192" s="800"/>
    </row>
    <row r="193" spans="14:14" ht="27" customHeight="1">
      <c r="N193" s="800"/>
    </row>
    <row r="194" spans="14:14" ht="27" customHeight="1">
      <c r="N194" s="800"/>
    </row>
    <row r="195" spans="14:14" ht="27" customHeight="1">
      <c r="N195" s="800"/>
    </row>
    <row r="196" spans="14:14" ht="27" customHeight="1">
      <c r="N196" s="800"/>
    </row>
    <row r="197" spans="14:14" ht="27" customHeight="1">
      <c r="N197" s="800"/>
    </row>
    <row r="198" spans="14:14" ht="27" customHeight="1"/>
    <row r="199" spans="14:14" ht="27" customHeight="1"/>
    <row r="200" spans="14:14" ht="27" customHeight="1"/>
    <row r="201" spans="14:14" ht="27" customHeight="1"/>
    <row r="202" spans="14:14" ht="27" customHeight="1"/>
    <row r="203" spans="14:14" ht="27" customHeight="1"/>
    <row r="204" spans="14:14" ht="27" customHeight="1"/>
    <row r="205" spans="14:14" ht="27" customHeight="1"/>
    <row r="206" spans="14:14" ht="27" customHeight="1"/>
    <row r="207" spans="14:14" ht="27" customHeight="1"/>
    <row r="208" spans="14:14" ht="27" customHeight="1"/>
    <row r="209" ht="27" customHeight="1"/>
    <row r="210" ht="27" customHeight="1"/>
    <row r="211" ht="27" customHeight="1"/>
    <row r="212" ht="27" customHeight="1"/>
    <row r="213" ht="27" customHeight="1"/>
    <row r="214" ht="27" customHeight="1"/>
    <row r="215" ht="27" customHeight="1"/>
    <row r="216" ht="27" customHeight="1"/>
    <row r="217" ht="27" customHeight="1"/>
    <row r="218" ht="27" customHeight="1"/>
    <row r="219" ht="27" customHeight="1"/>
    <row r="220" ht="27" customHeight="1"/>
    <row r="221" ht="27" customHeight="1"/>
    <row r="222" ht="27" customHeight="1"/>
    <row r="223" ht="27" customHeight="1"/>
    <row r="224" ht="27" customHeight="1"/>
    <row r="225" ht="27" customHeight="1"/>
    <row r="226" ht="27" customHeight="1"/>
    <row r="227" ht="27" customHeight="1"/>
    <row r="228" ht="27" customHeight="1"/>
    <row r="229" ht="27" customHeight="1"/>
    <row r="230" ht="27" customHeight="1"/>
    <row r="231" ht="27" customHeight="1"/>
    <row r="232" ht="27" customHeight="1"/>
    <row r="233" ht="27" customHeight="1"/>
    <row r="234" ht="27" customHeight="1"/>
    <row r="235" ht="27" customHeight="1"/>
    <row r="236" ht="27" customHeight="1"/>
    <row r="237" ht="27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125:C125"/>
    <mergeCell ref="A101:C101"/>
    <mergeCell ref="A122:C122"/>
    <mergeCell ref="A141:B141"/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42:C142"/>
    <mergeCell ref="A143:C143"/>
    <mergeCell ref="A144:C144"/>
    <mergeCell ref="A145:C145"/>
    <mergeCell ref="A146:C146"/>
    <mergeCell ref="A152:C152"/>
    <mergeCell ref="A153:C153"/>
    <mergeCell ref="A150:C150"/>
    <mergeCell ref="A151:C151"/>
    <mergeCell ref="A147:C147"/>
    <mergeCell ref="A148:C148"/>
    <mergeCell ref="A149:C149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136" zoomScale="55" zoomScaleNormal="90" zoomScaleSheetLayoutView="55" workbookViewId="0">
      <selection activeCell="F164" sqref="F164"/>
    </sheetView>
  </sheetViews>
  <sheetFormatPr defaultColWidth="22.33203125" defaultRowHeight="29.25"/>
  <cols>
    <col min="1" max="1" width="40.6640625" style="530" customWidth="1"/>
    <col min="2" max="2" width="28.5546875" style="533" customWidth="1"/>
    <col min="3" max="3" width="15.88671875" style="533" customWidth="1"/>
    <col min="4" max="4" width="13.6640625" style="614" customWidth="1"/>
    <col min="5" max="5" width="17.88671875" style="614" bestFit="1" customWidth="1"/>
    <col min="6" max="6" width="19.5546875" style="744" bestFit="1" customWidth="1"/>
    <col min="7" max="7" width="19.5546875" style="614" bestFit="1" customWidth="1"/>
    <col min="8" max="8" width="15.44140625" style="615" bestFit="1" customWidth="1"/>
    <col min="9" max="9" width="18.109375" style="614" bestFit="1" customWidth="1"/>
    <col min="10" max="10" width="18.33203125" style="616" bestFit="1" customWidth="1"/>
    <col min="11" max="11" width="43.21875" style="407" hidden="1" customWidth="1"/>
    <col min="12" max="13" width="22.33203125" style="407" hidden="1" customWidth="1"/>
    <col min="14" max="14" width="25.5546875" style="798" customWidth="1"/>
    <col min="15" max="15" width="22.33203125" style="805"/>
    <col min="16" max="16384" width="22.33203125" style="407"/>
  </cols>
  <sheetData>
    <row r="1" spans="1:16" ht="33.75">
      <c r="A1" s="1414" t="s">
        <v>128</v>
      </c>
      <c r="B1" s="1415"/>
      <c r="C1" s="1415"/>
      <c r="D1" s="1415"/>
      <c r="E1" s="1415"/>
      <c r="F1" s="1415"/>
      <c r="G1" s="1415"/>
      <c r="H1" s="1415"/>
      <c r="I1" s="1415"/>
      <c r="J1" s="1416"/>
    </row>
    <row r="2" spans="1:16" s="281" customFormat="1" ht="27">
      <c r="A2" s="652" t="s">
        <v>345</v>
      </c>
      <c r="B2" s="1118">
        <v>44243</v>
      </c>
      <c r="C2" s="1304" t="s">
        <v>69</v>
      </c>
      <c r="D2" s="688">
        <v>0.63449999999999995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  <c r="N2" s="799"/>
      <c r="O2" s="806"/>
    </row>
    <row r="3" spans="1:16" s="281" customFormat="1" ht="27">
      <c r="A3" s="647"/>
      <c r="B3" s="691"/>
      <c r="C3" s="1304" t="s">
        <v>131</v>
      </c>
      <c r="D3" s="689">
        <v>24</v>
      </c>
      <c r="E3" s="1423" t="s">
        <v>132</v>
      </c>
      <c r="F3" s="1424"/>
      <c r="G3" s="538"/>
      <c r="H3" s="539"/>
      <c r="I3" s="539"/>
      <c r="J3" s="692"/>
      <c r="K3" s="402"/>
      <c r="L3" s="293"/>
      <c r="N3" s="799"/>
      <c r="O3" s="806"/>
    </row>
    <row r="4" spans="1:16" s="281" customFormat="1" ht="27">
      <c r="A4" s="653"/>
      <c r="B4" s="693"/>
      <c r="C4" s="1304" t="s">
        <v>133</v>
      </c>
      <c r="D4" s="688">
        <v>0.64</v>
      </c>
      <c r="E4" s="540"/>
      <c r="F4" s="540"/>
      <c r="G4" s="540"/>
      <c r="H4" s="540"/>
      <c r="I4" s="541"/>
      <c r="J4" s="692"/>
      <c r="K4" s="403"/>
      <c r="L4" s="293"/>
      <c r="N4" s="799"/>
      <c r="O4" s="806"/>
    </row>
    <row r="5" spans="1:16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6">
      <c r="A6" s="1417" t="s">
        <v>141</v>
      </c>
      <c r="B6" s="1418"/>
      <c r="C6" s="1419"/>
      <c r="D6" s="547"/>
      <c r="E6" s="547"/>
      <c r="F6" s="547"/>
      <c r="G6" s="547"/>
      <c r="H6" s="548"/>
      <c r="I6" s="548"/>
      <c r="J6" s="628"/>
      <c r="K6" s="466"/>
      <c r="L6" s="408"/>
    </row>
    <row r="7" spans="1:16" ht="30" thickBot="1">
      <c r="A7" s="757" t="s">
        <v>142</v>
      </c>
      <c r="B7" s="758"/>
      <c r="C7" s="758"/>
      <c r="D7" s="715" t="s">
        <v>143</v>
      </c>
      <c r="E7" s="710">
        <f>'15'!F7</f>
        <v>4177199</v>
      </c>
      <c r="F7" s="531">
        <v>4198174</v>
      </c>
      <c r="G7" s="759">
        <f>F7-E7</f>
        <v>20975</v>
      </c>
      <c r="H7" s="760">
        <f>G7+'15'!H7</f>
        <v>309976</v>
      </c>
      <c r="I7" s="761">
        <f>'1'!I7</f>
        <v>12000</v>
      </c>
      <c r="J7" s="762">
        <f>H7/DAY(B2)</f>
        <v>19373.5</v>
      </c>
      <c r="K7" s="626">
        <f>'1'!E7-'16'!F7</f>
        <v>-309976</v>
      </c>
      <c r="L7" s="408"/>
      <c r="N7" s="811"/>
      <c r="O7" s="807"/>
      <c r="P7" s="810"/>
    </row>
    <row r="8" spans="1:16" ht="27.75" thickBot="1">
      <c r="A8" s="763" t="s">
        <v>144</v>
      </c>
      <c r="B8" s="764"/>
      <c r="C8" s="765"/>
      <c r="D8" s="766" t="s">
        <v>25</v>
      </c>
      <c r="E8" s="710">
        <f>'15'!F8</f>
        <v>4203853</v>
      </c>
      <c r="F8" s="551">
        <v>4224940</v>
      </c>
      <c r="G8" s="770">
        <f>F8-E8</f>
        <v>21087</v>
      </c>
      <c r="H8" s="760">
        <f>G8+'15'!H8</f>
        <v>312089</v>
      </c>
      <c r="I8" s="767">
        <f>'1'!I8</f>
        <v>12000</v>
      </c>
      <c r="J8" s="762">
        <f>H8/DAY(B2)</f>
        <v>19505.5625</v>
      </c>
      <c r="K8" s="626">
        <f>'1'!E8-'16'!F8</f>
        <v>-312089</v>
      </c>
      <c r="L8" s="464"/>
      <c r="M8" s="479"/>
      <c r="N8" s="800"/>
      <c r="O8" s="807"/>
      <c r="P8" s="413"/>
    </row>
    <row r="9" spans="1:16">
      <c r="A9" s="768" t="s">
        <v>145</v>
      </c>
      <c r="B9" s="769"/>
      <c r="C9" s="769"/>
      <c r="D9" s="715" t="s">
        <v>143</v>
      </c>
      <c r="E9" s="710">
        <f>'15'!F9</f>
        <v>101861</v>
      </c>
      <c r="F9" s="554">
        <v>116207</v>
      </c>
      <c r="G9" s="783">
        <f t="shared" ref="G9:G12" si="0">F9-E9</f>
        <v>14346</v>
      </c>
      <c r="H9" s="760">
        <f>G9+'15'!H9</f>
        <v>153319.25</v>
      </c>
      <c r="I9" s="771">
        <f>I7-J7</f>
        <v>-7373.5</v>
      </c>
      <c r="J9" s="762">
        <f>H9/DAY(B2)</f>
        <v>9582.453125</v>
      </c>
      <c r="K9" s="467">
        <f>'1'!E9-'16'!F9</f>
        <v>2418921.5</v>
      </c>
      <c r="L9" s="408"/>
      <c r="N9" s="800"/>
      <c r="O9" s="807"/>
      <c r="P9" s="413"/>
    </row>
    <row r="10" spans="1:16">
      <c r="A10" s="757" t="s">
        <v>146</v>
      </c>
      <c r="B10" s="758"/>
      <c r="C10" s="758"/>
      <c r="D10" s="715" t="s">
        <v>143</v>
      </c>
      <c r="E10" s="710">
        <f>'15'!F10</f>
        <v>1340215.3999999999</v>
      </c>
      <c r="F10" s="554">
        <v>1346214.9</v>
      </c>
      <c r="G10" s="770">
        <f t="shared" si="0"/>
        <v>5999.5</v>
      </c>
      <c r="H10" s="760">
        <f>G10+'15'!H10</f>
        <v>145340.5</v>
      </c>
      <c r="I10" s="772"/>
      <c r="J10" s="762">
        <f>H10/DAY(B2)</f>
        <v>9083.78125</v>
      </c>
      <c r="K10" s="467"/>
      <c r="L10" s="408"/>
      <c r="N10" s="800"/>
      <c r="O10" s="807"/>
      <c r="P10" s="413"/>
    </row>
    <row r="11" spans="1:16">
      <c r="A11" s="757" t="s">
        <v>147</v>
      </c>
      <c r="B11" s="758"/>
      <c r="C11" s="758"/>
      <c r="D11" s="715" t="s">
        <v>143</v>
      </c>
      <c r="E11" s="710">
        <f>'15'!F11</f>
        <v>37000</v>
      </c>
      <c r="F11" s="531">
        <v>37000</v>
      </c>
      <c r="G11" s="770">
        <f t="shared" si="0"/>
        <v>0</v>
      </c>
      <c r="H11" s="760">
        <f>G11+'15'!H11</f>
        <v>1610</v>
      </c>
      <c r="I11" s="772"/>
      <c r="J11" s="762">
        <f>H11/DAY(B2)</f>
        <v>100.625</v>
      </c>
      <c r="K11" s="467"/>
      <c r="L11" s="408"/>
      <c r="N11" s="800"/>
      <c r="O11" s="807"/>
      <c r="P11" s="413"/>
    </row>
    <row r="12" spans="1:16">
      <c r="A12" s="757" t="s">
        <v>148</v>
      </c>
      <c r="B12" s="758"/>
      <c r="C12" s="758"/>
      <c r="D12" s="715" t="s">
        <v>143</v>
      </c>
      <c r="E12" s="710">
        <f>'15'!F12</f>
        <v>40010</v>
      </c>
      <c r="F12" s="554">
        <v>40010</v>
      </c>
      <c r="G12" s="770">
        <f t="shared" si="0"/>
        <v>0</v>
      </c>
      <c r="H12" s="760">
        <f>G12+'15'!H12</f>
        <v>2380</v>
      </c>
      <c r="I12" s="772"/>
      <c r="J12" s="762">
        <f>H12/DAY(B2)</f>
        <v>148.75</v>
      </c>
      <c r="K12" s="467"/>
      <c r="L12" s="408"/>
      <c r="N12" s="800"/>
      <c r="O12" s="807"/>
      <c r="P12" s="413"/>
    </row>
    <row r="13" spans="1:16">
      <c r="A13" s="773" t="s">
        <v>149</v>
      </c>
      <c r="B13" s="774"/>
      <c r="C13" s="774"/>
      <c r="D13" s="715"/>
      <c r="E13" s="710"/>
      <c r="F13" s="531"/>
      <c r="G13" s="775">
        <f>G9+G10+G11+G12</f>
        <v>20345.5</v>
      </c>
      <c r="H13" s="760">
        <f>G13+'15'!H13</f>
        <v>284343.75</v>
      </c>
      <c r="I13" s="776">
        <f>G7-G13</f>
        <v>629.5</v>
      </c>
      <c r="J13" s="762">
        <f>H13/DAY(B2)</f>
        <v>17771.484375</v>
      </c>
      <c r="K13" s="467"/>
      <c r="L13" s="408"/>
      <c r="N13" s="800"/>
      <c r="O13" s="807"/>
      <c r="P13" s="413"/>
    </row>
    <row r="14" spans="1:16">
      <c r="A14" s="1420" t="s">
        <v>150</v>
      </c>
      <c r="B14" s="1421"/>
      <c r="C14" s="1422"/>
      <c r="D14" s="548"/>
      <c r="E14" s="548"/>
      <c r="F14" s="548"/>
      <c r="G14" s="559"/>
      <c r="H14" s="548"/>
      <c r="I14" s="548"/>
      <c r="J14" s="1309"/>
      <c r="K14" s="468"/>
      <c r="L14" s="408"/>
      <c r="N14" s="800"/>
      <c r="O14" s="807"/>
      <c r="P14" s="413"/>
    </row>
    <row r="15" spans="1:16">
      <c r="A15" s="876" t="s">
        <v>151</v>
      </c>
      <c r="B15" s="877"/>
      <c r="C15" s="877"/>
      <c r="D15" s="600" t="s">
        <v>152</v>
      </c>
      <c r="E15" s="561">
        <f>'15'!F15</f>
        <v>1607770.37</v>
      </c>
      <c r="F15" s="561">
        <v>1608782.94</v>
      </c>
      <c r="G15" s="745">
        <f>(F15-E15)</f>
        <v>1012.5699999998324</v>
      </c>
      <c r="H15" s="562">
        <f>G15+'15'!H15</f>
        <v>14345.790000000037</v>
      </c>
      <c r="I15" s="550">
        <f>'1'!I15</f>
        <v>800</v>
      </c>
      <c r="J15" s="630">
        <f>H15/DAY(B2)</f>
        <v>896.61187500000233</v>
      </c>
      <c r="K15" s="467"/>
      <c r="L15" s="408"/>
      <c r="N15" s="800"/>
      <c r="O15" s="807"/>
      <c r="P15" s="413"/>
    </row>
    <row r="16" spans="1:16">
      <c r="A16" s="664"/>
      <c r="B16" s="665"/>
      <c r="C16" s="665"/>
      <c r="D16" s="600"/>
      <c r="E16" s="561"/>
      <c r="F16" s="561" t="s">
        <v>286</v>
      </c>
      <c r="G16" s="750"/>
      <c r="H16" s="562"/>
      <c r="I16" s="558">
        <f>I15-J15</f>
        <v>-96.611875000002328</v>
      </c>
      <c r="J16" s="630"/>
      <c r="K16" s="467"/>
      <c r="L16" s="408"/>
      <c r="N16" s="800"/>
      <c r="O16" s="807"/>
      <c r="P16" s="413"/>
    </row>
    <row r="17" spans="1:16">
      <c r="A17" s="1420" t="s">
        <v>153</v>
      </c>
      <c r="B17" s="1421"/>
      <c r="C17" s="1422"/>
      <c r="D17" s="548"/>
      <c r="E17" s="548"/>
      <c r="F17" s="548"/>
      <c r="G17" s="564"/>
      <c r="H17" s="548"/>
      <c r="I17" s="548"/>
      <c r="J17" s="628"/>
      <c r="K17" s="467"/>
      <c r="L17" s="408"/>
      <c r="N17" s="800"/>
      <c r="O17" s="807"/>
      <c r="P17" s="413"/>
    </row>
    <row r="18" spans="1:16" ht="27.75">
      <c r="A18" s="1446" t="s">
        <v>154</v>
      </c>
      <c r="B18" s="1447"/>
      <c r="C18" s="1448"/>
      <c r="D18" s="715" t="s">
        <v>155</v>
      </c>
      <c r="E18" s="712">
        <f>'15'!F18</f>
        <v>32</v>
      </c>
      <c r="F18" s="554">
        <v>20</v>
      </c>
      <c r="G18" s="775">
        <f>F18*10</f>
        <v>200</v>
      </c>
      <c r="H18" s="760">
        <f>G18+'15'!H18</f>
        <v>2720</v>
      </c>
      <c r="I18" s="761">
        <f>'1'!I18</f>
        <v>65</v>
      </c>
      <c r="J18" s="762">
        <f>H18/DAY(B2)</f>
        <v>170</v>
      </c>
      <c r="K18" s="467"/>
      <c r="L18" s="408"/>
      <c r="N18" s="800"/>
      <c r="O18" s="807"/>
      <c r="P18" s="413"/>
    </row>
    <row r="19" spans="1:16" ht="27.75">
      <c r="A19" s="1446" t="s">
        <v>71</v>
      </c>
      <c r="B19" s="1447"/>
      <c r="C19" s="1448"/>
      <c r="D19" s="715" t="s">
        <v>155</v>
      </c>
      <c r="E19" s="712">
        <f>'15'!F19</f>
        <v>133805</v>
      </c>
      <c r="F19" s="554">
        <v>133855</v>
      </c>
      <c r="G19" s="770">
        <f t="shared" ref="G19" si="1">F19-E19</f>
        <v>50</v>
      </c>
      <c r="H19" s="760">
        <f>G19+'15'!H19</f>
        <v>807</v>
      </c>
      <c r="I19" s="777"/>
      <c r="J19" s="762">
        <f>H19/DAY(B2)</f>
        <v>50.4375</v>
      </c>
      <c r="K19" s="467"/>
      <c r="L19" s="408"/>
      <c r="N19" s="800"/>
      <c r="O19" s="807"/>
      <c r="P19" s="413"/>
    </row>
    <row r="20" spans="1:16">
      <c r="A20" s="773" t="s">
        <v>156</v>
      </c>
      <c r="B20" s="774"/>
      <c r="C20" s="774"/>
      <c r="D20" s="715"/>
      <c r="E20" s="715"/>
      <c r="F20" s="791"/>
      <c r="G20" s="778">
        <f>G18+G19</f>
        <v>250</v>
      </c>
      <c r="H20" s="760">
        <f>G20+'15'!H20</f>
        <v>3527</v>
      </c>
      <c r="I20" s="779">
        <f>I18-J20</f>
        <v>-155.4375</v>
      </c>
      <c r="J20" s="762">
        <f>H20/DAY(B2)</f>
        <v>220.4375</v>
      </c>
      <c r="K20" s="467"/>
      <c r="L20" s="408"/>
      <c r="N20" s="800"/>
      <c r="O20" s="807"/>
      <c r="P20" s="413"/>
    </row>
    <row r="21" spans="1:16">
      <c r="A21" s="1420" t="s">
        <v>157</v>
      </c>
      <c r="B21" s="1421"/>
      <c r="C21" s="1422"/>
      <c r="D21" s="548"/>
      <c r="E21" s="548"/>
      <c r="F21" s="548"/>
      <c r="G21" s="559"/>
      <c r="H21" s="548"/>
      <c r="I21" s="548"/>
      <c r="J21" s="628"/>
      <c r="K21" s="467"/>
      <c r="L21" s="408"/>
      <c r="N21" s="800"/>
      <c r="O21" s="807"/>
      <c r="P21" s="413"/>
    </row>
    <row r="22" spans="1:16">
      <c r="A22" s="1297" t="s">
        <v>158</v>
      </c>
      <c r="B22" s="666"/>
      <c r="C22" s="666"/>
      <c r="D22" s="599" t="s">
        <v>159</v>
      </c>
      <c r="E22" s="712">
        <f>'15'!F22</f>
        <v>2250</v>
      </c>
      <c r="F22" s="554">
        <v>2250</v>
      </c>
      <c r="G22" s="557">
        <f t="shared" ref="G22" si="2">(F22-E22)</f>
        <v>0</v>
      </c>
      <c r="H22" s="536">
        <f>G22+'15'!H22</f>
        <v>0</v>
      </c>
      <c r="I22" s="556"/>
      <c r="J22" s="629">
        <f>H22/DAY(B2)</f>
        <v>0</v>
      </c>
      <c r="K22" s="467"/>
      <c r="L22" s="408"/>
      <c r="N22" s="800"/>
      <c r="O22" s="807"/>
      <c r="P22" s="413"/>
    </row>
    <row r="23" spans="1:16">
      <c r="A23" s="1297" t="s">
        <v>160</v>
      </c>
      <c r="B23" s="666"/>
      <c r="C23" s="666"/>
      <c r="D23" s="599" t="s">
        <v>159</v>
      </c>
      <c r="E23" s="712">
        <f>'15'!F23</f>
        <v>2000</v>
      </c>
      <c r="F23" s="554">
        <v>2000</v>
      </c>
      <c r="G23" s="557">
        <v>0</v>
      </c>
      <c r="H23" s="536">
        <f>G23+'15'!H23</f>
        <v>1600</v>
      </c>
      <c r="I23" s="556"/>
      <c r="J23" s="629">
        <f>H23/DAY(B2)</f>
        <v>100</v>
      </c>
      <c r="K23" s="467"/>
      <c r="L23" s="408"/>
      <c r="N23" s="800"/>
      <c r="O23" s="807"/>
      <c r="P23" s="413"/>
    </row>
    <row r="24" spans="1:16">
      <c r="A24" s="667" t="s">
        <v>161</v>
      </c>
      <c r="B24" s="668"/>
      <c r="C24" s="668"/>
      <c r="D24" s="587" t="s">
        <v>159</v>
      </c>
      <c r="E24" s="569">
        <f>'15'!F24</f>
        <v>4250</v>
      </c>
      <c r="F24" s="561">
        <v>4250</v>
      </c>
      <c r="G24" s="557">
        <v>0</v>
      </c>
      <c r="H24" s="536">
        <f>G24+'15'!H24</f>
        <v>2350</v>
      </c>
      <c r="I24" s="556"/>
      <c r="J24" s="629">
        <f>H24/DAY(B2)</f>
        <v>146.875</v>
      </c>
      <c r="K24" s="467"/>
      <c r="L24" s="408"/>
      <c r="N24" s="800"/>
      <c r="O24" s="807"/>
      <c r="P24" s="413"/>
    </row>
    <row r="25" spans="1:16" s="481" customFormat="1" ht="27">
      <c r="A25" s="1425" t="s">
        <v>162</v>
      </c>
      <c r="B25" s="1426"/>
      <c r="C25" s="1427"/>
      <c r="D25" s="547"/>
      <c r="E25" s="547"/>
      <c r="F25" s="547"/>
      <c r="G25" s="570"/>
      <c r="H25" s="571"/>
      <c r="I25" s="572"/>
      <c r="J25" s="631"/>
      <c r="K25" s="404"/>
      <c r="L25" s="484"/>
      <c r="N25" s="800"/>
      <c r="O25" s="807"/>
      <c r="P25" s="413"/>
    </row>
    <row r="26" spans="1:16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800"/>
      <c r="O26" s="807"/>
      <c r="P26" s="413"/>
    </row>
    <row r="27" spans="1:16" s="481" customFormat="1" ht="27.75">
      <c r="A27" s="669" t="s">
        <v>6</v>
      </c>
      <c r="B27" s="670"/>
      <c r="C27" s="671"/>
      <c r="D27" s="696" t="s">
        <v>25</v>
      </c>
      <c r="E27" s="780">
        <f>G8</f>
        <v>21087</v>
      </c>
      <c r="F27" s="577">
        <v>9</v>
      </c>
      <c r="G27" s="578">
        <f>E27*F27</f>
        <v>189783</v>
      </c>
      <c r="H27" s="536">
        <f>G27+'15'!H27</f>
        <v>2808801</v>
      </c>
      <c r="I27" s="579"/>
      <c r="J27" s="629">
        <f>H27/DAY(B2)</f>
        <v>175550.0625</v>
      </c>
      <c r="K27" s="404"/>
      <c r="L27" s="484"/>
      <c r="N27" s="800"/>
      <c r="O27" s="807"/>
      <c r="P27" s="413"/>
    </row>
    <row r="28" spans="1:16" s="481" customFormat="1" ht="27.75">
      <c r="A28" s="669" t="s">
        <v>165</v>
      </c>
      <c r="B28" s="670"/>
      <c r="C28" s="671"/>
      <c r="D28" s="696" t="s">
        <v>166</v>
      </c>
      <c r="E28" s="780">
        <f>G15</f>
        <v>1012.5699999998324</v>
      </c>
      <c r="F28" s="577">
        <v>43.5</v>
      </c>
      <c r="G28" s="578">
        <f>E28*F28</f>
        <v>44046.794999992708</v>
      </c>
      <c r="H28" s="536">
        <f>G28+'15'!H28</f>
        <v>624041.86500000162</v>
      </c>
      <c r="I28" s="581"/>
      <c r="J28" s="629">
        <f>H28/DAY(B2)</f>
        <v>39002.616562500101</v>
      </c>
      <c r="K28" s="404"/>
      <c r="L28" s="484"/>
      <c r="N28" s="800"/>
      <c r="O28" s="807"/>
      <c r="P28" s="413"/>
    </row>
    <row r="29" spans="1:16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G29+'15'!H29</f>
        <v>162150</v>
      </c>
      <c r="I29" s="581"/>
      <c r="J29" s="629">
        <f>H29/DAY(B2)</f>
        <v>10134.375</v>
      </c>
      <c r="K29" s="404"/>
      <c r="L29" s="484"/>
      <c r="N29" s="800"/>
      <c r="O29" s="807"/>
      <c r="P29" s="413"/>
    </row>
    <row r="30" spans="1:16" s="481" customFormat="1" ht="27.75">
      <c r="A30" s="669" t="s">
        <v>169</v>
      </c>
      <c r="B30" s="670"/>
      <c r="C30" s="671"/>
      <c r="D30" s="696" t="s">
        <v>170</v>
      </c>
      <c r="E30" s="780">
        <f>G19</f>
        <v>50</v>
      </c>
      <c r="F30" s="577">
        <v>134</v>
      </c>
      <c r="G30" s="578">
        <f>E30*F30</f>
        <v>6700</v>
      </c>
      <c r="H30" s="536">
        <f>G30+'15'!H30</f>
        <v>108138</v>
      </c>
      <c r="I30" s="581"/>
      <c r="J30" s="629">
        <f>H30/DAY(B2)</f>
        <v>6758.625</v>
      </c>
      <c r="K30" s="404"/>
      <c r="L30" s="484"/>
      <c r="N30" s="800"/>
      <c r="O30" s="807"/>
      <c r="P30" s="413"/>
    </row>
    <row r="31" spans="1:16" s="481" customFormat="1" ht="27.75">
      <c r="A31" s="669" t="s">
        <v>171</v>
      </c>
      <c r="B31" s="670"/>
      <c r="C31" s="671"/>
      <c r="D31" s="696" t="s">
        <v>155</v>
      </c>
      <c r="E31" s="780">
        <f>G18</f>
        <v>200</v>
      </c>
      <c r="F31" s="577">
        <v>80</v>
      </c>
      <c r="G31" s="578">
        <f>E31*F31</f>
        <v>16000</v>
      </c>
      <c r="H31" s="536">
        <f>G31+'15'!H31</f>
        <v>217600</v>
      </c>
      <c r="I31" s="581"/>
      <c r="J31" s="629"/>
      <c r="K31" s="404"/>
      <c r="L31" s="484"/>
      <c r="N31" s="800"/>
      <c r="O31" s="807"/>
      <c r="P31" s="413"/>
    </row>
    <row r="32" spans="1:16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256529.79499999271</v>
      </c>
      <c r="H32" s="536">
        <f>G32+'15'!H32</f>
        <v>3920730.8650000021</v>
      </c>
      <c r="I32" s="585"/>
      <c r="J32" s="629">
        <f>H32/DAY(B2)</f>
        <v>245045.67906250013</v>
      </c>
      <c r="K32" s="404"/>
      <c r="L32" s="484"/>
      <c r="N32" s="800"/>
      <c r="O32" s="807"/>
      <c r="P32" s="413"/>
    </row>
    <row r="33" spans="1:16" ht="25.5">
      <c r="A33" s="1428" t="s">
        <v>173</v>
      </c>
      <c r="B33" s="1429"/>
      <c r="C33" s="1429"/>
      <c r="D33" s="1429"/>
      <c r="E33" s="1429"/>
      <c r="F33" s="1429"/>
      <c r="G33" s="1429"/>
      <c r="H33" s="1429"/>
      <c r="I33" s="1429"/>
      <c r="J33" s="1430"/>
      <c r="K33" s="467"/>
      <c r="L33" s="408"/>
      <c r="N33" s="800"/>
      <c r="O33" s="807"/>
      <c r="P33" s="413"/>
    </row>
    <row r="34" spans="1:16">
      <c r="A34" s="675" t="s">
        <v>174</v>
      </c>
      <c r="B34" s="1299"/>
      <c r="C34" s="1299"/>
      <c r="D34" s="548"/>
      <c r="E34" s="547"/>
      <c r="F34" s="547"/>
      <c r="G34" s="548"/>
      <c r="H34" s="548"/>
      <c r="I34" s="548"/>
      <c r="J34" s="628"/>
      <c r="K34" s="467"/>
      <c r="L34" s="408"/>
      <c r="N34" s="800"/>
      <c r="O34" s="807"/>
      <c r="P34" s="413"/>
    </row>
    <row r="35" spans="1:16">
      <c r="A35" s="655" t="s">
        <v>175</v>
      </c>
      <c r="B35" s="656"/>
      <c r="C35" s="656"/>
      <c r="D35" s="599" t="s">
        <v>143</v>
      </c>
      <c r="E35" s="586">
        <f>'15'!F35</f>
        <v>654285.63</v>
      </c>
      <c r="F35" s="586">
        <v>657324.15</v>
      </c>
      <c r="G35" s="549">
        <f t="shared" ref="G35:G46" si="3">F35-E35</f>
        <v>3038.5200000000186</v>
      </c>
      <c r="H35" s="536">
        <f>G35+'15'!H35</f>
        <v>28296.479999999981</v>
      </c>
      <c r="I35" s="531"/>
      <c r="J35" s="629">
        <f>H35/DAY(B2)</f>
        <v>1768.5299999999988</v>
      </c>
      <c r="K35" s="467"/>
      <c r="L35" s="408"/>
      <c r="N35" s="800"/>
      <c r="O35" s="808"/>
      <c r="P35" s="413"/>
    </row>
    <row r="36" spans="1:16">
      <c r="A36" s="655" t="s">
        <v>176</v>
      </c>
      <c r="B36" s="656"/>
      <c r="C36" s="656"/>
      <c r="D36" s="599" t="s">
        <v>143</v>
      </c>
      <c r="E36" s="586">
        <f>'15'!F36</f>
        <v>286605.46999999997</v>
      </c>
      <c r="F36" s="586">
        <v>287562.75</v>
      </c>
      <c r="G36" s="549">
        <f t="shared" si="3"/>
        <v>957.28000000002794</v>
      </c>
      <c r="H36" s="536">
        <f>G36+'15'!H36</f>
        <v>11071.299999999988</v>
      </c>
      <c r="I36" s="531"/>
      <c r="J36" s="629">
        <f>H36/DAY(B2)</f>
        <v>691.95624999999927</v>
      </c>
      <c r="K36" s="467"/>
      <c r="L36" s="408"/>
      <c r="N36" s="801"/>
      <c r="O36" s="808"/>
      <c r="P36" s="413"/>
    </row>
    <row r="37" spans="1:16">
      <c r="A37" s="655" t="s">
        <v>177</v>
      </c>
      <c r="B37" s="656"/>
      <c r="C37" s="656"/>
      <c r="D37" s="599" t="s">
        <v>143</v>
      </c>
      <c r="E37" s="586">
        <f>'15'!F37</f>
        <v>12764.25</v>
      </c>
      <c r="F37" s="586">
        <v>14281.36</v>
      </c>
      <c r="G37" s="549">
        <f t="shared" si="3"/>
        <v>1517.1100000000006</v>
      </c>
      <c r="H37" s="536">
        <f>G37+'15'!H37</f>
        <v>14281.36</v>
      </c>
      <c r="I37" s="531"/>
      <c r="J37" s="629">
        <f>H37/DAY(B2)</f>
        <v>892.58500000000004</v>
      </c>
      <c r="K37" s="467"/>
      <c r="L37" s="408"/>
      <c r="N37" s="801"/>
      <c r="O37" s="808"/>
      <c r="P37" s="413"/>
    </row>
    <row r="38" spans="1:16">
      <c r="A38" s="655" t="s">
        <v>178</v>
      </c>
      <c r="B38" s="656"/>
      <c r="C38" s="656"/>
      <c r="D38" s="599" t="s">
        <v>143</v>
      </c>
      <c r="E38" s="586">
        <f>'15'!F38</f>
        <v>16973.82</v>
      </c>
      <c r="F38" s="545">
        <v>19207.47</v>
      </c>
      <c r="G38" s="549">
        <f t="shared" si="3"/>
        <v>2233.6500000000015</v>
      </c>
      <c r="H38" s="536">
        <f>G38+'15'!H38</f>
        <v>19109.590000000004</v>
      </c>
      <c r="I38" s="531"/>
      <c r="J38" s="629">
        <f>H38/DAY(B2)</f>
        <v>1194.3493750000002</v>
      </c>
      <c r="K38" s="467"/>
      <c r="L38" s="408"/>
      <c r="N38" s="800"/>
      <c r="O38" s="807"/>
      <c r="P38" s="413"/>
    </row>
    <row r="39" spans="1:16">
      <c r="A39" s="655" t="s">
        <v>179</v>
      </c>
      <c r="B39" s="656"/>
      <c r="C39" s="656"/>
      <c r="D39" s="599" t="s">
        <v>143</v>
      </c>
      <c r="E39" s="586">
        <f>'15'!F39</f>
        <v>36017.43</v>
      </c>
      <c r="F39" s="586">
        <v>40245.550000000003</v>
      </c>
      <c r="G39" s="549">
        <f t="shared" si="3"/>
        <v>4228.1200000000026</v>
      </c>
      <c r="H39" s="536">
        <f>G39+'15'!H39</f>
        <v>40245.550000000003</v>
      </c>
      <c r="I39" s="531"/>
      <c r="J39" s="629">
        <f>H39/DAY(B2)</f>
        <v>2515.3468750000002</v>
      </c>
      <c r="K39" s="467"/>
      <c r="L39" s="408"/>
      <c r="N39" s="800"/>
      <c r="O39" s="808"/>
      <c r="P39" s="413"/>
    </row>
    <row r="40" spans="1:16">
      <c r="A40" s="676" t="s">
        <v>180</v>
      </c>
      <c r="B40" s="677"/>
      <c r="C40" s="677"/>
      <c r="D40" s="599" t="s">
        <v>143</v>
      </c>
      <c r="E40" s="586">
        <f>'15'!F40</f>
        <v>0.17</v>
      </c>
      <c r="F40" s="586">
        <v>0.17</v>
      </c>
      <c r="G40" s="549">
        <f t="shared" si="3"/>
        <v>0</v>
      </c>
      <c r="H40" s="536">
        <f>G40+'15'!H40</f>
        <v>-0.06</v>
      </c>
      <c r="I40" s="531"/>
      <c r="J40" s="629">
        <f>H40/DAY(B2)</f>
        <v>-3.7499999999999999E-3</v>
      </c>
      <c r="K40" s="468"/>
      <c r="L40" s="408"/>
      <c r="N40" s="800"/>
      <c r="O40" s="807"/>
      <c r="P40" s="413"/>
    </row>
    <row r="41" spans="1:16">
      <c r="A41" s="655" t="s">
        <v>181</v>
      </c>
      <c r="B41" s="656"/>
      <c r="C41" s="656"/>
      <c r="D41" s="599" t="s">
        <v>143</v>
      </c>
      <c r="E41" s="586">
        <f>'15'!F41</f>
        <v>59259.87</v>
      </c>
      <c r="F41" s="586">
        <v>59259.87</v>
      </c>
      <c r="G41" s="549">
        <f t="shared" si="3"/>
        <v>0</v>
      </c>
      <c r="H41" s="536">
        <f>G41+'15'!H41</f>
        <v>14637.350000000006</v>
      </c>
      <c r="I41" s="531"/>
      <c r="J41" s="629">
        <f>H41/DAY(B2)</f>
        <v>914.83437500000036</v>
      </c>
      <c r="K41" s="467"/>
      <c r="L41" s="408"/>
      <c r="N41" s="800"/>
      <c r="O41" s="809"/>
      <c r="P41" s="803"/>
    </row>
    <row r="42" spans="1:16">
      <c r="A42" s="655" t="s">
        <v>182</v>
      </c>
      <c r="B42" s="656"/>
      <c r="C42" s="656"/>
      <c r="D42" s="599" t="s">
        <v>143</v>
      </c>
      <c r="E42" s="586">
        <f>'15'!F42</f>
        <v>58926</v>
      </c>
      <c r="F42" s="586">
        <v>58926</v>
      </c>
      <c r="G42" s="549">
        <f>F42-E42</f>
        <v>0</v>
      </c>
      <c r="H42" s="536">
        <f>G42+'15'!H42</f>
        <v>0</v>
      </c>
      <c r="I42" s="531"/>
      <c r="J42" s="629">
        <f>H42/DAY(B2)</f>
        <v>0</v>
      </c>
      <c r="K42" s="467"/>
      <c r="L42" s="408"/>
      <c r="N42" s="800"/>
      <c r="O42" s="807"/>
      <c r="P42" s="413"/>
    </row>
    <row r="43" spans="1:16">
      <c r="A43" s="655" t="s">
        <v>183</v>
      </c>
      <c r="B43" s="656"/>
      <c r="C43" s="656"/>
      <c r="D43" s="599" t="s">
        <v>143</v>
      </c>
      <c r="E43" s="586">
        <f>'15'!F43</f>
        <v>795495.43</v>
      </c>
      <c r="F43" s="586">
        <v>797856.79</v>
      </c>
      <c r="G43" s="549">
        <f t="shared" si="3"/>
        <v>2361.359999999986</v>
      </c>
      <c r="H43" s="536">
        <f>G43+'15'!H43</f>
        <v>30044.880000000005</v>
      </c>
      <c r="I43" s="531"/>
      <c r="J43" s="629">
        <f>H43/DAY(B2)</f>
        <v>1877.8050000000003</v>
      </c>
      <c r="K43" s="467"/>
      <c r="L43" s="408"/>
      <c r="N43" s="800"/>
      <c r="O43" s="808"/>
      <c r="P43" s="413"/>
    </row>
    <row r="44" spans="1:16">
      <c r="A44" s="655" t="s">
        <v>184</v>
      </c>
      <c r="B44" s="656"/>
      <c r="C44" s="656"/>
      <c r="D44" s="599" t="s">
        <v>143</v>
      </c>
      <c r="E44" s="586">
        <f>'15'!F44</f>
        <v>0</v>
      </c>
      <c r="F44" s="586">
        <v>0</v>
      </c>
      <c r="G44" s="549">
        <f t="shared" si="3"/>
        <v>0</v>
      </c>
      <c r="H44" s="536">
        <f>G44+'15'!H44</f>
        <v>0</v>
      </c>
      <c r="I44" s="531"/>
      <c r="J44" s="629">
        <f>H44/DAY(B2)</f>
        <v>0</v>
      </c>
      <c r="K44" s="467"/>
      <c r="L44" s="408"/>
      <c r="N44" s="800"/>
      <c r="O44" s="807"/>
      <c r="P44" s="413"/>
    </row>
    <row r="45" spans="1:16">
      <c r="A45" s="655" t="s">
        <v>185</v>
      </c>
      <c r="B45" s="656"/>
      <c r="C45" s="656"/>
      <c r="D45" s="599" t="s">
        <v>143</v>
      </c>
      <c r="E45" s="586">
        <f>'15'!F45</f>
        <v>614</v>
      </c>
      <c r="F45" s="586">
        <v>614</v>
      </c>
      <c r="G45" s="549">
        <f t="shared" si="3"/>
        <v>0</v>
      </c>
      <c r="H45" s="536">
        <f>G45+'15'!H45</f>
        <v>-0.48000000000001819</v>
      </c>
      <c r="I45" s="531"/>
      <c r="J45" s="629">
        <f>H45/DAY(B2)</f>
        <v>-3.0000000000001137E-2</v>
      </c>
      <c r="K45" s="467"/>
      <c r="L45" s="408"/>
      <c r="N45" s="804"/>
      <c r="O45" s="807"/>
      <c r="P45" s="413"/>
    </row>
    <row r="46" spans="1:16">
      <c r="A46" s="655" t="s">
        <v>186</v>
      </c>
      <c r="B46" s="656"/>
      <c r="C46" s="656"/>
      <c r="D46" s="599" t="s">
        <v>143</v>
      </c>
      <c r="E46" s="586">
        <f>'15'!F46</f>
        <v>187.49</v>
      </c>
      <c r="F46" s="586">
        <v>187.49</v>
      </c>
      <c r="G46" s="549">
        <f t="shared" si="3"/>
        <v>0</v>
      </c>
      <c r="H46" s="536">
        <f>G46+'15'!H46</f>
        <v>0</v>
      </c>
      <c r="I46" s="531"/>
      <c r="J46" s="629">
        <f>H46/DAY(B2)</f>
        <v>0</v>
      </c>
      <c r="K46" s="467"/>
      <c r="L46" s="408"/>
      <c r="N46" s="800"/>
      <c r="O46" s="807"/>
      <c r="P46" s="413"/>
    </row>
    <row r="47" spans="1:16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14336.040000000037</v>
      </c>
      <c r="H47" s="536">
        <f>G47+'15'!H47</f>
        <v>157685.96999999997</v>
      </c>
      <c r="I47" s="531"/>
      <c r="J47" s="629">
        <f>H47/DAY(B2)</f>
        <v>9855.3731249999983</v>
      </c>
      <c r="K47" s="467"/>
      <c r="L47" s="408"/>
      <c r="N47" s="800"/>
      <c r="O47" s="807"/>
      <c r="P47" s="413"/>
    </row>
    <row r="48" spans="1:16">
      <c r="A48" s="675" t="s">
        <v>188</v>
      </c>
      <c r="B48" s="1299"/>
      <c r="C48" s="1299"/>
      <c r="D48" s="548"/>
      <c r="E48" s="547"/>
      <c r="F48" s="547"/>
      <c r="G48" s="548"/>
      <c r="H48" s="548"/>
      <c r="I48" s="548"/>
      <c r="J48" s="628"/>
      <c r="K48" s="467"/>
      <c r="L48" s="408"/>
      <c r="N48" s="800"/>
      <c r="O48" s="807"/>
      <c r="P48" s="413"/>
    </row>
    <row r="49" spans="1:16">
      <c r="A49" s="655" t="s">
        <v>175</v>
      </c>
      <c r="B49" s="678"/>
      <c r="C49" s="678"/>
      <c r="D49" s="599" t="s">
        <v>143</v>
      </c>
      <c r="E49" s="586">
        <f>'15'!F49</f>
        <v>260732.13</v>
      </c>
      <c r="F49" s="586">
        <v>260732.13</v>
      </c>
      <c r="G49" s="549">
        <f t="shared" ref="G49:G58" si="4">F49-E49</f>
        <v>0</v>
      </c>
      <c r="H49" s="536">
        <f>G49+'15'!H49</f>
        <v>14833.080000000016</v>
      </c>
      <c r="I49" s="531"/>
      <c r="J49" s="629">
        <f>H49/DAY(B2)</f>
        <v>927.06750000000102</v>
      </c>
      <c r="K49" s="467">
        <f>E49+244</f>
        <v>260976.13</v>
      </c>
      <c r="L49" s="408"/>
      <c r="N49" s="800"/>
      <c r="O49" s="807"/>
      <c r="P49" s="413"/>
    </row>
    <row r="50" spans="1:16">
      <c r="A50" s="655" t="s">
        <v>189</v>
      </c>
      <c r="B50" s="678"/>
      <c r="C50" s="678"/>
      <c r="D50" s="599" t="s">
        <v>143</v>
      </c>
      <c r="E50" s="586">
        <f>'15'!F50</f>
        <v>386713.19</v>
      </c>
      <c r="F50" s="586">
        <v>387968.19</v>
      </c>
      <c r="G50" s="549">
        <f t="shared" si="4"/>
        <v>1255</v>
      </c>
      <c r="H50" s="536">
        <f>G50+'15'!H50</f>
        <v>18307.880000000005</v>
      </c>
      <c r="I50" s="531"/>
      <c r="J50" s="629">
        <f>H50/DAY(B2)</f>
        <v>1144.2425000000003</v>
      </c>
      <c r="K50" s="467"/>
      <c r="L50" s="408"/>
      <c r="N50" s="800"/>
      <c r="O50" s="808"/>
      <c r="P50" s="413"/>
    </row>
    <row r="51" spans="1:16">
      <c r="A51" s="655" t="s">
        <v>177</v>
      </c>
      <c r="B51" s="678"/>
      <c r="C51" s="678"/>
      <c r="D51" s="599" t="s">
        <v>143</v>
      </c>
      <c r="E51" s="586">
        <f>'15'!F51</f>
        <v>120050.92</v>
      </c>
      <c r="F51" s="586">
        <v>120050.92</v>
      </c>
      <c r="G51" s="549">
        <f t="shared" si="4"/>
        <v>0</v>
      </c>
      <c r="H51" s="536">
        <f>G51+'15'!H51</f>
        <v>9951.179999999993</v>
      </c>
      <c r="I51" s="531"/>
      <c r="J51" s="629">
        <f>H51/DAY(B2)</f>
        <v>621.94874999999956</v>
      </c>
      <c r="K51" s="467"/>
      <c r="L51" s="408"/>
      <c r="N51" s="800"/>
      <c r="O51" s="807"/>
      <c r="P51" s="413"/>
    </row>
    <row r="52" spans="1:16">
      <c r="A52" s="655" t="s">
        <v>190</v>
      </c>
      <c r="B52" s="678"/>
      <c r="C52" s="678"/>
      <c r="D52" s="599" t="s">
        <v>143</v>
      </c>
      <c r="E52" s="586">
        <f>'15'!F52</f>
        <v>507912.71</v>
      </c>
      <c r="F52" s="586">
        <v>507912.71</v>
      </c>
      <c r="G52" s="549">
        <f t="shared" si="4"/>
        <v>0</v>
      </c>
      <c r="H52" s="536">
        <f>G52+'15'!H52</f>
        <v>14104.040000000037</v>
      </c>
      <c r="I52" s="531"/>
      <c r="J52" s="629">
        <f>H52/DAY(B2)</f>
        <v>881.50250000000233</v>
      </c>
      <c r="K52" s="467"/>
      <c r="L52" s="408"/>
      <c r="N52" s="800"/>
      <c r="O52" s="807"/>
      <c r="P52" s="413"/>
    </row>
    <row r="53" spans="1:16">
      <c r="A53" s="655" t="s">
        <v>179</v>
      </c>
      <c r="B53" s="678"/>
      <c r="C53" s="678"/>
      <c r="D53" s="599" t="s">
        <v>143</v>
      </c>
      <c r="E53" s="586">
        <f>'15'!F53</f>
        <v>331854.51</v>
      </c>
      <c r="F53" s="586">
        <v>331854.51</v>
      </c>
      <c r="G53" s="549">
        <f t="shared" si="4"/>
        <v>0</v>
      </c>
      <c r="H53" s="536">
        <f>G53+'15'!H53</f>
        <v>27556.239999999991</v>
      </c>
      <c r="I53" s="531"/>
      <c r="J53" s="629">
        <f>H53/DAY(B2)</f>
        <v>1722.2649999999994</v>
      </c>
      <c r="K53" s="467"/>
      <c r="L53" s="408"/>
      <c r="N53" s="800"/>
      <c r="O53" s="807"/>
      <c r="P53" s="413"/>
    </row>
    <row r="54" spans="1:16">
      <c r="A54" s="655" t="s">
        <v>191</v>
      </c>
      <c r="B54" s="678"/>
      <c r="C54" s="678"/>
      <c r="D54" s="599" t="s">
        <v>143</v>
      </c>
      <c r="E54" s="586">
        <f>'15'!F54</f>
        <v>7189.82</v>
      </c>
      <c r="F54" s="586">
        <v>7259.6</v>
      </c>
      <c r="G54" s="549">
        <f t="shared" si="4"/>
        <v>69.780000000000655</v>
      </c>
      <c r="H54" s="536">
        <f>G54+'15'!H54</f>
        <v>870.80000000000018</v>
      </c>
      <c r="I54" s="531"/>
      <c r="J54" s="629">
        <f>H54/DAY(B2)</f>
        <v>54.425000000000011</v>
      </c>
      <c r="K54" s="467"/>
      <c r="L54" s="408"/>
      <c r="N54" s="800"/>
      <c r="O54" s="807"/>
      <c r="P54" s="413"/>
    </row>
    <row r="55" spans="1:16">
      <c r="A55" s="655" t="s">
        <v>192</v>
      </c>
      <c r="B55" s="678"/>
      <c r="C55" s="678"/>
      <c r="D55" s="599" t="s">
        <v>143</v>
      </c>
      <c r="E55" s="586">
        <f>'15'!F55</f>
        <v>87594.01</v>
      </c>
      <c r="F55" s="734">
        <v>92296.67</v>
      </c>
      <c r="G55" s="733">
        <f t="shared" si="4"/>
        <v>4702.6600000000035</v>
      </c>
      <c r="H55" s="787">
        <f>G55+'15'!H55</f>
        <v>49308.689999999995</v>
      </c>
      <c r="I55" s="788"/>
      <c r="J55" s="789">
        <f>H55/DAY(B2)</f>
        <v>3081.7931249999997</v>
      </c>
      <c r="K55" s="467"/>
      <c r="L55" s="408"/>
      <c r="N55" s="800"/>
      <c r="O55" s="807"/>
      <c r="P55" s="413"/>
    </row>
    <row r="56" spans="1:16">
      <c r="A56" s="655" t="s">
        <v>193</v>
      </c>
      <c r="B56" s="678"/>
      <c r="C56" s="678"/>
      <c r="D56" s="599" t="s">
        <v>194</v>
      </c>
      <c r="E56" s="586">
        <f>'15'!F56</f>
        <v>557789.75</v>
      </c>
      <c r="F56" s="734">
        <v>557796.11</v>
      </c>
      <c r="G56" s="549">
        <f t="shared" si="4"/>
        <v>6.3599999999860302</v>
      </c>
      <c r="H56" s="536">
        <f>G56+'15'!H56</f>
        <v>64.199999999953434</v>
      </c>
      <c r="I56" s="531"/>
      <c r="J56" s="629">
        <f>H56/DAY(B2)</f>
        <v>4.0124999999970896</v>
      </c>
      <c r="K56" s="466"/>
      <c r="L56" s="408"/>
      <c r="N56" s="800"/>
      <c r="O56" s="809"/>
      <c r="P56" s="413"/>
    </row>
    <row r="57" spans="1:16">
      <c r="A57" s="655" t="s">
        <v>183</v>
      </c>
      <c r="B57" s="678"/>
      <c r="C57" s="678"/>
      <c r="D57" s="599" t="s">
        <v>143</v>
      </c>
      <c r="E57" s="586">
        <f>'15'!F57</f>
        <v>7711.33</v>
      </c>
      <c r="F57" s="586">
        <v>7711.33</v>
      </c>
      <c r="G57" s="549">
        <f t="shared" si="4"/>
        <v>0</v>
      </c>
      <c r="H57" s="536">
        <f>G57+'15'!H57</f>
        <v>7711.33</v>
      </c>
      <c r="I57" s="531"/>
      <c r="J57" s="629">
        <f>H57/DAY(B2)</f>
        <v>481.958125</v>
      </c>
      <c r="K57" s="467"/>
      <c r="L57" s="408"/>
      <c r="N57" s="800"/>
      <c r="O57" s="807"/>
      <c r="P57" s="413"/>
    </row>
    <row r="58" spans="1:16">
      <c r="A58" s="655" t="s">
        <v>195</v>
      </c>
      <c r="B58" s="678"/>
      <c r="C58" s="678"/>
      <c r="D58" s="599" t="s">
        <v>143</v>
      </c>
      <c r="E58" s="586">
        <f>'15'!F58</f>
        <v>33231.67</v>
      </c>
      <c r="F58" s="734">
        <v>33442.199999999997</v>
      </c>
      <c r="G58" s="549">
        <f t="shared" si="4"/>
        <v>210.52999999999884</v>
      </c>
      <c r="H58" s="536">
        <f>G58+'15'!H58</f>
        <v>2712.66</v>
      </c>
      <c r="I58" s="531"/>
      <c r="J58" s="629">
        <f>H58/DAY(B2)</f>
        <v>169.54124999999999</v>
      </c>
      <c r="K58" s="467"/>
      <c r="L58" s="408"/>
      <c r="N58" s="800"/>
      <c r="O58" s="807"/>
      <c r="P58" s="413"/>
    </row>
    <row r="59" spans="1:16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6244.329999999989</v>
      </c>
      <c r="H59" s="536">
        <f>G59+'15'!H59</f>
        <v>145420.1</v>
      </c>
      <c r="I59" s="531">
        <f>G7-G60</f>
        <v>394.62999999997555</v>
      </c>
      <c r="J59" s="629">
        <f>H59/DAY(B2)</f>
        <v>9088.7562500000004</v>
      </c>
      <c r="K59" s="467"/>
      <c r="L59" s="408"/>
      <c r="N59" s="800"/>
      <c r="O59" s="807"/>
      <c r="P59" s="413"/>
    </row>
    <row r="60" spans="1:16">
      <c r="A60" s="655"/>
      <c r="B60" s="656"/>
      <c r="C60" s="656"/>
      <c r="D60" s="587" t="s">
        <v>196</v>
      </c>
      <c r="E60" s="587"/>
      <c r="F60" s="587"/>
      <c r="G60" s="557">
        <f>G47+G59</f>
        <v>20580.370000000024</v>
      </c>
      <c r="H60" s="536">
        <f>G60+'15'!H60</f>
        <v>308286.25999999989</v>
      </c>
      <c r="I60" s="531">
        <f>G13-G60</f>
        <v>-234.87000000002445</v>
      </c>
      <c r="J60" s="629">
        <f>H60/DAY(B2)</f>
        <v>19267.891249999993</v>
      </c>
      <c r="K60" s="467"/>
      <c r="L60" s="408"/>
      <c r="N60" s="800"/>
      <c r="O60" s="807"/>
      <c r="P60" s="413"/>
    </row>
    <row r="61" spans="1:16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800"/>
      <c r="O61" s="807"/>
      <c r="P61" s="413"/>
    </row>
    <row r="62" spans="1:16">
      <c r="A62" s="680" t="s">
        <v>106</v>
      </c>
      <c r="B62" s="681"/>
      <c r="C62" s="681"/>
      <c r="D62" s="587" t="s">
        <v>198</v>
      </c>
      <c r="E62" s="590">
        <f>'15'!F62</f>
        <v>20419.18</v>
      </c>
      <c r="F62" s="590">
        <v>20419.18</v>
      </c>
      <c r="G62" s="549">
        <f t="shared" ref="G62:G69" si="5">F62-E62</f>
        <v>0</v>
      </c>
      <c r="H62" s="536">
        <f>G62+'15'!H62</f>
        <v>-8.9999999981955625E-3</v>
      </c>
      <c r="I62" s="591"/>
      <c r="J62" s="629">
        <f>H62/DAY(B2)</f>
        <v>-5.6249999988722266E-4</v>
      </c>
      <c r="K62" s="467"/>
      <c r="L62" s="408"/>
      <c r="N62" s="800"/>
      <c r="O62" s="807"/>
      <c r="P62" s="413"/>
    </row>
    <row r="63" spans="1:16">
      <c r="A63" s="680" t="s">
        <v>199</v>
      </c>
      <c r="B63" s="681"/>
      <c r="C63" s="681"/>
      <c r="D63" s="587" t="s">
        <v>198</v>
      </c>
      <c r="E63" s="590">
        <f>'15'!F63</f>
        <v>1532.7</v>
      </c>
      <c r="F63" s="590">
        <v>1544.63</v>
      </c>
      <c r="G63" s="549">
        <f t="shared" si="5"/>
        <v>11.930000000000064</v>
      </c>
      <c r="H63" s="536">
        <f>G63+'15'!H63</f>
        <v>212.10000000000014</v>
      </c>
      <c r="I63" s="591"/>
      <c r="J63" s="629">
        <f>H63/DAY(B2)</f>
        <v>13.256250000000009</v>
      </c>
      <c r="K63" s="467"/>
      <c r="L63" s="408"/>
      <c r="N63" s="800"/>
      <c r="O63" s="807"/>
      <c r="P63" s="413"/>
    </row>
    <row r="64" spans="1:16" ht="27.75">
      <c r="A64" s="1385" t="s">
        <v>107</v>
      </c>
      <c r="B64" s="1386"/>
      <c r="C64" s="1387"/>
      <c r="D64" s="599" t="s">
        <v>198</v>
      </c>
      <c r="E64" s="1321">
        <f>'15'!F64</f>
        <v>117536.58</v>
      </c>
      <c r="F64" s="703">
        <v>117968.85</v>
      </c>
      <c r="G64" s="856">
        <f t="shared" si="5"/>
        <v>432.27000000000407</v>
      </c>
      <c r="H64" s="536">
        <f>G64+'15'!H64</f>
        <v>6685.3899999999994</v>
      </c>
      <c r="I64" s="556"/>
      <c r="J64" s="629">
        <f>H64/DAY(B2)</f>
        <v>417.83687499999996</v>
      </c>
      <c r="K64" s="467"/>
      <c r="L64" s="408"/>
      <c r="N64" s="800"/>
      <c r="O64" s="807"/>
      <c r="P64" s="413"/>
    </row>
    <row r="65" spans="1:16" ht="27.75">
      <c r="A65" s="1385" t="s">
        <v>108</v>
      </c>
      <c r="B65" s="1386"/>
      <c r="C65" s="1387"/>
      <c r="D65" s="599" t="s">
        <v>198</v>
      </c>
      <c r="E65" s="590">
        <f>'15'!F65</f>
        <v>127442.35</v>
      </c>
      <c r="F65" s="732">
        <v>127843.92</v>
      </c>
      <c r="G65" s="549">
        <f t="shared" si="5"/>
        <v>401.56999999999243</v>
      </c>
      <c r="H65" s="536">
        <f>G65+'15'!H65</f>
        <v>6110.8099999999977</v>
      </c>
      <c r="I65" s="565"/>
      <c r="J65" s="629">
        <f>H65/DAY(B2)</f>
        <v>381.92562499999985</v>
      </c>
      <c r="K65" s="467"/>
      <c r="L65" s="408"/>
      <c r="N65" s="800"/>
      <c r="O65" s="808"/>
      <c r="P65" s="413"/>
    </row>
    <row r="66" spans="1:16" ht="27.75">
      <c r="A66" s="1385" t="s">
        <v>109</v>
      </c>
      <c r="B66" s="1386"/>
      <c r="C66" s="1387"/>
      <c r="D66" s="599" t="s">
        <v>198</v>
      </c>
      <c r="E66" s="590">
        <f>'15'!F66</f>
        <v>20047.63</v>
      </c>
      <c r="F66" s="554">
        <v>20457.39</v>
      </c>
      <c r="G66" s="549">
        <f t="shared" si="5"/>
        <v>409.7599999999984</v>
      </c>
      <c r="H66" s="536">
        <f>G66+'15'!H66</f>
        <v>6297.65</v>
      </c>
      <c r="I66" s="556"/>
      <c r="J66" s="629">
        <f>H66/DAY(B2)</f>
        <v>393.60312499999998</v>
      </c>
      <c r="K66" s="467"/>
      <c r="L66" s="408"/>
      <c r="N66" s="800"/>
      <c r="O66" s="807"/>
      <c r="P66" s="413"/>
    </row>
    <row r="67" spans="1:16" ht="27.75">
      <c r="A67" s="1385" t="s">
        <v>110</v>
      </c>
      <c r="B67" s="1386"/>
      <c r="C67" s="1387"/>
      <c r="D67" s="599" t="s">
        <v>198</v>
      </c>
      <c r="E67" s="590">
        <f>'15'!F67</f>
        <v>199239.17</v>
      </c>
      <c r="F67" s="554">
        <v>199917.25</v>
      </c>
      <c r="G67" s="549">
        <f t="shared" si="5"/>
        <v>678.07999999998719</v>
      </c>
      <c r="H67" s="536">
        <f>G67+'15'!H67</f>
        <v>11242.720000000001</v>
      </c>
      <c r="I67" s="565"/>
      <c r="J67" s="629">
        <f>H67/DAY(B2)</f>
        <v>702.67000000000007</v>
      </c>
      <c r="K67" s="468"/>
      <c r="L67" s="408"/>
      <c r="N67" s="800"/>
      <c r="O67" s="807"/>
      <c r="P67" s="413"/>
    </row>
    <row r="68" spans="1:16" ht="27.75">
      <c r="A68" s="1385" t="s">
        <v>111</v>
      </c>
      <c r="B68" s="1386"/>
      <c r="C68" s="1387"/>
      <c r="D68" s="599" t="s">
        <v>198</v>
      </c>
      <c r="E68" s="590">
        <f>'15'!F68</f>
        <v>68438.38</v>
      </c>
      <c r="F68" s="554">
        <v>68753.179999999993</v>
      </c>
      <c r="G68" s="549">
        <f t="shared" si="5"/>
        <v>314.79999999998836</v>
      </c>
      <c r="H68" s="536">
        <f>G68+'15'!H68</f>
        <v>5453.3199999999924</v>
      </c>
      <c r="I68" s="592"/>
      <c r="J68" s="629">
        <f>H68/DAY(B2)</f>
        <v>340.83249999999953</v>
      </c>
      <c r="K68" s="469"/>
      <c r="L68" s="408"/>
      <c r="N68" s="800"/>
      <c r="O68" s="807"/>
      <c r="P68" s="413"/>
    </row>
    <row r="69" spans="1:16" ht="27.75">
      <c r="A69" s="1385" t="s">
        <v>112</v>
      </c>
      <c r="B69" s="1386"/>
      <c r="C69" s="1387"/>
      <c r="D69" s="599" t="s">
        <v>198</v>
      </c>
      <c r="E69" s="590">
        <f>'15'!F69</f>
        <v>60262.21</v>
      </c>
      <c r="F69" s="554">
        <v>60564.56</v>
      </c>
      <c r="G69" s="549">
        <f t="shared" si="5"/>
        <v>302.34999999999854</v>
      </c>
      <c r="H69" s="536">
        <f>G69+'15'!H69</f>
        <v>4840.8499999999985</v>
      </c>
      <c r="I69" s="592"/>
      <c r="J69" s="629">
        <f>H69/DAY(B2)</f>
        <v>302.55312499999991</v>
      </c>
      <c r="K69" s="470"/>
      <c r="L69" s="408"/>
      <c r="N69" s="800"/>
      <c r="O69" s="807"/>
      <c r="P69" s="413"/>
    </row>
    <row r="70" spans="1:16" ht="27.75">
      <c r="A70" s="1391" t="s">
        <v>200</v>
      </c>
      <c r="B70" s="1392"/>
      <c r="C70" s="1393"/>
      <c r="D70" s="599" t="s">
        <v>198</v>
      </c>
      <c r="E70" s="594"/>
      <c r="F70" s="594"/>
      <c r="G70" s="594"/>
      <c r="H70" s="536"/>
      <c r="I70" s="594"/>
      <c r="J70" s="633"/>
      <c r="K70" s="470"/>
      <c r="L70" s="408"/>
      <c r="N70" s="800"/>
      <c r="O70" s="807"/>
      <c r="P70" s="413"/>
    </row>
    <row r="71" spans="1:16" ht="31.5">
      <c r="A71" s="1388" t="s">
        <v>201</v>
      </c>
      <c r="B71" s="1389"/>
      <c r="C71" s="1389"/>
      <c r="D71" s="1389"/>
      <c r="E71" s="1389"/>
      <c r="F71" s="1389"/>
      <c r="G71" s="1389"/>
      <c r="H71" s="1389"/>
      <c r="I71" s="1389"/>
      <c r="J71" s="1390"/>
      <c r="K71" s="469"/>
      <c r="L71" s="408"/>
      <c r="N71" s="800"/>
      <c r="O71" s="807"/>
      <c r="P71" s="413"/>
    </row>
    <row r="72" spans="1:16" ht="27.75">
      <c r="A72" s="1385" t="s">
        <v>202</v>
      </c>
      <c r="B72" s="1386"/>
      <c r="C72" s="1387"/>
      <c r="D72" s="599" t="s">
        <v>198</v>
      </c>
      <c r="E72" s="595">
        <f>'15'!F72</f>
        <v>849617</v>
      </c>
      <c r="F72" s="735">
        <v>849713</v>
      </c>
      <c r="G72" s="549">
        <f t="shared" ref="G72:G84" si="6">F72-E72</f>
        <v>96</v>
      </c>
      <c r="H72" s="536">
        <f>G72+'15'!H72</f>
        <v>1161</v>
      </c>
      <c r="I72" s="556"/>
      <c r="J72" s="629">
        <f>H72/DAY(B2)</f>
        <v>72.5625</v>
      </c>
      <c r="K72" s="470"/>
      <c r="L72" s="408"/>
      <c r="N72" s="800"/>
      <c r="O72" s="807"/>
      <c r="P72" s="413"/>
    </row>
    <row r="73" spans="1:16" ht="27.75">
      <c r="A73" s="1385" t="s">
        <v>203</v>
      </c>
      <c r="B73" s="1386"/>
      <c r="C73" s="1387"/>
      <c r="D73" s="599" t="s">
        <v>198</v>
      </c>
      <c r="E73" s="595">
        <f>'15'!F73</f>
        <v>885739</v>
      </c>
      <c r="F73" s="736">
        <v>885740</v>
      </c>
      <c r="G73" s="733">
        <f t="shared" si="6"/>
        <v>1</v>
      </c>
      <c r="H73" s="536">
        <f>G73+'15'!H73</f>
        <v>959</v>
      </c>
      <c r="I73" s="556"/>
      <c r="J73" s="629">
        <f>H73/DAY(B2)</f>
        <v>59.9375</v>
      </c>
      <c r="K73" s="469"/>
      <c r="L73" s="408"/>
      <c r="N73" s="800"/>
      <c r="O73" s="807"/>
      <c r="P73" s="413"/>
    </row>
    <row r="74" spans="1:16" ht="27.75">
      <c r="A74" s="1385" t="s">
        <v>204</v>
      </c>
      <c r="B74" s="1386"/>
      <c r="C74" s="1387"/>
      <c r="D74" s="599" t="s">
        <v>198</v>
      </c>
      <c r="E74" s="595">
        <f>'15'!F74</f>
        <v>199.82</v>
      </c>
      <c r="F74" s="736">
        <v>249.34</v>
      </c>
      <c r="G74" s="549">
        <f t="shared" si="6"/>
        <v>49.52000000000001</v>
      </c>
      <c r="H74" s="536">
        <f>G74+'15'!H74</f>
        <v>478.44000000000005</v>
      </c>
      <c r="I74" s="556"/>
      <c r="J74" s="629">
        <f>H74/DAY(B2)</f>
        <v>29.902500000000003</v>
      </c>
      <c r="K74" s="470"/>
      <c r="L74" s="408"/>
      <c r="N74" s="800"/>
      <c r="O74" s="807"/>
      <c r="P74" s="413"/>
    </row>
    <row r="75" spans="1:16" ht="27.75">
      <c r="A75" s="1382" t="s">
        <v>205</v>
      </c>
      <c r="B75" s="1383"/>
      <c r="C75" s="1384"/>
      <c r="D75" s="599" t="s">
        <v>198</v>
      </c>
      <c r="E75" s="595">
        <f>'15'!F75</f>
        <v>1216.72</v>
      </c>
      <c r="F75" s="736">
        <v>1419.33</v>
      </c>
      <c r="G75" s="549">
        <f t="shared" si="6"/>
        <v>202.6099999999999</v>
      </c>
      <c r="H75" s="536">
        <f>G75+'15'!H75</f>
        <v>2955.7300000000005</v>
      </c>
      <c r="I75" s="556"/>
      <c r="J75" s="629">
        <f>H75/DAY(B2)</f>
        <v>184.73312500000003</v>
      </c>
      <c r="K75" s="469"/>
      <c r="L75" s="408"/>
      <c r="N75" s="800"/>
      <c r="O75" s="807"/>
      <c r="P75" s="413"/>
    </row>
    <row r="76" spans="1:16" ht="27.75">
      <c r="A76" s="1382" t="s">
        <v>206</v>
      </c>
      <c r="B76" s="1383"/>
      <c r="C76" s="1384"/>
      <c r="D76" s="599" t="s">
        <v>198</v>
      </c>
      <c r="E76" s="595">
        <f>'15'!F76</f>
        <v>508.4</v>
      </c>
      <c r="F76" s="736">
        <v>581</v>
      </c>
      <c r="G76" s="549">
        <f t="shared" si="6"/>
        <v>72.600000000000023</v>
      </c>
      <c r="H76" s="536">
        <f>G76+'15'!H76</f>
        <v>2578.2000000000003</v>
      </c>
      <c r="I76" s="581"/>
      <c r="J76" s="629">
        <f>H76/DAY(B2)</f>
        <v>161.13750000000002</v>
      </c>
      <c r="K76" s="469"/>
      <c r="L76" s="408"/>
      <c r="N76" s="800"/>
      <c r="O76" s="807"/>
      <c r="P76" s="413"/>
    </row>
    <row r="77" spans="1:16" ht="27.75">
      <c r="A77" s="1385" t="s">
        <v>207</v>
      </c>
      <c r="B77" s="1386"/>
      <c r="C77" s="1387"/>
      <c r="D77" s="599" t="s">
        <v>198</v>
      </c>
      <c r="E77" s="595">
        <f>'15'!F77</f>
        <v>697945</v>
      </c>
      <c r="F77" s="736">
        <v>697999</v>
      </c>
      <c r="G77" s="733">
        <f t="shared" si="6"/>
        <v>54</v>
      </c>
      <c r="H77" s="536">
        <f>G77+'15'!H77</f>
        <v>892</v>
      </c>
      <c r="I77" s="581"/>
      <c r="J77" s="629">
        <f>H77/DAY(B2)</f>
        <v>55.75</v>
      </c>
      <c r="K77" s="469"/>
      <c r="L77" s="408"/>
      <c r="N77" s="800"/>
      <c r="O77" s="807"/>
      <c r="P77" s="413"/>
    </row>
    <row r="78" spans="1:16" ht="27.75">
      <c r="A78" s="1300" t="s">
        <v>208</v>
      </c>
      <c r="B78" s="1296"/>
      <c r="C78" s="1296"/>
      <c r="D78" s="599" t="s">
        <v>198</v>
      </c>
      <c r="E78" s="595">
        <f>'15'!F78</f>
        <v>648180</v>
      </c>
      <c r="F78" s="737">
        <v>648563</v>
      </c>
      <c r="G78" s="549">
        <f t="shared" si="6"/>
        <v>383</v>
      </c>
      <c r="H78" s="536">
        <f>G78+'15'!H78</f>
        <v>6610</v>
      </c>
      <c r="I78" s="581"/>
      <c r="J78" s="629">
        <f>H78/DAY(B2)</f>
        <v>413.125</v>
      </c>
      <c r="K78" s="469"/>
      <c r="L78" s="408"/>
      <c r="N78" s="800"/>
      <c r="O78" s="807"/>
      <c r="P78" s="413"/>
    </row>
    <row r="79" spans="1:16" ht="27.75">
      <c r="A79" s="1382" t="s">
        <v>97</v>
      </c>
      <c r="B79" s="1383"/>
      <c r="C79" s="1384"/>
      <c r="D79" s="600" t="s">
        <v>198</v>
      </c>
      <c r="E79" s="595">
        <f>'15'!F79</f>
        <v>812601</v>
      </c>
      <c r="F79" s="737">
        <v>812813</v>
      </c>
      <c r="G79" s="549">
        <f t="shared" si="6"/>
        <v>212</v>
      </c>
      <c r="H79" s="536">
        <f>G79+'15'!H79</f>
        <v>5987</v>
      </c>
      <c r="I79" s="581"/>
      <c r="J79" s="629">
        <f>H79/DAY(B2)</f>
        <v>374.1875</v>
      </c>
      <c r="K79" s="469"/>
      <c r="L79" s="408"/>
      <c r="N79" s="800"/>
      <c r="O79" s="807"/>
      <c r="P79" s="413"/>
    </row>
    <row r="80" spans="1:16" ht="27.75">
      <c r="A80" s="1382" t="s">
        <v>209</v>
      </c>
      <c r="B80" s="1383"/>
      <c r="C80" s="1384"/>
      <c r="D80" s="600" t="s">
        <v>198</v>
      </c>
      <c r="E80" s="595">
        <f>'15'!F80</f>
        <v>489888.52</v>
      </c>
      <c r="F80" s="736">
        <v>490280</v>
      </c>
      <c r="G80" s="549">
        <f t="shared" si="6"/>
        <v>391.47999999998137</v>
      </c>
      <c r="H80" s="536">
        <f>G80+'15'!H80</f>
        <v>3698.320000000007</v>
      </c>
      <c r="I80" s="581"/>
      <c r="J80" s="629">
        <f>H80/DAY(B2)</f>
        <v>231.14500000000044</v>
      </c>
      <c r="K80" s="469"/>
      <c r="L80" s="408"/>
      <c r="N80" s="800"/>
      <c r="O80" s="807"/>
      <c r="P80" s="413"/>
    </row>
    <row r="81" spans="1:16" ht="27.75">
      <c r="A81" s="1382" t="s">
        <v>210</v>
      </c>
      <c r="B81" s="1383"/>
      <c r="C81" s="1384"/>
      <c r="D81" s="600" t="s">
        <v>198</v>
      </c>
      <c r="E81" s="595">
        <f>'15'!F81</f>
        <v>624383.04</v>
      </c>
      <c r="F81" s="736">
        <v>624504</v>
      </c>
      <c r="G81" s="549">
        <f t="shared" si="6"/>
        <v>120.95999999996275</v>
      </c>
      <c r="H81" s="536">
        <f>G81+'15'!H81</f>
        <v>1729</v>
      </c>
      <c r="I81" s="581"/>
      <c r="J81" s="629">
        <f>H81/DAY(B2)</f>
        <v>108.0625</v>
      </c>
      <c r="K81" s="469"/>
      <c r="L81" s="408"/>
      <c r="N81" s="800"/>
      <c r="O81" s="807"/>
      <c r="P81" s="413"/>
    </row>
    <row r="82" spans="1:16" s="858" customFormat="1" ht="27.75">
      <c r="A82" s="1453" t="s">
        <v>100</v>
      </c>
      <c r="B82" s="1454"/>
      <c r="C82" s="1455"/>
      <c r="D82" s="703" t="s">
        <v>143</v>
      </c>
      <c r="E82" s="865">
        <f>'15'!F82</f>
        <v>105889.01</v>
      </c>
      <c r="F82" s="703">
        <v>105915.44</v>
      </c>
      <c r="G82" s="856">
        <f t="shared" si="6"/>
        <v>26.430000000007567</v>
      </c>
      <c r="H82" s="555">
        <f>G82+'15'!H82</f>
        <v>475.44000000000233</v>
      </c>
      <c r="I82" s="555"/>
      <c r="J82" s="857">
        <f>H82/DAY(B2)</f>
        <v>29.715000000000146</v>
      </c>
      <c r="K82" s="1307"/>
      <c r="L82" s="1308"/>
      <c r="N82" s="804"/>
      <c r="O82" s="808"/>
      <c r="P82" s="803"/>
    </row>
    <row r="83" spans="1:16" ht="27.75">
      <c r="A83" s="1382" t="s">
        <v>211</v>
      </c>
      <c r="B83" s="1383"/>
      <c r="C83" s="1384"/>
      <c r="D83" s="697" t="s">
        <v>143</v>
      </c>
      <c r="E83" s="595">
        <f>'15'!F83</f>
        <v>990240</v>
      </c>
      <c r="F83" s="587">
        <v>990737</v>
      </c>
      <c r="G83" s="549">
        <f t="shared" si="6"/>
        <v>497</v>
      </c>
      <c r="H83" s="536">
        <f>G83+'15'!H83</f>
        <v>6996</v>
      </c>
      <c r="I83" s="557"/>
      <c r="J83" s="629">
        <f>H83/DAY(B2)</f>
        <v>437.25</v>
      </c>
      <c r="K83" s="468"/>
      <c r="L83" s="408"/>
      <c r="N83" s="800"/>
      <c r="O83" s="807"/>
      <c r="P83" s="413"/>
    </row>
    <row r="84" spans="1:16">
      <c r="A84" s="1303" t="s">
        <v>212</v>
      </c>
      <c r="B84" s="648"/>
      <c r="C84" s="648"/>
      <c r="D84" s="554" t="s">
        <v>143</v>
      </c>
      <c r="E84" s="595">
        <f>'15'!F84</f>
        <v>423264</v>
      </c>
      <c r="F84" s="704">
        <v>423923</v>
      </c>
      <c r="G84" s="549">
        <f t="shared" si="6"/>
        <v>659</v>
      </c>
      <c r="H84" s="536">
        <f>G84+'15'!H84</f>
        <v>7850</v>
      </c>
      <c r="I84" s="557"/>
      <c r="J84" s="629">
        <f>H84/DAY(B2)</f>
        <v>490.625</v>
      </c>
      <c r="K84" s="411"/>
      <c r="L84" s="408"/>
      <c r="N84" s="800"/>
      <c r="O84" s="807"/>
      <c r="P84" s="413"/>
    </row>
    <row r="85" spans="1:16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SUM(G72:G84)</f>
        <v>2765.5999999999517</v>
      </c>
      <c r="H85" s="536">
        <f>G85+'15'!H85</f>
        <v>37066.76</v>
      </c>
      <c r="I85" s="557"/>
      <c r="J85" s="629">
        <f>H85/DAY(B2)</f>
        <v>2316.6725000000001</v>
      </c>
      <c r="K85" s="411"/>
      <c r="L85" s="409"/>
      <c r="N85" s="800"/>
      <c r="O85" s="807"/>
      <c r="P85" s="413"/>
    </row>
    <row r="86" spans="1:16" s="817" customFormat="1">
      <c r="A86" s="812" t="s">
        <v>102</v>
      </c>
      <c r="B86" s="813"/>
      <c r="C86" s="813"/>
      <c r="D86" s="814" t="s">
        <v>194</v>
      </c>
      <c r="E86" s="704">
        <f>'15'!F86</f>
        <v>448916.84</v>
      </c>
      <c r="F86" s="728">
        <v>449025.04</v>
      </c>
      <c r="G86" s="787">
        <f t="shared" ref="G86:G90" si="7">F86-E86</f>
        <v>108.19999999995343</v>
      </c>
      <c r="H86" s="787">
        <f t="shared" ref="H86:H88" si="8">G86</f>
        <v>108.19999999995343</v>
      </c>
      <c r="I86" s="733"/>
      <c r="J86" s="789">
        <f>H86/DAY(B2)</f>
        <v>6.7624999999970896</v>
      </c>
      <c r="K86" s="815"/>
      <c r="L86" s="816"/>
      <c r="O86" s="795"/>
    </row>
    <row r="87" spans="1:16" s="817" customFormat="1">
      <c r="A87" s="812" t="s">
        <v>103</v>
      </c>
      <c r="B87" s="813"/>
      <c r="C87" s="813"/>
      <c r="D87" s="814" t="s">
        <v>194</v>
      </c>
      <c r="E87" s="704">
        <f>'15'!F87</f>
        <v>78857.8</v>
      </c>
      <c r="F87" s="728">
        <v>78878</v>
      </c>
      <c r="G87" s="787">
        <f t="shared" si="7"/>
        <v>20.19999999999709</v>
      </c>
      <c r="H87" s="787">
        <f t="shared" si="8"/>
        <v>20.19999999999709</v>
      </c>
      <c r="I87" s="733"/>
      <c r="J87" s="789">
        <f>H87/DAY(B2)</f>
        <v>1.2624999999998181</v>
      </c>
      <c r="K87" s="815"/>
      <c r="L87" s="816"/>
      <c r="O87" s="795"/>
    </row>
    <row r="88" spans="1:16" s="817" customFormat="1">
      <c r="A88" s="812" t="s">
        <v>104</v>
      </c>
      <c r="B88" s="813"/>
      <c r="C88" s="813"/>
      <c r="D88" s="814" t="s">
        <v>194</v>
      </c>
      <c r="E88" s="704">
        <f>'15'!F88</f>
        <v>147474.89000000001</v>
      </c>
      <c r="F88" s="728">
        <v>147554.91</v>
      </c>
      <c r="G88" s="787">
        <f t="shared" si="7"/>
        <v>80.019999999989523</v>
      </c>
      <c r="H88" s="787">
        <f t="shared" si="8"/>
        <v>80.019999999989523</v>
      </c>
      <c r="I88" s="733"/>
      <c r="J88" s="789">
        <f>H88/DAY(B2)</f>
        <v>5.0012499999993452</v>
      </c>
      <c r="K88" s="815"/>
      <c r="L88" s="816"/>
      <c r="O88" s="795"/>
    </row>
    <row r="89" spans="1:16" s="817" customFormat="1">
      <c r="A89" s="812" t="s">
        <v>215</v>
      </c>
      <c r="B89" s="813"/>
      <c r="C89" s="813"/>
      <c r="D89" s="814" t="s">
        <v>194</v>
      </c>
      <c r="E89" s="704">
        <f>'15'!F89</f>
        <v>60789.9</v>
      </c>
      <c r="F89" s="728">
        <v>60854.400000000001</v>
      </c>
      <c r="G89" s="787">
        <f t="shared" si="7"/>
        <v>64.5</v>
      </c>
      <c r="H89" s="787">
        <f>G89</f>
        <v>64.5</v>
      </c>
      <c r="I89" s="733"/>
      <c r="J89" s="789">
        <f>H89/DAY(B2)</f>
        <v>4.03125</v>
      </c>
      <c r="K89" s="815"/>
      <c r="L89" s="816"/>
      <c r="N89" s="860"/>
      <c r="O89" s="413"/>
    </row>
    <row r="90" spans="1:16" s="817" customFormat="1">
      <c r="A90" s="812" t="s">
        <v>215</v>
      </c>
      <c r="B90" s="813"/>
      <c r="C90" s="813"/>
      <c r="D90" s="814" t="s">
        <v>194</v>
      </c>
      <c r="E90" s="704">
        <f>'15'!F90</f>
        <v>3117.1</v>
      </c>
      <c r="F90" s="728">
        <v>3121.9</v>
      </c>
      <c r="G90" s="787">
        <f t="shared" si="7"/>
        <v>4.8000000000001819</v>
      </c>
      <c r="H90" s="787">
        <f>G90</f>
        <v>4.8000000000001819</v>
      </c>
      <c r="I90" s="733"/>
      <c r="J90" s="789">
        <f>H90/DAY(B2)</f>
        <v>0.30000000000001137</v>
      </c>
      <c r="K90" s="815"/>
      <c r="L90" s="816"/>
      <c r="N90" s="860"/>
      <c r="O90" s="413"/>
    </row>
    <row r="91" spans="1:16" s="410" customFormat="1">
      <c r="A91" s="683" t="s">
        <v>216</v>
      </c>
      <c r="B91" s="1301"/>
      <c r="C91" s="1301"/>
      <c r="D91" s="548"/>
      <c r="E91" s="548"/>
      <c r="F91" s="548"/>
      <c r="G91" s="564"/>
      <c r="H91" s="548"/>
      <c r="I91" s="548"/>
      <c r="J91" s="628"/>
      <c r="K91" s="411"/>
      <c r="L91" s="409"/>
      <c r="N91" s="800"/>
      <c r="O91" s="807"/>
      <c r="P91" s="413"/>
    </row>
    <row r="92" spans="1:16" ht="27.75">
      <c r="A92" s="1406" t="s">
        <v>217</v>
      </c>
      <c r="B92" s="1407"/>
      <c r="C92" s="1408"/>
      <c r="D92" s="599" t="s">
        <v>155</v>
      </c>
      <c r="E92" s="560">
        <f>'15'!F92</f>
        <v>238298</v>
      </c>
      <c r="F92" s="554">
        <v>238430</v>
      </c>
      <c r="G92" s="549">
        <f t="shared" ref="G92:G93" si="9">F92-E92</f>
        <v>132</v>
      </c>
      <c r="H92" s="536">
        <f>G92+'15'!H92</f>
        <v>1860</v>
      </c>
      <c r="I92" s="556"/>
      <c r="J92" s="629">
        <f>H92/DAY(B2)</f>
        <v>116.25</v>
      </c>
      <c r="K92" s="468"/>
      <c r="L92" s="408"/>
      <c r="N92" s="800"/>
      <c r="O92" s="807"/>
      <c r="P92" s="413"/>
    </row>
    <row r="93" spans="1:16" ht="27.75">
      <c r="A93" s="1406" t="s">
        <v>218</v>
      </c>
      <c r="B93" s="1407"/>
      <c r="C93" s="1408"/>
      <c r="D93" s="599" t="s">
        <v>155</v>
      </c>
      <c r="E93" s="560">
        <f>'15'!F93</f>
        <v>173643</v>
      </c>
      <c r="F93" s="554">
        <v>173797</v>
      </c>
      <c r="G93" s="549">
        <f t="shared" si="9"/>
        <v>154</v>
      </c>
      <c r="H93" s="536">
        <f>G93+'15'!H93</f>
        <v>2621</v>
      </c>
      <c r="I93" s="556"/>
      <c r="J93" s="629">
        <f>H93/DAY(B2)</f>
        <v>163.8125</v>
      </c>
      <c r="K93" s="411"/>
      <c r="L93" s="408"/>
      <c r="N93" s="800"/>
      <c r="O93" s="807"/>
      <c r="P93" s="413"/>
    </row>
    <row r="94" spans="1:16">
      <c r="A94" s="1434" t="s">
        <v>219</v>
      </c>
      <c r="B94" s="1435"/>
      <c r="C94" s="1436"/>
      <c r="D94" s="599"/>
      <c r="E94" s="560">
        <f>'15'!F94</f>
        <v>0</v>
      </c>
      <c r="F94" s="554">
        <v>0</v>
      </c>
      <c r="G94" s="549">
        <f>G92+G93</f>
        <v>286</v>
      </c>
      <c r="H94" s="536">
        <f>G94+'15'!H94</f>
        <v>4194</v>
      </c>
      <c r="I94" s="556"/>
      <c r="J94" s="629">
        <f>H94/DAY(B2)</f>
        <v>262.125</v>
      </c>
      <c r="K94" s="411"/>
      <c r="L94" s="408"/>
      <c r="N94" s="800"/>
      <c r="O94" s="807"/>
      <c r="P94" s="413"/>
    </row>
    <row r="95" spans="1:16" ht="27.75">
      <c r="A95" s="1406" t="s">
        <v>220</v>
      </c>
      <c r="B95" s="1407"/>
      <c r="C95" s="1408"/>
      <c r="D95" s="599" t="s">
        <v>155</v>
      </c>
      <c r="E95" s="560">
        <f>'15'!F95</f>
        <v>407040</v>
      </c>
      <c r="F95" s="554">
        <v>407137</v>
      </c>
      <c r="G95" s="549">
        <f t="shared" ref="G95:G100" si="10">F95-E95</f>
        <v>97</v>
      </c>
      <c r="H95" s="536">
        <f>G95+'15'!H95</f>
        <v>1261</v>
      </c>
      <c r="I95" s="556"/>
      <c r="J95" s="629">
        <f>H95/DAY(B2)</f>
        <v>78.8125</v>
      </c>
      <c r="K95" s="411"/>
      <c r="L95" s="408"/>
      <c r="N95" s="800"/>
      <c r="O95" s="807"/>
      <c r="P95" s="413"/>
    </row>
    <row r="96" spans="1:16" ht="27.75">
      <c r="A96" s="1297" t="s">
        <v>221</v>
      </c>
      <c r="B96" s="1298"/>
      <c r="C96" s="1298"/>
      <c r="D96" s="599" t="s">
        <v>155</v>
      </c>
      <c r="E96" s="560">
        <f>'15'!F96</f>
        <v>101091</v>
      </c>
      <c r="F96" s="554">
        <v>101109</v>
      </c>
      <c r="G96" s="549">
        <f t="shared" si="10"/>
        <v>18</v>
      </c>
      <c r="H96" s="536">
        <f>G96+'15'!H96</f>
        <v>575</v>
      </c>
      <c r="I96" s="556"/>
      <c r="J96" s="629">
        <f>H96/DAY(B2)</f>
        <v>35.9375</v>
      </c>
      <c r="K96" s="466"/>
      <c r="L96" s="408"/>
      <c r="N96" s="800"/>
      <c r="O96" s="807"/>
      <c r="P96" s="413"/>
    </row>
    <row r="97" spans="1:16" ht="27.75">
      <c r="A97" s="1297" t="s">
        <v>222</v>
      </c>
      <c r="B97" s="1298"/>
      <c r="C97" s="1298"/>
      <c r="D97" s="599" t="s">
        <v>155</v>
      </c>
      <c r="E97" s="560">
        <f>'15'!F97</f>
        <v>96153</v>
      </c>
      <c r="F97" s="554">
        <v>96177</v>
      </c>
      <c r="G97" s="549">
        <f t="shared" si="10"/>
        <v>24</v>
      </c>
      <c r="H97" s="536">
        <f>G97+'15'!H97</f>
        <v>500</v>
      </c>
      <c r="I97" s="556"/>
      <c r="J97" s="629">
        <f>H97/DAY(B2)</f>
        <v>31.25</v>
      </c>
      <c r="K97" s="471"/>
      <c r="L97" s="408"/>
      <c r="N97" s="800"/>
      <c r="O97" s="807"/>
      <c r="P97" s="413"/>
    </row>
    <row r="98" spans="1:16" ht="27.75">
      <c r="A98" s="1297" t="s">
        <v>223</v>
      </c>
      <c r="B98" s="1298"/>
      <c r="C98" s="1298"/>
      <c r="D98" s="599" t="s">
        <v>155</v>
      </c>
      <c r="E98" s="560">
        <f>'15'!F98</f>
        <v>146606</v>
      </c>
      <c r="F98" s="554">
        <v>146662</v>
      </c>
      <c r="G98" s="549">
        <f t="shared" si="10"/>
        <v>56</v>
      </c>
      <c r="H98" s="536">
        <f>G98+'15'!H98</f>
        <v>1108</v>
      </c>
      <c r="I98" s="556"/>
      <c r="J98" s="629">
        <f>H98/DAY(B2)</f>
        <v>69.25</v>
      </c>
      <c r="K98" s="411"/>
      <c r="L98" s="408"/>
      <c r="N98" s="802"/>
      <c r="O98" s="807"/>
      <c r="P98" s="413"/>
    </row>
    <row r="99" spans="1:16" ht="27.75">
      <c r="A99" s="1297" t="s">
        <v>224</v>
      </c>
      <c r="B99" s="1298"/>
      <c r="C99" s="1298"/>
      <c r="D99" s="599" t="s">
        <v>155</v>
      </c>
      <c r="E99" s="560">
        <f>'15'!F99</f>
        <v>6167</v>
      </c>
      <c r="F99" s="554">
        <v>6184</v>
      </c>
      <c r="G99" s="549">
        <f t="shared" si="10"/>
        <v>17</v>
      </c>
      <c r="H99" s="536">
        <f>G99+'15'!H99</f>
        <v>210</v>
      </c>
      <c r="I99" s="556"/>
      <c r="J99" s="629">
        <f>H99/DAY(B2)</f>
        <v>13.125</v>
      </c>
      <c r="K99" s="411"/>
      <c r="L99" s="408"/>
      <c r="N99" s="800"/>
      <c r="O99" s="807"/>
      <c r="P99" s="413"/>
    </row>
    <row r="100" spans="1:16" ht="27.75">
      <c r="A100" s="1297" t="s">
        <v>225</v>
      </c>
      <c r="B100" s="1298"/>
      <c r="C100" s="1298"/>
      <c r="D100" s="599" t="s">
        <v>155</v>
      </c>
      <c r="E100" s="560">
        <f>'15'!F100</f>
        <v>4389</v>
      </c>
      <c r="F100" s="554">
        <v>4395</v>
      </c>
      <c r="G100" s="549">
        <f t="shared" si="10"/>
        <v>6</v>
      </c>
      <c r="H100" s="536">
        <f>G100+'15'!H100</f>
        <v>158</v>
      </c>
      <c r="I100" s="556"/>
      <c r="J100" s="629">
        <f>H100/DAY(B2)</f>
        <v>9.875</v>
      </c>
      <c r="K100" s="411"/>
      <c r="L100" s="408"/>
      <c r="N100" s="800"/>
      <c r="O100" s="807"/>
      <c r="P100" s="413"/>
    </row>
    <row r="101" spans="1:16">
      <c r="A101" s="1434" t="s">
        <v>227</v>
      </c>
      <c r="B101" s="1435"/>
      <c r="C101" s="1436"/>
      <c r="D101" s="600"/>
      <c r="E101" s="560"/>
      <c r="F101" s="600"/>
      <c r="G101" s="601">
        <f>SUM(G95:G100)</f>
        <v>218</v>
      </c>
      <c r="H101" s="536">
        <f>G101+'15'!H101</f>
        <v>3812</v>
      </c>
      <c r="I101" s="602"/>
      <c r="J101" s="629">
        <f>H101/DAY(B2)</f>
        <v>238.25</v>
      </c>
      <c r="K101" s="411"/>
      <c r="L101" s="408"/>
      <c r="N101" s="800"/>
      <c r="O101" s="807"/>
      <c r="P101" s="413"/>
    </row>
    <row r="102" spans="1:16" s="481" customFormat="1" ht="27">
      <c r="A102" s="684" t="s">
        <v>228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800"/>
      <c r="O102" s="807"/>
      <c r="P102" s="413"/>
    </row>
    <row r="103" spans="1:16" s="481" customFormat="1" ht="27.75">
      <c r="A103" s="1437" t="s">
        <v>229</v>
      </c>
      <c r="B103" s="1438"/>
      <c r="C103" s="650"/>
      <c r="D103" s="699"/>
      <c r="E103" s="560"/>
      <c r="F103" s="739"/>
      <c r="G103" s="608"/>
      <c r="H103" s="609"/>
      <c r="I103" s="608"/>
      <c r="J103" s="635"/>
      <c r="N103" s="800"/>
      <c r="O103" s="807"/>
      <c r="P103" s="413"/>
    </row>
    <row r="104" spans="1:16" s="481" customFormat="1" ht="27.75">
      <c r="A104" s="1398" t="s">
        <v>230</v>
      </c>
      <c r="B104" s="1399"/>
      <c r="C104" s="1302"/>
      <c r="D104" s="699" t="s">
        <v>155</v>
      </c>
      <c r="E104" s="560">
        <f>'15'!F104</f>
        <v>7097</v>
      </c>
      <c r="F104" s="739">
        <v>7097</v>
      </c>
      <c r="G104" s="608">
        <f>F104-E104</f>
        <v>0</v>
      </c>
      <c r="H104" s="609">
        <f>SUM(G104+'1'!G76)</f>
        <v>74</v>
      </c>
      <c r="I104" s="608"/>
      <c r="J104" s="635">
        <f>H104/DAY(B2)</f>
        <v>4.625</v>
      </c>
      <c r="N104" s="800"/>
      <c r="O104" s="807"/>
      <c r="P104" s="413"/>
    </row>
    <row r="105" spans="1:16" s="481" customFormat="1" ht="27.75">
      <c r="A105" s="1398" t="s">
        <v>77</v>
      </c>
      <c r="B105" s="1399"/>
      <c r="C105" s="1302"/>
      <c r="D105" s="699" t="s">
        <v>155</v>
      </c>
      <c r="E105" s="560">
        <f>'15'!F105</f>
        <v>35285</v>
      </c>
      <c r="F105" s="740">
        <v>35297</v>
      </c>
      <c r="G105" s="608">
        <f t="shared" ref="G105:G106" si="11">F105-E105</f>
        <v>12</v>
      </c>
      <c r="H105" s="609">
        <f>SUM(G105+'1'!G77)</f>
        <v>60</v>
      </c>
      <c r="I105" s="608"/>
      <c r="J105" s="635">
        <f>H105/DAY(B2)</f>
        <v>3.75</v>
      </c>
      <c r="N105" s="800"/>
      <c r="O105" s="807"/>
      <c r="P105" s="413"/>
    </row>
    <row r="106" spans="1:16" s="481" customFormat="1" ht="27.75">
      <c r="A106" s="1398" t="s">
        <v>78</v>
      </c>
      <c r="B106" s="1439"/>
      <c r="C106" s="1399"/>
      <c r="D106" s="699" t="s">
        <v>155</v>
      </c>
      <c r="E106" s="560">
        <f>'15'!F106</f>
        <v>19168</v>
      </c>
      <c r="F106" s="740">
        <v>19174</v>
      </c>
      <c r="G106" s="608">
        <f t="shared" si="11"/>
        <v>6</v>
      </c>
      <c r="H106" s="609">
        <f>SUM(G106+'1'!G78)</f>
        <v>340</v>
      </c>
      <c r="I106" s="608"/>
      <c r="J106" s="635">
        <f>H106/DAY(B2)</f>
        <v>21.25</v>
      </c>
      <c r="N106" s="800"/>
      <c r="O106" s="807"/>
      <c r="P106" s="413"/>
    </row>
    <row r="107" spans="1:16" s="481" customFormat="1" ht="27.75">
      <c r="A107" s="1400" t="s">
        <v>213</v>
      </c>
      <c r="B107" s="1401"/>
      <c r="C107" s="1302"/>
      <c r="D107" s="699"/>
      <c r="E107" s="560">
        <f>'15'!F107</f>
        <v>0</v>
      </c>
      <c r="F107" s="740"/>
      <c r="G107" s="608">
        <f>SUM(G104:G106)</f>
        <v>18</v>
      </c>
      <c r="H107" s="609">
        <f>SUM(G107+'1'!G79)</f>
        <v>223</v>
      </c>
      <c r="I107" s="608"/>
      <c r="J107" s="635">
        <f>H107/DAY(B2)</f>
        <v>13.9375</v>
      </c>
      <c r="N107" s="800"/>
      <c r="O107" s="807"/>
      <c r="P107" s="413"/>
    </row>
    <row r="108" spans="1:16" s="481" customFormat="1" ht="27.75">
      <c r="A108" s="1404" t="s">
        <v>79</v>
      </c>
      <c r="B108" s="1405"/>
      <c r="C108" s="1302"/>
      <c r="D108" s="699" t="s">
        <v>155</v>
      </c>
      <c r="E108" s="560">
        <f>'15'!F108</f>
        <v>0</v>
      </c>
      <c r="F108" s="740"/>
      <c r="G108" s="608"/>
      <c r="H108" s="609"/>
      <c r="I108" s="608"/>
      <c r="J108" s="635"/>
      <c r="N108" s="800"/>
      <c r="O108" s="807"/>
      <c r="P108" s="413"/>
    </row>
    <row r="109" spans="1:16" s="481" customFormat="1" ht="27.75">
      <c r="A109" s="1398" t="s">
        <v>231</v>
      </c>
      <c r="B109" s="1399"/>
      <c r="C109" s="1302"/>
      <c r="D109" s="699" t="s">
        <v>155</v>
      </c>
      <c r="E109" s="560">
        <f>'15'!F109</f>
        <v>55588</v>
      </c>
      <c r="F109" s="740">
        <v>55648</v>
      </c>
      <c r="G109" s="608">
        <f>F109-E109</f>
        <v>60</v>
      </c>
      <c r="H109" s="609">
        <f>SUM(G109+'1'!G81)</f>
        <v>136</v>
      </c>
      <c r="I109" s="608"/>
      <c r="J109" s="635">
        <f>H109/DAY(B2)</f>
        <v>8.5</v>
      </c>
      <c r="N109" s="800"/>
      <c r="O109" s="807"/>
      <c r="P109" s="413"/>
    </row>
    <row r="110" spans="1:16" s="481" customFormat="1" ht="27.75">
      <c r="A110" s="1398" t="s">
        <v>232</v>
      </c>
      <c r="B110" s="1399"/>
      <c r="C110" s="1302"/>
      <c r="D110" s="699" t="s">
        <v>155</v>
      </c>
      <c r="E110" s="560">
        <f>'15'!F110</f>
        <v>29519</v>
      </c>
      <c r="F110" s="740">
        <v>29577</v>
      </c>
      <c r="G110" s="608">
        <f t="shared" ref="G110:G111" si="12">F110-E110</f>
        <v>58</v>
      </c>
      <c r="H110" s="609">
        <f>SUM(G110+'1'!G82)</f>
        <v>103</v>
      </c>
      <c r="I110" s="608"/>
      <c r="J110" s="635">
        <f>H110/DAY(B2)</f>
        <v>6.4375</v>
      </c>
      <c r="N110" s="800"/>
      <c r="O110" s="807"/>
      <c r="P110" s="413"/>
    </row>
    <row r="111" spans="1:16" s="481" customFormat="1" ht="27.75">
      <c r="A111" s="1398" t="s">
        <v>233</v>
      </c>
      <c r="B111" s="1399"/>
      <c r="C111" s="1302"/>
      <c r="D111" s="699" t="s">
        <v>155</v>
      </c>
      <c r="E111" s="560">
        <f>'15'!F111</f>
        <v>3883</v>
      </c>
      <c r="F111" s="740">
        <v>3883</v>
      </c>
      <c r="G111" s="608">
        <f t="shared" si="12"/>
        <v>0</v>
      </c>
      <c r="H111" s="609">
        <f>SUM(G111+'1'!G83)</f>
        <v>433</v>
      </c>
      <c r="I111" s="608"/>
      <c r="J111" s="635">
        <f>H111/DAY(B2)</f>
        <v>27.0625</v>
      </c>
      <c r="N111" s="800"/>
      <c r="O111" s="807"/>
      <c r="P111" s="413"/>
    </row>
    <row r="112" spans="1:16" s="481" customFormat="1" ht="27.75">
      <c r="A112" s="1400" t="s">
        <v>121</v>
      </c>
      <c r="B112" s="1401"/>
      <c r="C112" s="1302"/>
      <c r="D112" s="699"/>
      <c r="E112" s="560">
        <f>'15'!F112</f>
        <v>0</v>
      </c>
      <c r="F112" s="740"/>
      <c r="G112" s="608">
        <f>SUM(G109:G111)</f>
        <v>118</v>
      </c>
      <c r="H112" s="609">
        <f>SUM(G112+'1'!G84)</f>
        <v>639</v>
      </c>
      <c r="I112" s="608"/>
      <c r="J112" s="635">
        <f>H112/DAY(B2)</f>
        <v>39.9375</v>
      </c>
      <c r="N112" s="800"/>
      <c r="O112" s="807"/>
      <c r="P112" s="413"/>
    </row>
    <row r="113" spans="1:16" s="481" customFormat="1" ht="27.75">
      <c r="A113" s="1404" t="s">
        <v>234</v>
      </c>
      <c r="B113" s="1405"/>
      <c r="C113" s="1302"/>
      <c r="D113" s="699"/>
      <c r="E113" s="560">
        <f>'15'!F113</f>
        <v>0</v>
      </c>
      <c r="F113" s="740"/>
      <c r="G113" s="608"/>
      <c r="H113" s="609"/>
      <c r="I113" s="608"/>
      <c r="J113" s="635">
        <f>H113/DAY(B2)</f>
        <v>0</v>
      </c>
      <c r="N113" s="800"/>
      <c r="O113" s="807"/>
      <c r="P113" s="413"/>
    </row>
    <row r="114" spans="1:16" s="481" customFormat="1" ht="27.75">
      <c r="A114" s="1398" t="s">
        <v>235</v>
      </c>
      <c r="B114" s="1399"/>
      <c r="C114" s="651"/>
      <c r="D114" s="699" t="s">
        <v>155</v>
      </c>
      <c r="E114" s="560">
        <f>'15'!F114</f>
        <v>10036</v>
      </c>
      <c r="F114" s="740">
        <v>10057</v>
      </c>
      <c r="G114" s="610">
        <f>F114-E114</f>
        <v>21</v>
      </c>
      <c r="H114" s="609">
        <f>SUM(G114+'1'!G91)</f>
        <v>21</v>
      </c>
      <c r="I114" s="608"/>
      <c r="J114" s="635">
        <f>H114/DAY(B2)</f>
        <v>1.3125</v>
      </c>
      <c r="N114" s="800"/>
      <c r="O114" s="807"/>
      <c r="P114" s="413"/>
    </row>
    <row r="115" spans="1:16" s="481" customFormat="1" ht="27.75">
      <c r="A115" s="1398" t="s">
        <v>236</v>
      </c>
      <c r="B115" s="1399"/>
      <c r="C115" s="651"/>
      <c r="D115" s="699" t="s">
        <v>155</v>
      </c>
      <c r="E115" s="560">
        <f>'15'!F115</f>
        <v>7542</v>
      </c>
      <c r="F115" s="740">
        <v>7555</v>
      </c>
      <c r="G115" s="610">
        <f t="shared" ref="G115:G116" si="13">F115-E115</f>
        <v>13</v>
      </c>
      <c r="H115" s="609">
        <f>SUM(G115+'1'!G92)</f>
        <v>100</v>
      </c>
      <c r="I115" s="608"/>
      <c r="J115" s="635">
        <f>H115/DAY(B2)</f>
        <v>6.25</v>
      </c>
      <c r="N115" s="800"/>
      <c r="O115" s="807"/>
      <c r="P115" s="413"/>
    </row>
    <row r="116" spans="1:16" s="481" customFormat="1" ht="27.75">
      <c r="A116" s="1398" t="s">
        <v>237</v>
      </c>
      <c r="B116" s="1399"/>
      <c r="C116" s="651"/>
      <c r="D116" s="699" t="s">
        <v>155</v>
      </c>
      <c r="E116" s="610"/>
      <c r="F116" s="740"/>
      <c r="G116" s="610">
        <f t="shared" si="13"/>
        <v>0</v>
      </c>
      <c r="H116" s="609">
        <f>SUM(G116+'1'!G93)</f>
        <v>200</v>
      </c>
      <c r="I116" s="608"/>
      <c r="J116" s="635">
        <f>H116/DAY(B2)</f>
        <v>12.5</v>
      </c>
      <c r="N116" s="800"/>
      <c r="O116" s="807"/>
      <c r="P116" s="413"/>
    </row>
    <row r="117" spans="1:16" s="494" customFormat="1" ht="27.75">
      <c r="A117" s="1400" t="s">
        <v>213</v>
      </c>
      <c r="B117" s="1401"/>
      <c r="C117" s="651"/>
      <c r="D117" s="700"/>
      <c r="E117" s="610"/>
      <c r="F117" s="740"/>
      <c r="G117" s="610">
        <f>SUM(G114:G116)</f>
        <v>34</v>
      </c>
      <c r="H117" s="609">
        <f>SUM(G117+'1'!G95)</f>
        <v>106</v>
      </c>
      <c r="I117" s="610"/>
      <c r="J117" s="635">
        <f>H117/DAY(B2)</f>
        <v>6.625</v>
      </c>
      <c r="N117" s="800"/>
      <c r="O117" s="807"/>
      <c r="P117" s="413"/>
    </row>
    <row r="118" spans="1:16" s="495" customFormat="1" ht="27.75">
      <c r="A118" s="1394" t="s">
        <v>238</v>
      </c>
      <c r="B118" s="1395"/>
      <c r="C118" s="1305"/>
      <c r="D118" s="701" t="s">
        <v>155</v>
      </c>
      <c r="E118" s="612"/>
      <c r="F118" s="741">
        <f>SUM(G19+G92)</f>
        <v>182</v>
      </c>
      <c r="G118" s="612">
        <f>SUM(G19+G92)</f>
        <v>182</v>
      </c>
      <c r="H118" s="609">
        <f>SUM(G118+'1'!G96)</f>
        <v>205</v>
      </c>
      <c r="I118" s="611"/>
      <c r="J118" s="636">
        <f>H118/DAY(B2)</f>
        <v>12.8125</v>
      </c>
      <c r="N118" s="800"/>
      <c r="O118" s="807"/>
      <c r="P118" s="413"/>
    </row>
    <row r="119" spans="1:16" s="495" customFormat="1" ht="27.75">
      <c r="A119" s="1394" t="s">
        <v>239</v>
      </c>
      <c r="B119" s="1395"/>
      <c r="C119" s="1305"/>
      <c r="D119" s="701" t="s">
        <v>155</v>
      </c>
      <c r="E119" s="612"/>
      <c r="F119" s="741">
        <f>SUM(G95,G96,G97,G99,G100)</f>
        <v>162</v>
      </c>
      <c r="G119" s="612">
        <f>SUM(G95,G96,G97,G99,G100)</f>
        <v>162</v>
      </c>
      <c r="H119" s="609">
        <f>SUM(G119+'1'!G98)</f>
        <v>245</v>
      </c>
      <c r="I119" s="611"/>
      <c r="J119" s="636">
        <f>H119/DAY(B2)</f>
        <v>15.3125</v>
      </c>
      <c r="N119" s="800"/>
      <c r="O119" s="807"/>
      <c r="P119" s="413"/>
    </row>
    <row r="120" spans="1:16" s="495" customFormat="1" ht="27.75">
      <c r="A120" s="1394" t="s">
        <v>240</v>
      </c>
      <c r="B120" s="1395"/>
      <c r="C120" s="1305"/>
      <c r="D120" s="701" t="s">
        <v>155</v>
      </c>
      <c r="E120" s="610"/>
      <c r="F120" s="740">
        <f>SUM(G112)</f>
        <v>118</v>
      </c>
      <c r="G120" s="610">
        <f>SUM(G112)</f>
        <v>118</v>
      </c>
      <c r="H120" s="609">
        <f>SUM(G120+'1'!G100)</f>
        <v>124</v>
      </c>
      <c r="I120" s="611"/>
      <c r="J120" s="636">
        <f>H120/DAY(B2)</f>
        <v>7.75</v>
      </c>
      <c r="N120" s="800"/>
      <c r="O120" s="807"/>
      <c r="P120" s="413"/>
    </row>
    <row r="121" spans="1:16" s="481" customFormat="1" ht="27.75">
      <c r="A121" s="1396"/>
      <c r="B121" s="1397"/>
      <c r="C121" s="1306"/>
      <c r="D121" s="637"/>
      <c r="E121" s="637"/>
      <c r="F121" s="742" t="s">
        <v>226</v>
      </c>
      <c r="G121" s="637"/>
      <c r="H121" s="638"/>
      <c r="I121" s="637"/>
      <c r="J121" s="639"/>
      <c r="N121" s="800"/>
      <c r="O121" s="807"/>
      <c r="P121" s="413"/>
    </row>
    <row r="122" spans="1:16">
      <c r="A122" s="1431" t="s">
        <v>241</v>
      </c>
      <c r="B122" s="1432"/>
      <c r="C122" s="1433"/>
      <c r="D122" s="548"/>
      <c r="E122" s="548"/>
      <c r="F122" s="548"/>
      <c r="G122" s="559"/>
      <c r="H122" s="559"/>
      <c r="I122" s="559"/>
      <c r="J122" s="640"/>
      <c r="K122" s="411"/>
      <c r="L122" s="408"/>
      <c r="N122" s="800"/>
      <c r="O122" s="807"/>
      <c r="P122" s="413"/>
    </row>
    <row r="123" spans="1:16" ht="27.75">
      <c r="A123" s="1297" t="s">
        <v>242</v>
      </c>
      <c r="B123" s="1298"/>
      <c r="C123" s="1298"/>
      <c r="D123" s="599" t="s">
        <v>152</v>
      </c>
      <c r="E123" s="554">
        <f>'15'!F123</f>
        <v>807582.34</v>
      </c>
      <c r="F123" s="554">
        <v>807856.78</v>
      </c>
      <c r="G123" s="549">
        <f t="shared" ref="G123:G127" si="14">F123-E123</f>
        <v>274.44000000006054</v>
      </c>
      <c r="H123" s="536">
        <f>G123+'15'!H123</f>
        <v>4521.3800000000047</v>
      </c>
      <c r="I123" s="602"/>
      <c r="J123" s="629">
        <f>H123/DAY(B2)</f>
        <v>282.58625000000029</v>
      </c>
      <c r="K123" s="411"/>
      <c r="L123" s="408"/>
      <c r="N123" s="800"/>
      <c r="O123" s="807"/>
      <c r="P123" s="413"/>
    </row>
    <row r="124" spans="1:16" ht="27.75">
      <c r="A124" s="1297" t="s">
        <v>243</v>
      </c>
      <c r="B124" s="1298"/>
      <c r="C124" s="1298"/>
      <c r="D124" s="599" t="s">
        <v>152</v>
      </c>
      <c r="E124" s="703">
        <f>'15'!F124</f>
        <v>73583.399999999994</v>
      </c>
      <c r="F124" s="703">
        <v>73583.399999999994</v>
      </c>
      <c r="G124" s="549">
        <f t="shared" si="14"/>
        <v>0</v>
      </c>
      <c r="H124" s="536">
        <f>G124+'15'!H124</f>
        <v>1.3999999999941792</v>
      </c>
      <c r="I124" s="602"/>
      <c r="J124" s="629">
        <f>H124/DAY(B2)</f>
        <v>8.7499999999636202E-2</v>
      </c>
      <c r="K124" s="411"/>
      <c r="L124" s="408"/>
      <c r="N124" s="800"/>
      <c r="O124" s="807"/>
      <c r="P124" s="413"/>
    </row>
    <row r="125" spans="1:16" ht="27.75">
      <c r="A125" s="1385" t="s">
        <v>244</v>
      </c>
      <c r="B125" s="1386"/>
      <c r="C125" s="1387"/>
      <c r="D125" s="599" t="s">
        <v>152</v>
      </c>
      <c r="E125" s="554">
        <f>'15'!F125</f>
        <v>138993.94</v>
      </c>
      <c r="F125" s="554">
        <v>139081.88</v>
      </c>
      <c r="G125" s="549">
        <f t="shared" si="14"/>
        <v>87.940000000002328</v>
      </c>
      <c r="H125" s="536">
        <f>G125+'15'!H125</f>
        <v>1233.8800000000047</v>
      </c>
      <c r="I125" s="602"/>
      <c r="J125" s="629">
        <f>H125/DAY(B2)</f>
        <v>77.117500000000291</v>
      </c>
      <c r="K125" s="411"/>
      <c r="L125" s="408"/>
      <c r="N125" s="800"/>
      <c r="O125" s="807"/>
      <c r="P125" s="413"/>
    </row>
    <row r="126" spans="1:16" ht="27.75">
      <c r="A126" s="686" t="s">
        <v>245</v>
      </c>
      <c r="B126" s="1298"/>
      <c r="C126" s="1298"/>
      <c r="D126" s="599" t="s">
        <v>152</v>
      </c>
      <c r="E126" s="703">
        <f>'15'!F126</f>
        <v>58988.9</v>
      </c>
      <c r="F126" s="703">
        <v>59013.7</v>
      </c>
      <c r="G126" s="549">
        <f t="shared" si="14"/>
        <v>24.799999999995634</v>
      </c>
      <c r="H126" s="536">
        <f>G126+'15'!H126</f>
        <v>622</v>
      </c>
      <c r="I126" s="602"/>
      <c r="J126" s="629">
        <f>H126/DAY(B2)</f>
        <v>38.875</v>
      </c>
      <c r="K126" s="411"/>
      <c r="L126" s="408"/>
      <c r="N126" s="800"/>
      <c r="O126" s="807"/>
      <c r="P126" s="413"/>
    </row>
    <row r="127" spans="1:16" ht="27.75">
      <c r="A127" s="686" t="s">
        <v>246</v>
      </c>
      <c r="B127" s="1298"/>
      <c r="C127" s="1298"/>
      <c r="D127" s="599" t="s">
        <v>152</v>
      </c>
      <c r="E127" s="703">
        <f>'15'!F127</f>
        <v>8861.2999999999993</v>
      </c>
      <c r="F127" s="703">
        <v>8863.4</v>
      </c>
      <c r="G127" s="549">
        <f t="shared" si="14"/>
        <v>2.1000000000003638</v>
      </c>
      <c r="H127" s="536">
        <f>G127+'15'!H127</f>
        <v>47.399999999999636</v>
      </c>
      <c r="I127" s="556"/>
      <c r="J127" s="629">
        <f>H127/DAY(B2)</f>
        <v>2.9624999999999773</v>
      </c>
      <c r="K127" s="411"/>
      <c r="L127" s="408"/>
      <c r="N127" s="800"/>
      <c r="O127" s="807"/>
      <c r="P127" s="413"/>
    </row>
    <row r="128" spans="1:16" s="281" customFormat="1" ht="27.75">
      <c r="A128" s="686" t="s">
        <v>247</v>
      </c>
      <c r="B128" s="1298"/>
      <c r="C128" s="1298"/>
      <c r="D128" s="599"/>
      <c r="E128" s="554"/>
      <c r="F128" s="554"/>
      <c r="G128" s="549">
        <f>G15-SUM(G123:G127)</f>
        <v>623.2899999997735</v>
      </c>
      <c r="H128" s="536">
        <f>G128+'15'!H128</f>
        <v>623.2899999997735</v>
      </c>
      <c r="I128" s="556"/>
      <c r="J128" s="629">
        <f>H128/DAY(B2)</f>
        <v>38.955624999985844</v>
      </c>
      <c r="K128" s="391"/>
      <c r="L128" s="293"/>
      <c r="N128" s="800"/>
      <c r="O128" s="807"/>
      <c r="P128" s="413"/>
    </row>
    <row r="129" spans="1:16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800"/>
      <c r="O129" s="807"/>
      <c r="P129" s="413"/>
    </row>
    <row r="130" spans="1:16" ht="27.75">
      <c r="A130" s="1297" t="s">
        <v>249</v>
      </c>
      <c r="B130" s="1298"/>
      <c r="C130" s="1298"/>
      <c r="D130" s="599" t="s">
        <v>250</v>
      </c>
      <c r="E130" s="560">
        <f>'15'!F130</f>
        <v>0</v>
      </c>
      <c r="F130" s="554">
        <v>0</v>
      </c>
      <c r="G130" s="549">
        <f t="shared" ref="G130:G140" si="15">F130-E130</f>
        <v>0</v>
      </c>
      <c r="H130" s="536">
        <f>G130+'15'!H130</f>
        <v>0</v>
      </c>
      <c r="I130" s="556"/>
      <c r="J130" s="629">
        <f>H130/DAY(B2)</f>
        <v>0</v>
      </c>
      <c r="N130" s="800"/>
      <c r="O130" s="807"/>
      <c r="P130" s="413"/>
    </row>
    <row r="131" spans="1:16" ht="27.75">
      <c r="A131" s="1297" t="s">
        <v>251</v>
      </c>
      <c r="B131" s="1298"/>
      <c r="C131" s="1298"/>
      <c r="D131" s="599" t="s">
        <v>250</v>
      </c>
      <c r="E131" s="560">
        <f>'15'!F131</f>
        <v>0</v>
      </c>
      <c r="F131" s="554">
        <v>0</v>
      </c>
      <c r="G131" s="549">
        <f t="shared" si="15"/>
        <v>0</v>
      </c>
      <c r="H131" s="536">
        <f>G131+'15'!H131</f>
        <v>0</v>
      </c>
      <c r="I131" s="556"/>
      <c r="J131" s="629">
        <f>H131/DAY(B2)</f>
        <v>0</v>
      </c>
      <c r="N131" s="800"/>
      <c r="O131" s="807"/>
      <c r="P131" s="413"/>
    </row>
    <row r="132" spans="1:16" ht="27.75">
      <c r="A132" s="1297" t="s">
        <v>252</v>
      </c>
      <c r="B132" s="1298"/>
      <c r="C132" s="1298"/>
      <c r="D132" s="599" t="s">
        <v>250</v>
      </c>
      <c r="E132" s="618">
        <f>'15'!F132</f>
        <v>39191.29</v>
      </c>
      <c r="F132" s="732">
        <v>39191.29</v>
      </c>
      <c r="G132" s="549">
        <f t="shared" si="15"/>
        <v>0</v>
      </c>
      <c r="H132" s="536">
        <f>G132+'15'!H132</f>
        <v>86.849999999998545</v>
      </c>
      <c r="I132" s="556"/>
      <c r="J132" s="629">
        <f>H132/DAY(B2)</f>
        <v>5.4281249999999091</v>
      </c>
      <c r="N132" s="800"/>
      <c r="O132" s="807"/>
      <c r="P132" s="413"/>
    </row>
    <row r="133" spans="1:16" ht="27.75">
      <c r="A133" s="1297" t="s">
        <v>253</v>
      </c>
      <c r="B133" s="1298"/>
      <c r="C133" s="1298"/>
      <c r="D133" s="599" t="s">
        <v>250</v>
      </c>
      <c r="E133" s="782">
        <f>'15'!F133</f>
        <v>299</v>
      </c>
      <c r="F133" s="703">
        <v>299</v>
      </c>
      <c r="G133" s="549">
        <f t="shared" si="15"/>
        <v>0</v>
      </c>
      <c r="H133" s="536">
        <f>G133+'15'!H133</f>
        <v>0</v>
      </c>
      <c r="I133" s="556">
        <f>G130+G131+G132+G133</f>
        <v>0</v>
      </c>
      <c r="J133" s="629">
        <f>H133/DAY(B2)</f>
        <v>0</v>
      </c>
      <c r="N133" s="800"/>
      <c r="O133" s="807"/>
      <c r="P133" s="413"/>
    </row>
    <row r="134" spans="1:16" ht="27.75">
      <c r="A134" s="1297" t="s">
        <v>254</v>
      </c>
      <c r="B134" s="1298"/>
      <c r="C134" s="1298"/>
      <c r="D134" s="599" t="s">
        <v>250</v>
      </c>
      <c r="E134" s="782">
        <f>'15'!F134</f>
        <v>40224.239999999998</v>
      </c>
      <c r="F134" s="703">
        <v>40248.31</v>
      </c>
      <c r="G134" s="549">
        <f t="shared" si="15"/>
        <v>24.069999999999709</v>
      </c>
      <c r="H134" s="536">
        <f>G134+'15'!H134</f>
        <v>297.30999999999767</v>
      </c>
      <c r="I134" s="556"/>
      <c r="J134" s="629">
        <f>H134/DAY(B2)</f>
        <v>18.581874999999854</v>
      </c>
      <c r="N134" s="800"/>
      <c r="O134" s="807"/>
      <c r="P134" s="413"/>
    </row>
    <row r="135" spans="1:16" ht="27.75">
      <c r="A135" s="1297" t="s">
        <v>255</v>
      </c>
      <c r="B135" s="1298"/>
      <c r="C135" s="1298"/>
      <c r="D135" s="599" t="s">
        <v>250</v>
      </c>
      <c r="E135" s="618">
        <f>'15'!F135</f>
        <v>32423</v>
      </c>
      <c r="F135" s="732">
        <v>32423</v>
      </c>
      <c r="G135" s="549">
        <f t="shared" si="15"/>
        <v>0</v>
      </c>
      <c r="H135" s="536">
        <f>G135+'15'!H135</f>
        <v>0</v>
      </c>
      <c r="I135" s="556"/>
      <c r="J135" s="629">
        <f>H135/DAY(B2)</f>
        <v>0</v>
      </c>
      <c r="N135" s="800"/>
      <c r="O135" s="807"/>
      <c r="P135" s="413"/>
    </row>
    <row r="136" spans="1:16" ht="27.75">
      <c r="A136" s="1297" t="s">
        <v>256</v>
      </c>
      <c r="B136" s="1298"/>
      <c r="C136" s="1298"/>
      <c r="D136" s="599" t="s">
        <v>250</v>
      </c>
      <c r="E136" s="618">
        <f>'15'!F136</f>
        <v>22109.91</v>
      </c>
      <c r="F136" s="732">
        <v>22120.25</v>
      </c>
      <c r="G136" s="549">
        <f t="shared" si="15"/>
        <v>10.340000000000146</v>
      </c>
      <c r="H136" s="536">
        <f>G136+'15'!H136</f>
        <v>118.29000000000087</v>
      </c>
      <c r="I136" s="556">
        <f>G134+G135+G136</f>
        <v>34.409999999999854</v>
      </c>
      <c r="J136" s="629">
        <f>H136/DAY(B2)</f>
        <v>7.3931250000000546</v>
      </c>
      <c r="N136" s="800"/>
      <c r="O136" s="807"/>
      <c r="P136" s="413"/>
    </row>
    <row r="137" spans="1:16" ht="27.75">
      <c r="A137" s="1297" t="s">
        <v>257</v>
      </c>
      <c r="B137" s="1298"/>
      <c r="C137" s="1298"/>
      <c r="D137" s="599" t="s">
        <v>250</v>
      </c>
      <c r="E137" s="618">
        <f>'15'!F137</f>
        <v>25034.29</v>
      </c>
      <c r="F137" s="732">
        <v>25034.29</v>
      </c>
      <c r="G137" s="549">
        <f t="shared" si="15"/>
        <v>0</v>
      </c>
      <c r="H137" s="536">
        <f>G137+'15'!H137</f>
        <v>14.350000000002183</v>
      </c>
      <c r="I137" s="556"/>
      <c r="J137" s="629">
        <f>H137/DAY(B2)</f>
        <v>0.89687500000013642</v>
      </c>
      <c r="N137" s="800"/>
      <c r="O137" s="807"/>
      <c r="P137" s="413"/>
    </row>
    <row r="138" spans="1:16" ht="27.75">
      <c r="A138" s="1297" t="s">
        <v>258</v>
      </c>
      <c r="B138" s="1298"/>
      <c r="C138" s="1298"/>
      <c r="D138" s="599" t="s">
        <v>250</v>
      </c>
      <c r="E138" s="618">
        <f>'15'!F138</f>
        <v>70094.59</v>
      </c>
      <c r="F138" s="732">
        <v>70099.179999999993</v>
      </c>
      <c r="G138" s="549">
        <f t="shared" si="15"/>
        <v>4.5899999999965075</v>
      </c>
      <c r="H138" s="536">
        <f>G138+'15'!H138</f>
        <v>35.289999999993597</v>
      </c>
      <c r="I138" s="556">
        <f>G137+G138</f>
        <v>4.5899999999965075</v>
      </c>
      <c r="J138" s="629">
        <f>H138/DAY(B2)</f>
        <v>2.2056249999995998</v>
      </c>
      <c r="N138" s="800"/>
      <c r="O138" s="807"/>
      <c r="P138" s="413"/>
    </row>
    <row r="139" spans="1:16" ht="27.75">
      <c r="A139" s="1297" t="s">
        <v>259</v>
      </c>
      <c r="B139" s="1298"/>
      <c r="C139" s="1298"/>
      <c r="D139" s="599" t="s">
        <v>250</v>
      </c>
      <c r="E139" s="782">
        <f>'15'!F139</f>
        <v>1324.32</v>
      </c>
      <c r="F139" s="703">
        <v>1332.21</v>
      </c>
      <c r="G139" s="549">
        <f t="shared" si="15"/>
        <v>7.8900000000001</v>
      </c>
      <c r="H139" s="536">
        <f>G139+'15'!H139</f>
        <v>131.62000000000012</v>
      </c>
      <c r="I139" s="619"/>
      <c r="J139" s="629">
        <f>H139/DAY(B2)</f>
        <v>8.2262500000000074</v>
      </c>
      <c r="N139" s="800"/>
      <c r="O139" s="807"/>
      <c r="P139" s="413"/>
    </row>
    <row r="140" spans="1:16" ht="27.75">
      <c r="A140" s="1297" t="s">
        <v>260</v>
      </c>
      <c r="B140" s="1298"/>
      <c r="C140" s="1298"/>
      <c r="D140" s="599" t="s">
        <v>250</v>
      </c>
      <c r="E140" s="560">
        <f>'15'!F140</f>
        <v>4333.53</v>
      </c>
      <c r="F140" s="554">
        <v>4333.53</v>
      </c>
      <c r="G140" s="549">
        <f t="shared" si="15"/>
        <v>0</v>
      </c>
      <c r="H140" s="536">
        <f>G140+'15'!H140</f>
        <v>-0.47000000000025466</v>
      </c>
      <c r="I140" s="619"/>
      <c r="J140" s="629">
        <f>H140/DAY(B2)</f>
        <v>-2.9375000000015916E-2</v>
      </c>
      <c r="N140" s="800"/>
      <c r="O140" s="807"/>
      <c r="P140" s="413"/>
    </row>
    <row r="141" spans="1:16">
      <c r="A141" s="1412" t="s">
        <v>327</v>
      </c>
      <c r="B141" s="1413"/>
      <c r="C141" s="1301"/>
      <c r="D141" s="548"/>
      <c r="E141" s="548"/>
      <c r="F141" s="548"/>
      <c r="G141" s="559"/>
      <c r="H141" s="559"/>
      <c r="I141" s="559"/>
      <c r="J141" s="640"/>
      <c r="K141" s="411"/>
      <c r="L141" s="408"/>
      <c r="N141" s="800"/>
      <c r="O141" s="807"/>
      <c r="P141" s="413"/>
    </row>
    <row r="142" spans="1:16" ht="27.75">
      <c r="A142" s="1406" t="s">
        <v>262</v>
      </c>
      <c r="B142" s="1407"/>
      <c r="C142" s="1408"/>
      <c r="D142" s="599" t="s">
        <v>143</v>
      </c>
      <c r="E142" s="599"/>
      <c r="F142" s="599"/>
      <c r="G142" s="536">
        <f>G35+G43+G49+G57</f>
        <v>5399.8800000000047</v>
      </c>
      <c r="H142" s="536">
        <f>G142+'15'!H142</f>
        <v>80885.77</v>
      </c>
      <c r="I142" s="556"/>
      <c r="J142" s="629">
        <f>H142/DAY(B2)</f>
        <v>5055.3606250000003</v>
      </c>
      <c r="K142" s="411"/>
      <c r="L142" s="408"/>
      <c r="N142" s="800"/>
      <c r="O142" s="807"/>
      <c r="P142" s="413"/>
    </row>
    <row r="143" spans="1:16" ht="27.75">
      <c r="A143" s="1406" t="s">
        <v>263</v>
      </c>
      <c r="B143" s="1407"/>
      <c r="C143" s="1408"/>
      <c r="D143" s="599" t="s">
        <v>24</v>
      </c>
      <c r="E143" s="587"/>
      <c r="F143" s="587"/>
      <c r="G143" s="620">
        <f>G142/G7</f>
        <v>0.25744362336114446</v>
      </c>
      <c r="H143" s="536">
        <f>G143+'15'!H143</f>
        <v>4.001222333049685</v>
      </c>
      <c r="I143" s="621"/>
      <c r="J143" s="629">
        <f>H143/DAY(B2)</f>
        <v>0.25007639581560531</v>
      </c>
      <c r="K143" s="411"/>
      <c r="L143" s="408"/>
      <c r="N143" s="800"/>
      <c r="O143" s="807"/>
      <c r="P143" s="413"/>
    </row>
    <row r="144" spans="1:16" ht="27.75">
      <c r="A144" s="1406" t="s">
        <v>264</v>
      </c>
      <c r="B144" s="1407"/>
      <c r="C144" s="1408"/>
      <c r="D144" s="599" t="s">
        <v>143</v>
      </c>
      <c r="E144" s="531"/>
      <c r="F144" s="531"/>
      <c r="G144" s="536">
        <f>G41+G42+G55+G56</f>
        <v>4709.0199999999895</v>
      </c>
      <c r="H144" s="536">
        <f>G144+'15'!H144</f>
        <v>67877.639999999956</v>
      </c>
      <c r="I144" s="556"/>
      <c r="J144" s="629">
        <f>H144/DAY(B2)</f>
        <v>4242.3524999999972</v>
      </c>
      <c r="K144" s="411"/>
      <c r="L144" s="408"/>
      <c r="N144" s="800"/>
      <c r="O144" s="807"/>
      <c r="P144" s="413"/>
    </row>
    <row r="145" spans="1:16" ht="27.75">
      <c r="A145" s="1406" t="s">
        <v>265</v>
      </c>
      <c r="B145" s="1407"/>
      <c r="C145" s="1408"/>
      <c r="D145" s="599" t="s">
        <v>24</v>
      </c>
      <c r="E145" s="531"/>
      <c r="F145" s="531"/>
      <c r="G145" s="620">
        <f>G144/G7</f>
        <v>0.22450631704409962</v>
      </c>
      <c r="H145" s="536">
        <f>G145+'15'!H145</f>
        <v>3.4949941440646541</v>
      </c>
      <c r="I145" s="621"/>
      <c r="J145" s="629">
        <f>H145/DAY(B2)</f>
        <v>0.21843713400404088</v>
      </c>
      <c r="K145" s="411"/>
      <c r="L145" s="408"/>
      <c r="N145" s="800"/>
      <c r="O145" s="807"/>
      <c r="P145" s="413"/>
    </row>
    <row r="146" spans="1:16" ht="27.75">
      <c r="A146" s="1406" t="s">
        <v>266</v>
      </c>
      <c r="B146" s="1407"/>
      <c r="C146" s="1408"/>
      <c r="D146" s="599" t="s">
        <v>143</v>
      </c>
      <c r="E146" s="531"/>
      <c r="F146" s="531"/>
      <c r="G146" s="536">
        <f>G39+G53</f>
        <v>4228.1200000000026</v>
      </c>
      <c r="H146" s="536">
        <f>G146+'15'!H146</f>
        <v>67801.789999999979</v>
      </c>
      <c r="I146" s="622"/>
      <c r="J146" s="629">
        <f>H146/DAY(B2)</f>
        <v>4237.6118749999987</v>
      </c>
      <c r="K146" s="411"/>
      <c r="L146" s="408"/>
      <c r="N146" s="800"/>
      <c r="O146" s="807"/>
      <c r="P146" s="413"/>
    </row>
    <row r="147" spans="1:16" ht="27.75">
      <c r="A147" s="1406" t="s">
        <v>267</v>
      </c>
      <c r="B147" s="1407"/>
      <c r="C147" s="1408"/>
      <c r="D147" s="599" t="s">
        <v>24</v>
      </c>
      <c r="E147" s="531"/>
      <c r="F147" s="531"/>
      <c r="G147" s="620">
        <f>G146/G7</f>
        <v>0.20157902264600727</v>
      </c>
      <c r="H147" s="536">
        <f>G147+'15'!H147</f>
        <v>3.5195339357575284</v>
      </c>
      <c r="I147" s="622"/>
      <c r="J147" s="629">
        <f>H147/DAY(B2)</f>
        <v>0.21997087098484552</v>
      </c>
      <c r="N147" s="800"/>
      <c r="O147" s="807"/>
      <c r="P147" s="413"/>
    </row>
    <row r="148" spans="1:16" ht="27.75">
      <c r="A148" s="1406" t="s">
        <v>268</v>
      </c>
      <c r="B148" s="1407"/>
      <c r="C148" s="1408"/>
      <c r="D148" s="599" t="s">
        <v>194</v>
      </c>
      <c r="E148" s="531"/>
      <c r="F148" s="531"/>
      <c r="G148" s="536">
        <f>G38+G52</f>
        <v>2233.6500000000015</v>
      </c>
      <c r="H148" s="536">
        <f>G148+'15'!H148</f>
        <v>33213.630000000034</v>
      </c>
      <c r="I148" s="556"/>
      <c r="J148" s="629">
        <f>H148/DAY(B2)</f>
        <v>2075.8518750000021</v>
      </c>
      <c r="K148" s="412"/>
      <c r="N148" s="800"/>
      <c r="O148" s="807"/>
      <c r="P148" s="413"/>
    </row>
    <row r="149" spans="1:16" ht="27.75">
      <c r="A149" s="1406" t="s">
        <v>269</v>
      </c>
      <c r="B149" s="1407"/>
      <c r="C149" s="1408"/>
      <c r="D149" s="599" t="s">
        <v>24</v>
      </c>
      <c r="E149" s="531"/>
      <c r="F149" s="531"/>
      <c r="G149" s="620">
        <f>G148/G7</f>
        <v>0.10649106078665084</v>
      </c>
      <c r="H149" s="536">
        <f>G149+'15'!H149</f>
        <v>1.7191783438448418</v>
      </c>
      <c r="I149" s="622"/>
      <c r="J149" s="629">
        <f>H149/DAY(B2)</f>
        <v>0.10744864649030261</v>
      </c>
      <c r="N149" s="800"/>
      <c r="O149" s="807"/>
      <c r="P149" s="413"/>
    </row>
    <row r="150" spans="1:16" ht="27.75">
      <c r="A150" s="1406" t="s">
        <v>270</v>
      </c>
      <c r="B150" s="1407"/>
      <c r="C150" s="1408"/>
      <c r="D150" s="599" t="s">
        <v>194</v>
      </c>
      <c r="E150" s="531"/>
      <c r="F150" s="531"/>
      <c r="G150" s="536">
        <f>G36+G50</f>
        <v>2212.2800000000279</v>
      </c>
      <c r="H150" s="536">
        <f>G150+'15'!H150</f>
        <v>30422.179999999993</v>
      </c>
      <c r="I150" s="622"/>
      <c r="J150" s="629">
        <f>H150/DAY(B2)</f>
        <v>1901.3862499999996</v>
      </c>
      <c r="N150" s="800"/>
      <c r="O150" s="807"/>
      <c r="P150" s="413"/>
    </row>
    <row r="151" spans="1:16" ht="27.75">
      <c r="A151" s="1406" t="s">
        <v>271</v>
      </c>
      <c r="B151" s="1407"/>
      <c r="C151" s="1408"/>
      <c r="D151" s="599" t="s">
        <v>24</v>
      </c>
      <c r="E151" s="531"/>
      <c r="F151" s="531"/>
      <c r="G151" s="620">
        <f>G150/G7</f>
        <v>0.10547222884386308</v>
      </c>
      <c r="H151" s="536">
        <f>G151+'15'!H151</f>
        <v>1.5656939982457931</v>
      </c>
      <c r="I151" s="556"/>
      <c r="J151" s="629">
        <f>H151/DAY(B2)</f>
        <v>9.7855874890362071E-2</v>
      </c>
      <c r="N151" s="800"/>
      <c r="O151" s="807"/>
      <c r="P151" s="413"/>
    </row>
    <row r="152" spans="1:16" ht="27.75">
      <c r="A152" s="1406" t="s">
        <v>272</v>
      </c>
      <c r="B152" s="1407"/>
      <c r="C152" s="1408"/>
      <c r="D152" s="599" t="s">
        <v>194</v>
      </c>
      <c r="E152" s="531"/>
      <c r="F152" s="531"/>
      <c r="G152" s="536">
        <f>G37+G51</f>
        <v>1517.1100000000006</v>
      </c>
      <c r="H152" s="536">
        <f>G152+'15'!H152</f>
        <v>24232.539999999994</v>
      </c>
      <c r="I152" s="556"/>
      <c r="J152" s="629">
        <f>H152/DAY(B2)</f>
        <v>1514.5337499999996</v>
      </c>
      <c r="N152" s="800"/>
      <c r="O152" s="807"/>
      <c r="P152" s="413"/>
    </row>
    <row r="153" spans="1:16" ht="28.5" thickBot="1">
      <c r="A153" s="1409" t="s">
        <v>273</v>
      </c>
      <c r="B153" s="1410"/>
      <c r="C153" s="1411"/>
      <c r="D153" s="702" t="s">
        <v>24</v>
      </c>
      <c r="E153" s="642"/>
      <c r="F153" s="642"/>
      <c r="G153" s="643">
        <f>G152/G7</f>
        <v>7.2329439809296805E-2</v>
      </c>
      <c r="H153" s="536">
        <f>G153+'15'!H153</f>
        <v>1.2625369708327598</v>
      </c>
      <c r="I153" s="645"/>
      <c r="J153" s="646">
        <f>H153/DAY(B2)</f>
        <v>7.890856067704749E-2</v>
      </c>
      <c r="N153" s="800"/>
      <c r="O153" s="807"/>
      <c r="P153" s="413"/>
    </row>
    <row r="154" spans="1:16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800"/>
    </row>
    <row r="155" spans="1:16">
      <c r="N155" s="800"/>
    </row>
    <row r="156" spans="1:16">
      <c r="N156" s="800"/>
    </row>
    <row r="157" spans="1:16">
      <c r="N157" s="800"/>
    </row>
    <row r="158" spans="1:16">
      <c r="N158" s="800"/>
    </row>
    <row r="159" spans="1:16">
      <c r="N159" s="800"/>
    </row>
    <row r="160" spans="1:16">
      <c r="A160" s="878" t="s">
        <v>274</v>
      </c>
      <c r="B160" s="879"/>
      <c r="C160" s="879"/>
      <c r="D160" s="697" t="s">
        <v>198</v>
      </c>
      <c r="E160" s="598">
        <f>'15'!F160</f>
        <v>29687.06</v>
      </c>
      <c r="F160" s="887">
        <v>29772.27</v>
      </c>
      <c r="G160" s="549">
        <f t="shared" ref="G160:G163" si="16">F160-E160</f>
        <v>85.209999999999127</v>
      </c>
      <c r="N160" s="800"/>
    </row>
    <row r="161" spans="1:14" ht="21.75" customHeight="1">
      <c r="A161" s="878" t="s">
        <v>275</v>
      </c>
      <c r="B161" s="879"/>
      <c r="C161" s="879"/>
      <c r="D161" s="697" t="s">
        <v>198</v>
      </c>
      <c r="E161" s="598">
        <f>'15'!F161</f>
        <v>49334.61</v>
      </c>
      <c r="F161" s="887">
        <v>49786.33</v>
      </c>
      <c r="G161" s="549">
        <f t="shared" si="16"/>
        <v>451.72000000000116</v>
      </c>
      <c r="N161" s="800"/>
    </row>
    <row r="162" spans="1:14" ht="21.75" customHeight="1">
      <c r="A162" s="878" t="s">
        <v>276</v>
      </c>
      <c r="B162" s="879"/>
      <c r="C162" s="879"/>
      <c r="D162" s="697" t="s">
        <v>198</v>
      </c>
      <c r="E162" s="598">
        <f>'15'!F162</f>
        <v>17070.150000000001</v>
      </c>
      <c r="F162" s="867">
        <v>17557</v>
      </c>
      <c r="G162" s="549">
        <f t="shared" si="16"/>
        <v>486.84999999999854</v>
      </c>
      <c r="N162" s="800"/>
    </row>
    <row r="163" spans="1:14" ht="21.75" customHeight="1">
      <c r="A163" s="878" t="s">
        <v>277</v>
      </c>
      <c r="B163" s="879"/>
      <c r="C163" s="879"/>
      <c r="D163" s="697" t="s">
        <v>198</v>
      </c>
      <c r="E163" s="598">
        <f>'15'!F163</f>
        <v>5204.53</v>
      </c>
      <c r="F163" s="887">
        <v>5212</v>
      </c>
      <c r="G163" s="549">
        <f t="shared" si="16"/>
        <v>7.4700000000002547</v>
      </c>
      <c r="N163" s="800"/>
    </row>
    <row r="164" spans="1:14" ht="21.75" customHeight="1">
      <c r="A164" s="880" t="s">
        <v>106</v>
      </c>
      <c r="B164" s="881"/>
      <c r="C164" s="881"/>
      <c r="D164" s="697" t="s">
        <v>198</v>
      </c>
      <c r="E164" s="598">
        <f>'15'!F164</f>
        <v>20419.18</v>
      </c>
      <c r="F164" s="590">
        <f>F62</f>
        <v>20419.18</v>
      </c>
      <c r="G164" s="549">
        <f t="shared" ref="G164:G171" si="17">F164-E164</f>
        <v>0</v>
      </c>
      <c r="N164" s="800"/>
    </row>
    <row r="165" spans="1:14" ht="21.75" customHeight="1">
      <c r="A165" s="880" t="s">
        <v>199</v>
      </c>
      <c r="B165" s="881"/>
      <c r="C165" s="881"/>
      <c r="D165" s="697" t="s">
        <v>198</v>
      </c>
      <c r="E165" s="598">
        <f>'15'!F165</f>
        <v>1532.7</v>
      </c>
      <c r="F165" s="590">
        <f t="shared" ref="F165:F171" si="18">F63</f>
        <v>1544.63</v>
      </c>
      <c r="G165" s="549">
        <f t="shared" si="17"/>
        <v>11.930000000000064</v>
      </c>
      <c r="N165" s="800"/>
    </row>
    <row r="166" spans="1:14" ht="21.75" customHeight="1">
      <c r="A166" s="1449" t="s">
        <v>107</v>
      </c>
      <c r="B166" s="1449"/>
      <c r="C166" s="1449"/>
      <c r="D166" s="600" t="s">
        <v>198</v>
      </c>
      <c r="E166" s="598">
        <f>'15'!F166</f>
        <v>117536.58</v>
      </c>
      <c r="F166" s="590">
        <f t="shared" si="18"/>
        <v>117968.85</v>
      </c>
      <c r="G166" s="549">
        <f t="shared" si="17"/>
        <v>432.27000000000407</v>
      </c>
      <c r="N166" s="800"/>
    </row>
    <row r="167" spans="1:14" ht="21.75" customHeight="1">
      <c r="A167" s="1449" t="s">
        <v>108</v>
      </c>
      <c r="B167" s="1449"/>
      <c r="C167" s="1449"/>
      <c r="D167" s="600" t="s">
        <v>198</v>
      </c>
      <c r="E167" s="598">
        <f>'15'!F167</f>
        <v>127442.35</v>
      </c>
      <c r="F167" s="590">
        <f t="shared" si="18"/>
        <v>127843.92</v>
      </c>
      <c r="G167" s="549">
        <f t="shared" si="17"/>
        <v>401.56999999999243</v>
      </c>
      <c r="N167" s="800"/>
    </row>
    <row r="168" spans="1:14" ht="21.75" customHeight="1">
      <c r="A168" s="1449" t="s">
        <v>109</v>
      </c>
      <c r="B168" s="1449"/>
      <c r="C168" s="1449"/>
      <c r="D168" s="600" t="s">
        <v>198</v>
      </c>
      <c r="E168" s="598">
        <f>'15'!F168</f>
        <v>20047.63</v>
      </c>
      <c r="F168" s="590">
        <f t="shared" si="18"/>
        <v>20457.39</v>
      </c>
      <c r="G168" s="549">
        <f t="shared" si="17"/>
        <v>409.7599999999984</v>
      </c>
      <c r="N168" s="800"/>
    </row>
    <row r="169" spans="1:14" ht="22.5" customHeight="1">
      <c r="A169" s="1449" t="s">
        <v>110</v>
      </c>
      <c r="B169" s="1449"/>
      <c r="C169" s="1449"/>
      <c r="D169" s="600" t="s">
        <v>198</v>
      </c>
      <c r="E169" s="598">
        <f>'15'!F169</f>
        <v>199239.17</v>
      </c>
      <c r="F169" s="590">
        <f t="shared" si="18"/>
        <v>199917.25</v>
      </c>
      <c r="G169" s="549">
        <f t="shared" si="17"/>
        <v>678.07999999998719</v>
      </c>
      <c r="N169" s="800"/>
    </row>
    <row r="170" spans="1:14" ht="24" customHeight="1">
      <c r="A170" s="1449" t="s">
        <v>111</v>
      </c>
      <c r="B170" s="1449"/>
      <c r="C170" s="1449"/>
      <c r="D170" s="600" t="s">
        <v>198</v>
      </c>
      <c r="E170" s="598">
        <f>'15'!F170</f>
        <v>68438.38</v>
      </c>
      <c r="F170" s="590">
        <f t="shared" si="18"/>
        <v>68753.179999999993</v>
      </c>
      <c r="G170" s="549">
        <f t="shared" si="17"/>
        <v>314.79999999998836</v>
      </c>
      <c r="N170" s="800"/>
    </row>
    <row r="171" spans="1:14" ht="27.75">
      <c r="A171" s="1449" t="s">
        <v>112</v>
      </c>
      <c r="B171" s="1449"/>
      <c r="C171" s="1449"/>
      <c r="D171" s="600" t="s">
        <v>198</v>
      </c>
      <c r="E171" s="598">
        <f>'15'!F171</f>
        <v>60262.21</v>
      </c>
      <c r="F171" s="590">
        <f t="shared" si="18"/>
        <v>60564.56</v>
      </c>
      <c r="G171" s="549">
        <f t="shared" si="17"/>
        <v>302.34999999999854</v>
      </c>
      <c r="N171" s="800"/>
    </row>
    <row r="172" spans="1:14">
      <c r="A172" s="882"/>
      <c r="B172" s="883"/>
      <c r="C172" s="883"/>
      <c r="D172" s="884"/>
      <c r="E172" s="884"/>
      <c r="F172" s="885"/>
      <c r="G172" s="886">
        <f>SUM(G160:G171)</f>
        <v>3582.0099999999684</v>
      </c>
      <c r="N172" s="800"/>
    </row>
    <row r="173" spans="1:14">
      <c r="N173" s="800"/>
    </row>
    <row r="174" spans="1:14">
      <c r="N174" s="800"/>
    </row>
    <row r="175" spans="1:14">
      <c r="N175" s="800"/>
    </row>
    <row r="176" spans="1:14" ht="18.75" customHeight="1">
      <c r="N176" s="800"/>
    </row>
    <row r="177" spans="14:14" ht="23.25" customHeight="1">
      <c r="N177" s="800"/>
    </row>
    <row r="178" spans="14:14" ht="23.25" customHeight="1">
      <c r="N178" s="800"/>
    </row>
    <row r="179" spans="14:14" ht="23.25" customHeight="1">
      <c r="N179" s="800"/>
    </row>
    <row r="180" spans="14:14" ht="23.25" customHeight="1">
      <c r="N180" s="800"/>
    </row>
    <row r="181" spans="14:14" ht="23.25" customHeight="1">
      <c r="N181" s="800"/>
    </row>
    <row r="182" spans="14:14" ht="23.25" customHeight="1">
      <c r="N182" s="800"/>
    </row>
    <row r="183" spans="14:14" ht="23.25" customHeight="1">
      <c r="N183" s="800"/>
    </row>
    <row r="184" spans="14:14" ht="23.25" customHeight="1">
      <c r="N184" s="800"/>
    </row>
    <row r="185" spans="14:14" ht="23.25" customHeight="1">
      <c r="N185" s="800"/>
    </row>
    <row r="186" spans="14:14" ht="23.25" customHeight="1">
      <c r="N186" s="800"/>
    </row>
    <row r="187" spans="14:14" ht="23.25" customHeight="1">
      <c r="N187" s="800"/>
    </row>
    <row r="188" spans="14:14" ht="23.25" customHeight="1">
      <c r="N188" s="800"/>
    </row>
    <row r="189" spans="14:14" ht="23.25" customHeight="1">
      <c r="N189" s="800"/>
    </row>
    <row r="190" spans="14:14" ht="23.25" customHeight="1">
      <c r="N190" s="800"/>
    </row>
    <row r="191" spans="14:14" ht="23.25" customHeight="1">
      <c r="N191" s="800"/>
    </row>
    <row r="192" spans="14:14" ht="23.25" customHeight="1">
      <c r="N192" s="800"/>
    </row>
    <row r="193" spans="14:14" ht="23.25" customHeight="1">
      <c r="N193" s="800"/>
    </row>
    <row r="194" spans="14:14" ht="23.25" customHeight="1">
      <c r="N194" s="800"/>
    </row>
    <row r="195" spans="14:14" ht="23.25" customHeight="1">
      <c r="N195" s="800"/>
    </row>
    <row r="196" spans="14:14" ht="23.25" customHeight="1">
      <c r="N196" s="800"/>
    </row>
    <row r="197" spans="14:14" ht="23.25" customHeight="1">
      <c r="N197" s="800"/>
    </row>
    <row r="198" spans="14:14" ht="23.25" customHeight="1"/>
    <row r="199" spans="14:14" ht="23.25" customHeight="1"/>
    <row r="200" spans="14:14" ht="23.25" customHeight="1"/>
    <row r="201" spans="14:14" ht="23.25" customHeight="1"/>
    <row r="202" spans="14:14" ht="23.25" customHeight="1"/>
    <row r="203" spans="14:14" ht="23.25" customHeight="1"/>
    <row r="204" spans="14:14" ht="23.25" customHeight="1"/>
    <row r="205" spans="14:14" ht="23.25" customHeight="1"/>
    <row r="206" spans="14:14" ht="23.25" customHeight="1"/>
    <row r="207" spans="14:14" ht="23.25" customHeight="1"/>
    <row r="208" spans="14:14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</sheetData>
  <mergeCells count="74">
    <mergeCell ref="A25:C25"/>
    <mergeCell ref="A150:C150"/>
    <mergeCell ref="A151:C151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0:C70"/>
    <mergeCell ref="A76:C76"/>
    <mergeCell ref="A77:C77"/>
    <mergeCell ref="A79:C79"/>
    <mergeCell ref="A80:C80"/>
    <mergeCell ref="A93:C93"/>
    <mergeCell ref="A94:C94"/>
    <mergeCell ref="A95:C95"/>
    <mergeCell ref="A81:C81"/>
    <mergeCell ref="A82:C82"/>
    <mergeCell ref="A83:C83"/>
    <mergeCell ref="A92:C92"/>
    <mergeCell ref="A152:C152"/>
    <mergeCell ref="A153:C153"/>
    <mergeCell ref="E3:F3"/>
    <mergeCell ref="A71:J71"/>
    <mergeCell ref="A101:C101"/>
    <mergeCell ref="A122:C122"/>
    <mergeCell ref="A141:B141"/>
    <mergeCell ref="A148:C148"/>
    <mergeCell ref="A149:C149"/>
    <mergeCell ref="A142:C142"/>
    <mergeCell ref="A143:C143"/>
    <mergeCell ref="A144:C144"/>
    <mergeCell ref="A145:C145"/>
    <mergeCell ref="A146:C146"/>
    <mergeCell ref="A147:C147"/>
    <mergeCell ref="A125:C12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zoomScale="55" zoomScaleSheetLayoutView="55" zoomScalePageLayoutView="60" workbookViewId="0">
      <selection activeCell="F164" sqref="F164"/>
    </sheetView>
  </sheetViews>
  <sheetFormatPr defaultColWidth="22.33203125" defaultRowHeight="29.25"/>
  <cols>
    <col min="1" max="1" width="59.6640625" style="530" bestFit="1" customWidth="1"/>
    <col min="2" max="2" width="28.5546875" style="533" customWidth="1"/>
    <col min="3" max="3" width="15.88671875" style="533" customWidth="1"/>
    <col min="4" max="4" width="13.6640625" style="614" customWidth="1"/>
    <col min="5" max="5" width="17.88671875" style="614" bestFit="1" customWidth="1"/>
    <col min="6" max="6" width="19.5546875" style="744" bestFit="1" customWidth="1"/>
    <col min="7" max="7" width="19.5546875" style="614" bestFit="1" customWidth="1"/>
    <col min="8" max="8" width="15.44140625" style="615" bestFit="1" customWidth="1"/>
    <col min="9" max="9" width="16.88671875" style="614" bestFit="1" customWidth="1"/>
    <col min="10" max="10" width="18.33203125" style="616" bestFit="1" customWidth="1"/>
    <col min="11" max="11" width="43.21875" style="407" hidden="1" customWidth="1"/>
    <col min="12" max="13" width="22.33203125" style="407" hidden="1" customWidth="1"/>
    <col min="14" max="14" width="25.5546875" style="798" customWidth="1"/>
    <col min="15" max="15" width="22.33203125" style="805"/>
    <col min="16" max="16384" width="22.33203125" style="407"/>
  </cols>
  <sheetData>
    <row r="1" spans="1:16" ht="33.75">
      <c r="A1" s="1414" t="s">
        <v>128</v>
      </c>
      <c r="B1" s="1415"/>
      <c r="C1" s="1415"/>
      <c r="D1" s="1415"/>
      <c r="E1" s="1415"/>
      <c r="F1" s="1415"/>
      <c r="G1" s="1415"/>
      <c r="H1" s="1415"/>
      <c r="I1" s="1415"/>
      <c r="J1" s="1416"/>
    </row>
    <row r="2" spans="1:16" s="281" customFormat="1" ht="27">
      <c r="A2" s="652" t="s">
        <v>330</v>
      </c>
      <c r="B2" s="1118">
        <v>44244</v>
      </c>
      <c r="C2" s="1316" t="s">
        <v>69</v>
      </c>
      <c r="D2" s="688">
        <v>0.49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  <c r="N2" s="799"/>
      <c r="O2" s="806"/>
    </row>
    <row r="3" spans="1:16" s="281" customFormat="1" ht="27">
      <c r="A3" s="647"/>
      <c r="B3" s="691"/>
      <c r="C3" s="1316" t="s">
        <v>131</v>
      </c>
      <c r="D3" s="689">
        <v>28</v>
      </c>
      <c r="E3" s="1423" t="s">
        <v>132</v>
      </c>
      <c r="F3" s="1424"/>
      <c r="G3" s="538"/>
      <c r="H3" s="539"/>
      <c r="I3" s="539"/>
      <c r="J3" s="692"/>
      <c r="K3" s="402"/>
      <c r="L3" s="293"/>
      <c r="N3" s="799"/>
      <c r="O3" s="806"/>
    </row>
    <row r="4" spans="1:16" s="281" customFormat="1" ht="27">
      <c r="A4" s="653"/>
      <c r="B4" s="693"/>
      <c r="C4" s="1316" t="s">
        <v>133</v>
      </c>
      <c r="D4" s="688">
        <v>0.8</v>
      </c>
      <c r="E4" s="540"/>
      <c r="F4" s="540"/>
      <c r="G4" s="540"/>
      <c r="H4" s="540"/>
      <c r="I4" s="541"/>
      <c r="J4" s="692"/>
      <c r="K4" s="403"/>
      <c r="L4" s="293"/>
      <c r="N4" s="799"/>
      <c r="O4" s="806"/>
    </row>
    <row r="5" spans="1:16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6">
      <c r="A6" s="1417" t="s">
        <v>141</v>
      </c>
      <c r="B6" s="1418"/>
      <c r="C6" s="1419"/>
      <c r="D6" s="547"/>
      <c r="E6" s="547"/>
      <c r="F6" s="547"/>
      <c r="G6" s="547"/>
      <c r="H6" s="548"/>
      <c r="I6" s="548"/>
      <c r="J6" s="628"/>
      <c r="K6" s="466"/>
      <c r="L6" s="408"/>
    </row>
    <row r="7" spans="1:16" ht="30" thickBot="1">
      <c r="A7" s="757" t="s">
        <v>142</v>
      </c>
      <c r="B7" s="758"/>
      <c r="C7" s="758"/>
      <c r="D7" s="715" t="s">
        <v>143</v>
      </c>
      <c r="E7" s="710">
        <f>'16'!F7</f>
        <v>4198174</v>
      </c>
      <c r="F7" s="531">
        <v>4217745</v>
      </c>
      <c r="G7" s="759">
        <f>F7-E7</f>
        <v>19571</v>
      </c>
      <c r="H7" s="760">
        <f>G7+'16'!H7</f>
        <v>329547</v>
      </c>
      <c r="I7" s="761">
        <f>'1'!I7</f>
        <v>12000</v>
      </c>
      <c r="J7" s="762">
        <f>H7/DAY(B2)</f>
        <v>19385.117647058825</v>
      </c>
      <c r="K7" s="626"/>
      <c r="L7" s="408"/>
      <c r="N7" s="811"/>
      <c r="O7" s="807"/>
      <c r="P7" s="810"/>
    </row>
    <row r="8" spans="1:16" ht="27.75" thickBot="1">
      <c r="A8" s="763" t="s">
        <v>144</v>
      </c>
      <c r="B8" s="764"/>
      <c r="C8" s="765"/>
      <c r="D8" s="766" t="s">
        <v>25</v>
      </c>
      <c r="E8" s="710">
        <f>'16'!F8</f>
        <v>4224940</v>
      </c>
      <c r="F8" s="551">
        <v>4244632</v>
      </c>
      <c r="G8" s="770">
        <f>F8-E8</f>
        <v>19692</v>
      </c>
      <c r="H8" s="760">
        <f>G8+'16'!H8</f>
        <v>331781</v>
      </c>
      <c r="I8" s="767">
        <f>'1'!I8</f>
        <v>12000</v>
      </c>
      <c r="J8" s="762">
        <f>H8/DAY(B2)</f>
        <v>19516.529411764706</v>
      </c>
      <c r="K8" s="626"/>
      <c r="L8" s="464"/>
      <c r="M8" s="479"/>
      <c r="N8" s="800"/>
      <c r="O8" s="807"/>
      <c r="P8" s="413"/>
    </row>
    <row r="9" spans="1:16">
      <c r="A9" s="768" t="s">
        <v>145</v>
      </c>
      <c r="B9" s="769"/>
      <c r="C9" s="769"/>
      <c r="D9" s="715" t="s">
        <v>143</v>
      </c>
      <c r="E9" s="710">
        <f>'16'!F9</f>
        <v>116207</v>
      </c>
      <c r="F9" s="554">
        <v>132071</v>
      </c>
      <c r="G9" s="783">
        <f t="shared" ref="G9:G12" si="0">F9-E9</f>
        <v>15864</v>
      </c>
      <c r="H9" s="760">
        <f>G9+'16'!H9</f>
        <v>169183.25</v>
      </c>
      <c r="I9" s="771">
        <f>I7-J7</f>
        <v>-7385.1176470588252</v>
      </c>
      <c r="J9" s="762">
        <f>H9/DAY(B2)</f>
        <v>9951.9558823529405</v>
      </c>
      <c r="K9" s="467"/>
      <c r="L9" s="408"/>
      <c r="N9" s="800"/>
      <c r="O9" s="807"/>
      <c r="P9" s="413"/>
    </row>
    <row r="10" spans="1:16">
      <c r="A10" s="757" t="s">
        <v>146</v>
      </c>
      <c r="B10" s="758"/>
      <c r="C10" s="758"/>
      <c r="D10" s="715" t="s">
        <v>143</v>
      </c>
      <c r="E10" s="710">
        <f>'16'!F10</f>
        <v>1346214.9</v>
      </c>
      <c r="F10" s="554">
        <v>1349339.6</v>
      </c>
      <c r="G10" s="770">
        <f t="shared" si="0"/>
        <v>3124.7000000001863</v>
      </c>
      <c r="H10" s="760">
        <f>G10+'16'!H10</f>
        <v>148465.20000000019</v>
      </c>
      <c r="I10" s="772"/>
      <c r="J10" s="762">
        <f>H10/DAY(B2)</f>
        <v>8733.247058823541</v>
      </c>
      <c r="K10" s="467"/>
      <c r="L10" s="408"/>
      <c r="N10" s="800"/>
      <c r="O10" s="807"/>
      <c r="P10" s="413"/>
    </row>
    <row r="11" spans="1:16">
      <c r="A11" s="757" t="s">
        <v>147</v>
      </c>
      <c r="B11" s="758"/>
      <c r="C11" s="758"/>
      <c r="D11" s="715" t="s">
        <v>143</v>
      </c>
      <c r="E11" s="710">
        <f>'16'!F11</f>
        <v>37000</v>
      </c>
      <c r="F11" s="531">
        <v>37000</v>
      </c>
      <c r="G11" s="770">
        <f t="shared" si="0"/>
        <v>0</v>
      </c>
      <c r="H11" s="760">
        <f>G11+'16'!H11</f>
        <v>1610</v>
      </c>
      <c r="I11" s="772"/>
      <c r="J11" s="762">
        <f>H11/DAY(B2)</f>
        <v>94.705882352941174</v>
      </c>
      <c r="K11" s="467"/>
      <c r="L11" s="408"/>
      <c r="N11" s="800"/>
      <c r="O11" s="807"/>
      <c r="P11" s="413"/>
    </row>
    <row r="12" spans="1:16">
      <c r="A12" s="757" t="s">
        <v>148</v>
      </c>
      <c r="B12" s="758"/>
      <c r="C12" s="758"/>
      <c r="D12" s="715" t="s">
        <v>143</v>
      </c>
      <c r="E12" s="710">
        <f>'16'!F12</f>
        <v>40010</v>
      </c>
      <c r="F12" s="554">
        <v>40010</v>
      </c>
      <c r="G12" s="770">
        <f t="shared" si="0"/>
        <v>0</v>
      </c>
      <c r="H12" s="760">
        <f>G12+'16'!H12</f>
        <v>2380</v>
      </c>
      <c r="I12" s="772"/>
      <c r="J12" s="762">
        <f>H12/DAY(B2)</f>
        <v>140</v>
      </c>
      <c r="K12" s="467"/>
      <c r="L12" s="408"/>
      <c r="N12" s="800"/>
      <c r="O12" s="807"/>
      <c r="P12" s="413"/>
    </row>
    <row r="13" spans="1:16">
      <c r="A13" s="773" t="s">
        <v>149</v>
      </c>
      <c r="B13" s="774"/>
      <c r="C13" s="774"/>
      <c r="D13" s="715"/>
      <c r="E13" s="710"/>
      <c r="F13" s="531"/>
      <c r="G13" s="775">
        <f>G9+G10+G11+G12</f>
        <v>18988.700000000186</v>
      </c>
      <c r="H13" s="760">
        <f>G13+'16'!H13</f>
        <v>303332.45000000019</v>
      </c>
      <c r="I13" s="776">
        <f>G7-G13</f>
        <v>582.29999999981374</v>
      </c>
      <c r="J13" s="762">
        <f>H13/DAY(B2)</f>
        <v>17843.085294117656</v>
      </c>
      <c r="K13" s="467"/>
      <c r="L13" s="408"/>
      <c r="N13" s="800"/>
      <c r="O13" s="807"/>
      <c r="P13" s="413"/>
    </row>
    <row r="14" spans="1:16">
      <c r="A14" s="1420" t="s">
        <v>150</v>
      </c>
      <c r="B14" s="1421"/>
      <c r="C14" s="1422"/>
      <c r="D14" s="548"/>
      <c r="E14" s="548"/>
      <c r="F14" s="548"/>
      <c r="G14" s="559"/>
      <c r="H14" s="548"/>
      <c r="I14" s="548"/>
      <c r="J14" s="1309"/>
      <c r="K14" s="468"/>
      <c r="L14" s="408"/>
      <c r="N14" s="800"/>
      <c r="O14" s="807"/>
      <c r="P14" s="413"/>
    </row>
    <row r="15" spans="1:16">
      <c r="A15" s="876" t="s">
        <v>151</v>
      </c>
      <c r="B15" s="877"/>
      <c r="C15" s="877"/>
      <c r="D15" s="600" t="s">
        <v>152</v>
      </c>
      <c r="E15" s="561">
        <f>'16'!F15</f>
        <v>1608782.94</v>
      </c>
      <c r="F15" s="561">
        <v>1609713.45</v>
      </c>
      <c r="G15" s="745">
        <f>(F15-E15)</f>
        <v>930.51000000000931</v>
      </c>
      <c r="H15" s="562">
        <f>G15+'16'!H15</f>
        <v>15276.300000000047</v>
      </c>
      <c r="I15" s="550">
        <f>'1'!I15</f>
        <v>800</v>
      </c>
      <c r="J15" s="630">
        <f>H15/DAY(B2)</f>
        <v>898.60588235294392</v>
      </c>
      <c r="K15" s="467"/>
      <c r="L15" s="408"/>
      <c r="N15" s="800"/>
      <c r="O15" s="807"/>
      <c r="P15" s="413"/>
    </row>
    <row r="16" spans="1:16">
      <c r="A16" s="664"/>
      <c r="B16" s="665"/>
      <c r="C16" s="665"/>
      <c r="D16" s="600"/>
      <c r="E16" s="561"/>
      <c r="F16" s="561"/>
      <c r="G16" s="750"/>
      <c r="H16" s="562"/>
      <c r="I16" s="558">
        <f>I15-J15</f>
        <v>-98.605882352943922</v>
      </c>
      <c r="J16" s="630"/>
      <c r="K16" s="467"/>
      <c r="L16" s="408"/>
      <c r="N16" s="800"/>
      <c r="O16" s="807"/>
      <c r="P16" s="413"/>
    </row>
    <row r="17" spans="1:16">
      <c r="A17" s="1420" t="s">
        <v>153</v>
      </c>
      <c r="B17" s="1421"/>
      <c r="C17" s="1422"/>
      <c r="D17" s="548"/>
      <c r="E17" s="548"/>
      <c r="F17" s="548"/>
      <c r="G17" s="564"/>
      <c r="H17" s="548"/>
      <c r="I17" s="548"/>
      <c r="J17" s="628"/>
      <c r="K17" s="467"/>
      <c r="L17" s="408"/>
      <c r="N17" s="800"/>
      <c r="O17" s="807"/>
      <c r="P17" s="413"/>
    </row>
    <row r="18" spans="1:16" ht="27.75">
      <c r="A18" s="1446" t="s">
        <v>154</v>
      </c>
      <c r="B18" s="1447"/>
      <c r="C18" s="1448"/>
      <c r="D18" s="715" t="s">
        <v>155</v>
      </c>
      <c r="E18" s="712">
        <f>'16'!F18</f>
        <v>20</v>
      </c>
      <c r="F18" s="554">
        <v>14</v>
      </c>
      <c r="G18" s="775">
        <f>F18*10</f>
        <v>140</v>
      </c>
      <c r="H18" s="760">
        <f>G18+'16'!H18</f>
        <v>2860</v>
      </c>
      <c r="I18" s="761">
        <f>'1'!I18</f>
        <v>65</v>
      </c>
      <c r="J18" s="762">
        <f>H18/DAY(B2)</f>
        <v>168.23529411764707</v>
      </c>
      <c r="K18" s="467"/>
      <c r="L18" s="408"/>
      <c r="N18" s="800"/>
      <c r="O18" s="807"/>
      <c r="P18" s="413"/>
    </row>
    <row r="19" spans="1:16" ht="27.75">
      <c r="A19" s="1446" t="s">
        <v>71</v>
      </c>
      <c r="B19" s="1447"/>
      <c r="C19" s="1448"/>
      <c r="D19" s="715" t="s">
        <v>155</v>
      </c>
      <c r="E19" s="712">
        <f>'16'!F19</f>
        <v>133855</v>
      </c>
      <c r="F19" s="554">
        <v>133906</v>
      </c>
      <c r="G19" s="770">
        <f>F19-E19</f>
        <v>51</v>
      </c>
      <c r="H19" s="760">
        <f>G19+'16'!H19</f>
        <v>858</v>
      </c>
      <c r="I19" s="777"/>
      <c r="J19" s="762">
        <f>H19/DAY(B2)</f>
        <v>50.470588235294116</v>
      </c>
      <c r="K19" s="467"/>
      <c r="L19" s="408"/>
      <c r="N19" s="800"/>
      <c r="O19" s="807"/>
      <c r="P19" s="413"/>
    </row>
    <row r="20" spans="1:16">
      <c r="A20" s="773" t="s">
        <v>156</v>
      </c>
      <c r="B20" s="774"/>
      <c r="C20" s="774"/>
      <c r="D20" s="715"/>
      <c r="E20" s="715"/>
      <c r="F20" s="791"/>
      <c r="G20" s="778">
        <f>G18+G19</f>
        <v>191</v>
      </c>
      <c r="H20" s="760">
        <f>G20+'16'!H20</f>
        <v>3718</v>
      </c>
      <c r="I20" s="779">
        <f>I18-J20</f>
        <v>-153.70588235294119</v>
      </c>
      <c r="J20" s="762">
        <f>H20/DAY(B2)</f>
        <v>218.70588235294119</v>
      </c>
      <c r="K20" s="467"/>
      <c r="L20" s="408"/>
      <c r="N20" s="800"/>
      <c r="O20" s="807"/>
      <c r="P20" s="413"/>
    </row>
    <row r="21" spans="1:16">
      <c r="A21" s="1420" t="s">
        <v>157</v>
      </c>
      <c r="B21" s="1421"/>
      <c r="C21" s="1422"/>
      <c r="D21" s="548"/>
      <c r="E21" s="548"/>
      <c r="F21" s="548"/>
      <c r="G21" s="559"/>
      <c r="H21" s="548"/>
      <c r="I21" s="548"/>
      <c r="J21" s="628"/>
      <c r="K21" s="467"/>
      <c r="L21" s="408"/>
      <c r="N21" s="800"/>
      <c r="O21" s="807"/>
      <c r="P21" s="413"/>
    </row>
    <row r="22" spans="1:16">
      <c r="A22" s="1314" t="s">
        <v>158</v>
      </c>
      <c r="B22" s="666"/>
      <c r="C22" s="666"/>
      <c r="D22" s="599" t="s">
        <v>159</v>
      </c>
      <c r="E22" s="712">
        <f>'16'!F22</f>
        <v>2250</v>
      </c>
      <c r="F22" s="554">
        <v>2250</v>
      </c>
      <c r="G22" s="557">
        <v>0</v>
      </c>
      <c r="H22" s="536">
        <f>G22+'16'!H22</f>
        <v>0</v>
      </c>
      <c r="I22" s="556"/>
      <c r="J22" s="629">
        <f>H22/DAY(B2)</f>
        <v>0</v>
      </c>
      <c r="K22" s="467"/>
      <c r="L22" s="408"/>
      <c r="N22" s="800"/>
      <c r="O22" s="807"/>
      <c r="P22" s="413"/>
    </row>
    <row r="23" spans="1:16">
      <c r="A23" s="1314" t="s">
        <v>160</v>
      </c>
      <c r="B23" s="666"/>
      <c r="C23" s="666"/>
      <c r="D23" s="599" t="s">
        <v>159</v>
      </c>
      <c r="E23" s="712">
        <f>'16'!F23</f>
        <v>2000</v>
      </c>
      <c r="F23" s="554">
        <v>2000</v>
      </c>
      <c r="G23" s="557">
        <v>0</v>
      </c>
      <c r="H23" s="536">
        <f>G23+'16'!H23</f>
        <v>1600</v>
      </c>
      <c r="I23" s="556"/>
      <c r="J23" s="629">
        <f>H23/DAY(B2)</f>
        <v>94.117647058823536</v>
      </c>
      <c r="K23" s="467"/>
      <c r="L23" s="408"/>
      <c r="N23" s="800"/>
      <c r="O23" s="807"/>
      <c r="P23" s="413"/>
    </row>
    <row r="24" spans="1:16">
      <c r="A24" s="667" t="s">
        <v>161</v>
      </c>
      <c r="B24" s="668"/>
      <c r="C24" s="668"/>
      <c r="D24" s="587" t="s">
        <v>159</v>
      </c>
      <c r="E24" s="569">
        <f>'16'!F24</f>
        <v>4250</v>
      </c>
      <c r="F24" s="561">
        <v>4250</v>
      </c>
      <c r="G24" s="557">
        <v>0</v>
      </c>
      <c r="H24" s="536">
        <v>0</v>
      </c>
      <c r="I24" s="556"/>
      <c r="J24" s="629">
        <f>H24/DAY(B2)</f>
        <v>0</v>
      </c>
      <c r="K24" s="467"/>
      <c r="L24" s="408"/>
      <c r="N24" s="800"/>
      <c r="O24" s="807"/>
      <c r="P24" s="413"/>
    </row>
    <row r="25" spans="1:16" s="481" customFormat="1" ht="27">
      <c r="A25" s="1425" t="s">
        <v>162</v>
      </c>
      <c r="B25" s="1426"/>
      <c r="C25" s="1427"/>
      <c r="D25" s="547"/>
      <c r="E25" s="547"/>
      <c r="F25" s="547"/>
      <c r="G25" s="570"/>
      <c r="H25" s="571"/>
      <c r="I25" s="572"/>
      <c r="J25" s="631"/>
      <c r="K25" s="404"/>
      <c r="L25" s="484"/>
      <c r="N25" s="800"/>
      <c r="O25" s="807"/>
      <c r="P25" s="413"/>
    </row>
    <row r="26" spans="1:16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800"/>
      <c r="O26" s="807"/>
      <c r="P26" s="413"/>
    </row>
    <row r="27" spans="1:16" s="481" customFormat="1" ht="27.75">
      <c r="A27" s="669" t="s">
        <v>6</v>
      </c>
      <c r="B27" s="670"/>
      <c r="C27" s="671"/>
      <c r="D27" s="696" t="s">
        <v>25</v>
      </c>
      <c r="E27" s="780">
        <f>G8</f>
        <v>19692</v>
      </c>
      <c r="F27" s="577">
        <v>9</v>
      </c>
      <c r="G27" s="578">
        <f>E27*F27</f>
        <v>177228</v>
      </c>
      <c r="H27" s="536">
        <f>G27+'16'!H27</f>
        <v>2986029</v>
      </c>
      <c r="I27" s="579"/>
      <c r="J27" s="629">
        <f>H27/DAY(B2)</f>
        <v>175648.76470588235</v>
      </c>
      <c r="K27" s="404"/>
      <c r="L27" s="484"/>
      <c r="N27" s="800"/>
      <c r="O27" s="807"/>
      <c r="P27" s="413"/>
    </row>
    <row r="28" spans="1:16" s="481" customFormat="1" ht="27.75">
      <c r="A28" s="669" t="s">
        <v>165</v>
      </c>
      <c r="B28" s="670"/>
      <c r="C28" s="671"/>
      <c r="D28" s="696" t="s">
        <v>166</v>
      </c>
      <c r="E28" s="780">
        <f>G15</f>
        <v>930.51000000000931</v>
      </c>
      <c r="F28" s="577">
        <v>43.5</v>
      </c>
      <c r="G28" s="578">
        <f>E28*F28</f>
        <v>40477.185000000405</v>
      </c>
      <c r="H28" s="536">
        <f>G28+'16'!H28</f>
        <v>664519.05000000203</v>
      </c>
      <c r="I28" s="581"/>
      <c r="J28" s="629">
        <f>H28/DAY(B2)</f>
        <v>39089.355882353062</v>
      </c>
      <c r="K28" s="404"/>
      <c r="L28" s="484"/>
      <c r="N28" s="800"/>
      <c r="O28" s="807"/>
      <c r="P28" s="413"/>
    </row>
    <row r="29" spans="1:16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G29+'16'!H29</f>
        <v>162150</v>
      </c>
      <c r="I29" s="581"/>
      <c r="J29" s="629">
        <f>H29/DAY(B2)</f>
        <v>9538.2352941176468</v>
      </c>
      <c r="K29" s="404"/>
      <c r="L29" s="484"/>
      <c r="N29" s="800"/>
      <c r="O29" s="807"/>
      <c r="P29" s="413"/>
    </row>
    <row r="30" spans="1:16" s="481" customFormat="1" ht="27.75">
      <c r="A30" s="669" t="s">
        <v>169</v>
      </c>
      <c r="B30" s="670"/>
      <c r="C30" s="671"/>
      <c r="D30" s="696" t="s">
        <v>170</v>
      </c>
      <c r="E30" s="780">
        <f>G19</f>
        <v>51</v>
      </c>
      <c r="F30" s="577">
        <v>134</v>
      </c>
      <c r="G30" s="578">
        <f>E30*F30</f>
        <v>6834</v>
      </c>
      <c r="H30" s="536">
        <f>G30+'16'!H30</f>
        <v>114972</v>
      </c>
      <c r="I30" s="581"/>
      <c r="J30" s="629">
        <f>H30/DAY(B2)</f>
        <v>6763.0588235294117</v>
      </c>
      <c r="K30" s="404"/>
      <c r="L30" s="484"/>
      <c r="N30" s="800"/>
      <c r="O30" s="807"/>
      <c r="P30" s="413"/>
    </row>
    <row r="31" spans="1:16" s="481" customFormat="1" ht="27.75">
      <c r="A31" s="669" t="s">
        <v>171</v>
      </c>
      <c r="B31" s="670"/>
      <c r="C31" s="671"/>
      <c r="D31" s="696" t="s">
        <v>155</v>
      </c>
      <c r="E31" s="780">
        <f>G18</f>
        <v>140</v>
      </c>
      <c r="F31" s="577">
        <v>80</v>
      </c>
      <c r="G31" s="578">
        <f>E31*F31</f>
        <v>11200</v>
      </c>
      <c r="H31" s="536">
        <f>G31+'16'!H31</f>
        <v>228800</v>
      </c>
      <c r="I31" s="581"/>
      <c r="J31" s="629"/>
      <c r="K31" s="404">
        <f>E31*80%</f>
        <v>112</v>
      </c>
      <c r="L31" s="484"/>
      <c r="N31" s="800"/>
      <c r="O31" s="807"/>
      <c r="P31" s="413"/>
    </row>
    <row r="32" spans="1:16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235739.18500000041</v>
      </c>
      <c r="H32" s="536">
        <f>G32+'16'!H32</f>
        <v>4156470.0500000026</v>
      </c>
      <c r="I32" s="585"/>
      <c r="J32" s="629">
        <f>H32/DAY(B2)</f>
        <v>244498.23823529427</v>
      </c>
      <c r="K32" s="404"/>
      <c r="L32" s="484"/>
      <c r="N32" s="800"/>
      <c r="O32" s="807"/>
      <c r="P32" s="413"/>
    </row>
    <row r="33" spans="1:16" ht="25.5">
      <c r="A33" s="1428" t="s">
        <v>173</v>
      </c>
      <c r="B33" s="1429"/>
      <c r="C33" s="1429"/>
      <c r="D33" s="1429"/>
      <c r="E33" s="1429"/>
      <c r="F33" s="1429"/>
      <c r="G33" s="1429"/>
      <c r="H33" s="1429"/>
      <c r="I33" s="1429"/>
      <c r="J33" s="1430"/>
      <c r="K33" s="467"/>
      <c r="L33" s="408"/>
      <c r="N33" s="800"/>
      <c r="O33" s="807"/>
      <c r="P33" s="413"/>
    </row>
    <row r="34" spans="1:16">
      <c r="A34" s="675" t="s">
        <v>174</v>
      </c>
      <c r="B34" s="1319"/>
      <c r="C34" s="1319"/>
      <c r="D34" s="548"/>
      <c r="E34" s="547"/>
      <c r="F34" s="547"/>
      <c r="G34" s="548"/>
      <c r="H34" s="548"/>
      <c r="I34" s="548"/>
      <c r="J34" s="628"/>
      <c r="K34" s="467"/>
      <c r="L34" s="408"/>
      <c r="N34" s="800"/>
      <c r="O34" s="807"/>
      <c r="P34" s="413"/>
    </row>
    <row r="35" spans="1:16">
      <c r="A35" s="655" t="s">
        <v>175</v>
      </c>
      <c r="B35" s="656"/>
      <c r="C35" s="656"/>
      <c r="D35" s="599" t="s">
        <v>143</v>
      </c>
      <c r="E35" s="586">
        <f>'16'!F35</f>
        <v>657324.15</v>
      </c>
      <c r="F35" s="586">
        <v>660035.79</v>
      </c>
      <c r="G35" s="549">
        <f t="shared" ref="G35:G46" si="1">F35-E35</f>
        <v>2711.640000000014</v>
      </c>
      <c r="H35" s="536">
        <f>G35+'16'!H35</f>
        <v>31008.119999999995</v>
      </c>
      <c r="I35" s="531"/>
      <c r="J35" s="629">
        <f>H35/DAY(B2)</f>
        <v>1824.0070588235292</v>
      </c>
      <c r="K35" s="467"/>
      <c r="L35" s="408"/>
      <c r="N35" s="800"/>
      <c r="O35" s="808"/>
      <c r="P35" s="413"/>
    </row>
    <row r="36" spans="1:16">
      <c r="A36" s="655" t="s">
        <v>176</v>
      </c>
      <c r="B36" s="656"/>
      <c r="C36" s="656"/>
      <c r="D36" s="599" t="s">
        <v>143</v>
      </c>
      <c r="E36" s="586">
        <f>'16'!F36</f>
        <v>287562.75</v>
      </c>
      <c r="F36" s="586">
        <v>288225.75</v>
      </c>
      <c r="G36" s="549">
        <f t="shared" si="1"/>
        <v>663</v>
      </c>
      <c r="H36" s="536">
        <f>G36+'16'!H36</f>
        <v>11734.299999999988</v>
      </c>
      <c r="I36" s="531"/>
      <c r="J36" s="629">
        <f>H36/DAY(B2)</f>
        <v>690.2529411764699</v>
      </c>
      <c r="K36" s="467"/>
      <c r="L36" s="408"/>
      <c r="N36" s="801"/>
      <c r="O36" s="808"/>
      <c r="P36" s="413"/>
    </row>
    <row r="37" spans="1:16">
      <c r="A37" s="655" t="s">
        <v>177</v>
      </c>
      <c r="B37" s="656"/>
      <c r="C37" s="656"/>
      <c r="D37" s="599" t="s">
        <v>143</v>
      </c>
      <c r="E37" s="586">
        <f>'16'!F37</f>
        <v>14281.36</v>
      </c>
      <c r="F37" s="586">
        <v>15757.98</v>
      </c>
      <c r="G37" s="549">
        <f t="shared" si="1"/>
        <v>1476.619999999999</v>
      </c>
      <c r="H37" s="536">
        <f>G37+'16'!H37</f>
        <v>15757.98</v>
      </c>
      <c r="I37" s="531"/>
      <c r="J37" s="629">
        <f>H37/DAY(B2)</f>
        <v>926.93999999999994</v>
      </c>
      <c r="K37" s="467"/>
      <c r="L37" s="408"/>
      <c r="N37" s="801"/>
      <c r="O37" s="808"/>
      <c r="P37" s="413"/>
    </row>
    <row r="38" spans="1:16">
      <c r="A38" s="655" t="s">
        <v>178</v>
      </c>
      <c r="B38" s="656"/>
      <c r="C38" s="656"/>
      <c r="D38" s="599" t="s">
        <v>143</v>
      </c>
      <c r="E38" s="586">
        <f>'16'!F38</f>
        <v>19207.47</v>
      </c>
      <c r="F38" s="545">
        <v>21208.86</v>
      </c>
      <c r="G38" s="549">
        <f t="shared" si="1"/>
        <v>2001.3899999999994</v>
      </c>
      <c r="H38" s="536">
        <f>G38+'16'!H38</f>
        <v>21110.980000000003</v>
      </c>
      <c r="I38" s="531"/>
      <c r="J38" s="629">
        <f>H38/DAY(B2)</f>
        <v>1241.8223529411766</v>
      </c>
      <c r="K38" s="467"/>
      <c r="L38" s="408"/>
      <c r="N38" s="800"/>
      <c r="O38" s="807"/>
      <c r="P38" s="413"/>
    </row>
    <row r="39" spans="1:16">
      <c r="A39" s="655" t="s">
        <v>179</v>
      </c>
      <c r="B39" s="656"/>
      <c r="C39" s="656"/>
      <c r="D39" s="599" t="s">
        <v>143</v>
      </c>
      <c r="E39" s="586">
        <f>'16'!F39</f>
        <v>40245.550000000003</v>
      </c>
      <c r="F39" s="586">
        <v>44433.18</v>
      </c>
      <c r="G39" s="549">
        <f>F39-E39</f>
        <v>4187.6299999999974</v>
      </c>
      <c r="H39" s="536">
        <f>G39+'16'!H39</f>
        <v>44433.18</v>
      </c>
      <c r="I39" s="531"/>
      <c r="J39" s="629">
        <f>H39/DAY(B2)</f>
        <v>2613.7164705882351</v>
      </c>
      <c r="K39" s="467"/>
      <c r="L39" s="408"/>
      <c r="N39" s="800"/>
      <c r="O39" s="808"/>
      <c r="P39" s="413"/>
    </row>
    <row r="40" spans="1:16">
      <c r="A40" s="676" t="s">
        <v>180</v>
      </c>
      <c r="B40" s="677"/>
      <c r="C40" s="677"/>
      <c r="D40" s="599" t="s">
        <v>143</v>
      </c>
      <c r="E40" s="586">
        <f>'16'!F40</f>
        <v>0.17</v>
      </c>
      <c r="F40" s="586">
        <v>0.17</v>
      </c>
      <c r="G40" s="549">
        <f t="shared" si="1"/>
        <v>0</v>
      </c>
      <c r="H40" s="536">
        <f>G40+'16'!H40</f>
        <v>-0.06</v>
      </c>
      <c r="I40" s="531"/>
      <c r="J40" s="629">
        <f>H40/DAY(B2)</f>
        <v>-3.529411764705882E-3</v>
      </c>
      <c r="K40" s="468"/>
      <c r="L40" s="408"/>
      <c r="N40" s="800"/>
      <c r="O40" s="807"/>
      <c r="P40" s="413"/>
    </row>
    <row r="41" spans="1:16">
      <c r="A41" s="655" t="s">
        <v>181</v>
      </c>
      <c r="B41" s="656"/>
      <c r="C41" s="656"/>
      <c r="D41" s="599" t="s">
        <v>143</v>
      </c>
      <c r="E41" s="586">
        <f>'16'!F41</f>
        <v>59259.87</v>
      </c>
      <c r="F41" s="586">
        <v>61860.89</v>
      </c>
      <c r="G41" s="549">
        <f t="shared" si="1"/>
        <v>2601.0199999999968</v>
      </c>
      <c r="H41" s="536">
        <f>G41+'16'!H41</f>
        <v>17238.370000000003</v>
      </c>
      <c r="I41" s="531"/>
      <c r="J41" s="629">
        <f>H41/DAY(B2)</f>
        <v>1014.0217647058826</v>
      </c>
      <c r="K41" s="467"/>
      <c r="L41" s="408"/>
      <c r="N41" s="800"/>
      <c r="O41" s="809"/>
      <c r="P41" s="803"/>
    </row>
    <row r="42" spans="1:16">
      <c r="A42" s="655" t="s">
        <v>182</v>
      </c>
      <c r="B42" s="656"/>
      <c r="C42" s="656"/>
      <c r="D42" s="599" t="s">
        <v>143</v>
      </c>
      <c r="E42" s="586">
        <f>'16'!F42</f>
        <v>58926</v>
      </c>
      <c r="F42" s="586">
        <v>58926</v>
      </c>
      <c r="G42" s="549">
        <f>F42-E42</f>
        <v>0</v>
      </c>
      <c r="H42" s="536">
        <f>G42+'16'!H42</f>
        <v>0</v>
      </c>
      <c r="I42" s="531"/>
      <c r="J42" s="629">
        <f>H42/DAY(B2)</f>
        <v>0</v>
      </c>
      <c r="K42" s="467"/>
      <c r="L42" s="408"/>
      <c r="N42" s="800"/>
      <c r="O42" s="807"/>
      <c r="P42" s="413"/>
    </row>
    <row r="43" spans="1:16">
      <c r="A43" s="655" t="s">
        <v>183</v>
      </c>
      <c r="B43" s="656"/>
      <c r="C43" s="656"/>
      <c r="D43" s="599" t="s">
        <v>143</v>
      </c>
      <c r="E43" s="586">
        <f>'16'!F43</f>
        <v>797856.79</v>
      </c>
      <c r="F43" s="586">
        <v>800191.59</v>
      </c>
      <c r="G43" s="549">
        <f t="shared" si="1"/>
        <v>2334.7999999999302</v>
      </c>
      <c r="H43" s="536">
        <f>G43+'16'!H43</f>
        <v>32379.679999999935</v>
      </c>
      <c r="I43" s="531"/>
      <c r="J43" s="629">
        <f>H43/DAY(B2)</f>
        <v>1904.6870588235256</v>
      </c>
      <c r="K43" s="467"/>
      <c r="L43" s="408"/>
      <c r="N43" s="800"/>
      <c r="O43" s="808"/>
      <c r="P43" s="413"/>
    </row>
    <row r="44" spans="1:16">
      <c r="A44" s="655" t="s">
        <v>184</v>
      </c>
      <c r="B44" s="656"/>
      <c r="C44" s="656"/>
      <c r="D44" s="599" t="s">
        <v>143</v>
      </c>
      <c r="E44" s="586">
        <f>'16'!F44</f>
        <v>0</v>
      </c>
      <c r="F44" s="586">
        <v>0</v>
      </c>
      <c r="G44" s="549">
        <f t="shared" si="1"/>
        <v>0</v>
      </c>
      <c r="H44" s="536">
        <f>G44+'16'!H44</f>
        <v>0</v>
      </c>
      <c r="I44" s="531"/>
      <c r="J44" s="629">
        <f>H44/DAY(B2)</f>
        <v>0</v>
      </c>
      <c r="K44" s="467"/>
      <c r="L44" s="408"/>
      <c r="N44" s="800"/>
      <c r="O44" s="807"/>
      <c r="P44" s="413"/>
    </row>
    <row r="45" spans="1:16">
      <c r="A45" s="655" t="s">
        <v>185</v>
      </c>
      <c r="B45" s="656"/>
      <c r="C45" s="656"/>
      <c r="D45" s="599" t="s">
        <v>143</v>
      </c>
      <c r="E45" s="586">
        <f>'16'!F45</f>
        <v>614</v>
      </c>
      <c r="F45" s="586">
        <v>614</v>
      </c>
      <c r="G45" s="549">
        <f t="shared" si="1"/>
        <v>0</v>
      </c>
      <c r="H45" s="536">
        <f>G45+'16'!H45</f>
        <v>-0.48000000000001819</v>
      </c>
      <c r="I45" s="531"/>
      <c r="J45" s="629">
        <f>H45/DAY(B2)</f>
        <v>-2.8235294117648128E-2</v>
      </c>
      <c r="K45" s="467"/>
      <c r="L45" s="408"/>
      <c r="N45" s="804"/>
      <c r="O45" s="807"/>
      <c r="P45" s="413"/>
    </row>
    <row r="46" spans="1:16">
      <c r="A46" s="655" t="s">
        <v>186</v>
      </c>
      <c r="B46" s="656"/>
      <c r="C46" s="656"/>
      <c r="D46" s="599" t="s">
        <v>143</v>
      </c>
      <c r="E46" s="586">
        <f>'16'!F46</f>
        <v>187.49</v>
      </c>
      <c r="F46" s="586">
        <v>187.49</v>
      </c>
      <c r="G46" s="549">
        <f t="shared" si="1"/>
        <v>0</v>
      </c>
      <c r="H46" s="536">
        <f>G46+'16'!H46</f>
        <v>0</v>
      </c>
      <c r="I46" s="531"/>
      <c r="J46" s="629">
        <f>H46/DAY(B2)</f>
        <v>0</v>
      </c>
      <c r="K46" s="467"/>
      <c r="L46" s="408"/>
      <c r="N46" s="800"/>
      <c r="O46" s="807"/>
      <c r="P46" s="413"/>
    </row>
    <row r="47" spans="1:16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15976.099999999937</v>
      </c>
      <c r="H47" s="536">
        <f>G47+'16'!H47</f>
        <v>173662.06999999992</v>
      </c>
      <c r="I47" s="531"/>
      <c r="J47" s="629">
        <f>H47/DAY(B2)</f>
        <v>10215.415882352936</v>
      </c>
      <c r="K47" s="467"/>
      <c r="L47" s="408"/>
      <c r="N47" s="800"/>
      <c r="O47" s="807"/>
      <c r="P47" s="413"/>
    </row>
    <row r="48" spans="1:16">
      <c r="A48" s="675" t="s">
        <v>188</v>
      </c>
      <c r="B48" s="1319"/>
      <c r="C48" s="1319"/>
      <c r="D48" s="548"/>
      <c r="E48" s="547"/>
      <c r="F48" s="547"/>
      <c r="G48" s="548"/>
      <c r="H48" s="548"/>
      <c r="I48" s="548"/>
      <c r="J48" s="628"/>
      <c r="K48" s="467"/>
      <c r="L48" s="408"/>
      <c r="N48" s="800"/>
      <c r="O48" s="807"/>
      <c r="P48" s="413"/>
    </row>
    <row r="49" spans="1:16">
      <c r="A49" s="655" t="s">
        <v>175</v>
      </c>
      <c r="B49" s="678"/>
      <c r="C49" s="678"/>
      <c r="D49" s="599" t="s">
        <v>143</v>
      </c>
      <c r="E49" s="586">
        <f>'16'!F49</f>
        <v>260732.13</v>
      </c>
      <c r="F49" s="586">
        <v>260732.13</v>
      </c>
      <c r="G49" s="549">
        <f t="shared" ref="G49:G58" si="2">F49-E49</f>
        <v>0</v>
      </c>
      <c r="H49" s="536">
        <f>G49+'16'!H49</f>
        <v>14833.080000000016</v>
      </c>
      <c r="I49" s="531"/>
      <c r="J49" s="629">
        <f>H49/DAY(B2)</f>
        <v>872.53411764705982</v>
      </c>
      <c r="K49" s="467">
        <f>E49+242</f>
        <v>260974.13</v>
      </c>
      <c r="L49" s="408"/>
      <c r="N49" s="800"/>
      <c r="O49" s="807"/>
      <c r="P49" s="413"/>
    </row>
    <row r="50" spans="1:16">
      <c r="A50" s="655" t="s">
        <v>189</v>
      </c>
      <c r="B50" s="678"/>
      <c r="C50" s="678"/>
      <c r="D50" s="599" t="s">
        <v>143</v>
      </c>
      <c r="E50" s="586">
        <f>'16'!F50</f>
        <v>387968.19</v>
      </c>
      <c r="F50" s="586">
        <v>389033.47</v>
      </c>
      <c r="G50" s="549">
        <f t="shared" si="2"/>
        <v>1065.2799999999697</v>
      </c>
      <c r="H50" s="536">
        <f>G50+'16'!H50</f>
        <v>19373.159999999974</v>
      </c>
      <c r="I50" s="531"/>
      <c r="J50" s="629">
        <f>H50/DAY(B2)</f>
        <v>1139.5976470588221</v>
      </c>
      <c r="K50" s="467"/>
      <c r="L50" s="408"/>
      <c r="N50" s="800"/>
      <c r="O50" s="808"/>
      <c r="P50" s="413"/>
    </row>
    <row r="51" spans="1:16">
      <c r="A51" s="655" t="s">
        <v>177</v>
      </c>
      <c r="B51" s="678"/>
      <c r="C51" s="678"/>
      <c r="D51" s="599" t="s">
        <v>143</v>
      </c>
      <c r="E51" s="586">
        <f>'16'!F51</f>
        <v>120050.92</v>
      </c>
      <c r="F51" s="586">
        <v>120050.92</v>
      </c>
      <c r="G51" s="549">
        <f t="shared" si="2"/>
        <v>0</v>
      </c>
      <c r="H51" s="536">
        <f>G51+'16'!H51</f>
        <v>9951.179999999993</v>
      </c>
      <c r="I51" s="531"/>
      <c r="J51" s="629">
        <f>H51/DAY(B2)</f>
        <v>585.36352941176426</v>
      </c>
      <c r="K51" s="467"/>
      <c r="L51" s="408"/>
      <c r="N51" s="800"/>
      <c r="O51" s="807"/>
      <c r="P51" s="413"/>
    </row>
    <row r="52" spans="1:16">
      <c r="A52" s="655" t="s">
        <v>190</v>
      </c>
      <c r="B52" s="678"/>
      <c r="C52" s="678"/>
      <c r="D52" s="599" t="s">
        <v>143</v>
      </c>
      <c r="E52" s="586">
        <f>'16'!F52</f>
        <v>507912.71</v>
      </c>
      <c r="F52" s="586">
        <v>507912.71</v>
      </c>
      <c r="G52" s="549">
        <f t="shared" si="2"/>
        <v>0</v>
      </c>
      <c r="H52" s="536">
        <f>G52+'16'!H52</f>
        <v>14104.040000000037</v>
      </c>
      <c r="I52" s="531"/>
      <c r="J52" s="629">
        <f>H52/DAY(B2)</f>
        <v>829.64941176470802</v>
      </c>
      <c r="K52" s="467"/>
      <c r="L52" s="408"/>
      <c r="N52" s="800"/>
      <c r="O52" s="807"/>
      <c r="P52" s="413"/>
    </row>
    <row r="53" spans="1:16">
      <c r="A53" s="655" t="s">
        <v>179</v>
      </c>
      <c r="B53" s="678"/>
      <c r="C53" s="678"/>
      <c r="D53" s="599" t="s">
        <v>143</v>
      </c>
      <c r="E53" s="586">
        <f>'16'!F53</f>
        <v>331854.51</v>
      </c>
      <c r="F53" s="586">
        <v>331854.51</v>
      </c>
      <c r="G53" s="549">
        <f t="shared" si="2"/>
        <v>0</v>
      </c>
      <c r="H53" s="536">
        <f>G53+'16'!H53</f>
        <v>27556.239999999991</v>
      </c>
      <c r="I53" s="531"/>
      <c r="J53" s="629">
        <f>H53/DAY(B2)</f>
        <v>1620.9552941176464</v>
      </c>
      <c r="K53" s="467"/>
      <c r="L53" s="408"/>
      <c r="N53" s="800"/>
      <c r="O53" s="807"/>
      <c r="P53" s="413"/>
    </row>
    <row r="54" spans="1:16">
      <c r="A54" s="655" t="s">
        <v>191</v>
      </c>
      <c r="B54" s="678"/>
      <c r="C54" s="678"/>
      <c r="D54" s="599" t="s">
        <v>143</v>
      </c>
      <c r="E54" s="586">
        <f>'16'!F54</f>
        <v>7259.6</v>
      </c>
      <c r="F54" s="586">
        <v>7329.37</v>
      </c>
      <c r="G54" s="549">
        <f t="shared" si="2"/>
        <v>69.769999999999527</v>
      </c>
      <c r="H54" s="536">
        <f>G54+'16'!H54</f>
        <v>940.56999999999971</v>
      </c>
      <c r="I54" s="531"/>
      <c r="J54" s="629">
        <f>H54/DAY(B2)</f>
        <v>55.327647058823516</v>
      </c>
      <c r="K54" s="467"/>
      <c r="L54" s="408"/>
      <c r="N54" s="800"/>
      <c r="O54" s="807"/>
      <c r="P54" s="413"/>
    </row>
    <row r="55" spans="1:16">
      <c r="A55" s="655" t="s">
        <v>192</v>
      </c>
      <c r="B55" s="678"/>
      <c r="C55" s="678"/>
      <c r="D55" s="599" t="s">
        <v>143</v>
      </c>
      <c r="E55" s="586">
        <f>'16'!F55</f>
        <v>92296.67</v>
      </c>
      <c r="F55" s="734">
        <v>94218.42</v>
      </c>
      <c r="G55" s="733">
        <f t="shared" si="2"/>
        <v>1921.75</v>
      </c>
      <c r="H55" s="787">
        <f>G55+'16'!H55</f>
        <v>51230.439999999995</v>
      </c>
      <c r="I55" s="788"/>
      <c r="J55" s="789">
        <f>H55/DAY(B2)</f>
        <v>3013.5552941176466</v>
      </c>
      <c r="K55" s="467"/>
      <c r="L55" s="408"/>
      <c r="N55" s="800"/>
      <c r="O55" s="807"/>
      <c r="P55" s="413"/>
    </row>
    <row r="56" spans="1:16">
      <c r="A56" s="655" t="s">
        <v>193</v>
      </c>
      <c r="B56" s="678"/>
      <c r="C56" s="678"/>
      <c r="D56" s="599" t="s">
        <v>194</v>
      </c>
      <c r="E56" s="586">
        <f>'16'!F56</f>
        <v>557796.11</v>
      </c>
      <c r="F56" s="734">
        <v>557802.51</v>
      </c>
      <c r="G56" s="549">
        <f>F56-E56</f>
        <v>6.4000000000232831</v>
      </c>
      <c r="H56" s="536">
        <f>G56+'16'!H56</f>
        <v>70.599999999976717</v>
      </c>
      <c r="I56" s="531"/>
      <c r="J56" s="629">
        <f>H56/DAY(B2)</f>
        <v>4.152941176469219</v>
      </c>
      <c r="K56" s="466"/>
      <c r="L56" s="408"/>
      <c r="N56" s="800"/>
      <c r="O56" s="809"/>
      <c r="P56" s="413"/>
    </row>
    <row r="57" spans="1:16">
      <c r="A57" s="655" t="s">
        <v>183</v>
      </c>
      <c r="B57" s="678"/>
      <c r="C57" s="678"/>
      <c r="D57" s="599" t="s">
        <v>143</v>
      </c>
      <c r="E57" s="586">
        <f>'16'!F57</f>
        <v>7711.33</v>
      </c>
      <c r="F57" s="586">
        <v>7711.33</v>
      </c>
      <c r="G57" s="549">
        <f>F57-E57</f>
        <v>0</v>
      </c>
      <c r="H57" s="536">
        <f>G57+'16'!H57</f>
        <v>7711.33</v>
      </c>
      <c r="I57" s="531"/>
      <c r="J57" s="629">
        <f>H57/DAY(B2)</f>
        <v>453.60764705882355</v>
      </c>
      <c r="K57" s="467"/>
      <c r="L57" s="408"/>
      <c r="N57" s="800"/>
      <c r="O57" s="807"/>
      <c r="P57" s="413"/>
    </row>
    <row r="58" spans="1:16">
      <c r="A58" s="655" t="s">
        <v>195</v>
      </c>
      <c r="B58" s="678"/>
      <c r="C58" s="678"/>
      <c r="D58" s="599" t="s">
        <v>143</v>
      </c>
      <c r="E58" s="586">
        <f>'16'!F58</f>
        <v>33442.199999999997</v>
      </c>
      <c r="F58" s="734">
        <v>33643.31</v>
      </c>
      <c r="G58" s="549">
        <f t="shared" si="2"/>
        <v>201.11000000000058</v>
      </c>
      <c r="H58" s="536">
        <f>G58+'16'!H58</f>
        <v>2913.7700000000004</v>
      </c>
      <c r="I58" s="531"/>
      <c r="J58" s="629">
        <f>H58/DAY(B2)</f>
        <v>171.39823529411768</v>
      </c>
      <c r="K58" s="467"/>
      <c r="L58" s="408"/>
      <c r="N58" s="800"/>
      <c r="O58" s="807"/>
      <c r="P58" s="413"/>
    </row>
    <row r="59" spans="1:16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3264.3099999999931</v>
      </c>
      <c r="H59" s="536">
        <f>G59+'16'!H59</f>
        <v>148684.41</v>
      </c>
      <c r="I59" s="531">
        <f>G7-G60</f>
        <v>330.59000000006927</v>
      </c>
      <c r="J59" s="629">
        <f>H59/DAY(B2)</f>
        <v>8746.1417647058825</v>
      </c>
      <c r="K59" s="467"/>
      <c r="L59" s="408"/>
      <c r="N59" s="800"/>
      <c r="O59" s="807"/>
      <c r="P59" s="413"/>
    </row>
    <row r="60" spans="1:16">
      <c r="A60" s="655"/>
      <c r="B60" s="656"/>
      <c r="C60" s="656"/>
      <c r="D60" s="587" t="s">
        <v>196</v>
      </c>
      <c r="E60" s="587"/>
      <c r="F60" s="587"/>
      <c r="G60" s="557">
        <f>G47+G59</f>
        <v>19240.409999999931</v>
      </c>
      <c r="H60" s="536">
        <f>G60+'16'!H60</f>
        <v>327526.66999999981</v>
      </c>
      <c r="I60" s="531">
        <f>G13-G60</f>
        <v>-251.70999999974447</v>
      </c>
      <c r="J60" s="629">
        <f>H60/DAY(B2)</f>
        <v>19266.274705882341</v>
      </c>
      <c r="K60" s="467"/>
      <c r="L60" s="408"/>
      <c r="N60" s="800"/>
      <c r="O60" s="807"/>
      <c r="P60" s="413"/>
    </row>
    <row r="61" spans="1:16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800"/>
      <c r="O61" s="807"/>
      <c r="P61" s="413"/>
    </row>
    <row r="62" spans="1:16">
      <c r="A62" s="680" t="s">
        <v>106</v>
      </c>
      <c r="B62" s="681"/>
      <c r="C62" s="681"/>
      <c r="D62" s="587" t="s">
        <v>198</v>
      </c>
      <c r="E62" s="590">
        <f>'16'!F62</f>
        <v>20419.18</v>
      </c>
      <c r="F62" s="590">
        <v>20419.18</v>
      </c>
      <c r="G62" s="549">
        <f t="shared" ref="G62:G69" si="3">F62-E62</f>
        <v>0</v>
      </c>
      <c r="H62" s="536">
        <f>G62+'16'!H62</f>
        <v>-8.9999999981955625E-3</v>
      </c>
      <c r="I62" s="591"/>
      <c r="J62" s="629">
        <f>H62/DAY(B2)</f>
        <v>-5.2941176459973902E-4</v>
      </c>
      <c r="K62" s="467"/>
      <c r="L62" s="408"/>
      <c r="N62" s="800"/>
      <c r="O62" s="807"/>
      <c r="P62" s="413"/>
    </row>
    <row r="63" spans="1:16">
      <c r="A63" s="680" t="s">
        <v>199</v>
      </c>
      <c r="B63" s="681"/>
      <c r="C63" s="681"/>
      <c r="D63" s="587" t="s">
        <v>198</v>
      </c>
      <c r="E63" s="590">
        <f>'16'!F63</f>
        <v>1544.63</v>
      </c>
      <c r="F63" s="590">
        <v>1558.35</v>
      </c>
      <c r="G63" s="549">
        <f t="shared" si="3"/>
        <v>13.7199999999998</v>
      </c>
      <c r="H63" s="536">
        <f>G63+'16'!H63</f>
        <v>225.81999999999994</v>
      </c>
      <c r="I63" s="591"/>
      <c r="J63" s="629">
        <f>H63/DAY(B2)</f>
        <v>13.283529411764702</v>
      </c>
      <c r="K63" s="467"/>
      <c r="L63" s="408"/>
      <c r="N63" s="800"/>
      <c r="O63" s="807"/>
      <c r="P63" s="413"/>
    </row>
    <row r="64" spans="1:16" ht="27.75">
      <c r="A64" s="1385" t="s">
        <v>107</v>
      </c>
      <c r="B64" s="1386"/>
      <c r="C64" s="1387"/>
      <c r="D64" s="599" t="s">
        <v>198</v>
      </c>
      <c r="E64" s="1321">
        <f>'16'!F64</f>
        <v>117968.85</v>
      </c>
      <c r="F64" s="703">
        <v>118398.78</v>
      </c>
      <c r="G64" s="856">
        <f t="shared" si="3"/>
        <v>429.92999999999302</v>
      </c>
      <c r="H64" s="536">
        <f>G64+'16'!H64</f>
        <v>7115.3199999999924</v>
      </c>
      <c r="I64" s="556"/>
      <c r="J64" s="629">
        <f>H64/DAY(B2)</f>
        <v>418.54823529411721</v>
      </c>
      <c r="K64" s="467"/>
      <c r="L64" s="408"/>
      <c r="N64" s="800"/>
      <c r="O64" s="807"/>
      <c r="P64" s="413"/>
    </row>
    <row r="65" spans="1:16" ht="27.75">
      <c r="A65" s="1385" t="s">
        <v>108</v>
      </c>
      <c r="B65" s="1386"/>
      <c r="C65" s="1387"/>
      <c r="D65" s="599" t="s">
        <v>198</v>
      </c>
      <c r="E65" s="590">
        <f>'16'!F65</f>
        <v>127843.92</v>
      </c>
      <c r="F65" s="732">
        <v>128247.81</v>
      </c>
      <c r="G65" s="549">
        <f t="shared" si="3"/>
        <v>403.88999999999942</v>
      </c>
      <c r="H65" s="536">
        <f>G65+'16'!H65</f>
        <v>6514.6999999999971</v>
      </c>
      <c r="I65" s="565"/>
      <c r="J65" s="629">
        <f>H65/DAY(B2)</f>
        <v>383.21764705882333</v>
      </c>
      <c r="K65" s="467"/>
      <c r="L65" s="408"/>
      <c r="N65" s="800"/>
      <c r="O65" s="808"/>
      <c r="P65" s="413"/>
    </row>
    <row r="66" spans="1:16" ht="27.75">
      <c r="A66" s="1385" t="s">
        <v>109</v>
      </c>
      <c r="B66" s="1386"/>
      <c r="C66" s="1387"/>
      <c r="D66" s="599" t="s">
        <v>198</v>
      </c>
      <c r="E66" s="590">
        <f>'16'!F66</f>
        <v>20457.39</v>
      </c>
      <c r="F66" s="554">
        <v>20852.34</v>
      </c>
      <c r="G66" s="549">
        <f t="shared" si="3"/>
        <v>394.95000000000073</v>
      </c>
      <c r="H66" s="536">
        <f>G66+'16'!H66</f>
        <v>6692.6</v>
      </c>
      <c r="I66" s="556"/>
      <c r="J66" s="629">
        <f>H66/DAY(B2)</f>
        <v>393.68235294117648</v>
      </c>
      <c r="K66" s="467"/>
      <c r="L66" s="408"/>
      <c r="N66" s="800"/>
      <c r="O66" s="807"/>
      <c r="P66" s="413"/>
    </row>
    <row r="67" spans="1:16" ht="27.75">
      <c r="A67" s="1385" t="s">
        <v>110</v>
      </c>
      <c r="B67" s="1386"/>
      <c r="C67" s="1387"/>
      <c r="D67" s="599" t="s">
        <v>198</v>
      </c>
      <c r="E67" s="590">
        <f>'16'!F67</f>
        <v>199917.25</v>
      </c>
      <c r="F67" s="554">
        <v>200595.89</v>
      </c>
      <c r="G67" s="549">
        <f t="shared" si="3"/>
        <v>678.64000000001397</v>
      </c>
      <c r="H67" s="536">
        <f>G67+'16'!H67</f>
        <v>11921.360000000015</v>
      </c>
      <c r="I67" s="565"/>
      <c r="J67" s="629">
        <f>H67/DAY(B2)</f>
        <v>701.2564705882362</v>
      </c>
      <c r="K67" s="468"/>
      <c r="L67" s="408"/>
      <c r="N67" s="800"/>
      <c r="O67" s="807"/>
      <c r="P67" s="413"/>
    </row>
    <row r="68" spans="1:16" ht="27.75">
      <c r="A68" s="1385" t="s">
        <v>111</v>
      </c>
      <c r="B68" s="1386"/>
      <c r="C68" s="1387"/>
      <c r="D68" s="599" t="s">
        <v>198</v>
      </c>
      <c r="E68" s="590">
        <f>'16'!F68</f>
        <v>68753.179999999993</v>
      </c>
      <c r="F68" s="554">
        <v>69092.17</v>
      </c>
      <c r="G68" s="549">
        <f t="shared" si="3"/>
        <v>338.99000000000524</v>
      </c>
      <c r="H68" s="536">
        <f>G68+'16'!H68</f>
        <v>5792.3099999999977</v>
      </c>
      <c r="I68" s="592"/>
      <c r="J68" s="629">
        <f>H68/DAY(B2)</f>
        <v>340.72411764705868</v>
      </c>
      <c r="K68" s="469"/>
      <c r="L68" s="408"/>
      <c r="N68" s="800"/>
      <c r="O68" s="807"/>
      <c r="P68" s="413"/>
    </row>
    <row r="69" spans="1:16" ht="27.75">
      <c r="A69" s="1385" t="s">
        <v>112</v>
      </c>
      <c r="B69" s="1386"/>
      <c r="C69" s="1387"/>
      <c r="D69" s="599" t="s">
        <v>198</v>
      </c>
      <c r="E69" s="590">
        <f>'16'!F69</f>
        <v>60564.56</v>
      </c>
      <c r="F69" s="554">
        <v>60872.25</v>
      </c>
      <c r="G69" s="549">
        <f t="shared" si="3"/>
        <v>307.69000000000233</v>
      </c>
      <c r="H69" s="536">
        <f>G69+'16'!H69</f>
        <v>5148.5400000000009</v>
      </c>
      <c r="I69" s="592"/>
      <c r="J69" s="629">
        <f>H69/DAY(B2)</f>
        <v>302.85529411764713</v>
      </c>
      <c r="K69" s="470"/>
      <c r="L69" s="408"/>
      <c r="N69" s="800"/>
      <c r="O69" s="807"/>
      <c r="P69" s="413"/>
    </row>
    <row r="70" spans="1:16" ht="27.75">
      <c r="A70" s="1391" t="s">
        <v>200</v>
      </c>
      <c r="B70" s="1392"/>
      <c r="C70" s="1393"/>
      <c r="D70" s="599" t="s">
        <v>198</v>
      </c>
      <c r="E70" s="594"/>
      <c r="F70" s="594"/>
      <c r="G70" s="594"/>
      <c r="H70" s="536">
        <f>G70+'13'!H70</f>
        <v>0</v>
      </c>
      <c r="I70" s="594"/>
      <c r="J70" s="633"/>
      <c r="K70" s="470"/>
      <c r="L70" s="408"/>
      <c r="N70" s="800"/>
      <c r="O70" s="807"/>
      <c r="P70" s="413"/>
    </row>
    <row r="71" spans="1:16" ht="31.5">
      <c r="A71" s="1388" t="s">
        <v>201</v>
      </c>
      <c r="B71" s="1389"/>
      <c r="C71" s="1389"/>
      <c r="D71" s="1389"/>
      <c r="E71" s="1389"/>
      <c r="F71" s="1389"/>
      <c r="G71" s="1389"/>
      <c r="H71" s="1389"/>
      <c r="I71" s="1389"/>
      <c r="J71" s="1390"/>
      <c r="K71" s="469"/>
      <c r="L71" s="408"/>
      <c r="N71" s="800"/>
      <c r="O71" s="807"/>
      <c r="P71" s="413"/>
    </row>
    <row r="72" spans="1:16" ht="27.75">
      <c r="A72" s="1385" t="s">
        <v>202</v>
      </c>
      <c r="B72" s="1386"/>
      <c r="C72" s="1387"/>
      <c r="D72" s="599" t="s">
        <v>198</v>
      </c>
      <c r="E72" s="595">
        <f>'16'!F72</f>
        <v>849713</v>
      </c>
      <c r="F72" s="735">
        <v>849784</v>
      </c>
      <c r="G72" s="549">
        <f t="shared" ref="G72:G84" si="4">F72-E72</f>
        <v>71</v>
      </c>
      <c r="H72" s="536">
        <f>G72+'16'!H72</f>
        <v>1232</v>
      </c>
      <c r="I72" s="556"/>
      <c r="J72" s="629">
        <f>H72/DAY(B2)</f>
        <v>72.470588235294116</v>
      </c>
      <c r="K72" s="470"/>
      <c r="L72" s="408"/>
      <c r="N72" s="800"/>
      <c r="O72" s="807"/>
      <c r="P72" s="413"/>
    </row>
    <row r="73" spans="1:16" ht="27.75">
      <c r="A73" s="1385" t="s">
        <v>203</v>
      </c>
      <c r="B73" s="1386"/>
      <c r="C73" s="1387"/>
      <c r="D73" s="599" t="s">
        <v>198</v>
      </c>
      <c r="E73" s="595">
        <f>'16'!F73</f>
        <v>885740</v>
      </c>
      <c r="F73" s="736">
        <v>885740</v>
      </c>
      <c r="G73" s="733">
        <f t="shared" si="4"/>
        <v>0</v>
      </c>
      <c r="H73" s="536">
        <f>G73+'16'!H73</f>
        <v>959</v>
      </c>
      <c r="I73" s="556"/>
      <c r="J73" s="629">
        <f>H73/DAY(B2)</f>
        <v>56.411764705882355</v>
      </c>
      <c r="K73" s="469"/>
      <c r="L73" s="408"/>
      <c r="N73" s="800"/>
      <c r="O73" s="807"/>
      <c r="P73" s="413"/>
    </row>
    <row r="74" spans="1:16" ht="27.75">
      <c r="A74" s="1385" t="s">
        <v>204</v>
      </c>
      <c r="B74" s="1386"/>
      <c r="C74" s="1387"/>
      <c r="D74" s="599" t="s">
        <v>198</v>
      </c>
      <c r="E74" s="595">
        <f>'16'!F74</f>
        <v>249.34</v>
      </c>
      <c r="F74" s="736">
        <v>301.76</v>
      </c>
      <c r="G74" s="549">
        <f t="shared" si="4"/>
        <v>52.419999999999987</v>
      </c>
      <c r="H74" s="536">
        <f>G74+'16'!H74</f>
        <v>530.86</v>
      </c>
      <c r="I74" s="556"/>
      <c r="J74" s="629">
        <f>H74/DAY(B2)</f>
        <v>31.227058823529411</v>
      </c>
      <c r="K74" s="470"/>
      <c r="L74" s="408"/>
      <c r="N74" s="800"/>
      <c r="O74" s="807"/>
      <c r="P74" s="413"/>
    </row>
    <row r="75" spans="1:16" ht="27.75">
      <c r="A75" s="1382" t="s">
        <v>205</v>
      </c>
      <c r="B75" s="1383"/>
      <c r="C75" s="1384"/>
      <c r="D75" s="599" t="s">
        <v>198</v>
      </c>
      <c r="E75" s="595">
        <f>'16'!F75</f>
        <v>1419.33</v>
      </c>
      <c r="F75" s="736">
        <v>1609.55</v>
      </c>
      <c r="G75" s="549">
        <f t="shared" si="4"/>
        <v>190.22000000000003</v>
      </c>
      <c r="H75" s="536">
        <f>G75+'16'!H75</f>
        <v>3145.9500000000007</v>
      </c>
      <c r="I75" s="556"/>
      <c r="J75" s="629">
        <f>H75/DAY(B2)</f>
        <v>185.05588235294121</v>
      </c>
      <c r="K75" s="469"/>
      <c r="L75" s="408"/>
      <c r="N75" s="800"/>
      <c r="O75" s="807"/>
      <c r="P75" s="413"/>
    </row>
    <row r="76" spans="1:16" ht="27.75">
      <c r="A76" s="1382" t="s">
        <v>206</v>
      </c>
      <c r="B76" s="1383"/>
      <c r="C76" s="1384"/>
      <c r="D76" s="599" t="s">
        <v>198</v>
      </c>
      <c r="E76" s="595">
        <f>'16'!F76</f>
        <v>581</v>
      </c>
      <c r="F76" s="736">
        <v>658.5</v>
      </c>
      <c r="G76" s="549">
        <f t="shared" si="4"/>
        <v>77.5</v>
      </c>
      <c r="H76" s="536">
        <f>G76+'16'!H76</f>
        <v>2655.7000000000003</v>
      </c>
      <c r="I76" s="581"/>
      <c r="J76" s="629">
        <f>H76/DAY(B2)</f>
        <v>156.21764705882356</v>
      </c>
      <c r="K76" s="469"/>
      <c r="L76" s="408"/>
      <c r="N76" s="800"/>
      <c r="O76" s="807"/>
      <c r="P76" s="413"/>
    </row>
    <row r="77" spans="1:16" ht="27.75">
      <c r="A77" s="1385" t="s">
        <v>207</v>
      </c>
      <c r="B77" s="1386"/>
      <c r="C77" s="1387"/>
      <c r="D77" s="599" t="s">
        <v>198</v>
      </c>
      <c r="E77" s="595">
        <f>'16'!F77</f>
        <v>697999</v>
      </c>
      <c r="F77" s="736">
        <v>698053</v>
      </c>
      <c r="G77" s="733">
        <f t="shared" si="4"/>
        <v>54</v>
      </c>
      <c r="H77" s="536">
        <f>G77+'16'!H77</f>
        <v>946</v>
      </c>
      <c r="I77" s="581"/>
      <c r="J77" s="629">
        <f>H77/DAY(B2)</f>
        <v>55.647058823529413</v>
      </c>
      <c r="K77" s="469"/>
      <c r="L77" s="408"/>
      <c r="N77" s="800"/>
      <c r="O77" s="807"/>
      <c r="P77" s="413"/>
    </row>
    <row r="78" spans="1:16" ht="27.75">
      <c r="A78" s="1317" t="s">
        <v>208</v>
      </c>
      <c r="B78" s="1310"/>
      <c r="C78" s="1310"/>
      <c r="D78" s="599" t="s">
        <v>198</v>
      </c>
      <c r="E78" s="595">
        <f>'16'!F78</f>
        <v>648563</v>
      </c>
      <c r="F78" s="737">
        <v>648925</v>
      </c>
      <c r="G78" s="549">
        <f t="shared" si="4"/>
        <v>362</v>
      </c>
      <c r="H78" s="536">
        <f>G78+'16'!H78</f>
        <v>6972</v>
      </c>
      <c r="I78" s="581"/>
      <c r="J78" s="629">
        <f>H78/DAY(B2)</f>
        <v>410.11764705882354</v>
      </c>
      <c r="K78" s="469"/>
      <c r="L78" s="408"/>
      <c r="N78" s="800"/>
      <c r="O78" s="807"/>
      <c r="P78" s="413"/>
    </row>
    <row r="79" spans="1:16" ht="27.75">
      <c r="A79" s="1382" t="s">
        <v>97</v>
      </c>
      <c r="B79" s="1383"/>
      <c r="C79" s="1384"/>
      <c r="D79" s="600" t="s">
        <v>198</v>
      </c>
      <c r="E79" s="595">
        <f>'16'!F79</f>
        <v>812813</v>
      </c>
      <c r="F79" s="737">
        <v>813005</v>
      </c>
      <c r="G79" s="549">
        <f t="shared" si="4"/>
        <v>192</v>
      </c>
      <c r="H79" s="536">
        <f>G79+'16'!H79</f>
        <v>6179</v>
      </c>
      <c r="I79" s="581"/>
      <c r="J79" s="629">
        <f>H79/DAY(B2)</f>
        <v>363.47058823529414</v>
      </c>
      <c r="K79" s="469"/>
      <c r="L79" s="408"/>
      <c r="N79" s="800"/>
      <c r="O79" s="807"/>
      <c r="P79" s="413"/>
    </row>
    <row r="80" spans="1:16" ht="27.75">
      <c r="A80" s="1382" t="s">
        <v>209</v>
      </c>
      <c r="B80" s="1383"/>
      <c r="C80" s="1384"/>
      <c r="D80" s="600" t="s">
        <v>198</v>
      </c>
      <c r="E80" s="595">
        <f>'16'!F80</f>
        <v>490280</v>
      </c>
      <c r="F80" s="736">
        <v>490621.96</v>
      </c>
      <c r="G80" s="549">
        <f t="shared" si="4"/>
        <v>341.96000000002095</v>
      </c>
      <c r="H80" s="536">
        <f>G80+'16'!H80</f>
        <v>4040.2800000000279</v>
      </c>
      <c r="I80" s="581"/>
      <c r="J80" s="629">
        <f>H80/DAY(B2)</f>
        <v>237.66352941176635</v>
      </c>
      <c r="K80" s="469"/>
      <c r="L80" s="408"/>
      <c r="N80" s="800"/>
      <c r="O80" s="807"/>
      <c r="P80" s="413"/>
    </row>
    <row r="81" spans="1:16" ht="27.75">
      <c r="A81" s="1382" t="s">
        <v>210</v>
      </c>
      <c r="B81" s="1383"/>
      <c r="C81" s="1384"/>
      <c r="D81" s="600" t="s">
        <v>198</v>
      </c>
      <c r="E81" s="595">
        <f>'16'!F81</f>
        <v>624504</v>
      </c>
      <c r="F81" s="736">
        <v>624595.16</v>
      </c>
      <c r="G81" s="549">
        <f t="shared" si="4"/>
        <v>91.160000000032596</v>
      </c>
      <c r="H81" s="536">
        <f>G81+'16'!H81</f>
        <v>1820.1600000000326</v>
      </c>
      <c r="I81" s="581"/>
      <c r="J81" s="629">
        <f>H81/DAY(B2)</f>
        <v>107.06823529411956</v>
      </c>
      <c r="K81" s="469"/>
      <c r="L81" s="408"/>
      <c r="N81" s="800"/>
      <c r="O81" s="807"/>
      <c r="P81" s="413"/>
    </row>
    <row r="82" spans="1:16" s="858" customFormat="1" ht="27.75">
      <c r="A82" s="1453" t="s">
        <v>100</v>
      </c>
      <c r="B82" s="1454"/>
      <c r="C82" s="1455"/>
      <c r="D82" s="703" t="s">
        <v>143</v>
      </c>
      <c r="E82" s="865">
        <f>'16'!F82</f>
        <v>105915.44</v>
      </c>
      <c r="F82" s="703">
        <v>105944.32000000001</v>
      </c>
      <c r="G82" s="856">
        <f t="shared" si="4"/>
        <v>28.880000000004657</v>
      </c>
      <c r="H82" s="555">
        <f>G82+'16'!H82</f>
        <v>504.32000000000698</v>
      </c>
      <c r="I82" s="555"/>
      <c r="J82" s="857">
        <f>H82/DAY(B2)</f>
        <v>29.665882352941587</v>
      </c>
      <c r="K82" s="1307"/>
      <c r="L82" s="1308"/>
      <c r="N82" s="804"/>
      <c r="O82" s="808"/>
      <c r="P82" s="803"/>
    </row>
    <row r="83" spans="1:16" ht="27.75">
      <c r="A83" s="1382" t="s">
        <v>211</v>
      </c>
      <c r="B83" s="1383"/>
      <c r="C83" s="1384"/>
      <c r="D83" s="697" t="s">
        <v>143</v>
      </c>
      <c r="E83" s="595">
        <f>'16'!F83</f>
        <v>990737</v>
      </c>
      <c r="F83" s="587">
        <v>991187</v>
      </c>
      <c r="G83" s="549">
        <f t="shared" si="4"/>
        <v>450</v>
      </c>
      <c r="H83" s="536">
        <f>G83+'16'!H83</f>
        <v>7446</v>
      </c>
      <c r="I83" s="557"/>
      <c r="J83" s="629">
        <f>H83/DAY(B2)</f>
        <v>438</v>
      </c>
      <c r="K83" s="468"/>
      <c r="L83" s="408"/>
      <c r="N83" s="800"/>
      <c r="O83" s="807"/>
      <c r="P83" s="413"/>
    </row>
    <row r="84" spans="1:16">
      <c r="A84" s="1318" t="s">
        <v>212</v>
      </c>
      <c r="B84" s="648"/>
      <c r="C84" s="648"/>
      <c r="D84" s="554" t="s">
        <v>143</v>
      </c>
      <c r="E84" s="595">
        <f>'16'!F84</f>
        <v>423923</v>
      </c>
      <c r="F84" s="704">
        <v>424405</v>
      </c>
      <c r="G84" s="549">
        <f t="shared" si="4"/>
        <v>482</v>
      </c>
      <c r="H84" s="536">
        <f>G84+'16'!H84</f>
        <v>8332</v>
      </c>
      <c r="I84" s="557"/>
      <c r="J84" s="629">
        <f>H84/DAY(B2)</f>
        <v>490.11764705882354</v>
      </c>
      <c r="K84" s="411"/>
      <c r="L84" s="408"/>
      <c r="N84" s="800"/>
      <c r="O84" s="807"/>
      <c r="P84" s="413"/>
    </row>
    <row r="85" spans="1:16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SUM(G72:G84)</f>
        <v>2393.1400000000581</v>
      </c>
      <c r="H85" s="536">
        <f>G85+'16'!H85</f>
        <v>39459.90000000006</v>
      </c>
      <c r="I85" s="557"/>
      <c r="J85" s="629">
        <f>H85/DAY(B2)</f>
        <v>2321.1705882352976</v>
      </c>
      <c r="K85" s="411"/>
      <c r="L85" s="409"/>
      <c r="N85" s="800"/>
      <c r="O85" s="807"/>
      <c r="P85" s="413"/>
    </row>
    <row r="86" spans="1:16" s="817" customFormat="1">
      <c r="A86" s="812" t="s">
        <v>102</v>
      </c>
      <c r="B86" s="813"/>
      <c r="C86" s="813"/>
      <c r="D86" s="814" t="s">
        <v>194</v>
      </c>
      <c r="E86" s="704">
        <f>'16'!F86</f>
        <v>449025.04</v>
      </c>
      <c r="F86" s="728">
        <v>449084</v>
      </c>
      <c r="G86" s="787">
        <f t="shared" ref="G86:G90" si="5">F86-E86</f>
        <v>58.960000000020955</v>
      </c>
      <c r="H86" s="787">
        <f t="shared" ref="H86:H88" si="6">G86</f>
        <v>58.960000000020955</v>
      </c>
      <c r="I86" s="733"/>
      <c r="J86" s="789">
        <f>H86/DAY(B2)</f>
        <v>3.4682352941188799</v>
      </c>
      <c r="K86" s="815"/>
      <c r="L86" s="816"/>
      <c r="O86" s="795"/>
    </row>
    <row r="87" spans="1:16" s="817" customFormat="1">
      <c r="A87" s="812" t="s">
        <v>103</v>
      </c>
      <c r="B87" s="813"/>
      <c r="C87" s="813"/>
      <c r="D87" s="814" t="s">
        <v>194</v>
      </c>
      <c r="E87" s="704">
        <f>'16'!F87</f>
        <v>78878</v>
      </c>
      <c r="F87" s="728">
        <v>78908.7</v>
      </c>
      <c r="G87" s="787">
        <f t="shared" si="5"/>
        <v>30.69999999999709</v>
      </c>
      <c r="H87" s="787">
        <f t="shared" si="6"/>
        <v>30.69999999999709</v>
      </c>
      <c r="I87" s="733"/>
      <c r="J87" s="789">
        <f>H87/DAY(B2)</f>
        <v>1.8058823529410053</v>
      </c>
      <c r="K87" s="815"/>
      <c r="L87" s="816"/>
      <c r="O87" s="795"/>
    </row>
    <row r="88" spans="1:16" s="817" customFormat="1">
      <c r="A88" s="812" t="s">
        <v>104</v>
      </c>
      <c r="B88" s="813"/>
      <c r="C88" s="813"/>
      <c r="D88" s="814" t="s">
        <v>194</v>
      </c>
      <c r="E88" s="704">
        <f>'16'!F88</f>
        <v>147554.91</v>
      </c>
      <c r="F88" s="728">
        <v>147637.9</v>
      </c>
      <c r="G88" s="787">
        <f t="shared" si="5"/>
        <v>82.989999999990687</v>
      </c>
      <c r="H88" s="787">
        <f t="shared" si="6"/>
        <v>82.989999999990687</v>
      </c>
      <c r="I88" s="733"/>
      <c r="J88" s="789">
        <f>H88/DAY(B2)</f>
        <v>4.881764705881805</v>
      </c>
      <c r="K88" s="815"/>
      <c r="L88" s="816"/>
      <c r="O88" s="795"/>
    </row>
    <row r="89" spans="1:16" s="817" customFormat="1">
      <c r="A89" s="812" t="s">
        <v>215</v>
      </c>
      <c r="B89" s="813"/>
      <c r="C89" s="813"/>
      <c r="D89" s="814" t="s">
        <v>194</v>
      </c>
      <c r="E89" s="704">
        <f>'16'!F89</f>
        <v>60854.400000000001</v>
      </c>
      <c r="F89" s="728">
        <v>60932.5</v>
      </c>
      <c r="G89" s="787">
        <f t="shared" si="5"/>
        <v>78.099999999998545</v>
      </c>
      <c r="H89" s="787">
        <f>G89</f>
        <v>78.099999999998545</v>
      </c>
      <c r="I89" s="733"/>
      <c r="J89" s="789">
        <f>H89/DAY(B2)</f>
        <v>4.5941176470587379</v>
      </c>
      <c r="K89" s="815"/>
      <c r="L89" s="816"/>
      <c r="N89" s="860"/>
      <c r="O89" s="413"/>
    </row>
    <row r="90" spans="1:16" s="817" customFormat="1">
      <c r="A90" s="812" t="s">
        <v>215</v>
      </c>
      <c r="B90" s="813"/>
      <c r="C90" s="813"/>
      <c r="D90" s="814" t="s">
        <v>194</v>
      </c>
      <c r="E90" s="704">
        <f>'16'!F90</f>
        <v>3121.9</v>
      </c>
      <c r="F90" s="728">
        <v>3125.4</v>
      </c>
      <c r="G90" s="787">
        <f t="shared" si="5"/>
        <v>3.5</v>
      </c>
      <c r="H90" s="787">
        <f>G90</f>
        <v>3.5</v>
      </c>
      <c r="I90" s="733"/>
      <c r="J90" s="789">
        <f>H90/DAY(B2)</f>
        <v>0.20588235294117646</v>
      </c>
      <c r="K90" s="815"/>
      <c r="L90" s="816"/>
      <c r="N90" s="860"/>
      <c r="O90" s="413"/>
    </row>
    <row r="91" spans="1:16" s="410" customFormat="1">
      <c r="A91" s="683" t="s">
        <v>216</v>
      </c>
      <c r="B91" s="1320"/>
      <c r="C91" s="1320"/>
      <c r="D91" s="548"/>
      <c r="E91" s="548"/>
      <c r="F91" s="548"/>
      <c r="G91" s="564"/>
      <c r="H91" s="548"/>
      <c r="I91" s="548"/>
      <c r="J91" s="628"/>
      <c r="K91" s="411"/>
      <c r="L91" s="409"/>
      <c r="N91" s="800"/>
      <c r="O91" s="807"/>
      <c r="P91" s="413"/>
    </row>
    <row r="92" spans="1:16" ht="27.75">
      <c r="A92" s="1406" t="s">
        <v>217</v>
      </c>
      <c r="B92" s="1407"/>
      <c r="C92" s="1408"/>
      <c r="D92" s="599" t="s">
        <v>155</v>
      </c>
      <c r="E92" s="560">
        <f>'16'!F92</f>
        <v>238430</v>
      </c>
      <c r="F92" s="554">
        <v>238514</v>
      </c>
      <c r="G92" s="549">
        <f t="shared" ref="G92:G93" si="7">F92-E92</f>
        <v>84</v>
      </c>
      <c r="H92" s="536">
        <f>G92+'16'!H92</f>
        <v>1944</v>
      </c>
      <c r="I92" s="556"/>
      <c r="J92" s="629">
        <f>H92/DAY(B2)</f>
        <v>114.35294117647059</v>
      </c>
      <c r="K92" s="468"/>
      <c r="L92" s="408"/>
      <c r="N92" s="800"/>
      <c r="O92" s="807"/>
      <c r="P92" s="413"/>
    </row>
    <row r="93" spans="1:16" ht="27.75">
      <c r="A93" s="1406" t="s">
        <v>218</v>
      </c>
      <c r="B93" s="1407"/>
      <c r="C93" s="1408"/>
      <c r="D93" s="599" t="s">
        <v>155</v>
      </c>
      <c r="E93" s="560">
        <f>'16'!F93</f>
        <v>173797</v>
      </c>
      <c r="F93" s="554">
        <v>173931</v>
      </c>
      <c r="G93" s="549">
        <f t="shared" si="7"/>
        <v>134</v>
      </c>
      <c r="H93" s="536">
        <f>G93+'16'!H93</f>
        <v>2755</v>
      </c>
      <c r="I93" s="556"/>
      <c r="J93" s="629">
        <f>H93/DAY(B2)</f>
        <v>162.05882352941177</v>
      </c>
      <c r="K93" s="411"/>
      <c r="L93" s="408"/>
      <c r="N93" s="800"/>
      <c r="O93" s="807"/>
      <c r="P93" s="413"/>
    </row>
    <row r="94" spans="1:16">
      <c r="A94" s="1434" t="s">
        <v>219</v>
      </c>
      <c r="B94" s="1435"/>
      <c r="C94" s="1436"/>
      <c r="D94" s="599"/>
      <c r="E94" s="560">
        <f>'16'!F94</f>
        <v>0</v>
      </c>
      <c r="F94" s="554"/>
      <c r="G94" s="549">
        <f>G92+G93</f>
        <v>218</v>
      </c>
      <c r="H94" s="536">
        <f>G94+'16'!H94</f>
        <v>4412</v>
      </c>
      <c r="I94" s="556"/>
      <c r="J94" s="629">
        <f>H94/DAY(B2)</f>
        <v>259.52941176470586</v>
      </c>
      <c r="K94" s="411"/>
      <c r="L94" s="408"/>
      <c r="N94" s="800"/>
      <c r="O94" s="807"/>
      <c r="P94" s="413"/>
    </row>
    <row r="95" spans="1:16" ht="27.75">
      <c r="A95" s="1406" t="s">
        <v>220</v>
      </c>
      <c r="B95" s="1407"/>
      <c r="C95" s="1408"/>
      <c r="D95" s="599" t="s">
        <v>155</v>
      </c>
      <c r="E95" s="560">
        <f>'16'!F95</f>
        <v>407137</v>
      </c>
      <c r="F95" s="554">
        <v>407209</v>
      </c>
      <c r="G95" s="549">
        <f t="shared" ref="G95:G100" si="8">F95-E95</f>
        <v>72</v>
      </c>
      <c r="H95" s="536">
        <f>G95+'16'!H95</f>
        <v>1333</v>
      </c>
      <c r="I95" s="556"/>
      <c r="J95" s="629">
        <f>H95/DAY(B2)</f>
        <v>78.411764705882348</v>
      </c>
      <c r="K95" s="411"/>
      <c r="L95" s="408"/>
      <c r="N95" s="800"/>
      <c r="O95" s="807"/>
      <c r="P95" s="413"/>
    </row>
    <row r="96" spans="1:16" ht="27.75">
      <c r="A96" s="1314" t="s">
        <v>221</v>
      </c>
      <c r="B96" s="1315"/>
      <c r="C96" s="1315"/>
      <c r="D96" s="599" t="s">
        <v>155</v>
      </c>
      <c r="E96" s="560">
        <f>'16'!F96</f>
        <v>101109</v>
      </c>
      <c r="F96" s="554">
        <v>101124</v>
      </c>
      <c r="G96" s="549">
        <f t="shared" si="8"/>
        <v>15</v>
      </c>
      <c r="H96" s="536">
        <f>G96+'16'!H96</f>
        <v>590</v>
      </c>
      <c r="I96" s="556"/>
      <c r="J96" s="629">
        <f>H96/DAY(B2)</f>
        <v>34.705882352941174</v>
      </c>
      <c r="K96" s="466"/>
      <c r="L96" s="408"/>
      <c r="N96" s="800"/>
      <c r="O96" s="807"/>
      <c r="P96" s="413"/>
    </row>
    <row r="97" spans="1:16" ht="27.75">
      <c r="A97" s="1314" t="s">
        <v>222</v>
      </c>
      <c r="B97" s="1315"/>
      <c r="C97" s="1315"/>
      <c r="D97" s="599" t="s">
        <v>155</v>
      </c>
      <c r="E97" s="560">
        <f>'16'!F97</f>
        <v>96177</v>
      </c>
      <c r="F97" s="554">
        <v>96197</v>
      </c>
      <c r="G97" s="549">
        <f t="shared" si="8"/>
        <v>20</v>
      </c>
      <c r="H97" s="536">
        <f>G97+'16'!H97</f>
        <v>520</v>
      </c>
      <c r="I97" s="556"/>
      <c r="J97" s="629">
        <f>H97/DAY(B2)</f>
        <v>30.588235294117649</v>
      </c>
      <c r="K97" s="471"/>
      <c r="L97" s="408"/>
      <c r="N97" s="800"/>
      <c r="O97" s="807"/>
      <c r="P97" s="413"/>
    </row>
    <row r="98" spans="1:16" ht="27.75">
      <c r="A98" s="1314" t="s">
        <v>223</v>
      </c>
      <c r="B98" s="1315"/>
      <c r="C98" s="1315"/>
      <c r="D98" s="599" t="s">
        <v>155</v>
      </c>
      <c r="E98" s="560">
        <f>'16'!F98</f>
        <v>146662</v>
      </c>
      <c r="F98" s="554">
        <v>146697</v>
      </c>
      <c r="G98" s="549">
        <f t="shared" si="8"/>
        <v>35</v>
      </c>
      <c r="H98" s="536">
        <f>G98+'16'!H98</f>
        <v>1143</v>
      </c>
      <c r="I98" s="556"/>
      <c r="J98" s="629">
        <f>H98/DAY(B2)</f>
        <v>67.235294117647058</v>
      </c>
      <c r="K98" s="411"/>
      <c r="L98" s="408"/>
      <c r="N98" s="802"/>
      <c r="O98" s="807"/>
      <c r="P98" s="413"/>
    </row>
    <row r="99" spans="1:16" ht="27.75">
      <c r="A99" s="1314" t="s">
        <v>224</v>
      </c>
      <c r="B99" s="1315"/>
      <c r="C99" s="1315"/>
      <c r="D99" s="599" t="s">
        <v>155</v>
      </c>
      <c r="E99" s="560">
        <f>'16'!F99</f>
        <v>6184</v>
      </c>
      <c r="F99" s="554">
        <v>6198</v>
      </c>
      <c r="G99" s="549">
        <f t="shared" si="8"/>
        <v>14</v>
      </c>
      <c r="H99" s="536">
        <f>G99+'16'!H99</f>
        <v>224</v>
      </c>
      <c r="I99" s="556"/>
      <c r="J99" s="629">
        <f>H99/DAY(B2)</f>
        <v>13.176470588235293</v>
      </c>
      <c r="K99" s="411"/>
      <c r="L99" s="408"/>
      <c r="N99" s="800"/>
      <c r="O99" s="807"/>
      <c r="P99" s="413"/>
    </row>
    <row r="100" spans="1:16" ht="27.75">
      <c r="A100" s="1314" t="s">
        <v>225</v>
      </c>
      <c r="B100" s="1315"/>
      <c r="C100" s="1315"/>
      <c r="D100" s="599" t="s">
        <v>155</v>
      </c>
      <c r="E100" s="560">
        <f>'16'!F100</f>
        <v>4395</v>
      </c>
      <c r="F100" s="554">
        <v>4401</v>
      </c>
      <c r="G100" s="549">
        <f t="shared" si="8"/>
        <v>6</v>
      </c>
      <c r="H100" s="536">
        <f>G100+'16'!H100</f>
        <v>164</v>
      </c>
      <c r="I100" s="556"/>
      <c r="J100" s="629">
        <f>H100/DAY(B2)</f>
        <v>9.6470588235294112</v>
      </c>
      <c r="K100" s="411"/>
      <c r="L100" s="408"/>
      <c r="N100" s="800"/>
      <c r="O100" s="807"/>
      <c r="P100" s="413"/>
    </row>
    <row r="101" spans="1:16">
      <c r="A101" s="1434" t="s">
        <v>227</v>
      </c>
      <c r="B101" s="1435"/>
      <c r="C101" s="1436"/>
      <c r="D101" s="600"/>
      <c r="E101" s="560"/>
      <c r="F101" s="600"/>
      <c r="G101" s="601">
        <f>SUM(G95:G100)</f>
        <v>162</v>
      </c>
      <c r="H101" s="536">
        <f>G101+'16'!H101</f>
        <v>3974</v>
      </c>
      <c r="I101" s="602"/>
      <c r="J101" s="629">
        <f>H101/DAY(B2)</f>
        <v>233.76470588235293</v>
      </c>
      <c r="K101" s="411"/>
      <c r="L101" s="408"/>
      <c r="N101" s="800"/>
      <c r="O101" s="807"/>
      <c r="P101" s="413"/>
    </row>
    <row r="102" spans="1:16" s="481" customFormat="1" ht="27">
      <c r="A102" s="684" t="s">
        <v>228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800"/>
      <c r="O102" s="807"/>
      <c r="P102" s="413"/>
    </row>
    <row r="103" spans="1:16" s="481" customFormat="1" ht="27.75">
      <c r="A103" s="1437" t="s">
        <v>229</v>
      </c>
      <c r="B103" s="1438"/>
      <c r="C103" s="650"/>
      <c r="D103" s="699"/>
      <c r="E103" s="560"/>
      <c r="F103" s="739"/>
      <c r="G103" s="608"/>
      <c r="H103" s="609"/>
      <c r="I103" s="608"/>
      <c r="J103" s="635"/>
      <c r="N103" s="800"/>
      <c r="O103" s="807"/>
      <c r="P103" s="413"/>
    </row>
    <row r="104" spans="1:16" s="481" customFormat="1" ht="27.75">
      <c r="A104" s="1398" t="s">
        <v>230</v>
      </c>
      <c r="B104" s="1399"/>
      <c r="C104" s="1313"/>
      <c r="D104" s="699" t="s">
        <v>155</v>
      </c>
      <c r="E104" s="560">
        <f>'16'!F104</f>
        <v>7097</v>
      </c>
      <c r="F104" s="739">
        <v>7097</v>
      </c>
      <c r="G104" s="608">
        <f>F104-E104</f>
        <v>0</v>
      </c>
      <c r="H104" s="609">
        <f>SUM(G104+'1'!G76)</f>
        <v>74</v>
      </c>
      <c r="I104" s="608"/>
      <c r="J104" s="635">
        <f>H104/DAY(B2)</f>
        <v>4.3529411764705879</v>
      </c>
      <c r="N104" s="800"/>
      <c r="O104" s="807"/>
      <c r="P104" s="413"/>
    </row>
    <row r="105" spans="1:16" s="481" customFormat="1" ht="27.75">
      <c r="A105" s="1398" t="s">
        <v>77</v>
      </c>
      <c r="B105" s="1399"/>
      <c r="C105" s="1313"/>
      <c r="D105" s="699" t="s">
        <v>155</v>
      </c>
      <c r="E105" s="560">
        <f>'16'!F105</f>
        <v>35297</v>
      </c>
      <c r="F105" s="740">
        <v>35306</v>
      </c>
      <c r="G105" s="608">
        <f t="shared" ref="G105:G106" si="9">F105-E105</f>
        <v>9</v>
      </c>
      <c r="H105" s="609">
        <f>SUM(G105+'1'!G77)</f>
        <v>57</v>
      </c>
      <c r="I105" s="608"/>
      <c r="J105" s="635">
        <f>H105/DAY(B2)</f>
        <v>3.3529411764705883</v>
      </c>
      <c r="N105" s="800"/>
      <c r="O105" s="807"/>
      <c r="P105" s="413"/>
    </row>
    <row r="106" spans="1:16" s="481" customFormat="1" ht="27.75">
      <c r="A106" s="1398" t="s">
        <v>78</v>
      </c>
      <c r="B106" s="1439"/>
      <c r="C106" s="1399"/>
      <c r="D106" s="699" t="s">
        <v>155</v>
      </c>
      <c r="E106" s="560">
        <f>'16'!F106</f>
        <v>19174</v>
      </c>
      <c r="F106" s="740">
        <v>19179</v>
      </c>
      <c r="G106" s="608">
        <f t="shared" si="9"/>
        <v>5</v>
      </c>
      <c r="H106" s="609">
        <f>SUM(G106+'1'!G78)</f>
        <v>339</v>
      </c>
      <c r="I106" s="608"/>
      <c r="J106" s="635">
        <f>H106/DAY(B2)</f>
        <v>19.941176470588236</v>
      </c>
      <c r="N106" s="800"/>
      <c r="O106" s="807"/>
      <c r="P106" s="413"/>
    </row>
    <row r="107" spans="1:16" s="481" customFormat="1" ht="27.75">
      <c r="A107" s="1400" t="s">
        <v>213</v>
      </c>
      <c r="B107" s="1401"/>
      <c r="C107" s="1313"/>
      <c r="D107" s="699"/>
      <c r="E107" s="560">
        <f>'16'!F107</f>
        <v>0</v>
      </c>
      <c r="F107" s="740"/>
      <c r="G107" s="608">
        <f>SUM(G104:G106)</f>
        <v>14</v>
      </c>
      <c r="H107" s="609">
        <f>SUM(G107+'1'!G79)</f>
        <v>219</v>
      </c>
      <c r="I107" s="608"/>
      <c r="J107" s="635">
        <f>H107/DAY(B2)</f>
        <v>12.882352941176471</v>
      </c>
      <c r="N107" s="800"/>
      <c r="O107" s="807"/>
      <c r="P107" s="413"/>
    </row>
    <row r="108" spans="1:16" s="481" customFormat="1" ht="27.75">
      <c r="A108" s="1404" t="s">
        <v>79</v>
      </c>
      <c r="B108" s="1405"/>
      <c r="C108" s="1313"/>
      <c r="D108" s="699" t="s">
        <v>155</v>
      </c>
      <c r="E108" s="560">
        <f>'16'!F108</f>
        <v>0</v>
      </c>
      <c r="F108" s="740"/>
      <c r="G108" s="608"/>
      <c r="H108" s="609"/>
      <c r="I108" s="608"/>
      <c r="J108" s="635"/>
      <c r="N108" s="800"/>
      <c r="O108" s="807"/>
      <c r="P108" s="413"/>
    </row>
    <row r="109" spans="1:16" s="481" customFormat="1" ht="27.75">
      <c r="A109" s="1398" t="s">
        <v>231</v>
      </c>
      <c r="B109" s="1399"/>
      <c r="C109" s="1313"/>
      <c r="D109" s="699" t="s">
        <v>155</v>
      </c>
      <c r="E109" s="560">
        <f>'16'!F109</f>
        <v>55648</v>
      </c>
      <c r="F109" s="740">
        <v>55688</v>
      </c>
      <c r="G109" s="608">
        <f>F109-E109</f>
        <v>40</v>
      </c>
      <c r="H109" s="609">
        <f>SUM(G109+'1'!G81)</f>
        <v>116</v>
      </c>
      <c r="I109" s="608"/>
      <c r="J109" s="635">
        <f>H109/DAY(B2)</f>
        <v>6.8235294117647056</v>
      </c>
      <c r="N109" s="800"/>
      <c r="O109" s="807"/>
      <c r="P109" s="413"/>
    </row>
    <row r="110" spans="1:16" s="481" customFormat="1" ht="27.75">
      <c r="A110" s="1398" t="s">
        <v>232</v>
      </c>
      <c r="B110" s="1399"/>
      <c r="C110" s="1313"/>
      <c r="D110" s="699" t="s">
        <v>155</v>
      </c>
      <c r="E110" s="560">
        <f>'16'!F110</f>
        <v>29577</v>
      </c>
      <c r="F110" s="740">
        <v>29614</v>
      </c>
      <c r="G110" s="608">
        <f t="shared" ref="G110:G111" si="10">F110-E110</f>
        <v>37</v>
      </c>
      <c r="H110" s="609">
        <f>SUM(G110+'1'!G82)</f>
        <v>82</v>
      </c>
      <c r="I110" s="608"/>
      <c r="J110" s="635">
        <f>H110/DAY(B2)</f>
        <v>4.8235294117647056</v>
      </c>
      <c r="N110" s="800"/>
      <c r="O110" s="807"/>
      <c r="P110" s="413"/>
    </row>
    <row r="111" spans="1:16" s="481" customFormat="1" ht="27.75">
      <c r="A111" s="1398" t="s">
        <v>233</v>
      </c>
      <c r="B111" s="1399"/>
      <c r="C111" s="1313"/>
      <c r="D111" s="699" t="s">
        <v>155</v>
      </c>
      <c r="E111" s="560">
        <f>'16'!F111</f>
        <v>3883</v>
      </c>
      <c r="F111" s="740">
        <v>3905</v>
      </c>
      <c r="G111" s="608">
        <f t="shared" si="10"/>
        <v>22</v>
      </c>
      <c r="H111" s="609">
        <f>SUM(G111+'1'!G83)</f>
        <v>455</v>
      </c>
      <c r="I111" s="608"/>
      <c r="J111" s="635">
        <f>H111/DAY(B2)</f>
        <v>26.764705882352942</v>
      </c>
      <c r="N111" s="800"/>
      <c r="O111" s="807"/>
      <c r="P111" s="413"/>
    </row>
    <row r="112" spans="1:16" s="481" customFormat="1" ht="27.75">
      <c r="A112" s="1400" t="s">
        <v>121</v>
      </c>
      <c r="B112" s="1401"/>
      <c r="C112" s="1313"/>
      <c r="D112" s="699"/>
      <c r="E112" s="560">
        <f>'16'!F112</f>
        <v>0</v>
      </c>
      <c r="F112" s="740"/>
      <c r="G112" s="608">
        <f>SUM(G109:G111)</f>
        <v>99</v>
      </c>
      <c r="H112" s="609">
        <f>SUM(G112+'1'!G84)</f>
        <v>620</v>
      </c>
      <c r="I112" s="608"/>
      <c r="J112" s="635">
        <f>H112/DAY(B2)</f>
        <v>36.470588235294116</v>
      </c>
      <c r="N112" s="800"/>
      <c r="O112" s="807"/>
      <c r="P112" s="413"/>
    </row>
    <row r="113" spans="1:16" s="481" customFormat="1" ht="27.75">
      <c r="A113" s="1404" t="s">
        <v>234</v>
      </c>
      <c r="B113" s="1405"/>
      <c r="C113" s="1313"/>
      <c r="D113" s="699"/>
      <c r="E113" s="560">
        <f>'16'!F113</f>
        <v>0</v>
      </c>
      <c r="F113" s="740"/>
      <c r="G113" s="608"/>
      <c r="H113" s="609"/>
      <c r="I113" s="608"/>
      <c r="J113" s="635">
        <f>H113/DAY(B2)</f>
        <v>0</v>
      </c>
      <c r="N113" s="800"/>
      <c r="O113" s="807"/>
      <c r="P113" s="413"/>
    </row>
    <row r="114" spans="1:16" s="481" customFormat="1" ht="27.75">
      <c r="A114" s="1398" t="s">
        <v>235</v>
      </c>
      <c r="B114" s="1399"/>
      <c r="C114" s="651"/>
      <c r="D114" s="699" t="s">
        <v>155</v>
      </c>
      <c r="E114" s="560">
        <f>'16'!F114</f>
        <v>10057</v>
      </c>
      <c r="F114" s="740">
        <v>10074</v>
      </c>
      <c r="G114" s="610">
        <f>F114-E114</f>
        <v>17</v>
      </c>
      <c r="H114" s="609">
        <f>SUM(G114+'1'!G91)</f>
        <v>17</v>
      </c>
      <c r="I114" s="608"/>
      <c r="J114" s="635">
        <f>H114/DAY(B2)</f>
        <v>1</v>
      </c>
      <c r="N114" s="800"/>
      <c r="O114" s="807"/>
      <c r="P114" s="413"/>
    </row>
    <row r="115" spans="1:16" s="481" customFormat="1" ht="27.75">
      <c r="A115" s="1398" t="s">
        <v>236</v>
      </c>
      <c r="B115" s="1399"/>
      <c r="C115" s="651"/>
      <c r="D115" s="699" t="s">
        <v>155</v>
      </c>
      <c r="E115" s="560">
        <f>'16'!F115</f>
        <v>7555</v>
      </c>
      <c r="F115" s="740">
        <v>7561</v>
      </c>
      <c r="G115" s="610">
        <f t="shared" ref="G115:G116" si="11">F115-E115</f>
        <v>6</v>
      </c>
      <c r="H115" s="609">
        <f>SUM(G115+'1'!G92)</f>
        <v>93</v>
      </c>
      <c r="I115" s="608"/>
      <c r="J115" s="635">
        <f>H115/DAY(B2)</f>
        <v>5.4705882352941178</v>
      </c>
      <c r="N115" s="800"/>
      <c r="O115" s="807"/>
      <c r="P115" s="413"/>
    </row>
    <row r="116" spans="1:16" s="481" customFormat="1" ht="27.75">
      <c r="A116" s="1398" t="s">
        <v>237</v>
      </c>
      <c r="B116" s="1399"/>
      <c r="C116" s="651"/>
      <c r="D116" s="699" t="s">
        <v>155</v>
      </c>
      <c r="E116" s="610"/>
      <c r="F116" s="740"/>
      <c r="G116" s="610">
        <f t="shared" si="11"/>
        <v>0</v>
      </c>
      <c r="H116" s="609">
        <f>SUM(G116+'1'!G93)</f>
        <v>200</v>
      </c>
      <c r="I116" s="608"/>
      <c r="J116" s="635">
        <f>H116/DAY(B2)</f>
        <v>11.764705882352942</v>
      </c>
      <c r="N116" s="800"/>
      <c r="O116" s="807"/>
      <c r="P116" s="413"/>
    </row>
    <row r="117" spans="1:16" s="494" customFormat="1" ht="27.75">
      <c r="A117" s="1400" t="s">
        <v>213</v>
      </c>
      <c r="B117" s="1401"/>
      <c r="C117" s="651"/>
      <c r="D117" s="700"/>
      <c r="E117" s="610"/>
      <c r="F117" s="740"/>
      <c r="G117" s="610">
        <f>SUM(G114:G116)</f>
        <v>23</v>
      </c>
      <c r="H117" s="609">
        <f>SUM(G117+'1'!G95)</f>
        <v>95</v>
      </c>
      <c r="I117" s="610"/>
      <c r="J117" s="635">
        <f>H117/DAY(B2)</f>
        <v>5.5882352941176467</v>
      </c>
      <c r="N117" s="800"/>
      <c r="O117" s="807"/>
      <c r="P117" s="413"/>
    </row>
    <row r="118" spans="1:16" s="495" customFormat="1" ht="27.75">
      <c r="A118" s="1394" t="s">
        <v>238</v>
      </c>
      <c r="B118" s="1395"/>
      <c r="C118" s="1311"/>
      <c r="D118" s="701" t="s">
        <v>155</v>
      </c>
      <c r="E118" s="612"/>
      <c r="F118" s="741">
        <f>SUM(G19+G92)</f>
        <v>135</v>
      </c>
      <c r="G118" s="612">
        <f>SUM(G19+G92)</f>
        <v>135</v>
      </c>
      <c r="H118" s="609">
        <f>SUM(G118+'1'!G96)</f>
        <v>158</v>
      </c>
      <c r="I118" s="611"/>
      <c r="J118" s="636">
        <f>H118/DAY(B2)</f>
        <v>9.2941176470588243</v>
      </c>
      <c r="N118" s="800"/>
      <c r="O118" s="807"/>
      <c r="P118" s="413"/>
    </row>
    <row r="119" spans="1:16" s="495" customFormat="1" ht="27.75">
      <c r="A119" s="1394" t="s">
        <v>239</v>
      </c>
      <c r="B119" s="1395"/>
      <c r="C119" s="1311"/>
      <c r="D119" s="701" t="s">
        <v>155</v>
      </c>
      <c r="E119" s="612"/>
      <c r="F119" s="741">
        <f>SUM(G95,G96,G97,G99,G100)</f>
        <v>127</v>
      </c>
      <c r="G119" s="612">
        <f>SUM(G95,G96,G97,G99,G100)</f>
        <v>127</v>
      </c>
      <c r="H119" s="609">
        <f>SUM(G119+'1'!G98)</f>
        <v>210</v>
      </c>
      <c r="I119" s="611"/>
      <c r="J119" s="636">
        <f>H119/DAY(B2)</f>
        <v>12.352941176470589</v>
      </c>
      <c r="N119" s="800"/>
      <c r="O119" s="807"/>
      <c r="P119" s="413"/>
    </row>
    <row r="120" spans="1:16" s="495" customFormat="1" ht="27.75">
      <c r="A120" s="1394" t="s">
        <v>240</v>
      </c>
      <c r="B120" s="1395"/>
      <c r="C120" s="1311"/>
      <c r="D120" s="701" t="s">
        <v>155</v>
      </c>
      <c r="E120" s="610"/>
      <c r="F120" s="740">
        <f>SUM(G112)</f>
        <v>99</v>
      </c>
      <c r="G120" s="610">
        <f>SUM(G112)</f>
        <v>99</v>
      </c>
      <c r="H120" s="609">
        <f>SUM(G120+'1'!G100)</f>
        <v>105</v>
      </c>
      <c r="I120" s="611"/>
      <c r="J120" s="636">
        <f>H120/DAY(B2)</f>
        <v>6.1764705882352944</v>
      </c>
      <c r="N120" s="800"/>
      <c r="O120" s="807"/>
      <c r="P120" s="413"/>
    </row>
    <row r="121" spans="1:16" s="481" customFormat="1" ht="27.75">
      <c r="A121" s="1396"/>
      <c r="B121" s="1397"/>
      <c r="C121" s="1312"/>
      <c r="D121" s="637"/>
      <c r="E121" s="637"/>
      <c r="F121" s="742" t="s">
        <v>226</v>
      </c>
      <c r="G121" s="637"/>
      <c r="H121" s="638"/>
      <c r="I121" s="637"/>
      <c r="J121" s="639"/>
      <c r="N121" s="800"/>
      <c r="O121" s="807"/>
      <c r="P121" s="413"/>
    </row>
    <row r="122" spans="1:16">
      <c r="A122" s="1431" t="s">
        <v>241</v>
      </c>
      <c r="B122" s="1432"/>
      <c r="C122" s="1433"/>
      <c r="D122" s="548"/>
      <c r="E122" s="548"/>
      <c r="F122" s="548"/>
      <c r="G122" s="559"/>
      <c r="H122" s="559"/>
      <c r="I122" s="559"/>
      <c r="J122" s="640"/>
      <c r="K122" s="411"/>
      <c r="L122" s="408"/>
      <c r="N122" s="800"/>
      <c r="O122" s="807"/>
      <c r="P122" s="413"/>
    </row>
    <row r="123" spans="1:16" ht="27.75">
      <c r="A123" s="1314" t="s">
        <v>242</v>
      </c>
      <c r="B123" s="1315"/>
      <c r="C123" s="1315"/>
      <c r="D123" s="599" t="s">
        <v>152</v>
      </c>
      <c r="E123" s="554">
        <f>'16'!F123</f>
        <v>807856.78</v>
      </c>
      <c r="F123" s="554">
        <v>808115.93</v>
      </c>
      <c r="G123" s="549">
        <f t="shared" ref="G123:G127" si="12">F123-E123</f>
        <v>259.15000000002328</v>
      </c>
      <c r="H123" s="536">
        <f>G123+'16'!H123</f>
        <v>4780.5300000000279</v>
      </c>
      <c r="I123" s="602"/>
      <c r="J123" s="629">
        <f>H123/DAY(B2)</f>
        <v>281.20764705882516</v>
      </c>
      <c r="K123" s="411"/>
      <c r="L123" s="408"/>
      <c r="N123" s="800"/>
      <c r="O123" s="807"/>
      <c r="P123" s="413"/>
    </row>
    <row r="124" spans="1:16" ht="27.75">
      <c r="A124" s="1314" t="s">
        <v>243</v>
      </c>
      <c r="B124" s="1315"/>
      <c r="C124" s="1315"/>
      <c r="D124" s="599" t="s">
        <v>152</v>
      </c>
      <c r="E124" s="703">
        <f>'16'!F124</f>
        <v>73583.399999999994</v>
      </c>
      <c r="F124" s="703">
        <v>73583.399999999994</v>
      </c>
      <c r="G124" s="549">
        <f t="shared" si="12"/>
        <v>0</v>
      </c>
      <c r="H124" s="536">
        <f>G124+'16'!H124</f>
        <v>1.3999999999941792</v>
      </c>
      <c r="I124" s="602"/>
      <c r="J124" s="629">
        <f>H124/DAY(B2)</f>
        <v>8.2352941176128194E-2</v>
      </c>
      <c r="K124" s="411"/>
      <c r="L124" s="408"/>
      <c r="N124" s="800"/>
      <c r="O124" s="807"/>
      <c r="P124" s="413"/>
    </row>
    <row r="125" spans="1:16" ht="27.75">
      <c r="A125" s="1385" t="s">
        <v>244</v>
      </c>
      <c r="B125" s="1386"/>
      <c r="C125" s="1387"/>
      <c r="D125" s="599" t="s">
        <v>152</v>
      </c>
      <c r="E125" s="554">
        <f>'16'!F125</f>
        <v>139081.88</v>
      </c>
      <c r="F125" s="554">
        <v>139149.48000000001</v>
      </c>
      <c r="G125" s="549">
        <f t="shared" si="12"/>
        <v>67.600000000005821</v>
      </c>
      <c r="H125" s="536">
        <f>G125+'16'!H125</f>
        <v>1301.4800000000105</v>
      </c>
      <c r="I125" s="602"/>
      <c r="J125" s="629">
        <f>H125/DAY(B2)</f>
        <v>76.557647058824145</v>
      </c>
      <c r="K125" s="411"/>
      <c r="L125" s="408"/>
      <c r="N125" s="800"/>
      <c r="O125" s="807"/>
      <c r="P125" s="413"/>
    </row>
    <row r="126" spans="1:16" ht="27.75">
      <c r="A126" s="686" t="s">
        <v>245</v>
      </c>
      <c r="B126" s="1315"/>
      <c r="C126" s="1315"/>
      <c r="D126" s="599" t="s">
        <v>152</v>
      </c>
      <c r="E126" s="703">
        <f>'16'!F126</f>
        <v>59013.7</v>
      </c>
      <c r="F126" s="703">
        <v>59029.8</v>
      </c>
      <c r="G126" s="549">
        <f t="shared" si="12"/>
        <v>16.100000000005821</v>
      </c>
      <c r="H126" s="536">
        <f>G126+'16'!H126</f>
        <v>638.10000000000582</v>
      </c>
      <c r="I126" s="602"/>
      <c r="J126" s="629">
        <f>H126/DAY(B2)</f>
        <v>37.535294117647403</v>
      </c>
      <c r="K126" s="411"/>
      <c r="L126" s="408"/>
      <c r="N126" s="800"/>
      <c r="O126" s="807"/>
      <c r="P126" s="413"/>
    </row>
    <row r="127" spans="1:16" ht="27.75">
      <c r="A127" s="686" t="s">
        <v>246</v>
      </c>
      <c r="B127" s="1315"/>
      <c r="C127" s="1315"/>
      <c r="D127" s="599" t="s">
        <v>152</v>
      </c>
      <c r="E127" s="703">
        <f>'16'!F127</f>
        <v>8863.4</v>
      </c>
      <c r="F127" s="703">
        <v>8868.1</v>
      </c>
      <c r="G127" s="549">
        <f t="shared" si="12"/>
        <v>4.7000000000007276</v>
      </c>
      <c r="H127" s="536">
        <f>G127+'16'!H127</f>
        <v>52.100000000000364</v>
      </c>
      <c r="I127" s="556"/>
      <c r="J127" s="629">
        <f>H127/DAY(B2)</f>
        <v>3.0647058823529627</v>
      </c>
      <c r="K127" s="411"/>
      <c r="L127" s="408"/>
      <c r="N127" s="800"/>
      <c r="O127" s="807"/>
      <c r="P127" s="413"/>
    </row>
    <row r="128" spans="1:16" s="281" customFormat="1" ht="27.75">
      <c r="A128" s="686" t="s">
        <v>247</v>
      </c>
      <c r="B128" s="1315"/>
      <c r="C128" s="1315"/>
      <c r="D128" s="599"/>
      <c r="E128" s="554"/>
      <c r="F128" s="554"/>
      <c r="G128" s="549">
        <f>G15-SUM(G123:G127)</f>
        <v>582.95999999997366</v>
      </c>
      <c r="H128" s="536">
        <f>G128+'16'!H128</f>
        <v>1206.2499999997472</v>
      </c>
      <c r="I128" s="556"/>
      <c r="J128" s="629">
        <f>H128/DAY(B2)</f>
        <v>70.955882352926309</v>
      </c>
      <c r="K128" s="391"/>
      <c r="L128" s="293"/>
      <c r="N128" s="800"/>
      <c r="O128" s="807"/>
      <c r="P128" s="413"/>
    </row>
    <row r="129" spans="1:16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800"/>
      <c r="O129" s="807"/>
      <c r="P129" s="413"/>
    </row>
    <row r="130" spans="1:16" ht="27.75">
      <c r="A130" s="1314" t="s">
        <v>249</v>
      </c>
      <c r="B130" s="1315"/>
      <c r="C130" s="1315"/>
      <c r="D130" s="599" t="s">
        <v>250</v>
      </c>
      <c r="E130" s="560">
        <f>'16'!F130</f>
        <v>0</v>
      </c>
      <c r="F130" s="554">
        <v>0</v>
      </c>
      <c r="G130" s="549">
        <f t="shared" ref="G130:G140" si="13">F130-E130</f>
        <v>0</v>
      </c>
      <c r="H130" s="536">
        <f>G130+'16'!H130</f>
        <v>0</v>
      </c>
      <c r="I130" s="556"/>
      <c r="J130" s="629">
        <f>H130/DAY(B2)</f>
        <v>0</v>
      </c>
      <c r="N130" s="800"/>
      <c r="O130" s="807"/>
      <c r="P130" s="413"/>
    </row>
    <row r="131" spans="1:16" ht="27.75">
      <c r="A131" s="1314" t="s">
        <v>251</v>
      </c>
      <c r="B131" s="1315"/>
      <c r="C131" s="1315"/>
      <c r="D131" s="599" t="s">
        <v>250</v>
      </c>
      <c r="E131" s="560">
        <f>'16'!F131</f>
        <v>0</v>
      </c>
      <c r="F131" s="554">
        <v>0</v>
      </c>
      <c r="G131" s="549">
        <f t="shared" si="13"/>
        <v>0</v>
      </c>
      <c r="H131" s="536">
        <f>G131+'16'!H131</f>
        <v>0</v>
      </c>
      <c r="I131" s="556"/>
      <c r="J131" s="629">
        <f>H131/DAY(B2)</f>
        <v>0</v>
      </c>
      <c r="N131" s="800"/>
      <c r="O131" s="807"/>
      <c r="P131" s="413"/>
    </row>
    <row r="132" spans="1:16" ht="27.75">
      <c r="A132" s="1314" t="s">
        <v>252</v>
      </c>
      <c r="B132" s="1315"/>
      <c r="C132" s="1315"/>
      <c r="D132" s="599" t="s">
        <v>250</v>
      </c>
      <c r="E132" s="618">
        <f>'16'!F132</f>
        <v>39191.29</v>
      </c>
      <c r="F132" s="732">
        <v>39203.39</v>
      </c>
      <c r="G132" s="549">
        <f t="shared" si="13"/>
        <v>12.099999999998545</v>
      </c>
      <c r="H132" s="536">
        <f>G132+'16'!H132</f>
        <v>98.94999999999709</v>
      </c>
      <c r="I132" s="556"/>
      <c r="J132" s="629">
        <f>H132/DAY(B2)</f>
        <v>5.8205882352939469</v>
      </c>
      <c r="N132" s="800"/>
      <c r="O132" s="807"/>
      <c r="P132" s="413"/>
    </row>
    <row r="133" spans="1:16" ht="27.75">
      <c r="A133" s="1314" t="s">
        <v>253</v>
      </c>
      <c r="B133" s="1315"/>
      <c r="C133" s="1315"/>
      <c r="D133" s="599" t="s">
        <v>250</v>
      </c>
      <c r="E133" s="782">
        <f>'16'!F133</f>
        <v>299</v>
      </c>
      <c r="F133" s="703">
        <v>299</v>
      </c>
      <c r="G133" s="549">
        <f t="shared" si="13"/>
        <v>0</v>
      </c>
      <c r="H133" s="536">
        <f>G133+'16'!H133</f>
        <v>0</v>
      </c>
      <c r="I133" s="556">
        <f>G130+G131+G132+G133</f>
        <v>12.099999999998545</v>
      </c>
      <c r="J133" s="629">
        <f>H133/DAY(B2)</f>
        <v>0</v>
      </c>
      <c r="N133" s="800"/>
      <c r="O133" s="807"/>
      <c r="P133" s="413"/>
    </row>
    <row r="134" spans="1:16" ht="27.75">
      <c r="A134" s="1314" t="s">
        <v>254</v>
      </c>
      <c r="B134" s="1315"/>
      <c r="C134" s="1315"/>
      <c r="D134" s="599" t="s">
        <v>250</v>
      </c>
      <c r="E134" s="782">
        <f>'16'!F134</f>
        <v>40248.31</v>
      </c>
      <c r="F134" s="703">
        <v>40260.370000000003</v>
      </c>
      <c r="G134" s="549">
        <f t="shared" si="13"/>
        <v>12.060000000004948</v>
      </c>
      <c r="H134" s="536">
        <f>G134+'16'!H134</f>
        <v>309.37000000000262</v>
      </c>
      <c r="I134" s="556"/>
      <c r="J134" s="629">
        <f>H134/DAY(B2)</f>
        <v>18.198235294117801</v>
      </c>
      <c r="N134" s="800"/>
      <c r="O134" s="807"/>
      <c r="P134" s="413"/>
    </row>
    <row r="135" spans="1:16" ht="27.75">
      <c r="A135" s="1314" t="s">
        <v>255</v>
      </c>
      <c r="B135" s="1315"/>
      <c r="C135" s="1315"/>
      <c r="D135" s="599" t="s">
        <v>250</v>
      </c>
      <c r="E135" s="618">
        <f>'16'!F135</f>
        <v>32423</v>
      </c>
      <c r="F135" s="732">
        <v>32423</v>
      </c>
      <c r="G135" s="549">
        <f t="shared" si="13"/>
        <v>0</v>
      </c>
      <c r="H135" s="536">
        <f>G135+'16'!H135</f>
        <v>0</v>
      </c>
      <c r="I135" s="556"/>
      <c r="J135" s="629">
        <f>H135/DAY(B2)</f>
        <v>0</v>
      </c>
      <c r="N135" s="800"/>
      <c r="O135" s="807"/>
      <c r="P135" s="413"/>
    </row>
    <row r="136" spans="1:16" ht="27.75">
      <c r="A136" s="1314" t="s">
        <v>256</v>
      </c>
      <c r="B136" s="1315"/>
      <c r="C136" s="1315"/>
      <c r="D136" s="599" t="s">
        <v>250</v>
      </c>
      <c r="E136" s="618">
        <f>'16'!F136</f>
        <v>22120.25</v>
      </c>
      <c r="F136" s="732">
        <v>22129.9</v>
      </c>
      <c r="G136" s="549">
        <f t="shared" si="13"/>
        <v>9.6500000000014552</v>
      </c>
      <c r="H136" s="536">
        <f>G136+'16'!H136</f>
        <v>127.94000000000233</v>
      </c>
      <c r="I136" s="556">
        <f>G134+G135+G136</f>
        <v>21.710000000006403</v>
      </c>
      <c r="J136" s="629">
        <f>H136/DAY(B2)</f>
        <v>7.5258823529413137</v>
      </c>
      <c r="N136" s="800"/>
      <c r="O136" s="807"/>
      <c r="P136" s="413"/>
    </row>
    <row r="137" spans="1:16" ht="27.75">
      <c r="A137" s="1314" t="s">
        <v>257</v>
      </c>
      <c r="B137" s="1315"/>
      <c r="C137" s="1315"/>
      <c r="D137" s="599" t="s">
        <v>250</v>
      </c>
      <c r="E137" s="618">
        <f>'16'!F137</f>
        <v>25034.29</v>
      </c>
      <c r="F137" s="732">
        <v>25034.29</v>
      </c>
      <c r="G137" s="549">
        <f t="shared" si="13"/>
        <v>0</v>
      </c>
      <c r="H137" s="536">
        <f>G137+'16'!H137</f>
        <v>14.350000000002183</v>
      </c>
      <c r="I137" s="556"/>
      <c r="J137" s="629">
        <f>H137/DAY(B2)</f>
        <v>0.84411764705895198</v>
      </c>
      <c r="N137" s="800"/>
      <c r="O137" s="807"/>
      <c r="P137" s="413"/>
    </row>
    <row r="138" spans="1:16" ht="27.75">
      <c r="A138" s="1314" t="s">
        <v>258</v>
      </c>
      <c r="B138" s="1315"/>
      <c r="C138" s="1315"/>
      <c r="D138" s="599" t="s">
        <v>250</v>
      </c>
      <c r="E138" s="618">
        <f>'16'!F138</f>
        <v>70099.179999999993</v>
      </c>
      <c r="F138" s="732">
        <v>70103.490000000005</v>
      </c>
      <c r="G138" s="549">
        <f t="shared" si="13"/>
        <v>4.3100000000122236</v>
      </c>
      <c r="H138" s="536">
        <f>G138+'16'!H138</f>
        <v>39.600000000005821</v>
      </c>
      <c r="I138" s="556">
        <f>G137+G138</f>
        <v>4.3100000000122236</v>
      </c>
      <c r="J138" s="629">
        <f>H138/DAY(B2)</f>
        <v>2.3294117647062249</v>
      </c>
      <c r="N138" s="800"/>
      <c r="O138" s="807"/>
      <c r="P138" s="413"/>
    </row>
    <row r="139" spans="1:16" ht="27.75">
      <c r="A139" s="1314" t="s">
        <v>259</v>
      </c>
      <c r="B139" s="1315"/>
      <c r="C139" s="1315"/>
      <c r="D139" s="599" t="s">
        <v>250</v>
      </c>
      <c r="E139" s="782">
        <f>'16'!F139</f>
        <v>1332.21</v>
      </c>
      <c r="F139" s="703">
        <v>1339.68</v>
      </c>
      <c r="G139" s="549">
        <f t="shared" si="13"/>
        <v>7.4700000000000273</v>
      </c>
      <c r="H139" s="536">
        <f>G139+'16'!H139</f>
        <v>139.09000000000015</v>
      </c>
      <c r="I139" s="619"/>
      <c r="J139" s="629">
        <f>H139/DAY(B2)</f>
        <v>8.1817647058823617</v>
      </c>
      <c r="N139" s="800"/>
      <c r="O139" s="807"/>
      <c r="P139" s="413"/>
    </row>
    <row r="140" spans="1:16" ht="27.75">
      <c r="A140" s="1314" t="s">
        <v>260</v>
      </c>
      <c r="B140" s="1315"/>
      <c r="C140" s="1315"/>
      <c r="D140" s="599" t="s">
        <v>250</v>
      </c>
      <c r="E140" s="560">
        <f>'16'!F140</f>
        <v>4333.53</v>
      </c>
      <c r="F140" s="554">
        <v>4333.53</v>
      </c>
      <c r="G140" s="549">
        <f t="shared" si="13"/>
        <v>0</v>
      </c>
      <c r="H140" s="536">
        <f>G140+'16'!H140</f>
        <v>-0.47000000000025466</v>
      </c>
      <c r="I140" s="619"/>
      <c r="J140" s="629">
        <f>H140/DAY(B2)</f>
        <v>-2.7647058823544391E-2</v>
      </c>
      <c r="N140" s="800"/>
      <c r="O140" s="807"/>
      <c r="P140" s="413"/>
    </row>
    <row r="141" spans="1:16">
      <c r="A141" s="1412" t="s">
        <v>261</v>
      </c>
      <c r="B141" s="1413"/>
      <c r="C141" s="1320"/>
      <c r="D141" s="548"/>
      <c r="E141" s="548"/>
      <c r="F141" s="548"/>
      <c r="G141" s="559"/>
      <c r="H141" s="559"/>
      <c r="I141" s="559"/>
      <c r="J141" s="640"/>
      <c r="K141" s="411"/>
      <c r="L141" s="408"/>
      <c r="N141" s="800"/>
      <c r="O141" s="807"/>
      <c r="P141" s="413"/>
    </row>
    <row r="142" spans="1:16" ht="27.75">
      <c r="A142" s="1406" t="s">
        <v>262</v>
      </c>
      <c r="B142" s="1407"/>
      <c r="C142" s="1408"/>
      <c r="D142" s="599" t="s">
        <v>143</v>
      </c>
      <c r="E142" s="599"/>
      <c r="F142" s="599"/>
      <c r="G142" s="536">
        <v>3349</v>
      </c>
      <c r="H142" s="536">
        <f>G142+'16'!H142</f>
        <v>84234.77</v>
      </c>
      <c r="I142" s="556"/>
      <c r="J142" s="629">
        <f>H142/DAY(B2)</f>
        <v>4954.9864705882355</v>
      </c>
      <c r="K142" s="411"/>
      <c r="L142" s="408"/>
      <c r="N142" s="800"/>
      <c r="O142" s="807"/>
      <c r="P142" s="413"/>
    </row>
    <row r="143" spans="1:16" ht="27.75">
      <c r="A143" s="1406" t="s">
        <v>263</v>
      </c>
      <c r="B143" s="1407"/>
      <c r="C143" s="1408"/>
      <c r="D143" s="599" t="s">
        <v>24</v>
      </c>
      <c r="E143" s="587"/>
      <c r="F143" s="587"/>
      <c r="G143" s="620">
        <f>G142/G7</f>
        <v>0.17112053548617853</v>
      </c>
      <c r="H143" s="536">
        <f>G143+'16'!H143</f>
        <v>4.1723428685358632</v>
      </c>
      <c r="I143" s="621"/>
      <c r="J143" s="629">
        <f>H143/DAY(B2)</f>
        <v>0.24543193344328607</v>
      </c>
      <c r="K143" s="411"/>
      <c r="L143" s="408"/>
      <c r="N143" s="800"/>
      <c r="O143" s="807"/>
      <c r="P143" s="413"/>
    </row>
    <row r="144" spans="1:16" ht="27.75">
      <c r="A144" s="1406" t="s">
        <v>264</v>
      </c>
      <c r="B144" s="1407"/>
      <c r="C144" s="1408"/>
      <c r="D144" s="599" t="s">
        <v>143</v>
      </c>
      <c r="E144" s="531"/>
      <c r="F144" s="531"/>
      <c r="G144" s="536">
        <f>G41+G42+G55+G56</f>
        <v>4529.1700000000201</v>
      </c>
      <c r="H144" s="536">
        <f>G144+'16'!H144</f>
        <v>72406.809999999969</v>
      </c>
      <c r="I144" s="556"/>
      <c r="J144" s="629">
        <f>H144/DAY(B2)</f>
        <v>4259.224117647057</v>
      </c>
      <c r="K144" s="411"/>
      <c r="L144" s="408"/>
      <c r="N144" s="800"/>
      <c r="O144" s="807"/>
      <c r="P144" s="413"/>
    </row>
    <row r="145" spans="1:16" ht="27.75">
      <c r="A145" s="1406" t="s">
        <v>265</v>
      </c>
      <c r="B145" s="1407"/>
      <c r="C145" s="1408"/>
      <c r="D145" s="599" t="s">
        <v>24</v>
      </c>
      <c r="E145" s="531"/>
      <c r="F145" s="531"/>
      <c r="G145" s="620">
        <f>G144/G7</f>
        <v>0.2314225129017434</v>
      </c>
      <c r="H145" s="536">
        <f>G145+'16'!H145</f>
        <v>3.7264166569663977</v>
      </c>
      <c r="I145" s="621"/>
      <c r="J145" s="629">
        <f>H145/DAY(B2)</f>
        <v>0.21920097982155282</v>
      </c>
      <c r="K145" s="411"/>
      <c r="L145" s="408"/>
      <c r="N145" s="800"/>
      <c r="O145" s="807"/>
      <c r="P145" s="413"/>
    </row>
    <row r="146" spans="1:16" ht="27.75">
      <c r="A146" s="1406" t="s">
        <v>266</v>
      </c>
      <c r="B146" s="1407"/>
      <c r="C146" s="1408"/>
      <c r="D146" s="599" t="s">
        <v>143</v>
      </c>
      <c r="E146" s="531"/>
      <c r="F146" s="531"/>
      <c r="G146" s="536">
        <f>G39+G53</f>
        <v>4187.6299999999974</v>
      </c>
      <c r="H146" s="536">
        <f>G146+'16'!H146</f>
        <v>71989.419999999984</v>
      </c>
      <c r="I146" s="622"/>
      <c r="J146" s="629">
        <f>H146/DAY(B2)</f>
        <v>4234.6717647058813</v>
      </c>
      <c r="K146" s="411"/>
      <c r="L146" s="408"/>
      <c r="N146" s="800"/>
      <c r="O146" s="807"/>
      <c r="P146" s="413"/>
    </row>
    <row r="147" spans="1:16" ht="27.75">
      <c r="A147" s="1406" t="s">
        <v>267</v>
      </c>
      <c r="B147" s="1407"/>
      <c r="C147" s="1408"/>
      <c r="D147" s="599" t="s">
        <v>24</v>
      </c>
      <c r="E147" s="531"/>
      <c r="F147" s="531"/>
      <c r="G147" s="620">
        <f>G146/G7</f>
        <v>0.21397118185069733</v>
      </c>
      <c r="H147" s="536">
        <f>G147+'16'!H147</f>
        <v>3.7335051176082259</v>
      </c>
      <c r="I147" s="622"/>
      <c r="J147" s="629">
        <f>H147/DAY(B2)</f>
        <v>0.21961794809460153</v>
      </c>
      <c r="N147" s="800"/>
      <c r="O147" s="807"/>
      <c r="P147" s="413"/>
    </row>
    <row r="148" spans="1:16" ht="27.75">
      <c r="A148" s="1406" t="s">
        <v>268</v>
      </c>
      <c r="B148" s="1407"/>
      <c r="C148" s="1408"/>
      <c r="D148" s="599" t="s">
        <v>194</v>
      </c>
      <c r="E148" s="531"/>
      <c r="F148" s="531"/>
      <c r="G148" s="536">
        <f>G38+G52</f>
        <v>2001.3899999999994</v>
      </c>
      <c r="H148" s="536">
        <f>G148+'16'!H148</f>
        <v>35215.020000000033</v>
      </c>
      <c r="I148" s="556"/>
      <c r="J148" s="629">
        <f>H148/DAY(B2)</f>
        <v>2071.4717647058842</v>
      </c>
      <c r="K148" s="412"/>
      <c r="N148" s="800"/>
      <c r="O148" s="807"/>
      <c r="P148" s="413"/>
    </row>
    <row r="149" spans="1:16" ht="27.75">
      <c r="A149" s="1406" t="s">
        <v>269</v>
      </c>
      <c r="B149" s="1407"/>
      <c r="C149" s="1408"/>
      <c r="D149" s="599" t="s">
        <v>24</v>
      </c>
      <c r="E149" s="531"/>
      <c r="F149" s="531"/>
      <c r="G149" s="620">
        <f>G148/G7</f>
        <v>0.10226304225639975</v>
      </c>
      <c r="H149" s="536">
        <f>G149+'16'!H149</f>
        <v>1.8214413861012415</v>
      </c>
      <c r="I149" s="622"/>
      <c r="J149" s="629">
        <f>H149/DAY(B2)</f>
        <v>0.10714361094713186</v>
      </c>
      <c r="N149" s="800"/>
      <c r="O149" s="807"/>
      <c r="P149" s="413"/>
    </row>
    <row r="150" spans="1:16" ht="27.75">
      <c r="A150" s="1406" t="s">
        <v>270</v>
      </c>
      <c r="B150" s="1407"/>
      <c r="C150" s="1408"/>
      <c r="D150" s="599" t="s">
        <v>194</v>
      </c>
      <c r="E150" s="531"/>
      <c r="F150" s="531"/>
      <c r="G150" s="536">
        <f>G36+G50</f>
        <v>1728.2799999999697</v>
      </c>
      <c r="H150" s="536">
        <f>G150+'16'!H150</f>
        <v>32150.459999999963</v>
      </c>
      <c r="I150" s="622"/>
      <c r="J150" s="629">
        <f>H150/DAY(B2)</f>
        <v>1891.2035294117625</v>
      </c>
      <c r="N150" s="800"/>
      <c r="O150" s="807"/>
      <c r="P150" s="413"/>
    </row>
    <row r="151" spans="1:16" ht="27.75">
      <c r="A151" s="1406" t="s">
        <v>271</v>
      </c>
      <c r="B151" s="1407"/>
      <c r="C151" s="1408"/>
      <c r="D151" s="599" t="s">
        <v>24</v>
      </c>
      <c r="E151" s="531"/>
      <c r="F151" s="531"/>
      <c r="G151" s="620">
        <f>G150/G7</f>
        <v>8.8308211128709305E-2</v>
      </c>
      <c r="H151" s="536">
        <f>G151+'16'!H151</f>
        <v>1.6540022093745024</v>
      </c>
      <c r="I151" s="556"/>
      <c r="J151" s="629">
        <f>H151/DAY(B2)</f>
        <v>9.7294247610264839E-2</v>
      </c>
      <c r="N151" s="800"/>
      <c r="O151" s="807"/>
      <c r="P151" s="413"/>
    </row>
    <row r="152" spans="1:16" ht="27.75">
      <c r="A152" s="1406" t="s">
        <v>272</v>
      </c>
      <c r="B152" s="1407"/>
      <c r="C152" s="1408"/>
      <c r="D152" s="599" t="s">
        <v>194</v>
      </c>
      <c r="E152" s="531"/>
      <c r="F152" s="531"/>
      <c r="G152" s="536">
        <f>G37+G51</f>
        <v>1476.619999999999</v>
      </c>
      <c r="H152" s="536">
        <f>G152+'16'!H152</f>
        <v>25709.159999999993</v>
      </c>
      <c r="I152" s="556"/>
      <c r="J152" s="629">
        <f>H152/DAY(B2)</f>
        <v>1512.3035294117642</v>
      </c>
      <c r="N152" s="800"/>
      <c r="O152" s="807"/>
      <c r="P152" s="413"/>
    </row>
    <row r="153" spans="1:16" ht="28.5" thickBot="1">
      <c r="A153" s="1409" t="s">
        <v>273</v>
      </c>
      <c r="B153" s="1410"/>
      <c r="C153" s="1411"/>
      <c r="D153" s="702" t="s">
        <v>24</v>
      </c>
      <c r="E153" s="642"/>
      <c r="F153" s="642"/>
      <c r="G153" s="643">
        <f>G152/G7</f>
        <v>7.5449389402687597E-2</v>
      </c>
      <c r="H153" s="536">
        <f>G153+'16'!H153</f>
        <v>1.3379863602354474</v>
      </c>
      <c r="I153" s="645"/>
      <c r="J153" s="646">
        <f>H153/DAY(B2)</f>
        <v>7.8705080013849849E-2</v>
      </c>
      <c r="N153" s="800"/>
      <c r="O153" s="807"/>
      <c r="P153" s="413"/>
    </row>
    <row r="154" spans="1:16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800"/>
    </row>
    <row r="155" spans="1:16">
      <c r="N155" s="800"/>
    </row>
    <row r="156" spans="1:16">
      <c r="N156" s="800"/>
    </row>
    <row r="157" spans="1:16">
      <c r="N157" s="800"/>
    </row>
    <row r="158" spans="1:16">
      <c r="N158" s="800"/>
    </row>
    <row r="159" spans="1:16">
      <c r="N159" s="800"/>
    </row>
    <row r="160" spans="1:16">
      <c r="A160" s="878" t="s">
        <v>274</v>
      </c>
      <c r="B160" s="879"/>
      <c r="C160" s="879"/>
      <c r="D160" s="697" t="s">
        <v>198</v>
      </c>
      <c r="E160" s="598">
        <f>'16'!F160</f>
        <v>29772.27</v>
      </c>
      <c r="F160" s="887">
        <v>29857.35</v>
      </c>
      <c r="G160" s="549">
        <f t="shared" ref="G160:G163" si="14">F160-E160</f>
        <v>85.079999999998108</v>
      </c>
      <c r="N160" s="800"/>
    </row>
    <row r="161" spans="1:14" ht="21.75" customHeight="1">
      <c r="A161" s="878" t="s">
        <v>275</v>
      </c>
      <c r="B161" s="879"/>
      <c r="C161" s="879"/>
      <c r="D161" s="697" t="s">
        <v>198</v>
      </c>
      <c r="E161" s="598">
        <f>'16'!F161</f>
        <v>49786.33</v>
      </c>
      <c r="F161" s="887">
        <v>50204.77</v>
      </c>
      <c r="G161" s="549">
        <f t="shared" si="14"/>
        <v>418.43999999999505</v>
      </c>
      <c r="N161" s="800"/>
    </row>
    <row r="162" spans="1:14" ht="21.75" customHeight="1">
      <c r="A162" s="878" t="s">
        <v>276</v>
      </c>
      <c r="B162" s="879"/>
      <c r="C162" s="879"/>
      <c r="D162" s="697" t="s">
        <v>198</v>
      </c>
      <c r="E162" s="598">
        <v>17321</v>
      </c>
      <c r="F162" s="867">
        <v>17557</v>
      </c>
      <c r="G162" s="549">
        <f t="shared" si="14"/>
        <v>236</v>
      </c>
      <c r="N162" s="800"/>
    </row>
    <row r="163" spans="1:14" ht="21.75" customHeight="1">
      <c r="A163" s="878" t="s">
        <v>277</v>
      </c>
      <c r="B163" s="879"/>
      <c r="C163" s="879"/>
      <c r="D163" s="697" t="s">
        <v>198</v>
      </c>
      <c r="E163" s="598">
        <f>'16'!F163</f>
        <v>5212</v>
      </c>
      <c r="F163" s="887">
        <v>5231</v>
      </c>
      <c r="G163" s="549">
        <f t="shared" si="14"/>
        <v>19</v>
      </c>
      <c r="N163" s="800"/>
    </row>
    <row r="164" spans="1:14" ht="21.75" customHeight="1">
      <c r="A164" s="880" t="s">
        <v>106</v>
      </c>
      <c r="B164" s="881"/>
      <c r="C164" s="881"/>
      <c r="D164" s="697" t="s">
        <v>198</v>
      </c>
      <c r="E164" s="598">
        <f>E62</f>
        <v>20419.18</v>
      </c>
      <c r="F164" s="590">
        <f>F62</f>
        <v>20419.18</v>
      </c>
      <c r="G164" s="549">
        <f t="shared" ref="G164:G171" si="15">F164-E164</f>
        <v>0</v>
      </c>
      <c r="N164" s="800"/>
    </row>
    <row r="165" spans="1:14" ht="21.75" customHeight="1">
      <c r="A165" s="880" t="s">
        <v>199</v>
      </c>
      <c r="B165" s="881"/>
      <c r="C165" s="881"/>
      <c r="D165" s="697" t="s">
        <v>198</v>
      </c>
      <c r="E165" s="598">
        <f t="shared" ref="E165:E171" si="16">E63</f>
        <v>1544.63</v>
      </c>
      <c r="F165" s="590">
        <f t="shared" ref="F165:F171" si="17">F63</f>
        <v>1558.35</v>
      </c>
      <c r="G165" s="549">
        <f t="shared" si="15"/>
        <v>13.7199999999998</v>
      </c>
      <c r="N165" s="800"/>
    </row>
    <row r="166" spans="1:14" ht="21.75" customHeight="1">
      <c r="A166" s="1449" t="s">
        <v>107</v>
      </c>
      <c r="B166" s="1449"/>
      <c r="C166" s="1449"/>
      <c r="D166" s="600" t="s">
        <v>198</v>
      </c>
      <c r="E166" s="598">
        <f t="shared" si="16"/>
        <v>117968.85</v>
      </c>
      <c r="F166" s="590">
        <f t="shared" si="17"/>
        <v>118398.78</v>
      </c>
      <c r="G166" s="549">
        <f t="shared" si="15"/>
        <v>429.92999999999302</v>
      </c>
      <c r="N166" s="800"/>
    </row>
    <row r="167" spans="1:14" ht="21.75" customHeight="1">
      <c r="A167" s="1449" t="s">
        <v>108</v>
      </c>
      <c r="B167" s="1449"/>
      <c r="C167" s="1449"/>
      <c r="D167" s="600" t="s">
        <v>198</v>
      </c>
      <c r="E167" s="598">
        <f t="shared" si="16"/>
        <v>127843.92</v>
      </c>
      <c r="F167" s="590">
        <f t="shared" si="17"/>
        <v>128247.81</v>
      </c>
      <c r="G167" s="549">
        <f t="shared" si="15"/>
        <v>403.88999999999942</v>
      </c>
      <c r="N167" s="800"/>
    </row>
    <row r="168" spans="1:14" ht="21.75" customHeight="1">
      <c r="A168" s="1449" t="s">
        <v>109</v>
      </c>
      <c r="B168" s="1449"/>
      <c r="C168" s="1449"/>
      <c r="D168" s="600" t="s">
        <v>198</v>
      </c>
      <c r="E168" s="598">
        <f t="shared" si="16"/>
        <v>20457.39</v>
      </c>
      <c r="F168" s="590">
        <f t="shared" si="17"/>
        <v>20852.34</v>
      </c>
      <c r="G168" s="549">
        <f t="shared" si="15"/>
        <v>394.95000000000073</v>
      </c>
      <c r="N168" s="800"/>
    </row>
    <row r="169" spans="1:14" ht="24" customHeight="1">
      <c r="A169" s="1449" t="s">
        <v>110</v>
      </c>
      <c r="B169" s="1449"/>
      <c r="C169" s="1449"/>
      <c r="D169" s="600" t="s">
        <v>198</v>
      </c>
      <c r="E169" s="598">
        <f t="shared" si="16"/>
        <v>199917.25</v>
      </c>
      <c r="F169" s="590">
        <f t="shared" si="17"/>
        <v>200595.89</v>
      </c>
      <c r="G169" s="549">
        <f t="shared" si="15"/>
        <v>678.64000000001397</v>
      </c>
      <c r="N169" s="800"/>
    </row>
    <row r="170" spans="1:14" ht="24" customHeight="1">
      <c r="A170" s="1449" t="s">
        <v>111</v>
      </c>
      <c r="B170" s="1449"/>
      <c r="C170" s="1449"/>
      <c r="D170" s="600" t="s">
        <v>198</v>
      </c>
      <c r="E170" s="598">
        <f t="shared" si="16"/>
        <v>68753.179999999993</v>
      </c>
      <c r="F170" s="590">
        <f t="shared" si="17"/>
        <v>69092.17</v>
      </c>
      <c r="G170" s="549">
        <f t="shared" si="15"/>
        <v>338.99000000000524</v>
      </c>
      <c r="N170" s="800"/>
    </row>
    <row r="171" spans="1:14" ht="27.75">
      <c r="A171" s="1449" t="s">
        <v>112</v>
      </c>
      <c r="B171" s="1449"/>
      <c r="C171" s="1449"/>
      <c r="D171" s="600" t="s">
        <v>198</v>
      </c>
      <c r="E171" s="598">
        <f t="shared" si="16"/>
        <v>60564.56</v>
      </c>
      <c r="F171" s="590">
        <f t="shared" si="17"/>
        <v>60872.25</v>
      </c>
      <c r="G171" s="549">
        <f t="shared" si="15"/>
        <v>307.69000000000233</v>
      </c>
      <c r="N171" s="800"/>
    </row>
    <row r="172" spans="1:14">
      <c r="A172" s="882"/>
      <c r="B172" s="883"/>
      <c r="C172" s="883"/>
      <c r="D172" s="884"/>
      <c r="E172" s="884"/>
      <c r="F172" s="885"/>
      <c r="G172" s="886">
        <f>SUM(G160:G171)</f>
        <v>3326.3300000000077</v>
      </c>
      <c r="N172" s="800"/>
    </row>
    <row r="173" spans="1:14">
      <c r="N173" s="800"/>
    </row>
    <row r="174" spans="1:14">
      <c r="N174" s="800"/>
    </row>
    <row r="175" spans="1:14">
      <c r="N175" s="800"/>
    </row>
    <row r="176" spans="1:14" ht="18.75" customHeight="1">
      <c r="N176" s="800"/>
    </row>
    <row r="177" spans="14:14" ht="18.75" customHeight="1">
      <c r="N177" s="800"/>
    </row>
    <row r="178" spans="14:14" ht="17.25" customHeight="1">
      <c r="N178" s="800"/>
    </row>
    <row r="179" spans="14:14" ht="18.75" customHeight="1">
      <c r="N179" s="800"/>
    </row>
    <row r="180" spans="14:14" ht="18.75" customHeight="1">
      <c r="N180" s="800"/>
    </row>
    <row r="181" spans="14:14" ht="17.25" customHeight="1">
      <c r="N181" s="800"/>
    </row>
    <row r="182" spans="14:14" ht="18.75" customHeight="1">
      <c r="N182" s="800"/>
    </row>
    <row r="183" spans="14:14" ht="18.75" customHeight="1">
      <c r="N183" s="800"/>
    </row>
    <row r="184" spans="14:14" ht="17.25" customHeight="1">
      <c r="N184" s="800"/>
    </row>
    <row r="185" spans="14:14" ht="17.25" customHeight="1">
      <c r="N185" s="800"/>
    </row>
    <row r="186" spans="14:14" ht="17.25" customHeight="1">
      <c r="N186" s="800"/>
    </row>
    <row r="187" spans="14:14" ht="17.25" customHeight="1">
      <c r="N187" s="800"/>
    </row>
    <row r="188" spans="14:14" ht="17.25" customHeight="1">
      <c r="N188" s="800"/>
    </row>
    <row r="189" spans="14:14" ht="17.25" customHeight="1">
      <c r="N189" s="800"/>
    </row>
    <row r="190" spans="14:14" ht="17.25" customHeight="1">
      <c r="N190" s="800"/>
    </row>
    <row r="191" spans="14:14" ht="18.75" customHeight="1">
      <c r="N191" s="800"/>
    </row>
    <row r="192" spans="14:14" ht="18.75" customHeight="1">
      <c r="N192" s="800"/>
    </row>
    <row r="193" spans="14:14" ht="18.75" customHeight="1">
      <c r="N193" s="800"/>
    </row>
    <row r="194" spans="14:14" ht="18.75" customHeight="1">
      <c r="N194" s="800"/>
    </row>
    <row r="195" spans="14:14" ht="18.75" customHeight="1">
      <c r="N195" s="800"/>
    </row>
    <row r="196" spans="14:14" ht="18.75" customHeight="1">
      <c r="N196" s="800"/>
    </row>
    <row r="197" spans="14:14" ht="18.75" customHeight="1">
      <c r="N197" s="800"/>
    </row>
    <row r="198" spans="14:14" ht="18.75" customHeight="1"/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</sheetData>
  <mergeCells count="74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1:J71"/>
    <mergeCell ref="A70:C70"/>
    <mergeCell ref="A75:C75"/>
    <mergeCell ref="A76:C76"/>
    <mergeCell ref="A77:C77"/>
    <mergeCell ref="A79:C79"/>
    <mergeCell ref="A80:C80"/>
    <mergeCell ref="A93:C93"/>
    <mergeCell ref="A94:C94"/>
    <mergeCell ref="A95:C95"/>
    <mergeCell ref="A81:C81"/>
    <mergeCell ref="A82:C82"/>
    <mergeCell ref="A83:C83"/>
    <mergeCell ref="A92:C92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143:C143"/>
    <mergeCell ref="A144:C144"/>
    <mergeCell ref="A145:C145"/>
    <mergeCell ref="A146:C146"/>
    <mergeCell ref="A147:C147"/>
    <mergeCell ref="A152:C152"/>
    <mergeCell ref="A153:C153"/>
    <mergeCell ref="A148:C148"/>
    <mergeCell ref="A149:C149"/>
    <mergeCell ref="A150:C150"/>
    <mergeCell ref="A151:C151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topLeftCell="A49" zoomScale="55" zoomScaleNormal="68" zoomScaleSheetLayoutView="55" workbookViewId="0">
      <selection activeCell="H85" sqref="H85"/>
    </sheetView>
  </sheetViews>
  <sheetFormatPr defaultColWidth="22.33203125" defaultRowHeight="23.25" customHeight="1"/>
  <cols>
    <col min="1" max="1" width="51.21875" style="281" customWidth="1"/>
    <col min="2" max="2" width="24.88671875" style="281" customWidth="1"/>
    <col min="3" max="3" width="15.88671875" style="281" customWidth="1"/>
    <col min="4" max="4" width="13.6640625" style="281" customWidth="1"/>
    <col min="5" max="5" width="26.33203125" style="281" customWidth="1"/>
    <col min="6" max="6" width="27.109375" style="281" customWidth="1"/>
    <col min="7" max="7" width="31.6640625" style="281" customWidth="1"/>
    <col min="8" max="8" width="29.77734375" style="394" customWidth="1"/>
    <col min="9" max="9" width="23.77734375" style="281" customWidth="1"/>
    <col min="10" max="10" width="23.77734375" style="395" customWidth="1"/>
    <col min="11" max="16384" width="22.33203125" style="281"/>
  </cols>
  <sheetData>
    <row r="1" spans="1:12" ht="23.25" customHeight="1">
      <c r="A1" s="1500" t="s">
        <v>128</v>
      </c>
      <c r="B1" s="1500"/>
      <c r="C1" s="1500"/>
      <c r="D1" s="1500"/>
      <c r="E1" s="1500"/>
      <c r="F1" s="1500"/>
      <c r="G1" s="1500"/>
      <c r="H1" s="1500"/>
      <c r="I1" s="1500"/>
      <c r="J1" s="1500"/>
    </row>
    <row r="2" spans="1:12" ht="23.25" customHeight="1">
      <c r="A2" s="282" t="s">
        <v>328</v>
      </c>
      <c r="B2" s="1201">
        <v>44245</v>
      </c>
      <c r="C2" s="419" t="s">
        <v>69</v>
      </c>
      <c r="D2" s="284">
        <v>0.46</v>
      </c>
      <c r="E2" s="285"/>
      <c r="F2" s="285"/>
      <c r="G2" s="285" t="s">
        <v>129</v>
      </c>
      <c r="H2" s="285" t="s">
        <v>6</v>
      </c>
      <c r="I2" s="285" t="s">
        <v>8</v>
      </c>
      <c r="J2" s="286" t="s">
        <v>130</v>
      </c>
    </row>
    <row r="3" spans="1:12" ht="23.25" customHeight="1">
      <c r="A3" s="288"/>
      <c r="B3" s="289"/>
      <c r="C3" s="1221" t="s">
        <v>131</v>
      </c>
      <c r="D3" s="418">
        <v>29</v>
      </c>
      <c r="E3" s="1504" t="s">
        <v>132</v>
      </c>
      <c r="F3" s="1505"/>
      <c r="G3" s="290">
        <f>'1'!G3</f>
        <v>0</v>
      </c>
      <c r="H3" s="291">
        <f>'1'!H3</f>
        <v>0</v>
      </c>
      <c r="I3" s="291">
        <f>'1'!I3</f>
        <v>0</v>
      </c>
      <c r="J3" s="291">
        <f>'1'!J3</f>
        <v>0</v>
      </c>
      <c r="K3" s="292"/>
      <c r="L3" s="293"/>
    </row>
    <row r="4" spans="1:12" ht="23.25" customHeight="1">
      <c r="A4" s="294"/>
      <c r="B4" s="288"/>
      <c r="C4" s="419" t="s">
        <v>133</v>
      </c>
      <c r="D4" s="284">
        <v>0.8</v>
      </c>
      <c r="E4" s="295"/>
      <c r="F4" s="295"/>
      <c r="G4" s="295"/>
      <c r="H4" s="295"/>
      <c r="I4" s="296"/>
      <c r="J4" s="287"/>
      <c r="K4" s="297"/>
      <c r="L4" s="293"/>
    </row>
    <row r="5" spans="1:12" ht="23.25" customHeight="1" thickBot="1">
      <c r="A5" s="298" t="s">
        <v>134</v>
      </c>
      <c r="B5" s="299"/>
      <c r="C5" s="300"/>
      <c r="D5" s="301" t="s">
        <v>135</v>
      </c>
      <c r="E5" s="302" t="s">
        <v>136</v>
      </c>
      <c r="F5" s="302" t="s">
        <v>123</v>
      </c>
      <c r="G5" s="303" t="s">
        <v>137</v>
      </c>
      <c r="H5" s="304" t="s">
        <v>138</v>
      </c>
      <c r="I5" s="305" t="s">
        <v>139</v>
      </c>
      <c r="J5" s="303" t="s">
        <v>140</v>
      </c>
      <c r="K5" s="306"/>
      <c r="L5" s="293"/>
    </row>
    <row r="6" spans="1:12" ht="23.25" customHeight="1">
      <c r="A6" s="1501" t="s">
        <v>141</v>
      </c>
      <c r="B6" s="1502"/>
      <c r="C6" s="1503"/>
      <c r="D6" s="422"/>
      <c r="E6" s="422"/>
      <c r="F6" s="422"/>
      <c r="G6" s="422"/>
      <c r="H6" s="474"/>
      <c r="I6" s="474"/>
      <c r="J6" s="474"/>
      <c r="K6" s="307"/>
      <c r="L6" s="293"/>
    </row>
    <row r="7" spans="1:12" ht="23.25" customHeight="1" thickBot="1">
      <c r="A7" s="308" t="s">
        <v>142</v>
      </c>
      <c r="B7" s="309"/>
      <c r="C7" s="310"/>
      <c r="D7" s="311" t="s">
        <v>143</v>
      </c>
      <c r="E7" s="312">
        <f>'17'!F7</f>
        <v>4217745</v>
      </c>
      <c r="F7" s="312">
        <v>4237940</v>
      </c>
      <c r="G7" s="313">
        <f>F7-E7</f>
        <v>20195</v>
      </c>
      <c r="H7" s="277">
        <f>G7+'17'!H7</f>
        <v>349742</v>
      </c>
      <c r="I7" s="276">
        <f>'1'!I7</f>
        <v>12000</v>
      </c>
      <c r="J7" s="314">
        <f>H7/DAY(B2)</f>
        <v>19430.111111111109</v>
      </c>
      <c r="K7" s="315"/>
      <c r="L7" s="293"/>
    </row>
    <row r="8" spans="1:12" ht="23.25" customHeight="1" thickBot="1">
      <c r="A8" s="316" t="s">
        <v>144</v>
      </c>
      <c r="B8" s="317"/>
      <c r="C8" s="318"/>
      <c r="D8" s="319" t="s">
        <v>25</v>
      </c>
      <c r="E8" s="320">
        <f>'17'!F8</f>
        <v>4244632</v>
      </c>
      <c r="F8" s="320">
        <v>4264981</v>
      </c>
      <c r="G8" s="313">
        <f>F8-E8</f>
        <v>20349</v>
      </c>
      <c r="H8" s="277">
        <f>G8+'17'!H8</f>
        <v>352130</v>
      </c>
      <c r="I8" s="523">
        <f>'1'!I8</f>
        <v>12000</v>
      </c>
      <c r="J8" s="314">
        <f>H8/DAY(B2)</f>
        <v>19562.777777777777</v>
      </c>
      <c r="K8" s="315"/>
      <c r="L8" s="293"/>
    </row>
    <row r="9" spans="1:12" ht="23.25" customHeight="1" thickBot="1">
      <c r="A9" s="322" t="s">
        <v>145</v>
      </c>
      <c r="B9" s="323"/>
      <c r="C9" s="324"/>
      <c r="D9" s="268" t="s">
        <v>143</v>
      </c>
      <c r="E9" s="312">
        <f>'17'!F9</f>
        <v>132071</v>
      </c>
      <c r="F9" s="264">
        <v>147964</v>
      </c>
      <c r="G9" s="325">
        <f t="shared" ref="G9:G12" si="0">F9-E9</f>
        <v>15893</v>
      </c>
      <c r="H9" s="277">
        <f>G9+'17'!H9</f>
        <v>185076.25</v>
      </c>
      <c r="I9" s="278">
        <f>I7-J7</f>
        <v>-7430.1111111111095</v>
      </c>
      <c r="J9" s="314">
        <f>H9/DAY(B2)</f>
        <v>10282.013888888889</v>
      </c>
      <c r="K9" s="315"/>
      <c r="L9" s="417"/>
    </row>
    <row r="10" spans="1:12" ht="23.25" customHeight="1" thickBot="1">
      <c r="A10" s="327" t="s">
        <v>146</v>
      </c>
      <c r="B10" s="328"/>
      <c r="C10" s="329"/>
      <c r="D10" s="268" t="s">
        <v>143</v>
      </c>
      <c r="E10" s="312">
        <f>'17'!F10</f>
        <v>1349339.6</v>
      </c>
      <c r="F10" s="264">
        <v>1353036</v>
      </c>
      <c r="G10" s="325">
        <f t="shared" si="0"/>
        <v>3696.3999999999069</v>
      </c>
      <c r="H10" s="277">
        <f>G10+'17'!H10</f>
        <v>152161.60000000009</v>
      </c>
      <c r="I10" s="326"/>
      <c r="J10" s="314">
        <f>H10/DAY(B2)</f>
        <v>8453.422222222227</v>
      </c>
      <c r="K10" s="315"/>
      <c r="L10" s="293"/>
    </row>
    <row r="11" spans="1:12" ht="23.25" customHeight="1" thickBot="1">
      <c r="A11" s="327" t="s">
        <v>147</v>
      </c>
      <c r="B11" s="328"/>
      <c r="C11" s="329"/>
      <c r="D11" s="268" t="s">
        <v>143</v>
      </c>
      <c r="E11" s="312">
        <f>'17'!F11</f>
        <v>37000</v>
      </c>
      <c r="F11" s="263">
        <v>37000</v>
      </c>
      <c r="G11" s="325">
        <f t="shared" si="0"/>
        <v>0</v>
      </c>
      <c r="H11" s="277">
        <f>G11+'17'!H11</f>
        <v>1610</v>
      </c>
      <c r="I11" s="326"/>
      <c r="J11" s="314">
        <f>H11/DAY(B2)</f>
        <v>89.444444444444443</v>
      </c>
      <c r="K11" s="315"/>
      <c r="L11" s="293"/>
    </row>
    <row r="12" spans="1:12" ht="23.25" customHeight="1" thickBot="1">
      <c r="A12" s="327" t="s">
        <v>148</v>
      </c>
      <c r="B12" s="328"/>
      <c r="C12" s="329"/>
      <c r="D12" s="268" t="s">
        <v>143</v>
      </c>
      <c r="E12" s="312">
        <f>'17'!F12</f>
        <v>40010</v>
      </c>
      <c r="F12" s="264">
        <v>40010</v>
      </c>
      <c r="G12" s="325">
        <f t="shared" si="0"/>
        <v>0</v>
      </c>
      <c r="H12" s="277">
        <f>G12+'17'!H12</f>
        <v>2380</v>
      </c>
      <c r="I12" s="326"/>
      <c r="J12" s="314">
        <f>H12/DAY(B2)</f>
        <v>132.22222222222223</v>
      </c>
      <c r="K12" s="315"/>
      <c r="L12" s="293"/>
    </row>
    <row r="13" spans="1:12" ht="23.25" customHeight="1">
      <c r="A13" s="437" t="s">
        <v>149</v>
      </c>
      <c r="B13" s="438"/>
      <c r="C13" s="439"/>
      <c r="D13" s="268"/>
      <c r="E13" s="265"/>
      <c r="F13" s="265"/>
      <c r="G13" s="279">
        <f>G9+G10+G11+G12</f>
        <v>19589.399999999907</v>
      </c>
      <c r="H13" s="277">
        <f>G13+'17'!H13</f>
        <v>322921.85000000009</v>
      </c>
      <c r="I13" s="462">
        <f>G7-G13</f>
        <v>605.60000000009313</v>
      </c>
      <c r="J13" s="314">
        <f>H13/DAY(B2)</f>
        <v>17940.102777777782</v>
      </c>
      <c r="K13" s="315"/>
      <c r="L13" s="293"/>
    </row>
    <row r="14" spans="1:12" ht="23.25" customHeight="1">
      <c r="A14" s="1491" t="s">
        <v>150</v>
      </c>
      <c r="B14" s="1492"/>
      <c r="C14" s="1493"/>
      <c r="D14" s="474"/>
      <c r="E14" s="474"/>
      <c r="F14" s="474"/>
      <c r="G14" s="425"/>
      <c r="H14" s="474"/>
      <c r="I14" s="474"/>
      <c r="J14" s="474"/>
      <c r="K14" s="330"/>
      <c r="L14" s="293"/>
    </row>
    <row r="15" spans="1:12" ht="23.25" customHeight="1" thickBot="1">
      <c r="A15" s="331" t="s">
        <v>151</v>
      </c>
      <c r="B15" s="332"/>
      <c r="C15" s="333"/>
      <c r="D15" s="311" t="s">
        <v>152</v>
      </c>
      <c r="E15" s="312">
        <f>'17'!F15</f>
        <v>1609713.45</v>
      </c>
      <c r="F15" s="266">
        <v>1610553.59</v>
      </c>
      <c r="G15" s="325">
        <f>(F15-E15)</f>
        <v>840.14000000013039</v>
      </c>
      <c r="H15" s="277">
        <f>G15+'17'!H15</f>
        <v>16116.440000000177</v>
      </c>
      <c r="I15" s="276">
        <f>'1'!I15</f>
        <v>800</v>
      </c>
      <c r="J15" s="314">
        <f>H15/DAY(B2)</f>
        <v>895.35777777778765</v>
      </c>
      <c r="K15" s="315"/>
      <c r="L15" s="293"/>
    </row>
    <row r="16" spans="1:12" ht="23.25" customHeight="1">
      <c r="A16" s="334"/>
      <c r="B16" s="335"/>
      <c r="C16" s="336"/>
      <c r="D16" s="274"/>
      <c r="E16" s="337"/>
      <c r="F16" s="337"/>
      <c r="G16" s="325"/>
      <c r="H16" s="338"/>
      <c r="I16" s="398">
        <f>I15-J15</f>
        <v>-95.357777777787646</v>
      </c>
      <c r="J16" s="339"/>
      <c r="K16" s="315"/>
      <c r="L16" s="293"/>
    </row>
    <row r="17" spans="1:12" ht="23.25" customHeight="1">
      <c r="A17" s="1491" t="s">
        <v>153</v>
      </c>
      <c r="B17" s="1492"/>
      <c r="C17" s="1493"/>
      <c r="D17" s="474"/>
      <c r="E17" s="474"/>
      <c r="F17" s="474"/>
      <c r="G17" s="426"/>
      <c r="H17" s="474"/>
      <c r="I17" s="474"/>
      <c r="J17" s="474"/>
      <c r="K17" s="315"/>
      <c r="L17" s="293"/>
    </row>
    <row r="18" spans="1:12" ht="23.25" customHeight="1" thickBot="1">
      <c r="A18" s="1472" t="s">
        <v>154</v>
      </c>
      <c r="B18" s="1473"/>
      <c r="C18" s="1474"/>
      <c r="D18" s="268" t="s">
        <v>155</v>
      </c>
      <c r="E18" s="312">
        <f>'17'!F18</f>
        <v>14</v>
      </c>
      <c r="F18" s="267">
        <v>12</v>
      </c>
      <c r="G18" s="421">
        <f>F18*10</f>
        <v>120</v>
      </c>
      <c r="H18" s="277">
        <f>G18+'17'!H18</f>
        <v>2980</v>
      </c>
      <c r="I18" s="276">
        <f>'1'!I18</f>
        <v>65</v>
      </c>
      <c r="J18" s="314">
        <f>H18/DAY(B2)</f>
        <v>165.55555555555554</v>
      </c>
      <c r="K18" s="315"/>
      <c r="L18" s="293"/>
    </row>
    <row r="19" spans="1:12" ht="23.25" customHeight="1" thickBot="1">
      <c r="A19" s="1472" t="s">
        <v>71</v>
      </c>
      <c r="B19" s="1473"/>
      <c r="C19" s="1474"/>
      <c r="D19" s="268" t="s">
        <v>155</v>
      </c>
      <c r="E19" s="312">
        <f>'17'!F19</f>
        <v>133906</v>
      </c>
      <c r="F19" s="267">
        <v>133953</v>
      </c>
      <c r="G19" s="420">
        <f t="shared" ref="G19" si="1">F19-E19</f>
        <v>47</v>
      </c>
      <c r="H19" s="277">
        <f>G19+'17'!H19</f>
        <v>905</v>
      </c>
      <c r="I19" s="340"/>
      <c r="J19" s="314">
        <f>H19/DAY(B2)</f>
        <v>50.277777777777779</v>
      </c>
      <c r="K19" s="315"/>
      <c r="L19" s="293"/>
    </row>
    <row r="20" spans="1:12" ht="23.25" customHeight="1">
      <c r="A20" s="437" t="s">
        <v>156</v>
      </c>
      <c r="B20" s="438"/>
      <c r="C20" s="439"/>
      <c r="D20" s="341"/>
      <c r="E20" s="341"/>
      <c r="F20" s="341"/>
      <c r="G20" s="342">
        <f>G18+G19</f>
        <v>167</v>
      </c>
      <c r="H20" s="277">
        <f>G20+'17'!H20</f>
        <v>3885</v>
      </c>
      <c r="I20" s="343">
        <f>I18-J20</f>
        <v>-150.83333333333334</v>
      </c>
      <c r="J20" s="314">
        <f>H20/DAY(B2)</f>
        <v>215.83333333333334</v>
      </c>
      <c r="K20" s="315"/>
      <c r="L20" s="293"/>
    </row>
    <row r="21" spans="1:12" ht="23.25" customHeight="1">
      <c r="A21" s="1491" t="s">
        <v>157</v>
      </c>
      <c r="B21" s="1492"/>
      <c r="C21" s="1493"/>
      <c r="D21" s="474"/>
      <c r="E21" s="474"/>
      <c r="F21" s="474"/>
      <c r="G21" s="425"/>
      <c r="H21" s="474"/>
      <c r="I21" s="474"/>
      <c r="J21" s="474"/>
      <c r="K21" s="315"/>
      <c r="L21" s="293"/>
    </row>
    <row r="22" spans="1:12" ht="23.25" customHeight="1" thickBot="1">
      <c r="A22" s="1213" t="s">
        <v>158</v>
      </c>
      <c r="B22" s="1214"/>
      <c r="C22" s="1215"/>
      <c r="D22" s="268" t="s">
        <v>159</v>
      </c>
      <c r="E22" s="312">
        <f>'17'!F22</f>
        <v>2250</v>
      </c>
      <c r="F22" s="267">
        <v>2250</v>
      </c>
      <c r="G22" s="420">
        <f t="shared" ref="G22" si="2">F22-E22</f>
        <v>0</v>
      </c>
      <c r="H22" s="277">
        <f>G22+'17'!H22</f>
        <v>0</v>
      </c>
      <c r="I22" s="326"/>
      <c r="J22" s="314">
        <f>H22/DAY(B2)</f>
        <v>0</v>
      </c>
      <c r="K22" s="315"/>
      <c r="L22" s="293"/>
    </row>
    <row r="23" spans="1:12" ht="23.25" customHeight="1" thickBot="1">
      <c r="A23" s="1213" t="s">
        <v>160</v>
      </c>
      <c r="B23" s="1214"/>
      <c r="C23" s="1215"/>
      <c r="D23" s="268" t="s">
        <v>159</v>
      </c>
      <c r="E23" s="312">
        <f>'17'!F23</f>
        <v>2000</v>
      </c>
      <c r="F23" s="267">
        <v>2000</v>
      </c>
      <c r="G23" s="279">
        <v>0</v>
      </c>
      <c r="H23" s="277">
        <f>G23+'17'!H23</f>
        <v>1600</v>
      </c>
      <c r="I23" s="326"/>
      <c r="J23" s="314">
        <f>H23/DAY(B2)</f>
        <v>88.888888888888886</v>
      </c>
      <c r="K23" s="315"/>
      <c r="L23" s="293"/>
    </row>
    <row r="24" spans="1:12" ht="23.25" customHeight="1" thickBot="1">
      <c r="A24" s="440" t="s">
        <v>161</v>
      </c>
      <c r="B24" s="441"/>
      <c r="C24" s="442"/>
      <c r="D24" s="269" t="s">
        <v>159</v>
      </c>
      <c r="E24" s="312">
        <f>'17'!F24</f>
        <v>4250</v>
      </c>
      <c r="F24" s="344">
        <v>4250</v>
      </c>
      <c r="G24" s="279">
        <v>0</v>
      </c>
      <c r="H24" s="277">
        <f>G24+'17'!H24</f>
        <v>0</v>
      </c>
      <c r="I24" s="326"/>
      <c r="J24" s="314">
        <f>H24/DAY(B2)</f>
        <v>0</v>
      </c>
      <c r="K24" s="315"/>
      <c r="L24" s="293"/>
    </row>
    <row r="25" spans="1:12" s="481" customFormat="1" ht="18.75" customHeight="1">
      <c r="A25" s="1497" t="s">
        <v>162</v>
      </c>
      <c r="B25" s="1498"/>
      <c r="C25" s="1499"/>
      <c r="D25" s="422"/>
      <c r="E25" s="422"/>
      <c r="F25" s="422"/>
      <c r="G25" s="427"/>
      <c r="H25" s="423"/>
      <c r="I25" s="428"/>
      <c r="J25" s="424"/>
      <c r="K25" s="315"/>
      <c r="L25" s="484"/>
    </row>
    <row r="26" spans="1:12" s="481" customFormat="1" ht="18.75" customHeight="1">
      <c r="A26" s="345" t="s">
        <v>163</v>
      </c>
      <c r="B26" s="346"/>
      <c r="C26" s="347"/>
      <c r="D26" s="348" t="s">
        <v>164</v>
      </c>
      <c r="E26" s="349"/>
      <c r="F26" s="349"/>
      <c r="G26" s="350"/>
      <c r="H26" s="277"/>
      <c r="I26" s="351"/>
      <c r="J26" s="314"/>
      <c r="K26" s="330"/>
      <c r="L26" s="484"/>
    </row>
    <row r="27" spans="1:12" s="481" customFormat="1" ht="18.75" customHeight="1">
      <c r="A27" s="345" t="s">
        <v>6</v>
      </c>
      <c r="B27" s="346"/>
      <c r="C27" s="347"/>
      <c r="D27" s="352" t="s">
        <v>25</v>
      </c>
      <c r="E27" s="353">
        <f>G8</f>
        <v>20349</v>
      </c>
      <c r="F27" s="577">
        <v>9</v>
      </c>
      <c r="G27" s="396">
        <f>E27*F27</f>
        <v>183141</v>
      </c>
      <c r="H27" s="277">
        <f>G27+'17'!H27</f>
        <v>3169170</v>
      </c>
      <c r="I27" s="354"/>
      <c r="J27" s="314">
        <f>H27/DAY(B2)</f>
        <v>176065</v>
      </c>
      <c r="K27" s="315"/>
      <c r="L27" s="484"/>
    </row>
    <row r="28" spans="1:12" s="481" customFormat="1" ht="18.75" customHeight="1">
      <c r="A28" s="345" t="s">
        <v>165</v>
      </c>
      <c r="B28" s="346"/>
      <c r="C28" s="347"/>
      <c r="D28" s="352" t="s">
        <v>166</v>
      </c>
      <c r="E28" s="355">
        <f>G15</f>
        <v>840.14000000013039</v>
      </c>
      <c r="F28" s="577">
        <v>43.5</v>
      </c>
      <c r="G28" s="396">
        <f>E28*F28</f>
        <v>36546.090000005672</v>
      </c>
      <c r="H28" s="277">
        <f>G28+'17'!H28</f>
        <v>701065.1400000077</v>
      </c>
      <c r="I28" s="356"/>
      <c r="J28" s="314">
        <f>H28/DAY(B2)</f>
        <v>38948.063333333761</v>
      </c>
      <c r="K28" s="315"/>
      <c r="L28" s="484"/>
    </row>
    <row r="29" spans="1:12" s="481" customFormat="1" ht="18.75" customHeight="1">
      <c r="A29" s="345" t="s">
        <v>167</v>
      </c>
      <c r="B29" s="346"/>
      <c r="C29" s="347"/>
      <c r="D29" s="352" t="s">
        <v>168</v>
      </c>
      <c r="E29" s="357">
        <f>G24</f>
        <v>0</v>
      </c>
      <c r="F29" s="449">
        <v>69</v>
      </c>
      <c r="G29" s="396">
        <f>E29*F29</f>
        <v>0</v>
      </c>
      <c r="H29" s="277">
        <f>G29+'17'!H29</f>
        <v>162150</v>
      </c>
      <c r="I29" s="356"/>
      <c r="J29" s="314">
        <f>H29/DAY(B2)</f>
        <v>9008.3333333333339</v>
      </c>
      <c r="K29" s="315"/>
      <c r="L29" s="484"/>
    </row>
    <row r="30" spans="1:12" s="481" customFormat="1" ht="18.75" customHeight="1">
      <c r="A30" s="345" t="s">
        <v>169</v>
      </c>
      <c r="B30" s="346"/>
      <c r="C30" s="347"/>
      <c r="D30" s="352" t="s">
        <v>170</v>
      </c>
      <c r="E30" s="357">
        <f>G19</f>
        <v>47</v>
      </c>
      <c r="F30" s="449">
        <v>134</v>
      </c>
      <c r="G30" s="396">
        <f>E30*F30</f>
        <v>6298</v>
      </c>
      <c r="H30" s="277">
        <f>G30+'17'!H30</f>
        <v>121270</v>
      </c>
      <c r="I30" s="356"/>
      <c r="J30" s="314">
        <f>H30/DAY(B2)</f>
        <v>6737.2222222222226</v>
      </c>
      <c r="K30" s="315"/>
      <c r="L30" s="484"/>
    </row>
    <row r="31" spans="1:12" s="481" customFormat="1" ht="18.75" customHeight="1">
      <c r="A31" s="345" t="s">
        <v>171</v>
      </c>
      <c r="B31" s="346"/>
      <c r="C31" s="347"/>
      <c r="D31" s="352" t="s">
        <v>155</v>
      </c>
      <c r="E31" s="357">
        <f>G18</f>
        <v>120</v>
      </c>
      <c r="F31" s="449">
        <v>80</v>
      </c>
      <c r="G31" s="396">
        <f>E31*F31</f>
        <v>9600</v>
      </c>
      <c r="H31" s="277">
        <f>G31+'17'!H31</f>
        <v>238400</v>
      </c>
      <c r="I31" s="356"/>
      <c r="J31" s="314"/>
      <c r="K31" s="315"/>
      <c r="L31" s="484"/>
    </row>
    <row r="32" spans="1:12" s="481" customFormat="1" ht="18.75" customHeight="1">
      <c r="A32" s="443" t="s">
        <v>172</v>
      </c>
      <c r="B32" s="444"/>
      <c r="C32" s="445"/>
      <c r="D32" s="358"/>
      <c r="E32" s="358"/>
      <c r="F32" s="358"/>
      <c r="G32" s="397">
        <f>G27+G28+G29+G30+G31</f>
        <v>235585.09000000567</v>
      </c>
      <c r="H32" s="277">
        <f>G32+'17'!H32</f>
        <v>4392055.140000008</v>
      </c>
      <c r="I32" s="359"/>
      <c r="J32" s="314">
        <f>H32/DAY(B2)</f>
        <v>244003.06333333379</v>
      </c>
      <c r="K32" s="315"/>
      <c r="L32" s="484"/>
    </row>
    <row r="33" spans="1:12" ht="23.25" customHeight="1">
      <c r="A33" s="1494" t="s">
        <v>173</v>
      </c>
      <c r="B33" s="1495"/>
      <c r="C33" s="1495"/>
      <c r="D33" s="1495"/>
      <c r="E33" s="1495"/>
      <c r="F33" s="1495"/>
      <c r="G33" s="1495"/>
      <c r="H33" s="1495"/>
      <c r="I33" s="1495"/>
      <c r="J33" s="1496"/>
      <c r="K33" s="315"/>
      <c r="L33" s="293"/>
    </row>
    <row r="34" spans="1:12" ht="23.25" customHeight="1">
      <c r="A34" s="1208" t="s">
        <v>174</v>
      </c>
      <c r="B34" s="1209"/>
      <c r="C34" s="1210"/>
      <c r="D34" s="474"/>
      <c r="E34" s="422"/>
      <c r="F34" s="422"/>
      <c r="G34" s="474"/>
      <c r="H34" s="474"/>
      <c r="I34" s="474"/>
      <c r="J34" s="474"/>
      <c r="K34" s="315"/>
      <c r="L34" s="293"/>
    </row>
    <row r="35" spans="1:12" ht="23.25" customHeight="1" thickBot="1">
      <c r="A35" s="327" t="s">
        <v>175</v>
      </c>
      <c r="B35" s="328"/>
      <c r="C35" s="329"/>
      <c r="D35" s="268" t="s">
        <v>143</v>
      </c>
      <c r="E35" s="312">
        <f>'17'!F35</f>
        <v>660035.79</v>
      </c>
      <c r="F35" s="360">
        <v>662775.94999999995</v>
      </c>
      <c r="G35" s="325">
        <f>F35-E35</f>
        <v>2740.1599999999162</v>
      </c>
      <c r="H35" s="277">
        <f>G35+'17'!H35</f>
        <v>33748.279999999912</v>
      </c>
      <c r="I35" s="263"/>
      <c r="J35" s="314">
        <f>H35/DAY(B2)</f>
        <v>1874.9044444444396</v>
      </c>
      <c r="K35" s="315"/>
      <c r="L35" s="293"/>
    </row>
    <row r="36" spans="1:12" ht="23.25" customHeight="1" thickBot="1">
      <c r="A36" s="327" t="s">
        <v>176</v>
      </c>
      <c r="B36" s="328"/>
      <c r="C36" s="329"/>
      <c r="D36" s="268" t="s">
        <v>143</v>
      </c>
      <c r="E36" s="312">
        <f>'17'!F36</f>
        <v>288225.75</v>
      </c>
      <c r="F36" s="360">
        <v>289109.55</v>
      </c>
      <c r="G36" s="325">
        <f t="shared" ref="G36:G46" si="3">F36-E36</f>
        <v>883.79999999998836</v>
      </c>
      <c r="H36" s="277">
        <f>G36+'17'!H36</f>
        <v>12618.099999999977</v>
      </c>
      <c r="I36" s="263"/>
      <c r="J36" s="314">
        <f>H36/DAY(B2)</f>
        <v>701.00555555555422</v>
      </c>
      <c r="K36" s="315"/>
      <c r="L36" s="293"/>
    </row>
    <row r="37" spans="1:12" ht="23.25" customHeight="1" thickBot="1">
      <c r="A37" s="327" t="s">
        <v>177</v>
      </c>
      <c r="B37" s="328"/>
      <c r="C37" s="329"/>
      <c r="D37" s="268" t="s">
        <v>143</v>
      </c>
      <c r="E37" s="312">
        <f>'17'!F37</f>
        <v>15757.98</v>
      </c>
      <c r="F37" s="360">
        <v>17226.91</v>
      </c>
      <c r="G37" s="325">
        <f>F37-E37</f>
        <v>1468.9300000000003</v>
      </c>
      <c r="H37" s="277">
        <f>G37+'17'!H37</f>
        <v>17226.91</v>
      </c>
      <c r="I37" s="263"/>
      <c r="J37" s="314">
        <f>H37/DAY(B2)</f>
        <v>957.05055555555555</v>
      </c>
      <c r="K37" s="315"/>
      <c r="L37" s="293"/>
    </row>
    <row r="38" spans="1:12" ht="23.25" customHeight="1" thickBot="1">
      <c r="A38" s="327" t="s">
        <v>178</v>
      </c>
      <c r="B38" s="328"/>
      <c r="C38" s="329"/>
      <c r="D38" s="268" t="s">
        <v>143</v>
      </c>
      <c r="E38" s="312">
        <f>'17'!F38</f>
        <v>21208.86</v>
      </c>
      <c r="F38" s="361">
        <v>23259.4</v>
      </c>
      <c r="G38" s="325">
        <f t="shared" si="3"/>
        <v>2050.5400000000009</v>
      </c>
      <c r="H38" s="277">
        <f>G38+'17'!H38</f>
        <v>23161.520000000004</v>
      </c>
      <c r="I38" s="263"/>
      <c r="J38" s="314">
        <f>H38/DAY(B2)</f>
        <v>1286.7511111111114</v>
      </c>
      <c r="K38" s="315"/>
      <c r="L38" s="293"/>
    </row>
    <row r="39" spans="1:12" ht="23.25" customHeight="1" thickBot="1">
      <c r="A39" s="327" t="s">
        <v>179</v>
      </c>
      <c r="B39" s="328"/>
      <c r="C39" s="329"/>
      <c r="D39" s="268" t="s">
        <v>143</v>
      </c>
      <c r="E39" s="312">
        <f>'17'!F39</f>
        <v>44433.18</v>
      </c>
      <c r="F39" s="360">
        <v>48714.36</v>
      </c>
      <c r="G39" s="325">
        <f>F39-E39</f>
        <v>4281.18</v>
      </c>
      <c r="H39" s="277">
        <f>G39+'17'!H39</f>
        <v>48714.36</v>
      </c>
      <c r="I39" s="263"/>
      <c r="J39" s="314">
        <f>H39/DAY(B2)</f>
        <v>2706.3533333333335</v>
      </c>
      <c r="K39" s="315"/>
      <c r="L39" s="293"/>
    </row>
    <row r="40" spans="1:12" ht="23.25" customHeight="1" thickBot="1">
      <c r="A40" s="362" t="s">
        <v>180</v>
      </c>
      <c r="B40" s="363"/>
      <c r="C40" s="364"/>
      <c r="D40" s="268" t="s">
        <v>143</v>
      </c>
      <c r="E40" s="312">
        <v>0</v>
      </c>
      <c r="F40" s="360">
        <v>0</v>
      </c>
      <c r="G40" s="325">
        <f t="shared" si="3"/>
        <v>0</v>
      </c>
      <c r="H40" s="277">
        <f>G40+'17'!H40</f>
        <v>-0.06</v>
      </c>
      <c r="I40" s="263"/>
      <c r="J40" s="314">
        <f>H40/DAY(B2)</f>
        <v>-3.3333333333333331E-3</v>
      </c>
      <c r="K40" s="330"/>
      <c r="L40" s="293"/>
    </row>
    <row r="41" spans="1:12" ht="23.25" customHeight="1" thickBot="1">
      <c r="A41" s="327" t="s">
        <v>181</v>
      </c>
      <c r="B41" s="328"/>
      <c r="C41" s="329"/>
      <c r="D41" s="268" t="s">
        <v>143</v>
      </c>
      <c r="E41" s="312">
        <f>'17'!F41</f>
        <v>61860.89</v>
      </c>
      <c r="F41" s="360">
        <v>63882.37</v>
      </c>
      <c r="G41" s="325">
        <f t="shared" si="3"/>
        <v>2021.4800000000032</v>
      </c>
      <c r="H41" s="277">
        <f>G41+'17'!H41</f>
        <v>19259.850000000006</v>
      </c>
      <c r="I41" s="263"/>
      <c r="J41" s="314">
        <f>H41/DAY(B2)</f>
        <v>1069.991666666667</v>
      </c>
      <c r="K41" s="315"/>
      <c r="L41" s="293"/>
    </row>
    <row r="42" spans="1:12" ht="23.25" customHeight="1" thickBot="1">
      <c r="A42" s="327" t="s">
        <v>182</v>
      </c>
      <c r="B42" s="328"/>
      <c r="C42" s="329"/>
      <c r="D42" s="268" t="s">
        <v>143</v>
      </c>
      <c r="E42" s="312">
        <f>'17'!F42</f>
        <v>58926</v>
      </c>
      <c r="F42" s="360">
        <v>59128.85</v>
      </c>
      <c r="G42" s="325">
        <f t="shared" si="3"/>
        <v>202.84999999999854</v>
      </c>
      <c r="H42" s="277">
        <f>G42+'17'!H42</f>
        <v>202.84999999999854</v>
      </c>
      <c r="I42" s="263"/>
      <c r="J42" s="314">
        <f>H42/DAY(B2)</f>
        <v>11.269444444444364</v>
      </c>
      <c r="K42" s="315"/>
      <c r="L42" s="293"/>
    </row>
    <row r="43" spans="1:12" ht="23.25" customHeight="1" thickBot="1">
      <c r="A43" s="327" t="s">
        <v>183</v>
      </c>
      <c r="B43" s="328"/>
      <c r="C43" s="329"/>
      <c r="D43" s="268" t="s">
        <v>143</v>
      </c>
      <c r="E43" s="312">
        <f>'17'!F43</f>
        <v>800191.59</v>
      </c>
      <c r="F43" s="360">
        <v>802525.75</v>
      </c>
      <c r="G43" s="325">
        <f t="shared" si="3"/>
        <v>2334.1600000000326</v>
      </c>
      <c r="H43" s="277">
        <f>G43+'17'!H43</f>
        <v>34713.839999999967</v>
      </c>
      <c r="I43" s="263"/>
      <c r="J43" s="314">
        <f>H43/DAY(B2)</f>
        <v>1928.5466666666648</v>
      </c>
      <c r="K43" s="315"/>
      <c r="L43" s="293"/>
    </row>
    <row r="44" spans="1:12" ht="23.25" customHeight="1" thickBot="1">
      <c r="A44" s="327" t="s">
        <v>184</v>
      </c>
      <c r="B44" s="328"/>
      <c r="C44" s="329"/>
      <c r="D44" s="268" t="s">
        <v>143</v>
      </c>
      <c r="E44" s="312">
        <f>'17'!F44</f>
        <v>0</v>
      </c>
      <c r="F44" s="360">
        <v>0</v>
      </c>
      <c r="G44" s="325">
        <f t="shared" si="3"/>
        <v>0</v>
      </c>
      <c r="H44" s="277">
        <f>G44+'17'!H44</f>
        <v>0</v>
      </c>
      <c r="I44" s="263"/>
      <c r="J44" s="314">
        <f>H44/DAY(B2)</f>
        <v>0</v>
      </c>
      <c r="K44" s="315"/>
      <c r="L44" s="293"/>
    </row>
    <row r="45" spans="1:12" ht="23.25" customHeight="1" thickBot="1">
      <c r="A45" s="327" t="s">
        <v>185</v>
      </c>
      <c r="B45" s="328"/>
      <c r="C45" s="329"/>
      <c r="D45" s="268" t="s">
        <v>143</v>
      </c>
      <c r="E45" s="312">
        <f>'17'!F45</f>
        <v>614</v>
      </c>
      <c r="F45" s="360">
        <v>614</v>
      </c>
      <c r="G45" s="325">
        <f t="shared" si="3"/>
        <v>0</v>
      </c>
      <c r="H45" s="277">
        <f>G45+'17'!H45</f>
        <v>-0.48000000000001819</v>
      </c>
      <c r="I45" s="263"/>
      <c r="J45" s="314">
        <f>H45/DAY(B2)</f>
        <v>-2.6666666666667678E-2</v>
      </c>
      <c r="K45" s="315"/>
      <c r="L45" s="293"/>
    </row>
    <row r="46" spans="1:12" ht="23.25" customHeight="1" thickBot="1">
      <c r="A46" s="327" t="s">
        <v>186</v>
      </c>
      <c r="B46" s="328"/>
      <c r="C46" s="329"/>
      <c r="D46" s="268" t="s">
        <v>143</v>
      </c>
      <c r="E46" s="312">
        <f>'17'!F46</f>
        <v>187.49</v>
      </c>
      <c r="F46" s="360">
        <v>187.44</v>
      </c>
      <c r="G46" s="325">
        <f t="shared" si="3"/>
        <v>-5.0000000000011369E-2</v>
      </c>
      <c r="H46" s="277">
        <f>G46+'17'!H46</f>
        <v>-5.0000000000011369E-2</v>
      </c>
      <c r="I46" s="263"/>
      <c r="J46" s="314">
        <f>H46/DAY(B2)</f>
        <v>-2.7777777777784093E-3</v>
      </c>
      <c r="K46" s="315"/>
      <c r="L46" s="293"/>
    </row>
    <row r="47" spans="1:12" ht="23.25" customHeight="1">
      <c r="A47" s="437" t="s">
        <v>187</v>
      </c>
      <c r="B47" s="438"/>
      <c r="C47" s="439"/>
      <c r="D47" s="365"/>
      <c r="E47" s="269"/>
      <c r="F47" s="269"/>
      <c r="G47" s="279">
        <f>G35+G36+G37+G38+G39+G40+G41+G42+G43+G44+G45+G46</f>
        <v>15983.049999999941</v>
      </c>
      <c r="H47" s="277">
        <f>G47+'17'!H47</f>
        <v>189645.11999999985</v>
      </c>
      <c r="I47" s="263"/>
      <c r="J47" s="314">
        <f>H47/DAY(B2)</f>
        <v>10535.839999999991</v>
      </c>
      <c r="K47" s="315"/>
      <c r="L47" s="293"/>
    </row>
    <row r="48" spans="1:12" ht="23.25" customHeight="1">
      <c r="A48" s="1208" t="s">
        <v>188</v>
      </c>
      <c r="B48" s="1209"/>
      <c r="C48" s="1210"/>
      <c r="D48" s="474"/>
      <c r="E48" s="422"/>
      <c r="F48" s="422"/>
      <c r="G48" s="474"/>
      <c r="H48" s="474"/>
      <c r="I48" s="474"/>
      <c r="J48" s="474"/>
      <c r="K48" s="315"/>
      <c r="L48" s="293"/>
    </row>
    <row r="49" spans="1:12" ht="23.25" customHeight="1" thickBot="1">
      <c r="A49" s="327" t="s">
        <v>175</v>
      </c>
      <c r="B49" s="366"/>
      <c r="C49" s="367"/>
      <c r="D49" s="268" t="s">
        <v>143</v>
      </c>
      <c r="E49" s="312">
        <f>'17'!F49</f>
        <v>260732.13</v>
      </c>
      <c r="F49" s="360">
        <v>260732.13</v>
      </c>
      <c r="G49" s="325">
        <f t="shared" ref="G49:G58" si="4">F49-E49</f>
        <v>0</v>
      </c>
      <c r="H49" s="277">
        <f>G49+'17'!H49</f>
        <v>14833.080000000016</v>
      </c>
      <c r="I49" s="263"/>
      <c r="J49" s="314">
        <f>H49/DAY(B2)</f>
        <v>824.06000000000085</v>
      </c>
      <c r="K49" s="315">
        <f>E49+247</f>
        <v>260979.13</v>
      </c>
      <c r="L49" s="293"/>
    </row>
    <row r="50" spans="1:12" ht="23.25" customHeight="1" thickBot="1">
      <c r="A50" s="327" t="s">
        <v>189</v>
      </c>
      <c r="B50" s="366"/>
      <c r="C50" s="367"/>
      <c r="D50" s="268" t="s">
        <v>143</v>
      </c>
      <c r="E50" s="312">
        <f>'17'!F50</f>
        <v>389033.47</v>
      </c>
      <c r="F50" s="360">
        <v>390162.03</v>
      </c>
      <c r="G50" s="325">
        <f t="shared" si="4"/>
        <v>1128.5600000000559</v>
      </c>
      <c r="H50" s="277">
        <f>G50+'17'!H50</f>
        <v>20501.72000000003</v>
      </c>
      <c r="I50" s="263"/>
      <c r="J50" s="314">
        <f>H50/DAY(B2)</f>
        <v>1138.9844444444461</v>
      </c>
      <c r="K50" s="315"/>
      <c r="L50" s="293"/>
    </row>
    <row r="51" spans="1:12" ht="23.25" customHeight="1" thickBot="1">
      <c r="A51" s="327" t="s">
        <v>177</v>
      </c>
      <c r="B51" s="366"/>
      <c r="C51" s="367"/>
      <c r="D51" s="268" t="s">
        <v>143</v>
      </c>
      <c r="E51" s="312">
        <f>'17'!F51</f>
        <v>120050.92</v>
      </c>
      <c r="F51" s="360">
        <v>120050.92</v>
      </c>
      <c r="G51" s="325">
        <f t="shared" si="4"/>
        <v>0</v>
      </c>
      <c r="H51" s="277">
        <f>G51+'17'!H51</f>
        <v>9951.179999999993</v>
      </c>
      <c r="I51" s="263"/>
      <c r="J51" s="314">
        <f>H51/DAY(B2)</f>
        <v>552.84333333333291</v>
      </c>
      <c r="K51" s="315"/>
      <c r="L51" s="293"/>
    </row>
    <row r="52" spans="1:12" ht="23.25" customHeight="1" thickBot="1">
      <c r="A52" s="327" t="s">
        <v>190</v>
      </c>
      <c r="B52" s="366"/>
      <c r="C52" s="367"/>
      <c r="D52" s="268" t="s">
        <v>143</v>
      </c>
      <c r="E52" s="312">
        <f>'17'!F52</f>
        <v>507912.71</v>
      </c>
      <c r="F52" s="360">
        <v>507912.71</v>
      </c>
      <c r="G52" s="325">
        <f t="shared" si="4"/>
        <v>0</v>
      </c>
      <c r="H52" s="277">
        <f>G52+'17'!H52</f>
        <v>14104.040000000037</v>
      </c>
      <c r="I52" s="263"/>
      <c r="J52" s="314">
        <f>H52/DAY(B2)</f>
        <v>783.55777777777985</v>
      </c>
      <c r="K52" s="315"/>
      <c r="L52" s="293"/>
    </row>
    <row r="53" spans="1:12" ht="23.25" customHeight="1" thickBot="1">
      <c r="A53" s="327" t="s">
        <v>179</v>
      </c>
      <c r="B53" s="366"/>
      <c r="C53" s="367"/>
      <c r="D53" s="268" t="s">
        <v>143</v>
      </c>
      <c r="E53" s="312">
        <f>'17'!F53</f>
        <v>331854.51</v>
      </c>
      <c r="F53" s="1322">
        <v>331854.51</v>
      </c>
      <c r="G53" s="325">
        <f t="shared" si="4"/>
        <v>0</v>
      </c>
      <c r="H53" s="277">
        <f>G53+'17'!H53</f>
        <v>27556.239999999991</v>
      </c>
      <c r="I53" s="263"/>
      <c r="J53" s="314">
        <f>H53/DAY(B2)</f>
        <v>1530.9022222222218</v>
      </c>
      <c r="K53" s="315"/>
      <c r="L53" s="293"/>
    </row>
    <row r="54" spans="1:12" ht="23.25" customHeight="1" thickBot="1">
      <c r="A54" s="327" t="s">
        <v>191</v>
      </c>
      <c r="B54" s="366"/>
      <c r="C54" s="367"/>
      <c r="D54" s="268" t="s">
        <v>143</v>
      </c>
      <c r="E54" s="312">
        <f>'17'!F54</f>
        <v>7329.37</v>
      </c>
      <c r="F54" s="360">
        <v>7399.4</v>
      </c>
      <c r="G54" s="325">
        <f t="shared" si="4"/>
        <v>70.029999999999745</v>
      </c>
      <c r="H54" s="277">
        <f>G54+'17'!H54</f>
        <v>1010.5999999999995</v>
      </c>
      <c r="I54" s="263"/>
      <c r="J54" s="314">
        <f>H54/DAY(B2)</f>
        <v>56.144444444444417</v>
      </c>
      <c r="K54" s="315"/>
      <c r="L54" s="293"/>
    </row>
    <row r="55" spans="1:12" ht="23.25" customHeight="1" thickBot="1">
      <c r="A55" s="327" t="s">
        <v>192</v>
      </c>
      <c r="B55" s="366"/>
      <c r="C55" s="367"/>
      <c r="D55" s="268" t="s">
        <v>143</v>
      </c>
      <c r="E55" s="312">
        <f>'17'!F55</f>
        <v>94218.42</v>
      </c>
      <c r="F55" s="360">
        <v>94270.399999999994</v>
      </c>
      <c r="G55" s="325">
        <f t="shared" si="4"/>
        <v>51.979999999995925</v>
      </c>
      <c r="H55" s="277">
        <f>G55+'17'!H55</f>
        <v>51282.419999999991</v>
      </c>
      <c r="I55" s="263"/>
      <c r="J55" s="314">
        <f>H55/DAY(B2)</f>
        <v>2849.0233333333326</v>
      </c>
      <c r="K55" s="315"/>
      <c r="L55" s="293"/>
    </row>
    <row r="56" spans="1:12" ht="23.25" customHeight="1" thickBot="1">
      <c r="A56" s="327" t="s">
        <v>193</v>
      </c>
      <c r="B56" s="366"/>
      <c r="C56" s="367"/>
      <c r="D56" s="268" t="s">
        <v>194</v>
      </c>
      <c r="E56" s="312">
        <f>'17'!F56</f>
        <v>557802.51</v>
      </c>
      <c r="F56" s="360">
        <v>560113.06999999995</v>
      </c>
      <c r="G56" s="325">
        <f t="shared" si="4"/>
        <v>2310.5599999999395</v>
      </c>
      <c r="H56" s="277">
        <f>G56+'17'!H56</f>
        <v>2381.1599999999162</v>
      </c>
      <c r="I56" s="263"/>
      <c r="J56" s="314">
        <f>H56/DAY(B2)</f>
        <v>132.286666666662</v>
      </c>
      <c r="K56" s="307"/>
      <c r="L56" s="293"/>
    </row>
    <row r="57" spans="1:12" ht="23.25" customHeight="1" thickBot="1">
      <c r="A57" s="327" t="s">
        <v>183</v>
      </c>
      <c r="B57" s="366"/>
      <c r="C57" s="367"/>
      <c r="D57" s="268" t="s">
        <v>143</v>
      </c>
      <c r="E57" s="312">
        <f>'17'!F57</f>
        <v>7711.33</v>
      </c>
      <c r="F57" s="360">
        <v>7711.33</v>
      </c>
      <c r="G57" s="325">
        <f t="shared" si="4"/>
        <v>0</v>
      </c>
      <c r="H57" s="277">
        <f>G57+'17'!H57</f>
        <v>7711.33</v>
      </c>
      <c r="I57" s="263"/>
      <c r="J57" s="314">
        <f>H57/DAY(B2)</f>
        <v>428.40722222222223</v>
      </c>
      <c r="K57" s="315"/>
      <c r="L57" s="293"/>
    </row>
    <row r="58" spans="1:12" ht="23.25" customHeight="1" thickBot="1">
      <c r="A58" s="327" t="s">
        <v>195</v>
      </c>
      <c r="B58" s="366"/>
      <c r="C58" s="367"/>
      <c r="D58" s="268" t="s">
        <v>143</v>
      </c>
      <c r="E58" s="312">
        <f>'17'!F58</f>
        <v>33643.31</v>
      </c>
      <c r="F58" s="360">
        <v>33857.69</v>
      </c>
      <c r="G58" s="325">
        <f t="shared" si="4"/>
        <v>214.38000000000466</v>
      </c>
      <c r="H58" s="277">
        <f>G58+'17'!H58</f>
        <v>3128.1500000000051</v>
      </c>
      <c r="I58" s="263"/>
      <c r="J58" s="314">
        <f>H58/DAY(B2)</f>
        <v>173.78611111111138</v>
      </c>
      <c r="K58" s="315"/>
      <c r="L58" s="293"/>
    </row>
    <row r="59" spans="1:12" ht="23.25" customHeight="1">
      <c r="A59" s="437" t="s">
        <v>187</v>
      </c>
      <c r="B59" s="438"/>
      <c r="C59" s="439"/>
      <c r="D59" s="269"/>
      <c r="E59" s="269"/>
      <c r="F59" s="269"/>
      <c r="G59" s="279">
        <f>G49+G50+G51+G52+G53+G54+G55+G56+G57+G58</f>
        <v>3775.5099999999957</v>
      </c>
      <c r="H59" s="277">
        <f>G59+'17'!H59</f>
        <v>152459.92000000001</v>
      </c>
      <c r="I59" s="263">
        <f>G7-G60</f>
        <v>436.44000000006417</v>
      </c>
      <c r="J59" s="314">
        <f>H59/DAY(B2)</f>
        <v>8469.9955555555571</v>
      </c>
      <c r="K59" s="315"/>
      <c r="L59" s="293"/>
    </row>
    <row r="60" spans="1:12" ht="23.25" customHeight="1">
      <c r="A60" s="368"/>
      <c r="B60" s="368"/>
      <c r="C60" s="368"/>
      <c r="D60" s="269" t="s">
        <v>196</v>
      </c>
      <c r="E60" s="269"/>
      <c r="F60" s="269"/>
      <c r="G60" s="279">
        <f>G47+G59</f>
        <v>19758.559999999936</v>
      </c>
      <c r="H60" s="277">
        <f>G60+'17'!H60</f>
        <v>347285.22999999975</v>
      </c>
      <c r="I60" s="263">
        <f>G13-G60</f>
        <v>-169.16000000002896</v>
      </c>
      <c r="J60" s="314">
        <f>H60/DAY(B2)</f>
        <v>19293.623888888877</v>
      </c>
      <c r="K60" s="315"/>
      <c r="L60" s="293"/>
    </row>
    <row r="61" spans="1:12" ht="23.25" customHeight="1">
      <c r="A61" s="429" t="s">
        <v>197</v>
      </c>
      <c r="B61" s="430"/>
      <c r="C61" s="431"/>
      <c r="D61" s="432"/>
      <c r="E61" s="433"/>
      <c r="F61" s="433"/>
      <c r="G61" s="434"/>
      <c r="H61" s="434"/>
      <c r="I61" s="434"/>
      <c r="J61" s="434"/>
      <c r="K61" s="315"/>
      <c r="L61" s="293"/>
    </row>
    <row r="62" spans="1:12" ht="23.25" customHeight="1" thickBot="1">
      <c r="A62" s="369" t="s">
        <v>106</v>
      </c>
      <c r="B62" s="370"/>
      <c r="C62" s="371"/>
      <c r="D62" s="269" t="s">
        <v>198</v>
      </c>
      <c r="E62" s="312">
        <f>'17'!F62</f>
        <v>20419.18</v>
      </c>
      <c r="F62" s="270">
        <v>20419.18</v>
      </c>
      <c r="G62" s="325">
        <f t="shared" ref="G62:G69" si="5">F62-E62</f>
        <v>0</v>
      </c>
      <c r="H62" s="277">
        <f>G62+'17'!H62</f>
        <v>-8.9999999981955625E-3</v>
      </c>
      <c r="I62" s="372"/>
      <c r="J62" s="314">
        <f>H62/DAY(B2)</f>
        <v>-4.9999999989975348E-4</v>
      </c>
      <c r="K62" s="315"/>
      <c r="L62" s="293"/>
    </row>
    <row r="63" spans="1:12" ht="23.25" customHeight="1" thickBot="1">
      <c r="A63" s="369" t="s">
        <v>199</v>
      </c>
      <c r="B63" s="370"/>
      <c r="C63" s="371"/>
      <c r="D63" s="269" t="s">
        <v>198</v>
      </c>
      <c r="E63" s="312">
        <f>'17'!F63</f>
        <v>1558.35</v>
      </c>
      <c r="F63" s="270">
        <v>1571.72</v>
      </c>
      <c r="G63" s="325">
        <f t="shared" si="5"/>
        <v>13.370000000000118</v>
      </c>
      <c r="H63" s="277">
        <f>G63+'17'!H63</f>
        <v>239.19000000000005</v>
      </c>
      <c r="I63" s="372"/>
      <c r="J63" s="314">
        <f>H63/DAY(B2)</f>
        <v>13.288333333333336</v>
      </c>
      <c r="K63" s="315"/>
      <c r="L63" s="293"/>
    </row>
    <row r="64" spans="1:12" ht="23.25" customHeight="1" thickBot="1">
      <c r="A64" s="1475" t="s">
        <v>107</v>
      </c>
      <c r="B64" s="1476"/>
      <c r="C64" s="1477"/>
      <c r="D64" s="268" t="s">
        <v>198</v>
      </c>
      <c r="E64" s="312">
        <f>'17'!F64</f>
        <v>118398.78</v>
      </c>
      <c r="F64" s="267">
        <v>118827.98</v>
      </c>
      <c r="G64" s="325">
        <f t="shared" si="5"/>
        <v>429.19999999999709</v>
      </c>
      <c r="H64" s="277">
        <f>G64+'17'!H64</f>
        <v>7544.5199999999895</v>
      </c>
      <c r="I64" s="326"/>
      <c r="J64" s="314">
        <f>H64/DAY(B2)</f>
        <v>419.13999999999942</v>
      </c>
      <c r="K64" s="315"/>
      <c r="L64" s="293"/>
    </row>
    <row r="65" spans="1:12" ht="23.25" customHeight="1" thickBot="1">
      <c r="A65" s="1475" t="s">
        <v>108</v>
      </c>
      <c r="B65" s="1476"/>
      <c r="C65" s="1477"/>
      <c r="D65" s="268" t="s">
        <v>198</v>
      </c>
      <c r="E65" s="312">
        <f>'17'!F65</f>
        <v>128247.81</v>
      </c>
      <c r="F65" s="267">
        <v>128645.1</v>
      </c>
      <c r="G65" s="325">
        <f t="shared" si="5"/>
        <v>397.29000000000815</v>
      </c>
      <c r="H65" s="277">
        <f>G65+'17'!H65</f>
        <v>6911.9900000000052</v>
      </c>
      <c r="I65" s="340"/>
      <c r="J65" s="314">
        <f>H65/DAY(B2)</f>
        <v>383.99944444444475</v>
      </c>
      <c r="K65" s="315"/>
      <c r="L65" s="293"/>
    </row>
    <row r="66" spans="1:12" ht="23.25" customHeight="1" thickBot="1">
      <c r="A66" s="1475" t="s">
        <v>109</v>
      </c>
      <c r="B66" s="1476"/>
      <c r="C66" s="1477"/>
      <c r="D66" s="268" t="s">
        <v>198</v>
      </c>
      <c r="E66" s="312">
        <f>'17'!F66</f>
        <v>20852.34</v>
      </c>
      <c r="F66" s="267">
        <v>21251.279999999999</v>
      </c>
      <c r="G66" s="325">
        <f t="shared" si="5"/>
        <v>398.93999999999869</v>
      </c>
      <c r="H66" s="277">
        <f>G66+'17'!H66</f>
        <v>7091.5399999999991</v>
      </c>
      <c r="I66" s="326"/>
      <c r="J66" s="314">
        <f>H66/DAY(B2)</f>
        <v>393.97444444444437</v>
      </c>
      <c r="K66" s="315"/>
      <c r="L66" s="293"/>
    </row>
    <row r="67" spans="1:12" ht="23.25" customHeight="1" thickBot="1">
      <c r="A67" s="1475" t="s">
        <v>110</v>
      </c>
      <c r="B67" s="1476"/>
      <c r="C67" s="1477"/>
      <c r="D67" s="268" t="s">
        <v>198</v>
      </c>
      <c r="E67" s="312">
        <f>'17'!F67</f>
        <v>200595.89</v>
      </c>
      <c r="F67" s="267">
        <v>201261</v>
      </c>
      <c r="G67" s="325">
        <f t="shared" si="5"/>
        <v>665.10999999998603</v>
      </c>
      <c r="H67" s="277">
        <f>G67+'17'!H67</f>
        <v>12586.470000000001</v>
      </c>
      <c r="I67" s="340"/>
      <c r="J67" s="314">
        <f>H67/DAY(B2)</f>
        <v>699.24833333333345</v>
      </c>
      <c r="K67" s="330"/>
      <c r="L67" s="293"/>
    </row>
    <row r="68" spans="1:12" ht="23.25" customHeight="1" thickBot="1">
      <c r="A68" s="1475" t="s">
        <v>111</v>
      </c>
      <c r="B68" s="1476"/>
      <c r="C68" s="1477"/>
      <c r="D68" s="268" t="s">
        <v>198</v>
      </c>
      <c r="E68" s="312">
        <f>'17'!F68</f>
        <v>69092.17</v>
      </c>
      <c r="F68" s="267">
        <v>69482.3</v>
      </c>
      <c r="G68" s="325">
        <f t="shared" si="5"/>
        <v>390.13000000000466</v>
      </c>
      <c r="H68" s="277">
        <f>G68+'17'!H68</f>
        <v>6182.4400000000023</v>
      </c>
      <c r="I68" s="373"/>
      <c r="J68" s="314">
        <f>H68/DAY(B2)</f>
        <v>343.46888888888901</v>
      </c>
      <c r="K68" s="374"/>
      <c r="L68" s="293"/>
    </row>
    <row r="69" spans="1:12" ht="23.25" customHeight="1" thickBot="1">
      <c r="A69" s="1475" t="s">
        <v>112</v>
      </c>
      <c r="B69" s="1476"/>
      <c r="C69" s="1477"/>
      <c r="D69" s="268" t="s">
        <v>198</v>
      </c>
      <c r="E69" s="312">
        <f>'17'!F69</f>
        <v>60872.25</v>
      </c>
      <c r="F69" s="267">
        <v>61188.27</v>
      </c>
      <c r="G69" s="325">
        <f t="shared" si="5"/>
        <v>316.0199999999968</v>
      </c>
      <c r="H69" s="277">
        <f>G69+'17'!H69</f>
        <v>5464.5599999999977</v>
      </c>
      <c r="I69" s="373"/>
      <c r="J69" s="314">
        <f>H69/DAY(B2)</f>
        <v>303.58666666666653</v>
      </c>
      <c r="K69" s="375"/>
      <c r="L69" s="293"/>
    </row>
    <row r="70" spans="1:12" ht="23.25" customHeight="1">
      <c r="A70" s="1488" t="s">
        <v>200</v>
      </c>
      <c r="B70" s="1489"/>
      <c r="C70" s="1490"/>
      <c r="D70" s="268" t="s">
        <v>198</v>
      </c>
      <c r="E70" s="460"/>
      <c r="F70" s="461"/>
      <c r="G70" s="461"/>
      <c r="H70" s="277">
        <f>G70+'13'!H70</f>
        <v>0</v>
      </c>
      <c r="I70" s="461"/>
      <c r="J70" s="461"/>
      <c r="K70" s="375"/>
      <c r="L70" s="293"/>
    </row>
    <row r="71" spans="1:12" ht="23.25" customHeight="1">
      <c r="A71" s="1485" t="s">
        <v>201</v>
      </c>
      <c r="B71" s="1486"/>
      <c r="C71" s="1486"/>
      <c r="D71" s="1486"/>
      <c r="E71" s="1486"/>
      <c r="F71" s="1486"/>
      <c r="G71" s="1486"/>
      <c r="H71" s="1486"/>
      <c r="I71" s="1486"/>
      <c r="J71" s="1487"/>
      <c r="K71" s="374"/>
      <c r="L71" s="293"/>
    </row>
    <row r="72" spans="1:12" ht="23.25" customHeight="1" thickBot="1">
      <c r="A72" s="1475" t="s">
        <v>202</v>
      </c>
      <c r="B72" s="1476"/>
      <c r="C72" s="1477"/>
      <c r="D72" s="268" t="s">
        <v>198</v>
      </c>
      <c r="E72" s="312">
        <f>'17'!F72</f>
        <v>849784</v>
      </c>
      <c r="F72" s="271">
        <v>849849</v>
      </c>
      <c r="G72" s="325">
        <f t="shared" ref="G72:G84" si="6">F72-E72</f>
        <v>65</v>
      </c>
      <c r="H72" s="277">
        <f>G72+'17'!H72</f>
        <v>1297</v>
      </c>
      <c r="I72" s="326"/>
      <c r="J72" s="314">
        <f>H72/DAY(B2)</f>
        <v>72.055555555555557</v>
      </c>
      <c r="K72" s="375"/>
      <c r="L72" s="293"/>
    </row>
    <row r="73" spans="1:12" ht="23.25" customHeight="1" thickBot="1">
      <c r="A73" s="1475" t="s">
        <v>203</v>
      </c>
      <c r="B73" s="1476"/>
      <c r="C73" s="1477"/>
      <c r="D73" s="268" t="s">
        <v>198</v>
      </c>
      <c r="E73" s="312">
        <f>'17'!F73</f>
        <v>885740</v>
      </c>
      <c r="F73" s="271">
        <v>885740</v>
      </c>
      <c r="G73" s="325">
        <f t="shared" si="6"/>
        <v>0</v>
      </c>
      <c r="H73" s="277">
        <f>G73+'17'!H73</f>
        <v>959</v>
      </c>
      <c r="I73" s="326"/>
      <c r="J73" s="314">
        <f>H73/DAY(B2)</f>
        <v>53.277777777777779</v>
      </c>
      <c r="K73" s="374"/>
      <c r="L73" s="293"/>
    </row>
    <row r="74" spans="1:12" ht="23.25" customHeight="1" thickBot="1">
      <c r="A74" s="1475" t="s">
        <v>204</v>
      </c>
      <c r="B74" s="1476"/>
      <c r="C74" s="1477"/>
      <c r="D74" s="268" t="s">
        <v>198</v>
      </c>
      <c r="E74" s="312">
        <f>'17'!F74</f>
        <v>301.76</v>
      </c>
      <c r="F74" s="271">
        <v>353.78</v>
      </c>
      <c r="G74" s="325">
        <f t="shared" si="6"/>
        <v>52.019999999999982</v>
      </c>
      <c r="H74" s="277">
        <f>G74+'17'!H74</f>
        <v>582.88</v>
      </c>
      <c r="I74" s="326"/>
      <c r="J74" s="314">
        <f>H74/DAY(B2)</f>
        <v>32.382222222222225</v>
      </c>
      <c r="K74" s="375"/>
      <c r="L74" s="293"/>
    </row>
    <row r="75" spans="1:12" ht="23.25" customHeight="1" thickBot="1">
      <c r="A75" s="1481" t="s">
        <v>205</v>
      </c>
      <c r="B75" s="1482"/>
      <c r="C75" s="1483"/>
      <c r="D75" s="268" t="s">
        <v>198</v>
      </c>
      <c r="E75" s="312">
        <f>'17'!F75</f>
        <v>1609.55</v>
      </c>
      <c r="F75" s="271">
        <v>1809.61</v>
      </c>
      <c r="G75" s="325">
        <f t="shared" si="6"/>
        <v>200.05999999999995</v>
      </c>
      <c r="H75" s="277">
        <f>G75+'17'!H75</f>
        <v>3346.0100000000007</v>
      </c>
      <c r="I75" s="326"/>
      <c r="J75" s="314">
        <f>H75/DAY(B2)</f>
        <v>185.88944444444448</v>
      </c>
      <c r="K75" s="374"/>
      <c r="L75" s="293"/>
    </row>
    <row r="76" spans="1:12" ht="23.25" customHeight="1" thickBot="1">
      <c r="A76" s="1481" t="s">
        <v>206</v>
      </c>
      <c r="B76" s="1482"/>
      <c r="C76" s="1483"/>
      <c r="D76" s="268" t="s">
        <v>198</v>
      </c>
      <c r="E76" s="312">
        <f>'17'!F76</f>
        <v>658.5</v>
      </c>
      <c r="F76" s="271">
        <v>745.94</v>
      </c>
      <c r="G76" s="325">
        <f t="shared" si="6"/>
        <v>87.440000000000055</v>
      </c>
      <c r="H76" s="277">
        <f>G76+'17'!H76</f>
        <v>2743.1400000000003</v>
      </c>
      <c r="I76" s="356"/>
      <c r="J76" s="314">
        <f>H76/DAY(B2)</f>
        <v>152.39666666666668</v>
      </c>
      <c r="K76" s="374"/>
      <c r="L76" s="293"/>
    </row>
    <row r="77" spans="1:12" ht="23.25" customHeight="1" thickBot="1">
      <c r="A77" s="1475" t="s">
        <v>207</v>
      </c>
      <c r="B77" s="1476"/>
      <c r="C77" s="1477"/>
      <c r="D77" s="268" t="s">
        <v>198</v>
      </c>
      <c r="E77" s="312">
        <f>'17'!F77</f>
        <v>698053</v>
      </c>
      <c r="F77" s="271">
        <v>698104</v>
      </c>
      <c r="G77" s="325">
        <f t="shared" si="6"/>
        <v>51</v>
      </c>
      <c r="H77" s="277">
        <f>G77+'17'!H77</f>
        <v>997</v>
      </c>
      <c r="I77" s="356"/>
      <c r="J77" s="314">
        <f>H77/DAY(B2)</f>
        <v>55.388888888888886</v>
      </c>
      <c r="K77" s="374"/>
      <c r="L77" s="293"/>
    </row>
    <row r="78" spans="1:12" ht="23.25" customHeight="1" thickBot="1">
      <c r="A78" s="1216" t="s">
        <v>208</v>
      </c>
      <c r="B78" s="1217"/>
      <c r="C78" s="1218"/>
      <c r="D78" s="268" t="s">
        <v>198</v>
      </c>
      <c r="E78" s="312">
        <f>'17'!F78</f>
        <v>648925</v>
      </c>
      <c r="F78" s="271">
        <v>649295</v>
      </c>
      <c r="G78" s="325">
        <f t="shared" si="6"/>
        <v>370</v>
      </c>
      <c r="H78" s="277">
        <f>G78+'17'!H78</f>
        <v>7342</v>
      </c>
      <c r="I78" s="356"/>
      <c r="J78" s="314">
        <f>H78/DAY(B2)</f>
        <v>407.88888888888891</v>
      </c>
      <c r="K78" s="374"/>
      <c r="L78" s="293"/>
    </row>
    <row r="79" spans="1:12" ht="23.25" customHeight="1" thickBot="1">
      <c r="A79" s="1484" t="s">
        <v>97</v>
      </c>
      <c r="B79" s="1479"/>
      <c r="C79" s="1480"/>
      <c r="D79" s="376" t="s">
        <v>198</v>
      </c>
      <c r="E79" s="312">
        <f>'17'!F79</f>
        <v>813005</v>
      </c>
      <c r="F79" s="271">
        <v>813181</v>
      </c>
      <c r="G79" s="325">
        <f t="shared" si="6"/>
        <v>176</v>
      </c>
      <c r="H79" s="277">
        <f>G79+'17'!H79</f>
        <v>6355</v>
      </c>
      <c r="I79" s="356"/>
      <c r="J79" s="314">
        <f>H79/DAY(B2)</f>
        <v>353.05555555555554</v>
      </c>
      <c r="K79" s="374"/>
      <c r="L79" s="293"/>
    </row>
    <row r="80" spans="1:12" ht="23.25" customHeight="1" thickBot="1">
      <c r="A80" s="1484" t="s">
        <v>209</v>
      </c>
      <c r="B80" s="1479"/>
      <c r="C80" s="1480"/>
      <c r="D80" s="376" t="s">
        <v>198</v>
      </c>
      <c r="E80" s="312">
        <f>'17'!F80</f>
        <v>490621.96</v>
      </c>
      <c r="F80" s="271">
        <v>490959</v>
      </c>
      <c r="G80" s="325">
        <f t="shared" si="6"/>
        <v>337.03999999997905</v>
      </c>
      <c r="H80" s="277">
        <f>G80+'17'!H80</f>
        <v>4377.320000000007</v>
      </c>
      <c r="I80" s="356"/>
      <c r="J80" s="314">
        <f>H80/DAY(B2)</f>
        <v>243.18444444444484</v>
      </c>
      <c r="K80" s="374"/>
      <c r="L80" s="293"/>
    </row>
    <row r="81" spans="1:15" ht="23.25" customHeight="1" thickBot="1">
      <c r="A81" s="1484" t="s">
        <v>210</v>
      </c>
      <c r="B81" s="1479"/>
      <c r="C81" s="1480"/>
      <c r="D81" s="376" t="s">
        <v>198</v>
      </c>
      <c r="E81" s="312">
        <f>'17'!F81</f>
        <v>624595.16</v>
      </c>
      <c r="F81" s="271">
        <v>624690</v>
      </c>
      <c r="G81" s="325">
        <f t="shared" si="6"/>
        <v>94.839999999967404</v>
      </c>
      <c r="H81" s="277">
        <f>G81+'17'!H81</f>
        <v>1915</v>
      </c>
      <c r="I81" s="356"/>
      <c r="J81" s="314">
        <f>H81/DAY(B2)</f>
        <v>106.38888888888889</v>
      </c>
      <c r="K81" s="374"/>
      <c r="L81" s="293"/>
    </row>
    <row r="82" spans="1:15" ht="23.25" customHeight="1" thickBot="1">
      <c r="A82" s="1478" t="s">
        <v>100</v>
      </c>
      <c r="B82" s="1479"/>
      <c r="C82" s="1480"/>
      <c r="D82" s="377" t="s">
        <v>143</v>
      </c>
      <c r="E82" s="312">
        <f>'17'!F82</f>
        <v>105944.32000000001</v>
      </c>
      <c r="F82" s="272">
        <v>105965</v>
      </c>
      <c r="G82" s="325">
        <f t="shared" si="6"/>
        <v>20.679999999993015</v>
      </c>
      <c r="H82" s="277">
        <f>G82+'17'!H82</f>
        <v>525</v>
      </c>
      <c r="I82" s="378"/>
      <c r="J82" s="314">
        <f>H82/DAY(B2)</f>
        <v>29.166666666666668</v>
      </c>
      <c r="K82" s="374"/>
      <c r="L82" s="293"/>
    </row>
    <row r="83" spans="1:15" ht="23.25" customHeight="1" thickBot="1">
      <c r="A83" s="1478" t="s">
        <v>211</v>
      </c>
      <c r="B83" s="1479"/>
      <c r="C83" s="1480"/>
      <c r="D83" s="273" t="s">
        <v>143</v>
      </c>
      <c r="E83" s="312">
        <f>'17'!F83</f>
        <v>991187</v>
      </c>
      <c r="F83" s="269">
        <v>991686</v>
      </c>
      <c r="G83" s="325">
        <f t="shared" si="6"/>
        <v>499</v>
      </c>
      <c r="H83" s="277">
        <f>G83+'17'!H83</f>
        <v>7945</v>
      </c>
      <c r="I83" s="279"/>
      <c r="J83" s="314">
        <f>H83/DAY(B2)</f>
        <v>441.38888888888891</v>
      </c>
      <c r="K83" s="330"/>
      <c r="L83" s="293"/>
    </row>
    <row r="84" spans="1:15" ht="23.25" customHeight="1" thickBot="1">
      <c r="A84" s="1219" t="s">
        <v>212</v>
      </c>
      <c r="B84" s="1219"/>
      <c r="C84" s="1220"/>
      <c r="D84" s="379" t="s">
        <v>143</v>
      </c>
      <c r="E84" s="312">
        <f>'17'!F84</f>
        <v>424405</v>
      </c>
      <c r="F84" s="268">
        <v>424887</v>
      </c>
      <c r="G84" s="325">
        <f t="shared" si="6"/>
        <v>482</v>
      </c>
      <c r="H84" s="277">
        <f>G84+'17'!H84</f>
        <v>8814</v>
      </c>
      <c r="I84" s="279"/>
      <c r="J84" s="314">
        <f>H84/DAY(B2)</f>
        <v>489.66666666666669</v>
      </c>
      <c r="K84" s="380"/>
      <c r="L84" s="293"/>
    </row>
    <row r="85" spans="1:15" s="383" customFormat="1" ht="23.25" customHeight="1">
      <c r="A85" s="446" t="s">
        <v>213</v>
      </c>
      <c r="B85" s="447"/>
      <c r="C85" s="447"/>
      <c r="D85" s="381"/>
      <c r="E85" s="268"/>
      <c r="F85" s="268"/>
      <c r="G85" s="399">
        <f xml:space="preserve"> SUM(G72:G84)</f>
        <v>2435.0799999999394</v>
      </c>
      <c r="H85" s="277">
        <f>G85+'17'!H85</f>
        <v>41894.979999999996</v>
      </c>
      <c r="I85" s="279"/>
      <c r="J85" s="314">
        <f>H85/DAY(B2)</f>
        <v>2327.4988888888888</v>
      </c>
      <c r="K85" s="380"/>
      <c r="L85" s="382"/>
    </row>
    <row r="86" spans="1:15" s="817" customFormat="1" ht="29.25">
      <c r="A86" s="812" t="s">
        <v>102</v>
      </c>
      <c r="B86" s="813"/>
      <c r="C86" s="813"/>
      <c r="D86" s="814" t="s">
        <v>194</v>
      </c>
      <c r="E86" s="704">
        <f>'17'!F86</f>
        <v>449084</v>
      </c>
      <c r="F86" s="728">
        <v>449213</v>
      </c>
      <c r="G86" s="787">
        <f t="shared" ref="G86:G90" si="7">F86-E86</f>
        <v>129</v>
      </c>
      <c r="H86" s="787">
        <f t="shared" ref="H86:H88" si="8">G86</f>
        <v>129</v>
      </c>
      <c r="I86" s="733"/>
      <c r="J86" s="789">
        <f>H86/DAY(B2)</f>
        <v>7.166666666666667</v>
      </c>
      <c r="K86" s="815"/>
      <c r="L86" s="816"/>
      <c r="O86" s="795"/>
    </row>
    <row r="87" spans="1:15" s="817" customFormat="1" ht="29.25">
      <c r="A87" s="812" t="s">
        <v>103</v>
      </c>
      <c r="B87" s="813"/>
      <c r="C87" s="813"/>
      <c r="D87" s="814" t="s">
        <v>194</v>
      </c>
      <c r="E87" s="704">
        <f>'17'!F87</f>
        <v>78908.7</v>
      </c>
      <c r="F87" s="728">
        <v>78939</v>
      </c>
      <c r="G87" s="787">
        <f t="shared" si="7"/>
        <v>30.30000000000291</v>
      </c>
      <c r="H87" s="787">
        <f t="shared" si="8"/>
        <v>30.30000000000291</v>
      </c>
      <c r="I87" s="733"/>
      <c r="J87" s="789">
        <f>H87/DAY(B2)</f>
        <v>1.683333333333495</v>
      </c>
      <c r="K87" s="815"/>
      <c r="L87" s="816"/>
      <c r="O87" s="795"/>
    </row>
    <row r="88" spans="1:15" s="817" customFormat="1" ht="29.25">
      <c r="A88" s="812" t="s">
        <v>104</v>
      </c>
      <c r="B88" s="813"/>
      <c r="C88" s="813"/>
      <c r="D88" s="814" t="s">
        <v>194</v>
      </c>
      <c r="E88" s="704">
        <f>'17'!F88</f>
        <v>147637.9</v>
      </c>
      <c r="F88" s="728">
        <v>147714</v>
      </c>
      <c r="G88" s="787">
        <f t="shared" si="7"/>
        <v>76.100000000005821</v>
      </c>
      <c r="H88" s="787">
        <f t="shared" si="8"/>
        <v>76.100000000005821</v>
      </c>
      <c r="I88" s="733"/>
      <c r="J88" s="789">
        <f>H88/DAY(B2)</f>
        <v>4.2277777777781012</v>
      </c>
      <c r="K88" s="815"/>
      <c r="L88" s="816"/>
      <c r="O88" s="795"/>
    </row>
    <row r="89" spans="1:15" s="817" customFormat="1" ht="29.25">
      <c r="A89" s="812" t="s">
        <v>215</v>
      </c>
      <c r="B89" s="813"/>
      <c r="C89" s="813"/>
      <c r="D89" s="814" t="s">
        <v>194</v>
      </c>
      <c r="E89" s="704">
        <f>'17'!F89</f>
        <v>60932.5</v>
      </c>
      <c r="F89" s="728">
        <v>61000.5</v>
      </c>
      <c r="G89" s="787">
        <f t="shared" si="7"/>
        <v>68</v>
      </c>
      <c r="H89" s="787">
        <f>G89</f>
        <v>68</v>
      </c>
      <c r="I89" s="733"/>
      <c r="J89" s="789">
        <f>H89/DAY(B2)</f>
        <v>3.7777777777777777</v>
      </c>
      <c r="K89" s="815"/>
      <c r="L89" s="816"/>
      <c r="N89" s="860"/>
      <c r="O89" s="413"/>
    </row>
    <row r="90" spans="1:15" s="817" customFormat="1" ht="29.25">
      <c r="A90" s="812" t="s">
        <v>215</v>
      </c>
      <c r="B90" s="813"/>
      <c r="C90" s="813"/>
      <c r="D90" s="814" t="s">
        <v>194</v>
      </c>
      <c r="E90" s="704">
        <f>'17'!F90</f>
        <v>3125.4</v>
      </c>
      <c r="F90" s="728">
        <v>3129.2</v>
      </c>
      <c r="G90" s="787">
        <f t="shared" si="7"/>
        <v>3.7999999999997272</v>
      </c>
      <c r="H90" s="787">
        <f>G90</f>
        <v>3.7999999999997272</v>
      </c>
      <c r="I90" s="733"/>
      <c r="J90" s="789">
        <f>H90/DAY(B2)</f>
        <v>0.21111111111109596</v>
      </c>
      <c r="K90" s="815"/>
      <c r="L90" s="816"/>
      <c r="N90" s="860"/>
      <c r="O90" s="413"/>
    </row>
    <row r="91" spans="1:15" s="383" customFormat="1" ht="23.25" customHeight="1">
      <c r="A91" s="1211" t="s">
        <v>216</v>
      </c>
      <c r="B91" s="435"/>
      <c r="C91" s="1212"/>
      <c r="D91" s="474"/>
      <c r="E91" s="474"/>
      <c r="F91" s="474"/>
      <c r="G91" s="426"/>
      <c r="H91" s="474"/>
      <c r="I91" s="474"/>
      <c r="J91" s="474"/>
      <c r="K91" s="380"/>
      <c r="L91" s="382"/>
    </row>
    <row r="92" spans="1:15" ht="23.25" customHeight="1" thickBot="1">
      <c r="A92" s="1472" t="s">
        <v>217</v>
      </c>
      <c r="B92" s="1473"/>
      <c r="C92" s="1474"/>
      <c r="D92" s="268" t="s">
        <v>155</v>
      </c>
      <c r="E92" s="312">
        <f>'17'!F92</f>
        <v>238514</v>
      </c>
      <c r="F92" s="267">
        <v>238595</v>
      </c>
      <c r="G92" s="325">
        <f t="shared" ref="G92:G93" si="9">F92-E92</f>
        <v>81</v>
      </c>
      <c r="H92" s="277">
        <f>G92+'17'!H92</f>
        <v>2025</v>
      </c>
      <c r="I92" s="326"/>
      <c r="J92" s="314">
        <f>H92/DAY(B2)</f>
        <v>112.5</v>
      </c>
      <c r="K92" s="330"/>
      <c r="L92" s="293"/>
    </row>
    <row r="93" spans="1:15" ht="23.25" customHeight="1" thickBot="1">
      <c r="A93" s="1472" t="s">
        <v>218</v>
      </c>
      <c r="B93" s="1473"/>
      <c r="C93" s="1474"/>
      <c r="D93" s="268" t="s">
        <v>155</v>
      </c>
      <c r="E93" s="312">
        <f>'17'!F93</f>
        <v>173931</v>
      </c>
      <c r="F93" s="267">
        <v>174068</v>
      </c>
      <c r="G93" s="325">
        <f t="shared" si="9"/>
        <v>137</v>
      </c>
      <c r="H93" s="277">
        <f>G93+'17'!H93</f>
        <v>2892</v>
      </c>
      <c r="I93" s="326"/>
      <c r="J93" s="314">
        <f>H93/DAY(B2)</f>
        <v>160.66666666666666</v>
      </c>
      <c r="K93" s="380"/>
      <c r="L93" s="293"/>
    </row>
    <row r="94" spans="1:15" ht="23.25" customHeight="1" thickBot="1">
      <c r="A94" s="1464" t="s">
        <v>219</v>
      </c>
      <c r="B94" s="1465"/>
      <c r="C94" s="1466"/>
      <c r="D94" s="268"/>
      <c r="E94" s="312">
        <f>'17'!F94</f>
        <v>0</v>
      </c>
      <c r="F94" s="267"/>
      <c r="G94" s="325">
        <f>G92+G93</f>
        <v>218</v>
      </c>
      <c r="H94" s="277">
        <f>G94+'17'!H94</f>
        <v>4630</v>
      </c>
      <c r="I94" s="326"/>
      <c r="J94" s="314">
        <f>H94/DAY(B2)</f>
        <v>257.22222222222223</v>
      </c>
      <c r="K94" s="380"/>
      <c r="L94" s="293"/>
    </row>
    <row r="95" spans="1:15" ht="23.25" customHeight="1" thickBot="1">
      <c r="A95" s="1472" t="s">
        <v>220</v>
      </c>
      <c r="B95" s="1473"/>
      <c r="C95" s="1474"/>
      <c r="D95" s="268" t="s">
        <v>155</v>
      </c>
      <c r="E95" s="312">
        <f>'17'!F95</f>
        <v>407209</v>
      </c>
      <c r="F95" s="267">
        <v>407283</v>
      </c>
      <c r="G95" s="325">
        <f t="shared" ref="G95:G100" si="10">F95-E95</f>
        <v>74</v>
      </c>
      <c r="H95" s="277">
        <f>G95+'17'!H95</f>
        <v>1407</v>
      </c>
      <c r="I95" s="326"/>
      <c r="J95" s="314">
        <f>H95/DAY(B2)</f>
        <v>78.166666666666671</v>
      </c>
      <c r="K95" s="380"/>
      <c r="L95" s="293"/>
    </row>
    <row r="96" spans="1:15" ht="23.25" customHeight="1" thickBot="1">
      <c r="A96" s="1213" t="s">
        <v>221</v>
      </c>
      <c r="B96" s="1214"/>
      <c r="C96" s="1215"/>
      <c r="D96" s="268" t="s">
        <v>155</v>
      </c>
      <c r="E96" s="312">
        <f>'17'!F96</f>
        <v>101124</v>
      </c>
      <c r="F96" s="267">
        <v>101140</v>
      </c>
      <c r="G96" s="325">
        <f t="shared" si="10"/>
        <v>16</v>
      </c>
      <c r="H96" s="277">
        <f>G96+'17'!H96</f>
        <v>606</v>
      </c>
      <c r="I96" s="326"/>
      <c r="J96" s="314">
        <f>H96/DAY(B2)</f>
        <v>33.666666666666664</v>
      </c>
      <c r="K96" s="307"/>
      <c r="L96" s="293"/>
    </row>
    <row r="97" spans="1:12" ht="23.25" customHeight="1" thickBot="1">
      <c r="A97" s="1213" t="s">
        <v>222</v>
      </c>
      <c r="B97" s="1214"/>
      <c r="C97" s="1215"/>
      <c r="D97" s="268" t="s">
        <v>155</v>
      </c>
      <c r="E97" s="312">
        <f>'17'!F97</f>
        <v>96197</v>
      </c>
      <c r="F97" s="267">
        <v>96214</v>
      </c>
      <c r="G97" s="325">
        <f t="shared" si="10"/>
        <v>17</v>
      </c>
      <c r="H97" s="277">
        <f>G97+'17'!H97</f>
        <v>537</v>
      </c>
      <c r="I97" s="326"/>
      <c r="J97" s="314">
        <f>H97/DAY(B2)</f>
        <v>29.833333333333332</v>
      </c>
      <c r="K97" s="384"/>
      <c r="L97" s="293"/>
    </row>
    <row r="98" spans="1:12" ht="23.25" customHeight="1" thickBot="1">
      <c r="A98" s="1213" t="s">
        <v>223</v>
      </c>
      <c r="B98" s="1214"/>
      <c r="C98" s="1215"/>
      <c r="D98" s="268" t="s">
        <v>155</v>
      </c>
      <c r="E98" s="312">
        <f>'17'!F98</f>
        <v>146697</v>
      </c>
      <c r="F98" s="267">
        <v>146775</v>
      </c>
      <c r="G98" s="325">
        <f t="shared" si="10"/>
        <v>78</v>
      </c>
      <c r="H98" s="277">
        <f>G98+'17'!H98</f>
        <v>1221</v>
      </c>
      <c r="I98" s="326"/>
      <c r="J98" s="314">
        <f>H98/DAY(B2)</f>
        <v>67.833333333333329</v>
      </c>
      <c r="K98" s="380"/>
      <c r="L98" s="293"/>
    </row>
    <row r="99" spans="1:12" ht="23.25" customHeight="1" thickBot="1">
      <c r="A99" s="1213" t="s">
        <v>224</v>
      </c>
      <c r="B99" s="1214"/>
      <c r="C99" s="1215"/>
      <c r="D99" s="268" t="s">
        <v>155</v>
      </c>
      <c r="E99" s="312">
        <f>'17'!F99</f>
        <v>6198</v>
      </c>
      <c r="F99" s="267">
        <v>6220</v>
      </c>
      <c r="G99" s="325">
        <f t="shared" si="10"/>
        <v>22</v>
      </c>
      <c r="H99" s="277">
        <f>G99+'17'!H99</f>
        <v>246</v>
      </c>
      <c r="I99" s="326"/>
      <c r="J99" s="314">
        <f>H99/DAY(B2)</f>
        <v>13.666666666666666</v>
      </c>
      <c r="K99" s="380"/>
      <c r="L99" s="293"/>
    </row>
    <row r="100" spans="1:12" ht="23.25" customHeight="1" thickBot="1">
      <c r="A100" s="1213" t="s">
        <v>225</v>
      </c>
      <c r="B100" s="1214"/>
      <c r="C100" s="1215"/>
      <c r="D100" s="268" t="s">
        <v>155</v>
      </c>
      <c r="E100" s="312">
        <f>'17'!F100</f>
        <v>4401</v>
      </c>
      <c r="F100" s="267">
        <v>4406</v>
      </c>
      <c r="G100" s="325">
        <f t="shared" si="10"/>
        <v>5</v>
      </c>
      <c r="H100" s="277">
        <f>G100+'17'!H100</f>
        <v>169</v>
      </c>
      <c r="I100" s="326"/>
      <c r="J100" s="314">
        <f>H100/DAY(B2)</f>
        <v>9.3888888888888893</v>
      </c>
      <c r="K100" s="380"/>
      <c r="L100" s="293"/>
    </row>
    <row r="101" spans="1:12" ht="23.25" customHeight="1">
      <c r="A101" s="1464" t="s">
        <v>227</v>
      </c>
      <c r="B101" s="1465"/>
      <c r="C101" s="1466"/>
      <c r="D101" s="274"/>
      <c r="E101" s="274"/>
      <c r="F101" s="274"/>
      <c r="G101" s="448">
        <f>SUM(G95:G100)</f>
        <v>212</v>
      </c>
      <c r="H101" s="277">
        <f>G101+'17'!H101</f>
        <v>4186</v>
      </c>
      <c r="I101" s="388"/>
      <c r="J101" s="314">
        <f>H101/DAY(B2)</f>
        <v>232.55555555555554</v>
      </c>
      <c r="K101" s="380"/>
      <c r="L101" s="293"/>
    </row>
    <row r="102" spans="1:12" s="481" customFormat="1" ht="25.5" customHeight="1">
      <c r="A102" s="514" t="s">
        <v>228</v>
      </c>
      <c r="B102" s="518"/>
      <c r="C102" s="518"/>
      <c r="D102" s="505"/>
      <c r="E102" s="506"/>
      <c r="F102" s="507"/>
      <c r="G102" s="508"/>
      <c r="H102" s="509"/>
      <c r="I102" s="510"/>
      <c r="J102" s="511"/>
    </row>
    <row r="103" spans="1:12" s="481" customFormat="1" ht="21.75" customHeight="1">
      <c r="A103" s="1462" t="s">
        <v>229</v>
      </c>
      <c r="B103" s="1463"/>
      <c r="C103" s="484"/>
      <c r="D103" s="515"/>
      <c r="E103" s="485"/>
      <c r="F103" s="485"/>
      <c r="G103" s="485"/>
      <c r="H103" s="486"/>
      <c r="I103" s="485"/>
      <c r="J103" s="486"/>
    </row>
    <row r="104" spans="1:12" s="481" customFormat="1" ht="21.75" customHeight="1">
      <c r="A104" s="1459" t="s">
        <v>230</v>
      </c>
      <c r="B104" s="1459"/>
      <c r="C104" s="1207"/>
      <c r="D104" s="515" t="s">
        <v>155</v>
      </c>
      <c r="E104" s="485">
        <f>'17'!F104</f>
        <v>7097</v>
      </c>
      <c r="F104" s="485">
        <v>7097</v>
      </c>
      <c r="G104" s="485">
        <f>F104-E104</f>
        <v>0</v>
      </c>
      <c r="H104" s="486">
        <f>SUM(G104+'1'!G76)</f>
        <v>74</v>
      </c>
      <c r="I104" s="485"/>
      <c r="J104" s="486">
        <f>H104/DAY(B2)</f>
        <v>4.1111111111111107</v>
      </c>
    </row>
    <row r="105" spans="1:12" s="481" customFormat="1" ht="21.75" customHeight="1">
      <c r="A105" s="1459" t="s">
        <v>77</v>
      </c>
      <c r="B105" s="1459"/>
      <c r="C105" s="1207"/>
      <c r="D105" s="515" t="s">
        <v>155</v>
      </c>
      <c r="E105" s="485">
        <f>'17'!F105</f>
        <v>35306</v>
      </c>
      <c r="F105" s="487">
        <v>35314</v>
      </c>
      <c r="G105" s="485">
        <f t="shared" ref="G105:G106" si="11">F105-E105</f>
        <v>8</v>
      </c>
      <c r="H105" s="486">
        <f>SUM(G105+'1'!G77)</f>
        <v>56</v>
      </c>
      <c r="I105" s="485"/>
      <c r="J105" s="486">
        <f>H105/DAY(B2)</f>
        <v>3.1111111111111112</v>
      </c>
    </row>
    <row r="106" spans="1:12" s="481" customFormat="1" ht="21.75" customHeight="1">
      <c r="A106" s="1459" t="s">
        <v>78</v>
      </c>
      <c r="B106" s="1459"/>
      <c r="C106" s="1459"/>
      <c r="D106" s="515" t="s">
        <v>155</v>
      </c>
      <c r="E106" s="485">
        <f>'17'!F106</f>
        <v>19179</v>
      </c>
      <c r="F106" s="485">
        <v>19189</v>
      </c>
      <c r="G106" s="485">
        <f t="shared" si="11"/>
        <v>10</v>
      </c>
      <c r="H106" s="486">
        <f>SUM(G106+'1'!G78)</f>
        <v>344</v>
      </c>
      <c r="I106" s="485"/>
      <c r="J106" s="486">
        <f>H106/DAY(B2)</f>
        <v>19.111111111111111</v>
      </c>
    </row>
    <row r="107" spans="1:12" s="481" customFormat="1" ht="21.75" customHeight="1">
      <c r="A107" s="1460" t="s">
        <v>213</v>
      </c>
      <c r="B107" s="1460"/>
      <c r="C107" s="1207"/>
      <c r="D107" s="515"/>
      <c r="E107" s="485">
        <f>'17'!F107</f>
        <v>0</v>
      </c>
      <c r="F107" s="485"/>
      <c r="G107" s="485">
        <f>SUM(G104:G106)</f>
        <v>18</v>
      </c>
      <c r="H107" s="486">
        <f>SUM(G107+'1'!G79)</f>
        <v>223</v>
      </c>
      <c r="I107" s="485"/>
      <c r="J107" s="486">
        <f>H107/DAY(B2)</f>
        <v>12.388888888888889</v>
      </c>
    </row>
    <row r="108" spans="1:12" s="481" customFormat="1" ht="21.75" customHeight="1">
      <c r="A108" s="1458" t="s">
        <v>79</v>
      </c>
      <c r="B108" s="1458"/>
      <c r="C108" s="1207"/>
      <c r="D108" s="515" t="s">
        <v>155</v>
      </c>
      <c r="E108" s="485">
        <f>'17'!F108</f>
        <v>0</v>
      </c>
      <c r="F108" s="485"/>
      <c r="G108" s="485"/>
      <c r="H108" s="486"/>
      <c r="I108" s="485"/>
      <c r="J108" s="486"/>
    </row>
    <row r="109" spans="1:12" s="481" customFormat="1" ht="21.75" customHeight="1">
      <c r="A109" s="1459" t="s">
        <v>231</v>
      </c>
      <c r="B109" s="1459"/>
      <c r="C109" s="1207"/>
      <c r="D109" s="515" t="s">
        <v>155</v>
      </c>
      <c r="E109" s="485">
        <f>'17'!F109</f>
        <v>55688</v>
      </c>
      <c r="F109" s="485">
        <v>55748</v>
      </c>
      <c r="G109" s="485">
        <f>F109-E109</f>
        <v>60</v>
      </c>
      <c r="H109" s="486">
        <f>SUM(G109+'1'!G81)</f>
        <v>136</v>
      </c>
      <c r="I109" s="485"/>
      <c r="J109" s="486">
        <f>H109/DAY(B2)</f>
        <v>7.5555555555555554</v>
      </c>
    </row>
    <row r="110" spans="1:12" s="481" customFormat="1" ht="21.75" customHeight="1">
      <c r="A110" s="1459" t="s">
        <v>232</v>
      </c>
      <c r="B110" s="1459"/>
      <c r="C110" s="1207"/>
      <c r="D110" s="515" t="s">
        <v>155</v>
      </c>
      <c r="E110" s="485">
        <f>'17'!F110</f>
        <v>29614</v>
      </c>
      <c r="F110" s="485">
        <v>29706</v>
      </c>
      <c r="G110" s="485">
        <f t="shared" ref="G110:G111" si="12">F110-E110</f>
        <v>92</v>
      </c>
      <c r="H110" s="486">
        <f>SUM(G110+'1'!G82)</f>
        <v>137</v>
      </c>
      <c r="I110" s="485"/>
      <c r="J110" s="486">
        <f>H110/DAY(B2)</f>
        <v>7.6111111111111107</v>
      </c>
    </row>
    <row r="111" spans="1:12" s="481" customFormat="1" ht="21.75" customHeight="1">
      <c r="A111" s="1459" t="s">
        <v>233</v>
      </c>
      <c r="B111" s="1459"/>
      <c r="C111" s="1207"/>
      <c r="D111" s="515" t="s">
        <v>155</v>
      </c>
      <c r="E111" s="485">
        <f>'17'!F111</f>
        <v>3905</v>
      </c>
      <c r="F111" s="485">
        <v>3912</v>
      </c>
      <c r="G111" s="485">
        <f t="shared" si="12"/>
        <v>7</v>
      </c>
      <c r="H111" s="486">
        <f>SUM(G111+'1'!G83)</f>
        <v>440</v>
      </c>
      <c r="I111" s="485"/>
      <c r="J111" s="486">
        <f>H111/DAY(B2)</f>
        <v>24.444444444444443</v>
      </c>
    </row>
    <row r="112" spans="1:12" s="481" customFormat="1" ht="21.75" customHeight="1">
      <c r="A112" s="1461" t="s">
        <v>121</v>
      </c>
      <c r="B112" s="1461"/>
      <c r="C112" s="1207"/>
      <c r="D112" s="515"/>
      <c r="E112" s="485">
        <f>'17'!F112</f>
        <v>0</v>
      </c>
      <c r="F112" s="485"/>
      <c r="G112" s="485">
        <f>SUM(G109:G111)</f>
        <v>159</v>
      </c>
      <c r="H112" s="486">
        <f>SUM(G112+'1'!G84)</f>
        <v>680</v>
      </c>
      <c r="I112" s="485"/>
      <c r="J112" s="486">
        <f>H112/DAY(B2)</f>
        <v>37.777777777777779</v>
      </c>
    </row>
    <row r="113" spans="1:12" s="481" customFormat="1" ht="21.75" customHeight="1">
      <c r="A113" s="1458" t="s">
        <v>234</v>
      </c>
      <c r="B113" s="1458"/>
      <c r="C113" s="1207"/>
      <c r="D113" s="515"/>
      <c r="E113" s="485">
        <f>'17'!F113</f>
        <v>0</v>
      </c>
      <c r="F113" s="485"/>
      <c r="G113" s="485"/>
      <c r="H113" s="486"/>
      <c r="I113" s="485"/>
      <c r="J113" s="486">
        <f>H113/DAY(B2)</f>
        <v>0</v>
      </c>
    </row>
    <row r="114" spans="1:12" s="481" customFormat="1" ht="21.75" customHeight="1">
      <c r="A114" s="1459" t="s">
        <v>235</v>
      </c>
      <c r="B114" s="1459"/>
      <c r="C114" s="519"/>
      <c r="D114" s="515" t="s">
        <v>155</v>
      </c>
      <c r="E114" s="485">
        <f>'17'!F114</f>
        <v>10074</v>
      </c>
      <c r="F114" s="489">
        <v>10099</v>
      </c>
      <c r="G114" s="489">
        <f>F114-E114</f>
        <v>25</v>
      </c>
      <c r="H114" s="489">
        <f>SUM(G114+'1'!G91)</f>
        <v>25</v>
      </c>
      <c r="I114" s="485"/>
      <c r="J114" s="486">
        <f>H114/DAY(B2)</f>
        <v>1.3888888888888888</v>
      </c>
    </row>
    <row r="115" spans="1:12" s="481" customFormat="1" ht="21.75" customHeight="1">
      <c r="A115" s="1459" t="s">
        <v>236</v>
      </c>
      <c r="B115" s="1459"/>
      <c r="C115" s="519"/>
      <c r="D115" s="515" t="s">
        <v>155</v>
      </c>
      <c r="E115" s="485">
        <f>'17'!F115</f>
        <v>7561</v>
      </c>
      <c r="F115" s="489">
        <v>7566</v>
      </c>
      <c r="G115" s="489">
        <f t="shared" ref="G115:G116" si="13">F115-E115</f>
        <v>5</v>
      </c>
      <c r="H115" s="489">
        <f>SUM(G115+'1'!G92)</f>
        <v>92</v>
      </c>
      <c r="I115" s="485"/>
      <c r="J115" s="486">
        <f>H115/DAY(B2)</f>
        <v>5.1111111111111107</v>
      </c>
    </row>
    <row r="116" spans="1:12" s="481" customFormat="1" ht="21.75" customHeight="1">
      <c r="A116" s="1459" t="s">
        <v>237</v>
      </c>
      <c r="B116" s="1459"/>
      <c r="C116" s="519"/>
      <c r="D116" s="515" t="s">
        <v>155</v>
      </c>
      <c r="E116" s="489"/>
      <c r="F116" s="489"/>
      <c r="G116" s="489">
        <f t="shared" si="13"/>
        <v>0</v>
      </c>
      <c r="H116" s="489">
        <f>SUM(G116+'1'!G93)</f>
        <v>200</v>
      </c>
      <c r="I116" s="485"/>
      <c r="J116" s="486">
        <f>H116/DAY(B2)</f>
        <v>11.111111111111111</v>
      </c>
    </row>
    <row r="117" spans="1:12" s="494" customFormat="1">
      <c r="A117" s="1460" t="s">
        <v>213</v>
      </c>
      <c r="B117" s="1460"/>
      <c r="C117" s="519"/>
      <c r="D117" s="516"/>
      <c r="E117" s="489"/>
      <c r="F117" s="489"/>
      <c r="G117" s="489">
        <f>SUM(G114:G116)</f>
        <v>30</v>
      </c>
      <c r="H117" s="489">
        <f>SUM(G117+'1'!G95)</f>
        <v>102</v>
      </c>
      <c r="I117" s="489"/>
      <c r="J117" s="486">
        <f>H117/DAY(B2)</f>
        <v>5.666666666666667</v>
      </c>
    </row>
    <row r="118" spans="1:12" s="495" customFormat="1">
      <c r="A118" s="1456" t="s">
        <v>238</v>
      </c>
      <c r="B118" s="1456"/>
      <c r="C118" s="1206"/>
      <c r="D118" s="517" t="s">
        <v>155</v>
      </c>
      <c r="E118" s="513"/>
      <c r="F118" s="491">
        <f>SUM(G19+G92)</f>
        <v>128</v>
      </c>
      <c r="G118" s="491">
        <f>SUM(G19+G92)</f>
        <v>128</v>
      </c>
      <c r="H118" s="490">
        <f>SUM(G118+'1'!G96)</f>
        <v>151</v>
      </c>
      <c r="I118" s="513"/>
      <c r="J118" s="491">
        <f>H118/DAY(B2)</f>
        <v>8.3888888888888893</v>
      </c>
    </row>
    <row r="119" spans="1:12" s="495" customFormat="1">
      <c r="A119" s="1456" t="s">
        <v>239</v>
      </c>
      <c r="B119" s="1456"/>
      <c r="C119" s="1206"/>
      <c r="D119" s="517" t="s">
        <v>155</v>
      </c>
      <c r="E119" s="513"/>
      <c r="F119" s="491">
        <f>SUM(G95,G96,G97,G99,G100)</f>
        <v>134</v>
      </c>
      <c r="G119" s="491">
        <f>SUM(G95,G96,G97,G99,G100)</f>
        <v>134</v>
      </c>
      <c r="H119" s="490">
        <f>SUM(G119+'1'!G98)</f>
        <v>217</v>
      </c>
      <c r="I119" s="513"/>
      <c r="J119" s="491">
        <f>H119/DAY(B2)</f>
        <v>12.055555555555555</v>
      </c>
    </row>
    <row r="120" spans="1:12" s="495" customFormat="1">
      <c r="A120" s="1456" t="s">
        <v>240</v>
      </c>
      <c r="B120" s="1456"/>
      <c r="C120" s="1206"/>
      <c r="D120" s="517" t="s">
        <v>155</v>
      </c>
      <c r="E120" s="513"/>
      <c r="F120" s="489">
        <f>SUM(G112)</f>
        <v>159</v>
      </c>
      <c r="G120" s="489">
        <f>SUM(G112)</f>
        <v>159</v>
      </c>
      <c r="H120" s="490">
        <f>SUM(G120+'1'!G100)</f>
        <v>165</v>
      </c>
      <c r="I120" s="513"/>
      <c r="J120" s="491">
        <f>H120/DAY(B2)</f>
        <v>9.1666666666666661</v>
      </c>
    </row>
    <row r="121" spans="1:12" s="481" customFormat="1" ht="18.75" customHeight="1">
      <c r="A121" s="1457"/>
      <c r="B121" s="1457"/>
      <c r="C121" s="1207"/>
      <c r="F121" s="481" t="s">
        <v>226</v>
      </c>
      <c r="H121" s="492"/>
      <c r="J121" s="493"/>
    </row>
    <row r="122" spans="1:12" ht="23.25" customHeight="1">
      <c r="A122" s="1467" t="s">
        <v>241</v>
      </c>
      <c r="B122" s="1468"/>
      <c r="C122" s="1469"/>
      <c r="D122" s="474"/>
      <c r="E122" s="474"/>
      <c r="F122" s="474"/>
      <c r="G122" s="425"/>
      <c r="H122" s="425"/>
      <c r="I122" s="425"/>
      <c r="J122" s="425"/>
      <c r="K122" s="380"/>
      <c r="L122" s="293"/>
    </row>
    <row r="123" spans="1:12" ht="23.25" customHeight="1" thickBot="1">
      <c r="A123" s="385" t="s">
        <v>242</v>
      </c>
      <c r="B123" s="386"/>
      <c r="C123" s="387"/>
      <c r="D123" s="319" t="s">
        <v>152</v>
      </c>
      <c r="E123" s="312">
        <f>'17'!F123</f>
        <v>808115.93</v>
      </c>
      <c r="F123" s="275">
        <v>808376.34</v>
      </c>
      <c r="G123" s="325">
        <f t="shared" ref="G123:G127" si="14">F123-E123</f>
        <v>260.40999999991618</v>
      </c>
      <c r="H123" s="277">
        <f>G123+'17'!H123</f>
        <v>5040.9399999999441</v>
      </c>
      <c r="I123" s="389"/>
      <c r="J123" s="314">
        <f>H123/DAY(B2)</f>
        <v>280.05222222221914</v>
      </c>
      <c r="K123" s="380"/>
      <c r="L123" s="293"/>
    </row>
    <row r="124" spans="1:12" ht="23.25" customHeight="1" thickBot="1">
      <c r="A124" s="385" t="s">
        <v>243</v>
      </c>
      <c r="B124" s="386"/>
      <c r="C124" s="387"/>
      <c r="D124" s="319" t="s">
        <v>152</v>
      </c>
      <c r="E124" s="312">
        <f>'17'!F124</f>
        <v>73583.399999999994</v>
      </c>
      <c r="F124" s="275">
        <v>73583.399999999994</v>
      </c>
      <c r="G124" s="325">
        <f t="shared" si="14"/>
        <v>0</v>
      </c>
      <c r="H124" s="277">
        <f>G124+'17'!H124</f>
        <v>1.3999999999941792</v>
      </c>
      <c r="I124" s="389"/>
      <c r="J124" s="314">
        <f>H124/DAY(B2)</f>
        <v>7.7777777777454399E-2</v>
      </c>
      <c r="K124" s="380"/>
      <c r="L124" s="293"/>
    </row>
    <row r="125" spans="1:12" ht="23.25" customHeight="1" thickBot="1">
      <c r="A125" s="1475" t="s">
        <v>244</v>
      </c>
      <c r="B125" s="1476"/>
      <c r="C125" s="1477"/>
      <c r="D125" s="268" t="s">
        <v>152</v>
      </c>
      <c r="E125" s="312">
        <f>'17'!F125</f>
        <v>139149.48000000001</v>
      </c>
      <c r="F125" s="264">
        <v>139226.75</v>
      </c>
      <c r="G125" s="325">
        <f t="shared" si="14"/>
        <v>77.269999999989523</v>
      </c>
      <c r="H125" s="277">
        <f>G125+'17'!H125</f>
        <v>1378.75</v>
      </c>
      <c r="I125" s="389"/>
      <c r="J125" s="314">
        <f>H125/DAY(B2)</f>
        <v>76.597222222222229</v>
      </c>
      <c r="K125" s="380"/>
      <c r="L125" s="293"/>
    </row>
    <row r="126" spans="1:12" ht="23.25" customHeight="1" thickBot="1">
      <c r="A126" s="416" t="s">
        <v>245</v>
      </c>
      <c r="B126" s="1214"/>
      <c r="C126" s="1215"/>
      <c r="D126" s="268" t="s">
        <v>152</v>
      </c>
      <c r="E126" s="312">
        <f>'17'!F126</f>
        <v>59029.8</v>
      </c>
      <c r="F126" s="264">
        <v>59055.5</v>
      </c>
      <c r="G126" s="325">
        <f t="shared" si="14"/>
        <v>25.69999999999709</v>
      </c>
      <c r="H126" s="277">
        <f>G126+'17'!H126</f>
        <v>663.80000000000291</v>
      </c>
      <c r="I126" s="389"/>
      <c r="J126" s="314">
        <f>H126/DAY(B2)</f>
        <v>36.877777777777936</v>
      </c>
      <c r="K126" s="380"/>
      <c r="L126" s="293"/>
    </row>
    <row r="127" spans="1:12" ht="23.25" customHeight="1" thickBot="1">
      <c r="A127" s="416" t="s">
        <v>246</v>
      </c>
      <c r="B127" s="1214"/>
      <c r="C127" s="1215"/>
      <c r="D127" s="268" t="s">
        <v>152</v>
      </c>
      <c r="E127" s="312">
        <f>'17'!F127</f>
        <v>8868.1</v>
      </c>
      <c r="F127" s="264">
        <v>8869.2000000000007</v>
      </c>
      <c r="G127" s="325">
        <f t="shared" si="14"/>
        <v>1.1000000000003638</v>
      </c>
      <c r="H127" s="277">
        <f>G127+'17'!H127</f>
        <v>53.200000000000728</v>
      </c>
      <c r="I127" s="326"/>
      <c r="J127" s="314">
        <f>H127/DAY(B2)</f>
        <v>2.9555555555555961</v>
      </c>
      <c r="K127" s="380"/>
      <c r="L127" s="293"/>
    </row>
    <row r="128" spans="1:12" ht="21.75" customHeight="1">
      <c r="A128" s="381" t="s">
        <v>247</v>
      </c>
      <c r="B128" s="475"/>
      <c r="C128" s="475"/>
      <c r="D128" s="268"/>
      <c r="E128" s="263"/>
      <c r="F128" s="264"/>
      <c r="G128" s="325">
        <f>G15-SUM(G123:G127)</f>
        <v>475.66000000022723</v>
      </c>
      <c r="H128" s="277">
        <f>G128+'17'!H128</f>
        <v>1681.9099999999744</v>
      </c>
      <c r="I128" s="326"/>
      <c r="J128" s="314">
        <f>H128/DAY(B2)</f>
        <v>93.439444444443026</v>
      </c>
      <c r="K128" s="391"/>
      <c r="L128" s="293"/>
    </row>
    <row r="129" spans="1:12" ht="23.25" customHeight="1">
      <c r="A129" s="422" t="s">
        <v>248</v>
      </c>
      <c r="B129" s="422"/>
      <c r="C129" s="422"/>
      <c r="D129" s="422"/>
      <c r="E129" s="422"/>
      <c r="F129" s="422"/>
      <c r="G129" s="436"/>
      <c r="H129" s="436"/>
      <c r="I129" s="436"/>
      <c r="J129" s="436"/>
    </row>
    <row r="130" spans="1:12" ht="23.25" customHeight="1" thickBot="1">
      <c r="A130" s="475" t="s">
        <v>249</v>
      </c>
      <c r="B130" s="475"/>
      <c r="C130" s="475"/>
      <c r="D130" s="268" t="s">
        <v>250</v>
      </c>
      <c r="E130" s="312">
        <f>'17'!F130</f>
        <v>0</v>
      </c>
      <c r="F130" s="267">
        <v>0</v>
      </c>
      <c r="G130" s="325">
        <f t="shared" ref="G130:G140" si="15">F130-E130</f>
        <v>0</v>
      </c>
      <c r="H130" s="277">
        <f>G130+'17'!H130</f>
        <v>0</v>
      </c>
      <c r="I130" s="326"/>
      <c r="J130" s="314">
        <f>H130/DAY(B2)</f>
        <v>0</v>
      </c>
    </row>
    <row r="131" spans="1:12" ht="23.25" customHeight="1" thickBot="1">
      <c r="A131" s="475" t="s">
        <v>251</v>
      </c>
      <c r="B131" s="475"/>
      <c r="C131" s="475"/>
      <c r="D131" s="268" t="s">
        <v>250</v>
      </c>
      <c r="E131" s="312">
        <f>'17'!F131</f>
        <v>0</v>
      </c>
      <c r="F131" s="267">
        <v>0</v>
      </c>
      <c r="G131" s="325">
        <f t="shared" si="15"/>
        <v>0</v>
      </c>
      <c r="H131" s="277">
        <f>G131+'17'!H131</f>
        <v>0</v>
      </c>
      <c r="I131" s="326"/>
      <c r="J131" s="314">
        <f>H131/DAY(B2)</f>
        <v>0</v>
      </c>
    </row>
    <row r="132" spans="1:12" ht="23.25" customHeight="1" thickBot="1">
      <c r="A132" s="475" t="s">
        <v>252</v>
      </c>
      <c r="B132" s="475"/>
      <c r="C132" s="475"/>
      <c r="D132" s="268" t="s">
        <v>250</v>
      </c>
      <c r="E132" s="312">
        <f>'17'!F132</f>
        <v>39203.39</v>
      </c>
      <c r="F132" s="267">
        <v>39215.53</v>
      </c>
      <c r="G132" s="325">
        <f t="shared" si="15"/>
        <v>12.139999999999418</v>
      </c>
      <c r="H132" s="277">
        <f>G132+'17'!H132</f>
        <v>111.08999999999651</v>
      </c>
      <c r="I132" s="326"/>
      <c r="J132" s="314">
        <f>H132/DAY(B2)</f>
        <v>6.1716666666664723</v>
      </c>
    </row>
    <row r="133" spans="1:12" ht="23.25" customHeight="1" thickBot="1">
      <c r="A133" s="475" t="s">
        <v>253</v>
      </c>
      <c r="B133" s="475"/>
      <c r="C133" s="475"/>
      <c r="D133" s="268" t="s">
        <v>250</v>
      </c>
      <c r="E133" s="312">
        <f>'17'!F133</f>
        <v>299</v>
      </c>
      <c r="F133" s="267">
        <v>299.52</v>
      </c>
      <c r="G133" s="325">
        <f t="shared" si="15"/>
        <v>0.51999999999998181</v>
      </c>
      <c r="H133" s="277">
        <f>G133+'17'!H133</f>
        <v>0.51999999999998181</v>
      </c>
      <c r="I133" s="326">
        <f>G130+G131+G132+G133</f>
        <v>12.6599999999994</v>
      </c>
      <c r="J133" s="314">
        <f>H133/DAY(B2)</f>
        <v>2.8888888888887878E-2</v>
      </c>
    </row>
    <row r="134" spans="1:12" ht="23.25" customHeight="1" thickBot="1">
      <c r="A134" s="475" t="s">
        <v>254</v>
      </c>
      <c r="B134" s="475"/>
      <c r="C134" s="475"/>
      <c r="D134" s="268" t="s">
        <v>250</v>
      </c>
      <c r="E134" s="312">
        <f>'17'!F134</f>
        <v>40260.370000000003</v>
      </c>
      <c r="F134" s="267">
        <v>40260.519999999997</v>
      </c>
      <c r="G134" s="325">
        <f t="shared" si="15"/>
        <v>0.14999999999417923</v>
      </c>
      <c r="H134" s="277">
        <f>G134+'17'!H134</f>
        <v>309.5199999999968</v>
      </c>
      <c r="I134" s="326"/>
      <c r="J134" s="314">
        <f>H134/DAY(B2)</f>
        <v>17.195555555555377</v>
      </c>
    </row>
    <row r="135" spans="1:12" ht="23.25" customHeight="1" thickBot="1">
      <c r="A135" s="475" t="s">
        <v>255</v>
      </c>
      <c r="B135" s="475"/>
      <c r="C135" s="475"/>
      <c r="D135" s="268" t="s">
        <v>250</v>
      </c>
      <c r="E135" s="312">
        <f>'17'!F135</f>
        <v>32423</v>
      </c>
      <c r="F135" s="267">
        <v>32434.34</v>
      </c>
      <c r="G135" s="325">
        <f t="shared" si="15"/>
        <v>11.340000000000146</v>
      </c>
      <c r="H135" s="277">
        <f>G135+'17'!H135</f>
        <v>11.340000000000146</v>
      </c>
      <c r="I135" s="326"/>
      <c r="J135" s="314">
        <f>H135/DAY(B2)</f>
        <v>0.63000000000000811</v>
      </c>
    </row>
    <row r="136" spans="1:12" ht="23.25" customHeight="1" thickBot="1">
      <c r="A136" s="475" t="s">
        <v>256</v>
      </c>
      <c r="B136" s="475"/>
      <c r="C136" s="475"/>
      <c r="D136" s="268" t="s">
        <v>250</v>
      </c>
      <c r="E136" s="312">
        <f>'17'!F136</f>
        <v>22129.9</v>
      </c>
      <c r="F136" s="267">
        <v>22135.56</v>
      </c>
      <c r="G136" s="325">
        <f t="shared" si="15"/>
        <v>5.6599999999998545</v>
      </c>
      <c r="H136" s="277">
        <f>G136+'17'!H136</f>
        <v>133.60000000000218</v>
      </c>
      <c r="I136" s="326">
        <f>G134+G135+G136</f>
        <v>17.149999999994179</v>
      </c>
      <c r="J136" s="314">
        <f>H136/DAY(B2)</f>
        <v>7.4222222222223433</v>
      </c>
    </row>
    <row r="137" spans="1:12" ht="23.25" customHeight="1" thickBot="1">
      <c r="A137" s="475" t="s">
        <v>257</v>
      </c>
      <c r="B137" s="475"/>
      <c r="C137" s="475"/>
      <c r="D137" s="268" t="s">
        <v>250</v>
      </c>
      <c r="E137" s="312">
        <f>'17'!F137</f>
        <v>25034.29</v>
      </c>
      <c r="F137" s="267">
        <v>25036.560000000001</v>
      </c>
      <c r="G137" s="325">
        <f t="shared" si="15"/>
        <v>2.2700000000004366</v>
      </c>
      <c r="H137" s="277">
        <f>G137+'17'!H137</f>
        <v>16.620000000002619</v>
      </c>
      <c r="I137" s="326"/>
      <c r="J137" s="314">
        <f>H137/DAY(B2)</f>
        <v>0.92333333333347889</v>
      </c>
    </row>
    <row r="138" spans="1:12" ht="23.25" customHeight="1" thickBot="1">
      <c r="A138" s="475" t="s">
        <v>258</v>
      </c>
      <c r="B138" s="475"/>
      <c r="C138" s="475"/>
      <c r="D138" s="268" t="s">
        <v>250</v>
      </c>
      <c r="E138" s="312">
        <f>'17'!F138</f>
        <v>70103.490000000005</v>
      </c>
      <c r="F138" s="267">
        <v>70107.87</v>
      </c>
      <c r="G138" s="325">
        <f t="shared" si="15"/>
        <v>4.3799999999901047</v>
      </c>
      <c r="H138" s="277">
        <f>G138+'17'!H138</f>
        <v>43.979999999995925</v>
      </c>
      <c r="I138" s="326">
        <f>G137+G138</f>
        <v>6.6499999999905413</v>
      </c>
      <c r="J138" s="314">
        <f>H138/DAY(B2)</f>
        <v>2.4433333333331069</v>
      </c>
    </row>
    <row r="139" spans="1:12" ht="23.25" customHeight="1" thickBot="1">
      <c r="A139" s="475" t="s">
        <v>259</v>
      </c>
      <c r="B139" s="475"/>
      <c r="C139" s="475"/>
      <c r="D139" s="268" t="s">
        <v>250</v>
      </c>
      <c r="E139" s="312">
        <f>'17'!F139</f>
        <v>1339.68</v>
      </c>
      <c r="F139" s="267">
        <v>1347.24</v>
      </c>
      <c r="G139" s="325">
        <f t="shared" si="15"/>
        <v>7.5599999999999454</v>
      </c>
      <c r="H139" s="277">
        <f>G139+'17'!H139</f>
        <v>146.65000000000009</v>
      </c>
      <c r="J139" s="314">
        <f>H139/DAY(B2)</f>
        <v>8.1472222222222275</v>
      </c>
    </row>
    <row r="140" spans="1:12" ht="23.25" customHeight="1" thickBot="1">
      <c r="A140" s="475" t="s">
        <v>260</v>
      </c>
      <c r="B140" s="475"/>
      <c r="C140" s="475"/>
      <c r="D140" s="268" t="s">
        <v>250</v>
      </c>
      <c r="E140" s="312">
        <f>'17'!F140</f>
        <v>4333.53</v>
      </c>
      <c r="F140" s="267">
        <v>4333.53</v>
      </c>
      <c r="G140" s="325">
        <f t="shared" si="15"/>
        <v>0</v>
      </c>
      <c r="H140" s="277">
        <f>G140+'17'!H140</f>
        <v>-0.47000000000025466</v>
      </c>
      <c r="J140" s="314">
        <f>H140/DAY(B2)</f>
        <v>-2.6111111111125258E-2</v>
      </c>
    </row>
    <row r="141" spans="1:12" ht="23.25" customHeight="1">
      <c r="A141" s="1470" t="s">
        <v>261</v>
      </c>
      <c r="B141" s="1471"/>
      <c r="C141" s="474"/>
      <c r="D141" s="474"/>
      <c r="E141" s="474"/>
      <c r="F141" s="474"/>
      <c r="G141" s="425"/>
      <c r="H141" s="425"/>
      <c r="I141" s="425"/>
      <c r="J141" s="425"/>
      <c r="K141" s="380"/>
      <c r="L141" s="293"/>
    </row>
    <row r="142" spans="1:12" ht="23.25" customHeight="1">
      <c r="A142" s="1472" t="s">
        <v>262</v>
      </c>
      <c r="B142" s="1473"/>
      <c r="C142" s="1474"/>
      <c r="D142" s="268" t="s">
        <v>143</v>
      </c>
      <c r="E142" s="268"/>
      <c r="F142" s="268"/>
      <c r="G142" s="277">
        <f>G35+G43+G49+G57</f>
        <v>5074.3199999999488</v>
      </c>
      <c r="H142" s="277">
        <f>G142+'17'!H142</f>
        <v>89309.089999999953</v>
      </c>
      <c r="I142" s="326"/>
      <c r="J142" s="314">
        <f>H142/DAY(B2)</f>
        <v>4961.6161111111087</v>
      </c>
      <c r="K142" s="380"/>
      <c r="L142" s="293"/>
    </row>
    <row r="143" spans="1:12" ht="23.25" customHeight="1">
      <c r="A143" s="1472" t="s">
        <v>263</v>
      </c>
      <c r="B143" s="1473"/>
      <c r="C143" s="1474"/>
      <c r="D143" s="268" t="s">
        <v>24</v>
      </c>
      <c r="E143" s="269"/>
      <c r="F143" s="269"/>
      <c r="G143" s="280">
        <f>G142/G7</f>
        <v>0.25126615498885607</v>
      </c>
      <c r="H143" s="277">
        <f>G143+'17'!H143</f>
        <v>4.423609023524719</v>
      </c>
      <c r="I143" s="390"/>
      <c r="J143" s="314">
        <f>H143/DAY(B2)</f>
        <v>0.24575605686248439</v>
      </c>
      <c r="K143" s="391"/>
      <c r="L143" s="293"/>
    </row>
    <row r="144" spans="1:12" ht="23.25" customHeight="1">
      <c r="A144" s="1472" t="s">
        <v>264</v>
      </c>
      <c r="B144" s="1473"/>
      <c r="C144" s="1474"/>
      <c r="D144" s="268" t="s">
        <v>143</v>
      </c>
      <c r="E144" s="265"/>
      <c r="F144" s="265"/>
      <c r="G144" s="277">
        <f>G41+G42+G55+G56</f>
        <v>4586.8699999999371</v>
      </c>
      <c r="H144" s="277">
        <f>G144+'17'!H144</f>
        <v>76993.679999999906</v>
      </c>
      <c r="I144" s="326"/>
      <c r="J144" s="314">
        <f>H144/DAY(B2)</f>
        <v>4277.4266666666617</v>
      </c>
      <c r="K144" s="391"/>
      <c r="L144" s="293"/>
    </row>
    <row r="145" spans="1:12" ht="23.25" customHeight="1">
      <c r="A145" s="1472" t="s">
        <v>265</v>
      </c>
      <c r="B145" s="1473"/>
      <c r="C145" s="1474"/>
      <c r="D145" s="268" t="s">
        <v>24</v>
      </c>
      <c r="E145" s="265"/>
      <c r="F145" s="265" t="s">
        <v>288</v>
      </c>
      <c r="G145" s="280">
        <f>G144/G7</f>
        <v>0.22712899232482978</v>
      </c>
      <c r="H145" s="277">
        <f>G145+'17'!H145</f>
        <v>3.9535456492912275</v>
      </c>
      <c r="I145" s="390"/>
      <c r="J145" s="314">
        <f>H145/DAY(B2)</f>
        <v>0.21964142496062375</v>
      </c>
      <c r="K145" s="391"/>
      <c r="L145" s="293"/>
    </row>
    <row r="146" spans="1:12" ht="23.25" customHeight="1">
      <c r="A146" s="1472" t="s">
        <v>266</v>
      </c>
      <c r="B146" s="1473"/>
      <c r="C146" s="1474"/>
      <c r="D146" s="268" t="s">
        <v>143</v>
      </c>
      <c r="E146" s="265"/>
      <c r="F146" s="265"/>
      <c r="G146" s="277">
        <f>G39+G53</f>
        <v>4281.18</v>
      </c>
      <c r="H146" s="277">
        <f>G146+'17'!H146</f>
        <v>76270.599999999977</v>
      </c>
      <c r="I146" s="392"/>
      <c r="J146" s="314">
        <f>H146/DAY(B2)</f>
        <v>4237.2555555555546</v>
      </c>
      <c r="K146" s="391"/>
      <c r="L146" s="293"/>
    </row>
    <row r="147" spans="1:12" ht="23.25" customHeight="1">
      <c r="A147" s="1472" t="s">
        <v>267</v>
      </c>
      <c r="B147" s="1473"/>
      <c r="C147" s="1474"/>
      <c r="D147" s="268" t="s">
        <v>24</v>
      </c>
      <c r="E147" s="265"/>
      <c r="F147" s="265"/>
      <c r="G147" s="280">
        <f>G146/G7</f>
        <v>0.2119920772468433</v>
      </c>
      <c r="H147" s="277">
        <f>G147+'17'!H147</f>
        <v>3.945497194855069</v>
      </c>
      <c r="I147" s="392"/>
      <c r="J147" s="314">
        <f>H147/DAY(B2)</f>
        <v>0.2191942886030594</v>
      </c>
    </row>
    <row r="148" spans="1:12" ht="23.25" customHeight="1">
      <c r="A148" s="1472" t="s">
        <v>268</v>
      </c>
      <c r="B148" s="1473"/>
      <c r="C148" s="1474"/>
      <c r="D148" s="268" t="s">
        <v>194</v>
      </c>
      <c r="E148" s="265"/>
      <c r="F148" s="265"/>
      <c r="G148" s="277">
        <f>G38+G52</f>
        <v>2050.5400000000009</v>
      </c>
      <c r="H148" s="277">
        <f>G148+'17'!H148</f>
        <v>37265.560000000034</v>
      </c>
      <c r="I148" s="326"/>
      <c r="J148" s="314">
        <f>H148/DAY(B2)</f>
        <v>2070.3088888888906</v>
      </c>
      <c r="K148" s="393"/>
    </row>
    <row r="149" spans="1:12" ht="23.25" customHeight="1">
      <c r="A149" s="1472" t="s">
        <v>269</v>
      </c>
      <c r="B149" s="1473"/>
      <c r="C149" s="1474"/>
      <c r="D149" s="268" t="s">
        <v>24</v>
      </c>
      <c r="E149" s="265"/>
      <c r="F149" s="265"/>
      <c r="G149" s="280">
        <f>G148/G7</f>
        <v>0.10153701411240411</v>
      </c>
      <c r="H149" s="277">
        <f>G149+'17'!H149</f>
        <v>1.9229784002136456</v>
      </c>
      <c r="I149" s="392"/>
      <c r="J149" s="314">
        <f>H149/DAY(B2)</f>
        <v>0.10683213334520253</v>
      </c>
    </row>
    <row r="150" spans="1:12" ht="23.25" customHeight="1">
      <c r="A150" s="1472" t="s">
        <v>270</v>
      </c>
      <c r="B150" s="1473"/>
      <c r="C150" s="1474"/>
      <c r="D150" s="268" t="s">
        <v>194</v>
      </c>
      <c r="E150" s="265"/>
      <c r="F150" s="265"/>
      <c r="G150" s="277">
        <f>G36+G50</f>
        <v>2012.3600000000442</v>
      </c>
      <c r="H150" s="277">
        <f>G150+'17'!H150</f>
        <v>34162.820000000007</v>
      </c>
      <c r="I150" s="392"/>
      <c r="J150" s="314">
        <f>H150/DAY(B2)</f>
        <v>1897.9344444444448</v>
      </c>
    </row>
    <row r="151" spans="1:12" ht="23.25" customHeight="1">
      <c r="A151" s="1472" t="s">
        <v>271</v>
      </c>
      <c r="B151" s="1473"/>
      <c r="C151" s="1474"/>
      <c r="D151" s="268" t="s">
        <v>24</v>
      </c>
      <c r="E151" s="265"/>
      <c r="F151" s="265"/>
      <c r="G151" s="280">
        <f>G150/G7</f>
        <v>9.9646447140383468E-2</v>
      </c>
      <c r="H151" s="277">
        <f>G151+'17'!H151</f>
        <v>1.7536486565148859</v>
      </c>
      <c r="I151" s="326"/>
      <c r="J151" s="314">
        <f>H151/DAY(B2)</f>
        <v>9.74249253619381E-2</v>
      </c>
    </row>
    <row r="152" spans="1:12" ht="23.25" customHeight="1">
      <c r="A152" s="1472" t="s">
        <v>272</v>
      </c>
      <c r="B152" s="1473"/>
      <c r="C152" s="1474"/>
      <c r="D152" s="268" t="s">
        <v>194</v>
      </c>
      <c r="E152" s="265"/>
      <c r="F152" s="265"/>
      <c r="G152" s="277">
        <f>G37+G51</f>
        <v>1468.9300000000003</v>
      </c>
      <c r="H152" s="277">
        <f>G152+'17'!H152</f>
        <v>27178.089999999993</v>
      </c>
      <c r="I152" s="326"/>
      <c r="J152" s="314">
        <f>H152/DAY(B2)</f>
        <v>1509.8938888888886</v>
      </c>
    </row>
    <row r="153" spans="1:12" ht="23.25" customHeight="1">
      <c r="A153" s="1472" t="s">
        <v>273</v>
      </c>
      <c r="B153" s="1473"/>
      <c r="C153" s="1474"/>
      <c r="D153" s="268" t="s">
        <v>24</v>
      </c>
      <c r="E153" s="265"/>
      <c r="F153" s="265"/>
      <c r="G153" s="280">
        <f>G152/G7</f>
        <v>7.2737311215647457E-2</v>
      </c>
      <c r="H153" s="277">
        <f>G153+'17'!H153</f>
        <v>1.4107236714510949</v>
      </c>
      <c r="I153" s="326"/>
      <c r="J153" s="314">
        <f>H153/DAY(B2)</f>
        <v>7.8373537302838608E-2</v>
      </c>
    </row>
    <row r="154" spans="1:12" s="494" customFormat="1" ht="44.25" customHeight="1">
      <c r="A154" s="497"/>
      <c r="B154" s="498"/>
      <c r="C154" s="498"/>
      <c r="D154" s="498"/>
      <c r="E154" s="499"/>
      <c r="F154" s="500"/>
      <c r="G154" s="501"/>
      <c r="H154" s="502"/>
      <c r="I154" s="503"/>
      <c r="J154" s="504"/>
    </row>
    <row r="155" spans="1:12" s="494" customFormat="1" ht="21.75" customHeight="1">
      <c r="A155" s="520"/>
      <c r="B155" s="489"/>
      <c r="C155" s="513"/>
      <c r="D155" s="489"/>
      <c r="E155" s="489"/>
      <c r="F155" s="489"/>
      <c r="G155" s="489"/>
      <c r="H155" s="491"/>
      <c r="I155" s="489"/>
      <c r="J155" s="491"/>
    </row>
    <row r="156" spans="1:12" s="494" customFormat="1" ht="21.75" customHeight="1">
      <c r="A156" s="483"/>
      <c r="B156" s="489"/>
      <c r="C156" s="513"/>
      <c r="D156" s="489"/>
      <c r="E156" s="489"/>
      <c r="F156" s="489"/>
      <c r="G156" s="489"/>
      <c r="H156" s="491"/>
      <c r="I156" s="489"/>
      <c r="J156" s="491"/>
    </row>
    <row r="157" spans="1:12" s="494" customFormat="1" ht="21.75" customHeight="1">
      <c r="A157" s="483"/>
      <c r="B157" s="489"/>
      <c r="C157" s="513"/>
      <c r="D157" s="489"/>
      <c r="E157" s="489"/>
      <c r="F157" s="489"/>
      <c r="G157" s="489"/>
      <c r="H157" s="491"/>
      <c r="I157" s="489"/>
      <c r="J157" s="491"/>
    </row>
    <row r="158" spans="1:12" s="494" customFormat="1" ht="21.75" customHeight="1">
      <c r="A158" s="483"/>
      <c r="B158" s="489"/>
      <c r="C158" s="513"/>
      <c r="D158" s="489"/>
      <c r="E158" s="489"/>
      <c r="F158" s="489"/>
      <c r="G158" s="489"/>
      <c r="H158" s="491"/>
      <c r="I158" s="489"/>
      <c r="J158" s="491"/>
    </row>
    <row r="159" spans="1:12" s="494" customFormat="1" ht="21.75" customHeight="1">
      <c r="A159" s="483"/>
      <c r="B159" s="489"/>
      <c r="C159" s="513"/>
      <c r="D159" s="489"/>
      <c r="E159" s="888"/>
      <c r="F159" s="489"/>
      <c r="G159" s="489"/>
      <c r="H159" s="491"/>
      <c r="I159" s="489"/>
      <c r="J159" s="491"/>
    </row>
    <row r="160" spans="1:12" s="494" customFormat="1" ht="21.75" customHeight="1" thickBot="1">
      <c r="A160" s="868" t="s">
        <v>274</v>
      </c>
      <c r="B160" s="869"/>
      <c r="C160" s="869"/>
      <c r="D160" s="587" t="s">
        <v>198</v>
      </c>
      <c r="E160" s="312">
        <f>'17'!F160</f>
        <v>29857.35</v>
      </c>
      <c r="F160" s="739">
        <v>29944.48</v>
      </c>
      <c r="G160" s="549">
        <f t="shared" ref="G160:G165" si="16">F160-E160</f>
        <v>87.130000000001019</v>
      </c>
      <c r="H160" s="491"/>
      <c r="I160" s="489"/>
      <c r="J160" s="491"/>
    </row>
    <row r="161" spans="1:10" s="494" customFormat="1" ht="21.75" customHeight="1" thickBot="1">
      <c r="A161" s="868" t="s">
        <v>275</v>
      </c>
      <c r="B161" s="869"/>
      <c r="C161" s="869"/>
      <c r="D161" s="587" t="s">
        <v>198</v>
      </c>
      <c r="E161" s="312">
        <f>'17'!F161</f>
        <v>50204.77</v>
      </c>
      <c r="F161" s="739">
        <v>50631.81</v>
      </c>
      <c r="G161" s="549">
        <f t="shared" si="16"/>
        <v>427.04000000000087</v>
      </c>
      <c r="H161" s="491"/>
      <c r="I161" s="489"/>
      <c r="J161" s="491"/>
    </row>
    <row r="162" spans="1:10" s="494" customFormat="1" ht="21.75" customHeight="1" thickBot="1">
      <c r="A162" s="868" t="s">
        <v>276</v>
      </c>
      <c r="B162" s="869"/>
      <c r="C162" s="869"/>
      <c r="D162" s="587" t="s">
        <v>198</v>
      </c>
      <c r="E162" s="312">
        <f>'17'!F162</f>
        <v>17557</v>
      </c>
      <c r="F162" s="740">
        <v>17799</v>
      </c>
      <c r="G162" s="549">
        <f t="shared" si="16"/>
        <v>242</v>
      </c>
      <c r="H162" s="491"/>
      <c r="I162" s="489"/>
      <c r="J162" s="491"/>
    </row>
    <row r="163" spans="1:10" s="494" customFormat="1" ht="21.75" customHeight="1" thickBot="1">
      <c r="A163" s="868" t="s">
        <v>277</v>
      </c>
      <c r="B163" s="869"/>
      <c r="C163" s="869"/>
      <c r="D163" s="587" t="s">
        <v>198</v>
      </c>
      <c r="E163" s="312">
        <f>'17'!F163</f>
        <v>5231</v>
      </c>
      <c r="F163" s="739">
        <v>5241.41</v>
      </c>
      <c r="G163" s="549">
        <f t="shared" si="16"/>
        <v>10.409999999999854</v>
      </c>
      <c r="H163" s="491"/>
      <c r="I163" s="489"/>
      <c r="J163" s="491"/>
    </row>
    <row r="164" spans="1:10" s="494" customFormat="1" ht="21.75" customHeight="1">
      <c r="A164" s="870" t="s">
        <v>106</v>
      </c>
      <c r="B164" s="681"/>
      <c r="C164" s="681"/>
      <c r="D164" s="587" t="s">
        <v>198</v>
      </c>
      <c r="E164" s="590">
        <f>E62</f>
        <v>20419.18</v>
      </c>
      <c r="F164" s="590">
        <v>20419</v>
      </c>
      <c r="G164" s="549">
        <f t="shared" si="16"/>
        <v>-0.18000000000029104</v>
      </c>
      <c r="H164" s="491"/>
      <c r="I164" s="489"/>
      <c r="J164" s="491"/>
    </row>
    <row r="165" spans="1:10" s="494" customFormat="1" ht="21.75" customHeight="1">
      <c r="A165" s="870" t="s">
        <v>199</v>
      </c>
      <c r="B165" s="681"/>
      <c r="C165" s="681"/>
      <c r="D165" s="587" t="s">
        <v>198</v>
      </c>
      <c r="E165" s="590">
        <f t="shared" ref="E165:E171" si="17">E63</f>
        <v>1558.35</v>
      </c>
      <c r="F165" s="590">
        <v>1199</v>
      </c>
      <c r="G165" s="549">
        <f t="shared" si="16"/>
        <v>-359.34999999999991</v>
      </c>
      <c r="H165" s="491"/>
      <c r="I165" s="489"/>
      <c r="J165" s="491"/>
    </row>
    <row r="166" spans="1:10" s="494" customFormat="1" ht="21.75" customHeight="1">
      <c r="A166" s="1381" t="s">
        <v>107</v>
      </c>
      <c r="B166" s="1381"/>
      <c r="C166" s="1381"/>
      <c r="D166" s="599" t="s">
        <v>198</v>
      </c>
      <c r="E166" s="590">
        <f t="shared" si="17"/>
        <v>118398.78</v>
      </c>
      <c r="F166" s="590">
        <v>50768</v>
      </c>
      <c r="G166" s="549">
        <f>F64-E64</f>
        <v>429.19999999999709</v>
      </c>
      <c r="H166" s="491"/>
      <c r="I166" s="489"/>
      <c r="J166" s="491"/>
    </row>
    <row r="167" spans="1:10" s="494" customFormat="1" ht="21.75" customHeight="1">
      <c r="A167" s="1381" t="s">
        <v>108</v>
      </c>
      <c r="B167" s="1381"/>
      <c r="C167" s="1381"/>
      <c r="D167" s="599" t="s">
        <v>198</v>
      </c>
      <c r="E167" s="590">
        <f t="shared" si="17"/>
        <v>128247.81</v>
      </c>
      <c r="F167" s="590">
        <v>48316</v>
      </c>
      <c r="G167" s="549">
        <f t="shared" ref="G167:G171" si="18">F65-E65</f>
        <v>397.29000000000815</v>
      </c>
      <c r="H167" s="489"/>
      <c r="I167" s="489"/>
      <c r="J167" s="491"/>
    </row>
    <row r="168" spans="1:10" s="494" customFormat="1" ht="21.75" customHeight="1">
      <c r="A168" s="1381" t="s">
        <v>109</v>
      </c>
      <c r="B168" s="1381"/>
      <c r="C168" s="1381"/>
      <c r="D168" s="599" t="s">
        <v>198</v>
      </c>
      <c r="E168" s="590">
        <f t="shared" si="17"/>
        <v>20852.34</v>
      </c>
      <c r="F168" s="590">
        <v>43521</v>
      </c>
      <c r="G168" s="549">
        <f t="shared" si="18"/>
        <v>398.93999999999869</v>
      </c>
      <c r="H168" s="489"/>
      <c r="I168" s="489"/>
      <c r="J168" s="491"/>
    </row>
    <row r="169" spans="1:10" s="494" customFormat="1" ht="21.75" customHeight="1">
      <c r="A169" s="1381" t="s">
        <v>110</v>
      </c>
      <c r="B169" s="1381"/>
      <c r="C169" s="1381"/>
      <c r="D169" s="599" t="s">
        <v>198</v>
      </c>
      <c r="E169" s="590">
        <f t="shared" si="17"/>
        <v>200595.89</v>
      </c>
      <c r="F169" s="590">
        <v>81491</v>
      </c>
      <c r="G169" s="549">
        <f t="shared" si="18"/>
        <v>665.10999999998603</v>
      </c>
      <c r="H169" s="490"/>
      <c r="I169" s="489"/>
      <c r="J169" s="491"/>
    </row>
    <row r="170" spans="1:10" s="494" customFormat="1" ht="23.25" customHeight="1">
      <c r="A170" s="1381" t="s">
        <v>111</v>
      </c>
      <c r="B170" s="1381"/>
      <c r="C170" s="1381"/>
      <c r="D170" s="599" t="s">
        <v>198</v>
      </c>
      <c r="E170" s="590">
        <f t="shared" si="17"/>
        <v>69092.17</v>
      </c>
      <c r="F170" s="590">
        <v>8925</v>
      </c>
      <c r="G170" s="549">
        <f t="shared" si="18"/>
        <v>390.13000000000466</v>
      </c>
      <c r="H170" s="490"/>
      <c r="I170" s="489"/>
      <c r="J170" s="491"/>
    </row>
    <row r="171" spans="1:10" s="494" customFormat="1" ht="24" customHeight="1">
      <c r="A171" s="1381" t="s">
        <v>112</v>
      </c>
      <c r="B171" s="1381"/>
      <c r="C171" s="1381"/>
      <c r="D171" s="599" t="s">
        <v>198</v>
      </c>
      <c r="E171" s="590">
        <f t="shared" si="17"/>
        <v>60872.25</v>
      </c>
      <c r="F171" s="590">
        <v>21492</v>
      </c>
      <c r="G171" s="549">
        <f t="shared" si="18"/>
        <v>316.0199999999968</v>
      </c>
      <c r="H171" s="490"/>
      <c r="I171" s="489"/>
      <c r="J171" s="491"/>
    </row>
    <row r="172" spans="1:10" s="495" customFormat="1">
      <c r="A172" s="483"/>
      <c r="B172" s="483"/>
      <c r="C172" s="488"/>
      <c r="D172" s="488"/>
      <c r="E172" s="483"/>
      <c r="F172" s="512"/>
      <c r="G172" s="482">
        <f>SUM(G160:G171)</f>
        <v>3003.739999999993</v>
      </c>
      <c r="H172" s="490"/>
      <c r="I172" s="483"/>
      <c r="J172" s="483"/>
    </row>
    <row r="173" spans="1:10" s="495" customFormat="1">
      <c r="A173" s="483"/>
      <c r="B173" s="483"/>
      <c r="C173" s="488"/>
      <c r="D173" s="488"/>
      <c r="E173" s="483"/>
      <c r="F173" s="488"/>
      <c r="G173" s="483"/>
      <c r="H173" s="496"/>
      <c r="I173" s="483"/>
      <c r="J173" s="483"/>
    </row>
    <row r="174" spans="1:10" s="495" customFormat="1">
      <c r="A174" s="483"/>
      <c r="B174" s="483"/>
      <c r="C174" s="488"/>
      <c r="D174" s="488"/>
      <c r="E174" s="483"/>
      <c r="F174" s="512"/>
      <c r="G174" s="482"/>
      <c r="H174" s="490"/>
      <c r="I174" s="483"/>
      <c r="J174" s="483"/>
    </row>
    <row r="175" spans="1:10" s="495" customFormat="1">
      <c r="A175" s="483"/>
      <c r="B175" s="483"/>
      <c r="C175" s="483"/>
      <c r="D175" s="483"/>
      <c r="E175" s="483"/>
      <c r="F175" s="488"/>
      <c r="G175" s="483"/>
      <c r="H175" s="496"/>
      <c r="I175" s="483"/>
      <c r="J175" s="483"/>
    </row>
    <row r="176" spans="1:10" s="495" customFormat="1">
      <c r="A176" s="483"/>
      <c r="B176" s="483"/>
      <c r="C176" s="488"/>
      <c r="D176" s="488"/>
      <c r="E176" s="483"/>
      <c r="F176" s="488"/>
      <c r="G176" s="482"/>
      <c r="H176" s="490"/>
      <c r="I176" s="483"/>
      <c r="J176" s="483"/>
    </row>
    <row r="177" spans="8:10" s="494" customFormat="1" ht="18.75" customHeight="1">
      <c r="H177" s="521"/>
      <c r="J177" s="522"/>
    </row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4:C94"/>
    <mergeCell ref="A95:C95"/>
    <mergeCell ref="A82:C82"/>
    <mergeCell ref="A83:C83"/>
    <mergeCell ref="A92:C92"/>
    <mergeCell ref="A93:C93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5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tabSelected="1" view="pageBreakPreview" zoomScale="55" zoomScaleNormal="40" zoomScaleSheetLayoutView="55" zoomScalePageLayoutView="60" workbookViewId="0">
      <selection activeCell="J32" sqref="J32"/>
    </sheetView>
  </sheetViews>
  <sheetFormatPr defaultColWidth="22.33203125" defaultRowHeight="29.25"/>
  <cols>
    <col min="1" max="1" width="48.44140625" style="530" customWidth="1"/>
    <col min="2" max="2" width="30.77734375" style="533" customWidth="1"/>
    <col min="3" max="3" width="15.88671875" style="533" customWidth="1"/>
    <col min="4" max="4" width="13.6640625" style="614" customWidth="1"/>
    <col min="5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109375" style="407" customWidth="1"/>
    <col min="15" max="16384" width="22.33203125" style="407"/>
  </cols>
  <sheetData>
    <row r="1" spans="1:15" ht="33.75">
      <c r="A1" s="1414" t="s">
        <v>128</v>
      </c>
      <c r="B1" s="1415"/>
      <c r="C1" s="1415"/>
      <c r="D1" s="1415"/>
      <c r="E1" s="1415"/>
      <c r="F1" s="1415"/>
      <c r="G1" s="1415"/>
      <c r="H1" s="1415"/>
      <c r="I1" s="1415"/>
      <c r="J1" s="1416"/>
    </row>
    <row r="2" spans="1:15" s="281" customFormat="1" ht="27">
      <c r="A2" s="652" t="s">
        <v>346</v>
      </c>
      <c r="B2" s="1118">
        <v>44246</v>
      </c>
      <c r="C2" s="1233" t="s">
        <v>69</v>
      </c>
      <c r="D2" s="688">
        <v>0.68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5" s="281" customFormat="1" ht="27">
      <c r="A3" s="647"/>
      <c r="B3" s="691"/>
      <c r="C3" s="1233" t="s">
        <v>131</v>
      </c>
      <c r="D3" s="689">
        <v>28</v>
      </c>
      <c r="E3" s="1423" t="s">
        <v>132</v>
      </c>
      <c r="F3" s="1424"/>
      <c r="G3" s="538"/>
      <c r="H3" s="539"/>
      <c r="I3" s="539"/>
      <c r="J3" s="692"/>
      <c r="K3" s="402"/>
      <c r="L3" s="293"/>
    </row>
    <row r="4" spans="1:15" s="281" customFormat="1" ht="27">
      <c r="A4" s="653"/>
      <c r="B4" s="693"/>
      <c r="C4" s="1233" t="s">
        <v>133</v>
      </c>
      <c r="D4" s="688">
        <v>0.75</v>
      </c>
      <c r="E4" s="540"/>
      <c r="F4" s="540"/>
      <c r="G4" s="540"/>
      <c r="H4" s="540"/>
      <c r="I4" s="541"/>
      <c r="J4" s="692"/>
      <c r="K4" s="403"/>
      <c r="L4" s="293"/>
    </row>
    <row r="5" spans="1:15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5">
      <c r="A6" s="1417" t="s">
        <v>141</v>
      </c>
      <c r="B6" s="1418"/>
      <c r="C6" s="1419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30" thickBot="1">
      <c r="A7" s="655" t="s">
        <v>142</v>
      </c>
      <c r="B7" s="656"/>
      <c r="C7" s="656"/>
      <c r="D7" s="599" t="s">
        <v>143</v>
      </c>
      <c r="E7" s="531">
        <f>'18'!F7</f>
        <v>4237940</v>
      </c>
      <c r="F7" s="531">
        <v>4257518</v>
      </c>
      <c r="G7" s="549">
        <f>F7-E7</f>
        <v>19578</v>
      </c>
      <c r="H7" s="536">
        <f>G7+'18'!H7</f>
        <v>369320</v>
      </c>
      <c r="I7" s="550">
        <f>'1'!I7</f>
        <v>12000</v>
      </c>
      <c r="J7" s="629">
        <f>H7/DAY(B2)</f>
        <v>19437.894736842107</v>
      </c>
      <c r="K7" s="626"/>
      <c r="L7" s="408"/>
      <c r="N7" s="413"/>
      <c r="O7" s="413"/>
    </row>
    <row r="8" spans="1:15" ht="27.75" thickBot="1">
      <c r="A8" s="657" t="s">
        <v>144</v>
      </c>
      <c r="B8" s="658"/>
      <c r="C8" s="659"/>
      <c r="D8" s="694" t="s">
        <v>25</v>
      </c>
      <c r="E8" s="551">
        <f>'18'!F8</f>
        <v>4264981</v>
      </c>
      <c r="F8" s="551">
        <v>4284656</v>
      </c>
      <c r="G8" s="552">
        <f>F8-E8</f>
        <v>19675</v>
      </c>
      <c r="H8" s="536">
        <f>G8+'18'!H8</f>
        <v>371805</v>
      </c>
      <c r="I8" s="553">
        <f>'1'!I8</f>
        <v>12000</v>
      </c>
      <c r="J8" s="629">
        <f>H8/DAY(B2)</f>
        <v>19568.684210526317</v>
      </c>
      <c r="K8" s="626"/>
      <c r="L8" s="464"/>
      <c r="M8" s="479"/>
      <c r="N8" s="413"/>
      <c r="O8" s="413"/>
    </row>
    <row r="9" spans="1:15">
      <c r="A9" s="660" t="s">
        <v>145</v>
      </c>
      <c r="B9" s="661"/>
      <c r="C9" s="661"/>
      <c r="D9" s="599" t="s">
        <v>143</v>
      </c>
      <c r="E9" s="554">
        <f>'18'!F9</f>
        <v>147964</v>
      </c>
      <c r="F9" s="554">
        <v>161175</v>
      </c>
      <c r="G9" s="549">
        <f t="shared" ref="G9:G12" si="0">F9-E9</f>
        <v>13211</v>
      </c>
      <c r="H9" s="536">
        <f>G9+'18'!H9</f>
        <v>198287.25</v>
      </c>
      <c r="I9" s="555">
        <f>I8-J8</f>
        <v>-7568.6842105263167</v>
      </c>
      <c r="J9" s="629">
        <f>H9/DAY(B2)</f>
        <v>10436.171052631578</v>
      </c>
      <c r="K9" s="467"/>
      <c r="L9" s="408"/>
      <c r="N9" s="413"/>
      <c r="O9" s="413"/>
    </row>
    <row r="10" spans="1:15">
      <c r="A10" s="655" t="s">
        <v>146</v>
      </c>
      <c r="B10" s="656"/>
      <c r="C10" s="656"/>
      <c r="D10" s="599" t="s">
        <v>143</v>
      </c>
      <c r="E10" s="554">
        <f>'18'!F10</f>
        <v>1353036</v>
      </c>
      <c r="F10" s="554">
        <v>1358840</v>
      </c>
      <c r="G10" s="549">
        <f t="shared" si="0"/>
        <v>5804</v>
      </c>
      <c r="H10" s="536">
        <f>G10+'18'!H10</f>
        <v>157965.60000000009</v>
      </c>
      <c r="I10" s="556"/>
      <c r="J10" s="629">
        <f>H10/DAY(B2)</f>
        <v>8313.9789473684268</v>
      </c>
      <c r="K10" s="467"/>
      <c r="L10" s="408"/>
      <c r="N10" s="413"/>
      <c r="O10" s="413"/>
    </row>
    <row r="11" spans="1:15">
      <c r="A11" s="655" t="s">
        <v>147</v>
      </c>
      <c r="B11" s="656"/>
      <c r="C11" s="656"/>
      <c r="D11" s="599" t="s">
        <v>143</v>
      </c>
      <c r="E11" s="531">
        <f>'18'!F11</f>
        <v>37000</v>
      </c>
      <c r="F11" s="531">
        <v>37000</v>
      </c>
      <c r="G11" s="549">
        <f t="shared" si="0"/>
        <v>0</v>
      </c>
      <c r="H11" s="536">
        <f>G11+'18'!H11</f>
        <v>1610</v>
      </c>
      <c r="I11" s="556"/>
      <c r="J11" s="629">
        <f>H11/DAY(B2)</f>
        <v>84.736842105263165</v>
      </c>
      <c r="K11" s="467"/>
      <c r="L11" s="408"/>
      <c r="N11" s="413"/>
      <c r="O11" s="413"/>
    </row>
    <row r="12" spans="1:15">
      <c r="A12" s="655" t="s">
        <v>148</v>
      </c>
      <c r="B12" s="656"/>
      <c r="C12" s="656"/>
      <c r="D12" s="599" t="s">
        <v>143</v>
      </c>
      <c r="E12" s="554">
        <f>'18'!F12</f>
        <v>40010</v>
      </c>
      <c r="F12" s="554">
        <v>40010</v>
      </c>
      <c r="G12" s="549">
        <f t="shared" si="0"/>
        <v>0</v>
      </c>
      <c r="H12" s="536">
        <f>G12+'18'!H12</f>
        <v>2380</v>
      </c>
      <c r="I12" s="556"/>
      <c r="J12" s="629">
        <f>H12/DAY(B2)</f>
        <v>125.26315789473684</v>
      </c>
      <c r="K12" s="467"/>
      <c r="L12" s="408"/>
      <c r="N12" s="413"/>
      <c r="O12" s="413"/>
    </row>
    <row r="13" spans="1:15">
      <c r="A13" s="662" t="s">
        <v>149</v>
      </c>
      <c r="B13" s="663"/>
      <c r="C13" s="663"/>
      <c r="D13" s="599"/>
      <c r="E13" s="531"/>
      <c r="F13" s="531"/>
      <c r="G13" s="557">
        <f>G9+G10+G11+G12</f>
        <v>19015</v>
      </c>
      <c r="H13" s="536">
        <f>G13+'18'!H13</f>
        <v>341936.85000000009</v>
      </c>
      <c r="I13" s="558">
        <f>G7-G13</f>
        <v>563</v>
      </c>
      <c r="J13" s="629">
        <f>H13/DAY(B2)</f>
        <v>17996.676315789478</v>
      </c>
      <c r="K13" s="467"/>
      <c r="L13" s="408"/>
      <c r="N13" s="413"/>
      <c r="O13" s="413"/>
    </row>
    <row r="14" spans="1:15">
      <c r="A14" s="1420" t="s">
        <v>150</v>
      </c>
      <c r="B14" s="1421"/>
      <c r="C14" s="1422"/>
      <c r="D14" s="548"/>
      <c r="E14" s="548"/>
      <c r="F14" s="548"/>
      <c r="G14" s="559"/>
      <c r="H14" s="548"/>
      <c r="I14" s="548"/>
      <c r="J14" s="628"/>
      <c r="K14" s="468"/>
      <c r="L14" s="408"/>
      <c r="N14" s="413"/>
      <c r="O14" s="413"/>
    </row>
    <row r="15" spans="1:15">
      <c r="A15" s="1231" t="s">
        <v>151</v>
      </c>
      <c r="B15" s="666"/>
      <c r="C15" s="666"/>
      <c r="D15" s="599" t="s">
        <v>152</v>
      </c>
      <c r="E15" s="560">
        <f>'18'!F15</f>
        <v>1610553.59</v>
      </c>
      <c r="F15" s="560">
        <v>1611435</v>
      </c>
      <c r="G15" s="862">
        <f>(F15-E15)</f>
        <v>881.40999999991618</v>
      </c>
      <c r="H15" s="536">
        <f>G15+'18'!H15</f>
        <v>16997.850000000093</v>
      </c>
      <c r="I15" s="550">
        <v>800</v>
      </c>
      <c r="J15" s="629">
        <f>H15/DAY(B2)</f>
        <v>894.62368421053122</v>
      </c>
      <c r="K15" s="467"/>
      <c r="L15" s="408"/>
      <c r="N15" s="413"/>
      <c r="O15" s="803"/>
    </row>
    <row r="16" spans="1:15">
      <c r="A16" s="664"/>
      <c r="B16" s="665"/>
      <c r="C16" s="665"/>
      <c r="D16" s="600"/>
      <c r="E16" s="561"/>
      <c r="F16" s="561"/>
      <c r="G16" s="549"/>
      <c r="H16" s="562"/>
      <c r="I16" s="563">
        <f>I15-J15</f>
        <v>-94.623684210531223</v>
      </c>
      <c r="J16" s="630"/>
      <c r="K16" s="467"/>
      <c r="L16" s="408"/>
      <c r="N16" s="413"/>
      <c r="O16" s="413"/>
    </row>
    <row r="17" spans="1:15">
      <c r="A17" s="1420" t="s">
        <v>153</v>
      </c>
      <c r="B17" s="1421"/>
      <c r="C17" s="1422"/>
      <c r="D17" s="548"/>
      <c r="E17" s="548"/>
      <c r="F17" s="548"/>
      <c r="G17" s="564"/>
      <c r="H17" s="548"/>
      <c r="I17" s="548"/>
      <c r="J17" s="628"/>
      <c r="K17" s="467"/>
      <c r="L17" s="408"/>
      <c r="N17" s="413"/>
      <c r="O17" s="413"/>
    </row>
    <row r="18" spans="1:15" ht="27.75">
      <c r="A18" s="1406" t="s">
        <v>154</v>
      </c>
      <c r="B18" s="1407"/>
      <c r="C18" s="1408"/>
      <c r="D18" s="599" t="s">
        <v>155</v>
      </c>
      <c r="E18" s="560">
        <f>'18'!F18</f>
        <v>12</v>
      </c>
      <c r="F18" s="560">
        <v>14</v>
      </c>
      <c r="G18" s="557">
        <f>F18*10</f>
        <v>140</v>
      </c>
      <c r="H18" s="536">
        <f>G18+'18'!H18</f>
        <v>3120</v>
      </c>
      <c r="I18" s="550">
        <f>'1'!I18</f>
        <v>65</v>
      </c>
      <c r="J18" s="629">
        <f>H18/DAY(B2)</f>
        <v>164.21052631578948</v>
      </c>
      <c r="K18" s="467"/>
      <c r="L18" s="408"/>
      <c r="N18" s="413"/>
      <c r="O18" s="413"/>
    </row>
    <row r="19" spans="1:15" ht="27.75">
      <c r="A19" s="1406" t="s">
        <v>71</v>
      </c>
      <c r="B19" s="1407"/>
      <c r="C19" s="1408"/>
      <c r="D19" s="599" t="s">
        <v>155</v>
      </c>
      <c r="E19" s="560">
        <f>'18'!F19</f>
        <v>133953</v>
      </c>
      <c r="F19" s="560">
        <v>134003</v>
      </c>
      <c r="G19" s="549">
        <f t="shared" ref="G19" si="1">F19-E19</f>
        <v>50</v>
      </c>
      <c r="H19" s="536">
        <f>G19+'18'!H19</f>
        <v>955</v>
      </c>
      <c r="I19" s="565"/>
      <c r="J19" s="629">
        <f>H19/DAY(B2)</f>
        <v>50.263157894736842</v>
      </c>
      <c r="K19" s="467"/>
      <c r="L19" s="408"/>
      <c r="N19" s="413"/>
      <c r="O19" s="413"/>
    </row>
    <row r="20" spans="1:15">
      <c r="A20" s="662" t="s">
        <v>156</v>
      </c>
      <c r="B20" s="663"/>
      <c r="C20" s="663"/>
      <c r="D20" s="566"/>
      <c r="E20" s="566"/>
      <c r="F20" s="566"/>
      <c r="G20" s="567">
        <f>G18+G19</f>
        <v>190</v>
      </c>
      <c r="H20" s="536">
        <f>G20+'18'!H20</f>
        <v>4075</v>
      </c>
      <c r="I20" s="568">
        <f>I18-J20</f>
        <v>-149.47368421052633</v>
      </c>
      <c r="J20" s="629">
        <f>H20/DAY(B2)</f>
        <v>214.47368421052633</v>
      </c>
      <c r="K20" s="467"/>
      <c r="L20" s="408"/>
      <c r="N20" s="413"/>
      <c r="O20" s="413"/>
    </row>
    <row r="21" spans="1:15">
      <c r="A21" s="1420" t="s">
        <v>157</v>
      </c>
      <c r="B21" s="1421"/>
      <c r="C21" s="1422"/>
      <c r="D21" s="548"/>
      <c r="E21" s="548"/>
      <c r="F21" s="548"/>
      <c r="G21" s="559"/>
      <c r="H21" s="548"/>
      <c r="I21" s="548"/>
      <c r="J21" s="628"/>
      <c r="K21" s="467"/>
      <c r="L21" s="408"/>
      <c r="N21" s="413"/>
      <c r="O21" s="413"/>
    </row>
    <row r="22" spans="1:15">
      <c r="A22" s="1231" t="s">
        <v>158</v>
      </c>
      <c r="B22" s="666"/>
      <c r="C22" s="666"/>
      <c r="D22" s="599" t="s">
        <v>159</v>
      </c>
      <c r="E22" s="267">
        <v>2250</v>
      </c>
      <c r="F22" s="560">
        <v>2250</v>
      </c>
      <c r="G22" s="557">
        <f t="shared" ref="G22" si="2">(F22-E22)</f>
        <v>0</v>
      </c>
      <c r="H22" s="536">
        <v>0</v>
      </c>
      <c r="I22" s="556"/>
      <c r="J22" s="629">
        <f>H22/DAY(B2)</f>
        <v>0</v>
      </c>
      <c r="K22" s="467"/>
      <c r="L22" s="408"/>
      <c r="N22" s="413"/>
      <c r="O22" s="413"/>
    </row>
    <row r="23" spans="1:15">
      <c r="A23" s="1231" t="s">
        <v>160</v>
      </c>
      <c r="B23" s="666"/>
      <c r="C23" s="666"/>
      <c r="D23" s="599" t="s">
        <v>159</v>
      </c>
      <c r="E23" s="267">
        <v>2000</v>
      </c>
      <c r="F23" s="560">
        <v>2000</v>
      </c>
      <c r="G23" s="557">
        <v>0</v>
      </c>
      <c r="H23" s="536">
        <v>0</v>
      </c>
      <c r="I23" s="556"/>
      <c r="J23" s="629">
        <f>H23/DAY(B2)</f>
        <v>0</v>
      </c>
      <c r="K23" s="467"/>
      <c r="L23" s="408"/>
      <c r="N23" s="413"/>
      <c r="O23" s="413"/>
    </row>
    <row r="24" spans="1:15">
      <c r="A24" s="667" t="s">
        <v>161</v>
      </c>
      <c r="B24" s="668"/>
      <c r="C24" s="668"/>
      <c r="D24" s="587" t="s">
        <v>159</v>
      </c>
      <c r="E24" s="344">
        <v>4250</v>
      </c>
      <c r="F24" s="569">
        <v>4250</v>
      </c>
      <c r="G24" s="557">
        <v>0</v>
      </c>
      <c r="H24" s="536">
        <f>G24+'18'!H24</f>
        <v>0</v>
      </c>
      <c r="I24" s="556"/>
      <c r="J24" s="629">
        <f>H24/DAY(B2)</f>
        <v>0</v>
      </c>
      <c r="K24" s="467"/>
      <c r="L24" s="408"/>
      <c r="N24" s="413"/>
      <c r="O24" s="413"/>
    </row>
    <row r="25" spans="1:15" s="481" customFormat="1" ht="27">
      <c r="A25" s="1425" t="s">
        <v>162</v>
      </c>
      <c r="B25" s="1426"/>
      <c r="C25" s="1427"/>
      <c r="D25" s="547"/>
      <c r="E25" s="547"/>
      <c r="F25" s="547"/>
      <c r="G25" s="570"/>
      <c r="H25" s="571"/>
      <c r="I25" s="572"/>
      <c r="J25" s="631"/>
      <c r="K25" s="404"/>
      <c r="L25" s="484"/>
      <c r="N25" s="493"/>
      <c r="O25" s="413"/>
    </row>
    <row r="26" spans="1:15" s="481" customFormat="1" ht="27.75">
      <c r="A26" s="669" t="s">
        <v>163</v>
      </c>
      <c r="B26" s="670"/>
      <c r="C26" s="671"/>
      <c r="D26" s="695" t="s">
        <v>164</v>
      </c>
      <c r="E26" s="573"/>
      <c r="F26" s="573"/>
      <c r="G26" s="574"/>
      <c r="H26" s="536"/>
      <c r="I26" s="575"/>
      <c r="J26" s="629"/>
      <c r="K26" s="405"/>
      <c r="L26" s="484"/>
      <c r="N26" s="493"/>
      <c r="O26" s="413"/>
    </row>
    <row r="27" spans="1:15" s="481" customFormat="1" ht="27.75">
      <c r="A27" s="669" t="s">
        <v>6</v>
      </c>
      <c r="B27" s="670"/>
      <c r="C27" s="671"/>
      <c r="D27" s="696" t="s">
        <v>25</v>
      </c>
      <c r="E27" s="577">
        <f>G8</f>
        <v>19675</v>
      </c>
      <c r="F27" s="577">
        <v>9</v>
      </c>
      <c r="G27" s="578">
        <f>E27*F27</f>
        <v>177075</v>
      </c>
      <c r="H27" s="536">
        <f>G27+'18'!H27</f>
        <v>3346245</v>
      </c>
      <c r="I27" s="579"/>
      <c r="J27" s="629">
        <f>H27/DAY(B2)</f>
        <v>176118.15789473685</v>
      </c>
      <c r="K27" s="404"/>
      <c r="L27" s="484"/>
      <c r="N27" s="493"/>
      <c r="O27" s="413"/>
    </row>
    <row r="28" spans="1:15" s="481" customFormat="1" ht="27.75">
      <c r="A28" s="669" t="s">
        <v>165</v>
      </c>
      <c r="B28" s="670"/>
      <c r="C28" s="671"/>
      <c r="D28" s="696" t="s">
        <v>166</v>
      </c>
      <c r="E28" s="577">
        <f>G15</f>
        <v>881.40999999991618</v>
      </c>
      <c r="F28" s="577">
        <v>43.5</v>
      </c>
      <c r="G28" s="578">
        <f>E28*F28</f>
        <v>38341.334999996354</v>
      </c>
      <c r="H28" s="536">
        <f>G28+'18'!H28</f>
        <v>739406.47500000405</v>
      </c>
      <c r="I28" s="581"/>
      <c r="J28" s="629">
        <f>H28/DAY(B2)</f>
        <v>38916.130263158106</v>
      </c>
      <c r="K28" s="404"/>
      <c r="L28" s="484"/>
      <c r="N28" s="493"/>
      <c r="O28" s="413"/>
    </row>
    <row r="29" spans="1:15" s="481" customFormat="1" ht="27.75">
      <c r="A29" s="669" t="s">
        <v>167</v>
      </c>
      <c r="B29" s="670"/>
      <c r="C29" s="671"/>
      <c r="D29" s="696" t="s">
        <v>168</v>
      </c>
      <c r="E29" s="577">
        <f>G24</f>
        <v>0</v>
      </c>
      <c r="F29" s="577">
        <v>69</v>
      </c>
      <c r="G29" s="578">
        <f>E29*F29</f>
        <v>0</v>
      </c>
      <c r="H29" s="536">
        <f>G29+'18'!H29</f>
        <v>162150</v>
      </c>
      <c r="I29" s="581"/>
      <c r="J29" s="629">
        <f>H29/DAY(B2)</f>
        <v>8534.21052631579</v>
      </c>
      <c r="K29" s="404"/>
      <c r="L29" s="484"/>
      <c r="N29" s="493"/>
      <c r="O29" s="413"/>
    </row>
    <row r="30" spans="1:15" s="481" customFormat="1" ht="27.75">
      <c r="A30" s="669" t="s">
        <v>169</v>
      </c>
      <c r="B30" s="670"/>
      <c r="C30" s="671"/>
      <c r="D30" s="696" t="s">
        <v>170</v>
      </c>
      <c r="E30" s="577">
        <f>G19</f>
        <v>50</v>
      </c>
      <c r="F30" s="577">
        <v>134</v>
      </c>
      <c r="G30" s="578">
        <f>E30*F30</f>
        <v>6700</v>
      </c>
      <c r="H30" s="536">
        <f>G30+'18'!H30</f>
        <v>127970</v>
      </c>
      <c r="I30" s="581"/>
      <c r="J30" s="629">
        <f>H30/DAY(B2)</f>
        <v>6735.2631578947367</v>
      </c>
      <c r="K30" s="404"/>
      <c r="L30" s="484"/>
      <c r="N30" s="493"/>
      <c r="O30" s="413"/>
    </row>
    <row r="31" spans="1:15" s="481" customFormat="1" ht="27.75">
      <c r="A31" s="669" t="s">
        <v>171</v>
      </c>
      <c r="B31" s="670"/>
      <c r="C31" s="671"/>
      <c r="D31" s="696" t="s">
        <v>155</v>
      </c>
      <c r="E31" s="577">
        <f>G18</f>
        <v>140</v>
      </c>
      <c r="F31" s="577">
        <v>80</v>
      </c>
      <c r="G31" s="578">
        <f>E31*F31</f>
        <v>11200</v>
      </c>
      <c r="H31" s="536">
        <f>G31+'18'!H31</f>
        <v>249600</v>
      </c>
      <c r="I31" s="581"/>
      <c r="J31" s="629">
        <f>H31/DAY(B2)</f>
        <v>13136.842105263158</v>
      </c>
      <c r="K31" s="404"/>
      <c r="L31" s="484"/>
      <c r="N31" s="493"/>
      <c r="O31" s="413"/>
    </row>
    <row r="32" spans="1:15" s="481" customFormat="1" ht="27.75">
      <c r="A32" s="672" t="s">
        <v>172</v>
      </c>
      <c r="B32" s="673"/>
      <c r="C32" s="674"/>
      <c r="D32" s="583"/>
      <c r="E32" s="583"/>
      <c r="F32" s="583"/>
      <c r="G32" s="584">
        <f>G27+G28+G29+G30+G31</f>
        <v>233316.33499999635</v>
      </c>
      <c r="H32" s="536">
        <f>G32+'18'!H32</f>
        <v>4625371.4750000043</v>
      </c>
      <c r="I32" s="585"/>
      <c r="J32" s="629">
        <f>H32/DAY(B2)</f>
        <v>243440.60394736865</v>
      </c>
      <c r="K32" s="404"/>
      <c r="L32" s="484"/>
      <c r="N32" s="493"/>
      <c r="O32" s="413"/>
    </row>
    <row r="33" spans="1:15" ht="25.5">
      <c r="A33" s="1428" t="s">
        <v>173</v>
      </c>
      <c r="B33" s="1429"/>
      <c r="C33" s="1429"/>
      <c r="D33" s="1429"/>
      <c r="E33" s="1429"/>
      <c r="F33" s="1429"/>
      <c r="G33" s="1429"/>
      <c r="H33" s="1429"/>
      <c r="I33" s="1429"/>
      <c r="J33" s="1430"/>
      <c r="K33" s="467"/>
      <c r="L33" s="408"/>
      <c r="N33" s="413"/>
      <c r="O33" s="413"/>
    </row>
    <row r="34" spans="1:15">
      <c r="A34" s="675" t="s">
        <v>174</v>
      </c>
      <c r="B34" s="1236"/>
      <c r="C34" s="1236"/>
      <c r="D34" s="548"/>
      <c r="E34" s="547"/>
      <c r="F34" s="547"/>
      <c r="G34" s="548"/>
      <c r="H34" s="548"/>
      <c r="I34" s="548"/>
      <c r="J34" s="628"/>
      <c r="K34" s="467"/>
      <c r="L34" s="408"/>
      <c r="N34" s="413"/>
      <c r="O34" s="413"/>
    </row>
    <row r="35" spans="1:15">
      <c r="A35" s="655" t="s">
        <v>175</v>
      </c>
      <c r="B35" s="656"/>
      <c r="C35" s="656"/>
      <c r="D35" s="599" t="s">
        <v>143</v>
      </c>
      <c r="E35" s="586">
        <f>'18'!F35</f>
        <v>662775.94999999995</v>
      </c>
      <c r="F35" s="586">
        <v>665457</v>
      </c>
      <c r="G35" s="549">
        <f t="shared" ref="G35:G46" si="3">F35-E35</f>
        <v>2681.0500000000466</v>
      </c>
      <c r="H35" s="536">
        <f>G35+'18'!H35</f>
        <v>36429.329999999958</v>
      </c>
      <c r="I35" s="531"/>
      <c r="J35" s="629">
        <f>H35/DAY(B2)</f>
        <v>1917.3331578947345</v>
      </c>
      <c r="K35" s="467"/>
      <c r="L35" s="408"/>
      <c r="N35" s="413"/>
      <c r="O35" s="705"/>
    </row>
    <row r="36" spans="1:15">
      <c r="A36" s="655" t="s">
        <v>176</v>
      </c>
      <c r="B36" s="656"/>
      <c r="C36" s="656"/>
      <c r="D36" s="599" t="s">
        <v>143</v>
      </c>
      <c r="E36" s="586">
        <f>'18'!F36</f>
        <v>289109.55</v>
      </c>
      <c r="F36" s="586">
        <v>289774</v>
      </c>
      <c r="G36" s="549">
        <f t="shared" si="3"/>
        <v>664.45000000001164</v>
      </c>
      <c r="H36" s="536">
        <f>G36+'18'!H36</f>
        <v>13282.549999999988</v>
      </c>
      <c r="I36" s="531"/>
      <c r="J36" s="629">
        <f>H36/DAY(B2)</f>
        <v>699.0815789473678</v>
      </c>
      <c r="K36" s="467"/>
      <c r="L36" s="408"/>
      <c r="N36" s="413"/>
      <c r="O36" s="705"/>
    </row>
    <row r="37" spans="1:15">
      <c r="A37" s="655" t="s">
        <v>177</v>
      </c>
      <c r="B37" s="656"/>
      <c r="C37" s="656"/>
      <c r="D37" s="599" t="s">
        <v>143</v>
      </c>
      <c r="E37" s="586">
        <f>'18'!F37</f>
        <v>17226.91</v>
      </c>
      <c r="F37" s="586">
        <v>18705</v>
      </c>
      <c r="G37" s="549">
        <f t="shared" si="3"/>
        <v>1478.0900000000001</v>
      </c>
      <c r="H37" s="536">
        <f>G37+'18'!H37</f>
        <v>18705</v>
      </c>
      <c r="I37" s="531"/>
      <c r="J37" s="629">
        <f>H37/DAY(B2)</f>
        <v>984.47368421052636</v>
      </c>
      <c r="K37" s="467"/>
      <c r="L37" s="408"/>
      <c r="N37" s="413"/>
      <c r="O37" s="413"/>
    </row>
    <row r="38" spans="1:15">
      <c r="A38" s="655" t="s">
        <v>178</v>
      </c>
      <c r="B38" s="656"/>
      <c r="C38" s="656"/>
      <c r="D38" s="599" t="s">
        <v>143</v>
      </c>
      <c r="E38" s="545">
        <f>'18'!F38</f>
        <v>23259.4</v>
      </c>
      <c r="F38" s="545">
        <v>25176</v>
      </c>
      <c r="G38" s="549">
        <f t="shared" si="3"/>
        <v>1916.5999999999985</v>
      </c>
      <c r="H38" s="536">
        <f>G38+'18'!H38</f>
        <v>25078.120000000003</v>
      </c>
      <c r="I38" s="531"/>
      <c r="J38" s="629">
        <f>H38/DAY(B2)</f>
        <v>1319.901052631579</v>
      </c>
      <c r="K38" s="467"/>
      <c r="L38" s="408"/>
      <c r="N38" s="413"/>
      <c r="O38" s="413"/>
    </row>
    <row r="39" spans="1:15">
      <c r="A39" s="655" t="s">
        <v>179</v>
      </c>
      <c r="B39" s="656"/>
      <c r="C39" s="656"/>
      <c r="D39" s="599" t="s">
        <v>143</v>
      </c>
      <c r="E39" s="586">
        <f>'18'!F39</f>
        <v>48714.36</v>
      </c>
      <c r="F39" s="586">
        <v>52877</v>
      </c>
      <c r="G39" s="549">
        <f t="shared" si="3"/>
        <v>4162.6399999999994</v>
      </c>
      <c r="H39" s="536">
        <f>G39+'18'!H39</f>
        <v>52877</v>
      </c>
      <c r="I39" s="531"/>
      <c r="J39" s="629">
        <f>H39/DAY(B2)</f>
        <v>2783</v>
      </c>
      <c r="K39" s="467"/>
      <c r="L39" s="408"/>
      <c r="N39" s="413"/>
      <c r="O39" s="413"/>
    </row>
    <row r="40" spans="1:15">
      <c r="A40" s="676" t="s">
        <v>180</v>
      </c>
      <c r="B40" s="677"/>
      <c r="C40" s="677"/>
      <c r="D40" s="599" t="s">
        <v>143</v>
      </c>
      <c r="E40" s="586">
        <f>'18'!F40</f>
        <v>0</v>
      </c>
      <c r="F40" s="586">
        <v>0</v>
      </c>
      <c r="G40" s="549">
        <f t="shared" si="3"/>
        <v>0</v>
      </c>
      <c r="H40" s="536">
        <f>G40+'18'!H40</f>
        <v>-0.06</v>
      </c>
      <c r="I40" s="531"/>
      <c r="J40" s="629">
        <f>H40/DAY(B2)</f>
        <v>-3.1578947368421052E-3</v>
      </c>
      <c r="K40" s="468"/>
      <c r="L40" s="408"/>
      <c r="N40" s="413"/>
      <c r="O40" s="413"/>
    </row>
    <row r="41" spans="1:15">
      <c r="A41" s="655" t="s">
        <v>181</v>
      </c>
      <c r="B41" s="656"/>
      <c r="C41" s="656"/>
      <c r="D41" s="599" t="s">
        <v>143</v>
      </c>
      <c r="E41" s="586">
        <f>'18'!F41</f>
        <v>63882.37</v>
      </c>
      <c r="F41" s="586">
        <v>63882</v>
      </c>
      <c r="G41" s="549">
        <f t="shared" si="3"/>
        <v>-0.37000000000261934</v>
      </c>
      <c r="H41" s="536">
        <f>G41+'18'!H41</f>
        <v>19259.480000000003</v>
      </c>
      <c r="I41" s="531"/>
      <c r="J41" s="629">
        <f>H41/DAY(B2)</f>
        <v>1013.6568421052633</v>
      </c>
      <c r="K41" s="467"/>
      <c r="L41" s="408"/>
      <c r="N41" s="413"/>
      <c r="O41" s="803"/>
    </row>
    <row r="42" spans="1:15">
      <c r="A42" s="655" t="s">
        <v>182</v>
      </c>
      <c r="B42" s="656"/>
      <c r="C42" s="656"/>
      <c r="D42" s="599" t="s">
        <v>143</v>
      </c>
      <c r="E42" s="586">
        <f>'18'!F42</f>
        <v>59128.85</v>
      </c>
      <c r="F42" s="586">
        <v>59129</v>
      </c>
      <c r="G42" s="549">
        <f>F42-E42</f>
        <v>0.15000000000145519</v>
      </c>
      <c r="H42" s="536">
        <f>G42+'18'!H42</f>
        <v>203</v>
      </c>
      <c r="I42" s="531"/>
      <c r="J42" s="629">
        <f>H42/DAY(B2)</f>
        <v>10.684210526315789</v>
      </c>
      <c r="K42" s="467"/>
      <c r="L42" s="408"/>
      <c r="N42" s="413"/>
      <c r="O42" s="413"/>
    </row>
    <row r="43" spans="1:15">
      <c r="A43" s="655" t="s">
        <v>183</v>
      </c>
      <c r="B43" s="656"/>
      <c r="C43" s="656"/>
      <c r="D43" s="599" t="s">
        <v>143</v>
      </c>
      <c r="E43" s="586">
        <f>'18'!F43</f>
        <v>802525.75</v>
      </c>
      <c r="F43" s="586">
        <v>804835</v>
      </c>
      <c r="G43" s="549">
        <f t="shared" si="3"/>
        <v>2309.25</v>
      </c>
      <c r="H43" s="536">
        <f>G43+'18'!H43</f>
        <v>37023.089999999967</v>
      </c>
      <c r="I43" s="531"/>
      <c r="J43" s="629">
        <f>H43/DAY(B2)</f>
        <v>1948.5836842105246</v>
      </c>
      <c r="K43" s="467"/>
      <c r="L43" s="408"/>
      <c r="N43" s="413"/>
      <c r="O43" s="413"/>
    </row>
    <row r="44" spans="1:15">
      <c r="A44" s="655" t="s">
        <v>184</v>
      </c>
      <c r="B44" s="656"/>
      <c r="C44" s="656"/>
      <c r="D44" s="599" t="s">
        <v>143</v>
      </c>
      <c r="E44" s="586">
        <f>'18'!F44</f>
        <v>0</v>
      </c>
      <c r="F44" s="586">
        <v>0</v>
      </c>
      <c r="G44" s="549">
        <f t="shared" si="3"/>
        <v>0</v>
      </c>
      <c r="H44" s="536">
        <f>G44+'18'!H44</f>
        <v>0</v>
      </c>
      <c r="I44" s="531"/>
      <c r="J44" s="629">
        <f>H44/DAY(B2)</f>
        <v>0</v>
      </c>
      <c r="K44" s="467"/>
      <c r="L44" s="408"/>
      <c r="N44" s="413"/>
      <c r="O44" s="413"/>
    </row>
    <row r="45" spans="1:15">
      <c r="A45" s="655" t="s">
        <v>185</v>
      </c>
      <c r="B45" s="656"/>
      <c r="C45" s="656"/>
      <c r="D45" s="599" t="s">
        <v>143</v>
      </c>
      <c r="E45" s="586">
        <f>'18'!F45</f>
        <v>614</v>
      </c>
      <c r="F45" s="586">
        <v>614</v>
      </c>
      <c r="G45" s="549">
        <f t="shared" si="3"/>
        <v>0</v>
      </c>
      <c r="H45" s="536">
        <f>G45+'18'!H45</f>
        <v>-0.48000000000001819</v>
      </c>
      <c r="I45" s="531"/>
      <c r="J45" s="629">
        <f>H45/DAY(B2)</f>
        <v>-2.5263157894737799E-2</v>
      </c>
      <c r="K45" s="467"/>
      <c r="L45" s="408"/>
      <c r="N45" s="413"/>
      <c r="O45" s="413"/>
    </row>
    <row r="46" spans="1:15">
      <c r="A46" s="655" t="s">
        <v>186</v>
      </c>
      <c r="B46" s="656"/>
      <c r="C46" s="656"/>
      <c r="D46" s="599" t="s">
        <v>143</v>
      </c>
      <c r="E46" s="586">
        <f>'18'!F46</f>
        <v>187.44</v>
      </c>
      <c r="F46" s="586">
        <v>187.44</v>
      </c>
      <c r="G46" s="549">
        <f t="shared" si="3"/>
        <v>0</v>
      </c>
      <c r="H46" s="536">
        <f>G46+'18'!H46</f>
        <v>-5.0000000000011369E-2</v>
      </c>
      <c r="I46" s="531"/>
      <c r="J46" s="629">
        <f>H46/DAY(B2)</f>
        <v>-2.6315789473690195E-3</v>
      </c>
      <c r="K46" s="467"/>
      <c r="L46" s="408"/>
      <c r="N46" s="413"/>
      <c r="O46" s="413"/>
    </row>
    <row r="47" spans="1:15">
      <c r="A47" s="662" t="s">
        <v>187</v>
      </c>
      <c r="B47" s="663"/>
      <c r="C47" s="663"/>
      <c r="D47" s="546"/>
      <c r="E47" s="587">
        <f>'18'!F47</f>
        <v>0</v>
      </c>
      <c r="F47" s="587">
        <v>0</v>
      </c>
      <c r="G47" s="557">
        <f>G35+G36+G37+G38+G39+G40+G41+G42+G43+G44+G45+G46</f>
        <v>13211.860000000055</v>
      </c>
      <c r="H47" s="536">
        <f>G47+'18'!H47</f>
        <v>202856.97999999989</v>
      </c>
      <c r="I47" s="531"/>
      <c r="J47" s="629">
        <f>H47/DAY(B2)</f>
        <v>10676.683157894731</v>
      </c>
      <c r="K47" s="467"/>
      <c r="L47" s="408"/>
      <c r="N47" s="413"/>
      <c r="O47" s="413"/>
    </row>
    <row r="48" spans="1:15">
      <c r="A48" s="675" t="s">
        <v>188</v>
      </c>
      <c r="B48" s="1236"/>
      <c r="C48" s="1236"/>
      <c r="D48" s="548"/>
      <c r="E48" s="547"/>
      <c r="F48" s="547"/>
      <c r="G48" s="548"/>
      <c r="H48" s="548"/>
      <c r="I48" s="548"/>
      <c r="J48" s="628"/>
      <c r="K48" s="467"/>
      <c r="L48" s="408"/>
      <c r="N48" s="413"/>
      <c r="O48" s="413"/>
    </row>
    <row r="49" spans="1:15">
      <c r="A49" s="655" t="s">
        <v>175</v>
      </c>
      <c r="B49" s="678"/>
      <c r="C49" s="678"/>
      <c r="D49" s="599" t="s">
        <v>143</v>
      </c>
      <c r="E49" s="586">
        <f>'18'!F49</f>
        <v>260732.13</v>
      </c>
      <c r="F49" s="586">
        <v>260732</v>
      </c>
      <c r="G49" s="549">
        <f t="shared" ref="G49:G58" si="4">F49-E49</f>
        <v>-0.13000000000465661</v>
      </c>
      <c r="H49" s="536">
        <f>G49+'18'!H49</f>
        <v>14832.950000000012</v>
      </c>
      <c r="I49" s="531"/>
      <c r="J49" s="629">
        <f>H49/DAY(B2)</f>
        <v>780.68157894736908</v>
      </c>
      <c r="K49" s="467"/>
      <c r="L49" s="408"/>
      <c r="N49" s="413"/>
      <c r="O49" s="413"/>
    </row>
    <row r="50" spans="1:15">
      <c r="A50" s="655" t="s">
        <v>189</v>
      </c>
      <c r="B50" s="678"/>
      <c r="C50" s="678"/>
      <c r="D50" s="599" t="s">
        <v>143</v>
      </c>
      <c r="E50" s="586">
        <f>'18'!F50</f>
        <v>390162.03</v>
      </c>
      <c r="F50" s="586">
        <v>391598</v>
      </c>
      <c r="G50" s="549">
        <f t="shared" si="4"/>
        <v>1435.9699999999721</v>
      </c>
      <c r="H50" s="536">
        <f>G50+'18'!H50</f>
        <v>21937.690000000002</v>
      </c>
      <c r="I50" s="531"/>
      <c r="J50" s="629">
        <f>H50/DAY(B2)</f>
        <v>1154.6152631578948</v>
      </c>
      <c r="K50" s="467"/>
      <c r="L50" s="408"/>
      <c r="N50" s="413"/>
      <c r="O50" s="413"/>
    </row>
    <row r="51" spans="1:15">
      <c r="A51" s="655" t="s">
        <v>177</v>
      </c>
      <c r="B51" s="678"/>
      <c r="C51" s="678"/>
      <c r="D51" s="599" t="s">
        <v>143</v>
      </c>
      <c r="E51" s="586">
        <f>'18'!F51</f>
        <v>120050.92</v>
      </c>
      <c r="F51" s="586">
        <v>120051</v>
      </c>
      <c r="G51" s="549">
        <f t="shared" si="4"/>
        <v>8.000000000174623E-2</v>
      </c>
      <c r="H51" s="536">
        <f>G51+'18'!H51</f>
        <v>9951.2599999999948</v>
      </c>
      <c r="I51" s="531"/>
      <c r="J51" s="629">
        <f>H51/DAY(B2)</f>
        <v>523.75052631578922</v>
      </c>
      <c r="K51" s="467"/>
      <c r="L51" s="408"/>
      <c r="N51" s="413"/>
      <c r="O51" s="413"/>
    </row>
    <row r="52" spans="1:15">
      <c r="A52" s="655" t="s">
        <v>190</v>
      </c>
      <c r="B52" s="678"/>
      <c r="C52" s="678"/>
      <c r="D52" s="599" t="s">
        <v>143</v>
      </c>
      <c r="E52" s="586">
        <f>'18'!F52</f>
        <v>507912.71</v>
      </c>
      <c r="F52" s="586">
        <v>507913</v>
      </c>
      <c r="G52" s="549">
        <f t="shared" si="4"/>
        <v>0.28999999997904524</v>
      </c>
      <c r="H52" s="536">
        <f>G52+'18'!H52</f>
        <v>14104.330000000016</v>
      </c>
      <c r="I52" s="531"/>
      <c r="J52" s="629">
        <f>H52/DAY(B2)</f>
        <v>742.33315789473772</v>
      </c>
      <c r="K52" s="467"/>
      <c r="L52" s="408"/>
      <c r="N52" s="413"/>
      <c r="O52" s="803"/>
    </row>
    <row r="53" spans="1:15">
      <c r="A53" s="655" t="s">
        <v>179</v>
      </c>
      <c r="B53" s="678"/>
      <c r="C53" s="678"/>
      <c r="D53" s="599" t="s">
        <v>143</v>
      </c>
      <c r="E53" s="586">
        <f>'18'!F53</f>
        <v>331854.51</v>
      </c>
      <c r="F53" s="586">
        <v>331855</v>
      </c>
      <c r="G53" s="549">
        <f t="shared" si="4"/>
        <v>0.48999999999068677</v>
      </c>
      <c r="H53" s="536">
        <f>G53+'18'!H53</f>
        <v>27556.729999999981</v>
      </c>
      <c r="I53" s="531"/>
      <c r="J53" s="629">
        <f>H53/DAY(B2)</f>
        <v>1450.3542105263148</v>
      </c>
      <c r="K53" s="467"/>
      <c r="L53" s="408"/>
      <c r="N53" s="413"/>
      <c r="O53" s="413"/>
    </row>
    <row r="54" spans="1:15">
      <c r="A54" s="655" t="s">
        <v>191</v>
      </c>
      <c r="B54" s="678"/>
      <c r="C54" s="678"/>
      <c r="D54" s="599" t="s">
        <v>143</v>
      </c>
      <c r="E54" s="586">
        <f>'18'!F54</f>
        <v>7399.4</v>
      </c>
      <c r="F54" s="586">
        <v>7468</v>
      </c>
      <c r="G54" s="549">
        <f t="shared" si="4"/>
        <v>68.600000000000364</v>
      </c>
      <c r="H54" s="536">
        <f>G54+'18'!H54</f>
        <v>1079.1999999999998</v>
      </c>
      <c r="I54" s="531"/>
      <c r="J54" s="629">
        <f>H54/DAY(B2)</f>
        <v>56.79999999999999</v>
      </c>
      <c r="K54" s="467"/>
      <c r="L54" s="408"/>
      <c r="N54" s="413"/>
      <c r="O54" s="413"/>
    </row>
    <row r="55" spans="1:15">
      <c r="A55" s="655" t="s">
        <v>192</v>
      </c>
      <c r="B55" s="678"/>
      <c r="C55" s="678"/>
      <c r="D55" s="599" t="s">
        <v>143</v>
      </c>
      <c r="E55" s="586">
        <f>'18'!F55</f>
        <v>94270.399999999994</v>
      </c>
      <c r="F55" s="586">
        <v>94270</v>
      </c>
      <c r="G55" s="549">
        <f t="shared" si="4"/>
        <v>-0.39999999999417923</v>
      </c>
      <c r="H55" s="536">
        <f>G55+'18'!H55</f>
        <v>51282.02</v>
      </c>
      <c r="I55" s="531"/>
      <c r="J55" s="629">
        <f>H55/DAY(B2)</f>
        <v>2699.0536842105262</v>
      </c>
      <c r="K55" s="467"/>
      <c r="L55" s="408"/>
      <c r="N55" s="413"/>
      <c r="O55" s="413"/>
    </row>
    <row r="56" spans="1:15">
      <c r="A56" s="655" t="s">
        <v>193</v>
      </c>
      <c r="B56" s="678"/>
      <c r="C56" s="678"/>
      <c r="D56" s="599" t="s">
        <v>194</v>
      </c>
      <c r="E56" s="586">
        <f>'18'!F56</f>
        <v>560113.06999999995</v>
      </c>
      <c r="F56" s="586">
        <v>564247</v>
      </c>
      <c r="G56" s="549">
        <f t="shared" si="4"/>
        <v>4133.9300000000512</v>
      </c>
      <c r="H56" s="536">
        <f>G56+'18'!H56</f>
        <v>6515.0899999999674</v>
      </c>
      <c r="I56" s="531"/>
      <c r="J56" s="629">
        <f>H56/DAY(B2)</f>
        <v>342.89947368420883</v>
      </c>
      <c r="K56" s="466"/>
      <c r="L56" s="408"/>
      <c r="N56" s="413"/>
      <c r="O56" s="413"/>
    </row>
    <row r="57" spans="1:15">
      <c r="A57" s="655" t="s">
        <v>183</v>
      </c>
      <c r="B57" s="678"/>
      <c r="C57" s="678"/>
      <c r="D57" s="599" t="s">
        <v>143</v>
      </c>
      <c r="E57" s="586">
        <f>'18'!F57</f>
        <v>7711.33</v>
      </c>
      <c r="F57" s="586">
        <v>7711</v>
      </c>
      <c r="G57" s="549">
        <f t="shared" si="4"/>
        <v>-0.32999999999992724</v>
      </c>
      <c r="H57" s="536">
        <f>G57+'18'!H57</f>
        <v>7711</v>
      </c>
      <c r="I57" s="531"/>
      <c r="J57" s="629">
        <f>H57/DAY(B2)</f>
        <v>405.84210526315792</v>
      </c>
      <c r="K57" s="467"/>
      <c r="L57" s="408"/>
      <c r="N57" s="413"/>
      <c r="O57" s="413"/>
    </row>
    <row r="58" spans="1:15">
      <c r="A58" s="655" t="s">
        <v>195</v>
      </c>
      <c r="B58" s="678"/>
      <c r="C58" s="678"/>
      <c r="D58" s="599" t="s">
        <v>143</v>
      </c>
      <c r="E58" s="586">
        <f>'18'!F58</f>
        <v>33857.69</v>
      </c>
      <c r="F58" s="586">
        <v>34077</v>
      </c>
      <c r="G58" s="549">
        <f t="shared" si="4"/>
        <v>219.30999999999767</v>
      </c>
      <c r="H58" s="536">
        <f>G58+'18'!H58</f>
        <v>3347.4600000000028</v>
      </c>
      <c r="I58" s="531"/>
      <c r="J58" s="629">
        <f>H58/DAY(B2)</f>
        <v>176.18210526315804</v>
      </c>
      <c r="K58" s="467"/>
      <c r="L58" s="408"/>
      <c r="N58" s="413"/>
      <c r="O58" s="413"/>
    </row>
    <row r="59" spans="1:15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5857.809999999994</v>
      </c>
      <c r="H59" s="536">
        <f>G59+'18'!H59</f>
        <v>158317.73000000001</v>
      </c>
      <c r="I59" s="531">
        <f>G7-G60</f>
        <v>508.32999999995081</v>
      </c>
      <c r="J59" s="629">
        <f>H59/DAY(B2)</f>
        <v>8332.5121052631584</v>
      </c>
      <c r="K59" s="467"/>
      <c r="L59" s="408"/>
      <c r="N59" s="413"/>
      <c r="O59" s="413"/>
    </row>
    <row r="60" spans="1:15">
      <c r="A60" s="655"/>
      <c r="B60" s="656"/>
      <c r="C60" s="656"/>
      <c r="D60" s="587" t="s">
        <v>196</v>
      </c>
      <c r="E60" s="587"/>
      <c r="F60" s="587"/>
      <c r="G60" s="557">
        <f>G47+G59</f>
        <v>19069.670000000049</v>
      </c>
      <c r="H60" s="536">
        <f>G60+'18'!H60</f>
        <v>366354.89999999979</v>
      </c>
      <c r="I60" s="531">
        <f>G13-G60</f>
        <v>-54.670000000049185</v>
      </c>
      <c r="J60" s="629">
        <f>H60/DAY(B2)</f>
        <v>19281.836842105251</v>
      </c>
      <c r="K60" s="467"/>
      <c r="L60" s="408"/>
      <c r="N60" s="413"/>
      <c r="O60" s="413"/>
    </row>
    <row r="61" spans="1:15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  <c r="O61" s="413"/>
    </row>
    <row r="62" spans="1:15">
      <c r="A62" s="680" t="s">
        <v>106</v>
      </c>
      <c r="B62" s="681"/>
      <c r="C62" s="681"/>
      <c r="D62" s="587" t="s">
        <v>198</v>
      </c>
      <c r="E62" s="590">
        <f>'18'!F62</f>
        <v>20419.18</v>
      </c>
      <c r="F62" s="590">
        <v>20419.2</v>
      </c>
      <c r="G62" s="549">
        <f t="shared" ref="G62:G69" si="5">F62-E62</f>
        <v>2.0000000000436557E-2</v>
      </c>
      <c r="H62" s="536">
        <f>G62+'18'!H62</f>
        <v>1.1000000002240995E-2</v>
      </c>
      <c r="I62" s="591"/>
      <c r="J62" s="629">
        <f>H62/DAY(B2)</f>
        <v>5.7894736853899979E-4</v>
      </c>
      <c r="K62" s="467"/>
      <c r="L62" s="408"/>
      <c r="N62" s="413"/>
      <c r="O62" s="413"/>
    </row>
    <row r="63" spans="1:15">
      <c r="A63" s="680" t="s">
        <v>199</v>
      </c>
      <c r="B63" s="681"/>
      <c r="C63" s="681"/>
      <c r="D63" s="587" t="s">
        <v>198</v>
      </c>
      <c r="E63" s="590">
        <f>'18'!F63</f>
        <v>1571.72</v>
      </c>
      <c r="F63" s="590">
        <v>1585</v>
      </c>
      <c r="G63" s="549">
        <f t="shared" si="5"/>
        <v>13.279999999999973</v>
      </c>
      <c r="H63" s="536">
        <f>G63+'18'!H63</f>
        <v>252.47000000000003</v>
      </c>
      <c r="I63" s="591"/>
      <c r="J63" s="629">
        <f>H63/DAY(B2)</f>
        <v>13.287894736842107</v>
      </c>
      <c r="K63" s="467"/>
      <c r="L63" s="408"/>
      <c r="N63" s="413"/>
      <c r="O63" s="413"/>
    </row>
    <row r="64" spans="1:15" ht="27.75">
      <c r="A64" s="1385" t="s">
        <v>107</v>
      </c>
      <c r="B64" s="1386"/>
      <c r="C64" s="1387"/>
      <c r="D64" s="599" t="s">
        <v>198</v>
      </c>
      <c r="E64" s="560">
        <f>'18'!F64</f>
        <v>118827.98</v>
      </c>
      <c r="F64" s="560">
        <v>119240</v>
      </c>
      <c r="G64" s="549">
        <f t="shared" si="5"/>
        <v>412.02000000000407</v>
      </c>
      <c r="H64" s="536">
        <f>G64+'18'!H64</f>
        <v>7956.5399999999936</v>
      </c>
      <c r="I64" s="556"/>
      <c r="J64" s="629">
        <f>H64/DAY(B2)</f>
        <v>418.76526315789442</v>
      </c>
      <c r="K64" s="467"/>
      <c r="L64" s="408"/>
      <c r="N64" s="413"/>
      <c r="O64" s="413"/>
    </row>
    <row r="65" spans="1:15" ht="27.75">
      <c r="A65" s="1385" t="s">
        <v>108</v>
      </c>
      <c r="B65" s="1386"/>
      <c r="C65" s="1387"/>
      <c r="D65" s="599" t="s">
        <v>198</v>
      </c>
      <c r="E65" s="560">
        <f>'18'!F65</f>
        <v>128645.1</v>
      </c>
      <c r="F65" s="560">
        <v>129048</v>
      </c>
      <c r="G65" s="549">
        <f t="shared" si="5"/>
        <v>402.89999999999418</v>
      </c>
      <c r="H65" s="536">
        <f>G65+'18'!H65</f>
        <v>7314.8899999999994</v>
      </c>
      <c r="I65" s="565"/>
      <c r="J65" s="629">
        <f>H65/DAY(B2)</f>
        <v>384.99421052631578</v>
      </c>
      <c r="K65" s="467"/>
      <c r="L65" s="408"/>
      <c r="N65" s="413"/>
      <c r="O65" s="413"/>
    </row>
    <row r="66" spans="1:15" ht="27.75">
      <c r="A66" s="1385" t="s">
        <v>109</v>
      </c>
      <c r="B66" s="1386"/>
      <c r="C66" s="1387"/>
      <c r="D66" s="599" t="s">
        <v>198</v>
      </c>
      <c r="E66" s="560">
        <f>'18'!F66</f>
        <v>21251.279999999999</v>
      </c>
      <c r="F66" s="560">
        <v>21657</v>
      </c>
      <c r="G66" s="549">
        <f t="shared" si="5"/>
        <v>405.72000000000116</v>
      </c>
      <c r="H66" s="536">
        <f>G66+'18'!H66</f>
        <v>7497.26</v>
      </c>
      <c r="I66" s="556"/>
      <c r="J66" s="629">
        <f>H66/DAY(B2)</f>
        <v>394.59263157894736</v>
      </c>
      <c r="K66" s="467"/>
      <c r="L66" s="408"/>
      <c r="N66" s="413"/>
      <c r="O66" s="413"/>
    </row>
    <row r="67" spans="1:15" ht="27.75">
      <c r="A67" s="1385" t="s">
        <v>110</v>
      </c>
      <c r="B67" s="1386"/>
      <c r="C67" s="1387"/>
      <c r="D67" s="599" t="s">
        <v>198</v>
      </c>
      <c r="E67" s="560">
        <f>'18'!F67</f>
        <v>201261</v>
      </c>
      <c r="F67" s="560">
        <v>201900</v>
      </c>
      <c r="G67" s="549">
        <f t="shared" si="5"/>
        <v>639</v>
      </c>
      <c r="H67" s="536">
        <f>G67+'18'!H67</f>
        <v>13225.470000000001</v>
      </c>
      <c r="I67" s="565"/>
      <c r="J67" s="629">
        <f>H67/DAY(B2)</f>
        <v>696.07736842105271</v>
      </c>
      <c r="K67" s="468"/>
      <c r="L67" s="408"/>
      <c r="N67" s="413"/>
      <c r="O67" s="413"/>
    </row>
    <row r="68" spans="1:15" ht="27.75">
      <c r="A68" s="1385" t="s">
        <v>111</v>
      </c>
      <c r="B68" s="1386"/>
      <c r="C68" s="1387"/>
      <c r="D68" s="599" t="s">
        <v>198</v>
      </c>
      <c r="E68" s="560">
        <f>'18'!F68</f>
        <v>69482.3</v>
      </c>
      <c r="F68" s="560">
        <v>69825</v>
      </c>
      <c r="G68" s="549">
        <f t="shared" si="5"/>
        <v>342.69999999999709</v>
      </c>
      <c r="H68" s="536">
        <f>G68+'18'!H68</f>
        <v>6525.1399999999994</v>
      </c>
      <c r="I68" s="592"/>
      <c r="J68" s="629">
        <f>H68/DAY(B2)</f>
        <v>343.42842105263156</v>
      </c>
      <c r="K68" s="469"/>
      <c r="L68" s="408"/>
      <c r="N68" s="413"/>
      <c r="O68" s="413"/>
    </row>
    <row r="69" spans="1:15" ht="27.75">
      <c r="A69" s="1385" t="s">
        <v>112</v>
      </c>
      <c r="B69" s="1386"/>
      <c r="C69" s="1387"/>
      <c r="D69" s="599" t="s">
        <v>198</v>
      </c>
      <c r="E69" s="560">
        <f>'18'!F69</f>
        <v>61188.27</v>
      </c>
      <c r="F69" s="560">
        <v>61500</v>
      </c>
      <c r="G69" s="549">
        <f t="shared" si="5"/>
        <v>311.7300000000032</v>
      </c>
      <c r="H69" s="536">
        <f>G69+'18'!H69</f>
        <v>5776.2900000000009</v>
      </c>
      <c r="I69" s="592"/>
      <c r="J69" s="629">
        <f>H69/DAY(B2)</f>
        <v>304.01526315789476</v>
      </c>
      <c r="K69" s="470"/>
      <c r="L69" s="408"/>
      <c r="N69" s="413"/>
      <c r="O69" s="413"/>
    </row>
    <row r="70" spans="1:15" ht="27.75">
      <c r="A70" s="1391" t="s">
        <v>200</v>
      </c>
      <c r="B70" s="1392"/>
      <c r="C70" s="1393"/>
      <c r="D70" s="599" t="s">
        <v>198</v>
      </c>
      <c r="E70" s="594"/>
      <c r="F70" s="594"/>
      <c r="G70" s="594"/>
      <c r="H70" s="536">
        <f>G70+'13'!H70</f>
        <v>0</v>
      </c>
      <c r="I70" s="594"/>
      <c r="J70" s="633"/>
      <c r="K70" s="470"/>
      <c r="L70" s="408"/>
      <c r="N70" s="413"/>
      <c r="O70" s="413"/>
    </row>
    <row r="71" spans="1:15" ht="31.5">
      <c r="A71" s="1388" t="s">
        <v>201</v>
      </c>
      <c r="B71" s="1389"/>
      <c r="C71" s="1389"/>
      <c r="D71" s="1389"/>
      <c r="E71" s="1389"/>
      <c r="F71" s="1389"/>
      <c r="G71" s="1389"/>
      <c r="H71" s="1389"/>
      <c r="I71" s="1389"/>
      <c r="J71" s="1390"/>
      <c r="K71" s="469"/>
      <c r="L71" s="408"/>
      <c r="N71" s="413"/>
      <c r="O71" s="413"/>
    </row>
    <row r="72" spans="1:15" ht="27.75">
      <c r="A72" s="1385" t="s">
        <v>202</v>
      </c>
      <c r="B72" s="1386"/>
      <c r="C72" s="1387"/>
      <c r="D72" s="599" t="s">
        <v>198</v>
      </c>
      <c r="E72" s="595">
        <f>'18'!F72</f>
        <v>849849</v>
      </c>
      <c r="F72" s="595">
        <v>849920</v>
      </c>
      <c r="G72" s="549">
        <f t="shared" ref="G72:G84" si="6">F72-E72</f>
        <v>71</v>
      </c>
      <c r="H72" s="536">
        <f>G72+'18'!H72</f>
        <v>1368</v>
      </c>
      <c r="I72" s="556"/>
      <c r="J72" s="629">
        <f>H72/DAY(B2)</f>
        <v>72</v>
      </c>
      <c r="K72" s="470"/>
      <c r="L72" s="408"/>
      <c r="N72" s="413"/>
      <c r="O72" s="413"/>
    </row>
    <row r="73" spans="1:15" ht="27.75">
      <c r="A73" s="1385" t="s">
        <v>203</v>
      </c>
      <c r="B73" s="1386"/>
      <c r="C73" s="1387"/>
      <c r="D73" s="599" t="s">
        <v>198</v>
      </c>
      <c r="E73" s="596">
        <f>'18'!F73</f>
        <v>885740</v>
      </c>
      <c r="F73" s="596">
        <v>885740</v>
      </c>
      <c r="G73" s="549">
        <f t="shared" si="6"/>
        <v>0</v>
      </c>
      <c r="H73" s="536">
        <f>G73+'18'!H73</f>
        <v>959</v>
      </c>
      <c r="I73" s="556"/>
      <c r="J73" s="629">
        <f>H73/DAY(B2)</f>
        <v>50.473684210526315</v>
      </c>
      <c r="K73" s="469"/>
      <c r="L73" s="408"/>
      <c r="N73" s="413"/>
      <c r="O73" s="413"/>
    </row>
    <row r="74" spans="1:15" ht="27.75">
      <c r="A74" s="1506" t="s">
        <v>204</v>
      </c>
      <c r="B74" s="1507"/>
      <c r="C74" s="1508"/>
      <c r="D74" s="599" t="s">
        <v>198</v>
      </c>
      <c r="E74" s="597">
        <f>'18'!F74</f>
        <v>353.78</v>
      </c>
      <c r="F74" s="597">
        <v>383</v>
      </c>
      <c r="G74" s="549">
        <f t="shared" si="6"/>
        <v>29.220000000000027</v>
      </c>
      <c r="H74" s="536">
        <f>G74+'18'!H74</f>
        <v>612.1</v>
      </c>
      <c r="I74" s="556"/>
      <c r="J74" s="629">
        <f>H74/DAY(B2)</f>
        <v>32.215789473684211</v>
      </c>
      <c r="K74" s="470"/>
      <c r="L74" s="408"/>
      <c r="N74" s="413"/>
      <c r="O74" s="413"/>
    </row>
    <row r="75" spans="1:15" ht="27.75">
      <c r="A75" s="1382" t="s">
        <v>205</v>
      </c>
      <c r="B75" s="1383"/>
      <c r="C75" s="1384"/>
      <c r="D75" s="599" t="s">
        <v>198</v>
      </c>
      <c r="E75" s="597">
        <f>'18'!F75</f>
        <v>1809.61</v>
      </c>
      <c r="F75" s="597">
        <v>1970</v>
      </c>
      <c r="G75" s="549">
        <f t="shared" si="6"/>
        <v>160.3900000000001</v>
      </c>
      <c r="H75" s="536">
        <f>G75+'18'!H75</f>
        <v>3506.4000000000005</v>
      </c>
      <c r="I75" s="556"/>
      <c r="J75" s="629">
        <f>H75/DAY(B2)</f>
        <v>184.54736842105265</v>
      </c>
      <c r="K75" s="469"/>
      <c r="L75" s="408"/>
      <c r="N75" s="413"/>
      <c r="O75" s="413"/>
    </row>
    <row r="76" spans="1:15" ht="27.75">
      <c r="A76" s="1382" t="s">
        <v>206</v>
      </c>
      <c r="B76" s="1383"/>
      <c r="C76" s="1384"/>
      <c r="D76" s="599" t="s">
        <v>198</v>
      </c>
      <c r="E76" s="596">
        <f>'18'!F76</f>
        <v>745.94</v>
      </c>
      <c r="F76" s="596">
        <v>815</v>
      </c>
      <c r="G76" s="549">
        <f t="shared" si="6"/>
        <v>69.059999999999945</v>
      </c>
      <c r="H76" s="536">
        <f>G76+'18'!H76</f>
        <v>2812.2000000000003</v>
      </c>
      <c r="I76" s="581"/>
      <c r="J76" s="629">
        <f>H76/DAY(B2)</f>
        <v>148.01052631578949</v>
      </c>
      <c r="K76" s="469"/>
      <c r="L76" s="408"/>
      <c r="N76" s="413"/>
      <c r="O76" s="413"/>
    </row>
    <row r="77" spans="1:15" ht="27.75">
      <c r="A77" s="1385" t="s">
        <v>207</v>
      </c>
      <c r="B77" s="1386"/>
      <c r="C77" s="1387"/>
      <c r="D77" s="599" t="s">
        <v>198</v>
      </c>
      <c r="E77" s="597">
        <f>'18'!F77</f>
        <v>698104</v>
      </c>
      <c r="F77" s="597">
        <v>698156</v>
      </c>
      <c r="G77" s="549">
        <f t="shared" si="6"/>
        <v>52</v>
      </c>
      <c r="H77" s="536">
        <f>G77+'18'!H77</f>
        <v>1049</v>
      </c>
      <c r="I77" s="581"/>
      <c r="J77" s="629">
        <f>H77/DAY(B2)</f>
        <v>55.210526315789473</v>
      </c>
      <c r="K77" s="469"/>
      <c r="L77" s="408"/>
      <c r="N77" s="413"/>
      <c r="O77" s="413"/>
    </row>
    <row r="78" spans="1:15" ht="27.75">
      <c r="A78" s="1234" t="s">
        <v>208</v>
      </c>
      <c r="B78" s="1205"/>
      <c r="C78" s="1205"/>
      <c r="D78" s="599" t="s">
        <v>198</v>
      </c>
      <c r="E78" s="597">
        <f>'18'!F78</f>
        <v>649295</v>
      </c>
      <c r="F78" s="597">
        <v>649628</v>
      </c>
      <c r="G78" s="549">
        <f t="shared" si="6"/>
        <v>333</v>
      </c>
      <c r="H78" s="536">
        <f>G78+'18'!H78</f>
        <v>7675</v>
      </c>
      <c r="I78" s="581"/>
      <c r="J78" s="629">
        <f>H78/DAY(B2)</f>
        <v>403.94736842105266</v>
      </c>
      <c r="K78" s="469"/>
      <c r="L78" s="408"/>
      <c r="N78" s="413"/>
      <c r="O78" s="413"/>
    </row>
    <row r="79" spans="1:15" ht="27.75">
      <c r="A79" s="1382" t="s">
        <v>97</v>
      </c>
      <c r="B79" s="1383"/>
      <c r="C79" s="1384"/>
      <c r="D79" s="600" t="s">
        <v>198</v>
      </c>
      <c r="E79" s="597">
        <f>'18'!F79</f>
        <v>813181</v>
      </c>
      <c r="F79" s="597">
        <v>813359</v>
      </c>
      <c r="G79" s="549">
        <f t="shared" si="6"/>
        <v>178</v>
      </c>
      <c r="H79" s="536">
        <f>G79+'18'!H79</f>
        <v>6533</v>
      </c>
      <c r="I79" s="581"/>
      <c r="J79" s="629">
        <f>H79/DAY(B2)</f>
        <v>343.84210526315792</v>
      </c>
      <c r="K79" s="469"/>
      <c r="L79" s="408"/>
      <c r="N79" s="413"/>
      <c r="O79" s="413"/>
    </row>
    <row r="80" spans="1:15" ht="27.75">
      <c r="A80" s="1382" t="s">
        <v>209</v>
      </c>
      <c r="B80" s="1383"/>
      <c r="C80" s="1384"/>
      <c r="D80" s="600" t="s">
        <v>198</v>
      </c>
      <c r="E80" s="596">
        <f>'18'!F80</f>
        <v>490959</v>
      </c>
      <c r="F80" s="596">
        <v>491303</v>
      </c>
      <c r="G80" s="549">
        <f t="shared" si="6"/>
        <v>344</v>
      </c>
      <c r="H80" s="536">
        <f>G80+'18'!H80</f>
        <v>4721.320000000007</v>
      </c>
      <c r="I80" s="581"/>
      <c r="J80" s="629">
        <f>H80/DAY(B2)</f>
        <v>248.49052631578985</v>
      </c>
      <c r="K80" s="469"/>
      <c r="L80" s="408"/>
      <c r="N80" s="413"/>
      <c r="O80" s="413"/>
    </row>
    <row r="81" spans="1:15" ht="27.75">
      <c r="A81" s="1382" t="s">
        <v>210</v>
      </c>
      <c r="B81" s="1383"/>
      <c r="C81" s="1384"/>
      <c r="D81" s="600" t="s">
        <v>198</v>
      </c>
      <c r="E81" s="596">
        <f>'18'!F81</f>
        <v>624690</v>
      </c>
      <c r="F81" s="596">
        <v>624798</v>
      </c>
      <c r="G81" s="549">
        <f t="shared" si="6"/>
        <v>108</v>
      </c>
      <c r="H81" s="536">
        <f>G81+'18'!H81</f>
        <v>2023</v>
      </c>
      <c r="I81" s="581"/>
      <c r="J81" s="629">
        <f>H81/DAY(B2)</f>
        <v>106.47368421052632</v>
      </c>
      <c r="K81" s="469"/>
      <c r="L81" s="408"/>
      <c r="N81" s="413"/>
      <c r="O81" s="413"/>
    </row>
    <row r="82" spans="1:15" ht="27.75">
      <c r="A82" s="1382" t="s">
        <v>100</v>
      </c>
      <c r="B82" s="1383"/>
      <c r="C82" s="1384"/>
      <c r="D82" s="561" t="s">
        <v>143</v>
      </c>
      <c r="E82" s="598">
        <f>'18'!F82</f>
        <v>105965</v>
      </c>
      <c r="F82" s="598">
        <v>105990</v>
      </c>
      <c r="G82" s="549">
        <f t="shared" si="6"/>
        <v>25</v>
      </c>
      <c r="H82" s="536">
        <f>G82+'18'!H82</f>
        <v>550</v>
      </c>
      <c r="I82" s="562"/>
      <c r="J82" s="629">
        <f>H82/DAY(B2)</f>
        <v>28.94736842105263</v>
      </c>
      <c r="K82" s="469"/>
      <c r="L82" s="408"/>
      <c r="N82" s="413"/>
      <c r="O82" s="413"/>
    </row>
    <row r="83" spans="1:15" ht="27.75">
      <c r="A83" s="1382" t="s">
        <v>211</v>
      </c>
      <c r="B83" s="1383"/>
      <c r="C83" s="1384"/>
      <c r="D83" s="697" t="s">
        <v>143</v>
      </c>
      <c r="E83" s="587">
        <f>'18'!F83</f>
        <v>991686</v>
      </c>
      <c r="F83" s="587">
        <v>992041</v>
      </c>
      <c r="G83" s="549">
        <f t="shared" si="6"/>
        <v>355</v>
      </c>
      <c r="H83" s="536">
        <f>G83+'18'!H83</f>
        <v>8300</v>
      </c>
      <c r="I83" s="557"/>
      <c r="J83" s="629">
        <f>H83/DAY(B2)</f>
        <v>436.84210526315792</v>
      </c>
      <c r="K83" s="468"/>
      <c r="L83" s="408"/>
      <c r="N83" s="413"/>
      <c r="O83" s="803"/>
    </row>
    <row r="84" spans="1:15">
      <c r="A84" s="1235" t="s">
        <v>212</v>
      </c>
      <c r="B84" s="648"/>
      <c r="C84" s="648"/>
      <c r="D84" s="554" t="s">
        <v>143</v>
      </c>
      <c r="E84" s="704">
        <f>'18'!F84</f>
        <v>424887</v>
      </c>
      <c r="F84" s="704">
        <v>425386</v>
      </c>
      <c r="G84" s="549">
        <f t="shared" si="6"/>
        <v>499</v>
      </c>
      <c r="H84" s="536">
        <f>G84+'18'!H84</f>
        <v>9313</v>
      </c>
      <c r="I84" s="557"/>
      <c r="J84" s="629">
        <f>H84/DAY(B2)</f>
        <v>490.15789473684208</v>
      </c>
      <c r="K84" s="411"/>
      <c r="L84" s="408"/>
      <c r="N84" s="413"/>
      <c r="O84" s="413"/>
    </row>
    <row r="85" spans="1:15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SUM(G72:G84)</f>
        <v>2223.67</v>
      </c>
      <c r="H85" s="536">
        <f>G85+'18'!H85</f>
        <v>44118.649999999994</v>
      </c>
      <c r="I85" s="557"/>
      <c r="J85" s="629">
        <f>H85/DAY(B2)</f>
        <v>2322.0342105263153</v>
      </c>
      <c r="K85" s="411"/>
      <c r="L85" s="409"/>
      <c r="N85" s="859"/>
      <c r="O85" s="803"/>
    </row>
    <row r="86" spans="1:15" s="817" customFormat="1">
      <c r="A86" s="812" t="s">
        <v>102</v>
      </c>
      <c r="B86" s="813"/>
      <c r="C86" s="813"/>
      <c r="D86" s="814" t="s">
        <v>194</v>
      </c>
      <c r="E86" s="728">
        <f>'18'!F86</f>
        <v>449213</v>
      </c>
      <c r="F86" s="728">
        <v>449355</v>
      </c>
      <c r="G86" s="787">
        <f t="shared" ref="G86:G90" si="7">F86-E86</f>
        <v>142</v>
      </c>
      <c r="H86" s="536">
        <f>G86+'18'!H86</f>
        <v>271</v>
      </c>
      <c r="I86" s="733"/>
      <c r="J86" s="789">
        <f>H86/DAY(B2)</f>
        <v>14.263157894736842</v>
      </c>
      <c r="K86" s="815">
        <v>424609</v>
      </c>
      <c r="L86" s="816">
        <f>K86-F86</f>
        <v>-24746</v>
      </c>
      <c r="N86" s="860"/>
      <c r="O86" s="413"/>
    </row>
    <row r="87" spans="1:15" s="817" customFormat="1">
      <c r="A87" s="812" t="s">
        <v>103</v>
      </c>
      <c r="B87" s="813"/>
      <c r="C87" s="813"/>
      <c r="D87" s="814" t="s">
        <v>194</v>
      </c>
      <c r="E87" s="728">
        <f>'18'!F87</f>
        <v>78939</v>
      </c>
      <c r="F87" s="728">
        <v>78964</v>
      </c>
      <c r="G87" s="787">
        <f t="shared" si="7"/>
        <v>25</v>
      </c>
      <c r="H87" s="536">
        <f>G87+'18'!H87</f>
        <v>55.30000000000291</v>
      </c>
      <c r="I87" s="733"/>
      <c r="J87" s="789">
        <f>H87/DAY(B2)</f>
        <v>2.9105263157896268</v>
      </c>
      <c r="K87" s="815"/>
      <c r="L87" s="816"/>
      <c r="N87" s="860"/>
      <c r="O87" s="413"/>
    </row>
    <row r="88" spans="1:15" s="817" customFormat="1">
      <c r="A88" s="812" t="s">
        <v>104</v>
      </c>
      <c r="B88" s="813"/>
      <c r="C88" s="813"/>
      <c r="D88" s="814" t="s">
        <v>194</v>
      </c>
      <c r="E88" s="728">
        <f>'18'!F88</f>
        <v>147714</v>
      </c>
      <c r="F88" s="728">
        <v>147807</v>
      </c>
      <c r="G88" s="787">
        <f t="shared" si="7"/>
        <v>93</v>
      </c>
      <c r="H88" s="536">
        <f>G88+'18'!H88</f>
        <v>169.10000000000582</v>
      </c>
      <c r="I88" s="733"/>
      <c r="J88" s="789">
        <f>H88/DAY(B2)</f>
        <v>8.9000000000003059</v>
      </c>
      <c r="K88" s="815"/>
      <c r="L88" s="816"/>
      <c r="N88" s="860"/>
      <c r="O88" s="413"/>
    </row>
    <row r="89" spans="1:15" s="817" customFormat="1">
      <c r="A89" s="812" t="s">
        <v>215</v>
      </c>
      <c r="B89" s="813"/>
      <c r="C89" s="813"/>
      <c r="D89" s="814" t="s">
        <v>194</v>
      </c>
      <c r="E89" s="728">
        <f>'18'!F89</f>
        <v>61000.5</v>
      </c>
      <c r="F89" s="728">
        <v>61058</v>
      </c>
      <c r="G89" s="787">
        <f t="shared" si="7"/>
        <v>57.5</v>
      </c>
      <c r="H89" s="536">
        <f>G89+'18'!H89</f>
        <v>125.5</v>
      </c>
      <c r="I89" s="733"/>
      <c r="J89" s="789">
        <f>H89/DAY(B2)</f>
        <v>6.6052631578947372</v>
      </c>
      <c r="K89" s="815"/>
      <c r="L89" s="816"/>
      <c r="N89" s="860"/>
      <c r="O89" s="413"/>
    </row>
    <row r="90" spans="1:15" s="817" customFormat="1">
      <c r="A90" s="812" t="s">
        <v>215</v>
      </c>
      <c r="B90" s="813"/>
      <c r="C90" s="813"/>
      <c r="D90" s="814" t="s">
        <v>194</v>
      </c>
      <c r="E90" s="728">
        <f>'18'!F90</f>
        <v>3129.2</v>
      </c>
      <c r="F90" s="728">
        <v>3134</v>
      </c>
      <c r="G90" s="787">
        <f t="shared" si="7"/>
        <v>4.8000000000001819</v>
      </c>
      <c r="H90" s="787">
        <f>G90</f>
        <v>4.8000000000001819</v>
      </c>
      <c r="I90" s="733"/>
      <c r="J90" s="789">
        <f>H90/DAY(B2)</f>
        <v>0.25263157894737798</v>
      </c>
      <c r="K90" s="815"/>
      <c r="L90" s="816"/>
      <c r="N90" s="860"/>
      <c r="O90" s="413"/>
    </row>
    <row r="91" spans="1:15" s="410" customFormat="1">
      <c r="A91" s="683" t="s">
        <v>216</v>
      </c>
      <c r="B91" s="1237"/>
      <c r="C91" s="1237"/>
      <c r="D91" s="548"/>
      <c r="E91" s="548"/>
      <c r="F91" s="548"/>
      <c r="G91" s="564"/>
      <c r="H91" s="548"/>
      <c r="I91" s="548"/>
      <c r="J91" s="628"/>
      <c r="K91" s="411"/>
      <c r="L91" s="409"/>
      <c r="N91" s="859"/>
      <c r="O91" s="413"/>
    </row>
    <row r="92" spans="1:15" ht="27.75">
      <c r="A92" s="1406" t="s">
        <v>217</v>
      </c>
      <c r="B92" s="1407"/>
      <c r="C92" s="1408"/>
      <c r="D92" s="599" t="s">
        <v>155</v>
      </c>
      <c r="E92" s="560">
        <f>'18'!F92</f>
        <v>238595</v>
      </c>
      <c r="F92" s="560">
        <v>238690</v>
      </c>
      <c r="G92" s="549">
        <f t="shared" ref="G92:G93" si="8">F92-E92</f>
        <v>95</v>
      </c>
      <c r="H92" s="536">
        <f>G92+'18'!H92</f>
        <v>2120</v>
      </c>
      <c r="I92" s="556"/>
      <c r="J92" s="629">
        <f>H92/DAY(B2)</f>
        <v>111.57894736842105</v>
      </c>
      <c r="K92" s="468"/>
      <c r="L92" s="408"/>
      <c r="N92" s="413"/>
      <c r="O92" s="413"/>
    </row>
    <row r="93" spans="1:15" ht="27.75">
      <c r="A93" s="1406" t="s">
        <v>218</v>
      </c>
      <c r="B93" s="1407"/>
      <c r="C93" s="1408"/>
      <c r="D93" s="599" t="s">
        <v>155</v>
      </c>
      <c r="E93" s="560">
        <f>'18'!F93</f>
        <v>174068</v>
      </c>
      <c r="F93" s="560">
        <v>174210</v>
      </c>
      <c r="G93" s="549">
        <f t="shared" si="8"/>
        <v>142</v>
      </c>
      <c r="H93" s="536">
        <f>G93+'18'!H93</f>
        <v>3034</v>
      </c>
      <c r="I93" s="556"/>
      <c r="J93" s="629">
        <f>H93/DAY(B2)</f>
        <v>159.68421052631578</v>
      </c>
      <c r="K93" s="411"/>
      <c r="L93" s="408"/>
      <c r="N93" s="413"/>
      <c r="O93" s="413"/>
    </row>
    <row r="94" spans="1:15">
      <c r="A94" s="1434" t="s">
        <v>219</v>
      </c>
      <c r="B94" s="1435"/>
      <c r="C94" s="1436"/>
      <c r="D94" s="599"/>
      <c r="E94" s="560">
        <f>'18'!F94</f>
        <v>0</v>
      </c>
      <c r="F94" s="560"/>
      <c r="G94" s="549">
        <f>G92+G93</f>
        <v>237</v>
      </c>
      <c r="H94" s="536">
        <f>G94+'18'!H94</f>
        <v>4867</v>
      </c>
      <c r="I94" s="556"/>
      <c r="J94" s="629">
        <f>H94/DAY(B2)</f>
        <v>256.15789473684208</v>
      </c>
      <c r="K94" s="411"/>
      <c r="L94" s="408"/>
      <c r="N94" s="413"/>
      <c r="O94" s="413"/>
    </row>
    <row r="95" spans="1:15" ht="27.75">
      <c r="A95" s="1406" t="s">
        <v>220</v>
      </c>
      <c r="B95" s="1407"/>
      <c r="C95" s="1408"/>
      <c r="D95" s="599" t="s">
        <v>155</v>
      </c>
      <c r="E95" s="560">
        <f>'18'!F95</f>
        <v>407283</v>
      </c>
      <c r="F95" s="560">
        <v>407362</v>
      </c>
      <c r="G95" s="549">
        <f t="shared" ref="G95:G100" si="9">F95-E95</f>
        <v>79</v>
      </c>
      <c r="H95" s="536">
        <f>G95+'18'!H95</f>
        <v>1486</v>
      </c>
      <c r="I95" s="556"/>
      <c r="J95" s="629">
        <f>H95/DAY(B2)</f>
        <v>78.21052631578948</v>
      </c>
      <c r="K95" s="411"/>
      <c r="L95" s="408"/>
      <c r="N95" s="413"/>
      <c r="O95" s="413"/>
    </row>
    <row r="96" spans="1:15" ht="27.75">
      <c r="A96" s="1231" t="s">
        <v>221</v>
      </c>
      <c r="B96" s="1232"/>
      <c r="C96" s="1232"/>
      <c r="D96" s="599" t="s">
        <v>155</v>
      </c>
      <c r="E96" s="560">
        <f>'18'!F96</f>
        <v>101140</v>
      </c>
      <c r="F96" s="560">
        <v>101149</v>
      </c>
      <c r="G96" s="549">
        <f t="shared" si="9"/>
        <v>9</v>
      </c>
      <c r="H96" s="536">
        <f>G96+'18'!H96</f>
        <v>615</v>
      </c>
      <c r="I96" s="556"/>
      <c r="J96" s="629">
        <f>H96/DAY(B2)</f>
        <v>32.368421052631582</v>
      </c>
      <c r="K96" s="466"/>
      <c r="L96" s="408"/>
      <c r="N96" s="413"/>
      <c r="O96" s="413"/>
    </row>
    <row r="97" spans="1:15" ht="27.75">
      <c r="A97" s="1231" t="s">
        <v>222</v>
      </c>
      <c r="B97" s="1232"/>
      <c r="C97" s="1232"/>
      <c r="D97" s="599" t="s">
        <v>155</v>
      </c>
      <c r="E97" s="560">
        <f>'18'!F97</f>
        <v>96214</v>
      </c>
      <c r="F97" s="560">
        <v>96238</v>
      </c>
      <c r="G97" s="549">
        <f t="shared" si="9"/>
        <v>24</v>
      </c>
      <c r="H97" s="536">
        <f>G97+'18'!H97</f>
        <v>561</v>
      </c>
      <c r="I97" s="556"/>
      <c r="J97" s="629">
        <f>H97/DAY(B2)</f>
        <v>29.526315789473685</v>
      </c>
      <c r="K97" s="471"/>
      <c r="L97" s="408"/>
      <c r="N97" s="413"/>
      <c r="O97" s="413"/>
    </row>
    <row r="98" spans="1:15" ht="27.75">
      <c r="A98" s="1231" t="s">
        <v>223</v>
      </c>
      <c r="B98" s="1232"/>
      <c r="C98" s="1232"/>
      <c r="D98" s="599" t="s">
        <v>155</v>
      </c>
      <c r="E98" s="560">
        <f>'18'!F98</f>
        <v>146775</v>
      </c>
      <c r="F98" s="560">
        <v>146838</v>
      </c>
      <c r="G98" s="549">
        <f t="shared" si="9"/>
        <v>63</v>
      </c>
      <c r="H98" s="536">
        <f>G98+'18'!H98</f>
        <v>1284</v>
      </c>
      <c r="I98" s="556"/>
      <c r="J98" s="629">
        <f>H98/DAY(B2)</f>
        <v>67.578947368421055</v>
      </c>
      <c r="K98" s="411"/>
      <c r="L98" s="408"/>
      <c r="N98" s="413"/>
      <c r="O98" s="413"/>
    </row>
    <row r="99" spans="1:15" ht="27.75">
      <c r="A99" s="1231" t="s">
        <v>224</v>
      </c>
      <c r="B99" s="1232"/>
      <c r="C99" s="1232"/>
      <c r="D99" s="599" t="s">
        <v>155</v>
      </c>
      <c r="E99" s="560">
        <f>'18'!F99</f>
        <v>6220</v>
      </c>
      <c r="F99" s="560">
        <v>6243</v>
      </c>
      <c r="G99" s="549">
        <f t="shared" si="9"/>
        <v>23</v>
      </c>
      <c r="H99" s="536">
        <f>G99+'18'!H99</f>
        <v>269</v>
      </c>
      <c r="I99" s="556"/>
      <c r="J99" s="629">
        <f>H99/DAY(B2)</f>
        <v>14.157894736842104</v>
      </c>
      <c r="K99" s="411"/>
      <c r="L99" s="408"/>
      <c r="N99" s="413"/>
      <c r="O99" s="413"/>
    </row>
    <row r="100" spans="1:15" ht="27.75">
      <c r="A100" s="1231" t="s">
        <v>225</v>
      </c>
      <c r="B100" s="1232"/>
      <c r="C100" s="1232"/>
      <c r="D100" s="599" t="s">
        <v>155</v>
      </c>
      <c r="E100" s="560">
        <f>'18'!F100</f>
        <v>4406</v>
      </c>
      <c r="F100" s="560">
        <v>4412</v>
      </c>
      <c r="G100" s="549">
        <f t="shared" si="9"/>
        <v>6</v>
      </c>
      <c r="H100" s="536">
        <f>G100+'18'!H100</f>
        <v>175</v>
      </c>
      <c r="I100" s="556"/>
      <c r="J100" s="629">
        <f>H100/DAY(B2)</f>
        <v>9.2105263157894743</v>
      </c>
      <c r="K100" s="411"/>
      <c r="L100" s="408"/>
      <c r="N100" s="413"/>
      <c r="O100" s="413"/>
    </row>
    <row r="101" spans="1:15">
      <c r="A101" s="1434" t="s">
        <v>227</v>
      </c>
      <c r="B101" s="1435"/>
      <c r="C101" s="1436"/>
      <c r="D101" s="600"/>
      <c r="E101" s="600"/>
      <c r="F101" s="600"/>
      <c r="G101" s="601">
        <f>SUM(G95:G100)</f>
        <v>204</v>
      </c>
      <c r="H101" s="536">
        <f>G101+'18'!H101</f>
        <v>4390</v>
      </c>
      <c r="I101" s="602"/>
      <c r="J101" s="629">
        <f>H101/DAY(B2)</f>
        <v>231.05263157894737</v>
      </c>
      <c r="K101" s="411"/>
      <c r="L101" s="408"/>
      <c r="N101" s="413"/>
      <c r="O101" s="413"/>
    </row>
    <row r="102" spans="1:15" s="481" customFormat="1" ht="27">
      <c r="A102" s="684" t="s">
        <v>228</v>
      </c>
      <c r="B102" s="685"/>
      <c r="C102" s="685"/>
      <c r="D102" s="698"/>
      <c r="E102" s="604"/>
      <c r="F102" s="604"/>
      <c r="G102" s="605"/>
      <c r="H102" s="606"/>
      <c r="I102" s="607"/>
      <c r="J102" s="634"/>
      <c r="N102" s="493"/>
      <c r="O102" s="413"/>
    </row>
    <row r="103" spans="1:15" s="481" customFormat="1" ht="27.75">
      <c r="A103" s="1437" t="s">
        <v>229</v>
      </c>
      <c r="B103" s="1438"/>
      <c r="C103" s="650"/>
      <c r="D103" s="699"/>
      <c r="E103" s="608"/>
      <c r="F103" s="608"/>
      <c r="G103" s="608"/>
      <c r="H103" s="609"/>
      <c r="I103" s="608"/>
      <c r="J103" s="635"/>
      <c r="N103" s="493"/>
      <c r="O103" s="413"/>
    </row>
    <row r="104" spans="1:15" s="481" customFormat="1" ht="27.75">
      <c r="A104" s="1398" t="s">
        <v>230</v>
      </c>
      <c r="B104" s="1399"/>
      <c r="C104" s="1229"/>
      <c r="D104" s="699" t="s">
        <v>155</v>
      </c>
      <c r="E104" s="608">
        <f>'18'!F104</f>
        <v>7097</v>
      </c>
      <c r="F104" s="608">
        <v>7097</v>
      </c>
      <c r="G104" s="608">
        <f>F104-E104</f>
        <v>0</v>
      </c>
      <c r="H104" s="609">
        <f>SUM(G104+'1'!G76)</f>
        <v>74</v>
      </c>
      <c r="I104" s="608"/>
      <c r="J104" s="635">
        <f>H104/DAY(B2)</f>
        <v>3.8947368421052633</v>
      </c>
      <c r="N104" s="493"/>
      <c r="O104" s="413"/>
    </row>
    <row r="105" spans="1:15" s="481" customFormat="1" ht="27.75">
      <c r="A105" s="1398" t="s">
        <v>77</v>
      </c>
      <c r="B105" s="1399"/>
      <c r="C105" s="1229"/>
      <c r="D105" s="699" t="s">
        <v>155</v>
      </c>
      <c r="E105" s="610">
        <f>'18'!F105</f>
        <v>35314</v>
      </c>
      <c r="F105" s="610">
        <v>35321</v>
      </c>
      <c r="G105" s="608">
        <f t="shared" ref="G105:G106" si="10">F105-E105</f>
        <v>7</v>
      </c>
      <c r="H105" s="609">
        <f>SUM(G105+'1'!G77)</f>
        <v>55</v>
      </c>
      <c r="I105" s="608"/>
      <c r="J105" s="635">
        <f>H105/DAY(B2)</f>
        <v>2.8947368421052633</v>
      </c>
      <c r="N105" s="493"/>
      <c r="O105" s="413"/>
    </row>
    <row r="106" spans="1:15" s="481" customFormat="1" ht="27.75">
      <c r="A106" s="1398" t="s">
        <v>78</v>
      </c>
      <c r="B106" s="1439"/>
      <c r="C106" s="1399"/>
      <c r="D106" s="699" t="s">
        <v>155</v>
      </c>
      <c r="E106" s="608">
        <f>'18'!F106</f>
        <v>19189</v>
      </c>
      <c r="F106" s="608">
        <v>19195</v>
      </c>
      <c r="G106" s="608">
        <f t="shared" si="10"/>
        <v>6</v>
      </c>
      <c r="H106" s="609">
        <f>SUM(G106+'1'!G78)</f>
        <v>340</v>
      </c>
      <c r="I106" s="608"/>
      <c r="J106" s="635">
        <f>H106/DAY(B2)</f>
        <v>17.894736842105264</v>
      </c>
      <c r="N106" s="493"/>
      <c r="O106" s="413"/>
    </row>
    <row r="107" spans="1:15" s="481" customFormat="1" ht="27.75">
      <c r="A107" s="1400" t="s">
        <v>213</v>
      </c>
      <c r="B107" s="1401"/>
      <c r="C107" s="1229"/>
      <c r="D107" s="699"/>
      <c r="E107" s="608">
        <f>'18'!F107</f>
        <v>0</v>
      </c>
      <c r="F107" s="608"/>
      <c r="G107" s="608">
        <f>SUM(G104:G106)</f>
        <v>13</v>
      </c>
      <c r="H107" s="609">
        <f>SUM(G107+'1'!G79)</f>
        <v>218</v>
      </c>
      <c r="I107" s="608"/>
      <c r="J107" s="635">
        <f>H107/DAY(B2)</f>
        <v>11.473684210526315</v>
      </c>
      <c r="N107" s="493"/>
      <c r="O107" s="413"/>
    </row>
    <row r="108" spans="1:15" s="481" customFormat="1" ht="27.75">
      <c r="A108" s="1404" t="s">
        <v>79</v>
      </c>
      <c r="B108" s="1405"/>
      <c r="C108" s="1229"/>
      <c r="D108" s="699" t="s">
        <v>155</v>
      </c>
      <c r="E108" s="608">
        <f>'18'!F108</f>
        <v>0</v>
      </c>
      <c r="F108" s="608"/>
      <c r="G108" s="608"/>
      <c r="H108" s="609"/>
      <c r="I108" s="608"/>
      <c r="J108" s="635"/>
      <c r="N108" s="493"/>
      <c r="O108" s="413"/>
    </row>
    <row r="109" spans="1:15" s="481" customFormat="1" ht="27.75">
      <c r="A109" s="1398" t="s">
        <v>231</v>
      </c>
      <c r="B109" s="1399"/>
      <c r="C109" s="1229"/>
      <c r="D109" s="699" t="s">
        <v>155</v>
      </c>
      <c r="E109" s="608">
        <f>'18'!F109</f>
        <v>55748</v>
      </c>
      <c r="F109" s="608">
        <v>55788</v>
      </c>
      <c r="G109" s="608">
        <f>F109-E109</f>
        <v>40</v>
      </c>
      <c r="H109" s="609">
        <f>SUM(G109+'1'!G81)</f>
        <v>116</v>
      </c>
      <c r="I109" s="608"/>
      <c r="J109" s="635">
        <f>H109/DAY(B2)</f>
        <v>6.1052631578947372</v>
      </c>
      <c r="N109" s="493"/>
      <c r="O109" s="413"/>
    </row>
    <row r="110" spans="1:15" s="481" customFormat="1" ht="27.75">
      <c r="A110" s="1398" t="s">
        <v>232</v>
      </c>
      <c r="B110" s="1399"/>
      <c r="C110" s="1229"/>
      <c r="D110" s="699" t="s">
        <v>155</v>
      </c>
      <c r="E110" s="608">
        <f>'18'!F110</f>
        <v>29706</v>
      </c>
      <c r="F110" s="608">
        <v>29737</v>
      </c>
      <c r="G110" s="608">
        <f t="shared" ref="G110:G111" si="11">F110-E110</f>
        <v>31</v>
      </c>
      <c r="H110" s="609">
        <f>SUM(G110+'1'!G82)</f>
        <v>76</v>
      </c>
      <c r="I110" s="608"/>
      <c r="J110" s="635">
        <f>H110/DAY(B2)</f>
        <v>4</v>
      </c>
      <c r="N110" s="493"/>
      <c r="O110" s="413"/>
    </row>
    <row r="111" spans="1:15" s="481" customFormat="1" ht="27.75">
      <c r="A111" s="1398" t="s">
        <v>233</v>
      </c>
      <c r="B111" s="1399"/>
      <c r="C111" s="1229"/>
      <c r="D111" s="699" t="s">
        <v>155</v>
      </c>
      <c r="E111" s="608">
        <f>'18'!F111</f>
        <v>3912</v>
      </c>
      <c r="F111" s="608">
        <v>3912</v>
      </c>
      <c r="G111" s="608">
        <f t="shared" si="11"/>
        <v>0</v>
      </c>
      <c r="H111" s="609">
        <f>SUM(G111+'1'!G83)</f>
        <v>433</v>
      </c>
      <c r="I111" s="608"/>
      <c r="J111" s="635">
        <f>H111/DAY(B2)</f>
        <v>22.789473684210527</v>
      </c>
      <c r="N111" s="493"/>
      <c r="O111" s="413"/>
    </row>
    <row r="112" spans="1:15" s="481" customFormat="1" ht="27.75">
      <c r="A112" s="1402" t="s">
        <v>121</v>
      </c>
      <c r="B112" s="1403"/>
      <c r="C112" s="1229"/>
      <c r="D112" s="699"/>
      <c r="E112" s="608">
        <f>'18'!F112</f>
        <v>0</v>
      </c>
      <c r="F112" s="608"/>
      <c r="G112" s="608">
        <f>SUM(G109:G111)</f>
        <v>71</v>
      </c>
      <c r="H112" s="609">
        <f>SUM(G112+'1'!G84)</f>
        <v>592</v>
      </c>
      <c r="I112" s="608"/>
      <c r="J112" s="635">
        <f>H112/DAY(B2)</f>
        <v>31.157894736842106</v>
      </c>
      <c r="N112" s="493"/>
      <c r="O112" s="413"/>
    </row>
    <row r="113" spans="1:15" s="481" customFormat="1" ht="27.75">
      <c r="A113" s="1404" t="s">
        <v>234</v>
      </c>
      <c r="B113" s="1405"/>
      <c r="C113" s="1229"/>
      <c r="D113" s="699"/>
      <c r="E113" s="608">
        <f>'18'!F113</f>
        <v>0</v>
      </c>
      <c r="F113" s="608"/>
      <c r="G113" s="608"/>
      <c r="H113" s="609"/>
      <c r="I113" s="608"/>
      <c r="J113" s="635">
        <f>H113/DAY(B2)</f>
        <v>0</v>
      </c>
      <c r="N113" s="493"/>
      <c r="O113" s="413"/>
    </row>
    <row r="114" spans="1:15" s="481" customFormat="1" ht="27.75">
      <c r="A114" s="1398" t="s">
        <v>235</v>
      </c>
      <c r="B114" s="1399"/>
      <c r="C114" s="651"/>
      <c r="D114" s="699" t="s">
        <v>155</v>
      </c>
      <c r="E114" s="610">
        <f>'18'!F114</f>
        <v>10099</v>
      </c>
      <c r="F114" s="610">
        <v>10125</v>
      </c>
      <c r="G114" s="610">
        <f>F114-E114</f>
        <v>26</v>
      </c>
      <c r="H114" s="609">
        <f>SUM(G114+'1'!G91)</f>
        <v>26</v>
      </c>
      <c r="I114" s="608"/>
      <c r="J114" s="635">
        <f>H114/DAY(B2)</f>
        <v>1.368421052631579</v>
      </c>
      <c r="N114" s="493"/>
      <c r="O114" s="413"/>
    </row>
    <row r="115" spans="1:15" s="481" customFormat="1" ht="27.75">
      <c r="A115" s="1398" t="s">
        <v>236</v>
      </c>
      <c r="B115" s="1399"/>
      <c r="C115" s="651"/>
      <c r="D115" s="699" t="s">
        <v>155</v>
      </c>
      <c r="E115" s="610">
        <f>'18'!F115</f>
        <v>7566</v>
      </c>
      <c r="F115" s="610">
        <v>7568</v>
      </c>
      <c r="G115" s="610">
        <f t="shared" ref="G115:G116" si="12">F115-E115</f>
        <v>2</v>
      </c>
      <c r="H115" s="609">
        <f>SUM(G115+'1'!G92)</f>
        <v>89</v>
      </c>
      <c r="I115" s="608"/>
      <c r="J115" s="635">
        <f>H115/DAY(B2)</f>
        <v>4.6842105263157894</v>
      </c>
      <c r="N115" s="493"/>
      <c r="O115" s="413"/>
    </row>
    <row r="116" spans="1:15" s="481" customFormat="1" ht="27.75">
      <c r="A116" s="1398" t="s">
        <v>237</v>
      </c>
      <c r="B116" s="1399"/>
      <c r="C116" s="651"/>
      <c r="D116" s="699" t="s">
        <v>155</v>
      </c>
      <c r="E116" s="610"/>
      <c r="F116" s="610"/>
      <c r="G116" s="610">
        <f t="shared" si="12"/>
        <v>0</v>
      </c>
      <c r="H116" s="609">
        <f>SUM(G116+'1'!G93)</f>
        <v>200</v>
      </c>
      <c r="I116" s="608"/>
      <c r="J116" s="635">
        <f>H116/DAY(B2)</f>
        <v>10.526315789473685</v>
      </c>
      <c r="N116" s="493"/>
      <c r="O116" s="413"/>
    </row>
    <row r="117" spans="1:15" s="494" customFormat="1" ht="27.75">
      <c r="A117" s="1400" t="s">
        <v>213</v>
      </c>
      <c r="B117" s="1401"/>
      <c r="C117" s="651"/>
      <c r="D117" s="700"/>
      <c r="E117" s="610"/>
      <c r="F117" s="610"/>
      <c r="G117" s="610">
        <f>SUM(G114:G116)</f>
        <v>28</v>
      </c>
      <c r="H117" s="609">
        <f>SUM(G117+'1'!G95)</f>
        <v>100</v>
      </c>
      <c r="I117" s="610"/>
      <c r="J117" s="635">
        <f>H117/DAY(B2)</f>
        <v>5.2631578947368425</v>
      </c>
      <c r="N117" s="522"/>
      <c r="O117" s="413"/>
    </row>
    <row r="118" spans="1:15" s="495" customFormat="1" ht="27.75">
      <c r="A118" s="1394" t="s">
        <v>238</v>
      </c>
      <c r="B118" s="1395"/>
      <c r="C118" s="1228"/>
      <c r="D118" s="701" t="s">
        <v>155</v>
      </c>
      <c r="E118" s="612"/>
      <c r="F118" s="612">
        <f>SUM(G19+G92)</f>
        <v>145</v>
      </c>
      <c r="G118" s="612">
        <f>SUM(G19+G92)</f>
        <v>145</v>
      </c>
      <c r="H118" s="609">
        <f>SUM(G118+'1'!G96)</f>
        <v>168</v>
      </c>
      <c r="I118" s="611"/>
      <c r="J118" s="636">
        <f>H118/DAY(B2)</f>
        <v>8.8421052631578956</v>
      </c>
      <c r="N118" s="861"/>
      <c r="O118" s="413"/>
    </row>
    <row r="119" spans="1:15" s="495" customFormat="1" ht="27.75">
      <c r="A119" s="1394" t="s">
        <v>239</v>
      </c>
      <c r="B119" s="1395"/>
      <c r="C119" s="1228"/>
      <c r="D119" s="701" t="s">
        <v>155</v>
      </c>
      <c r="E119" s="612"/>
      <c r="F119" s="612">
        <f>SUM(G95,G96,G97,G99,G100)</f>
        <v>141</v>
      </c>
      <c r="G119" s="612">
        <f>SUM(G95,G96,G97,G99,G100)</f>
        <v>141</v>
      </c>
      <c r="H119" s="609">
        <f>SUM(G119+'1'!G98)</f>
        <v>224</v>
      </c>
      <c r="I119" s="611"/>
      <c r="J119" s="636">
        <f>H119/DAY(B2)</f>
        <v>11.789473684210526</v>
      </c>
      <c r="N119" s="861"/>
      <c r="O119" s="413"/>
    </row>
    <row r="120" spans="1:15" s="495" customFormat="1" ht="27.75">
      <c r="A120" s="1394" t="s">
        <v>240</v>
      </c>
      <c r="B120" s="1395"/>
      <c r="C120" s="1228"/>
      <c r="D120" s="701" t="s">
        <v>155</v>
      </c>
      <c r="E120" s="610"/>
      <c r="F120" s="610">
        <f>SUM(G112)</f>
        <v>71</v>
      </c>
      <c r="G120" s="610">
        <f>SUM(G112)</f>
        <v>71</v>
      </c>
      <c r="H120" s="609">
        <f>SUM(G120+'1'!G100)</f>
        <v>77</v>
      </c>
      <c r="I120" s="611"/>
      <c r="J120" s="636">
        <f>H120/DAY(B2)</f>
        <v>4.0526315789473681</v>
      </c>
      <c r="N120" s="861"/>
      <c r="O120" s="413"/>
    </row>
    <row r="121" spans="1:15" s="481" customFormat="1" ht="27.75">
      <c r="A121" s="1396"/>
      <c r="B121" s="1397"/>
      <c r="C121" s="1229"/>
      <c r="D121" s="637"/>
      <c r="E121" s="637"/>
      <c r="F121" s="637" t="s">
        <v>226</v>
      </c>
      <c r="G121" s="637"/>
      <c r="H121" s="638"/>
      <c r="I121" s="637"/>
      <c r="J121" s="639"/>
      <c r="N121" s="493"/>
      <c r="O121" s="413"/>
    </row>
    <row r="122" spans="1:15">
      <c r="A122" s="1431" t="s">
        <v>241</v>
      </c>
      <c r="B122" s="1432"/>
      <c r="C122" s="1433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  <c r="O122" s="413"/>
    </row>
    <row r="123" spans="1:15" ht="27.75">
      <c r="A123" s="1231" t="s">
        <v>242</v>
      </c>
      <c r="B123" s="1232"/>
      <c r="C123" s="1232"/>
      <c r="D123" s="599" t="s">
        <v>152</v>
      </c>
      <c r="E123" s="554">
        <f>'18'!F123</f>
        <v>808376.34</v>
      </c>
      <c r="F123" s="554">
        <v>808618</v>
      </c>
      <c r="G123" s="549">
        <f t="shared" ref="G123:G127" si="13">F123-E123</f>
        <v>241.6600000000326</v>
      </c>
      <c r="H123" s="536">
        <f>G123+'18'!H123</f>
        <v>5282.5999999999767</v>
      </c>
      <c r="I123" s="602"/>
      <c r="J123" s="629">
        <f>H123/DAY(B2)</f>
        <v>278.03157894736722</v>
      </c>
      <c r="K123" s="411"/>
      <c r="L123" s="408"/>
      <c r="N123" s="413"/>
      <c r="O123" s="413"/>
    </row>
    <row r="124" spans="1:15" ht="27.75">
      <c r="A124" s="1231" t="s">
        <v>243</v>
      </c>
      <c r="B124" s="1232"/>
      <c r="C124" s="1232"/>
      <c r="D124" s="599" t="s">
        <v>152</v>
      </c>
      <c r="E124" s="703">
        <f>'18'!F124</f>
        <v>73583.399999999994</v>
      </c>
      <c r="F124" s="703">
        <v>73583</v>
      </c>
      <c r="G124" s="549">
        <f t="shared" si="13"/>
        <v>-0.39999999999417923</v>
      </c>
      <c r="H124" s="536">
        <f>G124+'18'!H124</f>
        <v>1</v>
      </c>
      <c r="I124" s="602"/>
      <c r="J124" s="629">
        <f>H124/DAY(B2)</f>
        <v>5.2631578947368418E-2</v>
      </c>
      <c r="K124" s="411"/>
      <c r="L124" s="408"/>
      <c r="N124" s="413"/>
      <c r="O124" s="413"/>
    </row>
    <row r="125" spans="1:15" ht="27.75">
      <c r="A125" s="1385" t="s">
        <v>244</v>
      </c>
      <c r="B125" s="1386"/>
      <c r="C125" s="1387"/>
      <c r="D125" s="599" t="s">
        <v>152</v>
      </c>
      <c r="E125" s="554">
        <f>'18'!F125</f>
        <v>139226.75</v>
      </c>
      <c r="F125" s="554">
        <v>139316</v>
      </c>
      <c r="G125" s="549">
        <f t="shared" si="13"/>
        <v>89.25</v>
      </c>
      <c r="H125" s="536">
        <f>G125+'18'!H125</f>
        <v>1468</v>
      </c>
      <c r="I125" s="602"/>
      <c r="J125" s="629">
        <f>H125/DAY(B2)</f>
        <v>77.263157894736835</v>
      </c>
      <c r="K125" s="411"/>
      <c r="L125" s="408"/>
      <c r="N125" s="413"/>
      <c r="O125" s="413"/>
    </row>
    <row r="126" spans="1:15" ht="27.75">
      <c r="A126" s="686" t="s">
        <v>245</v>
      </c>
      <c r="B126" s="1232"/>
      <c r="C126" s="1232"/>
      <c r="D126" s="599" t="s">
        <v>152</v>
      </c>
      <c r="E126" s="703">
        <f>'18'!F126</f>
        <v>59055.5</v>
      </c>
      <c r="F126" s="703">
        <v>59079</v>
      </c>
      <c r="G126" s="549">
        <f t="shared" si="13"/>
        <v>23.5</v>
      </c>
      <c r="H126" s="536">
        <f>G126+'18'!H126</f>
        <v>687.30000000000291</v>
      </c>
      <c r="I126" s="602"/>
      <c r="J126" s="629">
        <f>H126/DAY(B2)</f>
        <v>36.173684210526467</v>
      </c>
      <c r="K126" s="411"/>
      <c r="L126" s="408"/>
      <c r="N126" s="413"/>
      <c r="O126" s="413"/>
    </row>
    <row r="127" spans="1:15" ht="27.75">
      <c r="A127" s="686" t="s">
        <v>246</v>
      </c>
      <c r="B127" s="1232"/>
      <c r="C127" s="1232"/>
      <c r="D127" s="599" t="s">
        <v>152</v>
      </c>
      <c r="E127" s="703">
        <f>'18'!F127</f>
        <v>8869.2000000000007</v>
      </c>
      <c r="F127" s="703">
        <v>8871</v>
      </c>
      <c r="G127" s="549">
        <f t="shared" si="13"/>
        <v>1.7999999999992724</v>
      </c>
      <c r="H127" s="536">
        <f>G127+'18'!H127</f>
        <v>55</v>
      </c>
      <c r="I127" s="556"/>
      <c r="J127" s="629">
        <f>H127/DAY(B2)</f>
        <v>2.8947368421052633</v>
      </c>
      <c r="K127" s="411"/>
      <c r="L127" s="408"/>
      <c r="N127" s="413"/>
      <c r="O127" s="413"/>
    </row>
    <row r="128" spans="1:15" s="281" customFormat="1" ht="27.75">
      <c r="A128" s="686" t="s">
        <v>247</v>
      </c>
      <c r="B128" s="1232"/>
      <c r="C128" s="1232"/>
      <c r="D128" s="599"/>
      <c r="E128" s="554"/>
      <c r="F128" s="554"/>
      <c r="G128" s="549">
        <f>G15-SUM(G123:G127)</f>
        <v>525.59999999987849</v>
      </c>
      <c r="H128" s="536">
        <f>G128+'18'!H128</f>
        <v>2207.5099999998529</v>
      </c>
      <c r="I128" s="556"/>
      <c r="J128" s="629">
        <f>H128/DAY(B2)</f>
        <v>116.18473684209752</v>
      </c>
      <c r="K128" s="391"/>
      <c r="L128" s="293"/>
      <c r="N128" s="395"/>
      <c r="O128" s="413"/>
    </row>
    <row r="129" spans="1:15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  <c r="O129" s="413"/>
    </row>
    <row r="130" spans="1:15" ht="27.75">
      <c r="A130" s="1231" t="s">
        <v>249</v>
      </c>
      <c r="B130" s="1232"/>
      <c r="C130" s="1232"/>
      <c r="D130" s="599" t="s">
        <v>250</v>
      </c>
      <c r="E130" s="560">
        <f>'18'!F130</f>
        <v>0</v>
      </c>
      <c r="F130" s="560">
        <v>0</v>
      </c>
      <c r="G130" s="549">
        <f t="shared" ref="G130:G140" si="14">F130-E130</f>
        <v>0</v>
      </c>
      <c r="H130" s="536">
        <f>G130+'18'!H130</f>
        <v>0</v>
      </c>
      <c r="I130" s="556"/>
      <c r="J130" s="629">
        <f>H130/DAY(B2)</f>
        <v>0</v>
      </c>
      <c r="N130" s="413"/>
      <c r="O130" s="413"/>
    </row>
    <row r="131" spans="1:15" ht="27.75">
      <c r="A131" s="1231" t="s">
        <v>251</v>
      </c>
      <c r="B131" s="1232"/>
      <c r="C131" s="1232"/>
      <c r="D131" s="599" t="s">
        <v>250</v>
      </c>
      <c r="E131" s="560">
        <f>'18'!F131</f>
        <v>0</v>
      </c>
      <c r="F131" s="560">
        <v>0</v>
      </c>
      <c r="G131" s="549">
        <f t="shared" si="14"/>
        <v>0</v>
      </c>
      <c r="H131" s="536">
        <f>G131+'18'!H131</f>
        <v>0</v>
      </c>
      <c r="I131" s="556"/>
      <c r="J131" s="629">
        <f>H131/DAY(B2)</f>
        <v>0</v>
      </c>
      <c r="N131" s="413"/>
      <c r="O131" s="413"/>
    </row>
    <row r="132" spans="1:15" ht="27.75">
      <c r="A132" s="1231" t="s">
        <v>252</v>
      </c>
      <c r="B132" s="1232"/>
      <c r="C132" s="1232"/>
      <c r="D132" s="599" t="s">
        <v>250</v>
      </c>
      <c r="E132" s="618">
        <f>'18'!F132</f>
        <v>39215.53</v>
      </c>
      <c r="F132" s="618">
        <v>39215.53</v>
      </c>
      <c r="G132" s="549">
        <f t="shared" si="14"/>
        <v>0</v>
      </c>
      <c r="H132" s="536">
        <f>G132+'18'!H132</f>
        <v>111.08999999999651</v>
      </c>
      <c r="I132" s="556"/>
      <c r="J132" s="629">
        <f>H132/DAY(B2)</f>
        <v>5.846842105262974</v>
      </c>
      <c r="N132" s="413"/>
      <c r="O132" s="413"/>
    </row>
    <row r="133" spans="1:15" s="480" customFormat="1" ht="27.75">
      <c r="A133" s="1158" t="s">
        <v>253</v>
      </c>
      <c r="B133" s="1159"/>
      <c r="C133" s="1159"/>
      <c r="D133" s="704" t="s">
        <v>250</v>
      </c>
      <c r="E133" s="618">
        <f>'18'!F133</f>
        <v>299.52</v>
      </c>
      <c r="F133" s="618">
        <v>299.52</v>
      </c>
      <c r="G133" s="733">
        <f t="shared" si="14"/>
        <v>0</v>
      </c>
      <c r="H133" s="787">
        <f>G133+'18'!H133</f>
        <v>0.51999999999998181</v>
      </c>
      <c r="I133" s="1160">
        <f>G130+G131+G132+G133</f>
        <v>0</v>
      </c>
      <c r="J133" s="789">
        <f>H133/DAY(B2)</f>
        <v>2.7368421052630622E-2</v>
      </c>
      <c r="N133" s="795"/>
      <c r="O133" s="795"/>
    </row>
    <row r="134" spans="1:15" ht="27.75">
      <c r="A134" s="1231" t="s">
        <v>254</v>
      </c>
      <c r="B134" s="1232"/>
      <c r="C134" s="1232"/>
      <c r="D134" s="599" t="s">
        <v>250</v>
      </c>
      <c r="E134" s="618">
        <f>'18'!F134</f>
        <v>40260.519999999997</v>
      </c>
      <c r="F134" s="618">
        <v>40260.519999999997</v>
      </c>
      <c r="G134" s="549">
        <f t="shared" si="14"/>
        <v>0</v>
      </c>
      <c r="H134" s="536">
        <f>G134+'18'!H134</f>
        <v>309.5199999999968</v>
      </c>
      <c r="I134" s="556"/>
      <c r="J134" s="629">
        <f>H134/DAY(B2)</f>
        <v>16.290526315789304</v>
      </c>
      <c r="N134" s="413"/>
      <c r="O134" s="413"/>
    </row>
    <row r="135" spans="1:15" ht="27.75">
      <c r="A135" s="1231" t="s">
        <v>255</v>
      </c>
      <c r="B135" s="1232"/>
      <c r="C135" s="1232"/>
      <c r="D135" s="599" t="s">
        <v>250</v>
      </c>
      <c r="E135" s="618">
        <f>'18'!F135</f>
        <v>32434.34</v>
      </c>
      <c r="F135" s="618">
        <v>32458</v>
      </c>
      <c r="G135" s="549">
        <f t="shared" si="14"/>
        <v>23.659999999999854</v>
      </c>
      <c r="H135" s="536">
        <f>G135+'18'!H135</f>
        <v>35</v>
      </c>
      <c r="I135" s="556"/>
      <c r="J135" s="629">
        <f>H135/DAY(B2)</f>
        <v>1.8421052631578947</v>
      </c>
      <c r="N135" s="413"/>
      <c r="O135" s="413"/>
    </row>
    <row r="136" spans="1:15" ht="27.75">
      <c r="A136" s="1231" t="s">
        <v>256</v>
      </c>
      <c r="B136" s="1232"/>
      <c r="C136" s="1232"/>
      <c r="D136" s="599" t="s">
        <v>250</v>
      </c>
      <c r="E136" s="618">
        <f>'18'!F136</f>
        <v>22135.56</v>
      </c>
      <c r="F136" s="618">
        <v>22143.66</v>
      </c>
      <c r="G136" s="549">
        <f t="shared" si="14"/>
        <v>8.0999999999985448</v>
      </c>
      <c r="H136" s="536">
        <f>G136+'18'!H136</f>
        <v>141.70000000000073</v>
      </c>
      <c r="I136" s="556">
        <f>G134+G135+G136</f>
        <v>31.759999999998399</v>
      </c>
      <c r="J136" s="629">
        <f>H136/DAY(B2)</f>
        <v>7.4578947368421433</v>
      </c>
      <c r="N136" s="413"/>
      <c r="O136" s="413"/>
    </row>
    <row r="137" spans="1:15" ht="27.75">
      <c r="A137" s="1231" t="s">
        <v>257</v>
      </c>
      <c r="B137" s="1232"/>
      <c r="C137" s="1232"/>
      <c r="D137" s="599" t="s">
        <v>250</v>
      </c>
      <c r="E137" s="618">
        <f>'18'!F137</f>
        <v>25036.560000000001</v>
      </c>
      <c r="F137" s="618">
        <v>25036.560000000001</v>
      </c>
      <c r="G137" s="549">
        <f t="shared" si="14"/>
        <v>0</v>
      </c>
      <c r="H137" s="536">
        <f>G137+'18'!H137</f>
        <v>16.620000000002619</v>
      </c>
      <c r="I137" s="556"/>
      <c r="J137" s="629">
        <f>H137/DAY(B2)</f>
        <v>0.87473684210540104</v>
      </c>
      <c r="N137" s="413"/>
      <c r="O137" s="413"/>
    </row>
    <row r="138" spans="1:15" ht="27.75">
      <c r="A138" s="1231" t="s">
        <v>258</v>
      </c>
      <c r="B138" s="1232"/>
      <c r="C138" s="1232"/>
      <c r="D138" s="599" t="s">
        <v>250</v>
      </c>
      <c r="E138" s="618">
        <f>'18'!F138</f>
        <v>70107.87</v>
      </c>
      <c r="F138" s="618">
        <v>70110.710000000006</v>
      </c>
      <c r="G138" s="549">
        <f t="shared" si="14"/>
        <v>2.8400000000110595</v>
      </c>
      <c r="H138" s="536">
        <f>G138+'18'!H138</f>
        <v>46.820000000006985</v>
      </c>
      <c r="I138" s="556">
        <f>G137+G138</f>
        <v>2.8400000000110595</v>
      </c>
      <c r="J138" s="629">
        <f>H138/DAY(B2)</f>
        <v>2.4642105263161569</v>
      </c>
      <c r="N138" s="413"/>
      <c r="O138" s="413"/>
    </row>
    <row r="139" spans="1:15" ht="27.75">
      <c r="A139" s="1231" t="s">
        <v>259</v>
      </c>
      <c r="B139" s="1232"/>
      <c r="C139" s="1232"/>
      <c r="D139" s="599" t="s">
        <v>250</v>
      </c>
      <c r="E139" s="560">
        <f>'18'!F139</f>
        <v>1347.24</v>
      </c>
      <c r="F139" s="560">
        <v>1354.21</v>
      </c>
      <c r="G139" s="549">
        <f t="shared" si="14"/>
        <v>6.9700000000000273</v>
      </c>
      <c r="H139" s="536">
        <f>G139+'18'!H139</f>
        <v>153.62000000000012</v>
      </c>
      <c r="I139" s="619"/>
      <c r="J139" s="629">
        <f>H139/DAY(B2)</f>
        <v>8.0852631578947438</v>
      </c>
      <c r="N139" s="413"/>
      <c r="O139" s="413"/>
    </row>
    <row r="140" spans="1:15" ht="27.75">
      <c r="A140" s="1231" t="s">
        <v>260</v>
      </c>
      <c r="B140" s="1232"/>
      <c r="C140" s="1232"/>
      <c r="D140" s="599" t="s">
        <v>250</v>
      </c>
      <c r="E140" s="560">
        <f>'18'!F140</f>
        <v>4333.53</v>
      </c>
      <c r="F140" s="560">
        <v>4333.53</v>
      </c>
      <c r="G140" s="549">
        <f t="shared" si="14"/>
        <v>0</v>
      </c>
      <c r="H140" s="536">
        <f>G140+'18'!H140</f>
        <v>-0.47000000000025466</v>
      </c>
      <c r="I140" s="619"/>
      <c r="J140" s="629">
        <f>H140/DAY(B2)</f>
        <v>-2.473684210527656E-2</v>
      </c>
      <c r="N140" s="413"/>
      <c r="O140" s="413"/>
    </row>
    <row r="141" spans="1:15">
      <c r="A141" s="1412" t="s">
        <v>261</v>
      </c>
      <c r="B141" s="1413"/>
      <c r="C141" s="1237"/>
      <c r="D141" s="548"/>
      <c r="E141" s="548"/>
      <c r="F141" s="548" t="s">
        <v>288</v>
      </c>
      <c r="G141" s="559"/>
      <c r="H141" s="559"/>
      <c r="I141" s="559"/>
      <c r="J141" s="640"/>
      <c r="K141" s="411"/>
      <c r="L141" s="408"/>
      <c r="N141" s="413"/>
      <c r="O141" s="413"/>
    </row>
    <row r="142" spans="1:15" ht="27.75">
      <c r="A142" s="1406" t="s">
        <v>262</v>
      </c>
      <c r="B142" s="1407"/>
      <c r="C142" s="1408"/>
      <c r="D142" s="599" t="s">
        <v>143</v>
      </c>
      <c r="E142" s="599"/>
      <c r="F142" s="599"/>
      <c r="G142" s="536">
        <f>G35+G43+G49+G57</f>
        <v>4989.840000000042</v>
      </c>
      <c r="H142" s="536">
        <f>G142+'18'!H142</f>
        <v>94298.93</v>
      </c>
      <c r="I142" s="556"/>
      <c r="J142" s="629">
        <f>H142/DAY(B2)</f>
        <v>4963.1015789473677</v>
      </c>
      <c r="K142" s="411"/>
      <c r="L142" s="408"/>
      <c r="N142" s="413"/>
      <c r="O142" s="413"/>
    </row>
    <row r="143" spans="1:15" ht="27.75">
      <c r="A143" s="1406" t="s">
        <v>263</v>
      </c>
      <c r="B143" s="1407"/>
      <c r="C143" s="1408"/>
      <c r="D143" s="599" t="s">
        <v>24</v>
      </c>
      <c r="E143" s="587"/>
      <c r="F143" s="587"/>
      <c r="G143" s="620">
        <f>G142/G7</f>
        <v>0.25486975176218418</v>
      </c>
      <c r="H143" s="536">
        <f>G143+'18'!H143</f>
        <v>4.6784787752869033</v>
      </c>
      <c r="I143" s="621"/>
      <c r="J143" s="629">
        <f>H143/DAY(B2)</f>
        <v>0.24623572501510016</v>
      </c>
      <c r="K143" s="411"/>
      <c r="L143" s="408"/>
      <c r="N143" s="413"/>
      <c r="O143" s="413"/>
    </row>
    <row r="144" spans="1:15" ht="27.75">
      <c r="A144" s="1406" t="s">
        <v>264</v>
      </c>
      <c r="B144" s="1407"/>
      <c r="C144" s="1408"/>
      <c r="D144" s="599" t="s">
        <v>143</v>
      </c>
      <c r="E144" s="531"/>
      <c r="F144" s="531"/>
      <c r="G144" s="536">
        <f>G41+G42+G55+G56</f>
        <v>4133.3100000000559</v>
      </c>
      <c r="H144" s="536">
        <f>G144+'18'!H144</f>
        <v>81126.989999999962</v>
      </c>
      <c r="I144" s="556"/>
      <c r="J144" s="629">
        <f>H144/DAY(B2)</f>
        <v>4269.8415789473665</v>
      </c>
      <c r="K144" s="411"/>
      <c r="L144" s="408"/>
      <c r="N144" s="413"/>
      <c r="O144" s="413"/>
    </row>
    <row r="145" spans="1:15" ht="27.75">
      <c r="A145" s="1406" t="s">
        <v>265</v>
      </c>
      <c r="B145" s="1407"/>
      <c r="C145" s="1408"/>
      <c r="D145" s="599" t="s">
        <v>24</v>
      </c>
      <c r="E145" s="531"/>
      <c r="F145" s="531"/>
      <c r="G145" s="620">
        <f>G144/G7</f>
        <v>0.21112013484523731</v>
      </c>
      <c r="H145" s="536">
        <f>G145+'18'!H145</f>
        <v>4.1646657841364645</v>
      </c>
      <c r="I145" s="621"/>
      <c r="J145" s="629">
        <f>H145/DAY(B2)</f>
        <v>0.21919293600718234</v>
      </c>
      <c r="K145" s="411"/>
      <c r="L145" s="408"/>
      <c r="N145" s="413"/>
      <c r="O145" s="413"/>
    </row>
    <row r="146" spans="1:15" ht="27.75">
      <c r="A146" s="1406" t="s">
        <v>266</v>
      </c>
      <c r="B146" s="1407"/>
      <c r="C146" s="1408"/>
      <c r="D146" s="599" t="s">
        <v>143</v>
      </c>
      <c r="E146" s="531"/>
      <c r="F146" s="531"/>
      <c r="G146" s="536">
        <f>G39+G53</f>
        <v>4163.1299999999901</v>
      </c>
      <c r="H146" s="536">
        <f>G146+'18'!H146</f>
        <v>80433.729999999967</v>
      </c>
      <c r="I146" s="622"/>
      <c r="J146" s="629">
        <f>H146/DAY(B2)</f>
        <v>4233.3542105263141</v>
      </c>
      <c r="K146" s="411"/>
      <c r="L146" s="408"/>
      <c r="N146" s="413"/>
      <c r="O146" s="413"/>
    </row>
    <row r="147" spans="1:15" ht="27.75">
      <c r="A147" s="1406" t="s">
        <v>267</v>
      </c>
      <c r="B147" s="1407"/>
      <c r="C147" s="1408"/>
      <c r="D147" s="599" t="s">
        <v>24</v>
      </c>
      <c r="E147" s="531"/>
      <c r="F147" s="531"/>
      <c r="G147" s="620">
        <f>G146/G7</f>
        <v>0.21264327306159925</v>
      </c>
      <c r="H147" s="536">
        <f>G147+'18'!H147</f>
        <v>4.1581404679166685</v>
      </c>
      <c r="I147" s="622"/>
      <c r="J147" s="629">
        <f>H147/DAY(B2)</f>
        <v>0.2188494983114036</v>
      </c>
      <c r="N147" s="413"/>
      <c r="O147" s="413"/>
    </row>
    <row r="148" spans="1:15" ht="27.75">
      <c r="A148" s="1406" t="s">
        <v>268</v>
      </c>
      <c r="B148" s="1407"/>
      <c r="C148" s="1408"/>
      <c r="D148" s="599" t="s">
        <v>194</v>
      </c>
      <c r="E148" s="531"/>
      <c r="F148" s="531"/>
      <c r="G148" s="536">
        <f>G38+G52</f>
        <v>1916.8899999999776</v>
      </c>
      <c r="H148" s="536">
        <f>G148+'18'!H148</f>
        <v>39182.450000000012</v>
      </c>
      <c r="I148" s="556"/>
      <c r="J148" s="629">
        <f>H148/DAY(B2)</f>
        <v>2062.2342105263165</v>
      </c>
      <c r="K148" s="412"/>
      <c r="N148" s="413"/>
      <c r="O148" s="413"/>
    </row>
    <row r="149" spans="1:15" ht="27.75">
      <c r="A149" s="1406" t="s">
        <v>269</v>
      </c>
      <c r="B149" s="1407"/>
      <c r="C149" s="1408"/>
      <c r="D149" s="599" t="s">
        <v>24</v>
      </c>
      <c r="E149" s="531"/>
      <c r="F149" s="531"/>
      <c r="G149" s="620">
        <f>G148/G7</f>
        <v>9.7910409643476234E-2</v>
      </c>
      <c r="H149" s="536">
        <f>G149+'18'!H149</f>
        <v>2.020888809857122</v>
      </c>
      <c r="I149" s="622"/>
      <c r="J149" s="629">
        <f>H149/DAY(B2)</f>
        <v>0.10636256893984852</v>
      </c>
      <c r="N149" s="413"/>
      <c r="O149" s="413"/>
    </row>
    <row r="150" spans="1:15" ht="27.75">
      <c r="A150" s="1406" t="s">
        <v>270</v>
      </c>
      <c r="B150" s="1407"/>
      <c r="C150" s="1408"/>
      <c r="D150" s="599" t="s">
        <v>194</v>
      </c>
      <c r="E150" s="531"/>
      <c r="F150" s="531"/>
      <c r="G150" s="536">
        <f>G36+G50</f>
        <v>2100.4199999999837</v>
      </c>
      <c r="H150" s="536">
        <f>G150+'18'!H150</f>
        <v>36263.239999999991</v>
      </c>
      <c r="I150" s="622"/>
      <c r="J150" s="629">
        <f>H150/DAY(B2)</f>
        <v>1908.5915789473679</v>
      </c>
      <c r="N150" s="413"/>
      <c r="O150" s="413"/>
    </row>
    <row r="151" spans="1:15" ht="27.75">
      <c r="A151" s="1406" t="s">
        <v>271</v>
      </c>
      <c r="B151" s="1407"/>
      <c r="C151" s="1408"/>
      <c r="D151" s="599" t="s">
        <v>24</v>
      </c>
      <c r="E151" s="531"/>
      <c r="F151" s="531"/>
      <c r="G151" s="620">
        <f>G150/G7</f>
        <v>0.10728470732454713</v>
      </c>
      <c r="H151" s="536">
        <f>G151+'18'!H151</f>
        <v>1.860933363839433</v>
      </c>
      <c r="I151" s="556"/>
      <c r="J151" s="629">
        <f>H151/DAY(B2)</f>
        <v>9.7943861254706999E-2</v>
      </c>
      <c r="N151" s="413"/>
      <c r="O151" s="413"/>
    </row>
    <row r="152" spans="1:15" ht="27.75">
      <c r="A152" s="1406" t="s">
        <v>272</v>
      </c>
      <c r="B152" s="1407"/>
      <c r="C152" s="1408"/>
      <c r="D152" s="599" t="s">
        <v>194</v>
      </c>
      <c r="E152" s="531"/>
      <c r="F152" s="531"/>
      <c r="G152" s="536">
        <f>G37+G51</f>
        <v>1478.1700000000019</v>
      </c>
      <c r="H152" s="536">
        <f>G152+'18'!H152</f>
        <v>28656.259999999995</v>
      </c>
      <c r="I152" s="556"/>
      <c r="J152" s="629">
        <f>H152/DAY(B2)</f>
        <v>1508.2242105263156</v>
      </c>
      <c r="N152" s="413"/>
      <c r="O152" s="413"/>
    </row>
    <row r="153" spans="1:15" ht="28.5" thickBot="1">
      <c r="A153" s="1409" t="s">
        <v>273</v>
      </c>
      <c r="B153" s="1410"/>
      <c r="C153" s="1411"/>
      <c r="D153" s="702" t="s">
        <v>24</v>
      </c>
      <c r="E153" s="642"/>
      <c r="F153" s="642"/>
      <c r="G153" s="643">
        <f>G152/G7</f>
        <v>7.5501583409950043E-2</v>
      </c>
      <c r="H153" s="536">
        <f>G153+'18'!H153</f>
        <v>1.4862252548610448</v>
      </c>
      <c r="I153" s="645"/>
      <c r="J153" s="646">
        <f>H153/DAY(B2)</f>
        <v>7.822238183479184E-2</v>
      </c>
      <c r="N153" s="413"/>
      <c r="O153" s="413"/>
    </row>
    <row r="154" spans="1:15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  <c r="O154" s="413"/>
    </row>
    <row r="160" spans="1:15">
      <c r="A160" s="868" t="s">
        <v>274</v>
      </c>
      <c r="B160" s="869"/>
      <c r="C160" s="869"/>
      <c r="D160" s="587" t="s">
        <v>198</v>
      </c>
      <c r="E160" s="739">
        <v>29944.48</v>
      </c>
      <c r="F160" s="739">
        <v>30030</v>
      </c>
      <c r="G160" s="549">
        <f t="shared" ref="G160:G163" si="15">F160-E160</f>
        <v>85.520000000000437</v>
      </c>
    </row>
    <row r="161" spans="1:7" ht="21.75" customHeight="1">
      <c r="A161" s="868" t="s">
        <v>275</v>
      </c>
      <c r="B161" s="869"/>
      <c r="C161" s="869"/>
      <c r="D161" s="587" t="s">
        <v>198</v>
      </c>
      <c r="E161" s="739">
        <v>50631.81</v>
      </c>
      <c r="F161" s="739">
        <v>51059</v>
      </c>
      <c r="G161" s="549">
        <f t="shared" si="15"/>
        <v>427.19000000000233</v>
      </c>
    </row>
    <row r="162" spans="1:7" ht="21.75" customHeight="1">
      <c r="A162" s="868" t="s">
        <v>276</v>
      </c>
      <c r="B162" s="869"/>
      <c r="C162" s="869"/>
      <c r="D162" s="587" t="s">
        <v>198</v>
      </c>
      <c r="E162" s="740">
        <v>17799</v>
      </c>
      <c r="F162" s="739">
        <v>18054</v>
      </c>
      <c r="G162" s="549">
        <f t="shared" si="15"/>
        <v>255</v>
      </c>
    </row>
    <row r="163" spans="1:7" ht="21.75" customHeight="1">
      <c r="A163" s="868" t="s">
        <v>277</v>
      </c>
      <c r="B163" s="869"/>
      <c r="C163" s="869"/>
      <c r="D163" s="587" t="s">
        <v>198</v>
      </c>
      <c r="E163" s="739">
        <v>5241.41</v>
      </c>
      <c r="F163" s="739">
        <v>5258</v>
      </c>
      <c r="G163" s="549">
        <f t="shared" si="15"/>
        <v>16.590000000000146</v>
      </c>
    </row>
    <row r="164" spans="1:7" ht="21.75" customHeight="1">
      <c r="A164" s="870" t="s">
        <v>106</v>
      </c>
      <c r="B164" s="681"/>
      <c r="C164" s="681"/>
      <c r="D164" s="587" t="s">
        <v>198</v>
      </c>
      <c r="E164" s="590">
        <v>20419</v>
      </c>
      <c r="F164" s="590">
        <v>20419</v>
      </c>
      <c r="G164" s="549">
        <f t="shared" ref="G164:G165" si="16">F164-E164</f>
        <v>0</v>
      </c>
    </row>
    <row r="165" spans="1:7" ht="21.75" customHeight="1">
      <c r="A165" s="870" t="s">
        <v>199</v>
      </c>
      <c r="B165" s="681"/>
      <c r="C165" s="681"/>
      <c r="D165" s="587" t="s">
        <v>198</v>
      </c>
      <c r="E165" s="590">
        <f t="shared" ref="E165:E171" si="17">E63</f>
        <v>1571.72</v>
      </c>
      <c r="F165" s="590">
        <v>1585</v>
      </c>
      <c r="G165" s="549">
        <f t="shared" si="16"/>
        <v>13.279999999999973</v>
      </c>
    </row>
    <row r="166" spans="1:7" ht="21.75" customHeight="1">
      <c r="A166" s="1381" t="s">
        <v>107</v>
      </c>
      <c r="B166" s="1381"/>
      <c r="C166" s="1381"/>
      <c r="D166" s="599" t="s">
        <v>198</v>
      </c>
      <c r="E166" s="590">
        <f t="shared" si="17"/>
        <v>118827.98</v>
      </c>
      <c r="F166" s="590">
        <v>106166</v>
      </c>
      <c r="G166" s="549">
        <f>F64-E64</f>
        <v>412.02000000000407</v>
      </c>
    </row>
    <row r="167" spans="1:7" ht="21.75" customHeight="1">
      <c r="A167" s="1381" t="s">
        <v>108</v>
      </c>
      <c r="B167" s="1381"/>
      <c r="C167" s="1381"/>
      <c r="D167" s="599" t="s">
        <v>198</v>
      </c>
      <c r="E167" s="590">
        <f t="shared" si="17"/>
        <v>128645.1</v>
      </c>
      <c r="F167" s="590">
        <v>116811.03</v>
      </c>
      <c r="G167" s="549">
        <f t="shared" ref="G167:G171" si="18">F65-E65</f>
        <v>402.89999999999418</v>
      </c>
    </row>
    <row r="168" spans="1:7" ht="21.75" customHeight="1">
      <c r="A168" s="1381" t="s">
        <v>109</v>
      </c>
      <c r="B168" s="1381"/>
      <c r="C168" s="1381"/>
      <c r="D168" s="599" t="s">
        <v>198</v>
      </c>
      <c r="E168" s="590">
        <f t="shared" si="17"/>
        <v>21251.279999999999</v>
      </c>
      <c r="F168" s="590">
        <v>9380.09</v>
      </c>
      <c r="G168" s="549">
        <f t="shared" si="18"/>
        <v>405.72000000000116</v>
      </c>
    </row>
    <row r="169" spans="1:7" ht="24.75" customHeight="1">
      <c r="A169" s="1381" t="s">
        <v>110</v>
      </c>
      <c r="B169" s="1381"/>
      <c r="C169" s="1381"/>
      <c r="D169" s="599" t="s">
        <v>198</v>
      </c>
      <c r="E169" s="590">
        <f t="shared" si="17"/>
        <v>201261</v>
      </c>
      <c r="F169" s="590">
        <v>180787.83</v>
      </c>
      <c r="G169" s="549">
        <f t="shared" si="18"/>
        <v>639</v>
      </c>
    </row>
    <row r="170" spans="1:7" ht="24" customHeight="1">
      <c r="A170" s="1381" t="s">
        <v>111</v>
      </c>
      <c r="B170" s="1381"/>
      <c r="C170" s="1381"/>
      <c r="D170" s="599" t="s">
        <v>198</v>
      </c>
      <c r="E170" s="590">
        <f t="shared" si="17"/>
        <v>69482.3</v>
      </c>
      <c r="F170" s="590">
        <v>59451.31</v>
      </c>
      <c r="G170" s="549">
        <f t="shared" si="18"/>
        <v>342.69999999999709</v>
      </c>
    </row>
    <row r="171" spans="1:7" ht="27.75">
      <c r="A171" s="1381" t="s">
        <v>112</v>
      </c>
      <c r="B171" s="1381"/>
      <c r="C171" s="1381"/>
      <c r="D171" s="599" t="s">
        <v>198</v>
      </c>
      <c r="E171" s="590">
        <f t="shared" si="17"/>
        <v>61188.27</v>
      </c>
      <c r="F171" s="590">
        <v>52064.98</v>
      </c>
      <c r="G171" s="549">
        <f t="shared" si="18"/>
        <v>311.7300000000032</v>
      </c>
    </row>
    <row r="172" spans="1:7">
      <c r="G172" s="614">
        <f>SUM(G160:G171)</f>
        <v>3311.6500000000024</v>
      </c>
    </row>
    <row r="176" spans="1:7" ht="18.7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4:C94"/>
    <mergeCell ref="A95:C95"/>
    <mergeCell ref="A82:C82"/>
    <mergeCell ref="A83:C83"/>
    <mergeCell ref="A92:C92"/>
    <mergeCell ref="A93:C93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89"/>
  <sheetViews>
    <sheetView view="pageBreakPreview" topLeftCell="A82" zoomScale="55" zoomScaleSheetLayoutView="55" zoomScalePageLayoutView="78" workbookViewId="0">
      <selection activeCell="F28" sqref="F28"/>
    </sheetView>
  </sheetViews>
  <sheetFormatPr defaultColWidth="22.33203125" defaultRowHeight="29.25"/>
  <cols>
    <col min="1" max="1" width="59.6640625" style="530" bestFit="1" customWidth="1"/>
    <col min="2" max="2" width="30.77734375" style="533" customWidth="1"/>
    <col min="3" max="3" width="15.88671875" style="533" customWidth="1"/>
    <col min="4" max="4" width="13.6640625" style="614" customWidth="1"/>
    <col min="5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109375" style="407" customWidth="1"/>
    <col min="15" max="16384" width="22.33203125" style="407"/>
  </cols>
  <sheetData>
    <row r="1" spans="1:15" ht="33.75">
      <c r="A1" s="1414" t="s">
        <v>128</v>
      </c>
      <c r="B1" s="1415"/>
      <c r="C1" s="1415"/>
      <c r="D1" s="1415"/>
      <c r="E1" s="1415"/>
      <c r="F1" s="1415"/>
      <c r="G1" s="1415"/>
      <c r="H1" s="1415"/>
      <c r="I1" s="1415"/>
      <c r="J1" s="1416"/>
    </row>
    <row r="2" spans="1:15" s="281" customFormat="1" ht="27">
      <c r="A2" s="652" t="s">
        <v>329</v>
      </c>
      <c r="B2" s="1118">
        <v>44216</v>
      </c>
      <c r="C2" s="1233" t="s">
        <v>69</v>
      </c>
      <c r="D2" s="688">
        <v>0.5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5" s="281" customFormat="1" ht="27">
      <c r="A3" s="647"/>
      <c r="B3" s="691"/>
      <c r="C3" s="1233" t="s">
        <v>131</v>
      </c>
      <c r="D3" s="689">
        <v>30</v>
      </c>
      <c r="E3" s="1423" t="s">
        <v>132</v>
      </c>
      <c r="F3" s="1424"/>
      <c r="G3" s="538">
        <f>'1'!G3</f>
        <v>0</v>
      </c>
      <c r="H3" s="539">
        <f>'1'!H3</f>
        <v>0</v>
      </c>
      <c r="I3" s="539">
        <f>'1'!I3</f>
        <v>0</v>
      </c>
      <c r="J3" s="692">
        <f>'1'!J3</f>
        <v>0</v>
      </c>
      <c r="K3" s="402"/>
      <c r="L3" s="293"/>
    </row>
    <row r="4" spans="1:15" s="281" customFormat="1" ht="27">
      <c r="A4" s="653"/>
      <c r="B4" s="693"/>
      <c r="C4" s="1233" t="s">
        <v>133</v>
      </c>
      <c r="D4" s="688">
        <v>0.81</v>
      </c>
      <c r="E4" s="540"/>
      <c r="F4" s="540"/>
      <c r="G4" s="540"/>
      <c r="H4" s="540"/>
      <c r="I4" s="541"/>
      <c r="J4" s="692"/>
      <c r="K4" s="403"/>
      <c r="L4" s="293"/>
    </row>
    <row r="5" spans="1:15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5">
      <c r="A6" s="1417" t="s">
        <v>141</v>
      </c>
      <c r="B6" s="1418"/>
      <c r="C6" s="1419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30" thickBot="1">
      <c r="A7" s="655" t="s">
        <v>142</v>
      </c>
      <c r="B7" s="656"/>
      <c r="C7" s="656"/>
      <c r="D7" s="599" t="s">
        <v>143</v>
      </c>
      <c r="E7" s="531">
        <f>'19'!F7</f>
        <v>4257518</v>
      </c>
      <c r="F7" s="531">
        <v>3677787</v>
      </c>
      <c r="G7" s="549">
        <f>F7-E7</f>
        <v>-579731</v>
      </c>
      <c r="H7" s="536">
        <f>G7+'19'!H7</f>
        <v>-210411</v>
      </c>
      <c r="I7" s="550">
        <f>'1'!I7</f>
        <v>12000</v>
      </c>
      <c r="J7" s="629">
        <f>H7/DAY(B2)</f>
        <v>-10520.55</v>
      </c>
      <c r="K7" s="626">
        <v>11998</v>
      </c>
      <c r="L7" s="408">
        <f>G7-K7</f>
        <v>-591729</v>
      </c>
      <c r="N7" s="413"/>
      <c r="O7" s="413"/>
    </row>
    <row r="8" spans="1:15" ht="27.75" thickBot="1">
      <c r="A8" s="657" t="s">
        <v>144</v>
      </c>
      <c r="B8" s="658"/>
      <c r="C8" s="659"/>
      <c r="D8" s="694" t="s">
        <v>25</v>
      </c>
      <c r="E8" s="551">
        <f>'19'!F8</f>
        <v>4284656</v>
      </c>
      <c r="F8" s="551">
        <v>3700550</v>
      </c>
      <c r="G8" s="552">
        <f>F8-E8</f>
        <v>-584106</v>
      </c>
      <c r="H8" s="536">
        <f>G8+'19'!H8</f>
        <v>-212301</v>
      </c>
      <c r="I8" s="553">
        <f>'1'!I8</f>
        <v>12000</v>
      </c>
      <c r="J8" s="629">
        <f>H8/DAY(B2)</f>
        <v>-10615.05</v>
      </c>
      <c r="K8" s="626"/>
      <c r="L8" s="464"/>
      <c r="M8" s="479"/>
      <c r="N8" s="413"/>
      <c r="O8" s="413"/>
    </row>
    <row r="9" spans="1:15">
      <c r="A9" s="660" t="s">
        <v>145</v>
      </c>
      <c r="B9" s="661"/>
      <c r="C9" s="661"/>
      <c r="D9" s="599" t="s">
        <v>143</v>
      </c>
      <c r="E9" s="554">
        <f>'19'!F9</f>
        <v>161175</v>
      </c>
      <c r="F9" s="554">
        <v>2462678.7000000002</v>
      </c>
      <c r="G9" s="549">
        <f t="shared" ref="G9:G12" si="0">F9-E9</f>
        <v>2301503.7000000002</v>
      </c>
      <c r="H9" s="536">
        <f>G9+'19'!H9</f>
        <v>2499790.9500000002</v>
      </c>
      <c r="I9" s="555">
        <f>I8-J8</f>
        <v>22615.05</v>
      </c>
      <c r="J9" s="629">
        <f>H9/DAY(B2)</f>
        <v>124989.54750000002</v>
      </c>
      <c r="K9" s="467"/>
      <c r="L9" s="408"/>
      <c r="N9" s="413"/>
      <c r="O9" s="413"/>
    </row>
    <row r="10" spans="1:15">
      <c r="A10" s="655" t="s">
        <v>146</v>
      </c>
      <c r="B10" s="656"/>
      <c r="C10" s="656"/>
      <c r="D10" s="599" t="s">
        <v>143</v>
      </c>
      <c r="E10" s="554">
        <f>'19'!F10</f>
        <v>1358840</v>
      </c>
      <c r="F10" s="554">
        <v>1070063.2</v>
      </c>
      <c r="G10" s="549">
        <f t="shared" si="0"/>
        <v>-288776.80000000005</v>
      </c>
      <c r="H10" s="536">
        <f>G10+'19'!H10</f>
        <v>-130811.19999999995</v>
      </c>
      <c r="I10" s="556"/>
      <c r="J10" s="629">
        <f>H10/DAY(B2)</f>
        <v>-6540.5599999999977</v>
      </c>
      <c r="K10" s="467"/>
      <c r="L10" s="408"/>
      <c r="N10" s="413"/>
      <c r="O10" s="413"/>
    </row>
    <row r="11" spans="1:15">
      <c r="A11" s="655" t="s">
        <v>147</v>
      </c>
      <c r="B11" s="656"/>
      <c r="C11" s="656"/>
      <c r="D11" s="599" t="s">
        <v>143</v>
      </c>
      <c r="E11" s="531">
        <f>'19'!F11</f>
        <v>37000</v>
      </c>
      <c r="F11" s="531">
        <v>35390</v>
      </c>
      <c r="G11" s="549">
        <f t="shared" si="0"/>
        <v>-1610</v>
      </c>
      <c r="H11" s="536">
        <f>G11+'19'!H11</f>
        <v>0</v>
      </c>
      <c r="I11" s="556"/>
      <c r="J11" s="629">
        <f>H11/DAY(B2)</f>
        <v>0</v>
      </c>
      <c r="K11" s="467"/>
      <c r="L11" s="408"/>
      <c r="N11" s="413"/>
      <c r="O11" s="413"/>
    </row>
    <row r="12" spans="1:15">
      <c r="A12" s="655" t="s">
        <v>148</v>
      </c>
      <c r="B12" s="656"/>
      <c r="C12" s="656"/>
      <c r="D12" s="599" t="s">
        <v>143</v>
      </c>
      <c r="E12" s="554">
        <f>'19'!F12</f>
        <v>40010</v>
      </c>
      <c r="F12" s="554">
        <v>37630</v>
      </c>
      <c r="G12" s="549">
        <f t="shared" si="0"/>
        <v>-2380</v>
      </c>
      <c r="H12" s="536">
        <f>G12+'19'!H12</f>
        <v>0</v>
      </c>
      <c r="I12" s="556"/>
      <c r="J12" s="629">
        <f>H12/DAY(B2)</f>
        <v>0</v>
      </c>
      <c r="K12" s="467"/>
      <c r="L12" s="408"/>
      <c r="N12" s="413"/>
      <c r="O12" s="413"/>
    </row>
    <row r="13" spans="1:15">
      <c r="A13" s="662" t="s">
        <v>149</v>
      </c>
      <c r="B13" s="663"/>
      <c r="C13" s="663"/>
      <c r="D13" s="599"/>
      <c r="E13" s="531"/>
      <c r="F13" s="531"/>
      <c r="G13" s="557">
        <f>G9+G10+G11+G12</f>
        <v>2008736.9000000001</v>
      </c>
      <c r="H13" s="536">
        <f>G13+'19'!H13</f>
        <v>2350673.75</v>
      </c>
      <c r="I13" s="558">
        <f>G7-G13</f>
        <v>-2588467.9000000004</v>
      </c>
      <c r="J13" s="629">
        <f>H13/DAY(B2)</f>
        <v>117533.6875</v>
      </c>
      <c r="K13" s="467"/>
      <c r="L13" s="408"/>
      <c r="N13" s="413"/>
      <c r="O13" s="413"/>
    </row>
    <row r="14" spans="1:15">
      <c r="A14" s="1420" t="s">
        <v>150</v>
      </c>
      <c r="B14" s="1421"/>
      <c r="C14" s="1422"/>
      <c r="D14" s="548"/>
      <c r="E14" s="548"/>
      <c r="F14" s="548"/>
      <c r="G14" s="559"/>
      <c r="H14" s="548"/>
      <c r="I14" s="548"/>
      <c r="J14" s="628"/>
      <c r="K14" s="468"/>
      <c r="L14" s="408"/>
      <c r="N14" s="413"/>
      <c r="O14" s="413"/>
    </row>
    <row r="15" spans="1:15">
      <c r="A15" s="1231" t="s">
        <v>151</v>
      </c>
      <c r="B15" s="666"/>
      <c r="C15" s="666"/>
      <c r="D15" s="599" t="s">
        <v>152</v>
      </c>
      <c r="E15" s="560">
        <f>'19'!F15</f>
        <v>1611435</v>
      </c>
      <c r="F15" s="560">
        <v>1585516</v>
      </c>
      <c r="G15" s="862">
        <f>(F15-E15)</f>
        <v>-25919</v>
      </c>
      <c r="H15" s="536">
        <f>G15+'19'!H15</f>
        <v>-8921.1499999999069</v>
      </c>
      <c r="I15" s="550">
        <v>800</v>
      </c>
      <c r="J15" s="629">
        <f>H15/DAY(B2)</f>
        <v>-446.05749999999534</v>
      </c>
      <c r="K15" s="467"/>
      <c r="L15" s="408"/>
      <c r="N15" s="413"/>
      <c r="O15" s="803"/>
    </row>
    <row r="16" spans="1:15">
      <c r="A16" s="664"/>
      <c r="B16" s="665"/>
      <c r="C16" s="665"/>
      <c r="D16" s="600"/>
      <c r="E16" s="561"/>
      <c r="F16" s="561"/>
      <c r="G16" s="549"/>
      <c r="H16" s="562"/>
      <c r="I16" s="563">
        <f>I15-J15</f>
        <v>1246.0574999999953</v>
      </c>
      <c r="J16" s="630"/>
      <c r="K16" s="467"/>
      <c r="L16" s="408"/>
      <c r="N16" s="413"/>
      <c r="O16" s="413"/>
    </row>
    <row r="17" spans="1:15">
      <c r="A17" s="1420" t="s">
        <v>153</v>
      </c>
      <c r="B17" s="1421"/>
      <c r="C17" s="1422"/>
      <c r="D17" s="548"/>
      <c r="E17" s="548"/>
      <c r="F17" s="548"/>
      <c r="G17" s="564"/>
      <c r="H17" s="548"/>
      <c r="I17" s="548"/>
      <c r="J17" s="628"/>
      <c r="K17" s="467"/>
      <c r="L17" s="408"/>
      <c r="N17" s="413"/>
      <c r="O17" s="413"/>
    </row>
    <row r="18" spans="1:15" ht="27.75">
      <c r="A18" s="1406" t="s">
        <v>154</v>
      </c>
      <c r="B18" s="1407"/>
      <c r="C18" s="1408"/>
      <c r="D18" s="599" t="s">
        <v>155</v>
      </c>
      <c r="E18" s="560">
        <f>'19'!F18</f>
        <v>14</v>
      </c>
      <c r="F18" s="560">
        <v>14</v>
      </c>
      <c r="G18" s="557">
        <f>F18*10</f>
        <v>140</v>
      </c>
      <c r="H18" s="536">
        <f>G18+'19'!H18</f>
        <v>3260</v>
      </c>
      <c r="I18" s="550">
        <f>'1'!I18</f>
        <v>65</v>
      </c>
      <c r="J18" s="629">
        <f>H18/DAY(B2)</f>
        <v>163</v>
      </c>
      <c r="K18" s="467"/>
      <c r="L18" s="408"/>
      <c r="N18" s="413"/>
      <c r="O18" s="413"/>
    </row>
    <row r="19" spans="1:15" ht="27.75">
      <c r="A19" s="1406" t="s">
        <v>71</v>
      </c>
      <c r="B19" s="1407"/>
      <c r="C19" s="1408"/>
      <c r="D19" s="599" t="s">
        <v>155</v>
      </c>
      <c r="E19" s="560">
        <f>'19'!F19</f>
        <v>134003</v>
      </c>
      <c r="F19" s="560">
        <v>132484</v>
      </c>
      <c r="G19" s="549">
        <f t="shared" ref="G19" si="1">F19-E19</f>
        <v>-1519</v>
      </c>
      <c r="H19" s="536">
        <f>G19+'19'!H19</f>
        <v>-564</v>
      </c>
      <c r="I19" s="565"/>
      <c r="J19" s="629">
        <f>H19/DAY(B2)</f>
        <v>-28.2</v>
      </c>
      <c r="K19" s="467"/>
      <c r="L19" s="408"/>
      <c r="N19" s="413"/>
      <c r="O19" s="413"/>
    </row>
    <row r="20" spans="1:15">
      <c r="A20" s="662" t="s">
        <v>156</v>
      </c>
      <c r="B20" s="663"/>
      <c r="C20" s="663"/>
      <c r="D20" s="566"/>
      <c r="E20" s="566"/>
      <c r="F20" s="566"/>
      <c r="G20" s="567">
        <f>G18+G19</f>
        <v>-1379</v>
      </c>
      <c r="H20" s="536">
        <f>G20+'19'!H20</f>
        <v>2696</v>
      </c>
      <c r="I20" s="568">
        <f>I18-J20</f>
        <v>-69.800000000000011</v>
      </c>
      <c r="J20" s="629">
        <f>H20/DAY(B2)</f>
        <v>134.80000000000001</v>
      </c>
      <c r="K20" s="467"/>
      <c r="L20" s="408"/>
      <c r="N20" s="413"/>
      <c r="O20" s="413"/>
    </row>
    <row r="21" spans="1:15">
      <c r="A21" s="1420" t="s">
        <v>157</v>
      </c>
      <c r="B21" s="1421"/>
      <c r="C21" s="1422"/>
      <c r="D21" s="548"/>
      <c r="E21" s="548"/>
      <c r="F21" s="548"/>
      <c r="G21" s="559"/>
      <c r="H21" s="548"/>
      <c r="I21" s="548"/>
      <c r="J21" s="628"/>
      <c r="K21" s="467"/>
      <c r="L21" s="408"/>
      <c r="N21" s="413"/>
      <c r="O21" s="413"/>
    </row>
    <row r="22" spans="1:15">
      <c r="A22" s="1231" t="s">
        <v>158</v>
      </c>
      <c r="B22" s="666"/>
      <c r="C22" s="666"/>
      <c r="D22" s="599" t="s">
        <v>159</v>
      </c>
      <c r="E22" s="560">
        <f>'19'!F22</f>
        <v>2250</v>
      </c>
      <c r="F22" s="560">
        <v>2250</v>
      </c>
      <c r="G22" s="557">
        <v>0</v>
      </c>
      <c r="H22" s="536">
        <f>G22+'19'!H22</f>
        <v>0</v>
      </c>
      <c r="I22" s="556"/>
      <c r="J22" s="629">
        <f>H22/DAY(B2)</f>
        <v>0</v>
      </c>
      <c r="K22" s="467"/>
      <c r="L22" s="408"/>
      <c r="N22" s="413"/>
      <c r="O22" s="413"/>
    </row>
    <row r="23" spans="1:15">
      <c r="A23" s="1231" t="s">
        <v>160</v>
      </c>
      <c r="B23" s="666"/>
      <c r="C23" s="666"/>
      <c r="D23" s="599" t="s">
        <v>159</v>
      </c>
      <c r="E23" s="560">
        <f>'19'!F23</f>
        <v>2000</v>
      </c>
      <c r="F23" s="560">
        <v>2000</v>
      </c>
      <c r="G23" s="557">
        <v>0</v>
      </c>
      <c r="H23" s="536">
        <f>G23+'19'!H23</f>
        <v>0</v>
      </c>
      <c r="I23" s="556"/>
      <c r="J23" s="629">
        <f>H23/DAY(B2)</f>
        <v>0</v>
      </c>
      <c r="K23" s="467"/>
      <c r="L23" s="408"/>
      <c r="N23" s="413"/>
      <c r="O23" s="413"/>
    </row>
    <row r="24" spans="1:15">
      <c r="A24" s="667" t="s">
        <v>161</v>
      </c>
      <c r="B24" s="668"/>
      <c r="C24" s="668"/>
      <c r="D24" s="587" t="s">
        <v>159</v>
      </c>
      <c r="E24" s="569">
        <v>4970</v>
      </c>
      <c r="F24" s="569">
        <v>4970</v>
      </c>
      <c r="G24" s="557">
        <v>0</v>
      </c>
      <c r="H24" s="536">
        <f>G24+'19'!H24</f>
        <v>0</v>
      </c>
      <c r="I24" s="556"/>
      <c r="J24" s="629">
        <f>H24/DAY(B2)</f>
        <v>0</v>
      </c>
      <c r="K24" s="467"/>
      <c r="L24" s="408"/>
      <c r="N24" s="413"/>
      <c r="O24" s="413"/>
    </row>
    <row r="25" spans="1:15" s="481" customFormat="1" ht="27">
      <c r="A25" s="1425" t="s">
        <v>162</v>
      </c>
      <c r="B25" s="1426"/>
      <c r="C25" s="1427"/>
      <c r="D25" s="547"/>
      <c r="E25" s="547"/>
      <c r="F25" s="547"/>
      <c r="G25" s="570"/>
      <c r="H25" s="571"/>
      <c r="I25" s="572"/>
      <c r="J25" s="631"/>
      <c r="K25" s="404"/>
      <c r="L25" s="484"/>
      <c r="N25" s="493"/>
      <c r="O25" s="413"/>
    </row>
    <row r="26" spans="1:15" s="481" customFormat="1" ht="27.75">
      <c r="A26" s="669" t="s">
        <v>163</v>
      </c>
      <c r="B26" s="670"/>
      <c r="C26" s="671"/>
      <c r="D26" s="695" t="s">
        <v>164</v>
      </c>
      <c r="E26" s="573"/>
      <c r="F26" s="573"/>
      <c r="G26" s="574"/>
      <c r="H26" s="536"/>
      <c r="I26" s="575"/>
      <c r="J26" s="629"/>
      <c r="K26" s="405"/>
      <c r="L26" s="484"/>
      <c r="N26" s="493"/>
      <c r="O26" s="413"/>
    </row>
    <row r="27" spans="1:15" s="481" customFormat="1" ht="27.75">
      <c r="A27" s="669" t="s">
        <v>6</v>
      </c>
      <c r="B27" s="670"/>
      <c r="C27" s="671"/>
      <c r="D27" s="696" t="s">
        <v>25</v>
      </c>
      <c r="E27" s="577">
        <f>G8</f>
        <v>-584106</v>
      </c>
      <c r="F27" s="577">
        <v>9</v>
      </c>
      <c r="G27" s="578">
        <f>E27*F27</f>
        <v>-5256954</v>
      </c>
      <c r="H27" s="536">
        <f>G27+'19'!H27</f>
        <v>-1910709</v>
      </c>
      <c r="I27" s="579"/>
      <c r="J27" s="629">
        <f>H27/DAY(B2)</f>
        <v>-95535.45</v>
      </c>
      <c r="K27" s="404"/>
      <c r="L27" s="484"/>
      <c r="N27" s="493"/>
      <c r="O27" s="413"/>
    </row>
    <row r="28" spans="1:15" s="481" customFormat="1" ht="27.75">
      <c r="A28" s="669" t="s">
        <v>165</v>
      </c>
      <c r="B28" s="670"/>
      <c r="C28" s="671"/>
      <c r="D28" s="696" t="s">
        <v>166</v>
      </c>
      <c r="E28" s="577">
        <f>G15</f>
        <v>-25919</v>
      </c>
      <c r="F28" s="577">
        <v>43.5</v>
      </c>
      <c r="G28" s="578">
        <f>E28*F28</f>
        <v>-1127476.5</v>
      </c>
      <c r="H28" s="536">
        <f>G28+'19'!H28</f>
        <v>-388070.02499999595</v>
      </c>
      <c r="I28" s="581"/>
      <c r="J28" s="629">
        <f>H28/DAY(B2)</f>
        <v>-19403.501249999797</v>
      </c>
      <c r="K28" s="404"/>
      <c r="L28" s="484"/>
      <c r="N28" s="493"/>
      <c r="O28" s="413"/>
    </row>
    <row r="29" spans="1:15" s="481" customFormat="1" ht="27.75">
      <c r="A29" s="669" t="s">
        <v>167</v>
      </c>
      <c r="B29" s="670"/>
      <c r="C29" s="671"/>
      <c r="D29" s="696" t="s">
        <v>168</v>
      </c>
      <c r="E29" s="577">
        <f>G24</f>
        <v>0</v>
      </c>
      <c r="F29" s="577">
        <v>69</v>
      </c>
      <c r="G29" s="578">
        <f>E29*F29</f>
        <v>0</v>
      </c>
      <c r="H29" s="536">
        <f>G29+'19'!H29</f>
        <v>162150</v>
      </c>
      <c r="I29" s="581"/>
      <c r="J29" s="629">
        <f>H29/DAY(B2)</f>
        <v>8107.5</v>
      </c>
      <c r="K29" s="404"/>
      <c r="L29" s="484"/>
      <c r="N29" s="493"/>
      <c r="O29" s="413"/>
    </row>
    <row r="30" spans="1:15" s="481" customFormat="1" ht="27.75">
      <c r="A30" s="669" t="s">
        <v>169</v>
      </c>
      <c r="B30" s="670"/>
      <c r="C30" s="671"/>
      <c r="D30" s="696" t="s">
        <v>170</v>
      </c>
      <c r="E30" s="577">
        <f>G19</f>
        <v>-1519</v>
      </c>
      <c r="F30" s="577">
        <v>134</v>
      </c>
      <c r="G30" s="578">
        <f>E30*F30</f>
        <v>-203546</v>
      </c>
      <c r="H30" s="536">
        <f>G30+'19'!H30</f>
        <v>-75576</v>
      </c>
      <c r="I30" s="581"/>
      <c r="J30" s="629">
        <f>H30/DAY(B2)</f>
        <v>-3778.8</v>
      </c>
      <c r="K30" s="404"/>
      <c r="L30" s="484"/>
      <c r="N30" s="493"/>
      <c r="O30" s="413"/>
    </row>
    <row r="31" spans="1:15" s="481" customFormat="1" ht="27.75">
      <c r="A31" s="669" t="s">
        <v>171</v>
      </c>
      <c r="B31" s="670"/>
      <c r="C31" s="671"/>
      <c r="D31" s="696" t="s">
        <v>155</v>
      </c>
      <c r="E31" s="577">
        <f>G18</f>
        <v>140</v>
      </c>
      <c r="F31" s="577">
        <v>80</v>
      </c>
      <c r="G31" s="578">
        <f>E31*F31</f>
        <v>11200</v>
      </c>
      <c r="H31" s="536">
        <f>G31+'19'!H31</f>
        <v>260800</v>
      </c>
      <c r="I31" s="581"/>
      <c r="J31" s="629"/>
      <c r="K31" s="404"/>
      <c r="L31" s="484"/>
      <c r="N31" s="493"/>
      <c r="O31" s="413"/>
    </row>
    <row r="32" spans="1:15" s="481" customFormat="1" ht="27.75">
      <c r="A32" s="672" t="s">
        <v>172</v>
      </c>
      <c r="B32" s="673"/>
      <c r="C32" s="674"/>
      <c r="D32" s="583"/>
      <c r="E32" s="583"/>
      <c r="F32" s="583"/>
      <c r="G32" s="584">
        <f>G27+G28+G29+G30+G31</f>
        <v>-6576776.5</v>
      </c>
      <c r="H32" s="536">
        <f>G32+'19'!H32</f>
        <v>-1951405.0249999957</v>
      </c>
      <c r="I32" s="585"/>
      <c r="J32" s="629">
        <f>H32/DAY(B2)</f>
        <v>-97570.251249999783</v>
      </c>
      <c r="K32" s="404"/>
      <c r="L32" s="484"/>
      <c r="N32" s="493"/>
      <c r="O32" s="413"/>
    </row>
    <row r="33" spans="1:15" ht="25.5">
      <c r="A33" s="1428" t="s">
        <v>173</v>
      </c>
      <c r="B33" s="1429"/>
      <c r="C33" s="1429"/>
      <c r="D33" s="1429"/>
      <c r="E33" s="1429"/>
      <c r="F33" s="1429"/>
      <c r="G33" s="1429"/>
      <c r="H33" s="1429"/>
      <c r="I33" s="1429"/>
      <c r="J33" s="1430"/>
      <c r="K33" s="467"/>
      <c r="L33" s="408"/>
      <c r="N33" s="413"/>
      <c r="O33" s="413"/>
    </row>
    <row r="34" spans="1:15">
      <c r="A34" s="675" t="s">
        <v>174</v>
      </c>
      <c r="B34" s="1236"/>
      <c r="C34" s="1236"/>
      <c r="D34" s="548"/>
      <c r="E34" s="547"/>
      <c r="F34" s="547"/>
      <c r="G34" s="548"/>
      <c r="H34" s="548"/>
      <c r="I34" s="548"/>
      <c r="J34" s="628"/>
      <c r="K34" s="467"/>
      <c r="L34" s="408"/>
      <c r="N34" s="413"/>
      <c r="O34" s="413"/>
    </row>
    <row r="35" spans="1:15">
      <c r="A35" s="655" t="s">
        <v>175</v>
      </c>
      <c r="B35" s="656"/>
      <c r="C35" s="656"/>
      <c r="D35" s="599" t="s">
        <v>143</v>
      </c>
      <c r="E35" s="586">
        <f>'19'!F35</f>
        <v>665457</v>
      </c>
      <c r="F35" s="586">
        <v>629027.67000000004</v>
      </c>
      <c r="G35" s="549">
        <f t="shared" ref="G35:G46" si="2">F35-E35</f>
        <v>-36429.329999999958</v>
      </c>
      <c r="H35" s="536">
        <f>G35+'19'!H35</f>
        <v>0</v>
      </c>
      <c r="I35" s="531"/>
      <c r="J35" s="629">
        <f>H35/DAY(B2)</f>
        <v>0</v>
      </c>
      <c r="K35" s="467">
        <v>1457.2799999999697</v>
      </c>
      <c r="L35" s="408">
        <f>G35-K35</f>
        <v>-37886.609999999928</v>
      </c>
      <c r="N35" s="413"/>
      <c r="O35" s="705"/>
    </row>
    <row r="36" spans="1:15">
      <c r="A36" s="655" t="s">
        <v>176</v>
      </c>
      <c r="B36" s="656"/>
      <c r="C36" s="656"/>
      <c r="D36" s="599" t="s">
        <v>143</v>
      </c>
      <c r="E36" s="586">
        <f>'19'!F36</f>
        <v>289774</v>
      </c>
      <c r="F36" s="586">
        <v>268905.96999999997</v>
      </c>
      <c r="G36" s="549">
        <f t="shared" si="2"/>
        <v>-20868.030000000028</v>
      </c>
      <c r="H36" s="536">
        <f>G36+'19'!H36</f>
        <v>-7585.4800000000396</v>
      </c>
      <c r="I36" s="531"/>
      <c r="J36" s="629">
        <f>H36/DAY(B2)</f>
        <v>-379.27400000000199</v>
      </c>
      <c r="K36" s="467">
        <v>483.92999999999302</v>
      </c>
      <c r="L36" s="408">
        <f t="shared" ref="L36:L60" si="3">G36-K36</f>
        <v>-21351.960000000021</v>
      </c>
      <c r="N36" s="413"/>
      <c r="O36" s="705"/>
    </row>
    <row r="37" spans="1:15">
      <c r="A37" s="655" t="s">
        <v>177</v>
      </c>
      <c r="B37" s="656"/>
      <c r="C37" s="656"/>
      <c r="D37" s="599" t="s">
        <v>143</v>
      </c>
      <c r="E37" s="586">
        <f>'19'!F37</f>
        <v>18705</v>
      </c>
      <c r="F37" s="586">
        <v>415066</v>
      </c>
      <c r="G37" s="549">
        <f t="shared" si="2"/>
        <v>396361</v>
      </c>
      <c r="H37" s="536">
        <f>G37+'19'!H37</f>
        <v>415066</v>
      </c>
      <c r="I37" s="531"/>
      <c r="J37" s="629">
        <f>H37/DAY(B2)</f>
        <v>20753.3</v>
      </c>
      <c r="K37" s="467">
        <v>1173.9200000000128</v>
      </c>
      <c r="L37" s="408">
        <f>G37-K37</f>
        <v>395187.07999999996</v>
      </c>
      <c r="N37" s="413"/>
      <c r="O37" s="413"/>
    </row>
    <row r="38" spans="1:15">
      <c r="A38" s="655" t="s">
        <v>178</v>
      </c>
      <c r="B38" s="656"/>
      <c r="C38" s="656"/>
      <c r="D38" s="599" t="s">
        <v>143</v>
      </c>
      <c r="E38" s="545">
        <f>'19'!F38</f>
        <v>25176</v>
      </c>
      <c r="F38" s="545">
        <v>150714</v>
      </c>
      <c r="G38" s="549">
        <f t="shared" si="2"/>
        <v>125538</v>
      </c>
      <c r="H38" s="536">
        <f>G38+'19'!H38</f>
        <v>150616.12</v>
      </c>
      <c r="I38" s="531"/>
      <c r="J38" s="629">
        <f>H38/DAY(B2)</f>
        <v>7530.8059999999996</v>
      </c>
      <c r="K38" s="467">
        <v>0</v>
      </c>
      <c r="L38" s="408">
        <f t="shared" si="3"/>
        <v>125538</v>
      </c>
      <c r="N38" s="413"/>
      <c r="O38" s="413"/>
    </row>
    <row r="39" spans="1:15">
      <c r="A39" s="655" t="s">
        <v>179</v>
      </c>
      <c r="B39" s="656"/>
      <c r="C39" s="656"/>
      <c r="D39" s="599" t="s">
        <v>143</v>
      </c>
      <c r="E39" s="586">
        <f>'19'!F39</f>
        <v>52877</v>
      </c>
      <c r="F39" s="586">
        <v>912480</v>
      </c>
      <c r="G39" s="549">
        <f t="shared" si="2"/>
        <v>859603</v>
      </c>
      <c r="H39" s="536">
        <f>G39+'19'!H39</f>
        <v>912480</v>
      </c>
      <c r="I39" s="531"/>
      <c r="J39" s="629">
        <f>H39/DAY(B2)</f>
        <v>45624</v>
      </c>
      <c r="K39" s="467">
        <v>1987.0400000000373</v>
      </c>
      <c r="L39" s="408">
        <f t="shared" si="3"/>
        <v>857615.96</v>
      </c>
      <c r="N39" s="413"/>
      <c r="O39" s="413"/>
    </row>
    <row r="40" spans="1:15">
      <c r="A40" s="676" t="s">
        <v>180</v>
      </c>
      <c r="B40" s="677"/>
      <c r="C40" s="677"/>
      <c r="D40" s="599" t="s">
        <v>143</v>
      </c>
      <c r="E40" s="586">
        <f>'19'!F40</f>
        <v>0</v>
      </c>
      <c r="F40" s="586">
        <v>0</v>
      </c>
      <c r="G40" s="549">
        <f t="shared" si="2"/>
        <v>0</v>
      </c>
      <c r="H40" s="536">
        <f>G40+'19'!H40</f>
        <v>-0.06</v>
      </c>
      <c r="I40" s="531"/>
      <c r="J40" s="629">
        <f>H40/DAY(B2)</f>
        <v>-3.0000000000000001E-3</v>
      </c>
      <c r="K40" s="468">
        <v>0</v>
      </c>
      <c r="L40" s="408">
        <f t="shared" si="3"/>
        <v>0</v>
      </c>
      <c r="N40" s="413"/>
      <c r="O40" s="413"/>
    </row>
    <row r="41" spans="1:15">
      <c r="A41" s="655" t="s">
        <v>181</v>
      </c>
      <c r="B41" s="656"/>
      <c r="C41" s="656"/>
      <c r="D41" s="599" t="s">
        <v>143</v>
      </c>
      <c r="E41" s="586">
        <v>0</v>
      </c>
      <c r="F41" s="586">
        <v>2136.44</v>
      </c>
      <c r="G41" s="549">
        <f t="shared" si="2"/>
        <v>2136.44</v>
      </c>
      <c r="H41" s="536">
        <f>G41+'19'!H41</f>
        <v>21395.920000000002</v>
      </c>
      <c r="I41" s="531"/>
      <c r="J41" s="629">
        <f>H41/DAY(B2)</f>
        <v>1069.796</v>
      </c>
      <c r="K41" s="467">
        <v>0</v>
      </c>
      <c r="L41" s="408">
        <f t="shared" si="3"/>
        <v>2136.44</v>
      </c>
      <c r="N41" s="413"/>
      <c r="O41" s="803"/>
    </row>
    <row r="42" spans="1:15">
      <c r="A42" s="655" t="s">
        <v>182</v>
      </c>
      <c r="B42" s="656"/>
      <c r="C42" s="656"/>
      <c r="D42" s="599" t="s">
        <v>143</v>
      </c>
      <c r="E42" s="586">
        <f>'19'!F42</f>
        <v>59129</v>
      </c>
      <c r="F42" s="586">
        <v>58926.09</v>
      </c>
      <c r="G42" s="549">
        <f t="shared" si="2"/>
        <v>-202.91000000000349</v>
      </c>
      <c r="H42" s="536">
        <f>G42+'19'!H42</f>
        <v>8.999999999650754E-2</v>
      </c>
      <c r="I42" s="531"/>
      <c r="J42" s="629">
        <f>H42/DAY(B2)</f>
        <v>4.4999999998253772E-3</v>
      </c>
      <c r="K42" s="467">
        <v>3246.4500000000007</v>
      </c>
      <c r="L42" s="408">
        <f t="shared" si="3"/>
        <v>-3449.3600000000042</v>
      </c>
      <c r="N42" s="413"/>
      <c r="O42" s="413"/>
    </row>
    <row r="43" spans="1:15">
      <c r="A43" s="655" t="s">
        <v>183</v>
      </c>
      <c r="B43" s="656"/>
      <c r="C43" s="656"/>
      <c r="D43" s="599" t="s">
        <v>143</v>
      </c>
      <c r="E43" s="586">
        <f>'19'!F43</f>
        <v>804835</v>
      </c>
      <c r="F43" s="586">
        <v>742160.87</v>
      </c>
      <c r="G43" s="549">
        <f t="shared" si="2"/>
        <v>-62674.130000000005</v>
      </c>
      <c r="H43" s="536">
        <f>G43+'19'!H43</f>
        <v>-25651.040000000037</v>
      </c>
      <c r="I43" s="531"/>
      <c r="J43" s="629">
        <f>H43/DAY(B2)</f>
        <v>-1282.552000000002</v>
      </c>
      <c r="K43" s="467">
        <v>1559.2000000000116</v>
      </c>
      <c r="L43" s="408">
        <f t="shared" si="3"/>
        <v>-64233.330000000016</v>
      </c>
      <c r="N43" s="413"/>
      <c r="O43" s="413"/>
    </row>
    <row r="44" spans="1:15">
      <c r="A44" s="655" t="s">
        <v>184</v>
      </c>
      <c r="B44" s="656"/>
      <c r="C44" s="656"/>
      <c r="D44" s="599" t="s">
        <v>143</v>
      </c>
      <c r="E44" s="586">
        <f>'19'!F44</f>
        <v>0</v>
      </c>
      <c r="F44" s="586">
        <v>0</v>
      </c>
      <c r="G44" s="549">
        <f t="shared" si="2"/>
        <v>0</v>
      </c>
      <c r="H44" s="536">
        <f>G44+'19'!H44</f>
        <v>0</v>
      </c>
      <c r="I44" s="531"/>
      <c r="J44" s="629">
        <f>H44/DAY(B2)</f>
        <v>0</v>
      </c>
      <c r="K44" s="467">
        <v>0</v>
      </c>
      <c r="L44" s="408">
        <f t="shared" si="3"/>
        <v>0</v>
      </c>
      <c r="N44" s="413"/>
      <c r="O44" s="413"/>
    </row>
    <row r="45" spans="1:15">
      <c r="A45" s="655" t="s">
        <v>185</v>
      </c>
      <c r="B45" s="656"/>
      <c r="C45" s="656"/>
      <c r="D45" s="599" t="s">
        <v>143</v>
      </c>
      <c r="E45" s="586">
        <f>'19'!F45</f>
        <v>614</v>
      </c>
      <c r="F45" s="586">
        <v>614</v>
      </c>
      <c r="G45" s="549">
        <f t="shared" si="2"/>
        <v>0</v>
      </c>
      <c r="H45" s="536">
        <f>G45+'19'!H45</f>
        <v>-0.48000000000001819</v>
      </c>
      <c r="I45" s="531"/>
      <c r="J45" s="629">
        <f>H45/DAY(B2)</f>
        <v>-2.4000000000000909E-2</v>
      </c>
      <c r="K45" s="467">
        <v>0</v>
      </c>
      <c r="L45" s="408">
        <f t="shared" si="3"/>
        <v>0</v>
      </c>
      <c r="N45" s="413"/>
      <c r="O45" s="413"/>
    </row>
    <row r="46" spans="1:15">
      <c r="A46" s="655" t="s">
        <v>186</v>
      </c>
      <c r="B46" s="656"/>
      <c r="C46" s="656"/>
      <c r="D46" s="599" t="s">
        <v>143</v>
      </c>
      <c r="E46" s="586">
        <f>'19'!F46</f>
        <v>187.44</v>
      </c>
      <c r="F46" s="586">
        <v>187.44</v>
      </c>
      <c r="G46" s="549">
        <f t="shared" si="2"/>
        <v>0</v>
      </c>
      <c r="H46" s="536">
        <f>G46+'19'!H46</f>
        <v>-5.0000000000011369E-2</v>
      </c>
      <c r="I46" s="531"/>
      <c r="J46" s="629">
        <f>H46/DAY(B2)</f>
        <v>-2.5000000000005686E-3</v>
      </c>
      <c r="K46" s="467">
        <v>0</v>
      </c>
      <c r="L46" s="408">
        <f t="shared" si="3"/>
        <v>0</v>
      </c>
      <c r="N46" s="413"/>
      <c r="O46" s="413"/>
    </row>
    <row r="47" spans="1:15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1263464.04</v>
      </c>
      <c r="H47" s="536">
        <f>G47+'19'!H47</f>
        <v>1466321.02</v>
      </c>
      <c r="I47" s="531"/>
      <c r="J47" s="629">
        <f>H47/DAY(B2)</f>
        <v>73316.051000000007</v>
      </c>
      <c r="K47" s="467">
        <v>9907.8200000000252</v>
      </c>
      <c r="L47" s="408">
        <f t="shared" si="3"/>
        <v>1253556.22</v>
      </c>
      <c r="N47" s="413"/>
      <c r="O47" s="413"/>
    </row>
    <row r="48" spans="1:15">
      <c r="A48" s="675" t="s">
        <v>188</v>
      </c>
      <c r="B48" s="1236"/>
      <c r="C48" s="1236"/>
      <c r="D48" s="548"/>
      <c r="E48" s="547"/>
      <c r="F48" s="547"/>
      <c r="G48" s="548"/>
      <c r="H48" s="548"/>
      <c r="I48" s="548"/>
      <c r="J48" s="628"/>
      <c r="K48" s="467"/>
      <c r="L48" s="408">
        <f t="shared" si="3"/>
        <v>0</v>
      </c>
      <c r="N48" s="413"/>
      <c r="O48" s="413"/>
    </row>
    <row r="49" spans="1:15">
      <c r="A49" s="655" t="s">
        <v>175</v>
      </c>
      <c r="B49" s="678"/>
      <c r="C49" s="678"/>
      <c r="D49" s="599" t="s">
        <v>143</v>
      </c>
      <c r="E49" s="586">
        <f>'19'!F49</f>
        <v>260732</v>
      </c>
      <c r="F49" s="586">
        <v>211685.61</v>
      </c>
      <c r="G49" s="549">
        <f t="shared" ref="G49:G58" si="4">F49-E49</f>
        <v>-49046.390000000014</v>
      </c>
      <c r="H49" s="536">
        <f>G49+'19'!H49</f>
        <v>-34213.440000000002</v>
      </c>
      <c r="I49" s="531"/>
      <c r="J49" s="629">
        <f>H49/DAY(B2)</f>
        <v>-1710.672</v>
      </c>
      <c r="K49" s="467">
        <v>0</v>
      </c>
      <c r="L49" s="408">
        <f t="shared" si="3"/>
        <v>-49046.390000000014</v>
      </c>
      <c r="N49" s="413"/>
      <c r="O49" s="413"/>
    </row>
    <row r="50" spans="1:15">
      <c r="A50" s="655" t="s">
        <v>189</v>
      </c>
      <c r="B50" s="678"/>
      <c r="C50" s="678"/>
      <c r="D50" s="599" t="s">
        <v>143</v>
      </c>
      <c r="E50" s="586">
        <f>'19'!F50</f>
        <v>391598</v>
      </c>
      <c r="F50" s="586">
        <v>356627.51</v>
      </c>
      <c r="G50" s="549">
        <f t="shared" si="4"/>
        <v>-34970.489999999991</v>
      </c>
      <c r="H50" s="536">
        <f>G50+'19'!H50</f>
        <v>-13032.799999999988</v>
      </c>
      <c r="I50" s="531"/>
      <c r="J50" s="629">
        <f>H50/DAY(B2)</f>
        <v>-651.63999999999942</v>
      </c>
      <c r="K50" s="467">
        <v>631.67000000001281</v>
      </c>
      <c r="L50" s="408">
        <f t="shared" si="3"/>
        <v>-35602.160000000003</v>
      </c>
      <c r="N50" s="413"/>
      <c r="O50" s="413"/>
    </row>
    <row r="51" spans="1:15">
      <c r="A51" s="655" t="s">
        <v>177</v>
      </c>
      <c r="B51" s="678"/>
      <c r="C51" s="678"/>
      <c r="D51" s="599" t="s">
        <v>143</v>
      </c>
      <c r="E51" s="586">
        <f>'19'!F51</f>
        <v>120051</v>
      </c>
      <c r="F51" s="586">
        <v>93773.48</v>
      </c>
      <c r="G51" s="549">
        <f t="shared" si="4"/>
        <v>-26277.520000000004</v>
      </c>
      <c r="H51" s="536">
        <f>G51+'19'!H51</f>
        <v>-16326.260000000009</v>
      </c>
      <c r="I51" s="531"/>
      <c r="J51" s="629">
        <f>H51/DAY(B2)</f>
        <v>-816.31300000000044</v>
      </c>
      <c r="K51" s="467">
        <v>0</v>
      </c>
      <c r="L51" s="408">
        <f t="shared" si="3"/>
        <v>-26277.520000000004</v>
      </c>
      <c r="N51" s="413"/>
      <c r="O51" s="413"/>
    </row>
    <row r="52" spans="1:15">
      <c r="A52" s="655" t="s">
        <v>190</v>
      </c>
      <c r="B52" s="678"/>
      <c r="C52" s="678"/>
      <c r="D52" s="599" t="s">
        <v>143</v>
      </c>
      <c r="E52" s="586">
        <f>'19'!F52</f>
        <v>507913</v>
      </c>
      <c r="F52" s="586">
        <v>473214.79</v>
      </c>
      <c r="G52" s="549">
        <f t="shared" si="4"/>
        <v>-34698.210000000021</v>
      </c>
      <c r="H52" s="536">
        <f>G52+'19'!H52</f>
        <v>-20593.880000000005</v>
      </c>
      <c r="I52" s="531"/>
      <c r="J52" s="629">
        <f>H52/DAY(B2)</f>
        <v>-1029.6940000000002</v>
      </c>
      <c r="K52" s="467">
        <v>1057.5200000000186</v>
      </c>
      <c r="L52" s="408">
        <f t="shared" si="3"/>
        <v>-35755.73000000004</v>
      </c>
      <c r="N52" s="413"/>
      <c r="O52" s="803"/>
    </row>
    <row r="53" spans="1:15">
      <c r="A53" s="655" t="s">
        <v>179</v>
      </c>
      <c r="B53" s="678"/>
      <c r="C53" s="678"/>
      <c r="D53" s="599" t="s">
        <v>143</v>
      </c>
      <c r="E53" s="586">
        <f>'19'!F53</f>
        <v>331855</v>
      </c>
      <c r="F53" s="586">
        <v>258349.83</v>
      </c>
      <c r="G53" s="549">
        <f t="shared" si="4"/>
        <v>-73505.170000000013</v>
      </c>
      <c r="H53" s="536">
        <f>G53+'19'!H53</f>
        <v>-45948.440000000031</v>
      </c>
      <c r="I53" s="531"/>
      <c r="J53" s="629">
        <f>H53/DAY(B2)</f>
        <v>-2297.4220000000014</v>
      </c>
      <c r="K53" s="467">
        <v>106.48999999999978</v>
      </c>
      <c r="L53" s="408">
        <f t="shared" si="3"/>
        <v>-73611.660000000018</v>
      </c>
      <c r="N53" s="413"/>
      <c r="O53" s="413"/>
    </row>
    <row r="54" spans="1:15">
      <c r="A54" s="655" t="s">
        <v>191</v>
      </c>
      <c r="B54" s="678"/>
      <c r="C54" s="678"/>
      <c r="D54" s="599" t="s">
        <v>143</v>
      </c>
      <c r="E54" s="586">
        <f>'19'!F54</f>
        <v>7468</v>
      </c>
      <c r="F54" s="586">
        <v>5754.15</v>
      </c>
      <c r="G54" s="549">
        <f t="shared" si="4"/>
        <v>-1713.8500000000004</v>
      </c>
      <c r="H54" s="536">
        <f>G54+'19'!H54</f>
        <v>-634.65000000000055</v>
      </c>
      <c r="I54" s="531"/>
      <c r="J54" s="629">
        <f>H54/DAY(B2)</f>
        <v>-31.732500000000027</v>
      </c>
      <c r="K54" s="467">
        <v>0</v>
      </c>
      <c r="L54" s="408">
        <f t="shared" si="3"/>
        <v>-1713.8500000000004</v>
      </c>
      <c r="N54" s="413"/>
      <c r="O54" s="413"/>
    </row>
    <row r="55" spans="1:15">
      <c r="A55" s="655" t="s">
        <v>192</v>
      </c>
      <c r="B55" s="678"/>
      <c r="C55" s="678"/>
      <c r="D55" s="599" t="s">
        <v>143</v>
      </c>
      <c r="E55" s="586">
        <f>'19'!F55</f>
        <v>94270</v>
      </c>
      <c r="F55" s="586">
        <v>39120.58</v>
      </c>
      <c r="G55" s="549">
        <f t="shared" si="4"/>
        <v>-55149.42</v>
      </c>
      <c r="H55" s="536">
        <f>G55+'19'!H55</f>
        <v>-3867.4000000000015</v>
      </c>
      <c r="I55" s="531"/>
      <c r="J55" s="629">
        <f>H55/DAY(B2)</f>
        <v>-193.37000000000006</v>
      </c>
      <c r="K55" s="467">
        <v>0</v>
      </c>
      <c r="L55" s="408">
        <f t="shared" si="3"/>
        <v>-55149.42</v>
      </c>
      <c r="N55" s="413"/>
      <c r="O55" s="413"/>
    </row>
    <row r="56" spans="1:15">
      <c r="A56" s="655" t="s">
        <v>193</v>
      </c>
      <c r="B56" s="678"/>
      <c r="C56" s="678"/>
      <c r="D56" s="599" t="s">
        <v>194</v>
      </c>
      <c r="E56" s="586">
        <f>'19'!F56</f>
        <v>564247</v>
      </c>
      <c r="F56" s="586">
        <v>557725.39</v>
      </c>
      <c r="G56" s="549">
        <f t="shared" si="4"/>
        <v>-6521.609999999986</v>
      </c>
      <c r="H56" s="536">
        <f>G56+'19'!H56</f>
        <v>-6.5200000000186265</v>
      </c>
      <c r="I56" s="531"/>
      <c r="J56" s="629">
        <f>H56/DAY(B2)</f>
        <v>-0.32600000000093132</v>
      </c>
      <c r="K56" s="466">
        <v>0</v>
      </c>
      <c r="L56" s="408">
        <f t="shared" si="3"/>
        <v>-6521.609999999986</v>
      </c>
      <c r="N56" s="413"/>
      <c r="O56" s="413"/>
    </row>
    <row r="57" spans="1:15">
      <c r="A57" s="655" t="s">
        <v>183</v>
      </c>
      <c r="B57" s="678"/>
      <c r="C57" s="678"/>
      <c r="D57" s="599" t="s">
        <v>143</v>
      </c>
      <c r="E57" s="586">
        <f>'19'!F57</f>
        <v>7711</v>
      </c>
      <c r="F57" s="586">
        <v>0</v>
      </c>
      <c r="G57" s="549">
        <f t="shared" si="4"/>
        <v>-7711</v>
      </c>
      <c r="H57" s="536">
        <f>G57+'19'!H57</f>
        <v>0</v>
      </c>
      <c r="I57" s="531"/>
      <c r="J57" s="629">
        <f>H57/DAY(B2)</f>
        <v>0</v>
      </c>
      <c r="K57" s="467">
        <v>0</v>
      </c>
      <c r="L57" s="408">
        <f t="shared" si="3"/>
        <v>-7711</v>
      </c>
      <c r="N57" s="413"/>
      <c r="O57" s="413"/>
    </row>
    <row r="58" spans="1:15">
      <c r="A58" s="655" t="s">
        <v>195</v>
      </c>
      <c r="B58" s="678"/>
      <c r="C58" s="678"/>
      <c r="D58" s="599" t="s">
        <v>143</v>
      </c>
      <c r="E58" s="586">
        <f>'19'!F58</f>
        <v>34077</v>
      </c>
      <c r="F58" s="586">
        <v>28607.77</v>
      </c>
      <c r="G58" s="549">
        <f t="shared" si="4"/>
        <v>-5469.23</v>
      </c>
      <c r="H58" s="536">
        <f>G58+'19'!H58</f>
        <v>-2121.7699999999968</v>
      </c>
      <c r="I58" s="531"/>
      <c r="J58" s="629">
        <f>H58/DAY(B2)</f>
        <v>-106.08849999999984</v>
      </c>
      <c r="K58" s="467">
        <v>0</v>
      </c>
      <c r="L58" s="408">
        <f t="shared" si="3"/>
        <v>-5469.23</v>
      </c>
      <c r="N58" s="413"/>
      <c r="O58" s="413"/>
    </row>
    <row r="59" spans="1:15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-295062.89</v>
      </c>
      <c r="H59" s="536">
        <f>G59+'19'!H59</f>
        <v>-136745.16</v>
      </c>
      <c r="I59" s="531">
        <f>G7-G60</f>
        <v>-1548132.15</v>
      </c>
      <c r="J59" s="629">
        <f>H59/DAY(B2)</f>
        <v>-6837.2579999999998</v>
      </c>
      <c r="K59" s="467">
        <v>1795.6800000000312</v>
      </c>
      <c r="L59" s="408">
        <f t="shared" si="3"/>
        <v>-296858.57000000007</v>
      </c>
      <c r="N59" s="413"/>
      <c r="O59" s="413"/>
    </row>
    <row r="60" spans="1:15">
      <c r="A60" s="655"/>
      <c r="B60" s="656"/>
      <c r="C60" s="656"/>
      <c r="D60" s="587" t="s">
        <v>196</v>
      </c>
      <c r="E60" s="587"/>
      <c r="F60" s="587"/>
      <c r="G60" s="557">
        <f>G47+G59</f>
        <v>968401.15</v>
      </c>
      <c r="H60" s="536">
        <f>G60+'19'!H60</f>
        <v>1334756.0499999998</v>
      </c>
      <c r="I60" s="531">
        <f>G13-G60</f>
        <v>1040335.7500000001</v>
      </c>
      <c r="J60" s="629">
        <f>H60/DAY(B2)</f>
        <v>66737.802499999991</v>
      </c>
      <c r="K60" s="467">
        <v>11703.500000000056</v>
      </c>
      <c r="L60" s="408">
        <f t="shared" si="3"/>
        <v>956697.65</v>
      </c>
      <c r="N60" s="413"/>
      <c r="O60" s="413"/>
    </row>
    <row r="61" spans="1:15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  <c r="O61" s="413"/>
    </row>
    <row r="62" spans="1:15">
      <c r="A62" s="680" t="s">
        <v>106</v>
      </c>
      <c r="B62" s="681"/>
      <c r="C62" s="681"/>
      <c r="D62" s="587" t="s">
        <v>198</v>
      </c>
      <c r="E62" s="590">
        <f>'19'!F62</f>
        <v>20419.2</v>
      </c>
      <c r="F62" s="590">
        <v>20419.2</v>
      </c>
      <c r="G62" s="549">
        <f t="shared" ref="G62:G69" si="5">F62-E62</f>
        <v>0</v>
      </c>
      <c r="H62" s="536">
        <f>G62+'19'!H62</f>
        <v>1.1000000002240995E-2</v>
      </c>
      <c r="I62" s="591"/>
      <c r="J62" s="629">
        <f>H62/DAY(B2)</f>
        <v>5.5000000011204973E-4</v>
      </c>
      <c r="K62" s="467"/>
      <c r="L62" s="408"/>
      <c r="N62" s="413"/>
      <c r="O62" s="413"/>
    </row>
    <row r="63" spans="1:15">
      <c r="A63" s="680" t="s">
        <v>199</v>
      </c>
      <c r="B63" s="681"/>
      <c r="C63" s="681"/>
      <c r="D63" s="587" t="s">
        <v>198</v>
      </c>
      <c r="E63" s="590">
        <f>'19'!F63</f>
        <v>1585</v>
      </c>
      <c r="F63" s="590">
        <v>1219.9000000000001</v>
      </c>
      <c r="G63" s="549">
        <f t="shared" si="5"/>
        <v>-365.09999999999991</v>
      </c>
      <c r="H63" s="536">
        <f>G63+'19'!H63</f>
        <v>-112.62999999999988</v>
      </c>
      <c r="I63" s="591"/>
      <c r="J63" s="629">
        <f>H63/DAY(B2)</f>
        <v>-5.6314999999999937</v>
      </c>
      <c r="K63" s="467"/>
      <c r="L63" s="408"/>
      <c r="N63" s="413"/>
      <c r="O63" s="413"/>
    </row>
    <row r="64" spans="1:15" ht="27.75">
      <c r="A64" s="1385" t="s">
        <v>107</v>
      </c>
      <c r="B64" s="1386"/>
      <c r="C64" s="1387"/>
      <c r="D64" s="599" t="s">
        <v>198</v>
      </c>
      <c r="E64" s="560">
        <f>'19'!F64</f>
        <v>119240</v>
      </c>
      <c r="F64" s="560">
        <v>106597.67</v>
      </c>
      <c r="G64" s="549">
        <f t="shared" si="5"/>
        <v>-12642.330000000002</v>
      </c>
      <c r="H64" s="536">
        <f>G64+'19'!H64</f>
        <v>-4685.7900000000081</v>
      </c>
      <c r="I64" s="556"/>
      <c r="J64" s="629">
        <f>H64/DAY(B2)</f>
        <v>-234.2895000000004</v>
      </c>
      <c r="K64" s="467"/>
      <c r="L64" s="408"/>
      <c r="N64" s="413"/>
      <c r="O64" s="413"/>
    </row>
    <row r="65" spans="1:15" ht="27.75">
      <c r="A65" s="1385" t="s">
        <v>108</v>
      </c>
      <c r="B65" s="1386"/>
      <c r="C65" s="1387"/>
      <c r="D65" s="599" t="s">
        <v>198</v>
      </c>
      <c r="E65" s="560">
        <f>'19'!F65</f>
        <v>129048</v>
      </c>
      <c r="F65" s="560">
        <v>117260.84</v>
      </c>
      <c r="G65" s="549">
        <f t="shared" si="5"/>
        <v>-11787.160000000003</v>
      </c>
      <c r="H65" s="536">
        <f>G65+'19'!H65</f>
        <v>-4472.2700000000041</v>
      </c>
      <c r="I65" s="565"/>
      <c r="J65" s="629">
        <f>H65/DAY(B2)</f>
        <v>-223.61350000000022</v>
      </c>
      <c r="K65" s="467"/>
      <c r="L65" s="408"/>
      <c r="N65" s="413"/>
      <c r="O65" s="413"/>
    </row>
    <row r="66" spans="1:15" ht="27.75">
      <c r="A66" s="1385" t="s">
        <v>109</v>
      </c>
      <c r="B66" s="1386"/>
      <c r="C66" s="1387"/>
      <c r="D66" s="599" t="s">
        <v>198</v>
      </c>
      <c r="E66" s="560">
        <f>'19'!F66</f>
        <v>21657</v>
      </c>
      <c r="F66" s="560">
        <v>9761.91</v>
      </c>
      <c r="G66" s="549">
        <f t="shared" si="5"/>
        <v>-11895.09</v>
      </c>
      <c r="H66" s="536">
        <f>G66+'19'!H66</f>
        <v>-4397.83</v>
      </c>
      <c r="I66" s="556"/>
      <c r="J66" s="629">
        <f>H66/DAY(B2)</f>
        <v>-219.89150000000001</v>
      </c>
      <c r="K66" s="467"/>
      <c r="L66" s="408"/>
      <c r="N66" s="413"/>
      <c r="O66" s="413"/>
    </row>
    <row r="67" spans="1:15" ht="27.75">
      <c r="A67" s="1385" t="s">
        <v>110</v>
      </c>
      <c r="B67" s="1386"/>
      <c r="C67" s="1387"/>
      <c r="D67" s="599" t="s">
        <v>198</v>
      </c>
      <c r="E67" s="560">
        <f>'19'!F67</f>
        <v>201900</v>
      </c>
      <c r="F67" s="560">
        <v>181446.99</v>
      </c>
      <c r="G67" s="549">
        <f t="shared" si="5"/>
        <v>-20453.010000000009</v>
      </c>
      <c r="H67" s="536">
        <f>G67+'19'!H67</f>
        <v>-7227.5400000000081</v>
      </c>
      <c r="I67" s="565"/>
      <c r="J67" s="629">
        <f>H67/DAY(B2)</f>
        <v>-361.37700000000041</v>
      </c>
      <c r="K67" s="468"/>
      <c r="L67" s="408"/>
      <c r="N67" s="413"/>
      <c r="O67" s="413"/>
    </row>
    <row r="68" spans="1:15" ht="27.75">
      <c r="A68" s="1385" t="s">
        <v>111</v>
      </c>
      <c r="B68" s="1386"/>
      <c r="C68" s="1387"/>
      <c r="D68" s="599" t="s">
        <v>198</v>
      </c>
      <c r="E68" s="560">
        <f>'19'!F68</f>
        <v>69825</v>
      </c>
      <c r="F68" s="560">
        <v>59762.080000000002</v>
      </c>
      <c r="G68" s="549">
        <f t="shared" si="5"/>
        <v>-10062.919999999998</v>
      </c>
      <c r="H68" s="536">
        <f>G68+'19'!H68</f>
        <v>-3537.7799999999988</v>
      </c>
      <c r="I68" s="592"/>
      <c r="J68" s="629">
        <f>H68/DAY(B2)</f>
        <v>-176.88899999999995</v>
      </c>
      <c r="K68" s="469"/>
      <c r="L68" s="408"/>
      <c r="N68" s="413"/>
      <c r="O68" s="413"/>
    </row>
    <row r="69" spans="1:15" ht="27.75">
      <c r="A69" s="1385" t="s">
        <v>112</v>
      </c>
      <c r="B69" s="1386"/>
      <c r="C69" s="1387"/>
      <c r="D69" s="599" t="s">
        <v>198</v>
      </c>
      <c r="E69" s="560">
        <f>'19'!F69</f>
        <v>61500</v>
      </c>
      <c r="F69" s="560">
        <v>52354.65</v>
      </c>
      <c r="G69" s="549">
        <f t="shared" si="5"/>
        <v>-9145.3499999999985</v>
      </c>
      <c r="H69" s="536">
        <f>G69+'19'!H69</f>
        <v>-3369.0599999999977</v>
      </c>
      <c r="I69" s="592"/>
      <c r="J69" s="629">
        <f>H69/DAY(B2)</f>
        <v>-168.45299999999989</v>
      </c>
      <c r="K69" s="470"/>
      <c r="L69" s="408"/>
      <c r="N69" s="413"/>
      <c r="O69" s="413"/>
    </row>
    <row r="70" spans="1:15" ht="27.75">
      <c r="A70" s="1391" t="s">
        <v>200</v>
      </c>
      <c r="B70" s="1392"/>
      <c r="C70" s="1393"/>
      <c r="D70" s="599" t="s">
        <v>198</v>
      </c>
      <c r="E70" s="594"/>
      <c r="F70" s="594"/>
      <c r="G70" s="594"/>
      <c r="H70" s="536">
        <f>G70+'13'!H70</f>
        <v>0</v>
      </c>
      <c r="I70" s="594"/>
      <c r="J70" s="633"/>
      <c r="K70" s="470"/>
      <c r="L70" s="408"/>
      <c r="N70" s="413"/>
      <c r="O70" s="413"/>
    </row>
    <row r="71" spans="1:15" ht="31.5">
      <c r="A71" s="1388" t="s">
        <v>201</v>
      </c>
      <c r="B71" s="1389"/>
      <c r="C71" s="1389"/>
      <c r="D71" s="1389"/>
      <c r="E71" s="1389"/>
      <c r="F71" s="1389"/>
      <c r="G71" s="1389"/>
      <c r="H71" s="1389"/>
      <c r="I71" s="1389"/>
      <c r="J71" s="1390"/>
      <c r="K71" s="469"/>
      <c r="L71" s="408"/>
      <c r="N71" s="413"/>
      <c r="O71" s="413"/>
    </row>
    <row r="72" spans="1:15" ht="27.75">
      <c r="A72" s="1385" t="s">
        <v>202</v>
      </c>
      <c r="B72" s="1386"/>
      <c r="C72" s="1387"/>
      <c r="D72" s="599" t="s">
        <v>198</v>
      </c>
      <c r="E72" s="595">
        <f>'19'!F72</f>
        <v>849920</v>
      </c>
      <c r="F72" s="595">
        <v>847740</v>
      </c>
      <c r="G72" s="549">
        <f t="shared" ref="G72:G84" si="6">F72-E72</f>
        <v>-2180</v>
      </c>
      <c r="H72" s="536">
        <f>G72+'19'!H72</f>
        <v>-812</v>
      </c>
      <c r="I72" s="556"/>
      <c r="J72" s="629">
        <f>H72/DAY(B2)</f>
        <v>-40.6</v>
      </c>
      <c r="K72" s="470"/>
      <c r="L72" s="408"/>
      <c r="N72" s="413"/>
      <c r="O72" s="413"/>
    </row>
    <row r="73" spans="1:15" ht="27.75">
      <c r="A73" s="1385" t="s">
        <v>203</v>
      </c>
      <c r="B73" s="1386"/>
      <c r="C73" s="1387"/>
      <c r="D73" s="599" t="s">
        <v>198</v>
      </c>
      <c r="E73" s="596">
        <f>'19'!F73</f>
        <v>885740</v>
      </c>
      <c r="F73" s="596">
        <v>885709</v>
      </c>
      <c r="G73" s="549">
        <f t="shared" si="6"/>
        <v>-31</v>
      </c>
      <c r="H73" s="536">
        <f>G73+'19'!H73</f>
        <v>928</v>
      </c>
      <c r="I73" s="556"/>
      <c r="J73" s="629">
        <f>H73/DAY(B2)</f>
        <v>46.4</v>
      </c>
      <c r="K73" s="469"/>
      <c r="L73" s="408"/>
      <c r="N73" s="413"/>
      <c r="O73" s="413"/>
    </row>
    <row r="74" spans="1:15" ht="27.75">
      <c r="A74" s="1506" t="s">
        <v>204</v>
      </c>
      <c r="B74" s="1507"/>
      <c r="C74" s="1508"/>
      <c r="D74" s="599" t="s">
        <v>198</v>
      </c>
      <c r="E74" s="597">
        <f>'19'!F74</f>
        <v>383</v>
      </c>
      <c r="F74" s="597">
        <v>882011</v>
      </c>
      <c r="G74" s="549">
        <f t="shared" si="6"/>
        <v>881628</v>
      </c>
      <c r="H74" s="536">
        <f>G74+'19'!H74</f>
        <v>882240.1</v>
      </c>
      <c r="I74" s="556"/>
      <c r="J74" s="629">
        <f>H74/DAY(B2)</f>
        <v>44112.004999999997</v>
      </c>
      <c r="K74" s="470"/>
      <c r="L74" s="408"/>
      <c r="N74" s="413"/>
      <c r="O74" s="413"/>
    </row>
    <row r="75" spans="1:15" ht="27.75">
      <c r="A75" s="1382" t="s">
        <v>205</v>
      </c>
      <c r="B75" s="1383"/>
      <c r="C75" s="1384"/>
      <c r="D75" s="599" t="s">
        <v>198</v>
      </c>
      <c r="E75" s="597">
        <f>'19'!F75</f>
        <v>1970</v>
      </c>
      <c r="F75" s="597">
        <v>735379</v>
      </c>
      <c r="G75" s="549">
        <f t="shared" si="6"/>
        <v>733409</v>
      </c>
      <c r="H75" s="536">
        <f>G75+'19'!H75</f>
        <v>736915.4</v>
      </c>
      <c r="I75" s="556"/>
      <c r="J75" s="629">
        <f>H75/DAY(B2)</f>
        <v>36845.770000000004</v>
      </c>
      <c r="K75" s="469"/>
      <c r="L75" s="408"/>
      <c r="N75" s="413"/>
      <c r="O75" s="413"/>
    </row>
    <row r="76" spans="1:15" ht="27.75">
      <c r="A76" s="1382" t="s">
        <v>206</v>
      </c>
      <c r="B76" s="1383"/>
      <c r="C76" s="1384"/>
      <c r="D76" s="599" t="s">
        <v>198</v>
      </c>
      <c r="E76" s="596">
        <f>'19'!F76</f>
        <v>815</v>
      </c>
      <c r="F76" s="735">
        <v>686140</v>
      </c>
      <c r="G76" s="549">
        <f t="shared" si="6"/>
        <v>685325</v>
      </c>
      <c r="H76" s="536">
        <f>G76+'19'!H76</f>
        <v>688137.2</v>
      </c>
      <c r="I76" s="581"/>
      <c r="J76" s="629">
        <f>H76/DAY(B2)</f>
        <v>34406.86</v>
      </c>
      <c r="K76" s="469"/>
      <c r="L76" s="408"/>
      <c r="N76" s="413"/>
      <c r="O76" s="413"/>
    </row>
    <row r="77" spans="1:15" ht="27.75">
      <c r="A77" s="1385" t="s">
        <v>207</v>
      </c>
      <c r="B77" s="1386"/>
      <c r="C77" s="1387"/>
      <c r="D77" s="599" t="s">
        <v>198</v>
      </c>
      <c r="E77" s="597">
        <f>'19'!F77</f>
        <v>698156</v>
      </c>
      <c r="F77" s="597">
        <v>696517</v>
      </c>
      <c r="G77" s="549">
        <f t="shared" si="6"/>
        <v>-1639</v>
      </c>
      <c r="H77" s="536">
        <f>G77+'19'!H77</f>
        <v>-590</v>
      </c>
      <c r="I77" s="581"/>
      <c r="J77" s="629">
        <f>H77/DAY(B2)</f>
        <v>-29.5</v>
      </c>
      <c r="K77" s="469"/>
      <c r="L77" s="408"/>
      <c r="N77" s="413"/>
      <c r="O77" s="413"/>
    </row>
    <row r="78" spans="1:15" ht="27.75">
      <c r="A78" s="1234" t="s">
        <v>208</v>
      </c>
      <c r="B78" s="1205"/>
      <c r="C78" s="1205"/>
      <c r="D78" s="599" t="s">
        <v>198</v>
      </c>
      <c r="E78" s="597">
        <f>'19'!F78</f>
        <v>649628</v>
      </c>
      <c r="F78" s="597">
        <v>637957</v>
      </c>
      <c r="G78" s="549">
        <f t="shared" si="6"/>
        <v>-11671</v>
      </c>
      <c r="H78" s="536">
        <f>G78+'19'!H78</f>
        <v>-3996</v>
      </c>
      <c r="I78" s="581"/>
      <c r="J78" s="629">
        <f>H78/DAY(B2)</f>
        <v>-199.8</v>
      </c>
      <c r="K78" s="469"/>
      <c r="L78" s="408"/>
      <c r="N78" s="413"/>
      <c r="O78" s="413"/>
    </row>
    <row r="79" spans="1:15" ht="27.75">
      <c r="A79" s="1382" t="s">
        <v>97</v>
      </c>
      <c r="B79" s="1383"/>
      <c r="C79" s="1384"/>
      <c r="D79" s="600" t="s">
        <v>198</v>
      </c>
      <c r="E79" s="597">
        <f>'19'!F79</f>
        <v>813359</v>
      </c>
      <c r="F79" s="597">
        <v>807615</v>
      </c>
      <c r="G79" s="549">
        <f t="shared" si="6"/>
        <v>-5744</v>
      </c>
      <c r="H79" s="536">
        <f>G79+'19'!H79</f>
        <v>789</v>
      </c>
      <c r="I79" s="581"/>
      <c r="J79" s="629">
        <f>H79/DAY(B2)</f>
        <v>39.450000000000003</v>
      </c>
      <c r="K79" s="469"/>
      <c r="L79" s="408"/>
      <c r="N79" s="413"/>
      <c r="O79" s="413"/>
    </row>
    <row r="80" spans="1:15" ht="27.75">
      <c r="A80" s="1382" t="s">
        <v>209</v>
      </c>
      <c r="B80" s="1383"/>
      <c r="C80" s="1384"/>
      <c r="D80" s="600" t="s">
        <v>198</v>
      </c>
      <c r="E80" s="596">
        <f>'19'!F80</f>
        <v>491303</v>
      </c>
      <c r="F80" s="596">
        <v>481733.16</v>
      </c>
      <c r="G80" s="549">
        <f t="shared" si="6"/>
        <v>-9569.8400000000256</v>
      </c>
      <c r="H80" s="536">
        <f>G80+'19'!H80</f>
        <v>-4848.5200000000186</v>
      </c>
      <c r="I80" s="581"/>
      <c r="J80" s="629">
        <f>H80/DAY(B2)</f>
        <v>-242.42600000000093</v>
      </c>
      <c r="K80" s="469"/>
      <c r="L80" s="408"/>
      <c r="N80" s="413"/>
      <c r="O80" s="413"/>
    </row>
    <row r="81" spans="1:15" ht="27.75">
      <c r="A81" s="1382" t="s">
        <v>210</v>
      </c>
      <c r="B81" s="1383"/>
      <c r="C81" s="1384"/>
      <c r="D81" s="600" t="s">
        <v>198</v>
      </c>
      <c r="E81" s="596">
        <f>'19'!F81</f>
        <v>624798</v>
      </c>
      <c r="F81" s="596">
        <v>621592.43999999994</v>
      </c>
      <c r="G81" s="549">
        <f t="shared" si="6"/>
        <v>-3205.5600000000559</v>
      </c>
      <c r="H81" s="536">
        <f>G81+'19'!H81</f>
        <v>-1182.5600000000559</v>
      </c>
      <c r="I81" s="581"/>
      <c r="J81" s="629">
        <f>H81/DAY(B2)</f>
        <v>-59.128000000002793</v>
      </c>
      <c r="K81" s="469"/>
      <c r="L81" s="408"/>
      <c r="N81" s="413"/>
      <c r="O81" s="413"/>
    </row>
    <row r="82" spans="1:15" ht="27.75">
      <c r="A82" s="1382" t="s">
        <v>100</v>
      </c>
      <c r="B82" s="1383"/>
      <c r="C82" s="1384"/>
      <c r="D82" s="561" t="s">
        <v>143</v>
      </c>
      <c r="E82" s="598">
        <f>'19'!F82</f>
        <v>105990</v>
      </c>
      <c r="F82" s="598">
        <v>104956.96</v>
      </c>
      <c r="G82" s="549">
        <f t="shared" si="6"/>
        <v>-1033.0399999999936</v>
      </c>
      <c r="H82" s="536">
        <f>G82+'19'!H82</f>
        <v>-483.0399999999936</v>
      </c>
      <c r="I82" s="562"/>
      <c r="J82" s="629">
        <f>H82/DAY(B2)</f>
        <v>-24.151999999999681</v>
      </c>
      <c r="K82" s="469"/>
      <c r="L82" s="408"/>
      <c r="N82" s="413"/>
      <c r="O82" s="413"/>
    </row>
    <row r="83" spans="1:15" ht="27.75">
      <c r="A83" s="1382" t="s">
        <v>211</v>
      </c>
      <c r="B83" s="1383"/>
      <c r="C83" s="1384"/>
      <c r="D83" s="697" t="s">
        <v>143</v>
      </c>
      <c r="E83" s="587">
        <f>'19'!F83</f>
        <v>992041</v>
      </c>
      <c r="F83" s="587">
        <v>980657</v>
      </c>
      <c r="G83" s="549">
        <f t="shared" si="6"/>
        <v>-11384</v>
      </c>
      <c r="H83" s="536">
        <f>G83+'19'!H83</f>
        <v>-3084</v>
      </c>
      <c r="I83" s="557"/>
      <c r="J83" s="629">
        <f>H83/DAY(B2)</f>
        <v>-154.19999999999999</v>
      </c>
      <c r="K83" s="468"/>
      <c r="L83" s="408"/>
      <c r="N83" s="413"/>
      <c r="O83" s="803"/>
    </row>
    <row r="84" spans="1:15">
      <c r="A84" s="1235" t="s">
        <v>212</v>
      </c>
      <c r="B84" s="648"/>
      <c r="C84" s="648"/>
      <c r="D84" s="554" t="s">
        <v>143</v>
      </c>
      <c r="E84" s="704">
        <f>'19'!F84</f>
        <v>425386</v>
      </c>
      <c r="F84" s="704">
        <v>410227</v>
      </c>
      <c r="G84" s="549">
        <f t="shared" si="6"/>
        <v>-15159</v>
      </c>
      <c r="H84" s="536">
        <f>G84+'19'!H84</f>
        <v>-5846</v>
      </c>
      <c r="I84" s="557"/>
      <c r="J84" s="629">
        <f>H84/DAY(B2)</f>
        <v>-292.3</v>
      </c>
      <c r="K84" s="411"/>
      <c r="L84" s="408"/>
      <c r="N84" s="413"/>
      <c r="O84" s="413"/>
    </row>
    <row r="85" spans="1:15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SUM(G72:G84)</f>
        <v>2238745.56</v>
      </c>
      <c r="H85" s="536">
        <f>G85+'19'!H85</f>
        <v>2282864.21</v>
      </c>
      <c r="I85" s="557"/>
      <c r="J85" s="629">
        <f>H85/DAY(B2)</f>
        <v>114143.2105</v>
      </c>
      <c r="K85" s="411"/>
      <c r="L85" s="409"/>
      <c r="N85" s="859"/>
      <c r="O85" s="803"/>
    </row>
    <row r="86" spans="1:15" s="817" customFormat="1">
      <c r="A86" s="812" t="s">
        <v>102</v>
      </c>
      <c r="B86" s="813"/>
      <c r="C86" s="813"/>
      <c r="D86" s="814" t="s">
        <v>194</v>
      </c>
      <c r="E86" s="728">
        <f>'19'!F86</f>
        <v>449355</v>
      </c>
      <c r="F86" s="728">
        <v>446118.36</v>
      </c>
      <c r="G86" s="787">
        <f t="shared" ref="G86:G90" si="7">F86-E86</f>
        <v>-3236.640000000014</v>
      </c>
      <c r="H86" s="787">
        <f t="shared" ref="H86:H90" si="8">G86</f>
        <v>-3236.640000000014</v>
      </c>
      <c r="I86" s="733"/>
      <c r="J86" s="789">
        <f>H86/DAY(B2)</f>
        <v>-161.8320000000007</v>
      </c>
      <c r="K86" s="815"/>
      <c r="L86" s="816"/>
      <c r="N86" s="860"/>
      <c r="O86" s="413"/>
    </row>
    <row r="87" spans="1:15" s="817" customFormat="1">
      <c r="A87" s="812" t="s">
        <v>103</v>
      </c>
      <c r="B87" s="813"/>
      <c r="C87" s="813"/>
      <c r="D87" s="814" t="s">
        <v>194</v>
      </c>
      <c r="E87" s="728">
        <f>'19'!F87</f>
        <v>78964</v>
      </c>
      <c r="F87" s="728">
        <v>78204.5</v>
      </c>
      <c r="G87" s="787">
        <f t="shared" si="7"/>
        <v>-759.5</v>
      </c>
      <c r="H87" s="787">
        <f t="shared" si="8"/>
        <v>-759.5</v>
      </c>
      <c r="I87" s="733"/>
      <c r="J87" s="789">
        <f>H87/DAY(B2)</f>
        <v>-37.975000000000001</v>
      </c>
      <c r="K87" s="815"/>
      <c r="L87" s="816"/>
      <c r="N87" s="860"/>
      <c r="O87" s="413"/>
    </row>
    <row r="88" spans="1:15" s="817" customFormat="1">
      <c r="A88" s="812" t="s">
        <v>104</v>
      </c>
      <c r="B88" s="813"/>
      <c r="C88" s="813"/>
      <c r="D88" s="814" t="s">
        <v>194</v>
      </c>
      <c r="E88" s="728">
        <f>'19'!F88</f>
        <v>147807</v>
      </c>
      <c r="F88" s="728">
        <v>145822.20000000001</v>
      </c>
      <c r="G88" s="787">
        <f t="shared" si="7"/>
        <v>-1984.7999999999884</v>
      </c>
      <c r="H88" s="787">
        <f t="shared" si="8"/>
        <v>-1984.7999999999884</v>
      </c>
      <c r="I88" s="733"/>
      <c r="J88" s="789">
        <f>H88/DAY(B2)</f>
        <v>-99.239999999999412</v>
      </c>
      <c r="K88" s="815"/>
      <c r="L88" s="816"/>
      <c r="N88" s="860"/>
      <c r="O88" s="413"/>
    </row>
    <row r="89" spans="1:15" s="817" customFormat="1">
      <c r="A89" s="812" t="s">
        <v>215</v>
      </c>
      <c r="B89" s="813"/>
      <c r="C89" s="813"/>
      <c r="D89" s="814" t="s">
        <v>194</v>
      </c>
      <c r="E89" s="728">
        <f>'19'!F89</f>
        <v>61058</v>
      </c>
      <c r="F89" s="728">
        <v>59052.5</v>
      </c>
      <c r="G89" s="787">
        <f t="shared" si="7"/>
        <v>-2005.5</v>
      </c>
      <c r="H89" s="787">
        <f t="shared" si="8"/>
        <v>-2005.5</v>
      </c>
      <c r="I89" s="733"/>
      <c r="J89" s="789">
        <f>H89/DAY(B2)</f>
        <v>-100.27500000000001</v>
      </c>
      <c r="K89" s="815"/>
      <c r="L89" s="816"/>
      <c r="N89" s="860"/>
      <c r="O89" s="413"/>
    </row>
    <row r="90" spans="1:15" s="817" customFormat="1">
      <c r="A90" s="812" t="s">
        <v>215</v>
      </c>
      <c r="B90" s="813"/>
      <c r="C90" s="813"/>
      <c r="D90" s="814" t="s">
        <v>194</v>
      </c>
      <c r="E90" s="728">
        <f>'19'!F90</f>
        <v>3134</v>
      </c>
      <c r="F90" s="728">
        <v>3034.8</v>
      </c>
      <c r="G90" s="787">
        <f t="shared" si="7"/>
        <v>-99.199999999999818</v>
      </c>
      <c r="H90" s="787">
        <f t="shared" si="8"/>
        <v>-99.199999999999818</v>
      </c>
      <c r="I90" s="733"/>
      <c r="J90" s="789">
        <f>H90/DAY(B2)</f>
        <v>-4.9599999999999911</v>
      </c>
      <c r="K90" s="815"/>
      <c r="L90" s="816"/>
      <c r="N90" s="860"/>
      <c r="O90" s="413"/>
    </row>
    <row r="91" spans="1:15" s="410" customFormat="1">
      <c r="A91" s="683" t="s">
        <v>216</v>
      </c>
      <c r="B91" s="1237"/>
      <c r="C91" s="1237"/>
      <c r="D91" s="548"/>
      <c r="E91" s="548"/>
      <c r="F91" s="548"/>
      <c r="G91" s="564"/>
      <c r="H91" s="548"/>
      <c r="I91" s="548"/>
      <c r="J91" s="628"/>
      <c r="K91" s="411"/>
      <c r="L91" s="409"/>
      <c r="N91" s="859"/>
      <c r="O91" s="413"/>
    </row>
    <row r="92" spans="1:15" ht="27.75">
      <c r="A92" s="1406" t="s">
        <v>217</v>
      </c>
      <c r="B92" s="1407"/>
      <c r="C92" s="1408"/>
      <c r="D92" s="599" t="s">
        <v>155</v>
      </c>
      <c r="E92" s="560">
        <f>'19'!F92</f>
        <v>238690</v>
      </c>
      <c r="F92" s="560">
        <v>235607</v>
      </c>
      <c r="G92" s="549">
        <f t="shared" ref="G92:G93" si="9">F92-E92</f>
        <v>-3083</v>
      </c>
      <c r="H92" s="536">
        <f>G92+'19'!H92</f>
        <v>-963</v>
      </c>
      <c r="I92" s="556"/>
      <c r="J92" s="629">
        <f>H92/DAY(B2)</f>
        <v>-48.15</v>
      </c>
      <c r="K92" s="468"/>
      <c r="L92" s="408"/>
      <c r="N92" s="413"/>
      <c r="O92" s="413"/>
    </row>
    <row r="93" spans="1:15" ht="27.75">
      <c r="A93" s="1406" t="s">
        <v>218</v>
      </c>
      <c r="B93" s="1407"/>
      <c r="C93" s="1408"/>
      <c r="D93" s="599" t="s">
        <v>155</v>
      </c>
      <c r="E93" s="560">
        <f>'19'!F93</f>
        <v>174210</v>
      </c>
      <c r="F93" s="560">
        <v>169744</v>
      </c>
      <c r="G93" s="549">
        <f t="shared" si="9"/>
        <v>-4466</v>
      </c>
      <c r="H93" s="536">
        <f>G93+'19'!H93</f>
        <v>-1432</v>
      </c>
      <c r="I93" s="556"/>
      <c r="J93" s="629">
        <f>H93/DAY(B2)</f>
        <v>-71.599999999999994</v>
      </c>
      <c r="K93" s="411"/>
      <c r="L93" s="408"/>
      <c r="N93" s="413"/>
      <c r="O93" s="413"/>
    </row>
    <row r="94" spans="1:15">
      <c r="A94" s="1434" t="s">
        <v>219</v>
      </c>
      <c r="B94" s="1435"/>
      <c r="C94" s="1436"/>
      <c r="D94" s="599"/>
      <c r="E94" s="560">
        <f>'19'!F94</f>
        <v>0</v>
      </c>
      <c r="F94" s="560"/>
      <c r="G94" s="549">
        <f>G92+G93</f>
        <v>-7549</v>
      </c>
      <c r="H94" s="536">
        <f>G94+'19'!H94</f>
        <v>-2682</v>
      </c>
      <c r="I94" s="556"/>
      <c r="J94" s="629">
        <f>H94/DAY(B2)</f>
        <v>-134.1</v>
      </c>
      <c r="K94" s="411"/>
      <c r="L94" s="408"/>
      <c r="N94" s="413"/>
      <c r="O94" s="413"/>
    </row>
    <row r="95" spans="1:15" ht="27.75">
      <c r="A95" s="1406" t="s">
        <v>220</v>
      </c>
      <c r="B95" s="1407"/>
      <c r="C95" s="1408"/>
      <c r="D95" s="599" t="s">
        <v>155</v>
      </c>
      <c r="E95" s="560">
        <f>'19'!F95</f>
        <v>407362</v>
      </c>
      <c r="F95" s="560">
        <v>405127</v>
      </c>
      <c r="G95" s="549">
        <f t="shared" ref="G95:G100" si="10">F95-E95</f>
        <v>-2235</v>
      </c>
      <c r="H95" s="536">
        <f>G95+'19'!H95</f>
        <v>-749</v>
      </c>
      <c r="I95" s="556"/>
      <c r="J95" s="629">
        <f>H95/DAY(B2)</f>
        <v>-37.450000000000003</v>
      </c>
      <c r="K95" s="411"/>
      <c r="L95" s="408"/>
      <c r="N95" s="413"/>
      <c r="O95" s="413"/>
    </row>
    <row r="96" spans="1:15" ht="27.75">
      <c r="A96" s="1231" t="s">
        <v>221</v>
      </c>
      <c r="B96" s="1232"/>
      <c r="C96" s="1232"/>
      <c r="D96" s="599" t="s">
        <v>155</v>
      </c>
      <c r="E96" s="560">
        <f>'19'!F96</f>
        <v>101149</v>
      </c>
      <c r="F96" s="560">
        <v>100278</v>
      </c>
      <c r="G96" s="549">
        <f t="shared" si="10"/>
        <v>-871</v>
      </c>
      <c r="H96" s="536">
        <f>G96+'19'!H96</f>
        <v>-256</v>
      </c>
      <c r="I96" s="556"/>
      <c r="J96" s="629">
        <f>H96/DAY(B2)</f>
        <v>-12.8</v>
      </c>
      <c r="K96" s="466"/>
      <c r="L96" s="408"/>
      <c r="N96" s="413"/>
      <c r="O96" s="413"/>
    </row>
    <row r="97" spans="1:15" ht="27.75">
      <c r="A97" s="1231" t="s">
        <v>222</v>
      </c>
      <c r="B97" s="1232"/>
      <c r="C97" s="1232"/>
      <c r="D97" s="599" t="s">
        <v>155</v>
      </c>
      <c r="E97" s="560">
        <f>'19'!F97</f>
        <v>96238</v>
      </c>
      <c r="F97" s="560">
        <v>95437</v>
      </c>
      <c r="G97" s="549">
        <f t="shared" si="10"/>
        <v>-801</v>
      </c>
      <c r="H97" s="536">
        <f>G97+'19'!H97</f>
        <v>-240</v>
      </c>
      <c r="I97" s="556"/>
      <c r="J97" s="629">
        <f>H97/DAY(B2)</f>
        <v>-12</v>
      </c>
      <c r="K97" s="471"/>
      <c r="L97" s="408"/>
      <c r="N97" s="413"/>
      <c r="O97" s="413"/>
    </row>
    <row r="98" spans="1:15" ht="27.75">
      <c r="A98" s="1231" t="s">
        <v>223</v>
      </c>
      <c r="B98" s="1232"/>
      <c r="C98" s="1232"/>
      <c r="D98" s="599" t="s">
        <v>155</v>
      </c>
      <c r="E98" s="560">
        <f>'19'!F98</f>
        <v>146838</v>
      </c>
      <c r="F98" s="560">
        <v>144936</v>
      </c>
      <c r="G98" s="549">
        <f t="shared" si="10"/>
        <v>-1902</v>
      </c>
      <c r="H98" s="536">
        <f>G98+'19'!H98</f>
        <v>-618</v>
      </c>
      <c r="I98" s="556"/>
      <c r="J98" s="629">
        <f>H98/DAY(B2)</f>
        <v>-30.9</v>
      </c>
      <c r="K98" s="411"/>
      <c r="L98" s="408"/>
      <c r="N98" s="413"/>
      <c r="O98" s="413"/>
    </row>
    <row r="99" spans="1:15" ht="27.75">
      <c r="A99" s="1231" t="s">
        <v>224</v>
      </c>
      <c r="B99" s="1232"/>
      <c r="C99" s="1232"/>
      <c r="D99" s="599" t="s">
        <v>155</v>
      </c>
      <c r="E99" s="560">
        <f>'19'!F99</f>
        <v>6243</v>
      </c>
      <c r="F99" s="560">
        <v>5772</v>
      </c>
      <c r="G99" s="549">
        <f t="shared" si="10"/>
        <v>-471</v>
      </c>
      <c r="H99" s="536">
        <f>G99+'19'!H99</f>
        <v>-202</v>
      </c>
      <c r="I99" s="556"/>
      <c r="J99" s="629">
        <f>H99/DAY(B2)</f>
        <v>-10.1</v>
      </c>
      <c r="K99" s="411"/>
      <c r="L99" s="408"/>
      <c r="N99" s="413"/>
      <c r="O99" s="413"/>
    </row>
    <row r="100" spans="1:15" ht="27.75">
      <c r="A100" s="1231" t="s">
        <v>225</v>
      </c>
      <c r="B100" s="1232"/>
      <c r="C100" s="1232"/>
      <c r="D100" s="599" t="s">
        <v>155</v>
      </c>
      <c r="E100" s="560">
        <f>'19'!F100</f>
        <v>4412</v>
      </c>
      <c r="F100" s="560">
        <v>4142</v>
      </c>
      <c r="G100" s="549">
        <f t="shared" si="10"/>
        <v>-270</v>
      </c>
      <c r="H100" s="536">
        <f>G100+'19'!H100</f>
        <v>-95</v>
      </c>
      <c r="I100" s="556"/>
      <c r="J100" s="629">
        <f>H100/DAY(B2)</f>
        <v>-4.75</v>
      </c>
      <c r="K100" s="411"/>
      <c r="L100" s="408"/>
      <c r="N100" s="413"/>
      <c r="O100" s="413"/>
    </row>
    <row r="101" spans="1:15">
      <c r="A101" s="1434" t="s">
        <v>227</v>
      </c>
      <c r="B101" s="1435"/>
      <c r="C101" s="1436"/>
      <c r="D101" s="600"/>
      <c r="E101" s="600"/>
      <c r="F101" s="600"/>
      <c r="G101" s="601">
        <f>SUM(G95:G100)</f>
        <v>-6550</v>
      </c>
      <c r="H101" s="536">
        <f>G101+'19'!H101</f>
        <v>-2160</v>
      </c>
      <c r="I101" s="602"/>
      <c r="J101" s="629">
        <f>H101/DAY(B2)</f>
        <v>-108</v>
      </c>
      <c r="K101" s="411"/>
      <c r="L101" s="408"/>
      <c r="N101" s="413"/>
      <c r="O101" s="413"/>
    </row>
    <row r="102" spans="1:15" s="481" customFormat="1" ht="27">
      <c r="A102" s="684" t="s">
        <v>228</v>
      </c>
      <c r="B102" s="685"/>
      <c r="C102" s="685"/>
      <c r="D102" s="698"/>
      <c r="E102" s="604"/>
      <c r="F102" s="604"/>
      <c r="G102" s="605"/>
      <c r="H102" s="606"/>
      <c r="I102" s="607"/>
      <c r="J102" s="634"/>
      <c r="N102" s="493"/>
      <c r="O102" s="413"/>
    </row>
    <row r="103" spans="1:15" s="481" customFormat="1" ht="27.75">
      <c r="A103" s="1437" t="s">
        <v>229</v>
      </c>
      <c r="B103" s="1438"/>
      <c r="C103" s="650"/>
      <c r="D103" s="699"/>
      <c r="E103" s="608"/>
      <c r="F103" s="608"/>
      <c r="G103" s="608"/>
      <c r="H103" s="609"/>
      <c r="I103" s="608"/>
      <c r="J103" s="635"/>
      <c r="N103" s="493"/>
      <c r="O103" s="413"/>
    </row>
    <row r="104" spans="1:15" s="481" customFormat="1" ht="27.75">
      <c r="A104" s="1398" t="s">
        <v>230</v>
      </c>
      <c r="B104" s="1399"/>
      <c r="C104" s="1229"/>
      <c r="D104" s="699" t="s">
        <v>155</v>
      </c>
      <c r="E104" s="608">
        <f>'19'!F104</f>
        <v>7097</v>
      </c>
      <c r="F104" s="608">
        <v>7010</v>
      </c>
      <c r="G104" s="608">
        <f>F104-E104</f>
        <v>-87</v>
      </c>
      <c r="H104" s="609">
        <f>SUM(G104+'1'!G76)</f>
        <v>-13</v>
      </c>
      <c r="I104" s="608"/>
      <c r="J104" s="635">
        <f>H104/DAY(B2)</f>
        <v>-0.65</v>
      </c>
      <c r="N104" s="493"/>
      <c r="O104" s="413"/>
    </row>
    <row r="105" spans="1:15" s="481" customFormat="1" ht="27.75">
      <c r="A105" s="1398" t="s">
        <v>77</v>
      </c>
      <c r="B105" s="1399"/>
      <c r="C105" s="1229"/>
      <c r="D105" s="699" t="s">
        <v>155</v>
      </c>
      <c r="E105" s="610">
        <f>'19'!F105</f>
        <v>35321</v>
      </c>
      <c r="F105" s="610">
        <v>35075</v>
      </c>
      <c r="G105" s="608">
        <f t="shared" ref="G105:G106" si="11">F105-E105</f>
        <v>-246</v>
      </c>
      <c r="H105" s="609">
        <f>SUM(G105+'1'!G77)</f>
        <v>-198</v>
      </c>
      <c r="I105" s="608"/>
      <c r="J105" s="635">
        <f>H105/DAY(B2)</f>
        <v>-9.9</v>
      </c>
      <c r="N105" s="493"/>
      <c r="O105" s="413"/>
    </row>
    <row r="106" spans="1:15" s="481" customFormat="1" ht="27.75">
      <c r="A106" s="1398" t="s">
        <v>78</v>
      </c>
      <c r="B106" s="1439"/>
      <c r="C106" s="1399"/>
      <c r="D106" s="699" t="s">
        <v>155</v>
      </c>
      <c r="E106" s="608">
        <f>'19'!F106</f>
        <v>19195</v>
      </c>
      <c r="F106" s="608">
        <v>19023</v>
      </c>
      <c r="G106" s="608">
        <f t="shared" si="11"/>
        <v>-172</v>
      </c>
      <c r="H106" s="609">
        <f>SUM(G106+'1'!G78)</f>
        <v>162</v>
      </c>
      <c r="I106" s="608"/>
      <c r="J106" s="635">
        <f>H106/DAY(B2)</f>
        <v>8.1</v>
      </c>
      <c r="N106" s="493"/>
      <c r="O106" s="413"/>
    </row>
    <row r="107" spans="1:15" s="481" customFormat="1" ht="27.75">
      <c r="A107" s="1400" t="s">
        <v>213</v>
      </c>
      <c r="B107" s="1401"/>
      <c r="C107" s="1229"/>
      <c r="D107" s="699"/>
      <c r="E107" s="608">
        <f>'19'!F107</f>
        <v>0</v>
      </c>
      <c r="F107" s="608"/>
      <c r="G107" s="608">
        <f>SUM(G104:G106)</f>
        <v>-505</v>
      </c>
      <c r="H107" s="609">
        <f>SUM(G107+'1'!G79)</f>
        <v>-300</v>
      </c>
      <c r="I107" s="608"/>
      <c r="J107" s="635">
        <f>H107/DAY(B2)</f>
        <v>-15</v>
      </c>
      <c r="N107" s="493"/>
      <c r="O107" s="413"/>
    </row>
    <row r="108" spans="1:15" s="481" customFormat="1" ht="27.75">
      <c r="A108" s="1404" t="s">
        <v>79</v>
      </c>
      <c r="B108" s="1405"/>
      <c r="C108" s="1229"/>
      <c r="D108" s="699" t="s">
        <v>155</v>
      </c>
      <c r="E108" s="608">
        <f>'19'!F108</f>
        <v>0</v>
      </c>
      <c r="F108" s="608"/>
      <c r="G108" s="608"/>
      <c r="H108" s="609"/>
      <c r="I108" s="608"/>
      <c r="J108" s="635"/>
      <c r="N108" s="493"/>
      <c r="O108" s="413"/>
    </row>
    <row r="109" spans="1:15" s="481" customFormat="1" ht="27.75">
      <c r="A109" s="1398" t="s">
        <v>231</v>
      </c>
      <c r="B109" s="1399"/>
      <c r="C109" s="1229"/>
      <c r="D109" s="699" t="s">
        <v>155</v>
      </c>
      <c r="E109" s="608">
        <f>'19'!F109</f>
        <v>55788</v>
      </c>
      <c r="F109" s="608">
        <v>54105</v>
      </c>
      <c r="G109" s="608">
        <f>F109-E109</f>
        <v>-1683</v>
      </c>
      <c r="H109" s="609">
        <f>SUM(G109+'1'!G81)</f>
        <v>-1607</v>
      </c>
      <c r="I109" s="608"/>
      <c r="J109" s="635">
        <f>H109/DAY(B2)</f>
        <v>-80.349999999999994</v>
      </c>
      <c r="N109" s="493"/>
      <c r="O109" s="413"/>
    </row>
    <row r="110" spans="1:15" s="481" customFormat="1" ht="27.75">
      <c r="A110" s="1398" t="s">
        <v>232</v>
      </c>
      <c r="B110" s="1399"/>
      <c r="C110" s="1229"/>
      <c r="D110" s="699" t="s">
        <v>155</v>
      </c>
      <c r="E110" s="608">
        <f>'19'!F110</f>
        <v>29737</v>
      </c>
      <c r="F110" s="608">
        <v>27973</v>
      </c>
      <c r="G110" s="608">
        <f t="shared" ref="G110:G111" si="12">F110-E110</f>
        <v>-1764</v>
      </c>
      <c r="H110" s="609">
        <f>SUM(G110+'1'!G82)</f>
        <v>-1719</v>
      </c>
      <c r="I110" s="608"/>
      <c r="J110" s="635">
        <f>H110/DAY(B2)</f>
        <v>-85.95</v>
      </c>
      <c r="N110" s="493"/>
      <c r="O110" s="413"/>
    </row>
    <row r="111" spans="1:15" s="481" customFormat="1" ht="27.75">
      <c r="A111" s="1398" t="s">
        <v>233</v>
      </c>
      <c r="B111" s="1399"/>
      <c r="C111" s="1229"/>
      <c r="D111" s="699" t="s">
        <v>155</v>
      </c>
      <c r="E111" s="608">
        <f>'19'!F111</f>
        <v>3912</v>
      </c>
      <c r="F111" s="608">
        <v>3677</v>
      </c>
      <c r="G111" s="608">
        <f t="shared" si="12"/>
        <v>-235</v>
      </c>
      <c r="H111" s="609">
        <f>SUM(G111+'1'!G83)</f>
        <v>198</v>
      </c>
      <c r="I111" s="608"/>
      <c r="J111" s="635">
        <f>H111/DAY(B2)</f>
        <v>9.9</v>
      </c>
      <c r="N111" s="493"/>
      <c r="O111" s="413"/>
    </row>
    <row r="112" spans="1:15" s="481" customFormat="1" ht="27.75">
      <c r="A112" s="1402" t="s">
        <v>121</v>
      </c>
      <c r="B112" s="1403"/>
      <c r="C112" s="1229"/>
      <c r="D112" s="699"/>
      <c r="E112" s="608">
        <f>'19'!F112</f>
        <v>0</v>
      </c>
      <c r="F112" s="608"/>
      <c r="G112" s="608">
        <f>SUM(G109:G111)</f>
        <v>-3682</v>
      </c>
      <c r="H112" s="609">
        <f>SUM(G112+'1'!G84)</f>
        <v>-3161</v>
      </c>
      <c r="I112" s="608"/>
      <c r="J112" s="635">
        <f>H112/DAY(B2)</f>
        <v>-158.05000000000001</v>
      </c>
      <c r="N112" s="493"/>
      <c r="O112" s="413"/>
    </row>
    <row r="113" spans="1:15" s="481" customFormat="1" ht="27.75">
      <c r="A113" s="1404" t="s">
        <v>234</v>
      </c>
      <c r="B113" s="1405"/>
      <c r="C113" s="1229"/>
      <c r="D113" s="699"/>
      <c r="E113" s="608">
        <f>'19'!F113</f>
        <v>0</v>
      </c>
      <c r="F113" s="608"/>
      <c r="G113" s="608"/>
      <c r="H113" s="609"/>
      <c r="I113" s="608"/>
      <c r="J113" s="635">
        <f>H113/DAY(B2)</f>
        <v>0</v>
      </c>
      <c r="N113" s="493"/>
      <c r="O113" s="413"/>
    </row>
    <row r="114" spans="1:15" s="481" customFormat="1" ht="27.75">
      <c r="A114" s="1398" t="s">
        <v>235</v>
      </c>
      <c r="B114" s="1399"/>
      <c r="C114" s="651"/>
      <c r="D114" s="699" t="s">
        <v>155</v>
      </c>
      <c r="E114" s="610">
        <f>'19'!F114</f>
        <v>10125</v>
      </c>
      <c r="F114" s="610">
        <v>9564</v>
      </c>
      <c r="G114" s="610">
        <f>F114-E114</f>
        <v>-561</v>
      </c>
      <c r="H114" s="609">
        <f>SUM(G114+'1'!G91)</f>
        <v>-561</v>
      </c>
      <c r="I114" s="608"/>
      <c r="J114" s="635">
        <f>H114/DAY(B2)</f>
        <v>-28.05</v>
      </c>
      <c r="N114" s="493"/>
      <c r="O114" s="413"/>
    </row>
    <row r="115" spans="1:15" s="481" customFormat="1" ht="27.75">
      <c r="A115" s="1398" t="s">
        <v>236</v>
      </c>
      <c r="B115" s="1399"/>
      <c r="C115" s="651"/>
      <c r="D115" s="699" t="s">
        <v>155</v>
      </c>
      <c r="E115" s="610">
        <f>'19'!F115</f>
        <v>7568</v>
      </c>
      <c r="F115" s="610">
        <v>7346</v>
      </c>
      <c r="G115" s="610">
        <f t="shared" ref="G115:G116" si="13">F115-E115</f>
        <v>-222</v>
      </c>
      <c r="H115" s="609">
        <f>SUM(G115+'1'!G92)</f>
        <v>-135</v>
      </c>
      <c r="I115" s="608"/>
      <c r="J115" s="635">
        <f>H115/DAY(B2)</f>
        <v>-6.75</v>
      </c>
      <c r="N115" s="493"/>
      <c r="O115" s="413"/>
    </row>
    <row r="116" spans="1:15" s="481" customFormat="1" ht="27.75">
      <c r="A116" s="1398" t="s">
        <v>237</v>
      </c>
      <c r="B116" s="1399"/>
      <c r="C116" s="651"/>
      <c r="D116" s="699" t="s">
        <v>155</v>
      </c>
      <c r="E116" s="610"/>
      <c r="F116" s="610"/>
      <c r="G116" s="610">
        <f t="shared" si="13"/>
        <v>0</v>
      </c>
      <c r="H116" s="609">
        <f>SUM(G116+'1'!G93)</f>
        <v>200</v>
      </c>
      <c r="I116" s="608"/>
      <c r="J116" s="635">
        <f>H116/DAY(B2)</f>
        <v>10</v>
      </c>
      <c r="N116" s="493"/>
      <c r="O116" s="413"/>
    </row>
    <row r="117" spans="1:15" s="494" customFormat="1" ht="27.75">
      <c r="A117" s="1400" t="s">
        <v>213</v>
      </c>
      <c r="B117" s="1401"/>
      <c r="C117" s="651"/>
      <c r="D117" s="700"/>
      <c r="E117" s="610"/>
      <c r="F117" s="610"/>
      <c r="G117" s="610">
        <f>SUM(G114:G116)</f>
        <v>-783</v>
      </c>
      <c r="H117" s="609">
        <f>SUM(G117+'1'!G95)</f>
        <v>-711</v>
      </c>
      <c r="I117" s="610"/>
      <c r="J117" s="635">
        <f>H117/DAY(B2)</f>
        <v>-35.549999999999997</v>
      </c>
      <c r="N117" s="522"/>
      <c r="O117" s="413"/>
    </row>
    <row r="118" spans="1:15" s="495" customFormat="1" ht="27.75">
      <c r="A118" s="1394" t="s">
        <v>238</v>
      </c>
      <c r="B118" s="1395"/>
      <c r="C118" s="1228"/>
      <c r="D118" s="701" t="s">
        <v>155</v>
      </c>
      <c r="E118" s="612"/>
      <c r="F118" s="612">
        <f>SUM(G19+G92)</f>
        <v>-4602</v>
      </c>
      <c r="G118" s="612">
        <f>SUM(G19+G92)</f>
        <v>-4602</v>
      </c>
      <c r="H118" s="609">
        <f>SUM(G118+'1'!G96)</f>
        <v>-4579</v>
      </c>
      <c r="I118" s="611"/>
      <c r="J118" s="636">
        <f>H118/DAY(B2)</f>
        <v>-228.95</v>
      </c>
      <c r="N118" s="861"/>
      <c r="O118" s="413"/>
    </row>
    <row r="119" spans="1:15" s="495" customFormat="1" ht="27.75">
      <c r="A119" s="1394" t="s">
        <v>239</v>
      </c>
      <c r="B119" s="1395"/>
      <c r="C119" s="1228"/>
      <c r="D119" s="701" t="s">
        <v>155</v>
      </c>
      <c r="E119" s="612"/>
      <c r="F119" s="612">
        <f>SUM(G95,G96,G97,G99,G100)</f>
        <v>-4648</v>
      </c>
      <c r="G119" s="612">
        <f>SUM(G95,G96,G97,G99,G100)</f>
        <v>-4648</v>
      </c>
      <c r="H119" s="609">
        <f>SUM(G119+'1'!G98)</f>
        <v>-4565</v>
      </c>
      <c r="I119" s="611"/>
      <c r="J119" s="636">
        <f>H119/DAY(B2)</f>
        <v>-228.25</v>
      </c>
      <c r="N119" s="861"/>
      <c r="O119" s="413"/>
    </row>
    <row r="120" spans="1:15" s="495" customFormat="1" ht="27.75">
      <c r="A120" s="1394" t="s">
        <v>240</v>
      </c>
      <c r="B120" s="1395"/>
      <c r="C120" s="1228"/>
      <c r="D120" s="701" t="s">
        <v>155</v>
      </c>
      <c r="E120" s="610"/>
      <c r="F120" s="610">
        <f>SUM(G112)</f>
        <v>-3682</v>
      </c>
      <c r="G120" s="610">
        <f>SUM(G112)</f>
        <v>-3682</v>
      </c>
      <c r="H120" s="609">
        <f>SUM(G120+'1'!G100)</f>
        <v>-3676</v>
      </c>
      <c r="I120" s="611"/>
      <c r="J120" s="636">
        <f>H120/DAY(B2)</f>
        <v>-183.8</v>
      </c>
      <c r="N120" s="861"/>
      <c r="O120" s="413"/>
    </row>
    <row r="121" spans="1:15" s="481" customFormat="1" ht="27.75">
      <c r="A121" s="1396"/>
      <c r="B121" s="1397"/>
      <c r="C121" s="1229"/>
      <c r="D121" s="637"/>
      <c r="E121" s="637"/>
      <c r="F121" s="637" t="s">
        <v>226</v>
      </c>
      <c r="G121" s="637"/>
      <c r="H121" s="638"/>
      <c r="I121" s="637"/>
      <c r="J121" s="639"/>
      <c r="N121" s="493"/>
      <c r="O121" s="413"/>
    </row>
    <row r="122" spans="1:15">
      <c r="A122" s="1431" t="s">
        <v>241</v>
      </c>
      <c r="B122" s="1432"/>
      <c r="C122" s="1433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  <c r="O122" s="413"/>
    </row>
    <row r="123" spans="1:15" ht="27.75">
      <c r="A123" s="1231" t="s">
        <v>242</v>
      </c>
      <c r="B123" s="1232"/>
      <c r="C123" s="1232"/>
      <c r="D123" s="599" t="s">
        <v>152</v>
      </c>
      <c r="E123" s="554">
        <f>'19'!F123</f>
        <v>808618</v>
      </c>
      <c r="F123" s="554">
        <v>800460.84</v>
      </c>
      <c r="G123" s="549">
        <f t="shared" ref="G123:G127" si="14">F123-E123</f>
        <v>-8157.1600000000326</v>
      </c>
      <c r="H123" s="536">
        <f>G123+'19'!H123</f>
        <v>-2874.5600000000559</v>
      </c>
      <c r="I123" s="602"/>
      <c r="J123" s="629">
        <f>H123/DAY(B2)</f>
        <v>-143.72800000000279</v>
      </c>
      <c r="K123" s="411"/>
      <c r="L123" s="408"/>
      <c r="N123" s="413"/>
      <c r="O123" s="413"/>
    </row>
    <row r="124" spans="1:15" ht="27.75">
      <c r="A124" s="1231" t="s">
        <v>243</v>
      </c>
      <c r="B124" s="1232"/>
      <c r="C124" s="1232"/>
      <c r="D124" s="599" t="s">
        <v>152</v>
      </c>
      <c r="E124" s="703">
        <f>'19'!F124</f>
        <v>73583</v>
      </c>
      <c r="F124" s="703">
        <v>73582.3</v>
      </c>
      <c r="G124" s="549">
        <f t="shared" si="14"/>
        <v>-0.69999999999708962</v>
      </c>
      <c r="H124" s="536">
        <f>G124+'19'!H124</f>
        <v>0.30000000000291038</v>
      </c>
      <c r="I124" s="602"/>
      <c r="J124" s="629">
        <f>H124/DAY(B2)</f>
        <v>1.5000000000145518E-2</v>
      </c>
      <c r="K124" s="411"/>
      <c r="L124" s="408"/>
      <c r="N124" s="413"/>
      <c r="O124" s="413"/>
    </row>
    <row r="125" spans="1:15" ht="27.75">
      <c r="A125" s="1385" t="s">
        <v>244</v>
      </c>
      <c r="B125" s="1386"/>
      <c r="C125" s="1387"/>
      <c r="D125" s="599" t="s">
        <v>152</v>
      </c>
      <c r="E125" s="554">
        <f>'19'!F125</f>
        <v>139316</v>
      </c>
      <c r="F125" s="554">
        <v>137080.29</v>
      </c>
      <c r="G125" s="549">
        <f t="shared" si="14"/>
        <v>-2235.7099999999919</v>
      </c>
      <c r="H125" s="536">
        <f>G125+'19'!H125</f>
        <v>-767.70999999999185</v>
      </c>
      <c r="I125" s="602"/>
      <c r="J125" s="629">
        <f>H125/DAY(B2)</f>
        <v>-38.385499999999595</v>
      </c>
      <c r="K125" s="411"/>
      <c r="L125" s="408"/>
      <c r="N125" s="413"/>
      <c r="O125" s="413"/>
    </row>
    <row r="126" spans="1:15" ht="27.75">
      <c r="A126" s="686" t="s">
        <v>245</v>
      </c>
      <c r="B126" s="1232"/>
      <c r="C126" s="1232"/>
      <c r="D126" s="599" t="s">
        <v>152</v>
      </c>
      <c r="E126" s="703">
        <f>'19'!F126</f>
        <v>59079</v>
      </c>
      <c r="F126" s="703">
        <v>58027.5</v>
      </c>
      <c r="G126" s="549">
        <f t="shared" si="14"/>
        <v>-1051.5</v>
      </c>
      <c r="H126" s="536">
        <f>G126+'19'!H126</f>
        <v>-364.19999999999709</v>
      </c>
      <c r="I126" s="602"/>
      <c r="J126" s="629">
        <f>H126/DAY(B2)</f>
        <v>-18.209999999999855</v>
      </c>
      <c r="K126" s="411"/>
      <c r="L126" s="408"/>
      <c r="N126" s="413"/>
      <c r="O126" s="413"/>
    </row>
    <row r="127" spans="1:15" ht="27.75">
      <c r="A127" s="686" t="s">
        <v>246</v>
      </c>
      <c r="B127" s="1232"/>
      <c r="C127" s="1232"/>
      <c r="D127" s="599" t="s">
        <v>152</v>
      </c>
      <c r="E127" s="703">
        <f>'19'!F127</f>
        <v>8871</v>
      </c>
      <c r="F127" s="703">
        <v>8777.1</v>
      </c>
      <c r="G127" s="549">
        <f t="shared" si="14"/>
        <v>-93.899999999999636</v>
      </c>
      <c r="H127" s="536">
        <f>G127+'19'!H127</f>
        <v>-38.899999999999636</v>
      </c>
      <c r="I127" s="556"/>
      <c r="J127" s="629">
        <f>H127/DAY(B2)</f>
        <v>-1.9449999999999819</v>
      </c>
      <c r="K127" s="411"/>
      <c r="L127" s="408"/>
      <c r="N127" s="413"/>
      <c r="O127" s="413"/>
    </row>
    <row r="128" spans="1:15" s="281" customFormat="1" ht="27.75">
      <c r="A128" s="686" t="s">
        <v>247</v>
      </c>
      <c r="B128" s="1232"/>
      <c r="C128" s="1232"/>
      <c r="D128" s="599"/>
      <c r="E128" s="554"/>
      <c r="F128" s="554"/>
      <c r="G128" s="549">
        <f>G15-SUM(G123:G127)</f>
        <v>-14380.029999999979</v>
      </c>
      <c r="H128" s="536">
        <f>G128+'19'!H128</f>
        <v>-12172.520000000126</v>
      </c>
      <c r="I128" s="556"/>
      <c r="J128" s="629">
        <f>H128/DAY(B2)</f>
        <v>-608.62600000000634</v>
      </c>
      <c r="K128" s="391"/>
      <c r="L128" s="293"/>
      <c r="N128" s="395"/>
      <c r="O128" s="413"/>
    </row>
    <row r="129" spans="1:15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  <c r="O129" s="413"/>
    </row>
    <row r="130" spans="1:15" ht="27.75">
      <c r="A130" s="1231" t="s">
        <v>249</v>
      </c>
      <c r="B130" s="1232"/>
      <c r="C130" s="1232"/>
      <c r="D130" s="599" t="s">
        <v>250</v>
      </c>
      <c r="E130" s="560">
        <f>'19'!F130</f>
        <v>0</v>
      </c>
      <c r="F130" s="560">
        <v>0</v>
      </c>
      <c r="G130" s="549">
        <f t="shared" ref="G130:G140" si="15">F130-E130</f>
        <v>0</v>
      </c>
      <c r="H130" s="536">
        <f>G130+'19'!H130</f>
        <v>0</v>
      </c>
      <c r="I130" s="556"/>
      <c r="J130" s="629">
        <f>H130/DAY(B2)</f>
        <v>0</v>
      </c>
      <c r="N130" s="413"/>
      <c r="O130" s="413"/>
    </row>
    <row r="131" spans="1:15" ht="27.75">
      <c r="A131" s="1231" t="s">
        <v>251</v>
      </c>
      <c r="B131" s="1232"/>
      <c r="C131" s="1232"/>
      <c r="D131" s="599" t="s">
        <v>250</v>
      </c>
      <c r="E131" s="560">
        <f>'19'!F131</f>
        <v>0</v>
      </c>
      <c r="F131" s="560">
        <v>0</v>
      </c>
      <c r="G131" s="549">
        <f t="shared" si="15"/>
        <v>0</v>
      </c>
      <c r="H131" s="536">
        <f>G131+'19'!H131</f>
        <v>0</v>
      </c>
      <c r="I131" s="556"/>
      <c r="J131" s="629">
        <f>H131/DAY(B2)</f>
        <v>0</v>
      </c>
      <c r="N131" s="413"/>
      <c r="O131" s="413"/>
    </row>
    <row r="132" spans="1:15" ht="27.75">
      <c r="A132" s="1231" t="s">
        <v>252</v>
      </c>
      <c r="B132" s="1232"/>
      <c r="C132" s="1232"/>
      <c r="D132" s="599" t="s">
        <v>250</v>
      </c>
      <c r="E132" s="618">
        <v>38829.480000000003</v>
      </c>
      <c r="F132" s="618">
        <v>38841.050000000003</v>
      </c>
      <c r="G132" s="549">
        <f t="shared" si="15"/>
        <v>11.569999999999709</v>
      </c>
      <c r="H132" s="536">
        <f>G132+'19'!H132</f>
        <v>122.65999999999622</v>
      </c>
      <c r="I132" s="556"/>
      <c r="J132" s="629">
        <f>H132/DAY(B2)</f>
        <v>6.1329999999998108</v>
      </c>
      <c r="N132" s="413"/>
      <c r="O132" s="413"/>
    </row>
    <row r="133" spans="1:15" s="480" customFormat="1" ht="27.75">
      <c r="A133" s="1158" t="s">
        <v>253</v>
      </c>
      <c r="B133" s="1159"/>
      <c r="C133" s="1159"/>
      <c r="D133" s="704" t="s">
        <v>250</v>
      </c>
      <c r="E133" s="618">
        <f>'19'!F133</f>
        <v>299.52</v>
      </c>
      <c r="F133" s="618">
        <v>299.02</v>
      </c>
      <c r="G133" s="733">
        <f t="shared" si="15"/>
        <v>-0.5</v>
      </c>
      <c r="H133" s="787">
        <f>G133+'19'!H133</f>
        <v>1.999999999998181E-2</v>
      </c>
      <c r="I133" s="1160">
        <f>G130+G131+G132+G133</f>
        <v>11.069999999999709</v>
      </c>
      <c r="J133" s="789">
        <f>H133/DAY(B2)</f>
        <v>9.9999999999909059E-4</v>
      </c>
      <c r="N133" s="795"/>
      <c r="O133" s="795"/>
    </row>
    <row r="134" spans="1:15" ht="27.75">
      <c r="A134" s="1231" t="s">
        <v>254</v>
      </c>
      <c r="B134" s="1232"/>
      <c r="C134" s="1232"/>
      <c r="D134" s="599" t="s">
        <v>250</v>
      </c>
      <c r="E134" s="618">
        <f>'19'!F134</f>
        <v>40260.519999999997</v>
      </c>
      <c r="F134" s="618">
        <v>39951.050000000003</v>
      </c>
      <c r="G134" s="549">
        <f t="shared" si="15"/>
        <v>-309.46999999999389</v>
      </c>
      <c r="H134" s="536">
        <f>G134+'19'!H134</f>
        <v>5.0000000002910383E-2</v>
      </c>
      <c r="I134" s="556"/>
      <c r="J134" s="629">
        <f>H134/DAY(B2)</f>
        <v>2.5000000001455191E-3</v>
      </c>
      <c r="N134" s="413"/>
      <c r="O134" s="413"/>
    </row>
    <row r="135" spans="1:15" ht="27.75">
      <c r="A135" s="1231" t="s">
        <v>255</v>
      </c>
      <c r="B135" s="1232"/>
      <c r="C135" s="1232"/>
      <c r="D135" s="599" t="s">
        <v>250</v>
      </c>
      <c r="E135" s="618">
        <f>'19'!F135</f>
        <v>32458</v>
      </c>
      <c r="F135" s="618">
        <v>32423</v>
      </c>
      <c r="G135" s="549">
        <f t="shared" si="15"/>
        <v>-35</v>
      </c>
      <c r="H135" s="536">
        <f>G135+'19'!H135</f>
        <v>0</v>
      </c>
      <c r="I135" s="556"/>
      <c r="J135" s="629">
        <f>H135/DAY(B2)</f>
        <v>0</v>
      </c>
      <c r="N135" s="413"/>
      <c r="O135" s="413"/>
    </row>
    <row r="136" spans="1:15" ht="27.75">
      <c r="A136" s="1231" t="s">
        <v>256</v>
      </c>
      <c r="B136" s="1232"/>
      <c r="C136" s="1232"/>
      <c r="D136" s="599" t="s">
        <v>250</v>
      </c>
      <c r="E136" s="618">
        <f>'19'!F136</f>
        <v>22143.66</v>
      </c>
      <c r="F136" s="618">
        <v>21935.87</v>
      </c>
      <c r="G136" s="549">
        <f t="shared" si="15"/>
        <v>-207.79000000000087</v>
      </c>
      <c r="H136" s="536">
        <f>G136+'19'!H136</f>
        <v>-66.090000000000146</v>
      </c>
      <c r="I136" s="556">
        <f>G134+G135+G136</f>
        <v>-552.25999999999476</v>
      </c>
      <c r="J136" s="629">
        <f>H136/DAY(B2)</f>
        <v>-3.3045000000000071</v>
      </c>
      <c r="N136" s="413"/>
      <c r="O136" s="413"/>
    </row>
    <row r="137" spans="1:15" ht="27.75">
      <c r="A137" s="1231" t="s">
        <v>257</v>
      </c>
      <c r="B137" s="1232"/>
      <c r="C137" s="1232"/>
      <c r="D137" s="599" t="s">
        <v>250</v>
      </c>
      <c r="E137" s="618">
        <f>'19'!F137</f>
        <v>25036.560000000001</v>
      </c>
      <c r="F137" s="618">
        <v>25000.560000000001</v>
      </c>
      <c r="G137" s="549">
        <f t="shared" si="15"/>
        <v>-36</v>
      </c>
      <c r="H137" s="536">
        <f>G137+'19'!H137</f>
        <v>-19.379999999997381</v>
      </c>
      <c r="I137" s="556"/>
      <c r="J137" s="629">
        <f>H137/DAY(B2)</f>
        <v>-0.96899999999986908</v>
      </c>
      <c r="N137" s="413"/>
      <c r="O137" s="413"/>
    </row>
    <row r="138" spans="1:15" ht="27.75">
      <c r="A138" s="1231" t="s">
        <v>258</v>
      </c>
      <c r="B138" s="1232"/>
      <c r="C138" s="1232"/>
      <c r="D138" s="599" t="s">
        <v>250</v>
      </c>
      <c r="E138" s="618">
        <f>'19'!F138</f>
        <v>70110.710000000006</v>
      </c>
      <c r="F138" s="618">
        <v>70057.8</v>
      </c>
      <c r="G138" s="549">
        <f t="shared" si="15"/>
        <v>-52.910000000003492</v>
      </c>
      <c r="H138" s="536">
        <f>G138+'19'!H138</f>
        <v>-6.0899999999965075</v>
      </c>
      <c r="I138" s="556">
        <f>G137+G138</f>
        <v>-88.910000000003492</v>
      </c>
      <c r="J138" s="629">
        <f>H138/DAY(B2)</f>
        <v>-0.30449999999982535</v>
      </c>
      <c r="N138" s="413"/>
      <c r="O138" s="413"/>
    </row>
    <row r="139" spans="1:15" ht="27.75">
      <c r="A139" s="1231" t="s">
        <v>259</v>
      </c>
      <c r="B139" s="1232"/>
      <c r="C139" s="1232"/>
      <c r="D139" s="599" t="s">
        <v>250</v>
      </c>
      <c r="E139" s="560">
        <f>'19'!F139</f>
        <v>1354.21</v>
      </c>
      <c r="F139" s="560">
        <v>1117.28</v>
      </c>
      <c r="G139" s="549">
        <f t="shared" si="15"/>
        <v>-236.93000000000006</v>
      </c>
      <c r="H139" s="536">
        <f>G139+'19'!H139</f>
        <v>-83.309999999999945</v>
      </c>
      <c r="I139" s="619"/>
      <c r="J139" s="629">
        <f>H139/DAY(B2)</f>
        <v>-4.1654999999999971</v>
      </c>
      <c r="N139" s="413"/>
      <c r="O139" s="413"/>
    </row>
    <row r="140" spans="1:15" ht="27.75">
      <c r="A140" s="1231" t="s">
        <v>260</v>
      </c>
      <c r="B140" s="1232"/>
      <c r="C140" s="1232"/>
      <c r="D140" s="599" t="s">
        <v>250</v>
      </c>
      <c r="E140" s="560">
        <f>'19'!F140</f>
        <v>4333.53</v>
      </c>
      <c r="F140" s="560">
        <v>4333.53</v>
      </c>
      <c r="G140" s="549">
        <f t="shared" si="15"/>
        <v>0</v>
      </c>
      <c r="H140" s="536">
        <f>G140+'19'!H140</f>
        <v>-0.47000000000025466</v>
      </c>
      <c r="I140" s="619"/>
      <c r="J140" s="629">
        <f>H140/DAY(B2)</f>
        <v>-2.3500000000012733E-2</v>
      </c>
      <c r="N140" s="413"/>
      <c r="O140" s="413"/>
    </row>
    <row r="141" spans="1:15">
      <c r="A141" s="1412" t="s">
        <v>261</v>
      </c>
      <c r="B141" s="1413"/>
      <c r="C141" s="1237"/>
      <c r="D141" s="548"/>
      <c r="E141" s="548"/>
      <c r="F141" s="548"/>
      <c r="G141" s="559"/>
      <c r="H141" s="559"/>
      <c r="I141" s="559"/>
      <c r="J141" s="640"/>
      <c r="K141" s="411"/>
      <c r="L141" s="408"/>
      <c r="N141" s="413"/>
      <c r="O141" s="413"/>
    </row>
    <row r="142" spans="1:15" ht="27.75">
      <c r="A142" s="1406" t="s">
        <v>262</v>
      </c>
      <c r="B142" s="1407"/>
      <c r="C142" s="1408"/>
      <c r="D142" s="599" t="s">
        <v>143</v>
      </c>
      <c r="E142" s="599"/>
      <c r="F142" s="599"/>
      <c r="G142" s="536">
        <f>G35+G43+G49+G57</f>
        <v>-155860.84999999998</v>
      </c>
      <c r="H142" s="536">
        <f>G142+'19'!H142</f>
        <v>-61561.919999999984</v>
      </c>
      <c r="I142" s="556"/>
      <c r="J142" s="629">
        <f>H142/DAY(B2)</f>
        <v>-3078.0959999999991</v>
      </c>
      <c r="K142" s="411"/>
      <c r="L142" s="408"/>
      <c r="N142" s="413"/>
      <c r="O142" s="413"/>
    </row>
    <row r="143" spans="1:15" ht="27.75">
      <c r="A143" s="1406" t="s">
        <v>263</v>
      </c>
      <c r="B143" s="1407"/>
      <c r="C143" s="1408"/>
      <c r="D143" s="599" t="s">
        <v>24</v>
      </c>
      <c r="E143" s="587"/>
      <c r="F143" s="587"/>
      <c r="G143" s="620">
        <f>G142/G7</f>
        <v>0.26885029436066032</v>
      </c>
      <c r="H143" s="536">
        <f>G143+'19'!H143</f>
        <v>4.947329069647564</v>
      </c>
      <c r="I143" s="621"/>
      <c r="J143" s="629">
        <f>H143/DAY(B2)</f>
        <v>0.24736645348237821</v>
      </c>
      <c r="K143" s="411"/>
      <c r="L143" s="408"/>
      <c r="N143" s="413"/>
      <c r="O143" s="413"/>
    </row>
    <row r="144" spans="1:15" ht="27.75">
      <c r="A144" s="1406" t="s">
        <v>264</v>
      </c>
      <c r="B144" s="1407"/>
      <c r="C144" s="1408"/>
      <c r="D144" s="599" t="s">
        <v>143</v>
      </c>
      <c r="E144" s="531"/>
      <c r="F144" s="531"/>
      <c r="G144" s="536">
        <f>G41+G42+G55+G56</f>
        <v>-59737.499999999985</v>
      </c>
      <c r="H144" s="536">
        <f>G144+'19'!H144</f>
        <v>21389.489999999976</v>
      </c>
      <c r="I144" s="556"/>
      <c r="J144" s="629">
        <f>H144/DAY(B2)</f>
        <v>1069.4744999999989</v>
      </c>
      <c r="K144" s="411"/>
      <c r="L144" s="408"/>
      <c r="N144" s="413"/>
      <c r="O144" s="413"/>
    </row>
    <row r="145" spans="1:15" ht="27.75">
      <c r="A145" s="1406" t="s">
        <v>265</v>
      </c>
      <c r="B145" s="1407"/>
      <c r="C145" s="1408"/>
      <c r="D145" s="599" t="s">
        <v>24</v>
      </c>
      <c r="E145" s="531"/>
      <c r="F145" s="531"/>
      <c r="G145" s="620">
        <f>G144/G7</f>
        <v>0.1030434805107886</v>
      </c>
      <c r="H145" s="536">
        <f>G145+'19'!H145</f>
        <v>4.2677092646472534</v>
      </c>
      <c r="I145" s="621"/>
      <c r="J145" s="629">
        <f>H145/DAY(B2)</f>
        <v>0.21338546323236268</v>
      </c>
      <c r="K145" s="411"/>
      <c r="L145" s="408"/>
      <c r="N145" s="413"/>
      <c r="O145" s="413"/>
    </row>
    <row r="146" spans="1:15" ht="27.75">
      <c r="A146" s="1406" t="s">
        <v>266</v>
      </c>
      <c r="B146" s="1407"/>
      <c r="C146" s="1408"/>
      <c r="D146" s="599" t="s">
        <v>143</v>
      </c>
      <c r="E146" s="531"/>
      <c r="F146" s="531"/>
      <c r="G146" s="536">
        <f>G39+G53</f>
        <v>786097.83</v>
      </c>
      <c r="H146" s="536">
        <f>G146+'19'!H146</f>
        <v>866531.55999999994</v>
      </c>
      <c r="I146" s="622"/>
      <c r="J146" s="629">
        <f>H146/DAY(B2)</f>
        <v>43326.577999999994</v>
      </c>
      <c r="K146" s="411"/>
      <c r="L146" s="408"/>
      <c r="N146" s="413"/>
      <c r="O146" s="413"/>
    </row>
    <row r="147" spans="1:15" ht="27.75">
      <c r="A147" s="1406" t="s">
        <v>267</v>
      </c>
      <c r="B147" s="1407"/>
      <c r="C147" s="1408"/>
      <c r="D147" s="599" t="s">
        <v>24</v>
      </c>
      <c r="E147" s="531"/>
      <c r="F147" s="531"/>
      <c r="G147" s="620">
        <f>G146/G7</f>
        <v>-1.3559699757301231</v>
      </c>
      <c r="H147" s="536">
        <f>G147+'19'!H147</f>
        <v>2.8021704921865451</v>
      </c>
      <c r="I147" s="622"/>
      <c r="J147" s="629">
        <f>H147/DAY(B2)</f>
        <v>0.14010852460932727</v>
      </c>
      <c r="N147" s="413"/>
      <c r="O147" s="413"/>
    </row>
    <row r="148" spans="1:15" ht="27.75">
      <c r="A148" s="1406" t="s">
        <v>268</v>
      </c>
      <c r="B148" s="1407"/>
      <c r="C148" s="1408"/>
      <c r="D148" s="599" t="s">
        <v>194</v>
      </c>
      <c r="E148" s="531"/>
      <c r="F148" s="531"/>
      <c r="G148" s="536">
        <f>G38+G52</f>
        <v>90839.789999999979</v>
      </c>
      <c r="H148" s="536">
        <f>G148+'19'!H148</f>
        <v>130022.23999999999</v>
      </c>
      <c r="I148" s="556"/>
      <c r="J148" s="629">
        <f>H148/DAY(B2)</f>
        <v>6501.1119999999992</v>
      </c>
      <c r="K148" s="412"/>
      <c r="N148" s="413"/>
      <c r="O148" s="413"/>
    </row>
    <row r="149" spans="1:15" ht="27.75">
      <c r="A149" s="1406" t="s">
        <v>269</v>
      </c>
      <c r="B149" s="1407"/>
      <c r="C149" s="1408"/>
      <c r="D149" s="599" t="s">
        <v>24</v>
      </c>
      <c r="E149" s="531"/>
      <c r="F149" s="531"/>
      <c r="G149" s="620">
        <f>G148/G7</f>
        <v>-0.15669300071929909</v>
      </c>
      <c r="H149" s="536">
        <f>G149+'19'!H149</f>
        <v>1.864195809137823</v>
      </c>
      <c r="I149" s="622"/>
      <c r="J149" s="629">
        <f>H149/DAY(B2)</f>
        <v>9.3209790456891151E-2</v>
      </c>
      <c r="N149" s="413"/>
      <c r="O149" s="413"/>
    </row>
    <row r="150" spans="1:15" ht="27.75">
      <c r="A150" s="1406" t="s">
        <v>270</v>
      </c>
      <c r="B150" s="1407"/>
      <c r="C150" s="1408"/>
      <c r="D150" s="599" t="s">
        <v>194</v>
      </c>
      <c r="E150" s="531"/>
      <c r="F150" s="531"/>
      <c r="G150" s="536">
        <f>G36+G50</f>
        <v>-55838.520000000019</v>
      </c>
      <c r="H150" s="536">
        <f>G150+'19'!H150</f>
        <v>-19575.280000000028</v>
      </c>
      <c r="I150" s="622"/>
      <c r="J150" s="629">
        <f>H150/DAY(B2)</f>
        <v>-978.76400000000137</v>
      </c>
      <c r="N150" s="413"/>
      <c r="O150" s="413"/>
    </row>
    <row r="151" spans="1:15" ht="27.75">
      <c r="A151" s="1406" t="s">
        <v>271</v>
      </c>
      <c r="B151" s="1407"/>
      <c r="C151" s="1408"/>
      <c r="D151" s="599" t="s">
        <v>24</v>
      </c>
      <c r="E151" s="531"/>
      <c r="F151" s="531"/>
      <c r="G151" s="620">
        <f>G150/G7</f>
        <v>9.6317981960599E-2</v>
      </c>
      <c r="H151" s="536">
        <f>G151+'19'!H151</f>
        <v>1.957251345800032</v>
      </c>
      <c r="I151" s="556"/>
      <c r="J151" s="629">
        <f>H151/DAY(B2)</f>
        <v>9.7862567290001604E-2</v>
      </c>
      <c r="N151" s="413"/>
      <c r="O151" s="413"/>
    </row>
    <row r="152" spans="1:15" ht="27.75">
      <c r="A152" s="1406" t="s">
        <v>272</v>
      </c>
      <c r="B152" s="1407"/>
      <c r="C152" s="1408"/>
      <c r="D152" s="599" t="s">
        <v>194</v>
      </c>
      <c r="E152" s="531"/>
      <c r="F152" s="531"/>
      <c r="G152" s="536">
        <f>G37+G51</f>
        <v>370083.48</v>
      </c>
      <c r="H152" s="536">
        <f>G152+'19'!H152</f>
        <v>398739.74</v>
      </c>
      <c r="I152" s="556"/>
      <c r="J152" s="629">
        <f>H152/DAY(B2)</f>
        <v>19936.987000000001</v>
      </c>
      <c r="L152" s="407" t="s">
        <v>289</v>
      </c>
      <c r="M152" s="407">
        <v>0.5</v>
      </c>
      <c r="N152" s="413">
        <v>50</v>
      </c>
      <c r="O152" s="413"/>
    </row>
    <row r="153" spans="1:15" ht="28.5" thickBot="1">
      <c r="A153" s="1409" t="s">
        <v>273</v>
      </c>
      <c r="B153" s="1410"/>
      <c r="C153" s="1411"/>
      <c r="D153" s="702" t="s">
        <v>24</v>
      </c>
      <c r="E153" s="642"/>
      <c r="F153" s="642"/>
      <c r="G153" s="643">
        <f>G152/G7</f>
        <v>-0.63837103760192226</v>
      </c>
      <c r="H153" s="536">
        <f>G153+'19'!H153</f>
        <v>0.84785421725912258</v>
      </c>
      <c r="I153" s="645"/>
      <c r="J153" s="646">
        <f>H153/DAY(B2)</f>
        <v>4.239271086295613E-2</v>
      </c>
      <c r="N153" s="413"/>
      <c r="O153" s="413"/>
    </row>
    <row r="154" spans="1:15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  <c r="O154" s="413"/>
    </row>
    <row r="160" spans="1:15">
      <c r="A160" s="868" t="s">
        <v>274</v>
      </c>
      <c r="B160" s="869"/>
      <c r="C160" s="869"/>
      <c r="D160" s="587" t="s">
        <v>198</v>
      </c>
      <c r="E160" s="739">
        <f>'19'!F160</f>
        <v>30030</v>
      </c>
      <c r="F160" s="739">
        <v>27529.31</v>
      </c>
      <c r="G160" s="549">
        <f t="shared" ref="G160:G163" si="16">F160-E160</f>
        <v>-2500.6899999999987</v>
      </c>
      <c r="K160" s="407">
        <v>70.399999999999636</v>
      </c>
      <c r="L160" s="407">
        <f t="shared" ref="L160:L171" si="17">G160-K160</f>
        <v>-2571.0899999999983</v>
      </c>
    </row>
    <row r="161" spans="1:12" ht="24.75" customHeight="1">
      <c r="A161" s="868" t="s">
        <v>275</v>
      </c>
      <c r="B161" s="869"/>
      <c r="C161" s="869"/>
      <c r="D161" s="587" t="s">
        <v>198</v>
      </c>
      <c r="E161" s="739">
        <f>'19'!F161</f>
        <v>51059</v>
      </c>
      <c r="F161" s="739">
        <v>37656.910000000003</v>
      </c>
      <c r="G161" s="549">
        <f t="shared" si="16"/>
        <v>-13402.089999999997</v>
      </c>
      <c r="K161" s="407">
        <v>124.25999999999999</v>
      </c>
      <c r="L161" s="407">
        <f t="shared" si="17"/>
        <v>-13526.349999999997</v>
      </c>
    </row>
    <row r="162" spans="1:12" ht="24.75" customHeight="1">
      <c r="A162" s="868" t="s">
        <v>276</v>
      </c>
      <c r="B162" s="869"/>
      <c r="C162" s="869"/>
      <c r="D162" s="587" t="s">
        <v>198</v>
      </c>
      <c r="E162" s="739">
        <f>'19'!F162</f>
        <v>18054</v>
      </c>
      <c r="F162" s="739">
        <v>10034.16</v>
      </c>
      <c r="G162" s="549">
        <f t="shared" si="16"/>
        <v>-8019.84</v>
      </c>
      <c r="K162" s="407">
        <v>138.98000000000002</v>
      </c>
      <c r="L162" s="407">
        <f t="shared" si="17"/>
        <v>-8158.82</v>
      </c>
    </row>
    <row r="163" spans="1:12" ht="24.75" customHeight="1">
      <c r="A163" s="868" t="s">
        <v>277</v>
      </c>
      <c r="B163" s="869"/>
      <c r="C163" s="869"/>
      <c r="D163" s="587" t="s">
        <v>198</v>
      </c>
      <c r="E163" s="739">
        <f>'19'!F163</f>
        <v>5258</v>
      </c>
      <c r="F163" s="739">
        <v>4774.5600000000004</v>
      </c>
      <c r="G163" s="549">
        <f t="shared" si="16"/>
        <v>-483.4399999999996</v>
      </c>
      <c r="K163" s="407">
        <v>45.830000000000041</v>
      </c>
      <c r="L163" s="407">
        <f t="shared" si="17"/>
        <v>-529.26999999999964</v>
      </c>
    </row>
    <row r="164" spans="1:12" ht="24.75" customHeight="1">
      <c r="A164" s="870" t="s">
        <v>106</v>
      </c>
      <c r="B164" s="681"/>
      <c r="C164" s="681"/>
      <c r="D164" s="587" t="s">
        <v>198</v>
      </c>
      <c r="E164" s="590">
        <f>E62</f>
        <v>20419.2</v>
      </c>
      <c r="F164" s="590">
        <f>F62</f>
        <v>20419.2</v>
      </c>
      <c r="G164" s="549">
        <f t="shared" ref="G164:G171" si="18">F164-E164</f>
        <v>0</v>
      </c>
      <c r="K164" s="407">
        <v>-0.18000000000029104</v>
      </c>
      <c r="L164" s="407">
        <f t="shared" si="17"/>
        <v>0.18000000000029104</v>
      </c>
    </row>
    <row r="165" spans="1:12" ht="24.75" customHeight="1">
      <c r="A165" s="870" t="s">
        <v>199</v>
      </c>
      <c r="B165" s="681"/>
      <c r="C165" s="681"/>
      <c r="D165" s="587" t="s">
        <v>198</v>
      </c>
      <c r="E165" s="590">
        <f t="shared" ref="E165:E171" si="19">E63</f>
        <v>1585</v>
      </c>
      <c r="F165" s="590">
        <f t="shared" ref="F165:F171" si="20">F63</f>
        <v>1219.9000000000001</v>
      </c>
      <c r="G165" s="549">
        <f t="shared" si="18"/>
        <v>-365.09999999999991</v>
      </c>
      <c r="K165" s="407">
        <v>0</v>
      </c>
      <c r="L165" s="407">
        <f t="shared" si="17"/>
        <v>-365.09999999999991</v>
      </c>
    </row>
    <row r="166" spans="1:12" ht="24.75" customHeight="1">
      <c r="A166" s="1381" t="s">
        <v>107</v>
      </c>
      <c r="B166" s="1381"/>
      <c r="C166" s="1381"/>
      <c r="D166" s="599" t="s">
        <v>198</v>
      </c>
      <c r="E166" s="590">
        <f t="shared" si="19"/>
        <v>119240</v>
      </c>
      <c r="F166" s="590">
        <f t="shared" si="20"/>
        <v>106597.67</v>
      </c>
      <c r="G166" s="549">
        <f t="shared" si="18"/>
        <v>-12642.330000000002</v>
      </c>
      <c r="K166" s="407">
        <v>193.55000000000291</v>
      </c>
      <c r="L166" s="407">
        <f t="shared" si="17"/>
        <v>-12835.880000000005</v>
      </c>
    </row>
    <row r="167" spans="1:12" ht="24.75" customHeight="1">
      <c r="A167" s="1381" t="s">
        <v>108</v>
      </c>
      <c r="B167" s="1381"/>
      <c r="C167" s="1381"/>
      <c r="D167" s="599" t="s">
        <v>198</v>
      </c>
      <c r="E167" s="590">
        <f t="shared" si="19"/>
        <v>129048</v>
      </c>
      <c r="F167" s="590">
        <f t="shared" si="20"/>
        <v>117260.84</v>
      </c>
      <c r="G167" s="549">
        <f t="shared" si="18"/>
        <v>-11787.160000000003</v>
      </c>
      <c r="K167" s="407">
        <v>168.39999999999418</v>
      </c>
      <c r="L167" s="407">
        <f t="shared" si="17"/>
        <v>-11955.559999999998</v>
      </c>
    </row>
    <row r="168" spans="1:12" ht="24.75" customHeight="1">
      <c r="A168" s="1381" t="s">
        <v>109</v>
      </c>
      <c r="B168" s="1381"/>
      <c r="C168" s="1381"/>
      <c r="D168" s="599" t="s">
        <v>198</v>
      </c>
      <c r="E168" s="590">
        <f t="shared" si="19"/>
        <v>21657</v>
      </c>
      <c r="F168" s="590">
        <f t="shared" si="20"/>
        <v>9761.91</v>
      </c>
      <c r="G168" s="549">
        <f t="shared" si="18"/>
        <v>-11895.09</v>
      </c>
      <c r="K168" s="407">
        <v>221.18999999999505</v>
      </c>
      <c r="L168" s="407">
        <f t="shared" si="17"/>
        <v>-12116.279999999995</v>
      </c>
    </row>
    <row r="169" spans="1:12" ht="24.75" customHeight="1">
      <c r="A169" s="1381" t="s">
        <v>110</v>
      </c>
      <c r="B169" s="1381"/>
      <c r="C169" s="1381"/>
      <c r="D169" s="599" t="s">
        <v>198</v>
      </c>
      <c r="E169" s="590">
        <f t="shared" si="19"/>
        <v>201900</v>
      </c>
      <c r="F169" s="590">
        <f t="shared" si="20"/>
        <v>181446.99</v>
      </c>
      <c r="G169" s="549">
        <f t="shared" si="18"/>
        <v>-20453.010000000009</v>
      </c>
      <c r="K169" s="407">
        <v>337.19000000000233</v>
      </c>
      <c r="L169" s="407">
        <f t="shared" si="17"/>
        <v>-20790.200000000012</v>
      </c>
    </row>
    <row r="170" spans="1:12" ht="24.75" customHeight="1">
      <c r="A170" s="1381" t="s">
        <v>111</v>
      </c>
      <c r="B170" s="1381"/>
      <c r="C170" s="1381"/>
      <c r="D170" s="599" t="s">
        <v>198</v>
      </c>
      <c r="E170" s="590">
        <f t="shared" si="19"/>
        <v>69825</v>
      </c>
      <c r="F170" s="590">
        <f t="shared" si="20"/>
        <v>59762.080000000002</v>
      </c>
      <c r="G170" s="549">
        <f t="shared" si="18"/>
        <v>-10062.919999999998</v>
      </c>
      <c r="K170" s="407">
        <v>115.09000000000015</v>
      </c>
      <c r="L170" s="407">
        <f t="shared" si="17"/>
        <v>-10178.009999999998</v>
      </c>
    </row>
    <row r="171" spans="1:12" ht="24.75" customHeight="1">
      <c r="A171" s="1381" t="s">
        <v>112</v>
      </c>
      <c r="B171" s="1381"/>
      <c r="C171" s="1381"/>
      <c r="D171" s="599" t="s">
        <v>198</v>
      </c>
      <c r="E171" s="590">
        <f t="shared" si="19"/>
        <v>61500</v>
      </c>
      <c r="F171" s="590">
        <f t="shared" si="20"/>
        <v>52354.65</v>
      </c>
      <c r="G171" s="549">
        <f t="shared" si="18"/>
        <v>-9145.3499999999985</v>
      </c>
      <c r="K171" s="407">
        <v>11.799999999999272</v>
      </c>
      <c r="L171" s="407">
        <f t="shared" si="17"/>
        <v>-9157.1499999999978</v>
      </c>
    </row>
    <row r="172" spans="1:12" ht="24.75" customHeight="1">
      <c r="G172" s="614">
        <f>SUM(G160:G171)</f>
        <v>-100757.01999999999</v>
      </c>
      <c r="L172" s="407">
        <f>SUM(L160:L171)</f>
        <v>-102183.53</v>
      </c>
    </row>
    <row r="173" spans="1:12" ht="24.75" customHeight="1"/>
    <row r="174" spans="1:12" ht="24.75" customHeight="1"/>
    <row r="175" spans="1:12" ht="24.75" customHeight="1"/>
    <row r="176" spans="1:12" ht="24.75" customHeight="1"/>
    <row r="301" spans="6:6">
      <c r="F301" s="614" t="s">
        <v>280</v>
      </c>
    </row>
    <row r="302" spans="6:6">
      <c r="F302" s="614">
        <v>0</v>
      </c>
    </row>
    <row r="303" spans="6:6">
      <c r="F303" s="614">
        <v>0</v>
      </c>
    </row>
    <row r="304" spans="6:6">
      <c r="F304" s="614">
        <v>0</v>
      </c>
    </row>
    <row r="305" spans="6:6">
      <c r="F305" s="614">
        <v>0</v>
      </c>
    </row>
    <row r="306" spans="6:6">
      <c r="F306" s="614">
        <v>0</v>
      </c>
    </row>
    <row r="307" spans="6:6">
      <c r="F307" s="614">
        <v>0</v>
      </c>
    </row>
    <row r="308" spans="6:6">
      <c r="F308" s="614">
        <v>0</v>
      </c>
    </row>
    <row r="309" spans="6:6">
      <c r="F309" s="614">
        <v>0</v>
      </c>
    </row>
    <row r="310" spans="6:6">
      <c r="F310" s="614">
        <v>0</v>
      </c>
    </row>
    <row r="311" spans="6:6">
      <c r="F311" s="614">
        <v>0</v>
      </c>
    </row>
    <row r="312" spans="6:6">
      <c r="F312" s="614">
        <v>0</v>
      </c>
    </row>
    <row r="313" spans="6:6">
      <c r="F313" s="614">
        <v>0</v>
      </c>
    </row>
    <row r="314" spans="6:6">
      <c r="F314" s="614">
        <v>0</v>
      </c>
    </row>
    <row r="315" spans="6:6">
      <c r="F315" s="614">
        <v>0</v>
      </c>
    </row>
    <row r="316" spans="6:6">
      <c r="F316" s="614">
        <v>0</v>
      </c>
    </row>
    <row r="317" spans="6:6">
      <c r="F317" s="614">
        <v>0</v>
      </c>
    </row>
    <row r="318" spans="6:6">
      <c r="F318" s="614">
        <v>0</v>
      </c>
    </row>
    <row r="319" spans="6:6">
      <c r="F319" s="614">
        <v>0</v>
      </c>
    </row>
    <row r="320" spans="6:6">
      <c r="F320" s="614">
        <v>0</v>
      </c>
    </row>
    <row r="321" spans="6:6">
      <c r="F321" s="614">
        <v>0</v>
      </c>
    </row>
    <row r="322" spans="6:6">
      <c r="F322" s="614">
        <v>0</v>
      </c>
    </row>
    <row r="323" spans="6:6">
      <c r="F323" s="614">
        <v>0</v>
      </c>
    </row>
    <row r="324" spans="6:6">
      <c r="F324" s="614">
        <v>0</v>
      </c>
    </row>
    <row r="325" spans="6:6">
      <c r="F325" s="614">
        <v>0</v>
      </c>
    </row>
    <row r="326" spans="6:6">
      <c r="F326" s="614">
        <v>0</v>
      </c>
    </row>
    <row r="327" spans="6:6">
      <c r="F327" s="614">
        <v>0</v>
      </c>
    </row>
    <row r="328" spans="6:6">
      <c r="F328" s="614">
        <v>0</v>
      </c>
    </row>
    <row r="329" spans="6:6">
      <c r="F329" s="614">
        <v>0</v>
      </c>
    </row>
    <row r="330" spans="6:6">
      <c r="F330" s="614">
        <v>0</v>
      </c>
    </row>
    <row r="331" spans="6:6">
      <c r="F331" s="614">
        <v>0</v>
      </c>
    </row>
    <row r="332" spans="6:6">
      <c r="F332" s="614">
        <v>0</v>
      </c>
    </row>
    <row r="333" spans="6:6">
      <c r="F333" s="614">
        <v>0</v>
      </c>
    </row>
    <row r="334" spans="6:6">
      <c r="F334" s="614">
        <v>0</v>
      </c>
    </row>
    <row r="335" spans="6:6">
      <c r="F335" s="614">
        <v>0</v>
      </c>
    </row>
    <row r="336" spans="6:6">
      <c r="F336" s="614">
        <v>0</v>
      </c>
    </row>
    <row r="337" spans="6:6">
      <c r="F337" s="614">
        <v>0</v>
      </c>
    </row>
    <row r="338" spans="6:6">
      <c r="F338" s="614">
        <v>0</v>
      </c>
    </row>
    <row r="339" spans="6:6">
      <c r="F339" s="614">
        <v>0</v>
      </c>
    </row>
    <row r="340" spans="6:6">
      <c r="F340" s="614">
        <v>0</v>
      </c>
    </row>
    <row r="341" spans="6:6">
      <c r="F341" s="614">
        <v>0</v>
      </c>
    </row>
    <row r="342" spans="6:6">
      <c r="F342" s="614">
        <v>0</v>
      </c>
    </row>
    <row r="343" spans="6:6">
      <c r="F343" s="614">
        <v>0</v>
      </c>
    </row>
    <row r="344" spans="6:6">
      <c r="F344" s="614">
        <v>0</v>
      </c>
    </row>
    <row r="345" spans="6:6">
      <c r="F345" s="614">
        <v>0</v>
      </c>
    </row>
    <row r="346" spans="6:6">
      <c r="F346" s="614">
        <v>0</v>
      </c>
    </row>
    <row r="347" spans="6:6">
      <c r="F347" s="614">
        <v>0</v>
      </c>
    </row>
    <row r="348" spans="6:6">
      <c r="F348" s="614">
        <v>0</v>
      </c>
    </row>
    <row r="349" spans="6:6">
      <c r="F349" s="614">
        <v>0</v>
      </c>
    </row>
    <row r="350" spans="6:6">
      <c r="F350" s="614">
        <v>0</v>
      </c>
    </row>
    <row r="351" spans="6:6">
      <c r="F351" s="614">
        <v>0</v>
      </c>
    </row>
    <row r="352" spans="6:6">
      <c r="F352" s="614">
        <v>0</v>
      </c>
    </row>
    <row r="353" spans="6:6">
      <c r="F353" s="614">
        <v>0</v>
      </c>
    </row>
    <row r="354" spans="6:6">
      <c r="F354" s="614">
        <v>0</v>
      </c>
    </row>
    <row r="355" spans="6:6">
      <c r="F355" s="614">
        <v>0</v>
      </c>
    </row>
    <row r="356" spans="6:6">
      <c r="F356" s="614">
        <v>0</v>
      </c>
    </row>
    <row r="357" spans="6:6">
      <c r="F357" s="614">
        <v>0</v>
      </c>
    </row>
    <row r="358" spans="6:6">
      <c r="F358" s="614">
        <v>0</v>
      </c>
    </row>
    <row r="359" spans="6:6">
      <c r="F359" s="614">
        <v>0</v>
      </c>
    </row>
    <row r="360" spans="6:6">
      <c r="F360" s="614">
        <v>0</v>
      </c>
    </row>
    <row r="361" spans="6:6">
      <c r="F361" s="614">
        <v>0</v>
      </c>
    </row>
    <row r="362" spans="6:6">
      <c r="F362" s="614">
        <v>0</v>
      </c>
    </row>
    <row r="363" spans="6:6">
      <c r="F363" s="614">
        <v>0</v>
      </c>
    </row>
    <row r="364" spans="6:6">
      <c r="F364" s="614">
        <v>0</v>
      </c>
    </row>
    <row r="365" spans="6:6">
      <c r="F365" s="614">
        <v>0</v>
      </c>
    </row>
    <row r="366" spans="6:6">
      <c r="F366" s="614">
        <v>0</v>
      </c>
    </row>
    <row r="367" spans="6:6">
      <c r="F367" s="614">
        <v>0</v>
      </c>
    </row>
    <row r="368" spans="6:6">
      <c r="F368" s="614">
        <v>0</v>
      </c>
    </row>
    <row r="369" spans="6:6">
      <c r="F369" s="614">
        <v>0</v>
      </c>
    </row>
    <row r="370" spans="6:6">
      <c r="F370" s="614">
        <v>0</v>
      </c>
    </row>
    <row r="371" spans="6:6">
      <c r="F371" s="614">
        <v>0</v>
      </c>
    </row>
    <row r="372" spans="6:6">
      <c r="F372" s="614">
        <v>0</v>
      </c>
    </row>
    <row r="373" spans="6:6">
      <c r="F373" s="614">
        <v>0</v>
      </c>
    </row>
    <row r="374" spans="6:6">
      <c r="F374" s="614">
        <v>0</v>
      </c>
    </row>
    <row r="375" spans="6:6">
      <c r="F375" s="614">
        <v>0</v>
      </c>
    </row>
    <row r="376" spans="6:6">
      <c r="F376" s="614">
        <v>0</v>
      </c>
    </row>
    <row r="377" spans="6:6">
      <c r="F377" s="614">
        <v>0</v>
      </c>
    </row>
    <row r="378" spans="6:6">
      <c r="F378" s="614">
        <v>0</v>
      </c>
    </row>
    <row r="379" spans="6:6">
      <c r="F379" s="614">
        <v>0</v>
      </c>
    </row>
    <row r="380" spans="6:6">
      <c r="F380" s="614">
        <v>0</v>
      </c>
    </row>
    <row r="381" spans="6:6">
      <c r="F381" s="614">
        <v>0</v>
      </c>
    </row>
    <row r="382" spans="6:6">
      <c r="F382" s="614">
        <v>0</v>
      </c>
    </row>
    <row r="383" spans="6:6">
      <c r="F383" s="614">
        <v>0</v>
      </c>
    </row>
    <row r="384" spans="6:6">
      <c r="F384" s="614">
        <v>0</v>
      </c>
    </row>
    <row r="385" spans="6:6">
      <c r="F385" s="614">
        <v>0</v>
      </c>
    </row>
    <row r="386" spans="6:6">
      <c r="F386" s="614">
        <v>0</v>
      </c>
    </row>
    <row r="387" spans="6:6">
      <c r="F387" s="614">
        <v>0</v>
      </c>
    </row>
    <row r="388" spans="6:6">
      <c r="F388" s="614">
        <v>0</v>
      </c>
    </row>
    <row r="389" spans="6:6">
      <c r="F389" s="614">
        <v>0</v>
      </c>
    </row>
    <row r="390" spans="6:6">
      <c r="F390" s="614">
        <v>0</v>
      </c>
    </row>
    <row r="391" spans="6:6">
      <c r="F391" s="614">
        <v>0</v>
      </c>
    </row>
    <row r="392" spans="6:6">
      <c r="F392" s="614">
        <v>0</v>
      </c>
    </row>
    <row r="393" spans="6:6">
      <c r="F393" s="614">
        <v>0</v>
      </c>
    </row>
    <row r="394" spans="6:6">
      <c r="F394" s="614">
        <v>0</v>
      </c>
    </row>
    <row r="395" spans="6:6">
      <c r="F395" s="614">
        <v>0</v>
      </c>
    </row>
    <row r="396" spans="6:6">
      <c r="F396" s="614">
        <v>0</v>
      </c>
    </row>
    <row r="397" spans="6:6">
      <c r="F397" s="614">
        <v>0</v>
      </c>
    </row>
    <row r="398" spans="6:6">
      <c r="F398" s="614">
        <v>0</v>
      </c>
    </row>
    <row r="399" spans="6:6">
      <c r="F399" s="614">
        <v>0</v>
      </c>
    </row>
    <row r="400" spans="6:6">
      <c r="F400" s="614">
        <v>0</v>
      </c>
    </row>
    <row r="401" spans="6:6">
      <c r="F401" s="614">
        <v>0</v>
      </c>
    </row>
    <row r="402" spans="6:6">
      <c r="F402" s="614">
        <v>0</v>
      </c>
    </row>
    <row r="403" spans="6:6">
      <c r="F403" s="614">
        <v>0</v>
      </c>
    </row>
    <row r="404" spans="6:6">
      <c r="F404" s="614">
        <v>0</v>
      </c>
    </row>
    <row r="405" spans="6:6">
      <c r="F405" s="614">
        <v>0</v>
      </c>
    </row>
    <row r="406" spans="6:6">
      <c r="F406" s="614">
        <v>0</v>
      </c>
    </row>
    <row r="407" spans="6:6">
      <c r="F407" s="614">
        <v>0</v>
      </c>
    </row>
    <row r="408" spans="6:6">
      <c r="F408" s="614">
        <v>0</v>
      </c>
    </row>
    <row r="409" spans="6:6">
      <c r="F409" s="614">
        <v>0</v>
      </c>
    </row>
    <row r="410" spans="6:6">
      <c r="F410" s="614">
        <v>0</v>
      </c>
    </row>
    <row r="411" spans="6:6">
      <c r="F411" s="614">
        <v>0</v>
      </c>
    </row>
    <row r="412" spans="6:6">
      <c r="F412" s="614">
        <v>0</v>
      </c>
    </row>
    <row r="413" spans="6:6">
      <c r="F413" s="614">
        <v>0</v>
      </c>
    </row>
    <row r="414" spans="6:6">
      <c r="F414" s="614">
        <v>0</v>
      </c>
    </row>
    <row r="415" spans="6:6">
      <c r="F415" s="614">
        <v>0</v>
      </c>
    </row>
    <row r="416" spans="6:6">
      <c r="F416" s="614">
        <v>0</v>
      </c>
    </row>
    <row r="417" spans="6:6">
      <c r="F417" s="614">
        <v>0</v>
      </c>
    </row>
    <row r="418" spans="6:6">
      <c r="F418" s="614">
        <v>0</v>
      </c>
    </row>
    <row r="419" spans="6:6">
      <c r="F419" s="614">
        <v>0</v>
      </c>
    </row>
    <row r="420" spans="6:6">
      <c r="F420" s="614">
        <v>0</v>
      </c>
    </row>
    <row r="421" spans="6:6">
      <c r="F421" s="614">
        <v>0</v>
      </c>
    </row>
    <row r="422" spans="6:6">
      <c r="F422" s="614">
        <v>0</v>
      </c>
    </row>
    <row r="423" spans="6:6">
      <c r="F423" s="614">
        <v>0</v>
      </c>
    </row>
    <row r="424" spans="6:6">
      <c r="F424" s="614">
        <v>0</v>
      </c>
    </row>
    <row r="425" spans="6:6">
      <c r="F425" s="614">
        <v>0</v>
      </c>
    </row>
    <row r="426" spans="6:6">
      <c r="F426" s="614">
        <v>0</v>
      </c>
    </row>
    <row r="427" spans="6:6">
      <c r="F427" s="614">
        <v>0</v>
      </c>
    </row>
    <row r="428" spans="6:6">
      <c r="F428" s="614">
        <v>0</v>
      </c>
    </row>
    <row r="429" spans="6:6">
      <c r="F429" s="614">
        <v>0</v>
      </c>
    </row>
    <row r="430" spans="6:6">
      <c r="F430" s="614">
        <v>0</v>
      </c>
    </row>
    <row r="431" spans="6:6">
      <c r="F431" s="614">
        <v>0</v>
      </c>
    </row>
    <row r="432" spans="6:6">
      <c r="F432" s="614">
        <v>0</v>
      </c>
    </row>
    <row r="433" spans="6:6">
      <c r="F433" s="614">
        <v>0</v>
      </c>
    </row>
    <row r="434" spans="6:6">
      <c r="F434" s="614">
        <v>0</v>
      </c>
    </row>
    <row r="435" spans="6:6">
      <c r="F435" s="614">
        <v>0</v>
      </c>
    </row>
    <row r="436" spans="6:6">
      <c r="F436" s="614">
        <v>0</v>
      </c>
    </row>
    <row r="437" spans="6:6">
      <c r="F437" s="614">
        <v>0</v>
      </c>
    </row>
    <row r="438" spans="6:6">
      <c r="F438" s="614">
        <v>0</v>
      </c>
    </row>
    <row r="439" spans="6:6">
      <c r="F439" s="614">
        <v>0</v>
      </c>
    </row>
    <row r="440" spans="6:6">
      <c r="F440" s="614">
        <v>0</v>
      </c>
    </row>
    <row r="441" spans="6:6">
      <c r="F441" s="614">
        <v>0</v>
      </c>
    </row>
    <row r="442" spans="6:6">
      <c r="F442" s="614">
        <v>0</v>
      </c>
    </row>
    <row r="443" spans="6:6">
      <c r="F443" s="614">
        <v>0</v>
      </c>
    </row>
    <row r="444" spans="6:6">
      <c r="F444" s="614">
        <v>0</v>
      </c>
    </row>
    <row r="445" spans="6:6">
      <c r="F445" s="614">
        <v>0</v>
      </c>
    </row>
    <row r="446" spans="6:6">
      <c r="F446" s="614">
        <v>0</v>
      </c>
    </row>
    <row r="447" spans="6:6">
      <c r="F447" s="614">
        <v>0</v>
      </c>
    </row>
    <row r="448" spans="6:6">
      <c r="F448" s="614">
        <v>0</v>
      </c>
    </row>
    <row r="449" spans="6:6">
      <c r="F449" s="614">
        <v>0</v>
      </c>
    </row>
    <row r="450" spans="6:6">
      <c r="F450" s="614">
        <v>0</v>
      </c>
    </row>
    <row r="451" spans="6:6">
      <c r="F451" s="614">
        <v>0</v>
      </c>
    </row>
    <row r="452" spans="6:6">
      <c r="F452" s="614">
        <v>0</v>
      </c>
    </row>
    <row r="453" spans="6:6">
      <c r="F453" s="614">
        <v>0</v>
      </c>
    </row>
    <row r="454" spans="6:6">
      <c r="F454" s="614">
        <v>0</v>
      </c>
    </row>
    <row r="455" spans="6:6">
      <c r="F455" s="614">
        <v>0</v>
      </c>
    </row>
    <row r="456" spans="6:6">
      <c r="F456" s="614">
        <v>0</v>
      </c>
    </row>
    <row r="457" spans="6:6">
      <c r="F457" s="614">
        <v>0</v>
      </c>
    </row>
    <row r="458" spans="6:6">
      <c r="F458" s="614">
        <v>0</v>
      </c>
    </row>
    <row r="459" spans="6:6">
      <c r="F459" s="614">
        <v>0</v>
      </c>
    </row>
    <row r="460" spans="6:6">
      <c r="F460" s="614">
        <v>0</v>
      </c>
    </row>
    <row r="461" spans="6:6">
      <c r="F461" s="614">
        <v>0</v>
      </c>
    </row>
    <row r="462" spans="6:6">
      <c r="F462" s="614">
        <v>0</v>
      </c>
    </row>
    <row r="463" spans="6:6">
      <c r="F463" s="614">
        <v>0</v>
      </c>
    </row>
    <row r="464" spans="6:6">
      <c r="F464" s="614">
        <v>0</v>
      </c>
    </row>
    <row r="465" spans="6:6">
      <c r="F465" s="614">
        <v>0</v>
      </c>
    </row>
    <row r="466" spans="6:6">
      <c r="F466" s="614">
        <v>0</v>
      </c>
    </row>
    <row r="467" spans="6:6">
      <c r="F467" s="614">
        <v>0</v>
      </c>
    </row>
    <row r="468" spans="6:6">
      <c r="F468" s="614">
        <v>0</v>
      </c>
    </row>
    <row r="469" spans="6:6">
      <c r="F469" s="614">
        <v>0</v>
      </c>
    </row>
    <row r="470" spans="6:6">
      <c r="F470" s="614">
        <v>0</v>
      </c>
    </row>
    <row r="471" spans="6:6">
      <c r="F471" s="614">
        <v>0</v>
      </c>
    </row>
    <row r="472" spans="6:6">
      <c r="F472" s="614">
        <v>0</v>
      </c>
    </row>
    <row r="473" spans="6:6">
      <c r="F473" s="614">
        <v>0</v>
      </c>
    </row>
    <row r="474" spans="6:6">
      <c r="F474" s="614">
        <v>0</v>
      </c>
    </row>
    <row r="475" spans="6:6">
      <c r="F475" s="614">
        <v>0</v>
      </c>
    </row>
    <row r="476" spans="6:6">
      <c r="F476" s="614">
        <v>0</v>
      </c>
    </row>
    <row r="477" spans="6:6">
      <c r="F477" s="614">
        <v>0</v>
      </c>
    </row>
    <row r="478" spans="6:6">
      <c r="F478" s="614">
        <v>0</v>
      </c>
    </row>
    <row r="479" spans="6:6">
      <c r="F479" s="614">
        <v>0</v>
      </c>
    </row>
    <row r="480" spans="6:6">
      <c r="F480" s="614">
        <v>0</v>
      </c>
    </row>
    <row r="481" spans="6:6">
      <c r="F481" s="614">
        <v>0</v>
      </c>
    </row>
    <row r="482" spans="6:6">
      <c r="F482" s="614">
        <v>0</v>
      </c>
    </row>
    <row r="483" spans="6:6">
      <c r="F483" s="614">
        <v>0</v>
      </c>
    </row>
    <row r="484" spans="6:6">
      <c r="F484" s="614">
        <v>0</v>
      </c>
    </row>
    <row r="485" spans="6:6">
      <c r="F485" s="614">
        <v>0</v>
      </c>
    </row>
    <row r="486" spans="6:6">
      <c r="F486" s="614">
        <v>0</v>
      </c>
    </row>
    <row r="487" spans="6:6">
      <c r="F487" s="614">
        <v>0</v>
      </c>
    </row>
    <row r="488" spans="6:6">
      <c r="F488" s="614">
        <v>0</v>
      </c>
    </row>
    <row r="489" spans="6:6">
      <c r="F489" s="614">
        <v>0</v>
      </c>
    </row>
    <row r="490" spans="6:6">
      <c r="F490" s="614">
        <v>0</v>
      </c>
    </row>
    <row r="491" spans="6:6">
      <c r="F491" s="614">
        <v>0</v>
      </c>
    </row>
    <row r="492" spans="6:6">
      <c r="F492" s="614">
        <v>0</v>
      </c>
    </row>
    <row r="493" spans="6:6">
      <c r="F493" s="614">
        <v>0</v>
      </c>
    </row>
    <row r="494" spans="6:6">
      <c r="F494" s="614">
        <v>0</v>
      </c>
    </row>
    <row r="495" spans="6:6">
      <c r="F495" s="614">
        <v>0</v>
      </c>
    </row>
    <row r="496" spans="6:6">
      <c r="F496" s="614">
        <v>0</v>
      </c>
    </row>
    <row r="497" spans="6:6">
      <c r="F497" s="614">
        <v>0</v>
      </c>
    </row>
    <row r="498" spans="6:6">
      <c r="F498" s="614">
        <v>0</v>
      </c>
    </row>
    <row r="499" spans="6:6">
      <c r="F499" s="614">
        <v>0</v>
      </c>
    </row>
    <row r="500" spans="6:6">
      <c r="F500" s="614">
        <v>0</v>
      </c>
    </row>
    <row r="501" spans="6:6">
      <c r="F501" s="614">
        <v>0</v>
      </c>
    </row>
    <row r="502" spans="6:6">
      <c r="F502" s="614">
        <v>0</v>
      </c>
    </row>
    <row r="503" spans="6:6">
      <c r="F503" s="614">
        <v>0</v>
      </c>
    </row>
    <row r="504" spans="6:6">
      <c r="F504" s="614">
        <v>0</v>
      </c>
    </row>
    <row r="505" spans="6:6">
      <c r="F505" s="614">
        <v>0</v>
      </c>
    </row>
    <row r="506" spans="6:6">
      <c r="F506" s="614">
        <v>0</v>
      </c>
    </row>
    <row r="507" spans="6:6">
      <c r="F507" s="614">
        <v>0</v>
      </c>
    </row>
    <row r="508" spans="6:6">
      <c r="F508" s="614">
        <v>0</v>
      </c>
    </row>
    <row r="509" spans="6:6">
      <c r="F509" s="614">
        <v>0</v>
      </c>
    </row>
    <row r="510" spans="6:6">
      <c r="F510" s="614">
        <v>0</v>
      </c>
    </row>
    <row r="511" spans="6:6">
      <c r="F511" s="614">
        <v>0</v>
      </c>
    </row>
    <row r="512" spans="6:6">
      <c r="F512" s="614">
        <v>0</v>
      </c>
    </row>
    <row r="513" spans="6:6">
      <c r="F513" s="614">
        <v>0</v>
      </c>
    </row>
    <row r="514" spans="6:6">
      <c r="F514" s="614">
        <v>0</v>
      </c>
    </row>
    <row r="515" spans="6:6">
      <c r="F515" s="614">
        <v>0</v>
      </c>
    </row>
    <row r="516" spans="6:6">
      <c r="F516" s="614">
        <v>0</v>
      </c>
    </row>
    <row r="517" spans="6:6">
      <c r="F517" s="614">
        <v>0</v>
      </c>
    </row>
    <row r="518" spans="6:6">
      <c r="F518" s="614">
        <v>0</v>
      </c>
    </row>
    <row r="519" spans="6:6">
      <c r="F519" s="614">
        <v>0</v>
      </c>
    </row>
    <row r="520" spans="6:6">
      <c r="F520" s="614">
        <v>0</v>
      </c>
    </row>
    <row r="521" spans="6:6">
      <c r="F521" s="614">
        <v>0</v>
      </c>
    </row>
    <row r="522" spans="6:6">
      <c r="F522" s="614">
        <v>0</v>
      </c>
    </row>
    <row r="523" spans="6:6">
      <c r="F523" s="614">
        <v>0</v>
      </c>
    </row>
    <row r="524" spans="6:6">
      <c r="F524" s="614">
        <v>0</v>
      </c>
    </row>
    <row r="525" spans="6:6">
      <c r="F525" s="614">
        <v>0</v>
      </c>
    </row>
    <row r="526" spans="6:6">
      <c r="F526" s="614">
        <v>0</v>
      </c>
    </row>
    <row r="527" spans="6:6">
      <c r="F527" s="614">
        <v>0</v>
      </c>
    </row>
    <row r="528" spans="6:6">
      <c r="F528" s="614">
        <v>0</v>
      </c>
    </row>
    <row r="529" spans="6:6">
      <c r="F529" s="614">
        <v>0</v>
      </c>
    </row>
    <row r="530" spans="6:6">
      <c r="F530" s="614">
        <v>0</v>
      </c>
    </row>
    <row r="531" spans="6:6">
      <c r="F531" s="614">
        <v>0</v>
      </c>
    </row>
    <row r="532" spans="6:6">
      <c r="F532" s="614">
        <v>0</v>
      </c>
    </row>
    <row r="533" spans="6:6">
      <c r="F533" s="614">
        <v>0</v>
      </c>
    </row>
    <row r="534" spans="6:6">
      <c r="F534" s="614">
        <v>0</v>
      </c>
    </row>
    <row r="535" spans="6:6">
      <c r="F535" s="614">
        <v>0</v>
      </c>
    </row>
    <row r="536" spans="6:6">
      <c r="F536" s="614">
        <v>0</v>
      </c>
    </row>
    <row r="537" spans="6:6">
      <c r="F537" s="614">
        <v>0</v>
      </c>
    </row>
    <row r="538" spans="6:6">
      <c r="F538" s="614">
        <v>0</v>
      </c>
    </row>
    <row r="539" spans="6:6">
      <c r="F539" s="614">
        <v>0</v>
      </c>
    </row>
    <row r="540" spans="6:6">
      <c r="F540" s="614">
        <v>0</v>
      </c>
    </row>
    <row r="541" spans="6:6">
      <c r="F541" s="614">
        <v>0</v>
      </c>
    </row>
    <row r="542" spans="6:6">
      <c r="F542" s="614">
        <v>0</v>
      </c>
    </row>
    <row r="543" spans="6:6">
      <c r="F543" s="614">
        <v>0</v>
      </c>
    </row>
    <row r="544" spans="6:6">
      <c r="F544" s="614">
        <v>0</v>
      </c>
    </row>
    <row r="545" spans="6:6">
      <c r="F545" s="614">
        <v>0</v>
      </c>
    </row>
    <row r="546" spans="6:6">
      <c r="F546" s="614">
        <v>0</v>
      </c>
    </row>
    <row r="547" spans="6:6">
      <c r="F547" s="614">
        <v>0</v>
      </c>
    </row>
    <row r="548" spans="6:6">
      <c r="F548" s="614">
        <v>0</v>
      </c>
    </row>
    <row r="549" spans="6:6">
      <c r="F549" s="614">
        <v>0</v>
      </c>
    </row>
    <row r="550" spans="6:6">
      <c r="F550" s="614">
        <v>0</v>
      </c>
    </row>
    <row r="551" spans="6:6">
      <c r="F551" s="614">
        <v>0</v>
      </c>
    </row>
    <row r="552" spans="6:6">
      <c r="F552" s="614">
        <v>0</v>
      </c>
    </row>
    <row r="553" spans="6:6">
      <c r="F553" s="614">
        <v>0</v>
      </c>
    </row>
    <row r="554" spans="6:6">
      <c r="F554" s="614">
        <v>0</v>
      </c>
    </row>
    <row r="555" spans="6:6">
      <c r="F555" s="614">
        <v>0</v>
      </c>
    </row>
    <row r="556" spans="6:6">
      <c r="F556" s="614">
        <v>0</v>
      </c>
    </row>
    <row r="557" spans="6:6">
      <c r="F557" s="614">
        <v>0</v>
      </c>
    </row>
    <row r="558" spans="6:6">
      <c r="F558" s="614">
        <v>0</v>
      </c>
    </row>
    <row r="559" spans="6:6">
      <c r="F559" s="614">
        <v>0</v>
      </c>
    </row>
    <row r="560" spans="6:6">
      <c r="F560" s="614">
        <v>0</v>
      </c>
    </row>
    <row r="561" spans="6:6">
      <c r="F561" s="614">
        <v>0</v>
      </c>
    </row>
    <row r="562" spans="6:6">
      <c r="F562" s="614">
        <v>0</v>
      </c>
    </row>
    <row r="563" spans="6:6">
      <c r="F563" s="614">
        <v>0</v>
      </c>
    </row>
    <row r="564" spans="6:6">
      <c r="F564" s="614">
        <v>0</v>
      </c>
    </row>
    <row r="565" spans="6:6">
      <c r="F565" s="614">
        <v>0</v>
      </c>
    </row>
    <row r="566" spans="6:6">
      <c r="F566" s="614">
        <v>0</v>
      </c>
    </row>
    <row r="567" spans="6:6">
      <c r="F567" s="614">
        <v>0</v>
      </c>
    </row>
    <row r="568" spans="6:6">
      <c r="F568" s="614">
        <v>0</v>
      </c>
    </row>
    <row r="569" spans="6:6">
      <c r="F569" s="614">
        <v>0</v>
      </c>
    </row>
    <row r="570" spans="6:6">
      <c r="F570" s="614">
        <v>0</v>
      </c>
    </row>
    <row r="571" spans="6:6">
      <c r="F571" s="614">
        <v>0</v>
      </c>
    </row>
    <row r="572" spans="6:6">
      <c r="F572" s="614">
        <v>0</v>
      </c>
    </row>
    <row r="573" spans="6:6">
      <c r="F573" s="614">
        <v>0</v>
      </c>
    </row>
    <row r="574" spans="6:6">
      <c r="F574" s="614">
        <v>0</v>
      </c>
    </row>
    <row r="575" spans="6:6">
      <c r="F575" s="614">
        <v>0</v>
      </c>
    </row>
    <row r="576" spans="6:6">
      <c r="F576" s="614">
        <v>0</v>
      </c>
    </row>
    <row r="577" spans="6:6">
      <c r="F577" s="614">
        <v>0</v>
      </c>
    </row>
    <row r="578" spans="6:6">
      <c r="F578" s="614">
        <v>0</v>
      </c>
    </row>
    <row r="579" spans="6:6">
      <c r="F579" s="614">
        <v>0</v>
      </c>
    </row>
    <row r="580" spans="6:6">
      <c r="F580" s="614">
        <v>0</v>
      </c>
    </row>
    <row r="581" spans="6:6">
      <c r="F581" s="614">
        <v>0</v>
      </c>
    </row>
    <row r="582" spans="6:6">
      <c r="F582" s="614">
        <v>0</v>
      </c>
    </row>
    <row r="583" spans="6:6">
      <c r="F583" s="614">
        <v>0</v>
      </c>
    </row>
    <row r="584" spans="6:6">
      <c r="F584" s="614">
        <v>0</v>
      </c>
    </row>
    <row r="585" spans="6:6">
      <c r="F585" s="614">
        <v>0</v>
      </c>
    </row>
    <row r="586" spans="6:6">
      <c r="F586" s="614">
        <v>0</v>
      </c>
    </row>
    <row r="587" spans="6:6">
      <c r="F587" s="614">
        <v>0</v>
      </c>
    </row>
    <row r="588" spans="6:6">
      <c r="F588" s="614">
        <v>0</v>
      </c>
    </row>
    <row r="589" spans="6:6">
      <c r="F589" s="614">
        <v>0</v>
      </c>
    </row>
    <row r="590" spans="6:6">
      <c r="F590" s="614">
        <v>0</v>
      </c>
    </row>
    <row r="591" spans="6:6">
      <c r="F591" s="614">
        <v>0</v>
      </c>
    </row>
    <row r="592" spans="6:6">
      <c r="F592" s="614">
        <v>0</v>
      </c>
    </row>
    <row r="593" spans="6:6">
      <c r="F593" s="614">
        <v>0</v>
      </c>
    </row>
    <row r="594" spans="6:6">
      <c r="F594" s="614">
        <v>0</v>
      </c>
    </row>
    <row r="595" spans="6:6">
      <c r="F595" s="614">
        <v>0</v>
      </c>
    </row>
    <row r="596" spans="6:6">
      <c r="F596" s="614">
        <v>0</v>
      </c>
    </row>
    <row r="597" spans="6:6">
      <c r="F597" s="614">
        <v>0</v>
      </c>
    </row>
    <row r="598" spans="6:6">
      <c r="F598" s="614">
        <v>0</v>
      </c>
    </row>
    <row r="599" spans="6:6">
      <c r="F599" s="614">
        <v>0</v>
      </c>
    </row>
    <row r="600" spans="6:6">
      <c r="F600" s="614">
        <v>0</v>
      </c>
    </row>
    <row r="601" spans="6:6">
      <c r="F601" s="614">
        <v>0</v>
      </c>
    </row>
    <row r="602" spans="6:6">
      <c r="F602" s="614">
        <v>0</v>
      </c>
    </row>
    <row r="603" spans="6:6">
      <c r="F603" s="614">
        <v>0</v>
      </c>
    </row>
    <row r="604" spans="6:6">
      <c r="F604" s="614">
        <v>0</v>
      </c>
    </row>
    <row r="605" spans="6:6">
      <c r="F605" s="614">
        <v>0</v>
      </c>
    </row>
    <row r="606" spans="6:6">
      <c r="F606" s="614">
        <v>0</v>
      </c>
    </row>
    <row r="607" spans="6:6">
      <c r="F607" s="614">
        <v>0</v>
      </c>
    </row>
    <row r="608" spans="6:6">
      <c r="F608" s="614">
        <v>0</v>
      </c>
    </row>
    <row r="609" spans="6:6">
      <c r="F609" s="614">
        <v>0</v>
      </c>
    </row>
    <row r="610" spans="6:6">
      <c r="F610" s="614">
        <v>0</v>
      </c>
    </row>
    <row r="611" spans="6:6">
      <c r="F611" s="614">
        <v>0</v>
      </c>
    </row>
    <row r="612" spans="6:6">
      <c r="F612" s="614">
        <v>0</v>
      </c>
    </row>
    <row r="613" spans="6:6">
      <c r="F613" s="614">
        <v>0</v>
      </c>
    </row>
    <row r="614" spans="6:6">
      <c r="F614" s="614">
        <v>0</v>
      </c>
    </row>
    <row r="615" spans="6:6">
      <c r="F615" s="614">
        <v>0</v>
      </c>
    </row>
    <row r="616" spans="6:6">
      <c r="F616" s="614">
        <v>0</v>
      </c>
    </row>
    <row r="617" spans="6:6">
      <c r="F617" s="614">
        <v>0</v>
      </c>
    </row>
    <row r="618" spans="6:6">
      <c r="F618" s="614">
        <v>0</v>
      </c>
    </row>
    <row r="619" spans="6:6">
      <c r="F619" s="614">
        <v>0</v>
      </c>
    </row>
    <row r="620" spans="6:6">
      <c r="F620" s="614">
        <v>0</v>
      </c>
    </row>
    <row r="621" spans="6:6">
      <c r="F621" s="614">
        <v>0</v>
      </c>
    </row>
    <row r="622" spans="6:6">
      <c r="F622" s="614">
        <v>0</v>
      </c>
    </row>
    <row r="623" spans="6:6">
      <c r="F623" s="614">
        <v>0</v>
      </c>
    </row>
    <row r="624" spans="6:6">
      <c r="F624" s="614">
        <v>0</v>
      </c>
    </row>
    <row r="625" spans="6:6">
      <c r="F625" s="614">
        <v>0</v>
      </c>
    </row>
    <row r="626" spans="6:6">
      <c r="F626" s="614">
        <v>0</v>
      </c>
    </row>
    <row r="627" spans="6:6">
      <c r="F627" s="614">
        <v>0</v>
      </c>
    </row>
    <row r="628" spans="6:6">
      <c r="F628" s="614">
        <v>0</v>
      </c>
    </row>
    <row r="629" spans="6:6">
      <c r="F629" s="614">
        <v>0</v>
      </c>
    </row>
    <row r="630" spans="6:6">
      <c r="F630" s="614">
        <v>0</v>
      </c>
    </row>
    <row r="631" spans="6:6">
      <c r="F631" s="614">
        <v>0</v>
      </c>
    </row>
    <row r="632" spans="6:6">
      <c r="F632" s="614">
        <v>0</v>
      </c>
    </row>
    <row r="633" spans="6:6">
      <c r="F633" s="614">
        <v>0</v>
      </c>
    </row>
    <row r="634" spans="6:6">
      <c r="F634" s="614">
        <v>0</v>
      </c>
    </row>
    <row r="635" spans="6:6">
      <c r="F635" s="614">
        <v>0</v>
      </c>
    </row>
    <row r="636" spans="6:6">
      <c r="F636" s="614">
        <v>0</v>
      </c>
    </row>
    <row r="637" spans="6:6">
      <c r="F637" s="614">
        <v>0</v>
      </c>
    </row>
    <row r="638" spans="6:6">
      <c r="F638" s="614">
        <v>0</v>
      </c>
    </row>
    <row r="639" spans="6:6">
      <c r="F639" s="614">
        <v>0</v>
      </c>
    </row>
    <row r="640" spans="6:6">
      <c r="F640" s="614">
        <v>0</v>
      </c>
    </row>
    <row r="641" spans="6:6">
      <c r="F641" s="614">
        <v>0</v>
      </c>
    </row>
    <row r="642" spans="6:6">
      <c r="F642" s="614">
        <v>0</v>
      </c>
    </row>
    <row r="643" spans="6:6">
      <c r="F643" s="614">
        <v>0</v>
      </c>
    </row>
    <row r="644" spans="6:6">
      <c r="F644" s="614">
        <v>0</v>
      </c>
    </row>
    <row r="645" spans="6:6">
      <c r="F645" s="614">
        <v>0</v>
      </c>
    </row>
    <row r="646" spans="6:6">
      <c r="F646" s="614">
        <v>0</v>
      </c>
    </row>
    <row r="647" spans="6:6">
      <c r="F647" s="614">
        <v>0</v>
      </c>
    </row>
    <row r="648" spans="6:6">
      <c r="F648" s="614">
        <v>0</v>
      </c>
    </row>
    <row r="649" spans="6:6">
      <c r="F649" s="614">
        <v>0</v>
      </c>
    </row>
    <row r="650" spans="6:6">
      <c r="F650" s="614">
        <v>0</v>
      </c>
    </row>
    <row r="651" spans="6:6">
      <c r="F651" s="614">
        <v>0</v>
      </c>
    </row>
    <row r="652" spans="6:6">
      <c r="F652" s="614">
        <v>0</v>
      </c>
    </row>
    <row r="653" spans="6:6">
      <c r="F653" s="614">
        <v>0</v>
      </c>
    </row>
    <row r="654" spans="6:6">
      <c r="F654" s="614">
        <v>0</v>
      </c>
    </row>
    <row r="655" spans="6:6">
      <c r="F655" s="614">
        <v>0</v>
      </c>
    </row>
    <row r="656" spans="6:6">
      <c r="F656" s="614">
        <v>0</v>
      </c>
    </row>
    <row r="657" spans="6:6">
      <c r="F657" s="614">
        <v>0</v>
      </c>
    </row>
    <row r="658" spans="6:6">
      <c r="F658" s="614">
        <v>0</v>
      </c>
    </row>
    <row r="659" spans="6:6">
      <c r="F659" s="614">
        <v>0</v>
      </c>
    </row>
    <row r="660" spans="6:6">
      <c r="F660" s="614">
        <v>0</v>
      </c>
    </row>
    <row r="661" spans="6:6">
      <c r="F661" s="614">
        <v>0</v>
      </c>
    </row>
    <row r="662" spans="6:6">
      <c r="F662" s="614">
        <v>0</v>
      </c>
    </row>
    <row r="663" spans="6:6">
      <c r="F663" s="614">
        <v>0</v>
      </c>
    </row>
    <row r="664" spans="6:6">
      <c r="F664" s="614">
        <v>0</v>
      </c>
    </row>
    <row r="665" spans="6:6">
      <c r="F665" s="614">
        <v>0</v>
      </c>
    </row>
    <row r="666" spans="6:6">
      <c r="F666" s="614">
        <v>0</v>
      </c>
    </row>
    <row r="667" spans="6:6">
      <c r="F667" s="614">
        <v>0</v>
      </c>
    </row>
    <row r="668" spans="6:6">
      <c r="F668" s="614">
        <v>0</v>
      </c>
    </row>
    <row r="669" spans="6:6">
      <c r="F669" s="614">
        <v>0</v>
      </c>
    </row>
    <row r="670" spans="6:6">
      <c r="F670" s="614">
        <v>0</v>
      </c>
    </row>
    <row r="671" spans="6:6">
      <c r="F671" s="614">
        <v>0</v>
      </c>
    </row>
    <row r="672" spans="6:6">
      <c r="F672" s="614">
        <v>0</v>
      </c>
    </row>
    <row r="673" spans="6:6">
      <c r="F673" s="614">
        <v>0</v>
      </c>
    </row>
    <row r="674" spans="6:6">
      <c r="F674" s="614">
        <v>0</v>
      </c>
    </row>
    <row r="675" spans="6:6">
      <c r="F675" s="614">
        <v>0</v>
      </c>
    </row>
    <row r="676" spans="6:6">
      <c r="F676" s="614">
        <v>0</v>
      </c>
    </row>
    <row r="677" spans="6:6">
      <c r="F677" s="614">
        <v>0</v>
      </c>
    </row>
    <row r="678" spans="6:6">
      <c r="F678" s="614">
        <v>0</v>
      </c>
    </row>
    <row r="679" spans="6:6">
      <c r="F679" s="614">
        <v>0</v>
      </c>
    </row>
    <row r="680" spans="6:6">
      <c r="F680" s="614">
        <v>0</v>
      </c>
    </row>
    <row r="681" spans="6:6">
      <c r="F681" s="614">
        <v>0</v>
      </c>
    </row>
    <row r="682" spans="6:6">
      <c r="F682" s="614">
        <v>0</v>
      </c>
    </row>
    <row r="683" spans="6:6">
      <c r="F683" s="614">
        <v>0</v>
      </c>
    </row>
    <row r="684" spans="6:6">
      <c r="F684" s="614">
        <v>0</v>
      </c>
    </row>
    <row r="685" spans="6:6">
      <c r="F685" s="614">
        <v>0</v>
      </c>
    </row>
    <row r="686" spans="6:6">
      <c r="F686" s="614">
        <v>0</v>
      </c>
    </row>
    <row r="687" spans="6:6">
      <c r="F687" s="614">
        <v>0</v>
      </c>
    </row>
    <row r="688" spans="6:6">
      <c r="F688" s="614">
        <v>0</v>
      </c>
    </row>
    <row r="689" spans="6:6">
      <c r="F689" s="614">
        <v>0</v>
      </c>
    </row>
    <row r="690" spans="6:6">
      <c r="F690" s="614">
        <v>0</v>
      </c>
    </row>
    <row r="691" spans="6:6">
      <c r="F691" s="614">
        <v>0</v>
      </c>
    </row>
    <row r="692" spans="6:6">
      <c r="F692" s="614">
        <v>0</v>
      </c>
    </row>
    <row r="693" spans="6:6">
      <c r="F693" s="614">
        <v>0</v>
      </c>
    </row>
    <row r="694" spans="6:6">
      <c r="F694" s="614">
        <v>0</v>
      </c>
    </row>
    <row r="695" spans="6:6">
      <c r="F695" s="614">
        <v>0</v>
      </c>
    </row>
    <row r="696" spans="6:6">
      <c r="F696" s="614">
        <v>0</v>
      </c>
    </row>
    <row r="697" spans="6:6">
      <c r="F697" s="614">
        <v>0</v>
      </c>
    </row>
    <row r="698" spans="6:6">
      <c r="F698" s="614">
        <v>0</v>
      </c>
    </row>
    <row r="699" spans="6:6">
      <c r="F699" s="614">
        <v>0</v>
      </c>
    </row>
    <row r="700" spans="6:6">
      <c r="F700" s="614">
        <v>0</v>
      </c>
    </row>
    <row r="701" spans="6:6">
      <c r="F701" s="614">
        <v>0</v>
      </c>
    </row>
    <row r="702" spans="6:6">
      <c r="F702" s="614">
        <v>0</v>
      </c>
    </row>
    <row r="703" spans="6:6">
      <c r="F703" s="614">
        <v>0</v>
      </c>
    </row>
    <row r="704" spans="6:6">
      <c r="F704" s="614">
        <v>0</v>
      </c>
    </row>
    <row r="705" spans="6:6">
      <c r="F705" s="614">
        <v>0</v>
      </c>
    </row>
    <row r="706" spans="6:6">
      <c r="F706" s="614">
        <v>0</v>
      </c>
    </row>
    <row r="707" spans="6:6">
      <c r="F707" s="614">
        <v>0</v>
      </c>
    </row>
    <row r="708" spans="6:6">
      <c r="F708" s="614">
        <v>0</v>
      </c>
    </row>
    <row r="709" spans="6:6">
      <c r="F709" s="614">
        <v>0</v>
      </c>
    </row>
    <row r="710" spans="6:6">
      <c r="F710" s="614">
        <v>0</v>
      </c>
    </row>
    <row r="711" spans="6:6">
      <c r="F711" s="614">
        <v>0</v>
      </c>
    </row>
    <row r="712" spans="6:6">
      <c r="F712" s="614">
        <v>0</v>
      </c>
    </row>
    <row r="713" spans="6:6">
      <c r="F713" s="614">
        <v>0</v>
      </c>
    </row>
    <row r="714" spans="6:6">
      <c r="F714" s="614">
        <v>0</v>
      </c>
    </row>
    <row r="715" spans="6:6">
      <c r="F715" s="614">
        <v>0</v>
      </c>
    </row>
    <row r="716" spans="6:6">
      <c r="F716" s="614">
        <v>0</v>
      </c>
    </row>
    <row r="717" spans="6:6">
      <c r="F717" s="614">
        <v>0</v>
      </c>
    </row>
    <row r="718" spans="6:6">
      <c r="F718" s="614">
        <v>0</v>
      </c>
    </row>
    <row r="719" spans="6:6">
      <c r="F719" s="614">
        <v>0</v>
      </c>
    </row>
    <row r="720" spans="6:6">
      <c r="F720" s="614">
        <v>0</v>
      </c>
    </row>
    <row r="721" spans="6:6">
      <c r="F721" s="614">
        <v>0</v>
      </c>
    </row>
    <row r="722" spans="6:6">
      <c r="F722" s="614">
        <v>0</v>
      </c>
    </row>
    <row r="723" spans="6:6">
      <c r="F723" s="614">
        <v>0</v>
      </c>
    </row>
    <row r="724" spans="6:6">
      <c r="F724" s="614">
        <v>0</v>
      </c>
    </row>
    <row r="725" spans="6:6">
      <c r="F725" s="614">
        <v>0</v>
      </c>
    </row>
    <row r="726" spans="6:6">
      <c r="F726" s="614">
        <v>0</v>
      </c>
    </row>
    <row r="727" spans="6:6">
      <c r="F727" s="614">
        <v>0</v>
      </c>
    </row>
    <row r="728" spans="6:6">
      <c r="F728" s="614">
        <v>0</v>
      </c>
    </row>
    <row r="729" spans="6:6">
      <c r="F729" s="614">
        <v>0</v>
      </c>
    </row>
    <row r="730" spans="6:6">
      <c r="F730" s="614">
        <v>0</v>
      </c>
    </row>
    <row r="731" spans="6:6">
      <c r="F731" s="614">
        <v>0</v>
      </c>
    </row>
    <row r="732" spans="6:6">
      <c r="F732" s="614">
        <v>0</v>
      </c>
    </row>
    <row r="733" spans="6:6">
      <c r="F733" s="614">
        <v>0</v>
      </c>
    </row>
    <row r="734" spans="6:6">
      <c r="F734" s="614">
        <v>0</v>
      </c>
    </row>
    <row r="735" spans="6:6">
      <c r="F735" s="614">
        <v>0</v>
      </c>
    </row>
    <row r="736" spans="6:6">
      <c r="F736" s="614">
        <v>0</v>
      </c>
    </row>
    <row r="737" spans="6:6">
      <c r="F737" s="614">
        <v>0</v>
      </c>
    </row>
    <row r="738" spans="6:6">
      <c r="F738" s="614">
        <v>0</v>
      </c>
    </row>
    <row r="739" spans="6:6">
      <c r="F739" s="614">
        <v>0</v>
      </c>
    </row>
    <row r="740" spans="6:6">
      <c r="F740" s="614">
        <v>0</v>
      </c>
    </row>
    <row r="741" spans="6:6">
      <c r="F741" s="614">
        <v>0</v>
      </c>
    </row>
    <row r="742" spans="6:6">
      <c r="F742" s="614">
        <v>0</v>
      </c>
    </row>
    <row r="743" spans="6:6">
      <c r="F743" s="614">
        <v>0</v>
      </c>
    </row>
    <row r="744" spans="6:6">
      <c r="F744" s="614">
        <v>0</v>
      </c>
    </row>
    <row r="745" spans="6:6">
      <c r="F745" s="614">
        <v>0</v>
      </c>
    </row>
    <row r="746" spans="6:6">
      <c r="F746" s="614">
        <v>0</v>
      </c>
    </row>
    <row r="747" spans="6:6">
      <c r="F747" s="614">
        <v>0</v>
      </c>
    </row>
    <row r="748" spans="6:6">
      <c r="F748" s="614">
        <v>0</v>
      </c>
    </row>
    <row r="749" spans="6:6">
      <c r="F749" s="614">
        <v>0</v>
      </c>
    </row>
    <row r="750" spans="6:6">
      <c r="F750" s="614">
        <v>0</v>
      </c>
    </row>
    <row r="751" spans="6:6">
      <c r="F751" s="614">
        <v>0</v>
      </c>
    </row>
    <row r="752" spans="6:6">
      <c r="F752" s="614">
        <v>0</v>
      </c>
    </row>
    <row r="753" spans="6:6">
      <c r="F753" s="614">
        <v>0</v>
      </c>
    </row>
    <row r="754" spans="6:6">
      <c r="F754" s="614">
        <v>0</v>
      </c>
    </row>
    <row r="755" spans="6:6">
      <c r="F755" s="614">
        <v>0</v>
      </c>
    </row>
    <row r="756" spans="6:6">
      <c r="F756" s="614">
        <v>0</v>
      </c>
    </row>
    <row r="757" spans="6:6">
      <c r="F757" s="614">
        <v>0</v>
      </c>
    </row>
    <row r="758" spans="6:6">
      <c r="F758" s="614">
        <v>0</v>
      </c>
    </row>
    <row r="759" spans="6:6">
      <c r="F759" s="614">
        <v>0</v>
      </c>
    </row>
    <row r="760" spans="6:6">
      <c r="F760" s="614">
        <v>0</v>
      </c>
    </row>
    <row r="761" spans="6:6">
      <c r="F761" s="614">
        <v>0</v>
      </c>
    </row>
    <row r="762" spans="6:6">
      <c r="F762" s="614">
        <v>0</v>
      </c>
    </row>
    <row r="763" spans="6:6">
      <c r="F763" s="614">
        <v>0</v>
      </c>
    </row>
    <row r="764" spans="6:6">
      <c r="F764" s="614">
        <v>0</v>
      </c>
    </row>
    <row r="765" spans="6:6">
      <c r="F765" s="614">
        <v>0</v>
      </c>
    </row>
    <row r="766" spans="6:6">
      <c r="F766" s="614">
        <v>0</v>
      </c>
    </row>
    <row r="767" spans="6:6">
      <c r="F767" s="614">
        <v>0</v>
      </c>
    </row>
    <row r="768" spans="6:6">
      <c r="F768" s="614">
        <v>0</v>
      </c>
    </row>
    <row r="769" spans="6:6">
      <c r="F769" s="614">
        <v>0</v>
      </c>
    </row>
    <row r="770" spans="6:6">
      <c r="F770" s="614">
        <v>0</v>
      </c>
    </row>
    <row r="771" spans="6:6">
      <c r="F771" s="614">
        <v>0</v>
      </c>
    </row>
    <row r="772" spans="6:6">
      <c r="F772" s="614">
        <v>0</v>
      </c>
    </row>
    <row r="773" spans="6:6">
      <c r="F773" s="614">
        <v>0</v>
      </c>
    </row>
    <row r="774" spans="6:6">
      <c r="F774" s="614">
        <v>0</v>
      </c>
    </row>
    <row r="775" spans="6:6">
      <c r="F775" s="614">
        <v>0</v>
      </c>
    </row>
    <row r="776" spans="6:6">
      <c r="F776" s="614">
        <v>0</v>
      </c>
    </row>
    <row r="777" spans="6:6">
      <c r="F777" s="614">
        <v>0</v>
      </c>
    </row>
    <row r="778" spans="6:6">
      <c r="F778" s="614">
        <v>0</v>
      </c>
    </row>
    <row r="779" spans="6:6">
      <c r="F779" s="614">
        <v>0</v>
      </c>
    </row>
    <row r="780" spans="6:6">
      <c r="F780" s="614">
        <v>0</v>
      </c>
    </row>
    <row r="781" spans="6:6">
      <c r="F781" s="614">
        <v>0</v>
      </c>
    </row>
    <row r="782" spans="6:6">
      <c r="F782" s="614">
        <v>0</v>
      </c>
    </row>
    <row r="783" spans="6:6">
      <c r="F783" s="614">
        <v>0</v>
      </c>
    </row>
    <row r="784" spans="6:6">
      <c r="F784" s="614">
        <v>0</v>
      </c>
    </row>
    <row r="785" spans="6:6">
      <c r="F785" s="614">
        <v>0</v>
      </c>
    </row>
    <row r="786" spans="6:6">
      <c r="F786" s="614">
        <v>0</v>
      </c>
    </row>
    <row r="787" spans="6:6">
      <c r="F787" s="614">
        <v>0</v>
      </c>
    </row>
    <row r="788" spans="6:6">
      <c r="F788" s="614">
        <v>0</v>
      </c>
    </row>
    <row r="789" spans="6:6">
      <c r="F789" s="614">
        <v>0</v>
      </c>
    </row>
    <row r="790" spans="6:6">
      <c r="F790" s="614">
        <v>0</v>
      </c>
    </row>
    <row r="791" spans="6:6">
      <c r="F791" s="614">
        <v>0</v>
      </c>
    </row>
    <row r="792" spans="6:6">
      <c r="F792" s="614">
        <v>0</v>
      </c>
    </row>
    <row r="793" spans="6:6">
      <c r="F793" s="614">
        <v>0</v>
      </c>
    </row>
    <row r="794" spans="6:6">
      <c r="F794" s="614">
        <v>0</v>
      </c>
    </row>
    <row r="795" spans="6:6">
      <c r="F795" s="614">
        <v>0</v>
      </c>
    </row>
    <row r="796" spans="6:6">
      <c r="F796" s="614">
        <v>0</v>
      </c>
    </row>
    <row r="797" spans="6:6">
      <c r="F797" s="614">
        <v>0</v>
      </c>
    </row>
    <row r="798" spans="6:6">
      <c r="F798" s="614">
        <v>0</v>
      </c>
    </row>
    <row r="799" spans="6:6">
      <c r="F799" s="614">
        <v>0</v>
      </c>
    </row>
    <row r="800" spans="6:6">
      <c r="F800" s="614">
        <v>0</v>
      </c>
    </row>
    <row r="801" spans="6:6">
      <c r="F801" s="614">
        <v>0</v>
      </c>
    </row>
    <row r="802" spans="6:6">
      <c r="F802" s="614">
        <v>0</v>
      </c>
    </row>
    <row r="803" spans="6:6">
      <c r="F803" s="614">
        <v>0</v>
      </c>
    </row>
    <row r="804" spans="6:6">
      <c r="F804" s="614">
        <v>0</v>
      </c>
    </row>
    <row r="805" spans="6:6">
      <c r="F805" s="614">
        <v>0</v>
      </c>
    </row>
    <row r="806" spans="6:6">
      <c r="F806" s="614">
        <v>0</v>
      </c>
    </row>
    <row r="807" spans="6:6">
      <c r="F807" s="614">
        <v>0</v>
      </c>
    </row>
    <row r="808" spans="6:6">
      <c r="F808" s="614">
        <v>0</v>
      </c>
    </row>
    <row r="809" spans="6:6">
      <c r="F809" s="614">
        <v>0</v>
      </c>
    </row>
    <row r="810" spans="6:6">
      <c r="F810" s="614">
        <v>0</v>
      </c>
    </row>
    <row r="811" spans="6:6">
      <c r="F811" s="614">
        <v>0</v>
      </c>
    </row>
    <row r="812" spans="6:6">
      <c r="F812" s="614">
        <v>0</v>
      </c>
    </row>
    <row r="813" spans="6:6">
      <c r="F813" s="614">
        <v>0</v>
      </c>
    </row>
    <row r="814" spans="6:6">
      <c r="F814" s="614">
        <v>0</v>
      </c>
    </row>
    <row r="815" spans="6:6">
      <c r="F815" s="614">
        <v>0</v>
      </c>
    </row>
    <row r="816" spans="6:6">
      <c r="F816" s="614">
        <v>0</v>
      </c>
    </row>
    <row r="817" spans="6:6">
      <c r="F817" s="614">
        <v>0</v>
      </c>
    </row>
    <row r="818" spans="6:6">
      <c r="F818" s="614">
        <v>0</v>
      </c>
    </row>
    <row r="819" spans="6:6">
      <c r="F819" s="614">
        <v>0</v>
      </c>
    </row>
    <row r="820" spans="6:6">
      <c r="F820" s="614">
        <v>0</v>
      </c>
    </row>
    <row r="821" spans="6:6">
      <c r="F821" s="614">
        <v>0</v>
      </c>
    </row>
    <row r="822" spans="6:6">
      <c r="F822" s="614">
        <v>0</v>
      </c>
    </row>
    <row r="823" spans="6:6">
      <c r="F823" s="614">
        <v>0</v>
      </c>
    </row>
    <row r="824" spans="6:6">
      <c r="F824" s="614">
        <v>0</v>
      </c>
    </row>
    <row r="825" spans="6:6">
      <c r="F825" s="614">
        <v>0</v>
      </c>
    </row>
    <row r="826" spans="6:6">
      <c r="F826" s="614">
        <v>0</v>
      </c>
    </row>
    <row r="827" spans="6:6">
      <c r="F827" s="614">
        <v>0</v>
      </c>
    </row>
    <row r="828" spans="6:6">
      <c r="F828" s="614">
        <v>0</v>
      </c>
    </row>
    <row r="829" spans="6:6">
      <c r="F829" s="614">
        <v>0</v>
      </c>
    </row>
    <row r="830" spans="6:6">
      <c r="F830" s="614">
        <v>0</v>
      </c>
    </row>
    <row r="831" spans="6:6">
      <c r="F831" s="614">
        <v>0</v>
      </c>
    </row>
    <row r="832" spans="6:6">
      <c r="F832" s="614">
        <v>0</v>
      </c>
    </row>
    <row r="833" spans="6:6">
      <c r="F833" s="614">
        <v>0</v>
      </c>
    </row>
    <row r="834" spans="6:6">
      <c r="F834" s="614">
        <v>0</v>
      </c>
    </row>
    <row r="835" spans="6:6">
      <c r="F835" s="614">
        <v>0</v>
      </c>
    </row>
    <row r="836" spans="6:6">
      <c r="F836" s="614">
        <v>0</v>
      </c>
    </row>
    <row r="837" spans="6:6">
      <c r="F837" s="614">
        <v>0</v>
      </c>
    </row>
    <row r="838" spans="6:6">
      <c r="F838" s="614">
        <v>0</v>
      </c>
    </row>
    <row r="839" spans="6:6">
      <c r="F839" s="614">
        <v>0</v>
      </c>
    </row>
    <row r="840" spans="6:6">
      <c r="F840" s="614">
        <v>0</v>
      </c>
    </row>
    <row r="841" spans="6:6">
      <c r="F841" s="614">
        <v>0</v>
      </c>
    </row>
    <row r="842" spans="6:6">
      <c r="F842" s="614">
        <v>0</v>
      </c>
    </row>
    <row r="843" spans="6:6">
      <c r="F843" s="614">
        <v>0</v>
      </c>
    </row>
    <row r="844" spans="6:6">
      <c r="F844" s="614">
        <v>0</v>
      </c>
    </row>
    <row r="845" spans="6:6">
      <c r="F845" s="614">
        <v>0</v>
      </c>
    </row>
    <row r="846" spans="6:6">
      <c r="F846" s="614">
        <v>0</v>
      </c>
    </row>
    <row r="847" spans="6:6">
      <c r="F847" s="614">
        <v>0</v>
      </c>
    </row>
    <row r="848" spans="6:6">
      <c r="F848" s="614">
        <v>0</v>
      </c>
    </row>
    <row r="849" spans="6:6">
      <c r="F849" s="614">
        <v>0</v>
      </c>
    </row>
    <row r="850" spans="6:6">
      <c r="F850" s="614">
        <v>0</v>
      </c>
    </row>
    <row r="851" spans="6:6">
      <c r="F851" s="614">
        <v>0</v>
      </c>
    </row>
    <row r="852" spans="6:6">
      <c r="F852" s="614">
        <v>0</v>
      </c>
    </row>
    <row r="853" spans="6:6">
      <c r="F853" s="614">
        <v>0</v>
      </c>
    </row>
    <row r="854" spans="6:6">
      <c r="F854" s="614">
        <v>0</v>
      </c>
    </row>
    <row r="855" spans="6:6">
      <c r="F855" s="614">
        <v>0</v>
      </c>
    </row>
    <row r="856" spans="6:6">
      <c r="F856" s="614">
        <v>0</v>
      </c>
    </row>
    <row r="857" spans="6:6">
      <c r="F857" s="614">
        <v>0</v>
      </c>
    </row>
    <row r="858" spans="6:6">
      <c r="F858" s="614">
        <v>0</v>
      </c>
    </row>
    <row r="859" spans="6:6">
      <c r="F859" s="614">
        <v>0</v>
      </c>
    </row>
    <row r="860" spans="6:6">
      <c r="F860" s="614">
        <v>0</v>
      </c>
    </row>
    <row r="861" spans="6:6">
      <c r="F861" s="614">
        <v>0</v>
      </c>
    </row>
    <row r="862" spans="6:6">
      <c r="F862" s="614">
        <v>0</v>
      </c>
    </row>
    <row r="863" spans="6:6">
      <c r="F863" s="614">
        <v>0</v>
      </c>
    </row>
    <row r="864" spans="6:6">
      <c r="F864" s="614">
        <v>0</v>
      </c>
    </row>
    <row r="865" spans="6:6">
      <c r="F865" s="614">
        <v>0</v>
      </c>
    </row>
    <row r="866" spans="6:6">
      <c r="F866" s="614">
        <v>0</v>
      </c>
    </row>
    <row r="867" spans="6:6">
      <c r="F867" s="614">
        <v>0</v>
      </c>
    </row>
    <row r="868" spans="6:6">
      <c r="F868" s="614">
        <v>0</v>
      </c>
    </row>
    <row r="869" spans="6:6">
      <c r="F869" s="614">
        <v>0</v>
      </c>
    </row>
    <row r="870" spans="6:6">
      <c r="F870" s="614">
        <v>0</v>
      </c>
    </row>
    <row r="871" spans="6:6">
      <c r="F871" s="614">
        <v>0</v>
      </c>
    </row>
    <row r="872" spans="6:6">
      <c r="F872" s="614">
        <v>0</v>
      </c>
    </row>
    <row r="873" spans="6:6">
      <c r="F873" s="614">
        <v>0</v>
      </c>
    </row>
    <row r="874" spans="6:6">
      <c r="F874" s="614">
        <v>0</v>
      </c>
    </row>
    <row r="875" spans="6:6">
      <c r="F875" s="614">
        <v>0</v>
      </c>
    </row>
    <row r="876" spans="6:6">
      <c r="F876" s="614">
        <v>0</v>
      </c>
    </row>
    <row r="877" spans="6:6">
      <c r="F877" s="614">
        <v>0</v>
      </c>
    </row>
    <row r="878" spans="6:6">
      <c r="F878" s="614">
        <v>0</v>
      </c>
    </row>
    <row r="879" spans="6:6">
      <c r="F879" s="614">
        <v>0</v>
      </c>
    </row>
    <row r="880" spans="6:6">
      <c r="F880" s="614">
        <v>0</v>
      </c>
    </row>
    <row r="881" spans="6:6">
      <c r="F881" s="614">
        <v>0</v>
      </c>
    </row>
    <row r="882" spans="6:6">
      <c r="F882" s="614">
        <v>0</v>
      </c>
    </row>
    <row r="883" spans="6:6">
      <c r="F883" s="614">
        <v>0</v>
      </c>
    </row>
    <row r="884" spans="6:6">
      <c r="F884" s="614">
        <v>0</v>
      </c>
    </row>
    <row r="885" spans="6:6">
      <c r="F885" s="614">
        <v>0</v>
      </c>
    </row>
    <row r="886" spans="6:6">
      <c r="F886" s="614">
        <v>0</v>
      </c>
    </row>
    <row r="887" spans="6:6">
      <c r="F887" s="614">
        <v>0</v>
      </c>
    </row>
    <row r="888" spans="6:6">
      <c r="F888" s="614">
        <v>0</v>
      </c>
    </row>
    <row r="889" spans="6:6">
      <c r="F889" s="614">
        <v>0</v>
      </c>
    </row>
    <row r="890" spans="6:6">
      <c r="F890" s="614">
        <v>0</v>
      </c>
    </row>
    <row r="891" spans="6:6">
      <c r="F891" s="614">
        <v>0</v>
      </c>
    </row>
    <row r="892" spans="6:6">
      <c r="F892" s="614">
        <v>0</v>
      </c>
    </row>
    <row r="893" spans="6:6">
      <c r="F893" s="614">
        <v>0</v>
      </c>
    </row>
    <row r="894" spans="6:6">
      <c r="F894" s="614">
        <v>0</v>
      </c>
    </row>
    <row r="895" spans="6:6">
      <c r="F895" s="614">
        <v>0</v>
      </c>
    </row>
    <row r="896" spans="6:6">
      <c r="F896" s="614">
        <v>0</v>
      </c>
    </row>
    <row r="897" spans="6:6">
      <c r="F897" s="614">
        <v>0</v>
      </c>
    </row>
    <row r="898" spans="6:6">
      <c r="F898" s="614">
        <v>0</v>
      </c>
    </row>
    <row r="899" spans="6:6">
      <c r="F899" s="614">
        <v>0</v>
      </c>
    </row>
    <row r="900" spans="6:6">
      <c r="F900" s="614">
        <v>0</v>
      </c>
    </row>
    <row r="901" spans="6:6">
      <c r="F901" s="614">
        <v>0</v>
      </c>
    </row>
    <row r="902" spans="6:6">
      <c r="F902" s="614">
        <v>0</v>
      </c>
    </row>
    <row r="903" spans="6:6">
      <c r="F903" s="614">
        <v>0</v>
      </c>
    </row>
    <row r="904" spans="6:6">
      <c r="F904" s="614">
        <v>0</v>
      </c>
    </row>
    <row r="905" spans="6:6">
      <c r="F905" s="614">
        <v>0</v>
      </c>
    </row>
    <row r="906" spans="6:6">
      <c r="F906" s="614">
        <v>0</v>
      </c>
    </row>
    <row r="907" spans="6:6">
      <c r="F907" s="614">
        <v>0</v>
      </c>
    </row>
    <row r="908" spans="6:6">
      <c r="F908" s="614">
        <v>0</v>
      </c>
    </row>
    <row r="909" spans="6:6">
      <c r="F909" s="614">
        <v>0</v>
      </c>
    </row>
    <row r="910" spans="6:6">
      <c r="F910" s="614">
        <v>0</v>
      </c>
    </row>
    <row r="911" spans="6:6">
      <c r="F911" s="614">
        <v>0</v>
      </c>
    </row>
    <row r="912" spans="6:6">
      <c r="F912" s="614">
        <v>0</v>
      </c>
    </row>
    <row r="913" spans="6:6">
      <c r="F913" s="614">
        <v>0</v>
      </c>
    </row>
    <row r="914" spans="6:6">
      <c r="F914" s="614">
        <v>0</v>
      </c>
    </row>
    <row r="915" spans="6:6">
      <c r="F915" s="614">
        <v>0</v>
      </c>
    </row>
    <row r="916" spans="6:6">
      <c r="F916" s="614">
        <v>0</v>
      </c>
    </row>
    <row r="917" spans="6:6">
      <c r="F917" s="614">
        <v>0</v>
      </c>
    </row>
    <row r="918" spans="6:6">
      <c r="F918" s="614">
        <v>0</v>
      </c>
    </row>
    <row r="919" spans="6:6">
      <c r="F919" s="614">
        <v>0</v>
      </c>
    </row>
    <row r="920" spans="6:6">
      <c r="F920" s="614">
        <v>0</v>
      </c>
    </row>
    <row r="921" spans="6:6">
      <c r="F921" s="614">
        <v>0</v>
      </c>
    </row>
    <row r="922" spans="6:6">
      <c r="F922" s="614">
        <v>0</v>
      </c>
    </row>
    <row r="923" spans="6:6">
      <c r="F923" s="614">
        <v>0</v>
      </c>
    </row>
    <row r="924" spans="6:6">
      <c r="F924" s="614">
        <v>0</v>
      </c>
    </row>
    <row r="925" spans="6:6">
      <c r="F925" s="614">
        <v>0</v>
      </c>
    </row>
    <row r="926" spans="6:6">
      <c r="F926" s="614">
        <v>0</v>
      </c>
    </row>
    <row r="927" spans="6:6">
      <c r="F927" s="614">
        <v>0</v>
      </c>
    </row>
    <row r="928" spans="6:6">
      <c r="F928" s="614">
        <v>0</v>
      </c>
    </row>
    <row r="929" spans="6:6">
      <c r="F929" s="614">
        <v>0</v>
      </c>
    </row>
    <row r="930" spans="6:6">
      <c r="F930" s="614">
        <v>0</v>
      </c>
    </row>
    <row r="931" spans="6:6">
      <c r="F931" s="614">
        <v>0</v>
      </c>
    </row>
    <row r="932" spans="6:6">
      <c r="F932" s="614">
        <v>0</v>
      </c>
    </row>
    <row r="933" spans="6:6">
      <c r="F933" s="614">
        <v>0</v>
      </c>
    </row>
    <row r="934" spans="6:6">
      <c r="F934" s="614">
        <v>0</v>
      </c>
    </row>
    <row r="935" spans="6:6">
      <c r="F935" s="614">
        <v>0</v>
      </c>
    </row>
    <row r="936" spans="6:6">
      <c r="F936" s="614">
        <v>0</v>
      </c>
    </row>
    <row r="937" spans="6:6">
      <c r="F937" s="614">
        <v>0</v>
      </c>
    </row>
    <row r="938" spans="6:6">
      <c r="F938" s="614">
        <v>0</v>
      </c>
    </row>
    <row r="939" spans="6:6">
      <c r="F939" s="614">
        <v>0</v>
      </c>
    </row>
    <row r="940" spans="6:6">
      <c r="F940" s="614">
        <v>0</v>
      </c>
    </row>
    <row r="941" spans="6:6">
      <c r="F941" s="614">
        <v>0</v>
      </c>
    </row>
    <row r="942" spans="6:6">
      <c r="F942" s="614">
        <v>0</v>
      </c>
    </row>
    <row r="943" spans="6:6">
      <c r="F943" s="614">
        <v>0</v>
      </c>
    </row>
    <row r="944" spans="6:6">
      <c r="F944" s="614">
        <v>0</v>
      </c>
    </row>
    <row r="945" spans="6:6">
      <c r="F945" s="614">
        <v>0</v>
      </c>
    </row>
    <row r="946" spans="6:6">
      <c r="F946" s="614">
        <v>0</v>
      </c>
    </row>
    <row r="947" spans="6:6">
      <c r="F947" s="614">
        <v>0</v>
      </c>
    </row>
    <row r="948" spans="6:6">
      <c r="F948" s="614">
        <v>0</v>
      </c>
    </row>
    <row r="949" spans="6:6">
      <c r="F949" s="614">
        <v>0</v>
      </c>
    </row>
    <row r="950" spans="6:6">
      <c r="F950" s="614">
        <v>0</v>
      </c>
    </row>
    <row r="951" spans="6:6">
      <c r="F951" s="614">
        <v>0</v>
      </c>
    </row>
    <row r="952" spans="6:6">
      <c r="F952" s="614">
        <v>0</v>
      </c>
    </row>
    <row r="953" spans="6:6">
      <c r="F953" s="614">
        <v>0</v>
      </c>
    </row>
    <row r="954" spans="6:6">
      <c r="F954" s="614">
        <v>0</v>
      </c>
    </row>
    <row r="955" spans="6:6">
      <c r="F955" s="614">
        <v>0</v>
      </c>
    </row>
    <row r="956" spans="6:6">
      <c r="F956" s="614">
        <v>0</v>
      </c>
    </row>
    <row r="957" spans="6:6">
      <c r="F957" s="614">
        <v>0</v>
      </c>
    </row>
    <row r="958" spans="6:6">
      <c r="F958" s="614">
        <v>0</v>
      </c>
    </row>
    <row r="959" spans="6:6">
      <c r="F959" s="614">
        <v>0</v>
      </c>
    </row>
    <row r="960" spans="6:6">
      <c r="F960" s="614">
        <v>0</v>
      </c>
    </row>
    <row r="961" spans="6:6">
      <c r="F961" s="614">
        <v>0</v>
      </c>
    </row>
    <row r="962" spans="6:6">
      <c r="F962" s="614">
        <v>0</v>
      </c>
    </row>
    <row r="963" spans="6:6">
      <c r="F963" s="614">
        <v>0</v>
      </c>
    </row>
    <row r="964" spans="6:6">
      <c r="F964" s="614">
        <v>0</v>
      </c>
    </row>
    <row r="965" spans="6:6">
      <c r="F965" s="614">
        <v>0</v>
      </c>
    </row>
    <row r="966" spans="6:6">
      <c r="F966" s="614">
        <v>0</v>
      </c>
    </row>
    <row r="967" spans="6:6">
      <c r="F967" s="614">
        <v>0</v>
      </c>
    </row>
    <row r="968" spans="6:6">
      <c r="F968" s="614">
        <v>0</v>
      </c>
    </row>
    <row r="969" spans="6:6">
      <c r="F969" s="614">
        <v>0</v>
      </c>
    </row>
    <row r="970" spans="6:6">
      <c r="F970" s="614">
        <v>0</v>
      </c>
    </row>
    <row r="971" spans="6:6">
      <c r="F971" s="614">
        <v>0</v>
      </c>
    </row>
    <row r="972" spans="6:6">
      <c r="F972" s="614">
        <v>0</v>
      </c>
    </row>
    <row r="973" spans="6:6">
      <c r="F973" s="614">
        <v>0</v>
      </c>
    </row>
    <row r="974" spans="6:6">
      <c r="F974" s="614">
        <v>0</v>
      </c>
    </row>
    <row r="975" spans="6:6">
      <c r="F975" s="614">
        <v>0</v>
      </c>
    </row>
    <row r="976" spans="6:6">
      <c r="F976" s="614">
        <v>0</v>
      </c>
    </row>
    <row r="977" spans="6:6">
      <c r="F977" s="614">
        <v>0</v>
      </c>
    </row>
    <row r="978" spans="6:6">
      <c r="F978" s="614">
        <v>0</v>
      </c>
    </row>
    <row r="979" spans="6:6">
      <c r="F979" s="614">
        <v>0</v>
      </c>
    </row>
    <row r="980" spans="6:6">
      <c r="F980" s="614">
        <v>0</v>
      </c>
    </row>
    <row r="981" spans="6:6">
      <c r="F981" s="614">
        <v>0</v>
      </c>
    </row>
    <row r="982" spans="6:6">
      <c r="F982" s="614">
        <v>0</v>
      </c>
    </row>
    <row r="983" spans="6:6">
      <c r="F983" s="614">
        <v>0</v>
      </c>
    </row>
    <row r="984" spans="6:6">
      <c r="F984" s="614">
        <v>0</v>
      </c>
    </row>
    <row r="985" spans="6:6">
      <c r="F985" s="614">
        <v>0</v>
      </c>
    </row>
    <row r="986" spans="6:6">
      <c r="F986" s="614">
        <v>0</v>
      </c>
    </row>
    <row r="987" spans="6:6">
      <c r="F987" s="614">
        <v>0</v>
      </c>
    </row>
    <row r="988" spans="6:6">
      <c r="F988" s="614">
        <v>0</v>
      </c>
    </row>
    <row r="989" spans="6:6">
      <c r="F989" s="614">
        <v>0</v>
      </c>
    </row>
    <row r="990" spans="6:6">
      <c r="F990" s="614">
        <v>0</v>
      </c>
    </row>
    <row r="991" spans="6:6">
      <c r="F991" s="614">
        <v>0</v>
      </c>
    </row>
    <row r="992" spans="6:6">
      <c r="F992" s="614">
        <v>0</v>
      </c>
    </row>
    <row r="993" spans="6:6">
      <c r="F993" s="614">
        <v>0</v>
      </c>
    </row>
    <row r="994" spans="6:6">
      <c r="F994" s="614">
        <v>0</v>
      </c>
    </row>
    <row r="995" spans="6:6">
      <c r="F995" s="614">
        <v>0</v>
      </c>
    </row>
    <row r="996" spans="6:6">
      <c r="F996" s="614">
        <v>0</v>
      </c>
    </row>
    <row r="997" spans="6:6">
      <c r="F997" s="614">
        <v>0</v>
      </c>
    </row>
    <row r="998" spans="6:6">
      <c r="F998" s="614">
        <v>0</v>
      </c>
    </row>
    <row r="999" spans="6:6">
      <c r="F999" s="614">
        <v>0</v>
      </c>
    </row>
    <row r="1000" spans="6:6">
      <c r="F1000" s="614">
        <v>0</v>
      </c>
    </row>
    <row r="1001" spans="6:6">
      <c r="F1001" s="614">
        <v>0</v>
      </c>
    </row>
    <row r="1002" spans="6:6">
      <c r="F1002" s="614">
        <v>0</v>
      </c>
    </row>
    <row r="1003" spans="6:6">
      <c r="F1003" s="614">
        <v>0</v>
      </c>
    </row>
    <row r="1004" spans="6:6">
      <c r="F1004" s="614">
        <v>0</v>
      </c>
    </row>
    <row r="1005" spans="6:6">
      <c r="F1005" s="614">
        <v>0</v>
      </c>
    </row>
    <row r="1006" spans="6:6">
      <c r="F1006" s="614">
        <v>0</v>
      </c>
    </row>
    <row r="1007" spans="6:6">
      <c r="F1007" s="614">
        <v>0</v>
      </c>
    </row>
    <row r="1008" spans="6:6">
      <c r="F1008" s="614">
        <v>0</v>
      </c>
    </row>
    <row r="1009" spans="6:6">
      <c r="F1009" s="614">
        <v>0</v>
      </c>
    </row>
    <row r="1010" spans="6:6">
      <c r="F1010" s="614">
        <v>0</v>
      </c>
    </row>
    <row r="1011" spans="6:6">
      <c r="F1011" s="614">
        <v>0</v>
      </c>
    </row>
    <row r="1012" spans="6:6">
      <c r="F1012" s="614">
        <v>0</v>
      </c>
    </row>
    <row r="1013" spans="6:6">
      <c r="F1013" s="614">
        <v>0</v>
      </c>
    </row>
    <row r="1014" spans="6:6">
      <c r="F1014" s="614">
        <v>0</v>
      </c>
    </row>
    <row r="1015" spans="6:6">
      <c r="F1015" s="614">
        <v>0</v>
      </c>
    </row>
    <row r="1016" spans="6:6">
      <c r="F1016" s="614">
        <v>0</v>
      </c>
    </row>
    <row r="1017" spans="6:6">
      <c r="F1017" s="614">
        <v>0</v>
      </c>
    </row>
    <row r="1018" spans="6:6">
      <c r="F1018" s="614">
        <v>0</v>
      </c>
    </row>
    <row r="1019" spans="6:6">
      <c r="F1019" s="614">
        <v>0</v>
      </c>
    </row>
    <row r="1020" spans="6:6">
      <c r="F1020" s="614">
        <v>0</v>
      </c>
    </row>
    <row r="1021" spans="6:6">
      <c r="F1021" s="614">
        <v>0</v>
      </c>
    </row>
    <row r="1022" spans="6:6">
      <c r="F1022" s="614">
        <v>0</v>
      </c>
    </row>
    <row r="1023" spans="6:6">
      <c r="F1023" s="614">
        <v>0</v>
      </c>
    </row>
    <row r="1024" spans="6:6">
      <c r="F1024" s="614">
        <v>0</v>
      </c>
    </row>
    <row r="1025" spans="6:6">
      <c r="F1025" s="614">
        <v>0</v>
      </c>
    </row>
    <row r="1026" spans="6:6">
      <c r="F1026" s="614">
        <v>0</v>
      </c>
    </row>
    <row r="1027" spans="6:6">
      <c r="F1027" s="614">
        <v>0</v>
      </c>
    </row>
    <row r="1028" spans="6:6">
      <c r="F1028" s="614">
        <v>0</v>
      </c>
    </row>
    <row r="1029" spans="6:6">
      <c r="F1029" s="614">
        <v>0</v>
      </c>
    </row>
    <row r="1030" spans="6:6">
      <c r="F1030" s="614">
        <v>0</v>
      </c>
    </row>
    <row r="1031" spans="6:6">
      <c r="F1031" s="614">
        <v>0</v>
      </c>
    </row>
    <row r="1032" spans="6:6">
      <c r="F1032" s="614">
        <v>0</v>
      </c>
    </row>
    <row r="1033" spans="6:6">
      <c r="F1033" s="614">
        <v>0</v>
      </c>
    </row>
    <row r="1034" spans="6:6">
      <c r="F1034" s="614">
        <v>0</v>
      </c>
    </row>
    <row r="1035" spans="6:6">
      <c r="F1035" s="614">
        <v>0</v>
      </c>
    </row>
    <row r="1036" spans="6:6">
      <c r="F1036" s="614">
        <v>0</v>
      </c>
    </row>
    <row r="1037" spans="6:6">
      <c r="F1037" s="614">
        <v>0</v>
      </c>
    </row>
    <row r="1038" spans="6:6">
      <c r="F1038" s="614">
        <v>0</v>
      </c>
    </row>
    <row r="1039" spans="6:6">
      <c r="F1039" s="614">
        <v>0</v>
      </c>
    </row>
    <row r="1040" spans="6:6">
      <c r="F1040" s="614">
        <v>0</v>
      </c>
    </row>
    <row r="1041" spans="6:6">
      <c r="F1041" s="614">
        <v>0</v>
      </c>
    </row>
    <row r="1042" spans="6:6">
      <c r="F1042" s="614">
        <v>0</v>
      </c>
    </row>
    <row r="1043" spans="6:6">
      <c r="F1043" s="614">
        <v>0</v>
      </c>
    </row>
    <row r="1044" spans="6:6">
      <c r="F1044" s="614">
        <v>0</v>
      </c>
    </row>
    <row r="1045" spans="6:6">
      <c r="F1045" s="614">
        <v>0</v>
      </c>
    </row>
    <row r="1046" spans="6:6">
      <c r="F1046" s="614">
        <v>0</v>
      </c>
    </row>
    <row r="1047" spans="6:6">
      <c r="F1047" s="614">
        <v>0</v>
      </c>
    </row>
    <row r="1048" spans="6:6">
      <c r="F1048" s="614">
        <v>0</v>
      </c>
    </row>
    <row r="1049" spans="6:6">
      <c r="F1049" s="614">
        <v>0</v>
      </c>
    </row>
    <row r="1050" spans="6:6">
      <c r="F1050" s="614">
        <v>0</v>
      </c>
    </row>
    <row r="1051" spans="6:6">
      <c r="F1051" s="614">
        <v>0</v>
      </c>
    </row>
    <row r="1052" spans="6:6">
      <c r="F1052" s="614">
        <v>0</v>
      </c>
    </row>
    <row r="1053" spans="6:6">
      <c r="F1053" s="614">
        <v>0</v>
      </c>
    </row>
    <row r="1054" spans="6:6">
      <c r="F1054" s="614">
        <v>0</v>
      </c>
    </row>
    <row r="1055" spans="6:6">
      <c r="F1055" s="614">
        <v>0</v>
      </c>
    </row>
    <row r="1056" spans="6:6">
      <c r="F1056" s="614">
        <v>0</v>
      </c>
    </row>
    <row r="1057" spans="6:6">
      <c r="F1057" s="614">
        <v>0</v>
      </c>
    </row>
    <row r="1058" spans="6:6">
      <c r="F1058" s="614">
        <v>0</v>
      </c>
    </row>
    <row r="1059" spans="6:6">
      <c r="F1059" s="614">
        <v>0</v>
      </c>
    </row>
    <row r="1060" spans="6:6">
      <c r="F1060" s="614">
        <v>0</v>
      </c>
    </row>
    <row r="1061" spans="6:6">
      <c r="F1061" s="614">
        <v>0</v>
      </c>
    </row>
    <row r="1062" spans="6:6">
      <c r="F1062" s="614">
        <v>0</v>
      </c>
    </row>
    <row r="1063" spans="6:6">
      <c r="F1063" s="614">
        <v>0</v>
      </c>
    </row>
    <row r="1064" spans="6:6">
      <c r="F1064" s="614">
        <v>0</v>
      </c>
    </row>
    <row r="1065" spans="6:6">
      <c r="F1065" s="614">
        <v>0</v>
      </c>
    </row>
    <row r="1066" spans="6:6">
      <c r="F1066" s="614">
        <v>0</v>
      </c>
    </row>
    <row r="1067" spans="6:6">
      <c r="F1067" s="614">
        <v>0</v>
      </c>
    </row>
    <row r="1068" spans="6:6">
      <c r="F1068" s="614">
        <v>0</v>
      </c>
    </row>
    <row r="1069" spans="6:6">
      <c r="F1069" s="614">
        <v>0</v>
      </c>
    </row>
    <row r="1070" spans="6:6">
      <c r="F1070" s="614">
        <v>0</v>
      </c>
    </row>
    <row r="1071" spans="6:6">
      <c r="F1071" s="614">
        <v>0</v>
      </c>
    </row>
    <row r="1072" spans="6:6">
      <c r="F1072" s="614">
        <v>0</v>
      </c>
    </row>
    <row r="1073" spans="6:6">
      <c r="F1073" s="614">
        <v>0</v>
      </c>
    </row>
    <row r="1074" spans="6:6">
      <c r="F1074" s="614">
        <v>0</v>
      </c>
    </row>
    <row r="1075" spans="6:6">
      <c r="F1075" s="614">
        <v>0</v>
      </c>
    </row>
    <row r="1076" spans="6:6">
      <c r="F1076" s="614">
        <v>0</v>
      </c>
    </row>
    <row r="1077" spans="6:6">
      <c r="F1077" s="614">
        <v>0</v>
      </c>
    </row>
    <row r="1078" spans="6:6">
      <c r="F1078" s="614">
        <v>0</v>
      </c>
    </row>
    <row r="1079" spans="6:6">
      <c r="F1079" s="614">
        <v>0</v>
      </c>
    </row>
    <row r="1080" spans="6:6">
      <c r="F1080" s="614">
        <v>0</v>
      </c>
    </row>
    <row r="1081" spans="6:6">
      <c r="F1081" s="614">
        <v>0</v>
      </c>
    </row>
    <row r="1082" spans="6:6">
      <c r="F1082" s="614">
        <v>0</v>
      </c>
    </row>
    <row r="1083" spans="6:6">
      <c r="F1083" s="614">
        <v>0</v>
      </c>
    </row>
    <row r="1084" spans="6:6">
      <c r="F1084" s="614">
        <v>0</v>
      </c>
    </row>
    <row r="1085" spans="6:6">
      <c r="F1085" s="614">
        <v>0</v>
      </c>
    </row>
    <row r="1086" spans="6:6">
      <c r="F1086" s="614">
        <v>0</v>
      </c>
    </row>
    <row r="1087" spans="6:6">
      <c r="F1087" s="614">
        <v>0</v>
      </c>
    </row>
    <row r="1088" spans="6:6">
      <c r="F1088" s="614">
        <v>0</v>
      </c>
    </row>
    <row r="1089" spans="6:6">
      <c r="F1089" s="614">
        <v>0</v>
      </c>
    </row>
    <row r="1090" spans="6:6">
      <c r="F1090" s="614">
        <v>0</v>
      </c>
    </row>
    <row r="1091" spans="6:6">
      <c r="F1091" s="614">
        <v>0</v>
      </c>
    </row>
    <row r="1092" spans="6:6">
      <c r="F1092" s="614">
        <v>0</v>
      </c>
    </row>
    <row r="1093" spans="6:6">
      <c r="F1093" s="614">
        <v>0</v>
      </c>
    </row>
    <row r="1094" spans="6:6">
      <c r="F1094" s="614">
        <v>0</v>
      </c>
    </row>
    <row r="1095" spans="6:6">
      <c r="F1095" s="614">
        <v>0</v>
      </c>
    </row>
    <row r="1096" spans="6:6">
      <c r="F1096" s="614">
        <v>0</v>
      </c>
    </row>
    <row r="1097" spans="6:6">
      <c r="F1097" s="614">
        <v>0</v>
      </c>
    </row>
    <row r="1098" spans="6:6">
      <c r="F1098" s="614">
        <v>0</v>
      </c>
    </row>
    <row r="1099" spans="6:6">
      <c r="F1099" s="614">
        <v>0</v>
      </c>
    </row>
    <row r="1100" spans="6:6">
      <c r="F1100" s="614">
        <v>0</v>
      </c>
    </row>
    <row r="1101" spans="6:6">
      <c r="F1101" s="614">
        <v>0</v>
      </c>
    </row>
    <row r="1102" spans="6:6">
      <c r="F1102" s="614">
        <v>0</v>
      </c>
    </row>
    <row r="1103" spans="6:6">
      <c r="F1103" s="614">
        <v>0</v>
      </c>
    </row>
    <row r="1104" spans="6:6">
      <c r="F1104" s="614">
        <v>0</v>
      </c>
    </row>
    <row r="1105" spans="6:6">
      <c r="F1105" s="614">
        <v>0</v>
      </c>
    </row>
    <row r="1106" spans="6:6">
      <c r="F1106" s="614">
        <v>0</v>
      </c>
    </row>
    <row r="1107" spans="6:6">
      <c r="F1107" s="614">
        <v>0</v>
      </c>
    </row>
    <row r="1108" spans="6:6">
      <c r="F1108" s="614">
        <v>0</v>
      </c>
    </row>
    <row r="1109" spans="6:6">
      <c r="F1109" s="614">
        <v>0</v>
      </c>
    </row>
    <row r="1110" spans="6:6">
      <c r="F1110" s="614">
        <v>0</v>
      </c>
    </row>
    <row r="1111" spans="6:6">
      <c r="F1111" s="614">
        <v>0</v>
      </c>
    </row>
    <row r="1112" spans="6:6">
      <c r="F1112" s="614">
        <v>0</v>
      </c>
    </row>
    <row r="1113" spans="6:6">
      <c r="F1113" s="614">
        <v>0</v>
      </c>
    </row>
    <row r="1114" spans="6:6">
      <c r="F1114" s="614">
        <v>0</v>
      </c>
    </row>
    <row r="1115" spans="6:6">
      <c r="F1115" s="614">
        <v>0</v>
      </c>
    </row>
    <row r="1116" spans="6:6">
      <c r="F1116" s="614">
        <v>0</v>
      </c>
    </row>
    <row r="1117" spans="6:6">
      <c r="F1117" s="614">
        <v>0</v>
      </c>
    </row>
    <row r="1118" spans="6:6">
      <c r="F1118" s="614">
        <v>0</v>
      </c>
    </row>
    <row r="1119" spans="6:6">
      <c r="F1119" s="614">
        <v>0</v>
      </c>
    </row>
    <row r="1120" spans="6:6">
      <c r="F1120" s="614">
        <v>0</v>
      </c>
    </row>
    <row r="1121" spans="6:6">
      <c r="F1121" s="614">
        <v>0</v>
      </c>
    </row>
    <row r="1122" spans="6:6">
      <c r="F1122" s="614">
        <v>0</v>
      </c>
    </row>
    <row r="1123" spans="6:6">
      <c r="F1123" s="614">
        <v>0</v>
      </c>
    </row>
    <row r="1124" spans="6:6">
      <c r="F1124" s="614">
        <v>0</v>
      </c>
    </row>
    <row r="1125" spans="6:6">
      <c r="F1125" s="614">
        <v>0</v>
      </c>
    </row>
    <row r="1126" spans="6:6">
      <c r="F1126" s="614">
        <v>0</v>
      </c>
    </row>
    <row r="1127" spans="6:6">
      <c r="F1127" s="614">
        <v>0</v>
      </c>
    </row>
    <row r="1128" spans="6:6">
      <c r="F1128" s="614">
        <v>0</v>
      </c>
    </row>
    <row r="1129" spans="6:6">
      <c r="F1129" s="614">
        <v>0</v>
      </c>
    </row>
    <row r="1130" spans="6:6">
      <c r="F1130" s="614">
        <v>0</v>
      </c>
    </row>
    <row r="1131" spans="6:6">
      <c r="F1131" s="614">
        <v>0</v>
      </c>
    </row>
    <row r="1132" spans="6:6">
      <c r="F1132" s="614">
        <v>0</v>
      </c>
    </row>
    <row r="1133" spans="6:6">
      <c r="F1133" s="614">
        <v>0</v>
      </c>
    </row>
    <row r="1134" spans="6:6">
      <c r="F1134" s="614">
        <v>0</v>
      </c>
    </row>
    <row r="1135" spans="6:6">
      <c r="F1135" s="614">
        <v>0</v>
      </c>
    </row>
    <row r="1136" spans="6:6">
      <c r="F1136" s="614">
        <v>0</v>
      </c>
    </row>
    <row r="1137" spans="6:6">
      <c r="F1137" s="614">
        <v>0</v>
      </c>
    </row>
    <row r="1138" spans="6:6">
      <c r="F1138" s="614">
        <v>0</v>
      </c>
    </row>
    <row r="1139" spans="6:6">
      <c r="F1139" s="614">
        <v>0</v>
      </c>
    </row>
    <row r="1140" spans="6:6">
      <c r="F1140" s="614">
        <v>0</v>
      </c>
    </row>
    <row r="1141" spans="6:6">
      <c r="F1141" s="614">
        <v>0</v>
      </c>
    </row>
    <row r="1142" spans="6:6">
      <c r="F1142" s="614">
        <v>0</v>
      </c>
    </row>
    <row r="1143" spans="6:6">
      <c r="F1143" s="614">
        <v>0</v>
      </c>
    </row>
    <row r="1144" spans="6:6">
      <c r="F1144" s="614">
        <v>0</v>
      </c>
    </row>
    <row r="1145" spans="6:6">
      <c r="F1145" s="614">
        <v>0</v>
      </c>
    </row>
    <row r="1146" spans="6:6">
      <c r="F1146" s="614">
        <v>0</v>
      </c>
    </row>
    <row r="1147" spans="6:6">
      <c r="F1147" s="614">
        <v>0</v>
      </c>
    </row>
    <row r="1148" spans="6:6">
      <c r="F1148" s="614">
        <v>0</v>
      </c>
    </row>
    <row r="1149" spans="6:6">
      <c r="F1149" s="614">
        <v>0</v>
      </c>
    </row>
    <row r="1150" spans="6:6">
      <c r="F1150" s="614">
        <v>0</v>
      </c>
    </row>
    <row r="1151" spans="6:6">
      <c r="F1151" s="614">
        <v>0</v>
      </c>
    </row>
    <row r="1152" spans="6:6">
      <c r="F1152" s="614">
        <v>0</v>
      </c>
    </row>
    <row r="1153" spans="6:6">
      <c r="F1153" s="614">
        <v>0</v>
      </c>
    </row>
    <row r="1154" spans="6:6">
      <c r="F1154" s="614">
        <v>0</v>
      </c>
    </row>
    <row r="1155" spans="6:6">
      <c r="F1155" s="614">
        <v>0</v>
      </c>
    </row>
    <row r="1156" spans="6:6">
      <c r="F1156" s="614">
        <v>0</v>
      </c>
    </row>
    <row r="1157" spans="6:6">
      <c r="F1157" s="614">
        <v>0</v>
      </c>
    </row>
    <row r="1158" spans="6:6">
      <c r="F1158" s="614">
        <v>0</v>
      </c>
    </row>
    <row r="1159" spans="6:6">
      <c r="F1159" s="614">
        <v>0</v>
      </c>
    </row>
    <row r="1160" spans="6:6">
      <c r="F1160" s="614">
        <v>0</v>
      </c>
    </row>
    <row r="1161" spans="6:6">
      <c r="F1161" s="614">
        <v>0</v>
      </c>
    </row>
    <row r="1162" spans="6:6">
      <c r="F1162" s="614">
        <v>0</v>
      </c>
    </row>
    <row r="1163" spans="6:6">
      <c r="F1163" s="614">
        <v>0</v>
      </c>
    </row>
    <row r="1164" spans="6:6">
      <c r="F1164" s="614">
        <v>0</v>
      </c>
    </row>
    <row r="1165" spans="6:6">
      <c r="F1165" s="614">
        <v>0</v>
      </c>
    </row>
    <row r="1166" spans="6:6">
      <c r="F1166" s="614">
        <v>0</v>
      </c>
    </row>
    <row r="1167" spans="6:6">
      <c r="F1167" s="614">
        <v>0</v>
      </c>
    </row>
    <row r="1168" spans="6:6">
      <c r="F1168" s="614">
        <v>0</v>
      </c>
    </row>
    <row r="1169" spans="6:6">
      <c r="F1169" s="614">
        <v>0</v>
      </c>
    </row>
    <row r="1170" spans="6:6">
      <c r="F1170" s="614">
        <v>0</v>
      </c>
    </row>
    <row r="1171" spans="6:6">
      <c r="F1171" s="614">
        <v>0</v>
      </c>
    </row>
    <row r="1172" spans="6:6">
      <c r="F1172" s="614">
        <v>0</v>
      </c>
    </row>
    <row r="1173" spans="6:6">
      <c r="F1173" s="614">
        <v>0</v>
      </c>
    </row>
    <row r="1174" spans="6:6">
      <c r="F1174" s="614">
        <v>0</v>
      </c>
    </row>
    <row r="1175" spans="6:6">
      <c r="F1175" s="614">
        <v>0</v>
      </c>
    </row>
    <row r="1176" spans="6:6">
      <c r="F1176" s="614">
        <v>0</v>
      </c>
    </row>
    <row r="1177" spans="6:6">
      <c r="F1177" s="614">
        <v>0</v>
      </c>
    </row>
    <row r="1178" spans="6:6">
      <c r="F1178" s="614">
        <v>0</v>
      </c>
    </row>
    <row r="1179" spans="6:6">
      <c r="F1179" s="614">
        <v>0</v>
      </c>
    </row>
    <row r="1180" spans="6:6">
      <c r="F1180" s="614">
        <v>0</v>
      </c>
    </row>
    <row r="1181" spans="6:6">
      <c r="F1181" s="614">
        <v>0</v>
      </c>
    </row>
    <row r="1182" spans="6:6">
      <c r="F1182" s="614">
        <v>0</v>
      </c>
    </row>
    <row r="1183" spans="6:6">
      <c r="F1183" s="614">
        <v>0</v>
      </c>
    </row>
    <row r="1184" spans="6:6">
      <c r="F1184" s="614">
        <v>0</v>
      </c>
    </row>
    <row r="1185" spans="6:6">
      <c r="F1185" s="614">
        <v>0</v>
      </c>
    </row>
    <row r="1186" spans="6:6">
      <c r="F1186" s="614">
        <v>0</v>
      </c>
    </row>
    <row r="1187" spans="6:6">
      <c r="F1187" s="614">
        <v>0</v>
      </c>
    </row>
    <row r="1188" spans="6:6">
      <c r="F1188" s="614">
        <v>0</v>
      </c>
    </row>
    <row r="1189" spans="6:6">
      <c r="F1189" s="614">
        <v>0</v>
      </c>
    </row>
    <row r="1190" spans="6:6">
      <c r="F1190" s="614">
        <v>0</v>
      </c>
    </row>
    <row r="1191" spans="6:6">
      <c r="F1191" s="614">
        <v>0</v>
      </c>
    </row>
    <row r="1192" spans="6:6">
      <c r="F1192" s="614">
        <v>0</v>
      </c>
    </row>
    <row r="1193" spans="6:6">
      <c r="F1193" s="614">
        <v>0</v>
      </c>
    </row>
    <row r="1194" spans="6:6">
      <c r="F1194" s="614">
        <v>0</v>
      </c>
    </row>
    <row r="1195" spans="6:6">
      <c r="F1195" s="614">
        <v>0</v>
      </c>
    </row>
    <row r="1196" spans="6:6">
      <c r="F1196" s="614">
        <v>0</v>
      </c>
    </row>
    <row r="1197" spans="6:6">
      <c r="F1197" s="614">
        <v>0</v>
      </c>
    </row>
    <row r="1198" spans="6:6">
      <c r="F1198" s="614">
        <v>0</v>
      </c>
    </row>
    <row r="1199" spans="6:6">
      <c r="F1199" s="614">
        <v>0</v>
      </c>
    </row>
    <row r="1200" spans="6:6">
      <c r="F1200" s="614">
        <v>0</v>
      </c>
    </row>
    <row r="1201" spans="6:6">
      <c r="F1201" s="614">
        <v>0</v>
      </c>
    </row>
    <row r="1202" spans="6:6">
      <c r="F1202" s="614">
        <v>0</v>
      </c>
    </row>
    <row r="1203" spans="6:6">
      <c r="F1203" s="614">
        <v>0</v>
      </c>
    </row>
    <row r="1204" spans="6:6">
      <c r="F1204" s="614">
        <v>0</v>
      </c>
    </row>
    <row r="1205" spans="6:6">
      <c r="F1205" s="614">
        <v>0</v>
      </c>
    </row>
    <row r="1206" spans="6:6">
      <c r="F1206" s="614">
        <v>0</v>
      </c>
    </row>
    <row r="1207" spans="6:6">
      <c r="F1207" s="614">
        <v>0</v>
      </c>
    </row>
    <row r="1208" spans="6:6">
      <c r="F1208" s="614">
        <v>0</v>
      </c>
    </row>
    <row r="1209" spans="6:6">
      <c r="F1209" s="614">
        <v>0</v>
      </c>
    </row>
    <row r="1210" spans="6:6">
      <c r="F1210" s="614">
        <v>0</v>
      </c>
    </row>
    <row r="1211" spans="6:6">
      <c r="F1211" s="614">
        <v>0</v>
      </c>
    </row>
    <row r="1212" spans="6:6">
      <c r="F1212" s="614">
        <v>0</v>
      </c>
    </row>
    <row r="1213" spans="6:6">
      <c r="F1213" s="614">
        <v>0</v>
      </c>
    </row>
    <row r="1214" spans="6:6">
      <c r="F1214" s="614">
        <v>0</v>
      </c>
    </row>
    <row r="1215" spans="6:6">
      <c r="F1215" s="614">
        <v>0</v>
      </c>
    </row>
    <row r="1216" spans="6:6">
      <c r="F1216" s="614">
        <v>0</v>
      </c>
    </row>
    <row r="1217" spans="6:6">
      <c r="F1217" s="614">
        <v>0</v>
      </c>
    </row>
    <row r="1218" spans="6:6">
      <c r="F1218" s="614">
        <v>0</v>
      </c>
    </row>
    <row r="1219" spans="6:6">
      <c r="F1219" s="614">
        <v>0</v>
      </c>
    </row>
    <row r="1220" spans="6:6">
      <c r="F1220" s="614">
        <v>0</v>
      </c>
    </row>
    <row r="1221" spans="6:6">
      <c r="F1221" s="614">
        <v>0</v>
      </c>
    </row>
    <row r="1222" spans="6:6">
      <c r="F1222" s="614">
        <v>0</v>
      </c>
    </row>
    <row r="1223" spans="6:6">
      <c r="F1223" s="614">
        <v>0</v>
      </c>
    </row>
    <row r="1224" spans="6:6">
      <c r="F1224" s="614">
        <v>0</v>
      </c>
    </row>
    <row r="1225" spans="6:6">
      <c r="F1225" s="614">
        <v>0</v>
      </c>
    </row>
    <row r="1226" spans="6:6">
      <c r="F1226" s="614">
        <v>0</v>
      </c>
    </row>
    <row r="1227" spans="6:6">
      <c r="F1227" s="614">
        <v>0</v>
      </c>
    </row>
    <row r="1228" spans="6:6">
      <c r="F1228" s="614">
        <v>0</v>
      </c>
    </row>
    <row r="1229" spans="6:6">
      <c r="F1229" s="614">
        <v>0</v>
      </c>
    </row>
    <row r="1230" spans="6:6">
      <c r="F1230" s="614">
        <v>0</v>
      </c>
    </row>
    <row r="1231" spans="6:6">
      <c r="F1231" s="614">
        <v>0</v>
      </c>
    </row>
    <row r="1232" spans="6:6">
      <c r="F1232" s="614">
        <v>0</v>
      </c>
    </row>
    <row r="1233" spans="6:6">
      <c r="F1233" s="614">
        <v>0</v>
      </c>
    </row>
    <row r="1234" spans="6:6">
      <c r="F1234" s="614">
        <v>0</v>
      </c>
    </row>
    <row r="1235" spans="6:6">
      <c r="F1235" s="614">
        <v>0</v>
      </c>
    </row>
    <row r="1236" spans="6:6">
      <c r="F1236" s="614">
        <v>0</v>
      </c>
    </row>
    <row r="1237" spans="6:6">
      <c r="F1237" s="614">
        <v>0</v>
      </c>
    </row>
    <row r="1238" spans="6:6">
      <c r="F1238" s="614">
        <v>0</v>
      </c>
    </row>
    <row r="1239" spans="6:6">
      <c r="F1239" s="614">
        <v>0</v>
      </c>
    </row>
    <row r="1240" spans="6:6">
      <c r="F1240" s="614">
        <v>0</v>
      </c>
    </row>
    <row r="1241" spans="6:6">
      <c r="F1241" s="614">
        <v>0</v>
      </c>
    </row>
    <row r="1242" spans="6:6">
      <c r="F1242" s="614">
        <v>0</v>
      </c>
    </row>
    <row r="1243" spans="6:6">
      <c r="F1243" s="614">
        <v>0</v>
      </c>
    </row>
    <row r="1244" spans="6:6">
      <c r="F1244" s="614">
        <v>0</v>
      </c>
    </row>
    <row r="1245" spans="6:6">
      <c r="F1245" s="614">
        <v>0</v>
      </c>
    </row>
    <row r="1246" spans="6:6">
      <c r="F1246" s="614">
        <v>0</v>
      </c>
    </row>
    <row r="1247" spans="6:6">
      <c r="F1247" s="614">
        <v>0</v>
      </c>
    </row>
    <row r="1248" spans="6:6">
      <c r="F1248" s="614">
        <v>0</v>
      </c>
    </row>
    <row r="1249" spans="6:6">
      <c r="F1249" s="614">
        <v>0</v>
      </c>
    </row>
    <row r="1250" spans="6:6">
      <c r="F1250" s="614">
        <v>0</v>
      </c>
    </row>
    <row r="1251" spans="6:6">
      <c r="F1251" s="614">
        <v>0</v>
      </c>
    </row>
    <row r="1252" spans="6:6">
      <c r="F1252" s="614">
        <v>0</v>
      </c>
    </row>
    <row r="1253" spans="6:6">
      <c r="F1253" s="614">
        <v>0</v>
      </c>
    </row>
    <row r="1254" spans="6:6">
      <c r="F1254" s="614">
        <v>0</v>
      </c>
    </row>
    <row r="1255" spans="6:6">
      <c r="F1255" s="614">
        <v>0</v>
      </c>
    </row>
    <row r="1256" spans="6:6">
      <c r="F1256" s="614">
        <v>0</v>
      </c>
    </row>
    <row r="1257" spans="6:6">
      <c r="F1257" s="614">
        <v>0</v>
      </c>
    </row>
    <row r="1258" spans="6:6">
      <c r="F1258" s="614">
        <v>0</v>
      </c>
    </row>
    <row r="1259" spans="6:6">
      <c r="F1259" s="614">
        <v>0</v>
      </c>
    </row>
    <row r="1260" spans="6:6">
      <c r="F1260" s="614">
        <v>0</v>
      </c>
    </row>
    <row r="1261" spans="6:6">
      <c r="F1261" s="614">
        <v>0</v>
      </c>
    </row>
    <row r="1262" spans="6:6">
      <c r="F1262" s="614">
        <v>0</v>
      </c>
    </row>
    <row r="1263" spans="6:6">
      <c r="F1263" s="614">
        <v>0</v>
      </c>
    </row>
    <row r="1264" spans="6:6">
      <c r="F1264" s="614">
        <v>0</v>
      </c>
    </row>
    <row r="1265" spans="6:6">
      <c r="F1265" s="614">
        <v>0</v>
      </c>
    </row>
    <row r="1266" spans="6:6">
      <c r="F1266" s="614">
        <v>0</v>
      </c>
    </row>
    <row r="1267" spans="6:6">
      <c r="F1267" s="614">
        <v>0</v>
      </c>
    </row>
    <row r="1268" spans="6:6">
      <c r="F1268" s="614">
        <v>0</v>
      </c>
    </row>
    <row r="1269" spans="6:6">
      <c r="F1269" s="614">
        <v>0</v>
      </c>
    </row>
    <row r="1270" spans="6:6">
      <c r="F1270" s="614">
        <v>0</v>
      </c>
    </row>
    <row r="1271" spans="6:6">
      <c r="F1271" s="614">
        <v>0</v>
      </c>
    </row>
    <row r="1272" spans="6:6">
      <c r="F1272" s="614">
        <v>0</v>
      </c>
    </row>
    <row r="1273" spans="6:6">
      <c r="F1273" s="614">
        <v>0</v>
      </c>
    </row>
    <row r="1274" spans="6:6">
      <c r="F1274" s="614">
        <v>0</v>
      </c>
    </row>
    <row r="1275" spans="6:6">
      <c r="F1275" s="614">
        <v>0</v>
      </c>
    </row>
    <row r="1276" spans="6:6">
      <c r="F1276" s="614">
        <v>0</v>
      </c>
    </row>
    <row r="1277" spans="6:6">
      <c r="F1277" s="614">
        <v>0</v>
      </c>
    </row>
    <row r="1278" spans="6:6">
      <c r="F1278" s="614">
        <v>0</v>
      </c>
    </row>
    <row r="1279" spans="6:6">
      <c r="F1279" s="614">
        <v>0</v>
      </c>
    </row>
    <row r="1280" spans="6:6">
      <c r="F1280" s="614">
        <v>0</v>
      </c>
    </row>
    <row r="1281" spans="6:6">
      <c r="F1281" s="614">
        <v>0</v>
      </c>
    </row>
    <row r="1282" spans="6:6">
      <c r="F1282" s="614">
        <v>0</v>
      </c>
    </row>
    <row r="1283" spans="6:6">
      <c r="F1283" s="614">
        <v>0</v>
      </c>
    </row>
    <row r="1284" spans="6:6">
      <c r="F1284" s="614">
        <v>0</v>
      </c>
    </row>
    <row r="1285" spans="6:6">
      <c r="F1285" s="614">
        <v>0</v>
      </c>
    </row>
    <row r="1286" spans="6:6">
      <c r="F1286" s="614">
        <v>0</v>
      </c>
    </row>
    <row r="1287" spans="6:6">
      <c r="F1287" s="614">
        <v>0</v>
      </c>
    </row>
    <row r="1288" spans="6:6">
      <c r="F1288" s="614">
        <v>0</v>
      </c>
    </row>
    <row r="1289" spans="6:6">
      <c r="F1289" s="614">
        <v>0</v>
      </c>
    </row>
    <row r="1290" spans="6:6">
      <c r="F1290" s="614">
        <v>0</v>
      </c>
    </row>
    <row r="1291" spans="6:6">
      <c r="F1291" s="614">
        <v>0</v>
      </c>
    </row>
    <row r="1292" spans="6:6">
      <c r="F1292" s="614">
        <v>0</v>
      </c>
    </row>
    <row r="1293" spans="6:6">
      <c r="F1293" s="614">
        <v>0</v>
      </c>
    </row>
    <row r="1294" spans="6:6">
      <c r="F1294" s="614">
        <v>0</v>
      </c>
    </row>
    <row r="1295" spans="6:6">
      <c r="F1295" s="614">
        <v>0</v>
      </c>
    </row>
    <row r="1296" spans="6:6">
      <c r="F1296" s="614">
        <v>0</v>
      </c>
    </row>
    <row r="1297" spans="6:6">
      <c r="F1297" s="614">
        <v>0</v>
      </c>
    </row>
    <row r="1298" spans="6:6">
      <c r="F1298" s="614">
        <v>0</v>
      </c>
    </row>
    <row r="1299" spans="6:6">
      <c r="F1299" s="614">
        <v>0</v>
      </c>
    </row>
    <row r="1300" spans="6:6">
      <c r="F1300" s="614">
        <v>0</v>
      </c>
    </row>
    <row r="1301" spans="6:6">
      <c r="F1301" s="614">
        <v>0</v>
      </c>
    </row>
    <row r="1302" spans="6:6">
      <c r="F1302" s="614">
        <v>0</v>
      </c>
    </row>
    <row r="1303" spans="6:6">
      <c r="F1303" s="614">
        <v>0</v>
      </c>
    </row>
    <row r="1304" spans="6:6">
      <c r="F1304" s="614">
        <v>0</v>
      </c>
    </row>
    <row r="1305" spans="6:6">
      <c r="F1305" s="614">
        <v>0</v>
      </c>
    </row>
    <row r="1306" spans="6:6">
      <c r="F1306" s="614">
        <v>0</v>
      </c>
    </row>
    <row r="1307" spans="6:6">
      <c r="F1307" s="614">
        <v>0</v>
      </c>
    </row>
    <row r="1308" spans="6:6">
      <c r="F1308" s="614">
        <v>0</v>
      </c>
    </row>
    <row r="1309" spans="6:6">
      <c r="F1309" s="614">
        <v>0</v>
      </c>
    </row>
    <row r="1310" spans="6:6">
      <c r="F1310" s="614">
        <v>0</v>
      </c>
    </row>
    <row r="1311" spans="6:6">
      <c r="F1311" s="614">
        <v>0</v>
      </c>
    </row>
    <row r="1312" spans="6:6">
      <c r="F1312" s="614">
        <v>0</v>
      </c>
    </row>
    <row r="1313" spans="6:6">
      <c r="F1313" s="614">
        <v>0</v>
      </c>
    </row>
    <row r="1314" spans="6:6">
      <c r="F1314" s="614">
        <v>0</v>
      </c>
    </row>
    <row r="1315" spans="6:6">
      <c r="F1315" s="614">
        <v>0</v>
      </c>
    </row>
    <row r="1316" spans="6:6">
      <c r="F1316" s="614">
        <v>0</v>
      </c>
    </row>
    <row r="1317" spans="6:6">
      <c r="F1317" s="614">
        <v>0</v>
      </c>
    </row>
    <row r="1318" spans="6:6">
      <c r="F1318" s="614">
        <v>0</v>
      </c>
    </row>
    <row r="1319" spans="6:6">
      <c r="F1319" s="614">
        <v>0</v>
      </c>
    </row>
    <row r="1320" spans="6:6">
      <c r="F1320" s="614">
        <v>0</v>
      </c>
    </row>
    <row r="1321" spans="6:6">
      <c r="F1321" s="614">
        <v>0</v>
      </c>
    </row>
    <row r="1322" spans="6:6">
      <c r="F1322" s="614">
        <v>0</v>
      </c>
    </row>
    <row r="1323" spans="6:6">
      <c r="F1323" s="614">
        <v>0</v>
      </c>
    </row>
    <row r="1324" spans="6:6">
      <c r="F1324" s="614">
        <v>0</v>
      </c>
    </row>
    <row r="1325" spans="6:6">
      <c r="F1325" s="614">
        <v>0</v>
      </c>
    </row>
    <row r="1326" spans="6:6">
      <c r="F1326" s="614">
        <v>0</v>
      </c>
    </row>
    <row r="1327" spans="6:6">
      <c r="F1327" s="614">
        <v>0</v>
      </c>
    </row>
    <row r="1328" spans="6:6">
      <c r="F1328" s="614">
        <v>0</v>
      </c>
    </row>
    <row r="1329" spans="6:6">
      <c r="F1329" s="614">
        <v>0</v>
      </c>
    </row>
    <row r="1330" spans="6:6">
      <c r="F1330" s="614">
        <v>0</v>
      </c>
    </row>
    <row r="1331" spans="6:6">
      <c r="F1331" s="614">
        <v>0</v>
      </c>
    </row>
    <row r="1332" spans="6:6">
      <c r="F1332" s="614">
        <v>0</v>
      </c>
    </row>
    <row r="1333" spans="6:6">
      <c r="F1333" s="614">
        <v>0</v>
      </c>
    </row>
    <row r="1334" spans="6:6">
      <c r="F1334" s="614">
        <v>0</v>
      </c>
    </row>
    <row r="1335" spans="6:6">
      <c r="F1335" s="614">
        <v>0</v>
      </c>
    </row>
    <row r="1336" spans="6:6">
      <c r="F1336" s="614">
        <v>0</v>
      </c>
    </row>
    <row r="1337" spans="6:6">
      <c r="F1337" s="614">
        <v>0</v>
      </c>
    </row>
    <row r="1338" spans="6:6">
      <c r="F1338" s="614">
        <v>0</v>
      </c>
    </row>
    <row r="1339" spans="6:6">
      <c r="F1339" s="614">
        <v>0</v>
      </c>
    </row>
    <row r="1340" spans="6:6">
      <c r="F1340" s="614">
        <v>0</v>
      </c>
    </row>
    <row r="1341" spans="6:6">
      <c r="F1341" s="614">
        <v>0</v>
      </c>
    </row>
    <row r="1342" spans="6:6">
      <c r="F1342" s="614">
        <v>0</v>
      </c>
    </row>
    <row r="1343" spans="6:6">
      <c r="F1343" s="614">
        <v>0</v>
      </c>
    </row>
    <row r="1344" spans="6:6">
      <c r="F1344" s="614">
        <v>0</v>
      </c>
    </row>
    <row r="1345" spans="6:6">
      <c r="F1345" s="614">
        <v>0</v>
      </c>
    </row>
    <row r="1346" spans="6:6">
      <c r="F1346" s="614">
        <v>0</v>
      </c>
    </row>
    <row r="1347" spans="6:6">
      <c r="F1347" s="614">
        <v>0</v>
      </c>
    </row>
    <row r="1348" spans="6:6">
      <c r="F1348" s="614">
        <v>0</v>
      </c>
    </row>
    <row r="1349" spans="6:6">
      <c r="F1349" s="614">
        <v>0</v>
      </c>
    </row>
    <row r="1350" spans="6:6">
      <c r="F1350" s="614">
        <v>0</v>
      </c>
    </row>
    <row r="1351" spans="6:6">
      <c r="F1351" s="614">
        <v>0</v>
      </c>
    </row>
    <row r="1352" spans="6:6">
      <c r="F1352" s="614">
        <v>0</v>
      </c>
    </row>
    <row r="1353" spans="6:6">
      <c r="F1353" s="614">
        <v>0</v>
      </c>
    </row>
    <row r="1354" spans="6:6">
      <c r="F1354" s="614">
        <v>0</v>
      </c>
    </row>
    <row r="1355" spans="6:6">
      <c r="F1355" s="614">
        <v>0</v>
      </c>
    </row>
    <row r="1356" spans="6:6">
      <c r="F1356" s="614">
        <v>0</v>
      </c>
    </row>
    <row r="1357" spans="6:6">
      <c r="F1357" s="614">
        <v>0</v>
      </c>
    </row>
    <row r="1358" spans="6:6">
      <c r="F1358" s="614">
        <v>0</v>
      </c>
    </row>
    <row r="1359" spans="6:6">
      <c r="F1359" s="614">
        <v>0</v>
      </c>
    </row>
    <row r="1360" spans="6:6">
      <c r="F1360" s="614">
        <v>0</v>
      </c>
    </row>
    <row r="1361" spans="6:6">
      <c r="F1361" s="614">
        <v>0</v>
      </c>
    </row>
    <row r="1362" spans="6:6">
      <c r="F1362" s="614">
        <v>0</v>
      </c>
    </row>
    <row r="1363" spans="6:6">
      <c r="F1363" s="614">
        <v>0</v>
      </c>
    </row>
    <row r="1364" spans="6:6">
      <c r="F1364" s="614">
        <v>0</v>
      </c>
    </row>
    <row r="1365" spans="6:6">
      <c r="F1365" s="614">
        <v>0</v>
      </c>
    </row>
    <row r="1366" spans="6:6">
      <c r="F1366" s="614">
        <v>0</v>
      </c>
    </row>
    <row r="1367" spans="6:6">
      <c r="F1367" s="614">
        <v>0</v>
      </c>
    </row>
    <row r="1368" spans="6:6">
      <c r="F1368" s="614">
        <v>0</v>
      </c>
    </row>
    <row r="1369" spans="6:6">
      <c r="F1369" s="614">
        <v>0</v>
      </c>
    </row>
    <row r="1370" spans="6:6">
      <c r="F1370" s="614">
        <v>0</v>
      </c>
    </row>
    <row r="1371" spans="6:6">
      <c r="F1371" s="614">
        <v>0</v>
      </c>
    </row>
    <row r="1372" spans="6:6">
      <c r="F1372" s="614">
        <v>0</v>
      </c>
    </row>
    <row r="1373" spans="6:6">
      <c r="F1373" s="614">
        <v>0</v>
      </c>
    </row>
    <row r="1374" spans="6:6">
      <c r="F1374" s="614">
        <v>0</v>
      </c>
    </row>
    <row r="1375" spans="6:6">
      <c r="F1375" s="614">
        <v>0</v>
      </c>
    </row>
    <row r="1376" spans="6:6">
      <c r="F1376" s="614">
        <v>0</v>
      </c>
    </row>
    <row r="1377" spans="6:6">
      <c r="F1377" s="614">
        <v>0</v>
      </c>
    </row>
    <row r="1378" spans="6:6">
      <c r="F1378" s="614">
        <v>0</v>
      </c>
    </row>
    <row r="1379" spans="6:6">
      <c r="F1379" s="614">
        <v>0</v>
      </c>
    </row>
    <row r="1380" spans="6:6">
      <c r="F1380" s="614">
        <v>0</v>
      </c>
    </row>
    <row r="1381" spans="6:6">
      <c r="F1381" s="614">
        <v>0</v>
      </c>
    </row>
    <row r="1382" spans="6:6">
      <c r="F1382" s="614">
        <v>0</v>
      </c>
    </row>
    <row r="1383" spans="6:6">
      <c r="F1383" s="614">
        <v>0</v>
      </c>
    </row>
    <row r="1384" spans="6:6">
      <c r="F1384" s="614">
        <v>0</v>
      </c>
    </row>
    <row r="1385" spans="6:6">
      <c r="F1385" s="614">
        <v>0</v>
      </c>
    </row>
    <row r="1386" spans="6:6">
      <c r="F1386" s="614">
        <v>0</v>
      </c>
    </row>
    <row r="1387" spans="6:6">
      <c r="F1387" s="614">
        <v>0</v>
      </c>
    </row>
    <row r="1388" spans="6:6">
      <c r="F1388" s="614">
        <v>0</v>
      </c>
    </row>
    <row r="1389" spans="6:6">
      <c r="F1389" s="614">
        <v>0</v>
      </c>
    </row>
    <row r="1390" spans="6:6">
      <c r="F1390" s="614">
        <v>0</v>
      </c>
    </row>
    <row r="1391" spans="6:6">
      <c r="F1391" s="614">
        <v>0</v>
      </c>
    </row>
    <row r="1392" spans="6:6">
      <c r="F1392" s="614">
        <v>0</v>
      </c>
    </row>
    <row r="1393" spans="6:6">
      <c r="F1393" s="614">
        <v>0</v>
      </c>
    </row>
    <row r="1394" spans="6:6">
      <c r="F1394" s="614">
        <v>0</v>
      </c>
    </row>
    <row r="1395" spans="6:6">
      <c r="F1395" s="614">
        <v>0</v>
      </c>
    </row>
    <row r="1396" spans="6:6">
      <c r="F1396" s="614">
        <v>0</v>
      </c>
    </row>
    <row r="1397" spans="6:6">
      <c r="F1397" s="614">
        <v>0</v>
      </c>
    </row>
    <row r="1398" spans="6:6">
      <c r="F1398" s="614">
        <v>0</v>
      </c>
    </row>
    <row r="1399" spans="6:6">
      <c r="F1399" s="614">
        <v>0</v>
      </c>
    </row>
    <row r="1400" spans="6:6">
      <c r="F1400" s="614">
        <v>0</v>
      </c>
    </row>
    <row r="1401" spans="6:6">
      <c r="F1401" s="614">
        <v>0</v>
      </c>
    </row>
    <row r="1402" spans="6:6">
      <c r="F1402" s="614">
        <v>0</v>
      </c>
    </row>
    <row r="1403" spans="6:6">
      <c r="F1403" s="614">
        <v>0</v>
      </c>
    </row>
    <row r="1404" spans="6:6">
      <c r="F1404" s="614">
        <v>0</v>
      </c>
    </row>
    <row r="1405" spans="6:6">
      <c r="F1405" s="614">
        <v>0</v>
      </c>
    </row>
    <row r="1406" spans="6:6">
      <c r="F1406" s="614">
        <v>0</v>
      </c>
    </row>
    <row r="1407" spans="6:6">
      <c r="F1407" s="614">
        <v>0</v>
      </c>
    </row>
    <row r="1408" spans="6:6">
      <c r="F1408" s="614">
        <v>0</v>
      </c>
    </row>
    <row r="1409" spans="6:6">
      <c r="F1409" s="614">
        <v>0</v>
      </c>
    </row>
    <row r="1410" spans="6:6">
      <c r="F1410" s="614">
        <v>0</v>
      </c>
    </row>
    <row r="1411" spans="6:6">
      <c r="F1411" s="614">
        <v>0</v>
      </c>
    </row>
    <row r="1412" spans="6:6">
      <c r="F1412" s="614">
        <v>0</v>
      </c>
    </row>
    <row r="1413" spans="6:6">
      <c r="F1413" s="614">
        <v>0</v>
      </c>
    </row>
    <row r="1414" spans="6:6">
      <c r="F1414" s="614">
        <v>0</v>
      </c>
    </row>
    <row r="1415" spans="6:6">
      <c r="F1415" s="614">
        <v>0</v>
      </c>
    </row>
    <row r="1416" spans="6:6">
      <c r="F1416" s="614">
        <v>0</v>
      </c>
    </row>
    <row r="1417" spans="6:6">
      <c r="F1417" s="614">
        <v>0</v>
      </c>
    </row>
    <row r="1418" spans="6:6">
      <c r="F1418" s="614">
        <v>0</v>
      </c>
    </row>
    <row r="1419" spans="6:6">
      <c r="F1419" s="614">
        <v>0</v>
      </c>
    </row>
    <row r="1420" spans="6:6">
      <c r="F1420" s="614">
        <v>0</v>
      </c>
    </row>
    <row r="1421" spans="6:6">
      <c r="F1421" s="614">
        <v>0</v>
      </c>
    </row>
    <row r="1422" spans="6:6">
      <c r="F1422" s="614">
        <v>0</v>
      </c>
    </row>
    <row r="1423" spans="6:6">
      <c r="F1423" s="614">
        <v>0</v>
      </c>
    </row>
    <row r="1424" spans="6:6">
      <c r="F1424" s="614">
        <v>0</v>
      </c>
    </row>
    <row r="1425" spans="6:6">
      <c r="F1425" s="614">
        <v>0</v>
      </c>
    </row>
    <row r="1426" spans="6:6">
      <c r="F1426" s="614">
        <v>0</v>
      </c>
    </row>
    <row r="1427" spans="6:6">
      <c r="F1427" s="614">
        <v>0</v>
      </c>
    </row>
    <row r="1428" spans="6:6">
      <c r="F1428" s="614">
        <v>0</v>
      </c>
    </row>
    <row r="1429" spans="6:6">
      <c r="F1429" s="614">
        <v>0</v>
      </c>
    </row>
    <row r="1430" spans="6:6">
      <c r="F1430" s="614">
        <v>0</v>
      </c>
    </row>
    <row r="1431" spans="6:6">
      <c r="F1431" s="614">
        <v>0</v>
      </c>
    </row>
    <row r="1432" spans="6:6">
      <c r="F1432" s="614">
        <v>0</v>
      </c>
    </row>
    <row r="1433" spans="6:6">
      <c r="F1433" s="614">
        <v>0</v>
      </c>
    </row>
    <row r="1434" spans="6:6">
      <c r="F1434" s="614">
        <v>0</v>
      </c>
    </row>
    <row r="1435" spans="6:6">
      <c r="F1435" s="614">
        <v>0</v>
      </c>
    </row>
    <row r="1436" spans="6:6">
      <c r="F1436" s="614">
        <v>0</v>
      </c>
    </row>
    <row r="1437" spans="6:6">
      <c r="F1437" s="614">
        <v>0</v>
      </c>
    </row>
    <row r="1438" spans="6:6">
      <c r="F1438" s="614">
        <v>0</v>
      </c>
    </row>
    <row r="1439" spans="6:6">
      <c r="F1439" s="614">
        <v>0</v>
      </c>
    </row>
    <row r="1440" spans="6:6">
      <c r="F1440" s="614">
        <v>0</v>
      </c>
    </row>
    <row r="1441" spans="6:6">
      <c r="F1441" s="614">
        <v>0</v>
      </c>
    </row>
    <row r="1442" spans="6:6">
      <c r="F1442" s="614">
        <v>0</v>
      </c>
    </row>
    <row r="1443" spans="6:6">
      <c r="F1443" s="614">
        <v>0</v>
      </c>
    </row>
    <row r="1444" spans="6:6">
      <c r="F1444" s="614">
        <v>0</v>
      </c>
    </row>
    <row r="1445" spans="6:6">
      <c r="F1445" s="614">
        <v>0</v>
      </c>
    </row>
    <row r="1446" spans="6:6">
      <c r="F1446" s="614">
        <v>0</v>
      </c>
    </row>
    <row r="1447" spans="6:6">
      <c r="F1447" s="614">
        <v>0</v>
      </c>
    </row>
    <row r="1448" spans="6:6">
      <c r="F1448" s="614">
        <v>0</v>
      </c>
    </row>
    <row r="1449" spans="6:6">
      <c r="F1449" s="614">
        <v>0</v>
      </c>
    </row>
    <row r="1450" spans="6:6">
      <c r="F1450" s="614">
        <v>0</v>
      </c>
    </row>
    <row r="1451" spans="6:6">
      <c r="F1451" s="614">
        <v>0</v>
      </c>
    </row>
    <row r="1452" spans="6:6">
      <c r="F1452" s="614">
        <v>0</v>
      </c>
    </row>
    <row r="1453" spans="6:6">
      <c r="F1453" s="614">
        <v>0</v>
      </c>
    </row>
    <row r="1454" spans="6:6">
      <c r="F1454" s="614">
        <v>0</v>
      </c>
    </row>
    <row r="1455" spans="6:6">
      <c r="F1455" s="614">
        <v>0</v>
      </c>
    </row>
    <row r="1456" spans="6:6">
      <c r="F1456" s="614">
        <v>0</v>
      </c>
    </row>
    <row r="1457" spans="6:6">
      <c r="F1457" s="614">
        <v>0</v>
      </c>
    </row>
    <row r="1458" spans="6:6">
      <c r="F1458" s="614">
        <v>0</v>
      </c>
    </row>
    <row r="1459" spans="6:6">
      <c r="F1459" s="614">
        <v>0</v>
      </c>
    </row>
    <row r="1460" spans="6:6">
      <c r="F1460" s="614">
        <v>0</v>
      </c>
    </row>
    <row r="1461" spans="6:6">
      <c r="F1461" s="614">
        <v>0</v>
      </c>
    </row>
    <row r="1462" spans="6:6">
      <c r="F1462" s="614">
        <v>0</v>
      </c>
    </row>
    <row r="1463" spans="6:6">
      <c r="F1463" s="614">
        <v>0</v>
      </c>
    </row>
    <row r="1464" spans="6:6">
      <c r="F1464" s="614">
        <v>0</v>
      </c>
    </row>
    <row r="1465" spans="6:6">
      <c r="F1465" s="614">
        <v>0</v>
      </c>
    </row>
    <row r="1466" spans="6:6">
      <c r="F1466" s="614">
        <v>0</v>
      </c>
    </row>
    <row r="1467" spans="6:6">
      <c r="F1467" s="614">
        <v>0</v>
      </c>
    </row>
    <row r="1468" spans="6:6">
      <c r="F1468" s="614">
        <v>0</v>
      </c>
    </row>
    <row r="1469" spans="6:6">
      <c r="F1469" s="614">
        <v>0</v>
      </c>
    </row>
    <row r="1470" spans="6:6">
      <c r="F1470" s="614">
        <v>0</v>
      </c>
    </row>
    <row r="1471" spans="6:6">
      <c r="F1471" s="614">
        <v>0</v>
      </c>
    </row>
    <row r="1472" spans="6:6">
      <c r="F1472" s="614">
        <v>0</v>
      </c>
    </row>
    <row r="1473" spans="6:6">
      <c r="F1473" s="614">
        <v>0</v>
      </c>
    </row>
    <row r="1474" spans="6:6">
      <c r="F1474" s="614">
        <v>0</v>
      </c>
    </row>
    <row r="1475" spans="6:6">
      <c r="F1475" s="614">
        <v>0</v>
      </c>
    </row>
    <row r="1476" spans="6:6">
      <c r="F1476" s="614">
        <v>0</v>
      </c>
    </row>
    <row r="1477" spans="6:6">
      <c r="F1477" s="614">
        <v>0</v>
      </c>
    </row>
    <row r="1478" spans="6:6">
      <c r="F1478" s="614">
        <v>0</v>
      </c>
    </row>
    <row r="1479" spans="6:6">
      <c r="F1479" s="614">
        <v>0</v>
      </c>
    </row>
    <row r="1480" spans="6:6">
      <c r="F1480" s="614">
        <v>0</v>
      </c>
    </row>
    <row r="1481" spans="6:6">
      <c r="F1481" s="614">
        <v>0</v>
      </c>
    </row>
    <row r="1482" spans="6:6">
      <c r="F1482" s="614">
        <v>0</v>
      </c>
    </row>
    <row r="1483" spans="6:6">
      <c r="F1483" s="614">
        <v>0</v>
      </c>
    </row>
    <row r="1484" spans="6:6">
      <c r="F1484" s="614">
        <v>0</v>
      </c>
    </row>
    <row r="1485" spans="6:6">
      <c r="F1485" s="614">
        <v>0</v>
      </c>
    </row>
    <row r="1486" spans="6:6">
      <c r="F1486" s="614">
        <v>0</v>
      </c>
    </row>
    <row r="1487" spans="6:6">
      <c r="F1487" s="614">
        <v>0</v>
      </c>
    </row>
    <row r="1488" spans="6:6">
      <c r="F1488" s="614">
        <v>0</v>
      </c>
    </row>
    <row r="1489" spans="6:6">
      <c r="F1489" s="614">
        <v>0</v>
      </c>
    </row>
    <row r="1490" spans="6:6">
      <c r="F1490" s="614">
        <v>0</v>
      </c>
    </row>
    <row r="1491" spans="6:6">
      <c r="F1491" s="614">
        <v>0</v>
      </c>
    </row>
    <row r="1492" spans="6:6">
      <c r="F1492" s="614">
        <v>0</v>
      </c>
    </row>
    <row r="1493" spans="6:6">
      <c r="F1493" s="614">
        <v>0</v>
      </c>
    </row>
    <row r="1494" spans="6:6">
      <c r="F1494" s="614">
        <v>0</v>
      </c>
    </row>
    <row r="1495" spans="6:6">
      <c r="F1495" s="614">
        <v>0</v>
      </c>
    </row>
    <row r="1496" spans="6:6">
      <c r="F1496" s="614">
        <v>0</v>
      </c>
    </row>
    <row r="1497" spans="6:6">
      <c r="F1497" s="614">
        <v>0</v>
      </c>
    </row>
    <row r="1498" spans="6:6">
      <c r="F1498" s="614">
        <v>0</v>
      </c>
    </row>
    <row r="1499" spans="6:6">
      <c r="F1499" s="614">
        <v>0</v>
      </c>
    </row>
    <row r="1500" spans="6:6">
      <c r="F1500" s="614">
        <v>0</v>
      </c>
    </row>
    <row r="1501" spans="6:6">
      <c r="F1501" s="614">
        <v>0</v>
      </c>
    </row>
    <row r="1502" spans="6:6">
      <c r="F1502" s="614">
        <v>0</v>
      </c>
    </row>
    <row r="1503" spans="6:6">
      <c r="F1503" s="614">
        <v>0</v>
      </c>
    </row>
    <row r="1504" spans="6:6">
      <c r="F1504" s="614">
        <v>0</v>
      </c>
    </row>
    <row r="1505" spans="6:6">
      <c r="F1505" s="614">
        <v>0</v>
      </c>
    </row>
    <row r="1506" spans="6:6">
      <c r="F1506" s="614">
        <v>0</v>
      </c>
    </row>
    <row r="1507" spans="6:6">
      <c r="F1507" s="614">
        <v>0</v>
      </c>
    </row>
    <row r="1508" spans="6:6">
      <c r="F1508" s="614">
        <v>0</v>
      </c>
    </row>
    <row r="1509" spans="6:6">
      <c r="F1509" s="614">
        <v>0</v>
      </c>
    </row>
    <row r="1510" spans="6:6">
      <c r="F1510" s="614">
        <v>0</v>
      </c>
    </row>
    <row r="1511" spans="6:6">
      <c r="F1511" s="614">
        <v>0</v>
      </c>
    </row>
    <row r="1512" spans="6:6">
      <c r="F1512" s="614">
        <v>0</v>
      </c>
    </row>
    <row r="1513" spans="6:6">
      <c r="F1513" s="614">
        <v>0</v>
      </c>
    </row>
    <row r="1514" spans="6:6">
      <c r="F1514" s="614">
        <v>0</v>
      </c>
    </row>
    <row r="1515" spans="6:6">
      <c r="F1515" s="614">
        <v>0</v>
      </c>
    </row>
    <row r="1516" spans="6:6">
      <c r="F1516" s="614">
        <v>0</v>
      </c>
    </row>
    <row r="1517" spans="6:6">
      <c r="F1517" s="614">
        <v>0</v>
      </c>
    </row>
    <row r="1518" spans="6:6">
      <c r="F1518" s="614">
        <v>0</v>
      </c>
    </row>
    <row r="1519" spans="6:6">
      <c r="F1519" s="614">
        <v>0</v>
      </c>
    </row>
    <row r="1520" spans="6:6">
      <c r="F1520" s="614">
        <v>0</v>
      </c>
    </row>
    <row r="1521" spans="6:6">
      <c r="F1521" s="614">
        <v>0</v>
      </c>
    </row>
    <row r="1522" spans="6:6">
      <c r="F1522" s="614">
        <v>0</v>
      </c>
    </row>
    <row r="1523" spans="6:6">
      <c r="F1523" s="614">
        <v>0</v>
      </c>
    </row>
    <row r="1524" spans="6:6">
      <c r="F1524" s="614">
        <v>0</v>
      </c>
    </row>
    <row r="1525" spans="6:6">
      <c r="F1525" s="614">
        <v>0</v>
      </c>
    </row>
    <row r="1526" spans="6:6">
      <c r="F1526" s="614">
        <v>0</v>
      </c>
    </row>
    <row r="1527" spans="6:6">
      <c r="F1527" s="614">
        <v>0</v>
      </c>
    </row>
    <row r="1528" spans="6:6">
      <c r="F1528" s="614">
        <v>0</v>
      </c>
    </row>
    <row r="1529" spans="6:6">
      <c r="F1529" s="614">
        <v>0</v>
      </c>
    </row>
    <row r="1530" spans="6:6">
      <c r="F1530" s="614">
        <v>0</v>
      </c>
    </row>
    <row r="1531" spans="6:6">
      <c r="F1531" s="614">
        <v>0</v>
      </c>
    </row>
    <row r="1532" spans="6:6">
      <c r="F1532" s="614">
        <v>0</v>
      </c>
    </row>
    <row r="1533" spans="6:6">
      <c r="F1533" s="614">
        <v>0</v>
      </c>
    </row>
    <row r="1534" spans="6:6">
      <c r="F1534" s="614">
        <v>0</v>
      </c>
    </row>
    <row r="1535" spans="6:6">
      <c r="F1535" s="614">
        <v>0</v>
      </c>
    </row>
    <row r="1536" spans="6:6">
      <c r="F1536" s="614">
        <v>0</v>
      </c>
    </row>
    <row r="1537" spans="6:6">
      <c r="F1537" s="614">
        <v>0</v>
      </c>
    </row>
    <row r="1538" spans="6:6">
      <c r="F1538" s="614">
        <v>0</v>
      </c>
    </row>
    <row r="1539" spans="6:6">
      <c r="F1539" s="614">
        <v>0</v>
      </c>
    </row>
    <row r="1540" spans="6:6">
      <c r="F1540" s="614">
        <v>0</v>
      </c>
    </row>
    <row r="1541" spans="6:6">
      <c r="F1541" s="614">
        <v>0</v>
      </c>
    </row>
    <row r="1542" spans="6:6">
      <c r="F1542" s="614">
        <v>0</v>
      </c>
    </row>
    <row r="1543" spans="6:6">
      <c r="F1543" s="614">
        <v>0</v>
      </c>
    </row>
    <row r="1544" spans="6:6">
      <c r="F1544" s="614">
        <v>0</v>
      </c>
    </row>
    <row r="1545" spans="6:6">
      <c r="F1545" s="614">
        <v>0</v>
      </c>
    </row>
    <row r="1546" spans="6:6">
      <c r="F1546" s="614">
        <v>0</v>
      </c>
    </row>
    <row r="1547" spans="6:6">
      <c r="F1547" s="614">
        <v>0</v>
      </c>
    </row>
    <row r="1548" spans="6:6">
      <c r="F1548" s="614">
        <v>0</v>
      </c>
    </row>
    <row r="1549" spans="6:6">
      <c r="F1549" s="614">
        <v>0</v>
      </c>
    </row>
    <row r="1550" spans="6:6">
      <c r="F1550" s="614">
        <v>0</v>
      </c>
    </row>
    <row r="1551" spans="6:6">
      <c r="F1551" s="614">
        <v>0</v>
      </c>
    </row>
    <row r="1552" spans="6:6">
      <c r="F1552" s="614">
        <v>0</v>
      </c>
    </row>
    <row r="1553" spans="6:6">
      <c r="F1553" s="614">
        <v>0</v>
      </c>
    </row>
    <row r="1554" spans="6:6">
      <c r="F1554" s="614">
        <v>0</v>
      </c>
    </row>
    <row r="1555" spans="6:6">
      <c r="F1555" s="614">
        <v>0</v>
      </c>
    </row>
    <row r="1556" spans="6:6">
      <c r="F1556" s="614">
        <v>0</v>
      </c>
    </row>
    <row r="1557" spans="6:6">
      <c r="F1557" s="614">
        <v>0</v>
      </c>
    </row>
    <row r="1558" spans="6:6">
      <c r="F1558" s="614">
        <v>0</v>
      </c>
    </row>
    <row r="1559" spans="6:6">
      <c r="F1559" s="614">
        <v>0</v>
      </c>
    </row>
    <row r="1560" spans="6:6">
      <c r="F1560" s="614">
        <v>0</v>
      </c>
    </row>
    <row r="1561" spans="6:6">
      <c r="F1561" s="614">
        <v>0</v>
      </c>
    </row>
    <row r="1562" spans="6:6">
      <c r="F1562" s="614">
        <v>0</v>
      </c>
    </row>
    <row r="1563" spans="6:6">
      <c r="F1563" s="614">
        <v>0</v>
      </c>
    </row>
    <row r="1564" spans="6:6">
      <c r="F1564" s="614">
        <v>0</v>
      </c>
    </row>
    <row r="1565" spans="6:6">
      <c r="F1565" s="614">
        <v>0</v>
      </c>
    </row>
    <row r="1566" spans="6:6">
      <c r="F1566" s="614">
        <v>0</v>
      </c>
    </row>
    <row r="1567" spans="6:6">
      <c r="F1567" s="614">
        <v>0</v>
      </c>
    </row>
    <row r="1568" spans="6:6">
      <c r="F1568" s="614">
        <v>0</v>
      </c>
    </row>
    <row r="1569" spans="6:6">
      <c r="F1569" s="614">
        <v>0</v>
      </c>
    </row>
    <row r="1570" spans="6:6">
      <c r="F1570" s="614">
        <v>0</v>
      </c>
    </row>
    <row r="1571" spans="6:6">
      <c r="F1571" s="614">
        <v>0</v>
      </c>
    </row>
    <row r="1572" spans="6:6">
      <c r="F1572" s="614">
        <v>0</v>
      </c>
    </row>
    <row r="1573" spans="6:6">
      <c r="F1573" s="614">
        <v>0</v>
      </c>
    </row>
    <row r="1574" spans="6:6">
      <c r="F1574" s="614">
        <v>0</v>
      </c>
    </row>
    <row r="1575" spans="6:6">
      <c r="F1575" s="614">
        <v>0</v>
      </c>
    </row>
    <row r="1576" spans="6:6">
      <c r="F1576" s="614">
        <v>0</v>
      </c>
    </row>
    <row r="1577" spans="6:6">
      <c r="F1577" s="614">
        <v>0</v>
      </c>
    </row>
    <row r="1578" spans="6:6">
      <c r="F1578" s="614">
        <v>0</v>
      </c>
    </row>
    <row r="1579" spans="6:6">
      <c r="F1579" s="614">
        <v>0</v>
      </c>
    </row>
    <row r="1580" spans="6:6">
      <c r="F1580" s="614">
        <v>0</v>
      </c>
    </row>
    <row r="1581" spans="6:6">
      <c r="F1581" s="614">
        <v>0</v>
      </c>
    </row>
    <row r="1582" spans="6:6">
      <c r="F1582" s="614">
        <v>0</v>
      </c>
    </row>
    <row r="1583" spans="6:6">
      <c r="F1583" s="614">
        <v>0</v>
      </c>
    </row>
    <row r="1584" spans="6:6">
      <c r="F1584" s="614">
        <v>0</v>
      </c>
    </row>
    <row r="1585" spans="6:6">
      <c r="F1585" s="614">
        <v>0</v>
      </c>
    </row>
    <row r="1586" spans="6:6">
      <c r="F1586" s="614">
        <v>0</v>
      </c>
    </row>
    <row r="1587" spans="6:6">
      <c r="F1587" s="614">
        <v>0</v>
      </c>
    </row>
    <row r="1588" spans="6:6">
      <c r="F1588" s="614">
        <v>0</v>
      </c>
    </row>
    <row r="1589" spans="6:6">
      <c r="F1589" s="614">
        <v>0</v>
      </c>
    </row>
    <row r="1590" spans="6:6">
      <c r="F1590" s="614">
        <v>0</v>
      </c>
    </row>
    <row r="1591" spans="6:6">
      <c r="F1591" s="614">
        <v>0</v>
      </c>
    </row>
    <row r="1592" spans="6:6">
      <c r="F1592" s="614">
        <v>0</v>
      </c>
    </row>
    <row r="1593" spans="6:6">
      <c r="F1593" s="614">
        <v>0</v>
      </c>
    </row>
    <row r="1594" spans="6:6">
      <c r="F1594" s="614">
        <v>0</v>
      </c>
    </row>
    <row r="1595" spans="6:6">
      <c r="F1595" s="614">
        <v>0</v>
      </c>
    </row>
    <row r="1596" spans="6:6">
      <c r="F1596" s="614">
        <v>0</v>
      </c>
    </row>
    <row r="1597" spans="6:6">
      <c r="F1597" s="614">
        <v>0</v>
      </c>
    </row>
    <row r="1598" spans="6:6">
      <c r="F1598" s="614">
        <v>0</v>
      </c>
    </row>
    <row r="1599" spans="6:6">
      <c r="F1599" s="614">
        <v>0</v>
      </c>
    </row>
    <row r="1600" spans="6:6">
      <c r="F1600" s="614">
        <v>0</v>
      </c>
    </row>
    <row r="1601" spans="6:6">
      <c r="F1601" s="614">
        <v>0</v>
      </c>
    </row>
    <row r="1602" spans="6:6">
      <c r="F1602" s="614">
        <v>0</v>
      </c>
    </row>
    <row r="1603" spans="6:6">
      <c r="F1603" s="614">
        <v>0</v>
      </c>
    </row>
    <row r="1604" spans="6:6">
      <c r="F1604" s="614">
        <v>0</v>
      </c>
    </row>
    <row r="1605" spans="6:6">
      <c r="F1605" s="614">
        <v>0</v>
      </c>
    </row>
    <row r="1606" spans="6:6">
      <c r="F1606" s="614">
        <v>0</v>
      </c>
    </row>
    <row r="1607" spans="6:6">
      <c r="F1607" s="614">
        <v>0</v>
      </c>
    </row>
    <row r="1608" spans="6:6">
      <c r="F1608" s="614">
        <v>0</v>
      </c>
    </row>
    <row r="1609" spans="6:6">
      <c r="F1609" s="614">
        <v>0</v>
      </c>
    </row>
    <row r="1610" spans="6:6">
      <c r="F1610" s="614">
        <v>0</v>
      </c>
    </row>
    <row r="1611" spans="6:6">
      <c r="F1611" s="614">
        <v>0</v>
      </c>
    </row>
    <row r="1612" spans="6:6">
      <c r="F1612" s="614">
        <v>0</v>
      </c>
    </row>
    <row r="1613" spans="6:6">
      <c r="F1613" s="614">
        <v>0</v>
      </c>
    </row>
    <row r="1614" spans="6:6">
      <c r="F1614" s="614">
        <v>0</v>
      </c>
    </row>
    <row r="1615" spans="6:6">
      <c r="F1615" s="614">
        <v>0</v>
      </c>
    </row>
    <row r="1616" spans="6:6">
      <c r="F1616" s="614">
        <v>0</v>
      </c>
    </row>
    <row r="1617" spans="6:6">
      <c r="F1617" s="614">
        <v>0</v>
      </c>
    </row>
    <row r="1618" spans="6:6">
      <c r="F1618" s="614">
        <v>0</v>
      </c>
    </row>
    <row r="1619" spans="6:6">
      <c r="F1619" s="614">
        <v>0</v>
      </c>
    </row>
    <row r="1620" spans="6:6">
      <c r="F1620" s="614">
        <v>0</v>
      </c>
    </row>
    <row r="1621" spans="6:6">
      <c r="F1621" s="614">
        <v>0</v>
      </c>
    </row>
    <row r="1622" spans="6:6">
      <c r="F1622" s="614">
        <v>0</v>
      </c>
    </row>
    <row r="1623" spans="6:6">
      <c r="F1623" s="614">
        <v>0</v>
      </c>
    </row>
    <row r="1624" spans="6:6">
      <c r="F1624" s="614">
        <v>0</v>
      </c>
    </row>
    <row r="1625" spans="6:6">
      <c r="F1625" s="614">
        <v>0</v>
      </c>
    </row>
    <row r="1626" spans="6:6">
      <c r="F1626" s="614">
        <v>0</v>
      </c>
    </row>
    <row r="1627" spans="6:6">
      <c r="F1627" s="614">
        <v>0</v>
      </c>
    </row>
    <row r="1628" spans="6:6">
      <c r="F1628" s="614">
        <v>0</v>
      </c>
    </row>
    <row r="1629" spans="6:6">
      <c r="F1629" s="614">
        <v>0</v>
      </c>
    </row>
    <row r="1630" spans="6:6">
      <c r="F1630" s="614">
        <v>0</v>
      </c>
    </row>
    <row r="1631" spans="6:6">
      <c r="F1631" s="614">
        <v>0</v>
      </c>
    </row>
    <row r="1632" spans="6:6">
      <c r="F1632" s="614">
        <v>0</v>
      </c>
    </row>
    <row r="1633" spans="6:6">
      <c r="F1633" s="614">
        <v>0</v>
      </c>
    </row>
    <row r="1634" spans="6:6">
      <c r="F1634" s="614">
        <v>0</v>
      </c>
    </row>
    <row r="1635" spans="6:6">
      <c r="F1635" s="614">
        <v>0</v>
      </c>
    </row>
    <row r="1636" spans="6:6">
      <c r="F1636" s="614">
        <v>0</v>
      </c>
    </row>
    <row r="1637" spans="6:6">
      <c r="F1637" s="614">
        <v>0</v>
      </c>
    </row>
    <row r="1638" spans="6:6">
      <c r="F1638" s="614">
        <v>0</v>
      </c>
    </row>
    <row r="1639" spans="6:6">
      <c r="F1639" s="614">
        <v>0</v>
      </c>
    </row>
    <row r="1640" spans="6:6">
      <c r="F1640" s="614">
        <v>0</v>
      </c>
    </row>
    <row r="1641" spans="6:6">
      <c r="F1641" s="614">
        <v>0</v>
      </c>
    </row>
    <row r="1642" spans="6:6">
      <c r="F1642" s="614">
        <v>0</v>
      </c>
    </row>
    <row r="1643" spans="6:6">
      <c r="F1643" s="614">
        <v>0</v>
      </c>
    </row>
    <row r="1644" spans="6:6">
      <c r="F1644" s="614">
        <v>0</v>
      </c>
    </row>
    <row r="1645" spans="6:6">
      <c r="F1645" s="614">
        <v>0</v>
      </c>
    </row>
    <row r="1646" spans="6:6">
      <c r="F1646" s="614">
        <v>0</v>
      </c>
    </row>
    <row r="1647" spans="6:6">
      <c r="F1647" s="614">
        <v>0</v>
      </c>
    </row>
    <row r="1648" spans="6:6">
      <c r="F1648" s="614">
        <v>0</v>
      </c>
    </row>
    <row r="1649" spans="6:6">
      <c r="F1649" s="614">
        <v>0</v>
      </c>
    </row>
    <row r="1650" spans="6:6">
      <c r="F1650" s="614">
        <v>0</v>
      </c>
    </row>
    <row r="1651" spans="6:6">
      <c r="F1651" s="614">
        <v>0</v>
      </c>
    </row>
    <row r="1652" spans="6:6">
      <c r="F1652" s="614">
        <v>0</v>
      </c>
    </row>
    <row r="1653" spans="6:6">
      <c r="F1653" s="614">
        <v>0</v>
      </c>
    </row>
    <row r="1654" spans="6:6">
      <c r="F1654" s="614">
        <v>0</v>
      </c>
    </row>
    <row r="1655" spans="6:6">
      <c r="F1655" s="614">
        <v>0</v>
      </c>
    </row>
    <row r="1656" spans="6:6">
      <c r="F1656" s="614">
        <v>0</v>
      </c>
    </row>
    <row r="1657" spans="6:6">
      <c r="F1657" s="614">
        <v>0</v>
      </c>
    </row>
    <row r="1658" spans="6:6">
      <c r="F1658" s="614">
        <v>0</v>
      </c>
    </row>
    <row r="1659" spans="6:6">
      <c r="F1659" s="614">
        <v>0</v>
      </c>
    </row>
    <row r="1660" spans="6:6">
      <c r="F1660" s="614">
        <v>0</v>
      </c>
    </row>
    <row r="1661" spans="6:6">
      <c r="F1661" s="614">
        <v>0</v>
      </c>
    </row>
    <row r="1662" spans="6:6">
      <c r="F1662" s="614">
        <v>0</v>
      </c>
    </row>
    <row r="1663" spans="6:6">
      <c r="F1663" s="614">
        <v>0</v>
      </c>
    </row>
    <row r="1664" spans="6:6">
      <c r="F1664" s="614">
        <v>0</v>
      </c>
    </row>
    <row r="1665" spans="6:6">
      <c r="F1665" s="614">
        <v>0</v>
      </c>
    </row>
    <row r="1666" spans="6:6">
      <c r="F1666" s="614">
        <v>0</v>
      </c>
    </row>
    <row r="1667" spans="6:6">
      <c r="F1667" s="614">
        <v>0</v>
      </c>
    </row>
    <row r="1668" spans="6:6">
      <c r="F1668" s="614">
        <v>0</v>
      </c>
    </row>
    <row r="1669" spans="6:6">
      <c r="F1669" s="614">
        <v>0</v>
      </c>
    </row>
    <row r="1670" spans="6:6">
      <c r="F1670" s="614">
        <v>0</v>
      </c>
    </row>
    <row r="1671" spans="6:6">
      <c r="F1671" s="614">
        <v>0</v>
      </c>
    </row>
    <row r="1672" spans="6:6">
      <c r="F1672" s="614">
        <v>0</v>
      </c>
    </row>
    <row r="1673" spans="6:6">
      <c r="F1673" s="614">
        <v>0</v>
      </c>
    </row>
    <row r="1674" spans="6:6">
      <c r="F1674" s="614">
        <v>0</v>
      </c>
    </row>
    <row r="1675" spans="6:6">
      <c r="F1675" s="614">
        <v>0</v>
      </c>
    </row>
    <row r="1676" spans="6:6">
      <c r="F1676" s="614">
        <v>0</v>
      </c>
    </row>
    <row r="1677" spans="6:6">
      <c r="F1677" s="614">
        <v>0</v>
      </c>
    </row>
    <row r="1678" spans="6:6">
      <c r="F1678" s="614">
        <v>0</v>
      </c>
    </row>
    <row r="1679" spans="6:6">
      <c r="F1679" s="614">
        <v>0</v>
      </c>
    </row>
    <row r="1680" spans="6:6">
      <c r="F1680" s="614">
        <v>0</v>
      </c>
    </row>
    <row r="1681" spans="6:6">
      <c r="F1681" s="614">
        <v>0</v>
      </c>
    </row>
    <row r="1682" spans="6:6">
      <c r="F1682" s="614">
        <v>0</v>
      </c>
    </row>
    <row r="1683" spans="6:6">
      <c r="F1683" s="614">
        <v>0</v>
      </c>
    </row>
    <row r="1684" spans="6:6">
      <c r="F1684" s="614">
        <v>0</v>
      </c>
    </row>
    <row r="1685" spans="6:6">
      <c r="F1685" s="614">
        <v>0</v>
      </c>
    </row>
    <row r="1686" spans="6:6">
      <c r="F1686" s="614">
        <v>0</v>
      </c>
    </row>
    <row r="1687" spans="6:6">
      <c r="F1687" s="614">
        <v>0</v>
      </c>
    </row>
    <row r="1688" spans="6:6">
      <c r="F1688" s="614">
        <v>0</v>
      </c>
    </row>
    <row r="1689" spans="6:6">
      <c r="F1689" s="614">
        <v>0</v>
      </c>
    </row>
  </sheetData>
  <mergeCells count="74">
    <mergeCell ref="A75:C75"/>
    <mergeCell ref="A76:C76"/>
    <mergeCell ref="A77:C77"/>
    <mergeCell ref="A79:C79"/>
    <mergeCell ref="A69:C69"/>
    <mergeCell ref="A72:C72"/>
    <mergeCell ref="A73:C73"/>
    <mergeCell ref="A74:C74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80:C80"/>
    <mergeCell ref="A93:C93"/>
    <mergeCell ref="A94:C94"/>
    <mergeCell ref="A95:C95"/>
    <mergeCell ref="A81:C81"/>
    <mergeCell ref="A82:C82"/>
    <mergeCell ref="A83:C83"/>
    <mergeCell ref="A92:C92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143:C143"/>
    <mergeCell ref="A144:C144"/>
    <mergeCell ref="A145:C145"/>
    <mergeCell ref="A146:C146"/>
    <mergeCell ref="A147:C147"/>
    <mergeCell ref="A152:C152"/>
    <mergeCell ref="A153:C153"/>
    <mergeCell ref="A148:C148"/>
    <mergeCell ref="A149:C149"/>
    <mergeCell ref="A150:C150"/>
    <mergeCell ref="A151:C151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89"/>
  <sheetViews>
    <sheetView view="pageBreakPreview" topLeftCell="A43" zoomScale="55" zoomScaleNormal="60" zoomScaleSheetLayoutView="55" zoomScalePageLayoutView="20" workbookViewId="0">
      <selection activeCell="F28" sqref="F28"/>
    </sheetView>
  </sheetViews>
  <sheetFormatPr defaultColWidth="22.33203125" defaultRowHeight="29.25"/>
  <cols>
    <col min="1" max="1" width="59.6640625" style="530" bestFit="1" customWidth="1"/>
    <col min="2" max="2" width="30.77734375" style="533" customWidth="1"/>
    <col min="3" max="3" width="15.88671875" style="533" customWidth="1"/>
    <col min="4" max="4" width="13.6640625" style="614" customWidth="1"/>
    <col min="5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109375" style="407" customWidth="1"/>
    <col min="15" max="16384" width="22.33203125" style="407"/>
  </cols>
  <sheetData>
    <row r="1" spans="1:15" ht="33.75">
      <c r="A1" s="1414" t="s">
        <v>226</v>
      </c>
      <c r="B1" s="1415"/>
      <c r="C1" s="1415"/>
      <c r="D1" s="1415"/>
      <c r="E1" s="1415"/>
      <c r="F1" s="1415"/>
      <c r="G1" s="1415"/>
      <c r="H1" s="1415"/>
      <c r="I1" s="1415"/>
      <c r="J1" s="1416"/>
    </row>
    <row r="2" spans="1:15" s="281" customFormat="1" ht="27">
      <c r="A2" s="652" t="s">
        <v>330</v>
      </c>
      <c r="B2" s="1118">
        <v>44217</v>
      </c>
      <c r="C2" s="1233" t="s">
        <v>69</v>
      </c>
      <c r="D2" s="688">
        <v>0.5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5" s="281" customFormat="1" ht="27">
      <c r="A3" s="647"/>
      <c r="B3" s="691"/>
      <c r="C3" s="1233" t="s">
        <v>131</v>
      </c>
      <c r="D3" s="689">
        <v>29</v>
      </c>
      <c r="E3" s="1423" t="s">
        <v>132</v>
      </c>
      <c r="F3" s="1424"/>
      <c r="G3" s="538">
        <f>'1'!G3</f>
        <v>0</v>
      </c>
      <c r="H3" s="539">
        <f>'1'!H3</f>
        <v>0</v>
      </c>
      <c r="I3" s="539">
        <f>'1'!I3</f>
        <v>0</v>
      </c>
      <c r="J3" s="692">
        <f>'1'!J3</f>
        <v>0</v>
      </c>
      <c r="K3" s="402"/>
      <c r="L3" s="293"/>
    </row>
    <row r="4" spans="1:15" s="281" customFormat="1" ht="27">
      <c r="A4" s="653"/>
      <c r="B4" s="693"/>
      <c r="C4" s="1233" t="s">
        <v>133</v>
      </c>
      <c r="D4" s="688">
        <v>0.81</v>
      </c>
      <c r="E4" s="540"/>
      <c r="F4" s="540"/>
      <c r="G4" s="540"/>
      <c r="H4" s="540"/>
      <c r="I4" s="541"/>
      <c r="J4" s="692"/>
      <c r="K4" s="403"/>
      <c r="L4" s="293"/>
    </row>
    <row r="5" spans="1:15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5">
      <c r="A6" s="1417" t="s">
        <v>141</v>
      </c>
      <c r="B6" s="1418"/>
      <c r="C6" s="1419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30" thickBot="1">
      <c r="A7" s="655" t="s">
        <v>142</v>
      </c>
      <c r="B7" s="656"/>
      <c r="C7" s="656"/>
      <c r="D7" s="599" t="s">
        <v>143</v>
      </c>
      <c r="E7" s="531">
        <f>'20'!F7</f>
        <v>3677787</v>
      </c>
      <c r="F7" s="531">
        <v>3697202</v>
      </c>
      <c r="G7" s="549">
        <f>F7-E7</f>
        <v>19415</v>
      </c>
      <c r="H7" s="536">
        <f>G7+'20'!H7</f>
        <v>-190996</v>
      </c>
      <c r="I7" s="550">
        <f>'1'!I7</f>
        <v>12000</v>
      </c>
      <c r="J7" s="629">
        <f>H7/DAY(B2)</f>
        <v>-9095.0476190476184</v>
      </c>
      <c r="K7" s="626">
        <v>12199</v>
      </c>
      <c r="L7" s="408">
        <f>G7-K7</f>
        <v>7216</v>
      </c>
      <c r="N7" s="413"/>
      <c r="O7" s="413"/>
    </row>
    <row r="8" spans="1:15" ht="27.75" thickBot="1">
      <c r="A8" s="657" t="s">
        <v>144</v>
      </c>
      <c r="B8" s="658"/>
      <c r="C8" s="659"/>
      <c r="D8" s="694" t="s">
        <v>25</v>
      </c>
      <c r="E8" s="551">
        <f>'20'!F8</f>
        <v>3700550</v>
      </c>
      <c r="F8" s="551">
        <v>3720125</v>
      </c>
      <c r="G8" s="552">
        <f>F8-E8</f>
        <v>19575</v>
      </c>
      <c r="H8" s="536">
        <f>G8+'20'!H8</f>
        <v>-192726</v>
      </c>
      <c r="I8" s="553">
        <f>'1'!I8</f>
        <v>12000</v>
      </c>
      <c r="J8" s="629">
        <f>H8/DAY(B2)</f>
        <v>-9177.4285714285706</v>
      </c>
      <c r="K8" s="626">
        <v>12262</v>
      </c>
      <c r="L8" s="464">
        <f>G8-K8</f>
        <v>7313</v>
      </c>
      <c r="M8" s="479"/>
      <c r="N8" s="413"/>
      <c r="O8" s="413"/>
    </row>
    <row r="9" spans="1:15">
      <c r="A9" s="660" t="s">
        <v>145</v>
      </c>
      <c r="B9" s="661"/>
      <c r="C9" s="661"/>
      <c r="D9" s="599" t="s">
        <v>143</v>
      </c>
      <c r="E9" s="554">
        <f>'20'!F9</f>
        <v>2462678.7000000002</v>
      </c>
      <c r="F9" s="554">
        <v>2469578.9</v>
      </c>
      <c r="G9" s="549">
        <f t="shared" ref="G9:G12" si="0">F9-E9</f>
        <v>6900.1999999997206</v>
      </c>
      <c r="H9" s="536">
        <f>G9+'20'!H9</f>
        <v>2506691.15</v>
      </c>
      <c r="I9" s="555">
        <f>I8-J8</f>
        <v>21177.428571428572</v>
      </c>
      <c r="J9" s="629">
        <f>H9/DAY(B2)</f>
        <v>119366.24523809523</v>
      </c>
      <c r="K9" s="467"/>
      <c r="L9" s="408"/>
      <c r="N9" s="413"/>
      <c r="O9" s="413"/>
    </row>
    <row r="10" spans="1:15">
      <c r="A10" s="655" t="s">
        <v>146</v>
      </c>
      <c r="B10" s="656"/>
      <c r="C10" s="656"/>
      <c r="D10" s="599" t="s">
        <v>143</v>
      </c>
      <c r="E10" s="554">
        <f>'20'!F10</f>
        <v>1070063.2</v>
      </c>
      <c r="F10" s="554">
        <v>1081910.5</v>
      </c>
      <c r="G10" s="549">
        <f t="shared" si="0"/>
        <v>11847.300000000047</v>
      </c>
      <c r="H10" s="536">
        <f>G10+'20'!H10</f>
        <v>-118963.89999999991</v>
      </c>
      <c r="I10" s="556"/>
      <c r="J10" s="629">
        <f>H10/DAY(B2)</f>
        <v>-5664.9476190476144</v>
      </c>
      <c r="K10" s="467"/>
      <c r="L10" s="408"/>
      <c r="N10" s="413"/>
      <c r="O10" s="413"/>
    </row>
    <row r="11" spans="1:15">
      <c r="A11" s="655" t="s">
        <v>147</v>
      </c>
      <c r="B11" s="656"/>
      <c r="C11" s="656"/>
      <c r="D11" s="599" t="s">
        <v>143</v>
      </c>
      <c r="E11" s="531">
        <f>'20'!F11</f>
        <v>35390</v>
      </c>
      <c r="F11" s="531">
        <v>35390</v>
      </c>
      <c r="G11" s="549">
        <f t="shared" si="0"/>
        <v>0</v>
      </c>
      <c r="H11" s="536">
        <f>G11+'20'!H11</f>
        <v>0</v>
      </c>
      <c r="I11" s="556"/>
      <c r="J11" s="629">
        <f>H11/DAY(B2)</f>
        <v>0</v>
      </c>
      <c r="K11" s="467"/>
      <c r="L11" s="408"/>
      <c r="N11" s="413"/>
      <c r="O11" s="413"/>
    </row>
    <row r="12" spans="1:15">
      <c r="A12" s="655" t="s">
        <v>148</v>
      </c>
      <c r="B12" s="656"/>
      <c r="C12" s="656"/>
      <c r="D12" s="599" t="s">
        <v>143</v>
      </c>
      <c r="E12" s="554">
        <f>'20'!F12</f>
        <v>37630</v>
      </c>
      <c r="F12" s="554">
        <v>37630</v>
      </c>
      <c r="G12" s="549">
        <f t="shared" si="0"/>
        <v>0</v>
      </c>
      <c r="H12" s="536">
        <f>G12+'20'!H12</f>
        <v>0</v>
      </c>
      <c r="I12" s="556"/>
      <c r="J12" s="629">
        <f>H12/DAY(B2)</f>
        <v>0</v>
      </c>
      <c r="K12" s="467"/>
      <c r="L12" s="408"/>
      <c r="N12" s="413"/>
      <c r="O12" s="413"/>
    </row>
    <row r="13" spans="1:15">
      <c r="A13" s="662" t="s">
        <v>149</v>
      </c>
      <c r="B13" s="663"/>
      <c r="C13" s="663"/>
      <c r="D13" s="599"/>
      <c r="E13" s="531"/>
      <c r="F13" s="531"/>
      <c r="G13" s="557">
        <f>G9+G10+G11+G12</f>
        <v>18747.499999999767</v>
      </c>
      <c r="H13" s="536">
        <f>G13+'20'!H13</f>
        <v>2369421.25</v>
      </c>
      <c r="I13" s="558">
        <f>G7-G13</f>
        <v>667.50000000023283</v>
      </c>
      <c r="J13" s="629">
        <f>H13/DAY(B2)</f>
        <v>112829.58333333333</v>
      </c>
      <c r="K13" s="467"/>
      <c r="L13" s="408"/>
      <c r="N13" s="413"/>
      <c r="O13" s="413"/>
    </row>
    <row r="14" spans="1:15">
      <c r="A14" s="1420" t="s">
        <v>150</v>
      </c>
      <c r="B14" s="1421"/>
      <c r="C14" s="1422"/>
      <c r="D14" s="548"/>
      <c r="E14" s="548"/>
      <c r="F14" s="548"/>
      <c r="G14" s="559"/>
      <c r="H14" s="548"/>
      <c r="I14" s="548"/>
      <c r="J14" s="628"/>
      <c r="K14" s="468"/>
      <c r="L14" s="408"/>
      <c r="N14" s="413"/>
      <c r="O14" s="413"/>
    </row>
    <row r="15" spans="1:15">
      <c r="A15" s="1231" t="s">
        <v>151</v>
      </c>
      <c r="B15" s="666"/>
      <c r="C15" s="666"/>
      <c r="D15" s="599" t="s">
        <v>152</v>
      </c>
      <c r="E15" s="560">
        <f>'20'!F15</f>
        <v>1585516</v>
      </c>
      <c r="F15" s="560">
        <v>1586422.94</v>
      </c>
      <c r="G15" s="862">
        <f>(F15-E15)</f>
        <v>906.93999999994412</v>
      </c>
      <c r="H15" s="536">
        <f>G15+'20'!H15</f>
        <v>-8014.2099999999627</v>
      </c>
      <c r="I15" s="550">
        <v>800</v>
      </c>
      <c r="J15" s="629">
        <f>H15/DAY(B2)</f>
        <v>-381.62904761904582</v>
      </c>
      <c r="K15" s="467"/>
      <c r="L15" s="408"/>
      <c r="N15" s="413"/>
      <c r="O15" s="803"/>
    </row>
    <row r="16" spans="1:15">
      <c r="A16" s="664"/>
      <c r="B16" s="665"/>
      <c r="C16" s="665"/>
      <c r="D16" s="600"/>
      <c r="E16" s="561"/>
      <c r="F16" s="561"/>
      <c r="G16" s="549"/>
      <c r="H16" s="562"/>
      <c r="I16" s="563">
        <f>I15-J15</f>
        <v>1181.6290476190459</v>
      </c>
      <c r="J16" s="630"/>
      <c r="K16" s="467"/>
      <c r="L16" s="408"/>
      <c r="N16" s="413"/>
      <c r="O16" s="413"/>
    </row>
    <row r="17" spans="1:15">
      <c r="A17" s="1420" t="s">
        <v>153</v>
      </c>
      <c r="B17" s="1421"/>
      <c r="C17" s="1422"/>
      <c r="D17" s="548"/>
      <c r="E17" s="548"/>
      <c r="F17" s="548"/>
      <c r="G17" s="564"/>
      <c r="H17" s="548"/>
      <c r="I17" s="548"/>
      <c r="J17" s="628"/>
      <c r="K17" s="467"/>
      <c r="L17" s="408"/>
      <c r="N17" s="413"/>
      <c r="O17" s="413"/>
    </row>
    <row r="18" spans="1:15" ht="27.75">
      <c r="A18" s="1406" t="s">
        <v>154</v>
      </c>
      <c r="B18" s="1407"/>
      <c r="C18" s="1408"/>
      <c r="D18" s="599" t="s">
        <v>155</v>
      </c>
      <c r="E18" s="560">
        <f>'20'!F18</f>
        <v>14</v>
      </c>
      <c r="F18" s="560">
        <v>13</v>
      </c>
      <c r="G18" s="557">
        <f>F18*10</f>
        <v>130</v>
      </c>
      <c r="H18" s="536">
        <f>G18+'20'!H18</f>
        <v>3390</v>
      </c>
      <c r="I18" s="550">
        <f>'1'!I18</f>
        <v>65</v>
      </c>
      <c r="J18" s="629">
        <f>H18/DAY(B2)</f>
        <v>161.42857142857142</v>
      </c>
      <c r="K18" s="467"/>
      <c r="L18" s="408"/>
      <c r="N18" s="413"/>
      <c r="O18" s="413"/>
    </row>
    <row r="19" spans="1:15" ht="27.75">
      <c r="A19" s="1406" t="s">
        <v>71</v>
      </c>
      <c r="B19" s="1407"/>
      <c r="C19" s="1408"/>
      <c r="D19" s="599" t="s">
        <v>155</v>
      </c>
      <c r="E19" s="560">
        <f>'20'!F19</f>
        <v>132484</v>
      </c>
      <c r="F19" s="560">
        <v>132533</v>
      </c>
      <c r="G19" s="549">
        <f t="shared" ref="G19" si="1">F19-E19</f>
        <v>49</v>
      </c>
      <c r="H19" s="536">
        <f>G19+'20'!H19</f>
        <v>-515</v>
      </c>
      <c r="I19" s="565"/>
      <c r="J19" s="629">
        <f>H19/DAY(B2)</f>
        <v>-24.523809523809526</v>
      </c>
      <c r="K19" s="467"/>
      <c r="L19" s="408"/>
      <c r="N19" s="413"/>
      <c r="O19" s="413"/>
    </row>
    <row r="20" spans="1:15">
      <c r="A20" s="662" t="s">
        <v>156</v>
      </c>
      <c r="B20" s="663"/>
      <c r="C20" s="663"/>
      <c r="D20" s="566"/>
      <c r="E20" s="566"/>
      <c r="F20" s="566"/>
      <c r="G20" s="567">
        <f>G18+G19</f>
        <v>179</v>
      </c>
      <c r="H20" s="536">
        <f>G20+'20'!H20</f>
        <v>2875</v>
      </c>
      <c r="I20" s="568">
        <f>I18-J20</f>
        <v>-71.904761904761898</v>
      </c>
      <c r="J20" s="629">
        <f>H20/DAY(B2)</f>
        <v>136.9047619047619</v>
      </c>
      <c r="K20" s="467"/>
      <c r="L20" s="408"/>
      <c r="N20" s="413"/>
      <c r="O20" s="413"/>
    </row>
    <row r="21" spans="1:15">
      <c r="A21" s="1420" t="s">
        <v>157</v>
      </c>
      <c r="B21" s="1421"/>
      <c r="C21" s="1422"/>
      <c r="D21" s="548"/>
      <c r="E21" s="548"/>
      <c r="F21" s="548"/>
      <c r="G21" s="559"/>
      <c r="H21" s="548"/>
      <c r="I21" s="548"/>
      <c r="J21" s="628"/>
      <c r="K21" s="467"/>
      <c r="L21" s="408"/>
      <c r="N21" s="413"/>
      <c r="O21" s="413"/>
    </row>
    <row r="22" spans="1:15">
      <c r="A22" s="1231" t="s">
        <v>158</v>
      </c>
      <c r="B22" s="666"/>
      <c r="C22" s="666"/>
      <c r="D22" s="599" t="s">
        <v>159</v>
      </c>
      <c r="E22" s="560">
        <f>'20'!F22</f>
        <v>2250</v>
      </c>
      <c r="F22" s="560">
        <v>2250</v>
      </c>
      <c r="G22" s="557">
        <f t="shared" ref="G22" si="2">(F22-E22)</f>
        <v>0</v>
      </c>
      <c r="H22" s="536">
        <f>G22+'20'!H22</f>
        <v>0</v>
      </c>
      <c r="I22" s="556"/>
      <c r="J22" s="629">
        <f>H22/DAY(B2)</f>
        <v>0</v>
      </c>
      <c r="K22" s="467"/>
      <c r="L22" s="408"/>
      <c r="N22" s="413"/>
      <c r="O22" s="413"/>
    </row>
    <row r="23" spans="1:15">
      <c r="A23" s="1231" t="s">
        <v>160</v>
      </c>
      <c r="B23" s="666"/>
      <c r="C23" s="666"/>
      <c r="D23" s="599" t="s">
        <v>159</v>
      </c>
      <c r="E23" s="560">
        <f>'20'!F23</f>
        <v>2000</v>
      </c>
      <c r="F23" s="560">
        <v>2000</v>
      </c>
      <c r="G23" s="557">
        <v>0</v>
      </c>
      <c r="H23" s="536">
        <f>G23+'20'!H23</f>
        <v>0</v>
      </c>
      <c r="I23" s="556"/>
      <c r="J23" s="629">
        <f>H23/DAY(B2)</f>
        <v>0</v>
      </c>
      <c r="K23" s="467"/>
      <c r="L23" s="408"/>
      <c r="N23" s="413"/>
      <c r="O23" s="413"/>
    </row>
    <row r="24" spans="1:15">
      <c r="A24" s="667" t="s">
        <v>161</v>
      </c>
      <c r="B24" s="668"/>
      <c r="C24" s="668"/>
      <c r="D24" s="587" t="s">
        <v>159</v>
      </c>
      <c r="E24" s="569">
        <f>'20'!F24</f>
        <v>4970</v>
      </c>
      <c r="F24" s="569">
        <v>4970</v>
      </c>
      <c r="G24" s="557">
        <v>0</v>
      </c>
      <c r="H24" s="536">
        <f>G24+'20'!H24</f>
        <v>0</v>
      </c>
      <c r="I24" s="556"/>
      <c r="J24" s="629">
        <f>H24/DAY(B2)</f>
        <v>0</v>
      </c>
      <c r="K24" s="467"/>
      <c r="L24" s="408"/>
      <c r="N24" s="413"/>
      <c r="O24" s="413"/>
    </row>
    <row r="25" spans="1:15" s="481" customFormat="1" ht="27">
      <c r="A25" s="1425" t="s">
        <v>162</v>
      </c>
      <c r="B25" s="1426"/>
      <c r="C25" s="1427"/>
      <c r="D25" s="547"/>
      <c r="E25" s="547"/>
      <c r="F25" s="547"/>
      <c r="G25" s="570"/>
      <c r="H25" s="571"/>
      <c r="I25" s="572"/>
      <c r="J25" s="631"/>
      <c r="K25" s="404"/>
      <c r="L25" s="484"/>
      <c r="N25" s="493"/>
      <c r="O25" s="413"/>
    </row>
    <row r="26" spans="1:15" s="481" customFormat="1" ht="27.75">
      <c r="A26" s="669" t="s">
        <v>163</v>
      </c>
      <c r="B26" s="670"/>
      <c r="C26" s="671"/>
      <c r="D26" s="695" t="s">
        <v>164</v>
      </c>
      <c r="E26" s="573"/>
      <c r="F26" s="573"/>
      <c r="G26" s="574"/>
      <c r="H26" s="536"/>
      <c r="I26" s="575"/>
      <c r="J26" s="629"/>
      <c r="K26" s="405"/>
      <c r="L26" s="484"/>
      <c r="N26" s="493"/>
      <c r="O26" s="413"/>
    </row>
    <row r="27" spans="1:15" s="481" customFormat="1" ht="27.75">
      <c r="A27" s="669" t="s">
        <v>6</v>
      </c>
      <c r="B27" s="670"/>
      <c r="C27" s="671"/>
      <c r="D27" s="696" t="s">
        <v>25</v>
      </c>
      <c r="E27" s="577">
        <f>G8</f>
        <v>19575</v>
      </c>
      <c r="F27" s="577">
        <v>9</v>
      </c>
      <c r="G27" s="578">
        <f>E27*F27</f>
        <v>176175</v>
      </c>
      <c r="H27" s="536">
        <f>G27+'20'!H27</f>
        <v>-1734534</v>
      </c>
      <c r="I27" s="579"/>
      <c r="J27" s="629">
        <f>H27/DAY(B2)</f>
        <v>-82596.857142857145</v>
      </c>
      <c r="K27" s="404"/>
      <c r="L27" s="484"/>
      <c r="N27" s="493"/>
      <c r="O27" s="413"/>
    </row>
    <row r="28" spans="1:15" s="481" customFormat="1" ht="27.75">
      <c r="A28" s="669" t="s">
        <v>165</v>
      </c>
      <c r="B28" s="670"/>
      <c r="C28" s="671"/>
      <c r="D28" s="696" t="s">
        <v>166</v>
      </c>
      <c r="E28" s="577">
        <f>G15</f>
        <v>906.93999999994412</v>
      </c>
      <c r="F28" s="577">
        <v>43.5</v>
      </c>
      <c r="G28" s="578">
        <f t="shared" ref="G28:G30" si="3">E28*F28</f>
        <v>39451.889999997569</v>
      </c>
      <c r="H28" s="536">
        <f>G28+'20'!H28</f>
        <v>-348618.13499999838</v>
      </c>
      <c r="I28" s="581"/>
      <c r="J28" s="629">
        <f>H28/DAY(B2)</f>
        <v>-16600.863571428494</v>
      </c>
      <c r="K28" s="404"/>
      <c r="L28" s="484"/>
      <c r="N28" s="493"/>
      <c r="O28" s="413"/>
    </row>
    <row r="29" spans="1:15" s="481" customFormat="1" ht="27.75">
      <c r="A29" s="669" t="s">
        <v>167</v>
      </c>
      <c r="B29" s="670"/>
      <c r="C29" s="671"/>
      <c r="D29" s="696" t="s">
        <v>168</v>
      </c>
      <c r="E29" s="577">
        <f>G24</f>
        <v>0</v>
      </c>
      <c r="F29" s="577">
        <v>69</v>
      </c>
      <c r="G29" s="578">
        <f t="shared" si="3"/>
        <v>0</v>
      </c>
      <c r="H29" s="536">
        <f>G29+'20'!H29</f>
        <v>162150</v>
      </c>
      <c r="I29" s="581"/>
      <c r="J29" s="629">
        <f>H29/DAY(B2)</f>
        <v>7721.4285714285716</v>
      </c>
      <c r="K29" s="404"/>
      <c r="L29" s="484"/>
      <c r="N29" s="493"/>
      <c r="O29" s="413"/>
    </row>
    <row r="30" spans="1:15" s="481" customFormat="1" ht="27.75">
      <c r="A30" s="669" t="s">
        <v>169</v>
      </c>
      <c r="B30" s="670"/>
      <c r="C30" s="671"/>
      <c r="D30" s="696" t="s">
        <v>170</v>
      </c>
      <c r="E30" s="577">
        <f>G19</f>
        <v>49</v>
      </c>
      <c r="F30" s="577">
        <v>134</v>
      </c>
      <c r="G30" s="578">
        <f t="shared" si="3"/>
        <v>6566</v>
      </c>
      <c r="H30" s="536">
        <f>G30+'20'!H30</f>
        <v>-69010</v>
      </c>
      <c r="I30" s="581"/>
      <c r="J30" s="629">
        <f>H30/DAY(B2)</f>
        <v>-3286.1904761904761</v>
      </c>
      <c r="K30" s="404"/>
      <c r="L30" s="484"/>
      <c r="N30" s="493"/>
      <c r="O30" s="413"/>
    </row>
    <row r="31" spans="1:15" s="481" customFormat="1" ht="27.75">
      <c r="A31" s="669" t="s">
        <v>171</v>
      </c>
      <c r="B31" s="670"/>
      <c r="C31" s="671"/>
      <c r="D31" s="696" t="s">
        <v>155</v>
      </c>
      <c r="E31" s="577">
        <f>G18</f>
        <v>130</v>
      </c>
      <c r="F31" s="577">
        <v>80</v>
      </c>
      <c r="G31" s="578">
        <f>E31*F31</f>
        <v>10400</v>
      </c>
      <c r="H31" s="536">
        <f>G31+'20'!H31</f>
        <v>271200</v>
      </c>
      <c r="I31" s="581"/>
      <c r="J31" s="629"/>
      <c r="K31" s="404"/>
      <c r="L31" s="484"/>
      <c r="N31" s="493"/>
      <c r="O31" s="413"/>
    </row>
    <row r="32" spans="1:15" s="481" customFormat="1" ht="27.75">
      <c r="A32" s="672" t="s">
        <v>172</v>
      </c>
      <c r="B32" s="673"/>
      <c r="C32" s="674"/>
      <c r="D32" s="583"/>
      <c r="E32" s="583"/>
      <c r="F32" s="583"/>
      <c r="G32" s="584">
        <f>G27+G28+G29+G30+G31</f>
        <v>232592.88999999757</v>
      </c>
      <c r="H32" s="536">
        <f>G32+'20'!H32</f>
        <v>-1718812.1349999981</v>
      </c>
      <c r="I32" s="585"/>
      <c r="J32" s="629">
        <f>H32/DAY(B2)</f>
        <v>-81848.196904761819</v>
      </c>
      <c r="K32" s="404"/>
      <c r="L32" s="484"/>
      <c r="N32" s="493"/>
      <c r="O32" s="413"/>
    </row>
    <row r="33" spans="1:15" ht="25.5">
      <c r="A33" s="1428" t="s">
        <v>173</v>
      </c>
      <c r="B33" s="1429"/>
      <c r="C33" s="1429"/>
      <c r="D33" s="1429"/>
      <c r="E33" s="1429"/>
      <c r="F33" s="1429"/>
      <c r="G33" s="1429"/>
      <c r="H33" s="1429"/>
      <c r="I33" s="1429"/>
      <c r="J33" s="1430"/>
      <c r="K33" s="467"/>
      <c r="L33" s="408"/>
      <c r="N33" s="413"/>
      <c r="O33" s="413"/>
    </row>
    <row r="34" spans="1:15">
      <c r="A34" s="675" t="s">
        <v>174</v>
      </c>
      <c r="B34" s="1236"/>
      <c r="C34" s="1236"/>
      <c r="D34" s="548"/>
      <c r="E34" s="547"/>
      <c r="F34" s="547"/>
      <c r="G34" s="548"/>
      <c r="H34" s="548"/>
      <c r="I34" s="548"/>
      <c r="J34" s="628"/>
      <c r="K34" s="467"/>
      <c r="L34" s="408"/>
      <c r="N34" s="413"/>
      <c r="O34" s="413"/>
    </row>
    <row r="35" spans="1:15">
      <c r="A35" s="655" t="s">
        <v>175</v>
      </c>
      <c r="B35" s="656"/>
      <c r="C35" s="656"/>
      <c r="D35" s="599" t="s">
        <v>143</v>
      </c>
      <c r="E35" s="586">
        <f>'20'!F35</f>
        <v>629027.67000000004</v>
      </c>
      <c r="F35" s="586">
        <v>629027.67000000004</v>
      </c>
      <c r="G35" s="549">
        <f t="shared" ref="G35:G46" si="4">F35-E35</f>
        <v>0</v>
      </c>
      <c r="H35" s="536">
        <f>G35+'20'!H35</f>
        <v>0</v>
      </c>
      <c r="I35" s="531"/>
      <c r="J35" s="629">
        <f>H35/DAY(B2)</f>
        <v>0</v>
      </c>
      <c r="K35" s="467">
        <v>1520.2800000000279</v>
      </c>
      <c r="L35" s="408">
        <f t="shared" ref="L35:L60" si="5">G35-K35</f>
        <v>-1520.2800000000279</v>
      </c>
      <c r="N35" s="413"/>
      <c r="O35" s="705"/>
    </row>
    <row r="36" spans="1:15">
      <c r="A36" s="655" t="s">
        <v>176</v>
      </c>
      <c r="B36" s="656"/>
      <c r="C36" s="656"/>
      <c r="D36" s="599" t="s">
        <v>143</v>
      </c>
      <c r="E36" s="586">
        <f>'20'!F36</f>
        <v>268905.96999999997</v>
      </c>
      <c r="F36" s="586">
        <v>269668.03000000003</v>
      </c>
      <c r="G36" s="549">
        <f t="shared" si="4"/>
        <v>762.06000000005588</v>
      </c>
      <c r="H36" s="536">
        <f>G36+'20'!H36</f>
        <v>-6823.4199999999837</v>
      </c>
      <c r="I36" s="531"/>
      <c r="J36" s="629">
        <f>H36/DAY(B2)</f>
        <v>-324.92476190476111</v>
      </c>
      <c r="K36" s="467">
        <v>485.22000000000116</v>
      </c>
      <c r="L36" s="408">
        <f t="shared" si="5"/>
        <v>276.84000000005472</v>
      </c>
      <c r="N36" s="413"/>
      <c r="O36" s="705"/>
    </row>
    <row r="37" spans="1:15">
      <c r="A37" s="655" t="s">
        <v>177</v>
      </c>
      <c r="B37" s="656"/>
      <c r="C37" s="656"/>
      <c r="D37" s="599" t="s">
        <v>143</v>
      </c>
      <c r="E37" s="586">
        <f>'20'!F37</f>
        <v>415066</v>
      </c>
      <c r="F37" s="586">
        <v>415066</v>
      </c>
      <c r="G37" s="549">
        <f t="shared" si="4"/>
        <v>0</v>
      </c>
      <c r="H37" s="536">
        <f>G37+'20'!H37</f>
        <v>415066</v>
      </c>
      <c r="I37" s="531"/>
      <c r="J37" s="629">
        <f>H37/DAY(B2)</f>
        <v>19765.047619047618</v>
      </c>
      <c r="K37" s="467">
        <v>1194.8999999999942</v>
      </c>
      <c r="L37" s="408">
        <f t="shared" si="5"/>
        <v>-1194.8999999999942</v>
      </c>
      <c r="N37" s="413"/>
      <c r="O37" s="413"/>
    </row>
    <row r="38" spans="1:15">
      <c r="A38" s="655" t="s">
        <v>178</v>
      </c>
      <c r="B38" s="656"/>
      <c r="C38" s="656"/>
      <c r="D38" s="599" t="s">
        <v>143</v>
      </c>
      <c r="E38" s="545">
        <f>'20'!F38</f>
        <v>150714</v>
      </c>
      <c r="F38" s="545">
        <v>150714.38</v>
      </c>
      <c r="G38" s="549">
        <f t="shared" si="4"/>
        <v>0.38000000000465661</v>
      </c>
      <c r="H38" s="536">
        <f>G38+'20'!H38</f>
        <v>150616.5</v>
      </c>
      <c r="I38" s="531"/>
      <c r="J38" s="629">
        <f>H38/DAY(B2)</f>
        <v>7172.2142857142853</v>
      </c>
      <c r="K38" s="467">
        <v>0</v>
      </c>
      <c r="L38" s="408">
        <f t="shared" si="5"/>
        <v>0.38000000000465661</v>
      </c>
      <c r="N38" s="413"/>
      <c r="O38" s="413"/>
    </row>
    <row r="39" spans="1:15">
      <c r="A39" s="655" t="s">
        <v>179</v>
      </c>
      <c r="B39" s="656"/>
      <c r="C39" s="656"/>
      <c r="D39" s="599" t="s">
        <v>143</v>
      </c>
      <c r="E39" s="586">
        <f>'20'!F39</f>
        <v>912480</v>
      </c>
      <c r="F39" s="586">
        <v>912480</v>
      </c>
      <c r="G39" s="549">
        <f t="shared" si="4"/>
        <v>0</v>
      </c>
      <c r="H39" s="536">
        <f>G39+'20'!H39</f>
        <v>912480</v>
      </c>
      <c r="I39" s="531"/>
      <c r="J39" s="629">
        <f>H39/DAY(B2)</f>
        <v>43451.428571428572</v>
      </c>
      <c r="K39" s="467">
        <v>2147.359999999986</v>
      </c>
      <c r="L39" s="408">
        <f t="shared" si="5"/>
        <v>-2147.359999999986</v>
      </c>
      <c r="N39" s="413"/>
      <c r="O39" s="413"/>
    </row>
    <row r="40" spans="1:15">
      <c r="A40" s="676" t="s">
        <v>180</v>
      </c>
      <c r="B40" s="677"/>
      <c r="C40" s="677"/>
      <c r="D40" s="599" t="s">
        <v>143</v>
      </c>
      <c r="E40" s="586">
        <f>'20'!F40</f>
        <v>0</v>
      </c>
      <c r="F40" s="586">
        <v>0</v>
      </c>
      <c r="G40" s="549">
        <f t="shared" si="4"/>
        <v>0</v>
      </c>
      <c r="H40" s="536">
        <f>G40+'20'!H40</f>
        <v>-0.06</v>
      </c>
      <c r="I40" s="531"/>
      <c r="J40" s="629">
        <f>H40/DAY(B2)</f>
        <v>-2.8571428571428571E-3</v>
      </c>
      <c r="K40" s="468">
        <v>0</v>
      </c>
      <c r="L40" s="408">
        <f t="shared" si="5"/>
        <v>0</v>
      </c>
      <c r="N40" s="413"/>
      <c r="O40" s="413"/>
    </row>
    <row r="41" spans="1:15">
      <c r="A41" s="655" t="s">
        <v>181</v>
      </c>
      <c r="B41" s="656"/>
      <c r="C41" s="656"/>
      <c r="D41" s="599" t="s">
        <v>143</v>
      </c>
      <c r="E41" s="586">
        <f>'20'!F41</f>
        <v>2136.44</v>
      </c>
      <c r="F41" s="586">
        <v>6244.17</v>
      </c>
      <c r="G41" s="549">
        <f t="shared" si="4"/>
        <v>4107.7299999999996</v>
      </c>
      <c r="H41" s="536">
        <f>G41+'20'!H41</f>
        <v>25503.65</v>
      </c>
      <c r="I41" s="531"/>
      <c r="J41" s="629">
        <f>H41/DAY(B2)</f>
        <v>1214.4595238095239</v>
      </c>
      <c r="K41" s="467">
        <v>0</v>
      </c>
      <c r="L41" s="408">
        <f t="shared" si="5"/>
        <v>4107.7299999999996</v>
      </c>
      <c r="N41" s="413"/>
      <c r="O41" s="803"/>
    </row>
    <row r="42" spans="1:15">
      <c r="A42" s="655" t="s">
        <v>182</v>
      </c>
      <c r="B42" s="656"/>
      <c r="C42" s="656"/>
      <c r="D42" s="599" t="s">
        <v>143</v>
      </c>
      <c r="E42" s="586">
        <f>'20'!F42</f>
        <v>58926.09</v>
      </c>
      <c r="F42" s="586">
        <v>58926.09</v>
      </c>
      <c r="G42" s="549">
        <f t="shared" si="4"/>
        <v>0</v>
      </c>
      <c r="H42" s="536">
        <f>G42+'20'!H42</f>
        <v>8.999999999650754E-2</v>
      </c>
      <c r="I42" s="531"/>
      <c r="J42" s="629">
        <f>H42/DAY(B2)</f>
        <v>4.285714285547978E-3</v>
      </c>
      <c r="K42" s="467">
        <v>3228.5699999999997</v>
      </c>
      <c r="L42" s="408">
        <f t="shared" si="5"/>
        <v>-3228.5699999999997</v>
      </c>
      <c r="N42" s="413"/>
      <c r="O42" s="413"/>
    </row>
    <row r="43" spans="1:15">
      <c r="A43" s="655" t="s">
        <v>183</v>
      </c>
      <c r="B43" s="656"/>
      <c r="C43" s="656"/>
      <c r="D43" s="599" t="s">
        <v>143</v>
      </c>
      <c r="E43" s="586">
        <f>'20'!F43</f>
        <v>742160.87</v>
      </c>
      <c r="F43" s="586">
        <v>744481.03</v>
      </c>
      <c r="G43" s="549">
        <f t="shared" si="4"/>
        <v>2320.1600000000326</v>
      </c>
      <c r="H43" s="536">
        <f>G43+'20'!H43</f>
        <v>-23330.880000000005</v>
      </c>
      <c r="I43" s="531"/>
      <c r="J43" s="629">
        <f>H43/DAY(B2)</f>
        <v>-1110.994285714286</v>
      </c>
      <c r="K43" s="467">
        <v>1595.679999999993</v>
      </c>
      <c r="L43" s="408">
        <f t="shared" si="5"/>
        <v>724.48000000003958</v>
      </c>
      <c r="N43" s="413"/>
      <c r="O43" s="413"/>
    </row>
    <row r="44" spans="1:15">
      <c r="A44" s="655" t="s">
        <v>184</v>
      </c>
      <c r="B44" s="656"/>
      <c r="C44" s="656"/>
      <c r="D44" s="599" t="s">
        <v>143</v>
      </c>
      <c r="E44" s="586">
        <f>'20'!F44</f>
        <v>0</v>
      </c>
      <c r="F44" s="586">
        <v>0</v>
      </c>
      <c r="G44" s="549">
        <f t="shared" si="4"/>
        <v>0</v>
      </c>
      <c r="H44" s="536">
        <f>G44+'20'!H44</f>
        <v>0</v>
      </c>
      <c r="I44" s="531"/>
      <c r="J44" s="629">
        <f>H44/DAY(B2)</f>
        <v>0</v>
      </c>
      <c r="K44" s="467">
        <v>0</v>
      </c>
      <c r="L44" s="408">
        <f t="shared" si="5"/>
        <v>0</v>
      </c>
      <c r="N44" s="413"/>
      <c r="O44" s="413"/>
    </row>
    <row r="45" spans="1:15">
      <c r="A45" s="655" t="s">
        <v>185</v>
      </c>
      <c r="B45" s="656"/>
      <c r="C45" s="656"/>
      <c r="D45" s="599" t="s">
        <v>143</v>
      </c>
      <c r="E45" s="586">
        <f>'20'!F45</f>
        <v>614</v>
      </c>
      <c r="F45" s="586">
        <v>614</v>
      </c>
      <c r="G45" s="549">
        <f t="shared" si="4"/>
        <v>0</v>
      </c>
      <c r="H45" s="536">
        <f>G45+'20'!H45</f>
        <v>-0.48000000000001819</v>
      </c>
      <c r="I45" s="531"/>
      <c r="J45" s="629">
        <f>H45/DAY(B2)</f>
        <v>-2.2857142857143724E-2</v>
      </c>
      <c r="K45" s="467">
        <v>0</v>
      </c>
      <c r="L45" s="408">
        <f t="shared" si="5"/>
        <v>0</v>
      </c>
      <c r="N45" s="413"/>
      <c r="O45" s="413"/>
    </row>
    <row r="46" spans="1:15">
      <c r="A46" s="655" t="s">
        <v>186</v>
      </c>
      <c r="B46" s="656"/>
      <c r="C46" s="656"/>
      <c r="D46" s="599" t="s">
        <v>143</v>
      </c>
      <c r="E46" s="586">
        <f>'20'!F46</f>
        <v>187.44</v>
      </c>
      <c r="F46" s="586">
        <v>187.44</v>
      </c>
      <c r="G46" s="549">
        <f t="shared" si="4"/>
        <v>0</v>
      </c>
      <c r="H46" s="536">
        <f>G46+'20'!H46</f>
        <v>-5.0000000000011369E-2</v>
      </c>
      <c r="I46" s="531"/>
      <c r="J46" s="629">
        <f>H46/DAY(B2)</f>
        <v>-2.3809523809529224E-3</v>
      </c>
      <c r="K46" s="467">
        <v>5.0000000000011369E-2</v>
      </c>
      <c r="L46" s="408">
        <f t="shared" si="5"/>
        <v>-5.0000000000011369E-2</v>
      </c>
      <c r="N46" s="413"/>
      <c r="O46" s="413"/>
    </row>
    <row r="47" spans="1:15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7190.3300000000927</v>
      </c>
      <c r="H47" s="536">
        <f>G47+'20'!H47</f>
        <v>1473511.35</v>
      </c>
      <c r="I47" s="531"/>
      <c r="J47" s="629">
        <f>H47/DAY(B2)</f>
        <v>70167.207142857151</v>
      </c>
      <c r="K47" s="467">
        <v>10172.060000000001</v>
      </c>
      <c r="L47" s="408">
        <f t="shared" si="5"/>
        <v>-2981.7299999999086</v>
      </c>
      <c r="N47" s="413"/>
      <c r="O47" s="413"/>
    </row>
    <row r="48" spans="1:15">
      <c r="A48" s="675" t="s">
        <v>188</v>
      </c>
      <c r="B48" s="1236"/>
      <c r="C48" s="1236"/>
      <c r="D48" s="548"/>
      <c r="E48" s="547"/>
      <c r="F48" s="547"/>
      <c r="G48" s="548"/>
      <c r="H48" s="548"/>
      <c r="I48" s="548"/>
      <c r="J48" s="628"/>
      <c r="K48" s="467"/>
      <c r="L48" s="408">
        <f t="shared" si="5"/>
        <v>0</v>
      </c>
      <c r="N48" s="413"/>
      <c r="O48" s="413"/>
    </row>
    <row r="49" spans="1:15">
      <c r="A49" s="655" t="s">
        <v>175</v>
      </c>
      <c r="B49" s="678"/>
      <c r="C49" s="678"/>
      <c r="D49" s="599" t="s">
        <v>143</v>
      </c>
      <c r="E49" s="586">
        <f>'20'!F49</f>
        <v>211685.61</v>
      </c>
      <c r="F49" s="586">
        <v>214778.53</v>
      </c>
      <c r="G49" s="549">
        <f t="shared" ref="G49:G58" si="6">F49-E49</f>
        <v>3092.9200000000128</v>
      </c>
      <c r="H49" s="536">
        <f>G49+'20'!H49</f>
        <v>-31120.51999999999</v>
      </c>
      <c r="I49" s="531"/>
      <c r="J49" s="629">
        <f>H49/DAY(B2)</f>
        <v>-1481.9295238095233</v>
      </c>
      <c r="K49" s="467">
        <v>0</v>
      </c>
      <c r="L49" s="408">
        <f t="shared" si="5"/>
        <v>3092.9200000000128</v>
      </c>
      <c r="N49" s="413"/>
      <c r="O49" s="413"/>
    </row>
    <row r="50" spans="1:15">
      <c r="A50" s="655" t="s">
        <v>189</v>
      </c>
      <c r="B50" s="678"/>
      <c r="C50" s="678"/>
      <c r="D50" s="599" t="s">
        <v>143</v>
      </c>
      <c r="E50" s="586">
        <f>'20'!F50</f>
        <v>356627.51</v>
      </c>
      <c r="F50" s="586">
        <v>357825.51</v>
      </c>
      <c r="G50" s="549">
        <f>F50-E50</f>
        <v>1198</v>
      </c>
      <c r="H50" s="536">
        <f>G50+'20'!H50</f>
        <v>-11834.799999999988</v>
      </c>
      <c r="I50" s="531"/>
      <c r="J50" s="629">
        <f>H50/DAY(B2)</f>
        <v>-563.5619047619042</v>
      </c>
      <c r="K50" s="467">
        <v>700.86999999999534</v>
      </c>
      <c r="L50" s="408">
        <f t="shared" si="5"/>
        <v>497.13000000000466</v>
      </c>
      <c r="N50" s="413"/>
      <c r="O50" s="413"/>
    </row>
    <row r="51" spans="1:15">
      <c r="A51" s="655" t="s">
        <v>177</v>
      </c>
      <c r="B51" s="678"/>
      <c r="C51" s="678"/>
      <c r="D51" s="599" t="s">
        <v>143</v>
      </c>
      <c r="E51" s="586">
        <f>'20'!F51</f>
        <v>93773.48</v>
      </c>
      <c r="F51" s="586">
        <v>95230.83</v>
      </c>
      <c r="G51" s="549">
        <f t="shared" si="6"/>
        <v>1457.3500000000058</v>
      </c>
      <c r="H51" s="536">
        <f>G51+'20'!H51</f>
        <v>-14868.910000000003</v>
      </c>
      <c r="I51" s="531"/>
      <c r="J51" s="629">
        <f>H51/DAY(B2)</f>
        <v>-708.04333333333352</v>
      </c>
      <c r="K51" s="467">
        <v>0</v>
      </c>
      <c r="L51" s="408">
        <f t="shared" si="5"/>
        <v>1457.3500000000058</v>
      </c>
      <c r="N51" s="413"/>
      <c r="O51" s="413"/>
    </row>
    <row r="52" spans="1:15">
      <c r="A52" s="655" t="s">
        <v>190</v>
      </c>
      <c r="B52" s="678"/>
      <c r="C52" s="678"/>
      <c r="D52" s="599" t="s">
        <v>143</v>
      </c>
      <c r="E52" s="586">
        <f>'20'!F52</f>
        <v>473214.79</v>
      </c>
      <c r="F52" s="586">
        <v>474960.75</v>
      </c>
      <c r="G52" s="549">
        <f t="shared" si="6"/>
        <v>1745.960000000021</v>
      </c>
      <c r="H52" s="536">
        <f>G52+'20'!H52</f>
        <v>-18847.919999999984</v>
      </c>
      <c r="I52" s="531"/>
      <c r="J52" s="629">
        <f>H52/DAY(B2)</f>
        <v>-897.51999999999919</v>
      </c>
      <c r="K52" s="467">
        <v>985.97999999998137</v>
      </c>
      <c r="L52" s="408">
        <f t="shared" si="5"/>
        <v>759.98000000003958</v>
      </c>
      <c r="N52" s="413"/>
      <c r="O52" s="803"/>
    </row>
    <row r="53" spans="1:15">
      <c r="A53" s="655" t="s">
        <v>179</v>
      </c>
      <c r="B53" s="678"/>
      <c r="C53" s="678"/>
      <c r="D53" s="599" t="s">
        <v>143</v>
      </c>
      <c r="E53" s="586">
        <f>'20'!F53</f>
        <v>258349.83</v>
      </c>
      <c r="F53" s="586">
        <v>262473.69</v>
      </c>
      <c r="G53" s="549">
        <f t="shared" si="6"/>
        <v>4123.8600000000151</v>
      </c>
      <c r="H53" s="536">
        <f>G53+'20'!H53</f>
        <v>-41824.580000000016</v>
      </c>
      <c r="I53" s="531"/>
      <c r="J53" s="629">
        <f>H53/DAY(B2)</f>
        <v>-1991.6466666666674</v>
      </c>
      <c r="K53" s="467">
        <v>107.60000000000036</v>
      </c>
      <c r="L53" s="408">
        <f t="shared" si="5"/>
        <v>4016.2600000000148</v>
      </c>
      <c r="N53" s="413"/>
      <c r="O53" s="413"/>
    </row>
    <row r="54" spans="1:15">
      <c r="A54" s="655" t="s">
        <v>191</v>
      </c>
      <c r="B54" s="678"/>
      <c r="C54" s="678"/>
      <c r="D54" s="599" t="s">
        <v>143</v>
      </c>
      <c r="E54" s="586">
        <f>'20'!F54</f>
        <v>5754.15</v>
      </c>
      <c r="F54" s="586">
        <v>5798.53</v>
      </c>
      <c r="G54" s="549">
        <f t="shared" si="6"/>
        <v>44.380000000000109</v>
      </c>
      <c r="H54" s="536">
        <f>G54+'20'!H54</f>
        <v>-590.27000000000044</v>
      </c>
      <c r="I54" s="531"/>
      <c r="J54" s="629">
        <f>H54/DAY(B2)</f>
        <v>-28.10809523809526</v>
      </c>
      <c r="K54" s="467">
        <v>0</v>
      </c>
      <c r="L54" s="408">
        <f t="shared" si="5"/>
        <v>44.380000000000109</v>
      </c>
      <c r="N54" s="413"/>
      <c r="O54" s="413"/>
    </row>
    <row r="55" spans="1:15">
      <c r="A55" s="655" t="s">
        <v>192</v>
      </c>
      <c r="B55" s="678"/>
      <c r="C55" s="678"/>
      <c r="D55" s="599" t="s">
        <v>143</v>
      </c>
      <c r="E55" s="586">
        <f>'20'!F55</f>
        <v>39120.58</v>
      </c>
      <c r="F55" s="586">
        <v>39120.58</v>
      </c>
      <c r="G55" s="549">
        <f t="shared" si="6"/>
        <v>0</v>
      </c>
      <c r="H55" s="536">
        <f>G55+'20'!H55</f>
        <v>-3867.4000000000015</v>
      </c>
      <c r="I55" s="531"/>
      <c r="J55" s="629">
        <f>H55/DAY(B2)</f>
        <v>-184.16190476190482</v>
      </c>
      <c r="K55" s="467">
        <v>0</v>
      </c>
      <c r="L55" s="408">
        <f t="shared" si="5"/>
        <v>0</v>
      </c>
      <c r="N55" s="413"/>
      <c r="O55" s="413"/>
    </row>
    <row r="56" spans="1:15">
      <c r="A56" s="655" t="s">
        <v>193</v>
      </c>
      <c r="B56" s="678"/>
      <c r="C56" s="678"/>
      <c r="D56" s="599" t="s">
        <v>194</v>
      </c>
      <c r="E56" s="586">
        <f>'20'!F56</f>
        <v>557725.39</v>
      </c>
      <c r="F56" s="586">
        <v>557728.99</v>
      </c>
      <c r="G56" s="549">
        <f t="shared" si="6"/>
        <v>3.5999999999767169</v>
      </c>
      <c r="H56" s="536">
        <f>G56+'20'!H56</f>
        <v>-2.9200000000419095</v>
      </c>
      <c r="I56" s="531"/>
      <c r="J56" s="629">
        <f>H56/DAY(B2)</f>
        <v>-0.13904761904961474</v>
      </c>
      <c r="K56" s="466">
        <v>0</v>
      </c>
      <c r="L56" s="408">
        <f t="shared" si="5"/>
        <v>3.5999999999767169</v>
      </c>
      <c r="N56" s="413"/>
      <c r="O56" s="413"/>
    </row>
    <row r="57" spans="1:15">
      <c r="A57" s="655" t="s">
        <v>183</v>
      </c>
      <c r="B57" s="678"/>
      <c r="C57" s="678"/>
      <c r="D57" s="599" t="s">
        <v>143</v>
      </c>
      <c r="E57" s="586">
        <f>'20'!F57</f>
        <v>0</v>
      </c>
      <c r="F57" s="586">
        <v>0</v>
      </c>
      <c r="G57" s="549">
        <f t="shared" si="6"/>
        <v>0</v>
      </c>
      <c r="H57" s="536">
        <f>G57+'20'!H57</f>
        <v>0</v>
      </c>
      <c r="I57" s="531"/>
      <c r="J57" s="629">
        <f>H57/DAY(B2)</f>
        <v>0</v>
      </c>
      <c r="K57" s="467">
        <v>0</v>
      </c>
      <c r="L57" s="408">
        <f t="shared" si="5"/>
        <v>0</v>
      </c>
      <c r="N57" s="413"/>
      <c r="O57" s="413"/>
    </row>
    <row r="58" spans="1:15">
      <c r="A58" s="655" t="s">
        <v>195</v>
      </c>
      <c r="B58" s="678"/>
      <c r="C58" s="678"/>
      <c r="D58" s="599" t="s">
        <v>143</v>
      </c>
      <c r="E58" s="586">
        <f>'20'!F58</f>
        <v>28607.77</v>
      </c>
      <c r="F58" s="586">
        <v>28851.11</v>
      </c>
      <c r="G58" s="549">
        <f t="shared" si="6"/>
        <v>243.34000000000015</v>
      </c>
      <c r="H58" s="536">
        <f>G58+'20'!H58</f>
        <v>-1878.4299999999967</v>
      </c>
      <c r="I58" s="531"/>
      <c r="J58" s="629">
        <f>H58/DAY(B2)</f>
        <v>-89.449047619047462</v>
      </c>
      <c r="K58" s="467">
        <v>0</v>
      </c>
      <c r="L58" s="408">
        <f t="shared" si="5"/>
        <v>243.34000000000015</v>
      </c>
      <c r="N58" s="413"/>
      <c r="O58" s="413"/>
    </row>
    <row r="59" spans="1:15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11909.410000000033</v>
      </c>
      <c r="H59" s="536">
        <f>G59+'20'!H59</f>
        <v>-124835.74999999997</v>
      </c>
      <c r="I59" s="531">
        <f>G7-G60</f>
        <v>315.25999999987471</v>
      </c>
      <c r="J59" s="629">
        <f>H59/DAY(B2)</f>
        <v>-5944.559523809522</v>
      </c>
      <c r="K59" s="467">
        <v>1794.4499999999771</v>
      </c>
      <c r="L59" s="408">
        <f t="shared" si="5"/>
        <v>10114.960000000056</v>
      </c>
      <c r="N59" s="413"/>
      <c r="O59" s="413"/>
    </row>
    <row r="60" spans="1:15">
      <c r="A60" s="655"/>
      <c r="B60" s="656"/>
      <c r="C60" s="656"/>
      <c r="D60" s="587" t="s">
        <v>196</v>
      </c>
      <c r="E60" s="587"/>
      <c r="F60" s="587"/>
      <c r="G60" s="557">
        <f>G47+G59</f>
        <v>19099.740000000125</v>
      </c>
      <c r="H60" s="536">
        <f>G60+'20'!H60</f>
        <v>1353855.79</v>
      </c>
      <c r="I60" s="531">
        <f>G13-G60</f>
        <v>-352.24000000035812</v>
      </c>
      <c r="J60" s="629">
        <f>H60/DAY(B2)</f>
        <v>64469.323333333334</v>
      </c>
      <c r="K60" s="467">
        <v>11966.509999999978</v>
      </c>
      <c r="L60" s="408">
        <f t="shared" si="5"/>
        <v>7133.2300000001469</v>
      </c>
      <c r="N60" s="413"/>
      <c r="O60" s="413"/>
    </row>
    <row r="61" spans="1:15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  <c r="O61" s="413"/>
    </row>
    <row r="62" spans="1:15">
      <c r="A62" s="680" t="s">
        <v>106</v>
      </c>
      <c r="B62" s="681"/>
      <c r="C62" s="681"/>
      <c r="D62" s="587" t="s">
        <v>198</v>
      </c>
      <c r="E62" s="590">
        <f>'20'!F62</f>
        <v>20419.2</v>
      </c>
      <c r="F62" s="590">
        <v>20419.2</v>
      </c>
      <c r="G62" s="549">
        <f t="shared" ref="G62:G69" si="7">F62-E62</f>
        <v>0</v>
      </c>
      <c r="H62" s="536">
        <f>G62+'20'!H62</f>
        <v>1.1000000002240995E-2</v>
      </c>
      <c r="I62" s="591"/>
      <c r="J62" s="629">
        <f>H62/DAY(B2)</f>
        <v>5.2380952391623784E-4</v>
      </c>
      <c r="K62" s="467"/>
      <c r="L62" s="408"/>
      <c r="N62" s="413"/>
      <c r="O62" s="413"/>
    </row>
    <row r="63" spans="1:15">
      <c r="A63" s="680" t="s">
        <v>199</v>
      </c>
      <c r="B63" s="681"/>
      <c r="C63" s="681"/>
      <c r="D63" s="587" t="s">
        <v>198</v>
      </c>
      <c r="E63" s="590">
        <f>'20'!F63</f>
        <v>1219.9000000000001</v>
      </c>
      <c r="F63" s="590">
        <v>1229.1400000000001</v>
      </c>
      <c r="G63" s="549">
        <f t="shared" si="7"/>
        <v>9.2400000000000091</v>
      </c>
      <c r="H63" s="536">
        <f>G63+'20'!H63</f>
        <v>-103.38999999999987</v>
      </c>
      <c r="I63" s="591"/>
      <c r="J63" s="629">
        <f>H63/DAY(B2)</f>
        <v>-4.9233333333333276</v>
      </c>
      <c r="K63" s="467"/>
      <c r="L63" s="408"/>
      <c r="N63" s="413"/>
      <c r="O63" s="413"/>
    </row>
    <row r="64" spans="1:15" ht="27.75">
      <c r="A64" s="1385" t="s">
        <v>107</v>
      </c>
      <c r="B64" s="1386"/>
      <c r="C64" s="1387"/>
      <c r="D64" s="599" t="s">
        <v>198</v>
      </c>
      <c r="E64" s="560">
        <f>'20'!F64</f>
        <v>106597.67</v>
      </c>
      <c r="F64" s="560">
        <v>107043.62</v>
      </c>
      <c r="G64" s="549">
        <f t="shared" si="7"/>
        <v>445.94999999999709</v>
      </c>
      <c r="H64" s="536">
        <f>G64+'20'!H64</f>
        <v>-4239.8400000000111</v>
      </c>
      <c r="I64" s="556"/>
      <c r="J64" s="629">
        <f>H64/DAY(B2)</f>
        <v>-201.89714285714339</v>
      </c>
      <c r="K64" s="467"/>
      <c r="L64" s="408"/>
      <c r="N64" s="413"/>
      <c r="O64" s="413"/>
    </row>
    <row r="65" spans="1:15" ht="27.75">
      <c r="A65" s="1385" t="s">
        <v>108</v>
      </c>
      <c r="B65" s="1386"/>
      <c r="C65" s="1387"/>
      <c r="D65" s="599" t="s">
        <v>198</v>
      </c>
      <c r="E65" s="560">
        <f>'20'!F65</f>
        <v>117260.84</v>
      </c>
      <c r="F65" s="560">
        <v>117693.6</v>
      </c>
      <c r="G65" s="549">
        <f t="shared" si="7"/>
        <v>432.76000000000931</v>
      </c>
      <c r="H65" s="536">
        <f>G65+'20'!H65</f>
        <v>-4039.5099999999948</v>
      </c>
      <c r="I65" s="565"/>
      <c r="J65" s="629">
        <f>H65/DAY(B2)</f>
        <v>-192.35761904761881</v>
      </c>
      <c r="K65" s="467"/>
      <c r="L65" s="408"/>
      <c r="N65" s="413"/>
      <c r="O65" s="413"/>
    </row>
    <row r="66" spans="1:15" ht="27.75">
      <c r="A66" s="1385" t="s">
        <v>109</v>
      </c>
      <c r="B66" s="1386"/>
      <c r="C66" s="1387"/>
      <c r="D66" s="599" t="s">
        <v>198</v>
      </c>
      <c r="E66" s="560">
        <f>'20'!F66</f>
        <v>9761.91</v>
      </c>
      <c r="F66" s="560">
        <v>10130.719999999999</v>
      </c>
      <c r="G66" s="549">
        <f t="shared" si="7"/>
        <v>368.80999999999949</v>
      </c>
      <c r="H66" s="536">
        <f>G66+'20'!H66</f>
        <v>-4029.0200000000004</v>
      </c>
      <c r="I66" s="556"/>
      <c r="J66" s="629">
        <f>H66/DAY(B2)</f>
        <v>-191.85809523809525</v>
      </c>
      <c r="K66" s="467"/>
      <c r="L66" s="408"/>
      <c r="N66" s="413"/>
      <c r="O66" s="413"/>
    </row>
    <row r="67" spans="1:15" ht="27.75">
      <c r="A67" s="1385" t="s">
        <v>110</v>
      </c>
      <c r="B67" s="1386"/>
      <c r="C67" s="1387"/>
      <c r="D67" s="599" t="s">
        <v>198</v>
      </c>
      <c r="E67" s="560">
        <f>'20'!F67</f>
        <v>181446.99</v>
      </c>
      <c r="F67" s="560">
        <v>182084.35</v>
      </c>
      <c r="G67" s="549">
        <f t="shared" si="7"/>
        <v>637.36000000001513</v>
      </c>
      <c r="H67" s="536">
        <f>G67+'20'!H67</f>
        <v>-6590.179999999993</v>
      </c>
      <c r="I67" s="565"/>
      <c r="J67" s="629">
        <f>H67/DAY(B2)</f>
        <v>-313.81809523809488</v>
      </c>
      <c r="K67" s="468"/>
      <c r="L67" s="408"/>
      <c r="N67" s="413"/>
      <c r="O67" s="413"/>
    </row>
    <row r="68" spans="1:15" ht="27.75">
      <c r="A68" s="1385" t="s">
        <v>111</v>
      </c>
      <c r="B68" s="1386"/>
      <c r="C68" s="1387"/>
      <c r="D68" s="599" t="s">
        <v>198</v>
      </c>
      <c r="E68" s="560">
        <f>'20'!F68</f>
        <v>59762.080000000002</v>
      </c>
      <c r="F68" s="560">
        <v>60072.38</v>
      </c>
      <c r="G68" s="549">
        <f t="shared" si="7"/>
        <v>310.29999999999563</v>
      </c>
      <c r="H68" s="536">
        <f>G68+'20'!H68</f>
        <v>-3227.4800000000032</v>
      </c>
      <c r="I68" s="592"/>
      <c r="J68" s="629">
        <f>H68/DAY(B2)</f>
        <v>-153.68952380952396</v>
      </c>
      <c r="K68" s="469"/>
      <c r="L68" s="408"/>
      <c r="N68" s="413"/>
      <c r="O68" s="413"/>
    </row>
    <row r="69" spans="1:15" ht="27.75">
      <c r="A69" s="1385" t="s">
        <v>112</v>
      </c>
      <c r="B69" s="1386"/>
      <c r="C69" s="1387"/>
      <c r="D69" s="599" t="s">
        <v>198</v>
      </c>
      <c r="E69" s="560">
        <f>'20'!F69</f>
        <v>52354.65</v>
      </c>
      <c r="F69" s="560">
        <v>52646.38</v>
      </c>
      <c r="G69" s="549">
        <f t="shared" si="7"/>
        <v>291.72999999999593</v>
      </c>
      <c r="H69" s="536">
        <f>G69+'20'!H69</f>
        <v>-3077.3300000000017</v>
      </c>
      <c r="I69" s="592"/>
      <c r="J69" s="629">
        <f>H69/DAY(B2)</f>
        <v>-146.5395238095239</v>
      </c>
      <c r="K69" s="470"/>
      <c r="L69" s="408"/>
      <c r="N69" s="413"/>
      <c r="O69" s="413"/>
    </row>
    <row r="70" spans="1:15" ht="27.75">
      <c r="A70" s="1391" t="s">
        <v>200</v>
      </c>
      <c r="B70" s="1392"/>
      <c r="C70" s="1393"/>
      <c r="D70" s="599" t="s">
        <v>198</v>
      </c>
      <c r="E70" s="594"/>
      <c r="F70" s="594"/>
      <c r="G70" s="594"/>
      <c r="H70" s="536">
        <f>G70+'20'!H70</f>
        <v>0</v>
      </c>
      <c r="I70" s="594"/>
      <c r="J70" s="633"/>
      <c r="K70" s="470"/>
      <c r="L70" s="408"/>
      <c r="N70" s="413"/>
      <c r="O70" s="413"/>
    </row>
    <row r="71" spans="1:15" ht="31.5">
      <c r="A71" s="1388" t="s">
        <v>201</v>
      </c>
      <c r="B71" s="1389"/>
      <c r="C71" s="1389"/>
      <c r="D71" s="1389"/>
      <c r="E71" s="1389"/>
      <c r="F71" s="1389"/>
      <c r="G71" s="1389"/>
      <c r="H71" s="1389"/>
      <c r="I71" s="1389"/>
      <c r="J71" s="1390"/>
      <c r="K71" s="469"/>
      <c r="L71" s="408"/>
      <c r="N71" s="413"/>
      <c r="O71" s="413"/>
    </row>
    <row r="72" spans="1:15" ht="27.75">
      <c r="A72" s="1385" t="s">
        <v>202</v>
      </c>
      <c r="B72" s="1386"/>
      <c r="C72" s="1387"/>
      <c r="D72" s="599" t="s">
        <v>198</v>
      </c>
      <c r="E72" s="595">
        <f>'20'!F72</f>
        <v>847740</v>
      </c>
      <c r="F72" s="595">
        <v>847790</v>
      </c>
      <c r="G72" s="549">
        <f t="shared" ref="G72:G84" si="8">F72-E72</f>
        <v>50</v>
      </c>
      <c r="H72" s="536">
        <f>G72+'20'!H72</f>
        <v>-762</v>
      </c>
      <c r="I72" s="556"/>
      <c r="J72" s="629">
        <f>H72/DAY(B2)</f>
        <v>-36.285714285714285</v>
      </c>
      <c r="K72" s="470"/>
      <c r="L72" s="408"/>
      <c r="N72" s="413"/>
      <c r="O72" s="413"/>
    </row>
    <row r="73" spans="1:15" ht="27.75">
      <c r="A73" s="1385" t="s">
        <v>203</v>
      </c>
      <c r="B73" s="1386"/>
      <c r="C73" s="1387"/>
      <c r="D73" s="599" t="s">
        <v>198</v>
      </c>
      <c r="E73" s="596">
        <f>'20'!F73</f>
        <v>885709</v>
      </c>
      <c r="F73" s="596">
        <v>885710</v>
      </c>
      <c r="G73" s="549">
        <f t="shared" si="8"/>
        <v>1</v>
      </c>
      <c r="H73" s="536">
        <f>G73+'20'!H73</f>
        <v>929</v>
      </c>
      <c r="I73" s="556"/>
      <c r="J73" s="629">
        <f>H73/DAY(B2)</f>
        <v>44.238095238095241</v>
      </c>
      <c r="K73" s="469"/>
      <c r="L73" s="408"/>
      <c r="N73" s="413"/>
      <c r="O73" s="413"/>
    </row>
    <row r="74" spans="1:15" ht="27.75">
      <c r="A74" s="1506" t="s">
        <v>204</v>
      </c>
      <c r="B74" s="1507"/>
      <c r="C74" s="1508"/>
      <c r="D74" s="599" t="s">
        <v>198</v>
      </c>
      <c r="E74" s="597">
        <f>'20'!F74</f>
        <v>882011</v>
      </c>
      <c r="F74" s="597">
        <v>882040</v>
      </c>
      <c r="G74" s="549">
        <f t="shared" si="8"/>
        <v>29</v>
      </c>
      <c r="H74" s="536">
        <f>G74+'20'!H74</f>
        <v>882269.1</v>
      </c>
      <c r="I74" s="556"/>
      <c r="J74" s="629">
        <f>H74/DAY(B2)</f>
        <v>42012.814285714281</v>
      </c>
      <c r="K74" s="470"/>
      <c r="L74" s="408"/>
      <c r="N74" s="413"/>
      <c r="O74" s="413"/>
    </row>
    <row r="75" spans="1:15" ht="27.75">
      <c r="A75" s="1382" t="s">
        <v>205</v>
      </c>
      <c r="B75" s="1383"/>
      <c r="C75" s="1384"/>
      <c r="D75" s="599" t="s">
        <v>198</v>
      </c>
      <c r="E75" s="597">
        <f>'20'!F75</f>
        <v>735379</v>
      </c>
      <c r="F75" s="597">
        <v>735565</v>
      </c>
      <c r="G75" s="549">
        <f t="shared" si="8"/>
        <v>186</v>
      </c>
      <c r="H75" s="536">
        <f>G75+'20'!H75</f>
        <v>737101.4</v>
      </c>
      <c r="I75" s="556"/>
      <c r="J75" s="629">
        <f>H75/DAY(B2)</f>
        <v>35100.066666666666</v>
      </c>
      <c r="K75" s="469"/>
      <c r="L75" s="408"/>
      <c r="N75" s="413"/>
      <c r="O75" s="413"/>
    </row>
    <row r="76" spans="1:15" ht="27.75">
      <c r="A76" s="1382" t="s">
        <v>206</v>
      </c>
      <c r="B76" s="1383"/>
      <c r="C76" s="1384"/>
      <c r="D76" s="599" t="s">
        <v>198</v>
      </c>
      <c r="E76" s="596">
        <f>'20'!F76</f>
        <v>686140</v>
      </c>
      <c r="F76" s="786">
        <v>686230</v>
      </c>
      <c r="G76" s="549">
        <f t="shared" si="8"/>
        <v>90</v>
      </c>
      <c r="H76" s="536">
        <f>G76+'20'!H76</f>
        <v>688227.2</v>
      </c>
      <c r="I76" s="581"/>
      <c r="J76" s="629">
        <f>H76/DAY(B2)</f>
        <v>32772.723809523806</v>
      </c>
      <c r="K76" s="469"/>
      <c r="L76" s="408"/>
      <c r="N76" s="413"/>
      <c r="O76" s="413"/>
    </row>
    <row r="77" spans="1:15" ht="27.75">
      <c r="A77" s="1385" t="s">
        <v>207</v>
      </c>
      <c r="B77" s="1386"/>
      <c r="C77" s="1387"/>
      <c r="D77" s="599" t="s">
        <v>198</v>
      </c>
      <c r="E77" s="597">
        <f>'20'!F77</f>
        <v>696517</v>
      </c>
      <c r="F77" s="597">
        <v>696569</v>
      </c>
      <c r="G77" s="549">
        <f t="shared" si="8"/>
        <v>52</v>
      </c>
      <c r="H77" s="536">
        <f>G77+'20'!H77</f>
        <v>-538</v>
      </c>
      <c r="I77" s="581"/>
      <c r="J77" s="629">
        <f>H77/DAY(B2)</f>
        <v>-25.61904761904762</v>
      </c>
      <c r="K77" s="469"/>
      <c r="L77" s="408"/>
      <c r="N77" s="413"/>
      <c r="O77" s="413"/>
    </row>
    <row r="78" spans="1:15" ht="27.75">
      <c r="A78" s="1234" t="s">
        <v>208</v>
      </c>
      <c r="B78" s="1205"/>
      <c r="C78" s="1205"/>
      <c r="D78" s="599" t="s">
        <v>198</v>
      </c>
      <c r="E78" s="597">
        <f>'20'!F78</f>
        <v>637957</v>
      </c>
      <c r="F78" s="597">
        <v>638284</v>
      </c>
      <c r="G78" s="549">
        <f t="shared" si="8"/>
        <v>327</v>
      </c>
      <c r="H78" s="536">
        <f>G78+'20'!H78</f>
        <v>-3669</v>
      </c>
      <c r="I78" s="581"/>
      <c r="J78" s="629">
        <f>H78/DAY(B2)</f>
        <v>-174.71428571428572</v>
      </c>
      <c r="K78" s="469"/>
      <c r="L78" s="408"/>
      <c r="N78" s="413"/>
      <c r="O78" s="413"/>
    </row>
    <row r="79" spans="1:15" ht="27.75">
      <c r="A79" s="1382" t="s">
        <v>97</v>
      </c>
      <c r="B79" s="1383"/>
      <c r="C79" s="1384"/>
      <c r="D79" s="600" t="s">
        <v>198</v>
      </c>
      <c r="E79" s="597">
        <f>'20'!F79</f>
        <v>807615</v>
      </c>
      <c r="F79" s="597">
        <v>807808</v>
      </c>
      <c r="G79" s="549">
        <f t="shared" si="8"/>
        <v>193</v>
      </c>
      <c r="H79" s="536">
        <f>G79+'20'!H79</f>
        <v>982</v>
      </c>
      <c r="I79" s="581"/>
      <c r="J79" s="629">
        <f>H79/DAY(B2)</f>
        <v>46.761904761904759</v>
      </c>
      <c r="K79" s="469"/>
      <c r="L79" s="408"/>
      <c r="N79" s="413"/>
      <c r="O79" s="413"/>
    </row>
    <row r="80" spans="1:15" ht="27.75">
      <c r="A80" s="1382" t="s">
        <v>209</v>
      </c>
      <c r="B80" s="1383"/>
      <c r="C80" s="1384"/>
      <c r="D80" s="600" t="s">
        <v>198</v>
      </c>
      <c r="E80" s="596">
        <f>'20'!F80</f>
        <v>481733.16</v>
      </c>
      <c r="F80" s="596">
        <v>482026.4</v>
      </c>
      <c r="G80" s="549">
        <f t="shared" si="8"/>
        <v>293.24000000004889</v>
      </c>
      <c r="H80" s="536">
        <f>G80+'20'!H80</f>
        <v>-4555.2799999999697</v>
      </c>
      <c r="I80" s="581"/>
      <c r="J80" s="629">
        <f>H80/DAY(B2)</f>
        <v>-216.9180952380938</v>
      </c>
      <c r="K80" s="469"/>
      <c r="L80" s="408"/>
      <c r="N80" s="413"/>
      <c r="O80" s="413"/>
    </row>
    <row r="81" spans="1:15" ht="27.75">
      <c r="A81" s="1382" t="s">
        <v>210</v>
      </c>
      <c r="B81" s="1383"/>
      <c r="C81" s="1384"/>
      <c r="D81" s="600" t="s">
        <v>198</v>
      </c>
      <c r="E81" s="596">
        <f>'20'!F81</f>
        <v>621592.43999999994</v>
      </c>
      <c r="F81" s="596">
        <v>621695.69999999995</v>
      </c>
      <c r="G81" s="549">
        <f t="shared" si="8"/>
        <v>103.26000000000931</v>
      </c>
      <c r="H81" s="536">
        <f>G81+'20'!H81</f>
        <v>-1079.3000000000466</v>
      </c>
      <c r="I81" s="581"/>
      <c r="J81" s="629">
        <f>H81/DAY(B2)</f>
        <v>-51.395238095240316</v>
      </c>
      <c r="K81" s="469"/>
      <c r="L81" s="408"/>
      <c r="N81" s="413"/>
      <c r="O81" s="413"/>
    </row>
    <row r="82" spans="1:15" ht="27.75">
      <c r="A82" s="1382" t="s">
        <v>100</v>
      </c>
      <c r="B82" s="1383"/>
      <c r="C82" s="1384"/>
      <c r="D82" s="561" t="s">
        <v>143</v>
      </c>
      <c r="E82" s="598">
        <f>'20'!F82</f>
        <v>104956.96</v>
      </c>
      <c r="F82" s="598">
        <v>104986.35</v>
      </c>
      <c r="G82" s="549">
        <f t="shared" si="8"/>
        <v>29.389999999999418</v>
      </c>
      <c r="H82" s="536">
        <f>G82+'20'!H82</f>
        <v>-453.64999999999418</v>
      </c>
      <c r="I82" s="562"/>
      <c r="J82" s="629">
        <f>H82/DAY(B2)</f>
        <v>-21.602380952380674</v>
      </c>
      <c r="K82" s="469"/>
      <c r="L82" s="408"/>
      <c r="N82" s="413"/>
      <c r="O82" s="413"/>
    </row>
    <row r="83" spans="1:15" ht="27.75">
      <c r="A83" s="1382" t="s">
        <v>211</v>
      </c>
      <c r="B83" s="1383"/>
      <c r="C83" s="1384"/>
      <c r="D83" s="697" t="s">
        <v>143</v>
      </c>
      <c r="E83" s="587">
        <f>'20'!F83</f>
        <v>980657</v>
      </c>
      <c r="F83" s="587">
        <v>980884</v>
      </c>
      <c r="G83" s="549">
        <f t="shared" si="8"/>
        <v>227</v>
      </c>
      <c r="H83" s="536">
        <f>G83+'20'!H83</f>
        <v>-2857</v>
      </c>
      <c r="I83" s="557"/>
      <c r="J83" s="629">
        <f>H83/DAY(B2)</f>
        <v>-136.04761904761904</v>
      </c>
      <c r="K83" s="468"/>
      <c r="L83" s="408"/>
      <c r="N83" s="413"/>
      <c r="O83" s="803"/>
    </row>
    <row r="84" spans="1:15">
      <c r="A84" s="1235" t="s">
        <v>212</v>
      </c>
      <c r="B84" s="648"/>
      <c r="C84" s="648"/>
      <c r="D84" s="554" t="s">
        <v>143</v>
      </c>
      <c r="E84" s="704">
        <f>'20'!F84</f>
        <v>410227</v>
      </c>
      <c r="F84" s="704">
        <v>410764</v>
      </c>
      <c r="G84" s="549">
        <f t="shared" si="8"/>
        <v>537</v>
      </c>
      <c r="H84" s="536">
        <f>G84+'20'!H84</f>
        <v>-5309</v>
      </c>
      <c r="I84" s="557"/>
      <c r="J84" s="629">
        <f>H84/DAY(B2)</f>
        <v>-252.8095238095238</v>
      </c>
      <c r="K84" s="411"/>
      <c r="L84" s="408"/>
      <c r="N84" s="413"/>
      <c r="O84" s="413"/>
    </row>
    <row r="85" spans="1:15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SUM(G72:G84)</f>
        <v>2117.8900000000576</v>
      </c>
      <c r="H85" s="536">
        <f>G85+'20'!H85</f>
        <v>2284982.1</v>
      </c>
      <c r="I85" s="557"/>
      <c r="J85" s="629">
        <f>H85/DAY(B2)</f>
        <v>108808.67142857143</v>
      </c>
      <c r="K85" s="411"/>
      <c r="L85" s="409"/>
      <c r="N85" s="859"/>
      <c r="O85" s="803"/>
    </row>
    <row r="86" spans="1:15" s="817" customFormat="1">
      <c r="A86" s="812" t="s">
        <v>102</v>
      </c>
      <c r="B86" s="813"/>
      <c r="C86" s="813"/>
      <c r="D86" s="814" t="s">
        <v>194</v>
      </c>
      <c r="E86" s="728">
        <f>'20'!F86</f>
        <v>446118.36</v>
      </c>
      <c r="F86" s="728">
        <v>446252.4</v>
      </c>
      <c r="G86" s="787">
        <f t="shared" ref="G86:G90" si="9">F86-E86</f>
        <v>134.04000000003725</v>
      </c>
      <c r="H86" s="787">
        <f t="shared" ref="H86:H88" si="10">G86</f>
        <v>134.04000000003725</v>
      </c>
      <c r="I86" s="733"/>
      <c r="J86" s="789">
        <f>H86/DAY(B2)</f>
        <v>6.3828571428589171</v>
      </c>
      <c r="K86" s="815"/>
      <c r="L86" s="816"/>
      <c r="N86" s="860"/>
      <c r="O86" s="413"/>
    </row>
    <row r="87" spans="1:15" s="817" customFormat="1">
      <c r="A87" s="812" t="s">
        <v>103</v>
      </c>
      <c r="B87" s="813"/>
      <c r="C87" s="813"/>
      <c r="D87" s="814" t="s">
        <v>194</v>
      </c>
      <c r="E87" s="728">
        <f>'20'!F87</f>
        <v>78204.5</v>
      </c>
      <c r="F87" s="728">
        <v>78234.7</v>
      </c>
      <c r="G87" s="787">
        <f t="shared" si="9"/>
        <v>30.19999999999709</v>
      </c>
      <c r="H87" s="787">
        <f t="shared" si="10"/>
        <v>30.19999999999709</v>
      </c>
      <c r="I87" s="733"/>
      <c r="J87" s="789">
        <f>H87/DAY(B2)</f>
        <v>1.4380952380950995</v>
      </c>
      <c r="K87" s="815"/>
      <c r="L87" s="816"/>
      <c r="N87" s="860"/>
      <c r="O87" s="413"/>
    </row>
    <row r="88" spans="1:15" s="817" customFormat="1">
      <c r="A88" s="812" t="s">
        <v>104</v>
      </c>
      <c r="B88" s="813"/>
      <c r="C88" s="813"/>
      <c r="D88" s="814" t="s">
        <v>194</v>
      </c>
      <c r="E88" s="728">
        <f>'20'!F88</f>
        <v>145822.20000000001</v>
      </c>
      <c r="F88" s="728">
        <v>145876.79</v>
      </c>
      <c r="G88" s="787">
        <f t="shared" si="9"/>
        <v>54.589999999996508</v>
      </c>
      <c r="H88" s="787">
        <f t="shared" si="10"/>
        <v>54.589999999996508</v>
      </c>
      <c r="I88" s="733"/>
      <c r="J88" s="789">
        <f>H88/DAY(B2)</f>
        <v>2.5995238095236433</v>
      </c>
      <c r="K88" s="815"/>
      <c r="L88" s="816"/>
      <c r="N88" s="860"/>
      <c r="O88" s="413"/>
    </row>
    <row r="89" spans="1:15" s="817" customFormat="1">
      <c r="A89" s="812" t="s">
        <v>215</v>
      </c>
      <c r="B89" s="813"/>
      <c r="C89" s="813"/>
      <c r="D89" s="814" t="s">
        <v>194</v>
      </c>
      <c r="E89" s="728">
        <f>'20'!F89</f>
        <v>59052.5</v>
      </c>
      <c r="F89" s="728">
        <v>59136</v>
      </c>
      <c r="G89" s="787">
        <f t="shared" si="9"/>
        <v>83.5</v>
      </c>
      <c r="H89" s="787">
        <f>G89</f>
        <v>83.5</v>
      </c>
      <c r="I89" s="733"/>
      <c r="J89" s="789">
        <f>H89/DAY(B2)</f>
        <v>3.9761904761904763</v>
      </c>
      <c r="K89" s="815"/>
      <c r="L89" s="816"/>
      <c r="N89" s="860"/>
      <c r="O89" s="413"/>
    </row>
    <row r="90" spans="1:15" s="817" customFormat="1">
      <c r="A90" s="812" t="s">
        <v>215</v>
      </c>
      <c r="B90" s="813"/>
      <c r="C90" s="813"/>
      <c r="D90" s="814" t="s">
        <v>194</v>
      </c>
      <c r="E90" s="728">
        <f>'20'!F90</f>
        <v>3034.8</v>
      </c>
      <c r="F90" s="728">
        <v>3039.3</v>
      </c>
      <c r="G90" s="787">
        <f t="shared" si="9"/>
        <v>4.5</v>
      </c>
      <c r="H90" s="787">
        <f>G90</f>
        <v>4.5</v>
      </c>
      <c r="I90" s="733"/>
      <c r="J90" s="789">
        <f>H90/DAY(B2)</f>
        <v>0.21428571428571427</v>
      </c>
      <c r="K90" s="815"/>
      <c r="L90" s="816"/>
      <c r="N90" s="860"/>
      <c r="O90" s="413"/>
    </row>
    <row r="91" spans="1:15" s="410" customFormat="1">
      <c r="A91" s="683" t="s">
        <v>216</v>
      </c>
      <c r="B91" s="1237"/>
      <c r="C91" s="1237"/>
      <c r="D91" s="548"/>
      <c r="E91" s="548"/>
      <c r="F91" s="548"/>
      <c r="G91" s="564"/>
      <c r="H91" s="548"/>
      <c r="I91" s="548"/>
      <c r="J91" s="628"/>
      <c r="K91" s="411"/>
      <c r="L91" s="409"/>
      <c r="N91" s="859"/>
      <c r="O91" s="413"/>
    </row>
    <row r="92" spans="1:15" ht="27.75">
      <c r="A92" s="1406" t="s">
        <v>217</v>
      </c>
      <c r="B92" s="1407"/>
      <c r="C92" s="1408"/>
      <c r="D92" s="599" t="s">
        <v>155</v>
      </c>
      <c r="E92" s="560">
        <f>'20'!F92</f>
        <v>235607</v>
      </c>
      <c r="F92" s="560">
        <v>235692</v>
      </c>
      <c r="G92" s="549">
        <f t="shared" ref="G92:G93" si="11">F92-E92</f>
        <v>85</v>
      </c>
      <c r="H92" s="536">
        <f>G92+'20'!H92</f>
        <v>-878</v>
      </c>
      <c r="I92" s="556"/>
      <c r="J92" s="629">
        <f>H92/DAY(B2)</f>
        <v>-41.80952380952381</v>
      </c>
      <c r="K92" s="468"/>
      <c r="L92" s="408"/>
      <c r="N92" s="413"/>
      <c r="O92" s="413"/>
    </row>
    <row r="93" spans="1:15" ht="27.75">
      <c r="A93" s="1406" t="s">
        <v>218</v>
      </c>
      <c r="B93" s="1407"/>
      <c r="C93" s="1408"/>
      <c r="D93" s="599" t="s">
        <v>155</v>
      </c>
      <c r="E93" s="560">
        <f>'20'!F93</f>
        <v>169744</v>
      </c>
      <c r="F93" s="560">
        <v>169843</v>
      </c>
      <c r="G93" s="549">
        <f t="shared" si="11"/>
        <v>99</v>
      </c>
      <c r="H93" s="536">
        <f>G93+'20'!H93</f>
        <v>-1333</v>
      </c>
      <c r="I93" s="556"/>
      <c r="J93" s="629">
        <f>H93/DAY(B2)</f>
        <v>-63.476190476190474</v>
      </c>
      <c r="K93" s="411"/>
      <c r="L93" s="408"/>
      <c r="N93" s="413"/>
      <c r="O93" s="413"/>
    </row>
    <row r="94" spans="1:15">
      <c r="A94" s="1434" t="s">
        <v>219</v>
      </c>
      <c r="B94" s="1435"/>
      <c r="C94" s="1436"/>
      <c r="D94" s="599"/>
      <c r="E94" s="560">
        <f>'20'!F94</f>
        <v>0</v>
      </c>
      <c r="F94" s="560"/>
      <c r="G94" s="549">
        <f>G92+G93</f>
        <v>184</v>
      </c>
      <c r="H94" s="536">
        <f>G94+'20'!H94</f>
        <v>-2498</v>
      </c>
      <c r="I94" s="556"/>
      <c r="J94" s="629">
        <f>H94/DAY(B2)</f>
        <v>-118.95238095238095</v>
      </c>
      <c r="K94" s="411"/>
      <c r="L94" s="408"/>
      <c r="N94" s="413"/>
      <c r="O94" s="413"/>
    </row>
    <row r="95" spans="1:15" ht="27.75">
      <c r="A95" s="1406" t="s">
        <v>220</v>
      </c>
      <c r="B95" s="1407"/>
      <c r="C95" s="1408"/>
      <c r="D95" s="599" t="s">
        <v>155</v>
      </c>
      <c r="E95" s="560">
        <f>'20'!F95</f>
        <v>405127</v>
      </c>
      <c r="F95" s="560">
        <v>405202</v>
      </c>
      <c r="G95" s="549">
        <f t="shared" ref="G95:G100" si="12">F95-E95</f>
        <v>75</v>
      </c>
      <c r="H95" s="536">
        <f>G95+'20'!H95</f>
        <v>-674</v>
      </c>
      <c r="I95" s="556"/>
      <c r="J95" s="629">
        <f>H95/DAY(B2)</f>
        <v>-32.095238095238095</v>
      </c>
      <c r="K95" s="411"/>
      <c r="L95" s="408"/>
      <c r="N95" s="413"/>
      <c r="O95" s="413"/>
    </row>
    <row r="96" spans="1:15" ht="27.75">
      <c r="A96" s="1231" t="s">
        <v>221</v>
      </c>
      <c r="B96" s="1232"/>
      <c r="C96" s="1232"/>
      <c r="D96" s="599" t="s">
        <v>155</v>
      </c>
      <c r="E96" s="560">
        <f>'20'!F96</f>
        <v>100278</v>
      </c>
      <c r="F96" s="560">
        <v>100295</v>
      </c>
      <c r="G96" s="549">
        <f t="shared" si="12"/>
        <v>17</v>
      </c>
      <c r="H96" s="536">
        <f>G96+'20'!H96</f>
        <v>-239</v>
      </c>
      <c r="I96" s="556"/>
      <c r="J96" s="629">
        <f>H96/DAY(B2)</f>
        <v>-11.380952380952381</v>
      </c>
      <c r="K96" s="466"/>
      <c r="L96" s="408"/>
      <c r="N96" s="413"/>
      <c r="O96" s="413"/>
    </row>
    <row r="97" spans="1:15" ht="27.75">
      <c r="A97" s="1231" t="s">
        <v>222</v>
      </c>
      <c r="B97" s="1232"/>
      <c r="C97" s="1232"/>
      <c r="D97" s="599" t="s">
        <v>155</v>
      </c>
      <c r="E97" s="560">
        <f>'20'!F97</f>
        <v>95437</v>
      </c>
      <c r="F97" s="560">
        <v>95453</v>
      </c>
      <c r="G97" s="549">
        <f t="shared" si="12"/>
        <v>16</v>
      </c>
      <c r="H97" s="536">
        <f>G97+'20'!H97</f>
        <v>-224</v>
      </c>
      <c r="I97" s="556"/>
      <c r="J97" s="629">
        <f>H97/DAY(B2)</f>
        <v>-10.666666666666666</v>
      </c>
      <c r="K97" s="471"/>
      <c r="L97" s="408"/>
      <c r="N97" s="413"/>
      <c r="O97" s="413"/>
    </row>
    <row r="98" spans="1:15" ht="27.75">
      <c r="A98" s="1231" t="s">
        <v>223</v>
      </c>
      <c r="B98" s="1232"/>
      <c r="C98" s="1232"/>
      <c r="D98" s="599" t="s">
        <v>155</v>
      </c>
      <c r="E98" s="560">
        <f>'20'!F98</f>
        <v>144936</v>
      </c>
      <c r="F98" s="560">
        <v>144965</v>
      </c>
      <c r="G98" s="549">
        <f t="shared" si="12"/>
        <v>29</v>
      </c>
      <c r="H98" s="536">
        <f>G98+'20'!H98</f>
        <v>-589</v>
      </c>
      <c r="I98" s="556"/>
      <c r="J98" s="629">
        <f>H98/DAY(B2)</f>
        <v>-28.047619047619047</v>
      </c>
      <c r="K98" s="411"/>
      <c r="L98" s="408"/>
      <c r="N98" s="413"/>
      <c r="O98" s="413"/>
    </row>
    <row r="99" spans="1:15" ht="27.75">
      <c r="A99" s="1231" t="s">
        <v>224</v>
      </c>
      <c r="B99" s="1232"/>
      <c r="C99" s="1232"/>
      <c r="D99" s="599" t="s">
        <v>155</v>
      </c>
      <c r="E99" s="560">
        <f>'20'!F99</f>
        <v>5772</v>
      </c>
      <c r="F99" s="560">
        <v>5787</v>
      </c>
      <c r="G99" s="549">
        <f t="shared" si="12"/>
        <v>15</v>
      </c>
      <c r="H99" s="536">
        <f>G99+'20'!H99</f>
        <v>-187</v>
      </c>
      <c r="I99" s="556"/>
      <c r="J99" s="629">
        <f>H99/DAY(B2)</f>
        <v>-8.9047619047619051</v>
      </c>
      <c r="K99" s="411"/>
      <c r="L99" s="408"/>
      <c r="N99" s="413"/>
      <c r="O99" s="413"/>
    </row>
    <row r="100" spans="1:15" ht="27.75">
      <c r="A100" s="1231" t="s">
        <v>225</v>
      </c>
      <c r="B100" s="1232"/>
      <c r="C100" s="1232"/>
      <c r="D100" s="599" t="s">
        <v>155</v>
      </c>
      <c r="E100" s="560">
        <f>'20'!F100</f>
        <v>4142</v>
      </c>
      <c r="F100" s="560">
        <v>4159</v>
      </c>
      <c r="G100" s="549">
        <f t="shared" si="12"/>
        <v>17</v>
      </c>
      <c r="H100" s="536">
        <f>G100+'20'!H100</f>
        <v>-78</v>
      </c>
      <c r="I100" s="556"/>
      <c r="J100" s="629">
        <f>H100/DAY(B2)</f>
        <v>-3.7142857142857144</v>
      </c>
      <c r="K100" s="411"/>
      <c r="L100" s="408"/>
      <c r="N100" s="413"/>
      <c r="O100" s="413"/>
    </row>
    <row r="101" spans="1:15">
      <c r="A101" s="1434" t="s">
        <v>227</v>
      </c>
      <c r="B101" s="1435"/>
      <c r="C101" s="1436"/>
      <c r="D101" s="600"/>
      <c r="E101" s="600"/>
      <c r="F101" s="600"/>
      <c r="G101" s="601">
        <f>SUM(G95:G100)</f>
        <v>169</v>
      </c>
      <c r="H101" s="536">
        <f>G101+'20'!H101</f>
        <v>-1991</v>
      </c>
      <c r="I101" s="602"/>
      <c r="J101" s="629">
        <f>H101/DAY(B2)</f>
        <v>-94.80952380952381</v>
      </c>
      <c r="K101" s="411"/>
      <c r="L101" s="408"/>
      <c r="N101" s="413"/>
      <c r="O101" s="413"/>
    </row>
    <row r="102" spans="1:15" s="481" customFormat="1" ht="27">
      <c r="A102" s="684" t="s">
        <v>228</v>
      </c>
      <c r="B102" s="685"/>
      <c r="C102" s="685"/>
      <c r="D102" s="698"/>
      <c r="E102" s="604"/>
      <c r="F102" s="604"/>
      <c r="G102" s="605"/>
      <c r="H102" s="606"/>
      <c r="I102" s="607"/>
      <c r="J102" s="634"/>
      <c r="N102" s="493"/>
      <c r="O102" s="413"/>
    </row>
    <row r="103" spans="1:15" s="481" customFormat="1" ht="27.75">
      <c r="A103" s="1437" t="s">
        <v>229</v>
      </c>
      <c r="B103" s="1438"/>
      <c r="C103" s="650"/>
      <c r="D103" s="699"/>
      <c r="E103" s="608"/>
      <c r="F103" s="608"/>
      <c r="G103" s="608"/>
      <c r="H103" s="609"/>
      <c r="I103" s="608"/>
      <c r="J103" s="635"/>
      <c r="N103" s="493"/>
      <c r="O103" s="413"/>
    </row>
    <row r="104" spans="1:15" s="481" customFormat="1" ht="27.75">
      <c r="A104" s="1398" t="s">
        <v>230</v>
      </c>
      <c r="B104" s="1399"/>
      <c r="C104" s="1229"/>
      <c r="D104" s="699" t="s">
        <v>155</v>
      </c>
      <c r="E104" s="608">
        <f>'20'!F104</f>
        <v>7010</v>
      </c>
      <c r="F104" s="608">
        <v>7010</v>
      </c>
      <c r="G104" s="608">
        <f>F104-E104</f>
        <v>0</v>
      </c>
      <c r="H104" s="609">
        <f>SUM(G104+'1'!G76)</f>
        <v>74</v>
      </c>
      <c r="I104" s="608"/>
      <c r="J104" s="635">
        <f>H104/DAY(B2)</f>
        <v>3.5238095238095237</v>
      </c>
      <c r="N104" s="493"/>
      <c r="O104" s="413"/>
    </row>
    <row r="105" spans="1:15" s="481" customFormat="1" ht="27.75">
      <c r="A105" s="1398" t="s">
        <v>77</v>
      </c>
      <c r="B105" s="1399"/>
      <c r="C105" s="1229"/>
      <c r="D105" s="699" t="s">
        <v>155</v>
      </c>
      <c r="E105" s="610">
        <f>'20'!F105</f>
        <v>35075</v>
      </c>
      <c r="F105" s="610">
        <v>35082</v>
      </c>
      <c r="G105" s="608">
        <f t="shared" ref="G105:G106" si="13">F105-E105</f>
        <v>7</v>
      </c>
      <c r="H105" s="609">
        <f>SUM(G105+'1'!G77)</f>
        <v>55</v>
      </c>
      <c r="I105" s="608"/>
      <c r="J105" s="635">
        <f>H105/DAY(B2)</f>
        <v>2.6190476190476191</v>
      </c>
      <c r="N105" s="493"/>
      <c r="O105" s="413"/>
    </row>
    <row r="106" spans="1:15" s="481" customFormat="1" ht="27.75">
      <c r="A106" s="1398" t="s">
        <v>78</v>
      </c>
      <c r="B106" s="1439"/>
      <c r="C106" s="1399"/>
      <c r="D106" s="699" t="s">
        <v>155</v>
      </c>
      <c r="E106" s="608">
        <f>'20'!F106</f>
        <v>19023</v>
      </c>
      <c r="F106" s="608">
        <v>19030</v>
      </c>
      <c r="G106" s="608">
        <f t="shared" si="13"/>
        <v>7</v>
      </c>
      <c r="H106" s="609">
        <f>SUM(G106+'1'!G78)</f>
        <v>341</v>
      </c>
      <c r="I106" s="608"/>
      <c r="J106" s="635">
        <f>H106/DAY(B2)</f>
        <v>16.238095238095237</v>
      </c>
      <c r="N106" s="493"/>
      <c r="O106" s="413"/>
    </row>
    <row r="107" spans="1:15" s="481" customFormat="1" ht="27.75">
      <c r="A107" s="1400" t="s">
        <v>213</v>
      </c>
      <c r="B107" s="1401"/>
      <c r="C107" s="1229"/>
      <c r="D107" s="699"/>
      <c r="E107" s="608">
        <f>'20'!F107</f>
        <v>0</v>
      </c>
      <c r="F107" s="608"/>
      <c r="G107" s="608">
        <f>SUM(G104:G106)</f>
        <v>14</v>
      </c>
      <c r="H107" s="609">
        <f>SUM(G107+'1'!G79)</f>
        <v>219</v>
      </c>
      <c r="I107" s="608"/>
      <c r="J107" s="635">
        <f>H107/DAY(B2)</f>
        <v>10.428571428571429</v>
      </c>
      <c r="N107" s="493"/>
      <c r="O107" s="413"/>
    </row>
    <row r="108" spans="1:15" s="481" customFormat="1" ht="27.75">
      <c r="A108" s="1404" t="s">
        <v>79</v>
      </c>
      <c r="B108" s="1405"/>
      <c r="C108" s="1229"/>
      <c r="D108" s="699" t="s">
        <v>155</v>
      </c>
      <c r="E108" s="608">
        <f>'20'!F108</f>
        <v>0</v>
      </c>
      <c r="F108" s="608"/>
      <c r="G108" s="608"/>
      <c r="H108" s="609"/>
      <c r="I108" s="608"/>
      <c r="J108" s="635"/>
      <c r="N108" s="493"/>
      <c r="O108" s="413"/>
    </row>
    <row r="109" spans="1:15" s="481" customFormat="1" ht="27.75">
      <c r="A109" s="1398" t="s">
        <v>231</v>
      </c>
      <c r="B109" s="1399"/>
      <c r="C109" s="1229"/>
      <c r="D109" s="699" t="s">
        <v>155</v>
      </c>
      <c r="E109" s="608">
        <f>'20'!F109</f>
        <v>54105</v>
      </c>
      <c r="F109" s="608">
        <v>54146</v>
      </c>
      <c r="G109" s="608">
        <f>F109-E109</f>
        <v>41</v>
      </c>
      <c r="H109" s="609">
        <f>SUM(G109+'1'!G81)</f>
        <v>117</v>
      </c>
      <c r="I109" s="608"/>
      <c r="J109" s="635">
        <f>H109/DAY(B2)</f>
        <v>5.5714285714285712</v>
      </c>
      <c r="N109" s="493"/>
      <c r="O109" s="413"/>
    </row>
    <row r="110" spans="1:15" s="481" customFormat="1" ht="27.75">
      <c r="A110" s="1398" t="s">
        <v>232</v>
      </c>
      <c r="B110" s="1399"/>
      <c r="C110" s="1229"/>
      <c r="D110" s="699" t="s">
        <v>155</v>
      </c>
      <c r="E110" s="608">
        <f>'20'!F110</f>
        <v>27973</v>
      </c>
      <c r="F110" s="608">
        <v>27994</v>
      </c>
      <c r="G110" s="608">
        <f t="shared" ref="G110:G111" si="14">F110-E110</f>
        <v>21</v>
      </c>
      <c r="H110" s="609">
        <f>SUM(G110+'1'!G82)</f>
        <v>66</v>
      </c>
      <c r="I110" s="608"/>
      <c r="J110" s="635">
        <f>H110/DAY(B2)</f>
        <v>3.1428571428571428</v>
      </c>
      <c r="N110" s="493"/>
      <c r="O110" s="413"/>
    </row>
    <row r="111" spans="1:15" s="481" customFormat="1" ht="27.75">
      <c r="A111" s="1398" t="s">
        <v>233</v>
      </c>
      <c r="B111" s="1399"/>
      <c r="C111" s="1229"/>
      <c r="D111" s="699" t="s">
        <v>155</v>
      </c>
      <c r="E111" s="608">
        <f>'20'!F111</f>
        <v>3677</v>
      </c>
      <c r="F111" s="608">
        <v>3694</v>
      </c>
      <c r="G111" s="608">
        <f t="shared" si="14"/>
        <v>17</v>
      </c>
      <c r="H111" s="609">
        <f>SUM(G111+'1'!G83)</f>
        <v>450</v>
      </c>
      <c r="I111" s="608"/>
      <c r="J111" s="635">
        <f>H111/DAY(B2)</f>
        <v>21.428571428571427</v>
      </c>
      <c r="N111" s="493"/>
      <c r="O111" s="413"/>
    </row>
    <row r="112" spans="1:15" s="481" customFormat="1" ht="27.75">
      <c r="A112" s="1402" t="s">
        <v>121</v>
      </c>
      <c r="B112" s="1403"/>
      <c r="C112" s="1229"/>
      <c r="D112" s="699"/>
      <c r="E112" s="608">
        <f>'20'!F112</f>
        <v>0</v>
      </c>
      <c r="F112" s="608"/>
      <c r="G112" s="608">
        <f>SUM(G109:G111)</f>
        <v>79</v>
      </c>
      <c r="H112" s="609">
        <f>SUM(G112+'1'!G84)</f>
        <v>600</v>
      </c>
      <c r="I112" s="608"/>
      <c r="J112" s="635">
        <f>H112/DAY(B2)</f>
        <v>28.571428571428573</v>
      </c>
      <c r="N112" s="493"/>
      <c r="O112" s="413"/>
    </row>
    <row r="113" spans="1:15" s="481" customFormat="1" ht="27.75">
      <c r="A113" s="1404" t="s">
        <v>234</v>
      </c>
      <c r="B113" s="1405"/>
      <c r="C113" s="1229"/>
      <c r="D113" s="699"/>
      <c r="E113" s="608">
        <f>'20'!F113</f>
        <v>0</v>
      </c>
      <c r="F113" s="608"/>
      <c r="G113" s="608"/>
      <c r="H113" s="609"/>
      <c r="I113" s="608"/>
      <c r="J113" s="635">
        <f>H113/DAY(B2)</f>
        <v>0</v>
      </c>
      <c r="N113" s="493"/>
      <c r="O113" s="413"/>
    </row>
    <row r="114" spans="1:15" s="481" customFormat="1" ht="27.75">
      <c r="A114" s="1398" t="s">
        <v>235</v>
      </c>
      <c r="B114" s="1399"/>
      <c r="C114" s="651"/>
      <c r="D114" s="699" t="s">
        <v>155</v>
      </c>
      <c r="E114" s="610">
        <f>'20'!F114</f>
        <v>9564</v>
      </c>
      <c r="F114" s="610">
        <v>9582</v>
      </c>
      <c r="G114" s="610">
        <f>F114-E114</f>
        <v>18</v>
      </c>
      <c r="H114" s="609">
        <f>SUM(G114+'1'!G91)</f>
        <v>18</v>
      </c>
      <c r="I114" s="608"/>
      <c r="J114" s="635">
        <f>H114/DAY(B2)</f>
        <v>0.8571428571428571</v>
      </c>
      <c r="N114" s="493"/>
      <c r="O114" s="413"/>
    </row>
    <row r="115" spans="1:15" s="481" customFormat="1" ht="27.75">
      <c r="A115" s="1398" t="s">
        <v>236</v>
      </c>
      <c r="B115" s="1399"/>
      <c r="C115" s="651"/>
      <c r="D115" s="699" t="s">
        <v>155</v>
      </c>
      <c r="E115" s="610">
        <f>'20'!F115</f>
        <v>7346</v>
      </c>
      <c r="F115" s="610">
        <v>7352</v>
      </c>
      <c r="G115" s="610">
        <f t="shared" ref="G115:G116" si="15">F115-E115</f>
        <v>6</v>
      </c>
      <c r="H115" s="609">
        <f>SUM(G115+'1'!G92)</f>
        <v>93</v>
      </c>
      <c r="I115" s="608"/>
      <c r="J115" s="635">
        <f>H115/DAY(B2)</f>
        <v>4.4285714285714288</v>
      </c>
      <c r="N115" s="493"/>
      <c r="O115" s="413"/>
    </row>
    <row r="116" spans="1:15" s="481" customFormat="1" ht="27.75">
      <c r="A116" s="1398" t="s">
        <v>237</v>
      </c>
      <c r="B116" s="1399"/>
      <c r="C116" s="651"/>
      <c r="D116" s="699" t="s">
        <v>155</v>
      </c>
      <c r="E116" s="610"/>
      <c r="F116" s="610"/>
      <c r="G116" s="610">
        <f t="shared" si="15"/>
        <v>0</v>
      </c>
      <c r="H116" s="609">
        <f>SUM(G116+'1'!G93)</f>
        <v>200</v>
      </c>
      <c r="I116" s="608"/>
      <c r="J116" s="635">
        <f>H116/DAY(B2)</f>
        <v>9.5238095238095237</v>
      </c>
      <c r="N116" s="493"/>
      <c r="O116" s="413"/>
    </row>
    <row r="117" spans="1:15" s="494" customFormat="1" ht="27.75">
      <c r="A117" s="1400" t="s">
        <v>213</v>
      </c>
      <c r="B117" s="1401"/>
      <c r="C117" s="651"/>
      <c r="D117" s="700"/>
      <c r="E117" s="610"/>
      <c r="F117" s="610"/>
      <c r="G117" s="610">
        <f>SUM(G114:G116)</f>
        <v>24</v>
      </c>
      <c r="H117" s="609">
        <f>SUM(G117+'1'!G95)</f>
        <v>96</v>
      </c>
      <c r="I117" s="610"/>
      <c r="J117" s="635">
        <f>H117/DAY(B2)</f>
        <v>4.5714285714285712</v>
      </c>
      <c r="N117" s="522"/>
      <c r="O117" s="413"/>
    </row>
    <row r="118" spans="1:15" s="495" customFormat="1" ht="27.75">
      <c r="A118" s="1394" t="s">
        <v>238</v>
      </c>
      <c r="B118" s="1395"/>
      <c r="C118" s="1228"/>
      <c r="D118" s="701" t="s">
        <v>155</v>
      </c>
      <c r="E118" s="612"/>
      <c r="F118" s="612">
        <f>SUM(G19+G92)</f>
        <v>134</v>
      </c>
      <c r="G118" s="612">
        <f>SUM(G19+G92)</f>
        <v>134</v>
      </c>
      <c r="H118" s="609">
        <f>SUM(G118+'1'!G96)</f>
        <v>157</v>
      </c>
      <c r="I118" s="611"/>
      <c r="J118" s="636">
        <f>H118/DAY(B2)</f>
        <v>7.4761904761904763</v>
      </c>
      <c r="N118" s="861"/>
      <c r="O118" s="413"/>
    </row>
    <row r="119" spans="1:15" s="495" customFormat="1" ht="27.75">
      <c r="A119" s="1394" t="s">
        <v>239</v>
      </c>
      <c r="B119" s="1395"/>
      <c r="C119" s="1228"/>
      <c r="D119" s="701" t="s">
        <v>155</v>
      </c>
      <c r="E119" s="612"/>
      <c r="F119" s="612">
        <f>SUM(G95,G96,G97,G99,G100)</f>
        <v>140</v>
      </c>
      <c r="G119" s="612">
        <f>SUM(G95,G96,G97,G99,G100)</f>
        <v>140</v>
      </c>
      <c r="H119" s="609">
        <f>SUM(G119+'1'!G98)</f>
        <v>223</v>
      </c>
      <c r="I119" s="611"/>
      <c r="J119" s="636">
        <f>H119/DAY(B2)</f>
        <v>10.619047619047619</v>
      </c>
      <c r="N119" s="861"/>
      <c r="O119" s="413"/>
    </row>
    <row r="120" spans="1:15" s="495" customFormat="1" ht="27.75">
      <c r="A120" s="1394" t="s">
        <v>240</v>
      </c>
      <c r="B120" s="1395"/>
      <c r="C120" s="1228"/>
      <c r="D120" s="701" t="s">
        <v>155</v>
      </c>
      <c r="E120" s="610"/>
      <c r="F120" s="610">
        <f>SUM(G112)</f>
        <v>79</v>
      </c>
      <c r="G120" s="610">
        <f>SUM(G112)</f>
        <v>79</v>
      </c>
      <c r="H120" s="609">
        <f>SUM(G120+'1'!G100)</f>
        <v>85</v>
      </c>
      <c r="I120" s="611"/>
      <c r="J120" s="636">
        <f>H120/DAY(B2)</f>
        <v>4.0476190476190474</v>
      </c>
      <c r="N120" s="861"/>
      <c r="O120" s="413"/>
    </row>
    <row r="121" spans="1:15" s="481" customFormat="1" ht="27.75">
      <c r="A121" s="1396"/>
      <c r="B121" s="1397"/>
      <c r="C121" s="1229"/>
      <c r="D121" s="637"/>
      <c r="E121" s="637"/>
      <c r="F121" s="637" t="s">
        <v>226</v>
      </c>
      <c r="G121" s="637"/>
      <c r="H121" s="638"/>
      <c r="I121" s="637"/>
      <c r="J121" s="639"/>
      <c r="N121" s="493"/>
      <c r="O121" s="413"/>
    </row>
    <row r="122" spans="1:15">
      <c r="A122" s="1431" t="s">
        <v>241</v>
      </c>
      <c r="B122" s="1432"/>
      <c r="C122" s="1433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  <c r="O122" s="413"/>
    </row>
    <row r="123" spans="1:15" ht="27.75">
      <c r="A123" s="1231" t="s">
        <v>242</v>
      </c>
      <c r="B123" s="1232"/>
      <c r="C123" s="1232"/>
      <c r="D123" s="599" t="s">
        <v>152</v>
      </c>
      <c r="E123" s="554">
        <f>'20'!F123</f>
        <v>800460.84</v>
      </c>
      <c r="F123" s="554">
        <v>800703.85</v>
      </c>
      <c r="G123" s="549">
        <f t="shared" ref="G123:G127" si="16">F123-E123</f>
        <v>243.01000000000931</v>
      </c>
      <c r="H123" s="536">
        <f>G123+'20'!H123</f>
        <v>-2631.5500000000466</v>
      </c>
      <c r="I123" s="602"/>
      <c r="J123" s="629">
        <f>H123/DAY(B2)</f>
        <v>-125.31190476190697</v>
      </c>
      <c r="K123" s="411"/>
      <c r="L123" s="408"/>
      <c r="N123" s="413"/>
      <c r="O123" s="413"/>
    </row>
    <row r="124" spans="1:15" ht="27.75">
      <c r="A124" s="1231" t="s">
        <v>243</v>
      </c>
      <c r="B124" s="1232"/>
      <c r="C124" s="1232"/>
      <c r="D124" s="599" t="s">
        <v>152</v>
      </c>
      <c r="E124" s="703">
        <f>'20'!F124</f>
        <v>73582.3</v>
      </c>
      <c r="F124" s="703">
        <v>73582.3</v>
      </c>
      <c r="G124" s="549">
        <f t="shared" si="16"/>
        <v>0</v>
      </c>
      <c r="H124" s="536">
        <f>G124+'20'!H124</f>
        <v>0.30000000000291038</v>
      </c>
      <c r="I124" s="602"/>
      <c r="J124" s="629">
        <f>H124/DAY(B2)</f>
        <v>1.4285714285852876E-2</v>
      </c>
      <c r="K124" s="411"/>
      <c r="L124" s="408"/>
      <c r="N124" s="413"/>
      <c r="O124" s="413"/>
    </row>
    <row r="125" spans="1:15" ht="27.75">
      <c r="A125" s="1385" t="s">
        <v>244</v>
      </c>
      <c r="B125" s="1386"/>
      <c r="C125" s="1387"/>
      <c r="D125" s="599" t="s">
        <v>152</v>
      </c>
      <c r="E125" s="554">
        <f>'20'!F125</f>
        <v>137080.29</v>
      </c>
      <c r="F125" s="554">
        <v>137161.01999999999</v>
      </c>
      <c r="G125" s="549">
        <f t="shared" si="16"/>
        <v>80.729999999981374</v>
      </c>
      <c r="H125" s="536">
        <f>G125+'20'!H125</f>
        <v>-686.98000000001048</v>
      </c>
      <c r="I125" s="602"/>
      <c r="J125" s="629">
        <f>H125/DAY(B2)</f>
        <v>-32.713333333333836</v>
      </c>
      <c r="K125" s="411"/>
      <c r="L125" s="408"/>
      <c r="N125" s="413"/>
      <c r="O125" s="413"/>
    </row>
    <row r="126" spans="1:15" ht="27.75">
      <c r="A126" s="686" t="s">
        <v>245</v>
      </c>
      <c r="B126" s="1232"/>
      <c r="C126" s="1232"/>
      <c r="D126" s="599" t="s">
        <v>152</v>
      </c>
      <c r="E126" s="703">
        <f>'20'!F126</f>
        <v>58027.5</v>
      </c>
      <c r="F126" s="703">
        <v>58066</v>
      </c>
      <c r="G126" s="549">
        <f t="shared" si="16"/>
        <v>38.5</v>
      </c>
      <c r="H126" s="536">
        <f>G126+'20'!H126</f>
        <v>-325.69999999999709</v>
      </c>
      <c r="I126" s="602"/>
      <c r="J126" s="629">
        <f>H126/DAY(B2)</f>
        <v>-15.509523809523671</v>
      </c>
      <c r="K126" s="411"/>
      <c r="L126" s="408"/>
      <c r="N126" s="413"/>
      <c r="O126" s="413"/>
    </row>
    <row r="127" spans="1:15" ht="27.75">
      <c r="A127" s="686" t="s">
        <v>246</v>
      </c>
      <c r="B127" s="1232"/>
      <c r="C127" s="1232"/>
      <c r="D127" s="599" t="s">
        <v>152</v>
      </c>
      <c r="E127" s="703">
        <f>'20'!F127</f>
        <v>8777.1</v>
      </c>
      <c r="F127" s="703">
        <v>8778.7000000000007</v>
      </c>
      <c r="G127" s="549">
        <f t="shared" si="16"/>
        <v>1.6000000000003638</v>
      </c>
      <c r="H127" s="536">
        <f>G127+'20'!H127</f>
        <v>-37.299999999999272</v>
      </c>
      <c r="I127" s="556"/>
      <c r="J127" s="629">
        <f>H127/DAY(B2)</f>
        <v>-1.7761904761904415</v>
      </c>
      <c r="K127" s="411"/>
      <c r="L127" s="408"/>
      <c r="N127" s="413"/>
      <c r="O127" s="413"/>
    </row>
    <row r="128" spans="1:15" s="281" customFormat="1" ht="27.75">
      <c r="A128" s="686" t="s">
        <v>247</v>
      </c>
      <c r="B128" s="1232"/>
      <c r="C128" s="1232"/>
      <c r="D128" s="599"/>
      <c r="E128" s="554"/>
      <c r="F128" s="554"/>
      <c r="G128" s="549">
        <f>G15-SUM(G123:G127)</f>
        <v>543.09999999995307</v>
      </c>
      <c r="H128" s="536">
        <f>G128+'20'!H128</f>
        <v>-11629.420000000173</v>
      </c>
      <c r="I128" s="556"/>
      <c r="J128" s="629">
        <f>H128/DAY(B2)</f>
        <v>-553.78190476191298</v>
      </c>
      <c r="K128" s="391"/>
      <c r="L128" s="293"/>
      <c r="N128" s="395"/>
      <c r="O128" s="413"/>
    </row>
    <row r="129" spans="1:15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  <c r="O129" s="413"/>
    </row>
    <row r="130" spans="1:15" ht="27.75">
      <c r="A130" s="1231" t="s">
        <v>249</v>
      </c>
      <c r="B130" s="1232"/>
      <c r="C130" s="1232"/>
      <c r="D130" s="599" t="s">
        <v>250</v>
      </c>
      <c r="E130" s="560">
        <f>'20'!F130</f>
        <v>0</v>
      </c>
      <c r="F130" s="560">
        <v>0</v>
      </c>
      <c r="G130" s="549">
        <f t="shared" ref="G130:G140" si="17">F130-E130</f>
        <v>0</v>
      </c>
      <c r="H130" s="536">
        <f>G130+'20'!H130</f>
        <v>0</v>
      </c>
      <c r="I130" s="556"/>
      <c r="J130" s="629">
        <f>H130/DAY(B2)</f>
        <v>0</v>
      </c>
      <c r="N130" s="413"/>
      <c r="O130" s="413"/>
    </row>
    <row r="131" spans="1:15" ht="27.75">
      <c r="A131" s="1231" t="s">
        <v>251</v>
      </c>
      <c r="B131" s="1232"/>
      <c r="C131" s="1232"/>
      <c r="D131" s="599" t="s">
        <v>250</v>
      </c>
      <c r="E131" s="560">
        <f>'20'!F131</f>
        <v>0</v>
      </c>
      <c r="F131" s="560">
        <v>0</v>
      </c>
      <c r="G131" s="549">
        <f t="shared" si="17"/>
        <v>0</v>
      </c>
      <c r="H131" s="536">
        <f>G131+'20'!H131</f>
        <v>0</v>
      </c>
      <c r="I131" s="556"/>
      <c r="J131" s="629">
        <f>H131/DAY(B2)</f>
        <v>0</v>
      </c>
      <c r="N131" s="413"/>
      <c r="O131" s="413"/>
    </row>
    <row r="132" spans="1:15" ht="27.75">
      <c r="A132" s="1231" t="s">
        <v>252</v>
      </c>
      <c r="B132" s="1232"/>
      <c r="C132" s="1232"/>
      <c r="D132" s="599" t="s">
        <v>250</v>
      </c>
      <c r="E132" s="618">
        <f>'20'!F132</f>
        <v>38841.050000000003</v>
      </c>
      <c r="F132" s="618">
        <v>38864.58</v>
      </c>
      <c r="G132" s="549">
        <f t="shared" si="17"/>
        <v>23.529999999998836</v>
      </c>
      <c r="H132" s="536">
        <f>G132+'20'!H132</f>
        <v>146.18999999999505</v>
      </c>
      <c r="I132" s="556"/>
      <c r="J132" s="629">
        <f>H132/DAY(B2)</f>
        <v>6.9614285714283355</v>
      </c>
      <c r="N132" s="413"/>
      <c r="O132" s="413"/>
    </row>
    <row r="133" spans="1:15" s="480" customFormat="1" ht="27.75">
      <c r="A133" s="1158" t="s">
        <v>253</v>
      </c>
      <c r="B133" s="1159"/>
      <c r="C133" s="1159"/>
      <c r="D133" s="704" t="s">
        <v>250</v>
      </c>
      <c r="E133" s="618">
        <f>'20'!F133</f>
        <v>299.02</v>
      </c>
      <c r="F133" s="618">
        <v>299.02</v>
      </c>
      <c r="G133" s="733">
        <f t="shared" si="17"/>
        <v>0</v>
      </c>
      <c r="H133" s="787">
        <f>G133+'20'!H133</f>
        <v>1.999999999998181E-2</v>
      </c>
      <c r="I133" s="1160">
        <f>G130+G131+G132+G133</f>
        <v>23.529999999998836</v>
      </c>
      <c r="J133" s="789">
        <f>H133/DAY(B2)</f>
        <v>9.5238095238008621E-4</v>
      </c>
      <c r="N133" s="795"/>
      <c r="O133" s="795"/>
    </row>
    <row r="134" spans="1:15" ht="27.75">
      <c r="A134" s="1231" t="s">
        <v>254</v>
      </c>
      <c r="B134" s="1232"/>
      <c r="C134" s="1232"/>
      <c r="D134" s="599" t="s">
        <v>250</v>
      </c>
      <c r="E134" s="618">
        <f>'20'!F134</f>
        <v>39951.050000000003</v>
      </c>
      <c r="F134" s="618">
        <v>39951.050000000003</v>
      </c>
      <c r="G134" s="549">
        <f t="shared" si="17"/>
        <v>0</v>
      </c>
      <c r="H134" s="536">
        <f>G134+'20'!H134</f>
        <v>5.0000000002910383E-2</v>
      </c>
      <c r="I134" s="556"/>
      <c r="J134" s="629">
        <f>H134/DAY(B2)</f>
        <v>2.3809523810909708E-3</v>
      </c>
      <c r="N134" s="413"/>
      <c r="O134" s="413"/>
    </row>
    <row r="135" spans="1:15" ht="27.75">
      <c r="A135" s="1231" t="s">
        <v>255</v>
      </c>
      <c r="B135" s="1232"/>
      <c r="C135" s="1232"/>
      <c r="D135" s="599" t="s">
        <v>250</v>
      </c>
      <c r="E135" s="618">
        <f>'20'!F135</f>
        <v>32423</v>
      </c>
      <c r="F135" s="618">
        <v>32423</v>
      </c>
      <c r="G135" s="549">
        <f t="shared" si="17"/>
        <v>0</v>
      </c>
      <c r="H135" s="536">
        <f>G135+'20'!H135</f>
        <v>0</v>
      </c>
      <c r="I135" s="556"/>
      <c r="J135" s="629">
        <f>H135/DAY(B2)</f>
        <v>0</v>
      </c>
      <c r="N135" s="413"/>
      <c r="O135" s="413"/>
    </row>
    <row r="136" spans="1:15" ht="27.75">
      <c r="A136" s="1231" t="s">
        <v>256</v>
      </c>
      <c r="B136" s="1232"/>
      <c r="C136" s="1232"/>
      <c r="D136" s="599" t="s">
        <v>250</v>
      </c>
      <c r="E136" s="618">
        <f>'20'!F136</f>
        <v>21935.87</v>
      </c>
      <c r="F136" s="618">
        <v>21935.87</v>
      </c>
      <c r="G136" s="549">
        <f t="shared" si="17"/>
        <v>0</v>
      </c>
      <c r="H136" s="536">
        <f>G136+'20'!H136</f>
        <v>-66.090000000000146</v>
      </c>
      <c r="I136" s="556">
        <f>G134+G135+G136</f>
        <v>0</v>
      </c>
      <c r="J136" s="629">
        <f>H136/DAY(B2)</f>
        <v>-3.1471428571428639</v>
      </c>
      <c r="N136" s="413"/>
      <c r="O136" s="413"/>
    </row>
    <row r="137" spans="1:15" ht="27.75">
      <c r="A137" s="1231" t="s">
        <v>257</v>
      </c>
      <c r="B137" s="1232"/>
      <c r="C137" s="1232"/>
      <c r="D137" s="599" t="s">
        <v>250</v>
      </c>
      <c r="E137" s="618">
        <f>'20'!F137</f>
        <v>25000.560000000001</v>
      </c>
      <c r="F137" s="618">
        <v>25010.42</v>
      </c>
      <c r="G137" s="549">
        <f t="shared" si="17"/>
        <v>9.8599999999969441</v>
      </c>
      <c r="H137" s="536">
        <f>G137+'20'!H137</f>
        <v>-9.5200000000004366</v>
      </c>
      <c r="I137" s="556"/>
      <c r="J137" s="629">
        <f>H137/DAY(B2)</f>
        <v>-0.45333333333335413</v>
      </c>
      <c r="N137" s="413"/>
      <c r="O137" s="413"/>
    </row>
    <row r="138" spans="1:15" ht="27.75">
      <c r="A138" s="1231" t="s">
        <v>258</v>
      </c>
      <c r="B138" s="1232"/>
      <c r="C138" s="1232"/>
      <c r="D138" s="599" t="s">
        <v>250</v>
      </c>
      <c r="E138" s="618">
        <f>'20'!F138</f>
        <v>70057.8</v>
      </c>
      <c r="F138" s="618">
        <v>70057.8</v>
      </c>
      <c r="G138" s="549">
        <f t="shared" si="17"/>
        <v>0</v>
      </c>
      <c r="H138" s="536">
        <f>G138+'20'!H138</f>
        <v>-6.0899999999965075</v>
      </c>
      <c r="I138" s="556">
        <f>G137+G138</f>
        <v>9.8599999999969441</v>
      </c>
      <c r="J138" s="629">
        <f>H138/DAY(B2)</f>
        <v>-0.28999999999983367</v>
      </c>
      <c r="N138" s="413"/>
      <c r="O138" s="413"/>
    </row>
    <row r="139" spans="1:15" ht="27.75">
      <c r="A139" s="1231" t="s">
        <v>259</v>
      </c>
      <c r="B139" s="1232"/>
      <c r="C139" s="1232"/>
      <c r="D139" s="599" t="s">
        <v>250</v>
      </c>
      <c r="E139" s="560">
        <f>'20'!F139</f>
        <v>1117.28</v>
      </c>
      <c r="F139" s="560">
        <v>1124.03</v>
      </c>
      <c r="G139" s="549">
        <f t="shared" si="17"/>
        <v>6.75</v>
      </c>
      <c r="H139" s="536">
        <f>G139+'20'!H139</f>
        <v>-76.559999999999945</v>
      </c>
      <c r="I139" s="619"/>
      <c r="J139" s="629">
        <f>H139/DAY(B2)</f>
        <v>-3.6457142857142832</v>
      </c>
      <c r="N139" s="413"/>
      <c r="O139" s="413"/>
    </row>
    <row r="140" spans="1:15" ht="27.75">
      <c r="A140" s="1231" t="s">
        <v>260</v>
      </c>
      <c r="B140" s="1232"/>
      <c r="C140" s="1232"/>
      <c r="D140" s="599" t="s">
        <v>250</v>
      </c>
      <c r="E140" s="560">
        <f>'20'!F140</f>
        <v>4333.53</v>
      </c>
      <c r="F140" s="560">
        <v>4333.53</v>
      </c>
      <c r="G140" s="549">
        <f t="shared" si="17"/>
        <v>0</v>
      </c>
      <c r="H140" s="536">
        <f>G140+'20'!H140</f>
        <v>-0.47000000000025466</v>
      </c>
      <c r="I140" s="619"/>
      <c r="J140" s="629">
        <f>H140/DAY(B2)</f>
        <v>-2.2380952380964509E-2</v>
      </c>
      <c r="N140" s="413"/>
      <c r="O140" s="413"/>
    </row>
    <row r="141" spans="1:15">
      <c r="A141" s="1412" t="s">
        <v>261</v>
      </c>
      <c r="B141" s="1413"/>
      <c r="C141" s="1237"/>
      <c r="D141" s="548"/>
      <c r="E141" s="548"/>
      <c r="F141" s="548"/>
      <c r="G141" s="559"/>
      <c r="H141" s="559"/>
      <c r="I141" s="559"/>
      <c r="J141" s="640"/>
      <c r="K141" s="411"/>
      <c r="L141" s="408"/>
      <c r="N141" s="413"/>
      <c r="O141" s="413"/>
    </row>
    <row r="142" spans="1:15" ht="27.75">
      <c r="A142" s="1406" t="s">
        <v>262</v>
      </c>
      <c r="B142" s="1407"/>
      <c r="C142" s="1408"/>
      <c r="D142" s="599" t="s">
        <v>143</v>
      </c>
      <c r="E142" s="599"/>
      <c r="F142" s="599"/>
      <c r="G142" s="536">
        <f>G35+G43+G49+G57</f>
        <v>5413.0800000000454</v>
      </c>
      <c r="H142" s="536">
        <f>G142+'20'!H142</f>
        <v>-56148.839999999938</v>
      </c>
      <c r="I142" s="556"/>
      <c r="J142" s="629">
        <f>H142/DAY(B2)</f>
        <v>-2673.7542857142826</v>
      </c>
      <c r="K142" s="411"/>
      <c r="L142" s="408"/>
      <c r="N142" s="413"/>
      <c r="O142" s="413"/>
    </row>
    <row r="143" spans="1:15" ht="27.75">
      <c r="A143" s="1406" t="s">
        <v>263</v>
      </c>
      <c r="B143" s="1407"/>
      <c r="C143" s="1408"/>
      <c r="D143" s="599" t="s">
        <v>24</v>
      </c>
      <c r="E143" s="587"/>
      <c r="F143" s="587"/>
      <c r="G143" s="620">
        <f>G142/G7</f>
        <v>0.27880916816894386</v>
      </c>
      <c r="H143" s="536">
        <f>G143+'20'!H143</f>
        <v>5.2261382378165075</v>
      </c>
      <c r="I143" s="621"/>
      <c r="J143" s="629">
        <f>H143/DAY(B2)</f>
        <v>0.24886372561030989</v>
      </c>
      <c r="K143" s="411"/>
      <c r="L143" s="408"/>
      <c r="N143" s="413"/>
      <c r="O143" s="413"/>
    </row>
    <row r="144" spans="1:15" ht="27.75">
      <c r="A144" s="1406" t="s">
        <v>264</v>
      </c>
      <c r="B144" s="1407"/>
      <c r="C144" s="1408"/>
      <c r="D144" s="599" t="s">
        <v>143</v>
      </c>
      <c r="E144" s="531"/>
      <c r="F144" s="531"/>
      <c r="G144" s="536">
        <f>G41+G42+G55+G56</f>
        <v>4111.3299999999763</v>
      </c>
      <c r="H144" s="536">
        <f>G144+'20'!H144</f>
        <v>25500.819999999952</v>
      </c>
      <c r="I144" s="556"/>
      <c r="J144" s="629">
        <f>H144/DAY(B2)</f>
        <v>1214.3247619047597</v>
      </c>
      <c r="K144" s="411"/>
      <c r="L144" s="408"/>
      <c r="N144" s="413"/>
      <c r="O144" s="413"/>
    </row>
    <row r="145" spans="1:15" ht="27.75">
      <c r="A145" s="1406" t="s">
        <v>265</v>
      </c>
      <c r="B145" s="1407"/>
      <c r="C145" s="1408"/>
      <c r="D145" s="599" t="s">
        <v>24</v>
      </c>
      <c r="E145" s="531"/>
      <c r="F145" s="531"/>
      <c r="G145" s="620">
        <f>G144/G7</f>
        <v>0.21176049446304282</v>
      </c>
      <c r="H145" s="536">
        <f>G145+'20'!H145</f>
        <v>4.4794697591102963</v>
      </c>
      <c r="I145" s="621"/>
      <c r="J145" s="629">
        <f>H145/DAY(B2)</f>
        <v>0.21330808376715696</v>
      </c>
      <c r="K145" s="411"/>
      <c r="L145" s="408"/>
      <c r="N145" s="413"/>
      <c r="O145" s="413"/>
    </row>
    <row r="146" spans="1:15" ht="27.75">
      <c r="A146" s="1406" t="s">
        <v>266</v>
      </c>
      <c r="B146" s="1407"/>
      <c r="C146" s="1408"/>
      <c r="D146" s="599" t="s">
        <v>143</v>
      </c>
      <c r="E146" s="531"/>
      <c r="F146" s="531"/>
      <c r="G146" s="536">
        <f>G39+G53</f>
        <v>4123.8600000000151</v>
      </c>
      <c r="H146" s="536">
        <f>G146+'20'!H146</f>
        <v>870655.41999999993</v>
      </c>
      <c r="I146" s="622"/>
      <c r="J146" s="629">
        <f>H146/DAY(B2)</f>
        <v>41459.781904761898</v>
      </c>
      <c r="K146" s="411"/>
      <c r="L146" s="408"/>
      <c r="N146" s="413"/>
      <c r="O146" s="413"/>
    </row>
    <row r="147" spans="1:15" ht="27.75">
      <c r="A147" s="1406" t="s">
        <v>267</v>
      </c>
      <c r="B147" s="1407"/>
      <c r="C147" s="1408"/>
      <c r="D147" s="599" t="s">
        <v>24</v>
      </c>
      <c r="E147" s="531"/>
      <c r="F147" s="531"/>
      <c r="G147" s="620">
        <f>G146/G7</f>
        <v>0.21240587174864872</v>
      </c>
      <c r="H147" s="536">
        <f>G147+'20'!H147</f>
        <v>3.0145763639351939</v>
      </c>
      <c r="I147" s="622"/>
      <c r="J147" s="629">
        <f>H147/DAY(B2)</f>
        <v>0.14355125542548541</v>
      </c>
      <c r="N147" s="413"/>
      <c r="O147" s="413"/>
    </row>
    <row r="148" spans="1:15" ht="27.75">
      <c r="A148" s="1406" t="s">
        <v>268</v>
      </c>
      <c r="B148" s="1407"/>
      <c r="C148" s="1408"/>
      <c r="D148" s="599" t="s">
        <v>194</v>
      </c>
      <c r="E148" s="531"/>
      <c r="F148" s="531"/>
      <c r="G148" s="536">
        <f>G38+G52</f>
        <v>1746.3400000000256</v>
      </c>
      <c r="H148" s="536">
        <f>G148+'20'!H148</f>
        <v>131768.58000000002</v>
      </c>
      <c r="I148" s="556"/>
      <c r="J148" s="629">
        <f>H148/DAY(B2)</f>
        <v>6274.6942857142867</v>
      </c>
      <c r="K148" s="412"/>
      <c r="N148" s="413"/>
      <c r="O148" s="413"/>
    </row>
    <row r="149" spans="1:15" ht="27.75">
      <c r="A149" s="1406" t="s">
        <v>269</v>
      </c>
      <c r="B149" s="1407"/>
      <c r="C149" s="1408"/>
      <c r="D149" s="599" t="s">
        <v>24</v>
      </c>
      <c r="E149" s="531"/>
      <c r="F149" s="531"/>
      <c r="G149" s="620">
        <f>G148/G7</f>
        <v>8.9947978367243137E-2</v>
      </c>
      <c r="H149" s="536">
        <f>G149+'20'!H149</f>
        <v>1.9541437875050662</v>
      </c>
      <c r="I149" s="622"/>
      <c r="J149" s="629">
        <f>H149/DAY(B2)</f>
        <v>9.3054466071669825E-2</v>
      </c>
      <c r="N149" s="413"/>
      <c r="O149" s="413"/>
    </row>
    <row r="150" spans="1:15" ht="27.75">
      <c r="A150" s="1406" t="s">
        <v>270</v>
      </c>
      <c r="B150" s="1407"/>
      <c r="C150" s="1408"/>
      <c r="D150" s="599" t="s">
        <v>194</v>
      </c>
      <c r="E150" s="531"/>
      <c r="F150" s="531"/>
      <c r="G150" s="536">
        <f>G36+G50</f>
        <v>1960.0600000000559</v>
      </c>
      <c r="H150" s="536">
        <f>G150+'20'!H150</f>
        <v>-17615.219999999972</v>
      </c>
      <c r="I150" s="622"/>
      <c r="J150" s="629">
        <f>H150/DAY(B2)</f>
        <v>-838.81999999999869</v>
      </c>
      <c r="N150" s="413"/>
      <c r="O150" s="413"/>
    </row>
    <row r="151" spans="1:15" ht="27.75">
      <c r="A151" s="1406" t="s">
        <v>271</v>
      </c>
      <c r="B151" s="1407"/>
      <c r="C151" s="1408"/>
      <c r="D151" s="599" t="s">
        <v>24</v>
      </c>
      <c r="E151" s="531"/>
      <c r="F151" s="531"/>
      <c r="G151" s="620">
        <f>G150/G7</f>
        <v>0.10095596188514323</v>
      </c>
      <c r="H151" s="536">
        <f>G151+'20'!H151</f>
        <v>2.0582073076851755</v>
      </c>
      <c r="I151" s="556"/>
      <c r="J151" s="629">
        <f>H151/DAY(B2)</f>
        <v>9.8009871794532161E-2</v>
      </c>
      <c r="N151" s="413"/>
      <c r="O151" s="413"/>
    </row>
    <row r="152" spans="1:15" ht="27.75">
      <c r="A152" s="1406" t="s">
        <v>272</v>
      </c>
      <c r="B152" s="1407"/>
      <c r="C152" s="1408"/>
      <c r="D152" s="599" t="s">
        <v>194</v>
      </c>
      <c r="E152" s="531"/>
      <c r="F152" s="531"/>
      <c r="G152" s="536">
        <f>G37+G51</f>
        <v>1457.3500000000058</v>
      </c>
      <c r="H152" s="536">
        <f>G152+'20'!H152</f>
        <v>400197.08999999997</v>
      </c>
      <c r="I152" s="556"/>
      <c r="J152" s="629">
        <f>H152/DAY(B2)</f>
        <v>19057.004285714283</v>
      </c>
      <c r="N152" s="413"/>
      <c r="O152" s="413"/>
    </row>
    <row r="153" spans="1:15" ht="28.5" thickBot="1">
      <c r="A153" s="1409" t="s">
        <v>273</v>
      </c>
      <c r="B153" s="1410"/>
      <c r="C153" s="1411"/>
      <c r="D153" s="702" t="s">
        <v>24</v>
      </c>
      <c r="E153" s="642"/>
      <c r="F153" s="642"/>
      <c r="G153" s="643">
        <f>G152/G7</f>
        <v>7.506309554468224E-2</v>
      </c>
      <c r="H153" s="536">
        <f>G153+'20'!H153</f>
        <v>0.92291731280380485</v>
      </c>
      <c r="I153" s="645"/>
      <c r="J153" s="646">
        <f>H153/DAY(B2)</f>
        <v>4.3948443466847849E-2</v>
      </c>
      <c r="N153" s="413"/>
      <c r="O153" s="413"/>
    </row>
    <row r="154" spans="1:15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  <c r="O154" s="413"/>
    </row>
    <row r="160" spans="1:15">
      <c r="A160" s="868" t="s">
        <v>274</v>
      </c>
      <c r="B160" s="869"/>
      <c r="C160" s="869"/>
      <c r="D160" s="587" t="s">
        <v>198</v>
      </c>
      <c r="E160" s="739">
        <f>'20'!F160</f>
        <v>27529.31</v>
      </c>
      <c r="F160" s="739">
        <v>27609.86</v>
      </c>
      <c r="G160" s="549">
        <f t="shared" ref="G160:G163" si="18">F160-E160</f>
        <v>80.549999999999272</v>
      </c>
      <c r="K160" s="407">
        <v>68.829999999999927</v>
      </c>
      <c r="L160" s="407">
        <f t="shared" ref="L160:L171" si="19">G160-K160</f>
        <v>11.719999999999345</v>
      </c>
    </row>
    <row r="161" spans="1:12" ht="21.75" customHeight="1">
      <c r="A161" s="868" t="s">
        <v>275</v>
      </c>
      <c r="B161" s="869"/>
      <c r="C161" s="869"/>
      <c r="D161" s="587" t="s">
        <v>198</v>
      </c>
      <c r="E161" s="739">
        <f>'20'!F161</f>
        <v>37656.910000000003</v>
      </c>
      <c r="F161" s="739">
        <v>38107.199999999997</v>
      </c>
      <c r="G161" s="549">
        <f t="shared" si="18"/>
        <v>450.2899999999936</v>
      </c>
      <c r="K161" s="407">
        <v>122.46000000000004</v>
      </c>
      <c r="L161" s="407">
        <f t="shared" si="19"/>
        <v>327.82999999999356</v>
      </c>
    </row>
    <row r="162" spans="1:12" ht="21.75" customHeight="1">
      <c r="A162" s="868" t="s">
        <v>276</v>
      </c>
      <c r="B162" s="869"/>
      <c r="C162" s="869"/>
      <c r="D162" s="587" t="s">
        <v>198</v>
      </c>
      <c r="E162" s="739">
        <f>'20'!F162</f>
        <v>10034.16</v>
      </c>
      <c r="F162" s="739">
        <v>10262.530000000001</v>
      </c>
      <c r="G162" s="549">
        <f t="shared" si="18"/>
        <v>228.3700000000008</v>
      </c>
      <c r="K162" s="407">
        <v>139.42000000000007</v>
      </c>
      <c r="L162" s="407">
        <f t="shared" si="19"/>
        <v>88.950000000000728</v>
      </c>
    </row>
    <row r="163" spans="1:12" ht="21.75" customHeight="1">
      <c r="A163" s="868" t="s">
        <v>277</v>
      </c>
      <c r="B163" s="869"/>
      <c r="C163" s="869"/>
      <c r="D163" s="587" t="s">
        <v>198</v>
      </c>
      <c r="E163" s="739">
        <f>'20'!F163</f>
        <v>4774.5600000000004</v>
      </c>
      <c r="F163" s="739">
        <v>4790.54</v>
      </c>
      <c r="G163" s="549">
        <f t="shared" si="18"/>
        <v>15.979999999999563</v>
      </c>
      <c r="K163" s="407">
        <v>49.659999999999968</v>
      </c>
      <c r="L163" s="407">
        <f t="shared" si="19"/>
        <v>-33.680000000000405</v>
      </c>
    </row>
    <row r="164" spans="1:12" ht="21.75" customHeight="1">
      <c r="A164" s="870" t="s">
        <v>106</v>
      </c>
      <c r="B164" s="681"/>
      <c r="C164" s="681"/>
      <c r="D164" s="587" t="s">
        <v>198</v>
      </c>
      <c r="E164" s="590">
        <f>E62</f>
        <v>20419.2</v>
      </c>
      <c r="F164" s="590">
        <f>F62</f>
        <v>20419.2</v>
      </c>
      <c r="G164" s="549">
        <f t="shared" ref="G164:G171" si="20">F164-E164</f>
        <v>0</v>
      </c>
      <c r="K164" s="407">
        <v>0</v>
      </c>
      <c r="L164" s="407">
        <f t="shared" si="19"/>
        <v>0</v>
      </c>
    </row>
    <row r="165" spans="1:12" ht="21.75" customHeight="1">
      <c r="A165" s="870" t="s">
        <v>199</v>
      </c>
      <c r="B165" s="681"/>
      <c r="C165" s="681"/>
      <c r="D165" s="587" t="s">
        <v>198</v>
      </c>
      <c r="E165" s="590">
        <f t="shared" ref="E165:E171" si="21">E63</f>
        <v>1219.9000000000001</v>
      </c>
      <c r="F165" s="590">
        <f t="shared" ref="F165:F171" si="22">F63</f>
        <v>1229.1400000000001</v>
      </c>
      <c r="G165" s="549">
        <f t="shared" si="20"/>
        <v>9.2400000000000091</v>
      </c>
      <c r="K165" s="407">
        <v>0</v>
      </c>
      <c r="L165" s="407">
        <f t="shared" si="19"/>
        <v>9.2400000000000091</v>
      </c>
    </row>
    <row r="166" spans="1:12" ht="21.75" customHeight="1">
      <c r="A166" s="1381" t="s">
        <v>107</v>
      </c>
      <c r="B166" s="1381"/>
      <c r="C166" s="1381"/>
      <c r="D166" s="599" t="s">
        <v>198</v>
      </c>
      <c r="E166" s="590">
        <f t="shared" si="21"/>
        <v>106597.67</v>
      </c>
      <c r="F166" s="590">
        <f t="shared" si="22"/>
        <v>107043.62</v>
      </c>
      <c r="G166" s="549">
        <f t="shared" si="20"/>
        <v>445.94999999999709</v>
      </c>
      <c r="K166" s="407">
        <v>201.76000000000204</v>
      </c>
      <c r="L166" s="407">
        <f t="shared" si="19"/>
        <v>244.18999999999505</v>
      </c>
    </row>
    <row r="167" spans="1:12" ht="21.75" customHeight="1">
      <c r="A167" s="1381" t="s">
        <v>108</v>
      </c>
      <c r="B167" s="1381"/>
      <c r="C167" s="1381"/>
      <c r="D167" s="599" t="s">
        <v>198</v>
      </c>
      <c r="E167" s="590">
        <f t="shared" si="21"/>
        <v>117260.84</v>
      </c>
      <c r="F167" s="590">
        <f t="shared" si="22"/>
        <v>117693.6</v>
      </c>
      <c r="G167" s="549">
        <f t="shared" si="20"/>
        <v>432.76000000000931</v>
      </c>
      <c r="K167" s="407">
        <v>191.63000000000466</v>
      </c>
      <c r="L167" s="407">
        <f t="shared" si="19"/>
        <v>241.13000000000466</v>
      </c>
    </row>
    <row r="168" spans="1:12" ht="21.75" customHeight="1">
      <c r="A168" s="1381" t="s">
        <v>109</v>
      </c>
      <c r="B168" s="1381"/>
      <c r="C168" s="1381"/>
      <c r="D168" s="599" t="s">
        <v>198</v>
      </c>
      <c r="E168" s="590">
        <f t="shared" si="21"/>
        <v>9761.91</v>
      </c>
      <c r="F168" s="590">
        <f t="shared" si="22"/>
        <v>10130.719999999999</v>
      </c>
      <c r="G168" s="549">
        <f t="shared" si="20"/>
        <v>368.80999999999949</v>
      </c>
      <c r="K168" s="407">
        <v>231.68000000000029</v>
      </c>
      <c r="L168" s="407">
        <f t="shared" si="19"/>
        <v>137.1299999999992</v>
      </c>
    </row>
    <row r="169" spans="1:12" ht="26.25" customHeight="1">
      <c r="A169" s="1381" t="s">
        <v>110</v>
      </c>
      <c r="B169" s="1381"/>
      <c r="C169" s="1381"/>
      <c r="D169" s="599" t="s">
        <v>198</v>
      </c>
      <c r="E169" s="590">
        <f t="shared" si="21"/>
        <v>181446.99</v>
      </c>
      <c r="F169" s="590">
        <f t="shared" si="22"/>
        <v>182084.35</v>
      </c>
      <c r="G169" s="549">
        <f t="shared" si="20"/>
        <v>637.36000000001513</v>
      </c>
      <c r="K169" s="407">
        <v>344.30000000000291</v>
      </c>
      <c r="L169" s="407">
        <f t="shared" si="19"/>
        <v>293.06000000001222</v>
      </c>
    </row>
    <row r="170" spans="1:12" ht="24" customHeight="1">
      <c r="A170" s="1381" t="s">
        <v>111</v>
      </c>
      <c r="B170" s="1381"/>
      <c r="C170" s="1381"/>
      <c r="D170" s="599" t="s">
        <v>198</v>
      </c>
      <c r="E170" s="590">
        <f t="shared" si="21"/>
        <v>59762.080000000002</v>
      </c>
      <c r="F170" s="590">
        <f t="shared" si="22"/>
        <v>60072.38</v>
      </c>
      <c r="G170" s="549">
        <f t="shared" si="20"/>
        <v>310.29999999999563</v>
      </c>
      <c r="K170" s="407">
        <v>140.90999999999985</v>
      </c>
      <c r="L170" s="407">
        <f t="shared" si="19"/>
        <v>169.38999999999578</v>
      </c>
    </row>
    <row r="171" spans="1:12" ht="27.75">
      <c r="A171" s="1381" t="s">
        <v>112</v>
      </c>
      <c r="B171" s="1381"/>
      <c r="C171" s="1381"/>
      <c r="D171" s="599" t="s">
        <v>198</v>
      </c>
      <c r="E171" s="590">
        <f t="shared" si="21"/>
        <v>52354.65</v>
      </c>
      <c r="F171" s="590">
        <f t="shared" si="22"/>
        <v>52646.38</v>
      </c>
      <c r="G171" s="549">
        <f t="shared" si="20"/>
        <v>291.72999999999593</v>
      </c>
      <c r="K171" s="407">
        <v>57.709999999999127</v>
      </c>
      <c r="L171" s="407">
        <f t="shared" si="19"/>
        <v>234.0199999999968</v>
      </c>
    </row>
    <row r="172" spans="1:12">
      <c r="G172" s="614">
        <f>SUM(G160:G171)</f>
        <v>3271.3400000000056</v>
      </c>
    </row>
    <row r="176" spans="1:12" ht="18.75" customHeight="1"/>
    <row r="177" spans="6:6" ht="21" customHeight="1">
      <c r="F177" s="614" t="s">
        <v>291</v>
      </c>
    </row>
    <row r="301" ht="21" customHeight="1"/>
    <row r="302" ht="21" customHeight="1"/>
    <row r="303" ht="21" customHeight="1"/>
    <row r="304" ht="21" customHeight="1"/>
    <row r="305" ht="21" customHeight="1"/>
    <row r="306" ht="21" customHeight="1"/>
    <row r="307" ht="21" customHeight="1"/>
    <row r="308" ht="21" customHeight="1"/>
    <row r="309" ht="21" customHeight="1"/>
    <row r="310" ht="21" customHeight="1"/>
    <row r="311" ht="21" customHeight="1"/>
    <row r="312" ht="21" customHeight="1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  <row r="422" ht="21" customHeight="1"/>
    <row r="423" ht="21" customHeight="1"/>
    <row r="424" ht="21" customHeight="1"/>
    <row r="425" ht="21" customHeight="1"/>
    <row r="426" ht="21" customHeight="1"/>
    <row r="427" ht="21" customHeight="1"/>
    <row r="428" ht="21" customHeight="1"/>
    <row r="429" ht="21" customHeight="1"/>
    <row r="430" ht="21" customHeight="1"/>
    <row r="431" ht="21" customHeight="1"/>
    <row r="432" ht="21" customHeight="1"/>
    <row r="433" ht="21" customHeight="1"/>
    <row r="434" ht="21" customHeight="1"/>
    <row r="435" ht="21" customHeight="1"/>
    <row r="436" ht="21" customHeight="1"/>
    <row r="437" ht="21" customHeight="1"/>
    <row r="438" ht="21" customHeight="1"/>
    <row r="439" ht="21" customHeight="1"/>
    <row r="440" ht="21" customHeight="1"/>
    <row r="441" ht="21" customHeight="1"/>
    <row r="442" ht="21" customHeight="1"/>
    <row r="443" ht="21" customHeight="1"/>
    <row r="444" ht="21" customHeight="1"/>
    <row r="445" ht="21" customHeight="1"/>
    <row r="446" ht="21" customHeight="1"/>
    <row r="447" ht="21" customHeight="1"/>
    <row r="448" ht="21" customHeight="1"/>
    <row r="449" ht="21" customHeight="1"/>
    <row r="450" ht="21" customHeight="1"/>
    <row r="451" ht="21" customHeight="1"/>
    <row r="452" ht="21" customHeight="1"/>
    <row r="453" ht="21" customHeight="1"/>
    <row r="454" ht="21" customHeight="1"/>
    <row r="455" ht="21" customHeight="1"/>
    <row r="456" ht="21" customHeight="1"/>
    <row r="457" ht="21" customHeight="1"/>
    <row r="458" ht="21" customHeight="1"/>
    <row r="459" ht="21" customHeight="1"/>
    <row r="460" ht="21" customHeight="1"/>
    <row r="461" ht="21" customHeight="1"/>
    <row r="462" ht="21" customHeight="1"/>
    <row r="463" ht="21" customHeight="1"/>
    <row r="464" ht="21" customHeight="1"/>
    <row r="465" ht="21" customHeight="1"/>
    <row r="466" ht="21" customHeight="1"/>
    <row r="467" ht="21" customHeight="1"/>
    <row r="468" ht="21" customHeight="1"/>
    <row r="469" ht="21" customHeight="1"/>
    <row r="470" ht="21" customHeight="1"/>
    <row r="471" ht="21" customHeight="1"/>
    <row r="472" ht="21" customHeight="1"/>
    <row r="473" ht="21" customHeight="1"/>
    <row r="474" ht="21" customHeight="1"/>
    <row r="475" ht="21" customHeight="1"/>
    <row r="476" ht="21" customHeight="1"/>
    <row r="477" ht="21" customHeight="1"/>
    <row r="478" ht="21" customHeight="1"/>
    <row r="479" ht="21" customHeight="1"/>
    <row r="480" ht="21" customHeight="1"/>
    <row r="481" ht="21" customHeight="1"/>
    <row r="482" ht="21" customHeight="1"/>
    <row r="483" ht="21" customHeight="1"/>
    <row r="484" ht="21" customHeight="1"/>
    <row r="485" ht="21" customHeight="1"/>
    <row r="486" ht="21" customHeight="1"/>
    <row r="487" ht="21" customHeight="1"/>
    <row r="488" ht="21" customHeight="1"/>
    <row r="489" ht="21" customHeight="1"/>
    <row r="490" ht="21" customHeight="1"/>
    <row r="491" ht="21" customHeight="1"/>
    <row r="492" ht="21" customHeight="1"/>
    <row r="493" ht="21" customHeight="1"/>
    <row r="494" ht="21" customHeight="1"/>
    <row r="495" ht="21" customHeight="1"/>
    <row r="496" ht="21" customHeight="1"/>
    <row r="497" ht="21" customHeight="1"/>
    <row r="498" ht="21" customHeight="1"/>
    <row r="499" ht="21" customHeight="1"/>
    <row r="500" ht="21" customHeight="1"/>
    <row r="501" ht="21" customHeight="1"/>
    <row r="502" ht="21" customHeight="1"/>
    <row r="503" ht="21" customHeight="1"/>
    <row r="504" ht="21" customHeight="1"/>
    <row r="505" ht="21" customHeight="1"/>
    <row r="506" ht="21" customHeight="1"/>
    <row r="507" ht="21" customHeight="1"/>
    <row r="508" ht="21" customHeight="1"/>
    <row r="509" ht="21" customHeight="1"/>
    <row r="510" ht="21" customHeight="1"/>
    <row r="511" ht="21" customHeight="1"/>
    <row r="512" ht="21" customHeight="1"/>
    <row r="513" ht="21" customHeight="1"/>
    <row r="514" ht="21" customHeight="1"/>
    <row r="515" ht="21" customHeight="1"/>
    <row r="516" ht="21" customHeight="1"/>
    <row r="517" ht="21" customHeight="1"/>
    <row r="518" ht="21" customHeight="1"/>
    <row r="519" ht="21" customHeight="1"/>
    <row r="520" ht="21" customHeight="1"/>
    <row r="521" ht="21" customHeight="1"/>
    <row r="522" ht="21" customHeight="1"/>
    <row r="523" ht="21" customHeight="1"/>
    <row r="524" ht="21" customHeight="1"/>
    <row r="525" ht="21" customHeight="1"/>
    <row r="526" ht="21" customHeight="1"/>
    <row r="527" ht="21" customHeight="1"/>
    <row r="528" ht="21" customHeight="1"/>
    <row r="529" ht="21" customHeight="1"/>
    <row r="530" ht="21" customHeight="1"/>
    <row r="531" ht="21" customHeight="1"/>
    <row r="532" ht="21" customHeight="1"/>
    <row r="533" ht="21" customHeight="1"/>
    <row r="534" ht="21" customHeight="1"/>
    <row r="535" ht="21" customHeight="1"/>
    <row r="536" ht="21" customHeight="1"/>
    <row r="537" ht="21" customHeight="1"/>
    <row r="538" ht="21" customHeight="1"/>
    <row r="539" ht="21" customHeight="1"/>
    <row r="540" ht="21" customHeight="1"/>
    <row r="541" ht="21" customHeight="1"/>
    <row r="542" ht="21" customHeight="1"/>
    <row r="543" ht="21" customHeight="1"/>
    <row r="544" ht="21" customHeight="1"/>
    <row r="545" ht="21" customHeight="1"/>
    <row r="546" ht="21" customHeight="1"/>
    <row r="547" ht="21" customHeight="1"/>
    <row r="548" ht="21" customHeight="1"/>
    <row r="549" ht="21" customHeight="1"/>
    <row r="550" ht="21" customHeight="1"/>
    <row r="551" ht="21" customHeight="1"/>
    <row r="552" ht="21" customHeight="1"/>
    <row r="553" ht="21" customHeight="1"/>
    <row r="554" ht="21" customHeight="1"/>
    <row r="555" ht="21" customHeight="1"/>
    <row r="556" ht="21" customHeight="1"/>
    <row r="557" ht="21" customHeight="1"/>
    <row r="558" ht="21" customHeight="1"/>
    <row r="559" ht="21" customHeight="1"/>
    <row r="560" ht="21" customHeight="1"/>
    <row r="561" ht="21" customHeight="1"/>
    <row r="562" ht="21" customHeight="1"/>
    <row r="563" ht="21" customHeight="1"/>
    <row r="564" ht="21" customHeight="1"/>
    <row r="565" ht="21" customHeight="1"/>
    <row r="566" ht="21" customHeight="1"/>
    <row r="567" ht="21" customHeight="1"/>
    <row r="568" ht="21" customHeight="1"/>
    <row r="569" ht="21" customHeight="1"/>
    <row r="570" ht="21" customHeight="1"/>
    <row r="571" ht="21" customHeight="1"/>
    <row r="572" ht="21" customHeight="1"/>
    <row r="573" ht="21" customHeight="1"/>
    <row r="574" ht="21" customHeight="1"/>
    <row r="575" ht="21" customHeight="1"/>
    <row r="576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  <row r="672" ht="21" customHeight="1"/>
    <row r="673" ht="21" customHeight="1"/>
    <row r="674" ht="21" customHeight="1"/>
    <row r="675" ht="21" customHeight="1"/>
    <row r="676" ht="21" customHeight="1"/>
    <row r="677" ht="21" customHeight="1"/>
    <row r="678" ht="21" customHeight="1"/>
    <row r="679" ht="21" customHeight="1"/>
    <row r="680" ht="21" customHeight="1"/>
    <row r="681" ht="21" customHeight="1"/>
    <row r="682" ht="21" customHeight="1"/>
    <row r="683" ht="21" customHeight="1"/>
    <row r="684" ht="21" customHeight="1"/>
    <row r="685" ht="21" customHeight="1"/>
    <row r="686" ht="21" customHeight="1"/>
    <row r="687" ht="21" customHeight="1"/>
    <row r="688" ht="21" customHeight="1"/>
    <row r="689" ht="21" customHeight="1"/>
    <row r="690" ht="21" customHeight="1"/>
    <row r="691" ht="21" customHeight="1"/>
    <row r="692" ht="21" customHeight="1"/>
    <row r="693" ht="21" customHeight="1"/>
    <row r="694" ht="21" customHeight="1"/>
    <row r="695" ht="21" customHeight="1"/>
    <row r="696" ht="21" customHeight="1"/>
    <row r="697" ht="21" customHeight="1"/>
    <row r="698" ht="21" customHeight="1"/>
    <row r="699" ht="21" customHeight="1"/>
    <row r="700" ht="21" customHeight="1"/>
    <row r="701" ht="21" customHeight="1"/>
    <row r="702" ht="21" customHeight="1"/>
    <row r="703" ht="21" customHeight="1"/>
    <row r="704" ht="21" customHeight="1"/>
    <row r="705" ht="21" customHeight="1"/>
    <row r="706" ht="21" customHeight="1"/>
    <row r="707" ht="21" customHeight="1"/>
    <row r="708" ht="21" customHeight="1"/>
    <row r="709" ht="21" customHeight="1"/>
    <row r="710" ht="21" customHeight="1"/>
    <row r="711" ht="21" customHeight="1"/>
    <row r="712" ht="21" customHeight="1"/>
    <row r="713" ht="21" customHeight="1"/>
    <row r="714" ht="21" customHeight="1"/>
    <row r="715" ht="21" customHeight="1"/>
    <row r="716" ht="21" customHeight="1"/>
    <row r="717" ht="21" customHeight="1"/>
    <row r="718" ht="21" customHeight="1"/>
    <row r="719" ht="21" customHeight="1"/>
    <row r="720" ht="21" customHeight="1"/>
    <row r="721" ht="21" customHeight="1"/>
    <row r="722" ht="21" customHeight="1"/>
    <row r="723" ht="21" customHeight="1"/>
    <row r="724" ht="21" customHeight="1"/>
    <row r="725" ht="21" customHeight="1"/>
    <row r="726" ht="21" customHeight="1"/>
    <row r="727" ht="21" customHeight="1"/>
    <row r="728" ht="21" customHeight="1"/>
    <row r="729" ht="21" customHeight="1"/>
    <row r="730" ht="21" customHeight="1"/>
    <row r="731" ht="21" customHeight="1"/>
    <row r="732" ht="21" customHeight="1"/>
    <row r="733" ht="21" customHeight="1"/>
    <row r="734" ht="21" customHeight="1"/>
    <row r="735" ht="21" customHeight="1"/>
    <row r="736" ht="21" customHeight="1"/>
    <row r="737" ht="21" customHeight="1"/>
    <row r="738" ht="21" customHeight="1"/>
    <row r="739" ht="21" customHeight="1"/>
    <row r="740" ht="21" customHeight="1"/>
    <row r="741" ht="21" customHeight="1"/>
    <row r="742" ht="21" customHeight="1"/>
    <row r="743" ht="21" customHeight="1"/>
    <row r="744" ht="21" customHeight="1"/>
    <row r="745" ht="21" customHeight="1"/>
    <row r="746" ht="21" customHeight="1"/>
    <row r="747" ht="21" customHeight="1"/>
    <row r="748" ht="21" customHeight="1"/>
    <row r="749" ht="21" customHeight="1"/>
    <row r="750" ht="21" customHeight="1"/>
    <row r="751" ht="21" customHeight="1"/>
    <row r="752" ht="21" customHeight="1"/>
    <row r="753" ht="21" customHeight="1"/>
    <row r="754" ht="21" customHeight="1"/>
    <row r="755" ht="21" customHeight="1"/>
    <row r="756" ht="21" customHeight="1"/>
    <row r="757" ht="21" customHeight="1"/>
    <row r="758" ht="21" customHeight="1"/>
    <row r="759" ht="21" customHeight="1"/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  <row r="989" ht="21" customHeight="1"/>
    <row r="990" ht="21" customHeight="1"/>
    <row r="991" ht="21" customHeight="1"/>
    <row r="992" ht="21" customHeight="1"/>
    <row r="993" ht="21" customHeight="1"/>
    <row r="994" ht="21" customHeight="1"/>
    <row r="995" ht="21" customHeight="1"/>
    <row r="996" ht="21" customHeight="1"/>
    <row r="997" ht="21" customHeight="1"/>
    <row r="998" ht="21" customHeight="1"/>
    <row r="999" ht="21" customHeight="1"/>
    <row r="1000" ht="21" customHeight="1"/>
    <row r="1001" ht="21" customHeight="1"/>
    <row r="1002" ht="21" customHeight="1"/>
    <row r="1003" ht="21" customHeight="1"/>
    <row r="1004" ht="21" customHeight="1"/>
    <row r="1005" ht="21" customHeight="1"/>
    <row r="1006" ht="21" customHeight="1"/>
    <row r="1007" ht="21" customHeight="1"/>
    <row r="1008" ht="21" customHeight="1"/>
    <row r="1009" ht="21" customHeight="1"/>
    <row r="1010" ht="21" customHeight="1"/>
    <row r="1011" ht="21" customHeight="1"/>
    <row r="1012" ht="21" customHeight="1"/>
    <row r="1013" ht="21" customHeight="1"/>
    <row r="1014" ht="21" customHeight="1"/>
    <row r="1015" ht="21" customHeight="1"/>
    <row r="1016" ht="21" customHeight="1"/>
    <row r="1017" ht="21" customHeight="1"/>
    <row r="1018" ht="21" customHeight="1"/>
    <row r="1019" ht="21" customHeight="1"/>
    <row r="1020" ht="21" customHeight="1"/>
    <row r="1021" ht="21" customHeight="1"/>
    <row r="1022" ht="21" customHeight="1"/>
    <row r="1023" ht="21" customHeight="1"/>
    <row r="1024" ht="21" customHeight="1"/>
    <row r="1025" ht="21" customHeight="1"/>
    <row r="1026" ht="21" customHeight="1"/>
    <row r="1027" ht="21" customHeight="1"/>
    <row r="1028" ht="21" customHeight="1"/>
    <row r="1029" ht="21" customHeight="1"/>
    <row r="1030" ht="21" customHeight="1"/>
    <row r="1031" ht="21" customHeight="1"/>
    <row r="1032" ht="21" customHeight="1"/>
    <row r="1033" ht="21" customHeight="1"/>
    <row r="1034" ht="21" customHeight="1"/>
    <row r="1035" ht="21" customHeight="1"/>
    <row r="1036" ht="21" customHeight="1"/>
    <row r="1037" ht="21" customHeight="1"/>
    <row r="1038" ht="21" customHeight="1"/>
    <row r="1039" ht="21" customHeight="1"/>
    <row r="1040" ht="21" customHeight="1"/>
    <row r="1041" ht="21" customHeight="1"/>
    <row r="1042" ht="21" customHeight="1"/>
    <row r="1043" ht="21" customHeight="1"/>
    <row r="1044" ht="21" customHeight="1"/>
    <row r="1045" ht="21" customHeight="1"/>
    <row r="1046" ht="21" customHeight="1"/>
    <row r="1047" ht="21" customHeight="1"/>
    <row r="1048" ht="21" customHeight="1"/>
    <row r="1049" ht="21" customHeight="1"/>
    <row r="1050" ht="21" customHeight="1"/>
    <row r="1051" ht="21" customHeight="1"/>
    <row r="1052" ht="21" customHeight="1"/>
    <row r="1053" ht="21" customHeight="1"/>
    <row r="1054" ht="21" customHeight="1"/>
    <row r="1055" ht="21" customHeight="1"/>
    <row r="1056" ht="21" customHeight="1"/>
    <row r="1057" ht="21" customHeight="1"/>
    <row r="1058" ht="21" customHeight="1"/>
    <row r="1059" ht="21" customHeight="1"/>
    <row r="1060" ht="21" customHeight="1"/>
    <row r="1061" ht="21" customHeight="1"/>
    <row r="1062" ht="21" customHeight="1"/>
    <row r="1063" ht="21" customHeight="1"/>
    <row r="1064" ht="21" customHeight="1"/>
    <row r="1065" ht="21" customHeight="1"/>
    <row r="1066" ht="21" customHeight="1"/>
    <row r="1067" ht="21" customHeight="1"/>
    <row r="1068" ht="21" customHeight="1"/>
    <row r="1069" ht="21" customHeight="1"/>
    <row r="1070" ht="21" customHeight="1"/>
    <row r="1071" ht="21" customHeight="1"/>
    <row r="1072" ht="21" customHeight="1"/>
    <row r="1073" ht="21" customHeight="1"/>
    <row r="1074" ht="21" customHeight="1"/>
    <row r="1075" ht="21" customHeight="1"/>
    <row r="1076" ht="21" customHeight="1"/>
    <row r="1077" ht="21" customHeight="1"/>
    <row r="1078" ht="21" customHeight="1"/>
    <row r="1079" ht="21" customHeight="1"/>
    <row r="1080" ht="21" customHeight="1"/>
    <row r="1081" ht="21" customHeight="1"/>
    <row r="1082" ht="21" customHeight="1"/>
    <row r="1083" ht="21" customHeight="1"/>
    <row r="1084" ht="21" customHeight="1"/>
    <row r="1085" ht="21" customHeight="1"/>
    <row r="1086" ht="21" customHeight="1"/>
    <row r="1087" ht="21" customHeight="1"/>
    <row r="1088" ht="21" customHeight="1"/>
    <row r="1089" ht="21" customHeight="1"/>
    <row r="1090" ht="21" customHeight="1"/>
    <row r="1091" ht="21" customHeight="1"/>
    <row r="1092" ht="21" customHeight="1"/>
    <row r="1093" ht="21" customHeight="1"/>
    <row r="1094" ht="21" customHeight="1"/>
    <row r="1095" ht="21" customHeight="1"/>
    <row r="1096" ht="21" customHeight="1"/>
    <row r="1097" ht="21" customHeight="1"/>
    <row r="1098" ht="21" customHeight="1"/>
    <row r="1099" ht="21" customHeight="1"/>
    <row r="1100" ht="21" customHeight="1"/>
    <row r="1101" ht="21" customHeight="1"/>
    <row r="1102" ht="21" customHeight="1"/>
    <row r="1103" ht="21" customHeight="1"/>
    <row r="1104" ht="21" customHeight="1"/>
    <row r="1105" ht="21" customHeight="1"/>
    <row r="1106" ht="21" customHeight="1"/>
    <row r="1107" ht="21" customHeight="1"/>
    <row r="1108" ht="21" customHeight="1"/>
    <row r="1109" ht="21" customHeight="1"/>
    <row r="1110" ht="21" customHeight="1"/>
    <row r="1111" ht="21" customHeight="1"/>
    <row r="1112" ht="21" customHeight="1"/>
    <row r="1113" ht="21" customHeight="1"/>
    <row r="1114" ht="21" customHeight="1"/>
    <row r="1115" ht="21" customHeight="1"/>
    <row r="1116" ht="21" customHeight="1"/>
    <row r="1117" ht="21" customHeight="1"/>
    <row r="1118" ht="21" customHeight="1"/>
    <row r="1119" ht="21" customHeight="1"/>
    <row r="1120" ht="21" customHeight="1"/>
    <row r="1121" ht="21" customHeight="1"/>
    <row r="1122" ht="21" customHeight="1"/>
    <row r="1123" ht="21" customHeight="1"/>
    <row r="1124" ht="21" customHeight="1"/>
    <row r="1125" ht="21" customHeight="1"/>
    <row r="1126" ht="21" customHeight="1"/>
    <row r="1127" ht="21" customHeight="1"/>
    <row r="1128" ht="21" customHeight="1"/>
    <row r="1129" ht="21" customHeight="1"/>
    <row r="1130" ht="21" customHeight="1"/>
    <row r="1131" ht="21" customHeight="1"/>
    <row r="1132" ht="21" customHeight="1"/>
    <row r="1133" ht="21" customHeight="1"/>
    <row r="1134" ht="21" customHeight="1"/>
    <row r="1135" ht="21" customHeight="1"/>
    <row r="1136" ht="21" customHeight="1"/>
    <row r="1137" ht="21" customHeight="1"/>
    <row r="1138" ht="21" customHeight="1"/>
    <row r="1139" ht="21" customHeight="1"/>
    <row r="1140" ht="21" customHeight="1"/>
    <row r="1141" ht="21" customHeight="1"/>
    <row r="1142" ht="21" customHeight="1"/>
    <row r="1143" ht="21" customHeight="1"/>
    <row r="1144" ht="21" customHeight="1"/>
    <row r="1145" ht="21" customHeight="1"/>
    <row r="1146" ht="21" customHeight="1"/>
    <row r="1147" ht="21" customHeight="1"/>
    <row r="1148" ht="21" customHeight="1"/>
    <row r="1149" ht="21" customHeight="1"/>
    <row r="1150" ht="21" customHeight="1"/>
    <row r="1151" ht="21" customHeight="1"/>
    <row r="1152" ht="21" customHeight="1"/>
    <row r="1153" ht="21" customHeight="1"/>
    <row r="1154" ht="21" customHeight="1"/>
    <row r="1155" ht="21" customHeight="1"/>
    <row r="1156" ht="21" customHeight="1"/>
    <row r="1157" ht="21" customHeight="1"/>
    <row r="1158" ht="21" customHeight="1"/>
    <row r="1159" ht="21" customHeight="1"/>
    <row r="1160" ht="21" customHeight="1"/>
    <row r="1161" ht="21" customHeight="1"/>
    <row r="1162" ht="21" customHeight="1"/>
    <row r="1163" ht="21" customHeight="1"/>
    <row r="1164" ht="21" customHeight="1"/>
    <row r="1165" ht="21" customHeight="1"/>
    <row r="1166" ht="21" customHeight="1"/>
    <row r="1167" ht="21" customHeight="1"/>
    <row r="1168" ht="21" customHeight="1"/>
    <row r="1169" ht="21" customHeight="1"/>
    <row r="1170" ht="21" customHeight="1"/>
    <row r="1171" ht="21" customHeight="1"/>
    <row r="1172" ht="21" customHeight="1"/>
    <row r="1173" ht="21" customHeight="1"/>
    <row r="1174" ht="21" customHeight="1"/>
    <row r="1175" ht="21" customHeight="1"/>
    <row r="1176" ht="21" customHeight="1"/>
    <row r="1177" ht="21" customHeight="1"/>
    <row r="1178" ht="21" customHeight="1"/>
    <row r="1179" ht="21" customHeight="1"/>
    <row r="1180" ht="21" customHeight="1"/>
    <row r="1181" ht="21" customHeight="1"/>
    <row r="1182" ht="21" customHeight="1"/>
    <row r="1183" ht="21" customHeight="1"/>
    <row r="1184" ht="21" customHeight="1"/>
    <row r="1185" ht="21" customHeight="1"/>
    <row r="1186" ht="21" customHeight="1"/>
    <row r="1187" ht="21" customHeight="1"/>
    <row r="1188" ht="21" customHeight="1"/>
    <row r="1189" ht="21" customHeight="1"/>
    <row r="1190" ht="21" customHeight="1"/>
    <row r="1191" ht="21" customHeight="1"/>
    <row r="1192" ht="21" customHeight="1"/>
    <row r="1193" ht="21" customHeight="1"/>
    <row r="1194" ht="21" customHeight="1"/>
    <row r="1195" ht="21" customHeight="1"/>
    <row r="1196" ht="21" customHeight="1"/>
    <row r="1197" ht="21" customHeight="1"/>
    <row r="1198" ht="21" customHeight="1"/>
    <row r="1199" ht="21" customHeight="1"/>
    <row r="1200" ht="21" customHeight="1"/>
    <row r="1201" ht="21" customHeight="1"/>
    <row r="1202" ht="21" customHeight="1"/>
    <row r="1203" ht="21" customHeight="1"/>
    <row r="1204" ht="21" customHeight="1"/>
    <row r="1205" ht="21" customHeight="1"/>
    <row r="1206" ht="21" customHeight="1"/>
    <row r="1207" ht="21" customHeight="1"/>
    <row r="1208" ht="21" customHeight="1"/>
    <row r="1209" ht="21" customHeight="1"/>
    <row r="1210" ht="21" customHeight="1"/>
    <row r="1211" ht="21" customHeight="1"/>
    <row r="1212" ht="21" customHeight="1"/>
    <row r="1213" ht="21" customHeight="1"/>
    <row r="1214" ht="21" customHeight="1"/>
    <row r="1215" ht="21" customHeight="1"/>
    <row r="1216" ht="21" customHeight="1"/>
    <row r="1217" ht="21" customHeight="1"/>
    <row r="1218" ht="21" customHeight="1"/>
    <row r="1219" ht="21" customHeight="1"/>
    <row r="1220" ht="21" customHeight="1"/>
    <row r="1221" ht="21" customHeight="1"/>
    <row r="1222" ht="21" customHeight="1"/>
    <row r="1223" ht="21" customHeight="1"/>
    <row r="1224" ht="21" customHeight="1"/>
    <row r="1225" ht="21" customHeight="1"/>
    <row r="1226" ht="21" customHeight="1"/>
    <row r="1227" ht="21" customHeight="1"/>
    <row r="1228" ht="21" customHeight="1"/>
    <row r="1229" ht="21" customHeight="1"/>
    <row r="1230" ht="21" customHeight="1"/>
    <row r="1231" ht="21" customHeight="1"/>
    <row r="1232" ht="21" customHeight="1"/>
    <row r="1233" ht="21" customHeight="1"/>
    <row r="1234" ht="21" customHeight="1"/>
    <row r="1235" ht="21" customHeight="1"/>
    <row r="1236" ht="21" customHeight="1"/>
    <row r="1237" ht="21" customHeight="1"/>
    <row r="1238" ht="21" customHeight="1"/>
    <row r="1239" ht="21" customHeight="1"/>
    <row r="1240" ht="21" customHeight="1"/>
    <row r="1241" ht="21" customHeight="1"/>
    <row r="1242" ht="21" customHeight="1"/>
    <row r="1243" ht="21" customHeight="1"/>
    <row r="1244" ht="21" customHeight="1"/>
    <row r="1245" ht="21" customHeight="1"/>
    <row r="1246" ht="21" customHeight="1"/>
    <row r="1247" ht="21" customHeight="1"/>
    <row r="1248" ht="21" customHeight="1"/>
    <row r="1249" ht="21" customHeight="1"/>
    <row r="1250" ht="21" customHeight="1"/>
    <row r="1251" ht="21" customHeight="1"/>
    <row r="1252" ht="21" customHeight="1"/>
    <row r="1253" ht="21" customHeight="1"/>
    <row r="1254" ht="21" customHeight="1"/>
    <row r="1255" ht="21" customHeight="1"/>
    <row r="1256" ht="21" customHeight="1"/>
    <row r="1257" ht="21" customHeight="1"/>
    <row r="1258" ht="21" customHeight="1"/>
    <row r="1259" ht="21" customHeight="1"/>
    <row r="1260" ht="21" customHeight="1"/>
    <row r="1261" ht="21" customHeight="1"/>
    <row r="1262" ht="21" customHeight="1"/>
    <row r="1263" ht="21" customHeight="1"/>
    <row r="1264" ht="21" customHeight="1"/>
    <row r="1265" ht="21" customHeight="1"/>
    <row r="1266" ht="21" customHeight="1"/>
    <row r="1267" ht="21" customHeight="1"/>
    <row r="1268" ht="21" customHeight="1"/>
    <row r="1269" ht="21" customHeight="1"/>
    <row r="1270" ht="21" customHeight="1"/>
    <row r="1271" ht="21" customHeight="1"/>
    <row r="1272" ht="21" customHeight="1"/>
    <row r="1273" ht="21" customHeight="1"/>
    <row r="1274" ht="21" customHeight="1"/>
    <row r="1275" ht="21" customHeight="1"/>
    <row r="1276" ht="21" customHeight="1"/>
    <row r="1277" ht="21" customHeight="1"/>
    <row r="1278" ht="21" customHeight="1"/>
    <row r="1279" ht="21" customHeight="1"/>
    <row r="1280" ht="21" customHeight="1"/>
    <row r="1281" ht="21" customHeight="1"/>
    <row r="1282" ht="21" customHeight="1"/>
    <row r="1283" ht="21" customHeight="1"/>
    <row r="1284" ht="21" customHeight="1"/>
    <row r="1285" ht="21" customHeight="1"/>
    <row r="1286" ht="21" customHeight="1"/>
    <row r="1287" ht="21" customHeight="1"/>
    <row r="1288" ht="21" customHeight="1"/>
    <row r="1289" ht="21" customHeight="1"/>
    <row r="1290" ht="21" customHeight="1"/>
    <row r="1291" ht="21" customHeight="1"/>
    <row r="1292" ht="21" customHeight="1"/>
    <row r="1293" ht="21" customHeight="1"/>
    <row r="1294" ht="21" customHeight="1"/>
    <row r="1295" ht="21" customHeight="1"/>
    <row r="1296" ht="21" customHeight="1"/>
    <row r="1297" ht="21" customHeight="1"/>
    <row r="1298" ht="21" customHeight="1"/>
    <row r="1299" ht="21" customHeight="1"/>
    <row r="1300" ht="21" customHeight="1"/>
    <row r="1301" ht="21" customHeight="1"/>
    <row r="1302" ht="21" customHeight="1"/>
    <row r="1303" ht="21" customHeight="1"/>
    <row r="1304" ht="21" customHeight="1"/>
    <row r="1305" ht="21" customHeight="1"/>
    <row r="1306" ht="21" customHeight="1"/>
    <row r="1307" ht="21" customHeight="1"/>
    <row r="1308" ht="21" customHeight="1"/>
    <row r="1309" ht="21" customHeight="1"/>
    <row r="1310" ht="21" customHeight="1"/>
    <row r="1311" ht="21" customHeight="1"/>
    <row r="1312" ht="21" customHeight="1"/>
    <row r="1313" ht="21" customHeight="1"/>
    <row r="1314" ht="21" customHeight="1"/>
    <row r="1315" ht="21" customHeight="1"/>
    <row r="1316" ht="21" customHeight="1"/>
    <row r="1317" ht="21" customHeight="1"/>
    <row r="1318" ht="21" customHeight="1"/>
    <row r="1319" ht="21" customHeight="1"/>
    <row r="1320" ht="21" customHeight="1"/>
    <row r="1321" ht="21" customHeight="1"/>
    <row r="1322" ht="21" customHeight="1"/>
    <row r="1323" ht="21" customHeight="1"/>
    <row r="1324" ht="21" customHeight="1"/>
    <row r="1325" ht="21" customHeight="1"/>
    <row r="1326" ht="21" customHeight="1"/>
    <row r="1327" ht="21" customHeight="1"/>
    <row r="1328" ht="21" customHeight="1"/>
    <row r="1329" ht="21" customHeight="1"/>
    <row r="1330" ht="21" customHeight="1"/>
    <row r="1331" ht="21" customHeight="1"/>
    <row r="1332" ht="21" customHeight="1"/>
    <row r="1333" ht="21" customHeight="1"/>
    <row r="1334" ht="21" customHeight="1"/>
    <row r="1335" ht="21" customHeight="1"/>
    <row r="1336" ht="21" customHeight="1"/>
    <row r="1337" ht="21" customHeight="1"/>
    <row r="1338" ht="21" customHeight="1"/>
    <row r="1339" ht="21" customHeight="1"/>
    <row r="1340" ht="21" customHeight="1"/>
    <row r="1341" ht="21" customHeight="1"/>
    <row r="1342" ht="21" customHeight="1"/>
    <row r="1343" ht="21" customHeight="1"/>
    <row r="1344" ht="21" customHeight="1"/>
    <row r="1345" ht="21" customHeight="1"/>
    <row r="1346" ht="21" customHeight="1"/>
    <row r="1347" ht="21" customHeight="1"/>
    <row r="1348" ht="21" customHeight="1"/>
    <row r="1349" ht="21" customHeight="1"/>
    <row r="1350" ht="21" customHeight="1"/>
    <row r="1351" ht="21" customHeight="1"/>
    <row r="1352" ht="21" customHeight="1"/>
    <row r="1353" ht="21" customHeight="1"/>
    <row r="1354" ht="21" customHeight="1"/>
    <row r="1355" ht="21" customHeight="1"/>
    <row r="1356" ht="21" customHeight="1"/>
    <row r="1357" ht="21" customHeight="1"/>
    <row r="1358" ht="21" customHeight="1"/>
    <row r="1359" ht="21" customHeight="1"/>
    <row r="1360" ht="21" customHeight="1"/>
    <row r="1361" ht="21" customHeight="1"/>
    <row r="1362" ht="21" customHeight="1"/>
    <row r="1363" ht="21" customHeight="1"/>
    <row r="1364" ht="21" customHeight="1"/>
    <row r="1365" ht="21" customHeight="1"/>
    <row r="1366" ht="21" customHeight="1"/>
    <row r="1367" ht="21" customHeight="1"/>
    <row r="1368" ht="21" customHeight="1"/>
    <row r="1369" ht="21" customHeight="1"/>
    <row r="1370" ht="21" customHeight="1"/>
    <row r="1371" ht="21" customHeight="1"/>
    <row r="1372" ht="21" customHeight="1"/>
    <row r="1373" ht="21" customHeight="1"/>
    <row r="1374" ht="21" customHeight="1"/>
    <row r="1375" ht="21" customHeight="1"/>
    <row r="1376" ht="21" customHeight="1"/>
    <row r="1377" ht="21" customHeight="1"/>
    <row r="1378" ht="21" customHeight="1"/>
    <row r="1379" ht="21" customHeight="1"/>
    <row r="1380" ht="21" customHeight="1"/>
    <row r="1381" ht="21" customHeight="1"/>
    <row r="1382" ht="21" customHeight="1"/>
    <row r="1383" ht="21" customHeight="1"/>
    <row r="1384" ht="21" customHeight="1"/>
    <row r="1385" ht="21" customHeight="1"/>
    <row r="1386" ht="21" customHeight="1"/>
    <row r="1387" ht="21" customHeight="1"/>
    <row r="1388" ht="21" customHeight="1"/>
    <row r="1389" ht="21" customHeight="1"/>
    <row r="1390" ht="21" customHeight="1"/>
    <row r="1391" ht="21" customHeight="1"/>
    <row r="1392" ht="21" customHeight="1"/>
    <row r="1393" ht="21" customHeight="1"/>
    <row r="1394" ht="21" customHeight="1"/>
    <row r="1395" ht="21" customHeight="1"/>
    <row r="1396" ht="21" customHeight="1"/>
    <row r="1397" ht="21" customHeight="1"/>
    <row r="1398" ht="21" customHeight="1"/>
    <row r="1399" ht="21" customHeight="1"/>
    <row r="1400" ht="21" customHeight="1"/>
    <row r="1401" ht="21" customHeight="1"/>
    <row r="1402" ht="21" customHeight="1"/>
    <row r="1403" ht="21" customHeight="1"/>
    <row r="1404" ht="21" customHeight="1"/>
    <row r="1405" ht="21" customHeight="1"/>
    <row r="1406" ht="21" customHeight="1"/>
    <row r="1407" ht="21" customHeight="1"/>
    <row r="1408" ht="21" customHeight="1"/>
    <row r="1409" ht="21" customHeight="1"/>
    <row r="1410" ht="21" customHeight="1"/>
    <row r="1411" ht="21" customHeight="1"/>
    <row r="1412" ht="21" customHeight="1"/>
    <row r="1413" ht="21" customHeight="1"/>
    <row r="1414" ht="21" customHeight="1"/>
    <row r="1415" ht="21" customHeight="1"/>
    <row r="1416" ht="21" customHeight="1"/>
    <row r="1417" ht="21" customHeight="1"/>
    <row r="1418" ht="21" customHeight="1"/>
    <row r="1419" ht="21" customHeight="1"/>
    <row r="1420" ht="21" customHeight="1"/>
    <row r="1421" ht="21" customHeight="1"/>
    <row r="1422" ht="21" customHeight="1"/>
    <row r="1423" ht="21" customHeight="1"/>
    <row r="1424" ht="21" customHeight="1"/>
    <row r="1425" ht="21" customHeight="1"/>
    <row r="1426" ht="21" customHeight="1"/>
    <row r="1427" ht="21" customHeight="1"/>
    <row r="1428" ht="21" customHeight="1"/>
    <row r="1429" ht="21" customHeight="1"/>
    <row r="1430" ht="21" customHeight="1"/>
    <row r="1431" ht="21" customHeight="1"/>
    <row r="1432" ht="21" customHeight="1"/>
    <row r="1433" ht="21" customHeight="1"/>
    <row r="1434" ht="21" customHeight="1"/>
    <row r="1435" ht="21" customHeight="1"/>
    <row r="1436" ht="21" customHeight="1"/>
    <row r="1437" ht="21" customHeight="1"/>
    <row r="1438" ht="21" customHeight="1"/>
    <row r="1439" ht="21" customHeight="1"/>
    <row r="1440" ht="21" customHeight="1"/>
    <row r="1441" ht="21" customHeight="1"/>
    <row r="1442" ht="21" customHeight="1"/>
    <row r="1443" ht="21" customHeight="1"/>
    <row r="1444" ht="21" customHeight="1"/>
    <row r="1445" ht="21" customHeight="1"/>
    <row r="1446" ht="21" customHeight="1"/>
    <row r="1447" ht="21" customHeight="1"/>
    <row r="1448" ht="21" customHeight="1"/>
    <row r="1449" ht="21" customHeight="1"/>
    <row r="1450" ht="21" customHeight="1"/>
    <row r="1451" ht="21" customHeight="1"/>
    <row r="1452" ht="21" customHeight="1"/>
    <row r="1453" ht="21" customHeight="1"/>
    <row r="1454" ht="21" customHeight="1"/>
    <row r="1455" ht="21" customHeight="1"/>
    <row r="1456" ht="21" customHeight="1"/>
    <row r="1457" ht="21" customHeight="1"/>
    <row r="1458" ht="21" customHeight="1"/>
    <row r="1459" ht="21" customHeight="1"/>
    <row r="1460" ht="21" customHeight="1"/>
    <row r="1461" ht="21" customHeight="1"/>
    <row r="1462" ht="21" customHeight="1"/>
    <row r="1463" ht="21" customHeight="1"/>
    <row r="1464" ht="21" customHeight="1"/>
    <row r="1465" ht="21" customHeight="1"/>
    <row r="1466" ht="21" customHeight="1"/>
    <row r="1467" ht="21" customHeight="1"/>
    <row r="1468" ht="21" customHeight="1"/>
    <row r="1469" ht="21" customHeight="1"/>
    <row r="1470" ht="21" customHeight="1"/>
    <row r="1471" ht="21" customHeight="1"/>
    <row r="1472" ht="21" customHeight="1"/>
    <row r="1473" ht="21" customHeight="1"/>
    <row r="1474" ht="21" customHeight="1"/>
    <row r="1475" ht="21" customHeight="1"/>
    <row r="1476" ht="21" customHeight="1"/>
    <row r="1477" ht="21" customHeight="1"/>
    <row r="1478" ht="21" customHeight="1"/>
    <row r="1479" ht="21" customHeight="1"/>
    <row r="1480" ht="21" customHeight="1"/>
    <row r="1481" ht="21" customHeight="1"/>
    <row r="1482" ht="21" customHeight="1"/>
    <row r="1483" ht="21" customHeight="1"/>
    <row r="1484" ht="21" customHeight="1"/>
    <row r="1485" ht="21" customHeight="1"/>
    <row r="1486" ht="21" customHeight="1"/>
    <row r="1487" ht="21" customHeight="1"/>
    <row r="1488" ht="21" customHeight="1"/>
    <row r="1489" ht="21" customHeight="1"/>
    <row r="1490" ht="21" customHeight="1"/>
    <row r="1491" ht="21" customHeight="1"/>
    <row r="1492" ht="21" customHeight="1"/>
    <row r="1493" ht="21" customHeight="1"/>
    <row r="1494" ht="21" customHeight="1"/>
    <row r="1495" ht="21" customHeight="1"/>
    <row r="1496" ht="21" customHeight="1"/>
    <row r="1497" ht="21" customHeight="1"/>
    <row r="1498" ht="21" customHeight="1"/>
    <row r="1499" ht="21" customHeight="1"/>
    <row r="1500" ht="21" customHeight="1"/>
    <row r="1501" ht="21" customHeight="1"/>
    <row r="1502" ht="21" customHeight="1"/>
    <row r="1503" ht="21" customHeight="1"/>
    <row r="1504" ht="21" customHeight="1"/>
    <row r="1505" ht="21" customHeight="1"/>
    <row r="1506" ht="21" customHeight="1"/>
    <row r="1507" ht="21" customHeight="1"/>
    <row r="1508" ht="21" customHeight="1"/>
    <row r="1509" ht="21" customHeight="1"/>
    <row r="1510" ht="21" customHeight="1"/>
    <row r="1511" ht="21" customHeight="1"/>
    <row r="1512" ht="21" customHeight="1"/>
    <row r="1513" ht="21" customHeight="1"/>
    <row r="1514" ht="21" customHeight="1"/>
    <row r="1515" ht="21" customHeight="1"/>
    <row r="1516" ht="21" customHeight="1"/>
    <row r="1517" ht="21" customHeight="1"/>
    <row r="1518" ht="21" customHeight="1"/>
    <row r="1519" ht="21" customHeight="1"/>
    <row r="1520" ht="21" customHeight="1"/>
    <row r="1521" ht="21" customHeight="1"/>
    <row r="1522" ht="21" customHeight="1"/>
    <row r="1523" ht="21" customHeight="1"/>
    <row r="1524" ht="21" customHeight="1"/>
    <row r="1525" ht="21" customHeight="1"/>
    <row r="1526" ht="21" customHeight="1"/>
    <row r="1527" ht="21" customHeight="1"/>
    <row r="1528" ht="21" customHeight="1"/>
    <row r="1529" ht="21" customHeight="1"/>
    <row r="1530" ht="21" customHeight="1"/>
    <row r="1531" ht="21" customHeight="1"/>
    <row r="1532" ht="21" customHeight="1"/>
    <row r="1533" ht="21" customHeight="1"/>
    <row r="1534" ht="21" customHeight="1"/>
    <row r="1535" ht="21" customHeight="1"/>
    <row r="1536" ht="21" customHeight="1"/>
    <row r="1537" ht="21" customHeight="1"/>
    <row r="1538" ht="21" customHeight="1"/>
    <row r="1539" ht="21" customHeight="1"/>
    <row r="1540" ht="21" customHeight="1"/>
    <row r="1541" ht="21" customHeight="1"/>
    <row r="1542" ht="21" customHeight="1"/>
    <row r="1543" ht="21" customHeight="1"/>
    <row r="1544" ht="21" customHeight="1"/>
    <row r="1545" ht="21" customHeight="1"/>
    <row r="1546" ht="21" customHeight="1"/>
    <row r="1547" ht="21" customHeight="1"/>
    <row r="1548" ht="21" customHeight="1"/>
    <row r="1549" ht="21" customHeight="1"/>
    <row r="1550" ht="21" customHeight="1"/>
    <row r="1551" ht="21" customHeight="1"/>
    <row r="1552" ht="21" customHeight="1"/>
    <row r="1553" ht="21" customHeight="1"/>
    <row r="1554" ht="21" customHeight="1"/>
    <row r="1555" ht="21" customHeight="1"/>
    <row r="1556" ht="21" customHeight="1"/>
    <row r="1557" ht="21" customHeight="1"/>
    <row r="1558" ht="21" customHeight="1"/>
    <row r="1559" ht="21" customHeight="1"/>
    <row r="1560" ht="21" customHeight="1"/>
    <row r="1561" ht="21" customHeight="1"/>
    <row r="1562" ht="21" customHeight="1"/>
    <row r="1563" ht="21" customHeight="1"/>
    <row r="1564" ht="21" customHeight="1"/>
    <row r="1565" ht="21" customHeight="1"/>
    <row r="1566" ht="21" customHeight="1"/>
    <row r="1567" ht="21" customHeight="1"/>
    <row r="1568" ht="21" customHeight="1"/>
    <row r="1569" ht="21" customHeight="1"/>
    <row r="1570" ht="21" customHeight="1"/>
    <row r="1571" ht="21" customHeight="1"/>
    <row r="1572" ht="21" customHeight="1"/>
    <row r="1573" ht="21" customHeight="1"/>
    <row r="1574" ht="21" customHeight="1"/>
    <row r="1575" ht="21" customHeight="1"/>
    <row r="1576" ht="21" customHeight="1"/>
    <row r="1577" ht="21" customHeight="1"/>
    <row r="1578" ht="21" customHeight="1"/>
    <row r="1579" ht="21" customHeight="1"/>
    <row r="1580" ht="21" customHeight="1"/>
    <row r="1581" ht="21" customHeight="1"/>
    <row r="1582" ht="21" customHeight="1"/>
    <row r="1583" ht="21" customHeight="1"/>
    <row r="1584" ht="21" customHeight="1"/>
    <row r="1585" ht="21" customHeight="1"/>
    <row r="1586" ht="21" customHeight="1"/>
    <row r="1587" ht="21" customHeight="1"/>
    <row r="1588" ht="21" customHeight="1"/>
    <row r="1589" ht="21" customHeight="1"/>
    <row r="1590" ht="21" customHeight="1"/>
    <row r="1591" ht="21" customHeight="1"/>
    <row r="1592" ht="21" customHeight="1"/>
    <row r="1593" ht="21" customHeight="1"/>
    <row r="1594" ht="21" customHeight="1"/>
    <row r="1595" ht="21" customHeight="1"/>
    <row r="1596" ht="21" customHeight="1"/>
    <row r="1597" ht="21" customHeight="1"/>
    <row r="1598" ht="21" customHeight="1"/>
    <row r="1599" ht="21" customHeight="1"/>
    <row r="1600" ht="21" customHeight="1"/>
    <row r="1601" ht="21" customHeight="1"/>
    <row r="1602" ht="21" customHeight="1"/>
    <row r="1603" ht="21" customHeight="1"/>
    <row r="1604" ht="21" customHeight="1"/>
    <row r="1605" ht="21" customHeight="1"/>
    <row r="1606" ht="21" customHeight="1"/>
    <row r="1607" ht="21" customHeight="1"/>
    <row r="1608" ht="21" customHeight="1"/>
    <row r="1609" ht="21" customHeight="1"/>
    <row r="1610" ht="21" customHeight="1"/>
    <row r="1611" ht="21" customHeight="1"/>
    <row r="1612" ht="21" customHeight="1"/>
    <row r="1613" ht="21" customHeight="1"/>
    <row r="1614" ht="21" customHeight="1"/>
    <row r="1615" ht="21" customHeight="1"/>
    <row r="1616" ht="21" customHeight="1"/>
    <row r="1617" ht="21" customHeight="1"/>
    <row r="1618" ht="21" customHeight="1"/>
    <row r="1619" ht="21" customHeight="1"/>
    <row r="1620" ht="21" customHeight="1"/>
    <row r="1621" ht="21" customHeight="1"/>
    <row r="1622" ht="21" customHeight="1"/>
    <row r="1623" ht="21" customHeight="1"/>
    <row r="1624" ht="21" customHeight="1"/>
    <row r="1625" ht="21" customHeight="1"/>
    <row r="1626" ht="21" customHeight="1"/>
    <row r="1627" ht="21" customHeight="1"/>
    <row r="1628" ht="21" customHeight="1"/>
    <row r="1629" ht="21" customHeight="1"/>
    <row r="1630" ht="21" customHeight="1"/>
    <row r="1631" ht="21" customHeight="1"/>
    <row r="1632" ht="21" customHeight="1"/>
    <row r="1633" ht="21" customHeight="1"/>
    <row r="1634" ht="21" customHeight="1"/>
    <row r="1635" ht="21" customHeight="1"/>
    <row r="1636" ht="21" customHeight="1"/>
    <row r="1637" ht="21" customHeight="1"/>
    <row r="1638" ht="21" customHeight="1"/>
    <row r="1639" ht="21" customHeight="1"/>
    <row r="1640" ht="21" customHeight="1"/>
    <row r="1641" ht="21" customHeight="1"/>
    <row r="1642" ht="21" customHeight="1"/>
    <row r="1643" ht="21" customHeight="1"/>
    <row r="1644" ht="21" customHeight="1"/>
    <row r="1645" ht="21" customHeight="1"/>
    <row r="1646" ht="21" customHeight="1"/>
    <row r="1647" ht="21" customHeight="1"/>
    <row r="1648" ht="21" customHeight="1"/>
    <row r="1649" ht="21" customHeight="1"/>
    <row r="1650" ht="21" customHeight="1"/>
    <row r="1651" ht="21" customHeight="1"/>
    <row r="1652" ht="21" customHeight="1"/>
    <row r="1653" ht="21" customHeight="1"/>
    <row r="1654" ht="21" customHeight="1"/>
    <row r="1655" ht="21" customHeight="1"/>
    <row r="1656" ht="21" customHeight="1"/>
    <row r="1657" ht="21" customHeight="1"/>
    <row r="1658" ht="21" customHeight="1"/>
    <row r="1659" ht="21" customHeight="1"/>
    <row r="1660" ht="21" customHeight="1"/>
    <row r="1661" ht="21" customHeight="1"/>
    <row r="1662" ht="21" customHeight="1"/>
    <row r="1663" ht="21" customHeight="1"/>
    <row r="1664" ht="21" customHeight="1"/>
    <row r="1665" ht="21" customHeight="1"/>
    <row r="1666" ht="21" customHeight="1"/>
    <row r="1667" ht="21" customHeight="1"/>
    <row r="1668" ht="21" customHeight="1"/>
    <row r="1669" ht="21" customHeight="1"/>
    <row r="1670" ht="21" customHeight="1"/>
    <row r="1671" ht="21" customHeight="1"/>
    <row r="1672" ht="21" customHeight="1"/>
    <row r="1673" ht="21" customHeight="1"/>
    <row r="1674" ht="21" customHeight="1"/>
    <row r="1675" ht="21" customHeight="1"/>
    <row r="1676" ht="21" customHeight="1"/>
    <row r="1677" ht="21" customHeight="1"/>
    <row r="1678" ht="21" customHeight="1"/>
    <row r="1679" ht="21" customHeight="1"/>
    <row r="1680" ht="21" customHeight="1"/>
    <row r="1681" ht="21" customHeight="1"/>
    <row r="1682" ht="21" customHeight="1"/>
    <row r="1683" ht="21" customHeight="1"/>
    <row r="1684" ht="21" customHeight="1"/>
    <row r="1685" ht="21" customHeight="1"/>
    <row r="1686" ht="21" customHeight="1"/>
    <row r="1687" ht="21" customHeight="1"/>
    <row r="1688" ht="21" customHeight="1"/>
    <row r="1689" ht="21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4:C94"/>
    <mergeCell ref="A95:C95"/>
    <mergeCell ref="A82:C82"/>
    <mergeCell ref="A83:C83"/>
    <mergeCell ref="A92:C92"/>
    <mergeCell ref="A93:C93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2"/>
  <sheetViews>
    <sheetView view="pageBreakPreview" zoomScale="70" zoomScaleNormal="71" zoomScaleSheetLayoutView="70" workbookViewId="0">
      <selection activeCell="F28" sqref="F28"/>
    </sheetView>
  </sheetViews>
  <sheetFormatPr defaultColWidth="22.33203125" defaultRowHeight="20.25"/>
  <cols>
    <col min="1" max="1" width="51.21875" style="1089" customWidth="1"/>
    <col min="2" max="2" width="24.88671875" style="1089" customWidth="1"/>
    <col min="3" max="3" width="15.88671875" style="1089" customWidth="1"/>
    <col min="4" max="4" width="13.6640625" style="1089" customWidth="1"/>
    <col min="5" max="5" width="27.77734375" style="1089" customWidth="1"/>
    <col min="6" max="6" width="23.33203125" style="1089" customWidth="1"/>
    <col min="7" max="7" width="15.5546875" style="1089" bestFit="1" customWidth="1"/>
    <col min="8" max="8" width="39.21875" style="1090" customWidth="1"/>
    <col min="9" max="9" width="11.21875" style="1089" bestFit="1" customWidth="1"/>
    <col min="10" max="10" width="24" style="1091" customWidth="1"/>
    <col min="11" max="11" width="43.21875" style="890" hidden="1" customWidth="1"/>
    <col min="12" max="13" width="0" style="890" hidden="1" customWidth="1"/>
    <col min="14" max="14" width="25.109375" style="1092" customWidth="1"/>
    <col min="15" max="15" width="9.33203125" style="890" customWidth="1"/>
    <col min="16" max="16384" width="22.33203125" style="890"/>
  </cols>
  <sheetData>
    <row r="1" spans="1:15" ht="22.5">
      <c r="A1" s="1551" t="s">
        <v>128</v>
      </c>
      <c r="B1" s="1552"/>
      <c r="C1" s="1552"/>
      <c r="D1" s="1552"/>
      <c r="E1" s="1552"/>
      <c r="F1" s="1552"/>
      <c r="G1" s="1552"/>
      <c r="H1" s="1552"/>
      <c r="I1" s="1552"/>
      <c r="J1" s="1553"/>
    </row>
    <row r="2" spans="1:15">
      <c r="A2" s="891" t="s">
        <v>331</v>
      </c>
      <c r="B2" s="1119">
        <v>44218</v>
      </c>
      <c r="C2" s="892" t="s">
        <v>69</v>
      </c>
      <c r="D2" s="893">
        <v>0.5</v>
      </c>
      <c r="E2" s="894"/>
      <c r="F2" s="894"/>
      <c r="G2" s="894" t="s">
        <v>129</v>
      </c>
      <c r="H2" s="894" t="s">
        <v>6</v>
      </c>
      <c r="I2" s="894" t="s">
        <v>8</v>
      </c>
      <c r="J2" s="895" t="s">
        <v>130</v>
      </c>
      <c r="N2" s="1092" t="s">
        <v>129</v>
      </c>
    </row>
    <row r="3" spans="1:15">
      <c r="A3" s="896"/>
      <c r="B3" s="897"/>
      <c r="C3" s="892" t="s">
        <v>131</v>
      </c>
      <c r="D3" s="898">
        <v>30</v>
      </c>
      <c r="E3" s="1560" t="s">
        <v>132</v>
      </c>
      <c r="F3" s="1561"/>
      <c r="G3" s="899">
        <f>'1'!G3</f>
        <v>0</v>
      </c>
      <c r="H3" s="900">
        <f>'1'!H3</f>
        <v>0</v>
      </c>
      <c r="I3" s="900">
        <f>'1'!I3</f>
        <v>0</v>
      </c>
      <c r="J3" s="901">
        <f>'1'!J3</f>
        <v>0</v>
      </c>
      <c r="K3" s="902"/>
      <c r="L3" s="903"/>
      <c r="N3" s="1092">
        <v>0</v>
      </c>
    </row>
    <row r="4" spans="1:15">
      <c r="A4" s="904"/>
      <c r="B4" s="905"/>
      <c r="C4" s="892" t="s">
        <v>133</v>
      </c>
      <c r="D4" s="893">
        <v>0.78</v>
      </c>
      <c r="E4" s="906"/>
      <c r="F4" s="906"/>
      <c r="G4" s="906"/>
      <c r="H4" s="906"/>
      <c r="I4" s="907"/>
      <c r="J4" s="901"/>
      <c r="K4" s="908"/>
      <c r="L4" s="903"/>
    </row>
    <row r="5" spans="1:15">
      <c r="A5" s="909" t="s">
        <v>134</v>
      </c>
      <c r="B5" s="910"/>
      <c r="C5" s="910"/>
      <c r="D5" s="910" t="s">
        <v>135</v>
      </c>
      <c r="E5" s="911" t="s">
        <v>136</v>
      </c>
      <c r="F5" s="911" t="s">
        <v>123</v>
      </c>
      <c r="G5" s="912" t="s">
        <v>137</v>
      </c>
      <c r="H5" s="913" t="s">
        <v>138</v>
      </c>
      <c r="I5" s="914" t="s">
        <v>139</v>
      </c>
      <c r="J5" s="915" t="s">
        <v>140</v>
      </c>
      <c r="K5" s="916"/>
      <c r="L5" s="903"/>
      <c r="N5" s="1092" t="s">
        <v>137</v>
      </c>
    </row>
    <row r="6" spans="1:15">
      <c r="A6" s="1554" t="s">
        <v>141</v>
      </c>
      <c r="B6" s="1555"/>
      <c r="C6" s="1556"/>
      <c r="D6" s="917"/>
      <c r="E6" s="917"/>
      <c r="F6" s="917"/>
      <c r="G6" s="917"/>
      <c r="H6" s="918"/>
      <c r="I6" s="918"/>
      <c r="J6" s="919"/>
      <c r="K6" s="920"/>
      <c r="L6" s="903"/>
    </row>
    <row r="7" spans="1:15" ht="21" thickBot="1">
      <c r="A7" s="921" t="s">
        <v>142</v>
      </c>
      <c r="B7" s="922"/>
      <c r="C7" s="922"/>
      <c r="D7" s="923" t="s">
        <v>143</v>
      </c>
      <c r="E7" s="924">
        <f>'21'!F7</f>
        <v>3697202</v>
      </c>
      <c r="F7" s="924">
        <v>3716712</v>
      </c>
      <c r="G7" s="925">
        <f>F7-E7</f>
        <v>19510</v>
      </c>
      <c r="H7" s="926">
        <f>G7+'21'!H7</f>
        <v>-171486</v>
      </c>
      <c r="I7" s="927">
        <f>'1'!I7</f>
        <v>12000</v>
      </c>
      <c r="J7" s="928">
        <f>H7/DAY(B2)</f>
        <v>-7794.818181818182</v>
      </c>
      <c r="K7" s="929"/>
      <c r="L7" s="903"/>
      <c r="N7" s="1092">
        <v>12493</v>
      </c>
      <c r="O7" s="930">
        <f>N7-G7</f>
        <v>-7017</v>
      </c>
    </row>
    <row r="8" spans="1:15" ht="21" thickBot="1">
      <c r="A8" s="931" t="s">
        <v>144</v>
      </c>
      <c r="B8" s="932"/>
      <c r="C8" s="933"/>
      <c r="D8" s="934" t="s">
        <v>25</v>
      </c>
      <c r="E8" s="924">
        <f>'21'!F8</f>
        <v>3720125</v>
      </c>
      <c r="F8" s="935">
        <v>3739801</v>
      </c>
      <c r="G8" s="936">
        <f>F8-E8</f>
        <v>19676</v>
      </c>
      <c r="H8" s="926">
        <f>G8+'21'!H8</f>
        <v>-173050</v>
      </c>
      <c r="I8" s="937">
        <f>'1'!I8</f>
        <v>12000</v>
      </c>
      <c r="J8" s="928">
        <f>H8/DAY(B2)</f>
        <v>-7865.909090909091</v>
      </c>
      <c r="K8" s="929"/>
      <c r="L8" s="938"/>
      <c r="M8" s="939"/>
      <c r="N8" s="1092">
        <v>12551</v>
      </c>
      <c r="O8" s="930">
        <f t="shared" ref="O8:O71" si="0">N8-G8</f>
        <v>-7125</v>
      </c>
    </row>
    <row r="9" spans="1:15">
      <c r="A9" s="940" t="s">
        <v>145</v>
      </c>
      <c r="B9" s="941"/>
      <c r="C9" s="941"/>
      <c r="D9" s="923" t="s">
        <v>143</v>
      </c>
      <c r="E9" s="924">
        <f>'21'!F9</f>
        <v>2469578.9</v>
      </c>
      <c r="F9" s="942">
        <v>2476558.7000000002</v>
      </c>
      <c r="G9" s="925">
        <f t="shared" ref="G9:G12" si="1">F9-E9</f>
        <v>6979.8000000002794</v>
      </c>
      <c r="H9" s="926">
        <f>G9+'21'!H9</f>
        <v>2513670.9500000002</v>
      </c>
      <c r="I9" s="943">
        <f>I8-J8</f>
        <v>19865.909090909092</v>
      </c>
      <c r="J9" s="928">
        <f>H9/DAY(B2)</f>
        <v>114257.77045454546</v>
      </c>
      <c r="K9" s="944"/>
      <c r="L9" s="903"/>
      <c r="N9" s="1092">
        <v>12017.049999999988</v>
      </c>
      <c r="O9" s="930">
        <f t="shared" si="0"/>
        <v>5037.249999999709</v>
      </c>
    </row>
    <row r="10" spans="1:15">
      <c r="A10" s="921" t="s">
        <v>146</v>
      </c>
      <c r="B10" s="922"/>
      <c r="C10" s="922"/>
      <c r="D10" s="923" t="s">
        <v>143</v>
      </c>
      <c r="E10" s="924">
        <f>'21'!F10</f>
        <v>1081910.5</v>
      </c>
      <c r="F10" s="942">
        <v>1093781.5</v>
      </c>
      <c r="G10" s="925">
        <f t="shared" si="1"/>
        <v>11871</v>
      </c>
      <c r="H10" s="926">
        <f>G10+'21'!H10</f>
        <v>-107092.89999999991</v>
      </c>
      <c r="I10" s="945"/>
      <c r="J10" s="928">
        <f>H10/DAY(B2)</f>
        <v>-4867.8590909090863</v>
      </c>
      <c r="K10" s="944"/>
      <c r="L10" s="903"/>
      <c r="N10" s="1092">
        <v>0</v>
      </c>
      <c r="O10" s="930">
        <f t="shared" si="0"/>
        <v>-11871</v>
      </c>
    </row>
    <row r="11" spans="1:15">
      <c r="A11" s="921" t="s">
        <v>147</v>
      </c>
      <c r="B11" s="922"/>
      <c r="C11" s="922"/>
      <c r="D11" s="923" t="s">
        <v>143</v>
      </c>
      <c r="E11" s="924">
        <f>'21'!F11</f>
        <v>35390</v>
      </c>
      <c r="F11" s="924">
        <v>35390</v>
      </c>
      <c r="G11" s="925">
        <f t="shared" si="1"/>
        <v>0</v>
      </c>
      <c r="H11" s="926">
        <f>G11+'21'!H11</f>
        <v>0</v>
      </c>
      <c r="I11" s="945"/>
      <c r="J11" s="928">
        <f>H11/DAY(B2)</f>
        <v>0</v>
      </c>
      <c r="K11" s="944"/>
      <c r="L11" s="903"/>
      <c r="N11" s="1092">
        <v>0</v>
      </c>
      <c r="O11" s="930">
        <f t="shared" si="0"/>
        <v>0</v>
      </c>
    </row>
    <row r="12" spans="1:15">
      <c r="A12" s="921" t="s">
        <v>148</v>
      </c>
      <c r="B12" s="922"/>
      <c r="C12" s="922"/>
      <c r="D12" s="923" t="s">
        <v>143</v>
      </c>
      <c r="E12" s="924">
        <f>'21'!F12</f>
        <v>37630</v>
      </c>
      <c r="F12" s="942">
        <v>37630</v>
      </c>
      <c r="G12" s="925">
        <f t="shared" si="1"/>
        <v>0</v>
      </c>
      <c r="H12" s="926">
        <f>G12+'21'!H12</f>
        <v>0</v>
      </c>
      <c r="I12" s="945"/>
      <c r="J12" s="928">
        <f>H12/DAY(B2)</f>
        <v>0</v>
      </c>
      <c r="K12" s="944"/>
      <c r="L12" s="903"/>
      <c r="N12" s="1092">
        <v>0</v>
      </c>
      <c r="O12" s="930">
        <f t="shared" si="0"/>
        <v>0</v>
      </c>
    </row>
    <row r="13" spans="1:15">
      <c r="A13" s="946" t="s">
        <v>149</v>
      </c>
      <c r="B13" s="947"/>
      <c r="C13" s="947"/>
      <c r="D13" s="923"/>
      <c r="E13" s="924"/>
      <c r="F13" s="924"/>
      <c r="G13" s="948">
        <f>G9+G10+G11+G12</f>
        <v>18850.800000000279</v>
      </c>
      <c r="H13" s="926">
        <f>G13+'21'!H13</f>
        <v>2388272.0500000003</v>
      </c>
      <c r="I13" s="949">
        <f>G7-G13</f>
        <v>659.1999999997206</v>
      </c>
      <c r="J13" s="928">
        <f>H13/DAY(B2)</f>
        <v>108557.82045454546</v>
      </c>
      <c r="K13" s="944"/>
      <c r="L13" s="903"/>
      <c r="N13" s="1092">
        <v>12017.049999999988</v>
      </c>
      <c r="O13" s="930">
        <f t="shared" si="0"/>
        <v>-6833.750000000291</v>
      </c>
    </row>
    <row r="14" spans="1:15">
      <c r="A14" s="1557" t="s">
        <v>150</v>
      </c>
      <c r="B14" s="1558"/>
      <c r="C14" s="1559"/>
      <c r="D14" s="918"/>
      <c r="E14" s="918"/>
      <c r="F14" s="918"/>
      <c r="G14" s="950"/>
      <c r="H14" s="918"/>
      <c r="I14" s="918"/>
      <c r="J14" s="919"/>
      <c r="K14" s="951"/>
      <c r="L14" s="903"/>
      <c r="O14" s="930">
        <f t="shared" si="0"/>
        <v>0</v>
      </c>
    </row>
    <row r="15" spans="1:15">
      <c r="A15" s="952" t="s">
        <v>151</v>
      </c>
      <c r="B15" s="953"/>
      <c r="C15" s="953"/>
      <c r="D15" s="923" t="s">
        <v>152</v>
      </c>
      <c r="E15" s="924">
        <f>'21'!F15</f>
        <v>1586422.94</v>
      </c>
      <c r="F15" s="954">
        <v>1587326.94</v>
      </c>
      <c r="G15" s="925">
        <f>(F15-E15)</f>
        <v>904</v>
      </c>
      <c r="H15" s="926">
        <f>G15+'21'!H15</f>
        <v>-7110.2099999999627</v>
      </c>
      <c r="I15" s="927">
        <v>800</v>
      </c>
      <c r="J15" s="928">
        <f>H15/DAY(B2)</f>
        <v>-323.19136363636193</v>
      </c>
      <c r="K15" s="944"/>
      <c r="L15" s="903"/>
      <c r="N15" s="1092">
        <v>499.20999999996275</v>
      </c>
      <c r="O15" s="930">
        <f t="shared" si="0"/>
        <v>-404.79000000003725</v>
      </c>
    </row>
    <row r="16" spans="1:15">
      <c r="A16" s="955"/>
      <c r="B16" s="956"/>
      <c r="C16" s="956"/>
      <c r="D16" s="957"/>
      <c r="E16" s="958"/>
      <c r="F16" s="958"/>
      <c r="G16" s="925"/>
      <c r="H16" s="959"/>
      <c r="I16" s="960">
        <f>I15-J15</f>
        <v>1123.191363636362</v>
      </c>
      <c r="J16" s="961"/>
      <c r="K16" s="944"/>
      <c r="L16" s="903"/>
      <c r="O16" s="930">
        <f t="shared" si="0"/>
        <v>0</v>
      </c>
    </row>
    <row r="17" spans="1:15">
      <c r="A17" s="1557" t="s">
        <v>153</v>
      </c>
      <c r="B17" s="1558"/>
      <c r="C17" s="1559"/>
      <c r="D17" s="918"/>
      <c r="E17" s="918"/>
      <c r="F17" s="918"/>
      <c r="G17" s="962"/>
      <c r="H17" s="918"/>
      <c r="I17" s="918"/>
      <c r="J17" s="919"/>
      <c r="K17" s="944"/>
      <c r="L17" s="903"/>
      <c r="O17" s="930">
        <f t="shared" si="0"/>
        <v>0</v>
      </c>
    </row>
    <row r="18" spans="1:15">
      <c r="A18" s="1522" t="s">
        <v>154</v>
      </c>
      <c r="B18" s="1523"/>
      <c r="C18" s="1524"/>
      <c r="D18" s="923" t="s">
        <v>155</v>
      </c>
      <c r="E18" s="924">
        <f>'21'!F18</f>
        <v>13</v>
      </c>
      <c r="F18" s="954">
        <v>12</v>
      </c>
      <c r="G18" s="948">
        <f>F18*10</f>
        <v>120</v>
      </c>
      <c r="H18" s="926">
        <f>G18+'21'!H18</f>
        <v>3510</v>
      </c>
      <c r="I18" s="927">
        <f>'1'!I18</f>
        <v>65</v>
      </c>
      <c r="J18" s="928">
        <f>H18/DAY(B2)</f>
        <v>159.54545454545453</v>
      </c>
      <c r="K18" s="944"/>
      <c r="L18" s="903"/>
      <c r="N18" s="1092">
        <v>20</v>
      </c>
      <c r="O18" s="930">
        <f t="shared" si="0"/>
        <v>-100</v>
      </c>
    </row>
    <row r="19" spans="1:15">
      <c r="A19" s="1522" t="s">
        <v>71</v>
      </c>
      <c r="B19" s="1523"/>
      <c r="C19" s="1524"/>
      <c r="D19" s="923" t="s">
        <v>155</v>
      </c>
      <c r="E19" s="924">
        <f>'21'!F19</f>
        <v>132533</v>
      </c>
      <c r="F19" s="954">
        <v>132590</v>
      </c>
      <c r="G19" s="925">
        <f t="shared" ref="G19" si="2">F19-E19</f>
        <v>57</v>
      </c>
      <c r="H19" s="926">
        <f>G19+'21'!H19</f>
        <v>-458</v>
      </c>
      <c r="I19" s="963"/>
      <c r="J19" s="928">
        <f>H19/DAY(B2)</f>
        <v>-20.818181818181817</v>
      </c>
      <c r="K19" s="944"/>
      <c r="L19" s="903"/>
      <c r="N19" s="1092">
        <v>53</v>
      </c>
      <c r="O19" s="930">
        <f t="shared" si="0"/>
        <v>-4</v>
      </c>
    </row>
    <row r="20" spans="1:15">
      <c r="A20" s="946" t="s">
        <v>156</v>
      </c>
      <c r="B20" s="947"/>
      <c r="C20" s="947"/>
      <c r="D20" s="964"/>
      <c r="E20" s="964"/>
      <c r="F20" s="964"/>
      <c r="G20" s="965">
        <f>G18+G19</f>
        <v>177</v>
      </c>
      <c r="H20" s="926">
        <f>G20+'21'!H20</f>
        <v>3052</v>
      </c>
      <c r="I20" s="966">
        <f>I18-J20</f>
        <v>-73.72727272727272</v>
      </c>
      <c r="J20" s="928">
        <f>H20/DAY(B2)</f>
        <v>138.72727272727272</v>
      </c>
      <c r="K20" s="944"/>
      <c r="L20" s="903"/>
      <c r="N20" s="1092">
        <v>73</v>
      </c>
      <c r="O20" s="930">
        <f t="shared" si="0"/>
        <v>-104</v>
      </c>
    </row>
    <row r="21" spans="1:15">
      <c r="A21" s="1557" t="s">
        <v>157</v>
      </c>
      <c r="B21" s="1558"/>
      <c r="C21" s="1559"/>
      <c r="D21" s="918"/>
      <c r="E21" s="918"/>
      <c r="F21" s="918"/>
      <c r="G21" s="950"/>
      <c r="H21" s="918"/>
      <c r="I21" s="918"/>
      <c r="J21" s="919"/>
      <c r="K21" s="944"/>
      <c r="L21" s="903"/>
      <c r="O21" s="930">
        <f t="shared" si="0"/>
        <v>0</v>
      </c>
    </row>
    <row r="22" spans="1:15">
      <c r="A22" s="952" t="s">
        <v>158</v>
      </c>
      <c r="B22" s="953"/>
      <c r="C22" s="953"/>
      <c r="D22" s="923" t="s">
        <v>159</v>
      </c>
      <c r="E22" s="954">
        <f>'21'!F22</f>
        <v>2250</v>
      </c>
      <c r="F22" s="954">
        <v>2250</v>
      </c>
      <c r="G22" s="948">
        <f>(F22-E22)</f>
        <v>0</v>
      </c>
      <c r="H22" s="926">
        <f>G22+'21'!H22</f>
        <v>0</v>
      </c>
      <c r="I22" s="945"/>
      <c r="J22" s="928">
        <f>H22/DAY(B2)</f>
        <v>0</v>
      </c>
      <c r="K22" s="944"/>
      <c r="L22" s="903"/>
      <c r="N22" s="1092">
        <v>0</v>
      </c>
      <c r="O22" s="930">
        <f t="shared" si="0"/>
        <v>0</v>
      </c>
    </row>
    <row r="23" spans="1:15">
      <c r="A23" s="952" t="s">
        <v>160</v>
      </c>
      <c r="B23" s="953"/>
      <c r="C23" s="953"/>
      <c r="D23" s="923" t="s">
        <v>159</v>
      </c>
      <c r="E23" s="954">
        <f>'21'!F23</f>
        <v>2000</v>
      </c>
      <c r="F23" s="954">
        <v>2000</v>
      </c>
      <c r="G23" s="948">
        <v>0</v>
      </c>
      <c r="H23" s="926">
        <f>G23+'21'!H23</f>
        <v>0</v>
      </c>
      <c r="I23" s="945"/>
      <c r="J23" s="928">
        <f>H23/DAY(B2)</f>
        <v>0</v>
      </c>
      <c r="K23" s="944"/>
      <c r="L23" s="903"/>
      <c r="N23" s="1092">
        <v>0</v>
      </c>
      <c r="O23" s="930">
        <f t="shared" si="0"/>
        <v>0</v>
      </c>
    </row>
    <row r="24" spans="1:15">
      <c r="A24" s="967" t="s">
        <v>161</v>
      </c>
      <c r="B24" s="968"/>
      <c r="C24" s="968"/>
      <c r="D24" s="910" t="s">
        <v>159</v>
      </c>
      <c r="E24" s="954">
        <f>'21'!F24</f>
        <v>4970</v>
      </c>
      <c r="F24" s="969">
        <v>4970</v>
      </c>
      <c r="G24" s="948">
        <v>0</v>
      </c>
      <c r="H24" s="926">
        <f>G24+'21'!H24</f>
        <v>0</v>
      </c>
      <c r="I24" s="945"/>
      <c r="J24" s="928">
        <f>H24/DAY(B2)</f>
        <v>0</v>
      </c>
      <c r="K24" s="944"/>
      <c r="L24" s="903"/>
      <c r="N24" s="1092">
        <v>0</v>
      </c>
      <c r="O24" s="930">
        <f t="shared" si="0"/>
        <v>0</v>
      </c>
    </row>
    <row r="25" spans="1:15" s="975" customFormat="1">
      <c r="A25" s="1554" t="s">
        <v>162</v>
      </c>
      <c r="B25" s="1555"/>
      <c r="C25" s="1556"/>
      <c r="D25" s="917"/>
      <c r="E25" s="917"/>
      <c r="F25" s="917"/>
      <c r="G25" s="970"/>
      <c r="H25" s="971"/>
      <c r="I25" s="972"/>
      <c r="J25" s="973"/>
      <c r="K25" s="944"/>
      <c r="L25" s="974"/>
      <c r="N25" s="1093"/>
      <c r="O25" s="930">
        <f t="shared" si="0"/>
        <v>0</v>
      </c>
    </row>
    <row r="26" spans="1:15" s="975" customFormat="1">
      <c r="A26" s="976" t="s">
        <v>163</v>
      </c>
      <c r="B26" s="977"/>
      <c r="C26" s="978"/>
      <c r="D26" s="979" t="s">
        <v>164</v>
      </c>
      <c r="E26" s="980"/>
      <c r="F26" s="980"/>
      <c r="G26" s="981"/>
      <c r="H26" s="926"/>
      <c r="I26" s="982"/>
      <c r="J26" s="928"/>
      <c r="K26" s="951"/>
      <c r="L26" s="974"/>
      <c r="N26" s="1093"/>
      <c r="O26" s="930">
        <f t="shared" si="0"/>
        <v>0</v>
      </c>
    </row>
    <row r="27" spans="1:15" s="975" customFormat="1" ht="22.5">
      <c r="A27" s="976" t="s">
        <v>6</v>
      </c>
      <c r="B27" s="977"/>
      <c r="C27" s="978"/>
      <c r="D27" s="983" t="s">
        <v>25</v>
      </c>
      <c r="E27" s="984">
        <f>G8</f>
        <v>19676</v>
      </c>
      <c r="F27" s="577">
        <v>9</v>
      </c>
      <c r="G27" s="986">
        <f>E27*F27</f>
        <v>177084</v>
      </c>
      <c r="H27" s="926">
        <f>G27+'21'!H27</f>
        <v>-1557450</v>
      </c>
      <c r="I27" s="987"/>
      <c r="J27" s="928">
        <f>H27/DAY(B2)</f>
        <v>-70793.181818181823</v>
      </c>
      <c r="K27" s="944"/>
      <c r="L27" s="974"/>
      <c r="N27" s="1093">
        <v>125510</v>
      </c>
      <c r="O27" s="930">
        <f t="shared" si="0"/>
        <v>-51574</v>
      </c>
    </row>
    <row r="28" spans="1:15" s="975" customFormat="1" ht="22.5">
      <c r="A28" s="976" t="s">
        <v>165</v>
      </c>
      <c r="B28" s="977"/>
      <c r="C28" s="978"/>
      <c r="D28" s="983" t="s">
        <v>166</v>
      </c>
      <c r="E28" s="984">
        <f>G15</f>
        <v>904</v>
      </c>
      <c r="F28" s="577">
        <v>43.5</v>
      </c>
      <c r="G28" s="986">
        <f>E28*F28</f>
        <v>39324</v>
      </c>
      <c r="H28" s="926">
        <f>G28+'21'!H28</f>
        <v>-309294.13499999838</v>
      </c>
      <c r="I28" s="988"/>
      <c r="J28" s="928">
        <f>H28/DAY(B2)</f>
        <v>-14058.824318181745</v>
      </c>
      <c r="K28" s="944"/>
      <c r="L28" s="974"/>
      <c r="N28" s="1093">
        <v>17472.349999998696</v>
      </c>
      <c r="O28" s="930">
        <f t="shared" si="0"/>
        <v>-21851.650000001304</v>
      </c>
    </row>
    <row r="29" spans="1:15" s="975" customFormat="1">
      <c r="A29" s="976" t="s">
        <v>167</v>
      </c>
      <c r="B29" s="977"/>
      <c r="C29" s="978"/>
      <c r="D29" s="983" t="s">
        <v>168</v>
      </c>
      <c r="E29" s="984">
        <f>G24</f>
        <v>0</v>
      </c>
      <c r="F29" s="985">
        <v>69</v>
      </c>
      <c r="G29" s="986">
        <f>E29*F29</f>
        <v>0</v>
      </c>
      <c r="H29" s="926">
        <f>G29+'21'!H29</f>
        <v>162150</v>
      </c>
      <c r="I29" s="988"/>
      <c r="J29" s="928">
        <f>H29/DAY(B2)</f>
        <v>7370.454545454545</v>
      </c>
      <c r="K29" s="944"/>
      <c r="L29" s="974"/>
      <c r="N29" s="1093">
        <v>0</v>
      </c>
      <c r="O29" s="930">
        <f t="shared" si="0"/>
        <v>0</v>
      </c>
    </row>
    <row r="30" spans="1:15" s="975" customFormat="1">
      <c r="A30" s="976" t="s">
        <v>169</v>
      </c>
      <c r="B30" s="977"/>
      <c r="C30" s="978"/>
      <c r="D30" s="983" t="s">
        <v>170</v>
      </c>
      <c r="E30" s="984">
        <f>G19</f>
        <v>57</v>
      </c>
      <c r="F30" s="985">
        <v>134</v>
      </c>
      <c r="G30" s="986">
        <f>E30*F30</f>
        <v>7638</v>
      </c>
      <c r="H30" s="926">
        <f>G30+'21'!H30</f>
        <v>-61372</v>
      </c>
      <c r="I30" s="988"/>
      <c r="J30" s="928">
        <f>H30/DAY(B2)</f>
        <v>-2789.6363636363635</v>
      </c>
      <c r="K30" s="944"/>
      <c r="L30" s="974"/>
      <c r="N30" s="1093">
        <v>7102</v>
      </c>
      <c r="O30" s="930">
        <f t="shared" si="0"/>
        <v>-536</v>
      </c>
    </row>
    <row r="31" spans="1:15" s="975" customFormat="1">
      <c r="A31" s="976" t="s">
        <v>171</v>
      </c>
      <c r="B31" s="977"/>
      <c r="C31" s="978"/>
      <c r="D31" s="983" t="s">
        <v>155</v>
      </c>
      <c r="E31" s="984">
        <f>G18</f>
        <v>120</v>
      </c>
      <c r="F31" s="985">
        <v>80</v>
      </c>
      <c r="G31" s="986">
        <f>E31*F31</f>
        <v>9600</v>
      </c>
      <c r="H31" s="926">
        <f>G31+'21'!H31</f>
        <v>280800</v>
      </c>
      <c r="I31" s="988"/>
      <c r="J31" s="928"/>
      <c r="K31" s="944"/>
      <c r="L31" s="974"/>
      <c r="N31" s="1093">
        <v>1600</v>
      </c>
      <c r="O31" s="930">
        <f t="shared" si="0"/>
        <v>-8000</v>
      </c>
    </row>
    <row r="32" spans="1:15" s="975" customFormat="1">
      <c r="A32" s="989" t="s">
        <v>172</v>
      </c>
      <c r="B32" s="990"/>
      <c r="C32" s="991"/>
      <c r="D32" s="992"/>
      <c r="E32" s="992"/>
      <c r="F32" s="992"/>
      <c r="G32" s="993">
        <f>G27+G28+G29+G30+G31</f>
        <v>233646</v>
      </c>
      <c r="H32" s="926">
        <f>G32+'21'!H32</f>
        <v>-1485166.1349999981</v>
      </c>
      <c r="I32" s="994"/>
      <c r="J32" s="928">
        <f>H32/DAY(B2)</f>
        <v>-67507.551590909003</v>
      </c>
      <c r="K32" s="944"/>
      <c r="L32" s="974"/>
      <c r="N32" s="1093">
        <v>151684.3499999987</v>
      </c>
      <c r="O32" s="930">
        <f t="shared" si="0"/>
        <v>-81961.650000001304</v>
      </c>
    </row>
    <row r="33" spans="1:15" ht="18.75">
      <c r="A33" s="1562" t="s">
        <v>173</v>
      </c>
      <c r="B33" s="1563"/>
      <c r="C33" s="1563"/>
      <c r="D33" s="1563"/>
      <c r="E33" s="1563"/>
      <c r="F33" s="1563"/>
      <c r="G33" s="1563"/>
      <c r="H33" s="1563"/>
      <c r="I33" s="1563"/>
      <c r="J33" s="1564"/>
      <c r="K33" s="944"/>
      <c r="L33" s="903"/>
      <c r="O33" s="930">
        <f t="shared" si="0"/>
        <v>0</v>
      </c>
    </row>
    <row r="34" spans="1:15">
      <c r="A34" s="995" t="s">
        <v>174</v>
      </c>
      <c r="B34" s="996"/>
      <c r="C34" s="996"/>
      <c r="D34" s="918"/>
      <c r="E34" s="917"/>
      <c r="F34" s="917"/>
      <c r="G34" s="918"/>
      <c r="H34" s="918"/>
      <c r="I34" s="918"/>
      <c r="J34" s="919"/>
      <c r="K34" s="944"/>
      <c r="L34" s="903"/>
      <c r="O34" s="930">
        <f t="shared" si="0"/>
        <v>0</v>
      </c>
    </row>
    <row r="35" spans="1:15">
      <c r="A35" s="921" t="s">
        <v>175</v>
      </c>
      <c r="B35" s="922"/>
      <c r="C35" s="922"/>
      <c r="D35" s="923" t="s">
        <v>143</v>
      </c>
      <c r="E35" s="924">
        <f>'21'!F35</f>
        <v>629027.67000000004</v>
      </c>
      <c r="F35" s="997">
        <v>629027.67000000004</v>
      </c>
      <c r="G35" s="925">
        <f t="shared" ref="G35:G46" si="3">F35-E35</f>
        <v>0</v>
      </c>
      <c r="H35" s="926">
        <f>G35+'21'!H35</f>
        <v>0</v>
      </c>
      <c r="I35" s="924"/>
      <c r="J35" s="928">
        <f>H35/DAY(B2)</f>
        <v>0</v>
      </c>
      <c r="K35" s="944"/>
      <c r="L35" s="903"/>
      <c r="N35" s="1092">
        <v>1529.8400000000256</v>
      </c>
      <c r="O35" s="930">
        <f t="shared" si="0"/>
        <v>1529.8400000000256</v>
      </c>
    </row>
    <row r="36" spans="1:15">
      <c r="A36" s="921" t="s">
        <v>176</v>
      </c>
      <c r="B36" s="922"/>
      <c r="C36" s="922"/>
      <c r="D36" s="923" t="s">
        <v>143</v>
      </c>
      <c r="E36" s="924">
        <f>'21'!F36</f>
        <v>269668.03000000003</v>
      </c>
      <c r="F36" s="997">
        <v>270339.78999999998</v>
      </c>
      <c r="G36" s="925">
        <f t="shared" si="3"/>
        <v>671.75999999995111</v>
      </c>
      <c r="H36" s="926">
        <f>G36+'21'!H36</f>
        <v>-6151.6600000000326</v>
      </c>
      <c r="I36" s="924"/>
      <c r="J36" s="928">
        <f>H36/DAY(B2)</f>
        <v>-279.62090909091057</v>
      </c>
      <c r="K36" s="944"/>
      <c r="L36" s="903"/>
      <c r="N36" s="1092">
        <v>466.20999999999185</v>
      </c>
      <c r="O36" s="930">
        <f t="shared" si="0"/>
        <v>-205.54999999995925</v>
      </c>
    </row>
    <row r="37" spans="1:15">
      <c r="A37" s="921" t="s">
        <v>177</v>
      </c>
      <c r="B37" s="922"/>
      <c r="C37" s="922"/>
      <c r="D37" s="923" t="s">
        <v>143</v>
      </c>
      <c r="E37" s="924">
        <f>'21'!F37</f>
        <v>415066</v>
      </c>
      <c r="F37" s="997">
        <v>415066</v>
      </c>
      <c r="G37" s="925">
        <f t="shared" si="3"/>
        <v>0</v>
      </c>
      <c r="H37" s="926">
        <f>G37+'21'!H37</f>
        <v>415066</v>
      </c>
      <c r="I37" s="924"/>
      <c r="J37" s="928">
        <f>H37/DAY(B2)</f>
        <v>18866.636363636364</v>
      </c>
      <c r="K37" s="944"/>
      <c r="L37" s="903"/>
      <c r="N37" s="1092">
        <v>1215.359999999986</v>
      </c>
      <c r="O37" s="930">
        <f t="shared" si="0"/>
        <v>1215.359999999986</v>
      </c>
    </row>
    <row r="38" spans="1:15">
      <c r="A38" s="921" t="s">
        <v>178</v>
      </c>
      <c r="B38" s="922"/>
      <c r="C38" s="922"/>
      <c r="D38" s="923" t="s">
        <v>143</v>
      </c>
      <c r="E38" s="924">
        <f>'21'!F38</f>
        <v>150714.38</v>
      </c>
      <c r="F38" s="913">
        <v>150714.38</v>
      </c>
      <c r="G38" s="925">
        <f t="shared" si="3"/>
        <v>0</v>
      </c>
      <c r="H38" s="926">
        <f>G38+'21'!H38</f>
        <v>150616.5</v>
      </c>
      <c r="I38" s="924"/>
      <c r="J38" s="928">
        <f>H38/DAY(B2)</f>
        <v>6846.204545454545</v>
      </c>
      <c r="K38" s="944"/>
      <c r="L38" s="903"/>
      <c r="N38" s="1092">
        <v>0</v>
      </c>
      <c r="O38" s="930">
        <f t="shared" si="0"/>
        <v>0</v>
      </c>
    </row>
    <row r="39" spans="1:15">
      <c r="A39" s="921" t="s">
        <v>179</v>
      </c>
      <c r="B39" s="922"/>
      <c r="C39" s="922"/>
      <c r="D39" s="923" t="s">
        <v>143</v>
      </c>
      <c r="E39" s="924">
        <f>'21'!F39</f>
        <v>912480</v>
      </c>
      <c r="F39" s="997">
        <v>912480</v>
      </c>
      <c r="G39" s="925">
        <f t="shared" si="3"/>
        <v>0</v>
      </c>
      <c r="H39" s="926">
        <f>G39+'21'!H39</f>
        <v>912480</v>
      </c>
      <c r="I39" s="924"/>
      <c r="J39" s="928">
        <f>H39/DAY(B2)</f>
        <v>41476.36363636364</v>
      </c>
      <c r="K39" s="944"/>
      <c r="L39" s="903"/>
      <c r="N39" s="1092">
        <v>2046.7600000000093</v>
      </c>
      <c r="O39" s="930">
        <f t="shared" si="0"/>
        <v>2046.7600000000093</v>
      </c>
    </row>
    <row r="40" spans="1:15">
      <c r="A40" s="998" t="s">
        <v>180</v>
      </c>
      <c r="B40" s="999"/>
      <c r="C40" s="999"/>
      <c r="D40" s="923" t="s">
        <v>143</v>
      </c>
      <c r="E40" s="924">
        <f>'21'!F40</f>
        <v>0</v>
      </c>
      <c r="F40" s="997">
        <v>0</v>
      </c>
      <c r="G40" s="925">
        <f t="shared" si="3"/>
        <v>0</v>
      </c>
      <c r="H40" s="926">
        <f>G40+'21'!H40</f>
        <v>-0.06</v>
      </c>
      <c r="I40" s="924"/>
      <c r="J40" s="928">
        <f>H40/DAY(B2)</f>
        <v>-2.7272727272727271E-3</v>
      </c>
      <c r="K40" s="951"/>
      <c r="L40" s="903"/>
      <c r="N40" s="1092">
        <v>0</v>
      </c>
      <c r="O40" s="930">
        <f t="shared" si="0"/>
        <v>0</v>
      </c>
    </row>
    <row r="41" spans="1:15">
      <c r="A41" s="921" t="s">
        <v>181</v>
      </c>
      <c r="B41" s="922"/>
      <c r="C41" s="922"/>
      <c r="D41" s="923" t="s">
        <v>143</v>
      </c>
      <c r="E41" s="924">
        <f>'21'!F41</f>
        <v>6244.17</v>
      </c>
      <c r="F41" s="997">
        <v>10456.540000000001</v>
      </c>
      <c r="G41" s="925">
        <f t="shared" si="3"/>
        <v>4212.3700000000008</v>
      </c>
      <c r="H41" s="926">
        <f>G41+'21'!H41</f>
        <v>29716.020000000004</v>
      </c>
      <c r="I41" s="924"/>
      <c r="J41" s="928">
        <f>H41/DAY(B2)</f>
        <v>1350.7281818181821</v>
      </c>
      <c r="K41" s="944"/>
      <c r="L41" s="903"/>
      <c r="N41" s="1092">
        <v>0.95000000001164153</v>
      </c>
      <c r="O41" s="930">
        <f t="shared" si="0"/>
        <v>-4211.4199999999892</v>
      </c>
    </row>
    <row r="42" spans="1:15">
      <c r="A42" s="921" t="s">
        <v>182</v>
      </c>
      <c r="B42" s="922"/>
      <c r="C42" s="922"/>
      <c r="D42" s="923" t="s">
        <v>143</v>
      </c>
      <c r="E42" s="924">
        <f>'21'!F42</f>
        <v>58926.09</v>
      </c>
      <c r="F42" s="997">
        <v>58926.09</v>
      </c>
      <c r="G42" s="925">
        <f t="shared" si="3"/>
        <v>0</v>
      </c>
      <c r="H42" s="926">
        <f>G42+'21'!H42</f>
        <v>8.999999999650754E-2</v>
      </c>
      <c r="I42" s="924"/>
      <c r="J42" s="928">
        <f>H42/DAY(B2)</f>
        <v>4.0909090907503423E-3</v>
      </c>
      <c r="K42" s="944"/>
      <c r="L42" s="903"/>
      <c r="N42" s="1092">
        <v>3270.130000000001</v>
      </c>
      <c r="O42" s="930">
        <f t="shared" si="0"/>
        <v>3270.130000000001</v>
      </c>
    </row>
    <row r="43" spans="1:15">
      <c r="A43" s="921" t="s">
        <v>183</v>
      </c>
      <c r="B43" s="922"/>
      <c r="C43" s="922"/>
      <c r="D43" s="923" t="s">
        <v>143</v>
      </c>
      <c r="E43" s="924">
        <f>'21'!F43</f>
        <v>744481.03</v>
      </c>
      <c r="F43" s="997">
        <v>746869.11</v>
      </c>
      <c r="G43" s="925">
        <f>F43-E43</f>
        <v>2388.0799999999581</v>
      </c>
      <c r="H43" s="926">
        <f>G43+'21'!H43</f>
        <v>-20942.800000000047</v>
      </c>
      <c r="I43" s="924"/>
      <c r="J43" s="928">
        <f>H43/DAY(B2)</f>
        <v>-951.94545454545664</v>
      </c>
      <c r="K43" s="944"/>
      <c r="L43" s="903"/>
      <c r="N43" s="1092">
        <v>1586.2399999999907</v>
      </c>
      <c r="O43" s="930">
        <f t="shared" si="0"/>
        <v>-801.8399999999674</v>
      </c>
    </row>
    <row r="44" spans="1:15">
      <c r="A44" s="921" t="s">
        <v>184</v>
      </c>
      <c r="B44" s="922"/>
      <c r="C44" s="922"/>
      <c r="D44" s="923" t="s">
        <v>143</v>
      </c>
      <c r="E44" s="924">
        <f>'21'!F44</f>
        <v>0</v>
      </c>
      <c r="F44" s="997">
        <v>0</v>
      </c>
      <c r="G44" s="925">
        <f t="shared" si="3"/>
        <v>0</v>
      </c>
      <c r="H44" s="926">
        <f>G44+'21'!H44</f>
        <v>0</v>
      </c>
      <c r="I44" s="924"/>
      <c r="J44" s="928">
        <f>H44/DAY(B2)</f>
        <v>0</v>
      </c>
      <c r="K44" s="944"/>
      <c r="L44" s="903"/>
      <c r="N44" s="1092">
        <v>0</v>
      </c>
      <c r="O44" s="930">
        <f t="shared" si="0"/>
        <v>0</v>
      </c>
    </row>
    <row r="45" spans="1:15">
      <c r="A45" s="921" t="s">
        <v>185</v>
      </c>
      <c r="B45" s="922"/>
      <c r="C45" s="922"/>
      <c r="D45" s="923" t="s">
        <v>143</v>
      </c>
      <c r="E45" s="924">
        <f>'21'!F45</f>
        <v>614</v>
      </c>
      <c r="F45" s="997">
        <v>614</v>
      </c>
      <c r="G45" s="925">
        <f t="shared" si="3"/>
        <v>0</v>
      </c>
      <c r="H45" s="926">
        <f>G45+'21'!H45</f>
        <v>-0.48000000000001819</v>
      </c>
      <c r="I45" s="924"/>
      <c r="J45" s="928">
        <f>H45/DAY(B2)</f>
        <v>-2.1818181818182646E-2</v>
      </c>
      <c r="K45" s="944"/>
      <c r="L45" s="903"/>
      <c r="N45" s="1092">
        <v>0.48000000000001819</v>
      </c>
      <c r="O45" s="930">
        <f t="shared" si="0"/>
        <v>0.48000000000001819</v>
      </c>
    </row>
    <row r="46" spans="1:15">
      <c r="A46" s="921" t="s">
        <v>186</v>
      </c>
      <c r="B46" s="922"/>
      <c r="C46" s="922"/>
      <c r="D46" s="923" t="s">
        <v>143</v>
      </c>
      <c r="E46" s="924">
        <f>'21'!F46</f>
        <v>187.44</v>
      </c>
      <c r="F46" s="997">
        <v>187</v>
      </c>
      <c r="G46" s="925">
        <f t="shared" si="3"/>
        <v>-0.43999999999999773</v>
      </c>
      <c r="H46" s="926">
        <f>G46+'21'!H46</f>
        <v>-0.49000000000000909</v>
      </c>
      <c r="I46" s="924"/>
      <c r="J46" s="928">
        <f>H46/DAY(B2)</f>
        <v>-2.2272727272727687E-2</v>
      </c>
      <c r="K46" s="944"/>
      <c r="L46" s="903"/>
      <c r="N46" s="1092">
        <v>0</v>
      </c>
      <c r="O46" s="930">
        <f t="shared" si="0"/>
        <v>0.43999999999999773</v>
      </c>
    </row>
    <row r="47" spans="1:15">
      <c r="A47" s="946" t="s">
        <v>187</v>
      </c>
      <c r="B47" s="947"/>
      <c r="C47" s="947"/>
      <c r="D47" s="914"/>
      <c r="E47" s="910"/>
      <c r="F47" s="910"/>
      <c r="G47" s="948">
        <f>G35+G36+G37+G38+G39+G40+G41+G42+G43+G44+G45+G46</f>
        <v>7271.7699999999104</v>
      </c>
      <c r="H47" s="926">
        <f>G47+'21'!H47</f>
        <v>1480783.12</v>
      </c>
      <c r="I47" s="924"/>
      <c r="J47" s="928">
        <f>H47/DAY(B2)</f>
        <v>67308.323636363639</v>
      </c>
      <c r="K47" s="944"/>
      <c r="L47" s="903"/>
      <c r="N47" s="1094">
        <v>10115.970000000016</v>
      </c>
      <c r="O47" s="930">
        <f t="shared" si="0"/>
        <v>2844.2000000001053</v>
      </c>
    </row>
    <row r="48" spans="1:15">
      <c r="A48" s="995" t="s">
        <v>188</v>
      </c>
      <c r="B48" s="996"/>
      <c r="C48" s="996"/>
      <c r="D48" s="918"/>
      <c r="E48" s="917"/>
      <c r="F48" s="917"/>
      <c r="G48" s="918"/>
      <c r="H48" s="918"/>
      <c r="I48" s="918"/>
      <c r="J48" s="919"/>
      <c r="K48" s="944"/>
      <c r="L48" s="903"/>
      <c r="O48" s="930">
        <f t="shared" si="0"/>
        <v>0</v>
      </c>
    </row>
    <row r="49" spans="1:15">
      <c r="A49" s="921" t="s">
        <v>175</v>
      </c>
      <c r="B49" s="1000"/>
      <c r="C49" s="1000"/>
      <c r="D49" s="923" t="s">
        <v>143</v>
      </c>
      <c r="E49" s="924">
        <f>'21'!F49</f>
        <v>214778.53</v>
      </c>
      <c r="F49" s="997">
        <v>217967</v>
      </c>
      <c r="G49" s="925">
        <f t="shared" ref="G49:G58" si="4">F49-E49</f>
        <v>3188.4700000000012</v>
      </c>
      <c r="H49" s="926">
        <f>G49+'21'!H49</f>
        <v>-27932.049999999988</v>
      </c>
      <c r="I49" s="924"/>
      <c r="J49" s="928">
        <f>H49/DAY(B2)</f>
        <v>-1269.6386363636359</v>
      </c>
      <c r="K49" s="944"/>
      <c r="L49" s="903"/>
      <c r="N49" s="1092">
        <v>0</v>
      </c>
      <c r="O49" s="930">
        <f t="shared" si="0"/>
        <v>-3188.4700000000012</v>
      </c>
    </row>
    <row r="50" spans="1:15">
      <c r="A50" s="921" t="s">
        <v>189</v>
      </c>
      <c r="B50" s="1000"/>
      <c r="C50" s="1000"/>
      <c r="D50" s="923" t="s">
        <v>143</v>
      </c>
      <c r="E50" s="924">
        <f>'21'!F50</f>
        <v>357825.51</v>
      </c>
      <c r="F50" s="997">
        <v>358855.35</v>
      </c>
      <c r="G50" s="925">
        <f t="shared" si="4"/>
        <v>1029.8399999999674</v>
      </c>
      <c r="H50" s="926">
        <f>G50+'21'!H50</f>
        <v>-10804.960000000021</v>
      </c>
      <c r="I50" s="924"/>
      <c r="J50" s="928">
        <f>H50/DAY(B2)</f>
        <v>-491.13454545454641</v>
      </c>
      <c r="K50" s="944"/>
      <c r="L50" s="903"/>
      <c r="N50" s="1092">
        <v>812.01999999998952</v>
      </c>
      <c r="O50" s="930">
        <f t="shared" si="0"/>
        <v>-217.81999999997788</v>
      </c>
    </row>
    <row r="51" spans="1:15">
      <c r="A51" s="921" t="s">
        <v>177</v>
      </c>
      <c r="B51" s="1000"/>
      <c r="C51" s="1000"/>
      <c r="D51" s="923" t="s">
        <v>143</v>
      </c>
      <c r="E51" s="924">
        <f>'21'!F51</f>
        <v>95230.83</v>
      </c>
      <c r="F51" s="997">
        <v>96722.97</v>
      </c>
      <c r="G51" s="925">
        <f t="shared" si="4"/>
        <v>1492.1399999999994</v>
      </c>
      <c r="H51" s="926">
        <f>G51+'21'!H51</f>
        <v>-13376.770000000004</v>
      </c>
      <c r="I51" s="924"/>
      <c r="J51" s="928">
        <f>H51/DAY(B2)</f>
        <v>-608.0350000000002</v>
      </c>
      <c r="K51" s="944"/>
      <c r="L51" s="903"/>
      <c r="N51" s="1092">
        <v>0</v>
      </c>
      <c r="O51" s="930">
        <f t="shared" si="0"/>
        <v>-1492.1399999999994</v>
      </c>
    </row>
    <row r="52" spans="1:15">
      <c r="A52" s="921" t="s">
        <v>190</v>
      </c>
      <c r="B52" s="1000"/>
      <c r="C52" s="1000"/>
      <c r="D52" s="923" t="s">
        <v>143</v>
      </c>
      <c r="E52" s="924">
        <f>'21'!F52</f>
        <v>474960.75</v>
      </c>
      <c r="F52" s="997">
        <v>476838.55</v>
      </c>
      <c r="G52" s="925">
        <f t="shared" si="4"/>
        <v>1877.7999999999884</v>
      </c>
      <c r="H52" s="926">
        <f>G52+'21'!H52</f>
        <v>-16970.119999999995</v>
      </c>
      <c r="I52" s="924"/>
      <c r="J52" s="928">
        <f>H52/DAY(B2)</f>
        <v>-771.36909090909069</v>
      </c>
      <c r="K52" s="944"/>
      <c r="L52" s="903"/>
      <c r="N52" s="1092">
        <v>1058.2600000000093</v>
      </c>
      <c r="O52" s="930">
        <f t="shared" si="0"/>
        <v>-819.53999999997905</v>
      </c>
    </row>
    <row r="53" spans="1:15">
      <c r="A53" s="921" t="s">
        <v>179</v>
      </c>
      <c r="B53" s="1000"/>
      <c r="C53" s="1000"/>
      <c r="D53" s="923" t="s">
        <v>143</v>
      </c>
      <c r="E53" s="924">
        <f>'21'!F53</f>
        <v>262473.69</v>
      </c>
      <c r="F53" s="997">
        <v>266549.28999999998</v>
      </c>
      <c r="G53" s="925">
        <f t="shared" si="4"/>
        <v>4075.5999999999767</v>
      </c>
      <c r="H53" s="926">
        <f>G53+'21'!H53</f>
        <v>-37748.98000000004</v>
      </c>
      <c r="I53" s="924"/>
      <c r="J53" s="928">
        <f>H53/DAY(B2)</f>
        <v>-1715.862727272729</v>
      </c>
      <c r="K53" s="944"/>
      <c r="L53" s="903"/>
      <c r="N53" s="1092">
        <v>104.8799999999992</v>
      </c>
      <c r="O53" s="930">
        <f t="shared" si="0"/>
        <v>-3970.7199999999775</v>
      </c>
    </row>
    <row r="54" spans="1:15">
      <c r="A54" s="921" t="s">
        <v>191</v>
      </c>
      <c r="B54" s="1000"/>
      <c r="C54" s="1000"/>
      <c r="D54" s="923" t="s">
        <v>143</v>
      </c>
      <c r="E54" s="924">
        <f>'21'!F54</f>
        <v>5798.53</v>
      </c>
      <c r="F54" s="997">
        <v>5859.71</v>
      </c>
      <c r="G54" s="925">
        <f t="shared" si="4"/>
        <v>61.180000000000291</v>
      </c>
      <c r="H54" s="926">
        <f>G54+'21'!H54</f>
        <v>-529.09000000000015</v>
      </c>
      <c r="I54" s="924"/>
      <c r="J54" s="928">
        <f>H54/DAY(B2)</f>
        <v>-24.049545454545463</v>
      </c>
      <c r="K54" s="944"/>
      <c r="L54" s="903"/>
      <c r="N54" s="1092">
        <v>0</v>
      </c>
      <c r="O54" s="930">
        <f t="shared" si="0"/>
        <v>-61.180000000000291</v>
      </c>
    </row>
    <row r="55" spans="1:15">
      <c r="A55" s="921" t="s">
        <v>192</v>
      </c>
      <c r="B55" s="1000"/>
      <c r="C55" s="1000"/>
      <c r="D55" s="923" t="s">
        <v>143</v>
      </c>
      <c r="E55" s="924">
        <f>'21'!F55</f>
        <v>39120.58</v>
      </c>
      <c r="F55" s="997">
        <v>39120.58</v>
      </c>
      <c r="G55" s="925">
        <f t="shared" si="4"/>
        <v>0</v>
      </c>
      <c r="H55" s="926">
        <f>G55+'21'!H55</f>
        <v>-3867.4000000000015</v>
      </c>
      <c r="I55" s="924"/>
      <c r="J55" s="928">
        <f>H55/DAY(B2)</f>
        <v>-175.79090909090917</v>
      </c>
      <c r="K55" s="944"/>
      <c r="L55" s="903"/>
      <c r="N55" s="1092">
        <v>0</v>
      </c>
      <c r="O55" s="930">
        <f t="shared" si="0"/>
        <v>0</v>
      </c>
    </row>
    <row r="56" spans="1:15">
      <c r="A56" s="921" t="s">
        <v>193</v>
      </c>
      <c r="B56" s="1000"/>
      <c r="C56" s="1000"/>
      <c r="D56" s="923" t="s">
        <v>194</v>
      </c>
      <c r="E56" s="924">
        <f>'21'!F56</f>
        <v>557728.99</v>
      </c>
      <c r="F56" s="997">
        <v>557729.63</v>
      </c>
      <c r="G56" s="925">
        <f t="shared" si="4"/>
        <v>0.64000000001396984</v>
      </c>
      <c r="H56" s="926">
        <f>G56+'21'!H56</f>
        <v>-2.2800000000279397</v>
      </c>
      <c r="I56" s="924"/>
      <c r="J56" s="928">
        <f>H56/DAY(B2)</f>
        <v>-0.10363636363763362</v>
      </c>
      <c r="K56" s="920"/>
      <c r="L56" s="903"/>
      <c r="N56" s="1092">
        <v>0</v>
      </c>
      <c r="O56" s="930">
        <f t="shared" si="0"/>
        <v>-0.64000000001396984</v>
      </c>
    </row>
    <row r="57" spans="1:15">
      <c r="A57" s="921" t="s">
        <v>183</v>
      </c>
      <c r="B57" s="1000"/>
      <c r="C57" s="1000"/>
      <c r="D57" s="923" t="s">
        <v>143</v>
      </c>
      <c r="E57" s="924">
        <f>'21'!F57</f>
        <v>0</v>
      </c>
      <c r="F57" s="997">
        <v>0</v>
      </c>
      <c r="G57" s="925">
        <f t="shared" si="4"/>
        <v>0</v>
      </c>
      <c r="H57" s="926">
        <f>G57+'21'!H57</f>
        <v>0</v>
      </c>
      <c r="I57" s="924"/>
      <c r="J57" s="928">
        <f>H57/DAY(B2)</f>
        <v>0</v>
      </c>
      <c r="K57" s="944"/>
      <c r="L57" s="903"/>
      <c r="N57" s="1092">
        <v>0</v>
      </c>
      <c r="O57" s="930">
        <f t="shared" si="0"/>
        <v>0</v>
      </c>
    </row>
    <row r="58" spans="1:15">
      <c r="A58" s="921" t="s">
        <v>195</v>
      </c>
      <c r="B58" s="1000"/>
      <c r="C58" s="1000"/>
      <c r="D58" s="923" t="s">
        <v>143</v>
      </c>
      <c r="E58" s="924">
        <f>'21'!F58</f>
        <v>28851.11</v>
      </c>
      <c r="F58" s="997">
        <v>29072.28</v>
      </c>
      <c r="G58" s="925">
        <f t="shared" si="4"/>
        <v>221.16999999999825</v>
      </c>
      <c r="H58" s="926">
        <f>G58+'21'!H58</f>
        <v>-1657.2599999999984</v>
      </c>
      <c r="I58" s="924"/>
      <c r="J58" s="928">
        <f>H58/DAY(B2)</f>
        <v>-75.329999999999927</v>
      </c>
      <c r="K58" s="944"/>
      <c r="L58" s="903"/>
      <c r="N58" s="1092">
        <v>120.15000000000146</v>
      </c>
      <c r="O58" s="930">
        <f t="shared" si="0"/>
        <v>-101.0199999999968</v>
      </c>
    </row>
    <row r="59" spans="1:15">
      <c r="A59" s="946" t="s">
        <v>187</v>
      </c>
      <c r="B59" s="947"/>
      <c r="C59" s="947"/>
      <c r="D59" s="910"/>
      <c r="E59" s="910"/>
      <c r="F59" s="910"/>
      <c r="G59" s="948">
        <f>G49+G50+G51+G52+G53+G54+G55+G56+G57+G58</f>
        <v>11946.839999999946</v>
      </c>
      <c r="H59" s="926">
        <f>G59+'21'!H59</f>
        <v>-112888.91000000003</v>
      </c>
      <c r="I59" s="924">
        <f>G7-G60</f>
        <v>291.39000000014494</v>
      </c>
      <c r="J59" s="928">
        <f>H59/DAY(B2)</f>
        <v>-5131.3140909090926</v>
      </c>
      <c r="K59" s="944"/>
      <c r="L59" s="903"/>
      <c r="N59" s="1092">
        <v>2095.3099999999995</v>
      </c>
      <c r="O59" s="930">
        <f t="shared" si="0"/>
        <v>-9851.5299999999461</v>
      </c>
    </row>
    <row r="60" spans="1:15">
      <c r="A60" s="921"/>
      <c r="B60" s="922"/>
      <c r="C60" s="922"/>
      <c r="D60" s="910" t="s">
        <v>196</v>
      </c>
      <c r="E60" s="910"/>
      <c r="F60" s="910"/>
      <c r="G60" s="948">
        <f>G47+G59</f>
        <v>19218.609999999855</v>
      </c>
      <c r="H60" s="926">
        <f>G60+'21'!H60</f>
        <v>1373074.4</v>
      </c>
      <c r="I60" s="924">
        <f>G13-G60</f>
        <v>-367.80999999957567</v>
      </c>
      <c r="J60" s="928">
        <f>H60/DAY(B2)</f>
        <v>62412.472727272725</v>
      </c>
      <c r="K60" s="944"/>
      <c r="L60" s="903"/>
      <c r="N60" s="1092">
        <v>12211.280000000015</v>
      </c>
      <c r="O60" s="930">
        <f t="shared" si="0"/>
        <v>-7007.3299999998399</v>
      </c>
    </row>
    <row r="61" spans="1:15">
      <c r="A61" s="1001" t="s">
        <v>197</v>
      </c>
      <c r="B61" s="1002"/>
      <c r="C61" s="1002"/>
      <c r="D61" s="1002"/>
      <c r="E61" s="1003"/>
      <c r="F61" s="1003"/>
      <c r="G61" s="1002"/>
      <c r="H61" s="1002"/>
      <c r="I61" s="1002"/>
      <c r="J61" s="1004"/>
      <c r="K61" s="944"/>
      <c r="L61" s="903"/>
      <c r="O61" s="930">
        <f t="shared" si="0"/>
        <v>0</v>
      </c>
    </row>
    <row r="62" spans="1:15">
      <c r="A62" s="1005" t="s">
        <v>106</v>
      </c>
      <c r="B62" s="1006"/>
      <c r="C62" s="1006"/>
      <c r="D62" s="910" t="s">
        <v>198</v>
      </c>
      <c r="E62" s="924">
        <f>'21'!F62</f>
        <v>20419.2</v>
      </c>
      <c r="F62" s="1007">
        <v>20419.2</v>
      </c>
      <c r="G62" s="925">
        <f t="shared" ref="G62:G69" si="5">F62-E62</f>
        <v>0</v>
      </c>
      <c r="H62" s="926">
        <f>G62+'21'!H62</f>
        <v>1.1000000002240995E-2</v>
      </c>
      <c r="I62" s="1008"/>
      <c r="J62" s="928">
        <f>H62/DAY(B2)</f>
        <v>5.0000000010186341E-4</v>
      </c>
      <c r="K62" s="944"/>
      <c r="L62" s="903"/>
      <c r="N62" s="1092">
        <v>0</v>
      </c>
      <c r="O62" s="930">
        <f t="shared" si="0"/>
        <v>0</v>
      </c>
    </row>
    <row r="63" spans="1:15">
      <c r="A63" s="1005" t="s">
        <v>199</v>
      </c>
      <c r="B63" s="1006"/>
      <c r="C63" s="1006"/>
      <c r="D63" s="910" t="s">
        <v>198</v>
      </c>
      <c r="E63" s="924">
        <f>'21'!F63</f>
        <v>1229.1400000000001</v>
      </c>
      <c r="F63" s="1007">
        <v>1236.99</v>
      </c>
      <c r="G63" s="925">
        <f t="shared" si="5"/>
        <v>7.8499999999999091</v>
      </c>
      <c r="H63" s="926">
        <f>G63+'21'!H63</f>
        <v>-95.539999999999964</v>
      </c>
      <c r="I63" s="1008"/>
      <c r="J63" s="928">
        <f>H63/DAY(B2)</f>
        <v>-4.342727272727271</v>
      </c>
      <c r="K63" s="944"/>
      <c r="L63" s="903"/>
      <c r="N63" s="1092">
        <v>0</v>
      </c>
      <c r="O63" s="930">
        <f t="shared" si="0"/>
        <v>-7.8499999999999091</v>
      </c>
    </row>
    <row r="64" spans="1:15">
      <c r="A64" s="1528" t="s">
        <v>107</v>
      </c>
      <c r="B64" s="1529"/>
      <c r="C64" s="1530"/>
      <c r="D64" s="923" t="s">
        <v>198</v>
      </c>
      <c r="E64" s="924">
        <f>'21'!F64</f>
        <v>107043.62</v>
      </c>
      <c r="F64" s="954">
        <v>107473.88</v>
      </c>
      <c r="G64" s="925">
        <f t="shared" si="5"/>
        <v>430.26000000000931</v>
      </c>
      <c r="H64" s="926">
        <f>G64+'21'!H64</f>
        <v>-3809.5800000000017</v>
      </c>
      <c r="I64" s="945"/>
      <c r="J64" s="928">
        <f>H64/DAY(B2)</f>
        <v>-173.16272727272735</v>
      </c>
      <c r="K64" s="944"/>
      <c r="L64" s="903"/>
      <c r="N64" s="1092">
        <v>178.5199999999968</v>
      </c>
      <c r="O64" s="930">
        <f t="shared" si="0"/>
        <v>-251.74000000001251</v>
      </c>
    </row>
    <row r="65" spans="1:15">
      <c r="A65" s="1528" t="s">
        <v>108</v>
      </c>
      <c r="B65" s="1529"/>
      <c r="C65" s="1530"/>
      <c r="D65" s="923" t="s">
        <v>198</v>
      </c>
      <c r="E65" s="924">
        <f>'21'!F65</f>
        <v>117693.6</v>
      </c>
      <c r="F65" s="954">
        <v>118098.62</v>
      </c>
      <c r="G65" s="925">
        <f t="shared" si="5"/>
        <v>405.01999999998952</v>
      </c>
      <c r="H65" s="926">
        <f>G65+'21'!H65</f>
        <v>-3634.4900000000052</v>
      </c>
      <c r="I65" s="963"/>
      <c r="J65" s="928">
        <f>H65/DAY(B2)</f>
        <v>-165.20409090909115</v>
      </c>
      <c r="K65" s="944"/>
      <c r="L65" s="903"/>
      <c r="N65" s="1092">
        <v>198.38999999999942</v>
      </c>
      <c r="O65" s="930">
        <f t="shared" si="0"/>
        <v>-206.6299999999901</v>
      </c>
    </row>
    <row r="66" spans="1:15">
      <c r="A66" s="1528" t="s">
        <v>109</v>
      </c>
      <c r="B66" s="1529"/>
      <c r="C66" s="1530"/>
      <c r="D66" s="923" t="s">
        <v>198</v>
      </c>
      <c r="E66" s="924">
        <f>'21'!F66</f>
        <v>10130.719999999999</v>
      </c>
      <c r="F66" s="954">
        <v>10482.780000000001</v>
      </c>
      <c r="G66" s="925">
        <f t="shared" si="5"/>
        <v>352.06000000000131</v>
      </c>
      <c r="H66" s="926">
        <f>G66+'21'!H66</f>
        <v>-3676.9599999999991</v>
      </c>
      <c r="I66" s="945"/>
      <c r="J66" s="928">
        <f>H66/DAY(B2)</f>
        <v>-167.13454545454542</v>
      </c>
      <c r="K66" s="944"/>
      <c r="L66" s="903"/>
      <c r="N66" s="1092">
        <v>226.35000000000582</v>
      </c>
      <c r="O66" s="930">
        <f t="shared" si="0"/>
        <v>-125.70999999999549</v>
      </c>
    </row>
    <row r="67" spans="1:15">
      <c r="A67" s="1528" t="s">
        <v>110</v>
      </c>
      <c r="B67" s="1529"/>
      <c r="C67" s="1530"/>
      <c r="D67" s="923" t="s">
        <v>198</v>
      </c>
      <c r="E67" s="924">
        <f>'21'!F67</f>
        <v>182084.35</v>
      </c>
      <c r="F67" s="954">
        <v>182726</v>
      </c>
      <c r="G67" s="925">
        <f t="shared" si="5"/>
        <v>641.64999999999418</v>
      </c>
      <c r="H67" s="926">
        <f>G67+'21'!H67</f>
        <v>-5948.5299999999988</v>
      </c>
      <c r="I67" s="963"/>
      <c r="J67" s="928">
        <f>H67/DAY(B2)</f>
        <v>-270.3877272727272</v>
      </c>
      <c r="K67" s="951"/>
      <c r="L67" s="903"/>
      <c r="N67" s="1092">
        <v>312.47000000000116</v>
      </c>
      <c r="O67" s="930">
        <f t="shared" si="0"/>
        <v>-329.17999999999302</v>
      </c>
    </row>
    <row r="68" spans="1:15">
      <c r="A68" s="1528" t="s">
        <v>111</v>
      </c>
      <c r="B68" s="1529"/>
      <c r="C68" s="1530"/>
      <c r="D68" s="923" t="s">
        <v>198</v>
      </c>
      <c r="E68" s="924">
        <f>'21'!F68</f>
        <v>60072.38</v>
      </c>
      <c r="F68" s="954">
        <v>60387.56</v>
      </c>
      <c r="G68" s="925">
        <f t="shared" si="5"/>
        <v>315.18000000000029</v>
      </c>
      <c r="H68" s="926">
        <f>G68+'21'!H68</f>
        <v>-2912.3000000000029</v>
      </c>
      <c r="I68" s="1009"/>
      <c r="J68" s="928">
        <f>H68/DAY(B2)</f>
        <v>-132.37727272727287</v>
      </c>
      <c r="K68" s="1010"/>
      <c r="L68" s="903"/>
      <c r="N68" s="1092">
        <v>142.1200000000008</v>
      </c>
      <c r="O68" s="930">
        <f t="shared" si="0"/>
        <v>-173.05999999999949</v>
      </c>
    </row>
    <row r="69" spans="1:15">
      <c r="A69" s="1528" t="s">
        <v>112</v>
      </c>
      <c r="B69" s="1529"/>
      <c r="C69" s="1530"/>
      <c r="D69" s="923" t="s">
        <v>198</v>
      </c>
      <c r="E69" s="924">
        <f>'21'!F69</f>
        <v>52646.38</v>
      </c>
      <c r="F69" s="954">
        <v>52947.14</v>
      </c>
      <c r="G69" s="925">
        <f t="shared" si="5"/>
        <v>300.76000000000204</v>
      </c>
      <c r="H69" s="926">
        <f>G69+'21'!H69</f>
        <v>-2776.5699999999997</v>
      </c>
      <c r="I69" s="1009"/>
      <c r="J69" s="928">
        <f>H69/DAY(B2)</f>
        <v>-126.20772727272725</v>
      </c>
      <c r="K69" s="1011"/>
      <c r="L69" s="903"/>
      <c r="N69" s="1092">
        <v>12.869999999998981</v>
      </c>
      <c r="O69" s="930">
        <f t="shared" si="0"/>
        <v>-287.89000000000306</v>
      </c>
    </row>
    <row r="70" spans="1:15">
      <c r="A70" s="1548" t="s">
        <v>200</v>
      </c>
      <c r="B70" s="1549"/>
      <c r="C70" s="1550"/>
      <c r="D70" s="923" t="s">
        <v>198</v>
      </c>
      <c r="E70" s="1012"/>
      <c r="F70" s="1013"/>
      <c r="G70" s="1013"/>
      <c r="H70" s="926">
        <f>G70+'21'!H70</f>
        <v>0</v>
      </c>
      <c r="I70" s="1013"/>
      <c r="J70" s="1014"/>
      <c r="K70" s="1011"/>
      <c r="L70" s="903"/>
      <c r="O70" s="930">
        <f t="shared" si="0"/>
        <v>0</v>
      </c>
    </row>
    <row r="71" spans="1:15" ht="22.5">
      <c r="A71" s="1545" t="s">
        <v>201</v>
      </c>
      <c r="B71" s="1546"/>
      <c r="C71" s="1546"/>
      <c r="D71" s="1546"/>
      <c r="E71" s="1546"/>
      <c r="F71" s="1546"/>
      <c r="G71" s="1546"/>
      <c r="H71" s="1546"/>
      <c r="I71" s="1546"/>
      <c r="J71" s="1547"/>
      <c r="K71" s="1010"/>
      <c r="L71" s="903"/>
      <c r="O71" s="930">
        <f t="shared" si="0"/>
        <v>0</v>
      </c>
    </row>
    <row r="72" spans="1:15">
      <c r="A72" s="1528" t="s">
        <v>202</v>
      </c>
      <c r="B72" s="1529"/>
      <c r="C72" s="1530"/>
      <c r="D72" s="923" t="s">
        <v>198</v>
      </c>
      <c r="E72" s="924">
        <f>'21'!F72</f>
        <v>847790</v>
      </c>
      <c r="F72" s="1015">
        <v>847827</v>
      </c>
      <c r="G72" s="925">
        <f t="shared" ref="G72:G84" si="6">F72-E72</f>
        <v>37</v>
      </c>
      <c r="H72" s="926">
        <f>G72+'21'!H72</f>
        <v>-725</v>
      </c>
      <c r="I72" s="945"/>
      <c r="J72" s="928">
        <f>H72/DAY(B2)</f>
        <v>-32.954545454545453</v>
      </c>
      <c r="K72" s="1011"/>
      <c r="L72" s="903"/>
      <c r="N72" s="1092">
        <v>18</v>
      </c>
      <c r="O72" s="930">
        <f t="shared" ref="O72:O135" si="7">N72-G72</f>
        <v>-19</v>
      </c>
    </row>
    <row r="73" spans="1:15">
      <c r="A73" s="1528" t="s">
        <v>203</v>
      </c>
      <c r="B73" s="1529"/>
      <c r="C73" s="1530"/>
      <c r="D73" s="923" t="s">
        <v>198</v>
      </c>
      <c r="E73" s="924">
        <f>'21'!F73</f>
        <v>885710</v>
      </c>
      <c r="F73" s="1016">
        <v>885711</v>
      </c>
      <c r="G73" s="925">
        <f t="shared" si="6"/>
        <v>1</v>
      </c>
      <c r="H73" s="926">
        <f>G73+'21'!H73</f>
        <v>930</v>
      </c>
      <c r="I73" s="945"/>
      <c r="J73" s="928">
        <f>H73/DAY(B2)</f>
        <v>42.272727272727273</v>
      </c>
      <c r="K73" s="1010"/>
      <c r="L73" s="903"/>
      <c r="N73" s="1092">
        <v>2</v>
      </c>
      <c r="O73" s="930">
        <f t="shared" si="7"/>
        <v>1</v>
      </c>
    </row>
    <row r="74" spans="1:15">
      <c r="A74" s="1528" t="s">
        <v>204</v>
      </c>
      <c r="B74" s="1529"/>
      <c r="C74" s="1530"/>
      <c r="D74" s="923" t="s">
        <v>198</v>
      </c>
      <c r="E74" s="924">
        <f>'21'!F74</f>
        <v>882040</v>
      </c>
      <c r="F74" s="1017">
        <v>882071</v>
      </c>
      <c r="G74" s="925">
        <f t="shared" si="6"/>
        <v>31</v>
      </c>
      <c r="H74" s="926">
        <f>G74+'21'!H74</f>
        <v>882300.1</v>
      </c>
      <c r="I74" s="945"/>
      <c r="J74" s="928">
        <f>H74/DAY(B2)</f>
        <v>40104.549999999996</v>
      </c>
      <c r="K74" s="1011"/>
      <c r="L74" s="903"/>
      <c r="N74" s="1092">
        <v>5</v>
      </c>
      <c r="O74" s="930">
        <f t="shared" si="7"/>
        <v>-26</v>
      </c>
    </row>
    <row r="75" spans="1:15">
      <c r="A75" s="1542" t="s">
        <v>205</v>
      </c>
      <c r="B75" s="1543"/>
      <c r="C75" s="1544"/>
      <c r="D75" s="923" t="s">
        <v>198</v>
      </c>
      <c r="E75" s="924">
        <f>'21'!F75</f>
        <v>735565</v>
      </c>
      <c r="F75" s="1017">
        <v>735747</v>
      </c>
      <c r="G75" s="925">
        <f t="shared" si="6"/>
        <v>182</v>
      </c>
      <c r="H75" s="926">
        <f>G75+'21'!H75</f>
        <v>737283.4</v>
      </c>
      <c r="I75" s="945"/>
      <c r="J75" s="928">
        <f>H75/DAY(B2)</f>
        <v>33512.881818181821</v>
      </c>
      <c r="K75" s="1010"/>
      <c r="L75" s="903"/>
      <c r="N75" s="1092">
        <v>48</v>
      </c>
      <c r="O75" s="930">
        <f t="shared" si="7"/>
        <v>-134</v>
      </c>
    </row>
    <row r="76" spans="1:15">
      <c r="A76" s="1542" t="s">
        <v>206</v>
      </c>
      <c r="B76" s="1543"/>
      <c r="C76" s="1544"/>
      <c r="D76" s="923" t="s">
        <v>198</v>
      </c>
      <c r="E76" s="924">
        <f>'21'!F76</f>
        <v>686230</v>
      </c>
      <c r="F76" s="1016">
        <v>686309</v>
      </c>
      <c r="G76" s="925">
        <f t="shared" si="6"/>
        <v>79</v>
      </c>
      <c r="H76" s="926">
        <f>G76+'21'!H76</f>
        <v>688306.2</v>
      </c>
      <c r="I76" s="988"/>
      <c r="J76" s="928">
        <f>H76/DAY(B2)</f>
        <v>31286.645454545451</v>
      </c>
      <c r="K76" s="1010"/>
      <c r="L76" s="903"/>
      <c r="N76" s="1092">
        <v>5</v>
      </c>
      <c r="O76" s="930">
        <f t="shared" si="7"/>
        <v>-74</v>
      </c>
    </row>
    <row r="77" spans="1:15">
      <c r="A77" s="1528" t="s">
        <v>207</v>
      </c>
      <c r="B77" s="1529"/>
      <c r="C77" s="1530"/>
      <c r="D77" s="923" t="s">
        <v>198</v>
      </c>
      <c r="E77" s="924">
        <f>'21'!F77</f>
        <v>696569</v>
      </c>
      <c r="F77" s="1016">
        <v>696624</v>
      </c>
      <c r="G77" s="925">
        <f t="shared" si="6"/>
        <v>55</v>
      </c>
      <c r="H77" s="926">
        <f>G77+'21'!H77</f>
        <v>-483</v>
      </c>
      <c r="I77" s="988"/>
      <c r="J77" s="928">
        <f>H77/DAY(B2)</f>
        <v>-21.954545454545453</v>
      </c>
      <c r="K77" s="1010"/>
      <c r="L77" s="903"/>
      <c r="N77" s="1092">
        <v>2</v>
      </c>
      <c r="O77" s="930">
        <f t="shared" si="7"/>
        <v>-53</v>
      </c>
    </row>
    <row r="78" spans="1:15">
      <c r="A78" s="1018" t="s">
        <v>208</v>
      </c>
      <c r="B78" s="1227"/>
      <c r="C78" s="1227"/>
      <c r="D78" s="923" t="s">
        <v>198</v>
      </c>
      <c r="E78" s="924">
        <f>'21'!F78</f>
        <v>638284</v>
      </c>
      <c r="F78" s="1017">
        <v>638622</v>
      </c>
      <c r="G78" s="925">
        <f t="shared" si="6"/>
        <v>338</v>
      </c>
      <c r="H78" s="926">
        <f>G78+'21'!H78</f>
        <v>-3331</v>
      </c>
      <c r="I78" s="988"/>
      <c r="J78" s="928">
        <f>H78/DAY(B2)</f>
        <v>-151.40909090909091</v>
      </c>
      <c r="K78" s="1010"/>
      <c r="L78" s="903"/>
      <c r="N78" s="1092">
        <v>28</v>
      </c>
      <c r="O78" s="930">
        <f t="shared" si="7"/>
        <v>-310</v>
      </c>
    </row>
    <row r="79" spans="1:15">
      <c r="A79" s="1542" t="s">
        <v>97</v>
      </c>
      <c r="B79" s="1543"/>
      <c r="C79" s="1544"/>
      <c r="D79" s="957" t="s">
        <v>198</v>
      </c>
      <c r="E79" s="924">
        <f>'21'!F79</f>
        <v>807808</v>
      </c>
      <c r="F79" s="1017">
        <v>807994</v>
      </c>
      <c r="G79" s="925">
        <f t="shared" si="6"/>
        <v>186</v>
      </c>
      <c r="H79" s="926">
        <f>G79+'21'!H79</f>
        <v>1168</v>
      </c>
      <c r="I79" s="988"/>
      <c r="J79" s="928">
        <f>H79/DAY(B2)</f>
        <v>53.090909090909093</v>
      </c>
      <c r="K79" s="1010"/>
      <c r="L79" s="903"/>
      <c r="N79" s="1092">
        <v>139</v>
      </c>
      <c r="O79" s="930">
        <f t="shared" si="7"/>
        <v>-47</v>
      </c>
    </row>
    <row r="80" spans="1:15">
      <c r="A80" s="1542" t="s">
        <v>209</v>
      </c>
      <c r="B80" s="1543"/>
      <c r="C80" s="1544"/>
      <c r="D80" s="957" t="s">
        <v>198</v>
      </c>
      <c r="E80" s="924">
        <f>'21'!F80</f>
        <v>482026.4</v>
      </c>
      <c r="F80" s="1016">
        <v>482321</v>
      </c>
      <c r="G80" s="925">
        <f t="shared" si="6"/>
        <v>294.59999999997672</v>
      </c>
      <c r="H80" s="926">
        <f>G80+'21'!H80</f>
        <v>-4260.679999999993</v>
      </c>
      <c r="I80" s="988"/>
      <c r="J80" s="928">
        <f>H80/DAY(B2)</f>
        <v>-193.6672727272724</v>
      </c>
      <c r="K80" s="1010"/>
      <c r="L80" s="903"/>
      <c r="N80" s="1092">
        <v>177</v>
      </c>
      <c r="O80" s="930">
        <f t="shared" si="7"/>
        <v>-117.59999999997672</v>
      </c>
    </row>
    <row r="81" spans="1:15">
      <c r="A81" s="1542" t="s">
        <v>210</v>
      </c>
      <c r="B81" s="1543"/>
      <c r="C81" s="1544"/>
      <c r="D81" s="957" t="s">
        <v>198</v>
      </c>
      <c r="E81" s="924">
        <f>'21'!F81</f>
        <v>621695.69999999995</v>
      </c>
      <c r="F81" s="1016">
        <v>621800</v>
      </c>
      <c r="G81" s="925">
        <f t="shared" si="6"/>
        <v>104.30000000004657</v>
      </c>
      <c r="H81" s="926">
        <f>G81+'21'!H81</f>
        <v>-975</v>
      </c>
      <c r="I81" s="988"/>
      <c r="J81" s="928">
        <f>H81/DAY(B2)</f>
        <v>-44.31818181818182</v>
      </c>
      <c r="K81" s="1010"/>
      <c r="L81" s="903"/>
      <c r="N81" s="1092">
        <v>86</v>
      </c>
      <c r="O81" s="930">
        <f t="shared" si="7"/>
        <v>-18.300000000046566</v>
      </c>
    </row>
    <row r="82" spans="1:15">
      <c r="A82" s="1542" t="s">
        <v>100</v>
      </c>
      <c r="B82" s="1543"/>
      <c r="C82" s="1544"/>
      <c r="D82" s="958" t="s">
        <v>143</v>
      </c>
      <c r="E82" s="924">
        <f>'21'!F82</f>
        <v>104986.35</v>
      </c>
      <c r="F82" s="1019">
        <v>105016</v>
      </c>
      <c r="G82" s="925">
        <f t="shared" si="6"/>
        <v>29.649999999994179</v>
      </c>
      <c r="H82" s="926">
        <f>G82+'21'!H82</f>
        <v>-424</v>
      </c>
      <c r="I82" s="959"/>
      <c r="J82" s="928">
        <f>H82/DAY(B2)</f>
        <v>-19.272727272727273</v>
      </c>
      <c r="K82" s="1010"/>
      <c r="L82" s="903"/>
      <c r="N82" s="1092">
        <v>29</v>
      </c>
      <c r="O82" s="930">
        <f t="shared" si="7"/>
        <v>-0.64999999999417923</v>
      </c>
    </row>
    <row r="83" spans="1:15">
      <c r="A83" s="1542" t="s">
        <v>211</v>
      </c>
      <c r="B83" s="1543"/>
      <c r="C83" s="1544"/>
      <c r="D83" s="1020" t="s">
        <v>143</v>
      </c>
      <c r="E83" s="924">
        <f>'21'!F83</f>
        <v>980884</v>
      </c>
      <c r="F83" s="910">
        <v>981140</v>
      </c>
      <c r="G83" s="925">
        <f t="shared" si="6"/>
        <v>256</v>
      </c>
      <c r="H83" s="926">
        <f>G83+'21'!H83</f>
        <v>-2601</v>
      </c>
      <c r="I83" s="948"/>
      <c r="J83" s="928">
        <f>H83/DAY(B2)</f>
        <v>-118.22727272727273</v>
      </c>
      <c r="K83" s="951"/>
      <c r="L83" s="903"/>
      <c r="N83" s="1092">
        <v>228</v>
      </c>
      <c r="O83" s="930">
        <f t="shared" si="7"/>
        <v>-28</v>
      </c>
    </row>
    <row r="84" spans="1:15">
      <c r="A84" s="1021" t="s">
        <v>212</v>
      </c>
      <c r="B84" s="1022"/>
      <c r="C84" s="1022"/>
      <c r="D84" s="942" t="s">
        <v>143</v>
      </c>
      <c r="E84" s="924">
        <f>'21'!F84</f>
        <v>410764</v>
      </c>
      <c r="F84" s="1023">
        <v>411317</v>
      </c>
      <c r="G84" s="925">
        <f t="shared" si="6"/>
        <v>553</v>
      </c>
      <c r="H84" s="926">
        <f>G84+'21'!H84</f>
        <v>-4756</v>
      </c>
      <c r="I84" s="948"/>
      <c r="J84" s="928">
        <f>H84/DAY(B2)</f>
        <v>-216.18181818181819</v>
      </c>
      <c r="K84" s="1024"/>
      <c r="L84" s="903"/>
      <c r="N84" s="1092">
        <v>423</v>
      </c>
      <c r="O84" s="930">
        <f t="shared" si="7"/>
        <v>-130</v>
      </c>
    </row>
    <row r="85" spans="1:15" s="1028" customFormat="1">
      <c r="A85" s="1025" t="s">
        <v>213</v>
      </c>
      <c r="B85" s="1026"/>
      <c r="C85" s="1026"/>
      <c r="D85" s="963"/>
      <c r="E85" s="924"/>
      <c r="F85" s="923"/>
      <c r="G85" s="926">
        <f xml:space="preserve"> SUM(G72:G84)</f>
        <v>2146.5500000000175</v>
      </c>
      <c r="H85" s="926">
        <f>G85+'21'!H85</f>
        <v>2287128.65</v>
      </c>
      <c r="I85" s="948"/>
      <c r="J85" s="928">
        <f>H85/DAY(B2)</f>
        <v>103960.39318181817</v>
      </c>
      <c r="K85" s="1024"/>
      <c r="L85" s="1027"/>
      <c r="N85" s="1095">
        <v>1190</v>
      </c>
      <c r="O85" s="930">
        <f t="shared" si="7"/>
        <v>-956.55000000001746</v>
      </c>
    </row>
    <row r="86" spans="1:15" s="1038" customFormat="1">
      <c r="A86" s="1029" t="s">
        <v>102</v>
      </c>
      <c r="B86" s="1030"/>
      <c r="C86" s="1030"/>
      <c r="D86" s="1031" t="s">
        <v>194</v>
      </c>
      <c r="E86" s="924">
        <f>'21'!F86</f>
        <v>446252.4</v>
      </c>
      <c r="F86" s="1032">
        <v>446349</v>
      </c>
      <c r="G86" s="1033">
        <f t="shared" ref="G86:G88" si="8">F86-E86</f>
        <v>96.599999999976717</v>
      </c>
      <c r="H86" s="1033">
        <f t="shared" ref="H86:H88" si="9">G86</f>
        <v>96.599999999976717</v>
      </c>
      <c r="I86" s="1034"/>
      <c r="J86" s="1035">
        <f>H86/DAY(B2)</f>
        <v>4.3909090909080328</v>
      </c>
      <c r="K86" s="1036"/>
      <c r="L86" s="1037"/>
      <c r="N86" s="1096">
        <v>171</v>
      </c>
      <c r="O86" s="930">
        <f t="shared" si="7"/>
        <v>74.400000000023283</v>
      </c>
    </row>
    <row r="87" spans="1:15" s="1038" customFormat="1">
      <c r="A87" s="1029" t="s">
        <v>103</v>
      </c>
      <c r="B87" s="1030"/>
      <c r="C87" s="1030"/>
      <c r="D87" s="1031" t="s">
        <v>194</v>
      </c>
      <c r="E87" s="924">
        <f>'21'!F87</f>
        <v>78234.7</v>
      </c>
      <c r="F87" s="1032">
        <v>78262.7</v>
      </c>
      <c r="G87" s="1033">
        <f t="shared" si="8"/>
        <v>28</v>
      </c>
      <c r="H87" s="1033">
        <f t="shared" si="9"/>
        <v>28</v>
      </c>
      <c r="I87" s="1034"/>
      <c r="J87" s="1035">
        <f>H87/DAY(B2)</f>
        <v>1.2727272727272727</v>
      </c>
      <c r="K87" s="1036"/>
      <c r="L87" s="1037"/>
      <c r="N87" s="1096">
        <v>21</v>
      </c>
      <c r="O87" s="930">
        <f t="shared" si="7"/>
        <v>-7</v>
      </c>
    </row>
    <row r="88" spans="1:15" s="1038" customFormat="1">
      <c r="A88" s="1029" t="s">
        <v>104</v>
      </c>
      <c r="B88" s="1030"/>
      <c r="C88" s="1030"/>
      <c r="D88" s="1031" t="s">
        <v>194</v>
      </c>
      <c r="E88" s="924">
        <f>'21'!F88</f>
        <v>145876.79</v>
      </c>
      <c r="F88" s="1023">
        <v>145938</v>
      </c>
      <c r="G88" s="1033">
        <f t="shared" si="8"/>
        <v>61.209999999991851</v>
      </c>
      <c r="H88" s="1033">
        <f t="shared" si="9"/>
        <v>61.209999999991851</v>
      </c>
      <c r="I88" s="1034"/>
      <c r="J88" s="1035">
        <f>H88/DAY(B2)</f>
        <v>2.7822727272723569</v>
      </c>
      <c r="K88" s="1036"/>
      <c r="L88" s="1037"/>
      <c r="N88" s="1096">
        <v>86</v>
      </c>
      <c r="O88" s="930">
        <f t="shared" si="7"/>
        <v>24.790000000008149</v>
      </c>
    </row>
    <row r="89" spans="1:15" s="1038" customFormat="1">
      <c r="A89" s="1029" t="s">
        <v>215</v>
      </c>
      <c r="B89" s="1030"/>
      <c r="C89" s="1030"/>
      <c r="D89" s="1031" t="s">
        <v>194</v>
      </c>
      <c r="E89" s="924">
        <f>'21'!F89</f>
        <v>59136</v>
      </c>
      <c r="F89" s="1032">
        <v>59200</v>
      </c>
      <c r="G89" s="1033">
        <f t="shared" ref="G89:G90" si="10">F89-E89</f>
        <v>64</v>
      </c>
      <c r="H89" s="1033">
        <f t="shared" ref="H89:H90" si="11">G89</f>
        <v>64</v>
      </c>
      <c r="I89" s="1034"/>
      <c r="J89" s="1035" t="e">
        <f t="shared" ref="J89:J90" si="12">H89/DAY(B3)</f>
        <v>#DIV/0!</v>
      </c>
      <c r="K89" s="1036"/>
      <c r="L89" s="1037"/>
      <c r="N89" s="1097">
        <v>25</v>
      </c>
      <c r="O89" s="930">
        <f t="shared" si="7"/>
        <v>-39</v>
      </c>
    </row>
    <row r="90" spans="1:15" s="1038" customFormat="1">
      <c r="A90" s="1029" t="s">
        <v>215</v>
      </c>
      <c r="B90" s="1030"/>
      <c r="C90" s="1030"/>
      <c r="D90" s="1031" t="s">
        <v>194</v>
      </c>
      <c r="E90" s="924">
        <f>'21'!F90</f>
        <v>3039.3</v>
      </c>
      <c r="F90" s="1032">
        <v>3044</v>
      </c>
      <c r="G90" s="1033">
        <f t="shared" si="10"/>
        <v>4.6999999999998181</v>
      </c>
      <c r="H90" s="1033">
        <f t="shared" si="11"/>
        <v>4.6999999999998181</v>
      </c>
      <c r="I90" s="1034"/>
      <c r="J90" s="1035" t="e">
        <f t="shared" si="12"/>
        <v>#DIV/0!</v>
      </c>
      <c r="K90" s="1036"/>
      <c r="L90" s="1037"/>
      <c r="N90" s="1097">
        <v>1</v>
      </c>
      <c r="O90" s="930">
        <f t="shared" si="7"/>
        <v>-3.6999999999998181</v>
      </c>
    </row>
    <row r="91" spans="1:15" s="1028" customFormat="1">
      <c r="A91" s="1039" t="s">
        <v>216</v>
      </c>
      <c r="B91" s="918"/>
      <c r="C91" s="918"/>
      <c r="D91" s="918"/>
      <c r="E91" s="918"/>
      <c r="F91" s="918"/>
      <c r="G91" s="962"/>
      <c r="H91" s="918"/>
      <c r="I91" s="918"/>
      <c r="J91" s="919"/>
      <c r="K91" s="1024"/>
      <c r="L91" s="1027"/>
      <c r="N91" s="1095"/>
      <c r="O91" s="930">
        <f t="shared" si="7"/>
        <v>0</v>
      </c>
    </row>
    <row r="92" spans="1:15">
      <c r="A92" s="1522" t="s">
        <v>217</v>
      </c>
      <c r="B92" s="1523"/>
      <c r="C92" s="1524"/>
      <c r="D92" s="923" t="s">
        <v>155</v>
      </c>
      <c r="E92" s="924">
        <f>'21'!F92</f>
        <v>235692</v>
      </c>
      <c r="F92" s="954">
        <v>235779</v>
      </c>
      <c r="G92" s="925">
        <f t="shared" ref="G92:G93" si="13">F92-E92</f>
        <v>87</v>
      </c>
      <c r="H92" s="926">
        <f>G92+'21'!H92</f>
        <v>-791</v>
      </c>
      <c r="I92" s="945"/>
      <c r="J92" s="928">
        <f>H92/DAY(B2)</f>
        <v>-35.954545454545453</v>
      </c>
      <c r="K92" s="951"/>
      <c r="L92" s="903"/>
      <c r="N92" s="1092">
        <v>29</v>
      </c>
      <c r="O92" s="930">
        <f t="shared" si="7"/>
        <v>-58</v>
      </c>
    </row>
    <row r="93" spans="1:15">
      <c r="A93" s="1522" t="s">
        <v>218</v>
      </c>
      <c r="B93" s="1523"/>
      <c r="C93" s="1524"/>
      <c r="D93" s="923" t="s">
        <v>155</v>
      </c>
      <c r="E93" s="924">
        <f>'21'!F93</f>
        <v>169843</v>
      </c>
      <c r="F93" s="954">
        <v>169933</v>
      </c>
      <c r="G93" s="925">
        <f t="shared" si="13"/>
        <v>90</v>
      </c>
      <c r="H93" s="926">
        <f>G93+'21'!H93</f>
        <v>-1243</v>
      </c>
      <c r="I93" s="945"/>
      <c r="J93" s="928">
        <f>H93/DAY(B2)</f>
        <v>-56.5</v>
      </c>
      <c r="K93" s="1024"/>
      <c r="L93" s="903"/>
      <c r="N93" s="1092">
        <v>40</v>
      </c>
      <c r="O93" s="930">
        <f t="shared" si="7"/>
        <v>-50</v>
      </c>
    </row>
    <row r="94" spans="1:15">
      <c r="A94" s="1531" t="s">
        <v>219</v>
      </c>
      <c r="B94" s="1532"/>
      <c r="C94" s="1533"/>
      <c r="D94" s="923"/>
      <c r="E94" s="924">
        <f>'21'!F94</f>
        <v>0</v>
      </c>
      <c r="F94" s="954"/>
      <c r="G94" s="925">
        <f>G92+G93</f>
        <v>177</v>
      </c>
      <c r="H94" s="926">
        <f>G94+'21'!H94</f>
        <v>-2321</v>
      </c>
      <c r="I94" s="945"/>
      <c r="J94" s="928">
        <f>H94/DAY(B2)</f>
        <v>-105.5</v>
      </c>
      <c r="K94" s="1024"/>
      <c r="L94" s="903"/>
      <c r="N94" s="1092">
        <v>69</v>
      </c>
      <c r="O94" s="930">
        <f t="shared" si="7"/>
        <v>-108</v>
      </c>
    </row>
    <row r="95" spans="1:15">
      <c r="A95" s="1522" t="s">
        <v>220</v>
      </c>
      <c r="B95" s="1523"/>
      <c r="C95" s="1524"/>
      <c r="D95" s="923" t="s">
        <v>155</v>
      </c>
      <c r="E95" s="924">
        <f>'21'!F95</f>
        <v>405202</v>
      </c>
      <c r="F95" s="954">
        <v>405285</v>
      </c>
      <c r="G95" s="925">
        <f t="shared" ref="G95:G100" si="14">F95-E95</f>
        <v>83</v>
      </c>
      <c r="H95" s="926">
        <f>G95+'21'!H95</f>
        <v>-591</v>
      </c>
      <c r="I95" s="945"/>
      <c r="J95" s="928">
        <f>H95/DAY(B2)</f>
        <v>-26.863636363636363</v>
      </c>
      <c r="K95" s="1024"/>
      <c r="L95" s="903"/>
      <c r="N95" s="1092">
        <v>49</v>
      </c>
      <c r="O95" s="930">
        <f t="shared" si="7"/>
        <v>-34</v>
      </c>
    </row>
    <row r="96" spans="1:15">
      <c r="A96" s="952" t="s">
        <v>221</v>
      </c>
      <c r="B96" s="953"/>
      <c r="C96" s="953"/>
      <c r="D96" s="923" t="s">
        <v>155</v>
      </c>
      <c r="E96" s="924">
        <f>'21'!F96</f>
        <v>100295</v>
      </c>
      <c r="F96" s="954">
        <v>100313</v>
      </c>
      <c r="G96" s="925">
        <f t="shared" si="14"/>
        <v>18</v>
      </c>
      <c r="H96" s="926">
        <f>G96+'21'!H96</f>
        <v>-221</v>
      </c>
      <c r="I96" s="945"/>
      <c r="J96" s="928">
        <f>H96/DAY(B2)</f>
        <v>-10.045454545454545</v>
      </c>
      <c r="K96" s="920"/>
      <c r="L96" s="903"/>
      <c r="N96" s="1092">
        <v>7</v>
      </c>
      <c r="O96" s="930">
        <f t="shared" si="7"/>
        <v>-11</v>
      </c>
    </row>
    <row r="97" spans="1:15">
      <c r="A97" s="952" t="s">
        <v>222</v>
      </c>
      <c r="B97" s="953"/>
      <c r="C97" s="953"/>
      <c r="D97" s="923" t="s">
        <v>155</v>
      </c>
      <c r="E97" s="924">
        <f>'21'!F97</f>
        <v>95453</v>
      </c>
      <c r="F97" s="954">
        <v>95473</v>
      </c>
      <c r="G97" s="925">
        <f t="shared" si="14"/>
        <v>20</v>
      </c>
      <c r="H97" s="926">
        <f>G97+'21'!H97</f>
        <v>-204</v>
      </c>
      <c r="I97" s="945"/>
      <c r="J97" s="928">
        <f>H97/DAY(B2)</f>
        <v>-9.2727272727272734</v>
      </c>
      <c r="K97" s="1040"/>
      <c r="L97" s="903"/>
      <c r="N97" s="1092">
        <v>12</v>
      </c>
      <c r="O97" s="930">
        <f t="shared" si="7"/>
        <v>-8</v>
      </c>
    </row>
    <row r="98" spans="1:15">
      <c r="A98" s="952" t="s">
        <v>223</v>
      </c>
      <c r="B98" s="953"/>
      <c r="C98" s="953"/>
      <c r="D98" s="923" t="s">
        <v>155</v>
      </c>
      <c r="E98" s="924">
        <f>'21'!F98</f>
        <v>144965</v>
      </c>
      <c r="F98" s="954">
        <v>145021</v>
      </c>
      <c r="G98" s="925">
        <f t="shared" si="14"/>
        <v>56</v>
      </c>
      <c r="H98" s="926">
        <f>G98+'21'!H98</f>
        <v>-533</v>
      </c>
      <c r="I98" s="945"/>
      <c r="J98" s="928">
        <f>H98/DAY(B2)</f>
        <v>-24.227272727272727</v>
      </c>
      <c r="K98" s="1024"/>
      <c r="L98" s="903"/>
      <c r="N98" s="1092">
        <v>16</v>
      </c>
      <c r="O98" s="930">
        <f t="shared" si="7"/>
        <v>-40</v>
      </c>
    </row>
    <row r="99" spans="1:15">
      <c r="A99" s="952" t="s">
        <v>224</v>
      </c>
      <c r="B99" s="953"/>
      <c r="C99" s="953"/>
      <c r="D99" s="923" t="s">
        <v>155</v>
      </c>
      <c r="E99" s="924">
        <f>'21'!F99</f>
        <v>5787</v>
      </c>
      <c r="F99" s="954">
        <v>5804</v>
      </c>
      <c r="G99" s="925">
        <f t="shared" si="14"/>
        <v>17</v>
      </c>
      <c r="H99" s="926">
        <f>G99+'21'!H99</f>
        <v>-170</v>
      </c>
      <c r="I99" s="945"/>
      <c r="J99" s="928">
        <f>H99/DAY(B2)</f>
        <v>-7.7272727272727275</v>
      </c>
      <c r="K99" s="1024"/>
      <c r="L99" s="903"/>
      <c r="N99" s="1092">
        <v>3</v>
      </c>
      <c r="O99" s="930">
        <f t="shared" si="7"/>
        <v>-14</v>
      </c>
    </row>
    <row r="100" spans="1:15">
      <c r="A100" s="952" t="s">
        <v>225</v>
      </c>
      <c r="B100" s="953"/>
      <c r="C100" s="953"/>
      <c r="D100" s="923" t="s">
        <v>155</v>
      </c>
      <c r="E100" s="924">
        <f>'21'!F100</f>
        <v>4159</v>
      </c>
      <c r="F100" s="954">
        <v>4165</v>
      </c>
      <c r="G100" s="925">
        <f t="shared" si="14"/>
        <v>6</v>
      </c>
      <c r="H100" s="926">
        <f>G100+'21'!H100</f>
        <v>-72</v>
      </c>
      <c r="I100" s="945"/>
      <c r="J100" s="928">
        <f>H100/DAY(B2)</f>
        <v>-3.2727272727272729</v>
      </c>
      <c r="K100" s="1024"/>
      <c r="L100" s="903"/>
      <c r="N100" s="1092">
        <v>0</v>
      </c>
      <c r="O100" s="930">
        <f t="shared" si="7"/>
        <v>-6</v>
      </c>
    </row>
    <row r="101" spans="1:15">
      <c r="A101" s="1531" t="s">
        <v>227</v>
      </c>
      <c r="B101" s="1532"/>
      <c r="C101" s="1533"/>
      <c r="D101" s="957"/>
      <c r="E101" s="957"/>
      <c r="F101" s="957"/>
      <c r="G101" s="1041">
        <f>SUM(G95:G100)</f>
        <v>200</v>
      </c>
      <c r="H101" s="926">
        <f>G101+'21'!H101</f>
        <v>-1791</v>
      </c>
      <c r="I101" s="1042"/>
      <c r="J101" s="928">
        <f>H101/DAY(B2)</f>
        <v>-81.409090909090907</v>
      </c>
      <c r="K101" s="1024"/>
      <c r="L101" s="903"/>
      <c r="N101" s="1092">
        <v>87</v>
      </c>
      <c r="O101" s="930">
        <f t="shared" si="7"/>
        <v>-113</v>
      </c>
    </row>
    <row r="102" spans="1:15" s="975" customFormat="1">
      <c r="A102" s="1043" t="s">
        <v>228</v>
      </c>
      <c r="B102" s="1044"/>
      <c r="C102" s="1044"/>
      <c r="D102" s="1045"/>
      <c r="E102" s="1046"/>
      <c r="F102" s="1047"/>
      <c r="G102" s="1048"/>
      <c r="H102" s="1049"/>
      <c r="I102" s="1050"/>
      <c r="J102" s="1051"/>
      <c r="N102" s="1093"/>
      <c r="O102" s="930">
        <f t="shared" si="7"/>
        <v>0</v>
      </c>
    </row>
    <row r="103" spans="1:15" s="975" customFormat="1">
      <c r="A103" s="1539" t="s">
        <v>229</v>
      </c>
      <c r="B103" s="1540"/>
      <c r="C103" s="1052"/>
      <c r="D103" s="1053"/>
      <c r="E103" s="1054"/>
      <c r="F103" s="1054"/>
      <c r="G103" s="1054"/>
      <c r="H103" s="1055"/>
      <c r="I103" s="1054"/>
      <c r="J103" s="1056"/>
      <c r="N103" s="1093"/>
      <c r="O103" s="930">
        <f t="shared" si="7"/>
        <v>0</v>
      </c>
    </row>
    <row r="104" spans="1:15" s="975" customFormat="1">
      <c r="A104" s="1512" t="s">
        <v>230</v>
      </c>
      <c r="B104" s="1513"/>
      <c r="C104" s="1057"/>
      <c r="D104" s="1053" t="s">
        <v>155</v>
      </c>
      <c r="E104" s="1054">
        <f>'21'!F104</f>
        <v>7010</v>
      </c>
      <c r="F104" s="1054">
        <v>7010</v>
      </c>
      <c r="G104" s="1054">
        <f>F104-E104</f>
        <v>0</v>
      </c>
      <c r="H104" s="1055">
        <f>SUM(G104+'1'!G76)</f>
        <v>74</v>
      </c>
      <c r="I104" s="1054"/>
      <c r="J104" s="1056">
        <f>H104/DAY(B2)</f>
        <v>3.3636363636363638</v>
      </c>
      <c r="N104" s="1093">
        <v>0</v>
      </c>
      <c r="O104" s="930">
        <f t="shared" si="7"/>
        <v>0</v>
      </c>
    </row>
    <row r="105" spans="1:15" s="975" customFormat="1">
      <c r="A105" s="1512" t="s">
        <v>77</v>
      </c>
      <c r="B105" s="1513"/>
      <c r="C105" s="1057"/>
      <c r="D105" s="1053" t="s">
        <v>155</v>
      </c>
      <c r="E105" s="1054">
        <f>'21'!F105</f>
        <v>35082</v>
      </c>
      <c r="F105" s="1058">
        <v>35091</v>
      </c>
      <c r="G105" s="1054">
        <f t="shared" ref="G105:G106" si="15">F105-E105</f>
        <v>9</v>
      </c>
      <c r="H105" s="1055">
        <f>SUM(G105+'1'!G77)</f>
        <v>57</v>
      </c>
      <c r="I105" s="1054"/>
      <c r="J105" s="1056">
        <f>H105/DAY(B2)</f>
        <v>2.5909090909090908</v>
      </c>
      <c r="N105" s="1093">
        <v>12</v>
      </c>
      <c r="O105" s="930">
        <f t="shared" si="7"/>
        <v>3</v>
      </c>
    </row>
    <row r="106" spans="1:15" s="975" customFormat="1">
      <c r="A106" s="1512" t="s">
        <v>78</v>
      </c>
      <c r="B106" s="1541"/>
      <c r="C106" s="1513"/>
      <c r="D106" s="1053" t="s">
        <v>155</v>
      </c>
      <c r="E106" s="1054">
        <f>'21'!F106</f>
        <v>19030</v>
      </c>
      <c r="F106" s="1054">
        <v>19036</v>
      </c>
      <c r="G106" s="1054">
        <f t="shared" si="15"/>
        <v>6</v>
      </c>
      <c r="H106" s="1055">
        <f>SUM(G106+'1'!G78)</f>
        <v>340</v>
      </c>
      <c r="I106" s="1054"/>
      <c r="J106" s="1056">
        <f>H106/DAY(B2)</f>
        <v>15.454545454545455</v>
      </c>
      <c r="N106" s="1093">
        <v>4</v>
      </c>
      <c r="O106" s="930">
        <f t="shared" si="7"/>
        <v>-2</v>
      </c>
    </row>
    <row r="107" spans="1:15" s="975" customFormat="1">
      <c r="A107" s="1514" t="s">
        <v>213</v>
      </c>
      <c r="B107" s="1515"/>
      <c r="C107" s="1057"/>
      <c r="D107" s="1053"/>
      <c r="E107" s="1054">
        <f>'21'!F107</f>
        <v>0</v>
      </c>
      <c r="F107" s="1054"/>
      <c r="G107" s="1054">
        <f>SUM(G104:G106)</f>
        <v>15</v>
      </c>
      <c r="H107" s="1055">
        <f>SUM(G107+'1'!G79)</f>
        <v>220</v>
      </c>
      <c r="I107" s="1054"/>
      <c r="J107" s="1056">
        <f>H107/DAY(B2)</f>
        <v>10</v>
      </c>
      <c r="N107" s="1093">
        <v>16</v>
      </c>
      <c r="O107" s="930">
        <f t="shared" si="7"/>
        <v>1</v>
      </c>
    </row>
    <row r="108" spans="1:15" s="975" customFormat="1">
      <c r="A108" s="1520" t="s">
        <v>79</v>
      </c>
      <c r="B108" s="1521"/>
      <c r="C108" s="1057"/>
      <c r="D108" s="1053" t="s">
        <v>155</v>
      </c>
      <c r="E108" s="1054">
        <f>'21'!F108</f>
        <v>0</v>
      </c>
      <c r="F108" s="1054"/>
      <c r="G108" s="1054"/>
      <c r="H108" s="1055"/>
      <c r="I108" s="1054"/>
      <c r="J108" s="1056"/>
      <c r="N108" s="1093"/>
      <c r="O108" s="930">
        <f t="shared" si="7"/>
        <v>0</v>
      </c>
    </row>
    <row r="109" spans="1:15" s="975" customFormat="1">
      <c r="A109" s="1512" t="s">
        <v>231</v>
      </c>
      <c r="B109" s="1513"/>
      <c r="C109" s="1057"/>
      <c r="D109" s="1053" t="s">
        <v>155</v>
      </c>
      <c r="E109" s="1054">
        <f>'21'!F109</f>
        <v>54146</v>
      </c>
      <c r="F109" s="1054">
        <v>54208</v>
      </c>
      <c r="G109" s="1054">
        <f>F109-E109</f>
        <v>62</v>
      </c>
      <c r="H109" s="1055">
        <f>SUM(G109+'1'!G81)</f>
        <v>138</v>
      </c>
      <c r="I109" s="1054"/>
      <c r="J109" s="1056">
        <f>H109/DAY(B2)</f>
        <v>6.2727272727272725</v>
      </c>
      <c r="N109" s="1093">
        <v>39</v>
      </c>
      <c r="O109" s="930">
        <f t="shared" si="7"/>
        <v>-23</v>
      </c>
    </row>
    <row r="110" spans="1:15" s="975" customFormat="1">
      <c r="A110" s="1512" t="s">
        <v>232</v>
      </c>
      <c r="B110" s="1513"/>
      <c r="C110" s="1057"/>
      <c r="D110" s="1053" t="s">
        <v>155</v>
      </c>
      <c r="E110" s="1054">
        <f>'21'!F110</f>
        <v>27994</v>
      </c>
      <c r="F110" s="1054">
        <v>28045</v>
      </c>
      <c r="G110" s="1054">
        <f t="shared" ref="G110:G111" si="16">F110-E110</f>
        <v>51</v>
      </c>
      <c r="H110" s="1055">
        <f>SUM(G110+'1'!G82)</f>
        <v>96</v>
      </c>
      <c r="I110" s="1054"/>
      <c r="J110" s="1056">
        <f>H110/DAY(B2)</f>
        <v>4.3636363636363633</v>
      </c>
      <c r="N110" s="1093">
        <v>8</v>
      </c>
      <c r="O110" s="930">
        <f t="shared" si="7"/>
        <v>-43</v>
      </c>
    </row>
    <row r="111" spans="1:15" s="975" customFormat="1">
      <c r="A111" s="1512" t="s">
        <v>233</v>
      </c>
      <c r="B111" s="1513"/>
      <c r="C111" s="1057"/>
      <c r="D111" s="1053" t="s">
        <v>155</v>
      </c>
      <c r="E111" s="1054">
        <f>'21'!F111</f>
        <v>3694</v>
      </c>
      <c r="F111" s="1054">
        <v>3694</v>
      </c>
      <c r="G111" s="1054">
        <f t="shared" si="16"/>
        <v>0</v>
      </c>
      <c r="H111" s="1055">
        <f>SUM(G111+'1'!G83)</f>
        <v>433</v>
      </c>
      <c r="I111" s="1054"/>
      <c r="J111" s="1056">
        <f>H111/DAY(B2)</f>
        <v>19.681818181818183</v>
      </c>
      <c r="N111" s="1093">
        <v>0</v>
      </c>
      <c r="O111" s="930">
        <f t="shared" si="7"/>
        <v>0</v>
      </c>
    </row>
    <row r="112" spans="1:15" s="975" customFormat="1">
      <c r="A112" s="1518" t="s">
        <v>121</v>
      </c>
      <c r="B112" s="1519"/>
      <c r="C112" s="1057"/>
      <c r="D112" s="1053"/>
      <c r="E112" s="1054">
        <f>'21'!F112</f>
        <v>0</v>
      </c>
      <c r="F112" s="1054"/>
      <c r="G112" s="1054">
        <f>SUM(G109:G111)</f>
        <v>113</v>
      </c>
      <c r="H112" s="1055">
        <f>SUM(G112+'1'!G84)</f>
        <v>634</v>
      </c>
      <c r="I112" s="1054"/>
      <c r="J112" s="1056">
        <f>H112/DAY(B2)</f>
        <v>28.818181818181817</v>
      </c>
      <c r="N112" s="1093">
        <v>47</v>
      </c>
      <c r="O112" s="930">
        <f t="shared" si="7"/>
        <v>-66</v>
      </c>
    </row>
    <row r="113" spans="1:15" s="975" customFormat="1">
      <c r="A113" s="1520" t="s">
        <v>234</v>
      </c>
      <c r="B113" s="1521"/>
      <c r="C113" s="1057"/>
      <c r="D113" s="1053"/>
      <c r="E113" s="1054">
        <f>'21'!F113</f>
        <v>0</v>
      </c>
      <c r="F113" s="1054"/>
      <c r="G113" s="1054"/>
      <c r="H113" s="1055"/>
      <c r="I113" s="1054"/>
      <c r="J113" s="1056">
        <f>H113/DAY(B2)</f>
        <v>0</v>
      </c>
      <c r="N113" s="1093"/>
      <c r="O113" s="930">
        <f t="shared" si="7"/>
        <v>0</v>
      </c>
    </row>
    <row r="114" spans="1:15" s="975" customFormat="1">
      <c r="A114" s="1512" t="s">
        <v>235</v>
      </c>
      <c r="B114" s="1513"/>
      <c r="C114" s="1059"/>
      <c r="D114" s="1053" t="s">
        <v>155</v>
      </c>
      <c r="E114" s="1054">
        <f>'21'!F114</f>
        <v>9582</v>
      </c>
      <c r="F114" s="1058">
        <v>9602</v>
      </c>
      <c r="G114" s="1058">
        <f>F114-E114</f>
        <v>20</v>
      </c>
      <c r="H114" s="1055">
        <f>SUM(G114+'1'!G91)</f>
        <v>20</v>
      </c>
      <c r="I114" s="1054"/>
      <c r="J114" s="1056">
        <f>H114/DAY(B2)</f>
        <v>0.90909090909090906</v>
      </c>
      <c r="N114" s="1093">
        <v>3</v>
      </c>
      <c r="O114" s="930">
        <f t="shared" si="7"/>
        <v>-17</v>
      </c>
    </row>
    <row r="115" spans="1:15" s="975" customFormat="1">
      <c r="A115" s="1512" t="s">
        <v>236</v>
      </c>
      <c r="B115" s="1513"/>
      <c r="C115" s="1059"/>
      <c r="D115" s="1053" t="s">
        <v>155</v>
      </c>
      <c r="E115" s="1054">
        <f>'21'!F115</f>
        <v>7352</v>
      </c>
      <c r="F115" s="1058">
        <v>7362</v>
      </c>
      <c r="G115" s="1058">
        <f t="shared" ref="G115:G116" si="17">F115-E115</f>
        <v>10</v>
      </c>
      <c r="H115" s="1055">
        <f>SUM(G115+'1'!G92)</f>
        <v>97</v>
      </c>
      <c r="I115" s="1054"/>
      <c r="J115" s="1056">
        <f>H115/DAY(B2)</f>
        <v>4.4090909090909092</v>
      </c>
      <c r="N115" s="1093">
        <v>4</v>
      </c>
      <c r="O115" s="930">
        <f t="shared" si="7"/>
        <v>-6</v>
      </c>
    </row>
    <row r="116" spans="1:15" s="975" customFormat="1">
      <c r="A116" s="1512" t="s">
        <v>237</v>
      </c>
      <c r="B116" s="1513"/>
      <c r="C116" s="1059"/>
      <c r="D116" s="1053" t="s">
        <v>155</v>
      </c>
      <c r="E116" s="1058"/>
      <c r="F116" s="1058"/>
      <c r="G116" s="1058">
        <f t="shared" si="17"/>
        <v>0</v>
      </c>
      <c r="H116" s="1055">
        <f>SUM(G116+'1'!G93)</f>
        <v>200</v>
      </c>
      <c r="I116" s="1054"/>
      <c r="J116" s="1056">
        <f>H116/DAY(B2)</f>
        <v>9.0909090909090917</v>
      </c>
      <c r="N116" s="1093">
        <v>0</v>
      </c>
      <c r="O116" s="930">
        <f t="shared" si="7"/>
        <v>0</v>
      </c>
    </row>
    <row r="117" spans="1:15" s="1061" customFormat="1">
      <c r="A117" s="1514" t="s">
        <v>213</v>
      </c>
      <c r="B117" s="1515"/>
      <c r="C117" s="1059"/>
      <c r="D117" s="1060"/>
      <c r="E117" s="1058"/>
      <c r="F117" s="1058"/>
      <c r="G117" s="1058">
        <f>SUM(G114:G116)</f>
        <v>30</v>
      </c>
      <c r="H117" s="1055">
        <f>SUM(G117+'1'!G95)</f>
        <v>102</v>
      </c>
      <c r="I117" s="1058"/>
      <c r="J117" s="1056">
        <f>H117/DAY(B2)</f>
        <v>4.6363636363636367</v>
      </c>
      <c r="N117" s="1098">
        <v>7</v>
      </c>
      <c r="O117" s="930">
        <f t="shared" si="7"/>
        <v>-23</v>
      </c>
    </row>
    <row r="118" spans="1:15" s="851" customFormat="1">
      <c r="A118" s="1516" t="s">
        <v>238</v>
      </c>
      <c r="B118" s="1517"/>
      <c r="C118" s="1062"/>
      <c r="D118" s="1063" t="s">
        <v>155</v>
      </c>
      <c r="E118" s="1064"/>
      <c r="F118" s="1065">
        <f>SUM(G19+G92)</f>
        <v>144</v>
      </c>
      <c r="G118" s="1065">
        <f>SUM(G19+G92)</f>
        <v>144</v>
      </c>
      <c r="H118" s="1055">
        <f>SUM(G118+'1'!G96)</f>
        <v>167</v>
      </c>
      <c r="I118" s="1064"/>
      <c r="J118" s="1066">
        <f>H118/DAY(B2)</f>
        <v>7.5909090909090908</v>
      </c>
      <c r="N118" s="1099">
        <v>82</v>
      </c>
      <c r="O118" s="930">
        <f t="shared" si="7"/>
        <v>-62</v>
      </c>
    </row>
    <row r="119" spans="1:15" s="851" customFormat="1">
      <c r="A119" s="1516" t="s">
        <v>239</v>
      </c>
      <c r="B119" s="1517"/>
      <c r="C119" s="1062"/>
      <c r="D119" s="1063" t="s">
        <v>155</v>
      </c>
      <c r="E119" s="1064"/>
      <c r="F119" s="1065">
        <f>SUM(G95,G96,G97,G99,G100)</f>
        <v>144</v>
      </c>
      <c r="G119" s="1065">
        <f>SUM(G95,G96,G97,G99,G100)</f>
        <v>144</v>
      </c>
      <c r="H119" s="1055">
        <f>SUM(G119+'1'!G98)</f>
        <v>227</v>
      </c>
      <c r="I119" s="1064"/>
      <c r="J119" s="1066">
        <f>H119/DAY(B2)</f>
        <v>10.318181818181818</v>
      </c>
      <c r="N119" s="1099">
        <v>71</v>
      </c>
      <c r="O119" s="930">
        <f t="shared" si="7"/>
        <v>-73</v>
      </c>
    </row>
    <row r="120" spans="1:15" s="851" customFormat="1">
      <c r="A120" s="1516" t="s">
        <v>240</v>
      </c>
      <c r="B120" s="1517"/>
      <c r="C120" s="1062"/>
      <c r="D120" s="1063" t="s">
        <v>155</v>
      </c>
      <c r="E120" s="1064"/>
      <c r="F120" s="1058">
        <f>SUM(G112)</f>
        <v>113</v>
      </c>
      <c r="G120" s="1058">
        <f>SUM(G112)</f>
        <v>113</v>
      </c>
      <c r="H120" s="1055">
        <f>SUM(G120+'1'!G100)</f>
        <v>119</v>
      </c>
      <c r="I120" s="1064"/>
      <c r="J120" s="1066">
        <f>H120/DAY(B2)</f>
        <v>5.4090909090909092</v>
      </c>
      <c r="N120" s="1099">
        <v>47</v>
      </c>
      <c r="O120" s="930">
        <f t="shared" si="7"/>
        <v>-66</v>
      </c>
    </row>
    <row r="121" spans="1:15" s="975" customFormat="1">
      <c r="A121" s="1510"/>
      <c r="B121" s="1511"/>
      <c r="C121" s="1057"/>
      <c r="D121" s="1052"/>
      <c r="E121" s="1052"/>
      <c r="F121" s="1052" t="s">
        <v>226</v>
      </c>
      <c r="G121" s="1052"/>
      <c r="H121" s="1067"/>
      <c r="I121" s="1052"/>
      <c r="J121" s="1068"/>
      <c r="N121" s="1093"/>
      <c r="O121" s="930">
        <f t="shared" si="7"/>
        <v>0</v>
      </c>
    </row>
    <row r="122" spans="1:15">
      <c r="A122" s="1534" t="s">
        <v>241</v>
      </c>
      <c r="B122" s="1535"/>
      <c r="C122" s="1536"/>
      <c r="D122" s="918"/>
      <c r="E122" s="918"/>
      <c r="F122" s="918"/>
      <c r="G122" s="950"/>
      <c r="H122" s="950"/>
      <c r="I122" s="950"/>
      <c r="J122" s="1069"/>
      <c r="K122" s="1024"/>
      <c r="L122" s="903"/>
      <c r="O122" s="930">
        <f t="shared" si="7"/>
        <v>0</v>
      </c>
    </row>
    <row r="123" spans="1:15">
      <c r="A123" s="952" t="s">
        <v>242</v>
      </c>
      <c r="B123" s="953"/>
      <c r="C123" s="953"/>
      <c r="D123" s="923" t="s">
        <v>152</v>
      </c>
      <c r="E123" s="924">
        <f>'21'!F123</f>
        <v>800703.85</v>
      </c>
      <c r="F123" s="942">
        <v>800972.08</v>
      </c>
      <c r="G123" s="925">
        <f t="shared" ref="G123:G127" si="18">F123-E123</f>
        <v>268.22999999998137</v>
      </c>
      <c r="H123" s="926">
        <f>G123+'21'!H123</f>
        <v>-2363.3200000000652</v>
      </c>
      <c r="I123" s="1042"/>
      <c r="J123" s="928">
        <f>H123/DAY(B2)</f>
        <v>-107.42363636363933</v>
      </c>
      <c r="K123" s="1024"/>
      <c r="L123" s="903"/>
      <c r="N123" s="1092">
        <v>100.59000000008382</v>
      </c>
      <c r="O123" s="930">
        <f t="shared" si="7"/>
        <v>-167.63999999989755</v>
      </c>
    </row>
    <row r="124" spans="1:15">
      <c r="A124" s="952" t="s">
        <v>243</v>
      </c>
      <c r="B124" s="953"/>
      <c r="C124" s="953"/>
      <c r="D124" s="923" t="s">
        <v>152</v>
      </c>
      <c r="E124" s="924">
        <f>'21'!F124</f>
        <v>73582.3</v>
      </c>
      <c r="F124" s="958">
        <v>73582.3</v>
      </c>
      <c r="G124" s="925">
        <f t="shared" si="18"/>
        <v>0</v>
      </c>
      <c r="H124" s="926">
        <f>G124+'21'!H124</f>
        <v>0.30000000000291038</v>
      </c>
      <c r="I124" s="1042"/>
      <c r="J124" s="928">
        <f>H124/DAY(B2)</f>
        <v>1.3636363636495926E-2</v>
      </c>
      <c r="K124" s="1024"/>
      <c r="L124" s="903"/>
      <c r="N124" s="1092">
        <v>0</v>
      </c>
      <c r="O124" s="930">
        <f t="shared" si="7"/>
        <v>0</v>
      </c>
    </row>
    <row r="125" spans="1:15">
      <c r="A125" s="1528" t="s">
        <v>244</v>
      </c>
      <c r="B125" s="1529"/>
      <c r="C125" s="1530"/>
      <c r="D125" s="923" t="s">
        <v>152</v>
      </c>
      <c r="E125" s="924">
        <f>'21'!F125</f>
        <v>137161.01999999999</v>
      </c>
      <c r="F125" s="942">
        <v>137241.04999999999</v>
      </c>
      <c r="G125" s="925">
        <f t="shared" si="18"/>
        <v>80.029999999998836</v>
      </c>
      <c r="H125" s="926">
        <f>G125+'21'!H125</f>
        <v>-606.95000000001164</v>
      </c>
      <c r="I125" s="1042"/>
      <c r="J125" s="928">
        <f>H125/DAY(B2)</f>
        <v>-27.588636363636894</v>
      </c>
      <c r="K125" s="1024"/>
      <c r="L125" s="903"/>
      <c r="N125" s="1092">
        <v>62</v>
      </c>
      <c r="O125" s="930">
        <f t="shared" si="7"/>
        <v>-18.029999999998836</v>
      </c>
    </row>
    <row r="126" spans="1:15">
      <c r="A126" s="1071" t="s">
        <v>245</v>
      </c>
      <c r="B126" s="953"/>
      <c r="C126" s="953"/>
      <c r="D126" s="923" t="s">
        <v>152</v>
      </c>
      <c r="E126" s="924">
        <f>'21'!F126</f>
        <v>58066</v>
      </c>
      <c r="F126" s="958">
        <v>58105</v>
      </c>
      <c r="G126" s="925">
        <f t="shared" si="18"/>
        <v>39</v>
      </c>
      <c r="H126" s="926">
        <f>G126+'21'!H126</f>
        <v>-286.69999999999709</v>
      </c>
      <c r="I126" s="1042"/>
      <c r="J126" s="928">
        <f>H126/DAY(B2)</f>
        <v>-13.03181818181805</v>
      </c>
      <c r="K126" s="1024"/>
      <c r="L126" s="903"/>
      <c r="N126" s="1092">
        <v>0</v>
      </c>
      <c r="O126" s="930">
        <f t="shared" si="7"/>
        <v>-39</v>
      </c>
    </row>
    <row r="127" spans="1:15">
      <c r="A127" s="1071" t="s">
        <v>246</v>
      </c>
      <c r="B127" s="953"/>
      <c r="C127" s="953"/>
      <c r="D127" s="923" t="s">
        <v>152</v>
      </c>
      <c r="E127" s="924">
        <f>'21'!F127</f>
        <v>8778.7000000000007</v>
      </c>
      <c r="F127" s="958">
        <v>8785</v>
      </c>
      <c r="G127" s="925">
        <f t="shared" si="18"/>
        <v>6.2999999999992724</v>
      </c>
      <c r="H127" s="926">
        <f>G127+'21'!H127</f>
        <v>-31</v>
      </c>
      <c r="I127" s="945"/>
      <c r="J127" s="928">
        <f>H127/DAY(B2)</f>
        <v>-1.4090909090909092</v>
      </c>
      <c r="K127" s="1024"/>
      <c r="L127" s="903"/>
      <c r="N127" s="1092">
        <v>0</v>
      </c>
      <c r="O127" s="930">
        <f t="shared" si="7"/>
        <v>-6.2999999999992724</v>
      </c>
    </row>
    <row r="128" spans="1:15">
      <c r="A128" s="1071" t="s">
        <v>247</v>
      </c>
      <c r="B128" s="953"/>
      <c r="C128" s="953"/>
      <c r="D128" s="923"/>
      <c r="E128" s="924"/>
      <c r="F128" s="942"/>
      <c r="G128" s="925">
        <f>G15-SUM(G123:G127)</f>
        <v>510.44000000002052</v>
      </c>
      <c r="H128" s="926">
        <f>G128+'21'!H128</f>
        <v>-11118.980000000152</v>
      </c>
      <c r="I128" s="945"/>
      <c r="J128" s="928">
        <f>H128/DAY(B2)</f>
        <v>-505.40818181818872</v>
      </c>
      <c r="K128" s="1024"/>
      <c r="L128" s="903"/>
      <c r="N128" s="1092">
        <v>336.61999999987893</v>
      </c>
      <c r="O128" s="930">
        <f t="shared" si="7"/>
        <v>-173.82000000014159</v>
      </c>
    </row>
    <row r="129" spans="1:15">
      <c r="A129" s="1072" t="s">
        <v>248</v>
      </c>
      <c r="B129" s="917"/>
      <c r="C129" s="917"/>
      <c r="D129" s="917"/>
      <c r="E129" s="917"/>
      <c r="F129" s="917"/>
      <c r="G129" s="1073"/>
      <c r="H129" s="1073"/>
      <c r="I129" s="1073"/>
      <c r="J129" s="1074"/>
      <c r="O129" s="930">
        <f t="shared" si="7"/>
        <v>0</v>
      </c>
    </row>
    <row r="130" spans="1:15">
      <c r="A130" s="952" t="s">
        <v>249</v>
      </c>
      <c r="B130" s="953"/>
      <c r="C130" s="953"/>
      <c r="D130" s="923" t="s">
        <v>250</v>
      </c>
      <c r="E130" s="924">
        <f>'21'!F130</f>
        <v>0</v>
      </c>
      <c r="F130" s="954">
        <v>0</v>
      </c>
      <c r="G130" s="925">
        <f t="shared" ref="G130:G140" si="19">F130-E130</f>
        <v>0</v>
      </c>
      <c r="H130" s="926">
        <f>G130+'21'!H130</f>
        <v>0</v>
      </c>
      <c r="I130" s="945"/>
      <c r="J130" s="928">
        <f>H130/DAY(B2)</f>
        <v>0</v>
      </c>
      <c r="N130" s="1092">
        <v>0</v>
      </c>
      <c r="O130" s="930">
        <f t="shared" si="7"/>
        <v>0</v>
      </c>
    </row>
    <row r="131" spans="1:15">
      <c r="A131" s="952" t="s">
        <v>251</v>
      </c>
      <c r="B131" s="953"/>
      <c r="C131" s="953"/>
      <c r="D131" s="923" t="s">
        <v>250</v>
      </c>
      <c r="E131" s="924">
        <f>'21'!F131</f>
        <v>0</v>
      </c>
      <c r="F131" s="954">
        <v>0</v>
      </c>
      <c r="G131" s="925">
        <f t="shared" si="19"/>
        <v>0</v>
      </c>
      <c r="H131" s="926">
        <f>G131+'21'!H131</f>
        <v>0</v>
      </c>
      <c r="I131" s="945"/>
      <c r="J131" s="928">
        <f>H131/DAY(B2)</f>
        <v>0</v>
      </c>
      <c r="N131" s="1092">
        <v>0</v>
      </c>
      <c r="O131" s="930">
        <f t="shared" si="7"/>
        <v>0</v>
      </c>
    </row>
    <row r="132" spans="1:15">
      <c r="A132" s="952" t="s">
        <v>252</v>
      </c>
      <c r="B132" s="953"/>
      <c r="C132" s="953"/>
      <c r="D132" s="923" t="s">
        <v>250</v>
      </c>
      <c r="E132" s="924">
        <f>'21'!F132</f>
        <v>38864.58</v>
      </c>
      <c r="F132" s="1075">
        <v>38889.06</v>
      </c>
      <c r="G132" s="925">
        <f t="shared" si="19"/>
        <v>24.479999999995925</v>
      </c>
      <c r="H132" s="926">
        <f>G132+'21'!H132</f>
        <v>170.66999999999098</v>
      </c>
      <c r="I132" s="945"/>
      <c r="J132" s="928">
        <f>H132/DAY(B2)</f>
        <v>7.7577272727268625</v>
      </c>
      <c r="N132" s="1092">
        <v>0</v>
      </c>
      <c r="O132" s="930">
        <f t="shared" si="7"/>
        <v>-24.479999999995925</v>
      </c>
    </row>
    <row r="133" spans="1:15">
      <c r="A133" s="952" t="s">
        <v>253</v>
      </c>
      <c r="B133" s="953"/>
      <c r="C133" s="953"/>
      <c r="D133" s="923" t="s">
        <v>250</v>
      </c>
      <c r="E133" s="924">
        <f>'21'!F133</f>
        <v>299.02</v>
      </c>
      <c r="F133" s="1075">
        <v>299.02</v>
      </c>
      <c r="G133" s="925">
        <f t="shared" si="19"/>
        <v>0</v>
      </c>
      <c r="H133" s="926">
        <f>G133+'21'!H133</f>
        <v>1.999999999998181E-2</v>
      </c>
      <c r="I133" s="945">
        <f>G130+G131+G132+G133</f>
        <v>24.479999999995925</v>
      </c>
      <c r="J133" s="928">
        <f>H133/DAY(B2)</f>
        <v>9.0909090909008228E-4</v>
      </c>
      <c r="N133" s="1092">
        <v>24.040000000000873</v>
      </c>
      <c r="O133" s="930">
        <f t="shared" si="7"/>
        <v>24.040000000000873</v>
      </c>
    </row>
    <row r="134" spans="1:15">
      <c r="A134" s="952" t="s">
        <v>254</v>
      </c>
      <c r="B134" s="953"/>
      <c r="C134" s="953"/>
      <c r="D134" s="923" t="s">
        <v>250</v>
      </c>
      <c r="E134" s="924">
        <f>'21'!F134</f>
        <v>39951.050000000003</v>
      </c>
      <c r="F134" s="1075">
        <v>39951.050000000003</v>
      </c>
      <c r="G134" s="925">
        <f t="shared" si="19"/>
        <v>0</v>
      </c>
      <c r="H134" s="926">
        <f>G134+'21'!H134</f>
        <v>5.0000000002910383E-2</v>
      </c>
      <c r="I134" s="945"/>
      <c r="J134" s="928">
        <f>H134/DAY(B2)</f>
        <v>2.2727272728595631E-3</v>
      </c>
      <c r="N134" s="1092">
        <v>0</v>
      </c>
      <c r="O134" s="930">
        <f t="shared" si="7"/>
        <v>0</v>
      </c>
    </row>
    <row r="135" spans="1:15">
      <c r="A135" s="952" t="s">
        <v>255</v>
      </c>
      <c r="B135" s="953"/>
      <c r="C135" s="953"/>
      <c r="D135" s="923" t="s">
        <v>250</v>
      </c>
      <c r="E135" s="924">
        <f>'21'!F135</f>
        <v>32423</v>
      </c>
      <c r="F135" s="1075">
        <v>32423</v>
      </c>
      <c r="G135" s="925">
        <f t="shared" si="19"/>
        <v>0</v>
      </c>
      <c r="H135" s="926">
        <f>G135+'21'!H135</f>
        <v>0</v>
      </c>
      <c r="I135" s="945"/>
      <c r="J135" s="928">
        <f>H135/DAY(B2)</f>
        <v>0</v>
      </c>
      <c r="N135" s="1092">
        <v>0</v>
      </c>
      <c r="O135" s="930">
        <f t="shared" si="7"/>
        <v>0</v>
      </c>
    </row>
    <row r="136" spans="1:15">
      <c r="A136" s="952" t="s">
        <v>256</v>
      </c>
      <c r="B136" s="953"/>
      <c r="C136" s="953"/>
      <c r="D136" s="923" t="s">
        <v>250</v>
      </c>
      <c r="E136" s="924">
        <f>'21'!F136</f>
        <v>21935.87</v>
      </c>
      <c r="F136" s="1075">
        <v>21935.87</v>
      </c>
      <c r="G136" s="925">
        <f t="shared" si="19"/>
        <v>0</v>
      </c>
      <c r="H136" s="926">
        <f>G136+'21'!H136</f>
        <v>-66.090000000000146</v>
      </c>
      <c r="I136" s="945">
        <f>G134+G135+G136</f>
        <v>0</v>
      </c>
      <c r="J136" s="928">
        <f>H136/DAY(B2)</f>
        <v>-3.0040909090909156</v>
      </c>
      <c r="N136" s="1092">
        <v>0</v>
      </c>
      <c r="O136" s="930">
        <f t="shared" ref="O136:O154" si="20">N136-G136</f>
        <v>0</v>
      </c>
    </row>
    <row r="137" spans="1:15">
      <c r="A137" s="952" t="s">
        <v>257</v>
      </c>
      <c r="B137" s="953"/>
      <c r="C137" s="953"/>
      <c r="D137" s="923" t="s">
        <v>250</v>
      </c>
      <c r="E137" s="924">
        <f>'21'!F137</f>
        <v>25010.42</v>
      </c>
      <c r="F137" s="1075">
        <v>25019.94</v>
      </c>
      <c r="G137" s="925">
        <f t="shared" si="19"/>
        <v>9.5200000000004366</v>
      </c>
      <c r="H137" s="926">
        <f>G137+'21'!H137</f>
        <v>0</v>
      </c>
      <c r="I137" s="945"/>
      <c r="J137" s="928">
        <f>H137/DAY(B2)</f>
        <v>0</v>
      </c>
      <c r="N137" s="1092">
        <v>7.2299999999995634</v>
      </c>
      <c r="O137" s="930">
        <f t="shared" si="20"/>
        <v>-2.2900000000008731</v>
      </c>
    </row>
    <row r="138" spans="1:15">
      <c r="A138" s="952" t="s">
        <v>258</v>
      </c>
      <c r="B138" s="953"/>
      <c r="C138" s="953"/>
      <c r="D138" s="923" t="s">
        <v>250</v>
      </c>
      <c r="E138" s="924">
        <f>'21'!F138</f>
        <v>70057.8</v>
      </c>
      <c r="F138" s="1075">
        <v>70057.8</v>
      </c>
      <c r="G138" s="925">
        <f t="shared" si="19"/>
        <v>0</v>
      </c>
      <c r="H138" s="926">
        <f>G138+'21'!H138</f>
        <v>-6.0899999999965075</v>
      </c>
      <c r="I138" s="945">
        <f>G137+G138</f>
        <v>9.5200000000004366</v>
      </c>
      <c r="J138" s="928">
        <f>H138/DAY(B2)</f>
        <v>-0.27681818181802309</v>
      </c>
      <c r="N138" s="1092">
        <v>0</v>
      </c>
      <c r="O138" s="930">
        <f t="shared" si="20"/>
        <v>0</v>
      </c>
    </row>
    <row r="139" spans="1:15">
      <c r="A139" s="952" t="s">
        <v>259</v>
      </c>
      <c r="B139" s="953"/>
      <c r="C139" s="953"/>
      <c r="D139" s="923" t="s">
        <v>250</v>
      </c>
      <c r="E139" s="924">
        <f>'21'!F139</f>
        <v>1124.03</v>
      </c>
      <c r="F139" s="954">
        <v>1131.52</v>
      </c>
      <c r="G139" s="925">
        <f t="shared" si="19"/>
        <v>7.4900000000000091</v>
      </c>
      <c r="H139" s="926">
        <f>G139+'21'!H139</f>
        <v>-69.069999999999936</v>
      </c>
      <c r="I139" s="1076"/>
      <c r="J139" s="928">
        <f>H139/DAY(B2)</f>
        <v>-3.1395454545454515</v>
      </c>
      <c r="N139" s="1092">
        <v>0</v>
      </c>
      <c r="O139" s="930">
        <f t="shared" si="20"/>
        <v>-7.4900000000000091</v>
      </c>
    </row>
    <row r="140" spans="1:15">
      <c r="A140" s="952" t="s">
        <v>260</v>
      </c>
      <c r="B140" s="953"/>
      <c r="C140" s="953"/>
      <c r="D140" s="923" t="s">
        <v>250</v>
      </c>
      <c r="E140" s="924">
        <f>'21'!F140</f>
        <v>4333.53</v>
      </c>
      <c r="F140" s="954">
        <v>4333.53</v>
      </c>
      <c r="G140" s="925">
        <f t="shared" si="19"/>
        <v>0</v>
      </c>
      <c r="H140" s="926">
        <f>G140+'21'!H140</f>
        <v>-0.47000000000025466</v>
      </c>
      <c r="I140" s="1076"/>
      <c r="J140" s="928">
        <f>H140/DAY(B2)</f>
        <v>-2.136363636364794E-2</v>
      </c>
      <c r="N140" s="1092">
        <v>3.3299999999999272</v>
      </c>
      <c r="O140" s="930">
        <f t="shared" si="20"/>
        <v>3.3299999999999272</v>
      </c>
    </row>
    <row r="141" spans="1:15">
      <c r="A141" s="1537" t="s">
        <v>261</v>
      </c>
      <c r="B141" s="1538"/>
      <c r="C141" s="918"/>
      <c r="D141" s="918"/>
      <c r="E141" s="918"/>
      <c r="F141" s="918"/>
      <c r="G141" s="950"/>
      <c r="H141" s="950"/>
      <c r="I141" s="950"/>
      <c r="J141" s="1069"/>
      <c r="K141" s="1024"/>
      <c r="L141" s="903"/>
      <c r="O141" s="930">
        <f t="shared" si="20"/>
        <v>0</v>
      </c>
    </row>
    <row r="142" spans="1:15">
      <c r="A142" s="1522" t="s">
        <v>262</v>
      </c>
      <c r="B142" s="1523"/>
      <c r="C142" s="1524"/>
      <c r="D142" s="923" t="s">
        <v>143</v>
      </c>
      <c r="E142" s="923"/>
      <c r="F142" s="923"/>
      <c r="G142" s="926">
        <f>G35+G43+G49+G57</f>
        <v>5576.5499999999593</v>
      </c>
      <c r="H142" s="926">
        <f>G142+'21'!H142</f>
        <v>-50572.289999999979</v>
      </c>
      <c r="I142" s="945"/>
      <c r="J142" s="928">
        <f>H142/DAY(B2)</f>
        <v>-2298.7404545454538</v>
      </c>
      <c r="K142" s="1024"/>
      <c r="L142" s="903"/>
      <c r="N142" s="1092">
        <v>3116.0800000000163</v>
      </c>
      <c r="O142" s="930">
        <f t="shared" si="20"/>
        <v>-2460.469999999943</v>
      </c>
    </row>
    <row r="143" spans="1:15">
      <c r="A143" s="1522" t="s">
        <v>263</v>
      </c>
      <c r="B143" s="1523"/>
      <c r="C143" s="1524"/>
      <c r="D143" s="923" t="s">
        <v>24</v>
      </c>
      <c r="E143" s="910"/>
      <c r="F143" s="910"/>
      <c r="G143" s="1077">
        <f>G142/G7</f>
        <v>0.28583034341363195</v>
      </c>
      <c r="H143" s="926">
        <f>G143+'21'!H143</f>
        <v>5.5119685812301391</v>
      </c>
      <c r="I143" s="1078"/>
      <c r="J143" s="928">
        <f>H143/DAY(B2)</f>
        <v>0.25054402641955176</v>
      </c>
      <c r="K143" s="1024"/>
      <c r="L143" s="903"/>
      <c r="N143" s="1092">
        <v>0.24942607860401955</v>
      </c>
      <c r="O143" s="930">
        <f t="shared" si="20"/>
        <v>-3.6404264809612397E-2</v>
      </c>
    </row>
    <row r="144" spans="1:15">
      <c r="A144" s="1522" t="s">
        <v>264</v>
      </c>
      <c r="B144" s="1523"/>
      <c r="C144" s="1524"/>
      <c r="D144" s="923" t="s">
        <v>143</v>
      </c>
      <c r="E144" s="924"/>
      <c r="F144" s="924"/>
      <c r="G144" s="926">
        <f>G41+G42+G55+G56</f>
        <v>4213.0100000000148</v>
      </c>
      <c r="H144" s="926">
        <f>G144+'21'!H144</f>
        <v>29713.829999999965</v>
      </c>
      <c r="I144" s="945"/>
      <c r="J144" s="928">
        <f>H144/DAY(B2)</f>
        <v>1350.6286363636348</v>
      </c>
      <c r="K144" s="1024"/>
      <c r="L144" s="903"/>
      <c r="N144" s="1092">
        <v>3271.0800000000127</v>
      </c>
      <c r="O144" s="930">
        <f t="shared" si="20"/>
        <v>-941.93000000000211</v>
      </c>
    </row>
    <row r="145" spans="1:15">
      <c r="A145" s="1522" t="s">
        <v>265</v>
      </c>
      <c r="B145" s="1523"/>
      <c r="C145" s="1524"/>
      <c r="D145" s="923" t="s">
        <v>24</v>
      </c>
      <c r="E145" s="924"/>
      <c r="F145" s="924"/>
      <c r="G145" s="1077">
        <f>G144/G7</f>
        <v>0.21594105586878601</v>
      </c>
      <c r="H145" s="926">
        <f>G145+'21'!H145</f>
        <v>4.6954108149790823</v>
      </c>
      <c r="I145" s="1078"/>
      <c r="J145" s="928">
        <f>H145/DAY(B2)</f>
        <v>0.21342776431723101</v>
      </c>
      <c r="K145" s="1024"/>
      <c r="L145" s="903"/>
      <c r="N145" s="1092">
        <v>0.26183302649483814</v>
      </c>
      <c r="O145" s="930">
        <f t="shared" si="20"/>
        <v>4.5891970626052131E-2</v>
      </c>
    </row>
    <row r="146" spans="1:15">
      <c r="A146" s="1522" t="s">
        <v>266</v>
      </c>
      <c r="B146" s="1523"/>
      <c r="C146" s="1524"/>
      <c r="D146" s="923" t="s">
        <v>143</v>
      </c>
      <c r="E146" s="924"/>
      <c r="F146" s="924"/>
      <c r="G146" s="926">
        <f>G39+G53</f>
        <v>4075.5999999999767</v>
      </c>
      <c r="H146" s="926">
        <f>G146+'21'!H146</f>
        <v>874731.0199999999</v>
      </c>
      <c r="I146" s="1079"/>
      <c r="J146" s="928">
        <f>H146/DAY(B2)</f>
        <v>39760.500909090908</v>
      </c>
      <c r="K146" s="1024"/>
      <c r="L146" s="903"/>
      <c r="N146" s="1092">
        <v>2151.6400000000085</v>
      </c>
      <c r="O146" s="930">
        <f t="shared" si="20"/>
        <v>-1923.9599999999682</v>
      </c>
    </row>
    <row r="147" spans="1:15">
      <c r="A147" s="1522" t="s">
        <v>267</v>
      </c>
      <c r="B147" s="1523"/>
      <c r="C147" s="1524"/>
      <c r="D147" s="923" t="s">
        <v>24</v>
      </c>
      <c r="E147" s="924"/>
      <c r="F147" s="924"/>
      <c r="G147" s="1077">
        <f>G146/G7</f>
        <v>0.20889800102511413</v>
      </c>
      <c r="H147" s="926">
        <f>G147+'21'!H147</f>
        <v>3.2234743649603081</v>
      </c>
      <c r="I147" s="1079"/>
      <c r="J147" s="928">
        <f>H147/DAY(B2)</f>
        <v>0.14652156204365038</v>
      </c>
      <c r="N147" s="1092">
        <v>0.17222764748259092</v>
      </c>
      <c r="O147" s="930">
        <f t="shared" si="20"/>
        <v>-3.667035354252321E-2</v>
      </c>
    </row>
    <row r="148" spans="1:15">
      <c r="A148" s="1522" t="s">
        <v>268</v>
      </c>
      <c r="B148" s="1523"/>
      <c r="C148" s="1524"/>
      <c r="D148" s="923" t="s">
        <v>194</v>
      </c>
      <c r="E148" s="924"/>
      <c r="F148" s="924"/>
      <c r="G148" s="926">
        <f>G38+G52</f>
        <v>1877.7999999999884</v>
      </c>
      <c r="H148" s="926">
        <f>G148+'21'!H148</f>
        <v>133646.38</v>
      </c>
      <c r="I148" s="945"/>
      <c r="J148" s="928">
        <f>H148/DAY(B2)</f>
        <v>6074.8354545454549</v>
      </c>
      <c r="K148" s="1080"/>
      <c r="N148" s="1092">
        <v>1058.2600000000093</v>
      </c>
      <c r="O148" s="930">
        <f t="shared" si="20"/>
        <v>-819.53999999997905</v>
      </c>
    </row>
    <row r="149" spans="1:15">
      <c r="A149" s="1522" t="s">
        <v>269</v>
      </c>
      <c r="B149" s="1523"/>
      <c r="C149" s="1524"/>
      <c r="D149" s="923" t="s">
        <v>24</v>
      </c>
      <c r="E149" s="924"/>
      <c r="F149" s="924"/>
      <c r="G149" s="1077">
        <f>G148/G7</f>
        <v>9.6248077908764135E-2</v>
      </c>
      <c r="H149" s="926">
        <f>G149+'21'!H149</f>
        <v>2.0503918654138302</v>
      </c>
      <c r="I149" s="1079"/>
      <c r="J149" s="928">
        <f>H149/DAY(B2)</f>
        <v>9.3199630246083187E-2</v>
      </c>
      <c r="N149" s="1092">
        <v>8.4708236612503748E-2</v>
      </c>
      <c r="O149" s="930">
        <f t="shared" si="20"/>
        <v>-1.1539841296260386E-2</v>
      </c>
    </row>
    <row r="150" spans="1:15">
      <c r="A150" s="1522" t="s">
        <v>270</v>
      </c>
      <c r="B150" s="1523"/>
      <c r="C150" s="1524"/>
      <c r="D150" s="923" t="s">
        <v>194</v>
      </c>
      <c r="E150" s="924"/>
      <c r="F150" s="924"/>
      <c r="G150" s="926">
        <f>G36+G50</f>
        <v>1701.5999999999185</v>
      </c>
      <c r="H150" s="926">
        <f>G150+'21'!H150</f>
        <v>-15913.620000000054</v>
      </c>
      <c r="I150" s="1079"/>
      <c r="J150" s="928">
        <f>H150/DAY(B2)</f>
        <v>-723.34636363636605</v>
      </c>
      <c r="N150" s="1092">
        <v>1278.2299999999814</v>
      </c>
      <c r="O150" s="930">
        <f t="shared" si="20"/>
        <v>-423.36999999993714</v>
      </c>
    </row>
    <row r="151" spans="1:15">
      <c r="A151" s="1522" t="s">
        <v>271</v>
      </c>
      <c r="B151" s="1523"/>
      <c r="C151" s="1524"/>
      <c r="D151" s="923" t="s">
        <v>24</v>
      </c>
      <c r="E151" s="924"/>
      <c r="F151" s="924"/>
      <c r="G151" s="1077">
        <f>G150/G7</f>
        <v>8.7216811891333595E-2</v>
      </c>
      <c r="H151" s="926">
        <f>G151+'21'!H151</f>
        <v>2.1454241195765089</v>
      </c>
      <c r="I151" s="945"/>
      <c r="J151" s="928">
        <f>H151/DAY(B2)</f>
        <v>9.7519278162568585E-2</v>
      </c>
      <c r="N151" s="1092">
        <v>0.10231569679020103</v>
      </c>
      <c r="O151" s="930">
        <f t="shared" si="20"/>
        <v>1.5098884898867432E-2</v>
      </c>
    </row>
    <row r="152" spans="1:15">
      <c r="A152" s="1522" t="s">
        <v>272</v>
      </c>
      <c r="B152" s="1523"/>
      <c r="C152" s="1524"/>
      <c r="D152" s="923" t="s">
        <v>194</v>
      </c>
      <c r="E152" s="924"/>
      <c r="F152" s="924"/>
      <c r="G152" s="926">
        <f>G37+G51</f>
        <v>1492.1399999999994</v>
      </c>
      <c r="H152" s="926">
        <f>G152+'21'!H152</f>
        <v>401689.23</v>
      </c>
      <c r="I152" s="945"/>
      <c r="J152" s="928">
        <f>H152/DAY(B2)</f>
        <v>18258.601363636364</v>
      </c>
      <c r="N152" s="1092">
        <v>1215.359999999986</v>
      </c>
      <c r="O152" s="930">
        <f t="shared" si="20"/>
        <v>-276.78000000001339</v>
      </c>
    </row>
    <row r="153" spans="1:15" ht="21" thickBot="1">
      <c r="A153" s="1525" t="s">
        <v>273</v>
      </c>
      <c r="B153" s="1526"/>
      <c r="C153" s="1527"/>
      <c r="D153" s="1081" t="s">
        <v>24</v>
      </c>
      <c r="E153" s="1082"/>
      <c r="F153" s="1082"/>
      <c r="G153" s="1083">
        <f>G152/G7</f>
        <v>7.6480779087647333E-2</v>
      </c>
      <c r="H153" s="926">
        <f>G153+'21'!H153</f>
        <v>0.99939809189145223</v>
      </c>
      <c r="I153" s="1084"/>
      <c r="J153" s="1085">
        <f>H153/DAY(B2)</f>
        <v>4.5427185995066011E-2</v>
      </c>
      <c r="N153" s="1092">
        <v>9.7283278636035059E-2</v>
      </c>
      <c r="O153" s="930">
        <f t="shared" si="20"/>
        <v>2.0802499548387726E-2</v>
      </c>
    </row>
    <row r="154" spans="1:15">
      <c r="A154" s="1086"/>
      <c r="B154" s="1086"/>
      <c r="C154" s="1086"/>
      <c r="D154" s="1086"/>
      <c r="E154" s="1086"/>
      <c r="F154" s="1086"/>
      <c r="G154" s="1086"/>
      <c r="H154" s="1087"/>
      <c r="I154" s="1086"/>
      <c r="J154" s="1088"/>
      <c r="O154" s="930">
        <f t="shared" si="20"/>
        <v>0</v>
      </c>
    </row>
    <row r="160" spans="1:15">
      <c r="A160" s="1076" t="s">
        <v>274</v>
      </c>
      <c r="B160" s="1076"/>
      <c r="C160" s="1076"/>
      <c r="D160" s="910" t="s">
        <v>198</v>
      </c>
      <c r="E160" s="924">
        <f>'21'!F160</f>
        <v>27609.86</v>
      </c>
      <c r="F160" s="1100">
        <v>27694.720000000001</v>
      </c>
      <c r="G160" s="925">
        <f t="shared" ref="G160:G163" si="21">F160-E160</f>
        <v>84.860000000000582</v>
      </c>
      <c r="H160" s="1090">
        <v>68.809999999999491</v>
      </c>
      <c r="N160" s="1092">
        <v>68.809999999999491</v>
      </c>
    </row>
    <row r="161" spans="1:14">
      <c r="A161" s="1076" t="s">
        <v>275</v>
      </c>
      <c r="B161" s="1076"/>
      <c r="C161" s="1076"/>
      <c r="D161" s="910" t="s">
        <v>198</v>
      </c>
      <c r="E161" s="924">
        <f>'21'!F161</f>
        <v>38107.199999999997</v>
      </c>
      <c r="F161" s="1100">
        <v>38562.980000000003</v>
      </c>
      <c r="G161" s="925">
        <f t="shared" si="21"/>
        <v>455.78000000000611</v>
      </c>
      <c r="H161" s="1090">
        <v>128.56999999999994</v>
      </c>
      <c r="N161" s="1092">
        <v>128.56999999999994</v>
      </c>
    </row>
    <row r="162" spans="1:14">
      <c r="A162" s="1076" t="s">
        <v>276</v>
      </c>
      <c r="B162" s="1076"/>
      <c r="C162" s="1076"/>
      <c r="D162" s="910" t="s">
        <v>198</v>
      </c>
      <c r="E162" s="924">
        <f>'21'!F162</f>
        <v>10262.530000000001</v>
      </c>
      <c r="F162" s="1100">
        <v>10487.3</v>
      </c>
      <c r="G162" s="925">
        <f t="shared" si="21"/>
        <v>224.76999999999862</v>
      </c>
      <c r="H162" s="1090">
        <v>141.49</v>
      </c>
      <c r="N162" s="1092">
        <v>141.49</v>
      </c>
    </row>
    <row r="163" spans="1:14">
      <c r="A163" s="1076" t="s">
        <v>277</v>
      </c>
      <c r="B163" s="1076"/>
      <c r="C163" s="1076"/>
      <c r="D163" s="910" t="s">
        <v>198</v>
      </c>
      <c r="E163" s="924">
        <f>'21'!F163</f>
        <v>4790.54</v>
      </c>
      <c r="F163" s="1100">
        <v>4812.28</v>
      </c>
      <c r="G163" s="925">
        <f t="shared" si="21"/>
        <v>21.739999999999782</v>
      </c>
      <c r="H163" s="1090">
        <v>45.430000000000007</v>
      </c>
      <c r="N163" s="1092">
        <v>45.430000000000007</v>
      </c>
    </row>
    <row r="164" spans="1:14">
      <c r="A164" s="1006" t="s">
        <v>106</v>
      </c>
      <c r="B164" s="1006"/>
      <c r="C164" s="1006"/>
      <c r="D164" s="910" t="s">
        <v>198</v>
      </c>
      <c r="E164" s="1007">
        <f>E62</f>
        <v>20419.2</v>
      </c>
      <c r="F164" s="1007">
        <f>F62</f>
        <v>20419.2</v>
      </c>
      <c r="G164" s="925">
        <f t="shared" ref="G164:G171" si="22">F164-E164</f>
        <v>0</v>
      </c>
      <c r="H164" s="1090">
        <v>0</v>
      </c>
      <c r="N164" s="1092">
        <v>0</v>
      </c>
    </row>
    <row r="165" spans="1:14">
      <c r="A165" s="1006" t="s">
        <v>199</v>
      </c>
      <c r="B165" s="1006"/>
      <c r="C165" s="1006"/>
      <c r="D165" s="910" t="s">
        <v>198</v>
      </c>
      <c r="E165" s="1007">
        <f t="shared" ref="E165:E171" si="23">E63</f>
        <v>1229.1400000000001</v>
      </c>
      <c r="F165" s="1007">
        <f t="shared" ref="F165:F171" si="24">F63</f>
        <v>1236.99</v>
      </c>
      <c r="G165" s="925">
        <f t="shared" si="22"/>
        <v>7.8499999999999091</v>
      </c>
      <c r="H165" s="1090">
        <v>0</v>
      </c>
      <c r="N165" s="1092">
        <v>0</v>
      </c>
    </row>
    <row r="166" spans="1:14">
      <c r="A166" s="1509" t="s">
        <v>107</v>
      </c>
      <c r="B166" s="1509"/>
      <c r="C166" s="1509"/>
      <c r="D166" s="923" t="s">
        <v>198</v>
      </c>
      <c r="E166" s="1007">
        <f t="shared" si="23"/>
        <v>107043.62</v>
      </c>
      <c r="F166" s="1007">
        <f t="shared" si="24"/>
        <v>107473.88</v>
      </c>
      <c r="G166" s="925">
        <f t="shared" si="22"/>
        <v>430.26000000000931</v>
      </c>
      <c r="H166" s="1090">
        <v>178.5199999999968</v>
      </c>
      <c r="N166" s="1092">
        <v>178.5199999999968</v>
      </c>
    </row>
    <row r="167" spans="1:14">
      <c r="A167" s="1509" t="s">
        <v>108</v>
      </c>
      <c r="B167" s="1509"/>
      <c r="C167" s="1509"/>
      <c r="D167" s="923" t="s">
        <v>198</v>
      </c>
      <c r="E167" s="1007">
        <f t="shared" si="23"/>
        <v>117693.6</v>
      </c>
      <c r="F167" s="1007">
        <f t="shared" si="24"/>
        <v>118098.62</v>
      </c>
      <c r="G167" s="925">
        <f t="shared" si="22"/>
        <v>405.01999999998952</v>
      </c>
      <c r="H167" s="1090">
        <v>198.38999999999942</v>
      </c>
      <c r="N167" s="1092">
        <v>198.38999999999942</v>
      </c>
    </row>
    <row r="168" spans="1:14">
      <c r="A168" s="1509" t="s">
        <v>109</v>
      </c>
      <c r="B168" s="1509"/>
      <c r="C168" s="1509"/>
      <c r="D168" s="923" t="s">
        <v>198</v>
      </c>
      <c r="E168" s="1007">
        <f t="shared" si="23"/>
        <v>10130.719999999999</v>
      </c>
      <c r="F168" s="1007">
        <f t="shared" si="24"/>
        <v>10482.780000000001</v>
      </c>
      <c r="G168" s="925">
        <f t="shared" si="22"/>
        <v>352.06000000000131</v>
      </c>
      <c r="H168" s="1090">
        <v>226.35000000000582</v>
      </c>
      <c r="N168" s="1092">
        <v>226.35000000000582</v>
      </c>
    </row>
    <row r="169" spans="1:14">
      <c r="A169" s="1509" t="s">
        <v>110</v>
      </c>
      <c r="B169" s="1509"/>
      <c r="C169" s="1509"/>
      <c r="D169" s="923" t="s">
        <v>198</v>
      </c>
      <c r="E169" s="1007">
        <f t="shared" si="23"/>
        <v>182084.35</v>
      </c>
      <c r="F169" s="1007">
        <f t="shared" si="24"/>
        <v>182726</v>
      </c>
      <c r="G169" s="925">
        <f t="shared" si="22"/>
        <v>641.64999999999418</v>
      </c>
      <c r="H169" s="1090">
        <v>312.47000000000116</v>
      </c>
      <c r="N169" s="1092">
        <v>312.47000000000116</v>
      </c>
    </row>
    <row r="170" spans="1:14">
      <c r="A170" s="1509" t="s">
        <v>111</v>
      </c>
      <c r="B170" s="1509"/>
      <c r="C170" s="1509"/>
      <c r="D170" s="923" t="s">
        <v>198</v>
      </c>
      <c r="E170" s="1007">
        <f t="shared" si="23"/>
        <v>60072.38</v>
      </c>
      <c r="F170" s="1007">
        <f t="shared" si="24"/>
        <v>60387.56</v>
      </c>
      <c r="G170" s="925">
        <f t="shared" si="22"/>
        <v>315.18000000000029</v>
      </c>
      <c r="H170" s="1090">
        <v>142.1200000000008</v>
      </c>
      <c r="N170" s="1092">
        <v>142.1200000000008</v>
      </c>
    </row>
    <row r="171" spans="1:14">
      <c r="A171" s="1509" t="s">
        <v>112</v>
      </c>
      <c r="B171" s="1509"/>
      <c r="C171" s="1509"/>
      <c r="D171" s="923" t="s">
        <v>198</v>
      </c>
      <c r="E171" s="1007">
        <f t="shared" si="23"/>
        <v>52646.38</v>
      </c>
      <c r="F171" s="1007">
        <f t="shared" si="24"/>
        <v>52947.14</v>
      </c>
      <c r="G171" s="925">
        <f t="shared" si="22"/>
        <v>300.76000000000204</v>
      </c>
      <c r="H171" s="1090">
        <v>12.869999999998981</v>
      </c>
      <c r="N171" s="1092">
        <v>12.869999999998981</v>
      </c>
    </row>
    <row r="172" spans="1:14">
      <c r="G172" s="1091">
        <f>SUM(G160:G171)</f>
        <v>3239.9300000000017</v>
      </c>
      <c r="N172" s="1092">
        <v>1455.0200000000025</v>
      </c>
    </row>
  </sheetData>
  <mergeCells count="74">
    <mergeCell ref="A64:C64"/>
    <mergeCell ref="A65:C65"/>
    <mergeCell ref="A66:C66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7:C67"/>
    <mergeCell ref="A68:C68"/>
    <mergeCell ref="A69:C69"/>
    <mergeCell ref="A72:C72"/>
    <mergeCell ref="A73:C73"/>
    <mergeCell ref="A71:J71"/>
    <mergeCell ref="A70:C70"/>
    <mergeCell ref="A80:C80"/>
    <mergeCell ref="A81:C81"/>
    <mergeCell ref="A82:C82"/>
    <mergeCell ref="A83:C83"/>
    <mergeCell ref="A74:C74"/>
    <mergeCell ref="A75:C75"/>
    <mergeCell ref="A76:C76"/>
    <mergeCell ref="A77:C77"/>
    <mergeCell ref="A79:C79"/>
    <mergeCell ref="A125:C125"/>
    <mergeCell ref="A101:C101"/>
    <mergeCell ref="A122:C122"/>
    <mergeCell ref="A141:B141"/>
    <mergeCell ref="A92:C92"/>
    <mergeCell ref="A93:C93"/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52:C152"/>
    <mergeCell ref="A153:C153"/>
    <mergeCell ref="A142:C142"/>
    <mergeCell ref="A143:C143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11:B111"/>
    <mergeCell ref="A112:B112"/>
    <mergeCell ref="A113:B113"/>
    <mergeCell ref="A114:B114"/>
    <mergeCell ref="A115:B115"/>
    <mergeCell ref="A121:B121"/>
    <mergeCell ref="A116:B116"/>
    <mergeCell ref="A117:B117"/>
    <mergeCell ref="A118:B118"/>
    <mergeCell ref="A119:B119"/>
    <mergeCell ref="A120:B120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33" orientation="portrait" r:id="rId1"/>
  <colBreaks count="1" manualBreakCount="1">
    <brk id="10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73" zoomScale="70" zoomScaleNormal="80" zoomScaleSheetLayoutView="70" workbookViewId="0">
      <selection activeCell="F28" sqref="F28"/>
    </sheetView>
  </sheetViews>
  <sheetFormatPr defaultColWidth="22.33203125" defaultRowHeight="20.25"/>
  <cols>
    <col min="1" max="1" width="51.21875" style="1089" customWidth="1"/>
    <col min="2" max="2" width="24.88671875" style="1089" customWidth="1"/>
    <col min="3" max="3" width="15.88671875" style="1089" customWidth="1"/>
    <col min="4" max="4" width="13.6640625" style="1089" customWidth="1"/>
    <col min="5" max="5" width="32.109375" style="1089" customWidth="1"/>
    <col min="6" max="6" width="30" style="1089" customWidth="1"/>
    <col min="7" max="7" width="15.5546875" style="1089" bestFit="1" customWidth="1"/>
    <col min="8" max="8" width="39.21875" style="1090" customWidth="1"/>
    <col min="9" max="9" width="11.21875" style="1089" bestFit="1" customWidth="1"/>
    <col min="10" max="10" width="24" style="1091" customWidth="1"/>
    <col min="11" max="11" width="43.21875" style="890" hidden="1" customWidth="1"/>
    <col min="12" max="13" width="0" style="890" hidden="1" customWidth="1"/>
    <col min="14" max="14" width="25.109375" style="1092" customWidth="1"/>
    <col min="15" max="15" width="6.77734375" style="890" bestFit="1" customWidth="1"/>
    <col min="16" max="16384" width="22.33203125" style="890"/>
  </cols>
  <sheetData>
    <row r="1" spans="1:15" ht="22.5">
      <c r="A1" s="1551" t="s">
        <v>128</v>
      </c>
      <c r="B1" s="1552"/>
      <c r="C1" s="1552"/>
      <c r="D1" s="1552"/>
      <c r="E1" s="1552"/>
      <c r="F1" s="1552"/>
      <c r="G1" s="1552"/>
      <c r="H1" s="1552"/>
      <c r="I1" s="1552"/>
      <c r="J1" s="1553"/>
      <c r="K1" s="890">
        <v>10002.799999999999</v>
      </c>
    </row>
    <row r="2" spans="1:15">
      <c r="A2" s="891" t="s">
        <v>331</v>
      </c>
      <c r="B2" s="1165">
        <v>44219</v>
      </c>
      <c r="C2" s="892" t="s">
        <v>69</v>
      </c>
      <c r="D2" s="893">
        <v>0.5</v>
      </c>
      <c r="E2" s="894"/>
      <c r="F2" s="894"/>
      <c r="G2" s="894" t="s">
        <v>129</v>
      </c>
      <c r="H2" s="894" t="s">
        <v>6</v>
      </c>
      <c r="I2" s="894" t="s">
        <v>8</v>
      </c>
      <c r="J2" s="895" t="s">
        <v>130</v>
      </c>
    </row>
    <row r="3" spans="1:15">
      <c r="A3" s="896"/>
      <c r="B3" s="897"/>
      <c r="C3" s="892" t="s">
        <v>131</v>
      </c>
      <c r="D3" s="898">
        <v>30</v>
      </c>
      <c r="E3" s="1560" t="s">
        <v>132</v>
      </c>
      <c r="F3" s="1561"/>
      <c r="G3" s="899">
        <f>'1'!G3</f>
        <v>0</v>
      </c>
      <c r="H3" s="900">
        <f>'1'!H3</f>
        <v>0</v>
      </c>
      <c r="I3" s="900">
        <f>'1'!I3</f>
        <v>0</v>
      </c>
      <c r="J3" s="901">
        <f>'1'!J3</f>
        <v>0</v>
      </c>
      <c r="K3" s="902"/>
      <c r="L3" s="903"/>
    </row>
    <row r="4" spans="1:15">
      <c r="A4" s="904"/>
      <c r="B4" s="905"/>
      <c r="C4" s="892" t="s">
        <v>133</v>
      </c>
      <c r="D4" s="893">
        <v>0.76</v>
      </c>
      <c r="E4" s="906"/>
      <c r="F4" s="906"/>
      <c r="G4" s="906"/>
      <c r="H4" s="906"/>
      <c r="I4" s="907"/>
      <c r="J4" s="901"/>
      <c r="K4" s="908"/>
      <c r="L4" s="903"/>
    </row>
    <row r="5" spans="1:15">
      <c r="A5" s="909" t="s">
        <v>134</v>
      </c>
      <c r="B5" s="910"/>
      <c r="C5" s="910"/>
      <c r="D5" s="910" t="s">
        <v>135</v>
      </c>
      <c r="E5" s="911" t="s">
        <v>136</v>
      </c>
      <c r="F5" s="911" t="s">
        <v>123</v>
      </c>
      <c r="G5" s="912" t="s">
        <v>137</v>
      </c>
      <c r="H5" s="913" t="s">
        <v>138</v>
      </c>
      <c r="I5" s="914" t="s">
        <v>139</v>
      </c>
      <c r="J5" s="915" t="s">
        <v>140</v>
      </c>
      <c r="K5" s="916"/>
      <c r="L5" s="903"/>
    </row>
    <row r="6" spans="1:15">
      <c r="A6" s="1554" t="s">
        <v>141</v>
      </c>
      <c r="B6" s="1555"/>
      <c r="C6" s="1556"/>
      <c r="D6" s="917"/>
      <c r="E6" s="917"/>
      <c r="F6" s="917"/>
      <c r="G6" s="917"/>
      <c r="H6" s="918"/>
      <c r="I6" s="918"/>
      <c r="J6" s="919"/>
      <c r="K6" s="920"/>
      <c r="L6" s="903"/>
    </row>
    <row r="7" spans="1:15" ht="21" thickBot="1">
      <c r="A7" s="921" t="s">
        <v>142</v>
      </c>
      <c r="B7" s="922"/>
      <c r="C7" s="922"/>
      <c r="D7" s="923" t="s">
        <v>143</v>
      </c>
      <c r="E7" s="924">
        <f>'22'!F7</f>
        <v>3716712</v>
      </c>
      <c r="F7" s="924">
        <v>3736421</v>
      </c>
      <c r="G7" s="925">
        <f>F7-E7</f>
        <v>19709</v>
      </c>
      <c r="H7" s="926">
        <f>G7+'22'!H7</f>
        <v>-151777</v>
      </c>
      <c r="I7" s="927">
        <f>'1'!I7</f>
        <v>12000</v>
      </c>
      <c r="J7" s="928">
        <f>H7/DAY(B2)</f>
        <v>-6599</v>
      </c>
      <c r="K7" s="929"/>
      <c r="L7" s="903"/>
      <c r="O7" s="930"/>
    </row>
    <row r="8" spans="1:15" ht="21" thickBot="1">
      <c r="A8" s="931" t="s">
        <v>144</v>
      </c>
      <c r="B8" s="932"/>
      <c r="C8" s="933"/>
      <c r="D8" s="934" t="s">
        <v>25</v>
      </c>
      <c r="E8" s="924">
        <f>'22'!F8</f>
        <v>3739801</v>
      </c>
      <c r="F8" s="935">
        <v>3759656</v>
      </c>
      <c r="G8" s="936">
        <f>F8-E8</f>
        <v>19855</v>
      </c>
      <c r="H8" s="926">
        <f>G8+'22'!H8</f>
        <v>-153195</v>
      </c>
      <c r="I8" s="937">
        <f>'1'!I8</f>
        <v>12000</v>
      </c>
      <c r="J8" s="928">
        <f>H8/DAY(B2)</f>
        <v>-6660.652173913043</v>
      </c>
      <c r="K8" s="929"/>
      <c r="L8" s="938"/>
      <c r="M8" s="939"/>
      <c r="O8" s="930"/>
    </row>
    <row r="9" spans="1:15">
      <c r="A9" s="940" t="s">
        <v>145</v>
      </c>
      <c r="B9" s="941"/>
      <c r="C9" s="941"/>
      <c r="D9" s="923" t="s">
        <v>143</v>
      </c>
      <c r="E9" s="924">
        <f>'22'!F9</f>
        <v>2476558.7000000002</v>
      </c>
      <c r="F9" s="942">
        <v>2483664.2999999998</v>
      </c>
      <c r="G9" s="925">
        <f t="shared" ref="G9:G12" si="0">F9-E9</f>
        <v>7105.5999999996275</v>
      </c>
      <c r="H9" s="926">
        <f>G9+'22'!H9</f>
        <v>2520776.5499999998</v>
      </c>
      <c r="I9" s="943">
        <f>I8-J8</f>
        <v>18660.652173913044</v>
      </c>
      <c r="J9" s="928">
        <f>H9/DAY(B2)</f>
        <v>109598.9804347826</v>
      </c>
      <c r="K9" s="944"/>
      <c r="L9" s="903"/>
      <c r="O9" s="930"/>
    </row>
    <row r="10" spans="1:15">
      <c r="A10" s="921" t="s">
        <v>146</v>
      </c>
      <c r="B10" s="922"/>
      <c r="C10" s="922"/>
      <c r="D10" s="923" t="s">
        <v>143</v>
      </c>
      <c r="E10" s="924">
        <f>'22'!F10</f>
        <v>1093781.5</v>
      </c>
      <c r="F10" s="942">
        <v>1105724.3</v>
      </c>
      <c r="G10" s="925">
        <f t="shared" si="0"/>
        <v>11942.800000000047</v>
      </c>
      <c r="H10" s="926">
        <f>G10+'22'!H10</f>
        <v>-95150.09999999986</v>
      </c>
      <c r="I10" s="945"/>
      <c r="J10" s="928">
        <f>H10/DAY(B2)</f>
        <v>-4136.9608695652114</v>
      </c>
      <c r="K10" s="944"/>
      <c r="L10" s="903"/>
      <c r="O10" s="930"/>
    </row>
    <row r="11" spans="1:15">
      <c r="A11" s="921" t="s">
        <v>147</v>
      </c>
      <c r="B11" s="922"/>
      <c r="C11" s="922"/>
      <c r="D11" s="923" t="s">
        <v>143</v>
      </c>
      <c r="E11" s="924">
        <f>'22'!F11</f>
        <v>35390</v>
      </c>
      <c r="F11" s="924">
        <v>35390</v>
      </c>
      <c r="G11" s="925">
        <f t="shared" si="0"/>
        <v>0</v>
      </c>
      <c r="H11" s="926">
        <f>G11+'22'!H11</f>
        <v>0</v>
      </c>
      <c r="I11" s="945"/>
      <c r="J11" s="928">
        <f>H11/DAY(B2)</f>
        <v>0</v>
      </c>
      <c r="K11" s="944"/>
      <c r="L11" s="903"/>
      <c r="O11" s="930"/>
    </row>
    <row r="12" spans="1:15">
      <c r="A12" s="921" t="s">
        <v>148</v>
      </c>
      <c r="B12" s="922"/>
      <c r="C12" s="922"/>
      <c r="D12" s="923" t="s">
        <v>143</v>
      </c>
      <c r="E12" s="924">
        <f>'22'!F12</f>
        <v>37630</v>
      </c>
      <c r="F12" s="942">
        <v>37630</v>
      </c>
      <c r="G12" s="925">
        <f t="shared" si="0"/>
        <v>0</v>
      </c>
      <c r="H12" s="926">
        <f>G12+'22'!H12</f>
        <v>0</v>
      </c>
      <c r="I12" s="945"/>
      <c r="J12" s="928">
        <f>H12/DAY(B2)</f>
        <v>0</v>
      </c>
      <c r="K12" s="944"/>
      <c r="L12" s="903"/>
      <c r="O12" s="930"/>
    </row>
    <row r="13" spans="1:15">
      <c r="A13" s="946" t="s">
        <v>149</v>
      </c>
      <c r="B13" s="947"/>
      <c r="C13" s="947"/>
      <c r="D13" s="923"/>
      <c r="E13" s="924"/>
      <c r="F13" s="924"/>
      <c r="G13" s="948">
        <f>G9+G10+G11+G12</f>
        <v>19048.399999999674</v>
      </c>
      <c r="H13" s="926">
        <f>G13+'22'!H13</f>
        <v>2407320.4500000002</v>
      </c>
      <c r="I13" s="949">
        <f>G7-G13</f>
        <v>660.60000000032596</v>
      </c>
      <c r="J13" s="928">
        <f>H13/DAY(B2)</f>
        <v>104666.10652173914</v>
      </c>
      <c r="K13" s="944"/>
      <c r="L13" s="903"/>
      <c r="O13" s="930"/>
    </row>
    <row r="14" spans="1:15">
      <c r="A14" s="1557" t="s">
        <v>150</v>
      </c>
      <c r="B14" s="1558"/>
      <c r="C14" s="1559"/>
      <c r="D14" s="918"/>
      <c r="E14" s="918"/>
      <c r="F14" s="918"/>
      <c r="G14" s="950"/>
      <c r="H14" s="918"/>
      <c r="I14" s="918"/>
      <c r="J14" s="919"/>
      <c r="K14" s="951"/>
      <c r="L14" s="903"/>
      <c r="O14" s="930"/>
    </row>
    <row r="15" spans="1:15">
      <c r="A15" s="952" t="s">
        <v>151</v>
      </c>
      <c r="B15" s="953"/>
      <c r="C15" s="953"/>
      <c r="D15" s="923" t="s">
        <v>152</v>
      </c>
      <c r="E15" s="924">
        <f>'22'!F15</f>
        <v>1587326.94</v>
      </c>
      <c r="F15" s="954">
        <v>1588261.88</v>
      </c>
      <c r="G15" s="1102">
        <f>(F15-E15)</f>
        <v>934.93999999994412</v>
      </c>
      <c r="H15" s="926">
        <f>G15+'22'!H15</f>
        <v>-6175.2700000000186</v>
      </c>
      <c r="I15" s="927">
        <f>'1'!I15</f>
        <v>800</v>
      </c>
      <c r="J15" s="928">
        <f>H15/DAY(B2)</f>
        <v>-268.4900000000008</v>
      </c>
      <c r="K15" s="944"/>
      <c r="L15" s="903"/>
      <c r="O15" s="930"/>
    </row>
    <row r="16" spans="1:15">
      <c r="A16" s="955"/>
      <c r="B16" s="956"/>
      <c r="C16" s="956"/>
      <c r="D16" s="957"/>
      <c r="E16" s="958"/>
      <c r="F16" s="958"/>
      <c r="G16" s="925"/>
      <c r="H16" s="959"/>
      <c r="I16" s="960">
        <f>I15-J15</f>
        <v>1068.4900000000007</v>
      </c>
      <c r="J16" s="961"/>
      <c r="K16" s="944"/>
      <c r="L16" s="903"/>
      <c r="O16" s="930"/>
    </row>
    <row r="17" spans="1:15">
      <c r="A17" s="1557" t="s">
        <v>153</v>
      </c>
      <c r="B17" s="1558"/>
      <c r="C17" s="1559"/>
      <c r="D17" s="918"/>
      <c r="E17" s="918"/>
      <c r="F17" s="918"/>
      <c r="G17" s="962"/>
      <c r="H17" s="918"/>
      <c r="I17" s="918"/>
      <c r="J17" s="919"/>
      <c r="K17" s="944"/>
      <c r="L17" s="903"/>
      <c r="O17" s="930"/>
    </row>
    <row r="18" spans="1:15">
      <c r="A18" s="1522" t="s">
        <v>154</v>
      </c>
      <c r="B18" s="1523"/>
      <c r="C18" s="1524"/>
      <c r="D18" s="923" t="s">
        <v>155</v>
      </c>
      <c r="E18" s="924">
        <f>'22'!F18</f>
        <v>12</v>
      </c>
      <c r="F18" s="954">
        <v>16</v>
      </c>
      <c r="G18" s="948">
        <f>F18*10</f>
        <v>160</v>
      </c>
      <c r="H18" s="926">
        <f>G18+'22'!H18</f>
        <v>3670</v>
      </c>
      <c r="I18" s="927">
        <f>'1'!I18</f>
        <v>65</v>
      </c>
      <c r="J18" s="928">
        <f>H18/DAY(B2)</f>
        <v>159.56521739130434</v>
      </c>
      <c r="K18" s="944"/>
      <c r="L18" s="903"/>
      <c r="O18" s="930"/>
    </row>
    <row r="19" spans="1:15">
      <c r="A19" s="1522" t="s">
        <v>71</v>
      </c>
      <c r="B19" s="1523"/>
      <c r="C19" s="1524"/>
      <c r="D19" s="923" t="s">
        <v>155</v>
      </c>
      <c r="E19" s="924">
        <f>'22'!F19</f>
        <v>132590</v>
      </c>
      <c r="F19" s="954">
        <v>132633</v>
      </c>
      <c r="G19" s="925">
        <f t="shared" ref="G19" si="1">F19-E19</f>
        <v>43</v>
      </c>
      <c r="H19" s="926">
        <f>G19+'22'!H19</f>
        <v>-415</v>
      </c>
      <c r="I19" s="927">
        <f>'1'!I19</f>
        <v>0</v>
      </c>
      <c r="J19" s="928">
        <f>H19/DAY(B2)</f>
        <v>-18.043478260869566</v>
      </c>
      <c r="K19" s="944"/>
      <c r="L19" s="903"/>
      <c r="N19" s="1092">
        <v>126171</v>
      </c>
      <c r="O19" s="930"/>
    </row>
    <row r="20" spans="1:15">
      <c r="A20" s="946" t="s">
        <v>156</v>
      </c>
      <c r="B20" s="947"/>
      <c r="C20" s="947"/>
      <c r="D20" s="964"/>
      <c r="E20" s="964"/>
      <c r="F20" s="964"/>
      <c r="G20" s="965">
        <f>G18+G19</f>
        <v>203</v>
      </c>
      <c r="H20" s="926">
        <f>G20+'22'!H20</f>
        <v>3255</v>
      </c>
      <c r="I20" s="966">
        <f>I18-J20</f>
        <v>-76.521739130434781</v>
      </c>
      <c r="J20" s="928">
        <f>H20/DAY(B2)</f>
        <v>141.52173913043478</v>
      </c>
      <c r="K20" s="944"/>
      <c r="L20" s="903"/>
      <c r="N20" s="1092">
        <f>N19-F19</f>
        <v>-6462</v>
      </c>
      <c r="O20" s="930"/>
    </row>
    <row r="21" spans="1:15">
      <c r="A21" s="1557" t="s">
        <v>157</v>
      </c>
      <c r="B21" s="1558"/>
      <c r="C21" s="1559"/>
      <c r="D21" s="918"/>
      <c r="E21" s="918"/>
      <c r="F21" s="918"/>
      <c r="G21" s="950"/>
      <c r="H21" s="918"/>
      <c r="I21" s="918"/>
      <c r="J21" s="919"/>
      <c r="K21" s="944"/>
      <c r="L21" s="903"/>
      <c r="O21" s="930"/>
    </row>
    <row r="22" spans="1:15">
      <c r="A22" s="952" t="s">
        <v>158</v>
      </c>
      <c r="B22" s="953"/>
      <c r="C22" s="953"/>
      <c r="D22" s="923" t="s">
        <v>159</v>
      </c>
      <c r="E22" s="954">
        <v>2970</v>
      </c>
      <c r="F22" s="954">
        <v>2970</v>
      </c>
      <c r="G22" s="948">
        <f t="shared" ref="G22" si="2">(F22-E22)</f>
        <v>0</v>
      </c>
      <c r="H22" s="926">
        <f>G22+'22'!H22</f>
        <v>0</v>
      </c>
      <c r="I22" s="945"/>
      <c r="J22" s="928">
        <f>H22/DAY(B2)</f>
        <v>0</v>
      </c>
      <c r="K22" s="944"/>
      <c r="L22" s="903"/>
      <c r="O22" s="930"/>
    </row>
    <row r="23" spans="1:15">
      <c r="A23" s="952" t="s">
        <v>160</v>
      </c>
      <c r="B23" s="953"/>
      <c r="C23" s="953"/>
      <c r="D23" s="923" t="s">
        <v>159</v>
      </c>
      <c r="E23" s="954">
        <v>2000</v>
      </c>
      <c r="F23" s="954">
        <v>2000</v>
      </c>
      <c r="G23" s="948">
        <v>0</v>
      </c>
      <c r="H23" s="926">
        <f>G23+'22'!H23</f>
        <v>0</v>
      </c>
      <c r="I23" s="945"/>
      <c r="J23" s="928">
        <f>H23/DAY(B2)</f>
        <v>0</v>
      </c>
      <c r="K23" s="944"/>
      <c r="L23" s="903"/>
      <c r="O23" s="930"/>
    </row>
    <row r="24" spans="1:15">
      <c r="A24" s="967" t="s">
        <v>161</v>
      </c>
      <c r="B24" s="968"/>
      <c r="C24" s="968"/>
      <c r="D24" s="910" t="s">
        <v>159</v>
      </c>
      <c r="E24" s="954">
        <v>4970</v>
      </c>
      <c r="F24" s="969">
        <v>4970</v>
      </c>
      <c r="G24" s="948">
        <v>0</v>
      </c>
      <c r="H24" s="926">
        <f>G24+'22'!H24</f>
        <v>0</v>
      </c>
      <c r="I24" s="945"/>
      <c r="J24" s="928">
        <f>H24/DAY(B2)</f>
        <v>0</v>
      </c>
      <c r="K24" s="944"/>
      <c r="L24" s="903"/>
      <c r="O24" s="930"/>
    </row>
    <row r="25" spans="1:15" s="975" customFormat="1">
      <c r="A25" s="1554" t="s">
        <v>162</v>
      </c>
      <c r="B25" s="1555"/>
      <c r="C25" s="1556"/>
      <c r="D25" s="917"/>
      <c r="E25" s="917"/>
      <c r="F25" s="917"/>
      <c r="G25" s="970"/>
      <c r="H25" s="971"/>
      <c r="I25" s="972"/>
      <c r="J25" s="973"/>
      <c r="K25" s="944"/>
      <c r="L25" s="974"/>
      <c r="N25" s="1093"/>
      <c r="O25" s="930"/>
    </row>
    <row r="26" spans="1:15" s="975" customFormat="1">
      <c r="A26" s="976" t="s">
        <v>163</v>
      </c>
      <c r="B26" s="977"/>
      <c r="C26" s="978"/>
      <c r="D26" s="979" t="s">
        <v>164</v>
      </c>
      <c r="E26" s="980"/>
      <c r="F26" s="980"/>
      <c r="G26" s="981"/>
      <c r="H26" s="926"/>
      <c r="I26" s="982"/>
      <c r="J26" s="928"/>
      <c r="K26" s="951"/>
      <c r="L26" s="974"/>
      <c r="N26" s="1093"/>
      <c r="O26" s="930"/>
    </row>
    <row r="27" spans="1:15" s="975" customFormat="1" ht="22.5">
      <c r="A27" s="976" t="s">
        <v>6</v>
      </c>
      <c r="B27" s="977"/>
      <c r="C27" s="978"/>
      <c r="D27" s="983" t="s">
        <v>25</v>
      </c>
      <c r="E27" s="984">
        <f>G8</f>
        <v>19855</v>
      </c>
      <c r="F27" s="577">
        <v>9</v>
      </c>
      <c r="G27" s="986">
        <f>E27*F27</f>
        <v>178695</v>
      </c>
      <c r="H27" s="926">
        <f>G27+'22'!H27</f>
        <v>-1378755</v>
      </c>
      <c r="I27" s="987"/>
      <c r="J27" s="928">
        <f>H27/DAY(B2)</f>
        <v>-59945.869565217392</v>
      </c>
      <c r="K27" s="944"/>
      <c r="L27" s="974"/>
      <c r="N27" s="1093"/>
      <c r="O27" s="930"/>
    </row>
    <row r="28" spans="1:15" s="975" customFormat="1" ht="22.5">
      <c r="A28" s="976" t="s">
        <v>165</v>
      </c>
      <c r="B28" s="977"/>
      <c r="C28" s="978"/>
      <c r="D28" s="983" t="s">
        <v>166</v>
      </c>
      <c r="E28" s="984">
        <f>G15</f>
        <v>934.93999999994412</v>
      </c>
      <c r="F28" s="577">
        <v>43.5</v>
      </c>
      <c r="G28" s="986">
        <f>E28*F28</f>
        <v>40669.889999997569</v>
      </c>
      <c r="H28" s="926">
        <f>G28+'22'!H28</f>
        <v>-268624.24500000081</v>
      </c>
      <c r="I28" s="988"/>
      <c r="J28" s="928">
        <f>H28/DAY(B2)</f>
        <v>-11679.315000000035</v>
      </c>
      <c r="K28" s="944"/>
      <c r="L28" s="974"/>
      <c r="N28" s="1093"/>
      <c r="O28" s="930"/>
    </row>
    <row r="29" spans="1:15" s="975" customFormat="1">
      <c r="A29" s="976" t="s">
        <v>167</v>
      </c>
      <c r="B29" s="977"/>
      <c r="C29" s="978"/>
      <c r="D29" s="983" t="s">
        <v>168</v>
      </c>
      <c r="E29" s="984">
        <f>G24</f>
        <v>0</v>
      </c>
      <c r="F29" s="985">
        <v>69</v>
      </c>
      <c r="G29" s="986">
        <f>E29*F29</f>
        <v>0</v>
      </c>
      <c r="H29" s="926">
        <f>G29+'22'!H29</f>
        <v>162150</v>
      </c>
      <c r="I29" s="988"/>
      <c r="J29" s="928">
        <f>H29/DAY(B2)</f>
        <v>7050</v>
      </c>
      <c r="K29" s="944"/>
      <c r="L29" s="974"/>
      <c r="N29" s="1093"/>
      <c r="O29" s="930"/>
    </row>
    <row r="30" spans="1:15" s="975" customFormat="1">
      <c r="A30" s="976" t="s">
        <v>169</v>
      </c>
      <c r="B30" s="977"/>
      <c r="C30" s="978"/>
      <c r="D30" s="983" t="s">
        <v>170</v>
      </c>
      <c r="E30" s="984">
        <f>G19</f>
        <v>43</v>
      </c>
      <c r="F30" s="985">
        <v>134</v>
      </c>
      <c r="G30" s="986">
        <f>E30*F30</f>
        <v>5762</v>
      </c>
      <c r="H30" s="926">
        <f>G30+'22'!H30</f>
        <v>-55610</v>
      </c>
      <c r="I30" s="988"/>
      <c r="J30" s="928">
        <f>H30/DAY(B2)</f>
        <v>-2417.8260869565215</v>
      </c>
      <c r="K30" s="944"/>
      <c r="L30" s="974"/>
      <c r="N30" s="1093"/>
      <c r="O30" s="930"/>
    </row>
    <row r="31" spans="1:15" s="975" customFormat="1">
      <c r="A31" s="976" t="s">
        <v>171</v>
      </c>
      <c r="B31" s="977"/>
      <c r="C31" s="978"/>
      <c r="D31" s="983" t="s">
        <v>155</v>
      </c>
      <c r="E31" s="984">
        <f>G18</f>
        <v>160</v>
      </c>
      <c r="F31" s="985">
        <v>80</v>
      </c>
      <c r="G31" s="986">
        <f>E31*F31</f>
        <v>12800</v>
      </c>
      <c r="H31" s="926">
        <f>G31+'22'!H31</f>
        <v>293600</v>
      </c>
      <c r="I31" s="988"/>
      <c r="J31" s="928"/>
      <c r="K31" s="944"/>
      <c r="L31" s="974"/>
      <c r="N31" s="1093"/>
      <c r="O31" s="930"/>
    </row>
    <row r="32" spans="1:15" s="975" customFormat="1">
      <c r="A32" s="989" t="s">
        <v>172</v>
      </c>
      <c r="B32" s="990"/>
      <c r="C32" s="991"/>
      <c r="D32" s="992"/>
      <c r="E32" s="992"/>
      <c r="F32" s="992"/>
      <c r="G32" s="993">
        <f>G27+G28+G29+G30+G31</f>
        <v>237926.88999999757</v>
      </c>
      <c r="H32" s="926">
        <f>G32+'22'!H32</f>
        <v>-1247239.2450000006</v>
      </c>
      <c r="I32" s="994"/>
      <c r="J32" s="928">
        <f>H32/DAY(B2)</f>
        <v>-54227.793260869592</v>
      </c>
      <c r="K32" s="944"/>
      <c r="L32" s="974"/>
      <c r="N32" s="1093"/>
      <c r="O32" s="930"/>
    </row>
    <row r="33" spans="1:15" ht="18.75">
      <c r="A33" s="1562" t="s">
        <v>173</v>
      </c>
      <c r="B33" s="1563"/>
      <c r="C33" s="1563"/>
      <c r="D33" s="1563"/>
      <c r="E33" s="1563"/>
      <c r="F33" s="1563"/>
      <c r="G33" s="1563"/>
      <c r="H33" s="1563"/>
      <c r="I33" s="1563"/>
      <c r="J33" s="1564"/>
      <c r="K33" s="944"/>
      <c r="L33" s="903"/>
      <c r="O33" s="930"/>
    </row>
    <row r="34" spans="1:15">
      <c r="A34" s="995" t="s">
        <v>174</v>
      </c>
      <c r="B34" s="996"/>
      <c r="C34" s="996"/>
      <c r="D34" s="918"/>
      <c r="E34" s="917"/>
      <c r="F34" s="917"/>
      <c r="G34" s="918"/>
      <c r="H34" s="918"/>
      <c r="I34" s="918"/>
      <c r="J34" s="919"/>
      <c r="K34" s="944"/>
      <c r="L34" s="903"/>
      <c r="O34" s="930"/>
    </row>
    <row r="35" spans="1:15">
      <c r="A35" s="921" t="s">
        <v>175</v>
      </c>
      <c r="B35" s="922"/>
      <c r="C35" s="922"/>
      <c r="D35" s="923" t="s">
        <v>143</v>
      </c>
      <c r="E35" s="924">
        <f>'22'!F35</f>
        <v>629027.67000000004</v>
      </c>
      <c r="F35" s="997">
        <v>629027.67000000004</v>
      </c>
      <c r="G35" s="925">
        <f t="shared" ref="G35:G46" si="3">F35-E35</f>
        <v>0</v>
      </c>
      <c r="H35" s="926">
        <f>G35+'22'!H35</f>
        <v>0</v>
      </c>
      <c r="I35" s="924"/>
      <c r="J35" s="928">
        <f>H35/DAY(B2)</f>
        <v>0</v>
      </c>
      <c r="K35" s="944"/>
      <c r="L35" s="903"/>
      <c r="O35" s="930"/>
    </row>
    <row r="36" spans="1:15">
      <c r="A36" s="921" t="s">
        <v>176</v>
      </c>
      <c r="B36" s="922"/>
      <c r="C36" s="922"/>
      <c r="D36" s="923" t="s">
        <v>143</v>
      </c>
      <c r="E36" s="924">
        <f>'22'!F36</f>
        <v>270339.78999999998</v>
      </c>
      <c r="F36" s="997">
        <v>270994.01</v>
      </c>
      <c r="G36" s="925">
        <f t="shared" si="3"/>
        <v>654.22000000003027</v>
      </c>
      <c r="H36" s="926">
        <f>G36+'22'!H36</f>
        <v>-5497.4400000000023</v>
      </c>
      <c r="I36" s="924"/>
      <c r="J36" s="928">
        <f>H36/DAY(B2)</f>
        <v>-239.01913043478271</v>
      </c>
      <c r="K36" s="944"/>
      <c r="L36" s="903"/>
      <c r="O36" s="930"/>
    </row>
    <row r="37" spans="1:15">
      <c r="A37" s="921" t="s">
        <v>177</v>
      </c>
      <c r="B37" s="922"/>
      <c r="C37" s="922"/>
      <c r="D37" s="923" t="s">
        <v>143</v>
      </c>
      <c r="E37" s="924">
        <f>'22'!F37</f>
        <v>415066</v>
      </c>
      <c r="F37" s="997">
        <v>415066</v>
      </c>
      <c r="G37" s="925">
        <f t="shared" si="3"/>
        <v>0</v>
      </c>
      <c r="H37" s="926">
        <f>G37+'22'!H37</f>
        <v>415066</v>
      </c>
      <c r="I37" s="924"/>
      <c r="J37" s="928">
        <f>H37/DAY(B2)</f>
        <v>18046.347826086956</v>
      </c>
      <c r="K37" s="944"/>
      <c r="L37" s="903"/>
      <c r="O37" s="930"/>
    </row>
    <row r="38" spans="1:15">
      <c r="A38" s="921" t="s">
        <v>178</v>
      </c>
      <c r="B38" s="922"/>
      <c r="C38" s="922"/>
      <c r="D38" s="923" t="s">
        <v>143</v>
      </c>
      <c r="E38" s="924">
        <f>'22'!F38</f>
        <v>150714.38</v>
      </c>
      <c r="F38" s="913">
        <v>150714.38</v>
      </c>
      <c r="G38" s="925">
        <f t="shared" si="3"/>
        <v>0</v>
      </c>
      <c r="H38" s="926">
        <f>G38+'22'!H38</f>
        <v>150616.5</v>
      </c>
      <c r="I38" s="924"/>
      <c r="J38" s="928">
        <f>H38/DAY(B2)</f>
        <v>6548.54347826087</v>
      </c>
      <c r="K38" s="944"/>
      <c r="L38" s="903"/>
      <c r="O38" s="930"/>
    </row>
    <row r="39" spans="1:15">
      <c r="A39" s="921" t="s">
        <v>179</v>
      </c>
      <c r="B39" s="922"/>
      <c r="C39" s="922"/>
      <c r="D39" s="923" t="s">
        <v>143</v>
      </c>
      <c r="E39" s="924">
        <f>'22'!F39</f>
        <v>912480</v>
      </c>
      <c r="F39" s="997">
        <v>912480</v>
      </c>
      <c r="G39" s="925">
        <f t="shared" si="3"/>
        <v>0</v>
      </c>
      <c r="H39" s="926">
        <f>G39+'22'!H39</f>
        <v>912480</v>
      </c>
      <c r="I39" s="924"/>
      <c r="J39" s="928">
        <f>H39/DAY(B2)</f>
        <v>39673.043478260872</v>
      </c>
      <c r="K39" s="944"/>
      <c r="L39" s="903"/>
      <c r="O39" s="930"/>
    </row>
    <row r="40" spans="1:15">
      <c r="A40" s="998" t="s">
        <v>180</v>
      </c>
      <c r="B40" s="999"/>
      <c r="C40" s="999"/>
      <c r="D40" s="923" t="s">
        <v>143</v>
      </c>
      <c r="E40" s="924">
        <f>'22'!F40</f>
        <v>0</v>
      </c>
      <c r="F40" s="997">
        <v>0</v>
      </c>
      <c r="G40" s="925">
        <f t="shared" si="3"/>
        <v>0</v>
      </c>
      <c r="H40" s="926">
        <f>G40+'22'!H40</f>
        <v>-0.06</v>
      </c>
      <c r="I40" s="924"/>
      <c r="J40" s="928">
        <f>H40/DAY(B2)</f>
        <v>-2.6086956521739128E-3</v>
      </c>
      <c r="K40" s="951"/>
      <c r="L40" s="903"/>
      <c r="O40" s="930"/>
    </row>
    <row r="41" spans="1:15">
      <c r="A41" s="921" t="s">
        <v>181</v>
      </c>
      <c r="B41" s="922"/>
      <c r="C41" s="922"/>
      <c r="D41" s="923" t="s">
        <v>143</v>
      </c>
      <c r="E41" s="924">
        <f>'22'!F41</f>
        <v>10456.540000000001</v>
      </c>
      <c r="F41" s="997">
        <v>14802.68</v>
      </c>
      <c r="G41" s="925">
        <f t="shared" si="3"/>
        <v>4346.1399999999994</v>
      </c>
      <c r="H41" s="926">
        <f>G41+'22'!H41</f>
        <v>34062.160000000003</v>
      </c>
      <c r="I41" s="924"/>
      <c r="J41" s="928">
        <f>H41/DAY(B2)</f>
        <v>1480.9634782608698</v>
      </c>
      <c r="K41" s="944"/>
      <c r="L41" s="903"/>
      <c r="O41" s="930"/>
    </row>
    <row r="42" spans="1:15">
      <c r="A42" s="921" t="s">
        <v>182</v>
      </c>
      <c r="B42" s="922"/>
      <c r="C42" s="922"/>
      <c r="D42" s="923" t="s">
        <v>143</v>
      </c>
      <c r="E42" s="924">
        <f>'22'!F42</f>
        <v>58926.09</v>
      </c>
      <c r="F42" s="997">
        <v>58926.09</v>
      </c>
      <c r="G42" s="925">
        <f t="shared" si="3"/>
        <v>0</v>
      </c>
      <c r="H42" s="926">
        <f>G42+'22'!H42</f>
        <v>8.999999999650754E-2</v>
      </c>
      <c r="I42" s="924"/>
      <c r="J42" s="928">
        <f>H42/DAY(B2)</f>
        <v>3.9130434781090235E-3</v>
      </c>
      <c r="K42" s="944"/>
      <c r="L42" s="903"/>
      <c r="O42" s="930"/>
    </row>
    <row r="43" spans="1:15">
      <c r="A43" s="921" t="s">
        <v>183</v>
      </c>
      <c r="B43" s="922"/>
      <c r="C43" s="922"/>
      <c r="D43" s="923" t="s">
        <v>143</v>
      </c>
      <c r="E43" s="924">
        <f>'22'!F43</f>
        <v>746869.11</v>
      </c>
      <c r="F43" s="997">
        <v>749232.63</v>
      </c>
      <c r="G43" s="925">
        <f t="shared" si="3"/>
        <v>2363.5200000000186</v>
      </c>
      <c r="H43" s="926">
        <f>G43+'22'!H43</f>
        <v>-18579.280000000028</v>
      </c>
      <c r="I43" s="924"/>
      <c r="J43" s="928">
        <f>H43/DAY(B2)</f>
        <v>-807.79478260869689</v>
      </c>
      <c r="K43" s="944"/>
      <c r="L43" s="903"/>
      <c r="O43" s="930"/>
    </row>
    <row r="44" spans="1:15">
      <c r="A44" s="921" t="s">
        <v>184</v>
      </c>
      <c r="B44" s="922"/>
      <c r="C44" s="922"/>
      <c r="D44" s="923" t="s">
        <v>143</v>
      </c>
      <c r="E44" s="924">
        <f>'22'!F44</f>
        <v>0</v>
      </c>
      <c r="F44" s="997">
        <v>0</v>
      </c>
      <c r="G44" s="925">
        <f t="shared" si="3"/>
        <v>0</v>
      </c>
      <c r="H44" s="926">
        <f>G44+'22'!H44</f>
        <v>0</v>
      </c>
      <c r="I44" s="924"/>
      <c r="J44" s="928">
        <f>H44/DAY(B2)</f>
        <v>0</v>
      </c>
      <c r="K44" s="944"/>
      <c r="L44" s="903"/>
      <c r="O44" s="930"/>
    </row>
    <row r="45" spans="1:15">
      <c r="A45" s="921" t="s">
        <v>185</v>
      </c>
      <c r="B45" s="922"/>
      <c r="C45" s="922"/>
      <c r="D45" s="923" t="s">
        <v>143</v>
      </c>
      <c r="E45" s="924">
        <f>'22'!F45</f>
        <v>614</v>
      </c>
      <c r="F45" s="997">
        <v>614</v>
      </c>
      <c r="G45" s="925">
        <f t="shared" si="3"/>
        <v>0</v>
      </c>
      <c r="H45" s="926">
        <f>G45+'22'!H45</f>
        <v>-0.48000000000001819</v>
      </c>
      <c r="I45" s="924"/>
      <c r="J45" s="928">
        <f>H45/DAY(B2)</f>
        <v>-2.0869565217392094E-2</v>
      </c>
      <c r="K45" s="944"/>
      <c r="L45" s="903"/>
      <c r="O45" s="930"/>
    </row>
    <row r="46" spans="1:15">
      <c r="A46" s="921" t="s">
        <v>186</v>
      </c>
      <c r="B46" s="922"/>
      <c r="C46" s="922"/>
      <c r="D46" s="923" t="s">
        <v>143</v>
      </c>
      <c r="E46" s="924">
        <f>'22'!F46</f>
        <v>187</v>
      </c>
      <c r="F46" s="997">
        <v>187</v>
      </c>
      <c r="G46" s="925">
        <f t="shared" si="3"/>
        <v>0</v>
      </c>
      <c r="H46" s="926">
        <f>G46+'22'!H46</f>
        <v>-0.49000000000000909</v>
      </c>
      <c r="I46" s="924"/>
      <c r="J46" s="928">
        <f>H46/DAY(B2)</f>
        <v>-2.1304347826087353E-2</v>
      </c>
      <c r="K46" s="944"/>
      <c r="L46" s="903"/>
      <c r="O46" s="930"/>
    </row>
    <row r="47" spans="1:15">
      <c r="A47" s="946" t="s">
        <v>187</v>
      </c>
      <c r="B47" s="947"/>
      <c r="C47" s="947"/>
      <c r="D47" s="914"/>
      <c r="E47" s="910"/>
      <c r="F47" s="910"/>
      <c r="G47" s="948">
        <f>G35+G36+G37+G38+G39+G40+G41+G42+G43+G44+G45+G46</f>
        <v>7363.8800000000483</v>
      </c>
      <c r="H47" s="926">
        <f>G47+'22'!H47</f>
        <v>1488147.0000000002</v>
      </c>
      <c r="I47" s="924"/>
      <c r="J47" s="928">
        <f>H47/DAY(B2)</f>
        <v>64702.043478260879</v>
      </c>
      <c r="K47" s="944"/>
      <c r="L47" s="903"/>
      <c r="N47" s="1094"/>
      <c r="O47" s="930"/>
    </row>
    <row r="48" spans="1:15">
      <c r="A48" s="995" t="s">
        <v>188</v>
      </c>
      <c r="B48" s="996"/>
      <c r="C48" s="996"/>
      <c r="D48" s="918"/>
      <c r="E48" s="917"/>
      <c r="F48" s="917"/>
      <c r="G48" s="918"/>
      <c r="H48" s="918"/>
      <c r="I48" s="918"/>
      <c r="J48" s="919"/>
      <c r="K48" s="944"/>
      <c r="L48" s="903"/>
      <c r="O48" s="930"/>
    </row>
    <row r="49" spans="1:15">
      <c r="A49" s="921" t="s">
        <v>175</v>
      </c>
      <c r="B49" s="1000"/>
      <c r="C49" s="1000"/>
      <c r="D49" s="923" t="s">
        <v>143</v>
      </c>
      <c r="E49" s="924">
        <f>'22'!F49</f>
        <v>217967</v>
      </c>
      <c r="F49" s="997">
        <v>221005.57</v>
      </c>
      <c r="G49" s="925">
        <f t="shared" ref="G49:G58" si="4">F49-E49</f>
        <v>3038.570000000007</v>
      </c>
      <c r="H49" s="926">
        <f>G49+'22'!H49</f>
        <v>-24893.479999999981</v>
      </c>
      <c r="I49" s="924"/>
      <c r="J49" s="928">
        <f>H49/DAY(B2)</f>
        <v>-1082.3252173913036</v>
      </c>
      <c r="K49" s="944"/>
      <c r="L49" s="903"/>
      <c r="O49" s="930"/>
    </row>
    <row r="50" spans="1:15">
      <c r="A50" s="921" t="s">
        <v>189</v>
      </c>
      <c r="B50" s="1000"/>
      <c r="C50" s="1000"/>
      <c r="D50" s="923" t="s">
        <v>143</v>
      </c>
      <c r="E50" s="924">
        <f>'22'!F50</f>
        <v>358855.35</v>
      </c>
      <c r="F50" s="997">
        <v>359903.71</v>
      </c>
      <c r="G50" s="925">
        <f t="shared" si="4"/>
        <v>1048.3600000000442</v>
      </c>
      <c r="H50" s="926">
        <f>G50+'22'!H50</f>
        <v>-9756.5999999999767</v>
      </c>
      <c r="I50" s="924"/>
      <c r="J50" s="928">
        <f>H50/DAY(B2)</f>
        <v>-424.19999999999897</v>
      </c>
      <c r="K50" s="944"/>
      <c r="L50" s="903"/>
      <c r="O50" s="930"/>
    </row>
    <row r="51" spans="1:15">
      <c r="A51" s="921" t="s">
        <v>177</v>
      </c>
      <c r="B51" s="1000"/>
      <c r="C51" s="1000"/>
      <c r="D51" s="923" t="s">
        <v>143</v>
      </c>
      <c r="E51" s="924">
        <f>'22'!F51</f>
        <v>96722.97</v>
      </c>
      <c r="F51" s="997">
        <v>98185.64</v>
      </c>
      <c r="G51" s="925">
        <f t="shared" si="4"/>
        <v>1462.6699999999983</v>
      </c>
      <c r="H51" s="926">
        <f>G51+'22'!H51</f>
        <v>-11914.100000000006</v>
      </c>
      <c r="I51" s="924"/>
      <c r="J51" s="928">
        <f>H51/DAY(B2)</f>
        <v>-518.00434782608716</v>
      </c>
      <c r="K51" s="944"/>
      <c r="L51" s="903"/>
      <c r="O51" s="930"/>
    </row>
    <row r="52" spans="1:15">
      <c r="A52" s="921" t="s">
        <v>190</v>
      </c>
      <c r="B52" s="1000"/>
      <c r="C52" s="1000"/>
      <c r="D52" s="923" t="s">
        <v>143</v>
      </c>
      <c r="E52" s="924">
        <f>'22'!F52</f>
        <v>476838.55</v>
      </c>
      <c r="F52" s="997">
        <v>478782.59</v>
      </c>
      <c r="G52" s="925">
        <f t="shared" si="4"/>
        <v>1944.0400000000373</v>
      </c>
      <c r="H52" s="926">
        <f>G52+'22'!H52</f>
        <v>-15026.079999999958</v>
      </c>
      <c r="I52" s="924"/>
      <c r="J52" s="928">
        <f>H52/DAY(B2)</f>
        <v>-653.30782608695472</v>
      </c>
      <c r="K52" s="944"/>
      <c r="L52" s="903"/>
      <c r="O52" s="930"/>
    </row>
    <row r="53" spans="1:15">
      <c r="A53" s="921" t="s">
        <v>179</v>
      </c>
      <c r="B53" s="1000"/>
      <c r="C53" s="1000"/>
      <c r="D53" s="923" t="s">
        <v>143</v>
      </c>
      <c r="E53" s="924">
        <f>'22'!F53</f>
        <v>266549.28999999998</v>
      </c>
      <c r="F53" s="997">
        <v>270812.05</v>
      </c>
      <c r="G53" s="925">
        <f t="shared" si="4"/>
        <v>4262.7600000000093</v>
      </c>
      <c r="H53" s="926">
        <f>G53+'22'!H53</f>
        <v>-33486.22000000003</v>
      </c>
      <c r="I53" s="924"/>
      <c r="J53" s="928">
        <f>H53/DAY(B2)</f>
        <v>-1455.9226086956535</v>
      </c>
      <c r="K53" s="944"/>
      <c r="L53" s="903"/>
      <c r="O53" s="930"/>
    </row>
    <row r="54" spans="1:15">
      <c r="A54" s="921" t="s">
        <v>191</v>
      </c>
      <c r="B54" s="1000"/>
      <c r="C54" s="1000"/>
      <c r="D54" s="923" t="s">
        <v>143</v>
      </c>
      <c r="E54" s="924">
        <f>'22'!F54</f>
        <v>5859.71</v>
      </c>
      <c r="F54" s="997">
        <v>5926.83</v>
      </c>
      <c r="G54" s="925">
        <f t="shared" si="4"/>
        <v>67.119999999999891</v>
      </c>
      <c r="H54" s="926">
        <f>G54+'22'!H54</f>
        <v>-461.97000000000025</v>
      </c>
      <c r="I54" s="924"/>
      <c r="J54" s="928">
        <f>H54/DAY(B2)</f>
        <v>-20.085652173913054</v>
      </c>
      <c r="K54" s="944"/>
      <c r="L54" s="903"/>
      <c r="O54" s="930"/>
    </row>
    <row r="55" spans="1:15">
      <c r="A55" s="921" t="s">
        <v>192</v>
      </c>
      <c r="B55" s="1000"/>
      <c r="C55" s="1000"/>
      <c r="D55" s="923" t="s">
        <v>143</v>
      </c>
      <c r="E55" s="924">
        <f>'22'!F55</f>
        <v>39120.58</v>
      </c>
      <c r="F55" s="997">
        <v>39120.58</v>
      </c>
      <c r="G55" s="925">
        <f t="shared" si="4"/>
        <v>0</v>
      </c>
      <c r="H55" s="926">
        <f>G55+'22'!H55</f>
        <v>-3867.4000000000015</v>
      </c>
      <c r="I55" s="924"/>
      <c r="J55" s="928">
        <f>H55/DAY(B2)</f>
        <v>-168.1478260869566</v>
      </c>
      <c r="K55" s="944"/>
      <c r="L55" s="903"/>
      <c r="O55" s="930"/>
    </row>
    <row r="56" spans="1:15">
      <c r="A56" s="921" t="s">
        <v>193</v>
      </c>
      <c r="B56" s="1000"/>
      <c r="C56" s="1000"/>
      <c r="D56" s="923" t="s">
        <v>194</v>
      </c>
      <c r="E56" s="924">
        <f>'22'!F56</f>
        <v>557729.63</v>
      </c>
      <c r="F56" s="997">
        <v>557730.15</v>
      </c>
      <c r="G56" s="925">
        <f t="shared" si="4"/>
        <v>0.52000000001862645</v>
      </c>
      <c r="H56" s="926">
        <f>G56+'22'!H56</f>
        <v>-1.7600000000093132</v>
      </c>
      <c r="I56" s="924"/>
      <c r="J56" s="928">
        <f>H56/DAY(B2)</f>
        <v>-7.6521739130839705E-2</v>
      </c>
      <c r="K56" s="920"/>
      <c r="L56" s="903"/>
      <c r="O56" s="930"/>
    </row>
    <row r="57" spans="1:15">
      <c r="A57" s="921" t="s">
        <v>183</v>
      </c>
      <c r="B57" s="1000"/>
      <c r="C57" s="1000"/>
      <c r="D57" s="923" t="s">
        <v>143</v>
      </c>
      <c r="E57" s="924">
        <f>'22'!F57</f>
        <v>0</v>
      </c>
      <c r="F57" s="997">
        <v>0</v>
      </c>
      <c r="G57" s="925">
        <f t="shared" si="4"/>
        <v>0</v>
      </c>
      <c r="H57" s="926">
        <f>G57+'22'!H57</f>
        <v>0</v>
      </c>
      <c r="I57" s="924"/>
      <c r="J57" s="928">
        <f>H57/DAY(B2)</f>
        <v>0</v>
      </c>
      <c r="K57" s="944"/>
      <c r="L57" s="903"/>
      <c r="O57" s="930"/>
    </row>
    <row r="58" spans="1:15">
      <c r="A58" s="921" t="s">
        <v>195</v>
      </c>
      <c r="B58" s="1000"/>
      <c r="C58" s="1000"/>
      <c r="D58" s="923" t="s">
        <v>143</v>
      </c>
      <c r="E58" s="924">
        <f>'22'!F58</f>
        <v>29072.28</v>
      </c>
      <c r="F58" s="997">
        <v>29277.06</v>
      </c>
      <c r="G58" s="925">
        <f t="shared" si="4"/>
        <v>204.78000000000247</v>
      </c>
      <c r="H58" s="926">
        <f>G58+'22'!H58</f>
        <v>-1452.4799999999959</v>
      </c>
      <c r="I58" s="924"/>
      <c r="J58" s="928">
        <f>H58/DAY(B2)</f>
        <v>-63.151304347825906</v>
      </c>
      <c r="K58" s="944"/>
      <c r="L58" s="903"/>
      <c r="O58" s="930"/>
    </row>
    <row r="59" spans="1:15">
      <c r="A59" s="946" t="s">
        <v>187</v>
      </c>
      <c r="B59" s="947"/>
      <c r="C59" s="947"/>
      <c r="D59" s="910"/>
      <c r="E59" s="910"/>
      <c r="F59" s="910"/>
      <c r="G59" s="948">
        <f>G49+G50+G51+G52+G53+G54+G55+G56+G57+G58</f>
        <v>12028.820000000116</v>
      </c>
      <c r="H59" s="926">
        <f>G59+'22'!H59</f>
        <v>-100860.08999999991</v>
      </c>
      <c r="I59" s="924">
        <f>G7-G60</f>
        <v>316.29999999983556</v>
      </c>
      <c r="J59" s="928">
        <f>H59/DAY(B2)</f>
        <v>-4385.2213043478223</v>
      </c>
      <c r="K59" s="944"/>
      <c r="L59" s="903"/>
      <c r="O59" s="930"/>
    </row>
    <row r="60" spans="1:15">
      <c r="A60" s="921"/>
      <c r="B60" s="922"/>
      <c r="C60" s="922"/>
      <c r="D60" s="910" t="s">
        <v>196</v>
      </c>
      <c r="E60" s="910"/>
      <c r="F60" s="910"/>
      <c r="G60" s="948">
        <f>G47+G59</f>
        <v>19392.700000000164</v>
      </c>
      <c r="H60" s="926">
        <f>G60+'22'!H60</f>
        <v>1392467.1</v>
      </c>
      <c r="I60" s="924">
        <f>G13-G60</f>
        <v>-344.3000000004904</v>
      </c>
      <c r="J60" s="928">
        <f>H60/DAY(B2)</f>
        <v>60542.047826086964</v>
      </c>
      <c r="K60" s="944"/>
      <c r="L60" s="903"/>
      <c r="O60" s="930"/>
    </row>
    <row r="61" spans="1:15">
      <c r="A61" s="1001" t="s">
        <v>197</v>
      </c>
      <c r="B61" s="1002"/>
      <c r="C61" s="1002"/>
      <c r="D61" s="1002"/>
      <c r="E61" s="1003"/>
      <c r="F61" s="1003"/>
      <c r="G61" s="1002"/>
      <c r="H61" s="1002"/>
      <c r="I61" s="1002"/>
      <c r="J61" s="1004"/>
      <c r="K61" s="944"/>
      <c r="L61" s="903"/>
      <c r="O61" s="930"/>
    </row>
    <row r="62" spans="1:15">
      <c r="A62" s="1005" t="s">
        <v>106</v>
      </c>
      <c r="B62" s="1006"/>
      <c r="C62" s="1006"/>
      <c r="D62" s="910" t="s">
        <v>198</v>
      </c>
      <c r="E62" s="924">
        <f>'22'!F62</f>
        <v>20419.2</v>
      </c>
      <c r="F62" s="1007">
        <v>20419</v>
      </c>
      <c r="G62" s="925">
        <f t="shared" ref="G62:G69" si="5">F62-E62</f>
        <v>-0.2000000000007276</v>
      </c>
      <c r="H62" s="926">
        <f>G62+'22'!H62</f>
        <v>-0.1889999999984866</v>
      </c>
      <c r="I62" s="1008"/>
      <c r="J62" s="928">
        <f>H62/DAY(B2)</f>
        <v>-8.2173913042820259E-3</v>
      </c>
      <c r="K62" s="944"/>
      <c r="L62" s="903"/>
      <c r="O62" s="930"/>
    </row>
    <row r="63" spans="1:15">
      <c r="A63" s="1005" t="s">
        <v>199</v>
      </c>
      <c r="B63" s="1006"/>
      <c r="C63" s="1006"/>
      <c r="D63" s="910" t="s">
        <v>198</v>
      </c>
      <c r="E63" s="924">
        <f>'22'!F63</f>
        <v>1236.99</v>
      </c>
      <c r="F63" s="1007">
        <v>1245.43</v>
      </c>
      <c r="G63" s="925">
        <f t="shared" si="5"/>
        <v>8.4400000000000546</v>
      </c>
      <c r="H63" s="926">
        <f>G63+'22'!H63</f>
        <v>-87.099999999999909</v>
      </c>
      <c r="I63" s="1008"/>
      <c r="J63" s="928">
        <f>H63/DAY(B2)</f>
        <v>-3.7869565217391266</v>
      </c>
      <c r="K63" s="944"/>
      <c r="L63" s="903"/>
      <c r="O63" s="930"/>
    </row>
    <row r="64" spans="1:15">
      <c r="A64" s="1528" t="s">
        <v>107</v>
      </c>
      <c r="B64" s="1529"/>
      <c r="C64" s="1530"/>
      <c r="D64" s="923" t="s">
        <v>198</v>
      </c>
      <c r="E64" s="924">
        <f>'22'!F64</f>
        <v>107473.88</v>
      </c>
      <c r="F64" s="954">
        <v>107901.1</v>
      </c>
      <c r="G64" s="925">
        <f t="shared" si="5"/>
        <v>427.22000000000116</v>
      </c>
      <c r="H64" s="926">
        <f>G64+'22'!H64</f>
        <v>-3382.3600000000006</v>
      </c>
      <c r="I64" s="945"/>
      <c r="J64" s="928">
        <f>H64/DAY(B2)</f>
        <v>-147.05913043478265</v>
      </c>
      <c r="K64" s="944"/>
      <c r="L64" s="903"/>
      <c r="O64" s="930"/>
    </row>
    <row r="65" spans="1:15">
      <c r="A65" s="1528" t="s">
        <v>108</v>
      </c>
      <c r="B65" s="1529"/>
      <c r="C65" s="1530"/>
      <c r="D65" s="923" t="s">
        <v>198</v>
      </c>
      <c r="E65" s="924">
        <f>'22'!F65</f>
        <v>118098.62</v>
      </c>
      <c r="F65" s="954">
        <v>118512.05</v>
      </c>
      <c r="G65" s="925">
        <f t="shared" si="5"/>
        <v>413.43000000000757</v>
      </c>
      <c r="H65" s="926">
        <f>G65+'22'!H65</f>
        <v>-3221.0599999999977</v>
      </c>
      <c r="I65" s="963"/>
      <c r="J65" s="928">
        <f>H65/DAY(B2)</f>
        <v>-140.04608695652163</v>
      </c>
      <c r="K65" s="944"/>
      <c r="L65" s="903"/>
      <c r="O65" s="930"/>
    </row>
    <row r="66" spans="1:15">
      <c r="A66" s="1528" t="s">
        <v>109</v>
      </c>
      <c r="B66" s="1529"/>
      <c r="C66" s="1530"/>
      <c r="D66" s="923" t="s">
        <v>198</v>
      </c>
      <c r="E66" s="924">
        <f>'22'!F66</f>
        <v>10482.780000000001</v>
      </c>
      <c r="F66" s="954">
        <v>10824.81</v>
      </c>
      <c r="G66" s="925">
        <f t="shared" si="5"/>
        <v>342.02999999999884</v>
      </c>
      <c r="H66" s="926">
        <f>G66+'22'!H66</f>
        <v>-3334.9300000000003</v>
      </c>
      <c r="I66" s="945"/>
      <c r="J66" s="928">
        <f>H66/DAY(B2)</f>
        <v>-144.99695652173915</v>
      </c>
      <c r="K66" s="944"/>
      <c r="L66" s="903"/>
      <c r="O66" s="930"/>
    </row>
    <row r="67" spans="1:15">
      <c r="A67" s="1528" t="s">
        <v>110</v>
      </c>
      <c r="B67" s="1529"/>
      <c r="C67" s="1530"/>
      <c r="D67" s="923" t="s">
        <v>198</v>
      </c>
      <c r="E67" s="924">
        <f>'22'!F67</f>
        <v>182726</v>
      </c>
      <c r="F67" s="954">
        <v>183352.45</v>
      </c>
      <c r="G67" s="925">
        <f t="shared" si="5"/>
        <v>626.45000000001164</v>
      </c>
      <c r="H67" s="926">
        <f>G67+'22'!H67</f>
        <v>-5322.0799999999872</v>
      </c>
      <c r="I67" s="963"/>
      <c r="J67" s="928">
        <f>H67/DAY(B2)</f>
        <v>-231.3947826086951</v>
      </c>
      <c r="K67" s="951"/>
      <c r="L67" s="903"/>
      <c r="O67" s="930"/>
    </row>
    <row r="68" spans="1:15">
      <c r="A68" s="1528" t="s">
        <v>111</v>
      </c>
      <c r="B68" s="1529"/>
      <c r="C68" s="1530"/>
      <c r="D68" s="923" t="s">
        <v>198</v>
      </c>
      <c r="E68" s="924">
        <f>'22'!F68</f>
        <v>60387.56</v>
      </c>
      <c r="F68" s="954">
        <v>60703.31</v>
      </c>
      <c r="G68" s="925">
        <f t="shared" si="5"/>
        <v>315.75</v>
      </c>
      <c r="H68" s="926">
        <f>G68+'22'!H68</f>
        <v>-2596.5500000000029</v>
      </c>
      <c r="I68" s="1009"/>
      <c r="J68" s="928">
        <f>H68/DAY(B2)</f>
        <v>-112.89347826086968</v>
      </c>
      <c r="K68" s="1010"/>
      <c r="L68" s="903"/>
      <c r="O68" s="930"/>
    </row>
    <row r="69" spans="1:15">
      <c r="A69" s="1528" t="s">
        <v>112</v>
      </c>
      <c r="B69" s="1529"/>
      <c r="C69" s="1530"/>
      <c r="D69" s="923" t="s">
        <v>198</v>
      </c>
      <c r="E69" s="924">
        <f>'22'!F69</f>
        <v>52947.14</v>
      </c>
      <c r="F69" s="954">
        <v>53249.27</v>
      </c>
      <c r="G69" s="925">
        <f t="shared" si="5"/>
        <v>302.12999999999738</v>
      </c>
      <c r="H69" s="926">
        <f>G69+'22'!H69</f>
        <v>-2474.4400000000023</v>
      </c>
      <c r="I69" s="1009"/>
      <c r="J69" s="928">
        <f>H69/DAY(B2)</f>
        <v>-107.58434782608705</v>
      </c>
      <c r="K69" s="1011"/>
      <c r="L69" s="903"/>
      <c r="O69" s="930"/>
    </row>
    <row r="70" spans="1:15">
      <c r="A70" s="1548" t="s">
        <v>200</v>
      </c>
      <c r="B70" s="1549"/>
      <c r="C70" s="1550"/>
      <c r="D70" s="923" t="s">
        <v>198</v>
      </c>
      <c r="E70" s="1012"/>
      <c r="F70" s="1013"/>
      <c r="G70" s="1013"/>
      <c r="H70" s="926">
        <f>G70+'13'!H70</f>
        <v>0</v>
      </c>
      <c r="I70" s="1013"/>
      <c r="J70" s="1014"/>
      <c r="K70" s="1011"/>
      <c r="L70" s="903"/>
      <c r="O70" s="930"/>
    </row>
    <row r="71" spans="1:15" ht="22.5">
      <c r="A71" s="1545" t="s">
        <v>201</v>
      </c>
      <c r="B71" s="1546"/>
      <c r="C71" s="1546"/>
      <c r="D71" s="1546"/>
      <c r="E71" s="1546"/>
      <c r="F71" s="1546"/>
      <c r="G71" s="1546"/>
      <c r="H71" s="1546"/>
      <c r="I71" s="1546"/>
      <c r="J71" s="1547"/>
      <c r="K71" s="1010"/>
      <c r="L71" s="903"/>
      <c r="O71" s="930"/>
    </row>
    <row r="72" spans="1:15">
      <c r="A72" s="1528" t="s">
        <v>202</v>
      </c>
      <c r="B72" s="1529"/>
      <c r="C72" s="1530"/>
      <c r="D72" s="923" t="s">
        <v>198</v>
      </c>
      <c r="E72" s="924">
        <f>'22'!F72</f>
        <v>847827</v>
      </c>
      <c r="F72" s="1015">
        <v>847867</v>
      </c>
      <c r="G72" s="925">
        <f t="shared" ref="G72:G84" si="6">F72-E72</f>
        <v>40</v>
      </c>
      <c r="H72" s="926">
        <f>G72+'22'!H72</f>
        <v>-685</v>
      </c>
      <c r="I72" s="945"/>
      <c r="J72" s="928">
        <f>H72/DAY(B2)</f>
        <v>-29.782608695652176</v>
      </c>
      <c r="K72" s="1011"/>
      <c r="L72" s="903"/>
      <c r="O72" s="930"/>
    </row>
    <row r="73" spans="1:15">
      <c r="A73" s="1528" t="s">
        <v>203</v>
      </c>
      <c r="B73" s="1529"/>
      <c r="C73" s="1530"/>
      <c r="D73" s="923" t="s">
        <v>198</v>
      </c>
      <c r="E73" s="924">
        <f>'22'!F73</f>
        <v>885711</v>
      </c>
      <c r="F73" s="1016">
        <v>885724</v>
      </c>
      <c r="G73" s="925">
        <f t="shared" si="6"/>
        <v>13</v>
      </c>
      <c r="H73" s="926">
        <f>G73+'22'!H73</f>
        <v>943</v>
      </c>
      <c r="I73" s="945"/>
      <c r="J73" s="928">
        <f>H73/DAY(B2)</f>
        <v>41</v>
      </c>
      <c r="K73" s="1010"/>
      <c r="L73" s="903"/>
      <c r="O73" s="930"/>
    </row>
    <row r="74" spans="1:15">
      <c r="A74" s="1528" t="s">
        <v>204</v>
      </c>
      <c r="B74" s="1529"/>
      <c r="C74" s="1530"/>
      <c r="D74" s="923" t="s">
        <v>198</v>
      </c>
      <c r="E74" s="924">
        <f>'22'!F74</f>
        <v>882071</v>
      </c>
      <c r="F74" s="1017">
        <v>882110</v>
      </c>
      <c r="G74" s="925">
        <f t="shared" si="6"/>
        <v>39</v>
      </c>
      <c r="H74" s="926">
        <f>G74+'22'!H74</f>
        <v>882339.1</v>
      </c>
      <c r="I74" s="945"/>
      <c r="J74" s="928">
        <f>H74/DAY(B2)</f>
        <v>38362.569565217389</v>
      </c>
      <c r="K74" s="1011"/>
      <c r="L74" s="903"/>
      <c r="O74" s="930"/>
    </row>
    <row r="75" spans="1:15">
      <c r="A75" s="1542" t="s">
        <v>205</v>
      </c>
      <c r="B75" s="1543"/>
      <c r="C75" s="1544"/>
      <c r="D75" s="923" t="s">
        <v>198</v>
      </c>
      <c r="E75" s="924">
        <f>'22'!F75</f>
        <v>735747</v>
      </c>
      <c r="F75" s="1017">
        <v>735968</v>
      </c>
      <c r="G75" s="925">
        <f t="shared" si="6"/>
        <v>221</v>
      </c>
      <c r="H75" s="926">
        <f>G75+'22'!H75</f>
        <v>737504.4</v>
      </c>
      <c r="I75" s="945"/>
      <c r="J75" s="928">
        <f>H75/DAY(B2)</f>
        <v>32065.408695652175</v>
      </c>
      <c r="K75" s="1010"/>
      <c r="L75" s="903"/>
      <c r="O75" s="930"/>
    </row>
    <row r="76" spans="1:15">
      <c r="A76" s="1542" t="s">
        <v>206</v>
      </c>
      <c r="B76" s="1543"/>
      <c r="C76" s="1544"/>
      <c r="D76" s="923" t="s">
        <v>198</v>
      </c>
      <c r="E76" s="924">
        <f>'22'!F76</f>
        <v>686309</v>
      </c>
      <c r="F76" s="1016">
        <v>686389</v>
      </c>
      <c r="G76" s="925">
        <f t="shared" si="6"/>
        <v>80</v>
      </c>
      <c r="H76" s="926">
        <f>G76+'22'!H76</f>
        <v>688386.2</v>
      </c>
      <c r="I76" s="988"/>
      <c r="J76" s="928">
        <f>H76/DAY(B2)</f>
        <v>29929.834782608694</v>
      </c>
      <c r="K76" s="1010"/>
      <c r="L76" s="903"/>
      <c r="O76" s="930"/>
    </row>
    <row r="77" spans="1:15">
      <c r="A77" s="1528" t="s">
        <v>207</v>
      </c>
      <c r="B77" s="1529"/>
      <c r="C77" s="1530"/>
      <c r="D77" s="923" t="s">
        <v>198</v>
      </c>
      <c r="E77" s="924">
        <f>'22'!F77</f>
        <v>696624</v>
      </c>
      <c r="F77" s="1016">
        <v>696679</v>
      </c>
      <c r="G77" s="925">
        <f t="shared" si="6"/>
        <v>55</v>
      </c>
      <c r="H77" s="926">
        <f>G77+'22'!H77</f>
        <v>-428</v>
      </c>
      <c r="I77" s="988"/>
      <c r="J77" s="928">
        <f>H77/DAY(B2)</f>
        <v>-18.608695652173914</v>
      </c>
      <c r="K77" s="1010"/>
      <c r="L77" s="903"/>
      <c r="O77" s="930"/>
    </row>
    <row r="78" spans="1:15">
      <c r="A78" s="1018" t="s">
        <v>208</v>
      </c>
      <c r="B78" s="1227"/>
      <c r="C78" s="1227"/>
      <c r="D78" s="923" t="s">
        <v>198</v>
      </c>
      <c r="E78" s="924">
        <f>'22'!F78</f>
        <v>638622</v>
      </c>
      <c r="F78" s="1017">
        <v>638961</v>
      </c>
      <c r="G78" s="925">
        <f t="shared" si="6"/>
        <v>339</v>
      </c>
      <c r="H78" s="926">
        <f>G78+'22'!H78</f>
        <v>-2992</v>
      </c>
      <c r="I78" s="988"/>
      <c r="J78" s="928">
        <f>H78/DAY(B2)</f>
        <v>-130.08695652173913</v>
      </c>
      <c r="K78" s="1010"/>
      <c r="L78" s="903"/>
      <c r="O78" s="930"/>
    </row>
    <row r="79" spans="1:15">
      <c r="A79" s="1542" t="s">
        <v>97</v>
      </c>
      <c r="B79" s="1543"/>
      <c r="C79" s="1544"/>
      <c r="D79" s="957" t="s">
        <v>198</v>
      </c>
      <c r="E79" s="924">
        <f>'22'!F79</f>
        <v>807994</v>
      </c>
      <c r="F79" s="1017">
        <v>808187</v>
      </c>
      <c r="G79" s="925">
        <f t="shared" si="6"/>
        <v>193</v>
      </c>
      <c r="H79" s="926">
        <f>G79+'22'!H79</f>
        <v>1361</v>
      </c>
      <c r="I79" s="988"/>
      <c r="J79" s="928">
        <f>H79/DAY(B2)</f>
        <v>59.173913043478258</v>
      </c>
      <c r="K79" s="1010"/>
      <c r="L79" s="903"/>
      <c r="O79" s="930"/>
    </row>
    <row r="80" spans="1:15">
      <c r="A80" s="1542" t="s">
        <v>209</v>
      </c>
      <c r="B80" s="1543"/>
      <c r="C80" s="1544"/>
      <c r="D80" s="957" t="s">
        <v>198</v>
      </c>
      <c r="E80" s="924">
        <f>'22'!F80</f>
        <v>482321</v>
      </c>
      <c r="F80" s="1016">
        <v>482640</v>
      </c>
      <c r="G80" s="925">
        <f t="shared" si="6"/>
        <v>319</v>
      </c>
      <c r="H80" s="926">
        <f>G80+'22'!H80</f>
        <v>-3941.679999999993</v>
      </c>
      <c r="I80" s="988"/>
      <c r="J80" s="928">
        <f>H80/DAY(B2)</f>
        <v>-171.37739130434753</v>
      </c>
      <c r="K80" s="1010"/>
      <c r="L80" s="903"/>
      <c r="O80" s="930"/>
    </row>
    <row r="81" spans="1:15">
      <c r="A81" s="1542" t="s">
        <v>210</v>
      </c>
      <c r="B81" s="1543"/>
      <c r="C81" s="1544"/>
      <c r="D81" s="957" t="s">
        <v>198</v>
      </c>
      <c r="E81" s="924">
        <f>'22'!F81</f>
        <v>621800</v>
      </c>
      <c r="F81" s="1016">
        <v>621883</v>
      </c>
      <c r="G81" s="925">
        <f t="shared" si="6"/>
        <v>83</v>
      </c>
      <c r="H81" s="926">
        <f>G81+'22'!H81</f>
        <v>-892</v>
      </c>
      <c r="I81" s="988"/>
      <c r="J81" s="928">
        <f>H81/DAY(B2)</f>
        <v>-38.782608695652172</v>
      </c>
      <c r="K81" s="1010"/>
      <c r="L81" s="903"/>
      <c r="O81" s="930"/>
    </row>
    <row r="82" spans="1:15">
      <c r="A82" s="1542" t="s">
        <v>100</v>
      </c>
      <c r="B82" s="1543"/>
      <c r="C82" s="1544"/>
      <c r="D82" s="958" t="s">
        <v>143</v>
      </c>
      <c r="E82" s="924">
        <f>'22'!F82</f>
        <v>105016</v>
      </c>
      <c r="F82" s="1019">
        <v>105074</v>
      </c>
      <c r="G82" s="925">
        <f t="shared" si="6"/>
        <v>58</v>
      </c>
      <c r="H82" s="926">
        <f>G82+'22'!H82</f>
        <v>-366</v>
      </c>
      <c r="I82" s="959"/>
      <c r="J82" s="928">
        <f>H82/DAY(B2)</f>
        <v>-15.913043478260869</v>
      </c>
      <c r="K82" s="1010"/>
      <c r="L82" s="903"/>
      <c r="O82" s="930"/>
    </row>
    <row r="83" spans="1:15">
      <c r="A83" s="1542" t="s">
        <v>211</v>
      </c>
      <c r="B83" s="1543"/>
      <c r="C83" s="1544"/>
      <c r="D83" s="1020" t="s">
        <v>143</v>
      </c>
      <c r="E83" s="924">
        <f>'22'!F83</f>
        <v>981140</v>
      </c>
      <c r="F83" s="910">
        <v>981368</v>
      </c>
      <c r="G83" s="925">
        <f t="shared" si="6"/>
        <v>228</v>
      </c>
      <c r="H83" s="926">
        <f>G83+'22'!H83</f>
        <v>-2373</v>
      </c>
      <c r="I83" s="948"/>
      <c r="J83" s="928">
        <f>H83/DAY(B2)</f>
        <v>-103.17391304347827</v>
      </c>
      <c r="K83" s="951"/>
      <c r="L83" s="903"/>
      <c r="O83" s="930"/>
    </row>
    <row r="84" spans="1:15">
      <c r="A84" s="1021" t="s">
        <v>212</v>
      </c>
      <c r="B84" s="1022"/>
      <c r="C84" s="1022"/>
      <c r="D84" s="942" t="s">
        <v>143</v>
      </c>
      <c r="E84" s="924">
        <f>'22'!F84</f>
        <v>411317</v>
      </c>
      <c r="F84" s="1023">
        <v>411869</v>
      </c>
      <c r="G84" s="925">
        <f t="shared" si="6"/>
        <v>552</v>
      </c>
      <c r="H84" s="926">
        <f>G84+'22'!H84</f>
        <v>-4204</v>
      </c>
      <c r="I84" s="948"/>
      <c r="J84" s="928">
        <f>H84/DAY(B2)</f>
        <v>-182.78260869565219</v>
      </c>
      <c r="K84" s="1024"/>
      <c r="L84" s="903"/>
      <c r="O84" s="930"/>
    </row>
    <row r="85" spans="1:15" s="1028" customFormat="1">
      <c r="A85" s="1025" t="s">
        <v>213</v>
      </c>
      <c r="B85" s="1026"/>
      <c r="C85" s="1026"/>
      <c r="D85" s="963"/>
      <c r="E85" s="924"/>
      <c r="F85" s="923"/>
      <c r="G85" s="926">
        <f xml:space="preserve"> SUM(G72:G84)</f>
        <v>2220</v>
      </c>
      <c r="H85" s="926">
        <f>G85+'22'!H85</f>
        <v>2289348.65</v>
      </c>
      <c r="I85" s="948"/>
      <c r="J85" s="928">
        <f>H85/DAY(B2)</f>
        <v>99536.897826086948</v>
      </c>
      <c r="K85" s="1024"/>
      <c r="L85" s="1027"/>
      <c r="N85" s="1095"/>
      <c r="O85" s="930"/>
    </row>
    <row r="86" spans="1:15" s="1038" customFormat="1">
      <c r="A86" s="1029" t="s">
        <v>102</v>
      </c>
      <c r="B86" s="1030"/>
      <c r="C86" s="1030"/>
      <c r="D86" s="1031" t="s">
        <v>194</v>
      </c>
      <c r="E86" s="924">
        <f>'22'!F86</f>
        <v>446349</v>
      </c>
      <c r="F86" s="1032">
        <v>446419</v>
      </c>
      <c r="G86" s="1033">
        <f t="shared" ref="G86:G88" si="7">F86-E86</f>
        <v>70</v>
      </c>
      <c r="H86" s="1033">
        <f t="shared" ref="H86:H88" si="8">G86</f>
        <v>70</v>
      </c>
      <c r="I86" s="1034"/>
      <c r="J86" s="1035">
        <f>H86/DAY(B2)</f>
        <v>3.0434782608695654</v>
      </c>
      <c r="K86" s="1036"/>
      <c r="L86" s="1037"/>
      <c r="N86" s="1096"/>
      <c r="O86" s="930"/>
    </row>
    <row r="87" spans="1:15" s="1038" customFormat="1">
      <c r="A87" s="1029" t="s">
        <v>103</v>
      </c>
      <c r="B87" s="1030"/>
      <c r="C87" s="1030"/>
      <c r="D87" s="1031" t="s">
        <v>194</v>
      </c>
      <c r="E87" s="924">
        <f>'22'!F87</f>
        <v>78262.7</v>
      </c>
      <c r="F87" s="1032">
        <v>78272.3</v>
      </c>
      <c r="G87" s="1033">
        <f t="shared" si="7"/>
        <v>9.6000000000058208</v>
      </c>
      <c r="H87" s="1033">
        <f t="shared" si="8"/>
        <v>9.6000000000058208</v>
      </c>
      <c r="I87" s="1034"/>
      <c r="J87" s="1035">
        <f>H87/DAY(B2)</f>
        <v>0.41739130434807914</v>
      </c>
      <c r="K87" s="1036"/>
      <c r="L87" s="1037"/>
      <c r="N87" s="1096"/>
      <c r="O87" s="930"/>
    </row>
    <row r="88" spans="1:15" s="1038" customFormat="1">
      <c r="A88" s="1029" t="s">
        <v>104</v>
      </c>
      <c r="B88" s="1030"/>
      <c r="C88" s="1030"/>
      <c r="D88" s="1031" t="s">
        <v>194</v>
      </c>
      <c r="E88" s="924">
        <f>'22'!F88</f>
        <v>145938</v>
      </c>
      <c r="F88" s="1032">
        <v>145988.60999999999</v>
      </c>
      <c r="G88" s="1033">
        <f t="shared" si="7"/>
        <v>50.60999999998603</v>
      </c>
      <c r="H88" s="1033">
        <f t="shared" si="8"/>
        <v>50.60999999998603</v>
      </c>
      <c r="I88" s="1034"/>
      <c r="J88" s="1035">
        <f>H88/DAY(B2)</f>
        <v>2.2004347826080881</v>
      </c>
      <c r="K88" s="1036"/>
      <c r="L88" s="1037"/>
      <c r="N88" s="1096"/>
      <c r="O88" s="930"/>
    </row>
    <row r="89" spans="1:15" s="1038" customFormat="1">
      <c r="A89" s="1029" t="s">
        <v>215</v>
      </c>
      <c r="B89" s="1030"/>
      <c r="C89" s="1030"/>
      <c r="D89" s="1031" t="s">
        <v>194</v>
      </c>
      <c r="E89" s="924">
        <f>'22'!F89</f>
        <v>59200</v>
      </c>
      <c r="F89" s="1032">
        <v>59252</v>
      </c>
      <c r="G89" s="1033">
        <f t="shared" ref="G89:G90" si="9">F89-E89</f>
        <v>52</v>
      </c>
      <c r="H89" s="1033">
        <f>G89</f>
        <v>52</v>
      </c>
      <c r="I89" s="1034"/>
      <c r="J89" s="1035">
        <f>H89/DAY(B2)</f>
        <v>2.2608695652173911</v>
      </c>
      <c r="K89" s="1036"/>
      <c r="L89" s="1037"/>
      <c r="N89" s="1097"/>
      <c r="O89" s="930"/>
    </row>
    <row r="90" spans="1:15" s="1038" customFormat="1">
      <c r="A90" s="1029" t="s">
        <v>215</v>
      </c>
      <c r="B90" s="1030"/>
      <c r="C90" s="1030"/>
      <c r="D90" s="1031" t="s">
        <v>194</v>
      </c>
      <c r="E90" s="924">
        <f>'22'!F90</f>
        <v>3044</v>
      </c>
      <c r="F90" s="1032">
        <v>3045</v>
      </c>
      <c r="G90" s="1033">
        <f t="shared" si="9"/>
        <v>1</v>
      </c>
      <c r="H90" s="1033">
        <f>G90</f>
        <v>1</v>
      </c>
      <c r="I90" s="1034"/>
      <c r="J90" s="1035">
        <f>H90/DAY(B2)</f>
        <v>4.3478260869565216E-2</v>
      </c>
      <c r="K90" s="1036"/>
      <c r="L90" s="1037"/>
      <c r="N90" s="1097"/>
      <c r="O90" s="930"/>
    </row>
    <row r="91" spans="1:15" s="1028" customFormat="1">
      <c r="A91" s="1039" t="s">
        <v>216</v>
      </c>
      <c r="B91" s="918"/>
      <c r="C91" s="918"/>
      <c r="D91" s="918"/>
      <c r="E91" s="918"/>
      <c r="F91" s="918"/>
      <c r="G91" s="962"/>
      <c r="H91" s="918"/>
      <c r="I91" s="918"/>
      <c r="J91" s="919"/>
      <c r="K91" s="1024"/>
      <c r="L91" s="1027"/>
      <c r="N91" s="1095"/>
      <c r="O91" s="930"/>
    </row>
    <row r="92" spans="1:15">
      <c r="A92" s="1522" t="s">
        <v>217</v>
      </c>
      <c r="B92" s="1523"/>
      <c r="C92" s="1524"/>
      <c r="D92" s="923" t="s">
        <v>155</v>
      </c>
      <c r="E92" s="924">
        <f>'22'!F92</f>
        <v>235779</v>
      </c>
      <c r="F92" s="954">
        <v>235882</v>
      </c>
      <c r="G92" s="925">
        <f t="shared" ref="G92:G93" si="10">F92-E92</f>
        <v>103</v>
      </c>
      <c r="H92" s="926">
        <f>G92+'22'!H92</f>
        <v>-688</v>
      </c>
      <c r="I92" s="945"/>
      <c r="J92" s="928">
        <f>H92/DAY(B2)</f>
        <v>-29.913043478260871</v>
      </c>
      <c r="K92" s="951"/>
      <c r="L92" s="903"/>
      <c r="O92" s="930"/>
    </row>
    <row r="93" spans="1:15">
      <c r="A93" s="1522" t="s">
        <v>218</v>
      </c>
      <c r="B93" s="1523"/>
      <c r="C93" s="1524"/>
      <c r="D93" s="923" t="s">
        <v>155</v>
      </c>
      <c r="E93" s="924">
        <f>'22'!F93</f>
        <v>169933</v>
      </c>
      <c r="F93" s="954">
        <v>170053</v>
      </c>
      <c r="G93" s="925">
        <f t="shared" si="10"/>
        <v>120</v>
      </c>
      <c r="H93" s="926">
        <f>G93+'22'!H93</f>
        <v>-1123</v>
      </c>
      <c r="I93" s="945"/>
      <c r="J93" s="928">
        <f>H93/DAY(B2)</f>
        <v>-48.826086956521742</v>
      </c>
      <c r="K93" s="1024"/>
      <c r="L93" s="903"/>
      <c r="O93" s="930"/>
    </row>
    <row r="94" spans="1:15">
      <c r="A94" s="1531" t="s">
        <v>219</v>
      </c>
      <c r="B94" s="1532"/>
      <c r="C94" s="1533"/>
      <c r="D94" s="923"/>
      <c r="E94" s="924">
        <f>'22'!F94</f>
        <v>0</v>
      </c>
      <c r="F94" s="954"/>
      <c r="G94" s="925">
        <f>G92+G93</f>
        <v>223</v>
      </c>
      <c r="H94" s="926">
        <f>G94+'22'!H94</f>
        <v>-2098</v>
      </c>
      <c r="I94" s="945"/>
      <c r="J94" s="928">
        <f>H94/DAY(B2)</f>
        <v>-91.217391304347828</v>
      </c>
      <c r="K94" s="1024"/>
      <c r="L94" s="903"/>
      <c r="O94" s="930"/>
    </row>
    <row r="95" spans="1:15">
      <c r="A95" s="1522" t="s">
        <v>220</v>
      </c>
      <c r="B95" s="1523"/>
      <c r="C95" s="1524"/>
      <c r="D95" s="923" t="s">
        <v>155</v>
      </c>
      <c r="E95" s="924">
        <f>'22'!F95</f>
        <v>405285</v>
      </c>
      <c r="F95" s="954">
        <v>405360</v>
      </c>
      <c r="G95" s="925">
        <f t="shared" ref="G95:G100" si="11">F95-E95</f>
        <v>75</v>
      </c>
      <c r="H95" s="926">
        <f>G95+'22'!H95</f>
        <v>-516</v>
      </c>
      <c r="I95" s="945"/>
      <c r="J95" s="928">
        <f>H95/DAY(B2)</f>
        <v>-22.434782608695652</v>
      </c>
      <c r="K95" s="1024"/>
      <c r="L95" s="903"/>
      <c r="O95" s="930"/>
    </row>
    <row r="96" spans="1:15">
      <c r="A96" s="952" t="s">
        <v>221</v>
      </c>
      <c r="B96" s="953"/>
      <c r="C96" s="953"/>
      <c r="D96" s="923" t="s">
        <v>155</v>
      </c>
      <c r="E96" s="924">
        <f>'22'!F96</f>
        <v>100313</v>
      </c>
      <c r="F96" s="954">
        <v>100331</v>
      </c>
      <c r="G96" s="925">
        <f t="shared" si="11"/>
        <v>18</v>
      </c>
      <c r="H96" s="926">
        <f>G96+'22'!H96</f>
        <v>-203</v>
      </c>
      <c r="I96" s="945"/>
      <c r="J96" s="928">
        <f>H96/DAY(B2)</f>
        <v>-8.8260869565217384</v>
      </c>
      <c r="K96" s="920"/>
      <c r="L96" s="903"/>
      <c r="O96" s="930"/>
    </row>
    <row r="97" spans="1:15">
      <c r="A97" s="952" t="s">
        <v>222</v>
      </c>
      <c r="B97" s="953"/>
      <c r="C97" s="953"/>
      <c r="D97" s="923" t="s">
        <v>155</v>
      </c>
      <c r="E97" s="924">
        <f>'22'!F97</f>
        <v>95473</v>
      </c>
      <c r="F97" s="954">
        <v>95499</v>
      </c>
      <c r="G97" s="925">
        <f t="shared" si="11"/>
        <v>26</v>
      </c>
      <c r="H97" s="926">
        <f>G97+'22'!H97</f>
        <v>-178</v>
      </c>
      <c r="I97" s="945"/>
      <c r="J97" s="928">
        <f>H97/DAY(B2)</f>
        <v>-7.7391304347826084</v>
      </c>
      <c r="K97" s="1040"/>
      <c r="L97" s="903"/>
      <c r="O97" s="930"/>
    </row>
    <row r="98" spans="1:15">
      <c r="A98" s="952" t="s">
        <v>223</v>
      </c>
      <c r="B98" s="953"/>
      <c r="C98" s="953"/>
      <c r="D98" s="923" t="s">
        <v>155</v>
      </c>
      <c r="E98" s="924">
        <f>'22'!F98</f>
        <v>145021</v>
      </c>
      <c r="F98" s="954">
        <v>145077</v>
      </c>
      <c r="G98" s="925">
        <f t="shared" si="11"/>
        <v>56</v>
      </c>
      <c r="H98" s="926">
        <f>G98+'22'!H98</f>
        <v>-477</v>
      </c>
      <c r="I98" s="945"/>
      <c r="J98" s="928">
        <f>H98/DAY(B2)</f>
        <v>-20.739130434782609</v>
      </c>
      <c r="K98" s="1024"/>
      <c r="L98" s="903"/>
      <c r="O98" s="930"/>
    </row>
    <row r="99" spans="1:15">
      <c r="A99" s="952" t="s">
        <v>224</v>
      </c>
      <c r="B99" s="953"/>
      <c r="C99" s="953"/>
      <c r="D99" s="923" t="s">
        <v>155</v>
      </c>
      <c r="E99" s="924">
        <f>'22'!F99</f>
        <v>5804</v>
      </c>
      <c r="F99" s="954">
        <v>5814</v>
      </c>
      <c r="G99" s="925">
        <f t="shared" si="11"/>
        <v>10</v>
      </c>
      <c r="H99" s="926">
        <f>G99+'22'!H99</f>
        <v>-160</v>
      </c>
      <c r="I99" s="945"/>
      <c r="J99" s="928">
        <f>H99/DAY(B2)</f>
        <v>-6.9565217391304346</v>
      </c>
      <c r="K99" s="1024"/>
      <c r="L99" s="903"/>
      <c r="O99" s="930"/>
    </row>
    <row r="100" spans="1:15">
      <c r="A100" s="952" t="s">
        <v>225</v>
      </c>
      <c r="B100" s="953"/>
      <c r="C100" s="953"/>
      <c r="D100" s="923" t="s">
        <v>155</v>
      </c>
      <c r="E100" s="924">
        <f>'22'!F100</f>
        <v>4165</v>
      </c>
      <c r="F100" s="954">
        <v>4178</v>
      </c>
      <c r="G100" s="925">
        <f t="shared" si="11"/>
        <v>13</v>
      </c>
      <c r="H100" s="926">
        <f>G100+'22'!H100</f>
        <v>-59</v>
      </c>
      <c r="I100" s="945"/>
      <c r="J100" s="928">
        <f>H100/DAY(B2)</f>
        <v>-2.5652173913043477</v>
      </c>
      <c r="K100" s="1024"/>
      <c r="L100" s="903"/>
      <c r="O100" s="930"/>
    </row>
    <row r="101" spans="1:15">
      <c r="A101" s="1531" t="s">
        <v>227</v>
      </c>
      <c r="B101" s="1532"/>
      <c r="C101" s="1533"/>
      <c r="D101" s="957"/>
      <c r="E101" s="957"/>
      <c r="F101" s="957"/>
      <c r="G101" s="1041">
        <f>SUM(G95:G100)</f>
        <v>198</v>
      </c>
      <c r="H101" s="926">
        <f>G101+'22'!H101</f>
        <v>-1593</v>
      </c>
      <c r="I101" s="1042"/>
      <c r="J101" s="928">
        <f>H101/DAY(B2)</f>
        <v>-69.260869565217391</v>
      </c>
      <c r="K101" s="1024"/>
      <c r="L101" s="903"/>
      <c r="O101" s="930"/>
    </row>
    <row r="102" spans="1:15" s="975" customFormat="1">
      <c r="A102" s="1043" t="s">
        <v>228</v>
      </c>
      <c r="B102" s="1044"/>
      <c r="C102" s="1044"/>
      <c r="D102" s="1045"/>
      <c r="E102" s="1046"/>
      <c r="F102" s="1047"/>
      <c r="G102" s="1048"/>
      <c r="H102" s="1049"/>
      <c r="I102" s="1050"/>
      <c r="J102" s="1051"/>
      <c r="N102" s="1093"/>
      <c r="O102" s="930"/>
    </row>
    <row r="103" spans="1:15" s="975" customFormat="1">
      <c r="A103" s="1539" t="s">
        <v>229</v>
      </c>
      <c r="B103" s="1540"/>
      <c r="C103" s="1052"/>
      <c r="D103" s="1053"/>
      <c r="E103" s="1054"/>
      <c r="F103" s="1054"/>
      <c r="G103" s="1054"/>
      <c r="H103" s="1055"/>
      <c r="I103" s="1054"/>
      <c r="J103" s="1056"/>
      <c r="N103" s="1093"/>
      <c r="O103" s="930"/>
    </row>
    <row r="104" spans="1:15" s="975" customFormat="1">
      <c r="A104" s="1512" t="s">
        <v>230</v>
      </c>
      <c r="B104" s="1513"/>
      <c r="C104" s="1057"/>
      <c r="D104" s="1053" t="s">
        <v>155</v>
      </c>
      <c r="E104" s="1054">
        <f>'22'!F104</f>
        <v>7010</v>
      </c>
      <c r="F104" s="1054">
        <v>7010</v>
      </c>
      <c r="G104" s="1054">
        <f>F104-E104</f>
        <v>0</v>
      </c>
      <c r="H104" s="1055">
        <f>SUM(G104+'1'!G76)</f>
        <v>74</v>
      </c>
      <c r="I104" s="1054"/>
      <c r="J104" s="1056">
        <f>H104/DAY(B2)</f>
        <v>3.2173913043478262</v>
      </c>
      <c r="N104" s="1093"/>
      <c r="O104" s="930"/>
    </row>
    <row r="105" spans="1:15" s="975" customFormat="1">
      <c r="A105" s="1512" t="s">
        <v>77</v>
      </c>
      <c r="B105" s="1513"/>
      <c r="C105" s="1057"/>
      <c r="D105" s="1053" t="s">
        <v>155</v>
      </c>
      <c r="E105" s="1054">
        <f>'22'!F105</f>
        <v>35091</v>
      </c>
      <c r="F105" s="1058">
        <v>35097</v>
      </c>
      <c r="G105" s="1054">
        <f t="shared" ref="G105:G106" si="12">F105-E105</f>
        <v>6</v>
      </c>
      <c r="H105" s="1055">
        <f>SUM(G105+'1'!G77)</f>
        <v>54</v>
      </c>
      <c r="I105" s="1054"/>
      <c r="J105" s="1056">
        <f>H105/DAY(B2)</f>
        <v>2.347826086956522</v>
      </c>
      <c r="N105" s="1093"/>
      <c r="O105" s="930"/>
    </row>
    <row r="106" spans="1:15" s="975" customFormat="1">
      <c r="A106" s="1512" t="s">
        <v>78</v>
      </c>
      <c r="B106" s="1541"/>
      <c r="C106" s="1513"/>
      <c r="D106" s="1053" t="s">
        <v>155</v>
      </c>
      <c r="E106" s="1054">
        <f>'22'!F106</f>
        <v>19036</v>
      </c>
      <c r="F106" s="1054">
        <v>19044</v>
      </c>
      <c r="G106" s="1054">
        <f t="shared" si="12"/>
        <v>8</v>
      </c>
      <c r="H106" s="1055">
        <f>SUM(G106+'1'!G78)</f>
        <v>342</v>
      </c>
      <c r="I106" s="1054"/>
      <c r="J106" s="1056">
        <f>H106/DAY(B2)</f>
        <v>14.869565217391305</v>
      </c>
      <c r="N106" s="1093"/>
      <c r="O106" s="930"/>
    </row>
    <row r="107" spans="1:15" s="975" customFormat="1">
      <c r="A107" s="1514" t="s">
        <v>213</v>
      </c>
      <c r="B107" s="1515"/>
      <c r="C107" s="1057"/>
      <c r="D107" s="1053"/>
      <c r="E107" s="1054">
        <f>'22'!F107</f>
        <v>0</v>
      </c>
      <c r="F107" s="1054"/>
      <c r="G107" s="1054">
        <f>SUM(G104:G106)</f>
        <v>14</v>
      </c>
      <c r="H107" s="1055">
        <f>SUM(G107+'1'!G79)</f>
        <v>219</v>
      </c>
      <c r="I107" s="1054"/>
      <c r="J107" s="1056">
        <f>H107/DAY(B2)</f>
        <v>9.5217391304347831</v>
      </c>
      <c r="N107" s="1093"/>
      <c r="O107" s="930"/>
    </row>
    <row r="108" spans="1:15" s="975" customFormat="1">
      <c r="A108" s="1520" t="s">
        <v>79</v>
      </c>
      <c r="B108" s="1521"/>
      <c r="C108" s="1057"/>
      <c r="D108" s="1053" t="s">
        <v>155</v>
      </c>
      <c r="E108" s="1054">
        <f>'22'!F108</f>
        <v>0</v>
      </c>
      <c r="F108" s="1054"/>
      <c r="G108" s="1054"/>
      <c r="H108" s="1055"/>
      <c r="I108" s="1054"/>
      <c r="J108" s="1056"/>
      <c r="N108" s="1093"/>
      <c r="O108" s="930"/>
    </row>
    <row r="109" spans="1:15" s="975" customFormat="1">
      <c r="A109" s="1512" t="s">
        <v>231</v>
      </c>
      <c r="B109" s="1513"/>
      <c r="C109" s="1057"/>
      <c r="D109" s="1053" t="s">
        <v>155</v>
      </c>
      <c r="E109" s="1054">
        <f>'22'!F109</f>
        <v>54208</v>
      </c>
      <c r="F109" s="1054">
        <v>54253</v>
      </c>
      <c r="G109" s="1054">
        <f>F109-E109</f>
        <v>45</v>
      </c>
      <c r="H109" s="1055">
        <f>SUM(G109+'1'!G81)</f>
        <v>121</v>
      </c>
      <c r="I109" s="1054"/>
      <c r="J109" s="1056">
        <f>H109/DAY(B2)</f>
        <v>5.2608695652173916</v>
      </c>
      <c r="N109" s="1093"/>
      <c r="O109" s="930"/>
    </row>
    <row r="110" spans="1:15" s="975" customFormat="1">
      <c r="A110" s="1512" t="s">
        <v>232</v>
      </c>
      <c r="B110" s="1513"/>
      <c r="C110" s="1057"/>
      <c r="D110" s="1053" t="s">
        <v>155</v>
      </c>
      <c r="E110" s="1054">
        <f>'22'!F110</f>
        <v>28045</v>
      </c>
      <c r="F110" s="1054">
        <v>28086</v>
      </c>
      <c r="G110" s="1054">
        <f t="shared" ref="G110:G111" si="13">F110-E110</f>
        <v>41</v>
      </c>
      <c r="H110" s="1055">
        <f>SUM(G110+'1'!G82)</f>
        <v>86</v>
      </c>
      <c r="I110" s="1054"/>
      <c r="J110" s="1056">
        <f>H110/DAY(B2)</f>
        <v>3.7391304347826089</v>
      </c>
      <c r="N110" s="1093"/>
      <c r="O110" s="930"/>
    </row>
    <row r="111" spans="1:15" s="975" customFormat="1">
      <c r="A111" s="1512" t="s">
        <v>233</v>
      </c>
      <c r="B111" s="1513"/>
      <c r="C111" s="1057"/>
      <c r="D111" s="1053" t="s">
        <v>155</v>
      </c>
      <c r="E111" s="1054">
        <f>'22'!F111</f>
        <v>3694</v>
      </c>
      <c r="F111" s="1054">
        <v>3707</v>
      </c>
      <c r="G111" s="1054">
        <f t="shared" si="13"/>
        <v>13</v>
      </c>
      <c r="H111" s="1055">
        <f>SUM(G111+'1'!G83)</f>
        <v>446</v>
      </c>
      <c r="I111" s="1054"/>
      <c r="J111" s="1056">
        <f>H111/DAY(B2)</f>
        <v>19.391304347826086</v>
      </c>
      <c r="N111" s="1093"/>
      <c r="O111" s="930"/>
    </row>
    <row r="112" spans="1:15" s="975" customFormat="1">
      <c r="A112" s="1518" t="s">
        <v>121</v>
      </c>
      <c r="B112" s="1519"/>
      <c r="C112" s="1057"/>
      <c r="D112" s="1053"/>
      <c r="E112" s="1054">
        <f>'22'!F112</f>
        <v>0</v>
      </c>
      <c r="F112" s="1054"/>
      <c r="G112" s="1054">
        <f>SUM(G109:G111)</f>
        <v>99</v>
      </c>
      <c r="H112" s="1055">
        <f>SUM(G112+'1'!G84)</f>
        <v>620</v>
      </c>
      <c r="I112" s="1054"/>
      <c r="J112" s="1056">
        <f>H112/DAY(B2)</f>
        <v>26.956521739130434</v>
      </c>
      <c r="N112" s="1093"/>
      <c r="O112" s="930"/>
    </row>
    <row r="113" spans="1:15" s="975" customFormat="1">
      <c r="A113" s="1520" t="s">
        <v>234</v>
      </c>
      <c r="B113" s="1521"/>
      <c r="C113" s="1057"/>
      <c r="D113" s="1053"/>
      <c r="E113" s="1054">
        <f>'22'!F113</f>
        <v>0</v>
      </c>
      <c r="F113" s="1054"/>
      <c r="G113" s="1054"/>
      <c r="H113" s="1055"/>
      <c r="I113" s="1054"/>
      <c r="J113" s="1056">
        <f>H113/DAY(B2)</f>
        <v>0</v>
      </c>
      <c r="N113" s="1093"/>
      <c r="O113" s="930"/>
    </row>
    <row r="114" spans="1:15" s="975" customFormat="1">
      <c r="A114" s="1512" t="s">
        <v>235</v>
      </c>
      <c r="B114" s="1513"/>
      <c r="C114" s="1059"/>
      <c r="D114" s="1053" t="s">
        <v>155</v>
      </c>
      <c r="E114" s="1054">
        <f>'22'!F114</f>
        <v>9602</v>
      </c>
      <c r="F114" s="1058">
        <v>9614</v>
      </c>
      <c r="G114" s="1058">
        <f>F114-E114</f>
        <v>12</v>
      </c>
      <c r="H114" s="1055">
        <f>SUM(G114+'1'!G91)</f>
        <v>12</v>
      </c>
      <c r="I114" s="1054"/>
      <c r="J114" s="1056">
        <f>H114/DAY(B2)</f>
        <v>0.52173913043478259</v>
      </c>
      <c r="N114" s="1093"/>
      <c r="O114" s="930"/>
    </row>
    <row r="115" spans="1:15" s="975" customFormat="1">
      <c r="A115" s="1512" t="s">
        <v>236</v>
      </c>
      <c r="B115" s="1513"/>
      <c r="C115" s="1059"/>
      <c r="D115" s="1053" t="s">
        <v>155</v>
      </c>
      <c r="E115" s="1054">
        <f>'22'!F115</f>
        <v>7362</v>
      </c>
      <c r="F115" s="1058">
        <v>7374</v>
      </c>
      <c r="G115" s="1058">
        <f t="shared" ref="G115:G116" si="14">F115-E115</f>
        <v>12</v>
      </c>
      <c r="H115" s="1055">
        <f>SUM(G115+'1'!G92)</f>
        <v>99</v>
      </c>
      <c r="I115" s="1054"/>
      <c r="J115" s="1056">
        <f>H115/DAY(B2)</f>
        <v>4.3043478260869561</v>
      </c>
      <c r="N115" s="1093"/>
      <c r="O115" s="930"/>
    </row>
    <row r="116" spans="1:15" s="975" customFormat="1">
      <c r="A116" s="1512" t="s">
        <v>237</v>
      </c>
      <c r="B116" s="1513"/>
      <c r="C116" s="1059"/>
      <c r="D116" s="1053" t="s">
        <v>155</v>
      </c>
      <c r="E116" s="1058"/>
      <c r="F116" s="1058"/>
      <c r="G116" s="1058">
        <f t="shared" si="14"/>
        <v>0</v>
      </c>
      <c r="H116" s="1055">
        <f>SUM(G116+'1'!G93)</f>
        <v>200</v>
      </c>
      <c r="I116" s="1054"/>
      <c r="J116" s="1056">
        <f>H116/DAY(B2)</f>
        <v>8.695652173913043</v>
      </c>
      <c r="N116" s="1093"/>
      <c r="O116" s="930"/>
    </row>
    <row r="117" spans="1:15" s="1061" customFormat="1">
      <c r="A117" s="1514" t="s">
        <v>213</v>
      </c>
      <c r="B117" s="1515"/>
      <c r="C117" s="1059"/>
      <c r="D117" s="1060"/>
      <c r="E117" s="1058"/>
      <c r="F117" s="1058"/>
      <c r="G117" s="1058">
        <f>SUM(G114:G116)</f>
        <v>24</v>
      </c>
      <c r="H117" s="1055">
        <f>SUM(G117+'1'!G95)</f>
        <v>96</v>
      </c>
      <c r="I117" s="1058"/>
      <c r="J117" s="1056">
        <f>H117/DAY(B2)</f>
        <v>4.1739130434782608</v>
      </c>
      <c r="N117" s="1098"/>
      <c r="O117" s="930"/>
    </row>
    <row r="118" spans="1:15" s="851" customFormat="1">
      <c r="A118" s="1516" t="s">
        <v>238</v>
      </c>
      <c r="B118" s="1517"/>
      <c r="C118" s="1062"/>
      <c r="D118" s="1063" t="s">
        <v>155</v>
      </c>
      <c r="E118" s="1064"/>
      <c r="F118" s="1065">
        <f>SUM(G19+G92)</f>
        <v>146</v>
      </c>
      <c r="G118" s="1065">
        <f>SUM(G19+G92)</f>
        <v>146</v>
      </c>
      <c r="H118" s="1055">
        <f>SUM(G118+'1'!G96)</f>
        <v>169</v>
      </c>
      <c r="I118" s="1064"/>
      <c r="J118" s="1066">
        <f>H118/DAY(B2)</f>
        <v>7.3478260869565215</v>
      </c>
      <c r="N118" s="1099" t="s">
        <v>226</v>
      </c>
      <c r="O118" s="930"/>
    </row>
    <row r="119" spans="1:15" s="851" customFormat="1">
      <c r="A119" s="1516" t="s">
        <v>239</v>
      </c>
      <c r="B119" s="1517"/>
      <c r="C119" s="1062"/>
      <c r="D119" s="1063" t="s">
        <v>155</v>
      </c>
      <c r="E119" s="1064"/>
      <c r="F119" s="1065">
        <f>SUM(G95,G96,G97,G99,G100)</f>
        <v>142</v>
      </c>
      <c r="G119" s="1065">
        <f>SUM(G95,G96,G97,G99,G100)</f>
        <v>142</v>
      </c>
      <c r="H119" s="1055">
        <f>SUM(G119+'1'!G98)</f>
        <v>225</v>
      </c>
      <c r="I119" s="1064"/>
      <c r="J119" s="1066">
        <f>H119/DAY(B2)</f>
        <v>9.7826086956521738</v>
      </c>
      <c r="N119" s="1099"/>
      <c r="O119" s="930"/>
    </row>
    <row r="120" spans="1:15" s="851" customFormat="1">
      <c r="A120" s="1516" t="s">
        <v>240</v>
      </c>
      <c r="B120" s="1517"/>
      <c r="C120" s="1062"/>
      <c r="D120" s="1063" t="s">
        <v>155</v>
      </c>
      <c r="E120" s="1064"/>
      <c r="F120" s="1058">
        <f>SUM(G112)</f>
        <v>99</v>
      </c>
      <c r="G120" s="1058">
        <f>SUM(G112)</f>
        <v>99</v>
      </c>
      <c r="H120" s="1055">
        <f>SUM(G120+'1'!G100)</f>
        <v>105</v>
      </c>
      <c r="I120" s="1064"/>
      <c r="J120" s="1066">
        <f>H120/DAY(B2)</f>
        <v>4.5652173913043477</v>
      </c>
      <c r="N120" s="1099"/>
      <c r="O120" s="930"/>
    </row>
    <row r="121" spans="1:15" s="975" customFormat="1">
      <c r="A121" s="1510"/>
      <c r="B121" s="1511"/>
      <c r="C121" s="1057"/>
      <c r="D121" s="1052"/>
      <c r="E121" s="1052"/>
      <c r="F121" s="1052" t="s">
        <v>226</v>
      </c>
      <c r="G121" s="1052"/>
      <c r="H121" s="1067"/>
      <c r="I121" s="1052"/>
      <c r="J121" s="1068"/>
      <c r="N121" s="1093"/>
      <c r="O121" s="930"/>
    </row>
    <row r="122" spans="1:15">
      <c r="A122" s="1534" t="s">
        <v>241</v>
      </c>
      <c r="B122" s="1535"/>
      <c r="C122" s="1536"/>
      <c r="D122" s="918"/>
      <c r="E122" s="918"/>
      <c r="F122" s="918"/>
      <c r="G122" s="950"/>
      <c r="H122" s="950"/>
      <c r="I122" s="950"/>
      <c r="J122" s="1069"/>
      <c r="K122" s="1024"/>
      <c r="L122" s="903"/>
      <c r="O122" s="930"/>
    </row>
    <row r="123" spans="1:15">
      <c r="A123" s="952" t="s">
        <v>242</v>
      </c>
      <c r="B123" s="953"/>
      <c r="C123" s="953"/>
      <c r="D123" s="923" t="s">
        <v>152</v>
      </c>
      <c r="E123" s="924">
        <f>'22'!F123</f>
        <v>800972.08</v>
      </c>
      <c r="F123" s="942">
        <v>801217.94</v>
      </c>
      <c r="G123" s="925">
        <f>F123-E123</f>
        <v>245.85999999998603</v>
      </c>
      <c r="H123" s="926">
        <f>G123+'22'!H123</f>
        <v>-2117.4600000000792</v>
      </c>
      <c r="I123" s="1042"/>
      <c r="J123" s="928">
        <f>H123/DAY(B2)</f>
        <v>-92.063478260873012</v>
      </c>
      <c r="K123" s="1024"/>
      <c r="L123" s="903"/>
      <c r="O123" s="930"/>
    </row>
    <row r="124" spans="1:15">
      <c r="A124" s="952" t="s">
        <v>243</v>
      </c>
      <c r="B124" s="953"/>
      <c r="C124" s="953"/>
      <c r="D124" s="923" t="s">
        <v>152</v>
      </c>
      <c r="E124" s="924">
        <f>'22'!F124</f>
        <v>73582.3</v>
      </c>
      <c r="F124" s="1070">
        <v>73582.3</v>
      </c>
      <c r="G124" s="925">
        <f t="shared" ref="G124:G127" si="15">F124-E124</f>
        <v>0</v>
      </c>
      <c r="H124" s="926">
        <f>G124+'22'!H124</f>
        <v>0.30000000000291038</v>
      </c>
      <c r="I124" s="1042"/>
      <c r="J124" s="928">
        <f>H124/DAY(B2)</f>
        <v>1.3043478260996104E-2</v>
      </c>
      <c r="K124" s="1024"/>
      <c r="L124" s="903"/>
      <c r="O124" s="930"/>
    </row>
    <row r="125" spans="1:15">
      <c r="A125" s="1528" t="s">
        <v>244</v>
      </c>
      <c r="B125" s="1529"/>
      <c r="C125" s="1530"/>
      <c r="D125" s="923" t="s">
        <v>152</v>
      </c>
      <c r="E125" s="924">
        <f>'22'!F125</f>
        <v>137241.04999999999</v>
      </c>
      <c r="F125" s="942">
        <v>137324.48000000001</v>
      </c>
      <c r="G125" s="925">
        <f t="shared" si="15"/>
        <v>83.430000000022119</v>
      </c>
      <c r="H125" s="926">
        <f>G125+'22'!H125</f>
        <v>-523.51999999998952</v>
      </c>
      <c r="I125" s="1042"/>
      <c r="J125" s="928">
        <f>H125/DAY(B2)</f>
        <v>-22.761739130434329</v>
      </c>
      <c r="K125" s="1024"/>
      <c r="L125" s="903"/>
      <c r="O125" s="930"/>
    </row>
    <row r="126" spans="1:15">
      <c r="A126" s="1071" t="s">
        <v>245</v>
      </c>
      <c r="B126" s="953"/>
      <c r="C126" s="953"/>
      <c r="D126" s="923" t="s">
        <v>152</v>
      </c>
      <c r="E126" s="924">
        <f>'22'!F126</f>
        <v>58105</v>
      </c>
      <c r="F126" s="1070">
        <v>58145.4</v>
      </c>
      <c r="G126" s="925">
        <f t="shared" si="15"/>
        <v>40.400000000001455</v>
      </c>
      <c r="H126" s="926">
        <f>G126+'22'!H126</f>
        <v>-246.29999999999563</v>
      </c>
      <c r="I126" s="1042"/>
      <c r="J126" s="928">
        <f>H126/DAY(B2)</f>
        <v>-10.708695652173724</v>
      </c>
      <c r="K126" s="1024"/>
      <c r="L126" s="903"/>
      <c r="O126" s="930"/>
    </row>
    <row r="127" spans="1:15">
      <c r="A127" s="1071" t="s">
        <v>246</v>
      </c>
      <c r="B127" s="953"/>
      <c r="C127" s="953"/>
      <c r="D127" s="923" t="s">
        <v>152</v>
      </c>
      <c r="E127" s="924">
        <f>'22'!F127</f>
        <v>8785</v>
      </c>
      <c r="F127" s="1070">
        <v>8789.1</v>
      </c>
      <c r="G127" s="925">
        <f t="shared" si="15"/>
        <v>4.1000000000003638</v>
      </c>
      <c r="H127" s="926">
        <f>G127+'22'!H127</f>
        <v>-26.899999999999636</v>
      </c>
      <c r="I127" s="945"/>
      <c r="J127" s="928">
        <f>H127/DAY(B2)</f>
        <v>-1.1695652173912885</v>
      </c>
      <c r="K127" s="1024"/>
      <c r="L127" s="903"/>
      <c r="O127" s="930"/>
    </row>
    <row r="128" spans="1:15">
      <c r="A128" s="1071" t="s">
        <v>247</v>
      </c>
      <c r="B128" s="953"/>
      <c r="C128" s="953"/>
      <c r="D128" s="923"/>
      <c r="E128" s="924"/>
      <c r="F128" s="942"/>
      <c r="G128" s="925">
        <f>G15-SUM(G123:G127)</f>
        <v>561.14999999993415</v>
      </c>
      <c r="H128" s="926">
        <f>G128+'22'!H128</f>
        <v>-10557.830000000218</v>
      </c>
      <c r="I128" s="945"/>
      <c r="J128" s="928">
        <f>H128/DAY(B2)</f>
        <v>-459.03608695653122</v>
      </c>
      <c r="K128" s="1024"/>
      <c r="L128" s="903"/>
      <c r="O128" s="930"/>
    </row>
    <row r="129" spans="1:15">
      <c r="A129" s="1072" t="s">
        <v>248</v>
      </c>
      <c r="B129" s="917"/>
      <c r="C129" s="917"/>
      <c r="D129" s="917"/>
      <c r="E129" s="917"/>
      <c r="F129" s="917"/>
      <c r="G129" s="1073"/>
      <c r="H129" s="1073"/>
      <c r="I129" s="1073"/>
      <c r="J129" s="1074"/>
      <c r="O129" s="930"/>
    </row>
    <row r="130" spans="1:15">
      <c r="A130" s="952" t="s">
        <v>249</v>
      </c>
      <c r="B130" s="953"/>
      <c r="C130" s="953"/>
      <c r="D130" s="923" t="s">
        <v>250</v>
      </c>
      <c r="E130" s="924">
        <f>'22'!F130</f>
        <v>0</v>
      </c>
      <c r="F130" s="954">
        <v>0</v>
      </c>
      <c r="G130" s="925">
        <f t="shared" ref="G130:G140" si="16">F130-E130</f>
        <v>0</v>
      </c>
      <c r="H130" s="926">
        <f>G130+'22'!H130</f>
        <v>0</v>
      </c>
      <c r="I130" s="945"/>
      <c r="J130" s="928">
        <f>H130/DAY(B2)</f>
        <v>0</v>
      </c>
      <c r="O130" s="930"/>
    </row>
    <row r="131" spans="1:15">
      <c r="A131" s="952" t="s">
        <v>251</v>
      </c>
      <c r="B131" s="953"/>
      <c r="C131" s="953"/>
      <c r="D131" s="923" t="s">
        <v>250</v>
      </c>
      <c r="E131" s="924">
        <f>'22'!F131</f>
        <v>0</v>
      </c>
      <c r="F131" s="954">
        <v>0</v>
      </c>
      <c r="G131" s="925">
        <f t="shared" si="16"/>
        <v>0</v>
      </c>
      <c r="H131" s="926">
        <f>G131+'22'!H131</f>
        <v>0</v>
      </c>
      <c r="I131" s="945"/>
      <c r="J131" s="928">
        <f>H131/DAY(B2)</f>
        <v>0</v>
      </c>
      <c r="O131" s="930"/>
    </row>
    <row r="132" spans="1:15">
      <c r="A132" s="952" t="s">
        <v>252</v>
      </c>
      <c r="B132" s="953"/>
      <c r="C132" s="953"/>
      <c r="D132" s="923" t="s">
        <v>250</v>
      </c>
      <c r="E132" s="924">
        <f>'22'!F132</f>
        <v>38889.06</v>
      </c>
      <c r="F132" s="1075">
        <v>38913.01</v>
      </c>
      <c r="G132" s="925">
        <f t="shared" si="16"/>
        <v>23.950000000004366</v>
      </c>
      <c r="H132" s="926">
        <f>G132+'22'!H132</f>
        <v>194.61999999999534</v>
      </c>
      <c r="I132" s="945"/>
      <c r="J132" s="928">
        <f>H132/DAY(B2)</f>
        <v>8.4617391304345801</v>
      </c>
      <c r="O132" s="930"/>
    </row>
    <row r="133" spans="1:15">
      <c r="A133" s="952" t="s">
        <v>253</v>
      </c>
      <c r="B133" s="953"/>
      <c r="C133" s="953"/>
      <c r="D133" s="923" t="s">
        <v>250</v>
      </c>
      <c r="E133" s="924">
        <f>'22'!F133</f>
        <v>299.02</v>
      </c>
      <c r="F133" s="1075">
        <v>299.01</v>
      </c>
      <c r="G133" s="925">
        <f t="shared" si="16"/>
        <v>-9.9999999999909051E-3</v>
      </c>
      <c r="H133" s="926">
        <f>G133+'22'!H133</f>
        <v>9.9999999999909051E-3</v>
      </c>
      <c r="I133" s="945">
        <f>G130+G131+G132+G133</f>
        <v>23.940000000004375</v>
      </c>
      <c r="J133" s="928">
        <f>H133/DAY(B2)</f>
        <v>4.3478260869525673E-4</v>
      </c>
      <c r="O133" s="930"/>
    </row>
    <row r="134" spans="1:15">
      <c r="A134" s="952" t="s">
        <v>254</v>
      </c>
      <c r="B134" s="953"/>
      <c r="C134" s="953"/>
      <c r="D134" s="923" t="s">
        <v>250</v>
      </c>
      <c r="E134" s="924">
        <f>'22'!F134</f>
        <v>39951.050000000003</v>
      </c>
      <c r="F134" s="1075">
        <v>39951.050000000003</v>
      </c>
      <c r="G134" s="925">
        <f t="shared" si="16"/>
        <v>0</v>
      </c>
      <c r="H134" s="926">
        <v>24</v>
      </c>
      <c r="I134" s="945"/>
      <c r="J134" s="928">
        <f>H134/DAY(B2)</f>
        <v>1.0434782608695652</v>
      </c>
      <c r="O134" s="930"/>
    </row>
    <row r="135" spans="1:15">
      <c r="A135" s="952" t="s">
        <v>255</v>
      </c>
      <c r="B135" s="953"/>
      <c r="C135" s="953"/>
      <c r="D135" s="923" t="s">
        <v>250</v>
      </c>
      <c r="E135" s="924">
        <f>'22'!F135</f>
        <v>32423</v>
      </c>
      <c r="F135" s="1075">
        <v>32423</v>
      </c>
      <c r="G135" s="925">
        <f t="shared" si="16"/>
        <v>0</v>
      </c>
      <c r="H135" s="926">
        <v>13</v>
      </c>
      <c r="I135" s="945"/>
      <c r="J135" s="928">
        <f>H135/DAY(B2)</f>
        <v>0.56521739130434778</v>
      </c>
      <c r="O135" s="930"/>
    </row>
    <row r="136" spans="1:15">
      <c r="A136" s="952" t="s">
        <v>256</v>
      </c>
      <c r="B136" s="953"/>
      <c r="C136" s="953"/>
      <c r="D136" s="923" t="s">
        <v>250</v>
      </c>
      <c r="E136" s="924">
        <f>'22'!F136</f>
        <v>21935.87</v>
      </c>
      <c r="F136" s="1075">
        <v>21946.05</v>
      </c>
      <c r="G136" s="925">
        <f t="shared" si="16"/>
        <v>10.180000000000291</v>
      </c>
      <c r="H136" s="926">
        <f>G136+'22'!H136</f>
        <v>-55.909999999999854</v>
      </c>
      <c r="I136" s="945">
        <f>G134+G135+G136</f>
        <v>10.180000000000291</v>
      </c>
      <c r="J136" s="928">
        <f>H136/DAY(B2)</f>
        <v>-2.4308695652173848</v>
      </c>
      <c r="O136" s="930"/>
    </row>
    <row r="137" spans="1:15">
      <c r="A137" s="952" t="s">
        <v>257</v>
      </c>
      <c r="B137" s="953"/>
      <c r="C137" s="953"/>
      <c r="D137" s="923" t="s">
        <v>250</v>
      </c>
      <c r="E137" s="924">
        <f>'22'!F137</f>
        <v>25019.94</v>
      </c>
      <c r="F137" s="1075">
        <v>25019.94</v>
      </c>
      <c r="G137" s="925">
        <f t="shared" si="16"/>
        <v>0</v>
      </c>
      <c r="H137" s="926">
        <v>8</v>
      </c>
      <c r="I137" s="945"/>
      <c r="J137" s="928">
        <f>H137/DAY(B2)</f>
        <v>0.34782608695652173</v>
      </c>
      <c r="O137" s="930"/>
    </row>
    <row r="138" spans="1:15">
      <c r="A138" s="952" t="s">
        <v>258</v>
      </c>
      <c r="B138" s="953"/>
      <c r="C138" s="953"/>
      <c r="D138" s="923" t="s">
        <v>250</v>
      </c>
      <c r="E138" s="924">
        <f>'22'!F138</f>
        <v>70057.8</v>
      </c>
      <c r="F138" s="1075">
        <v>70057.8</v>
      </c>
      <c r="G138" s="925">
        <f t="shared" si="16"/>
        <v>0</v>
      </c>
      <c r="H138" s="926">
        <v>15</v>
      </c>
      <c r="I138" s="945">
        <f>G137+G138</f>
        <v>0</v>
      </c>
      <c r="J138" s="928">
        <f>H138/DAY(B2)</f>
        <v>0.65217391304347827</v>
      </c>
      <c r="O138" s="930"/>
    </row>
    <row r="139" spans="1:15">
      <c r="A139" s="952" t="s">
        <v>259</v>
      </c>
      <c r="B139" s="953"/>
      <c r="C139" s="953"/>
      <c r="D139" s="923" t="s">
        <v>250</v>
      </c>
      <c r="E139" s="924">
        <f>'22'!F139</f>
        <v>1131.52</v>
      </c>
      <c r="F139" s="954">
        <v>1138.53</v>
      </c>
      <c r="G139" s="925">
        <f t="shared" si="16"/>
        <v>7.0099999999999909</v>
      </c>
      <c r="H139" s="926">
        <f>G139+'22'!H139</f>
        <v>-62.059999999999945</v>
      </c>
      <c r="I139" s="1076"/>
      <c r="J139" s="928">
        <f>H139/DAY(B2)</f>
        <v>-2.6982608695652148</v>
      </c>
      <c r="O139" s="930"/>
    </row>
    <row r="140" spans="1:15">
      <c r="A140" s="952" t="s">
        <v>260</v>
      </c>
      <c r="B140" s="953"/>
      <c r="C140" s="953"/>
      <c r="D140" s="923" t="s">
        <v>250</v>
      </c>
      <c r="E140" s="924">
        <f>'22'!F140</f>
        <v>4333.53</v>
      </c>
      <c r="F140" s="954">
        <v>4333.53</v>
      </c>
      <c r="G140" s="925">
        <f t="shared" si="16"/>
        <v>0</v>
      </c>
      <c r="H140" s="926">
        <f>G140+'22'!H140</f>
        <v>-0.47000000000025466</v>
      </c>
      <c r="I140" s="1076"/>
      <c r="J140" s="928">
        <f>H140/DAY(B2)</f>
        <v>-2.0434782608706726E-2</v>
      </c>
      <c r="O140" s="930"/>
    </row>
    <row r="141" spans="1:15">
      <c r="A141" s="1537" t="s">
        <v>261</v>
      </c>
      <c r="B141" s="1538"/>
      <c r="C141" s="918"/>
      <c r="D141" s="918"/>
      <c r="E141" s="918"/>
      <c r="F141" s="918"/>
      <c r="G141" s="950"/>
      <c r="H141" s="950"/>
      <c r="I141" s="950"/>
      <c r="J141" s="1069"/>
      <c r="K141" s="1024"/>
      <c r="L141" s="903"/>
      <c r="O141" s="930"/>
    </row>
    <row r="142" spans="1:15">
      <c r="A142" s="1522" t="s">
        <v>262</v>
      </c>
      <c r="B142" s="1523"/>
      <c r="C142" s="1524"/>
      <c r="D142" s="923" t="s">
        <v>143</v>
      </c>
      <c r="E142" s="923"/>
      <c r="F142" s="923"/>
      <c r="G142" s="926">
        <f>G35+G43+G49+G57</f>
        <v>5402.0900000000256</v>
      </c>
      <c r="H142" s="926">
        <f>G142+'22'!H142</f>
        <v>-45170.199999999953</v>
      </c>
      <c r="I142" s="945"/>
      <c r="J142" s="928">
        <f>H142/DAY(B2)</f>
        <v>-1963.9217391304328</v>
      </c>
      <c r="K142" s="1024"/>
      <c r="L142" s="903"/>
      <c r="O142" s="930"/>
    </row>
    <row r="143" spans="1:15">
      <c r="A143" s="1522" t="s">
        <v>263</v>
      </c>
      <c r="B143" s="1523"/>
      <c r="C143" s="1524"/>
      <c r="D143" s="923" t="s">
        <v>24</v>
      </c>
      <c r="E143" s="910"/>
      <c r="F143" s="910"/>
      <c r="G143" s="1077">
        <f>G142/G7</f>
        <v>0.27409254655233778</v>
      </c>
      <c r="H143" s="926">
        <f>G143+'22'!H143</f>
        <v>5.7860611277824772</v>
      </c>
      <c r="I143" s="1078"/>
      <c r="J143" s="928">
        <f>H143/DAY(B2)</f>
        <v>0.25156787512097728</v>
      </c>
      <c r="K143" s="1024"/>
      <c r="L143" s="903"/>
      <c r="O143" s="930"/>
    </row>
    <row r="144" spans="1:15">
      <c r="A144" s="1522" t="s">
        <v>264</v>
      </c>
      <c r="B144" s="1523"/>
      <c r="C144" s="1524"/>
      <c r="D144" s="923" t="s">
        <v>143</v>
      </c>
      <c r="E144" s="924"/>
      <c r="F144" s="924"/>
      <c r="G144" s="926">
        <f>G41+G42+G55+G56</f>
        <v>4346.660000000018</v>
      </c>
      <c r="H144" s="926">
        <f>G144+'22'!H144</f>
        <v>34060.489999999983</v>
      </c>
      <c r="I144" s="945"/>
      <c r="J144" s="928">
        <f>H144/DAY(B2)</f>
        <v>1480.8908695652167</v>
      </c>
      <c r="K144" s="1024"/>
      <c r="L144" s="903"/>
      <c r="O144" s="930"/>
    </row>
    <row r="145" spans="1:15">
      <c r="A145" s="1522" t="s">
        <v>265</v>
      </c>
      <c r="B145" s="1523"/>
      <c r="C145" s="1524"/>
      <c r="D145" s="923" t="s">
        <v>24</v>
      </c>
      <c r="E145" s="924"/>
      <c r="F145" s="924"/>
      <c r="G145" s="1077">
        <f>G144/G7</f>
        <v>0.22054188441828698</v>
      </c>
      <c r="H145" s="926">
        <f>G145+'22'!H145</f>
        <v>4.9159526993973692</v>
      </c>
      <c r="I145" s="1078"/>
      <c r="J145" s="928">
        <f>H145/DAY(B2)</f>
        <v>0.21373707388684213</v>
      </c>
      <c r="K145" s="1024"/>
      <c r="L145" s="903"/>
      <c r="O145" s="930"/>
    </row>
    <row r="146" spans="1:15">
      <c r="A146" s="1522" t="s">
        <v>266</v>
      </c>
      <c r="B146" s="1523"/>
      <c r="C146" s="1524"/>
      <c r="D146" s="923" t="s">
        <v>143</v>
      </c>
      <c r="E146" s="924"/>
      <c r="F146" s="924"/>
      <c r="G146" s="926">
        <f>G39+G53</f>
        <v>4262.7600000000093</v>
      </c>
      <c r="H146" s="926">
        <f>G146+'22'!H146</f>
        <v>878993.77999999991</v>
      </c>
      <c r="I146" s="1079"/>
      <c r="J146" s="928">
        <f>H146/DAY(B2)</f>
        <v>38217.120869565217</v>
      </c>
      <c r="K146" s="1024"/>
      <c r="L146" s="903"/>
      <c r="O146" s="930"/>
    </row>
    <row r="147" spans="1:15">
      <c r="A147" s="1522" t="s">
        <v>267</v>
      </c>
      <c r="B147" s="1523"/>
      <c r="C147" s="1524"/>
      <c r="D147" s="923" t="s">
        <v>24</v>
      </c>
      <c r="E147" s="924"/>
      <c r="F147" s="924"/>
      <c r="G147" s="1077">
        <f>G146/G7</f>
        <v>0.21628494596377337</v>
      </c>
      <c r="H147" s="926">
        <f>G147+'22'!H147</f>
        <v>3.4397593109240816</v>
      </c>
      <c r="I147" s="1079"/>
      <c r="J147" s="928">
        <f>H147/DAY(B2)</f>
        <v>0.14955475264887311</v>
      </c>
      <c r="O147" s="930"/>
    </row>
    <row r="148" spans="1:15">
      <c r="A148" s="1522" t="s">
        <v>268</v>
      </c>
      <c r="B148" s="1523"/>
      <c r="C148" s="1524"/>
      <c r="D148" s="923" t="s">
        <v>194</v>
      </c>
      <c r="E148" s="924"/>
      <c r="F148" s="924"/>
      <c r="G148" s="926">
        <f>G38+G52</f>
        <v>1944.0400000000373</v>
      </c>
      <c r="H148" s="926">
        <f>G148+'22'!H148</f>
        <v>135590.42000000004</v>
      </c>
      <c r="I148" s="945"/>
      <c r="J148" s="928">
        <f>H148/DAY(B2)</f>
        <v>5895.2356521739148</v>
      </c>
      <c r="K148" s="1080"/>
      <c r="O148" s="930"/>
    </row>
    <row r="149" spans="1:15">
      <c r="A149" s="1522" t="s">
        <v>269</v>
      </c>
      <c r="B149" s="1523"/>
      <c r="C149" s="1524"/>
      <c r="D149" s="923" t="s">
        <v>24</v>
      </c>
      <c r="E149" s="924"/>
      <c r="F149" s="924"/>
      <c r="G149" s="1077">
        <f>G148/G7</f>
        <v>9.8637170835660731E-2</v>
      </c>
      <c r="H149" s="926">
        <f>G149+'22'!H149</f>
        <v>2.149029036249491</v>
      </c>
      <c r="I149" s="1079"/>
      <c r="J149" s="928">
        <f>H149/DAY(B2)</f>
        <v>9.3436045054325692E-2</v>
      </c>
      <c r="O149" s="930"/>
    </row>
    <row r="150" spans="1:15">
      <c r="A150" s="1522" t="s">
        <v>270</v>
      </c>
      <c r="B150" s="1523"/>
      <c r="C150" s="1524"/>
      <c r="D150" s="923" t="s">
        <v>194</v>
      </c>
      <c r="E150" s="924"/>
      <c r="F150" s="924"/>
      <c r="G150" s="926">
        <f>G36+G50</f>
        <v>1702.5800000000745</v>
      </c>
      <c r="H150" s="926">
        <f>G150+'22'!H150</f>
        <v>-14211.039999999979</v>
      </c>
      <c r="I150" s="1079"/>
      <c r="J150" s="928">
        <f>H150/DAY(B2)</f>
        <v>-617.87130434782523</v>
      </c>
      <c r="O150" s="930"/>
    </row>
    <row r="151" spans="1:15">
      <c r="A151" s="1522" t="s">
        <v>271</v>
      </c>
      <c r="B151" s="1523"/>
      <c r="C151" s="1524"/>
      <c r="D151" s="923" t="s">
        <v>24</v>
      </c>
      <c r="E151" s="924"/>
      <c r="F151" s="924"/>
      <c r="G151" s="1077">
        <f>G150/G7</f>
        <v>8.6385915064187649E-2</v>
      </c>
      <c r="H151" s="926">
        <f>G151+'22'!H151</f>
        <v>2.2318100346406964</v>
      </c>
      <c r="I151" s="945"/>
      <c r="J151" s="928">
        <f>H151/DAY(B2)</f>
        <v>9.7035218897421588E-2</v>
      </c>
      <c r="O151" s="930"/>
    </row>
    <row r="152" spans="1:15">
      <c r="A152" s="1522" t="s">
        <v>272</v>
      </c>
      <c r="B152" s="1523"/>
      <c r="C152" s="1524"/>
      <c r="D152" s="923" t="s">
        <v>194</v>
      </c>
      <c r="E152" s="924"/>
      <c r="F152" s="924"/>
      <c r="G152" s="926">
        <f>G37+G51</f>
        <v>1462.6699999999983</v>
      </c>
      <c r="H152" s="926">
        <f>G152+'22'!H152</f>
        <v>403151.89999999997</v>
      </c>
      <c r="I152" s="945"/>
      <c r="J152" s="928">
        <f>H152/DAY(B2)</f>
        <v>17528.343478260867</v>
      </c>
      <c r="O152" s="930"/>
    </row>
    <row r="153" spans="1:15" ht="21" thickBot="1">
      <c r="A153" s="1525" t="s">
        <v>273</v>
      </c>
      <c r="B153" s="1526"/>
      <c r="C153" s="1527"/>
      <c r="D153" s="1081" t="s">
        <v>24</v>
      </c>
      <c r="E153" s="1082"/>
      <c r="F153" s="1082"/>
      <c r="G153" s="1083">
        <f>G152/G7</f>
        <v>7.4213303566898287E-2</v>
      </c>
      <c r="H153" s="926">
        <f>G153+'22'!H153</f>
        <v>1.0736113954583506</v>
      </c>
      <c r="I153" s="1084"/>
      <c r="J153" s="1085">
        <f>H153/DAY(B2)</f>
        <v>4.6678756324276115E-2</v>
      </c>
      <c r="O153" s="930"/>
    </row>
    <row r="154" spans="1:15">
      <c r="A154" s="1086"/>
      <c r="B154" s="1086"/>
      <c r="C154" s="1086"/>
      <c r="D154" s="1086"/>
      <c r="E154" s="1086"/>
      <c r="F154" s="1086"/>
      <c r="G154" s="1086"/>
      <c r="H154" s="1087"/>
      <c r="I154" s="1086"/>
      <c r="J154" s="1088"/>
      <c r="O154" s="930"/>
    </row>
    <row r="160" spans="1:15">
      <c r="A160" s="1076" t="s">
        <v>274</v>
      </c>
      <c r="B160" s="1076"/>
      <c r="C160" s="1076"/>
      <c r="D160" s="910" t="s">
        <v>198</v>
      </c>
      <c r="E160" s="924">
        <f>'22'!F160</f>
        <v>27694.720000000001</v>
      </c>
      <c r="F160" s="1101">
        <v>27778.69</v>
      </c>
      <c r="G160" s="925">
        <f t="shared" ref="G160:G163" si="17">F160-E160</f>
        <v>83.969999999997526</v>
      </c>
    </row>
    <row r="161" spans="1:10" ht="21.75" customHeight="1">
      <c r="A161" s="1076" t="s">
        <v>275</v>
      </c>
      <c r="B161" s="1076"/>
      <c r="C161" s="1076"/>
      <c r="D161" s="910" t="s">
        <v>198</v>
      </c>
      <c r="E161" s="924">
        <f>'22'!F161</f>
        <v>38562.980000000003</v>
      </c>
      <c r="F161" s="1101">
        <v>39033.03</v>
      </c>
      <c r="G161" s="925">
        <f t="shared" si="17"/>
        <v>470.04999999999563</v>
      </c>
    </row>
    <row r="162" spans="1:10" ht="21.75" customHeight="1">
      <c r="A162" s="1076" t="s">
        <v>276</v>
      </c>
      <c r="B162" s="1076"/>
      <c r="C162" s="1076"/>
      <c r="D162" s="910" t="s">
        <v>198</v>
      </c>
      <c r="E162" s="924">
        <f>'22'!F162</f>
        <v>10487.3</v>
      </c>
      <c r="F162" s="1101">
        <v>10882.5</v>
      </c>
      <c r="G162" s="925">
        <f t="shared" si="17"/>
        <v>395.20000000000073</v>
      </c>
    </row>
    <row r="163" spans="1:10" ht="21.75" customHeight="1">
      <c r="A163" s="1076" t="s">
        <v>277</v>
      </c>
      <c r="B163" s="1076"/>
      <c r="C163" s="1076"/>
      <c r="D163" s="910" t="s">
        <v>198</v>
      </c>
      <c r="E163" s="924">
        <f>'22'!F163</f>
        <v>4812.28</v>
      </c>
      <c r="F163" s="1101">
        <v>4833.93</v>
      </c>
      <c r="G163" s="925">
        <f t="shared" si="17"/>
        <v>21.650000000000546</v>
      </c>
    </row>
    <row r="164" spans="1:10" ht="21.75" customHeight="1">
      <c r="A164" s="1006" t="s">
        <v>106</v>
      </c>
      <c r="B164" s="1006"/>
      <c r="C164" s="1006"/>
      <c r="D164" s="910" t="s">
        <v>198</v>
      </c>
      <c r="E164" s="1007">
        <f>E62</f>
        <v>20419.2</v>
      </c>
      <c r="F164" s="1007">
        <f>F62</f>
        <v>20419</v>
      </c>
      <c r="G164" s="925">
        <f t="shared" ref="G164:G171" si="18">F164-E164</f>
        <v>-0.2000000000007276</v>
      </c>
      <c r="J164" s="1161"/>
    </row>
    <row r="165" spans="1:10" ht="21.75" customHeight="1">
      <c r="A165" s="1006" t="s">
        <v>199</v>
      </c>
      <c r="B165" s="1006"/>
      <c r="C165" s="1006"/>
      <c r="D165" s="910" t="s">
        <v>198</v>
      </c>
      <c r="E165" s="1007">
        <f t="shared" ref="E165:E171" si="19">E63</f>
        <v>1236.99</v>
      </c>
      <c r="F165" s="1007">
        <f t="shared" ref="F165:F171" si="20">F63</f>
        <v>1245.43</v>
      </c>
      <c r="G165" s="925">
        <f t="shared" si="18"/>
        <v>8.4400000000000546</v>
      </c>
    </row>
    <row r="166" spans="1:10" ht="21.75" customHeight="1">
      <c r="A166" s="1509" t="s">
        <v>107</v>
      </c>
      <c r="B166" s="1509"/>
      <c r="C166" s="1509"/>
      <c r="D166" s="923" t="s">
        <v>198</v>
      </c>
      <c r="E166" s="1007">
        <f t="shared" si="19"/>
        <v>107473.88</v>
      </c>
      <c r="F166" s="1007">
        <f t="shared" si="20"/>
        <v>107901.1</v>
      </c>
      <c r="G166" s="925">
        <f t="shared" si="18"/>
        <v>427.22000000000116</v>
      </c>
    </row>
    <row r="167" spans="1:10" ht="21.75" customHeight="1">
      <c r="A167" s="1509" t="s">
        <v>108</v>
      </c>
      <c r="B167" s="1509"/>
      <c r="C167" s="1509"/>
      <c r="D167" s="923" t="s">
        <v>198</v>
      </c>
      <c r="E167" s="1007">
        <f t="shared" si="19"/>
        <v>118098.62</v>
      </c>
      <c r="F167" s="1007">
        <f t="shared" si="20"/>
        <v>118512.05</v>
      </c>
      <c r="G167" s="925">
        <f t="shared" si="18"/>
        <v>413.43000000000757</v>
      </c>
    </row>
    <row r="168" spans="1:10" ht="21.75" customHeight="1">
      <c r="A168" s="1509" t="s">
        <v>109</v>
      </c>
      <c r="B168" s="1509"/>
      <c r="C168" s="1509"/>
      <c r="D168" s="923" t="s">
        <v>198</v>
      </c>
      <c r="E168" s="1007">
        <f t="shared" si="19"/>
        <v>10482.780000000001</v>
      </c>
      <c r="F168" s="1007">
        <f t="shared" si="20"/>
        <v>10824.81</v>
      </c>
      <c r="G168" s="925">
        <f t="shared" si="18"/>
        <v>342.02999999999884</v>
      </c>
    </row>
    <row r="169" spans="1:10">
      <c r="A169" s="1509" t="s">
        <v>110</v>
      </c>
      <c r="B169" s="1509"/>
      <c r="C169" s="1509"/>
      <c r="D169" s="923" t="s">
        <v>198</v>
      </c>
      <c r="E169" s="1007">
        <f t="shared" si="19"/>
        <v>182726</v>
      </c>
      <c r="F169" s="1007">
        <f t="shared" si="20"/>
        <v>183352.45</v>
      </c>
      <c r="G169" s="925">
        <f t="shared" si="18"/>
        <v>626.45000000001164</v>
      </c>
    </row>
    <row r="170" spans="1:10" ht="24" customHeight="1">
      <c r="A170" s="1509" t="s">
        <v>111</v>
      </c>
      <c r="B170" s="1509"/>
      <c r="C170" s="1509"/>
      <c r="D170" s="923" t="s">
        <v>198</v>
      </c>
      <c r="E170" s="1007">
        <f t="shared" si="19"/>
        <v>60387.56</v>
      </c>
      <c r="F170" s="1007">
        <f t="shared" si="20"/>
        <v>60703.31</v>
      </c>
      <c r="G170" s="925">
        <f t="shared" si="18"/>
        <v>315.75</v>
      </c>
      <c r="J170" s="1162"/>
    </row>
    <row r="171" spans="1:10">
      <c r="A171" s="1509" t="s">
        <v>112</v>
      </c>
      <c r="B171" s="1509"/>
      <c r="C171" s="1509"/>
      <c r="D171" s="923" t="s">
        <v>198</v>
      </c>
      <c r="E171" s="1007">
        <f t="shared" si="19"/>
        <v>52947.14</v>
      </c>
      <c r="F171" s="1007">
        <f t="shared" si="20"/>
        <v>53249.27</v>
      </c>
      <c r="G171" s="925">
        <f t="shared" si="18"/>
        <v>302.12999999999738</v>
      </c>
    </row>
    <row r="172" spans="1:10">
      <c r="G172" s="1091">
        <f>SUM(G160:G171)</f>
        <v>3406.1200000000104</v>
      </c>
    </row>
    <row r="173" spans="1:10">
      <c r="J173" s="1163"/>
    </row>
    <row r="176" spans="1:10" ht="18.7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4:C94"/>
    <mergeCell ref="A95:C95"/>
    <mergeCell ref="A82:C82"/>
    <mergeCell ref="A83:C83"/>
    <mergeCell ref="A92:C92"/>
    <mergeCell ref="A93:C93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48:C148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82" zoomScale="68" zoomScaleNormal="44" zoomScaleSheetLayoutView="68" workbookViewId="0">
      <selection activeCell="F28" sqref="F28"/>
    </sheetView>
  </sheetViews>
  <sheetFormatPr defaultColWidth="22.33203125" defaultRowHeight="20.25"/>
  <cols>
    <col min="1" max="1" width="51.21875" style="1089" customWidth="1"/>
    <col min="2" max="2" width="24.88671875" style="1089" customWidth="1"/>
    <col min="3" max="3" width="12.44140625" style="1089" customWidth="1"/>
    <col min="4" max="4" width="13.6640625" style="1089" customWidth="1"/>
    <col min="5" max="5" width="28.109375" style="1089" customWidth="1"/>
    <col min="6" max="6" width="23.77734375" style="1089" customWidth="1"/>
    <col min="7" max="7" width="15.5546875" style="1089" bestFit="1" customWidth="1"/>
    <col min="8" max="8" width="39.21875" style="1090" customWidth="1"/>
    <col min="9" max="9" width="12" style="1089" bestFit="1" customWidth="1"/>
    <col min="10" max="10" width="24" style="1091" customWidth="1"/>
    <col min="11" max="11" width="43.21875" style="890" hidden="1" customWidth="1"/>
    <col min="12" max="13" width="0" style="890" hidden="1" customWidth="1"/>
    <col min="14" max="14" width="25.109375" style="1092" customWidth="1"/>
    <col min="15" max="15" width="6.77734375" style="890" bestFit="1" customWidth="1"/>
    <col min="16" max="16384" width="22.33203125" style="890"/>
  </cols>
  <sheetData>
    <row r="1" spans="1:15" ht="22.5">
      <c r="A1" s="1551" t="s">
        <v>128</v>
      </c>
      <c r="B1" s="1552"/>
      <c r="C1" s="1552"/>
      <c r="D1" s="1552"/>
      <c r="E1" s="1552"/>
      <c r="F1" s="1552"/>
      <c r="G1" s="1552"/>
      <c r="H1" s="1552"/>
      <c r="I1" s="1552"/>
      <c r="J1" s="1553"/>
    </row>
    <row r="2" spans="1:15">
      <c r="A2" s="891" t="s">
        <v>332</v>
      </c>
      <c r="B2" s="1165">
        <v>43854</v>
      </c>
      <c r="C2" s="892" t="s">
        <v>69</v>
      </c>
      <c r="D2" s="893">
        <v>0.33</v>
      </c>
      <c r="E2" s="894"/>
      <c r="F2" s="894"/>
      <c r="G2" s="894" t="s">
        <v>129</v>
      </c>
      <c r="H2" s="894" t="s">
        <v>6</v>
      </c>
      <c r="I2" s="894" t="s">
        <v>8</v>
      </c>
      <c r="J2" s="895" t="s">
        <v>130</v>
      </c>
    </row>
    <row r="3" spans="1:15">
      <c r="A3" s="896"/>
      <c r="B3" s="897"/>
      <c r="C3" s="892" t="s">
        <v>131</v>
      </c>
      <c r="D3" s="898">
        <v>27</v>
      </c>
      <c r="E3" s="1560" t="s">
        <v>132</v>
      </c>
      <c r="F3" s="1561"/>
      <c r="G3" s="899">
        <f>'1'!G3</f>
        <v>0</v>
      </c>
      <c r="H3" s="900">
        <f>'1'!H3</f>
        <v>0</v>
      </c>
      <c r="I3" s="900">
        <f>'1'!I3</f>
        <v>0</v>
      </c>
      <c r="J3" s="901">
        <f>'1'!J3</f>
        <v>0</v>
      </c>
      <c r="K3" s="902"/>
      <c r="L3" s="903"/>
    </row>
    <row r="4" spans="1:15">
      <c r="A4" s="904"/>
      <c r="B4" s="905"/>
      <c r="C4" s="892" t="s">
        <v>133</v>
      </c>
      <c r="D4" s="893">
        <v>0.78</v>
      </c>
      <c r="E4" s="906"/>
      <c r="F4" s="906"/>
      <c r="G4" s="906"/>
      <c r="H4" s="906"/>
      <c r="I4" s="907"/>
      <c r="J4" s="901" t="s">
        <v>292</v>
      </c>
      <c r="K4" s="908"/>
      <c r="L4" s="903"/>
    </row>
    <row r="5" spans="1:15">
      <c r="A5" s="909" t="s">
        <v>134</v>
      </c>
      <c r="B5" s="910"/>
      <c r="C5" s="910"/>
      <c r="D5" s="910" t="s">
        <v>135</v>
      </c>
      <c r="E5" s="911" t="s">
        <v>136</v>
      </c>
      <c r="F5" s="911" t="s">
        <v>123</v>
      </c>
      <c r="G5" s="912" t="s">
        <v>137</v>
      </c>
      <c r="H5" s="913" t="s">
        <v>138</v>
      </c>
      <c r="I5" s="914" t="s">
        <v>139</v>
      </c>
      <c r="J5" s="915" t="s">
        <v>140</v>
      </c>
      <c r="K5" s="916"/>
      <c r="L5" s="903"/>
    </row>
    <row r="6" spans="1:15">
      <c r="A6" s="1554" t="s">
        <v>141</v>
      </c>
      <c r="B6" s="1555"/>
      <c r="C6" s="1556"/>
      <c r="D6" s="917"/>
      <c r="E6" s="917"/>
      <c r="F6" s="917"/>
      <c r="G6" s="917"/>
      <c r="H6" s="918"/>
      <c r="I6" s="918"/>
      <c r="J6" s="919"/>
      <c r="K6" s="920"/>
      <c r="L6" s="903"/>
    </row>
    <row r="7" spans="1:15" ht="21" thickBot="1">
      <c r="A7" s="921" t="s">
        <v>142</v>
      </c>
      <c r="B7" s="922"/>
      <c r="C7" s="922"/>
      <c r="D7" s="923" t="s">
        <v>143</v>
      </c>
      <c r="E7" s="924">
        <f>'23'!F7</f>
        <v>3736421</v>
      </c>
      <c r="F7" s="924">
        <v>3755812</v>
      </c>
      <c r="G7" s="925">
        <f>F7-E7</f>
        <v>19391</v>
      </c>
      <c r="H7" s="926">
        <f>G7+'23'!H7</f>
        <v>-132386</v>
      </c>
      <c r="I7" s="927">
        <f>'1'!I7</f>
        <v>12000</v>
      </c>
      <c r="J7" s="928">
        <f>H7/DAY(B2)</f>
        <v>-5516.083333333333</v>
      </c>
      <c r="K7" s="929"/>
      <c r="L7" s="903"/>
      <c r="O7" s="930"/>
    </row>
    <row r="8" spans="1:15" ht="21" thickBot="1">
      <c r="A8" s="931" t="s">
        <v>144</v>
      </c>
      <c r="B8" s="932"/>
      <c r="C8" s="933"/>
      <c r="D8" s="934" t="s">
        <v>25</v>
      </c>
      <c r="E8" s="924">
        <f>'23'!F8</f>
        <v>3759656</v>
      </c>
      <c r="F8" s="935">
        <v>3779214</v>
      </c>
      <c r="G8" s="936">
        <f>F8-E8</f>
        <v>19558</v>
      </c>
      <c r="H8" s="926">
        <f>G8+'23'!H8</f>
        <v>-133637</v>
      </c>
      <c r="I8" s="937">
        <f>'1'!I8</f>
        <v>12000</v>
      </c>
      <c r="J8" s="928">
        <f>H8/DAY(B2)</f>
        <v>-5568.208333333333</v>
      </c>
      <c r="K8" s="929"/>
      <c r="L8" s="938"/>
      <c r="M8" s="939"/>
      <c r="O8" s="930"/>
    </row>
    <row r="9" spans="1:15">
      <c r="A9" s="940" t="s">
        <v>145</v>
      </c>
      <c r="B9" s="941"/>
      <c r="C9" s="941"/>
      <c r="D9" s="923" t="s">
        <v>143</v>
      </c>
      <c r="E9" s="924">
        <f>'23'!F9</f>
        <v>2483664.2999999998</v>
      </c>
      <c r="F9" s="942">
        <v>2490697</v>
      </c>
      <c r="G9" s="925">
        <f t="shared" ref="G9:G12" si="0">F9-E9</f>
        <v>7032.7000000001863</v>
      </c>
      <c r="H9" s="926">
        <f>G9+'23'!H9</f>
        <v>2527809.25</v>
      </c>
      <c r="I9" s="943">
        <f>I8-J8</f>
        <v>17568.208333333332</v>
      </c>
      <c r="J9" s="928">
        <f>H9/DAY(B2)</f>
        <v>105325.38541666667</v>
      </c>
      <c r="K9" s="944"/>
      <c r="L9" s="903"/>
      <c r="O9" s="930"/>
    </row>
    <row r="10" spans="1:15">
      <c r="A10" s="921" t="s">
        <v>146</v>
      </c>
      <c r="B10" s="922"/>
      <c r="C10" s="922"/>
      <c r="D10" s="923" t="s">
        <v>143</v>
      </c>
      <c r="E10" s="924">
        <f>'23'!F10</f>
        <v>1105724.3</v>
      </c>
      <c r="F10" s="942">
        <v>1117423</v>
      </c>
      <c r="G10" s="925">
        <f t="shared" si="0"/>
        <v>11698.699999999953</v>
      </c>
      <c r="H10" s="926">
        <f>G10+'23'!H10</f>
        <v>-83451.399999999907</v>
      </c>
      <c r="I10" s="945"/>
      <c r="J10" s="928">
        <f>H10/DAY(B2)</f>
        <v>-3477.1416666666628</v>
      </c>
      <c r="K10" s="944"/>
      <c r="L10" s="903"/>
      <c r="M10" s="890" t="s">
        <v>293</v>
      </c>
      <c r="O10" s="930"/>
    </row>
    <row r="11" spans="1:15">
      <c r="A11" s="921" t="s">
        <v>147</v>
      </c>
      <c r="B11" s="922"/>
      <c r="C11" s="922"/>
      <c r="D11" s="923" t="s">
        <v>143</v>
      </c>
      <c r="E11" s="924">
        <f>'23'!F11</f>
        <v>35390</v>
      </c>
      <c r="F11" s="924">
        <v>35390</v>
      </c>
      <c r="G11" s="925">
        <f t="shared" si="0"/>
        <v>0</v>
      </c>
      <c r="H11" s="926">
        <f>G11+'23'!H11</f>
        <v>0</v>
      </c>
      <c r="I11" s="945"/>
      <c r="J11" s="928">
        <f>H11/DAY(B2)</f>
        <v>0</v>
      </c>
      <c r="K11" s="944"/>
      <c r="L11" s="903"/>
      <c r="O11" s="930"/>
    </row>
    <row r="12" spans="1:15">
      <c r="A12" s="921" t="s">
        <v>148</v>
      </c>
      <c r="B12" s="922"/>
      <c r="C12" s="922"/>
      <c r="D12" s="923" t="s">
        <v>143</v>
      </c>
      <c r="E12" s="924">
        <f>'23'!F12</f>
        <v>37630</v>
      </c>
      <c r="F12" s="942">
        <v>37630</v>
      </c>
      <c r="G12" s="925">
        <f t="shared" si="0"/>
        <v>0</v>
      </c>
      <c r="H12" s="926">
        <f>G12+'23'!H12</f>
        <v>0</v>
      </c>
      <c r="I12" s="945"/>
      <c r="J12" s="928">
        <f>H12/DAY(B2)</f>
        <v>0</v>
      </c>
      <c r="K12" s="944"/>
      <c r="L12" s="903"/>
      <c r="O12" s="930"/>
    </row>
    <row r="13" spans="1:15">
      <c r="A13" s="946" t="s">
        <v>149</v>
      </c>
      <c r="B13" s="947"/>
      <c r="C13" s="947"/>
      <c r="D13" s="923"/>
      <c r="E13" s="924"/>
      <c r="F13" s="924"/>
      <c r="G13" s="948">
        <f>G9+G10+G11+G12</f>
        <v>18731.40000000014</v>
      </c>
      <c r="H13" s="926">
        <f>G13+'23'!H13</f>
        <v>2426051.8500000006</v>
      </c>
      <c r="I13" s="949">
        <f>G7-G13</f>
        <v>659.5999999998603</v>
      </c>
      <c r="J13" s="928">
        <f>H13/DAY(B2)</f>
        <v>101085.49375000002</v>
      </c>
      <c r="K13" s="944"/>
      <c r="L13" s="903"/>
      <c r="O13" s="930"/>
    </row>
    <row r="14" spans="1:15">
      <c r="A14" s="1557" t="s">
        <v>150</v>
      </c>
      <c r="B14" s="1558"/>
      <c r="C14" s="1559"/>
      <c r="D14" s="918"/>
      <c r="E14" s="918"/>
      <c r="F14" s="918"/>
      <c r="G14" s="950"/>
      <c r="H14" s="918"/>
      <c r="I14" s="918"/>
      <c r="J14" s="919"/>
      <c r="K14" s="951"/>
      <c r="L14" s="903"/>
      <c r="O14" s="930"/>
    </row>
    <row r="15" spans="1:15">
      <c r="A15" s="952" t="s">
        <v>151</v>
      </c>
      <c r="B15" s="953"/>
      <c r="C15" s="953"/>
      <c r="D15" s="923" t="s">
        <v>152</v>
      </c>
      <c r="E15" s="924">
        <f>'23'!F15</f>
        <v>1588261.88</v>
      </c>
      <c r="F15" s="954">
        <v>1589010</v>
      </c>
      <c r="G15" s="1102">
        <f>(F15-E15)</f>
        <v>748.12000000011176</v>
      </c>
      <c r="H15" s="926">
        <f>G15+'23'!H15</f>
        <v>-5427.1499999999069</v>
      </c>
      <c r="I15" s="927">
        <f>'1'!I15</f>
        <v>800</v>
      </c>
      <c r="J15" s="928">
        <f>H15/DAY(B2)</f>
        <v>-226.13124999999613</v>
      </c>
      <c r="K15" s="944"/>
      <c r="L15" s="903"/>
      <c r="O15" s="930"/>
    </row>
    <row r="16" spans="1:15">
      <c r="A16" s="955"/>
      <c r="B16" s="956"/>
      <c r="C16" s="956"/>
      <c r="D16" s="957"/>
      <c r="E16" s="958"/>
      <c r="F16" s="958"/>
      <c r="G16" s="925"/>
      <c r="H16" s="959"/>
      <c r="I16" s="960">
        <f>I15-J15</f>
        <v>1026.131249999996</v>
      </c>
      <c r="J16" s="961"/>
      <c r="K16" s="944"/>
      <c r="L16" s="903"/>
      <c r="N16" s="1094"/>
      <c r="O16" s="930"/>
    </row>
    <row r="17" spans="1:15">
      <c r="A17" s="1557" t="s">
        <v>153</v>
      </c>
      <c r="B17" s="1558"/>
      <c r="C17" s="1559"/>
      <c r="D17" s="918"/>
      <c r="E17" s="918"/>
      <c r="F17" s="918"/>
      <c r="G17" s="962"/>
      <c r="H17" s="918">
        <f>G17+'22'!H17</f>
        <v>0</v>
      </c>
      <c r="I17" s="918"/>
      <c r="J17" s="919"/>
      <c r="K17" s="944"/>
      <c r="L17" s="903"/>
      <c r="O17" s="930"/>
    </row>
    <row r="18" spans="1:15">
      <c r="A18" s="1522" t="s">
        <v>154</v>
      </c>
      <c r="B18" s="1523"/>
      <c r="C18" s="1524"/>
      <c r="D18" s="923" t="s">
        <v>155</v>
      </c>
      <c r="E18" s="924">
        <f>'23'!F18</f>
        <v>16</v>
      </c>
      <c r="F18" s="954">
        <v>14</v>
      </c>
      <c r="G18" s="948">
        <f>F18*10</f>
        <v>140</v>
      </c>
      <c r="H18" s="926">
        <f>G18+'23'!H18</f>
        <v>3810</v>
      </c>
      <c r="I18" s="927">
        <f>'1'!I18</f>
        <v>65</v>
      </c>
      <c r="J18" s="928">
        <f>H18/DAY(B2)</f>
        <v>158.75</v>
      </c>
      <c r="K18" s="944"/>
      <c r="L18" s="903"/>
      <c r="O18" s="930"/>
    </row>
    <row r="19" spans="1:15">
      <c r="A19" s="1522" t="s">
        <v>71</v>
      </c>
      <c r="B19" s="1523"/>
      <c r="C19" s="1524"/>
      <c r="D19" s="923" t="s">
        <v>155</v>
      </c>
      <c r="E19" s="924">
        <f>'23'!F19</f>
        <v>132633</v>
      </c>
      <c r="F19" s="954">
        <v>132683</v>
      </c>
      <c r="G19" s="925">
        <f t="shared" ref="G19" si="1">F19-E19</f>
        <v>50</v>
      </c>
      <c r="H19" s="926">
        <f>G19+'23'!H19</f>
        <v>-365</v>
      </c>
      <c r="I19" s="963"/>
      <c r="J19" s="928">
        <f>H19/DAY(B2)</f>
        <v>-15.208333333333334</v>
      </c>
      <c r="K19" s="944"/>
      <c r="L19" s="903"/>
      <c r="O19" s="930"/>
    </row>
    <row r="20" spans="1:15">
      <c r="A20" s="946" t="s">
        <v>156</v>
      </c>
      <c r="B20" s="947"/>
      <c r="C20" s="947"/>
      <c r="D20" s="964"/>
      <c r="E20" s="964"/>
      <c r="F20" s="964"/>
      <c r="G20" s="965">
        <f>G18+G19</f>
        <v>190</v>
      </c>
      <c r="H20" s="926">
        <f>G20+'23'!H20</f>
        <v>3445</v>
      </c>
      <c r="I20" s="966">
        <f>I18-J20</f>
        <v>-78.541666666666657</v>
      </c>
      <c r="J20" s="928">
        <f>H20/DAY(B2)</f>
        <v>143.54166666666666</v>
      </c>
      <c r="K20" s="944"/>
      <c r="L20" s="903"/>
      <c r="O20" s="930"/>
    </row>
    <row r="21" spans="1:15">
      <c r="A21" s="1557" t="s">
        <v>157</v>
      </c>
      <c r="B21" s="1558"/>
      <c r="C21" s="1559"/>
      <c r="D21" s="918"/>
      <c r="E21" s="918"/>
      <c r="F21" s="918"/>
      <c r="G21" s="950"/>
      <c r="H21" s="918"/>
      <c r="I21" s="918"/>
      <c r="J21" s="919"/>
      <c r="K21" s="944"/>
      <c r="L21" s="903"/>
      <c r="O21" s="930"/>
    </row>
    <row r="22" spans="1:15">
      <c r="A22" s="952" t="s">
        <v>158</v>
      </c>
      <c r="B22" s="953"/>
      <c r="C22" s="953"/>
      <c r="D22" s="923" t="s">
        <v>159</v>
      </c>
      <c r="E22" s="954">
        <f>'23'!F22</f>
        <v>2970</v>
      </c>
      <c r="F22" s="954">
        <v>2970</v>
      </c>
      <c r="G22" s="948">
        <f t="shared" ref="G22" si="2">(F22-E22)</f>
        <v>0</v>
      </c>
      <c r="H22" s="926">
        <f>G22+'23'!H22</f>
        <v>0</v>
      </c>
      <c r="I22" s="945"/>
      <c r="J22" s="928">
        <f>H22/DAY(B2)</f>
        <v>0</v>
      </c>
      <c r="K22" s="944"/>
      <c r="L22" s="903"/>
      <c r="O22" s="930"/>
    </row>
    <row r="23" spans="1:15">
      <c r="A23" s="952" t="s">
        <v>160</v>
      </c>
      <c r="B23" s="953"/>
      <c r="C23" s="953"/>
      <c r="D23" s="923" t="s">
        <v>159</v>
      </c>
      <c r="E23" s="954">
        <f>'23'!F23</f>
        <v>2000</v>
      </c>
      <c r="F23" s="954">
        <v>2000</v>
      </c>
      <c r="G23" s="948">
        <v>0</v>
      </c>
      <c r="H23" s="926">
        <f>G23+'23'!H23</f>
        <v>0</v>
      </c>
      <c r="I23" s="945"/>
      <c r="J23" s="928">
        <f>H23/DAY(B2)</f>
        <v>0</v>
      </c>
      <c r="K23" s="944"/>
      <c r="L23" s="903"/>
      <c r="O23" s="930"/>
    </row>
    <row r="24" spans="1:15">
      <c r="A24" s="967" t="s">
        <v>161</v>
      </c>
      <c r="B24" s="968"/>
      <c r="C24" s="968"/>
      <c r="D24" s="910" t="s">
        <v>159</v>
      </c>
      <c r="E24" s="954">
        <f>'23'!F24</f>
        <v>4970</v>
      </c>
      <c r="F24" s="969">
        <v>4970</v>
      </c>
      <c r="G24" s="948">
        <v>0</v>
      </c>
      <c r="H24" s="926">
        <f>G24+'23'!H24</f>
        <v>0</v>
      </c>
      <c r="I24" s="945"/>
      <c r="J24" s="928">
        <f>H24/DAY(B2)</f>
        <v>0</v>
      </c>
      <c r="K24" s="944"/>
      <c r="L24" s="903"/>
      <c r="O24" s="930"/>
    </row>
    <row r="25" spans="1:15" s="975" customFormat="1">
      <c r="A25" s="1554" t="s">
        <v>162</v>
      </c>
      <c r="B25" s="1555"/>
      <c r="C25" s="1556"/>
      <c r="D25" s="917"/>
      <c r="E25" s="917"/>
      <c r="F25" s="917"/>
      <c r="G25" s="970"/>
      <c r="H25" s="971"/>
      <c r="I25" s="972"/>
      <c r="J25" s="973"/>
      <c r="K25" s="944"/>
      <c r="L25" s="974"/>
      <c r="N25" s="1093"/>
      <c r="O25" s="930"/>
    </row>
    <row r="26" spans="1:15" s="975" customFormat="1">
      <c r="A26" s="976" t="s">
        <v>163</v>
      </c>
      <c r="B26" s="977"/>
      <c r="C26" s="978"/>
      <c r="D26" s="979" t="s">
        <v>164</v>
      </c>
      <c r="E26" s="980"/>
      <c r="F26" s="980"/>
      <c r="G26" s="981"/>
      <c r="H26" s="926"/>
      <c r="I26" s="982"/>
      <c r="J26" s="928"/>
      <c r="K26" s="951"/>
      <c r="L26" s="974"/>
      <c r="N26" s="1093"/>
      <c r="O26" s="930"/>
    </row>
    <row r="27" spans="1:15" s="975" customFormat="1" ht="22.5">
      <c r="A27" s="976" t="s">
        <v>6</v>
      </c>
      <c r="B27" s="977"/>
      <c r="C27" s="978"/>
      <c r="D27" s="983" t="s">
        <v>25</v>
      </c>
      <c r="E27" s="984">
        <f>G8</f>
        <v>19558</v>
      </c>
      <c r="F27" s="577">
        <v>9</v>
      </c>
      <c r="G27" s="986">
        <f>E27*F27</f>
        <v>176022</v>
      </c>
      <c r="H27" s="926">
        <f>G27+'23'!H27</f>
        <v>-1202733</v>
      </c>
      <c r="I27" s="987"/>
      <c r="J27" s="928">
        <f>H27/DAY(B2)</f>
        <v>-50113.875</v>
      </c>
      <c r="K27" s="944"/>
      <c r="L27" s="974"/>
      <c r="N27" s="1093"/>
      <c r="O27" s="930"/>
    </row>
    <row r="28" spans="1:15" s="975" customFormat="1" ht="22.5">
      <c r="A28" s="976" t="s">
        <v>165</v>
      </c>
      <c r="B28" s="977"/>
      <c r="C28" s="978"/>
      <c r="D28" s="983" t="s">
        <v>166</v>
      </c>
      <c r="E28" s="984">
        <f>G15</f>
        <v>748.12000000011176</v>
      </c>
      <c r="F28" s="577">
        <v>43.5</v>
      </c>
      <c r="G28" s="986">
        <f>E28*F28</f>
        <v>32543.220000004862</v>
      </c>
      <c r="H28" s="926">
        <f>G28+'23'!H28</f>
        <v>-236081.02499999595</v>
      </c>
      <c r="I28" s="988"/>
      <c r="J28" s="928">
        <f>H28/DAY(B2)</f>
        <v>-9836.7093749998312</v>
      </c>
      <c r="K28" s="944"/>
      <c r="L28" s="974"/>
      <c r="N28" s="1093"/>
      <c r="O28" s="930"/>
    </row>
    <row r="29" spans="1:15" s="975" customFormat="1">
      <c r="A29" s="976" t="s">
        <v>167</v>
      </c>
      <c r="B29" s="977"/>
      <c r="C29" s="978"/>
      <c r="D29" s="983" t="s">
        <v>168</v>
      </c>
      <c r="E29" s="984">
        <f>G24</f>
        <v>0</v>
      </c>
      <c r="F29" s="985">
        <v>69</v>
      </c>
      <c r="G29" s="986">
        <f>E29*F29</f>
        <v>0</v>
      </c>
      <c r="H29" s="926">
        <f>G29+'23'!H29</f>
        <v>162150</v>
      </c>
      <c r="I29" s="988"/>
      <c r="J29" s="928">
        <f>H29/DAY(B2)</f>
        <v>6756.25</v>
      </c>
      <c r="K29" s="944"/>
      <c r="L29" s="974"/>
      <c r="N29" s="1093"/>
      <c r="O29" s="930"/>
    </row>
    <row r="30" spans="1:15" s="975" customFormat="1">
      <c r="A30" s="976" t="s">
        <v>169</v>
      </c>
      <c r="B30" s="977"/>
      <c r="C30" s="978"/>
      <c r="D30" s="983" t="s">
        <v>170</v>
      </c>
      <c r="E30" s="984">
        <f>G19</f>
        <v>50</v>
      </c>
      <c r="F30" s="985">
        <v>134</v>
      </c>
      <c r="G30" s="986">
        <f>E30*F30</f>
        <v>6700</v>
      </c>
      <c r="H30" s="926">
        <f>G30+'23'!H30</f>
        <v>-48910</v>
      </c>
      <c r="I30" s="988"/>
      <c r="J30" s="928">
        <f>H30/DAY(B2)</f>
        <v>-2037.9166666666667</v>
      </c>
      <c r="K30" s="944"/>
      <c r="L30" s="974"/>
      <c r="N30" s="1093"/>
      <c r="O30" s="930"/>
    </row>
    <row r="31" spans="1:15" s="975" customFormat="1">
      <c r="A31" s="976" t="s">
        <v>171</v>
      </c>
      <c r="B31" s="977"/>
      <c r="C31" s="978"/>
      <c r="D31" s="983" t="s">
        <v>155</v>
      </c>
      <c r="E31" s="984">
        <f>G18</f>
        <v>140</v>
      </c>
      <c r="F31" s="985">
        <v>80</v>
      </c>
      <c r="G31" s="986">
        <f>E31*F31</f>
        <v>11200</v>
      </c>
      <c r="H31" s="926">
        <f>G31+'23'!H31</f>
        <v>304800</v>
      </c>
      <c r="I31" s="988"/>
      <c r="J31" s="928"/>
      <c r="K31" s="944"/>
      <c r="L31" s="974"/>
      <c r="N31" s="1093"/>
      <c r="O31" s="930"/>
    </row>
    <row r="32" spans="1:15" s="975" customFormat="1">
      <c r="A32" s="989" t="s">
        <v>172</v>
      </c>
      <c r="B32" s="990"/>
      <c r="C32" s="991"/>
      <c r="D32" s="992"/>
      <c r="E32" s="992"/>
      <c r="F32" s="992"/>
      <c r="G32" s="993">
        <f>G27+G28+G29+G30+G31</f>
        <v>226465.22000000486</v>
      </c>
      <c r="H32" s="926">
        <f>G32+'23'!H32</f>
        <v>-1020774.0249999957</v>
      </c>
      <c r="I32" s="994"/>
      <c r="J32" s="928">
        <f>H32/DAY(B2)</f>
        <v>-42532.251041666488</v>
      </c>
      <c r="K32" s="944"/>
      <c r="L32" s="974"/>
      <c r="N32" s="1093"/>
      <c r="O32" s="930"/>
    </row>
    <row r="33" spans="1:15" ht="18.75">
      <c r="A33" s="1562" t="s">
        <v>173</v>
      </c>
      <c r="B33" s="1563"/>
      <c r="C33" s="1563"/>
      <c r="D33" s="1563"/>
      <c r="E33" s="1563"/>
      <c r="F33" s="1563"/>
      <c r="G33" s="1563"/>
      <c r="H33" s="1563"/>
      <c r="I33" s="1563"/>
      <c r="J33" s="1564"/>
      <c r="K33" s="944"/>
      <c r="L33" s="903"/>
      <c r="O33" s="930"/>
    </row>
    <row r="34" spans="1:15">
      <c r="A34" s="995" t="s">
        <v>174</v>
      </c>
      <c r="B34" s="996"/>
      <c r="C34" s="996"/>
      <c r="D34" s="918"/>
      <c r="E34" s="917"/>
      <c r="F34" s="917"/>
      <c r="G34" s="918"/>
      <c r="H34" s="918"/>
      <c r="I34" s="918"/>
      <c r="J34" s="919"/>
      <c r="K34" s="944"/>
      <c r="L34" s="903"/>
      <c r="O34" s="930"/>
    </row>
    <row r="35" spans="1:15">
      <c r="A35" s="921" t="s">
        <v>175</v>
      </c>
      <c r="B35" s="922"/>
      <c r="C35" s="922"/>
      <c r="D35" s="923" t="s">
        <v>143</v>
      </c>
      <c r="E35" s="924">
        <f>'23'!F35</f>
        <v>629027.67000000004</v>
      </c>
      <c r="F35" s="997">
        <v>629027.67000000004</v>
      </c>
      <c r="G35" s="925">
        <f t="shared" ref="G35:G46" si="3">F35-E35</f>
        <v>0</v>
      </c>
      <c r="H35" s="926">
        <f>G35+'23'!H35</f>
        <v>0</v>
      </c>
      <c r="I35" s="924"/>
      <c r="J35" s="928">
        <f>H35/DAY(B2)</f>
        <v>0</v>
      </c>
      <c r="K35" s="944"/>
      <c r="L35" s="903"/>
      <c r="O35" s="930"/>
    </row>
    <row r="36" spans="1:15">
      <c r="A36" s="921" t="s">
        <v>176</v>
      </c>
      <c r="B36" s="922"/>
      <c r="C36" s="922"/>
      <c r="D36" s="923" t="s">
        <v>143</v>
      </c>
      <c r="E36" s="924">
        <f>'23'!F36</f>
        <v>270994.01</v>
      </c>
      <c r="F36" s="997">
        <v>271719.90999999997</v>
      </c>
      <c r="G36" s="925">
        <f t="shared" si="3"/>
        <v>725.89999999996508</v>
      </c>
      <c r="H36" s="926">
        <f>G36+'23'!H36</f>
        <v>-4771.5400000000373</v>
      </c>
      <c r="I36" s="924"/>
      <c r="J36" s="928">
        <f>H36/DAY(B2)</f>
        <v>-198.81416666666823</v>
      </c>
      <c r="K36" s="944"/>
      <c r="L36" s="903"/>
      <c r="O36" s="930"/>
    </row>
    <row r="37" spans="1:15">
      <c r="A37" s="921" t="s">
        <v>177</v>
      </c>
      <c r="B37" s="922"/>
      <c r="C37" s="922"/>
      <c r="D37" s="923" t="s">
        <v>143</v>
      </c>
      <c r="E37" s="924">
        <f>'23'!F37</f>
        <v>415066</v>
      </c>
      <c r="F37" s="997">
        <v>415066</v>
      </c>
      <c r="G37" s="925">
        <f t="shared" si="3"/>
        <v>0</v>
      </c>
      <c r="H37" s="926">
        <f>G37+'23'!H37</f>
        <v>415066</v>
      </c>
      <c r="I37" s="924"/>
      <c r="J37" s="928">
        <f>H37/DAY(B2)</f>
        <v>17294.416666666668</v>
      </c>
      <c r="K37" s="944"/>
      <c r="L37" s="903"/>
      <c r="O37" s="930"/>
    </row>
    <row r="38" spans="1:15">
      <c r="A38" s="921" t="s">
        <v>178</v>
      </c>
      <c r="B38" s="922"/>
      <c r="C38" s="922"/>
      <c r="D38" s="923" t="s">
        <v>143</v>
      </c>
      <c r="E38" s="924">
        <f>'23'!F38</f>
        <v>150714.38</v>
      </c>
      <c r="F38" s="913">
        <v>150714.38</v>
      </c>
      <c r="G38" s="925">
        <f t="shared" si="3"/>
        <v>0</v>
      </c>
      <c r="H38" s="926">
        <f>G38+'23'!H38</f>
        <v>150616.5</v>
      </c>
      <c r="I38" s="924"/>
      <c r="J38" s="928">
        <f>H38/DAY(B2)</f>
        <v>6275.6875</v>
      </c>
      <c r="K38" s="944"/>
      <c r="L38" s="903"/>
      <c r="O38" s="930"/>
    </row>
    <row r="39" spans="1:15">
      <c r="A39" s="921" t="s">
        <v>179</v>
      </c>
      <c r="B39" s="922"/>
      <c r="C39" s="922"/>
      <c r="D39" s="923" t="s">
        <v>143</v>
      </c>
      <c r="E39" s="924">
        <f>'23'!F39</f>
        <v>912480</v>
      </c>
      <c r="F39" s="997">
        <v>912480</v>
      </c>
      <c r="G39" s="925">
        <f t="shared" si="3"/>
        <v>0</v>
      </c>
      <c r="H39" s="926">
        <f>G39+'23'!H39</f>
        <v>912480</v>
      </c>
      <c r="I39" s="924"/>
      <c r="J39" s="928">
        <f>H39/DAY(B2)</f>
        <v>38020</v>
      </c>
      <c r="K39" s="944"/>
      <c r="L39" s="903"/>
      <c r="N39" s="1092">
        <f>20*38.64</f>
        <v>772.8</v>
      </c>
      <c r="O39" s="930"/>
    </row>
    <row r="40" spans="1:15">
      <c r="A40" s="998" t="s">
        <v>180</v>
      </c>
      <c r="B40" s="999"/>
      <c r="C40" s="999"/>
      <c r="D40" s="923" t="s">
        <v>143</v>
      </c>
      <c r="E40" s="924">
        <f>'23'!F40</f>
        <v>0</v>
      </c>
      <c r="F40" s="997">
        <v>0</v>
      </c>
      <c r="G40" s="925">
        <f t="shared" si="3"/>
        <v>0</v>
      </c>
      <c r="H40" s="926">
        <f>G40+'23'!H40</f>
        <v>-0.06</v>
      </c>
      <c r="I40" s="924"/>
      <c r="J40" s="928">
        <f>H40/DAY(B2)</f>
        <v>-2.5000000000000001E-3</v>
      </c>
      <c r="K40" s="951"/>
      <c r="L40" s="903"/>
      <c r="O40" s="930"/>
    </row>
    <row r="41" spans="1:15">
      <c r="A41" s="921" t="s">
        <v>181</v>
      </c>
      <c r="B41" s="922"/>
      <c r="C41" s="922"/>
      <c r="D41" s="923" t="s">
        <v>143</v>
      </c>
      <c r="E41" s="924">
        <f>'23'!F41</f>
        <v>14802.68</v>
      </c>
      <c r="F41" s="997">
        <v>19024</v>
      </c>
      <c r="G41" s="925">
        <f t="shared" si="3"/>
        <v>4221.32</v>
      </c>
      <c r="H41" s="926">
        <f>G41+'23'!H41</f>
        <v>38283.480000000003</v>
      </c>
      <c r="I41" s="924"/>
      <c r="J41" s="928">
        <f>H41/DAY(B2)</f>
        <v>1595.1450000000002</v>
      </c>
      <c r="K41" s="944"/>
      <c r="L41" s="903"/>
      <c r="O41" s="930"/>
    </row>
    <row r="42" spans="1:15">
      <c r="A42" s="921" t="s">
        <v>182</v>
      </c>
      <c r="B42" s="922"/>
      <c r="C42" s="922"/>
      <c r="D42" s="923" t="s">
        <v>143</v>
      </c>
      <c r="E42" s="924">
        <f>'23'!F42</f>
        <v>58926.09</v>
      </c>
      <c r="F42" s="997">
        <v>58926</v>
      </c>
      <c r="G42" s="925">
        <f t="shared" si="3"/>
        <v>-8.999999999650754E-2</v>
      </c>
      <c r="H42" s="926">
        <f>G42+'23'!H42</f>
        <v>0</v>
      </c>
      <c r="I42" s="924"/>
      <c r="J42" s="928">
        <f>H42/DAY(B2)</f>
        <v>0</v>
      </c>
      <c r="K42" s="944"/>
      <c r="L42" s="903"/>
      <c r="O42" s="930"/>
    </row>
    <row r="43" spans="1:15">
      <c r="A43" s="921" t="s">
        <v>183</v>
      </c>
      <c r="B43" s="922"/>
      <c r="C43" s="922"/>
      <c r="D43" s="923" t="s">
        <v>143</v>
      </c>
      <c r="E43" s="924">
        <f>'23'!F43</f>
        <v>749232.63</v>
      </c>
      <c r="F43" s="997">
        <v>751611</v>
      </c>
      <c r="G43" s="925">
        <f t="shared" si="3"/>
        <v>2378.3699999999953</v>
      </c>
      <c r="H43" s="926">
        <f>G43+'23'!H43</f>
        <v>-16200.910000000033</v>
      </c>
      <c r="I43" s="924"/>
      <c r="J43" s="928">
        <f>H43/DAY(B2)</f>
        <v>-675.03791666666802</v>
      </c>
      <c r="K43" s="944"/>
      <c r="L43" s="903"/>
      <c r="O43" s="930"/>
    </row>
    <row r="44" spans="1:15">
      <c r="A44" s="921" t="s">
        <v>184</v>
      </c>
      <c r="B44" s="922"/>
      <c r="C44" s="922"/>
      <c r="D44" s="923" t="s">
        <v>143</v>
      </c>
      <c r="E44" s="924">
        <f>'23'!F44</f>
        <v>0</v>
      </c>
      <c r="F44" s="997">
        <v>0</v>
      </c>
      <c r="G44" s="925">
        <f t="shared" si="3"/>
        <v>0</v>
      </c>
      <c r="H44" s="926">
        <f>G44+'23'!H44</f>
        <v>0</v>
      </c>
      <c r="I44" s="924"/>
      <c r="J44" s="928">
        <f>H44/DAY(B2)</f>
        <v>0</v>
      </c>
      <c r="K44" s="944"/>
      <c r="L44" s="903"/>
      <c r="O44" s="930"/>
    </row>
    <row r="45" spans="1:15">
      <c r="A45" s="921" t="s">
        <v>185</v>
      </c>
      <c r="B45" s="922"/>
      <c r="C45" s="922"/>
      <c r="D45" s="923" t="s">
        <v>143</v>
      </c>
      <c r="E45" s="924">
        <f>'23'!F45</f>
        <v>614</v>
      </c>
      <c r="F45" s="997">
        <v>614</v>
      </c>
      <c r="G45" s="925">
        <f t="shared" si="3"/>
        <v>0</v>
      </c>
      <c r="H45" s="926">
        <f>G45+'23'!H45</f>
        <v>-0.48000000000001819</v>
      </c>
      <c r="I45" s="924"/>
      <c r="J45" s="928">
        <f>H45/DAY(B2)</f>
        <v>-2.0000000000000757E-2</v>
      </c>
      <c r="K45" s="944"/>
      <c r="L45" s="903"/>
      <c r="O45" s="930"/>
    </row>
    <row r="46" spans="1:15">
      <c r="A46" s="921" t="s">
        <v>186</v>
      </c>
      <c r="B46" s="922"/>
      <c r="C46" s="922"/>
      <c r="D46" s="923" t="s">
        <v>143</v>
      </c>
      <c r="E46" s="924">
        <f>'23'!F46</f>
        <v>187</v>
      </c>
      <c r="F46" s="997">
        <v>187</v>
      </c>
      <c r="G46" s="925">
        <f t="shared" si="3"/>
        <v>0</v>
      </c>
      <c r="H46" s="926">
        <f>G46+'23'!H46</f>
        <v>-0.49000000000000909</v>
      </c>
      <c r="I46" s="924"/>
      <c r="J46" s="928">
        <f>H46/DAY(B2)</f>
        <v>-2.0416666666667044E-2</v>
      </c>
      <c r="K46" s="944"/>
      <c r="L46" s="903"/>
      <c r="O46" s="930"/>
    </row>
    <row r="47" spans="1:15">
      <c r="A47" s="946" t="s">
        <v>187</v>
      </c>
      <c r="B47" s="947"/>
      <c r="C47" s="947"/>
      <c r="D47" s="914"/>
      <c r="E47" s="910"/>
      <c r="F47" s="910"/>
      <c r="G47" s="948">
        <f>G35+G36+G37+G38+G39+G40+G41+G42+G43+G44+G45+G46</f>
        <v>7325.4999999999636</v>
      </c>
      <c r="H47" s="926">
        <f>G47+'23'!H47</f>
        <v>1495472.5000000002</v>
      </c>
      <c r="I47" s="924"/>
      <c r="J47" s="928">
        <f>H47/DAY(B2)</f>
        <v>62311.354166666679</v>
      </c>
      <c r="K47" s="944"/>
      <c r="L47" s="903"/>
      <c r="N47" s="1094"/>
      <c r="O47" s="930"/>
    </row>
    <row r="48" spans="1:15">
      <c r="A48" s="995" t="s">
        <v>188</v>
      </c>
      <c r="B48" s="996"/>
      <c r="C48" s="996"/>
      <c r="D48" s="918"/>
      <c r="E48" s="917"/>
      <c r="F48" s="917"/>
      <c r="G48" s="918"/>
      <c r="H48" s="918"/>
      <c r="I48" s="918"/>
      <c r="J48" s="919"/>
      <c r="K48" s="944"/>
      <c r="L48" s="903"/>
      <c r="O48" s="930"/>
    </row>
    <row r="49" spans="1:15">
      <c r="A49" s="921" t="s">
        <v>175</v>
      </c>
      <c r="B49" s="1000"/>
      <c r="C49" s="1000"/>
      <c r="D49" s="923" t="s">
        <v>143</v>
      </c>
      <c r="E49" s="924">
        <f>'23'!F49</f>
        <v>221005.57</v>
      </c>
      <c r="F49" s="997">
        <v>224081</v>
      </c>
      <c r="G49" s="925">
        <f t="shared" ref="G49:G58" si="4">F49-E49</f>
        <v>3075.429999999993</v>
      </c>
      <c r="H49" s="926">
        <f>G49+'23'!H49</f>
        <v>-21818.049999999988</v>
      </c>
      <c r="I49" s="924"/>
      <c r="J49" s="928">
        <f>H49/DAY(B2)</f>
        <v>-909.08541666666622</v>
      </c>
      <c r="K49" s="944"/>
      <c r="L49" s="903"/>
      <c r="O49" s="930"/>
    </row>
    <row r="50" spans="1:15">
      <c r="A50" s="921" t="s">
        <v>189</v>
      </c>
      <c r="B50" s="1000"/>
      <c r="C50" s="1000"/>
      <c r="D50" s="923" t="s">
        <v>143</v>
      </c>
      <c r="E50" s="924">
        <f>'23'!F50</f>
        <v>359903.71</v>
      </c>
      <c r="F50" s="997">
        <v>360902.71</v>
      </c>
      <c r="G50" s="925">
        <f t="shared" si="4"/>
        <v>999</v>
      </c>
      <c r="H50" s="926">
        <f>G50+'23'!H50</f>
        <v>-8757.5999999999767</v>
      </c>
      <c r="I50" s="924"/>
      <c r="J50" s="928">
        <f>H50/DAY(B2)</f>
        <v>-364.89999999999901</v>
      </c>
      <c r="K50" s="944"/>
      <c r="L50" s="903"/>
      <c r="O50" s="930"/>
    </row>
    <row r="51" spans="1:15">
      <c r="A51" s="921" t="s">
        <v>177</v>
      </c>
      <c r="B51" s="1000"/>
      <c r="C51" s="1000"/>
      <c r="D51" s="923" t="s">
        <v>143</v>
      </c>
      <c r="E51" s="924">
        <f>'23'!F51</f>
        <v>98185.64</v>
      </c>
      <c r="F51" s="997">
        <v>99664</v>
      </c>
      <c r="G51" s="925">
        <f t="shared" si="4"/>
        <v>1478.3600000000006</v>
      </c>
      <c r="H51" s="926">
        <f>G51+'23'!H51</f>
        <v>-10435.740000000005</v>
      </c>
      <c r="I51" s="924"/>
      <c r="J51" s="928">
        <f>H51/DAY(B2)</f>
        <v>-434.82250000000022</v>
      </c>
      <c r="K51" s="944"/>
      <c r="L51" s="903"/>
      <c r="O51" s="930"/>
    </row>
    <row r="52" spans="1:15">
      <c r="A52" s="921" t="s">
        <v>190</v>
      </c>
      <c r="B52" s="1000"/>
      <c r="C52" s="1000"/>
      <c r="D52" s="923" t="s">
        <v>143</v>
      </c>
      <c r="E52" s="924">
        <f>'23'!F52</f>
        <v>478782.59</v>
      </c>
      <c r="F52" s="997">
        <v>480616.51</v>
      </c>
      <c r="G52" s="925">
        <f t="shared" si="4"/>
        <v>1833.9199999999837</v>
      </c>
      <c r="H52" s="926">
        <f>G52+'23'!H52</f>
        <v>-13192.159999999974</v>
      </c>
      <c r="I52" s="924"/>
      <c r="J52" s="928">
        <f>H52/DAY(B2)</f>
        <v>-549.67333333333227</v>
      </c>
      <c r="K52" s="944"/>
      <c r="L52" s="903"/>
      <c r="O52" s="930"/>
    </row>
    <row r="53" spans="1:15">
      <c r="A53" s="921" t="s">
        <v>179</v>
      </c>
      <c r="B53" s="1000"/>
      <c r="C53" s="1000"/>
      <c r="D53" s="923" t="s">
        <v>143</v>
      </c>
      <c r="E53" s="924">
        <f>'23'!F53</f>
        <v>270812.05</v>
      </c>
      <c r="F53" s="997">
        <v>275016</v>
      </c>
      <c r="G53" s="925">
        <f t="shared" si="4"/>
        <v>4203.9500000000116</v>
      </c>
      <c r="H53" s="926">
        <f>G53+'23'!H53</f>
        <v>-29282.270000000019</v>
      </c>
      <c r="I53" s="924"/>
      <c r="J53" s="928">
        <f>H53/DAY(B2)</f>
        <v>-1220.0945833333342</v>
      </c>
      <c r="K53" s="944"/>
      <c r="L53" s="903"/>
      <c r="O53" s="930"/>
    </row>
    <row r="54" spans="1:15">
      <c r="A54" s="921" t="s">
        <v>191</v>
      </c>
      <c r="B54" s="1000"/>
      <c r="C54" s="1000"/>
      <c r="D54" s="923" t="s">
        <v>143</v>
      </c>
      <c r="E54" s="924">
        <f>'23'!F54</f>
        <v>5926.83</v>
      </c>
      <c r="F54" s="997">
        <v>5974</v>
      </c>
      <c r="G54" s="925">
        <f t="shared" si="4"/>
        <v>47.170000000000073</v>
      </c>
      <c r="H54" s="926">
        <f>G54+'23'!H54</f>
        <v>-414.80000000000018</v>
      </c>
      <c r="I54" s="924"/>
      <c r="J54" s="928">
        <f>H54/DAY(B2)</f>
        <v>-17.283333333333342</v>
      </c>
      <c r="K54" s="944"/>
      <c r="L54" s="903"/>
      <c r="O54" s="930"/>
    </row>
    <row r="55" spans="1:15">
      <c r="A55" s="921" t="s">
        <v>192</v>
      </c>
      <c r="B55" s="1000"/>
      <c r="C55" s="1000"/>
      <c r="D55" s="923" t="s">
        <v>143</v>
      </c>
      <c r="E55" s="924">
        <f>'23'!F55</f>
        <v>39120.58</v>
      </c>
      <c r="F55" s="997">
        <v>39120.58</v>
      </c>
      <c r="G55" s="925">
        <f t="shared" si="4"/>
        <v>0</v>
      </c>
      <c r="H55" s="926">
        <f>G55+'23'!H55</f>
        <v>-3867.4000000000015</v>
      </c>
      <c r="I55" s="924"/>
      <c r="J55" s="928">
        <f>H55/DAY(B2)</f>
        <v>-161.14166666666674</v>
      </c>
      <c r="K55" s="944"/>
      <c r="L55" s="903"/>
      <c r="O55" s="930"/>
    </row>
    <row r="56" spans="1:15">
      <c r="A56" s="921" t="s">
        <v>193</v>
      </c>
      <c r="B56" s="1000"/>
      <c r="C56" s="1000"/>
      <c r="D56" s="923" t="s">
        <v>194</v>
      </c>
      <c r="E56" s="924">
        <f>'23'!F56</f>
        <v>557730.15</v>
      </c>
      <c r="F56" s="997">
        <v>557730.15</v>
      </c>
      <c r="G56" s="925">
        <f t="shared" si="4"/>
        <v>0</v>
      </c>
      <c r="H56" s="926">
        <f>G56+'23'!H56</f>
        <v>-1.7600000000093132</v>
      </c>
      <c r="I56" s="924"/>
      <c r="J56" s="928">
        <f>H56/DAY(B2)</f>
        <v>-7.3333333333721384E-2</v>
      </c>
      <c r="K56" s="920"/>
      <c r="L56" s="903"/>
      <c r="O56" s="930"/>
    </row>
    <row r="57" spans="1:15">
      <c r="A57" s="921" t="s">
        <v>183</v>
      </c>
      <c r="B57" s="1000"/>
      <c r="C57" s="1000"/>
      <c r="D57" s="923" t="s">
        <v>143</v>
      </c>
      <c r="E57" s="924">
        <f>'23'!F57</f>
        <v>0</v>
      </c>
      <c r="F57" s="997">
        <v>0</v>
      </c>
      <c r="G57" s="925">
        <f t="shared" si="4"/>
        <v>0</v>
      </c>
      <c r="H57" s="926">
        <f>G57+'23'!H57</f>
        <v>0</v>
      </c>
      <c r="I57" s="924"/>
      <c r="J57" s="928">
        <f>H57/DAY(B2)</f>
        <v>0</v>
      </c>
      <c r="K57" s="944"/>
      <c r="L57" s="903"/>
      <c r="O57" s="930"/>
    </row>
    <row r="58" spans="1:15">
      <c r="A58" s="921" t="s">
        <v>195</v>
      </c>
      <c r="B58" s="1000"/>
      <c r="C58" s="1000"/>
      <c r="D58" s="923" t="s">
        <v>143</v>
      </c>
      <c r="E58" s="924">
        <f>'23'!F58</f>
        <v>29277.06</v>
      </c>
      <c r="F58" s="997">
        <v>29400</v>
      </c>
      <c r="G58" s="925">
        <f t="shared" si="4"/>
        <v>122.93999999999869</v>
      </c>
      <c r="H58" s="926">
        <f>G58+'23'!H58</f>
        <v>-1329.5399999999972</v>
      </c>
      <c r="I58" s="924"/>
      <c r="J58" s="928">
        <f>H58/DAY(B2)</f>
        <v>-55.397499999999887</v>
      </c>
      <c r="K58" s="944"/>
      <c r="L58" s="903"/>
      <c r="O58" s="930"/>
    </row>
    <row r="59" spans="1:15">
      <c r="A59" s="946" t="s">
        <v>187</v>
      </c>
      <c r="B59" s="947"/>
      <c r="C59" s="947"/>
      <c r="D59" s="910"/>
      <c r="E59" s="910"/>
      <c r="F59" s="910"/>
      <c r="G59" s="948">
        <f>G49+G50+G51+G52+G53+G54+G55+G56+G57+G58</f>
        <v>11760.769999999988</v>
      </c>
      <c r="H59" s="926">
        <f>G59+'23'!H59</f>
        <v>-89099.31999999992</v>
      </c>
      <c r="I59" s="924">
        <f>G7-G60</f>
        <v>304.73000000004686</v>
      </c>
      <c r="J59" s="928">
        <f>H59/DAY(B2)</f>
        <v>-3712.4716666666632</v>
      </c>
      <c r="K59" s="944"/>
      <c r="L59" s="903"/>
      <c r="O59" s="930"/>
    </row>
    <row r="60" spans="1:15">
      <c r="A60" s="921"/>
      <c r="B60" s="922"/>
      <c r="C60" s="922"/>
      <c r="D60" s="910" t="s">
        <v>196</v>
      </c>
      <c r="E60" s="910"/>
      <c r="F60" s="910"/>
      <c r="G60" s="948">
        <f>G47+G59</f>
        <v>19086.269999999953</v>
      </c>
      <c r="H60" s="926">
        <f>G60+'23'!H60</f>
        <v>1411553.37</v>
      </c>
      <c r="I60" s="924">
        <f>G13-G60</f>
        <v>-354.86999999981344</v>
      </c>
      <c r="J60" s="928">
        <f>H60/DAY(B2)</f>
        <v>58814.723750000005</v>
      </c>
      <c r="K60" s="944"/>
      <c r="L60" s="903"/>
      <c r="O60" s="930"/>
    </row>
    <row r="61" spans="1:15">
      <c r="A61" s="1001" t="s">
        <v>197</v>
      </c>
      <c r="B61" s="1002"/>
      <c r="C61" s="1002"/>
      <c r="D61" s="1002"/>
      <c r="E61" s="1003"/>
      <c r="F61" s="1003"/>
      <c r="G61" s="1002"/>
      <c r="H61" s="1002"/>
      <c r="I61" s="1002"/>
      <c r="J61" s="1004"/>
      <c r="K61" s="944"/>
      <c r="L61" s="903"/>
      <c r="O61" s="930"/>
    </row>
    <row r="62" spans="1:15">
      <c r="A62" s="1005" t="s">
        <v>106</v>
      </c>
      <c r="B62" s="1006"/>
      <c r="C62" s="1006"/>
      <c r="D62" s="910" t="s">
        <v>198</v>
      </c>
      <c r="E62" s="924">
        <f>'23'!F62</f>
        <v>20419</v>
      </c>
      <c r="F62" s="1007">
        <v>20419.18</v>
      </c>
      <c r="G62" s="925">
        <f t="shared" ref="G62:G69" si="5">F62-E62</f>
        <v>0.18000000000029104</v>
      </c>
      <c r="H62" s="926">
        <f>G62+'23'!H62</f>
        <v>-8.9999999981955625E-3</v>
      </c>
      <c r="I62" s="1008"/>
      <c r="J62" s="928">
        <f>H62/DAY(B2)</f>
        <v>-3.7499999992481509E-4</v>
      </c>
      <c r="K62" s="944"/>
      <c r="L62" s="903"/>
      <c r="O62" s="930"/>
    </row>
    <row r="63" spans="1:15">
      <c r="A63" s="1005" t="s">
        <v>199</v>
      </c>
      <c r="B63" s="1006"/>
      <c r="C63" s="1006"/>
      <c r="D63" s="910" t="s">
        <v>198</v>
      </c>
      <c r="E63" s="924">
        <f>'23'!F63</f>
        <v>1245.43</v>
      </c>
      <c r="F63" s="1007">
        <v>1254</v>
      </c>
      <c r="G63" s="925">
        <f t="shared" si="5"/>
        <v>8.5699999999999363</v>
      </c>
      <c r="H63" s="926">
        <f>G63+'23'!H63</f>
        <v>-78.529999999999973</v>
      </c>
      <c r="I63" s="1008"/>
      <c r="J63" s="928">
        <f>H63/DAY(B2)</f>
        <v>-3.2720833333333323</v>
      </c>
      <c r="K63" s="944"/>
      <c r="L63" s="903"/>
      <c r="O63" s="930"/>
    </row>
    <row r="64" spans="1:15">
      <c r="A64" s="1528" t="s">
        <v>107</v>
      </c>
      <c r="B64" s="1529"/>
      <c r="C64" s="1530"/>
      <c r="D64" s="923" t="s">
        <v>198</v>
      </c>
      <c r="E64" s="924">
        <f>'23'!F64</f>
        <v>107901.1</v>
      </c>
      <c r="F64" s="954">
        <v>108305</v>
      </c>
      <c r="G64" s="925">
        <f t="shared" si="5"/>
        <v>403.89999999999418</v>
      </c>
      <c r="H64" s="926">
        <f>G64+'23'!H64</f>
        <v>-2978.4600000000064</v>
      </c>
      <c r="I64" s="945"/>
      <c r="J64" s="928">
        <f>H64/DAY(B2)</f>
        <v>-124.10250000000026</v>
      </c>
      <c r="K64" s="944"/>
      <c r="L64" s="903"/>
      <c r="O64" s="930"/>
    </row>
    <row r="65" spans="1:15">
      <c r="A65" s="1528" t="s">
        <v>108</v>
      </c>
      <c r="B65" s="1529"/>
      <c r="C65" s="1530"/>
      <c r="D65" s="923" t="s">
        <v>198</v>
      </c>
      <c r="E65" s="924">
        <f>'23'!F65</f>
        <v>118512.05</v>
      </c>
      <c r="F65" s="954">
        <v>118952</v>
      </c>
      <c r="G65" s="925">
        <f t="shared" si="5"/>
        <v>439.94999999999709</v>
      </c>
      <c r="H65" s="926">
        <f>G65+'23'!H65</f>
        <v>-2781.1100000000006</v>
      </c>
      <c r="I65" s="963"/>
      <c r="J65" s="928">
        <f>H65/DAY(B2)</f>
        <v>-115.87958333333336</v>
      </c>
      <c r="K65" s="944"/>
      <c r="L65" s="903"/>
      <c r="O65" s="930"/>
    </row>
    <row r="66" spans="1:15">
      <c r="A66" s="1528" t="s">
        <v>109</v>
      </c>
      <c r="B66" s="1529"/>
      <c r="C66" s="1530"/>
      <c r="D66" s="923" t="s">
        <v>198</v>
      </c>
      <c r="E66" s="924">
        <f>'23'!F66</f>
        <v>10824.81</v>
      </c>
      <c r="F66" s="954">
        <v>11222</v>
      </c>
      <c r="G66" s="925">
        <f t="shared" si="5"/>
        <v>397.19000000000051</v>
      </c>
      <c r="H66" s="926">
        <f>G66+'23'!H66</f>
        <v>-2937.74</v>
      </c>
      <c r="I66" s="945"/>
      <c r="J66" s="928">
        <f>H66/DAY(B2)</f>
        <v>-122.40583333333332</v>
      </c>
      <c r="K66" s="944"/>
      <c r="L66" s="903"/>
      <c r="O66" s="930"/>
    </row>
    <row r="67" spans="1:15">
      <c r="A67" s="1528" t="s">
        <v>110</v>
      </c>
      <c r="B67" s="1529"/>
      <c r="C67" s="1530"/>
      <c r="D67" s="923" t="s">
        <v>198</v>
      </c>
      <c r="E67" s="924">
        <f>'23'!F67</f>
        <v>183352.45</v>
      </c>
      <c r="F67" s="954">
        <v>183973</v>
      </c>
      <c r="G67" s="925">
        <f t="shared" si="5"/>
        <v>620.54999999998836</v>
      </c>
      <c r="H67" s="926">
        <f>G67+'23'!H67</f>
        <v>-4701.5299999999988</v>
      </c>
      <c r="I67" s="963"/>
      <c r="J67" s="928">
        <f>H67/DAY(B2)</f>
        <v>-195.89708333333328</v>
      </c>
      <c r="K67" s="951"/>
      <c r="L67" s="903"/>
      <c r="O67" s="930"/>
    </row>
    <row r="68" spans="1:15">
      <c r="A68" s="1528" t="s">
        <v>111</v>
      </c>
      <c r="B68" s="1529"/>
      <c r="C68" s="1530"/>
      <c r="D68" s="923" t="s">
        <v>198</v>
      </c>
      <c r="E68" s="924">
        <f>'23'!F68</f>
        <v>60703.31</v>
      </c>
      <c r="F68" s="954">
        <v>61054</v>
      </c>
      <c r="G68" s="925">
        <f t="shared" si="5"/>
        <v>350.69000000000233</v>
      </c>
      <c r="H68" s="926">
        <f>G68+'23'!H68</f>
        <v>-2245.8600000000006</v>
      </c>
      <c r="I68" s="1009"/>
      <c r="J68" s="928">
        <f>H68/DAY(B2)</f>
        <v>-93.577500000000029</v>
      </c>
      <c r="K68" s="1010"/>
      <c r="L68" s="903"/>
      <c r="O68" s="930"/>
    </row>
    <row r="69" spans="1:15">
      <c r="A69" s="1528" t="s">
        <v>112</v>
      </c>
      <c r="B69" s="1529"/>
      <c r="C69" s="1530"/>
      <c r="D69" s="923" t="s">
        <v>198</v>
      </c>
      <c r="E69" s="924">
        <f>'23'!F69</f>
        <v>53249.27</v>
      </c>
      <c r="F69" s="954">
        <v>53549</v>
      </c>
      <c r="G69" s="925">
        <f t="shared" si="5"/>
        <v>299.7300000000032</v>
      </c>
      <c r="H69" s="926">
        <f>G69+'23'!H69</f>
        <v>-2174.7099999999991</v>
      </c>
      <c r="I69" s="1009"/>
      <c r="J69" s="928">
        <f>H69/DAY(B2)</f>
        <v>-90.612916666666635</v>
      </c>
      <c r="K69" s="1011"/>
      <c r="L69" s="903"/>
      <c r="O69" s="930"/>
    </row>
    <row r="70" spans="1:15">
      <c r="A70" s="1548" t="s">
        <v>200</v>
      </c>
      <c r="B70" s="1549"/>
      <c r="C70" s="1550"/>
      <c r="D70" s="923" t="s">
        <v>198</v>
      </c>
      <c r="E70" s="1012"/>
      <c r="F70" s="1013"/>
      <c r="G70" s="1013"/>
      <c r="H70" s="926">
        <f>G70+'23'!H70</f>
        <v>0</v>
      </c>
      <c r="I70" s="1013"/>
      <c r="J70" s="1014"/>
      <c r="K70" s="1011"/>
      <c r="L70" s="903"/>
      <c r="O70" s="930"/>
    </row>
    <row r="71" spans="1:15" ht="22.5">
      <c r="A71" s="1545" t="s">
        <v>201</v>
      </c>
      <c r="B71" s="1546"/>
      <c r="C71" s="1546"/>
      <c r="D71" s="1546"/>
      <c r="E71" s="1546"/>
      <c r="F71" s="1546"/>
      <c r="G71" s="1546"/>
      <c r="H71" s="1546"/>
      <c r="I71" s="1546"/>
      <c r="J71" s="1547"/>
      <c r="K71" s="1010"/>
      <c r="L71" s="903"/>
      <c r="O71" s="930"/>
    </row>
    <row r="72" spans="1:15">
      <c r="A72" s="1528" t="s">
        <v>202</v>
      </c>
      <c r="B72" s="1529"/>
      <c r="C72" s="1530"/>
      <c r="D72" s="923" t="s">
        <v>198</v>
      </c>
      <c r="E72" s="924">
        <f>'23'!F72</f>
        <v>847867</v>
      </c>
      <c r="F72" s="1015">
        <v>847917</v>
      </c>
      <c r="G72" s="925">
        <f t="shared" ref="G72:G90" si="6">F72-E72</f>
        <v>50</v>
      </c>
      <c r="H72" s="926">
        <f>G72+'23'!H72</f>
        <v>-635</v>
      </c>
      <c r="I72" s="945"/>
      <c r="J72" s="928">
        <f>H72/DAY(B2)</f>
        <v>-26.458333333333332</v>
      </c>
      <c r="K72" s="1011"/>
      <c r="L72" s="903"/>
      <c r="O72" s="930"/>
    </row>
    <row r="73" spans="1:15">
      <c r="A73" s="1528" t="s">
        <v>203</v>
      </c>
      <c r="B73" s="1529"/>
      <c r="C73" s="1530"/>
      <c r="D73" s="923" t="s">
        <v>198</v>
      </c>
      <c r="E73" s="924">
        <f>'23'!F73</f>
        <v>885724</v>
      </c>
      <c r="F73" s="1016">
        <v>885726</v>
      </c>
      <c r="G73" s="925">
        <f t="shared" si="6"/>
        <v>2</v>
      </c>
      <c r="H73" s="926">
        <f>G73+'23'!H73</f>
        <v>945</v>
      </c>
      <c r="I73" s="945"/>
      <c r="J73" s="928">
        <f>H73/DAY(B2)</f>
        <v>39.375</v>
      </c>
      <c r="K73" s="1010"/>
      <c r="L73" s="903"/>
      <c r="O73" s="930"/>
    </row>
    <row r="74" spans="1:15">
      <c r="A74" s="1528" t="s">
        <v>204</v>
      </c>
      <c r="B74" s="1529"/>
      <c r="C74" s="1530"/>
      <c r="D74" s="923" t="s">
        <v>198</v>
      </c>
      <c r="E74" s="924">
        <f>'23'!F74</f>
        <v>882110</v>
      </c>
      <c r="F74" s="1017">
        <v>882148</v>
      </c>
      <c r="G74" s="925">
        <f t="shared" si="6"/>
        <v>38</v>
      </c>
      <c r="H74" s="926">
        <f>G74+'23'!H74</f>
        <v>882377.1</v>
      </c>
      <c r="I74" s="945"/>
      <c r="J74" s="928">
        <f>H74/DAY(B2)</f>
        <v>36765.712500000001</v>
      </c>
      <c r="K74" s="1011"/>
      <c r="L74" s="903"/>
      <c r="O74" s="930"/>
    </row>
    <row r="75" spans="1:15">
      <c r="A75" s="1542" t="s">
        <v>205</v>
      </c>
      <c r="B75" s="1543"/>
      <c r="C75" s="1544"/>
      <c r="D75" s="923" t="s">
        <v>198</v>
      </c>
      <c r="E75" s="924">
        <f>'23'!F75</f>
        <v>735968</v>
      </c>
      <c r="F75" s="1017">
        <v>736153</v>
      </c>
      <c r="G75" s="925">
        <f t="shared" si="6"/>
        <v>185</v>
      </c>
      <c r="H75" s="926">
        <f>G75+'23'!H75</f>
        <v>737689.4</v>
      </c>
      <c r="I75" s="945"/>
      <c r="J75" s="928">
        <f>H75/DAY(B2)</f>
        <v>30737.058333333334</v>
      </c>
      <c r="K75" s="1010"/>
      <c r="L75" s="903"/>
      <c r="O75" s="930"/>
    </row>
    <row r="76" spans="1:15">
      <c r="A76" s="1542" t="s">
        <v>206</v>
      </c>
      <c r="B76" s="1543"/>
      <c r="C76" s="1544"/>
      <c r="D76" s="923" t="s">
        <v>198</v>
      </c>
      <c r="E76" s="924">
        <f>'23'!F76</f>
        <v>686389</v>
      </c>
      <c r="F76" s="1016">
        <v>686471</v>
      </c>
      <c r="G76" s="925">
        <f t="shared" si="6"/>
        <v>82</v>
      </c>
      <c r="H76" s="926">
        <f>G76+'23'!H76</f>
        <v>688468.2</v>
      </c>
      <c r="I76" s="988"/>
      <c r="J76" s="928">
        <f>H76/DAY(B2)</f>
        <v>28686.174999999999</v>
      </c>
      <c r="K76" s="1010"/>
      <c r="L76" s="903"/>
      <c r="O76" s="930"/>
    </row>
    <row r="77" spans="1:15">
      <c r="A77" s="1528" t="s">
        <v>207</v>
      </c>
      <c r="B77" s="1529"/>
      <c r="C77" s="1530"/>
      <c r="D77" s="923" t="s">
        <v>198</v>
      </c>
      <c r="E77" s="924">
        <f>'23'!F77</f>
        <v>696679</v>
      </c>
      <c r="F77" s="1016">
        <v>696734</v>
      </c>
      <c r="G77" s="925">
        <f t="shared" si="6"/>
        <v>55</v>
      </c>
      <c r="H77" s="926">
        <f>G77+'23'!H77</f>
        <v>-373</v>
      </c>
      <c r="I77" s="988"/>
      <c r="J77" s="928">
        <f>H77/DAY(B2)</f>
        <v>-15.541666666666666</v>
      </c>
      <c r="K77" s="1010"/>
      <c r="L77" s="903"/>
      <c r="O77" s="930"/>
    </row>
    <row r="78" spans="1:15">
      <c r="A78" s="1018" t="s">
        <v>208</v>
      </c>
      <c r="B78" s="1227"/>
      <c r="C78" s="1227"/>
      <c r="D78" s="923" t="s">
        <v>198</v>
      </c>
      <c r="E78" s="924">
        <f>'23'!F78</f>
        <v>638961</v>
      </c>
      <c r="F78" s="1017">
        <v>639294</v>
      </c>
      <c r="G78" s="925">
        <f t="shared" si="6"/>
        <v>333</v>
      </c>
      <c r="H78" s="926">
        <f>G78+'23'!H78</f>
        <v>-2659</v>
      </c>
      <c r="I78" s="988"/>
      <c r="J78" s="928">
        <f>H78/DAY(B2)</f>
        <v>-110.79166666666667</v>
      </c>
      <c r="K78" s="1010"/>
      <c r="L78" s="903"/>
      <c r="O78" s="930"/>
    </row>
    <row r="79" spans="1:15">
      <c r="A79" s="1542" t="s">
        <v>97</v>
      </c>
      <c r="B79" s="1543"/>
      <c r="C79" s="1544"/>
      <c r="D79" s="957" t="s">
        <v>198</v>
      </c>
      <c r="E79" s="924">
        <f>'23'!F79</f>
        <v>808187</v>
      </c>
      <c r="F79" s="1017">
        <v>808363</v>
      </c>
      <c r="G79" s="925">
        <f t="shared" si="6"/>
        <v>176</v>
      </c>
      <c r="H79" s="926">
        <f>G79+'23'!H79</f>
        <v>1537</v>
      </c>
      <c r="I79" s="988"/>
      <c r="J79" s="928">
        <f>H79/DAY(B2)</f>
        <v>64.041666666666671</v>
      </c>
      <c r="K79" s="1010"/>
      <c r="L79" s="903"/>
      <c r="O79" s="930"/>
    </row>
    <row r="80" spans="1:15">
      <c r="A80" s="1542" t="s">
        <v>209</v>
      </c>
      <c r="B80" s="1543"/>
      <c r="C80" s="1544"/>
      <c r="D80" s="957" t="s">
        <v>198</v>
      </c>
      <c r="E80" s="924">
        <f>'23'!F80</f>
        <v>482640</v>
      </c>
      <c r="F80" s="1323">
        <v>482957</v>
      </c>
      <c r="G80" s="925">
        <f t="shared" si="6"/>
        <v>317</v>
      </c>
      <c r="H80" s="926">
        <f>G80+'23'!H80</f>
        <v>-3624.679999999993</v>
      </c>
      <c r="I80" s="988"/>
      <c r="J80" s="928">
        <f>H80/DAY(B2)</f>
        <v>-151.02833333333305</v>
      </c>
      <c r="K80" s="1010"/>
      <c r="L80" s="903"/>
      <c r="O80" s="930"/>
    </row>
    <row r="81" spans="1:15">
      <c r="A81" s="1542" t="s">
        <v>210</v>
      </c>
      <c r="B81" s="1543"/>
      <c r="C81" s="1544"/>
      <c r="D81" s="957" t="s">
        <v>198</v>
      </c>
      <c r="E81" s="924">
        <f>'23'!F81</f>
        <v>621883</v>
      </c>
      <c r="F81" s="1016">
        <v>621979</v>
      </c>
      <c r="G81" s="925">
        <f t="shared" si="6"/>
        <v>96</v>
      </c>
      <c r="H81" s="926">
        <f>G81+'23'!H81</f>
        <v>-796</v>
      </c>
      <c r="I81" s="988"/>
      <c r="J81" s="928">
        <f>H81/DAY(B2)</f>
        <v>-33.166666666666664</v>
      </c>
      <c r="K81" s="1010"/>
      <c r="L81" s="903"/>
      <c r="O81" s="930"/>
    </row>
    <row r="82" spans="1:15">
      <c r="A82" s="1542" t="s">
        <v>100</v>
      </c>
      <c r="B82" s="1543"/>
      <c r="C82" s="1544"/>
      <c r="D82" s="958" t="s">
        <v>143</v>
      </c>
      <c r="E82" s="924">
        <f>'23'!F82</f>
        <v>105074</v>
      </c>
      <c r="F82" s="1019">
        <v>105111</v>
      </c>
      <c r="G82" s="925">
        <f t="shared" si="6"/>
        <v>37</v>
      </c>
      <c r="H82" s="926">
        <f>G82+'23'!H82</f>
        <v>-329</v>
      </c>
      <c r="I82" s="959"/>
      <c r="J82" s="928">
        <f>H82/DAY(B2)</f>
        <v>-13.708333333333334</v>
      </c>
      <c r="K82" s="1010"/>
      <c r="L82" s="903"/>
      <c r="O82" s="930"/>
    </row>
    <row r="83" spans="1:15">
      <c r="A83" s="1542" t="s">
        <v>211</v>
      </c>
      <c r="B83" s="1543"/>
      <c r="C83" s="1544"/>
      <c r="D83" s="1020" t="s">
        <v>143</v>
      </c>
      <c r="E83" s="924">
        <f>'23'!F83</f>
        <v>981368</v>
      </c>
      <c r="F83" s="910">
        <v>981601</v>
      </c>
      <c r="G83" s="925">
        <f>F83-E83</f>
        <v>233</v>
      </c>
      <c r="H83" s="926">
        <f>G83+'23'!H83</f>
        <v>-2140</v>
      </c>
      <c r="I83" s="948"/>
      <c r="J83" s="928">
        <f>H83/DAY(B2)</f>
        <v>-89.166666666666671</v>
      </c>
      <c r="K83" s="951"/>
      <c r="L83" s="903"/>
      <c r="O83" s="930"/>
    </row>
    <row r="84" spans="1:15">
      <c r="A84" s="1021" t="s">
        <v>212</v>
      </c>
      <c r="B84" s="1022"/>
      <c r="C84" s="1022"/>
      <c r="D84" s="942" t="s">
        <v>143</v>
      </c>
      <c r="E84" s="924">
        <f>'23'!F84</f>
        <v>411869</v>
      </c>
      <c r="F84" s="1023">
        <v>412393</v>
      </c>
      <c r="G84" s="925">
        <f t="shared" si="6"/>
        <v>524</v>
      </c>
      <c r="H84" s="926">
        <f>G84+'23'!H84</f>
        <v>-3680</v>
      </c>
      <c r="I84" s="948"/>
      <c r="J84" s="928">
        <f>H84/DAY(B2)</f>
        <v>-153.33333333333334</v>
      </c>
      <c r="K84" s="1024"/>
      <c r="L84" s="903"/>
      <c r="O84" s="930"/>
    </row>
    <row r="85" spans="1:15" s="1028" customFormat="1">
      <c r="A85" s="1025" t="s">
        <v>213</v>
      </c>
      <c r="B85" s="1026"/>
      <c r="C85" s="1026"/>
      <c r="D85" s="963"/>
      <c r="E85" s="924">
        <f>'23'!F85</f>
        <v>0</v>
      </c>
      <c r="F85" s="923"/>
      <c r="G85" s="926">
        <f xml:space="preserve"> SUM(G72:G84)</f>
        <v>2128</v>
      </c>
      <c r="H85" s="926">
        <f>G85+'23'!H85</f>
        <v>2291476.65</v>
      </c>
      <c r="I85" s="948"/>
      <c r="J85" s="928">
        <f>H85/DAY(B2)</f>
        <v>95478.193749999991</v>
      </c>
      <c r="K85" s="1024"/>
      <c r="L85" s="1027"/>
      <c r="N85" s="1095"/>
      <c r="O85" s="930"/>
    </row>
    <row r="86" spans="1:15" s="1038" customFormat="1">
      <c r="A86" s="1029" t="s">
        <v>102</v>
      </c>
      <c r="B86" s="1030"/>
      <c r="C86" s="1030"/>
      <c r="D86" s="1031" t="s">
        <v>194</v>
      </c>
      <c r="E86" s="924">
        <f>'23'!F86</f>
        <v>446419</v>
      </c>
      <c r="F86" s="1032">
        <v>446461</v>
      </c>
      <c r="G86" s="1033">
        <f t="shared" si="6"/>
        <v>42</v>
      </c>
      <c r="H86" s="1033">
        <f t="shared" ref="H86:H88" si="7">G86</f>
        <v>42</v>
      </c>
      <c r="I86" s="1034"/>
      <c r="J86" s="1035">
        <f>H86/DAY(B2)</f>
        <v>1.75</v>
      </c>
      <c r="K86" s="1036"/>
      <c r="L86" s="1037"/>
      <c r="N86" s="1096"/>
      <c r="O86" s="930"/>
    </row>
    <row r="87" spans="1:15" s="1038" customFormat="1">
      <c r="A87" s="1029" t="s">
        <v>103</v>
      </c>
      <c r="B87" s="1030"/>
      <c r="C87" s="1030"/>
      <c r="D87" s="1031" t="s">
        <v>194</v>
      </c>
      <c r="E87" s="924">
        <f>'23'!F87</f>
        <v>78272.3</v>
      </c>
      <c r="F87" s="1032">
        <v>78279</v>
      </c>
      <c r="G87" s="1033">
        <f t="shared" si="6"/>
        <v>6.6999999999970896</v>
      </c>
      <c r="H87" s="1033">
        <f t="shared" si="7"/>
        <v>6.6999999999970896</v>
      </c>
      <c r="I87" s="1034"/>
      <c r="J87" s="1035">
        <f>H87/DAY(B2)</f>
        <v>0.27916666666654538</v>
      </c>
      <c r="K87" s="1036"/>
      <c r="L87" s="1037"/>
      <c r="N87" s="1096"/>
      <c r="O87" s="930"/>
    </row>
    <row r="88" spans="1:15" s="1038" customFormat="1">
      <c r="A88" s="1029" t="s">
        <v>104</v>
      </c>
      <c r="B88" s="1030"/>
      <c r="C88" s="1030"/>
      <c r="D88" s="1031" t="s">
        <v>194</v>
      </c>
      <c r="E88" s="924">
        <f>'23'!F88</f>
        <v>145988.60999999999</v>
      </c>
      <c r="F88" s="1032">
        <v>146024</v>
      </c>
      <c r="G88" s="1033">
        <f t="shared" si="6"/>
        <v>35.39000000001397</v>
      </c>
      <c r="H88" s="1033">
        <f t="shared" si="7"/>
        <v>35.39000000001397</v>
      </c>
      <c r="I88" s="1034"/>
      <c r="J88" s="1035">
        <f>H88/DAY(B2)</f>
        <v>1.4745833333339153</v>
      </c>
      <c r="K88" s="1036"/>
      <c r="L88" s="1037"/>
      <c r="N88" s="1096"/>
      <c r="O88" s="930"/>
    </row>
    <row r="89" spans="1:15" s="1038" customFormat="1">
      <c r="A89" s="1029" t="s">
        <v>215</v>
      </c>
      <c r="B89" s="1030"/>
      <c r="C89" s="1030"/>
      <c r="D89" s="1031" t="s">
        <v>194</v>
      </c>
      <c r="E89" s="924">
        <f>'23'!F89</f>
        <v>59252</v>
      </c>
      <c r="F89" s="1032">
        <v>59304</v>
      </c>
      <c r="G89" s="1033">
        <f t="shared" si="6"/>
        <v>52</v>
      </c>
      <c r="H89" s="1033">
        <f>G89</f>
        <v>52</v>
      </c>
      <c r="I89" s="1034"/>
      <c r="J89" s="1035">
        <f>H89/DAY(B2)</f>
        <v>2.1666666666666665</v>
      </c>
      <c r="K89" s="1036"/>
      <c r="L89" s="1037"/>
      <c r="N89" s="1097"/>
      <c r="O89" s="930"/>
    </row>
    <row r="90" spans="1:15" s="1038" customFormat="1">
      <c r="A90" s="1029" t="s">
        <v>215</v>
      </c>
      <c r="B90" s="1030"/>
      <c r="C90" s="1030"/>
      <c r="D90" s="1031" t="s">
        <v>194</v>
      </c>
      <c r="E90" s="924">
        <f>'23'!F90</f>
        <v>3045</v>
      </c>
      <c r="F90" s="1032">
        <v>3047</v>
      </c>
      <c r="G90" s="1033">
        <f t="shared" si="6"/>
        <v>2</v>
      </c>
      <c r="H90" s="1033">
        <f>G90</f>
        <v>2</v>
      </c>
      <c r="I90" s="1034"/>
      <c r="J90" s="1035">
        <f>H90/DAY(B2)</f>
        <v>8.3333333333333329E-2</v>
      </c>
      <c r="K90" s="1036"/>
      <c r="L90" s="1037"/>
      <c r="N90" s="1097"/>
      <c r="O90" s="930"/>
    </row>
    <row r="91" spans="1:15" s="1028" customFormat="1">
      <c r="A91" s="1039" t="s">
        <v>216</v>
      </c>
      <c r="B91" s="918"/>
      <c r="C91" s="918"/>
      <c r="D91" s="918"/>
      <c r="E91" s="918"/>
      <c r="F91" s="918"/>
      <c r="G91" s="962"/>
      <c r="H91" s="918"/>
      <c r="I91" s="918"/>
      <c r="J91" s="919"/>
      <c r="K91" s="1024"/>
      <c r="L91" s="1027"/>
      <c r="N91" s="1095"/>
      <c r="O91" s="930"/>
    </row>
    <row r="92" spans="1:15">
      <c r="A92" s="1522" t="s">
        <v>217</v>
      </c>
      <c r="B92" s="1523"/>
      <c r="C92" s="1524"/>
      <c r="D92" s="923" t="s">
        <v>155</v>
      </c>
      <c r="E92" s="924">
        <f>'23'!F92</f>
        <v>235882</v>
      </c>
      <c r="F92" s="954">
        <v>235985</v>
      </c>
      <c r="G92" s="925">
        <f t="shared" ref="G92:G93" si="8">F92-E92</f>
        <v>103</v>
      </c>
      <c r="H92" s="926">
        <f>G92+'23'!H92</f>
        <v>-585</v>
      </c>
      <c r="I92" s="945"/>
      <c r="J92" s="928">
        <f>H92/DAY(B2)</f>
        <v>-24.375</v>
      </c>
      <c r="K92" s="951"/>
      <c r="L92" s="903"/>
      <c r="O92" s="930"/>
    </row>
    <row r="93" spans="1:15">
      <c r="A93" s="1522" t="s">
        <v>218</v>
      </c>
      <c r="B93" s="1523"/>
      <c r="C93" s="1524"/>
      <c r="D93" s="923" t="s">
        <v>155</v>
      </c>
      <c r="E93" s="924">
        <f>'23'!F93</f>
        <v>170053</v>
      </c>
      <c r="F93" s="954">
        <v>170202</v>
      </c>
      <c r="G93" s="925">
        <f t="shared" si="8"/>
        <v>149</v>
      </c>
      <c r="H93" s="926">
        <f>G93+'23'!H93</f>
        <v>-974</v>
      </c>
      <c r="I93" s="945"/>
      <c r="J93" s="928">
        <f>H93/DAY(B2)</f>
        <v>-40.583333333333336</v>
      </c>
      <c r="K93" s="1024"/>
      <c r="L93" s="903"/>
      <c r="O93" s="930"/>
    </row>
    <row r="94" spans="1:15">
      <c r="A94" s="1531" t="s">
        <v>219</v>
      </c>
      <c r="B94" s="1532"/>
      <c r="C94" s="1533"/>
      <c r="D94" s="923"/>
      <c r="E94" s="924">
        <f>'23'!F94</f>
        <v>0</v>
      </c>
      <c r="F94" s="954"/>
      <c r="G94" s="925">
        <f>G92+G93</f>
        <v>252</v>
      </c>
      <c r="H94" s="926">
        <f>G94+'23'!H94</f>
        <v>-1846</v>
      </c>
      <c r="I94" s="945"/>
      <c r="J94" s="928">
        <f>H94/DAY(B2)</f>
        <v>-76.916666666666671</v>
      </c>
      <c r="K94" s="1024"/>
      <c r="L94" s="903"/>
      <c r="O94" s="930"/>
    </row>
    <row r="95" spans="1:15">
      <c r="A95" s="1522" t="s">
        <v>220</v>
      </c>
      <c r="B95" s="1523"/>
      <c r="C95" s="1524"/>
      <c r="D95" s="923" t="s">
        <v>155</v>
      </c>
      <c r="E95" s="924">
        <f>'23'!F95</f>
        <v>405360</v>
      </c>
      <c r="F95" s="954">
        <v>405431</v>
      </c>
      <c r="G95" s="925">
        <f t="shared" ref="G95:G100" si="9">F95-E95</f>
        <v>71</v>
      </c>
      <c r="H95" s="926">
        <f>G95+'23'!H95</f>
        <v>-445</v>
      </c>
      <c r="I95" s="945"/>
      <c r="J95" s="928">
        <f>H95/DAY(B2)</f>
        <v>-18.541666666666668</v>
      </c>
      <c r="K95" s="1024"/>
      <c r="L95" s="903"/>
      <c r="O95" s="930"/>
    </row>
    <row r="96" spans="1:15">
      <c r="A96" s="952" t="s">
        <v>221</v>
      </c>
      <c r="B96" s="953"/>
      <c r="C96" s="953"/>
      <c r="D96" s="923" t="s">
        <v>155</v>
      </c>
      <c r="E96" s="924">
        <f>'23'!F96</f>
        <v>100331</v>
      </c>
      <c r="F96" s="954">
        <v>100356</v>
      </c>
      <c r="G96" s="925">
        <f t="shared" si="9"/>
        <v>25</v>
      </c>
      <c r="H96" s="926">
        <f>G96+'23'!H96</f>
        <v>-178</v>
      </c>
      <c r="I96" s="945"/>
      <c r="J96" s="928">
        <f>H96/DAY(B2)</f>
        <v>-7.416666666666667</v>
      </c>
      <c r="K96" s="920"/>
      <c r="L96" s="903"/>
      <c r="O96" s="930"/>
    </row>
    <row r="97" spans="1:15">
      <c r="A97" s="952" t="s">
        <v>222</v>
      </c>
      <c r="B97" s="953"/>
      <c r="C97" s="953"/>
      <c r="D97" s="923" t="s">
        <v>155</v>
      </c>
      <c r="E97" s="924">
        <f>'23'!F97</f>
        <v>95499</v>
      </c>
      <c r="F97" s="954">
        <v>95532</v>
      </c>
      <c r="G97" s="925">
        <f t="shared" si="9"/>
        <v>33</v>
      </c>
      <c r="H97" s="926">
        <f>G97+'23'!H97</f>
        <v>-145</v>
      </c>
      <c r="I97" s="945"/>
      <c r="J97" s="928">
        <f>H97/DAY(B2)</f>
        <v>-6.041666666666667</v>
      </c>
      <c r="K97" s="1040"/>
      <c r="L97" s="903"/>
      <c r="O97" s="930"/>
    </row>
    <row r="98" spans="1:15">
      <c r="A98" s="952" t="s">
        <v>223</v>
      </c>
      <c r="B98" s="953"/>
      <c r="C98" s="953"/>
      <c r="D98" s="923" t="s">
        <v>155</v>
      </c>
      <c r="E98" s="924">
        <f>'23'!F98</f>
        <v>145077</v>
      </c>
      <c r="F98" s="954">
        <v>145122</v>
      </c>
      <c r="G98" s="925">
        <f t="shared" si="9"/>
        <v>45</v>
      </c>
      <c r="H98" s="926">
        <f>G98+'23'!H98</f>
        <v>-432</v>
      </c>
      <c r="I98" s="945"/>
      <c r="J98" s="928">
        <f>H98/DAY(B2)</f>
        <v>-18</v>
      </c>
      <c r="K98" s="1024"/>
      <c r="L98" s="903"/>
      <c r="O98" s="930"/>
    </row>
    <row r="99" spans="1:15">
      <c r="A99" s="952" t="s">
        <v>224</v>
      </c>
      <c r="B99" s="953"/>
      <c r="C99" s="953"/>
      <c r="D99" s="923" t="s">
        <v>155</v>
      </c>
      <c r="E99" s="924">
        <f>'23'!F99</f>
        <v>5814</v>
      </c>
      <c r="F99" s="954">
        <v>5826</v>
      </c>
      <c r="G99" s="925">
        <f t="shared" si="9"/>
        <v>12</v>
      </c>
      <c r="H99" s="926">
        <f>G99+'23'!H99</f>
        <v>-148</v>
      </c>
      <c r="I99" s="945"/>
      <c r="J99" s="928">
        <f>H99/DAY(B2)</f>
        <v>-6.166666666666667</v>
      </c>
      <c r="K99" s="1024"/>
      <c r="L99" s="903"/>
      <c r="O99" s="930"/>
    </row>
    <row r="100" spans="1:15">
      <c r="A100" s="952" t="s">
        <v>225</v>
      </c>
      <c r="B100" s="953"/>
      <c r="C100" s="953"/>
      <c r="D100" s="923" t="s">
        <v>155</v>
      </c>
      <c r="E100" s="924">
        <f>'23'!F100</f>
        <v>4178</v>
      </c>
      <c r="F100" s="954">
        <v>4187</v>
      </c>
      <c r="G100" s="925">
        <f t="shared" si="9"/>
        <v>9</v>
      </c>
      <c r="H100" s="926">
        <f>G100+'23'!H100</f>
        <v>-50</v>
      </c>
      <c r="I100" s="945"/>
      <c r="J100" s="928">
        <f>H100/DAY(B2)</f>
        <v>-2.0833333333333335</v>
      </c>
      <c r="K100" s="1024"/>
      <c r="L100" s="903"/>
      <c r="O100" s="930"/>
    </row>
    <row r="101" spans="1:15">
      <c r="A101" s="1531" t="s">
        <v>227</v>
      </c>
      <c r="B101" s="1532"/>
      <c r="C101" s="1533"/>
      <c r="D101" s="957"/>
      <c r="E101" s="957"/>
      <c r="F101" s="957"/>
      <c r="G101" s="1041">
        <f>SUM(G95:G100)</f>
        <v>195</v>
      </c>
      <c r="H101" s="926">
        <f>G101+'23'!H101</f>
        <v>-1398</v>
      </c>
      <c r="I101" s="1042"/>
      <c r="J101" s="928">
        <f>H101/DAY(B2)</f>
        <v>-58.25</v>
      </c>
      <c r="K101" s="1024"/>
      <c r="L101" s="903"/>
      <c r="O101" s="930"/>
    </row>
    <row r="102" spans="1:15" s="975" customFormat="1">
      <c r="A102" s="1043" t="s">
        <v>228</v>
      </c>
      <c r="B102" s="1044"/>
      <c r="C102" s="1044"/>
      <c r="D102" s="1045"/>
      <c r="E102" s="1046"/>
      <c r="F102" s="1047"/>
      <c r="G102" s="1048"/>
      <c r="H102" s="1049"/>
      <c r="I102" s="1050"/>
      <c r="J102" s="1051"/>
      <c r="N102" s="1093"/>
      <c r="O102" s="930"/>
    </row>
    <row r="103" spans="1:15" s="975" customFormat="1">
      <c r="A103" s="1539" t="s">
        <v>229</v>
      </c>
      <c r="B103" s="1540"/>
      <c r="C103" s="1052"/>
      <c r="D103" s="1053"/>
      <c r="E103" s="1054"/>
      <c r="F103" s="1054"/>
      <c r="G103" s="1054"/>
      <c r="H103" s="1055"/>
      <c r="I103" s="1054"/>
      <c r="J103" s="1056"/>
      <c r="N103" s="1093"/>
      <c r="O103" s="930"/>
    </row>
    <row r="104" spans="1:15" s="975" customFormat="1">
      <c r="A104" s="1512" t="s">
        <v>230</v>
      </c>
      <c r="B104" s="1513"/>
      <c r="C104" s="1057"/>
      <c r="D104" s="1053" t="s">
        <v>155</v>
      </c>
      <c r="E104" s="1054">
        <f>'23'!F104</f>
        <v>7010</v>
      </c>
      <c r="F104" s="1054">
        <v>7010</v>
      </c>
      <c r="G104" s="1054">
        <f>F104-E104</f>
        <v>0</v>
      </c>
      <c r="H104" s="1055">
        <f>SUM(G104+'1'!G76)</f>
        <v>74</v>
      </c>
      <c r="I104" s="1054"/>
      <c r="J104" s="1056">
        <f>H104/DAY(B2)</f>
        <v>3.0833333333333335</v>
      </c>
      <c r="N104" s="1093"/>
      <c r="O104" s="930"/>
    </row>
    <row r="105" spans="1:15" s="975" customFormat="1">
      <c r="A105" s="1512" t="s">
        <v>77</v>
      </c>
      <c r="B105" s="1513"/>
      <c r="C105" s="1057"/>
      <c r="D105" s="1053" t="s">
        <v>155</v>
      </c>
      <c r="E105" s="1054">
        <f>'23'!F105</f>
        <v>35097</v>
      </c>
      <c r="F105" s="1058">
        <v>35103</v>
      </c>
      <c r="G105" s="1054">
        <f t="shared" ref="G105:G106" si="10">F105-E105</f>
        <v>6</v>
      </c>
      <c r="H105" s="1055">
        <f>SUM(G105+'1'!G77)</f>
        <v>54</v>
      </c>
      <c r="I105" s="1054"/>
      <c r="J105" s="1056">
        <f>H105/DAY(B2)</f>
        <v>2.25</v>
      </c>
      <c r="N105" s="1093"/>
      <c r="O105" s="930"/>
    </row>
    <row r="106" spans="1:15" s="975" customFormat="1">
      <c r="A106" s="1512" t="s">
        <v>78</v>
      </c>
      <c r="B106" s="1541"/>
      <c r="C106" s="1513"/>
      <c r="D106" s="1053" t="s">
        <v>155</v>
      </c>
      <c r="E106" s="1054">
        <f>'23'!F106</f>
        <v>19044</v>
      </c>
      <c r="F106" s="1054">
        <v>19049</v>
      </c>
      <c r="G106" s="1054">
        <f t="shared" si="10"/>
        <v>5</v>
      </c>
      <c r="H106" s="1055">
        <f>SUM(G106+'1'!G78)</f>
        <v>339</v>
      </c>
      <c r="I106" s="1054"/>
      <c r="J106" s="1056">
        <f>H106/DAY(B2)</f>
        <v>14.125</v>
      </c>
      <c r="N106" s="1093"/>
      <c r="O106" s="930"/>
    </row>
    <row r="107" spans="1:15" s="975" customFormat="1">
      <c r="A107" s="1514" t="s">
        <v>213</v>
      </c>
      <c r="B107" s="1515"/>
      <c r="C107" s="1057"/>
      <c r="D107" s="1053"/>
      <c r="E107" s="1054"/>
      <c r="F107" s="1054"/>
      <c r="G107" s="1054">
        <f>SUM(G104:G106)</f>
        <v>11</v>
      </c>
      <c r="H107" s="1055">
        <f>SUM(G107+'1'!G79)</f>
        <v>216</v>
      </c>
      <c r="I107" s="1054"/>
      <c r="J107" s="1056">
        <f>H107/DAY(B2)</f>
        <v>9</v>
      </c>
      <c r="N107" s="1093"/>
      <c r="O107" s="930"/>
    </row>
    <row r="108" spans="1:15" s="975" customFormat="1">
      <c r="A108" s="1520" t="s">
        <v>79</v>
      </c>
      <c r="B108" s="1521"/>
      <c r="C108" s="1057"/>
      <c r="D108" s="1053" t="s">
        <v>155</v>
      </c>
      <c r="E108" s="1054">
        <f>'23'!F108</f>
        <v>0</v>
      </c>
      <c r="F108" s="1054"/>
      <c r="G108" s="1054"/>
      <c r="H108" s="1055"/>
      <c r="I108" s="1054"/>
      <c r="J108" s="1056"/>
      <c r="N108" s="1093"/>
      <c r="O108" s="930"/>
    </row>
    <row r="109" spans="1:15" s="975" customFormat="1">
      <c r="A109" s="1512" t="s">
        <v>231</v>
      </c>
      <c r="B109" s="1513"/>
      <c r="C109" s="1057"/>
      <c r="D109" s="1053" t="s">
        <v>155</v>
      </c>
      <c r="E109" s="1054">
        <f>'23'!F109</f>
        <v>54253</v>
      </c>
      <c r="F109" s="1054">
        <v>54314</v>
      </c>
      <c r="G109" s="1054">
        <f>F109-E109</f>
        <v>61</v>
      </c>
      <c r="H109" s="1055">
        <f>SUM(G109+'1'!G81)</f>
        <v>137</v>
      </c>
      <c r="I109" s="1054"/>
      <c r="J109" s="1056">
        <f>H109/DAY(B2)</f>
        <v>5.708333333333333</v>
      </c>
      <c r="N109" s="1093"/>
      <c r="O109" s="930"/>
    </row>
    <row r="110" spans="1:15" s="975" customFormat="1">
      <c r="A110" s="1512" t="s">
        <v>232</v>
      </c>
      <c r="B110" s="1513"/>
      <c r="C110" s="1057"/>
      <c r="D110" s="1053" t="s">
        <v>155</v>
      </c>
      <c r="E110" s="1054">
        <f>'23'!F110</f>
        <v>28086</v>
      </c>
      <c r="F110" s="1054">
        <v>28121</v>
      </c>
      <c r="G110" s="1054">
        <f t="shared" ref="G110:G111" si="11">F110-E110</f>
        <v>35</v>
      </c>
      <c r="H110" s="1055">
        <f>SUM(G110+'1'!G82)</f>
        <v>80</v>
      </c>
      <c r="I110" s="1054"/>
      <c r="J110" s="1056">
        <f>H110/DAY(B2)</f>
        <v>3.3333333333333335</v>
      </c>
      <c r="N110" s="1093"/>
      <c r="O110" s="930"/>
    </row>
    <row r="111" spans="1:15" s="975" customFormat="1">
      <c r="A111" s="1512" t="s">
        <v>233</v>
      </c>
      <c r="B111" s="1513"/>
      <c r="C111" s="1057"/>
      <c r="D111" s="1053" t="s">
        <v>155</v>
      </c>
      <c r="E111" s="1054">
        <f>'23'!F111</f>
        <v>3707</v>
      </c>
      <c r="F111" s="1054">
        <v>3707</v>
      </c>
      <c r="G111" s="1054">
        <f t="shared" si="11"/>
        <v>0</v>
      </c>
      <c r="H111" s="1055">
        <f>SUM(G111+'1'!G83)</f>
        <v>433</v>
      </c>
      <c r="I111" s="1054"/>
      <c r="J111" s="1056">
        <f>H111/DAY(B2)</f>
        <v>18.041666666666668</v>
      </c>
      <c r="N111" s="1093"/>
      <c r="O111" s="930"/>
    </row>
    <row r="112" spans="1:15" s="975" customFormat="1">
      <c r="A112" s="1518" t="s">
        <v>121</v>
      </c>
      <c r="B112" s="1519"/>
      <c r="C112" s="1057"/>
      <c r="D112" s="1053"/>
      <c r="E112" s="1054">
        <f>'23'!F112</f>
        <v>0</v>
      </c>
      <c r="F112" s="1054"/>
      <c r="G112" s="1054">
        <f>SUM(G109:G111)</f>
        <v>96</v>
      </c>
      <c r="H112" s="1055">
        <f>SUM(G112+'1'!G84)</f>
        <v>617</v>
      </c>
      <c r="I112" s="1054"/>
      <c r="J112" s="1056">
        <f>H112/DAY(B2)</f>
        <v>25.708333333333332</v>
      </c>
      <c r="N112" s="1093"/>
      <c r="O112" s="930"/>
    </row>
    <row r="113" spans="1:15" s="975" customFormat="1">
      <c r="A113" s="1520" t="s">
        <v>234</v>
      </c>
      <c r="B113" s="1521"/>
      <c r="C113" s="1057"/>
      <c r="D113" s="1053"/>
      <c r="E113" s="1054"/>
      <c r="F113" s="1054"/>
      <c r="G113" s="1054"/>
      <c r="H113" s="1055"/>
      <c r="I113" s="1054"/>
      <c r="J113" s="1056">
        <f>H113/DAY(B2)</f>
        <v>0</v>
      </c>
      <c r="N113" s="1093"/>
      <c r="O113" s="930"/>
    </row>
    <row r="114" spans="1:15" s="975" customFormat="1">
      <c r="A114" s="1512" t="s">
        <v>235</v>
      </c>
      <c r="B114" s="1513"/>
      <c r="C114" s="1059"/>
      <c r="D114" s="1053" t="s">
        <v>155</v>
      </c>
      <c r="E114" s="1054">
        <f>'23'!F114</f>
        <v>9614</v>
      </c>
      <c r="F114" s="1058">
        <v>9629</v>
      </c>
      <c r="G114" s="1058">
        <f>F114-E114</f>
        <v>15</v>
      </c>
      <c r="H114" s="1055">
        <f>SUM(G114+'1'!G91)</f>
        <v>15</v>
      </c>
      <c r="I114" s="1054"/>
      <c r="J114" s="1056">
        <f>H114/DAY(B2)</f>
        <v>0.625</v>
      </c>
      <c r="N114" s="1093"/>
      <c r="O114" s="930"/>
    </row>
    <row r="115" spans="1:15" s="975" customFormat="1">
      <c r="A115" s="1512" t="s">
        <v>236</v>
      </c>
      <c r="B115" s="1513"/>
      <c r="C115" s="1059"/>
      <c r="D115" s="1053" t="s">
        <v>155</v>
      </c>
      <c r="E115" s="1054">
        <f>'23'!F115</f>
        <v>7374</v>
      </c>
      <c r="F115" s="1058">
        <v>7382</v>
      </c>
      <c r="G115" s="1058">
        <f t="shared" ref="G115:G116" si="12">F115-E115</f>
        <v>8</v>
      </c>
      <c r="H115" s="1055">
        <f>SUM(G115+'1'!G92)</f>
        <v>95</v>
      </c>
      <c r="I115" s="1054"/>
      <c r="J115" s="1056">
        <f>H115/DAY(B2)</f>
        <v>3.9583333333333335</v>
      </c>
      <c r="N115" s="1093"/>
      <c r="O115" s="930"/>
    </row>
    <row r="116" spans="1:15" s="975" customFormat="1">
      <c r="A116" s="1512" t="s">
        <v>237</v>
      </c>
      <c r="B116" s="1513"/>
      <c r="C116" s="1059"/>
      <c r="D116" s="1053" t="s">
        <v>155</v>
      </c>
      <c r="E116" s="1058"/>
      <c r="F116" s="1058"/>
      <c r="G116" s="1058">
        <f t="shared" si="12"/>
        <v>0</v>
      </c>
      <c r="H116" s="1055">
        <f>SUM(G116+'1'!G93)</f>
        <v>200</v>
      </c>
      <c r="I116" s="1054"/>
      <c r="J116" s="1056">
        <f>H116/DAY(B2)</f>
        <v>8.3333333333333339</v>
      </c>
      <c r="N116" s="1093"/>
      <c r="O116" s="930"/>
    </row>
    <row r="117" spans="1:15" s="1061" customFormat="1">
      <c r="A117" s="1514" t="s">
        <v>213</v>
      </c>
      <c r="B117" s="1515"/>
      <c r="C117" s="1059"/>
      <c r="D117" s="1060"/>
      <c r="E117" s="1058"/>
      <c r="F117" s="1058"/>
      <c r="G117" s="1058">
        <f>SUM(G114:G116)</f>
        <v>23</v>
      </c>
      <c r="H117" s="1055">
        <f>SUM(G117+'1'!G95)</f>
        <v>95</v>
      </c>
      <c r="I117" s="1058"/>
      <c r="J117" s="1056">
        <f>H117/DAY(B2)</f>
        <v>3.9583333333333335</v>
      </c>
      <c r="N117" s="1098"/>
      <c r="O117" s="930"/>
    </row>
    <row r="118" spans="1:15" s="851" customFormat="1">
      <c r="A118" s="1516" t="s">
        <v>238</v>
      </c>
      <c r="B118" s="1517"/>
      <c r="C118" s="1062"/>
      <c r="D118" s="1063" t="s">
        <v>155</v>
      </c>
      <c r="E118" s="1064"/>
      <c r="F118" s="1065">
        <f>SUM(G19+G92)</f>
        <v>153</v>
      </c>
      <c r="G118" s="1065">
        <f>SUM(G19+G92)</f>
        <v>153</v>
      </c>
      <c r="H118" s="1055">
        <f>SUM(G118+'1'!G96)</f>
        <v>176</v>
      </c>
      <c r="I118" s="1064"/>
      <c r="J118" s="1066">
        <f>H118/DAY(B2)</f>
        <v>7.333333333333333</v>
      </c>
      <c r="N118" s="1099"/>
      <c r="O118" s="930"/>
    </row>
    <row r="119" spans="1:15" s="851" customFormat="1">
      <c r="A119" s="1516" t="s">
        <v>239</v>
      </c>
      <c r="B119" s="1517"/>
      <c r="C119" s="1062"/>
      <c r="D119" s="1063" t="s">
        <v>155</v>
      </c>
      <c r="E119" s="1064"/>
      <c r="F119" s="1065">
        <f>SUM(G95,G96,G97,G99,G100)</f>
        <v>150</v>
      </c>
      <c r="G119" s="1065">
        <f>SUM(G95,G96,G97,G99,G100)</f>
        <v>150</v>
      </c>
      <c r="H119" s="1055">
        <f>SUM(G119+'1'!G98)</f>
        <v>233</v>
      </c>
      <c r="I119" s="1064"/>
      <c r="J119" s="1066">
        <f>H119/DAY(B2)</f>
        <v>9.7083333333333339</v>
      </c>
      <c r="N119" s="1099"/>
      <c r="O119" s="930"/>
    </row>
    <row r="120" spans="1:15" s="851" customFormat="1">
      <c r="A120" s="1516" t="s">
        <v>240</v>
      </c>
      <c r="B120" s="1517"/>
      <c r="C120" s="1062"/>
      <c r="D120" s="1063" t="s">
        <v>155</v>
      </c>
      <c r="E120" s="1064"/>
      <c r="F120" s="1058">
        <f>SUM(G112)</f>
        <v>96</v>
      </c>
      <c r="G120" s="1058">
        <f>SUM(G112)</f>
        <v>96</v>
      </c>
      <c r="H120" s="1055">
        <f>SUM(G120+'1'!G100)</f>
        <v>102</v>
      </c>
      <c r="I120" s="1064"/>
      <c r="J120" s="1066">
        <f>H120/DAY(B2)</f>
        <v>4.25</v>
      </c>
      <c r="N120" s="1099"/>
      <c r="O120" s="930"/>
    </row>
    <row r="121" spans="1:15" s="975" customFormat="1">
      <c r="A121" s="1510"/>
      <c r="B121" s="1511"/>
      <c r="C121" s="1057"/>
      <c r="D121" s="1052"/>
      <c r="E121" s="1052"/>
      <c r="F121" s="1052" t="s">
        <v>226</v>
      </c>
      <c r="G121" s="1052"/>
      <c r="H121" s="1067"/>
      <c r="I121" s="1052"/>
      <c r="J121" s="1068"/>
      <c r="N121" s="1093"/>
      <c r="O121" s="930"/>
    </row>
    <row r="122" spans="1:15">
      <c r="A122" s="1534" t="s">
        <v>241</v>
      </c>
      <c r="B122" s="1535"/>
      <c r="C122" s="1536"/>
      <c r="D122" s="918"/>
      <c r="E122" s="918"/>
      <c r="F122" s="918"/>
      <c r="G122" s="950"/>
      <c r="H122" s="950"/>
      <c r="I122" s="950"/>
      <c r="J122" s="1069"/>
      <c r="K122" s="1024"/>
      <c r="L122" s="903"/>
      <c r="O122" s="930"/>
    </row>
    <row r="123" spans="1:15">
      <c r="A123" s="952" t="s">
        <v>242</v>
      </c>
      <c r="B123" s="953"/>
      <c r="C123" s="953"/>
      <c r="D123" s="923" t="s">
        <v>152</v>
      </c>
      <c r="E123" s="924">
        <f>'23'!F123</f>
        <v>801217.94</v>
      </c>
      <c r="F123" s="942">
        <v>801487</v>
      </c>
      <c r="G123" s="925">
        <f t="shared" ref="G123:G127" si="13">F123-E123</f>
        <v>269.06000000005588</v>
      </c>
      <c r="H123" s="926">
        <f>G123+'23'!H123</f>
        <v>-1848.4000000000233</v>
      </c>
      <c r="I123" s="1042"/>
      <c r="J123" s="928">
        <f>H123/DAY(B2)</f>
        <v>-77.016666666667632</v>
      </c>
      <c r="K123" s="1024"/>
      <c r="L123" s="903"/>
      <c r="O123" s="930"/>
    </row>
    <row r="124" spans="1:15">
      <c r="A124" s="952" t="s">
        <v>243</v>
      </c>
      <c r="B124" s="953"/>
      <c r="C124" s="953"/>
      <c r="D124" s="923" t="s">
        <v>152</v>
      </c>
      <c r="E124" s="924">
        <f>'23'!F124</f>
        <v>73582.3</v>
      </c>
      <c r="F124" s="1070">
        <v>73582</v>
      </c>
      <c r="G124" s="925">
        <f t="shared" si="13"/>
        <v>-0.30000000000291038</v>
      </c>
      <c r="H124" s="926">
        <f>G124+'23'!H124</f>
        <v>0</v>
      </c>
      <c r="I124" s="1042"/>
      <c r="J124" s="928">
        <f>H124/DAY(B2)</f>
        <v>0</v>
      </c>
      <c r="K124" s="1024"/>
      <c r="L124" s="903"/>
      <c r="O124" s="930"/>
    </row>
    <row r="125" spans="1:15">
      <c r="A125" s="1528" t="s">
        <v>244</v>
      </c>
      <c r="B125" s="1529"/>
      <c r="C125" s="1530"/>
      <c r="D125" s="923" t="s">
        <v>152</v>
      </c>
      <c r="E125" s="924">
        <f>'23'!F125</f>
        <v>137324.48000000001</v>
      </c>
      <c r="F125" s="942">
        <v>137389.37</v>
      </c>
      <c r="G125" s="925">
        <f t="shared" si="13"/>
        <v>64.889999999984866</v>
      </c>
      <c r="H125" s="926">
        <f>G125+'23'!H125</f>
        <v>-458.63000000000466</v>
      </c>
      <c r="I125" s="1042"/>
      <c r="J125" s="928">
        <f>H125/DAY(B2)</f>
        <v>-19.109583333333529</v>
      </c>
      <c r="K125" s="1024"/>
      <c r="L125" s="903"/>
      <c r="O125" s="930"/>
    </row>
    <row r="126" spans="1:15">
      <c r="A126" s="1071" t="s">
        <v>245</v>
      </c>
      <c r="B126" s="953"/>
      <c r="C126" s="953"/>
      <c r="D126" s="923" t="s">
        <v>152</v>
      </c>
      <c r="E126" s="924">
        <f>'23'!F126</f>
        <v>58145.4</v>
      </c>
      <c r="F126" s="1070">
        <v>58180</v>
      </c>
      <c r="G126" s="925">
        <f t="shared" si="13"/>
        <v>34.599999999998545</v>
      </c>
      <c r="H126" s="926">
        <f>G126+'23'!H126</f>
        <v>-211.69999999999709</v>
      </c>
      <c r="I126" s="1042"/>
      <c r="J126" s="928">
        <f>H126/DAY(B2)</f>
        <v>-8.8208333333332121</v>
      </c>
      <c r="K126" s="1024"/>
      <c r="L126" s="903"/>
      <c r="O126" s="930"/>
    </row>
    <row r="127" spans="1:15">
      <c r="A127" s="1071" t="s">
        <v>246</v>
      </c>
      <c r="B127" s="953"/>
      <c r="C127" s="953"/>
      <c r="D127" s="923" t="s">
        <v>152</v>
      </c>
      <c r="E127" s="924">
        <f>'23'!F127</f>
        <v>8789.1</v>
      </c>
      <c r="F127" s="1070">
        <v>8793</v>
      </c>
      <c r="G127" s="925">
        <f t="shared" si="13"/>
        <v>3.8999999999996362</v>
      </c>
      <c r="H127" s="926">
        <f>G127+'23'!H127</f>
        <v>-23</v>
      </c>
      <c r="I127" s="945"/>
      <c r="J127" s="928">
        <f>H127/DAY(B2)</f>
        <v>-0.95833333333333337</v>
      </c>
      <c r="K127" s="1024"/>
      <c r="L127" s="903"/>
      <c r="O127" s="930"/>
    </row>
    <row r="128" spans="1:15">
      <c r="A128" s="1071" t="s">
        <v>247</v>
      </c>
      <c r="B128" s="953"/>
      <c r="C128" s="953"/>
      <c r="D128" s="923"/>
      <c r="E128" s="924"/>
      <c r="F128" s="942"/>
      <c r="G128" s="925">
        <f>G15-SUM(G123:G127)</f>
        <v>375.97000000007574</v>
      </c>
      <c r="H128" s="926">
        <f>G128+'23'!H128</f>
        <v>-10181.860000000142</v>
      </c>
      <c r="I128" s="945"/>
      <c r="J128" s="928">
        <f>H128/DAY(B2)</f>
        <v>-424.24416666667258</v>
      </c>
      <c r="K128" s="1024"/>
      <c r="L128" s="903"/>
      <c r="O128" s="930"/>
    </row>
    <row r="129" spans="1:15">
      <c r="A129" s="1072" t="s">
        <v>248</v>
      </c>
      <c r="B129" s="917"/>
      <c r="C129" s="917"/>
      <c r="D129" s="917"/>
      <c r="E129" s="917"/>
      <c r="F129" s="917"/>
      <c r="G129" s="1073"/>
      <c r="H129" s="1073"/>
      <c r="I129" s="1073"/>
      <c r="J129" s="1074"/>
      <c r="O129" s="930"/>
    </row>
    <row r="130" spans="1:15">
      <c r="A130" s="952" t="s">
        <v>249</v>
      </c>
      <c r="B130" s="953"/>
      <c r="C130" s="953"/>
      <c r="D130" s="923" t="s">
        <v>250</v>
      </c>
      <c r="E130" s="924">
        <f>'23'!F130</f>
        <v>0</v>
      </c>
      <c r="F130" s="954">
        <v>0</v>
      </c>
      <c r="G130" s="925">
        <f t="shared" ref="G130:G140" si="14">F130-E130</f>
        <v>0</v>
      </c>
      <c r="H130" s="926">
        <f>G130+'23'!H130</f>
        <v>0</v>
      </c>
      <c r="I130" s="945"/>
      <c r="J130" s="928">
        <f>H130/DAY(B2)</f>
        <v>0</v>
      </c>
      <c r="O130" s="930"/>
    </row>
    <row r="131" spans="1:15">
      <c r="A131" s="952" t="s">
        <v>251</v>
      </c>
      <c r="B131" s="953"/>
      <c r="C131" s="953"/>
      <c r="D131" s="923" t="s">
        <v>250</v>
      </c>
      <c r="E131" s="924">
        <f>'23'!F131</f>
        <v>0</v>
      </c>
      <c r="F131" s="954">
        <v>0</v>
      </c>
      <c r="G131" s="925">
        <f t="shared" si="14"/>
        <v>0</v>
      </c>
      <c r="H131" s="926">
        <f>G131+'23'!H131</f>
        <v>0</v>
      </c>
      <c r="I131" s="945"/>
      <c r="J131" s="928">
        <f>H131/DAY(B2)</f>
        <v>0</v>
      </c>
      <c r="O131" s="930"/>
    </row>
    <row r="132" spans="1:15">
      <c r="A132" s="952" t="s">
        <v>252</v>
      </c>
      <c r="B132" s="953"/>
      <c r="C132" s="953"/>
      <c r="D132" s="923" t="s">
        <v>250</v>
      </c>
      <c r="E132" s="924">
        <f>'23'!F132</f>
        <v>38913.01</v>
      </c>
      <c r="F132" s="1075">
        <v>38936.559999999998</v>
      </c>
      <c r="G132" s="925">
        <f t="shared" si="14"/>
        <v>23.549999999995634</v>
      </c>
      <c r="H132" s="926">
        <f>G132+'23'!H132</f>
        <v>218.16999999999098</v>
      </c>
      <c r="I132" s="945"/>
      <c r="J132" s="928">
        <f>H132/DAY(B2)</f>
        <v>9.0904166666662913</v>
      </c>
      <c r="O132" s="930"/>
    </row>
    <row r="133" spans="1:15">
      <c r="A133" s="952" t="s">
        <v>253</v>
      </c>
      <c r="B133" s="953"/>
      <c r="C133" s="953"/>
      <c r="D133" s="923" t="s">
        <v>250</v>
      </c>
      <c r="E133" s="924">
        <f>'23'!F133</f>
        <v>299.01</v>
      </c>
      <c r="F133" s="1075">
        <v>299.01</v>
      </c>
      <c r="G133" s="925">
        <f t="shared" si="14"/>
        <v>0</v>
      </c>
      <c r="H133" s="926">
        <f>G133+'23'!H133</f>
        <v>9.9999999999909051E-3</v>
      </c>
      <c r="I133" s="945">
        <f>G130+G131+G132+G133</f>
        <v>23.549999999995634</v>
      </c>
      <c r="J133" s="928">
        <f>H133/DAY(B2)</f>
        <v>4.1666666666628771E-4</v>
      </c>
      <c r="O133" s="930"/>
    </row>
    <row r="134" spans="1:15">
      <c r="A134" s="952" t="s">
        <v>254</v>
      </c>
      <c r="B134" s="953"/>
      <c r="C134" s="953"/>
      <c r="D134" s="923" t="s">
        <v>250</v>
      </c>
      <c r="E134" s="924">
        <f>'23'!F134</f>
        <v>39951.050000000003</v>
      </c>
      <c r="F134" s="1075">
        <v>39951.050000000003</v>
      </c>
      <c r="G134" s="925">
        <f t="shared" si="14"/>
        <v>0</v>
      </c>
      <c r="H134" s="926">
        <f>G134+'23'!H134</f>
        <v>24</v>
      </c>
      <c r="I134" s="945"/>
      <c r="J134" s="928">
        <f>H134/DAY(B2)</f>
        <v>1</v>
      </c>
      <c r="O134" s="930"/>
    </row>
    <row r="135" spans="1:15">
      <c r="A135" s="952" t="s">
        <v>255</v>
      </c>
      <c r="B135" s="953"/>
      <c r="C135" s="953"/>
      <c r="D135" s="923" t="s">
        <v>250</v>
      </c>
      <c r="E135" s="924">
        <f>'23'!F135</f>
        <v>32423</v>
      </c>
      <c r="F135" s="1075">
        <v>32423</v>
      </c>
      <c r="G135" s="925">
        <f t="shared" si="14"/>
        <v>0</v>
      </c>
      <c r="H135" s="926">
        <f>G135+'23'!H135</f>
        <v>13</v>
      </c>
      <c r="I135" s="945"/>
      <c r="J135" s="928">
        <f>H135/DAY(B2)</f>
        <v>0.54166666666666663</v>
      </c>
      <c r="O135" s="930"/>
    </row>
    <row r="136" spans="1:15">
      <c r="A136" s="952" t="s">
        <v>256</v>
      </c>
      <c r="B136" s="953"/>
      <c r="C136" s="953"/>
      <c r="D136" s="923" t="s">
        <v>250</v>
      </c>
      <c r="E136" s="924">
        <f>'23'!F136</f>
        <v>21946.05</v>
      </c>
      <c r="F136" s="1075">
        <v>21952.93</v>
      </c>
      <c r="G136" s="925">
        <f t="shared" si="14"/>
        <v>6.8800000000010186</v>
      </c>
      <c r="H136" s="926">
        <f>G136+'23'!H136</f>
        <v>-49.029999999998836</v>
      </c>
      <c r="I136" s="945">
        <f>G134+G135+G136</f>
        <v>6.8800000000010186</v>
      </c>
      <c r="J136" s="928">
        <f>H136/DAY(B2)</f>
        <v>-2.0429166666666183</v>
      </c>
      <c r="O136" s="930"/>
    </row>
    <row r="137" spans="1:15">
      <c r="A137" s="952" t="s">
        <v>257</v>
      </c>
      <c r="B137" s="953"/>
      <c r="C137" s="953"/>
      <c r="D137" s="923" t="s">
        <v>250</v>
      </c>
      <c r="E137" s="924">
        <f>'23'!F137</f>
        <v>25019.94</v>
      </c>
      <c r="F137" s="1075">
        <v>25019.94</v>
      </c>
      <c r="G137" s="925">
        <f t="shared" si="14"/>
        <v>0</v>
      </c>
      <c r="H137" s="926">
        <f>G137+'23'!H137</f>
        <v>8</v>
      </c>
      <c r="I137" s="945"/>
      <c r="J137" s="928">
        <f>H137/DAY(B2)</f>
        <v>0.33333333333333331</v>
      </c>
      <c r="O137" s="930"/>
    </row>
    <row r="138" spans="1:15">
      <c r="A138" s="952" t="s">
        <v>258</v>
      </c>
      <c r="B138" s="953"/>
      <c r="C138" s="953"/>
      <c r="D138" s="923" t="s">
        <v>250</v>
      </c>
      <c r="E138" s="924">
        <f>'23'!F138</f>
        <v>70057.8</v>
      </c>
      <c r="F138" s="1075">
        <v>70057.8</v>
      </c>
      <c r="G138" s="925">
        <f t="shared" si="14"/>
        <v>0</v>
      </c>
      <c r="H138" s="926">
        <f>G138+'23'!H138</f>
        <v>15</v>
      </c>
      <c r="I138" s="945">
        <f>G137+G138</f>
        <v>0</v>
      </c>
      <c r="J138" s="928">
        <f>H138/DAY(B2)</f>
        <v>0.625</v>
      </c>
      <c r="O138" s="930"/>
    </row>
    <row r="139" spans="1:15">
      <c r="A139" s="952" t="s">
        <v>259</v>
      </c>
      <c r="B139" s="953"/>
      <c r="C139" s="953"/>
      <c r="D139" s="923" t="s">
        <v>250</v>
      </c>
      <c r="E139" s="924">
        <f>'23'!F139</f>
        <v>1138.53</v>
      </c>
      <c r="F139" s="954">
        <v>1146.44</v>
      </c>
      <c r="G139" s="925">
        <f t="shared" si="14"/>
        <v>7.9100000000000819</v>
      </c>
      <c r="H139" s="926">
        <f>G139+'23'!H139</f>
        <v>-54.149999999999864</v>
      </c>
      <c r="I139" s="1076"/>
      <c r="J139" s="928">
        <f>H139/DAY(B2)</f>
        <v>-2.2562499999999943</v>
      </c>
      <c r="O139" s="930"/>
    </row>
    <row r="140" spans="1:15">
      <c r="A140" s="952" t="s">
        <v>260</v>
      </c>
      <c r="B140" s="953"/>
      <c r="C140" s="953"/>
      <c r="D140" s="923" t="s">
        <v>250</v>
      </c>
      <c r="E140" s="924">
        <f>'23'!F140</f>
        <v>4333.53</v>
      </c>
      <c r="F140" s="954">
        <v>4333.53</v>
      </c>
      <c r="G140" s="925">
        <f t="shared" si="14"/>
        <v>0</v>
      </c>
      <c r="H140" s="926">
        <f>G140+'23'!H140</f>
        <v>-0.47000000000025466</v>
      </c>
      <c r="I140" s="1076"/>
      <c r="J140" s="928">
        <f>H140/DAY(B2)</f>
        <v>-1.9583333333343944E-2</v>
      </c>
      <c r="O140" s="930"/>
    </row>
    <row r="141" spans="1:15">
      <c r="A141" s="1537" t="s">
        <v>261</v>
      </c>
      <c r="B141" s="1538"/>
      <c r="C141" s="918"/>
      <c r="D141" s="918"/>
      <c r="E141" s="918"/>
      <c r="F141" s="918"/>
      <c r="G141" s="950"/>
      <c r="H141" s="950"/>
      <c r="I141" s="950"/>
      <c r="J141" s="1069"/>
      <c r="K141" s="1024"/>
      <c r="L141" s="903"/>
      <c r="O141" s="930"/>
    </row>
    <row r="142" spans="1:15">
      <c r="A142" s="1522" t="s">
        <v>262</v>
      </c>
      <c r="B142" s="1523"/>
      <c r="C142" s="1524"/>
      <c r="D142" s="923" t="s">
        <v>143</v>
      </c>
      <c r="E142" s="923"/>
      <c r="F142" s="923"/>
      <c r="G142" s="926">
        <f>G35+G43+G49+G57</f>
        <v>5453.7999999999884</v>
      </c>
      <c r="H142" s="926">
        <f>G142+'23'!H142</f>
        <v>-39716.399999999965</v>
      </c>
      <c r="I142" s="945"/>
      <c r="J142" s="928">
        <f>H142/DAY(B2)</f>
        <v>-1654.8499999999985</v>
      </c>
      <c r="K142" s="1024"/>
      <c r="L142" s="903"/>
      <c r="O142" s="930"/>
    </row>
    <row r="143" spans="1:15">
      <c r="A143" s="1522" t="s">
        <v>263</v>
      </c>
      <c r="B143" s="1523"/>
      <c r="C143" s="1524"/>
      <c r="D143" s="923" t="s">
        <v>24</v>
      </c>
      <c r="E143" s="910"/>
      <c r="F143" s="910"/>
      <c r="G143" s="1077">
        <f>G142/G7</f>
        <v>0.28125419008818464</v>
      </c>
      <c r="H143" s="926">
        <f>G143+'23'!H143</f>
        <v>6.067315317870662</v>
      </c>
      <c r="I143" s="1078"/>
      <c r="J143" s="928">
        <f>H143/DAY(B2)</f>
        <v>0.2528048049112776</v>
      </c>
      <c r="K143" s="1024"/>
      <c r="L143" s="903"/>
      <c r="O143" s="930"/>
    </row>
    <row r="144" spans="1:15">
      <c r="A144" s="1522" t="s">
        <v>264</v>
      </c>
      <c r="B144" s="1523"/>
      <c r="C144" s="1524"/>
      <c r="D144" s="923" t="s">
        <v>143</v>
      </c>
      <c r="E144" s="924"/>
      <c r="F144" s="924"/>
      <c r="G144" s="926">
        <f>G41+G42+G55+G56</f>
        <v>4221.2300000000032</v>
      </c>
      <c r="H144" s="926">
        <f>G144+'23'!H144</f>
        <v>38281.719999999987</v>
      </c>
      <c r="I144" s="945"/>
      <c r="J144" s="928">
        <f>H144/DAY(B2)</f>
        <v>1595.071666666666</v>
      </c>
      <c r="K144" s="1024"/>
      <c r="L144" s="903"/>
      <c r="O144" s="930"/>
    </row>
    <row r="145" spans="1:15">
      <c r="A145" s="1522" t="s">
        <v>265</v>
      </c>
      <c r="B145" s="1523"/>
      <c r="C145" s="1524"/>
      <c r="D145" s="923" t="s">
        <v>24</v>
      </c>
      <c r="E145" s="924"/>
      <c r="F145" s="924"/>
      <c r="G145" s="1077">
        <f>G144/G7</f>
        <v>0.21769016554071494</v>
      </c>
      <c r="H145" s="926">
        <f>G145+'23'!H145</f>
        <v>5.1336428649380839</v>
      </c>
      <c r="I145" s="1078"/>
      <c r="J145" s="928">
        <f>H145/DAY(B2)</f>
        <v>0.21390178603908683</v>
      </c>
      <c r="K145" s="1024"/>
      <c r="L145" s="903"/>
      <c r="O145" s="930"/>
    </row>
    <row r="146" spans="1:15">
      <c r="A146" s="1522" t="s">
        <v>266</v>
      </c>
      <c r="B146" s="1523"/>
      <c r="C146" s="1524"/>
      <c r="D146" s="923" t="s">
        <v>143</v>
      </c>
      <c r="E146" s="924"/>
      <c r="F146" s="924"/>
      <c r="G146" s="926">
        <f>G39+G53</f>
        <v>4203.9500000000116</v>
      </c>
      <c r="H146" s="926">
        <f>G146+'23'!H146</f>
        <v>883197.73</v>
      </c>
      <c r="I146" s="1079"/>
      <c r="J146" s="928">
        <f>H146/DAY(B2)</f>
        <v>36799.905416666668</v>
      </c>
      <c r="K146" s="1024"/>
      <c r="L146" s="903"/>
      <c r="O146" s="930"/>
    </row>
    <row r="147" spans="1:15">
      <c r="A147" s="1522" t="s">
        <v>267</v>
      </c>
      <c r="B147" s="1523"/>
      <c r="C147" s="1524"/>
      <c r="D147" s="923" t="s">
        <v>24</v>
      </c>
      <c r="E147" s="924"/>
      <c r="F147" s="924"/>
      <c r="G147" s="1077">
        <f>G146/G7</f>
        <v>0.21679903047805743</v>
      </c>
      <c r="H147" s="926">
        <f>G147+'23'!H147</f>
        <v>3.656558341402139</v>
      </c>
      <c r="I147" s="1079"/>
      <c r="J147" s="928">
        <f>H147/DAY(B2)</f>
        <v>0.15235659755842246</v>
      </c>
      <c r="O147" s="930"/>
    </row>
    <row r="148" spans="1:15">
      <c r="A148" s="1522" t="s">
        <v>268</v>
      </c>
      <c r="B148" s="1523"/>
      <c r="C148" s="1524"/>
      <c r="D148" s="923" t="s">
        <v>194</v>
      </c>
      <c r="E148" s="924"/>
      <c r="F148" s="924"/>
      <c r="G148" s="926">
        <f>G38+G52</f>
        <v>1833.9199999999837</v>
      </c>
      <c r="H148" s="926">
        <f>G148+'23'!H148</f>
        <v>137424.34000000003</v>
      </c>
      <c r="I148" s="945"/>
      <c r="J148" s="928">
        <f>H148/DAY(B2)</f>
        <v>5726.0141666666677</v>
      </c>
      <c r="K148" s="1080"/>
      <c r="O148" s="930"/>
    </row>
    <row r="149" spans="1:15">
      <c r="A149" s="1522" t="s">
        <v>269</v>
      </c>
      <c r="B149" s="1523"/>
      <c r="C149" s="1524"/>
      <c r="D149" s="923" t="s">
        <v>24</v>
      </c>
      <c r="E149" s="924"/>
      <c r="F149" s="924"/>
      <c r="G149" s="1077">
        <f>G148/G7</f>
        <v>9.4575834149862495E-2</v>
      </c>
      <c r="H149" s="926">
        <f>G149+'23'!H149</f>
        <v>2.2436048703993534</v>
      </c>
      <c r="I149" s="1079"/>
      <c r="J149" s="928">
        <f>H149/DAY(B2)</f>
        <v>9.348353626663973E-2</v>
      </c>
      <c r="O149" s="930"/>
    </row>
    <row r="150" spans="1:15">
      <c r="A150" s="1522" t="s">
        <v>270</v>
      </c>
      <c r="B150" s="1523"/>
      <c r="C150" s="1524"/>
      <c r="D150" s="923" t="s">
        <v>194</v>
      </c>
      <c r="E150" s="924"/>
      <c r="F150" s="924"/>
      <c r="G150" s="926">
        <f>G36+G50</f>
        <v>1724.8999999999651</v>
      </c>
      <c r="H150" s="926">
        <f>G150+'23'!H150</f>
        <v>-12486.140000000014</v>
      </c>
      <c r="I150" s="1079"/>
      <c r="J150" s="928">
        <f>H150/DAY(B2)</f>
        <v>-520.25583333333395</v>
      </c>
      <c r="O150" s="930"/>
    </row>
    <row r="151" spans="1:15">
      <c r="A151" s="1522" t="s">
        <v>271</v>
      </c>
      <c r="B151" s="1523"/>
      <c r="C151" s="1524"/>
      <c r="D151" s="923" t="s">
        <v>24</v>
      </c>
      <c r="E151" s="924"/>
      <c r="F151" s="924"/>
      <c r="G151" s="1077">
        <f>G150/G7</f>
        <v>8.8953638285800884E-2</v>
      </c>
      <c r="H151" s="926">
        <f>G151+'23'!H151</f>
        <v>2.3207636729264971</v>
      </c>
      <c r="I151" s="945"/>
      <c r="J151" s="928">
        <f>H151/DAY(B2)</f>
        <v>9.6698486371937384E-2</v>
      </c>
      <c r="O151" s="930"/>
    </row>
    <row r="152" spans="1:15">
      <c r="A152" s="1522" t="s">
        <v>272</v>
      </c>
      <c r="B152" s="1523"/>
      <c r="C152" s="1524"/>
      <c r="D152" s="923" t="s">
        <v>194</v>
      </c>
      <c r="E152" s="924"/>
      <c r="F152" s="924"/>
      <c r="G152" s="926">
        <f>G37+G51</f>
        <v>1478.3600000000006</v>
      </c>
      <c r="H152" s="926">
        <f>G152+'23'!H152</f>
        <v>404630.25999999995</v>
      </c>
      <c r="I152" s="945"/>
      <c r="J152" s="928">
        <f>H152/DAY(B2)</f>
        <v>16859.594166666666</v>
      </c>
      <c r="O152" s="930"/>
    </row>
    <row r="153" spans="1:15" ht="21" thickBot="1">
      <c r="A153" s="1525" t="s">
        <v>273</v>
      </c>
      <c r="B153" s="1526"/>
      <c r="C153" s="1527"/>
      <c r="D153" s="1081" t="s">
        <v>24</v>
      </c>
      <c r="E153" s="1082"/>
      <c r="F153" s="1082"/>
      <c r="G153" s="1083">
        <f>G152/G7</f>
        <v>7.6239492548089344E-2</v>
      </c>
      <c r="H153" s="926">
        <f>G153+'23'!H153</f>
        <v>1.14985088800644</v>
      </c>
      <c r="I153" s="1084"/>
      <c r="J153" s="1085">
        <f>H153/DAY(B2)</f>
        <v>4.7910453666934999E-2</v>
      </c>
      <c r="O153" s="930"/>
    </row>
    <row r="154" spans="1:15">
      <c r="A154" s="1086"/>
      <c r="B154" s="1086"/>
      <c r="C154" s="1086"/>
      <c r="D154" s="1086"/>
      <c r="E154" s="1086"/>
      <c r="F154" s="1086"/>
      <c r="G154" s="1086"/>
      <c r="H154" s="1087"/>
      <c r="I154" s="1086"/>
      <c r="J154" s="1088"/>
      <c r="O154" s="930"/>
    </row>
    <row r="160" spans="1:15">
      <c r="A160" s="1076" t="s">
        <v>274</v>
      </c>
      <c r="B160" s="1076"/>
      <c r="C160" s="1076"/>
      <c r="D160" s="910" t="s">
        <v>198</v>
      </c>
      <c r="E160" s="924">
        <f>'23'!F160</f>
        <v>27778.69</v>
      </c>
      <c r="F160" s="1101">
        <v>27861</v>
      </c>
      <c r="G160" s="925">
        <f t="shared" ref="G160:G163" si="15">F160-E160</f>
        <v>82.31000000000131</v>
      </c>
    </row>
    <row r="161" spans="1:7" ht="21.75" customHeight="1">
      <c r="A161" s="1076" t="s">
        <v>275</v>
      </c>
      <c r="B161" s="1076"/>
      <c r="C161" s="1076"/>
      <c r="D161" s="910" t="s">
        <v>198</v>
      </c>
      <c r="E161" s="924">
        <f>'23'!F161</f>
        <v>39033.03</v>
      </c>
      <c r="F161" s="1101">
        <v>39461</v>
      </c>
      <c r="G161" s="925">
        <f t="shared" si="15"/>
        <v>427.97000000000116</v>
      </c>
    </row>
    <row r="162" spans="1:7" ht="21.75" customHeight="1">
      <c r="A162" s="1076" t="s">
        <v>276</v>
      </c>
      <c r="B162" s="1076"/>
      <c r="C162" s="1076"/>
      <c r="D162" s="910" t="s">
        <v>198</v>
      </c>
      <c r="E162" s="924">
        <f>'23'!F162</f>
        <v>10882.5</v>
      </c>
      <c r="F162" s="1101">
        <v>11157</v>
      </c>
      <c r="G162" s="925">
        <f t="shared" si="15"/>
        <v>274.5</v>
      </c>
    </row>
    <row r="163" spans="1:7" ht="21.75" customHeight="1">
      <c r="A163" s="1076" t="s">
        <v>277</v>
      </c>
      <c r="B163" s="1076"/>
      <c r="C163" s="1076"/>
      <c r="D163" s="910" t="s">
        <v>198</v>
      </c>
      <c r="E163" s="924">
        <f>'23'!F163</f>
        <v>4833.93</v>
      </c>
      <c r="F163" s="1101">
        <v>4855</v>
      </c>
      <c r="G163" s="925">
        <f t="shared" si="15"/>
        <v>21.069999999999709</v>
      </c>
    </row>
    <row r="164" spans="1:7" ht="21.75" customHeight="1">
      <c r="A164" s="1006" t="s">
        <v>106</v>
      </c>
      <c r="B164" s="1006"/>
      <c r="C164" s="1006"/>
      <c r="D164" s="910" t="s">
        <v>198</v>
      </c>
      <c r="E164" s="1007">
        <f>E62</f>
        <v>20419</v>
      </c>
      <c r="F164" s="1007">
        <f>F62</f>
        <v>20419.18</v>
      </c>
      <c r="G164" s="925">
        <f t="shared" ref="G164:G171" si="16">F164-E164</f>
        <v>0.18000000000029104</v>
      </c>
    </row>
    <row r="165" spans="1:7" ht="21.75" customHeight="1">
      <c r="A165" s="1006" t="s">
        <v>199</v>
      </c>
      <c r="B165" s="1006"/>
      <c r="C165" s="1006"/>
      <c r="D165" s="910" t="s">
        <v>198</v>
      </c>
      <c r="E165" s="1007">
        <f t="shared" ref="E165:E171" si="17">E63</f>
        <v>1245.43</v>
      </c>
      <c r="F165" s="1007">
        <f t="shared" ref="F165:F171" si="18">F63</f>
        <v>1254</v>
      </c>
      <c r="G165" s="925">
        <f t="shared" si="16"/>
        <v>8.5699999999999363</v>
      </c>
    </row>
    <row r="166" spans="1:7" ht="21.75" customHeight="1">
      <c r="A166" s="1509" t="s">
        <v>107</v>
      </c>
      <c r="B166" s="1509"/>
      <c r="C166" s="1509"/>
      <c r="D166" s="923" t="s">
        <v>198</v>
      </c>
      <c r="E166" s="1007">
        <f t="shared" si="17"/>
        <v>107901.1</v>
      </c>
      <c r="F166" s="1007">
        <f t="shared" si="18"/>
        <v>108305</v>
      </c>
      <c r="G166" s="925">
        <f t="shared" si="16"/>
        <v>403.89999999999418</v>
      </c>
    </row>
    <row r="167" spans="1:7" ht="21.75" customHeight="1">
      <c r="A167" s="1509" t="s">
        <v>108</v>
      </c>
      <c r="B167" s="1509"/>
      <c r="C167" s="1509"/>
      <c r="D167" s="923" t="s">
        <v>198</v>
      </c>
      <c r="E167" s="1007">
        <f t="shared" si="17"/>
        <v>118512.05</v>
      </c>
      <c r="F167" s="1007">
        <f t="shared" si="18"/>
        <v>118952</v>
      </c>
      <c r="G167" s="925">
        <f t="shared" si="16"/>
        <v>439.94999999999709</v>
      </c>
    </row>
    <row r="168" spans="1:7" ht="21.75" customHeight="1">
      <c r="A168" s="1509" t="s">
        <v>109</v>
      </c>
      <c r="B168" s="1509"/>
      <c r="C168" s="1509"/>
      <c r="D168" s="923" t="s">
        <v>198</v>
      </c>
      <c r="E168" s="1007">
        <f t="shared" si="17"/>
        <v>10824.81</v>
      </c>
      <c r="F168" s="1007">
        <f t="shared" si="18"/>
        <v>11222</v>
      </c>
      <c r="G168" s="925">
        <f t="shared" si="16"/>
        <v>397.19000000000051</v>
      </c>
    </row>
    <row r="169" spans="1:7">
      <c r="A169" s="1509" t="s">
        <v>110</v>
      </c>
      <c r="B169" s="1509"/>
      <c r="C169" s="1509"/>
      <c r="D169" s="923" t="s">
        <v>198</v>
      </c>
      <c r="E169" s="1007">
        <f t="shared" si="17"/>
        <v>183352.45</v>
      </c>
      <c r="F169" s="1007">
        <f t="shared" si="18"/>
        <v>183973</v>
      </c>
      <c r="G169" s="925">
        <f t="shared" si="16"/>
        <v>620.54999999998836</v>
      </c>
    </row>
    <row r="170" spans="1:7" ht="24" customHeight="1">
      <c r="A170" s="1509" t="s">
        <v>111</v>
      </c>
      <c r="B170" s="1509"/>
      <c r="C170" s="1509"/>
      <c r="D170" s="923" t="s">
        <v>198</v>
      </c>
      <c r="E170" s="1007">
        <f t="shared" si="17"/>
        <v>60703.31</v>
      </c>
      <c r="F170" s="1007">
        <f t="shared" si="18"/>
        <v>61054</v>
      </c>
      <c r="G170" s="925">
        <f t="shared" si="16"/>
        <v>350.69000000000233</v>
      </c>
    </row>
    <row r="171" spans="1:7">
      <c r="A171" s="1509" t="s">
        <v>112</v>
      </c>
      <c r="B171" s="1509"/>
      <c r="C171" s="1509"/>
      <c r="D171" s="923" t="s">
        <v>198</v>
      </c>
      <c r="E171" s="1007">
        <f t="shared" si="17"/>
        <v>53249.27</v>
      </c>
      <c r="F171" s="1007">
        <f t="shared" si="18"/>
        <v>53549</v>
      </c>
      <c r="G171" s="925">
        <f t="shared" si="16"/>
        <v>299.7300000000032</v>
      </c>
    </row>
    <row r="172" spans="1:7">
      <c r="G172" s="1091">
        <f>SUM(G160:G171)</f>
        <v>3326.6099999999878</v>
      </c>
    </row>
    <row r="176" spans="1:7" ht="18.7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4:C94"/>
    <mergeCell ref="A95:C95"/>
    <mergeCell ref="A82:C82"/>
    <mergeCell ref="A83:C83"/>
    <mergeCell ref="A92:C92"/>
    <mergeCell ref="A93:C93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33" orientation="portrait" r:id="rId1"/>
  <colBreaks count="1" manualBreakCount="1">
    <brk id="10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76"/>
  <sheetViews>
    <sheetView view="pageBreakPreview" topLeftCell="A79" zoomScale="70" zoomScaleNormal="49" zoomScaleSheetLayoutView="70" workbookViewId="0">
      <selection activeCell="F28" sqref="F28"/>
    </sheetView>
  </sheetViews>
  <sheetFormatPr defaultColWidth="22.33203125" defaultRowHeight="20.25"/>
  <cols>
    <col min="1" max="1" width="51.21875" style="1089" customWidth="1"/>
    <col min="2" max="2" width="24.88671875" style="1089" customWidth="1"/>
    <col min="3" max="3" width="12.44140625" style="1089" customWidth="1"/>
    <col min="4" max="4" width="13.6640625" style="1089" customWidth="1"/>
    <col min="5" max="5" width="28.109375" style="1089" customWidth="1"/>
    <col min="6" max="6" width="23.77734375" style="1089" customWidth="1"/>
    <col min="7" max="7" width="18.44140625" style="1089" customWidth="1"/>
    <col min="8" max="8" width="39.21875" style="1090" customWidth="1"/>
    <col min="9" max="9" width="12" style="1089" bestFit="1" customWidth="1"/>
    <col min="10" max="10" width="24" style="1091" customWidth="1"/>
    <col min="11" max="11" width="43.21875" style="890" hidden="1" customWidth="1"/>
    <col min="12" max="13" width="0" style="890" hidden="1" customWidth="1"/>
    <col min="14" max="14" width="25.109375" style="1092" customWidth="1"/>
    <col min="15" max="15" width="6.77734375" style="890" bestFit="1" customWidth="1"/>
    <col min="16" max="16384" width="22.33203125" style="890"/>
  </cols>
  <sheetData>
    <row r="1" spans="1:15" ht="22.5">
      <c r="A1" s="1551" t="s">
        <v>128</v>
      </c>
      <c r="B1" s="1552"/>
      <c r="C1" s="1552"/>
      <c r="D1" s="1552"/>
      <c r="E1" s="1552"/>
      <c r="F1" s="1552"/>
      <c r="G1" s="1552"/>
      <c r="H1" s="1552"/>
      <c r="I1" s="1552"/>
      <c r="J1" s="1553"/>
    </row>
    <row r="2" spans="1:15">
      <c r="A2" s="891" t="s">
        <v>284</v>
      </c>
      <c r="B2" s="1119">
        <v>43855</v>
      </c>
      <c r="C2" s="892" t="s">
        <v>69</v>
      </c>
      <c r="D2" s="1106">
        <v>0.65</v>
      </c>
      <c r="E2" s="894"/>
      <c r="F2" s="894"/>
      <c r="G2" s="894" t="s">
        <v>129</v>
      </c>
      <c r="H2" s="894" t="s">
        <v>6</v>
      </c>
      <c r="I2" s="894" t="s">
        <v>8</v>
      </c>
      <c r="J2" s="895" t="s">
        <v>130</v>
      </c>
    </row>
    <row r="3" spans="1:15">
      <c r="A3" s="896"/>
      <c r="B3" s="897"/>
      <c r="C3" s="892" t="s">
        <v>131</v>
      </c>
      <c r="D3" s="892">
        <v>31</v>
      </c>
      <c r="E3" s="1560" t="s">
        <v>132</v>
      </c>
      <c r="F3" s="1561"/>
      <c r="G3" s="899">
        <f>'1'!G3</f>
        <v>0</v>
      </c>
      <c r="H3" s="900">
        <f>'1'!H3</f>
        <v>0</v>
      </c>
      <c r="I3" s="900">
        <f>'1'!I3</f>
        <v>0</v>
      </c>
      <c r="J3" s="901">
        <f>'1'!J3</f>
        <v>0</v>
      </c>
      <c r="K3" s="902"/>
      <c r="L3" s="903"/>
    </row>
    <row r="4" spans="1:15">
      <c r="A4" s="904"/>
      <c r="B4" s="905"/>
      <c r="C4" s="892" t="s">
        <v>133</v>
      </c>
      <c r="D4" s="1106">
        <v>0.8</v>
      </c>
      <c r="E4" s="906"/>
      <c r="F4" s="906"/>
      <c r="G4" s="906"/>
      <c r="H4" s="906"/>
      <c r="I4" s="907"/>
      <c r="J4" s="901"/>
      <c r="K4" s="908"/>
      <c r="L4" s="903"/>
    </row>
    <row r="5" spans="1:15">
      <c r="A5" s="909" t="s">
        <v>134</v>
      </c>
      <c r="B5" s="910"/>
      <c r="C5" s="910"/>
      <c r="D5" s="910" t="s">
        <v>135</v>
      </c>
      <c r="E5" s="911" t="s">
        <v>136</v>
      </c>
      <c r="F5" s="911" t="s">
        <v>123</v>
      </c>
      <c r="G5" s="912" t="s">
        <v>137</v>
      </c>
      <c r="H5" s="913" t="s">
        <v>138</v>
      </c>
      <c r="I5" s="914" t="s">
        <v>139</v>
      </c>
      <c r="J5" s="915" t="s">
        <v>140</v>
      </c>
      <c r="K5" s="916"/>
      <c r="L5" s="903"/>
    </row>
    <row r="6" spans="1:15">
      <c r="A6" s="1554" t="s">
        <v>141</v>
      </c>
      <c r="B6" s="1555"/>
      <c r="C6" s="1556"/>
      <c r="D6" s="917"/>
      <c r="E6" s="917"/>
      <c r="F6" s="917"/>
      <c r="G6" s="917"/>
      <c r="H6" s="918"/>
      <c r="I6" s="918"/>
      <c r="J6" s="919"/>
      <c r="K6" s="920"/>
      <c r="L6" s="903"/>
    </row>
    <row r="7" spans="1:15" ht="21" thickBot="1">
      <c r="A7" s="921" t="s">
        <v>142</v>
      </c>
      <c r="B7" s="922"/>
      <c r="C7" s="922"/>
      <c r="D7" s="923" t="s">
        <v>143</v>
      </c>
      <c r="E7" s="924">
        <f>'24'!F7</f>
        <v>3755812</v>
      </c>
      <c r="F7" s="924">
        <v>3774981</v>
      </c>
      <c r="G7" s="925">
        <f>F7-E7</f>
        <v>19169</v>
      </c>
      <c r="H7" s="926">
        <f>G7+'24'!H7</f>
        <v>-113217</v>
      </c>
      <c r="I7" s="927">
        <f>'1'!I7</f>
        <v>12000</v>
      </c>
      <c r="J7" s="928">
        <f>H7/DAY(B2)</f>
        <v>-4528.68</v>
      </c>
      <c r="K7" s="929"/>
      <c r="L7" s="903"/>
      <c r="N7" s="1104">
        <f>G7/G8</f>
        <v>0.99105573363664567</v>
      </c>
      <c r="O7" s="930"/>
    </row>
    <row r="8" spans="1:15" ht="21" thickBot="1">
      <c r="A8" s="931" t="s">
        <v>144</v>
      </c>
      <c r="B8" s="932"/>
      <c r="C8" s="933"/>
      <c r="D8" s="934" t="s">
        <v>25</v>
      </c>
      <c r="E8" s="924">
        <f>'24'!F8</f>
        <v>3779214</v>
      </c>
      <c r="F8" s="935">
        <v>3798556</v>
      </c>
      <c r="G8" s="936">
        <f>F8-E8</f>
        <v>19342</v>
      </c>
      <c r="H8" s="926">
        <f>G8+'24'!H8</f>
        <v>-114295</v>
      </c>
      <c r="I8" s="937">
        <f>'1'!I8</f>
        <v>12000</v>
      </c>
      <c r="J8" s="928">
        <f>H8/DAY(B2)</f>
        <v>-4571.8</v>
      </c>
      <c r="K8" s="929">
        <v>1375467</v>
      </c>
      <c r="L8" s="938">
        <v>1667461</v>
      </c>
      <c r="M8" s="939"/>
      <c r="O8" s="930"/>
    </row>
    <row r="9" spans="1:15">
      <c r="A9" s="940" t="s">
        <v>145</v>
      </c>
      <c r="B9" s="941"/>
      <c r="C9" s="941"/>
      <c r="D9" s="923" t="s">
        <v>143</v>
      </c>
      <c r="E9" s="924">
        <f>'24'!F9</f>
        <v>2490697</v>
      </c>
      <c r="F9" s="942">
        <v>2497166</v>
      </c>
      <c r="G9" s="925">
        <f t="shared" ref="G9:G12" si="0">F9-E9</f>
        <v>6469</v>
      </c>
      <c r="H9" s="926">
        <f>G9+'24'!H9</f>
        <v>2534278.25</v>
      </c>
      <c r="I9" s="943">
        <f>I8-J8</f>
        <v>16571.8</v>
      </c>
      <c r="J9" s="928">
        <f>H9/DAY(B2)</f>
        <v>101371.13</v>
      </c>
      <c r="K9" s="944"/>
      <c r="L9" s="903"/>
      <c r="O9" s="930"/>
    </row>
    <row r="10" spans="1:15">
      <c r="A10" s="921" t="s">
        <v>146</v>
      </c>
      <c r="B10" s="922"/>
      <c r="C10" s="922"/>
      <c r="D10" s="923" t="s">
        <v>143</v>
      </c>
      <c r="E10" s="924">
        <f>'24'!F10</f>
        <v>1117423</v>
      </c>
      <c r="F10" s="942">
        <v>1129479</v>
      </c>
      <c r="G10" s="925">
        <f t="shared" si="0"/>
        <v>12056</v>
      </c>
      <c r="H10" s="926">
        <f>G10+'24'!H10</f>
        <v>-71395.399999999907</v>
      </c>
      <c r="I10" s="945"/>
      <c r="J10" s="928">
        <f>H10/DAY(B2)</f>
        <v>-2855.8159999999962</v>
      </c>
      <c r="K10" s="944"/>
      <c r="L10" s="903">
        <f>L8-K8</f>
        <v>291994</v>
      </c>
      <c r="O10" s="930"/>
    </row>
    <row r="11" spans="1:15">
      <c r="A11" s="921" t="s">
        <v>147</v>
      </c>
      <c r="B11" s="922"/>
      <c r="C11" s="922"/>
      <c r="D11" s="923" t="s">
        <v>143</v>
      </c>
      <c r="E11" s="924">
        <f>'24'!F11</f>
        <v>35390</v>
      </c>
      <c r="F11" s="924">
        <v>35390</v>
      </c>
      <c r="G11" s="925">
        <f t="shared" si="0"/>
        <v>0</v>
      </c>
      <c r="H11" s="926">
        <f>G11+'24'!H11</f>
        <v>0</v>
      </c>
      <c r="I11" s="945"/>
      <c r="J11" s="928">
        <f>H11/DAY(B2)</f>
        <v>0</v>
      </c>
      <c r="K11" s="944"/>
      <c r="L11" s="903"/>
      <c r="N11" s="1105">
        <f>G7*N7</f>
        <v>18997.547358080861</v>
      </c>
      <c r="O11" s="930"/>
    </row>
    <row r="12" spans="1:15">
      <c r="A12" s="921" t="s">
        <v>148</v>
      </c>
      <c r="B12" s="922"/>
      <c r="C12" s="922"/>
      <c r="D12" s="923" t="s">
        <v>143</v>
      </c>
      <c r="E12" s="924">
        <f>'24'!F12</f>
        <v>37630</v>
      </c>
      <c r="F12" s="942">
        <v>37630</v>
      </c>
      <c r="G12" s="925">
        <f t="shared" si="0"/>
        <v>0</v>
      </c>
      <c r="H12" s="926">
        <f>G12+'24'!H12</f>
        <v>0</v>
      </c>
      <c r="I12" s="945"/>
      <c r="J12" s="928">
        <f>H12/DAY(B2)</f>
        <v>0</v>
      </c>
      <c r="K12" s="944"/>
      <c r="L12" s="903"/>
      <c r="O12" s="930"/>
    </row>
    <row r="13" spans="1:15">
      <c r="A13" s="946" t="s">
        <v>149</v>
      </c>
      <c r="B13" s="947"/>
      <c r="C13" s="947"/>
      <c r="D13" s="923"/>
      <c r="E13" s="924"/>
      <c r="F13" s="924"/>
      <c r="G13" s="948">
        <f>G9+G10+G11+G12</f>
        <v>18525</v>
      </c>
      <c r="H13" s="926">
        <f>G13+'24'!H13</f>
        <v>2444576.8500000006</v>
      </c>
      <c r="I13" s="949">
        <f>G7-G13</f>
        <v>644</v>
      </c>
      <c r="J13" s="928">
        <f>H13/DAY(B2)</f>
        <v>97783.074000000022</v>
      </c>
      <c r="K13" s="944"/>
      <c r="L13" s="903">
        <f>L10-H7</f>
        <v>405211</v>
      </c>
      <c r="O13" s="930"/>
    </row>
    <row r="14" spans="1:15">
      <c r="A14" s="1557" t="s">
        <v>150</v>
      </c>
      <c r="B14" s="1558"/>
      <c r="C14" s="1559"/>
      <c r="D14" s="918"/>
      <c r="E14" s="918"/>
      <c r="F14" s="918"/>
      <c r="G14" s="950"/>
      <c r="H14" s="918"/>
      <c r="I14" s="918"/>
      <c r="J14" s="919"/>
      <c r="K14" s="951"/>
      <c r="L14" s="903"/>
      <c r="O14" s="930"/>
    </row>
    <row r="15" spans="1:15">
      <c r="A15" s="952" t="s">
        <v>151</v>
      </c>
      <c r="B15" s="953"/>
      <c r="C15" s="953"/>
      <c r="D15" s="923" t="s">
        <v>152</v>
      </c>
      <c r="E15" s="924">
        <f>'24'!F15</f>
        <v>1589010</v>
      </c>
      <c r="F15" s="954">
        <v>1589940.86</v>
      </c>
      <c r="G15" s="1102">
        <f>(F15-E15)</f>
        <v>930.86000000010245</v>
      </c>
      <c r="H15" s="926">
        <f>G15+'24'!H15</f>
        <v>-4496.2899999998044</v>
      </c>
      <c r="I15" s="927">
        <f>'1'!I15</f>
        <v>800</v>
      </c>
      <c r="J15" s="928">
        <f>H15/DAY(B2)</f>
        <v>-179.85159999999217</v>
      </c>
      <c r="K15" s="944"/>
      <c r="L15" s="903"/>
      <c r="O15" s="930"/>
    </row>
    <row r="16" spans="1:15">
      <c r="A16" s="955"/>
      <c r="B16" s="956"/>
      <c r="C16" s="956"/>
      <c r="D16" s="957"/>
      <c r="E16" s="958"/>
      <c r="F16" s="958"/>
      <c r="G16" s="925"/>
      <c r="H16" s="959"/>
      <c r="I16" s="960">
        <f>I15-J15</f>
        <v>979.85159999999223</v>
      </c>
      <c r="J16" s="961"/>
      <c r="K16" s="944"/>
      <c r="L16" s="903"/>
      <c r="O16" s="930"/>
    </row>
    <row r="17" spans="1:15">
      <c r="A17" s="1557" t="s">
        <v>153</v>
      </c>
      <c r="B17" s="1558"/>
      <c r="C17" s="1559"/>
      <c r="D17" s="918"/>
      <c r="E17" s="918"/>
      <c r="F17" s="918"/>
      <c r="G17" s="962"/>
      <c r="H17" s="918"/>
      <c r="I17" s="918"/>
      <c r="J17" s="919"/>
      <c r="K17" s="944"/>
      <c r="L17" s="903"/>
      <c r="O17" s="930"/>
    </row>
    <row r="18" spans="1:15">
      <c r="A18" s="1522" t="s">
        <v>154</v>
      </c>
      <c r="B18" s="1523"/>
      <c r="C18" s="1524"/>
      <c r="D18" s="923" t="s">
        <v>155</v>
      </c>
      <c r="E18" s="924">
        <f>'24'!F18</f>
        <v>14</v>
      </c>
      <c r="F18" s="954">
        <v>13</v>
      </c>
      <c r="G18" s="948">
        <f>F18*10</f>
        <v>130</v>
      </c>
      <c r="H18" s="926">
        <f>G18+'24'!H18</f>
        <v>3940</v>
      </c>
      <c r="I18" s="927">
        <f>'1'!I18</f>
        <v>65</v>
      </c>
      <c r="J18" s="928">
        <f>H18/DAY(B2)</f>
        <v>157.6</v>
      </c>
      <c r="K18" s="944"/>
      <c r="L18" s="903"/>
      <c r="O18" s="930"/>
    </row>
    <row r="19" spans="1:15">
      <c r="A19" s="1522" t="s">
        <v>71</v>
      </c>
      <c r="B19" s="1523"/>
      <c r="C19" s="1524"/>
      <c r="D19" s="923" t="s">
        <v>155</v>
      </c>
      <c r="E19" s="924">
        <f>'24'!F19</f>
        <v>132683</v>
      </c>
      <c r="F19" s="954">
        <v>132736</v>
      </c>
      <c r="G19" s="925">
        <f t="shared" ref="G19" si="1">F19-E19</f>
        <v>53</v>
      </c>
      <c r="H19" s="926">
        <f>G19+'24'!H19</f>
        <v>-312</v>
      </c>
      <c r="I19" s="963"/>
      <c r="J19" s="928">
        <f>H19/DAY(B2)</f>
        <v>-12.48</v>
      </c>
      <c r="K19" s="944"/>
      <c r="L19" s="903"/>
      <c r="O19" s="930"/>
    </row>
    <row r="20" spans="1:15">
      <c r="A20" s="946" t="s">
        <v>156</v>
      </c>
      <c r="B20" s="947"/>
      <c r="C20" s="947"/>
      <c r="D20" s="964"/>
      <c r="E20" s="964"/>
      <c r="F20" s="964"/>
      <c r="G20" s="965">
        <f>G18+G19</f>
        <v>183</v>
      </c>
      <c r="H20" s="926">
        <f>G20+'24'!H20</f>
        <v>3628</v>
      </c>
      <c r="I20" s="966">
        <f>I18-J20</f>
        <v>-80.12</v>
      </c>
      <c r="J20" s="928">
        <f>H20/DAY(B2)</f>
        <v>145.12</v>
      </c>
      <c r="K20" s="944"/>
      <c r="L20" s="903"/>
      <c r="O20" s="930"/>
    </row>
    <row r="21" spans="1:15">
      <c r="A21" s="1557" t="s">
        <v>157</v>
      </c>
      <c r="B21" s="1558"/>
      <c r="C21" s="1559"/>
      <c r="D21" s="918"/>
      <c r="E21" s="918"/>
      <c r="F21" s="918"/>
      <c r="G21" s="950"/>
      <c r="H21" s="918"/>
      <c r="I21" s="918"/>
      <c r="J21" s="919"/>
      <c r="K21" s="944"/>
      <c r="L21" s="903"/>
      <c r="O21" s="930"/>
    </row>
    <row r="22" spans="1:15">
      <c r="A22" s="952" t="s">
        <v>158</v>
      </c>
      <c r="B22" s="953"/>
      <c r="C22" s="953"/>
      <c r="D22" s="923" t="s">
        <v>159</v>
      </c>
      <c r="E22" s="954">
        <f>'24'!F22</f>
        <v>2970</v>
      </c>
      <c r="F22" s="954">
        <v>2970</v>
      </c>
      <c r="G22" s="948">
        <f t="shared" ref="G22" si="2">(F22-E22)</f>
        <v>0</v>
      </c>
      <c r="H22" s="926">
        <f>G22+'24'!H22</f>
        <v>0</v>
      </c>
      <c r="I22" s="945"/>
      <c r="J22" s="928">
        <f>H22/DAY(B2)</f>
        <v>0</v>
      </c>
      <c r="K22" s="944"/>
      <c r="L22" s="903"/>
      <c r="O22" s="930"/>
    </row>
    <row r="23" spans="1:15">
      <c r="A23" s="952" t="s">
        <v>160</v>
      </c>
      <c r="B23" s="953"/>
      <c r="C23" s="953"/>
      <c r="D23" s="923" t="s">
        <v>159</v>
      </c>
      <c r="E23" s="954">
        <f>'24'!F23</f>
        <v>2000</v>
      </c>
      <c r="F23" s="954">
        <v>2000</v>
      </c>
      <c r="G23" s="948">
        <v>0</v>
      </c>
      <c r="H23" s="926">
        <f>G23+'24'!H23</f>
        <v>0</v>
      </c>
      <c r="I23" s="945"/>
      <c r="J23" s="928">
        <f>H23/DAY(B2)</f>
        <v>0</v>
      </c>
      <c r="K23" s="944"/>
      <c r="L23" s="903"/>
      <c r="O23" s="930"/>
    </row>
    <row r="24" spans="1:15">
      <c r="A24" s="967" t="s">
        <v>161</v>
      </c>
      <c r="B24" s="968"/>
      <c r="C24" s="968"/>
      <c r="D24" s="910" t="s">
        <v>159</v>
      </c>
      <c r="E24" s="954">
        <f>'24'!F24</f>
        <v>4970</v>
      </c>
      <c r="F24" s="969">
        <v>4970</v>
      </c>
      <c r="G24" s="948">
        <v>0</v>
      </c>
      <c r="H24" s="926">
        <f>G24+'24'!H24</f>
        <v>0</v>
      </c>
      <c r="I24" s="945"/>
      <c r="J24" s="928">
        <f>H24/DAY(B2)</f>
        <v>0</v>
      </c>
      <c r="K24" s="944"/>
      <c r="L24" s="903"/>
      <c r="O24" s="930"/>
    </row>
    <row r="25" spans="1:15" s="975" customFormat="1">
      <c r="A25" s="1554" t="s">
        <v>162</v>
      </c>
      <c r="B25" s="1555"/>
      <c r="C25" s="1556"/>
      <c r="D25" s="917"/>
      <c r="E25" s="917"/>
      <c r="F25" s="917"/>
      <c r="G25" s="970"/>
      <c r="H25" s="971"/>
      <c r="I25" s="972"/>
      <c r="J25" s="973"/>
      <c r="K25" s="944"/>
      <c r="L25" s="974"/>
      <c r="N25" s="1093"/>
      <c r="O25" s="930"/>
    </row>
    <row r="26" spans="1:15" s="975" customFormat="1">
      <c r="A26" s="976" t="s">
        <v>163</v>
      </c>
      <c r="B26" s="977"/>
      <c r="C26" s="978"/>
      <c r="D26" s="979" t="s">
        <v>164</v>
      </c>
      <c r="E26" s="980"/>
      <c r="F26" s="980"/>
      <c r="G26" s="981"/>
      <c r="H26" s="926"/>
      <c r="I26" s="982"/>
      <c r="J26" s="928"/>
      <c r="K26" s="951"/>
      <c r="L26" s="974"/>
      <c r="N26" s="1093"/>
      <c r="O26" s="930"/>
    </row>
    <row r="27" spans="1:15" s="975" customFormat="1" ht="22.5">
      <c r="A27" s="976" t="s">
        <v>6</v>
      </c>
      <c r="B27" s="977"/>
      <c r="C27" s="978"/>
      <c r="D27" s="983" t="s">
        <v>25</v>
      </c>
      <c r="E27" s="984">
        <f>G8</f>
        <v>19342</v>
      </c>
      <c r="F27" s="577">
        <v>9</v>
      </c>
      <c r="G27" s="986">
        <f>E27*F27</f>
        <v>174078</v>
      </c>
      <c r="H27" s="926">
        <f>G27+'24'!H27</f>
        <v>-1028655</v>
      </c>
      <c r="I27" s="987"/>
      <c r="J27" s="928">
        <f>H27/DAY(B2)</f>
        <v>-41146.199999999997</v>
      </c>
      <c r="K27" s="944"/>
      <c r="L27" s="974"/>
      <c r="N27" s="1093"/>
      <c r="O27" s="930"/>
    </row>
    <row r="28" spans="1:15" s="975" customFormat="1" ht="22.5">
      <c r="A28" s="976" t="s">
        <v>165</v>
      </c>
      <c r="B28" s="977"/>
      <c r="C28" s="978"/>
      <c r="D28" s="983" t="s">
        <v>166</v>
      </c>
      <c r="E28" s="984">
        <f>G15</f>
        <v>930.86000000010245</v>
      </c>
      <c r="F28" s="577">
        <v>43.5</v>
      </c>
      <c r="G28" s="986">
        <f>E28*F28</f>
        <v>40492.410000004456</v>
      </c>
      <c r="H28" s="926">
        <f>G28+'24'!H28</f>
        <v>-195588.61499999149</v>
      </c>
      <c r="I28" s="988"/>
      <c r="J28" s="928">
        <f>H28/DAY(B2)</f>
        <v>-7823.54459999966</v>
      </c>
      <c r="K28" s="944"/>
      <c r="L28" s="974"/>
      <c r="N28" s="1093"/>
      <c r="O28" s="930"/>
    </row>
    <row r="29" spans="1:15" s="975" customFormat="1">
      <c r="A29" s="976" t="s">
        <v>167</v>
      </c>
      <c r="B29" s="977"/>
      <c r="C29" s="978"/>
      <c r="D29" s="983" t="s">
        <v>168</v>
      </c>
      <c r="E29" s="984">
        <f>G24</f>
        <v>0</v>
      </c>
      <c r="F29" s="985">
        <v>69</v>
      </c>
      <c r="G29" s="986">
        <f>E29*F29</f>
        <v>0</v>
      </c>
      <c r="H29" s="926">
        <f>G29+'24'!H29</f>
        <v>162150</v>
      </c>
      <c r="I29" s="988"/>
      <c r="J29" s="928">
        <f>H29/DAY(B2)</f>
        <v>6486</v>
      </c>
      <c r="K29" s="944"/>
      <c r="L29" s="974"/>
      <c r="N29" s="1093"/>
      <c r="O29" s="930"/>
    </row>
    <row r="30" spans="1:15" s="975" customFormat="1">
      <c r="A30" s="976" t="s">
        <v>169</v>
      </c>
      <c r="B30" s="977"/>
      <c r="C30" s="978"/>
      <c r="D30" s="983" t="s">
        <v>170</v>
      </c>
      <c r="E30" s="984">
        <f>G19</f>
        <v>53</v>
      </c>
      <c r="F30" s="985">
        <v>134</v>
      </c>
      <c r="G30" s="986">
        <f>E30*F30</f>
        <v>7102</v>
      </c>
      <c r="H30" s="926">
        <f>G30+'24'!H30</f>
        <v>-41808</v>
      </c>
      <c r="I30" s="988"/>
      <c r="J30" s="928">
        <f>H30/DAY(B2)</f>
        <v>-1672.32</v>
      </c>
      <c r="K30" s="944"/>
      <c r="L30" s="974"/>
      <c r="N30" s="1093"/>
      <c r="O30" s="930"/>
    </row>
    <row r="31" spans="1:15" s="975" customFormat="1">
      <c r="A31" s="976" t="s">
        <v>171</v>
      </c>
      <c r="B31" s="977"/>
      <c r="C31" s="978"/>
      <c r="D31" s="983" t="s">
        <v>155</v>
      </c>
      <c r="E31" s="984">
        <f>G18</f>
        <v>130</v>
      </c>
      <c r="F31" s="985">
        <v>80</v>
      </c>
      <c r="G31" s="986">
        <f>E31*F31</f>
        <v>10400</v>
      </c>
      <c r="H31" s="926">
        <f>G31+'24'!H31</f>
        <v>315200</v>
      </c>
      <c r="I31" s="988"/>
      <c r="J31" s="928"/>
      <c r="K31" s="944"/>
      <c r="L31" s="974"/>
      <c r="N31" s="1093"/>
      <c r="O31" s="930"/>
    </row>
    <row r="32" spans="1:15" s="975" customFormat="1">
      <c r="A32" s="989" t="s">
        <v>172</v>
      </c>
      <c r="B32" s="990"/>
      <c r="C32" s="991"/>
      <c r="D32" s="992"/>
      <c r="E32" s="992"/>
      <c r="F32" s="992"/>
      <c r="G32" s="993">
        <f>G27+G28+G29+G30+G31</f>
        <v>232072.41000000446</v>
      </c>
      <c r="H32" s="926">
        <f>G32+'24'!H32</f>
        <v>-788701.61499999126</v>
      </c>
      <c r="I32" s="994"/>
      <c r="J32" s="928">
        <f>H32/DAY(B2)</f>
        <v>-31548.064599999649</v>
      </c>
      <c r="K32" s="944"/>
      <c r="L32" s="974"/>
      <c r="N32" s="1093"/>
      <c r="O32" s="930"/>
    </row>
    <row r="33" spans="1:15" ht="18.75">
      <c r="A33" s="1562" t="s">
        <v>173</v>
      </c>
      <c r="B33" s="1563"/>
      <c r="C33" s="1563"/>
      <c r="D33" s="1563"/>
      <c r="E33" s="1563"/>
      <c r="F33" s="1563"/>
      <c r="G33" s="1563"/>
      <c r="H33" s="1563"/>
      <c r="I33" s="1563"/>
      <c r="J33" s="1564"/>
      <c r="K33" s="944"/>
      <c r="L33" s="903"/>
      <c r="O33" s="930"/>
    </row>
    <row r="34" spans="1:15">
      <c r="A34" s="995" t="s">
        <v>174</v>
      </c>
      <c r="B34" s="996"/>
      <c r="C34" s="996"/>
      <c r="D34" s="918"/>
      <c r="E34" s="917"/>
      <c r="F34" s="917"/>
      <c r="G34" s="918"/>
      <c r="H34" s="918"/>
      <c r="I34" s="918"/>
      <c r="J34" s="919"/>
      <c r="K34" s="944"/>
      <c r="L34" s="903"/>
      <c r="O34" s="930"/>
    </row>
    <row r="35" spans="1:15">
      <c r="A35" s="921" t="s">
        <v>175</v>
      </c>
      <c r="B35" s="922"/>
      <c r="C35" s="922"/>
      <c r="D35" s="923" t="s">
        <v>143</v>
      </c>
      <c r="E35" s="924">
        <f>'24'!F35</f>
        <v>629027.67000000004</v>
      </c>
      <c r="F35" s="997">
        <v>629027.67000000004</v>
      </c>
      <c r="G35" s="925">
        <f t="shared" ref="G35:G46" si="3">F35-E35</f>
        <v>0</v>
      </c>
      <c r="H35" s="926">
        <f>G35+'24'!H35</f>
        <v>0</v>
      </c>
      <c r="I35" s="924"/>
      <c r="J35" s="928">
        <f>H35/DAY(B2)</f>
        <v>0</v>
      </c>
      <c r="K35" s="944"/>
      <c r="L35" s="903"/>
      <c r="O35" s="930"/>
    </row>
    <row r="36" spans="1:15">
      <c r="A36" s="921" t="s">
        <v>176</v>
      </c>
      <c r="B36" s="922"/>
      <c r="C36" s="922"/>
      <c r="D36" s="923" t="s">
        <v>143</v>
      </c>
      <c r="E36" s="924">
        <f>'24'!F36</f>
        <v>271719.90999999997</v>
      </c>
      <c r="F36" s="997">
        <v>272676</v>
      </c>
      <c r="G36" s="925">
        <f t="shared" si="3"/>
        <v>956.09000000002561</v>
      </c>
      <c r="H36" s="926">
        <f>G36+'24'!H36</f>
        <v>-3815.4500000000116</v>
      </c>
      <c r="I36" s="924"/>
      <c r="J36" s="928">
        <f>H36/DAY(B2)</f>
        <v>-152.61800000000048</v>
      </c>
      <c r="K36" s="944"/>
      <c r="L36" s="903"/>
      <c r="O36" s="930"/>
    </row>
    <row r="37" spans="1:15">
      <c r="A37" s="921" t="s">
        <v>177</v>
      </c>
      <c r="B37" s="922"/>
      <c r="C37" s="922"/>
      <c r="D37" s="923" t="s">
        <v>143</v>
      </c>
      <c r="E37" s="924">
        <f>'24'!F37</f>
        <v>415066</v>
      </c>
      <c r="F37" s="997">
        <v>415066</v>
      </c>
      <c r="G37" s="925">
        <f t="shared" si="3"/>
        <v>0</v>
      </c>
      <c r="H37" s="926">
        <f>G37+'24'!H37</f>
        <v>415066</v>
      </c>
      <c r="I37" s="924"/>
      <c r="J37" s="928">
        <f>H37/DAY(B2)</f>
        <v>16602.64</v>
      </c>
      <c r="K37" s="944"/>
      <c r="L37" s="903"/>
      <c r="O37" s="930"/>
    </row>
    <row r="38" spans="1:15">
      <c r="A38" s="921" t="s">
        <v>178</v>
      </c>
      <c r="B38" s="922"/>
      <c r="C38" s="922"/>
      <c r="D38" s="923" t="s">
        <v>143</v>
      </c>
      <c r="E38" s="924">
        <f>'24'!F38</f>
        <v>150714.38</v>
      </c>
      <c r="F38" s="913">
        <v>150714.38</v>
      </c>
      <c r="G38" s="925">
        <f t="shared" si="3"/>
        <v>0</v>
      </c>
      <c r="H38" s="926">
        <f>G38+'24'!H38</f>
        <v>150616.5</v>
      </c>
      <c r="I38" s="924"/>
      <c r="J38" s="928">
        <f>H38/DAY(B2)</f>
        <v>6024.66</v>
      </c>
      <c r="K38" s="944"/>
      <c r="L38" s="903"/>
      <c r="O38" s="930"/>
    </row>
    <row r="39" spans="1:15">
      <c r="A39" s="921" t="s">
        <v>179</v>
      </c>
      <c r="B39" s="922"/>
      <c r="C39" s="922"/>
      <c r="D39" s="923" t="s">
        <v>143</v>
      </c>
      <c r="E39" s="924">
        <f>'24'!F39</f>
        <v>912480</v>
      </c>
      <c r="F39" s="997">
        <v>912480</v>
      </c>
      <c r="G39" s="925">
        <f t="shared" si="3"/>
        <v>0</v>
      </c>
      <c r="H39" s="926">
        <f>G39+'24'!H39</f>
        <v>912480</v>
      </c>
      <c r="I39" s="924"/>
      <c r="J39" s="928">
        <f>H39/DAY(B2)</f>
        <v>36499.199999999997</v>
      </c>
      <c r="K39" s="944"/>
      <c r="L39" s="903"/>
      <c r="O39" s="930"/>
    </row>
    <row r="40" spans="1:15">
      <c r="A40" s="998" t="s">
        <v>180</v>
      </c>
      <c r="B40" s="999"/>
      <c r="C40" s="999"/>
      <c r="D40" s="923" t="s">
        <v>143</v>
      </c>
      <c r="E40" s="924">
        <f>'24'!F40</f>
        <v>0</v>
      </c>
      <c r="F40" s="997">
        <v>0</v>
      </c>
      <c r="G40" s="925">
        <f t="shared" si="3"/>
        <v>0</v>
      </c>
      <c r="H40" s="926">
        <f>G40+'24'!H40</f>
        <v>-0.06</v>
      </c>
      <c r="I40" s="924"/>
      <c r="J40" s="928">
        <f>H40/DAY(B2)</f>
        <v>-2.3999999999999998E-3</v>
      </c>
      <c r="K40" s="951"/>
      <c r="L40" s="903"/>
      <c r="O40" s="930"/>
    </row>
    <row r="41" spans="1:15">
      <c r="A41" s="921" t="s">
        <v>181</v>
      </c>
      <c r="B41" s="922"/>
      <c r="C41" s="922"/>
      <c r="D41" s="923" t="s">
        <v>143</v>
      </c>
      <c r="E41" s="924">
        <f>'24'!F41</f>
        <v>19024</v>
      </c>
      <c r="F41" s="997">
        <v>22539.11</v>
      </c>
      <c r="G41" s="925">
        <f t="shared" si="3"/>
        <v>3515.1100000000006</v>
      </c>
      <c r="H41" s="926">
        <f>G41+'24'!H41</f>
        <v>41798.590000000004</v>
      </c>
      <c r="I41" s="924"/>
      <c r="J41" s="928">
        <f>H41/DAY(B2)</f>
        <v>1671.9436000000001</v>
      </c>
      <c r="K41" s="944"/>
      <c r="L41" s="903"/>
      <c r="O41" s="930"/>
    </row>
    <row r="42" spans="1:15">
      <c r="A42" s="921" t="s">
        <v>182</v>
      </c>
      <c r="B42" s="922"/>
      <c r="C42" s="922"/>
      <c r="D42" s="923" t="s">
        <v>143</v>
      </c>
      <c r="E42" s="924">
        <f>'24'!F42</f>
        <v>58926</v>
      </c>
      <c r="F42" s="997">
        <v>58926</v>
      </c>
      <c r="G42" s="925">
        <f t="shared" si="3"/>
        <v>0</v>
      </c>
      <c r="H42" s="926">
        <f>G42+'24'!H42</f>
        <v>0</v>
      </c>
      <c r="I42" s="924"/>
      <c r="J42" s="928">
        <f>H42/DAY(B2)</f>
        <v>0</v>
      </c>
      <c r="K42" s="944"/>
      <c r="L42" s="903"/>
      <c r="O42" s="930"/>
    </row>
    <row r="43" spans="1:15">
      <c r="A43" s="921" t="s">
        <v>183</v>
      </c>
      <c r="B43" s="922"/>
      <c r="C43" s="922"/>
      <c r="D43" s="923" t="s">
        <v>143</v>
      </c>
      <c r="E43" s="924">
        <f>'24'!F43</f>
        <v>751611</v>
      </c>
      <c r="F43" s="997">
        <v>753864.31</v>
      </c>
      <c r="G43" s="925">
        <f t="shared" si="3"/>
        <v>2253.3100000000559</v>
      </c>
      <c r="H43" s="926">
        <f>G43+'24'!H43</f>
        <v>-13947.599999999977</v>
      </c>
      <c r="I43" s="924"/>
      <c r="J43" s="928">
        <f>H43/DAY(B2)</f>
        <v>-557.90399999999909</v>
      </c>
      <c r="K43" s="944"/>
      <c r="L43" s="903"/>
      <c r="O43" s="930"/>
    </row>
    <row r="44" spans="1:15">
      <c r="A44" s="921" t="s">
        <v>184</v>
      </c>
      <c r="B44" s="922"/>
      <c r="C44" s="922"/>
      <c r="D44" s="923" t="s">
        <v>143</v>
      </c>
      <c r="E44" s="924">
        <f>'24'!F44</f>
        <v>0</v>
      </c>
      <c r="F44" s="997">
        <v>0</v>
      </c>
      <c r="G44" s="925">
        <f t="shared" si="3"/>
        <v>0</v>
      </c>
      <c r="H44" s="926">
        <f>G44+'24'!H44</f>
        <v>0</v>
      </c>
      <c r="I44" s="924"/>
      <c r="J44" s="928">
        <f>H44/DAY(B2)</f>
        <v>0</v>
      </c>
      <c r="K44" s="944"/>
      <c r="L44" s="903"/>
      <c r="O44" s="930"/>
    </row>
    <row r="45" spans="1:15">
      <c r="A45" s="921" t="s">
        <v>185</v>
      </c>
      <c r="B45" s="922"/>
      <c r="C45" s="922"/>
      <c r="D45" s="923" t="s">
        <v>143</v>
      </c>
      <c r="E45" s="924">
        <f>'24'!F45</f>
        <v>614</v>
      </c>
      <c r="F45" s="997">
        <v>614</v>
      </c>
      <c r="G45" s="925">
        <f t="shared" si="3"/>
        <v>0</v>
      </c>
      <c r="H45" s="926">
        <f>G45+'24'!H45</f>
        <v>-0.48000000000001819</v>
      </c>
      <c r="I45" s="924"/>
      <c r="J45" s="928">
        <f>H45/DAY(B2)</f>
        <v>-1.9200000000000727E-2</v>
      </c>
      <c r="K45" s="944"/>
      <c r="L45" s="903"/>
      <c r="O45" s="930"/>
    </row>
    <row r="46" spans="1:15">
      <c r="A46" s="921" t="s">
        <v>186</v>
      </c>
      <c r="B46" s="922"/>
      <c r="C46" s="922"/>
      <c r="D46" s="923" t="s">
        <v>143</v>
      </c>
      <c r="E46" s="924">
        <f>'24'!F46</f>
        <v>187</v>
      </c>
      <c r="F46" s="997">
        <v>187</v>
      </c>
      <c r="G46" s="925">
        <f t="shared" si="3"/>
        <v>0</v>
      </c>
      <c r="H46" s="926">
        <f>G46+'24'!H46</f>
        <v>-0.49000000000000909</v>
      </c>
      <c r="I46" s="924"/>
      <c r="J46" s="928">
        <f>H46/DAY(B2)</f>
        <v>-1.9600000000000364E-2</v>
      </c>
      <c r="K46" s="944"/>
      <c r="L46" s="903"/>
      <c r="O46" s="930"/>
    </row>
    <row r="47" spans="1:15">
      <c r="A47" s="946" t="s">
        <v>187</v>
      </c>
      <c r="B47" s="947"/>
      <c r="C47" s="947"/>
      <c r="D47" s="914"/>
      <c r="E47" s="910"/>
      <c r="F47" s="910"/>
      <c r="G47" s="948">
        <f>G35+G36+G37+G38+G39+G40+G41+G42+G43+G44+G45+G46</f>
        <v>6724.5100000000821</v>
      </c>
      <c r="H47" s="926">
        <f>G47+'24'!H47</f>
        <v>1502197.0100000002</v>
      </c>
      <c r="I47" s="924"/>
      <c r="J47" s="928">
        <f>H47/DAY(B2)</f>
        <v>60087.880400000009</v>
      </c>
      <c r="K47" s="944"/>
      <c r="L47" s="903"/>
      <c r="N47" s="1094"/>
      <c r="O47" s="930"/>
    </row>
    <row r="48" spans="1:15">
      <c r="A48" s="995" t="s">
        <v>188</v>
      </c>
      <c r="B48" s="996"/>
      <c r="C48" s="996"/>
      <c r="D48" s="918"/>
      <c r="E48" s="917"/>
      <c r="F48" s="917"/>
      <c r="G48" s="918"/>
      <c r="H48" s="918"/>
      <c r="I48" s="918"/>
      <c r="J48" s="919"/>
      <c r="K48" s="944"/>
      <c r="L48" s="903"/>
      <c r="O48" s="930"/>
    </row>
    <row r="49" spans="1:15">
      <c r="A49" s="921" t="s">
        <v>175</v>
      </c>
      <c r="B49" s="1000"/>
      <c r="C49" s="1000"/>
      <c r="D49" s="923" t="s">
        <v>143</v>
      </c>
      <c r="E49" s="924">
        <f>'24'!F49</f>
        <v>224081</v>
      </c>
      <c r="F49" s="997">
        <v>227268.61</v>
      </c>
      <c r="G49" s="925">
        <f t="shared" ref="G49:G58" si="4">F49-E49</f>
        <v>3187.609999999986</v>
      </c>
      <c r="H49" s="926">
        <f>G49+'24'!H49</f>
        <v>-18630.440000000002</v>
      </c>
      <c r="I49" s="924"/>
      <c r="J49" s="928">
        <f>H49/DAY(B2)</f>
        <v>-745.21760000000006</v>
      </c>
      <c r="K49" s="944"/>
      <c r="L49" s="903"/>
      <c r="O49" s="930"/>
    </row>
    <row r="50" spans="1:15">
      <c r="A50" s="921" t="s">
        <v>189</v>
      </c>
      <c r="B50" s="1000"/>
      <c r="C50" s="1000"/>
      <c r="D50" s="923" t="s">
        <v>143</v>
      </c>
      <c r="E50" s="924">
        <f>'24'!F50</f>
        <v>360902.71</v>
      </c>
      <c r="F50" s="997">
        <v>361944.67</v>
      </c>
      <c r="G50" s="925">
        <f t="shared" si="4"/>
        <v>1041.9599999999627</v>
      </c>
      <c r="H50" s="926">
        <f>G50+'24'!H50</f>
        <v>-7715.640000000014</v>
      </c>
      <c r="I50" s="924"/>
      <c r="J50" s="928">
        <f>H50/DAY(B2)</f>
        <v>-308.62560000000053</v>
      </c>
      <c r="K50" s="944"/>
      <c r="L50" s="903"/>
      <c r="O50" s="930"/>
    </row>
    <row r="51" spans="1:15">
      <c r="A51" s="921" t="s">
        <v>177</v>
      </c>
      <c r="B51" s="1000"/>
      <c r="C51" s="1000"/>
      <c r="D51" s="923" t="s">
        <v>143</v>
      </c>
      <c r="E51" s="924">
        <f>'24'!F51</f>
        <v>99664</v>
      </c>
      <c r="F51" s="997">
        <v>101167.88</v>
      </c>
      <c r="G51" s="925">
        <f t="shared" si="4"/>
        <v>1503.8800000000047</v>
      </c>
      <c r="H51" s="926">
        <f>G51+'24'!H51</f>
        <v>-8931.86</v>
      </c>
      <c r="I51" s="924"/>
      <c r="J51" s="928">
        <f>H51/DAY(B2)</f>
        <v>-357.27440000000001</v>
      </c>
      <c r="K51" s="944"/>
      <c r="L51" s="903"/>
      <c r="O51" s="930"/>
    </row>
    <row r="52" spans="1:15">
      <c r="A52" s="921" t="s">
        <v>190</v>
      </c>
      <c r="B52" s="1000"/>
      <c r="C52" s="1000"/>
      <c r="D52" s="923" t="s">
        <v>143</v>
      </c>
      <c r="E52" s="924">
        <f>'24'!F52</f>
        <v>480616.51</v>
      </c>
      <c r="F52" s="997">
        <v>482441.51</v>
      </c>
      <c r="G52" s="925">
        <f t="shared" si="4"/>
        <v>1825</v>
      </c>
      <c r="H52" s="926">
        <f>G52+'24'!H52</f>
        <v>-11367.159999999974</v>
      </c>
      <c r="I52" s="924"/>
      <c r="J52" s="928">
        <f>H52/DAY(B2)</f>
        <v>-454.68639999999897</v>
      </c>
      <c r="K52" s="944"/>
      <c r="L52" s="903"/>
      <c r="O52" s="930"/>
    </row>
    <row r="53" spans="1:15">
      <c r="A53" s="921" t="s">
        <v>179</v>
      </c>
      <c r="B53" s="1000"/>
      <c r="C53" s="1000"/>
      <c r="D53" s="923" t="s">
        <v>143</v>
      </c>
      <c r="E53" s="924">
        <f>'24'!F53</f>
        <v>275016</v>
      </c>
      <c r="F53" s="997">
        <v>279342</v>
      </c>
      <c r="G53" s="925">
        <f t="shared" si="4"/>
        <v>4326</v>
      </c>
      <c r="H53" s="926">
        <f>G53+'24'!H53</f>
        <v>-24956.270000000019</v>
      </c>
      <c r="I53" s="924"/>
      <c r="J53" s="928">
        <f>H53/DAY(B2)</f>
        <v>-998.25080000000071</v>
      </c>
      <c r="K53" s="944"/>
      <c r="L53" s="903"/>
      <c r="O53" s="930"/>
    </row>
    <row r="54" spans="1:15">
      <c r="A54" s="921" t="s">
        <v>191</v>
      </c>
      <c r="B54" s="1000"/>
      <c r="C54" s="1000"/>
      <c r="D54" s="923" t="s">
        <v>143</v>
      </c>
      <c r="E54" s="924">
        <f>'24'!F54</f>
        <v>5974</v>
      </c>
      <c r="F54" s="997">
        <v>6024</v>
      </c>
      <c r="G54" s="925">
        <f t="shared" si="4"/>
        <v>50</v>
      </c>
      <c r="H54" s="926">
        <f>G54+'24'!H54</f>
        <v>-364.80000000000018</v>
      </c>
      <c r="I54" s="924"/>
      <c r="J54" s="928">
        <f>H54/DAY(B2)</f>
        <v>-14.592000000000008</v>
      </c>
      <c r="K54" s="944"/>
      <c r="L54" s="903"/>
      <c r="O54" s="930"/>
    </row>
    <row r="55" spans="1:15">
      <c r="A55" s="921" t="s">
        <v>192</v>
      </c>
      <c r="B55" s="1000"/>
      <c r="C55" s="1000"/>
      <c r="D55" s="923" t="s">
        <v>143</v>
      </c>
      <c r="E55" s="924">
        <f>'24'!F55</f>
        <v>39120.58</v>
      </c>
      <c r="F55" s="997">
        <v>39120.58</v>
      </c>
      <c r="G55" s="925">
        <f t="shared" si="4"/>
        <v>0</v>
      </c>
      <c r="H55" s="926">
        <f>G55+'24'!H55</f>
        <v>-3867.4000000000015</v>
      </c>
      <c r="I55" s="924"/>
      <c r="J55" s="928">
        <f>H55/DAY(B2)</f>
        <v>-154.69600000000005</v>
      </c>
      <c r="K55" s="944"/>
      <c r="L55" s="903"/>
      <c r="O55" s="930"/>
    </row>
    <row r="56" spans="1:15">
      <c r="A56" s="921" t="s">
        <v>193</v>
      </c>
      <c r="B56" s="1000"/>
      <c r="C56" s="1000"/>
      <c r="D56" s="923" t="s">
        <v>194</v>
      </c>
      <c r="E56" s="924">
        <f>'24'!F56</f>
        <v>557730.15</v>
      </c>
      <c r="F56" s="997">
        <v>557730.15</v>
      </c>
      <c r="G56" s="925">
        <f t="shared" si="4"/>
        <v>0</v>
      </c>
      <c r="H56" s="926">
        <f>G56+'24'!H56</f>
        <v>-1.7600000000093132</v>
      </c>
      <c r="I56" s="924"/>
      <c r="J56" s="928">
        <f>H56/DAY(B2)</f>
        <v>-7.0400000000372526E-2</v>
      </c>
      <c r="K56" s="920"/>
      <c r="L56" s="903"/>
      <c r="O56" s="930"/>
    </row>
    <row r="57" spans="1:15">
      <c r="A57" s="921" t="s">
        <v>183</v>
      </c>
      <c r="B57" s="1000"/>
      <c r="C57" s="1000"/>
      <c r="D57" s="923" t="s">
        <v>143</v>
      </c>
      <c r="E57" s="924">
        <f>'24'!F57</f>
        <v>0</v>
      </c>
      <c r="F57" s="997">
        <v>0</v>
      </c>
      <c r="G57" s="925">
        <f t="shared" si="4"/>
        <v>0</v>
      </c>
      <c r="H57" s="926">
        <f>G57+'24'!H57</f>
        <v>0</v>
      </c>
      <c r="I57" s="924"/>
      <c r="J57" s="928">
        <f>H57/DAY(B2)</f>
        <v>0</v>
      </c>
      <c r="K57" s="944"/>
      <c r="L57" s="903"/>
      <c r="O57" s="930"/>
    </row>
    <row r="58" spans="1:15">
      <c r="A58" s="921" t="s">
        <v>195</v>
      </c>
      <c r="B58" s="1000"/>
      <c r="C58" s="1000"/>
      <c r="D58" s="923" t="s">
        <v>143</v>
      </c>
      <c r="E58" s="924">
        <f>'24'!F58</f>
        <v>29400</v>
      </c>
      <c r="F58" s="997">
        <v>29579.14</v>
      </c>
      <c r="G58" s="925">
        <f t="shared" si="4"/>
        <v>179.13999999999942</v>
      </c>
      <c r="H58" s="926">
        <f>G58+'24'!H58</f>
        <v>-1150.3999999999978</v>
      </c>
      <c r="I58" s="924"/>
      <c r="J58" s="928">
        <f>H58/DAY(B2)</f>
        <v>-46.015999999999913</v>
      </c>
      <c r="K58" s="944"/>
      <c r="L58" s="903"/>
      <c r="O58" s="930"/>
    </row>
    <row r="59" spans="1:15">
      <c r="A59" s="946" t="s">
        <v>187</v>
      </c>
      <c r="B59" s="947"/>
      <c r="C59" s="947"/>
      <c r="D59" s="910"/>
      <c r="E59" s="910"/>
      <c r="F59" s="910"/>
      <c r="G59" s="948">
        <f>G49+G50+G51+G52+G53+G54+G55+G56+G57+G58</f>
        <v>12113.589999999953</v>
      </c>
      <c r="H59" s="926">
        <f>G59+'24'!H59</f>
        <v>-76985.729999999967</v>
      </c>
      <c r="I59" s="924">
        <f>G7-G60</f>
        <v>330.89999999996508</v>
      </c>
      <c r="J59" s="928">
        <f>H59/DAY(B2)</f>
        <v>-3079.4291999999987</v>
      </c>
      <c r="K59" s="944"/>
      <c r="L59" s="903"/>
      <c r="O59" s="930"/>
    </row>
    <row r="60" spans="1:15">
      <c r="A60" s="921"/>
      <c r="B60" s="922"/>
      <c r="C60" s="922"/>
      <c r="D60" s="910" t="s">
        <v>196</v>
      </c>
      <c r="E60" s="910"/>
      <c r="F60" s="910"/>
      <c r="G60" s="948">
        <f>G47+G59</f>
        <v>18838.100000000035</v>
      </c>
      <c r="H60" s="926">
        <f>G60+'24'!H60</f>
        <v>1430391.4700000002</v>
      </c>
      <c r="I60" s="924">
        <f>G13-G60</f>
        <v>-313.10000000003492</v>
      </c>
      <c r="J60" s="928">
        <f>H60/DAY(B2)</f>
        <v>57215.658800000005</v>
      </c>
      <c r="K60" s="944"/>
      <c r="L60" s="903"/>
      <c r="O60" s="930"/>
    </row>
    <row r="61" spans="1:15">
      <c r="A61" s="1001" t="s">
        <v>197</v>
      </c>
      <c r="B61" s="1002"/>
      <c r="C61" s="1002"/>
      <c r="D61" s="1002"/>
      <c r="E61" s="1003"/>
      <c r="F61" s="1003"/>
      <c r="G61" s="1002"/>
      <c r="H61" s="1002"/>
      <c r="I61" s="1002"/>
      <c r="J61" s="1004"/>
      <c r="K61" s="944"/>
      <c r="L61" s="903"/>
      <c r="O61" s="930"/>
    </row>
    <row r="62" spans="1:15">
      <c r="A62" s="1005" t="s">
        <v>106</v>
      </c>
      <c r="B62" s="1006"/>
      <c r="C62" s="1006"/>
      <c r="D62" s="910" t="s">
        <v>198</v>
      </c>
      <c r="E62" s="924">
        <f>'24'!F62</f>
        <v>20419.18</v>
      </c>
      <c r="F62" s="1007">
        <v>20419.18</v>
      </c>
      <c r="G62" s="925">
        <f t="shared" ref="G62:G69" si="5">F62-E62</f>
        <v>0</v>
      </c>
      <c r="H62" s="926">
        <f>G62+'24'!H62</f>
        <v>-8.9999999981955625E-3</v>
      </c>
      <c r="I62" s="1008"/>
      <c r="J62" s="928">
        <f>H62/DAY(B2)</f>
        <v>-3.5999999992782252E-4</v>
      </c>
      <c r="K62" s="944"/>
      <c r="L62" s="903"/>
      <c r="O62" s="930"/>
    </row>
    <row r="63" spans="1:15">
      <c r="A63" s="1005" t="s">
        <v>199</v>
      </c>
      <c r="B63" s="1006"/>
      <c r="C63" s="1006"/>
      <c r="D63" s="910" t="s">
        <v>198</v>
      </c>
      <c r="E63" s="924">
        <f>'24'!F63</f>
        <v>1254</v>
      </c>
      <c r="F63" s="1007">
        <v>1264.31</v>
      </c>
      <c r="G63" s="925">
        <f t="shared" si="5"/>
        <v>10.309999999999945</v>
      </c>
      <c r="H63" s="926">
        <f>G63+'24'!H63</f>
        <v>-68.220000000000027</v>
      </c>
      <c r="I63" s="1008"/>
      <c r="J63" s="928">
        <f>H63/DAY(B2)</f>
        <v>-2.728800000000001</v>
      </c>
      <c r="K63" s="944"/>
      <c r="L63" s="903"/>
      <c r="O63" s="930"/>
    </row>
    <row r="64" spans="1:15">
      <c r="A64" s="1528" t="s">
        <v>107</v>
      </c>
      <c r="B64" s="1529"/>
      <c r="C64" s="1530"/>
      <c r="D64" s="923" t="s">
        <v>198</v>
      </c>
      <c r="E64" s="924">
        <f>'24'!F64</f>
        <v>108305</v>
      </c>
      <c r="F64" s="954">
        <v>108728</v>
      </c>
      <c r="G64" s="925">
        <f t="shared" si="5"/>
        <v>423</v>
      </c>
      <c r="H64" s="926">
        <f>G64+'24'!H64</f>
        <v>-2555.4600000000064</v>
      </c>
      <c r="I64" s="945"/>
      <c r="J64" s="928">
        <f>H64/DAY(B2)</f>
        <v>-102.21840000000026</v>
      </c>
      <c r="K64" s="944"/>
      <c r="L64" s="903"/>
      <c r="O64" s="930"/>
    </row>
    <row r="65" spans="1:15">
      <c r="A65" s="1528" t="s">
        <v>108</v>
      </c>
      <c r="B65" s="1529"/>
      <c r="C65" s="1530"/>
      <c r="D65" s="923" t="s">
        <v>198</v>
      </c>
      <c r="E65" s="924">
        <f>'24'!F65</f>
        <v>118952</v>
      </c>
      <c r="F65" s="954">
        <v>119368</v>
      </c>
      <c r="G65" s="925">
        <f t="shared" si="5"/>
        <v>416</v>
      </c>
      <c r="H65" s="926">
        <f>G65+'24'!H65</f>
        <v>-2365.1100000000006</v>
      </c>
      <c r="I65" s="963"/>
      <c r="J65" s="928">
        <f>H65/DAY(B2)</f>
        <v>-94.604400000000027</v>
      </c>
      <c r="K65" s="944"/>
      <c r="L65" s="903"/>
      <c r="O65" s="930"/>
    </row>
    <row r="66" spans="1:15">
      <c r="A66" s="1528" t="s">
        <v>109</v>
      </c>
      <c r="B66" s="1529"/>
      <c r="C66" s="1530"/>
      <c r="D66" s="923" t="s">
        <v>198</v>
      </c>
      <c r="E66" s="924">
        <f>'24'!F66</f>
        <v>11222</v>
      </c>
      <c r="F66" s="954">
        <v>11656.69</v>
      </c>
      <c r="G66" s="925">
        <f t="shared" si="5"/>
        <v>434.69000000000051</v>
      </c>
      <c r="H66" s="926">
        <f>G66+'24'!H66</f>
        <v>-2503.0499999999993</v>
      </c>
      <c r="I66" s="945"/>
      <c r="J66" s="928">
        <f>H66/DAY(B2)</f>
        <v>-100.12199999999997</v>
      </c>
      <c r="K66" s="944"/>
      <c r="L66" s="903"/>
      <c r="O66" s="930"/>
    </row>
    <row r="67" spans="1:15">
      <c r="A67" s="1528" t="s">
        <v>110</v>
      </c>
      <c r="B67" s="1529"/>
      <c r="C67" s="1530"/>
      <c r="D67" s="923" t="s">
        <v>198</v>
      </c>
      <c r="E67" s="924">
        <f>'24'!F67</f>
        <v>183973</v>
      </c>
      <c r="F67" s="954">
        <v>184645</v>
      </c>
      <c r="G67" s="925">
        <f t="shared" si="5"/>
        <v>672</v>
      </c>
      <c r="H67" s="926">
        <f>G67+'24'!H67</f>
        <v>-4029.5299999999988</v>
      </c>
      <c r="I67" s="963"/>
      <c r="J67" s="928">
        <f>H67/DAY(B2)</f>
        <v>-161.18119999999996</v>
      </c>
      <c r="K67" s="951"/>
      <c r="L67" s="903"/>
      <c r="O67" s="930"/>
    </row>
    <row r="68" spans="1:15">
      <c r="A68" s="1528" t="s">
        <v>111</v>
      </c>
      <c r="B68" s="1529"/>
      <c r="C68" s="1530"/>
      <c r="D68" s="923" t="s">
        <v>198</v>
      </c>
      <c r="E68" s="924">
        <f>'24'!F68</f>
        <v>61054</v>
      </c>
      <c r="F68" s="954">
        <v>61404.85</v>
      </c>
      <c r="G68" s="925">
        <f t="shared" si="5"/>
        <v>350.84999999999854</v>
      </c>
      <c r="H68" s="926">
        <f>G68+'24'!H68</f>
        <v>-1895.010000000002</v>
      </c>
      <c r="I68" s="1009"/>
      <c r="J68" s="928">
        <f>H68/DAY(B2)</f>
        <v>-75.800400000000081</v>
      </c>
      <c r="K68" s="1010"/>
      <c r="L68" s="903"/>
      <c r="O68" s="930"/>
    </row>
    <row r="69" spans="1:15">
      <c r="A69" s="1528" t="s">
        <v>112</v>
      </c>
      <c r="B69" s="1529"/>
      <c r="C69" s="1530"/>
      <c r="D69" s="923" t="s">
        <v>198</v>
      </c>
      <c r="E69" s="924">
        <f>'24'!F69</f>
        <v>53549</v>
      </c>
      <c r="F69" s="954">
        <v>53853</v>
      </c>
      <c r="G69" s="925">
        <f t="shared" si="5"/>
        <v>304</v>
      </c>
      <c r="H69" s="926">
        <f>G69+'24'!H69</f>
        <v>-1870.7099999999991</v>
      </c>
      <c r="I69" s="1009"/>
      <c r="J69" s="928">
        <f>H69/DAY(B2)</f>
        <v>-74.828399999999959</v>
      </c>
      <c r="K69" s="1011"/>
      <c r="L69" s="903"/>
      <c r="O69" s="930"/>
    </row>
    <row r="70" spans="1:15">
      <c r="A70" s="1548" t="s">
        <v>200</v>
      </c>
      <c r="B70" s="1549"/>
      <c r="C70" s="1550"/>
      <c r="D70" s="923" t="s">
        <v>198</v>
      </c>
      <c r="E70" s="1012"/>
      <c r="F70" s="1013"/>
      <c r="G70" s="1013"/>
      <c r="H70" s="926">
        <f>G70+'13'!H70</f>
        <v>0</v>
      </c>
      <c r="I70" s="1013"/>
      <c r="J70" s="1014"/>
      <c r="K70" s="1011"/>
      <c r="L70" s="903"/>
      <c r="O70" s="930"/>
    </row>
    <row r="71" spans="1:15" ht="22.5">
      <c r="A71" s="1545" t="s">
        <v>201</v>
      </c>
      <c r="B71" s="1546"/>
      <c r="C71" s="1546"/>
      <c r="D71" s="1546"/>
      <c r="E71" s="1546"/>
      <c r="F71" s="1546"/>
      <c r="G71" s="1546"/>
      <c r="H71" s="1546"/>
      <c r="I71" s="1546"/>
      <c r="J71" s="1547"/>
      <c r="K71" s="1010"/>
      <c r="L71" s="903"/>
      <c r="O71" s="930"/>
    </row>
    <row r="72" spans="1:15">
      <c r="A72" s="1528" t="s">
        <v>202</v>
      </c>
      <c r="B72" s="1529"/>
      <c r="C72" s="1530"/>
      <c r="D72" s="923" t="s">
        <v>198</v>
      </c>
      <c r="E72" s="924">
        <f>'24'!F72</f>
        <v>847917</v>
      </c>
      <c r="F72" s="1015">
        <v>847965</v>
      </c>
      <c r="G72" s="925">
        <f t="shared" ref="G72:G84" si="6">F72-E72</f>
        <v>48</v>
      </c>
      <c r="H72" s="926">
        <f>G72+'24'!H72</f>
        <v>-587</v>
      </c>
      <c r="I72" s="945"/>
      <c r="J72" s="928">
        <f>H72/DAY(B2)</f>
        <v>-23.48</v>
      </c>
      <c r="K72" s="1011"/>
      <c r="L72" s="903"/>
      <c r="O72" s="930"/>
    </row>
    <row r="73" spans="1:15">
      <c r="A73" s="1528" t="s">
        <v>203</v>
      </c>
      <c r="B73" s="1529"/>
      <c r="C73" s="1530"/>
      <c r="D73" s="923" t="s">
        <v>198</v>
      </c>
      <c r="E73" s="924">
        <f>'24'!F73</f>
        <v>885726</v>
      </c>
      <c r="F73" s="1016">
        <v>885726</v>
      </c>
      <c r="G73" s="925">
        <f t="shared" si="6"/>
        <v>0</v>
      </c>
      <c r="H73" s="926">
        <f>G73+'24'!H73</f>
        <v>945</v>
      </c>
      <c r="I73" s="945"/>
      <c r="J73" s="928">
        <f>H73/DAY(B2)</f>
        <v>37.799999999999997</v>
      </c>
      <c r="K73" s="1010"/>
      <c r="L73" s="903"/>
      <c r="O73" s="930"/>
    </row>
    <row r="74" spans="1:15">
      <c r="A74" s="1528" t="s">
        <v>204</v>
      </c>
      <c r="B74" s="1529"/>
      <c r="C74" s="1530"/>
      <c r="D74" s="923" t="s">
        <v>198</v>
      </c>
      <c r="E74" s="924">
        <f>'24'!F74</f>
        <v>882148</v>
      </c>
      <c r="F74" s="1017">
        <v>882181</v>
      </c>
      <c r="G74" s="925">
        <f t="shared" si="6"/>
        <v>33</v>
      </c>
      <c r="H74" s="926">
        <f>G74+'24'!H74</f>
        <v>882410.1</v>
      </c>
      <c r="I74" s="945"/>
      <c r="J74" s="928">
        <f>H74/DAY(B2)</f>
        <v>35296.404000000002</v>
      </c>
      <c r="K74" s="1011"/>
      <c r="L74" s="903"/>
      <c r="O74" s="930"/>
    </row>
    <row r="75" spans="1:15">
      <c r="A75" s="1542" t="s">
        <v>205</v>
      </c>
      <c r="B75" s="1543"/>
      <c r="C75" s="1544"/>
      <c r="D75" s="923" t="s">
        <v>198</v>
      </c>
      <c r="E75" s="924">
        <f>'24'!F75</f>
        <v>736153</v>
      </c>
      <c r="F75" s="1017">
        <v>736353</v>
      </c>
      <c r="G75" s="925">
        <f t="shared" si="6"/>
        <v>200</v>
      </c>
      <c r="H75" s="926">
        <f>G75+'24'!H75</f>
        <v>737889.4</v>
      </c>
      <c r="I75" s="945"/>
      <c r="J75" s="928">
        <f>H75/DAY(B2)</f>
        <v>29515.576000000001</v>
      </c>
      <c r="K75" s="1010"/>
      <c r="L75" s="903"/>
      <c r="O75" s="930"/>
    </row>
    <row r="76" spans="1:15">
      <c r="A76" s="1542" t="s">
        <v>206</v>
      </c>
      <c r="B76" s="1543"/>
      <c r="C76" s="1544"/>
      <c r="D76" s="923" t="s">
        <v>198</v>
      </c>
      <c r="E76" s="924">
        <f>'24'!F76</f>
        <v>686471</v>
      </c>
      <c r="F76" s="1016">
        <v>686566</v>
      </c>
      <c r="G76" s="925">
        <f t="shared" si="6"/>
        <v>95</v>
      </c>
      <c r="H76" s="926">
        <f>G76+'24'!H76</f>
        <v>688563.19999999995</v>
      </c>
      <c r="I76" s="988"/>
      <c r="J76" s="928">
        <f>H76/DAY(B2)</f>
        <v>27542.527999999998</v>
      </c>
      <c r="K76" s="1010"/>
      <c r="L76" s="903"/>
      <c r="O76" s="930"/>
    </row>
    <row r="77" spans="1:15">
      <c r="A77" s="1528" t="s">
        <v>207</v>
      </c>
      <c r="B77" s="1529"/>
      <c r="C77" s="1530"/>
      <c r="D77" s="923" t="s">
        <v>198</v>
      </c>
      <c r="E77" s="924">
        <f>'24'!F77</f>
        <v>696734</v>
      </c>
      <c r="F77" s="1016">
        <v>696795</v>
      </c>
      <c r="G77" s="925">
        <f t="shared" si="6"/>
        <v>61</v>
      </c>
      <c r="H77" s="926">
        <f>G77+'24'!H77</f>
        <v>-312</v>
      </c>
      <c r="I77" s="988"/>
      <c r="J77" s="928">
        <f>H77/DAY(B2)</f>
        <v>-12.48</v>
      </c>
      <c r="K77" s="1010"/>
      <c r="L77" s="903"/>
      <c r="O77" s="930"/>
    </row>
    <row r="78" spans="1:15">
      <c r="A78" s="1018" t="s">
        <v>208</v>
      </c>
      <c r="B78" s="1227"/>
      <c r="C78" s="1227"/>
      <c r="D78" s="923" t="s">
        <v>198</v>
      </c>
      <c r="E78" s="924">
        <f>'24'!F78</f>
        <v>639294</v>
      </c>
      <c r="F78" s="1017">
        <v>639639</v>
      </c>
      <c r="G78" s="925">
        <f t="shared" si="6"/>
        <v>345</v>
      </c>
      <c r="H78" s="926">
        <f>G78+'24'!H78</f>
        <v>-2314</v>
      </c>
      <c r="I78" s="988"/>
      <c r="J78" s="928">
        <f>H78/DAY(B2)</f>
        <v>-92.56</v>
      </c>
      <c r="K78" s="1010"/>
      <c r="L78" s="903"/>
      <c r="O78" s="930"/>
    </row>
    <row r="79" spans="1:15">
      <c r="A79" s="1542" t="s">
        <v>97</v>
      </c>
      <c r="B79" s="1543"/>
      <c r="C79" s="1544"/>
      <c r="D79" s="957" t="s">
        <v>198</v>
      </c>
      <c r="E79" s="924">
        <f>'24'!F79</f>
        <v>808363</v>
      </c>
      <c r="F79" s="1017">
        <v>808559</v>
      </c>
      <c r="G79" s="925">
        <f t="shared" si="6"/>
        <v>196</v>
      </c>
      <c r="H79" s="926">
        <f>G79+'24'!H79</f>
        <v>1733</v>
      </c>
      <c r="I79" s="988"/>
      <c r="J79" s="928">
        <f>H79/DAY(B2)</f>
        <v>69.319999999999993</v>
      </c>
      <c r="K79" s="1010"/>
      <c r="L79" s="903"/>
      <c r="O79" s="930"/>
    </row>
    <row r="80" spans="1:15">
      <c r="A80" s="1542" t="s">
        <v>209</v>
      </c>
      <c r="B80" s="1543"/>
      <c r="C80" s="1544"/>
      <c r="D80" s="957" t="s">
        <v>198</v>
      </c>
      <c r="E80" s="924">
        <f>'24'!F80</f>
        <v>482957</v>
      </c>
      <c r="F80" s="1015">
        <v>483285.56</v>
      </c>
      <c r="G80" s="925">
        <f t="shared" si="6"/>
        <v>328.55999999999767</v>
      </c>
      <c r="H80" s="926">
        <f>G80+'24'!H80</f>
        <v>-3296.1199999999953</v>
      </c>
      <c r="I80" s="988"/>
      <c r="J80" s="928">
        <f>H80/DAY(B2)</f>
        <v>-131.84479999999982</v>
      </c>
      <c r="K80" s="1010"/>
      <c r="L80" s="903"/>
      <c r="O80" s="930"/>
    </row>
    <row r="81" spans="1:15">
      <c r="A81" s="1542" t="s">
        <v>210</v>
      </c>
      <c r="B81" s="1543"/>
      <c r="C81" s="1544"/>
      <c r="D81" s="957" t="s">
        <v>198</v>
      </c>
      <c r="E81" s="924">
        <f>'24'!F81</f>
        <v>621979</v>
      </c>
      <c r="F81" s="1016">
        <v>622131.56000000006</v>
      </c>
      <c r="G81" s="925">
        <f t="shared" si="6"/>
        <v>152.56000000005588</v>
      </c>
      <c r="H81" s="926">
        <f>G81+'24'!H81</f>
        <v>-643.43999999994412</v>
      </c>
      <c r="I81" s="988"/>
      <c r="J81" s="928">
        <f>H81/DAY(B2)</f>
        <v>-25.737599999997766</v>
      </c>
      <c r="K81" s="1010"/>
      <c r="L81" s="903"/>
      <c r="O81" s="930"/>
    </row>
    <row r="82" spans="1:15">
      <c r="A82" s="1542" t="s">
        <v>100</v>
      </c>
      <c r="B82" s="1543"/>
      <c r="C82" s="1544"/>
      <c r="D82" s="958" t="s">
        <v>143</v>
      </c>
      <c r="E82" s="924">
        <f>'24'!F82</f>
        <v>105111</v>
      </c>
      <c r="F82" s="1019">
        <v>105169</v>
      </c>
      <c r="G82" s="925">
        <f t="shared" si="6"/>
        <v>58</v>
      </c>
      <c r="H82" s="926">
        <f>G82+'24'!H82</f>
        <v>-271</v>
      </c>
      <c r="I82" s="959"/>
      <c r="J82" s="928">
        <f>H82/DAY(B2)</f>
        <v>-10.84</v>
      </c>
      <c r="K82" s="1010"/>
      <c r="L82" s="903"/>
      <c r="N82" s="1092">
        <f>371*0.99</f>
        <v>367.29</v>
      </c>
      <c r="O82" s="930"/>
    </row>
    <row r="83" spans="1:15">
      <c r="A83" s="1542" t="s">
        <v>211</v>
      </c>
      <c r="B83" s="1543"/>
      <c r="C83" s="1544"/>
      <c r="D83" s="1020" t="s">
        <v>143</v>
      </c>
      <c r="E83" s="924">
        <f>'24'!F83</f>
        <v>981601</v>
      </c>
      <c r="F83" s="910">
        <v>981841</v>
      </c>
      <c r="G83" s="925">
        <f t="shared" si="6"/>
        <v>240</v>
      </c>
      <c r="H83" s="926">
        <f>G83+'24'!H83</f>
        <v>-1900</v>
      </c>
      <c r="I83" s="948"/>
      <c r="J83" s="928">
        <f>H83/DAY(B2)</f>
        <v>-76</v>
      </c>
      <c r="K83" s="951"/>
      <c r="L83" s="903"/>
      <c r="O83" s="930"/>
    </row>
    <row r="84" spans="1:15">
      <c r="A84" s="1021" t="s">
        <v>212</v>
      </c>
      <c r="B84" s="1022"/>
      <c r="C84" s="1022"/>
      <c r="D84" s="942" t="s">
        <v>143</v>
      </c>
      <c r="E84" s="924">
        <f>'24'!F84</f>
        <v>412393</v>
      </c>
      <c r="F84" s="1023">
        <v>412909</v>
      </c>
      <c r="G84" s="925">
        <f t="shared" si="6"/>
        <v>516</v>
      </c>
      <c r="H84" s="926">
        <f>G84+'24'!H84</f>
        <v>-3164</v>
      </c>
      <c r="I84" s="948"/>
      <c r="J84" s="928">
        <f>H84/DAY(B2)</f>
        <v>-126.56</v>
      </c>
      <c r="K84" s="1024"/>
      <c r="L84" s="903"/>
      <c r="O84" s="930"/>
    </row>
    <row r="85" spans="1:15" s="1028" customFormat="1">
      <c r="A85" s="1025" t="s">
        <v>213</v>
      </c>
      <c r="B85" s="1026"/>
      <c r="C85" s="1026"/>
      <c r="D85" s="963"/>
      <c r="E85" s="924"/>
      <c r="F85" s="923"/>
      <c r="G85" s="926">
        <f xml:space="preserve"> SUM(G72:G84)</f>
        <v>2273.1200000000536</v>
      </c>
      <c r="H85" s="926">
        <f>G85+'24'!H85</f>
        <v>2293749.77</v>
      </c>
      <c r="I85" s="948"/>
      <c r="J85" s="928">
        <f>H85/DAY(B2)</f>
        <v>91749.9908</v>
      </c>
      <c r="K85" s="1024"/>
      <c r="L85" s="1027"/>
      <c r="N85" s="1095"/>
      <c r="O85" s="930"/>
    </row>
    <row r="86" spans="1:15" s="1038" customFormat="1">
      <c r="A86" s="1029" t="s">
        <v>102</v>
      </c>
      <c r="B86" s="1030"/>
      <c r="C86" s="1030"/>
      <c r="D86" s="1031" t="s">
        <v>194</v>
      </c>
      <c r="E86" s="924">
        <f>'24'!F86</f>
        <v>446461</v>
      </c>
      <c r="F86" s="1032">
        <v>446558.69</v>
      </c>
      <c r="G86" s="1033">
        <f t="shared" ref="G86:G90" si="7">F86-E86</f>
        <v>97.690000000002328</v>
      </c>
      <c r="H86" s="1033">
        <f t="shared" ref="H86:H88" si="8">G86</f>
        <v>97.690000000002328</v>
      </c>
      <c r="I86" s="1034"/>
      <c r="J86" s="1035">
        <f>H86/DAY(B2)</f>
        <v>3.9076000000000932</v>
      </c>
      <c r="K86" s="1036"/>
      <c r="L86" s="1037"/>
      <c r="N86" s="1096">
        <f>G86/0.995</f>
        <v>98.180904522615407</v>
      </c>
      <c r="O86" s="930"/>
    </row>
    <row r="87" spans="1:15" s="1038" customFormat="1">
      <c r="A87" s="1029" t="s">
        <v>103</v>
      </c>
      <c r="B87" s="1030"/>
      <c r="C87" s="1030"/>
      <c r="D87" s="1031" t="s">
        <v>194</v>
      </c>
      <c r="E87" s="924">
        <f>'24'!F87</f>
        <v>78279</v>
      </c>
      <c r="F87" s="1032">
        <v>78306.8</v>
      </c>
      <c r="G87" s="1033">
        <f t="shared" si="7"/>
        <v>27.80000000000291</v>
      </c>
      <c r="H87" s="1033">
        <f t="shared" si="8"/>
        <v>27.80000000000291</v>
      </c>
      <c r="I87" s="1034"/>
      <c r="J87" s="1035">
        <f>H87/DAY(B2)</f>
        <v>1.1120000000001165</v>
      </c>
      <c r="K87" s="1036"/>
      <c r="L87" s="1037"/>
      <c r="N87" s="1096"/>
      <c r="O87" s="930"/>
    </row>
    <row r="88" spans="1:15" s="1038" customFormat="1">
      <c r="A88" s="1029" t="s">
        <v>104</v>
      </c>
      <c r="B88" s="1030"/>
      <c r="C88" s="1030"/>
      <c r="D88" s="1031" t="s">
        <v>194</v>
      </c>
      <c r="E88" s="924">
        <f>'24'!F88</f>
        <v>146024</v>
      </c>
      <c r="F88" s="1032">
        <v>146075.76</v>
      </c>
      <c r="G88" s="1033">
        <f t="shared" si="7"/>
        <v>51.760000000009313</v>
      </c>
      <c r="H88" s="1033">
        <f t="shared" si="8"/>
        <v>51.760000000009313</v>
      </c>
      <c r="I88" s="1034"/>
      <c r="J88" s="1035">
        <f>H88/DAY(B2)</f>
        <v>2.0704000000003724</v>
      </c>
      <c r="K88" s="1036"/>
      <c r="L88" s="1037"/>
      <c r="N88" s="1096"/>
      <c r="O88" s="930"/>
    </row>
    <row r="89" spans="1:15" s="1038" customFormat="1">
      <c r="A89" s="1029" t="s">
        <v>215</v>
      </c>
      <c r="B89" s="1030"/>
      <c r="C89" s="1030"/>
      <c r="D89" s="1031" t="s">
        <v>194</v>
      </c>
      <c r="E89" s="924">
        <f>'24'!F89</f>
        <v>59304</v>
      </c>
      <c r="F89" s="1032">
        <v>59361.4</v>
      </c>
      <c r="G89" s="1033">
        <f t="shared" si="7"/>
        <v>57.400000000001455</v>
      </c>
      <c r="H89" s="1033">
        <f>G89</f>
        <v>57.400000000001455</v>
      </c>
      <c r="I89" s="1034"/>
      <c r="J89" s="1035">
        <f>H89/DAY(B2)</f>
        <v>2.296000000000058</v>
      </c>
      <c r="K89" s="1036"/>
      <c r="L89" s="1037"/>
      <c r="N89" s="1103">
        <f>204/205</f>
        <v>0.99512195121951219</v>
      </c>
      <c r="O89" s="930"/>
    </row>
    <row r="90" spans="1:15" s="1038" customFormat="1">
      <c r="A90" s="1029" t="s">
        <v>215</v>
      </c>
      <c r="B90" s="1030"/>
      <c r="C90" s="1030"/>
      <c r="D90" s="1031" t="s">
        <v>194</v>
      </c>
      <c r="E90" s="924">
        <f>'24'!F90</f>
        <v>3047</v>
      </c>
      <c r="F90" s="1032">
        <v>3049</v>
      </c>
      <c r="G90" s="1033">
        <f t="shared" si="7"/>
        <v>2</v>
      </c>
      <c r="H90" s="1033">
        <f>G90</f>
        <v>2</v>
      </c>
      <c r="I90" s="1034"/>
      <c r="J90" s="1035">
        <f>H90/DAY(B2)</f>
        <v>0.08</v>
      </c>
      <c r="K90" s="1036"/>
      <c r="L90" s="1037"/>
      <c r="N90" s="1097"/>
      <c r="O90" s="930"/>
    </row>
    <row r="91" spans="1:15" s="1028" customFormat="1">
      <c r="A91" s="1039" t="s">
        <v>216</v>
      </c>
      <c r="B91" s="918"/>
      <c r="C91" s="918"/>
      <c r="D91" s="918"/>
      <c r="E91" s="918"/>
      <c r="F91" s="918"/>
      <c r="G91" s="962"/>
      <c r="H91" s="918"/>
      <c r="I91" s="918"/>
      <c r="J91" s="919"/>
      <c r="K91" s="1024"/>
      <c r="L91" s="1027"/>
      <c r="N91" s="1095"/>
      <c r="O91" s="930"/>
    </row>
    <row r="92" spans="1:15">
      <c r="A92" s="1522" t="s">
        <v>217</v>
      </c>
      <c r="B92" s="1523"/>
      <c r="C92" s="1524"/>
      <c r="D92" s="923" t="s">
        <v>155</v>
      </c>
      <c r="E92" s="924">
        <f>'24'!F92</f>
        <v>235985</v>
      </c>
      <c r="F92" s="954">
        <v>236081</v>
      </c>
      <c r="G92" s="925">
        <f t="shared" ref="G92:G93" si="9">F92-E92</f>
        <v>96</v>
      </c>
      <c r="H92" s="926">
        <f>G92+'24'!H92</f>
        <v>-489</v>
      </c>
      <c r="I92" s="945"/>
      <c r="J92" s="928">
        <f>H92/DAY(B2)</f>
        <v>-19.559999999999999</v>
      </c>
      <c r="K92" s="951"/>
      <c r="L92" s="903"/>
      <c r="O92" s="930"/>
    </row>
    <row r="93" spans="1:15">
      <c r="A93" s="1522" t="s">
        <v>218</v>
      </c>
      <c r="B93" s="1523"/>
      <c r="C93" s="1524"/>
      <c r="D93" s="923" t="s">
        <v>155</v>
      </c>
      <c r="E93" s="924">
        <f>'24'!F93</f>
        <v>170202</v>
      </c>
      <c r="F93" s="954">
        <v>170363</v>
      </c>
      <c r="G93" s="925">
        <f t="shared" si="9"/>
        <v>161</v>
      </c>
      <c r="H93" s="926">
        <f>G93+'24'!H93</f>
        <v>-813</v>
      </c>
      <c r="I93" s="945"/>
      <c r="J93" s="928">
        <f>H93/DAY(B2)</f>
        <v>-32.520000000000003</v>
      </c>
      <c r="K93" s="1024"/>
      <c r="L93" s="903"/>
      <c r="O93" s="930"/>
    </row>
    <row r="94" spans="1:15">
      <c r="A94" s="1531" t="s">
        <v>219</v>
      </c>
      <c r="B94" s="1532"/>
      <c r="C94" s="1533"/>
      <c r="D94" s="923"/>
      <c r="E94" s="924">
        <f>'24'!F94</f>
        <v>0</v>
      </c>
      <c r="F94" s="954"/>
      <c r="G94" s="925">
        <f>G92+G93</f>
        <v>257</v>
      </c>
      <c r="H94" s="926">
        <f>G94+'24'!H94</f>
        <v>-1589</v>
      </c>
      <c r="I94" s="945"/>
      <c r="J94" s="928">
        <f>H94/DAY(B2)</f>
        <v>-63.56</v>
      </c>
      <c r="K94" s="1024"/>
      <c r="L94" s="903"/>
      <c r="O94" s="930"/>
    </row>
    <row r="95" spans="1:15">
      <c r="A95" s="1522" t="s">
        <v>220</v>
      </c>
      <c r="B95" s="1523"/>
      <c r="C95" s="1524"/>
      <c r="D95" s="923" t="s">
        <v>155</v>
      </c>
      <c r="E95" s="924">
        <f>'24'!F95</f>
        <v>405431</v>
      </c>
      <c r="F95" s="954">
        <v>405514</v>
      </c>
      <c r="G95" s="925">
        <f t="shared" ref="G95:G100" si="10">F95-E95</f>
        <v>83</v>
      </c>
      <c r="H95" s="926">
        <f>G95+'24'!H95</f>
        <v>-362</v>
      </c>
      <c r="I95" s="945"/>
      <c r="J95" s="928">
        <f>H95/DAY(B2)</f>
        <v>-14.48</v>
      </c>
      <c r="K95" s="1024"/>
      <c r="L95" s="903"/>
      <c r="O95" s="930"/>
    </row>
    <row r="96" spans="1:15">
      <c r="A96" s="952" t="s">
        <v>221</v>
      </c>
      <c r="B96" s="953"/>
      <c r="C96" s="953"/>
      <c r="D96" s="923" t="s">
        <v>155</v>
      </c>
      <c r="E96" s="924">
        <f>'24'!F96</f>
        <v>100356</v>
      </c>
      <c r="F96" s="954">
        <v>100380</v>
      </c>
      <c r="G96" s="925">
        <f t="shared" si="10"/>
        <v>24</v>
      </c>
      <c r="H96" s="926">
        <f>G96+'24'!H96</f>
        <v>-154</v>
      </c>
      <c r="I96" s="945"/>
      <c r="J96" s="928">
        <f>H96/DAY(B2)</f>
        <v>-6.16</v>
      </c>
      <c r="K96" s="920"/>
      <c r="L96" s="903"/>
      <c r="O96" s="930"/>
    </row>
    <row r="97" spans="1:15">
      <c r="A97" s="952" t="s">
        <v>222</v>
      </c>
      <c r="B97" s="953"/>
      <c r="C97" s="953"/>
      <c r="D97" s="923" t="s">
        <v>155</v>
      </c>
      <c r="E97" s="924">
        <f>'24'!F97</f>
        <v>95532</v>
      </c>
      <c r="F97" s="1075">
        <v>95557</v>
      </c>
      <c r="G97" s="925">
        <f t="shared" si="10"/>
        <v>25</v>
      </c>
      <c r="H97" s="926">
        <f>G97+'24'!H97</f>
        <v>-120</v>
      </c>
      <c r="I97" s="945"/>
      <c r="J97" s="928">
        <f>H97/DAY(B2)</f>
        <v>-4.8</v>
      </c>
      <c r="K97" s="1040"/>
      <c r="L97" s="903"/>
      <c r="O97" s="930"/>
    </row>
    <row r="98" spans="1:15">
      <c r="A98" s="952" t="s">
        <v>223</v>
      </c>
      <c r="B98" s="953"/>
      <c r="C98" s="953"/>
      <c r="D98" s="923" t="s">
        <v>155</v>
      </c>
      <c r="E98" s="924">
        <f>'24'!F98</f>
        <v>145122</v>
      </c>
      <c r="F98" s="954">
        <v>145172</v>
      </c>
      <c r="G98" s="925">
        <f t="shared" si="10"/>
        <v>50</v>
      </c>
      <c r="H98" s="926">
        <f>G98+'24'!H98</f>
        <v>-382</v>
      </c>
      <c r="I98" s="945"/>
      <c r="J98" s="928">
        <f>H98/DAY(B2)</f>
        <v>-15.28</v>
      </c>
      <c r="K98" s="1024"/>
      <c r="L98" s="903"/>
      <c r="O98" s="930"/>
    </row>
    <row r="99" spans="1:15">
      <c r="A99" s="952" t="s">
        <v>224</v>
      </c>
      <c r="B99" s="953"/>
      <c r="C99" s="953"/>
      <c r="D99" s="923" t="s">
        <v>155</v>
      </c>
      <c r="E99" s="924">
        <f>'24'!F99</f>
        <v>5826</v>
      </c>
      <c r="F99" s="954">
        <v>5843</v>
      </c>
      <c r="G99" s="925">
        <f t="shared" si="10"/>
        <v>17</v>
      </c>
      <c r="H99" s="926">
        <f>G99+'24'!H99</f>
        <v>-131</v>
      </c>
      <c r="I99" s="945"/>
      <c r="J99" s="928">
        <f>H99/DAY(B2)</f>
        <v>-5.24</v>
      </c>
      <c r="K99" s="1024"/>
      <c r="L99" s="903"/>
      <c r="O99" s="930"/>
    </row>
    <row r="100" spans="1:15">
      <c r="A100" s="952" t="s">
        <v>225</v>
      </c>
      <c r="B100" s="953"/>
      <c r="C100" s="953"/>
      <c r="D100" s="923" t="s">
        <v>155</v>
      </c>
      <c r="E100" s="924">
        <f>'24'!F100</f>
        <v>4187</v>
      </c>
      <c r="F100" s="954">
        <v>4195</v>
      </c>
      <c r="G100" s="925">
        <f t="shared" si="10"/>
        <v>8</v>
      </c>
      <c r="H100" s="926">
        <f>G100+'24'!H100</f>
        <v>-42</v>
      </c>
      <c r="I100" s="945"/>
      <c r="J100" s="928">
        <f>H100/DAY(B2)</f>
        <v>-1.68</v>
      </c>
      <c r="K100" s="1024"/>
      <c r="L100" s="903"/>
      <c r="O100" s="930"/>
    </row>
    <row r="101" spans="1:15">
      <c r="A101" s="1531" t="s">
        <v>227</v>
      </c>
      <c r="B101" s="1532"/>
      <c r="C101" s="1533"/>
      <c r="D101" s="957"/>
      <c r="E101" s="957"/>
      <c r="F101" s="957"/>
      <c r="G101" s="1041">
        <f>SUM(G95:G100)</f>
        <v>207</v>
      </c>
      <c r="H101" s="926">
        <f>G101+'24'!H101</f>
        <v>-1191</v>
      </c>
      <c r="I101" s="1042"/>
      <c r="J101" s="928">
        <f>H101/DAY(B2)</f>
        <v>-47.64</v>
      </c>
      <c r="K101" s="1024"/>
      <c r="L101" s="903"/>
      <c r="O101" s="930"/>
    </row>
    <row r="102" spans="1:15" s="975" customFormat="1">
      <c r="A102" s="1043" t="s">
        <v>228</v>
      </c>
      <c r="B102" s="1044"/>
      <c r="C102" s="1044"/>
      <c r="D102" s="1045"/>
      <c r="E102" s="1046"/>
      <c r="F102" s="1047"/>
      <c r="G102" s="1048"/>
      <c r="H102" s="1049"/>
      <c r="I102" s="1050"/>
      <c r="J102" s="1051"/>
      <c r="N102" s="1093"/>
      <c r="O102" s="930"/>
    </row>
    <row r="103" spans="1:15" s="975" customFormat="1">
      <c r="A103" s="1539" t="s">
        <v>229</v>
      </c>
      <c r="B103" s="1540"/>
      <c r="C103" s="1052"/>
      <c r="D103" s="1053"/>
      <c r="E103" s="1054"/>
      <c r="F103" s="1054"/>
      <c r="G103" s="1054"/>
      <c r="H103" s="1055"/>
      <c r="I103" s="1054"/>
      <c r="J103" s="1056"/>
      <c r="N103" s="1093"/>
      <c r="O103" s="930"/>
    </row>
    <row r="104" spans="1:15" s="975" customFormat="1">
      <c r="A104" s="1512" t="s">
        <v>230</v>
      </c>
      <c r="B104" s="1513"/>
      <c r="C104" s="1057"/>
      <c r="D104" s="1053" t="s">
        <v>155</v>
      </c>
      <c r="E104" s="1054">
        <f>'24'!F104</f>
        <v>7010</v>
      </c>
      <c r="F104" s="1054">
        <v>7010</v>
      </c>
      <c r="G104" s="1054">
        <f>F104-E104</f>
        <v>0</v>
      </c>
      <c r="H104" s="1055">
        <f>SUM(G104+'1'!G76)</f>
        <v>74</v>
      </c>
      <c r="I104" s="1054"/>
      <c r="J104" s="1056">
        <f>H104/DAY(B2)</f>
        <v>2.96</v>
      </c>
      <c r="N104" s="1093"/>
      <c r="O104" s="930"/>
    </row>
    <row r="105" spans="1:15" s="975" customFormat="1">
      <c r="A105" s="1512" t="s">
        <v>77</v>
      </c>
      <c r="B105" s="1513"/>
      <c r="C105" s="1057"/>
      <c r="D105" s="1053" t="s">
        <v>155</v>
      </c>
      <c r="E105" s="1054">
        <f>'24'!F105</f>
        <v>35103</v>
      </c>
      <c r="F105" s="1058">
        <v>35117</v>
      </c>
      <c r="G105" s="1054">
        <f t="shared" ref="G105:G106" si="11">F105-E105</f>
        <v>14</v>
      </c>
      <c r="H105" s="1055">
        <f>SUM(G105+'1'!G77)</f>
        <v>62</v>
      </c>
      <c r="I105" s="1054"/>
      <c r="J105" s="1056">
        <f>H105/DAY(B2)</f>
        <v>2.48</v>
      </c>
      <c r="N105" s="1093"/>
      <c r="O105" s="930"/>
    </row>
    <row r="106" spans="1:15" s="975" customFormat="1">
      <c r="A106" s="1512" t="s">
        <v>78</v>
      </c>
      <c r="B106" s="1541"/>
      <c r="C106" s="1513"/>
      <c r="D106" s="1053" t="s">
        <v>155</v>
      </c>
      <c r="E106" s="1054">
        <f>'24'!F106</f>
        <v>19049</v>
      </c>
      <c r="F106" s="1054">
        <v>19056</v>
      </c>
      <c r="G106" s="1054">
        <f t="shared" si="11"/>
        <v>7</v>
      </c>
      <c r="H106" s="1055">
        <f>SUM(G106+'1'!G78)</f>
        <v>341</v>
      </c>
      <c r="I106" s="1054"/>
      <c r="J106" s="1056">
        <f>H106/DAY(B2)</f>
        <v>13.64</v>
      </c>
      <c r="N106" s="1093"/>
      <c r="O106" s="930"/>
    </row>
    <row r="107" spans="1:15" s="975" customFormat="1">
      <c r="A107" s="1514" t="s">
        <v>213</v>
      </c>
      <c r="B107" s="1515"/>
      <c r="C107" s="1057"/>
      <c r="D107" s="1053"/>
      <c r="E107" s="1054">
        <f>'24'!F107</f>
        <v>0</v>
      </c>
      <c r="F107" s="1054"/>
      <c r="G107" s="1054">
        <f>SUM(G104:G106)</f>
        <v>21</v>
      </c>
      <c r="H107" s="1055">
        <f>SUM(G107+'1'!G79)</f>
        <v>226</v>
      </c>
      <c r="I107" s="1054"/>
      <c r="J107" s="1056">
        <f>H107/DAY(B2)</f>
        <v>9.0399999999999991</v>
      </c>
      <c r="N107" s="1093"/>
      <c r="O107" s="930"/>
    </row>
    <row r="108" spans="1:15" s="975" customFormat="1">
      <c r="A108" s="1520" t="s">
        <v>79</v>
      </c>
      <c r="B108" s="1521"/>
      <c r="C108" s="1057"/>
      <c r="D108" s="1053" t="s">
        <v>155</v>
      </c>
      <c r="E108" s="1054">
        <f>'24'!F108</f>
        <v>0</v>
      </c>
      <c r="F108" s="1054"/>
      <c r="G108" s="1054"/>
      <c r="H108" s="1055"/>
      <c r="I108" s="1054"/>
      <c r="J108" s="1056"/>
      <c r="N108" s="1093"/>
      <c r="O108" s="930"/>
    </row>
    <row r="109" spans="1:15" s="975" customFormat="1">
      <c r="A109" s="1512" t="s">
        <v>231</v>
      </c>
      <c r="B109" s="1513"/>
      <c r="C109" s="1057"/>
      <c r="D109" s="1053" t="s">
        <v>155</v>
      </c>
      <c r="E109" s="1054">
        <f>'24'!F109</f>
        <v>54314</v>
      </c>
      <c r="F109" s="1054">
        <v>54355</v>
      </c>
      <c r="G109" s="1054">
        <f>F109-E109</f>
        <v>41</v>
      </c>
      <c r="H109" s="1055">
        <f>SUM(G109+'1'!G81)</f>
        <v>117</v>
      </c>
      <c r="I109" s="1054"/>
      <c r="J109" s="1056">
        <f>H109/DAY(B2)</f>
        <v>4.68</v>
      </c>
      <c r="N109" s="1093"/>
      <c r="O109" s="930"/>
    </row>
    <row r="110" spans="1:15" s="975" customFormat="1">
      <c r="A110" s="1512" t="s">
        <v>232</v>
      </c>
      <c r="B110" s="1513"/>
      <c r="C110" s="1057"/>
      <c r="D110" s="1053" t="s">
        <v>155</v>
      </c>
      <c r="E110" s="1054">
        <f>'24'!F110</f>
        <v>28121</v>
      </c>
      <c r="F110" s="1054">
        <v>28181</v>
      </c>
      <c r="G110" s="1054">
        <f t="shared" ref="G110:G111" si="12">F110-E110</f>
        <v>60</v>
      </c>
      <c r="H110" s="1055">
        <f>SUM(G110+'1'!G82)</f>
        <v>105</v>
      </c>
      <c r="I110" s="1054"/>
      <c r="J110" s="1056">
        <f>H110/DAY(B2)</f>
        <v>4.2</v>
      </c>
      <c r="N110" s="1093"/>
      <c r="O110" s="930"/>
    </row>
    <row r="111" spans="1:15" s="975" customFormat="1">
      <c r="A111" s="1512" t="s">
        <v>233</v>
      </c>
      <c r="B111" s="1513"/>
      <c r="C111" s="1057"/>
      <c r="D111" s="1053" t="s">
        <v>155</v>
      </c>
      <c r="E111" s="1054">
        <f>'24'!F111</f>
        <v>3707</v>
      </c>
      <c r="F111" s="1054">
        <v>3721</v>
      </c>
      <c r="G111" s="1054">
        <f t="shared" si="12"/>
        <v>14</v>
      </c>
      <c r="H111" s="1055">
        <f>SUM(G111+'1'!G83)</f>
        <v>447</v>
      </c>
      <c r="I111" s="1054"/>
      <c r="J111" s="1056">
        <f>H111/DAY(B2)</f>
        <v>17.88</v>
      </c>
      <c r="N111" s="1093"/>
      <c r="O111" s="930"/>
    </row>
    <row r="112" spans="1:15" s="975" customFormat="1">
      <c r="A112" s="1518" t="s">
        <v>121</v>
      </c>
      <c r="B112" s="1519"/>
      <c r="C112" s="1057"/>
      <c r="D112" s="1053"/>
      <c r="E112" s="1054">
        <f>'24'!F112</f>
        <v>0</v>
      </c>
      <c r="F112" s="1054"/>
      <c r="G112" s="1054">
        <f>SUM(G109:G111)</f>
        <v>115</v>
      </c>
      <c r="H112" s="1055">
        <f>SUM(G112+'1'!G84)</f>
        <v>636</v>
      </c>
      <c r="I112" s="1054"/>
      <c r="J112" s="1056">
        <f>H112/DAY(B2)</f>
        <v>25.44</v>
      </c>
      <c r="N112" s="1093"/>
      <c r="O112" s="930"/>
    </row>
    <row r="113" spans="1:15" s="975" customFormat="1">
      <c r="A113" s="1520" t="s">
        <v>234</v>
      </c>
      <c r="B113" s="1521"/>
      <c r="C113" s="1057"/>
      <c r="D113" s="1053"/>
      <c r="E113" s="1054">
        <f>'24'!F113</f>
        <v>0</v>
      </c>
      <c r="F113" s="1054"/>
      <c r="G113" s="1054"/>
      <c r="H113" s="1055"/>
      <c r="I113" s="1054"/>
      <c r="J113" s="1056">
        <f>H113/DAY(B2)</f>
        <v>0</v>
      </c>
      <c r="N113" s="1093"/>
      <c r="O113" s="930"/>
    </row>
    <row r="114" spans="1:15" s="975" customFormat="1">
      <c r="A114" s="1512" t="s">
        <v>235</v>
      </c>
      <c r="B114" s="1513"/>
      <c r="C114" s="1059"/>
      <c r="D114" s="1053" t="s">
        <v>155</v>
      </c>
      <c r="E114" s="1054">
        <f>'24'!F114</f>
        <v>9629</v>
      </c>
      <c r="F114" s="1058">
        <v>9649</v>
      </c>
      <c r="G114" s="1058">
        <f>F114-E114</f>
        <v>20</v>
      </c>
      <c r="H114" s="1055">
        <f>SUM(G114+'1'!G91)</f>
        <v>20</v>
      </c>
      <c r="I114" s="1054"/>
      <c r="J114" s="1056">
        <f>H114/DAY(B2)</f>
        <v>0.8</v>
      </c>
      <c r="N114" s="1093"/>
      <c r="O114" s="930"/>
    </row>
    <row r="115" spans="1:15" s="975" customFormat="1">
      <c r="A115" s="1512" t="s">
        <v>236</v>
      </c>
      <c r="B115" s="1513"/>
      <c r="C115" s="1059"/>
      <c r="D115" s="1053" t="s">
        <v>155</v>
      </c>
      <c r="E115" s="1054">
        <f>'24'!F115</f>
        <v>7382</v>
      </c>
      <c r="F115" s="1058">
        <v>7388</v>
      </c>
      <c r="G115" s="1058">
        <f t="shared" ref="G115:G116" si="13">F115-E115</f>
        <v>6</v>
      </c>
      <c r="H115" s="1055">
        <f>SUM(G115+'1'!G92)</f>
        <v>93</v>
      </c>
      <c r="I115" s="1054"/>
      <c r="J115" s="1056">
        <f>H115/DAY(B2)</f>
        <v>3.72</v>
      </c>
      <c r="N115" s="1093"/>
      <c r="O115" s="930"/>
    </row>
    <row r="116" spans="1:15" s="975" customFormat="1">
      <c r="A116" s="1512" t="s">
        <v>237</v>
      </c>
      <c r="B116" s="1513"/>
      <c r="C116" s="1059"/>
      <c r="D116" s="1053" t="s">
        <v>155</v>
      </c>
      <c r="E116" s="1058"/>
      <c r="F116" s="1058"/>
      <c r="G116" s="1058">
        <f t="shared" si="13"/>
        <v>0</v>
      </c>
      <c r="H116" s="1055">
        <f>SUM(G116+'1'!G93)</f>
        <v>200</v>
      </c>
      <c r="I116" s="1054"/>
      <c r="J116" s="1056">
        <f>H116/DAY(B2)</f>
        <v>8</v>
      </c>
      <c r="N116" s="1093"/>
      <c r="O116" s="930"/>
    </row>
    <row r="117" spans="1:15" s="1061" customFormat="1">
      <c r="A117" s="1514" t="s">
        <v>213</v>
      </c>
      <c r="B117" s="1515"/>
      <c r="C117" s="1059"/>
      <c r="D117" s="1060"/>
      <c r="E117" s="1058"/>
      <c r="F117" s="1058"/>
      <c r="G117" s="1058">
        <f>SUM(G114:G116)</f>
        <v>26</v>
      </c>
      <c r="H117" s="1055">
        <f>SUM(G117+'1'!G95)</f>
        <v>98</v>
      </c>
      <c r="I117" s="1058"/>
      <c r="J117" s="1056">
        <f>H117/DAY(B2)</f>
        <v>3.92</v>
      </c>
      <c r="N117" s="1098"/>
      <c r="O117" s="930"/>
    </row>
    <row r="118" spans="1:15" s="851" customFormat="1">
      <c r="A118" s="1516" t="s">
        <v>238</v>
      </c>
      <c r="B118" s="1517"/>
      <c r="C118" s="1062"/>
      <c r="D118" s="1063" t="s">
        <v>155</v>
      </c>
      <c r="E118" s="1064"/>
      <c r="F118" s="1065">
        <f>SUM(G19+G92)</f>
        <v>149</v>
      </c>
      <c r="G118" s="1065">
        <f>SUM(G19+G92)</f>
        <v>149</v>
      </c>
      <c r="H118" s="1055">
        <f>SUM(G118+'1'!G96)</f>
        <v>172</v>
      </c>
      <c r="I118" s="1064"/>
      <c r="J118" s="1066">
        <f>H118/DAY(B2)</f>
        <v>6.88</v>
      </c>
      <c r="N118" s="1099"/>
      <c r="O118" s="930"/>
    </row>
    <row r="119" spans="1:15" s="851" customFormat="1">
      <c r="A119" s="1516" t="s">
        <v>239</v>
      </c>
      <c r="B119" s="1517"/>
      <c r="C119" s="1062"/>
      <c r="D119" s="1063" t="s">
        <v>155</v>
      </c>
      <c r="E119" s="1064"/>
      <c r="F119" s="1065">
        <f>SUM(G95,G96,G97,G99,G100)</f>
        <v>157</v>
      </c>
      <c r="G119" s="1065">
        <f>SUM(G95,G96,G97,G99,G100)</f>
        <v>157</v>
      </c>
      <c r="H119" s="1055">
        <f>SUM(G119+'1'!G98)</f>
        <v>240</v>
      </c>
      <c r="I119" s="1064"/>
      <c r="J119" s="1066">
        <f>H119/DAY(B2)</f>
        <v>9.6</v>
      </c>
      <c r="N119" s="1099"/>
      <c r="O119" s="930"/>
    </row>
    <row r="120" spans="1:15" s="851" customFormat="1">
      <c r="A120" s="1516" t="s">
        <v>240</v>
      </c>
      <c r="B120" s="1517"/>
      <c r="C120" s="1062"/>
      <c r="D120" s="1063" t="s">
        <v>155</v>
      </c>
      <c r="E120" s="1064"/>
      <c r="F120" s="1058">
        <f>SUM(G112)</f>
        <v>115</v>
      </c>
      <c r="G120" s="1058">
        <f>SUM(G112)</f>
        <v>115</v>
      </c>
      <c r="H120" s="1055">
        <f>SUM(G120+'1'!G100)</f>
        <v>121</v>
      </c>
      <c r="I120" s="1064"/>
      <c r="J120" s="1066">
        <f>H120/DAY(B2)</f>
        <v>4.84</v>
      </c>
      <c r="N120" s="1099"/>
      <c r="O120" s="930"/>
    </row>
    <row r="121" spans="1:15" s="975" customFormat="1">
      <c r="A121" s="1510"/>
      <c r="B121" s="1511"/>
      <c r="C121" s="1057"/>
      <c r="D121" s="1052"/>
      <c r="E121" s="1052"/>
      <c r="F121" s="1052" t="s">
        <v>226</v>
      </c>
      <c r="G121" s="1052"/>
      <c r="H121" s="1067"/>
      <c r="I121" s="1052"/>
      <c r="J121" s="1068"/>
      <c r="N121" s="1093"/>
      <c r="O121" s="930"/>
    </row>
    <row r="122" spans="1:15">
      <c r="A122" s="1534" t="s">
        <v>241</v>
      </c>
      <c r="B122" s="1535"/>
      <c r="C122" s="1536"/>
      <c r="D122" s="918"/>
      <c r="E122" s="918"/>
      <c r="F122" s="918"/>
      <c r="G122" s="950"/>
      <c r="H122" s="950"/>
      <c r="I122" s="950"/>
      <c r="J122" s="1069"/>
      <c r="K122" s="1024"/>
      <c r="L122" s="903"/>
      <c r="O122" s="930"/>
    </row>
    <row r="123" spans="1:15">
      <c r="A123" s="952" t="s">
        <v>242</v>
      </c>
      <c r="B123" s="953"/>
      <c r="C123" s="953"/>
      <c r="D123" s="923" t="s">
        <v>152</v>
      </c>
      <c r="E123" s="924">
        <f>'24'!F123</f>
        <v>801487</v>
      </c>
      <c r="F123" s="942">
        <v>801756.21</v>
      </c>
      <c r="G123" s="925">
        <f t="shared" ref="G123:G127" si="14">F123-E123</f>
        <v>269.20999999996275</v>
      </c>
      <c r="H123" s="926">
        <f>G123+'24'!H123</f>
        <v>-1579.1900000000605</v>
      </c>
      <c r="I123" s="1042"/>
      <c r="J123" s="928">
        <f>H123/DAY(B2)</f>
        <v>-63.167600000002423</v>
      </c>
      <c r="K123" s="1024"/>
      <c r="L123" s="903"/>
      <c r="O123" s="930"/>
    </row>
    <row r="124" spans="1:15">
      <c r="A124" s="952" t="s">
        <v>243</v>
      </c>
      <c r="B124" s="953"/>
      <c r="C124" s="953"/>
      <c r="D124" s="923" t="s">
        <v>152</v>
      </c>
      <c r="E124" s="924">
        <f>'24'!F124</f>
        <v>73582</v>
      </c>
      <c r="F124" s="1070">
        <v>73582</v>
      </c>
      <c r="G124" s="925">
        <f t="shared" si="14"/>
        <v>0</v>
      </c>
      <c r="H124" s="926">
        <f>G124+'24'!H124</f>
        <v>0</v>
      </c>
      <c r="I124" s="1042"/>
      <c r="J124" s="928">
        <f>H124/DAY(B2)</f>
        <v>0</v>
      </c>
      <c r="K124" s="1024"/>
      <c r="L124" s="903"/>
      <c r="O124" s="930"/>
    </row>
    <row r="125" spans="1:15">
      <c r="A125" s="1528" t="s">
        <v>244</v>
      </c>
      <c r="B125" s="1529"/>
      <c r="C125" s="1530"/>
      <c r="D125" s="923" t="s">
        <v>152</v>
      </c>
      <c r="E125" s="924">
        <f>'24'!F125</f>
        <v>137389.37</v>
      </c>
      <c r="F125" s="942">
        <v>137479</v>
      </c>
      <c r="G125" s="925">
        <f t="shared" si="14"/>
        <v>89.630000000004657</v>
      </c>
      <c r="H125" s="926">
        <f>G125+'24'!H125</f>
        <v>-369</v>
      </c>
      <c r="I125" s="1042"/>
      <c r="J125" s="928">
        <f>H125/DAY(B2)</f>
        <v>-14.76</v>
      </c>
      <c r="K125" s="1024"/>
      <c r="L125" s="903"/>
      <c r="O125" s="930"/>
    </row>
    <row r="126" spans="1:15">
      <c r="A126" s="1071" t="s">
        <v>245</v>
      </c>
      <c r="B126" s="953"/>
      <c r="C126" s="953"/>
      <c r="D126" s="923" t="s">
        <v>152</v>
      </c>
      <c r="E126" s="924">
        <f>'24'!F126</f>
        <v>58180</v>
      </c>
      <c r="F126" s="1070">
        <v>58214</v>
      </c>
      <c r="G126" s="925">
        <f t="shared" si="14"/>
        <v>34</v>
      </c>
      <c r="H126" s="926">
        <f>G126+'24'!H126</f>
        <v>-177.69999999999709</v>
      </c>
      <c r="I126" s="1042"/>
      <c r="J126" s="928">
        <f>H126/DAY(B2)</f>
        <v>-7.1079999999998833</v>
      </c>
      <c r="K126" s="1024"/>
      <c r="L126" s="903"/>
      <c r="O126" s="930"/>
    </row>
    <row r="127" spans="1:15">
      <c r="A127" s="1071" t="s">
        <v>246</v>
      </c>
      <c r="B127" s="953"/>
      <c r="C127" s="953"/>
      <c r="D127" s="923" t="s">
        <v>152</v>
      </c>
      <c r="E127" s="924">
        <f>'24'!F127</f>
        <v>8793</v>
      </c>
      <c r="F127" s="1070">
        <v>8796.6</v>
      </c>
      <c r="G127" s="925">
        <f t="shared" si="14"/>
        <v>3.6000000000003638</v>
      </c>
      <c r="H127" s="926">
        <f>G127+'24'!H127</f>
        <v>-19.399999999999636</v>
      </c>
      <c r="I127" s="945"/>
      <c r="J127" s="928">
        <f>H127/DAY(B2)</f>
        <v>-0.77599999999998548</v>
      </c>
      <c r="K127" s="1024"/>
      <c r="L127" s="903"/>
      <c r="O127" s="930"/>
    </row>
    <row r="128" spans="1:15">
      <c r="A128" s="1071" t="s">
        <v>247</v>
      </c>
      <c r="B128" s="953"/>
      <c r="C128" s="953"/>
      <c r="D128" s="923"/>
      <c r="E128" s="924"/>
      <c r="F128" s="942"/>
      <c r="G128" s="925">
        <f>G15-SUM(G123:G127)</f>
        <v>534.42000000013468</v>
      </c>
      <c r="H128" s="926">
        <f>G128+'24'!H128</f>
        <v>-9647.4400000000078</v>
      </c>
      <c r="I128" s="945"/>
      <c r="J128" s="928">
        <f>H128/DAY(B2)</f>
        <v>-385.8976000000003</v>
      </c>
      <c r="K128" s="1024"/>
      <c r="L128" s="903"/>
      <c r="O128" s="930"/>
    </row>
    <row r="129" spans="1:16">
      <c r="A129" s="1072" t="s">
        <v>248</v>
      </c>
      <c r="B129" s="917"/>
      <c r="C129" s="917"/>
      <c r="D129" s="917"/>
      <c r="E129" s="917"/>
      <c r="F129" s="917"/>
      <c r="G129" s="1073"/>
      <c r="H129" s="1073"/>
      <c r="I129" s="1073"/>
      <c r="J129" s="1074"/>
      <c r="O129" s="930"/>
    </row>
    <row r="130" spans="1:16">
      <c r="A130" s="952" t="s">
        <v>249</v>
      </c>
      <c r="B130" s="953"/>
      <c r="C130" s="953"/>
      <c r="D130" s="923" t="s">
        <v>250</v>
      </c>
      <c r="E130" s="924">
        <f>'24'!F130</f>
        <v>0</v>
      </c>
      <c r="F130" s="954">
        <v>0</v>
      </c>
      <c r="G130" s="925">
        <f t="shared" ref="G130:G140" si="15">F130-E130</f>
        <v>0</v>
      </c>
      <c r="H130" s="926">
        <f>G130+'24'!H130</f>
        <v>0</v>
      </c>
      <c r="I130" s="945"/>
      <c r="J130" s="928">
        <f>H130/DAY(B2)</f>
        <v>0</v>
      </c>
      <c r="O130" s="930"/>
    </row>
    <row r="131" spans="1:16">
      <c r="A131" s="952" t="s">
        <v>251</v>
      </c>
      <c r="B131" s="953"/>
      <c r="C131" s="953"/>
      <c r="D131" s="923" t="s">
        <v>250</v>
      </c>
      <c r="E131" s="924">
        <f>'24'!F131</f>
        <v>0</v>
      </c>
      <c r="F131" s="954">
        <v>0</v>
      </c>
      <c r="G131" s="925">
        <f t="shared" si="15"/>
        <v>0</v>
      </c>
      <c r="H131" s="926">
        <f>G131+'24'!H131</f>
        <v>0</v>
      </c>
      <c r="I131" s="945"/>
      <c r="J131" s="928">
        <f>H131/DAY(B2)</f>
        <v>0</v>
      </c>
      <c r="O131" s="930"/>
    </row>
    <row r="132" spans="1:16">
      <c r="A132" s="952" t="s">
        <v>252</v>
      </c>
      <c r="B132" s="953"/>
      <c r="C132" s="953"/>
      <c r="D132" s="923" t="s">
        <v>250</v>
      </c>
      <c r="E132" s="924">
        <f>'24'!F132</f>
        <v>38936.559999999998</v>
      </c>
      <c r="F132" s="1075">
        <v>38960.519999999997</v>
      </c>
      <c r="G132" s="925">
        <f t="shared" si="15"/>
        <v>23.959999999999127</v>
      </c>
      <c r="H132" s="926">
        <f>G132+'24'!H132</f>
        <v>242.1299999999901</v>
      </c>
      <c r="I132" s="945"/>
      <c r="J132" s="928">
        <f>H132/DAY(B2)</f>
        <v>9.6851999999996039</v>
      </c>
      <c r="O132" s="930"/>
      <c r="P132" s="890">
        <f>49-24</f>
        <v>25</v>
      </c>
    </row>
    <row r="133" spans="1:16">
      <c r="A133" s="952" t="s">
        <v>253</v>
      </c>
      <c r="B133" s="953"/>
      <c r="C133" s="953"/>
      <c r="D133" s="923" t="s">
        <v>250</v>
      </c>
      <c r="E133" s="924">
        <f>'24'!F133</f>
        <v>299.01</v>
      </c>
      <c r="F133" s="1075">
        <v>299.01</v>
      </c>
      <c r="G133" s="925">
        <f t="shared" si="15"/>
        <v>0</v>
      </c>
      <c r="H133" s="926">
        <f>G133+'24'!H133</f>
        <v>9.9999999999909051E-3</v>
      </c>
      <c r="I133" s="945">
        <f>G130+G131+G132+G133</f>
        <v>23.959999999999127</v>
      </c>
      <c r="J133" s="928">
        <f>H133/DAY(B2)</f>
        <v>3.9999999999963622E-4</v>
      </c>
      <c r="O133" s="930"/>
    </row>
    <row r="134" spans="1:16">
      <c r="A134" s="952" t="s">
        <v>254</v>
      </c>
      <c r="B134" s="953"/>
      <c r="C134" s="953"/>
      <c r="D134" s="923" t="s">
        <v>250</v>
      </c>
      <c r="E134" s="924">
        <f>'24'!F134</f>
        <v>39951.050000000003</v>
      </c>
      <c r="F134" s="1075">
        <v>39951.050000000003</v>
      </c>
      <c r="G134" s="925">
        <f t="shared" si="15"/>
        <v>0</v>
      </c>
      <c r="H134" s="926">
        <f>G134+'24'!H134</f>
        <v>24</v>
      </c>
      <c r="I134" s="945"/>
      <c r="J134" s="928">
        <f>H134/DAY(B2)</f>
        <v>0.96</v>
      </c>
      <c r="O134" s="930"/>
    </row>
    <row r="135" spans="1:16">
      <c r="A135" s="952" t="s">
        <v>255</v>
      </c>
      <c r="B135" s="953"/>
      <c r="C135" s="953"/>
      <c r="D135" s="923" t="s">
        <v>250</v>
      </c>
      <c r="E135" s="924">
        <f>'24'!F135</f>
        <v>32423</v>
      </c>
      <c r="F135" s="1075">
        <v>32423</v>
      </c>
      <c r="G135" s="925">
        <f t="shared" si="15"/>
        <v>0</v>
      </c>
      <c r="H135" s="926">
        <f>G135+'24'!H135</f>
        <v>13</v>
      </c>
      <c r="I135" s="945"/>
      <c r="J135" s="928">
        <f>H135/DAY(B2)</f>
        <v>0.52</v>
      </c>
      <c r="O135" s="930"/>
    </row>
    <row r="136" spans="1:16">
      <c r="A136" s="952" t="s">
        <v>256</v>
      </c>
      <c r="B136" s="953"/>
      <c r="C136" s="953"/>
      <c r="D136" s="923" t="s">
        <v>250</v>
      </c>
      <c r="E136" s="924">
        <f>'24'!F136</f>
        <v>21952.93</v>
      </c>
      <c r="F136" s="1075">
        <v>21961.7</v>
      </c>
      <c r="G136" s="925">
        <f t="shared" si="15"/>
        <v>8.7700000000004366</v>
      </c>
      <c r="H136" s="926">
        <f>G136+'24'!H136</f>
        <v>-40.259999999998399</v>
      </c>
      <c r="I136" s="945">
        <f>G134+G135+G136</f>
        <v>8.7700000000004366</v>
      </c>
      <c r="J136" s="928">
        <f>H136/DAY(B2)</f>
        <v>-1.6103999999999359</v>
      </c>
      <c r="O136" s="930"/>
    </row>
    <row r="137" spans="1:16">
      <c r="A137" s="952" t="s">
        <v>257</v>
      </c>
      <c r="B137" s="953"/>
      <c r="C137" s="953"/>
      <c r="D137" s="923" t="s">
        <v>250</v>
      </c>
      <c r="E137" s="924">
        <f>'24'!F137</f>
        <v>25019.94</v>
      </c>
      <c r="F137" s="1075">
        <v>25019.94</v>
      </c>
      <c r="G137" s="925">
        <f t="shared" si="15"/>
        <v>0</v>
      </c>
      <c r="H137" s="926">
        <f>G137+'24'!H137</f>
        <v>8</v>
      </c>
      <c r="I137" s="945"/>
      <c r="J137" s="928">
        <f>H137/DAY(B2)</f>
        <v>0.32</v>
      </c>
      <c r="O137" s="930"/>
    </row>
    <row r="138" spans="1:16">
      <c r="A138" s="952" t="s">
        <v>258</v>
      </c>
      <c r="B138" s="953"/>
      <c r="C138" s="953"/>
      <c r="D138" s="923" t="s">
        <v>250</v>
      </c>
      <c r="E138" s="924">
        <f>'24'!F138</f>
        <v>70057.8</v>
      </c>
      <c r="F138" s="1075">
        <v>70059.78</v>
      </c>
      <c r="G138" s="925">
        <f t="shared" si="15"/>
        <v>1.9799999999959255</v>
      </c>
      <c r="H138" s="926">
        <f>G138+'24'!H138</f>
        <v>16.979999999995925</v>
      </c>
      <c r="I138" s="945">
        <f>G137+G138</f>
        <v>1.9799999999959255</v>
      </c>
      <c r="J138" s="928">
        <f>H138/DAY(B2)</f>
        <v>0.67919999999983705</v>
      </c>
      <c r="O138" s="930"/>
    </row>
    <row r="139" spans="1:16">
      <c r="A139" s="952" t="s">
        <v>259</v>
      </c>
      <c r="B139" s="953"/>
      <c r="C139" s="953"/>
      <c r="D139" s="923" t="s">
        <v>250</v>
      </c>
      <c r="E139" s="924">
        <f>'24'!F139</f>
        <v>1146.44</v>
      </c>
      <c r="F139" s="954">
        <v>1154.28</v>
      </c>
      <c r="G139" s="925">
        <f t="shared" si="15"/>
        <v>7.8399999999999181</v>
      </c>
      <c r="H139" s="926">
        <f>G139+'24'!H139</f>
        <v>-46.309999999999945</v>
      </c>
      <c r="I139" s="1076"/>
      <c r="J139" s="928">
        <f>H139/DAY(B2)</f>
        <v>-1.8523999999999978</v>
      </c>
      <c r="O139" s="930"/>
    </row>
    <row r="140" spans="1:16">
      <c r="A140" s="952" t="s">
        <v>260</v>
      </c>
      <c r="B140" s="953"/>
      <c r="C140" s="953"/>
      <c r="D140" s="923" t="s">
        <v>250</v>
      </c>
      <c r="E140" s="924">
        <f>'24'!F140</f>
        <v>4333.53</v>
      </c>
      <c r="F140" s="954">
        <v>4333.53</v>
      </c>
      <c r="G140" s="925">
        <f t="shared" si="15"/>
        <v>0</v>
      </c>
      <c r="H140" s="926">
        <f>G140+'24'!H140</f>
        <v>-0.47000000000025466</v>
      </c>
      <c r="I140" s="1076"/>
      <c r="J140" s="928">
        <f>H140/DAY(B2)</f>
        <v>-1.8800000000010187E-2</v>
      </c>
      <c r="O140" s="930"/>
    </row>
    <row r="141" spans="1:16">
      <c r="A141" s="1537" t="s">
        <v>261</v>
      </c>
      <c r="B141" s="1538"/>
      <c r="C141" s="918"/>
      <c r="D141" s="918"/>
      <c r="E141" s="918"/>
      <c r="F141" s="918"/>
      <c r="G141" s="950"/>
      <c r="H141" s="950"/>
      <c r="I141" s="950"/>
      <c r="J141" s="1069"/>
      <c r="K141" s="1024"/>
      <c r="L141" s="903"/>
      <c r="O141" s="930"/>
    </row>
    <row r="142" spans="1:16">
      <c r="A142" s="1522" t="s">
        <v>262</v>
      </c>
      <c r="B142" s="1523"/>
      <c r="C142" s="1524"/>
      <c r="D142" s="923" t="s">
        <v>143</v>
      </c>
      <c r="E142" s="923"/>
      <c r="F142" s="923"/>
      <c r="G142" s="926">
        <f>G35+G43+G49+G57</f>
        <v>5440.9200000000419</v>
      </c>
      <c r="H142" s="926">
        <f>G142+'24'!H142</f>
        <v>-34275.479999999923</v>
      </c>
      <c r="I142" s="945"/>
      <c r="J142" s="928">
        <f>H142/DAY(B2)</f>
        <v>-1371.019199999997</v>
      </c>
      <c r="K142" s="1024"/>
      <c r="L142" s="903"/>
      <c r="O142" s="930"/>
    </row>
    <row r="143" spans="1:16">
      <c r="A143" s="1522" t="s">
        <v>263</v>
      </c>
      <c r="B143" s="1523"/>
      <c r="C143" s="1524"/>
      <c r="D143" s="923" t="s">
        <v>24</v>
      </c>
      <c r="E143" s="910"/>
      <c r="F143" s="910"/>
      <c r="G143" s="1077">
        <f>G142/G7</f>
        <v>0.2838395325786448</v>
      </c>
      <c r="H143" s="926">
        <f>G143+'24'!H143</f>
        <v>6.3511548504493067</v>
      </c>
      <c r="I143" s="1078"/>
      <c r="J143" s="928">
        <f>H143/DAY(B2)</f>
        <v>0.25404619401797229</v>
      </c>
      <c r="K143" s="1024"/>
      <c r="L143" s="903"/>
      <c r="O143" s="930"/>
    </row>
    <row r="144" spans="1:16">
      <c r="A144" s="1522" t="s">
        <v>264</v>
      </c>
      <c r="B144" s="1523"/>
      <c r="C144" s="1524"/>
      <c r="D144" s="923" t="s">
        <v>143</v>
      </c>
      <c r="E144" s="924"/>
      <c r="F144" s="924"/>
      <c r="G144" s="926">
        <f>G41+G42+G55+G56</f>
        <v>3515.1100000000006</v>
      </c>
      <c r="H144" s="926">
        <f>G144+'24'!H144</f>
        <v>41796.829999999987</v>
      </c>
      <c r="I144" s="945"/>
      <c r="J144" s="928">
        <f>H144/DAY(B2)</f>
        <v>1671.8731999999995</v>
      </c>
      <c r="K144" s="1024"/>
      <c r="L144" s="903"/>
      <c r="O144" s="930"/>
    </row>
    <row r="145" spans="1:15">
      <c r="A145" s="1522" t="s">
        <v>265</v>
      </c>
      <c r="B145" s="1523"/>
      <c r="C145" s="1524"/>
      <c r="D145" s="923" t="s">
        <v>24</v>
      </c>
      <c r="E145" s="924"/>
      <c r="F145" s="924"/>
      <c r="G145" s="1077">
        <f>G144/G7</f>
        <v>0.18337471959935314</v>
      </c>
      <c r="H145" s="926">
        <f>G145+'24'!H145</f>
        <v>5.317017584537437</v>
      </c>
      <c r="I145" s="1078"/>
      <c r="J145" s="928">
        <f>H145/DAY(B2)</f>
        <v>0.21268070338149747</v>
      </c>
      <c r="K145" s="1024"/>
      <c r="L145" s="903"/>
      <c r="O145" s="930"/>
    </row>
    <row r="146" spans="1:15">
      <c r="A146" s="1522" t="s">
        <v>266</v>
      </c>
      <c r="B146" s="1523"/>
      <c r="C146" s="1524"/>
      <c r="D146" s="923" t="s">
        <v>143</v>
      </c>
      <c r="E146" s="924"/>
      <c r="F146" s="924"/>
      <c r="G146" s="926">
        <f>G39+G53</f>
        <v>4326</v>
      </c>
      <c r="H146" s="926">
        <f>G146+'24'!H146</f>
        <v>887523.73</v>
      </c>
      <c r="I146" s="1079"/>
      <c r="J146" s="928">
        <f>H146/DAY(B2)</f>
        <v>35500.949200000003</v>
      </c>
      <c r="K146" s="1024"/>
      <c r="L146" s="903"/>
      <c r="O146" s="930"/>
    </row>
    <row r="147" spans="1:15">
      <c r="A147" s="1522" t="s">
        <v>267</v>
      </c>
      <c r="B147" s="1523"/>
      <c r="C147" s="1524"/>
      <c r="D147" s="923" t="s">
        <v>24</v>
      </c>
      <c r="E147" s="924"/>
      <c r="F147" s="924"/>
      <c r="G147" s="1077">
        <f>G146/G7</f>
        <v>0.22567687411967238</v>
      </c>
      <c r="H147" s="926">
        <f>G147+'24'!H147</f>
        <v>3.8822352155218112</v>
      </c>
      <c r="I147" s="1079"/>
      <c r="J147" s="928">
        <f>H147/DAY(B2)</f>
        <v>0.15528940862087245</v>
      </c>
      <c r="O147" s="930"/>
    </row>
    <row r="148" spans="1:15">
      <c r="A148" s="1522" t="s">
        <v>268</v>
      </c>
      <c r="B148" s="1523"/>
      <c r="C148" s="1524"/>
      <c r="D148" s="923" t="s">
        <v>194</v>
      </c>
      <c r="E148" s="924"/>
      <c r="F148" s="924"/>
      <c r="G148" s="926">
        <f>G38+G52</f>
        <v>1825</v>
      </c>
      <c r="H148" s="926">
        <f>G148+'24'!H148</f>
        <v>139249.34000000003</v>
      </c>
      <c r="I148" s="945"/>
      <c r="J148" s="928">
        <f>H148/DAY(B2)</f>
        <v>5569.9736000000012</v>
      </c>
      <c r="K148" s="1080"/>
      <c r="O148" s="930"/>
    </row>
    <row r="149" spans="1:15">
      <c r="A149" s="1522" t="s">
        <v>269</v>
      </c>
      <c r="B149" s="1523"/>
      <c r="C149" s="1524"/>
      <c r="D149" s="923" t="s">
        <v>24</v>
      </c>
      <c r="E149" s="924"/>
      <c r="F149" s="924"/>
      <c r="G149" s="1077">
        <f>G148/G7</f>
        <v>9.5205801032917731E-2</v>
      </c>
      <c r="H149" s="926">
        <f>G149+'24'!H149</f>
        <v>2.3388106714322712</v>
      </c>
      <c r="I149" s="1079"/>
      <c r="J149" s="928">
        <f>H149/DAY(B2)</f>
        <v>9.3552426857290844E-2</v>
      </c>
      <c r="O149" s="930"/>
    </row>
    <row r="150" spans="1:15">
      <c r="A150" s="1522" t="s">
        <v>270</v>
      </c>
      <c r="B150" s="1523"/>
      <c r="C150" s="1524"/>
      <c r="D150" s="923" t="s">
        <v>194</v>
      </c>
      <c r="E150" s="924"/>
      <c r="F150" s="924"/>
      <c r="G150" s="926">
        <f>G36+G50</f>
        <v>1998.0499999999884</v>
      </c>
      <c r="H150" s="926">
        <f>G150+'24'!H150</f>
        <v>-10488.090000000026</v>
      </c>
      <c r="I150" s="1079"/>
      <c r="J150" s="928">
        <f>H150/DAY(B2)</f>
        <v>-419.52360000000101</v>
      </c>
      <c r="O150" s="930"/>
    </row>
    <row r="151" spans="1:15">
      <c r="A151" s="1522" t="s">
        <v>271</v>
      </c>
      <c r="B151" s="1523"/>
      <c r="C151" s="1524"/>
      <c r="D151" s="923" t="s">
        <v>24</v>
      </c>
      <c r="E151" s="924"/>
      <c r="F151" s="924"/>
      <c r="G151" s="1077">
        <f>G150/G7</f>
        <v>0.10423339767332612</v>
      </c>
      <c r="H151" s="926">
        <f>G151+'24'!H151</f>
        <v>2.4249970705998232</v>
      </c>
      <c r="I151" s="945"/>
      <c r="J151" s="928">
        <f>H151/DAY(B2)</f>
        <v>9.6999882823992925E-2</v>
      </c>
      <c r="O151" s="930"/>
    </row>
    <row r="152" spans="1:15">
      <c r="A152" s="1522" t="s">
        <v>272</v>
      </c>
      <c r="B152" s="1523"/>
      <c r="C152" s="1524"/>
      <c r="D152" s="923" t="s">
        <v>194</v>
      </c>
      <c r="E152" s="924"/>
      <c r="F152" s="924"/>
      <c r="G152" s="926">
        <f>G37+G51</f>
        <v>1503.8800000000047</v>
      </c>
      <c r="H152" s="926">
        <f>G152+'24'!H152</f>
        <v>406134.13999999996</v>
      </c>
      <c r="I152" s="945"/>
      <c r="J152" s="928">
        <f>H152/DAY(B2)</f>
        <v>16245.365599999997</v>
      </c>
      <c r="O152" s="930"/>
    </row>
    <row r="153" spans="1:15" ht="21" thickBot="1">
      <c r="A153" s="1525" t="s">
        <v>273</v>
      </c>
      <c r="B153" s="1526"/>
      <c r="C153" s="1527"/>
      <c r="D153" s="1081" t="s">
        <v>24</v>
      </c>
      <c r="E153" s="1082"/>
      <c r="F153" s="1082"/>
      <c r="G153" s="1083">
        <f>G152/G7</f>
        <v>7.8453753456101241E-2</v>
      </c>
      <c r="H153" s="926">
        <f>G153+'24'!H153</f>
        <v>1.2283046414625411</v>
      </c>
      <c r="I153" s="1084"/>
      <c r="J153" s="1085">
        <f>H153/DAY(B2)</f>
        <v>4.9132185658501644E-2</v>
      </c>
      <c r="O153" s="930"/>
    </row>
    <row r="154" spans="1:15">
      <c r="A154" s="1086"/>
      <c r="B154" s="1086"/>
      <c r="C154" s="1086"/>
      <c r="D154" s="1086"/>
      <c r="E154" s="1086"/>
      <c r="F154" s="1086"/>
      <c r="G154" s="1086"/>
      <c r="H154" s="1087"/>
      <c r="I154" s="1086"/>
      <c r="J154" s="1088"/>
      <c r="O154" s="930"/>
    </row>
    <row r="160" spans="1:15">
      <c r="A160" s="1076" t="s">
        <v>274</v>
      </c>
      <c r="B160" s="1076"/>
      <c r="C160" s="1076"/>
      <c r="D160" s="910" t="s">
        <v>198</v>
      </c>
      <c r="E160" s="924">
        <f>'24'!F160</f>
        <v>27861</v>
      </c>
      <c r="F160" s="1101">
        <v>27943.41</v>
      </c>
      <c r="G160" s="925">
        <f t="shared" ref="G160:G163" si="16">F160-E160</f>
        <v>82.409999999999854</v>
      </c>
    </row>
    <row r="161" spans="1:7" ht="21.75" customHeight="1">
      <c r="A161" s="1076" t="s">
        <v>275</v>
      </c>
      <c r="B161" s="1076"/>
      <c r="C161" s="1076"/>
      <c r="D161" s="910" t="s">
        <v>198</v>
      </c>
      <c r="E161" s="924">
        <f>'24'!F161</f>
        <v>39461</v>
      </c>
      <c r="F161" s="1101">
        <v>39928</v>
      </c>
      <c r="G161" s="925">
        <f t="shared" si="16"/>
        <v>467</v>
      </c>
    </row>
    <row r="162" spans="1:7" ht="21.75" customHeight="1">
      <c r="A162" s="1076" t="s">
        <v>276</v>
      </c>
      <c r="B162" s="1076"/>
      <c r="C162" s="1076"/>
      <c r="D162" s="910" t="s">
        <v>198</v>
      </c>
      <c r="E162" s="924">
        <f>'24'!F162</f>
        <v>11157</v>
      </c>
      <c r="F162" s="1101">
        <v>11421.65</v>
      </c>
      <c r="G162" s="925">
        <f t="shared" si="16"/>
        <v>264.64999999999964</v>
      </c>
    </row>
    <row r="163" spans="1:7" ht="21.75" customHeight="1">
      <c r="A163" s="1076" t="s">
        <v>277</v>
      </c>
      <c r="B163" s="1076"/>
      <c r="C163" s="1076"/>
      <c r="D163" s="910" t="s">
        <v>198</v>
      </c>
      <c r="E163" s="924">
        <f>'24'!F163</f>
        <v>4855</v>
      </c>
      <c r="F163" s="1101">
        <v>4876.8500000000004</v>
      </c>
      <c r="G163" s="925">
        <f t="shared" si="16"/>
        <v>21.850000000000364</v>
      </c>
    </row>
    <row r="164" spans="1:7" ht="21.75" customHeight="1">
      <c r="A164" s="1006" t="s">
        <v>106</v>
      </c>
      <c r="B164" s="1006"/>
      <c r="C164" s="1006"/>
      <c r="D164" s="910" t="s">
        <v>198</v>
      </c>
      <c r="E164" s="1007">
        <f>E62</f>
        <v>20419.18</v>
      </c>
      <c r="F164" s="1007">
        <f>F62</f>
        <v>20419.18</v>
      </c>
      <c r="G164" s="925">
        <f t="shared" ref="G164:G171" si="17">F164-E164</f>
        <v>0</v>
      </c>
    </row>
    <row r="165" spans="1:7" ht="21.75" customHeight="1">
      <c r="A165" s="1006" t="s">
        <v>199</v>
      </c>
      <c r="B165" s="1006"/>
      <c r="C165" s="1006"/>
      <c r="D165" s="910" t="s">
        <v>198</v>
      </c>
      <c r="E165" s="1007">
        <f t="shared" ref="E165:E171" si="18">E63</f>
        <v>1254</v>
      </c>
      <c r="F165" s="1007">
        <f t="shared" ref="F165:F171" si="19">F63</f>
        <v>1264.31</v>
      </c>
      <c r="G165" s="925">
        <f t="shared" si="17"/>
        <v>10.309999999999945</v>
      </c>
    </row>
    <row r="166" spans="1:7" ht="21.75" customHeight="1">
      <c r="A166" s="1509" t="s">
        <v>107</v>
      </c>
      <c r="B166" s="1509"/>
      <c r="C166" s="1509"/>
      <c r="D166" s="923" t="s">
        <v>198</v>
      </c>
      <c r="E166" s="1007">
        <f t="shared" si="18"/>
        <v>108305</v>
      </c>
      <c r="F166" s="1007">
        <f t="shared" si="19"/>
        <v>108728</v>
      </c>
      <c r="G166" s="925">
        <f t="shared" si="17"/>
        <v>423</v>
      </c>
    </row>
    <row r="167" spans="1:7" ht="21.75" customHeight="1">
      <c r="A167" s="1509" t="s">
        <v>108</v>
      </c>
      <c r="B167" s="1509"/>
      <c r="C167" s="1509"/>
      <c r="D167" s="923" t="s">
        <v>198</v>
      </c>
      <c r="E167" s="1007">
        <f t="shared" si="18"/>
        <v>118952</v>
      </c>
      <c r="F167" s="1007">
        <f t="shared" si="19"/>
        <v>119368</v>
      </c>
      <c r="G167" s="925">
        <f t="shared" si="17"/>
        <v>416</v>
      </c>
    </row>
    <row r="168" spans="1:7" ht="21.75" customHeight="1">
      <c r="A168" s="1509" t="s">
        <v>109</v>
      </c>
      <c r="B168" s="1509"/>
      <c r="C168" s="1509"/>
      <c r="D168" s="923" t="s">
        <v>198</v>
      </c>
      <c r="E168" s="1007">
        <f t="shared" si="18"/>
        <v>11222</v>
      </c>
      <c r="F168" s="1007">
        <f t="shared" si="19"/>
        <v>11656.69</v>
      </c>
      <c r="G168" s="925">
        <f t="shared" si="17"/>
        <v>434.69000000000051</v>
      </c>
    </row>
    <row r="169" spans="1:7">
      <c r="A169" s="1509" t="s">
        <v>110</v>
      </c>
      <c r="B169" s="1509"/>
      <c r="C169" s="1509"/>
      <c r="D169" s="923" t="s">
        <v>198</v>
      </c>
      <c r="E169" s="1007">
        <f t="shared" si="18"/>
        <v>183973</v>
      </c>
      <c r="F169" s="1007">
        <f t="shared" si="19"/>
        <v>184645</v>
      </c>
      <c r="G169" s="925">
        <f t="shared" si="17"/>
        <v>672</v>
      </c>
    </row>
    <row r="170" spans="1:7" ht="24" customHeight="1">
      <c r="A170" s="1509" t="s">
        <v>111</v>
      </c>
      <c r="B170" s="1509"/>
      <c r="C170" s="1509"/>
      <c r="D170" s="923" t="s">
        <v>198</v>
      </c>
      <c r="E170" s="1007">
        <f t="shared" si="18"/>
        <v>61054</v>
      </c>
      <c r="F170" s="1007">
        <f t="shared" si="19"/>
        <v>61404.85</v>
      </c>
      <c r="G170" s="925">
        <f t="shared" si="17"/>
        <v>350.84999999999854</v>
      </c>
    </row>
    <row r="171" spans="1:7">
      <c r="A171" s="1509" t="s">
        <v>112</v>
      </c>
      <c r="B171" s="1509"/>
      <c r="C171" s="1509"/>
      <c r="D171" s="923" t="s">
        <v>198</v>
      </c>
      <c r="E171" s="1007">
        <f t="shared" si="18"/>
        <v>53549</v>
      </c>
      <c r="F171" s="1007">
        <f t="shared" si="19"/>
        <v>53853</v>
      </c>
      <c r="G171" s="925">
        <f t="shared" si="17"/>
        <v>304</v>
      </c>
    </row>
    <row r="172" spans="1:7">
      <c r="G172" s="1091">
        <f>SUM(G160:G171)</f>
        <v>3446.7599999999989</v>
      </c>
    </row>
    <row r="176" spans="1:7" ht="18.75" customHeight="1"/>
  </sheetData>
  <mergeCells count="74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1:J71"/>
    <mergeCell ref="A70:C70"/>
    <mergeCell ref="A75:C75"/>
    <mergeCell ref="A76:C76"/>
    <mergeCell ref="A77:C77"/>
    <mergeCell ref="A79:C79"/>
    <mergeCell ref="A80:C80"/>
    <mergeCell ref="A93:C93"/>
    <mergeCell ref="A94:C94"/>
    <mergeCell ref="A95:C95"/>
    <mergeCell ref="A81:C81"/>
    <mergeCell ref="A82:C82"/>
    <mergeCell ref="A83:C83"/>
    <mergeCell ref="A92:C92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143:C143"/>
    <mergeCell ref="A144:C144"/>
    <mergeCell ref="A145:C145"/>
    <mergeCell ref="A146:C146"/>
    <mergeCell ref="A147:C147"/>
    <mergeCell ref="A152:C152"/>
    <mergeCell ref="A153:C153"/>
    <mergeCell ref="A148:C148"/>
    <mergeCell ref="A149:C149"/>
    <mergeCell ref="A150:C150"/>
    <mergeCell ref="A151:C151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33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79" zoomScale="70" zoomScaleSheetLayoutView="70" workbookViewId="0">
      <selection activeCell="F28" sqref="F28"/>
    </sheetView>
  </sheetViews>
  <sheetFormatPr defaultColWidth="22.33203125" defaultRowHeight="20.25"/>
  <cols>
    <col min="1" max="1" width="51.21875" style="1089" customWidth="1"/>
    <col min="2" max="2" width="24.88671875" style="1089" customWidth="1"/>
    <col min="3" max="3" width="12.44140625" style="1089" customWidth="1"/>
    <col min="4" max="4" width="13.6640625" style="1089" customWidth="1"/>
    <col min="5" max="5" width="28.109375" style="1089" customWidth="1"/>
    <col min="6" max="6" width="23.77734375" style="1089" customWidth="1"/>
    <col min="7" max="7" width="19.88671875" style="1089" customWidth="1"/>
    <col min="8" max="8" width="39.21875" style="1090" customWidth="1"/>
    <col min="9" max="9" width="12" style="1089" bestFit="1" customWidth="1"/>
    <col min="10" max="10" width="24" style="1091" customWidth="1"/>
    <col min="11" max="11" width="43.21875" style="890" hidden="1" customWidth="1"/>
    <col min="12" max="13" width="0" style="890" hidden="1" customWidth="1"/>
    <col min="14" max="14" width="25.109375" style="1092" customWidth="1"/>
    <col min="15" max="15" width="6.77734375" style="890" bestFit="1" customWidth="1"/>
    <col min="16" max="16384" width="22.33203125" style="890"/>
  </cols>
  <sheetData>
    <row r="1" spans="1:15" ht="20.100000000000001" customHeight="1">
      <c r="A1" s="1551" t="s">
        <v>128</v>
      </c>
      <c r="B1" s="1552"/>
      <c r="C1" s="1552"/>
      <c r="D1" s="1552"/>
      <c r="E1" s="1552"/>
      <c r="F1" s="1552"/>
      <c r="G1" s="1552"/>
      <c r="H1" s="1552"/>
      <c r="I1" s="1552"/>
      <c r="J1" s="1553"/>
    </row>
    <row r="2" spans="1:15" ht="30.75" customHeight="1">
      <c r="A2" s="891" t="s">
        <v>333</v>
      </c>
      <c r="B2" s="1165">
        <v>43856</v>
      </c>
      <c r="C2" s="892" t="s">
        <v>69</v>
      </c>
      <c r="D2" s="1106">
        <v>0.44</v>
      </c>
      <c r="E2" s="894"/>
      <c r="F2" s="894"/>
      <c r="G2" s="894" t="s">
        <v>129</v>
      </c>
      <c r="H2" s="894" t="s">
        <v>6</v>
      </c>
      <c r="I2" s="894" t="s">
        <v>8</v>
      </c>
      <c r="J2" s="895" t="s">
        <v>130</v>
      </c>
    </row>
    <row r="3" spans="1:15" ht="20.100000000000001" customHeight="1">
      <c r="A3" s="896"/>
      <c r="B3" s="897"/>
      <c r="C3" s="892" t="s">
        <v>131</v>
      </c>
      <c r="D3" s="892">
        <v>23</v>
      </c>
      <c r="E3" s="1560" t="s">
        <v>132</v>
      </c>
      <c r="F3" s="1561"/>
      <c r="G3" s="899"/>
      <c r="H3" s="900"/>
      <c r="I3" s="900"/>
      <c r="J3" s="901"/>
      <c r="K3" s="902"/>
      <c r="L3" s="903"/>
    </row>
    <row r="4" spans="1:15" ht="20.100000000000001" customHeight="1">
      <c r="A4" s="904"/>
      <c r="B4" s="905"/>
      <c r="C4" s="892" t="s">
        <v>133</v>
      </c>
      <c r="D4" s="1106">
        <v>0.74</v>
      </c>
      <c r="E4" s="906"/>
      <c r="F4" s="906"/>
      <c r="G4" s="906"/>
      <c r="H4" s="906"/>
      <c r="I4" s="907"/>
      <c r="J4" s="901"/>
      <c r="K4" s="908"/>
      <c r="L4" s="903"/>
    </row>
    <row r="5" spans="1:15" ht="22.5" customHeight="1">
      <c r="A5" s="909" t="s">
        <v>134</v>
      </c>
      <c r="B5" s="910"/>
      <c r="C5" s="910"/>
      <c r="D5" s="910" t="s">
        <v>135</v>
      </c>
      <c r="E5" s="911" t="s">
        <v>136</v>
      </c>
      <c r="F5" s="911" t="s">
        <v>123</v>
      </c>
      <c r="G5" s="912" t="s">
        <v>137</v>
      </c>
      <c r="H5" s="913" t="s">
        <v>138</v>
      </c>
      <c r="I5" s="914" t="s">
        <v>139</v>
      </c>
      <c r="J5" s="915" t="s">
        <v>140</v>
      </c>
      <c r="K5" s="916"/>
      <c r="L5" s="903"/>
    </row>
    <row r="6" spans="1:15" ht="20.100000000000001" customHeight="1">
      <c r="A6" s="1554" t="s">
        <v>141</v>
      </c>
      <c r="B6" s="1555"/>
      <c r="C6" s="1556"/>
      <c r="D6" s="917"/>
      <c r="E6" s="917"/>
      <c r="F6" s="917"/>
      <c r="G6" s="917"/>
      <c r="H6" s="918"/>
      <c r="I6" s="918"/>
      <c r="J6" s="919"/>
      <c r="K6" s="920"/>
      <c r="L6" s="903"/>
    </row>
    <row r="7" spans="1:15" ht="25.5" customHeight="1" thickBot="1">
      <c r="A7" s="921" t="s">
        <v>142</v>
      </c>
      <c r="B7" s="922"/>
      <c r="C7" s="922"/>
      <c r="D7" s="923" t="s">
        <v>143</v>
      </c>
      <c r="E7" s="924">
        <f>'25'!F7</f>
        <v>3774981</v>
      </c>
      <c r="F7" s="924">
        <v>3793979</v>
      </c>
      <c r="G7" s="925">
        <f>F7-E7</f>
        <v>18998</v>
      </c>
      <c r="H7" s="926">
        <f>G7+'25'!H7</f>
        <v>-94219</v>
      </c>
      <c r="I7" s="927">
        <f>'1'!I7</f>
        <v>12000</v>
      </c>
      <c r="J7" s="928">
        <f>H7/DAY(B2)</f>
        <v>-3623.8076923076924</v>
      </c>
      <c r="K7" s="929"/>
      <c r="L7" s="903"/>
      <c r="N7" s="1104"/>
      <c r="O7" s="930"/>
    </row>
    <row r="8" spans="1:15" ht="20.100000000000001" customHeight="1" thickBot="1">
      <c r="A8" s="931" t="s">
        <v>144</v>
      </c>
      <c r="B8" s="932"/>
      <c r="C8" s="933"/>
      <c r="D8" s="934" t="s">
        <v>25</v>
      </c>
      <c r="E8" s="924">
        <f>'25'!F8</f>
        <v>3798556</v>
      </c>
      <c r="F8" s="935">
        <v>3817703</v>
      </c>
      <c r="G8" s="936">
        <f>F8-E8</f>
        <v>19147</v>
      </c>
      <c r="H8" s="926">
        <f>G8+'25'!H8</f>
        <v>-95148</v>
      </c>
      <c r="I8" s="937">
        <f>'1'!I8</f>
        <v>12000</v>
      </c>
      <c r="J8" s="928">
        <f>H8/DAY(B2)</f>
        <v>-3659.5384615384614</v>
      </c>
      <c r="K8" s="929"/>
      <c r="L8" s="938"/>
      <c r="M8" s="939"/>
      <c r="O8" s="930"/>
    </row>
    <row r="9" spans="1:15" ht="20.100000000000001" customHeight="1">
      <c r="A9" s="940" t="s">
        <v>145</v>
      </c>
      <c r="B9" s="941"/>
      <c r="C9" s="941"/>
      <c r="D9" s="923" t="s">
        <v>143</v>
      </c>
      <c r="E9" s="924">
        <f>'25'!F9</f>
        <v>2497166</v>
      </c>
      <c r="F9" s="942">
        <v>2503740</v>
      </c>
      <c r="G9" s="925">
        <f>F9-E9</f>
        <v>6574</v>
      </c>
      <c r="H9" s="926">
        <f>G9+'25'!H9</f>
        <v>2540852.25</v>
      </c>
      <c r="I9" s="943">
        <f>I8-J8</f>
        <v>15659.538461538461</v>
      </c>
      <c r="J9" s="928">
        <f>H9/DAY(B2)</f>
        <v>97725.086538461532</v>
      </c>
      <c r="K9" s="944"/>
      <c r="L9" s="903"/>
      <c r="O9" s="930"/>
    </row>
    <row r="10" spans="1:15" ht="20.100000000000001" customHeight="1">
      <c r="A10" s="921" t="s">
        <v>146</v>
      </c>
      <c r="B10" s="922"/>
      <c r="C10" s="922"/>
      <c r="D10" s="923" t="s">
        <v>143</v>
      </c>
      <c r="E10" s="924">
        <f>'25'!F10</f>
        <v>1129479</v>
      </c>
      <c r="F10" s="942">
        <v>1141280</v>
      </c>
      <c r="G10" s="925">
        <f t="shared" ref="G10:G12" si="0">F10-E10</f>
        <v>11801</v>
      </c>
      <c r="H10" s="926">
        <f>G10+'25'!H10</f>
        <v>-59594.399999999907</v>
      </c>
      <c r="I10" s="945"/>
      <c r="J10" s="928">
        <f>H10/DAY(B2)</f>
        <v>-2292.0923076923041</v>
      </c>
      <c r="K10" s="944"/>
      <c r="L10" s="903"/>
      <c r="O10" s="930"/>
    </row>
    <row r="11" spans="1:15" ht="20.100000000000001" customHeight="1">
      <c r="A11" s="921" t="s">
        <v>147</v>
      </c>
      <c r="B11" s="922"/>
      <c r="C11" s="922"/>
      <c r="D11" s="923" t="s">
        <v>143</v>
      </c>
      <c r="E11" s="924">
        <f>'25'!F11</f>
        <v>35390</v>
      </c>
      <c r="F11" s="924">
        <v>35390</v>
      </c>
      <c r="G11" s="925">
        <f t="shared" si="0"/>
        <v>0</v>
      </c>
      <c r="H11" s="926">
        <f>G11+'25'!H11</f>
        <v>0</v>
      </c>
      <c r="I11" s="945"/>
      <c r="J11" s="928">
        <f>H11/DAY(B2)</f>
        <v>0</v>
      </c>
      <c r="K11" s="944"/>
      <c r="L11" s="903">
        <v>1375467</v>
      </c>
      <c r="N11" s="1105"/>
      <c r="O11" s="930"/>
    </row>
    <row r="12" spans="1:15" ht="20.100000000000001" customHeight="1">
      <c r="A12" s="921" t="s">
        <v>148</v>
      </c>
      <c r="B12" s="922"/>
      <c r="C12" s="922"/>
      <c r="D12" s="923" t="s">
        <v>143</v>
      </c>
      <c r="E12" s="924">
        <f>'25'!F12</f>
        <v>37630</v>
      </c>
      <c r="F12" s="942">
        <v>37630</v>
      </c>
      <c r="G12" s="925">
        <f t="shared" si="0"/>
        <v>0</v>
      </c>
      <c r="H12" s="926">
        <f>G12+'25'!H12</f>
        <v>0</v>
      </c>
      <c r="I12" s="945"/>
      <c r="J12" s="928">
        <f>H12/DAY(B2)</f>
        <v>0</v>
      </c>
      <c r="K12" s="944"/>
      <c r="L12" s="903"/>
      <c r="O12" s="930"/>
    </row>
    <row r="13" spans="1:15" ht="20.100000000000001" customHeight="1">
      <c r="A13" s="946" t="s">
        <v>149</v>
      </c>
      <c r="B13" s="947"/>
      <c r="C13" s="947"/>
      <c r="D13" s="923"/>
      <c r="E13" s="924"/>
      <c r="F13" s="924"/>
      <c r="G13" s="948">
        <f>G9+G10+G11+G12</f>
        <v>18375</v>
      </c>
      <c r="H13" s="926">
        <f>G13+'25'!H13</f>
        <v>2462951.8500000006</v>
      </c>
      <c r="I13" s="949">
        <f>G7-G13</f>
        <v>623</v>
      </c>
      <c r="J13" s="928">
        <f>H13/DAY(B2)</f>
        <v>94728.917307692333</v>
      </c>
      <c r="K13" s="944"/>
      <c r="L13" s="903"/>
      <c r="O13" s="930"/>
    </row>
    <row r="14" spans="1:15" ht="28.5" customHeight="1">
      <c r="A14" s="1557" t="s">
        <v>150</v>
      </c>
      <c r="B14" s="1558"/>
      <c r="C14" s="1559"/>
      <c r="D14" s="918"/>
      <c r="E14" s="918"/>
      <c r="F14" s="918"/>
      <c r="G14" s="950"/>
      <c r="H14" s="918"/>
      <c r="I14" s="918"/>
      <c r="J14" s="919"/>
      <c r="K14" s="951"/>
      <c r="L14" s="903">
        <v>1679344</v>
      </c>
      <c r="O14" s="930"/>
    </row>
    <row r="15" spans="1:15" ht="30.75" customHeight="1">
      <c r="A15" s="952" t="s">
        <v>151</v>
      </c>
      <c r="B15" s="953"/>
      <c r="C15" s="953"/>
      <c r="D15" s="923" t="s">
        <v>152</v>
      </c>
      <c r="E15" s="924">
        <f>'25'!F15</f>
        <v>1589940.86</v>
      </c>
      <c r="F15" s="954">
        <v>1590796</v>
      </c>
      <c r="G15" s="1102">
        <f>(F15-E15)</f>
        <v>855.13999999989755</v>
      </c>
      <c r="H15" s="926">
        <f>G15+'25'!H15</f>
        <v>-3641.1499999999069</v>
      </c>
      <c r="I15" s="927">
        <f>'1'!I15</f>
        <v>800</v>
      </c>
      <c r="J15" s="928">
        <f>H15/DAY(B2)</f>
        <v>-140.0442307692272</v>
      </c>
      <c r="K15" s="944"/>
      <c r="L15" s="903"/>
      <c r="O15" s="930"/>
    </row>
    <row r="16" spans="1:15" ht="20.100000000000001" customHeight="1">
      <c r="A16" s="955"/>
      <c r="B16" s="956"/>
      <c r="C16" s="956"/>
      <c r="D16" s="957"/>
      <c r="E16" s="958"/>
      <c r="F16" s="958"/>
      <c r="G16" s="925"/>
      <c r="H16" s="959"/>
      <c r="I16" s="960">
        <f>I15-J15</f>
        <v>940.04423076922717</v>
      </c>
      <c r="J16" s="961"/>
      <c r="K16" s="944"/>
      <c r="L16" s="903">
        <f>L14-L11</f>
        <v>303877</v>
      </c>
      <c r="O16" s="930"/>
    </row>
    <row r="17" spans="1:15" ht="20.100000000000001" customHeight="1">
      <c r="A17" s="1557" t="s">
        <v>153</v>
      </c>
      <c r="B17" s="1558"/>
      <c r="C17" s="1559"/>
      <c r="D17" s="918"/>
      <c r="E17" s="918"/>
      <c r="F17" s="918"/>
      <c r="G17" s="962"/>
      <c r="H17" s="918"/>
      <c r="I17" s="918"/>
      <c r="J17" s="919"/>
      <c r="K17" s="944"/>
      <c r="L17" s="903"/>
      <c r="O17" s="930"/>
    </row>
    <row r="18" spans="1:15" ht="20.100000000000001" customHeight="1">
      <c r="A18" s="1522" t="s">
        <v>154</v>
      </c>
      <c r="B18" s="1523"/>
      <c r="C18" s="1524"/>
      <c r="D18" s="923" t="s">
        <v>155</v>
      </c>
      <c r="E18" s="924">
        <f>'25'!F18</f>
        <v>13</v>
      </c>
      <c r="F18" s="954">
        <v>14</v>
      </c>
      <c r="G18" s="948">
        <f>F18*10</f>
        <v>140</v>
      </c>
      <c r="H18" s="926">
        <f>G18+'25'!H18</f>
        <v>4080</v>
      </c>
      <c r="I18" s="927">
        <f>'1'!I18</f>
        <v>65</v>
      </c>
      <c r="J18" s="928">
        <f>H18/DAY(B2)</f>
        <v>156.92307692307693</v>
      </c>
      <c r="K18" s="944"/>
      <c r="L18" s="903"/>
      <c r="O18" s="930"/>
    </row>
    <row r="19" spans="1:15" ht="20.100000000000001" customHeight="1">
      <c r="A19" s="1522" t="s">
        <v>71</v>
      </c>
      <c r="B19" s="1523"/>
      <c r="C19" s="1524"/>
      <c r="D19" s="923" t="s">
        <v>155</v>
      </c>
      <c r="E19" s="924">
        <f>'25'!F19</f>
        <v>132736</v>
      </c>
      <c r="F19" s="954">
        <v>132785</v>
      </c>
      <c r="G19" s="925">
        <f t="shared" ref="G19" si="1">F19-E19</f>
        <v>49</v>
      </c>
      <c r="H19" s="926">
        <f>G19+'25'!H19</f>
        <v>-263</v>
      </c>
      <c r="I19" s="963"/>
      <c r="J19" s="928">
        <f>H19/DAY(B2)</f>
        <v>-10.115384615384615</v>
      </c>
      <c r="K19" s="944"/>
      <c r="L19" s="903">
        <f>L16/26</f>
        <v>11687.576923076924</v>
      </c>
      <c r="O19" s="930"/>
    </row>
    <row r="20" spans="1:15" ht="20.100000000000001" customHeight="1">
      <c r="A20" s="946" t="s">
        <v>156</v>
      </c>
      <c r="B20" s="947"/>
      <c r="C20" s="947"/>
      <c r="D20" s="964"/>
      <c r="E20" s="964"/>
      <c r="F20" s="964"/>
      <c r="G20" s="965">
        <f>G18+G19</f>
        <v>189</v>
      </c>
      <c r="H20" s="926">
        <f>G20+'25'!H20</f>
        <v>3817</v>
      </c>
      <c r="I20" s="966">
        <f>I18-J20</f>
        <v>-81.807692307692321</v>
      </c>
      <c r="J20" s="928">
        <f>H20/DAY(B2)</f>
        <v>146.80769230769232</v>
      </c>
      <c r="K20" s="944"/>
      <c r="L20" s="903"/>
      <c r="O20" s="930"/>
    </row>
    <row r="21" spans="1:15" ht="20.100000000000001" customHeight="1">
      <c r="A21" s="1557" t="s">
        <v>157</v>
      </c>
      <c r="B21" s="1558"/>
      <c r="C21" s="1559"/>
      <c r="D21" s="918"/>
      <c r="E21" s="918"/>
      <c r="F21" s="918"/>
      <c r="G21" s="950"/>
      <c r="H21" s="918"/>
      <c r="I21" s="918"/>
      <c r="J21" s="919"/>
      <c r="K21" s="944"/>
      <c r="L21" s="903" t="e">
        <f>#REF!/G11</f>
        <v>#REF!</v>
      </c>
      <c r="O21" s="930"/>
    </row>
    <row r="22" spans="1:15" ht="20.100000000000001" customHeight="1">
      <c r="A22" s="952" t="s">
        <v>158</v>
      </c>
      <c r="B22" s="953"/>
      <c r="C22" s="953"/>
      <c r="D22" s="923" t="s">
        <v>159</v>
      </c>
      <c r="E22" s="954">
        <f>'25'!F22</f>
        <v>2970</v>
      </c>
      <c r="F22" s="954">
        <v>2970</v>
      </c>
      <c r="G22" s="948">
        <f t="shared" ref="G22:G23" si="2">E22-F22</f>
        <v>0</v>
      </c>
      <c r="H22" s="926">
        <f>G22+'25'!H22</f>
        <v>0</v>
      </c>
      <c r="I22" s="945"/>
      <c r="J22" s="928">
        <f>H22/DAY(B2)</f>
        <v>0</v>
      </c>
      <c r="K22" s="944"/>
      <c r="L22" s="903"/>
      <c r="O22" s="930"/>
    </row>
    <row r="23" spans="1:15" ht="20.100000000000001" customHeight="1">
      <c r="A23" s="952" t="s">
        <v>160</v>
      </c>
      <c r="B23" s="953"/>
      <c r="C23" s="953"/>
      <c r="D23" s="923" t="s">
        <v>159</v>
      </c>
      <c r="E23" s="954">
        <f>'25'!F23</f>
        <v>2000</v>
      </c>
      <c r="F23" s="954">
        <v>2000</v>
      </c>
      <c r="G23" s="948">
        <f t="shared" si="2"/>
        <v>0</v>
      </c>
      <c r="H23" s="926">
        <f>G23+'25'!H23</f>
        <v>0</v>
      </c>
      <c r="I23" s="945"/>
      <c r="J23" s="928">
        <f>H23/DAY(B2)</f>
        <v>0</v>
      </c>
      <c r="K23" s="944"/>
      <c r="L23" s="903"/>
      <c r="O23" s="930"/>
    </row>
    <row r="24" spans="1:15" ht="20.100000000000001" customHeight="1">
      <c r="A24" s="967" t="s">
        <v>161</v>
      </c>
      <c r="B24" s="968"/>
      <c r="C24" s="968"/>
      <c r="D24" s="910" t="s">
        <v>159</v>
      </c>
      <c r="E24" s="954">
        <f>'25'!F24</f>
        <v>4970</v>
      </c>
      <c r="F24" s="969">
        <v>4970</v>
      </c>
      <c r="G24" s="948">
        <f>E24-F24</f>
        <v>0</v>
      </c>
      <c r="H24" s="926">
        <f>G24+'25'!H24</f>
        <v>0</v>
      </c>
      <c r="I24" s="945"/>
      <c r="J24" s="928">
        <f>H24/DAY(B2)</f>
        <v>0</v>
      </c>
      <c r="K24" s="944"/>
      <c r="L24" s="903"/>
      <c r="O24" s="930"/>
    </row>
    <row r="25" spans="1:15" s="975" customFormat="1" ht="18.75" customHeight="1">
      <c r="A25" s="1554" t="s">
        <v>162</v>
      </c>
      <c r="B25" s="1555"/>
      <c r="C25" s="1556"/>
      <c r="D25" s="917"/>
      <c r="E25" s="917"/>
      <c r="F25" s="917"/>
      <c r="G25" s="970"/>
      <c r="H25" s="971"/>
      <c r="I25" s="972"/>
      <c r="J25" s="973"/>
      <c r="K25" s="944"/>
      <c r="L25" s="974"/>
      <c r="N25" s="1093"/>
      <c r="O25" s="930"/>
    </row>
    <row r="26" spans="1:15" s="975" customFormat="1" ht="18.75" customHeight="1">
      <c r="A26" s="976" t="s">
        <v>163</v>
      </c>
      <c r="B26" s="977"/>
      <c r="C26" s="978"/>
      <c r="D26" s="979" t="s">
        <v>164</v>
      </c>
      <c r="E26" s="980"/>
      <c r="F26" s="980"/>
      <c r="G26" s="981"/>
      <c r="H26" s="926"/>
      <c r="I26" s="982"/>
      <c r="J26" s="928"/>
      <c r="K26" s="951"/>
      <c r="L26" s="974"/>
      <c r="N26" s="1093"/>
      <c r="O26" s="930"/>
    </row>
    <row r="27" spans="1:15" s="975" customFormat="1" ht="18.75" customHeight="1">
      <c r="A27" s="976" t="s">
        <v>6</v>
      </c>
      <c r="B27" s="977"/>
      <c r="C27" s="978"/>
      <c r="D27" s="983" t="s">
        <v>25</v>
      </c>
      <c r="E27" s="984">
        <f>G8</f>
        <v>19147</v>
      </c>
      <c r="F27" s="577">
        <v>9</v>
      </c>
      <c r="G27" s="986">
        <f>E27*F27</f>
        <v>172323</v>
      </c>
      <c r="H27" s="926">
        <f>G27+'25'!H27</f>
        <v>-856332</v>
      </c>
      <c r="I27" s="987"/>
      <c r="J27" s="928">
        <f>H27/DAY(B2)</f>
        <v>-32935.846153846156</v>
      </c>
      <c r="K27" s="944"/>
      <c r="L27" s="974"/>
      <c r="N27" s="1093"/>
      <c r="O27" s="930"/>
    </row>
    <row r="28" spans="1:15" s="975" customFormat="1" ht="18.75" customHeight="1">
      <c r="A28" s="976" t="s">
        <v>165</v>
      </c>
      <c r="B28" s="977"/>
      <c r="C28" s="978"/>
      <c r="D28" s="983" t="s">
        <v>166</v>
      </c>
      <c r="E28" s="984">
        <f>G15</f>
        <v>855.13999999989755</v>
      </c>
      <c r="F28" s="577">
        <v>43.5</v>
      </c>
      <c r="G28" s="986">
        <f>E28*F28</f>
        <v>37198.589999995544</v>
      </c>
      <c r="H28" s="926">
        <f>G28+'25'!H28</f>
        <v>-158390.02499999595</v>
      </c>
      <c r="I28" s="988"/>
      <c r="J28" s="928">
        <f>H28/DAY(B2)</f>
        <v>-6091.9240384613822</v>
      </c>
      <c r="K28" s="944"/>
      <c r="L28" s="974"/>
      <c r="N28" s="1093"/>
      <c r="O28" s="930"/>
    </row>
    <row r="29" spans="1:15" s="975" customFormat="1" ht="18.75" customHeight="1">
      <c r="A29" s="976" t="s">
        <v>167</v>
      </c>
      <c r="B29" s="977"/>
      <c r="C29" s="978"/>
      <c r="D29" s="983" t="s">
        <v>168</v>
      </c>
      <c r="E29" s="984">
        <f>G16</f>
        <v>0</v>
      </c>
      <c r="F29" s="985">
        <v>69</v>
      </c>
      <c r="G29" s="986">
        <f>E29*F29</f>
        <v>0</v>
      </c>
      <c r="H29" s="926">
        <f>G29+'25'!H29</f>
        <v>162150</v>
      </c>
      <c r="I29" s="988"/>
      <c r="J29" s="928">
        <f>H29/DAY(B2)</f>
        <v>6236.5384615384619</v>
      </c>
      <c r="K29" s="944"/>
      <c r="L29" s="974"/>
      <c r="N29" s="1093"/>
      <c r="O29" s="930"/>
    </row>
    <row r="30" spans="1:15" s="975" customFormat="1" ht="18.75" customHeight="1">
      <c r="A30" s="976" t="s">
        <v>169</v>
      </c>
      <c r="B30" s="977"/>
      <c r="C30" s="978"/>
      <c r="D30" s="983" t="s">
        <v>170</v>
      </c>
      <c r="E30" s="984">
        <f>G19</f>
        <v>49</v>
      </c>
      <c r="F30" s="985">
        <v>134</v>
      </c>
      <c r="G30" s="986">
        <f>E30*F30</f>
        <v>6566</v>
      </c>
      <c r="H30" s="926">
        <f>G30+'25'!H30</f>
        <v>-35242</v>
      </c>
      <c r="I30" s="988"/>
      <c r="J30" s="928">
        <f>H30/DAY(B2)</f>
        <v>-1355.4615384615386</v>
      </c>
      <c r="K30" s="944"/>
      <c r="L30" s="974"/>
      <c r="N30" s="1093"/>
      <c r="O30" s="930"/>
    </row>
    <row r="31" spans="1:15" s="975" customFormat="1" ht="18.75" customHeight="1">
      <c r="A31" s="976" t="s">
        <v>171</v>
      </c>
      <c r="B31" s="977"/>
      <c r="C31" s="978"/>
      <c r="D31" s="983" t="s">
        <v>155</v>
      </c>
      <c r="E31" s="984">
        <f>G18</f>
        <v>140</v>
      </c>
      <c r="F31" s="985">
        <v>80</v>
      </c>
      <c r="G31" s="986">
        <f>E31*F31</f>
        <v>11200</v>
      </c>
      <c r="H31" s="926">
        <f>G31+'25'!H31</f>
        <v>326400</v>
      </c>
      <c r="I31" s="988"/>
      <c r="J31" s="928"/>
      <c r="K31" s="944"/>
      <c r="L31" s="974"/>
      <c r="N31" s="1093"/>
      <c r="O31" s="930"/>
    </row>
    <row r="32" spans="1:15" s="975" customFormat="1" ht="18.75" customHeight="1">
      <c r="A32" s="989" t="s">
        <v>172</v>
      </c>
      <c r="B32" s="990"/>
      <c r="C32" s="991"/>
      <c r="D32" s="992"/>
      <c r="E32" s="992"/>
      <c r="F32" s="992"/>
      <c r="G32" s="993">
        <f>G27+G28+G29+G30+G31</f>
        <v>227287.58999999554</v>
      </c>
      <c r="H32" s="926">
        <f>G32+'25'!H32</f>
        <v>-561414.02499999572</v>
      </c>
      <c r="I32" s="994"/>
      <c r="J32" s="928">
        <f>H32/DAY(B2)</f>
        <v>-21592.847115384451</v>
      </c>
      <c r="K32" s="944"/>
      <c r="L32" s="974"/>
      <c r="N32" s="1093"/>
      <c r="O32" s="930"/>
    </row>
    <row r="33" spans="1:15" ht="20.100000000000001" customHeight="1">
      <c r="A33" s="1562" t="s">
        <v>173</v>
      </c>
      <c r="B33" s="1563"/>
      <c r="C33" s="1563"/>
      <c r="D33" s="1563"/>
      <c r="E33" s="1563"/>
      <c r="F33" s="1563"/>
      <c r="G33" s="1563"/>
      <c r="H33" s="1563"/>
      <c r="I33" s="1563"/>
      <c r="J33" s="1564"/>
      <c r="K33" s="944"/>
      <c r="L33" s="903"/>
      <c r="O33" s="930"/>
    </row>
    <row r="34" spans="1:15" ht="20.100000000000001" customHeight="1">
      <c r="A34" s="995" t="s">
        <v>174</v>
      </c>
      <c r="B34" s="996"/>
      <c r="C34" s="996"/>
      <c r="D34" s="918"/>
      <c r="E34" s="917"/>
      <c r="F34" s="917"/>
      <c r="G34" s="918"/>
      <c r="H34" s="918"/>
      <c r="I34" s="918"/>
      <c r="J34" s="919"/>
      <c r="K34" s="944"/>
      <c r="L34" s="903"/>
      <c r="O34" s="930"/>
    </row>
    <row r="35" spans="1:15" ht="20.100000000000001" customHeight="1">
      <c r="A35" s="921" t="s">
        <v>175</v>
      </c>
      <c r="B35" s="922"/>
      <c r="C35" s="922"/>
      <c r="D35" s="923" t="s">
        <v>143</v>
      </c>
      <c r="E35" s="924">
        <f>'25'!F35</f>
        <v>629027.67000000004</v>
      </c>
      <c r="F35" s="997">
        <v>629027.67000000004</v>
      </c>
      <c r="G35" s="925">
        <f t="shared" ref="G35:G46" si="3">F35-E35</f>
        <v>0</v>
      </c>
      <c r="H35" s="926">
        <f>G35+'25'!H35</f>
        <v>0</v>
      </c>
      <c r="I35" s="924"/>
      <c r="J35" s="928">
        <f>H35/DAY(B2)</f>
        <v>0</v>
      </c>
      <c r="K35" s="944"/>
      <c r="L35" s="903"/>
      <c r="O35" s="930"/>
    </row>
    <row r="36" spans="1:15" ht="20.100000000000001" customHeight="1">
      <c r="A36" s="921" t="s">
        <v>176</v>
      </c>
      <c r="B36" s="922"/>
      <c r="C36" s="922"/>
      <c r="D36" s="923" t="s">
        <v>143</v>
      </c>
      <c r="E36" s="924">
        <f>'25'!F36</f>
        <v>272676</v>
      </c>
      <c r="F36" s="997">
        <v>273424</v>
      </c>
      <c r="G36" s="925">
        <f t="shared" si="3"/>
        <v>748</v>
      </c>
      <c r="H36" s="926">
        <f>G36+'25'!H36</f>
        <v>-3067.4500000000116</v>
      </c>
      <c r="I36" s="924"/>
      <c r="J36" s="928">
        <f>H36/DAY(B2)</f>
        <v>-117.9788461538466</v>
      </c>
      <c r="K36" s="944"/>
      <c r="L36" s="903"/>
      <c r="O36" s="930"/>
    </row>
    <row r="37" spans="1:15" ht="20.100000000000001" customHeight="1">
      <c r="A37" s="921" t="s">
        <v>177</v>
      </c>
      <c r="B37" s="922"/>
      <c r="C37" s="922"/>
      <c r="D37" s="923" t="s">
        <v>143</v>
      </c>
      <c r="E37" s="924">
        <f>'25'!F37</f>
        <v>415066</v>
      </c>
      <c r="F37" s="997">
        <v>415066</v>
      </c>
      <c r="G37" s="925">
        <f t="shared" si="3"/>
        <v>0</v>
      </c>
      <c r="H37" s="926">
        <f>G37+'25'!H37</f>
        <v>415066</v>
      </c>
      <c r="I37" s="924"/>
      <c r="J37" s="928">
        <f>H37/DAY(B2)</f>
        <v>15964.076923076924</v>
      </c>
      <c r="K37" s="944"/>
      <c r="L37" s="903"/>
      <c r="O37" s="930"/>
    </row>
    <row r="38" spans="1:15" ht="20.100000000000001" customHeight="1">
      <c r="A38" s="921" t="s">
        <v>178</v>
      </c>
      <c r="B38" s="922"/>
      <c r="C38" s="922"/>
      <c r="D38" s="923" t="s">
        <v>143</v>
      </c>
      <c r="E38" s="924">
        <f>'25'!F38</f>
        <v>150714.38</v>
      </c>
      <c r="F38" s="913">
        <v>150714</v>
      </c>
      <c r="G38" s="925">
        <f t="shared" si="3"/>
        <v>-0.38000000000465661</v>
      </c>
      <c r="H38" s="926">
        <f>G38+'25'!H38</f>
        <v>150616.12</v>
      </c>
      <c r="I38" s="924"/>
      <c r="J38" s="928">
        <f>H38/DAY(B2)</f>
        <v>5792.9276923076923</v>
      </c>
      <c r="K38" s="944"/>
      <c r="L38" s="903"/>
      <c r="O38" s="930"/>
    </row>
    <row r="39" spans="1:15" ht="20.100000000000001" customHeight="1">
      <c r="A39" s="921" t="s">
        <v>179</v>
      </c>
      <c r="B39" s="922"/>
      <c r="C39" s="922"/>
      <c r="D39" s="923" t="s">
        <v>143</v>
      </c>
      <c r="E39" s="924">
        <f>'25'!F39</f>
        <v>912480</v>
      </c>
      <c r="F39" s="997">
        <v>912480</v>
      </c>
      <c r="G39" s="925">
        <f t="shared" si="3"/>
        <v>0</v>
      </c>
      <c r="H39" s="926">
        <f>G39+'25'!H39</f>
        <v>912480</v>
      </c>
      <c r="I39" s="924"/>
      <c r="J39" s="928">
        <f>H39/DAY(B2)</f>
        <v>35095.384615384617</v>
      </c>
      <c r="K39" s="944"/>
      <c r="L39" s="903"/>
      <c r="O39" s="930"/>
    </row>
    <row r="40" spans="1:15" ht="20.100000000000001" customHeight="1">
      <c r="A40" s="998" t="s">
        <v>180</v>
      </c>
      <c r="B40" s="999"/>
      <c r="C40" s="999"/>
      <c r="D40" s="923" t="s">
        <v>143</v>
      </c>
      <c r="E40" s="924">
        <f>'25'!F40</f>
        <v>0</v>
      </c>
      <c r="F40" s="997">
        <v>0</v>
      </c>
      <c r="G40" s="925">
        <f t="shared" si="3"/>
        <v>0</v>
      </c>
      <c r="H40" s="926">
        <f>G40+'25'!H40</f>
        <v>-0.06</v>
      </c>
      <c r="I40" s="924"/>
      <c r="J40" s="928">
        <f>H40/DAY(B2)</f>
        <v>-2.3076923076923075E-3</v>
      </c>
      <c r="K40" s="951"/>
      <c r="L40" s="903"/>
      <c r="O40" s="930"/>
    </row>
    <row r="41" spans="1:15" ht="20.100000000000001" customHeight="1">
      <c r="A41" s="921" t="s">
        <v>181</v>
      </c>
      <c r="B41" s="922"/>
      <c r="C41" s="922"/>
      <c r="D41" s="923" t="s">
        <v>143</v>
      </c>
      <c r="E41" s="924">
        <f>'25'!F41</f>
        <v>22539.11</v>
      </c>
      <c r="F41" s="997">
        <v>26299.49</v>
      </c>
      <c r="G41" s="925">
        <f t="shared" si="3"/>
        <v>3760.380000000001</v>
      </c>
      <c r="H41" s="926">
        <f>G41+'25'!H41</f>
        <v>45558.97</v>
      </c>
      <c r="I41" s="924"/>
      <c r="J41" s="928">
        <f>H41/DAY(B2)</f>
        <v>1752.2680769230769</v>
      </c>
      <c r="K41" s="944"/>
      <c r="L41" s="903"/>
      <c r="O41" s="930"/>
    </row>
    <row r="42" spans="1:15" ht="20.100000000000001" customHeight="1">
      <c r="A42" s="921" t="s">
        <v>182</v>
      </c>
      <c r="B42" s="922"/>
      <c r="C42" s="922"/>
      <c r="D42" s="923" t="s">
        <v>143</v>
      </c>
      <c r="E42" s="924">
        <f>'25'!F42</f>
        <v>58926</v>
      </c>
      <c r="F42" s="997">
        <v>58926</v>
      </c>
      <c r="G42" s="925">
        <f t="shared" si="3"/>
        <v>0</v>
      </c>
      <c r="H42" s="926">
        <f>G42+'25'!H42</f>
        <v>0</v>
      </c>
      <c r="I42" s="924"/>
      <c r="J42" s="928">
        <f>H42/DAY(B2)</f>
        <v>0</v>
      </c>
      <c r="K42" s="944"/>
      <c r="L42" s="903"/>
      <c r="N42" s="1094">
        <f>3450-G42</f>
        <v>3450</v>
      </c>
      <c r="O42" s="930"/>
    </row>
    <row r="43" spans="1:15" ht="20.100000000000001" customHeight="1">
      <c r="A43" s="921" t="s">
        <v>183</v>
      </c>
      <c r="B43" s="922"/>
      <c r="C43" s="922"/>
      <c r="D43" s="923" t="s">
        <v>143</v>
      </c>
      <c r="E43" s="924">
        <f>'25'!F43</f>
        <v>753864.31</v>
      </c>
      <c r="F43" s="997">
        <v>756192.85</v>
      </c>
      <c r="G43" s="925">
        <f t="shared" si="3"/>
        <v>2328.5399999999208</v>
      </c>
      <c r="H43" s="926">
        <f>G43+'25'!H43</f>
        <v>-11619.060000000056</v>
      </c>
      <c r="I43" s="924"/>
      <c r="J43" s="928">
        <f>H43/DAY(B2)</f>
        <v>-446.8869230769252</v>
      </c>
      <c r="K43" s="944"/>
      <c r="L43" s="903"/>
      <c r="O43" s="930"/>
    </row>
    <row r="44" spans="1:15" ht="20.100000000000001" customHeight="1">
      <c r="A44" s="921" t="s">
        <v>184</v>
      </c>
      <c r="B44" s="922"/>
      <c r="C44" s="922"/>
      <c r="D44" s="923" t="s">
        <v>143</v>
      </c>
      <c r="E44" s="924">
        <f>'25'!F44</f>
        <v>0</v>
      </c>
      <c r="F44" s="997">
        <v>0</v>
      </c>
      <c r="G44" s="925">
        <f t="shared" si="3"/>
        <v>0</v>
      </c>
      <c r="H44" s="926">
        <f>G44+'25'!H44</f>
        <v>0</v>
      </c>
      <c r="I44" s="924"/>
      <c r="J44" s="928">
        <f>H44/DAY(B2)</f>
        <v>0</v>
      </c>
      <c r="K44" s="944"/>
      <c r="L44" s="903"/>
      <c r="O44" s="930"/>
    </row>
    <row r="45" spans="1:15" ht="20.100000000000001" customHeight="1">
      <c r="A45" s="921" t="s">
        <v>185</v>
      </c>
      <c r="B45" s="922"/>
      <c r="C45" s="922"/>
      <c r="D45" s="923" t="s">
        <v>143</v>
      </c>
      <c r="E45" s="924">
        <f>'25'!F45</f>
        <v>614</v>
      </c>
      <c r="F45" s="997">
        <v>614</v>
      </c>
      <c r="G45" s="925">
        <f t="shared" si="3"/>
        <v>0</v>
      </c>
      <c r="H45" s="926">
        <f>G45+'25'!H45</f>
        <v>-0.48000000000001819</v>
      </c>
      <c r="I45" s="924"/>
      <c r="J45" s="928">
        <f>H45/DAY(B2)</f>
        <v>-1.8461538461539161E-2</v>
      </c>
      <c r="K45" s="944"/>
      <c r="L45" s="903"/>
      <c r="O45" s="930"/>
    </row>
    <row r="46" spans="1:15" ht="20.100000000000001" customHeight="1">
      <c r="A46" s="921" t="s">
        <v>186</v>
      </c>
      <c r="B46" s="922"/>
      <c r="C46" s="922"/>
      <c r="D46" s="923" t="s">
        <v>143</v>
      </c>
      <c r="E46" s="924">
        <f>'25'!F46</f>
        <v>187</v>
      </c>
      <c r="F46" s="997">
        <v>187</v>
      </c>
      <c r="G46" s="925">
        <f t="shared" si="3"/>
        <v>0</v>
      </c>
      <c r="H46" s="926">
        <f>G46+'25'!H46</f>
        <v>-0.49000000000000909</v>
      </c>
      <c r="I46" s="924"/>
      <c r="J46" s="928">
        <f>H46/DAY(B2)</f>
        <v>-1.8846153846154196E-2</v>
      </c>
      <c r="K46" s="944"/>
      <c r="L46" s="903"/>
      <c r="O46" s="930"/>
    </row>
    <row r="47" spans="1:15" ht="20.100000000000001" customHeight="1">
      <c r="A47" s="946" t="s">
        <v>187</v>
      </c>
      <c r="B47" s="947"/>
      <c r="C47" s="947"/>
      <c r="D47" s="914"/>
      <c r="E47" s="910"/>
      <c r="F47" s="910"/>
      <c r="G47" s="948">
        <f>G35+G36+G37+G38+G39+G40+G41+G42+G43+G44+G45+G46</f>
        <v>6836.5399999999172</v>
      </c>
      <c r="H47" s="926">
        <f>G47+'25'!H47</f>
        <v>1509033.55</v>
      </c>
      <c r="I47" s="924"/>
      <c r="J47" s="928">
        <f>H47/DAY(B2)</f>
        <v>58039.751923076925</v>
      </c>
      <c r="K47" s="944"/>
      <c r="L47" s="903"/>
      <c r="N47" s="1094"/>
      <c r="O47" s="930"/>
    </row>
    <row r="48" spans="1:15" ht="20.100000000000001" customHeight="1">
      <c r="A48" s="995" t="s">
        <v>188</v>
      </c>
      <c r="B48" s="996"/>
      <c r="C48" s="996"/>
      <c r="D48" s="918"/>
      <c r="E48" s="917"/>
      <c r="F48" s="917"/>
      <c r="G48" s="918"/>
      <c r="H48" s="918"/>
      <c r="I48" s="918"/>
      <c r="J48" s="919"/>
      <c r="K48" s="944"/>
      <c r="L48" s="903"/>
      <c r="O48" s="930"/>
    </row>
    <row r="49" spans="1:15" ht="20.100000000000001" customHeight="1">
      <c r="A49" s="921" t="s">
        <v>175</v>
      </c>
      <c r="B49" s="1000"/>
      <c r="C49" s="1000"/>
      <c r="D49" s="923" t="s">
        <v>143</v>
      </c>
      <c r="E49" s="924">
        <f>'25'!F49</f>
        <v>227268.61</v>
      </c>
      <c r="F49" s="997">
        <v>230467</v>
      </c>
      <c r="G49" s="925">
        <f t="shared" ref="G49:G58" si="4">F49-E49</f>
        <v>3198.390000000014</v>
      </c>
      <c r="H49" s="926">
        <f>G49+'25'!H49</f>
        <v>-15432.049999999988</v>
      </c>
      <c r="I49" s="924"/>
      <c r="J49" s="928">
        <f>H49/DAY(B2)</f>
        <v>-593.54038461538414</v>
      </c>
      <c r="K49" s="944"/>
      <c r="L49" s="903"/>
      <c r="O49" s="930"/>
    </row>
    <row r="50" spans="1:15" ht="20.100000000000001" customHeight="1">
      <c r="A50" s="921" t="s">
        <v>189</v>
      </c>
      <c r="B50" s="1000"/>
      <c r="C50" s="1000"/>
      <c r="D50" s="923" t="s">
        <v>143</v>
      </c>
      <c r="E50" s="924">
        <f>'25'!F50</f>
        <v>361944.67</v>
      </c>
      <c r="F50" s="997">
        <v>362882.71</v>
      </c>
      <c r="G50" s="925">
        <f t="shared" si="4"/>
        <v>938.04000000003725</v>
      </c>
      <c r="H50" s="926">
        <f>G50+'25'!H50</f>
        <v>-6777.5999999999767</v>
      </c>
      <c r="I50" s="924"/>
      <c r="J50" s="928">
        <f>H50/DAY(B2)</f>
        <v>-260.67692307692221</v>
      </c>
      <c r="K50" s="944"/>
      <c r="L50" s="903"/>
      <c r="O50" s="930"/>
    </row>
    <row r="51" spans="1:15" ht="20.100000000000001" customHeight="1">
      <c r="A51" s="921" t="s">
        <v>177</v>
      </c>
      <c r="B51" s="1000"/>
      <c r="C51" s="1000"/>
      <c r="D51" s="923" t="s">
        <v>143</v>
      </c>
      <c r="E51" s="924">
        <f>'25'!F51</f>
        <v>101167.88</v>
      </c>
      <c r="F51" s="997">
        <v>102590</v>
      </c>
      <c r="G51" s="925">
        <f t="shared" si="4"/>
        <v>1422.1199999999953</v>
      </c>
      <c r="H51" s="926">
        <f>G51+'25'!H51</f>
        <v>-7509.7400000000052</v>
      </c>
      <c r="I51" s="924"/>
      <c r="J51" s="928">
        <f>H51/DAY(B2)</f>
        <v>-288.83615384615405</v>
      </c>
      <c r="K51" s="944"/>
      <c r="L51" s="903"/>
      <c r="O51" s="930"/>
    </row>
    <row r="52" spans="1:15" ht="20.100000000000001" customHeight="1">
      <c r="A52" s="921" t="s">
        <v>190</v>
      </c>
      <c r="B52" s="1000"/>
      <c r="C52" s="1000"/>
      <c r="D52" s="923" t="s">
        <v>143</v>
      </c>
      <c r="E52" s="924">
        <f>'25'!F52</f>
        <v>482441.51</v>
      </c>
      <c r="F52" s="997">
        <v>484348.63</v>
      </c>
      <c r="G52" s="925">
        <f t="shared" si="4"/>
        <v>1907.1199999999953</v>
      </c>
      <c r="H52" s="926">
        <f>G52+'25'!H52</f>
        <v>-9460.039999999979</v>
      </c>
      <c r="I52" s="924"/>
      <c r="J52" s="928">
        <f>H52/DAY(B2)</f>
        <v>-363.84769230769149</v>
      </c>
      <c r="K52" s="944"/>
      <c r="L52" s="903"/>
      <c r="O52" s="930"/>
    </row>
    <row r="53" spans="1:15" ht="20.100000000000001" customHeight="1">
      <c r="A53" s="921" t="s">
        <v>179</v>
      </c>
      <c r="B53" s="1000"/>
      <c r="C53" s="1000"/>
      <c r="D53" s="923" t="s">
        <v>143</v>
      </c>
      <c r="E53" s="924">
        <f>'25'!F53</f>
        <v>279342</v>
      </c>
      <c r="F53" s="997">
        <v>283493.84999999998</v>
      </c>
      <c r="G53" s="925">
        <f t="shared" si="4"/>
        <v>4151.8499999999767</v>
      </c>
      <c r="H53" s="926">
        <f>G53+'25'!H53</f>
        <v>-20804.420000000042</v>
      </c>
      <c r="I53" s="924"/>
      <c r="J53" s="928">
        <f>H53/DAY(B2)</f>
        <v>-800.17000000000166</v>
      </c>
      <c r="K53" s="944"/>
      <c r="L53" s="903"/>
      <c r="O53" s="930"/>
    </row>
    <row r="54" spans="1:15" ht="20.100000000000001" customHeight="1">
      <c r="A54" s="921" t="s">
        <v>191</v>
      </c>
      <c r="B54" s="1000"/>
      <c r="C54" s="1000"/>
      <c r="D54" s="923" t="s">
        <v>143</v>
      </c>
      <c r="E54" s="924">
        <f>'25'!F54</f>
        <v>6024</v>
      </c>
      <c r="F54" s="997">
        <v>6070</v>
      </c>
      <c r="G54" s="925">
        <f t="shared" si="4"/>
        <v>46</v>
      </c>
      <c r="H54" s="926">
        <f>G54+'25'!H54</f>
        <v>-318.80000000000018</v>
      </c>
      <c r="I54" s="924"/>
      <c r="J54" s="928">
        <f>H54/DAY(B2)</f>
        <v>-12.261538461538468</v>
      </c>
      <c r="K54" s="944"/>
      <c r="L54" s="903"/>
      <c r="O54" s="930"/>
    </row>
    <row r="55" spans="1:15" ht="20.100000000000001" customHeight="1">
      <c r="A55" s="921" t="s">
        <v>192</v>
      </c>
      <c r="B55" s="1000"/>
      <c r="C55" s="1000"/>
      <c r="D55" s="923" t="s">
        <v>143</v>
      </c>
      <c r="E55" s="924">
        <f>'25'!F55</f>
        <v>39120.58</v>
      </c>
      <c r="F55" s="997">
        <v>39120.58</v>
      </c>
      <c r="G55" s="925">
        <f t="shared" si="4"/>
        <v>0</v>
      </c>
      <c r="H55" s="926">
        <f>G55+'25'!H55</f>
        <v>-3867.4000000000015</v>
      </c>
      <c r="I55" s="924"/>
      <c r="J55" s="928">
        <f>H55/DAY(B2)</f>
        <v>-148.7461538461539</v>
      </c>
      <c r="K55" s="944"/>
      <c r="L55" s="903"/>
      <c r="O55" s="930"/>
    </row>
    <row r="56" spans="1:15" ht="20.100000000000001" customHeight="1">
      <c r="A56" s="921" t="s">
        <v>193</v>
      </c>
      <c r="B56" s="1000"/>
      <c r="C56" s="1000"/>
      <c r="D56" s="923" t="s">
        <v>194</v>
      </c>
      <c r="E56" s="924">
        <f>'25'!F56</f>
        <v>557730.15</v>
      </c>
      <c r="F56" s="997">
        <v>557730.15</v>
      </c>
      <c r="G56" s="925">
        <f t="shared" si="4"/>
        <v>0</v>
      </c>
      <c r="H56" s="926">
        <f>G56+'25'!H56</f>
        <v>-1.7600000000093132</v>
      </c>
      <c r="I56" s="924"/>
      <c r="J56" s="928">
        <f>H56/DAY(B2)</f>
        <v>-6.769230769266589E-2</v>
      </c>
      <c r="K56" s="920"/>
      <c r="L56" s="903"/>
      <c r="O56" s="930"/>
    </row>
    <row r="57" spans="1:15" ht="20.100000000000001" customHeight="1">
      <c r="A57" s="921" t="s">
        <v>183</v>
      </c>
      <c r="B57" s="1000"/>
      <c r="C57" s="1000"/>
      <c r="D57" s="923" t="s">
        <v>143</v>
      </c>
      <c r="E57" s="924">
        <f>'25'!F57</f>
        <v>0</v>
      </c>
      <c r="F57" s="997">
        <v>0</v>
      </c>
      <c r="G57" s="925">
        <f t="shared" si="4"/>
        <v>0</v>
      </c>
      <c r="H57" s="926">
        <f>G57+'25'!H57</f>
        <v>0</v>
      </c>
      <c r="I57" s="924"/>
      <c r="J57" s="928">
        <f>H57/DAY(B2)</f>
        <v>0</v>
      </c>
      <c r="K57" s="944"/>
      <c r="L57" s="903"/>
      <c r="O57" s="930"/>
    </row>
    <row r="58" spans="1:15" ht="20.100000000000001" customHeight="1">
      <c r="A58" s="921" t="s">
        <v>195</v>
      </c>
      <c r="B58" s="1000"/>
      <c r="C58" s="1000"/>
      <c r="D58" s="923" t="s">
        <v>143</v>
      </c>
      <c r="E58" s="924">
        <f>'25'!F58</f>
        <v>29579.14</v>
      </c>
      <c r="F58" s="997">
        <v>29765.38</v>
      </c>
      <c r="G58" s="925">
        <f t="shared" si="4"/>
        <v>186.2400000000016</v>
      </c>
      <c r="H58" s="926">
        <f>G58+'25'!H58</f>
        <v>-964.15999999999622</v>
      </c>
      <c r="I58" s="924"/>
      <c r="J58" s="928">
        <f>H58/DAY(B2)</f>
        <v>-37.083076923076774</v>
      </c>
      <c r="K58" s="944"/>
      <c r="L58" s="903"/>
      <c r="O58" s="930"/>
    </row>
    <row r="59" spans="1:15" ht="20.100000000000001" customHeight="1">
      <c r="A59" s="946" t="s">
        <v>187</v>
      </c>
      <c r="B59" s="947"/>
      <c r="C59" s="947"/>
      <c r="D59" s="910"/>
      <c r="E59" s="910"/>
      <c r="F59" s="910"/>
      <c r="G59" s="948">
        <f>G49+G50+G51+G52+G53+G54+G55+G56+G57+G58</f>
        <v>11849.76000000002</v>
      </c>
      <c r="H59" s="926">
        <f>G59+'25'!H59</f>
        <v>-65135.969999999943</v>
      </c>
      <c r="I59" s="924">
        <f>G7-G60</f>
        <v>311.70000000006257</v>
      </c>
      <c r="J59" s="928">
        <f>H59/DAY(B2)</f>
        <v>-2505.2296153846132</v>
      </c>
      <c r="K59" s="944"/>
      <c r="L59" s="903"/>
      <c r="O59" s="930"/>
    </row>
    <row r="60" spans="1:15" ht="20.100000000000001" customHeight="1">
      <c r="A60" s="921"/>
      <c r="B60" s="922"/>
      <c r="C60" s="922"/>
      <c r="D60" s="910" t="s">
        <v>196</v>
      </c>
      <c r="E60" s="910"/>
      <c r="F60" s="910"/>
      <c r="G60" s="948">
        <f>G47+G59</f>
        <v>18686.299999999937</v>
      </c>
      <c r="H60" s="926">
        <f>G60+'25'!H60</f>
        <v>1449077.7700000003</v>
      </c>
      <c r="I60" s="924">
        <f>G13-G60</f>
        <v>-311.29999999993743</v>
      </c>
      <c r="J60" s="928">
        <f>H60/DAY(B2)</f>
        <v>55733.760384615394</v>
      </c>
      <c r="K60" s="944"/>
      <c r="L60" s="903"/>
      <c r="O60" s="930"/>
    </row>
    <row r="61" spans="1:15" ht="20.100000000000001" customHeight="1">
      <c r="A61" s="1001" t="s">
        <v>197</v>
      </c>
      <c r="B61" s="1002"/>
      <c r="C61" s="1002"/>
      <c r="D61" s="1002"/>
      <c r="E61" s="1003"/>
      <c r="F61" s="1003"/>
      <c r="G61" s="1002"/>
      <c r="H61" s="1002"/>
      <c r="I61" s="1002"/>
      <c r="J61" s="1004"/>
      <c r="K61" s="944"/>
      <c r="L61" s="903"/>
      <c r="O61" s="930"/>
    </row>
    <row r="62" spans="1:15" ht="20.100000000000001" customHeight="1">
      <c r="A62" s="1005" t="s">
        <v>106</v>
      </c>
      <c r="B62" s="1006"/>
      <c r="C62" s="1006"/>
      <c r="D62" s="910" t="s">
        <v>198</v>
      </c>
      <c r="E62" s="924">
        <f>'25'!F62</f>
        <v>20419.18</v>
      </c>
      <c r="F62" s="1007">
        <v>20419.18</v>
      </c>
      <c r="G62" s="925">
        <f t="shared" ref="G62:G69" si="5">F62-E62</f>
        <v>0</v>
      </c>
      <c r="H62" s="926">
        <f>G62+'25'!H62</f>
        <v>-8.9999999981955625E-3</v>
      </c>
      <c r="I62" s="1008"/>
      <c r="J62" s="928">
        <f>H62/DAY(B2)</f>
        <v>-3.4615384608444472E-4</v>
      </c>
      <c r="K62" s="944"/>
      <c r="L62" s="903"/>
      <c r="O62" s="930"/>
    </row>
    <row r="63" spans="1:15" ht="20.100000000000001" customHeight="1">
      <c r="A63" s="1005" t="s">
        <v>199</v>
      </c>
      <c r="B63" s="1006"/>
      <c r="C63" s="1006"/>
      <c r="D63" s="910" t="s">
        <v>198</v>
      </c>
      <c r="E63" s="924">
        <f>'25'!F63</f>
        <v>1264.31</v>
      </c>
      <c r="F63" s="1007">
        <v>1273.71</v>
      </c>
      <c r="G63" s="925">
        <f t="shared" si="5"/>
        <v>9.4000000000000909</v>
      </c>
      <c r="H63" s="926">
        <f>G63+'25'!H63</f>
        <v>-58.819999999999936</v>
      </c>
      <c r="I63" s="1008"/>
      <c r="J63" s="928">
        <f>H63/DAY(B2)</f>
        <v>-2.2623076923076897</v>
      </c>
      <c r="K63" s="944"/>
      <c r="L63" s="903"/>
      <c r="O63" s="930"/>
    </row>
    <row r="64" spans="1:15" ht="20.100000000000001" customHeight="1">
      <c r="A64" s="1528" t="s">
        <v>107</v>
      </c>
      <c r="B64" s="1529"/>
      <c r="C64" s="1530"/>
      <c r="D64" s="923" t="s">
        <v>198</v>
      </c>
      <c r="E64" s="924">
        <f>'25'!F64</f>
        <v>108728</v>
      </c>
      <c r="F64" s="954">
        <v>109117</v>
      </c>
      <c r="G64" s="925">
        <f t="shared" si="5"/>
        <v>389</v>
      </c>
      <c r="H64" s="926">
        <f>G64+'25'!H64</f>
        <v>-2166.4600000000064</v>
      </c>
      <c r="I64" s="945"/>
      <c r="J64" s="928">
        <f>H64/DAY(B2)</f>
        <v>-83.325384615384863</v>
      </c>
      <c r="K64" s="944"/>
      <c r="L64" s="903"/>
      <c r="O64" s="930"/>
    </row>
    <row r="65" spans="1:15" ht="20.100000000000001" customHeight="1">
      <c r="A65" s="1528" t="s">
        <v>108</v>
      </c>
      <c r="B65" s="1529"/>
      <c r="C65" s="1530"/>
      <c r="D65" s="923" t="s">
        <v>198</v>
      </c>
      <c r="E65" s="924">
        <f>'25'!F65</f>
        <v>119368</v>
      </c>
      <c r="F65" s="954">
        <v>119779.76</v>
      </c>
      <c r="G65" s="925">
        <f t="shared" si="5"/>
        <v>411.75999999999476</v>
      </c>
      <c r="H65" s="926">
        <f>G65+'25'!H65</f>
        <v>-1953.3500000000058</v>
      </c>
      <c r="I65" s="963"/>
      <c r="J65" s="928">
        <f>H65/DAY(B2)</f>
        <v>-75.128846153846382</v>
      </c>
      <c r="K65" s="944"/>
      <c r="L65" s="903"/>
      <c r="O65" s="930"/>
    </row>
    <row r="66" spans="1:15" ht="20.100000000000001" customHeight="1">
      <c r="A66" s="1528" t="s">
        <v>109</v>
      </c>
      <c r="B66" s="1529"/>
      <c r="C66" s="1530"/>
      <c r="D66" s="923" t="s">
        <v>198</v>
      </c>
      <c r="E66" s="924">
        <f>'25'!F66</f>
        <v>11656.69</v>
      </c>
      <c r="F66" s="954">
        <v>12070.5</v>
      </c>
      <c r="G66" s="925">
        <f t="shared" si="5"/>
        <v>413.80999999999949</v>
      </c>
      <c r="H66" s="926">
        <f>G66+'25'!H66</f>
        <v>-2089.2399999999998</v>
      </c>
      <c r="I66" s="945"/>
      <c r="J66" s="928">
        <f>H66/DAY(B2)</f>
        <v>-80.355384615384608</v>
      </c>
      <c r="K66" s="944"/>
      <c r="L66" s="903"/>
      <c r="O66" s="930"/>
    </row>
    <row r="67" spans="1:15" ht="20.100000000000001" customHeight="1">
      <c r="A67" s="1528" t="s">
        <v>110</v>
      </c>
      <c r="B67" s="1529"/>
      <c r="C67" s="1530"/>
      <c r="D67" s="923" t="s">
        <v>198</v>
      </c>
      <c r="E67" s="924">
        <f>'25'!F67</f>
        <v>184645</v>
      </c>
      <c r="F67" s="954">
        <v>185312.69</v>
      </c>
      <c r="G67" s="925">
        <f t="shared" si="5"/>
        <v>667.69000000000233</v>
      </c>
      <c r="H67" s="926">
        <f>G67+'25'!H67</f>
        <v>-3361.8399999999965</v>
      </c>
      <c r="I67" s="963"/>
      <c r="J67" s="928">
        <f>H67/DAY(B2)</f>
        <v>-129.30153846153831</v>
      </c>
      <c r="K67" s="951"/>
      <c r="L67" s="903"/>
      <c r="O67" s="930"/>
    </row>
    <row r="68" spans="1:15" ht="20.100000000000001" customHeight="1">
      <c r="A68" s="1528" t="s">
        <v>111</v>
      </c>
      <c r="B68" s="1529"/>
      <c r="C68" s="1530"/>
      <c r="D68" s="923" t="s">
        <v>198</v>
      </c>
      <c r="E68" s="924">
        <f>'25'!F68</f>
        <v>61404.85</v>
      </c>
      <c r="F68" s="954">
        <v>61723.94</v>
      </c>
      <c r="G68" s="925">
        <f t="shared" si="5"/>
        <v>319.09000000000378</v>
      </c>
      <c r="H68" s="926">
        <f>G68+'25'!H68</f>
        <v>-1575.9199999999983</v>
      </c>
      <c r="I68" s="1009"/>
      <c r="J68" s="928">
        <f>H68/DAY(B2)</f>
        <v>-60.612307692307624</v>
      </c>
      <c r="K68" s="1010"/>
      <c r="L68" s="903"/>
      <c r="O68" s="930"/>
    </row>
    <row r="69" spans="1:15" ht="20.100000000000001" customHeight="1">
      <c r="A69" s="1528" t="s">
        <v>112</v>
      </c>
      <c r="B69" s="1529"/>
      <c r="C69" s="1530"/>
      <c r="D69" s="923" t="s">
        <v>198</v>
      </c>
      <c r="E69" s="924">
        <f>'25'!F69</f>
        <v>53853</v>
      </c>
      <c r="F69" s="954">
        <v>54165</v>
      </c>
      <c r="G69" s="925">
        <f t="shared" si="5"/>
        <v>312</v>
      </c>
      <c r="H69" s="926">
        <f>G69+'25'!H69</f>
        <v>-1558.7099999999991</v>
      </c>
      <c r="I69" s="1009"/>
      <c r="J69" s="928">
        <f>H69/DAY(B2)</f>
        <v>-59.950384615384579</v>
      </c>
      <c r="K69" s="1011"/>
      <c r="L69" s="903"/>
      <c r="O69" s="930"/>
    </row>
    <row r="70" spans="1:15" ht="20.100000000000001" customHeight="1">
      <c r="A70" s="1548" t="s">
        <v>200</v>
      </c>
      <c r="B70" s="1549"/>
      <c r="C70" s="1550"/>
      <c r="D70" s="923" t="s">
        <v>198</v>
      </c>
      <c r="E70" s="1012"/>
      <c r="F70" s="1013"/>
      <c r="G70" s="1013"/>
      <c r="H70" s="926">
        <f>G70+'13'!H70</f>
        <v>0</v>
      </c>
      <c r="I70" s="1013"/>
      <c r="J70" s="1014"/>
      <c r="K70" s="1011"/>
      <c r="L70" s="903"/>
      <c r="O70" s="930"/>
    </row>
    <row r="71" spans="1:15" ht="20.100000000000001" customHeight="1">
      <c r="A71" s="1545" t="s">
        <v>201</v>
      </c>
      <c r="B71" s="1546"/>
      <c r="C71" s="1546"/>
      <c r="D71" s="1546"/>
      <c r="E71" s="1546"/>
      <c r="F71" s="1546"/>
      <c r="G71" s="1546"/>
      <c r="H71" s="1546"/>
      <c r="I71" s="1546"/>
      <c r="J71" s="1547"/>
      <c r="K71" s="1010"/>
      <c r="L71" s="903"/>
      <c r="O71" s="930"/>
    </row>
    <row r="72" spans="1:15" ht="20.100000000000001" customHeight="1">
      <c r="A72" s="1528" t="s">
        <v>202</v>
      </c>
      <c r="B72" s="1529"/>
      <c r="C72" s="1530"/>
      <c r="D72" s="923" t="s">
        <v>198</v>
      </c>
      <c r="E72" s="924">
        <f>'25'!F72</f>
        <v>847965</v>
      </c>
      <c r="F72" s="1015">
        <v>848048</v>
      </c>
      <c r="G72" s="925">
        <f t="shared" ref="G72:G84" si="6">F72-E72</f>
        <v>83</v>
      </c>
      <c r="H72" s="926">
        <f>G72+'25'!H72</f>
        <v>-504</v>
      </c>
      <c r="I72" s="945"/>
      <c r="J72" s="928">
        <f>H72/DAY(B2)</f>
        <v>-19.384615384615383</v>
      </c>
      <c r="K72" s="1011"/>
      <c r="L72" s="903"/>
      <c r="O72" s="930"/>
    </row>
    <row r="73" spans="1:15" ht="20.100000000000001" customHeight="1">
      <c r="A73" s="1528" t="s">
        <v>203</v>
      </c>
      <c r="B73" s="1529"/>
      <c r="C73" s="1530"/>
      <c r="D73" s="923" t="s">
        <v>198</v>
      </c>
      <c r="E73" s="924">
        <f>'25'!F73</f>
        <v>885726</v>
      </c>
      <c r="F73" s="1016">
        <v>885727</v>
      </c>
      <c r="G73" s="925">
        <f t="shared" si="6"/>
        <v>1</v>
      </c>
      <c r="H73" s="926">
        <f>G73+'25'!H73</f>
        <v>946</v>
      </c>
      <c r="I73" s="945"/>
      <c r="J73" s="928">
        <f>H73/DAY(B2)</f>
        <v>36.384615384615387</v>
      </c>
      <c r="K73" s="1010"/>
      <c r="L73" s="903"/>
      <c r="O73" s="930"/>
    </row>
    <row r="74" spans="1:15" ht="20.100000000000001" customHeight="1">
      <c r="A74" s="1528" t="s">
        <v>204</v>
      </c>
      <c r="B74" s="1529"/>
      <c r="C74" s="1530"/>
      <c r="D74" s="923" t="s">
        <v>198</v>
      </c>
      <c r="E74" s="924">
        <f>'25'!F74</f>
        <v>882181</v>
      </c>
      <c r="F74" s="1017">
        <v>882212</v>
      </c>
      <c r="G74" s="925">
        <f t="shared" si="6"/>
        <v>31</v>
      </c>
      <c r="H74" s="926">
        <f>G74+'25'!H74</f>
        <v>882441.1</v>
      </c>
      <c r="I74" s="945"/>
      <c r="J74" s="928">
        <f>H74/DAY(B2)</f>
        <v>33940.042307692303</v>
      </c>
      <c r="K74" s="1011"/>
      <c r="L74" s="903"/>
      <c r="O74" s="930"/>
    </row>
    <row r="75" spans="1:15" ht="20.100000000000001" customHeight="1">
      <c r="A75" s="1542" t="s">
        <v>205</v>
      </c>
      <c r="B75" s="1543"/>
      <c r="C75" s="1544"/>
      <c r="D75" s="923" t="s">
        <v>198</v>
      </c>
      <c r="E75" s="924">
        <f>'25'!F75</f>
        <v>736353</v>
      </c>
      <c r="F75" s="1017">
        <v>736551</v>
      </c>
      <c r="G75" s="925">
        <f t="shared" si="6"/>
        <v>198</v>
      </c>
      <c r="H75" s="926">
        <f>G75+'25'!H75</f>
        <v>738087.4</v>
      </c>
      <c r="I75" s="945"/>
      <c r="J75" s="928">
        <f>H75/DAY(B2)</f>
        <v>28387.976923076923</v>
      </c>
      <c r="K75" s="1010"/>
      <c r="L75" s="903"/>
      <c r="O75" s="930"/>
    </row>
    <row r="76" spans="1:15" ht="20.100000000000001" customHeight="1">
      <c r="A76" s="1542" t="s">
        <v>206</v>
      </c>
      <c r="B76" s="1543"/>
      <c r="C76" s="1544"/>
      <c r="D76" s="923" t="s">
        <v>198</v>
      </c>
      <c r="E76" s="924">
        <f>'25'!F76</f>
        <v>686566</v>
      </c>
      <c r="F76" s="1016">
        <v>686645</v>
      </c>
      <c r="G76" s="925">
        <f t="shared" si="6"/>
        <v>79</v>
      </c>
      <c r="H76" s="926">
        <f>G76+'25'!H76</f>
        <v>688642.2</v>
      </c>
      <c r="I76" s="988"/>
      <c r="J76" s="928">
        <f>H76/DAY(B2)</f>
        <v>26486.238461538458</v>
      </c>
      <c r="K76" s="1010"/>
      <c r="L76" s="903"/>
      <c r="O76" s="930"/>
    </row>
    <row r="77" spans="1:15" ht="20.100000000000001" customHeight="1">
      <c r="A77" s="1528" t="s">
        <v>207</v>
      </c>
      <c r="B77" s="1529"/>
      <c r="C77" s="1530"/>
      <c r="D77" s="923" t="s">
        <v>198</v>
      </c>
      <c r="E77" s="924">
        <f>'25'!F77</f>
        <v>696795</v>
      </c>
      <c r="F77" s="1016">
        <v>696846</v>
      </c>
      <c r="G77" s="925">
        <f t="shared" si="6"/>
        <v>51</v>
      </c>
      <c r="H77" s="926">
        <f>G77+'25'!H77</f>
        <v>-261</v>
      </c>
      <c r="I77" s="988"/>
      <c r="J77" s="928">
        <f>H77/DAY(B2)</f>
        <v>-10.038461538461538</v>
      </c>
      <c r="K77" s="1010"/>
      <c r="L77" s="903"/>
      <c r="O77" s="930"/>
    </row>
    <row r="78" spans="1:15" ht="18.75" customHeight="1">
      <c r="A78" s="1018" t="s">
        <v>208</v>
      </c>
      <c r="B78" s="1227"/>
      <c r="C78" s="1227"/>
      <c r="D78" s="923" t="s">
        <v>198</v>
      </c>
      <c r="E78" s="924">
        <f>'25'!F78</f>
        <v>639639</v>
      </c>
      <c r="F78" s="1017">
        <v>640010</v>
      </c>
      <c r="G78" s="925">
        <f t="shared" si="6"/>
        <v>371</v>
      </c>
      <c r="H78" s="926">
        <f>G78+'25'!H78</f>
        <v>-1943</v>
      </c>
      <c r="I78" s="988"/>
      <c r="J78" s="928">
        <f>H78/DAY(B2)</f>
        <v>-74.730769230769226</v>
      </c>
      <c r="K78" s="1010"/>
      <c r="L78" s="903"/>
      <c r="O78" s="930"/>
    </row>
    <row r="79" spans="1:15" ht="20.100000000000001" customHeight="1">
      <c r="A79" s="1542" t="s">
        <v>97</v>
      </c>
      <c r="B79" s="1543"/>
      <c r="C79" s="1544"/>
      <c r="D79" s="957" t="s">
        <v>198</v>
      </c>
      <c r="E79" s="924">
        <f>'25'!F79</f>
        <v>808559</v>
      </c>
      <c r="F79" s="1017">
        <v>808754</v>
      </c>
      <c r="G79" s="925">
        <f t="shared" si="6"/>
        <v>195</v>
      </c>
      <c r="H79" s="926">
        <f>G79+'25'!H79</f>
        <v>1928</v>
      </c>
      <c r="I79" s="988"/>
      <c r="J79" s="928">
        <f>H79/DAY(B2)</f>
        <v>74.15384615384616</v>
      </c>
      <c r="K79" s="1010"/>
      <c r="L79" s="903"/>
      <c r="O79" s="930"/>
    </row>
    <row r="80" spans="1:15" ht="20.100000000000001" customHeight="1">
      <c r="A80" s="1542" t="s">
        <v>209</v>
      </c>
      <c r="B80" s="1543"/>
      <c r="C80" s="1544"/>
      <c r="D80" s="957" t="s">
        <v>198</v>
      </c>
      <c r="E80" s="924">
        <f>'25'!F80</f>
        <v>483285.56</v>
      </c>
      <c r="F80" s="1016">
        <v>483563.88</v>
      </c>
      <c r="G80" s="925">
        <f t="shared" si="6"/>
        <v>278.32000000000698</v>
      </c>
      <c r="H80" s="926">
        <f>G80+'25'!H80</f>
        <v>-3017.7999999999884</v>
      </c>
      <c r="I80" s="988"/>
      <c r="J80" s="928">
        <f>H80/DAY(B2)</f>
        <v>-116.06923076923032</v>
      </c>
      <c r="K80" s="1010"/>
      <c r="L80" s="903"/>
      <c r="O80" s="930"/>
    </row>
    <row r="81" spans="1:15" ht="20.100000000000001" customHeight="1">
      <c r="A81" s="1542" t="s">
        <v>210</v>
      </c>
      <c r="B81" s="1543"/>
      <c r="C81" s="1544"/>
      <c r="D81" s="957" t="s">
        <v>198</v>
      </c>
      <c r="E81" s="924">
        <f>'25'!F81</f>
        <v>622131.56000000006</v>
      </c>
      <c r="F81" s="1016">
        <v>622261.64</v>
      </c>
      <c r="G81" s="925">
        <f t="shared" si="6"/>
        <v>130.07999999995809</v>
      </c>
      <c r="H81" s="926">
        <f>G81+'25'!H81</f>
        <v>-513.35999999998603</v>
      </c>
      <c r="I81" s="988"/>
      <c r="J81" s="928">
        <f>H81/DAY(B2)</f>
        <v>-19.744615384614846</v>
      </c>
      <c r="K81" s="1010"/>
      <c r="L81" s="903"/>
      <c r="O81" s="930"/>
    </row>
    <row r="82" spans="1:15" ht="20.100000000000001" customHeight="1">
      <c r="A82" s="1542" t="s">
        <v>100</v>
      </c>
      <c r="B82" s="1543"/>
      <c r="C82" s="1544"/>
      <c r="D82" s="958" t="s">
        <v>143</v>
      </c>
      <c r="E82" s="924">
        <f>'25'!F82</f>
        <v>105169</v>
      </c>
      <c r="F82" s="1019">
        <v>105224.59</v>
      </c>
      <c r="G82" s="925">
        <f t="shared" si="6"/>
        <v>55.589999999996508</v>
      </c>
      <c r="H82" s="926">
        <f>G82+'25'!H82</f>
        <v>-215.41000000000349</v>
      </c>
      <c r="I82" s="959"/>
      <c r="J82" s="928">
        <f>H82/DAY(B2)</f>
        <v>-8.2850000000001351</v>
      </c>
      <c r="K82" s="1010"/>
      <c r="L82" s="903"/>
      <c r="O82" s="930"/>
    </row>
    <row r="83" spans="1:15" ht="20.100000000000001" customHeight="1">
      <c r="A83" s="1542" t="s">
        <v>211</v>
      </c>
      <c r="B83" s="1543"/>
      <c r="C83" s="1544"/>
      <c r="D83" s="1020" t="s">
        <v>143</v>
      </c>
      <c r="E83" s="924">
        <f>'25'!F83</f>
        <v>981841</v>
      </c>
      <c r="F83" s="910">
        <v>982067</v>
      </c>
      <c r="G83" s="925">
        <f t="shared" si="6"/>
        <v>226</v>
      </c>
      <c r="H83" s="926">
        <f>G83+'25'!H83</f>
        <v>-1674</v>
      </c>
      <c r="I83" s="948"/>
      <c r="J83" s="928">
        <f>H83/DAY(B2)</f>
        <v>-64.384615384615387</v>
      </c>
      <c r="K83" s="951"/>
      <c r="L83" s="903"/>
      <c r="O83" s="930"/>
    </row>
    <row r="84" spans="1:15" ht="20.100000000000001" customHeight="1">
      <c r="A84" s="1021" t="s">
        <v>212</v>
      </c>
      <c r="B84" s="1022"/>
      <c r="C84" s="1022"/>
      <c r="D84" s="942" t="s">
        <v>143</v>
      </c>
      <c r="E84" s="924">
        <f>'25'!F84</f>
        <v>412909</v>
      </c>
      <c r="F84" s="1023">
        <v>413437</v>
      </c>
      <c r="G84" s="925">
        <f t="shared" si="6"/>
        <v>528</v>
      </c>
      <c r="H84" s="926">
        <f>G84+'25'!H84</f>
        <v>-2636</v>
      </c>
      <c r="I84" s="948"/>
      <c r="J84" s="928">
        <f>H84/DAY(B2)</f>
        <v>-101.38461538461539</v>
      </c>
      <c r="K84" s="1024"/>
      <c r="L84" s="903"/>
      <c r="O84" s="930"/>
    </row>
    <row r="85" spans="1:15" s="1028" customFormat="1" ht="20.100000000000001" customHeight="1">
      <c r="A85" s="1025" t="s">
        <v>213</v>
      </c>
      <c r="B85" s="1026"/>
      <c r="C85" s="1026"/>
      <c r="D85" s="963"/>
      <c r="E85" s="924">
        <f>'25'!F85</f>
        <v>0</v>
      </c>
      <c r="F85" s="923"/>
      <c r="G85" s="926">
        <f xml:space="preserve"> SUM(G72:G84)</f>
        <v>2226.9899999999616</v>
      </c>
      <c r="H85" s="926">
        <f>G85+'25'!H85</f>
        <v>2295976.7599999998</v>
      </c>
      <c r="I85" s="948"/>
      <c r="J85" s="928">
        <f>H85/DAY(B2)</f>
        <v>88306.798461538448</v>
      </c>
      <c r="K85" s="1024"/>
      <c r="L85" s="1027"/>
      <c r="N85" s="1095"/>
      <c r="O85" s="930"/>
    </row>
    <row r="86" spans="1:15" s="1038" customFormat="1">
      <c r="A86" s="1029" t="s">
        <v>102</v>
      </c>
      <c r="B86" s="1030"/>
      <c r="C86" s="1030"/>
      <c r="D86" s="1031" t="s">
        <v>194</v>
      </c>
      <c r="E86" s="924">
        <f>'25'!F86</f>
        <v>446558.69</v>
      </c>
      <c r="F86" s="1032">
        <v>446593</v>
      </c>
      <c r="G86" s="1033">
        <f t="shared" ref="G86:G90" si="7">F86-E86</f>
        <v>34.309999999997672</v>
      </c>
      <c r="H86" s="1033">
        <f t="shared" ref="H86:H88" si="8">G86</f>
        <v>34.309999999997672</v>
      </c>
      <c r="I86" s="1034"/>
      <c r="J86" s="1035">
        <f>H86/DAY(B2)</f>
        <v>1.3196153846152952</v>
      </c>
      <c r="K86" s="1036"/>
      <c r="L86" s="1037"/>
      <c r="N86" s="1096"/>
      <c r="O86" s="930"/>
    </row>
    <row r="87" spans="1:15" s="1038" customFormat="1">
      <c r="A87" s="1029" t="s">
        <v>103</v>
      </c>
      <c r="B87" s="1030"/>
      <c r="C87" s="1030"/>
      <c r="D87" s="1031" t="s">
        <v>194</v>
      </c>
      <c r="E87" s="924">
        <f>'25'!F87</f>
        <v>78306.8</v>
      </c>
      <c r="F87" s="1032">
        <v>78317.8</v>
      </c>
      <c r="G87" s="1033">
        <f t="shared" si="7"/>
        <v>11</v>
      </c>
      <c r="H87" s="1033">
        <f t="shared" si="8"/>
        <v>11</v>
      </c>
      <c r="I87" s="1034"/>
      <c r="J87" s="1035">
        <f>H87/DAY(B2)</f>
        <v>0.42307692307692307</v>
      </c>
      <c r="K87" s="1036"/>
      <c r="L87" s="1037"/>
      <c r="N87" s="1096"/>
      <c r="O87" s="930"/>
    </row>
    <row r="88" spans="1:15" s="1038" customFormat="1">
      <c r="A88" s="1029" t="s">
        <v>104</v>
      </c>
      <c r="B88" s="1030"/>
      <c r="C88" s="1030"/>
      <c r="D88" s="1031" t="s">
        <v>194</v>
      </c>
      <c r="E88" s="924">
        <f>'25'!F88</f>
        <v>146075.76</v>
      </c>
      <c r="F88" s="1032">
        <v>146111</v>
      </c>
      <c r="G88" s="1033">
        <f t="shared" si="7"/>
        <v>35.239999999990687</v>
      </c>
      <c r="H88" s="1033">
        <f t="shared" si="8"/>
        <v>35.239999999990687</v>
      </c>
      <c r="I88" s="1034"/>
      <c r="J88" s="1035">
        <f>H88/DAY(B2)</f>
        <v>1.3553846153842573</v>
      </c>
      <c r="K88" s="1036"/>
      <c r="L88" s="1037"/>
      <c r="N88" s="1096"/>
      <c r="O88" s="930"/>
    </row>
    <row r="89" spans="1:15" s="1038" customFormat="1">
      <c r="A89" s="1029" t="s">
        <v>215</v>
      </c>
      <c r="B89" s="1030"/>
      <c r="C89" s="1030"/>
      <c r="D89" s="1031" t="s">
        <v>194</v>
      </c>
      <c r="E89" s="924">
        <f>'25'!F89</f>
        <v>59361.4</v>
      </c>
      <c r="F89" s="1032">
        <v>59414</v>
      </c>
      <c r="G89" s="1033">
        <f t="shared" si="7"/>
        <v>52.599999999998545</v>
      </c>
      <c r="H89" s="1033">
        <f>G89</f>
        <v>52.599999999998545</v>
      </c>
      <c r="I89" s="1034"/>
      <c r="J89" s="1035">
        <f>H89/DAY(B2)</f>
        <v>2.023076923076867</v>
      </c>
      <c r="K89" s="1036"/>
      <c r="L89" s="1037"/>
      <c r="N89" s="1103"/>
      <c r="O89" s="930"/>
    </row>
    <row r="90" spans="1:15" s="1038" customFormat="1">
      <c r="A90" s="1029" t="s">
        <v>215</v>
      </c>
      <c r="B90" s="1030"/>
      <c r="C90" s="1030"/>
      <c r="D90" s="1031" t="s">
        <v>194</v>
      </c>
      <c r="E90" s="924">
        <f>'25'!F90</f>
        <v>3049</v>
      </c>
      <c r="F90" s="1032">
        <v>3049.4</v>
      </c>
      <c r="G90" s="1033">
        <f t="shared" si="7"/>
        <v>0.40000000000009095</v>
      </c>
      <c r="H90" s="1033">
        <f>G90</f>
        <v>0.40000000000009095</v>
      </c>
      <c r="I90" s="1034"/>
      <c r="J90" s="1035">
        <f>H90/DAY(B2)</f>
        <v>1.5384615384618883E-2</v>
      </c>
      <c r="K90" s="1036"/>
      <c r="L90" s="1037"/>
      <c r="N90" s="1097"/>
      <c r="O90" s="930"/>
    </row>
    <row r="91" spans="1:15" s="1028" customFormat="1" ht="20.100000000000001" customHeight="1">
      <c r="A91" s="1039" t="s">
        <v>216</v>
      </c>
      <c r="B91" s="918"/>
      <c r="C91" s="918"/>
      <c r="D91" s="918"/>
      <c r="E91" s="918"/>
      <c r="F91" s="918"/>
      <c r="G91" s="962"/>
      <c r="H91" s="918"/>
      <c r="I91" s="918"/>
      <c r="J91" s="919"/>
      <c r="K91" s="1024"/>
      <c r="L91" s="1027"/>
      <c r="N91" s="1095"/>
      <c r="O91" s="930"/>
    </row>
    <row r="92" spans="1:15" ht="20.100000000000001" customHeight="1">
      <c r="A92" s="1522" t="s">
        <v>217</v>
      </c>
      <c r="B92" s="1523"/>
      <c r="C92" s="1524"/>
      <c r="D92" s="923" t="s">
        <v>155</v>
      </c>
      <c r="E92" s="924">
        <f>'25'!F92</f>
        <v>236081</v>
      </c>
      <c r="F92" s="954">
        <v>236189</v>
      </c>
      <c r="G92" s="925">
        <f t="shared" ref="G92:G93" si="9">F92-E92</f>
        <v>108</v>
      </c>
      <c r="H92" s="926">
        <f>G92+'25'!H92</f>
        <v>-381</v>
      </c>
      <c r="I92" s="945"/>
      <c r="J92" s="928">
        <f>H92/DAY(B2)</f>
        <v>-14.653846153846153</v>
      </c>
      <c r="K92" s="951"/>
      <c r="L92" s="903"/>
      <c r="O92" s="930"/>
    </row>
    <row r="93" spans="1:15" ht="20.100000000000001" customHeight="1">
      <c r="A93" s="1522" t="s">
        <v>218</v>
      </c>
      <c r="B93" s="1523"/>
      <c r="C93" s="1524"/>
      <c r="D93" s="923" t="s">
        <v>155</v>
      </c>
      <c r="E93" s="924">
        <f>'25'!F93</f>
        <v>170363</v>
      </c>
      <c r="F93" s="954">
        <v>170468</v>
      </c>
      <c r="G93" s="925">
        <f t="shared" si="9"/>
        <v>105</v>
      </c>
      <c r="H93" s="926">
        <f>G93+'25'!H93</f>
        <v>-708</v>
      </c>
      <c r="I93" s="945"/>
      <c r="J93" s="928">
        <f>H93/DAY(B2)</f>
        <v>-27.23076923076923</v>
      </c>
      <c r="K93" s="1024"/>
      <c r="L93" s="903"/>
      <c r="O93" s="930"/>
    </row>
    <row r="94" spans="1:15" ht="20.100000000000001" customHeight="1">
      <c r="A94" s="1531" t="s">
        <v>219</v>
      </c>
      <c r="B94" s="1532"/>
      <c r="C94" s="1533"/>
      <c r="D94" s="923"/>
      <c r="E94" s="924">
        <f>'25'!F94</f>
        <v>0</v>
      </c>
      <c r="F94" s="954"/>
      <c r="G94" s="925">
        <f>G92+G93</f>
        <v>213</v>
      </c>
      <c r="H94" s="926">
        <f>G94+'25'!H94</f>
        <v>-1376</v>
      </c>
      <c r="I94" s="945"/>
      <c r="J94" s="928">
        <f>H94/DAY(B2)</f>
        <v>-52.92307692307692</v>
      </c>
      <c r="K94" s="1024"/>
      <c r="L94" s="903"/>
      <c r="O94" s="930"/>
    </row>
    <row r="95" spans="1:15" ht="20.100000000000001" customHeight="1">
      <c r="A95" s="1522" t="s">
        <v>220</v>
      </c>
      <c r="B95" s="1523"/>
      <c r="C95" s="1524"/>
      <c r="D95" s="923" t="s">
        <v>155</v>
      </c>
      <c r="E95" s="924">
        <f>'25'!F95</f>
        <v>405514</v>
      </c>
      <c r="F95" s="954">
        <v>405574</v>
      </c>
      <c r="G95" s="925">
        <f t="shared" ref="G95:G100" si="10">F95-E95</f>
        <v>60</v>
      </c>
      <c r="H95" s="926">
        <f>G95+'25'!H95</f>
        <v>-302</v>
      </c>
      <c r="I95" s="945"/>
      <c r="J95" s="928">
        <f>H95/DAY(B2)</f>
        <v>-11.615384615384615</v>
      </c>
      <c r="K95" s="1024"/>
      <c r="L95" s="903"/>
      <c r="O95" s="930"/>
    </row>
    <row r="96" spans="1:15" ht="20.100000000000001" customHeight="1">
      <c r="A96" s="952" t="s">
        <v>221</v>
      </c>
      <c r="B96" s="953"/>
      <c r="C96" s="953"/>
      <c r="D96" s="923" t="s">
        <v>155</v>
      </c>
      <c r="E96" s="924">
        <f>'25'!F96</f>
        <v>100380</v>
      </c>
      <c r="F96" s="954">
        <v>100399</v>
      </c>
      <c r="G96" s="925">
        <f t="shared" si="10"/>
        <v>19</v>
      </c>
      <c r="H96" s="926">
        <f>G96+'25'!H96</f>
        <v>-135</v>
      </c>
      <c r="I96" s="945"/>
      <c r="J96" s="928">
        <f>H96/DAY(B2)</f>
        <v>-5.1923076923076925</v>
      </c>
      <c r="K96" s="920"/>
      <c r="L96" s="903"/>
      <c r="O96" s="930"/>
    </row>
    <row r="97" spans="1:15" ht="20.100000000000001" customHeight="1">
      <c r="A97" s="952" t="s">
        <v>222</v>
      </c>
      <c r="B97" s="953"/>
      <c r="C97" s="953"/>
      <c r="D97" s="923" t="s">
        <v>155</v>
      </c>
      <c r="E97" s="924">
        <f>'25'!F97</f>
        <v>95557</v>
      </c>
      <c r="F97" s="954">
        <v>95582</v>
      </c>
      <c r="G97" s="925">
        <f t="shared" si="10"/>
        <v>25</v>
      </c>
      <c r="H97" s="926">
        <f>G97+'25'!H97</f>
        <v>-95</v>
      </c>
      <c r="I97" s="945"/>
      <c r="J97" s="928">
        <f>H97/DAY(B2)</f>
        <v>-3.6538461538461537</v>
      </c>
      <c r="K97" s="1040"/>
      <c r="L97" s="903"/>
      <c r="O97" s="930"/>
    </row>
    <row r="98" spans="1:15" ht="20.100000000000001" customHeight="1">
      <c r="A98" s="952" t="s">
        <v>223</v>
      </c>
      <c r="B98" s="953"/>
      <c r="C98" s="953"/>
      <c r="D98" s="923" t="s">
        <v>155</v>
      </c>
      <c r="E98" s="924">
        <f>'25'!F98</f>
        <v>145172</v>
      </c>
      <c r="F98" s="954">
        <v>145234</v>
      </c>
      <c r="G98" s="925">
        <f t="shared" si="10"/>
        <v>62</v>
      </c>
      <c r="H98" s="926">
        <f>G98+'25'!H98</f>
        <v>-320</v>
      </c>
      <c r="I98" s="945"/>
      <c r="J98" s="928">
        <f>H98/DAY(B2)</f>
        <v>-12.307692307692308</v>
      </c>
      <c r="K98" s="1024"/>
      <c r="L98" s="903"/>
      <c r="O98" s="930"/>
    </row>
    <row r="99" spans="1:15" ht="20.100000000000001" customHeight="1">
      <c r="A99" s="952" t="s">
        <v>224</v>
      </c>
      <c r="B99" s="953"/>
      <c r="C99" s="953"/>
      <c r="D99" s="923" t="s">
        <v>155</v>
      </c>
      <c r="E99" s="924">
        <f>'25'!F99</f>
        <v>5843</v>
      </c>
      <c r="F99" s="954">
        <v>5882</v>
      </c>
      <c r="G99" s="925">
        <f t="shared" si="10"/>
        <v>39</v>
      </c>
      <c r="H99" s="926">
        <f>G99+'25'!H99</f>
        <v>-92</v>
      </c>
      <c r="I99" s="945"/>
      <c r="J99" s="928">
        <f>H99/DAY(B2)</f>
        <v>-3.5384615384615383</v>
      </c>
      <c r="K99" s="1024"/>
      <c r="L99" s="903"/>
      <c r="O99" s="930"/>
    </row>
    <row r="100" spans="1:15" ht="20.100000000000001" customHeight="1">
      <c r="A100" s="952" t="s">
        <v>225</v>
      </c>
      <c r="B100" s="953"/>
      <c r="C100" s="953"/>
      <c r="D100" s="923" t="s">
        <v>155</v>
      </c>
      <c r="E100" s="924">
        <f>'25'!F100</f>
        <v>4195</v>
      </c>
      <c r="F100" s="954">
        <v>4205</v>
      </c>
      <c r="G100" s="925">
        <f t="shared" si="10"/>
        <v>10</v>
      </c>
      <c r="H100" s="926">
        <f>G100+'25'!H100</f>
        <v>-32</v>
      </c>
      <c r="I100" s="945"/>
      <c r="J100" s="928">
        <f>H100/DAY(B2)</f>
        <v>-1.2307692307692308</v>
      </c>
      <c r="K100" s="1024"/>
      <c r="L100" s="903"/>
      <c r="O100" s="930"/>
    </row>
    <row r="101" spans="1:15" ht="20.100000000000001" customHeight="1">
      <c r="A101" s="1531" t="s">
        <v>227</v>
      </c>
      <c r="B101" s="1532"/>
      <c r="C101" s="1533"/>
      <c r="D101" s="957"/>
      <c r="E101" s="957"/>
      <c r="F101" s="957"/>
      <c r="G101" s="1041">
        <f>SUM(G95:G100)</f>
        <v>215</v>
      </c>
      <c r="H101" s="926">
        <f>G101+'25'!H101</f>
        <v>-976</v>
      </c>
      <c r="I101" s="1042"/>
      <c r="J101" s="928">
        <f>H101/DAY(B2)</f>
        <v>-37.53846153846154</v>
      </c>
      <c r="K101" s="1024"/>
      <c r="L101" s="903"/>
      <c r="O101" s="930"/>
    </row>
    <row r="102" spans="1:15" s="975" customFormat="1" ht="25.5" customHeight="1">
      <c r="A102" s="1043" t="s">
        <v>228</v>
      </c>
      <c r="B102" s="1044"/>
      <c r="C102" s="1044"/>
      <c r="D102" s="1045"/>
      <c r="E102" s="1046"/>
      <c r="F102" s="1047"/>
      <c r="G102" s="1048"/>
      <c r="H102" s="1049"/>
      <c r="I102" s="1050"/>
      <c r="J102" s="1051"/>
      <c r="N102" s="1093"/>
      <c r="O102" s="930"/>
    </row>
    <row r="103" spans="1:15" s="975" customFormat="1" ht="21.75" customHeight="1">
      <c r="A103" s="1539" t="s">
        <v>229</v>
      </c>
      <c r="B103" s="1540"/>
      <c r="C103" s="1052"/>
      <c r="D103" s="1053"/>
      <c r="E103" s="1054"/>
      <c r="F103" s="1054"/>
      <c r="G103" s="1054"/>
      <c r="H103" s="1055"/>
      <c r="I103" s="1054"/>
      <c r="J103" s="1056"/>
      <c r="N103" s="1093"/>
      <c r="O103" s="930"/>
    </row>
    <row r="104" spans="1:15" s="975" customFormat="1" ht="21.75" customHeight="1">
      <c r="A104" s="1512" t="s">
        <v>230</v>
      </c>
      <c r="B104" s="1513"/>
      <c r="C104" s="1057"/>
      <c r="D104" s="1053" t="s">
        <v>155</v>
      </c>
      <c r="E104" s="1054">
        <f>'25'!F104</f>
        <v>7010</v>
      </c>
      <c r="F104" s="1054">
        <v>7010</v>
      </c>
      <c r="G104" s="1054">
        <f>F104-E104</f>
        <v>0</v>
      </c>
      <c r="H104" s="1055">
        <f>SUM(G104+'1'!G76)</f>
        <v>74</v>
      </c>
      <c r="I104" s="1054"/>
      <c r="J104" s="1056">
        <f>H104/DAY(B2)</f>
        <v>2.8461538461538463</v>
      </c>
      <c r="N104" s="1093"/>
      <c r="O104" s="930"/>
    </row>
    <row r="105" spans="1:15" s="975" customFormat="1" ht="21.75" customHeight="1">
      <c r="A105" s="1512" t="s">
        <v>77</v>
      </c>
      <c r="B105" s="1513"/>
      <c r="C105" s="1057"/>
      <c r="D105" s="1053" t="s">
        <v>155</v>
      </c>
      <c r="E105" s="1054">
        <f>'25'!F105</f>
        <v>35117</v>
      </c>
      <c r="F105" s="1058">
        <v>35124</v>
      </c>
      <c r="G105" s="1054">
        <f t="shared" ref="G105:G106" si="11">F105-E105</f>
        <v>7</v>
      </c>
      <c r="H105" s="1055">
        <f>SUM(G105+'1'!G77)</f>
        <v>55</v>
      </c>
      <c r="I105" s="1054"/>
      <c r="J105" s="1056">
        <f>H105/DAY(B2)</f>
        <v>2.1153846153846154</v>
      </c>
      <c r="N105" s="1093"/>
      <c r="O105" s="930"/>
    </row>
    <row r="106" spans="1:15" s="975" customFormat="1" ht="21.75" customHeight="1">
      <c r="A106" s="1512" t="s">
        <v>78</v>
      </c>
      <c r="B106" s="1541"/>
      <c r="C106" s="1513"/>
      <c r="D106" s="1053" t="s">
        <v>155</v>
      </c>
      <c r="E106" s="1054">
        <f>'25'!F106</f>
        <v>19056</v>
      </c>
      <c r="F106" s="1054">
        <v>19059</v>
      </c>
      <c r="G106" s="1054">
        <f t="shared" si="11"/>
        <v>3</v>
      </c>
      <c r="H106" s="1055">
        <f>SUM(G106+'1'!G78)</f>
        <v>337</v>
      </c>
      <c r="I106" s="1054"/>
      <c r="J106" s="1056">
        <f>H106/DAY(B2)</f>
        <v>12.961538461538462</v>
      </c>
      <c r="N106" s="1093"/>
      <c r="O106" s="930"/>
    </row>
    <row r="107" spans="1:15" s="975" customFormat="1" ht="21.75" customHeight="1">
      <c r="A107" s="1514" t="s">
        <v>213</v>
      </c>
      <c r="B107" s="1515"/>
      <c r="C107" s="1057"/>
      <c r="D107" s="1053"/>
      <c r="E107" s="1054">
        <f>'25'!F107</f>
        <v>0</v>
      </c>
      <c r="F107" s="1054"/>
      <c r="G107" s="1054">
        <f>SUM(G104:G106)</f>
        <v>10</v>
      </c>
      <c r="H107" s="1055">
        <f>SUM(G107+'1'!G79)</f>
        <v>215</v>
      </c>
      <c r="I107" s="1054"/>
      <c r="J107" s="1056">
        <f>H107/DAY(B2)</f>
        <v>8.2692307692307701</v>
      </c>
      <c r="N107" s="1093"/>
      <c r="O107" s="930"/>
    </row>
    <row r="108" spans="1:15" s="975" customFormat="1" ht="21.75" customHeight="1">
      <c r="A108" s="1520" t="s">
        <v>79</v>
      </c>
      <c r="B108" s="1521"/>
      <c r="C108" s="1057"/>
      <c r="D108" s="1053" t="s">
        <v>155</v>
      </c>
      <c r="E108" s="1054">
        <f>'25'!F108</f>
        <v>0</v>
      </c>
      <c r="F108" s="1054"/>
      <c r="G108" s="1054"/>
      <c r="H108" s="1055"/>
      <c r="I108" s="1054"/>
      <c r="J108" s="1056"/>
      <c r="N108" s="1093"/>
      <c r="O108" s="930"/>
    </row>
    <row r="109" spans="1:15" s="975" customFormat="1" ht="21.75" customHeight="1">
      <c r="A109" s="1512" t="s">
        <v>231</v>
      </c>
      <c r="B109" s="1513"/>
      <c r="C109" s="1057"/>
      <c r="D109" s="1053" t="s">
        <v>155</v>
      </c>
      <c r="E109" s="1054">
        <f>'25'!F109</f>
        <v>54355</v>
      </c>
      <c r="F109" s="1054">
        <v>54397</v>
      </c>
      <c r="G109" s="1054">
        <f>F109-E109</f>
        <v>42</v>
      </c>
      <c r="H109" s="1055">
        <f>SUM(G109+'1'!G81)</f>
        <v>118</v>
      </c>
      <c r="I109" s="1054"/>
      <c r="J109" s="1056">
        <f>H109/DAY(B2)</f>
        <v>4.5384615384615383</v>
      </c>
      <c r="N109" s="1093"/>
      <c r="O109" s="930"/>
    </row>
    <row r="110" spans="1:15" s="975" customFormat="1" ht="21.75" customHeight="1">
      <c r="A110" s="1512" t="s">
        <v>232</v>
      </c>
      <c r="B110" s="1513"/>
      <c r="C110" s="1057"/>
      <c r="D110" s="1053" t="s">
        <v>155</v>
      </c>
      <c r="E110" s="1054">
        <f>'25'!F110</f>
        <v>28181</v>
      </c>
      <c r="F110" s="1054">
        <v>28241</v>
      </c>
      <c r="G110" s="1054">
        <f t="shared" ref="G110:G111" si="12">F110-E110</f>
        <v>60</v>
      </c>
      <c r="H110" s="1055">
        <f>SUM(G110+'1'!G82)</f>
        <v>105</v>
      </c>
      <c r="I110" s="1054"/>
      <c r="J110" s="1056">
        <f>H110/DAY(B2)</f>
        <v>4.0384615384615383</v>
      </c>
      <c r="N110" s="1093"/>
      <c r="O110" s="930"/>
    </row>
    <row r="111" spans="1:15" s="975" customFormat="1" ht="21.75" customHeight="1">
      <c r="A111" s="1512" t="s">
        <v>233</v>
      </c>
      <c r="B111" s="1513"/>
      <c r="C111" s="1057"/>
      <c r="D111" s="1053" t="s">
        <v>155</v>
      </c>
      <c r="E111" s="1054">
        <f>'25'!F111</f>
        <v>3721</v>
      </c>
      <c r="F111" s="1054">
        <v>3721</v>
      </c>
      <c r="G111" s="1054">
        <f t="shared" si="12"/>
        <v>0</v>
      </c>
      <c r="H111" s="1055">
        <f>SUM(G111+'1'!G83)</f>
        <v>433</v>
      </c>
      <c r="I111" s="1054"/>
      <c r="J111" s="1056">
        <f>H111/DAY(B2)</f>
        <v>16.653846153846153</v>
      </c>
      <c r="N111" s="1093"/>
      <c r="O111" s="930"/>
    </row>
    <row r="112" spans="1:15" s="975" customFormat="1" ht="21.75" customHeight="1">
      <c r="A112" s="1518" t="s">
        <v>121</v>
      </c>
      <c r="B112" s="1519"/>
      <c r="C112" s="1057"/>
      <c r="D112" s="1053"/>
      <c r="E112" s="1054">
        <f>'25'!F112</f>
        <v>0</v>
      </c>
      <c r="F112" s="1054"/>
      <c r="G112" s="1054">
        <f>SUM(G109:G111)</f>
        <v>102</v>
      </c>
      <c r="H112" s="1055">
        <f>SUM(G112+'1'!G84)</f>
        <v>623</v>
      </c>
      <c r="I112" s="1054"/>
      <c r="J112" s="1056">
        <f>H112/DAY(B2)</f>
        <v>23.96153846153846</v>
      </c>
      <c r="N112" s="1093"/>
      <c r="O112" s="930"/>
    </row>
    <row r="113" spans="1:15" s="975" customFormat="1" ht="21.75" customHeight="1">
      <c r="A113" s="1520" t="s">
        <v>234</v>
      </c>
      <c r="B113" s="1521"/>
      <c r="C113" s="1057"/>
      <c r="D113" s="1053"/>
      <c r="E113" s="1054">
        <f>'25'!F113</f>
        <v>0</v>
      </c>
      <c r="F113" s="1054"/>
      <c r="G113" s="1054"/>
      <c r="H113" s="1055"/>
      <c r="I113" s="1054"/>
      <c r="J113" s="1056">
        <f>H113/DAY(B2)</f>
        <v>0</v>
      </c>
      <c r="N113" s="1093"/>
      <c r="O113" s="930"/>
    </row>
    <row r="114" spans="1:15" s="975" customFormat="1" ht="21.75" customHeight="1">
      <c r="A114" s="1512" t="s">
        <v>235</v>
      </c>
      <c r="B114" s="1513"/>
      <c r="C114" s="1059"/>
      <c r="D114" s="1053" t="s">
        <v>155</v>
      </c>
      <c r="E114" s="1054">
        <f>'25'!F114</f>
        <v>9649</v>
      </c>
      <c r="F114" s="1058">
        <v>9693</v>
      </c>
      <c r="G114" s="1058">
        <f>F114-E114</f>
        <v>44</v>
      </c>
      <c r="H114" s="1055">
        <f>SUM(G114+'1'!G91)</f>
        <v>44</v>
      </c>
      <c r="I114" s="1054"/>
      <c r="J114" s="1056">
        <f>H114/DAY(B2)</f>
        <v>1.6923076923076923</v>
      </c>
      <c r="N114" s="1093"/>
      <c r="O114" s="930"/>
    </row>
    <row r="115" spans="1:15" s="975" customFormat="1" ht="21.75" customHeight="1">
      <c r="A115" s="1512" t="s">
        <v>236</v>
      </c>
      <c r="B115" s="1513"/>
      <c r="C115" s="1059"/>
      <c r="D115" s="1053" t="s">
        <v>155</v>
      </c>
      <c r="E115" s="1054">
        <f>'25'!F115</f>
        <v>7388</v>
      </c>
      <c r="F115" s="1058">
        <v>7398</v>
      </c>
      <c r="G115" s="1058">
        <f t="shared" ref="G115:G116" si="13">F115-E115</f>
        <v>10</v>
      </c>
      <c r="H115" s="1055">
        <f>SUM(G115+'1'!G92)</f>
        <v>97</v>
      </c>
      <c r="I115" s="1054"/>
      <c r="J115" s="1056">
        <f>H115/DAY(B2)</f>
        <v>3.7307692307692308</v>
      </c>
      <c r="N115" s="1093"/>
      <c r="O115" s="930"/>
    </row>
    <row r="116" spans="1:15" s="975" customFormat="1" ht="21.75" customHeight="1">
      <c r="A116" s="1512" t="s">
        <v>237</v>
      </c>
      <c r="B116" s="1513"/>
      <c r="C116" s="1059"/>
      <c r="D116" s="1053" t="s">
        <v>155</v>
      </c>
      <c r="E116" s="1058"/>
      <c r="F116" s="1058"/>
      <c r="G116" s="1058">
        <f t="shared" si="13"/>
        <v>0</v>
      </c>
      <c r="H116" s="1055">
        <f>SUM(G116+'1'!G93)</f>
        <v>200</v>
      </c>
      <c r="I116" s="1054"/>
      <c r="J116" s="1056">
        <f>H116/DAY(B2)</f>
        <v>7.6923076923076925</v>
      </c>
      <c r="N116" s="1093"/>
      <c r="O116" s="930"/>
    </row>
    <row r="117" spans="1:15" s="1061" customFormat="1">
      <c r="A117" s="1514" t="s">
        <v>213</v>
      </c>
      <c r="B117" s="1515"/>
      <c r="C117" s="1059"/>
      <c r="D117" s="1060"/>
      <c r="E117" s="1058"/>
      <c r="F117" s="1058"/>
      <c r="G117" s="1058">
        <f>SUM(G114:G116)</f>
        <v>54</v>
      </c>
      <c r="H117" s="1055">
        <f>SUM(G117+'1'!G95)</f>
        <v>126</v>
      </c>
      <c r="I117" s="1058"/>
      <c r="J117" s="1056">
        <f>H117/DAY(B2)</f>
        <v>4.8461538461538458</v>
      </c>
      <c r="N117" s="1098"/>
      <c r="O117" s="930"/>
    </row>
    <row r="118" spans="1:15" s="851" customFormat="1">
      <c r="A118" s="1516" t="s">
        <v>238</v>
      </c>
      <c r="B118" s="1517"/>
      <c r="C118" s="1062"/>
      <c r="D118" s="1063" t="s">
        <v>155</v>
      </c>
      <c r="E118" s="1064"/>
      <c r="F118" s="1065">
        <f>SUM(G19+G92)</f>
        <v>157</v>
      </c>
      <c r="G118" s="1065">
        <f>SUM(G19+G92)</f>
        <v>157</v>
      </c>
      <c r="H118" s="1055">
        <f>SUM(G118+'1'!G96)</f>
        <v>180</v>
      </c>
      <c r="I118" s="1064"/>
      <c r="J118" s="1066">
        <f>H118/DAY(B2)</f>
        <v>6.9230769230769234</v>
      </c>
      <c r="N118" s="1099"/>
      <c r="O118" s="930"/>
    </row>
    <row r="119" spans="1:15" s="851" customFormat="1">
      <c r="A119" s="1516" t="s">
        <v>239</v>
      </c>
      <c r="B119" s="1517"/>
      <c r="C119" s="1062"/>
      <c r="D119" s="1063" t="s">
        <v>155</v>
      </c>
      <c r="E119" s="1064"/>
      <c r="F119" s="1065">
        <f>SUM(G95,G96,G97,G99,G100)</f>
        <v>153</v>
      </c>
      <c r="G119" s="1065">
        <f>SUM(G95,G96,G97,G99,G100)</f>
        <v>153</v>
      </c>
      <c r="H119" s="1055">
        <f>SUM(G119+'1'!G98)</f>
        <v>236</v>
      </c>
      <c r="I119" s="1064"/>
      <c r="J119" s="1066">
        <f>H119/DAY(B2)</f>
        <v>9.0769230769230766</v>
      </c>
      <c r="N119" s="1099"/>
      <c r="O119" s="930"/>
    </row>
    <row r="120" spans="1:15" s="851" customFormat="1">
      <c r="A120" s="1516" t="s">
        <v>240</v>
      </c>
      <c r="B120" s="1517"/>
      <c r="C120" s="1062"/>
      <c r="D120" s="1063" t="s">
        <v>155</v>
      </c>
      <c r="E120" s="1064"/>
      <c r="F120" s="1058">
        <f>SUM(G112)</f>
        <v>102</v>
      </c>
      <c r="G120" s="1058">
        <f>SUM(G112)</f>
        <v>102</v>
      </c>
      <c r="H120" s="1055">
        <f>SUM(G120+'1'!G100)</f>
        <v>108</v>
      </c>
      <c r="I120" s="1064"/>
      <c r="J120" s="1066">
        <f>H120/DAY(B2)</f>
        <v>4.1538461538461542</v>
      </c>
      <c r="N120" s="1099"/>
      <c r="O120" s="930"/>
    </row>
    <row r="121" spans="1:15" s="975" customFormat="1" ht="18.75" customHeight="1">
      <c r="A121" s="1510"/>
      <c r="B121" s="1511"/>
      <c r="C121" s="1057"/>
      <c r="D121" s="1052"/>
      <c r="E121" s="1052"/>
      <c r="F121" s="1052" t="s">
        <v>226</v>
      </c>
      <c r="G121" s="1052"/>
      <c r="H121" s="1067"/>
      <c r="I121" s="1052"/>
      <c r="J121" s="1068"/>
      <c r="N121" s="1093"/>
      <c r="O121" s="930"/>
    </row>
    <row r="122" spans="1:15" ht="20.100000000000001" customHeight="1">
      <c r="A122" s="1534" t="s">
        <v>241</v>
      </c>
      <c r="B122" s="1535"/>
      <c r="C122" s="1536"/>
      <c r="D122" s="918"/>
      <c r="E122" s="918"/>
      <c r="F122" s="918"/>
      <c r="G122" s="950"/>
      <c r="H122" s="950"/>
      <c r="I122" s="950"/>
      <c r="J122" s="1069"/>
      <c r="K122" s="1024"/>
      <c r="L122" s="903"/>
      <c r="O122" s="930"/>
    </row>
    <row r="123" spans="1:15" ht="22.5" customHeight="1">
      <c r="A123" s="952" t="s">
        <v>242</v>
      </c>
      <c r="B123" s="953"/>
      <c r="C123" s="953"/>
      <c r="D123" s="923" t="s">
        <v>152</v>
      </c>
      <c r="E123" s="924">
        <f>'25'!F123</f>
        <v>801756.21</v>
      </c>
      <c r="F123" s="942">
        <v>802022.35</v>
      </c>
      <c r="G123" s="925">
        <f t="shared" ref="G123:G127" si="14">F123-E123</f>
        <v>266.14000000001397</v>
      </c>
      <c r="H123" s="926">
        <f>G123+'25'!H123</f>
        <v>-1313.0500000000466</v>
      </c>
      <c r="I123" s="1042"/>
      <c r="J123" s="928">
        <f>H123/DAY(B2)</f>
        <v>-50.501923076924868</v>
      </c>
      <c r="K123" s="1024"/>
      <c r="L123" s="903"/>
      <c r="O123" s="930"/>
    </row>
    <row r="124" spans="1:15" ht="22.5" customHeight="1">
      <c r="A124" s="952" t="s">
        <v>243</v>
      </c>
      <c r="B124" s="953"/>
      <c r="C124" s="953"/>
      <c r="D124" s="923" t="s">
        <v>152</v>
      </c>
      <c r="E124" s="924">
        <f>'25'!F124</f>
        <v>73582</v>
      </c>
      <c r="F124" s="1070">
        <v>73582</v>
      </c>
      <c r="G124" s="925">
        <f t="shared" si="14"/>
        <v>0</v>
      </c>
      <c r="H124" s="926">
        <f>G124+'25'!H124</f>
        <v>0</v>
      </c>
      <c r="I124" s="1042"/>
      <c r="J124" s="928">
        <f>H124/DAY(B2)</f>
        <v>0</v>
      </c>
      <c r="K124" s="1024"/>
      <c r="L124" s="903"/>
      <c r="O124" s="930"/>
    </row>
    <row r="125" spans="1:15" ht="22.5" customHeight="1">
      <c r="A125" s="1528" t="s">
        <v>244</v>
      </c>
      <c r="B125" s="1529"/>
      <c r="C125" s="1530"/>
      <c r="D125" s="923" t="s">
        <v>152</v>
      </c>
      <c r="E125" s="924">
        <f>'25'!F125</f>
        <v>137479</v>
      </c>
      <c r="F125" s="942">
        <v>137549.56</v>
      </c>
      <c r="G125" s="925">
        <f t="shared" si="14"/>
        <v>70.559999999997672</v>
      </c>
      <c r="H125" s="926">
        <f>G125+'25'!H125</f>
        <v>-298.44000000000233</v>
      </c>
      <c r="I125" s="1042"/>
      <c r="J125" s="928">
        <f>H125/DAY(B2)</f>
        <v>-11.478461538461628</v>
      </c>
      <c r="K125" s="1024"/>
      <c r="L125" s="903"/>
      <c r="O125" s="930"/>
    </row>
    <row r="126" spans="1:15" ht="20.100000000000001" customHeight="1">
      <c r="A126" s="1071" t="s">
        <v>245</v>
      </c>
      <c r="B126" s="953"/>
      <c r="C126" s="953"/>
      <c r="D126" s="923" t="s">
        <v>152</v>
      </c>
      <c r="E126" s="924">
        <f>'25'!F126</f>
        <v>58214</v>
      </c>
      <c r="F126" s="1070">
        <v>58247</v>
      </c>
      <c r="G126" s="925">
        <f t="shared" si="14"/>
        <v>33</v>
      </c>
      <c r="H126" s="926">
        <f>G126+'25'!H126</f>
        <v>-144.69999999999709</v>
      </c>
      <c r="I126" s="1042"/>
      <c r="J126" s="928">
        <f>H126/DAY(B2)</f>
        <v>-5.5653846153845032</v>
      </c>
      <c r="K126" s="1024"/>
      <c r="L126" s="903"/>
      <c r="O126" s="930"/>
    </row>
    <row r="127" spans="1:15" ht="20.100000000000001" customHeight="1">
      <c r="A127" s="1071" t="s">
        <v>246</v>
      </c>
      <c r="B127" s="953"/>
      <c r="C127" s="953"/>
      <c r="D127" s="923" t="s">
        <v>152</v>
      </c>
      <c r="E127" s="924">
        <f>'25'!F127</f>
        <v>8796.6</v>
      </c>
      <c r="F127" s="1070">
        <v>8800</v>
      </c>
      <c r="G127" s="925">
        <f t="shared" si="14"/>
        <v>3.3999999999996362</v>
      </c>
      <c r="H127" s="926">
        <f>G127+'25'!H127</f>
        <v>-16</v>
      </c>
      <c r="I127" s="945"/>
      <c r="J127" s="928">
        <f>H127/DAY(B2)</f>
        <v>-0.61538461538461542</v>
      </c>
      <c r="K127" s="1024"/>
      <c r="L127" s="903"/>
      <c r="O127" s="930"/>
    </row>
    <row r="128" spans="1:15" ht="21.75" customHeight="1">
      <c r="A128" s="1071" t="s">
        <v>247</v>
      </c>
      <c r="B128" s="953"/>
      <c r="C128" s="953"/>
      <c r="D128" s="923"/>
      <c r="E128" s="924"/>
      <c r="F128" s="942"/>
      <c r="G128" s="925">
        <f>G15-SUM(G123:G127)</f>
        <v>482.03999999988628</v>
      </c>
      <c r="H128" s="926">
        <f>G128+'25'!H128</f>
        <v>-9165.4000000001215</v>
      </c>
      <c r="I128" s="945"/>
      <c r="J128" s="928">
        <f>H128/DAY(B2)</f>
        <v>-352.51538461538928</v>
      </c>
      <c r="K128" s="1024"/>
      <c r="L128" s="903"/>
      <c r="O128" s="930"/>
    </row>
    <row r="129" spans="1:15">
      <c r="A129" s="1072" t="s">
        <v>248</v>
      </c>
      <c r="B129" s="917"/>
      <c r="C129" s="917"/>
      <c r="D129" s="917"/>
      <c r="E129" s="917"/>
      <c r="F129" s="917"/>
      <c r="G129" s="1073"/>
      <c r="H129" s="1073"/>
      <c r="I129" s="1073"/>
      <c r="J129" s="1074"/>
      <c r="O129" s="930"/>
    </row>
    <row r="130" spans="1:15">
      <c r="A130" s="952" t="s">
        <v>249</v>
      </c>
      <c r="B130" s="953"/>
      <c r="C130" s="953"/>
      <c r="D130" s="923" t="s">
        <v>250</v>
      </c>
      <c r="E130" s="924">
        <f>'25'!F130</f>
        <v>0</v>
      </c>
      <c r="F130" s="954">
        <v>0</v>
      </c>
      <c r="G130" s="925">
        <f t="shared" ref="G130:G140" si="15">F130-E130</f>
        <v>0</v>
      </c>
      <c r="H130" s="926">
        <f>G130+'25'!H130</f>
        <v>0</v>
      </c>
      <c r="I130" s="945"/>
      <c r="J130" s="928">
        <f>H130/DAY(B2)</f>
        <v>0</v>
      </c>
      <c r="O130" s="930"/>
    </row>
    <row r="131" spans="1:15">
      <c r="A131" s="952" t="s">
        <v>251</v>
      </c>
      <c r="B131" s="953"/>
      <c r="C131" s="953"/>
      <c r="D131" s="923" t="s">
        <v>250</v>
      </c>
      <c r="E131" s="924">
        <f>'25'!F131</f>
        <v>0</v>
      </c>
      <c r="F131" s="954">
        <v>0</v>
      </c>
      <c r="G131" s="925">
        <f t="shared" si="15"/>
        <v>0</v>
      </c>
      <c r="H131" s="926">
        <f>G131+'25'!H131</f>
        <v>0</v>
      </c>
      <c r="I131" s="945"/>
      <c r="J131" s="928">
        <f>H131/DAY(B2)</f>
        <v>0</v>
      </c>
      <c r="O131" s="930"/>
    </row>
    <row r="132" spans="1:15">
      <c r="A132" s="952" t="s">
        <v>252</v>
      </c>
      <c r="B132" s="953"/>
      <c r="C132" s="953"/>
      <c r="D132" s="923" t="s">
        <v>250</v>
      </c>
      <c r="E132" s="924">
        <f>'25'!F132</f>
        <v>38960.519999999997</v>
      </c>
      <c r="F132" s="1075">
        <v>38984.400000000001</v>
      </c>
      <c r="G132" s="925">
        <f t="shared" si="15"/>
        <v>23.880000000004657</v>
      </c>
      <c r="H132" s="926">
        <f>G132+'25'!H132</f>
        <v>266.00999999999476</v>
      </c>
      <c r="I132" s="945"/>
      <c r="J132" s="928">
        <f>H132/DAY(B2)</f>
        <v>10.231153846153644</v>
      </c>
      <c r="O132" s="930"/>
    </row>
    <row r="133" spans="1:15">
      <c r="A133" s="952" t="s">
        <v>253</v>
      </c>
      <c r="B133" s="953"/>
      <c r="C133" s="953"/>
      <c r="D133" s="923" t="s">
        <v>250</v>
      </c>
      <c r="E133" s="924">
        <f>'25'!F133</f>
        <v>299.01</v>
      </c>
      <c r="F133" s="1075">
        <v>299</v>
      </c>
      <c r="G133" s="925">
        <f t="shared" si="15"/>
        <v>-9.9999999999909051E-3</v>
      </c>
      <c r="H133" s="926">
        <f>G133+'25'!H133</f>
        <v>0</v>
      </c>
      <c r="I133" s="945">
        <f>G130+G131+G132+G133</f>
        <v>23.870000000004666</v>
      </c>
      <c r="J133" s="928">
        <f>H133/DAY(B2)</f>
        <v>0</v>
      </c>
      <c r="O133" s="930"/>
    </row>
    <row r="134" spans="1:15">
      <c r="A134" s="952" t="s">
        <v>254</v>
      </c>
      <c r="B134" s="953"/>
      <c r="C134" s="953"/>
      <c r="D134" s="923" t="s">
        <v>250</v>
      </c>
      <c r="E134" s="924">
        <f>'25'!F134</f>
        <v>39951.050000000003</v>
      </c>
      <c r="F134" s="1075">
        <v>39951</v>
      </c>
      <c r="G134" s="925">
        <f t="shared" si="15"/>
        <v>-5.0000000002910383E-2</v>
      </c>
      <c r="H134" s="926">
        <f>G134+'25'!H134</f>
        <v>23.94999999999709</v>
      </c>
      <c r="I134" s="945"/>
      <c r="J134" s="928">
        <f>H134/DAY(B2)</f>
        <v>0.92115384615373419</v>
      </c>
      <c r="O134" s="930"/>
    </row>
    <row r="135" spans="1:15">
      <c r="A135" s="952" t="s">
        <v>255</v>
      </c>
      <c r="B135" s="953"/>
      <c r="C135" s="953"/>
      <c r="D135" s="923" t="s">
        <v>250</v>
      </c>
      <c r="E135" s="924">
        <f>'25'!F135</f>
        <v>32423</v>
      </c>
      <c r="F135" s="1075">
        <v>32423</v>
      </c>
      <c r="G135" s="925">
        <f t="shared" si="15"/>
        <v>0</v>
      </c>
      <c r="H135" s="926">
        <f>G135+'25'!H135</f>
        <v>13</v>
      </c>
      <c r="I135" s="945"/>
      <c r="J135" s="928">
        <f>H135/DAY(B2)</f>
        <v>0.5</v>
      </c>
      <c r="O135" s="930"/>
    </row>
    <row r="136" spans="1:15">
      <c r="A136" s="952" t="s">
        <v>256</v>
      </c>
      <c r="B136" s="953"/>
      <c r="C136" s="953"/>
      <c r="D136" s="923" t="s">
        <v>250</v>
      </c>
      <c r="E136" s="924">
        <f>'25'!F136</f>
        <v>21961.7</v>
      </c>
      <c r="F136" s="1075">
        <v>21970.38</v>
      </c>
      <c r="G136" s="925">
        <f t="shared" si="15"/>
        <v>8.680000000000291</v>
      </c>
      <c r="H136" s="926">
        <f>G136+'25'!H136</f>
        <v>-31.579999999998108</v>
      </c>
      <c r="I136" s="945">
        <f>G134+G135+G136</f>
        <v>8.6299999999973807</v>
      </c>
      <c r="J136" s="928">
        <f>H136/DAY(B2)</f>
        <v>-1.2146153846153118</v>
      </c>
      <c r="O136" s="930"/>
    </row>
    <row r="137" spans="1:15">
      <c r="A137" s="952" t="s">
        <v>257</v>
      </c>
      <c r="B137" s="953"/>
      <c r="C137" s="953"/>
      <c r="D137" s="923" t="s">
        <v>250</v>
      </c>
      <c r="E137" s="924">
        <f>'25'!F137</f>
        <v>25019.94</v>
      </c>
      <c r="F137" s="1075">
        <v>25019.94</v>
      </c>
      <c r="G137" s="925">
        <f t="shared" si="15"/>
        <v>0</v>
      </c>
      <c r="H137" s="926">
        <f>G137+'25'!H137</f>
        <v>8</v>
      </c>
      <c r="I137" s="945"/>
      <c r="J137" s="928">
        <f>H137/DAY(B2)</f>
        <v>0.30769230769230771</v>
      </c>
      <c r="O137" s="930"/>
    </row>
    <row r="138" spans="1:15">
      <c r="A138" s="952" t="s">
        <v>258</v>
      </c>
      <c r="B138" s="953"/>
      <c r="C138" s="953"/>
      <c r="D138" s="923" t="s">
        <v>250</v>
      </c>
      <c r="E138" s="924">
        <f>'25'!F138</f>
        <v>70059.78</v>
      </c>
      <c r="F138" s="1075">
        <v>70059.78</v>
      </c>
      <c r="G138" s="925">
        <f t="shared" si="15"/>
        <v>0</v>
      </c>
      <c r="H138" s="926">
        <f>G138+'25'!H138</f>
        <v>16.979999999995925</v>
      </c>
      <c r="I138" s="945">
        <f>G137+G138</f>
        <v>0</v>
      </c>
      <c r="J138" s="928">
        <f>H138/DAY(B2)</f>
        <v>0.65307692307676635</v>
      </c>
      <c r="O138" s="930"/>
    </row>
    <row r="139" spans="1:15">
      <c r="A139" s="952" t="s">
        <v>259</v>
      </c>
      <c r="B139" s="953"/>
      <c r="C139" s="953"/>
      <c r="D139" s="923" t="s">
        <v>250</v>
      </c>
      <c r="E139" s="924">
        <f>'25'!F139</f>
        <v>1154.28</v>
      </c>
      <c r="F139" s="954">
        <v>1162.04</v>
      </c>
      <c r="G139" s="925">
        <f t="shared" si="15"/>
        <v>7.7599999999999909</v>
      </c>
      <c r="H139" s="926">
        <f>G139+'25'!H139</f>
        <v>-38.549999999999955</v>
      </c>
      <c r="I139" s="1076"/>
      <c r="J139" s="928">
        <f>H139/DAY(B2)</f>
        <v>-1.482692307692306</v>
      </c>
      <c r="O139" s="930"/>
    </row>
    <row r="140" spans="1:15">
      <c r="A140" s="952" t="s">
        <v>260</v>
      </c>
      <c r="B140" s="953"/>
      <c r="C140" s="953"/>
      <c r="D140" s="923" t="s">
        <v>250</v>
      </c>
      <c r="E140" s="924">
        <f>'25'!F140</f>
        <v>4333.53</v>
      </c>
      <c r="F140" s="954">
        <v>4333.53</v>
      </c>
      <c r="G140" s="925">
        <f t="shared" si="15"/>
        <v>0</v>
      </c>
      <c r="H140" s="926">
        <f>G140+'25'!H140</f>
        <v>-0.47000000000025466</v>
      </c>
      <c r="I140" s="1076"/>
      <c r="J140" s="928">
        <f>H140/DAY(B2)</f>
        <v>-1.8076923076932871E-2</v>
      </c>
      <c r="O140" s="930"/>
    </row>
    <row r="141" spans="1:15">
      <c r="A141" s="1537" t="s">
        <v>261</v>
      </c>
      <c r="B141" s="1538"/>
      <c r="C141" s="918"/>
      <c r="D141" s="918"/>
      <c r="E141" s="918"/>
      <c r="F141" s="918"/>
      <c r="G141" s="950"/>
      <c r="H141" s="950"/>
      <c r="I141" s="950"/>
      <c r="J141" s="1069"/>
      <c r="K141" s="1024"/>
      <c r="L141" s="903"/>
      <c r="O141" s="930"/>
    </row>
    <row r="142" spans="1:15">
      <c r="A142" s="1522" t="s">
        <v>262</v>
      </c>
      <c r="B142" s="1523"/>
      <c r="C142" s="1524"/>
      <c r="D142" s="923" t="s">
        <v>143</v>
      </c>
      <c r="E142" s="923"/>
      <c r="F142" s="923"/>
      <c r="G142" s="926">
        <f>G35+G43+G49+G57</f>
        <v>5526.9299999999348</v>
      </c>
      <c r="H142" s="926">
        <f>G142+'25'!H142</f>
        <v>-28748.549999999988</v>
      </c>
      <c r="I142" s="945"/>
      <c r="J142" s="928">
        <f>H142/DAY(B2)</f>
        <v>-1105.7134615384612</v>
      </c>
      <c r="K142" s="1024"/>
      <c r="L142" s="903"/>
      <c r="O142" s="930"/>
    </row>
    <row r="143" spans="1:15">
      <c r="A143" s="1522" t="s">
        <v>263</v>
      </c>
      <c r="B143" s="1523"/>
      <c r="C143" s="1524"/>
      <c r="D143" s="923" t="s">
        <v>24</v>
      </c>
      <c r="E143" s="910"/>
      <c r="F143" s="910"/>
      <c r="G143" s="1077">
        <f>G142/G7</f>
        <v>0.29092167596588769</v>
      </c>
      <c r="H143" s="926">
        <f>G143+'25'!H143</f>
        <v>6.6420765264151944</v>
      </c>
      <c r="I143" s="1078"/>
      <c r="J143" s="928">
        <f>H143/DAY(B2)</f>
        <v>0.25546448178519976</v>
      </c>
      <c r="K143" s="1024"/>
      <c r="L143" s="903"/>
      <c r="O143" s="930"/>
    </row>
    <row r="144" spans="1:15">
      <c r="A144" s="1522" t="s">
        <v>264</v>
      </c>
      <c r="B144" s="1523"/>
      <c r="C144" s="1524"/>
      <c r="D144" s="923" t="s">
        <v>143</v>
      </c>
      <c r="E144" s="924"/>
      <c r="F144" s="924"/>
      <c r="G144" s="926">
        <f>G41+G42+G55+G56</f>
        <v>3760.380000000001</v>
      </c>
      <c r="H144" s="926">
        <f>G144+'25'!H144</f>
        <v>45557.209999999992</v>
      </c>
      <c r="I144" s="945"/>
      <c r="J144" s="928">
        <f>H144/DAY(B2)</f>
        <v>1752.2003846153843</v>
      </c>
      <c r="K144" s="1024"/>
      <c r="L144" s="903"/>
      <c r="O144" s="930"/>
    </row>
    <row r="145" spans="1:15" ht="20.100000000000001" customHeight="1">
      <c r="A145" s="1522" t="s">
        <v>265</v>
      </c>
      <c r="B145" s="1523"/>
      <c r="C145" s="1524"/>
      <c r="D145" s="923" t="s">
        <v>24</v>
      </c>
      <c r="E145" s="924"/>
      <c r="F145" s="924"/>
      <c r="G145" s="1077">
        <f>G144/G7</f>
        <v>0.19793557216549115</v>
      </c>
      <c r="H145" s="926">
        <f>G145+'25'!H145</f>
        <v>5.5149531567029282</v>
      </c>
      <c r="I145" s="1078"/>
      <c r="J145" s="928">
        <f>H145/DAY(B2)</f>
        <v>0.21211358295011262</v>
      </c>
      <c r="K145" s="1024"/>
      <c r="L145" s="903"/>
      <c r="O145" s="930"/>
    </row>
    <row r="146" spans="1:15" ht="20.100000000000001" customHeight="1">
      <c r="A146" s="1522" t="s">
        <v>266</v>
      </c>
      <c r="B146" s="1523"/>
      <c r="C146" s="1524"/>
      <c r="D146" s="923" t="s">
        <v>143</v>
      </c>
      <c r="E146" s="924"/>
      <c r="F146" s="924"/>
      <c r="G146" s="926">
        <f>G39+G53</f>
        <v>4151.8499999999767</v>
      </c>
      <c r="H146" s="926">
        <f>G146+'25'!H146</f>
        <v>891675.58</v>
      </c>
      <c r="I146" s="1079"/>
      <c r="J146" s="928">
        <f>H146/DAY(B2)</f>
        <v>34295.214615384612</v>
      </c>
      <c r="K146" s="1024"/>
      <c r="L146" s="903"/>
      <c r="O146" s="930"/>
    </row>
    <row r="147" spans="1:15" ht="20.100000000000001" customHeight="1">
      <c r="A147" s="1522" t="s">
        <v>267</v>
      </c>
      <c r="B147" s="1523"/>
      <c r="C147" s="1524"/>
      <c r="D147" s="923" t="s">
        <v>24</v>
      </c>
      <c r="E147" s="924"/>
      <c r="F147" s="924"/>
      <c r="G147" s="1077">
        <f>G146/G7</f>
        <v>0.21854142541320015</v>
      </c>
      <c r="H147" s="926">
        <f>G147+'25'!H147</f>
        <v>4.1007766409350115</v>
      </c>
      <c r="I147" s="1079"/>
      <c r="J147" s="928">
        <f>H147/DAY(B2)</f>
        <v>0.15772217849750045</v>
      </c>
      <c r="O147" s="930"/>
    </row>
    <row r="148" spans="1:15" ht="20.100000000000001" customHeight="1">
      <c r="A148" s="1522" t="s">
        <v>268</v>
      </c>
      <c r="B148" s="1523"/>
      <c r="C148" s="1524"/>
      <c r="D148" s="923" t="s">
        <v>194</v>
      </c>
      <c r="E148" s="924"/>
      <c r="F148" s="924"/>
      <c r="G148" s="926">
        <f>G38+G52</f>
        <v>1906.7399999999907</v>
      </c>
      <c r="H148" s="926">
        <f>G148+'25'!H148</f>
        <v>141156.08000000002</v>
      </c>
      <c r="I148" s="945"/>
      <c r="J148" s="928">
        <f>H148/DAY(B2)</f>
        <v>5429.0800000000008</v>
      </c>
      <c r="K148" s="1080"/>
      <c r="O148" s="930"/>
    </row>
    <row r="149" spans="1:15" ht="20.100000000000001" customHeight="1">
      <c r="A149" s="1522" t="s">
        <v>269</v>
      </c>
      <c r="B149" s="1523"/>
      <c r="C149" s="1524"/>
      <c r="D149" s="923" t="s">
        <v>24</v>
      </c>
      <c r="E149" s="924"/>
      <c r="F149" s="924"/>
      <c r="G149" s="1077">
        <f>G148/G7</f>
        <v>0.10036530161069537</v>
      </c>
      <c r="H149" s="926">
        <f>G149+'25'!H149</f>
        <v>2.4391759730429667</v>
      </c>
      <c r="I149" s="1079"/>
      <c r="J149" s="928">
        <f>H149/DAY(B2)</f>
        <v>9.3814460501652569E-2</v>
      </c>
      <c r="O149" s="930"/>
    </row>
    <row r="150" spans="1:15" ht="20.100000000000001" customHeight="1">
      <c r="A150" s="1522" t="s">
        <v>270</v>
      </c>
      <c r="B150" s="1523"/>
      <c r="C150" s="1524"/>
      <c r="D150" s="923" t="s">
        <v>194</v>
      </c>
      <c r="E150" s="924"/>
      <c r="F150" s="924"/>
      <c r="G150" s="926">
        <f>G36+G50</f>
        <v>1686.0400000000373</v>
      </c>
      <c r="H150" s="926">
        <f>G150+'25'!H150</f>
        <v>-8802.0499999999884</v>
      </c>
      <c r="I150" s="1079"/>
      <c r="J150" s="928">
        <f>H150/DAY(B2)</f>
        <v>-338.54038461538414</v>
      </c>
      <c r="O150" s="930"/>
    </row>
    <row r="151" spans="1:15" ht="20.100000000000001" customHeight="1">
      <c r="A151" s="1522" t="s">
        <v>271</v>
      </c>
      <c r="B151" s="1523"/>
      <c r="C151" s="1524"/>
      <c r="D151" s="923" t="s">
        <v>24</v>
      </c>
      <c r="E151" s="924"/>
      <c r="F151" s="924"/>
      <c r="G151" s="1077">
        <f>G150/G7</f>
        <v>8.874828929361181E-2</v>
      </c>
      <c r="H151" s="926">
        <f>G151+'25'!H151</f>
        <v>2.5137453598934352</v>
      </c>
      <c r="I151" s="945"/>
      <c r="J151" s="928">
        <f>H151/DAY(B2)</f>
        <v>9.6682513842055201E-2</v>
      </c>
      <c r="O151" s="930"/>
    </row>
    <row r="152" spans="1:15" ht="20.100000000000001" customHeight="1">
      <c r="A152" s="1522" t="s">
        <v>272</v>
      </c>
      <c r="B152" s="1523"/>
      <c r="C152" s="1524"/>
      <c r="D152" s="923" t="s">
        <v>194</v>
      </c>
      <c r="E152" s="924"/>
      <c r="F152" s="924"/>
      <c r="G152" s="926">
        <f>G37+G51</f>
        <v>1422.1199999999953</v>
      </c>
      <c r="H152" s="926">
        <f>G152+'25'!H152</f>
        <v>407556.25999999995</v>
      </c>
      <c r="I152" s="945"/>
      <c r="J152" s="928">
        <f>H152/DAY(B2)</f>
        <v>15675.240769230768</v>
      </c>
      <c r="O152" s="930"/>
    </row>
    <row r="153" spans="1:15" ht="20.100000000000001" customHeight="1" thickBot="1">
      <c r="A153" s="1525" t="s">
        <v>273</v>
      </c>
      <c r="B153" s="1526"/>
      <c r="C153" s="1527"/>
      <c r="D153" s="1081" t="s">
        <v>24</v>
      </c>
      <c r="E153" s="1082"/>
      <c r="F153" s="1082"/>
      <c r="G153" s="1083">
        <f>G152/G7</f>
        <v>7.485630066322746E-2</v>
      </c>
      <c r="H153" s="926">
        <f>G153+'25'!H153</f>
        <v>1.3031609421257686</v>
      </c>
      <c r="I153" s="1084"/>
      <c r="J153" s="1085">
        <f>H153/DAY(B2)</f>
        <v>5.0121574697144948E-2</v>
      </c>
      <c r="O153" s="930"/>
    </row>
    <row r="154" spans="1:15" ht="44.25" customHeight="1">
      <c r="A154" s="1086"/>
      <c r="B154" s="1086"/>
      <c r="C154" s="1086"/>
      <c r="D154" s="1086"/>
      <c r="E154" s="1086"/>
      <c r="F154" s="1086"/>
      <c r="G154" s="1086"/>
      <c r="H154" s="1087"/>
      <c r="I154" s="1086"/>
      <c r="J154" s="1088"/>
      <c r="O154" s="930"/>
    </row>
    <row r="155" spans="1:15" ht="21.75" customHeight="1"/>
    <row r="156" spans="1:15" ht="21.75" customHeight="1"/>
    <row r="157" spans="1:15" ht="21.75" customHeight="1"/>
    <row r="158" spans="1:15" ht="21.75" customHeight="1"/>
    <row r="159" spans="1:15" ht="21.75" customHeight="1"/>
    <row r="160" spans="1:15" ht="21.75" customHeight="1">
      <c r="A160" s="1076" t="s">
        <v>274</v>
      </c>
      <c r="B160" s="1076"/>
      <c r="C160" s="1076"/>
      <c r="D160" s="910" t="s">
        <v>198</v>
      </c>
      <c r="E160" s="924">
        <f>'25'!F160</f>
        <v>27943.41</v>
      </c>
      <c r="F160" s="1101">
        <v>28023.95</v>
      </c>
      <c r="G160" s="925">
        <f t="shared" ref="G160:G163" si="16">F160-E160</f>
        <v>80.540000000000873</v>
      </c>
    </row>
    <row r="161" spans="1:7" ht="21.75" customHeight="1">
      <c r="A161" s="1076" t="s">
        <v>275</v>
      </c>
      <c r="B161" s="1076"/>
      <c r="C161" s="1076"/>
      <c r="D161" s="910" t="s">
        <v>198</v>
      </c>
      <c r="E161" s="924">
        <f>'25'!F161</f>
        <v>39928</v>
      </c>
      <c r="F161" s="1101">
        <v>40378</v>
      </c>
      <c r="G161" s="925">
        <f t="shared" si="16"/>
        <v>450</v>
      </c>
    </row>
    <row r="162" spans="1:7" ht="21.75" customHeight="1">
      <c r="A162" s="1076" t="s">
        <v>276</v>
      </c>
      <c r="B162" s="1076"/>
      <c r="C162" s="1076"/>
      <c r="D162" s="910" t="s">
        <v>198</v>
      </c>
      <c r="E162" s="924">
        <f>'25'!F162</f>
        <v>11421.65</v>
      </c>
      <c r="F162" s="1101">
        <v>11645</v>
      </c>
      <c r="G162" s="925">
        <f t="shared" si="16"/>
        <v>223.35000000000036</v>
      </c>
    </row>
    <row r="163" spans="1:7" ht="21.75" customHeight="1">
      <c r="A163" s="1076" t="s">
        <v>277</v>
      </c>
      <c r="B163" s="1076"/>
      <c r="C163" s="1076"/>
      <c r="D163" s="910" t="s">
        <v>198</v>
      </c>
      <c r="E163" s="924">
        <f>'25'!F163</f>
        <v>4876.8500000000004</v>
      </c>
      <c r="F163" s="1101">
        <v>4903.9799999999996</v>
      </c>
      <c r="G163" s="925">
        <f t="shared" si="16"/>
        <v>27.1299999999992</v>
      </c>
    </row>
    <row r="164" spans="1:7" ht="21.75" customHeight="1">
      <c r="A164" s="1006" t="s">
        <v>106</v>
      </c>
      <c r="B164" s="1006"/>
      <c r="C164" s="1006"/>
      <c r="D164" s="910" t="s">
        <v>198</v>
      </c>
      <c r="E164" s="1007">
        <f>E62</f>
        <v>20419.18</v>
      </c>
      <c r="F164" s="1007">
        <f>F62</f>
        <v>20419.18</v>
      </c>
      <c r="G164" s="925">
        <f t="shared" ref="G164:G171" si="17">F164-E164</f>
        <v>0</v>
      </c>
    </row>
    <row r="165" spans="1:7" ht="21.75" customHeight="1">
      <c r="A165" s="1006" t="s">
        <v>199</v>
      </c>
      <c r="B165" s="1006"/>
      <c r="C165" s="1006"/>
      <c r="D165" s="910" t="s">
        <v>198</v>
      </c>
      <c r="E165" s="1007">
        <f t="shared" ref="E165:E171" si="18">E63</f>
        <v>1264.31</v>
      </c>
      <c r="F165" s="1007">
        <f t="shared" ref="F165:F171" si="19">F63</f>
        <v>1273.71</v>
      </c>
      <c r="G165" s="925">
        <f t="shared" si="17"/>
        <v>9.4000000000000909</v>
      </c>
    </row>
    <row r="166" spans="1:7" ht="21.75" customHeight="1">
      <c r="A166" s="1509" t="s">
        <v>107</v>
      </c>
      <c r="B166" s="1509"/>
      <c r="C166" s="1509"/>
      <c r="D166" s="923" t="s">
        <v>198</v>
      </c>
      <c r="E166" s="1007">
        <f t="shared" si="18"/>
        <v>108728</v>
      </c>
      <c r="F166" s="1007">
        <f t="shared" si="19"/>
        <v>109117</v>
      </c>
      <c r="G166" s="925">
        <f t="shared" si="17"/>
        <v>389</v>
      </c>
    </row>
    <row r="167" spans="1:7" ht="21.75" customHeight="1">
      <c r="A167" s="1509" t="s">
        <v>108</v>
      </c>
      <c r="B167" s="1509"/>
      <c r="C167" s="1509"/>
      <c r="D167" s="923" t="s">
        <v>198</v>
      </c>
      <c r="E167" s="1007">
        <f t="shared" si="18"/>
        <v>119368</v>
      </c>
      <c r="F167" s="1007">
        <f t="shared" si="19"/>
        <v>119779.76</v>
      </c>
      <c r="G167" s="925">
        <f t="shared" si="17"/>
        <v>411.75999999999476</v>
      </c>
    </row>
    <row r="168" spans="1:7" ht="21.75" customHeight="1">
      <c r="A168" s="1509" t="s">
        <v>109</v>
      </c>
      <c r="B168" s="1509"/>
      <c r="C168" s="1509"/>
      <c r="D168" s="923" t="s">
        <v>198</v>
      </c>
      <c r="E168" s="1007">
        <f t="shared" si="18"/>
        <v>11656.69</v>
      </c>
      <c r="F168" s="1007">
        <f t="shared" si="19"/>
        <v>12070.5</v>
      </c>
      <c r="G168" s="925">
        <f t="shared" si="17"/>
        <v>413.80999999999949</v>
      </c>
    </row>
    <row r="169" spans="1:7" ht="21.75" customHeight="1">
      <c r="A169" s="1509" t="s">
        <v>110</v>
      </c>
      <c r="B169" s="1509"/>
      <c r="C169" s="1509"/>
      <c r="D169" s="923" t="s">
        <v>198</v>
      </c>
      <c r="E169" s="1007">
        <f t="shared" si="18"/>
        <v>184645</v>
      </c>
      <c r="F169" s="1007">
        <f t="shared" si="19"/>
        <v>185312.69</v>
      </c>
      <c r="G169" s="925">
        <f t="shared" si="17"/>
        <v>667.69000000000233</v>
      </c>
    </row>
    <row r="170" spans="1:7" ht="24" customHeight="1">
      <c r="A170" s="1509" t="s">
        <v>111</v>
      </c>
      <c r="B170" s="1509"/>
      <c r="C170" s="1509"/>
      <c r="D170" s="923" t="s">
        <v>198</v>
      </c>
      <c r="E170" s="1007">
        <f t="shared" si="18"/>
        <v>61404.85</v>
      </c>
      <c r="F170" s="1007">
        <f t="shared" si="19"/>
        <v>61723.94</v>
      </c>
      <c r="G170" s="925">
        <f t="shared" si="17"/>
        <v>319.09000000000378</v>
      </c>
    </row>
    <row r="171" spans="1:7">
      <c r="A171" s="1509" t="s">
        <v>112</v>
      </c>
      <c r="B171" s="1509"/>
      <c r="C171" s="1509"/>
      <c r="D171" s="923" t="s">
        <v>198</v>
      </c>
      <c r="E171" s="1007">
        <f t="shared" si="18"/>
        <v>53853</v>
      </c>
      <c r="F171" s="1007">
        <f t="shared" si="19"/>
        <v>54165</v>
      </c>
      <c r="G171" s="925">
        <f t="shared" si="17"/>
        <v>312</v>
      </c>
    </row>
    <row r="172" spans="1:7">
      <c r="G172" s="1091">
        <f>SUM(G160:G171)</f>
        <v>3303.7700000000009</v>
      </c>
    </row>
    <row r="176" spans="1:7" ht="18.7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4:C94"/>
    <mergeCell ref="A95:C95"/>
    <mergeCell ref="A82:C82"/>
    <mergeCell ref="A83:C83"/>
    <mergeCell ref="A92:C92"/>
    <mergeCell ref="A93:C93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33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O172"/>
  <sheetViews>
    <sheetView view="pageBreakPreview" topLeftCell="A88" zoomScale="55" zoomScaleSheetLayoutView="55" workbookViewId="0">
      <selection activeCell="F28" sqref="F28"/>
    </sheetView>
  </sheetViews>
  <sheetFormatPr defaultColWidth="22.33203125" defaultRowHeight="29.25"/>
  <cols>
    <col min="1" max="1" width="51.21875" style="530" customWidth="1"/>
    <col min="2" max="2" width="24.886718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2" width="0" style="407" hidden="1" customWidth="1"/>
    <col min="13" max="13" width="4.44140625" style="407" customWidth="1"/>
    <col min="14" max="14" width="25.5546875" style="407" customWidth="1"/>
    <col min="15" max="16384" width="22.33203125" style="407"/>
  </cols>
  <sheetData>
    <row r="1" spans="1:14" ht="33.75">
      <c r="A1" s="1414" t="s">
        <v>128</v>
      </c>
      <c r="B1" s="1415"/>
      <c r="C1" s="1415"/>
      <c r="D1" s="1415"/>
      <c r="E1" s="1415"/>
      <c r="F1" s="1415"/>
      <c r="G1" s="1415"/>
      <c r="H1" s="1415"/>
      <c r="I1" s="1415"/>
      <c r="J1" s="1416"/>
    </row>
    <row r="2" spans="1:14" s="281" customFormat="1" ht="27">
      <c r="A2" s="652" t="s">
        <v>326</v>
      </c>
      <c r="B2" s="1165">
        <v>43857</v>
      </c>
      <c r="C2" s="1233" t="s">
        <v>69</v>
      </c>
      <c r="D2" s="688">
        <v>0.49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4" s="281" customFormat="1" ht="27">
      <c r="A3" s="647"/>
      <c r="B3" s="691"/>
      <c r="C3" s="1233" t="s">
        <v>131</v>
      </c>
      <c r="D3" s="689">
        <v>22</v>
      </c>
      <c r="E3" s="1423" t="s">
        <v>132</v>
      </c>
      <c r="F3" s="1424"/>
      <c r="G3" s="538"/>
      <c r="H3" s="539"/>
      <c r="I3" s="539"/>
      <c r="J3" s="692"/>
      <c r="K3" s="402"/>
      <c r="L3" s="293"/>
    </row>
    <row r="4" spans="1:14" s="281" customFormat="1" ht="27">
      <c r="A4" s="653"/>
      <c r="B4" s="693"/>
      <c r="C4" s="1233" t="s">
        <v>133</v>
      </c>
      <c r="D4" s="688">
        <v>0.76</v>
      </c>
      <c r="E4" s="540"/>
      <c r="F4" s="540"/>
      <c r="G4" s="540"/>
      <c r="H4" s="540"/>
      <c r="I4" s="541"/>
      <c r="J4" s="692"/>
      <c r="K4" s="403"/>
      <c r="L4" s="293"/>
    </row>
    <row r="5" spans="1:14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4">
      <c r="A6" s="1417" t="s">
        <v>141</v>
      </c>
      <c r="B6" s="1418"/>
      <c r="C6" s="1419"/>
      <c r="D6" s="547"/>
      <c r="E6" s="547"/>
      <c r="F6" s="547"/>
      <c r="G6" s="547"/>
      <c r="H6" s="548"/>
      <c r="I6" s="548"/>
      <c r="J6" s="628"/>
      <c r="K6" s="466"/>
      <c r="L6" s="408"/>
    </row>
    <row r="7" spans="1:14" ht="30" thickBot="1">
      <c r="A7" s="757" t="s">
        <v>142</v>
      </c>
      <c r="B7" s="758"/>
      <c r="C7" s="758"/>
      <c r="D7" s="715" t="s">
        <v>143</v>
      </c>
      <c r="E7" s="710">
        <f>'26'!F7</f>
        <v>3793979</v>
      </c>
      <c r="F7" s="531">
        <v>3812715</v>
      </c>
      <c r="G7" s="759">
        <f>F7-E7</f>
        <v>18736</v>
      </c>
      <c r="H7" s="760">
        <f>G7+'26'!H7</f>
        <v>-75483</v>
      </c>
      <c r="I7" s="761">
        <f>'1'!I7</f>
        <v>12000</v>
      </c>
      <c r="J7" s="762">
        <f>H7/DAY(B2)</f>
        <v>-2795.6666666666665</v>
      </c>
      <c r="K7" s="626"/>
      <c r="L7" s="408">
        <v>1375467</v>
      </c>
      <c r="M7" s="407">
        <v>1691553</v>
      </c>
      <c r="N7" s="413">
        <f>M7-L7</f>
        <v>316086</v>
      </c>
    </row>
    <row r="8" spans="1:14" ht="27.75" thickBot="1">
      <c r="A8" s="763" t="s">
        <v>144</v>
      </c>
      <c r="B8" s="764"/>
      <c r="C8" s="765"/>
      <c r="D8" s="766" t="s">
        <v>25</v>
      </c>
      <c r="E8" s="710">
        <f>'26'!F8</f>
        <v>3817703</v>
      </c>
      <c r="F8" s="551">
        <v>3836612</v>
      </c>
      <c r="G8" s="770">
        <f>F8-E8</f>
        <v>18909</v>
      </c>
      <c r="H8" s="760">
        <f>G8+'26'!H8</f>
        <v>-76239</v>
      </c>
      <c r="I8" s="767">
        <f>'1'!I8</f>
        <v>12000</v>
      </c>
      <c r="J8" s="762">
        <f>H8/DAY(B2)</f>
        <v>-2823.6666666666665</v>
      </c>
      <c r="K8" s="626"/>
      <c r="L8" s="464"/>
      <c r="M8" s="479"/>
      <c r="N8" s="784"/>
    </row>
    <row r="9" spans="1:14">
      <c r="A9" s="768" t="s">
        <v>145</v>
      </c>
      <c r="B9" s="769"/>
      <c r="C9" s="769"/>
      <c r="D9" s="715" t="s">
        <v>143</v>
      </c>
      <c r="E9" s="712">
        <f>'26'!F9</f>
        <v>2503740</v>
      </c>
      <c r="F9" s="554">
        <v>2510077</v>
      </c>
      <c r="G9" s="783">
        <f t="shared" ref="G9:G12" si="0">F9-E9</f>
        <v>6337</v>
      </c>
      <c r="H9" s="760">
        <f>G9+'26'!H9</f>
        <v>2547189.25</v>
      </c>
      <c r="I9" s="771">
        <f>I8-J8</f>
        <v>14823.666666666666</v>
      </c>
      <c r="J9" s="762">
        <f>H9/DAY(B2)</f>
        <v>94340.342592592599</v>
      </c>
      <c r="K9" s="467"/>
      <c r="L9" s="408"/>
      <c r="N9" s="413"/>
    </row>
    <row r="10" spans="1:14">
      <c r="A10" s="757" t="s">
        <v>146</v>
      </c>
      <c r="B10" s="758"/>
      <c r="C10" s="758"/>
      <c r="D10" s="715" t="s">
        <v>143</v>
      </c>
      <c r="E10" s="712">
        <f>'26'!F10</f>
        <v>1141280</v>
      </c>
      <c r="F10" s="554">
        <v>1153011</v>
      </c>
      <c r="G10" s="770">
        <f t="shared" si="0"/>
        <v>11731</v>
      </c>
      <c r="H10" s="760">
        <f>G10+'26'!H10</f>
        <v>-47863.399999999907</v>
      </c>
      <c r="I10" s="772"/>
      <c r="J10" s="762">
        <f>H10/DAY(B2)</f>
        <v>-1772.7185185185151</v>
      </c>
      <c r="K10" s="467"/>
      <c r="L10" s="408"/>
      <c r="N10" s="413"/>
    </row>
    <row r="11" spans="1:14">
      <c r="A11" s="757" t="s">
        <v>147</v>
      </c>
      <c r="B11" s="758"/>
      <c r="C11" s="758"/>
      <c r="D11" s="715" t="s">
        <v>143</v>
      </c>
      <c r="E11" s="710">
        <f>'26'!F11</f>
        <v>35390</v>
      </c>
      <c r="F11" s="531">
        <v>35390</v>
      </c>
      <c r="G11" s="770">
        <f t="shared" si="0"/>
        <v>0</v>
      </c>
      <c r="H11" s="760">
        <f>G11+'26'!H11</f>
        <v>0</v>
      </c>
      <c r="I11" s="772"/>
      <c r="J11" s="762">
        <f>H11/DAY(B2)</f>
        <v>0</v>
      </c>
      <c r="K11" s="467"/>
      <c r="L11" s="408"/>
      <c r="N11" s="413"/>
    </row>
    <row r="12" spans="1:14">
      <c r="A12" s="757" t="s">
        <v>148</v>
      </c>
      <c r="B12" s="758"/>
      <c r="C12" s="758"/>
      <c r="D12" s="715" t="s">
        <v>143</v>
      </c>
      <c r="E12" s="712">
        <f>'26'!F12</f>
        <v>37630</v>
      </c>
      <c r="F12" s="554">
        <v>37630</v>
      </c>
      <c r="G12" s="770">
        <f t="shared" si="0"/>
        <v>0</v>
      </c>
      <c r="H12" s="760">
        <f>G12+'26'!H12</f>
        <v>0</v>
      </c>
      <c r="I12" s="772"/>
      <c r="J12" s="762">
        <f>H12/DAY(B2)</f>
        <v>0</v>
      </c>
      <c r="K12" s="467"/>
      <c r="L12" s="408"/>
      <c r="N12" s="413"/>
    </row>
    <row r="13" spans="1:14">
      <c r="A13" s="773" t="s">
        <v>149</v>
      </c>
      <c r="B13" s="774"/>
      <c r="C13" s="774"/>
      <c r="D13" s="715"/>
      <c r="E13" s="710"/>
      <c r="F13" s="531"/>
      <c r="G13" s="775">
        <f>G9+G10+G11+G12</f>
        <v>18068</v>
      </c>
      <c r="H13" s="760">
        <f>G13+'26'!H13</f>
        <v>2481019.8500000006</v>
      </c>
      <c r="I13" s="776">
        <f>G7-G13</f>
        <v>668</v>
      </c>
      <c r="J13" s="762">
        <f>H13/DAY(B2)</f>
        <v>91889.62407407409</v>
      </c>
      <c r="K13" s="467"/>
      <c r="L13" s="408"/>
      <c r="N13" s="413"/>
    </row>
    <row r="14" spans="1:14">
      <c r="A14" s="1420" t="s">
        <v>150</v>
      </c>
      <c r="B14" s="1421"/>
      <c r="C14" s="1422"/>
      <c r="D14" s="548"/>
      <c r="E14" s="548"/>
      <c r="F14" s="548"/>
      <c r="G14" s="559"/>
      <c r="H14" s="548"/>
      <c r="I14" s="548"/>
      <c r="J14" s="628"/>
      <c r="K14" s="468"/>
      <c r="L14" s="408"/>
      <c r="N14" s="413"/>
    </row>
    <row r="15" spans="1:14">
      <c r="A15" s="746" t="s">
        <v>151</v>
      </c>
      <c r="B15" s="747"/>
      <c r="C15" s="747"/>
      <c r="D15" s="748" t="s">
        <v>152</v>
      </c>
      <c r="E15" s="749">
        <f>'26'!F15</f>
        <v>1590796</v>
      </c>
      <c r="F15" s="781">
        <v>1591639.94</v>
      </c>
      <c r="G15" s="745">
        <f>(F15-E15)</f>
        <v>843.93999999994412</v>
      </c>
      <c r="H15" s="751">
        <f>G15+'26'!H15</f>
        <v>-2797.2099999999627</v>
      </c>
      <c r="I15" s="752">
        <v>800</v>
      </c>
      <c r="J15" s="753">
        <f>H15/DAY(B2)</f>
        <v>-103.60037037036899</v>
      </c>
      <c r="K15" s="467"/>
      <c r="L15" s="408"/>
      <c r="N15" s="413"/>
    </row>
    <row r="16" spans="1:14">
      <c r="A16" s="754"/>
      <c r="B16" s="755"/>
      <c r="C16" s="755"/>
      <c r="D16" s="748"/>
      <c r="E16" s="749"/>
      <c r="F16" s="781"/>
      <c r="G16" s="750"/>
      <c r="H16" s="751"/>
      <c r="I16" s="756">
        <f>I15-J15</f>
        <v>903.60037037036898</v>
      </c>
      <c r="J16" s="753"/>
      <c r="K16" s="467"/>
      <c r="L16" s="408"/>
      <c r="N16" s="413"/>
    </row>
    <row r="17" spans="1:14">
      <c r="A17" s="1420" t="s">
        <v>153</v>
      </c>
      <c r="B17" s="1421"/>
      <c r="C17" s="1422"/>
      <c r="D17" s="548"/>
      <c r="E17" s="548"/>
      <c r="F17" s="548"/>
      <c r="G17" s="564"/>
      <c r="H17" s="548"/>
      <c r="I17" s="548"/>
      <c r="J17" s="628"/>
      <c r="K17" s="467"/>
      <c r="L17" s="408"/>
      <c r="N17" s="413"/>
    </row>
    <row r="18" spans="1:14" ht="27.75">
      <c r="A18" s="1446" t="s">
        <v>154</v>
      </c>
      <c r="B18" s="1447"/>
      <c r="C18" s="1448"/>
      <c r="D18" s="715" t="s">
        <v>155</v>
      </c>
      <c r="E18" s="712">
        <f>'26'!F18</f>
        <v>14</v>
      </c>
      <c r="F18" s="554">
        <v>12</v>
      </c>
      <c r="G18" s="775">
        <f>F18*10</f>
        <v>120</v>
      </c>
      <c r="H18" s="760">
        <f>G18+'26'!H18</f>
        <v>4200</v>
      </c>
      <c r="I18" s="761">
        <f>'1'!I18</f>
        <v>65</v>
      </c>
      <c r="J18" s="762">
        <f>H18/DAY(B2)</f>
        <v>155.55555555555554</v>
      </c>
      <c r="K18" s="467"/>
      <c r="L18" s="408"/>
      <c r="N18" s="413"/>
    </row>
    <row r="19" spans="1:14" ht="27.75">
      <c r="A19" s="1446" t="s">
        <v>71</v>
      </c>
      <c r="B19" s="1447"/>
      <c r="C19" s="1448"/>
      <c r="D19" s="715" t="s">
        <v>155</v>
      </c>
      <c r="E19" s="712">
        <f>'26'!F19</f>
        <v>132785</v>
      </c>
      <c r="F19" s="554">
        <v>132839</v>
      </c>
      <c r="G19" s="770">
        <f t="shared" ref="G19" si="1">F19-E19</f>
        <v>54</v>
      </c>
      <c r="H19" s="760">
        <f>G19+'26'!H19</f>
        <v>-209</v>
      </c>
      <c r="I19" s="777"/>
      <c r="J19" s="762">
        <f>H19/DAY(B2)</f>
        <v>-7.7407407407407405</v>
      </c>
      <c r="K19" s="467"/>
      <c r="L19" s="408"/>
      <c r="N19" s="413"/>
    </row>
    <row r="20" spans="1:14">
      <c r="A20" s="773" t="s">
        <v>156</v>
      </c>
      <c r="B20" s="774"/>
      <c r="C20" s="774"/>
      <c r="D20" s="715"/>
      <c r="E20" s="715"/>
      <c r="F20" s="599"/>
      <c r="G20" s="778">
        <f>G18+G19</f>
        <v>174</v>
      </c>
      <c r="H20" s="760">
        <f>G20+'26'!H20</f>
        <v>3991</v>
      </c>
      <c r="I20" s="779">
        <f>I18-J20</f>
        <v>-82.81481481481481</v>
      </c>
      <c r="J20" s="762">
        <f>H20/DAY(B2)</f>
        <v>147.81481481481481</v>
      </c>
      <c r="K20" s="467"/>
      <c r="L20" s="408"/>
      <c r="N20" s="413"/>
    </row>
    <row r="21" spans="1:14">
      <c r="A21" s="1420" t="s">
        <v>157</v>
      </c>
      <c r="B21" s="1421"/>
      <c r="C21" s="1422"/>
      <c r="D21" s="548"/>
      <c r="E21" s="548"/>
      <c r="F21" s="548"/>
      <c r="G21" s="559"/>
      <c r="H21" s="548"/>
      <c r="I21" s="548"/>
      <c r="J21" s="628"/>
      <c r="K21" s="467"/>
      <c r="L21" s="408"/>
      <c r="N21" s="413"/>
    </row>
    <row r="22" spans="1:14">
      <c r="A22" s="1231" t="s">
        <v>158</v>
      </c>
      <c r="B22" s="666"/>
      <c r="C22" s="666"/>
      <c r="D22" s="599" t="s">
        <v>159</v>
      </c>
      <c r="E22" s="560">
        <f>'26'!F22</f>
        <v>2970</v>
      </c>
      <c r="F22" s="554">
        <v>2970</v>
      </c>
      <c r="G22" s="557">
        <f t="shared" ref="G22" si="2">(F22-E22)</f>
        <v>0</v>
      </c>
      <c r="H22" s="536">
        <f>G22+'26'!H22</f>
        <v>0</v>
      </c>
      <c r="I22" s="556"/>
      <c r="J22" s="629">
        <f>H22/DAY(B2)</f>
        <v>0</v>
      </c>
      <c r="K22" s="467"/>
      <c r="L22" s="408"/>
      <c r="N22" s="413"/>
    </row>
    <row r="23" spans="1:14">
      <c r="A23" s="1231" t="s">
        <v>160</v>
      </c>
      <c r="B23" s="666"/>
      <c r="C23" s="666"/>
      <c r="D23" s="599" t="s">
        <v>159</v>
      </c>
      <c r="E23" s="560">
        <f>'26'!F23</f>
        <v>2000</v>
      </c>
      <c r="F23" s="554">
        <v>1900</v>
      </c>
      <c r="G23" s="557">
        <v>0</v>
      </c>
      <c r="H23" s="536">
        <f>G23+'26'!H23</f>
        <v>0</v>
      </c>
      <c r="I23" s="556"/>
      <c r="J23" s="629">
        <f>H23/DAY(B2)</f>
        <v>0</v>
      </c>
      <c r="K23" s="467"/>
      <c r="L23" s="408"/>
      <c r="N23" s="413"/>
    </row>
    <row r="24" spans="1:14">
      <c r="A24" s="667" t="s">
        <v>161</v>
      </c>
      <c r="B24" s="668"/>
      <c r="C24" s="668"/>
      <c r="D24" s="587" t="s">
        <v>159</v>
      </c>
      <c r="E24" s="569">
        <f>'26'!F24</f>
        <v>4970</v>
      </c>
      <c r="F24" s="561">
        <v>4970</v>
      </c>
      <c r="G24" s="557">
        <v>0</v>
      </c>
      <c r="H24" s="536">
        <f>G24+'26'!H24</f>
        <v>0</v>
      </c>
      <c r="I24" s="556"/>
      <c r="J24" s="629">
        <f>H24/DAY(B2)</f>
        <v>0</v>
      </c>
      <c r="K24" s="467"/>
      <c r="L24" s="408"/>
      <c r="N24" s="413"/>
    </row>
    <row r="25" spans="1:14" s="481" customFormat="1" ht="27">
      <c r="A25" s="1425" t="s">
        <v>162</v>
      </c>
      <c r="B25" s="1426"/>
      <c r="C25" s="1427"/>
      <c r="D25" s="547"/>
      <c r="E25" s="547"/>
      <c r="F25" s="547"/>
      <c r="G25" s="570"/>
      <c r="H25" s="571"/>
      <c r="I25" s="572"/>
      <c r="J25" s="631"/>
      <c r="K25" s="404"/>
      <c r="L25" s="484"/>
      <c r="N25" s="413"/>
    </row>
    <row r="26" spans="1:14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413"/>
    </row>
    <row r="27" spans="1:14" s="481" customFormat="1" ht="27.75">
      <c r="A27" s="669" t="s">
        <v>6</v>
      </c>
      <c r="B27" s="670"/>
      <c r="C27" s="671"/>
      <c r="D27" s="696" t="s">
        <v>25</v>
      </c>
      <c r="E27" s="780">
        <f>G8</f>
        <v>18909</v>
      </c>
      <c r="F27" s="577">
        <v>9</v>
      </c>
      <c r="G27" s="578">
        <f>E27*F27</f>
        <v>170181</v>
      </c>
      <c r="H27" s="536">
        <f>G27+'26'!H27</f>
        <v>-686151</v>
      </c>
      <c r="I27" s="579"/>
      <c r="J27" s="629">
        <f>H27/DAY(B2)</f>
        <v>-25413</v>
      </c>
      <c r="K27" s="404"/>
      <c r="L27" s="484"/>
      <c r="N27" s="413"/>
    </row>
    <row r="28" spans="1:14" s="481" customFormat="1" ht="27.75">
      <c r="A28" s="669" t="s">
        <v>165</v>
      </c>
      <c r="B28" s="670"/>
      <c r="C28" s="671"/>
      <c r="D28" s="696" t="s">
        <v>166</v>
      </c>
      <c r="E28" s="780">
        <f>G15</f>
        <v>843.93999999994412</v>
      </c>
      <c r="F28" s="577">
        <v>43.5</v>
      </c>
      <c r="G28" s="578">
        <f>E28*F28</f>
        <v>36711.389999997569</v>
      </c>
      <c r="H28" s="536">
        <f>G28+'26'!H28</f>
        <v>-121678.63499999838</v>
      </c>
      <c r="I28" s="581"/>
      <c r="J28" s="629">
        <f>H28/DAY(B2)</f>
        <v>-4506.6161111110514</v>
      </c>
      <c r="K28" s="404"/>
      <c r="L28" s="484"/>
      <c r="N28" s="413"/>
    </row>
    <row r="29" spans="1:14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G29+'26'!H29</f>
        <v>162150</v>
      </c>
      <c r="I29" s="581"/>
      <c r="J29" s="629">
        <f>H29/DAY(B2)</f>
        <v>6005.5555555555557</v>
      </c>
      <c r="K29" s="404"/>
      <c r="L29" s="484"/>
      <c r="N29" s="413"/>
    </row>
    <row r="30" spans="1:14" s="481" customFormat="1" ht="27.75">
      <c r="A30" s="669" t="s">
        <v>169</v>
      </c>
      <c r="B30" s="670"/>
      <c r="C30" s="671"/>
      <c r="D30" s="696" t="s">
        <v>170</v>
      </c>
      <c r="E30" s="780">
        <f>G19</f>
        <v>54</v>
      </c>
      <c r="F30" s="577">
        <v>134</v>
      </c>
      <c r="G30" s="578">
        <f>E30*F30</f>
        <v>7236</v>
      </c>
      <c r="H30" s="536">
        <f>G30+'26'!H30</f>
        <v>-28006</v>
      </c>
      <c r="I30" s="581"/>
      <c r="J30" s="629">
        <f>H30/DAY(B2)</f>
        <v>-1037.2592592592594</v>
      </c>
      <c r="K30" s="404"/>
      <c r="L30" s="484"/>
      <c r="N30" s="413"/>
    </row>
    <row r="31" spans="1:14" s="481" customFormat="1" ht="27.75">
      <c r="A31" s="669" t="s">
        <v>171</v>
      </c>
      <c r="B31" s="670"/>
      <c r="C31" s="671"/>
      <c r="D31" s="696" t="s">
        <v>155</v>
      </c>
      <c r="E31" s="780">
        <f>G18</f>
        <v>120</v>
      </c>
      <c r="F31" s="577">
        <v>80</v>
      </c>
      <c r="G31" s="578">
        <f>E31*F31</f>
        <v>9600</v>
      </c>
      <c r="H31" s="536">
        <f>G31+'26'!H31</f>
        <v>336000</v>
      </c>
      <c r="I31" s="581"/>
      <c r="J31" s="629"/>
      <c r="K31" s="404"/>
      <c r="L31" s="484"/>
      <c r="N31" s="413"/>
    </row>
    <row r="32" spans="1:14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223728.38999999757</v>
      </c>
      <c r="H32" s="536">
        <f>G32+'26'!H32</f>
        <v>-337685.63499999815</v>
      </c>
      <c r="I32" s="585"/>
      <c r="J32" s="629">
        <f>H32/DAY(B2)</f>
        <v>-12506.875370370302</v>
      </c>
      <c r="K32" s="404"/>
      <c r="L32" s="484"/>
      <c r="N32" s="413"/>
    </row>
    <row r="33" spans="1:14" ht="25.5">
      <c r="A33" s="1428" t="s">
        <v>173</v>
      </c>
      <c r="B33" s="1429"/>
      <c r="C33" s="1429"/>
      <c r="D33" s="1429"/>
      <c r="E33" s="1429"/>
      <c r="F33" s="1429"/>
      <c r="G33" s="1429"/>
      <c r="H33" s="1429"/>
      <c r="I33" s="1429"/>
      <c r="J33" s="1430"/>
      <c r="K33" s="467"/>
      <c r="L33" s="408"/>
      <c r="N33" s="413"/>
    </row>
    <row r="34" spans="1:14">
      <c r="A34" s="675" t="s">
        <v>174</v>
      </c>
      <c r="B34" s="1236"/>
      <c r="C34" s="1236"/>
      <c r="D34" s="548"/>
      <c r="E34" s="547"/>
      <c r="F34" s="547"/>
      <c r="G34" s="548"/>
      <c r="H34" s="548"/>
      <c r="I34" s="548"/>
      <c r="J34" s="628"/>
      <c r="K34" s="467"/>
      <c r="L34" s="408"/>
      <c r="N34" s="413"/>
    </row>
    <row r="35" spans="1:14">
      <c r="A35" s="655" t="s">
        <v>175</v>
      </c>
      <c r="B35" s="656"/>
      <c r="C35" s="656"/>
      <c r="D35" s="599" t="s">
        <v>143</v>
      </c>
      <c r="E35" s="586">
        <f>'26'!F35</f>
        <v>629027.67000000004</v>
      </c>
      <c r="F35" s="586">
        <v>629027.67000000004</v>
      </c>
      <c r="G35" s="549">
        <f t="shared" ref="G35:G46" si="3">F35-E35</f>
        <v>0</v>
      </c>
      <c r="H35" s="536">
        <f>G35+'26'!H35</f>
        <v>0</v>
      </c>
      <c r="I35" s="531"/>
      <c r="J35" s="629">
        <f>H35/DAY(B2)</f>
        <v>0</v>
      </c>
      <c r="K35" s="467"/>
      <c r="L35" s="408"/>
      <c r="N35" s="413"/>
    </row>
    <row r="36" spans="1:14">
      <c r="A36" s="655" t="s">
        <v>176</v>
      </c>
      <c r="B36" s="656"/>
      <c r="C36" s="656"/>
      <c r="D36" s="599" t="s">
        <v>143</v>
      </c>
      <c r="E36" s="586">
        <f>'26'!F36</f>
        <v>273424</v>
      </c>
      <c r="F36" s="586">
        <v>274050.73</v>
      </c>
      <c r="G36" s="549">
        <f t="shared" si="3"/>
        <v>626.72999999998137</v>
      </c>
      <c r="H36" s="536">
        <f>G36+'26'!H36</f>
        <v>-2440.7200000000303</v>
      </c>
      <c r="I36" s="531"/>
      <c r="J36" s="629">
        <f>H36/DAY(B2)</f>
        <v>-90.39703703703816</v>
      </c>
      <c r="K36" s="467"/>
      <c r="L36" s="408"/>
      <c r="N36" s="705"/>
    </row>
    <row r="37" spans="1:14">
      <c r="A37" s="655" t="s">
        <v>177</v>
      </c>
      <c r="B37" s="656"/>
      <c r="C37" s="656"/>
      <c r="D37" s="599" t="s">
        <v>143</v>
      </c>
      <c r="E37" s="586">
        <f>'26'!F37</f>
        <v>415066</v>
      </c>
      <c r="F37" s="586">
        <v>415066</v>
      </c>
      <c r="G37" s="549">
        <f t="shared" si="3"/>
        <v>0</v>
      </c>
      <c r="H37" s="536">
        <f>G37+'26'!H37</f>
        <v>415066</v>
      </c>
      <c r="I37" s="531"/>
      <c r="J37" s="629">
        <f>H37/DAY(B2)</f>
        <v>15372.814814814816</v>
      </c>
      <c r="K37" s="467"/>
      <c r="L37" s="408"/>
      <c r="N37" s="706"/>
    </row>
    <row r="38" spans="1:14">
      <c r="A38" s="655" t="s">
        <v>178</v>
      </c>
      <c r="B38" s="656"/>
      <c r="C38" s="656"/>
      <c r="D38" s="599" t="s">
        <v>143</v>
      </c>
      <c r="E38" s="586">
        <f>'26'!F38</f>
        <v>150714</v>
      </c>
      <c r="F38" s="545">
        <v>150714</v>
      </c>
      <c r="G38" s="549">
        <f t="shared" si="3"/>
        <v>0</v>
      </c>
      <c r="H38" s="536">
        <f>G38+'26'!H38</f>
        <v>150616.12</v>
      </c>
      <c r="I38" s="531"/>
      <c r="J38" s="629">
        <f>H38/DAY(B2)</f>
        <v>5578.3748148148143</v>
      </c>
      <c r="K38" s="467"/>
      <c r="L38" s="408"/>
      <c r="N38" s="413"/>
    </row>
    <row r="39" spans="1:14">
      <c r="A39" s="655" t="s">
        <v>179</v>
      </c>
      <c r="B39" s="656"/>
      <c r="C39" s="656"/>
      <c r="D39" s="599" t="s">
        <v>143</v>
      </c>
      <c r="E39" s="586">
        <f>'26'!F39</f>
        <v>912480</v>
      </c>
      <c r="F39" s="586">
        <v>912480</v>
      </c>
      <c r="G39" s="549">
        <f t="shared" si="3"/>
        <v>0</v>
      </c>
      <c r="H39" s="536">
        <f>G39+'26'!H39</f>
        <v>912480</v>
      </c>
      <c r="I39" s="531"/>
      <c r="J39" s="629">
        <f>H39/DAY(B2)</f>
        <v>33795.555555555555</v>
      </c>
      <c r="K39" s="467"/>
      <c r="L39" s="408"/>
      <c r="N39" s="413"/>
    </row>
    <row r="40" spans="1:14">
      <c r="A40" s="676" t="s">
        <v>180</v>
      </c>
      <c r="B40" s="677"/>
      <c r="C40" s="677"/>
      <c r="D40" s="599" t="s">
        <v>143</v>
      </c>
      <c r="E40" s="586">
        <f>'26'!F40</f>
        <v>0</v>
      </c>
      <c r="F40" s="586">
        <v>0</v>
      </c>
      <c r="G40" s="549">
        <f t="shared" si="3"/>
        <v>0</v>
      </c>
      <c r="H40" s="536">
        <f>G40+'26'!H40</f>
        <v>-0.06</v>
      </c>
      <c r="I40" s="531"/>
      <c r="J40" s="629">
        <f>H40/DAY(B2)</f>
        <v>-2.2222222222222222E-3</v>
      </c>
      <c r="K40" s="468"/>
      <c r="L40" s="408"/>
      <c r="N40" s="413"/>
    </row>
    <row r="41" spans="1:14">
      <c r="A41" s="655" t="s">
        <v>181</v>
      </c>
      <c r="B41" s="656"/>
      <c r="C41" s="656"/>
      <c r="D41" s="599" t="s">
        <v>143</v>
      </c>
      <c r="E41" s="586">
        <f>'26'!F41</f>
        <v>26299.49</v>
      </c>
      <c r="F41" s="586">
        <v>29963</v>
      </c>
      <c r="G41" s="549">
        <f t="shared" si="3"/>
        <v>3663.5099999999984</v>
      </c>
      <c r="H41" s="536">
        <f>G41+'26'!H41</f>
        <v>49222.479999999996</v>
      </c>
      <c r="I41" s="531"/>
      <c r="J41" s="629">
        <f>H41/DAY(B2)</f>
        <v>1823.0548148148146</v>
      </c>
      <c r="K41" s="467"/>
      <c r="L41" s="408"/>
      <c r="N41" s="413"/>
    </row>
    <row r="42" spans="1:14">
      <c r="A42" s="655" t="s">
        <v>182</v>
      </c>
      <c r="B42" s="656"/>
      <c r="C42" s="656"/>
      <c r="D42" s="599" t="s">
        <v>143</v>
      </c>
      <c r="E42" s="586">
        <f>'26'!F42</f>
        <v>58926</v>
      </c>
      <c r="F42" s="586">
        <v>58926</v>
      </c>
      <c r="G42" s="549">
        <f t="shared" si="3"/>
        <v>0</v>
      </c>
      <c r="H42" s="536">
        <f>G42+'26'!H42</f>
        <v>0</v>
      </c>
      <c r="I42" s="531"/>
      <c r="J42" s="629">
        <f>H42/DAY(B2)</f>
        <v>0</v>
      </c>
      <c r="K42" s="467"/>
      <c r="L42" s="408"/>
      <c r="N42" s="413"/>
    </row>
    <row r="43" spans="1:14">
      <c r="A43" s="655" t="s">
        <v>183</v>
      </c>
      <c r="B43" s="656"/>
      <c r="C43" s="656"/>
      <c r="D43" s="599" t="s">
        <v>143</v>
      </c>
      <c r="E43" s="586">
        <f>'26'!F43</f>
        <v>756192.85</v>
      </c>
      <c r="F43" s="586">
        <v>758512.95</v>
      </c>
      <c r="G43" s="549">
        <f t="shared" si="3"/>
        <v>2320.0999999999767</v>
      </c>
      <c r="H43" s="536">
        <f>G43+'26'!H43</f>
        <v>-9298.9600000000792</v>
      </c>
      <c r="I43" s="531"/>
      <c r="J43" s="629">
        <f>H43/DAY(B2)</f>
        <v>-344.40592592592884</v>
      </c>
      <c r="K43" s="467"/>
      <c r="L43" s="408"/>
      <c r="N43" s="413"/>
    </row>
    <row r="44" spans="1:14">
      <c r="A44" s="655" t="s">
        <v>184</v>
      </c>
      <c r="B44" s="656"/>
      <c r="C44" s="656"/>
      <c r="D44" s="599" t="s">
        <v>143</v>
      </c>
      <c r="E44" s="586">
        <f>'26'!F44</f>
        <v>0</v>
      </c>
      <c r="F44" s="586">
        <v>0</v>
      </c>
      <c r="G44" s="549">
        <f t="shared" si="3"/>
        <v>0</v>
      </c>
      <c r="H44" s="536">
        <f>G44+'26'!H44</f>
        <v>0</v>
      </c>
      <c r="I44" s="531"/>
      <c r="J44" s="629">
        <f>H44/DAY(B2)</f>
        <v>0</v>
      </c>
      <c r="K44" s="467"/>
      <c r="L44" s="408"/>
      <c r="N44" s="413"/>
    </row>
    <row r="45" spans="1:14">
      <c r="A45" s="655" t="s">
        <v>185</v>
      </c>
      <c r="B45" s="656"/>
      <c r="C45" s="656"/>
      <c r="D45" s="599" t="s">
        <v>143</v>
      </c>
      <c r="E45" s="586">
        <f>'26'!F45</f>
        <v>614</v>
      </c>
      <c r="F45" s="586">
        <v>614</v>
      </c>
      <c r="G45" s="549">
        <f t="shared" si="3"/>
        <v>0</v>
      </c>
      <c r="H45" s="536">
        <f>G45+'26'!H45</f>
        <v>-0.48000000000001819</v>
      </c>
      <c r="I45" s="531"/>
      <c r="J45" s="629">
        <f>H45/DAY(B2)</f>
        <v>-1.7777777777778451E-2</v>
      </c>
      <c r="K45" s="467"/>
      <c r="L45" s="408"/>
      <c r="N45" s="413"/>
    </row>
    <row r="46" spans="1:14">
      <c r="A46" s="655" t="s">
        <v>186</v>
      </c>
      <c r="B46" s="656"/>
      <c r="C46" s="656"/>
      <c r="D46" s="599" t="s">
        <v>143</v>
      </c>
      <c r="E46" s="586">
        <f>'26'!F46</f>
        <v>187</v>
      </c>
      <c r="F46" s="586">
        <v>187</v>
      </c>
      <c r="G46" s="549">
        <f t="shared" si="3"/>
        <v>0</v>
      </c>
      <c r="H46" s="536">
        <f>G46+'26'!H46</f>
        <v>-0.49000000000000909</v>
      </c>
      <c r="I46" s="531"/>
      <c r="J46" s="629">
        <f>H46/DAY(B2)</f>
        <v>-1.8148148148148486E-2</v>
      </c>
      <c r="K46" s="467"/>
      <c r="L46" s="408"/>
      <c r="N46" s="413"/>
    </row>
    <row r="47" spans="1:14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6610.3399999999565</v>
      </c>
      <c r="H47" s="536">
        <f>G47+'26'!H47</f>
        <v>1515643.89</v>
      </c>
      <c r="I47" s="531"/>
      <c r="J47" s="629">
        <f>H47/DAY(B2)</f>
        <v>56134.958888888883</v>
      </c>
      <c r="K47" s="467"/>
      <c r="L47" s="408"/>
      <c r="N47" s="413"/>
    </row>
    <row r="48" spans="1:14">
      <c r="A48" s="675" t="s">
        <v>188</v>
      </c>
      <c r="B48" s="1236"/>
      <c r="C48" s="1236"/>
      <c r="D48" s="548"/>
      <c r="E48" s="547"/>
      <c r="F48" s="547"/>
      <c r="G48" s="548"/>
      <c r="H48" s="548"/>
      <c r="I48" s="548"/>
      <c r="J48" s="628"/>
      <c r="K48" s="467"/>
      <c r="L48" s="408"/>
      <c r="N48" s="413"/>
    </row>
    <row r="49" spans="1:14">
      <c r="A49" s="655" t="s">
        <v>175</v>
      </c>
      <c r="B49" s="678"/>
      <c r="C49" s="678"/>
      <c r="D49" s="599" t="s">
        <v>143</v>
      </c>
      <c r="E49" s="586">
        <f>'26'!F49</f>
        <v>230467</v>
      </c>
      <c r="F49" s="586">
        <v>233654.45</v>
      </c>
      <c r="G49" s="549">
        <f t="shared" ref="G49:G58" si="4">F49-E49</f>
        <v>3187.4500000000116</v>
      </c>
      <c r="H49" s="536">
        <f>G49+'26'!H49</f>
        <v>-12244.599999999977</v>
      </c>
      <c r="I49" s="531"/>
      <c r="J49" s="629">
        <f>H49/DAY(B2)</f>
        <v>-453.50370370370285</v>
      </c>
      <c r="K49" s="467"/>
      <c r="L49" s="408"/>
      <c r="N49" s="413"/>
    </row>
    <row r="50" spans="1:14">
      <c r="A50" s="655" t="s">
        <v>189</v>
      </c>
      <c r="B50" s="678"/>
      <c r="C50" s="678"/>
      <c r="D50" s="599" t="s">
        <v>143</v>
      </c>
      <c r="E50" s="586">
        <f>'26'!F50</f>
        <v>362882.71</v>
      </c>
      <c r="F50" s="586">
        <v>363910</v>
      </c>
      <c r="G50" s="549">
        <f t="shared" si="4"/>
        <v>1027.289999999979</v>
      </c>
      <c r="H50" s="536">
        <f>G50+'26'!H50</f>
        <v>-5750.3099999999977</v>
      </c>
      <c r="I50" s="531"/>
      <c r="J50" s="629">
        <f>H50/DAY(B2)</f>
        <v>-212.97444444444434</v>
      </c>
      <c r="K50" s="467"/>
      <c r="L50" s="408"/>
      <c r="N50" s="413"/>
    </row>
    <row r="51" spans="1:14">
      <c r="A51" s="655" t="s">
        <v>177</v>
      </c>
      <c r="B51" s="678"/>
      <c r="C51" s="678"/>
      <c r="D51" s="599" t="s">
        <v>143</v>
      </c>
      <c r="E51" s="586">
        <f>'26'!F51</f>
        <v>102590</v>
      </c>
      <c r="F51" s="586">
        <v>104026.54</v>
      </c>
      <c r="G51" s="549">
        <f t="shared" si="4"/>
        <v>1436.5399999999936</v>
      </c>
      <c r="H51" s="536">
        <f>G51+'26'!H51</f>
        <v>-6073.2000000000116</v>
      </c>
      <c r="I51" s="531"/>
      <c r="J51" s="629">
        <f>H51/DAY(B2)</f>
        <v>-224.93333333333376</v>
      </c>
      <c r="K51" s="467"/>
      <c r="L51" s="408"/>
      <c r="N51" s="413"/>
    </row>
    <row r="52" spans="1:14">
      <c r="A52" s="655" t="s">
        <v>190</v>
      </c>
      <c r="B52" s="678"/>
      <c r="C52" s="678"/>
      <c r="D52" s="599" t="s">
        <v>143</v>
      </c>
      <c r="E52" s="586">
        <f>'26'!F52</f>
        <v>484348.63</v>
      </c>
      <c r="F52" s="586">
        <v>486112.79</v>
      </c>
      <c r="G52" s="549">
        <f t="shared" si="4"/>
        <v>1764.1599999999744</v>
      </c>
      <c r="H52" s="536">
        <f>G52+'26'!H52</f>
        <v>-7695.8800000000047</v>
      </c>
      <c r="I52" s="531"/>
      <c r="J52" s="629">
        <f>H52/DAY(B2)</f>
        <v>-285.03259259259278</v>
      </c>
      <c r="K52" s="467"/>
      <c r="L52" s="408"/>
      <c r="N52" s="413"/>
    </row>
    <row r="53" spans="1:14">
      <c r="A53" s="655" t="s">
        <v>179</v>
      </c>
      <c r="B53" s="678"/>
      <c r="C53" s="678"/>
      <c r="D53" s="599" t="s">
        <v>143</v>
      </c>
      <c r="E53" s="586">
        <f>'26'!F53</f>
        <v>283493.84999999998</v>
      </c>
      <c r="F53" s="586">
        <v>287574</v>
      </c>
      <c r="G53" s="549">
        <f t="shared" si="4"/>
        <v>4080.1500000000233</v>
      </c>
      <c r="H53" s="536">
        <f>G53+'26'!H53</f>
        <v>-16724.270000000019</v>
      </c>
      <c r="I53" s="531"/>
      <c r="J53" s="629">
        <f>H53/DAY(B2)</f>
        <v>-619.41740740740806</v>
      </c>
      <c r="K53" s="467"/>
      <c r="L53" s="408"/>
      <c r="N53" s="413"/>
    </row>
    <row r="54" spans="1:14">
      <c r="A54" s="655" t="s">
        <v>191</v>
      </c>
      <c r="B54" s="678"/>
      <c r="C54" s="678"/>
      <c r="D54" s="599" t="s">
        <v>143</v>
      </c>
      <c r="E54" s="586">
        <f>'26'!F54</f>
        <v>6070</v>
      </c>
      <c r="F54" s="586">
        <v>6126.55</v>
      </c>
      <c r="G54" s="549">
        <f t="shared" si="4"/>
        <v>56.550000000000182</v>
      </c>
      <c r="H54" s="536">
        <f>G54+'26'!H54</f>
        <v>-262.25</v>
      </c>
      <c r="I54" s="531"/>
      <c r="J54" s="629">
        <f>H54/DAY(B2)</f>
        <v>-9.7129629629629637</v>
      </c>
      <c r="K54" s="467"/>
      <c r="L54" s="408"/>
      <c r="N54" s="413"/>
    </row>
    <row r="55" spans="1:14">
      <c r="A55" s="655" t="s">
        <v>192</v>
      </c>
      <c r="B55" s="678"/>
      <c r="C55" s="678"/>
      <c r="D55" s="599" t="s">
        <v>143</v>
      </c>
      <c r="E55" s="586">
        <f>'26'!F55</f>
        <v>39120.58</v>
      </c>
      <c r="F55" s="734">
        <v>39120.58</v>
      </c>
      <c r="G55" s="733">
        <f t="shared" si="4"/>
        <v>0</v>
      </c>
      <c r="H55" s="787">
        <f>G55+'26'!H55</f>
        <v>-3867.4000000000015</v>
      </c>
      <c r="I55" s="788"/>
      <c r="J55" s="789">
        <f>H55/DAY(B2)</f>
        <v>-143.23703703703708</v>
      </c>
      <c r="K55" s="467"/>
      <c r="L55" s="408"/>
      <c r="N55" s="413"/>
    </row>
    <row r="56" spans="1:14">
      <c r="A56" s="655" t="s">
        <v>193</v>
      </c>
      <c r="B56" s="678"/>
      <c r="C56" s="678"/>
      <c r="D56" s="599" t="s">
        <v>194</v>
      </c>
      <c r="E56" s="586">
        <f>'26'!F56</f>
        <v>557730.15</v>
      </c>
      <c r="F56" s="734">
        <v>557730.15</v>
      </c>
      <c r="G56" s="549">
        <f t="shared" si="4"/>
        <v>0</v>
      </c>
      <c r="H56" s="536">
        <f>G56+'26'!H56</f>
        <v>-1.7600000000093132</v>
      </c>
      <c r="I56" s="531"/>
      <c r="J56" s="629">
        <f>H56/DAY(B2)</f>
        <v>-6.5185185185530126E-2</v>
      </c>
      <c r="K56" s="466"/>
      <c r="L56" s="408"/>
      <c r="N56" s="413"/>
    </row>
    <row r="57" spans="1:14">
      <c r="A57" s="655" t="s">
        <v>183</v>
      </c>
      <c r="B57" s="678"/>
      <c r="C57" s="678"/>
      <c r="D57" s="599" t="s">
        <v>143</v>
      </c>
      <c r="E57" s="586">
        <f>'26'!F57</f>
        <v>0</v>
      </c>
      <c r="F57" s="586">
        <v>0</v>
      </c>
      <c r="G57" s="549">
        <f t="shared" si="4"/>
        <v>0</v>
      </c>
      <c r="H57" s="536">
        <f>G57+'26'!H57</f>
        <v>0</v>
      </c>
      <c r="I57" s="531"/>
      <c r="J57" s="629">
        <f>H57/DAY(B2)</f>
        <v>0</v>
      </c>
      <c r="K57" s="467"/>
      <c r="L57" s="408"/>
      <c r="N57" s="413"/>
    </row>
    <row r="58" spans="1:14">
      <c r="A58" s="655" t="s">
        <v>195</v>
      </c>
      <c r="B58" s="678"/>
      <c r="C58" s="678"/>
      <c r="D58" s="599" t="s">
        <v>143</v>
      </c>
      <c r="E58" s="586">
        <f>'26'!F58</f>
        <v>29765.38</v>
      </c>
      <c r="F58" s="734">
        <v>30038</v>
      </c>
      <c r="G58" s="549">
        <f t="shared" si="4"/>
        <v>272.61999999999898</v>
      </c>
      <c r="H58" s="536">
        <f>G58+'26'!H58</f>
        <v>-691.53999999999724</v>
      </c>
      <c r="I58" s="531"/>
      <c r="J58" s="629">
        <f>H58/DAY(B2)</f>
        <v>-25.612592592592492</v>
      </c>
      <c r="K58" s="467"/>
      <c r="L58" s="408"/>
      <c r="N58" s="413"/>
    </row>
    <row r="59" spans="1:14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11824.75999999998</v>
      </c>
      <c r="H59" s="536">
        <f>G59+'26'!H59</f>
        <v>-53311.209999999963</v>
      </c>
      <c r="I59" s="531">
        <f>G7-G60</f>
        <v>300.9000000000633</v>
      </c>
      <c r="J59" s="629">
        <f>H59/DAY(B2)</f>
        <v>-1974.4892592592578</v>
      </c>
      <c r="K59" s="467"/>
      <c r="L59" s="408"/>
      <c r="N59" s="413"/>
    </row>
    <row r="60" spans="1:14">
      <c r="A60" s="655"/>
      <c r="B60" s="656"/>
      <c r="C60" s="656"/>
      <c r="D60" s="587" t="s">
        <v>196</v>
      </c>
      <c r="E60" s="587"/>
      <c r="F60" s="587"/>
      <c r="G60" s="557">
        <f>G47+G59</f>
        <v>18435.099999999937</v>
      </c>
      <c r="H60" s="536">
        <f>G60+'26'!H60</f>
        <v>1467512.87</v>
      </c>
      <c r="I60" s="531">
        <f>G13-G60</f>
        <v>-367.0999999999367</v>
      </c>
      <c r="J60" s="629">
        <f>H60/DAY(B2)</f>
        <v>54352.328518518523</v>
      </c>
      <c r="K60" s="467"/>
      <c r="L60" s="408"/>
      <c r="N60" s="413"/>
    </row>
    <row r="61" spans="1:14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</row>
    <row r="62" spans="1:14">
      <c r="A62" s="680" t="s">
        <v>106</v>
      </c>
      <c r="B62" s="681"/>
      <c r="C62" s="681"/>
      <c r="D62" s="587" t="s">
        <v>198</v>
      </c>
      <c r="E62" s="590">
        <f>'26'!F62</f>
        <v>20419.18</v>
      </c>
      <c r="F62" s="590">
        <v>20419.18</v>
      </c>
      <c r="G62" s="549">
        <f t="shared" ref="G62:G69" si="5">F62-E62</f>
        <v>0</v>
      </c>
      <c r="H62" s="536">
        <f>G62+'26'!H62</f>
        <v>-8.9999999981955625E-3</v>
      </c>
      <c r="I62" s="591"/>
      <c r="J62" s="629">
        <f>H62/DAY(B2)</f>
        <v>-3.3333333326650234E-4</v>
      </c>
      <c r="K62" s="467"/>
      <c r="L62" s="408"/>
      <c r="N62" s="413"/>
    </row>
    <row r="63" spans="1:14">
      <c r="A63" s="680" t="s">
        <v>199</v>
      </c>
      <c r="B63" s="681"/>
      <c r="C63" s="681"/>
      <c r="D63" s="587" t="s">
        <v>198</v>
      </c>
      <c r="E63" s="590">
        <f>'26'!F63</f>
        <v>1273.71</v>
      </c>
      <c r="F63" s="590">
        <v>1283</v>
      </c>
      <c r="G63" s="549">
        <f t="shared" si="5"/>
        <v>9.2899999999999636</v>
      </c>
      <c r="H63" s="536">
        <f>G63+'26'!H63</f>
        <v>-49.529999999999973</v>
      </c>
      <c r="I63" s="591"/>
      <c r="J63" s="629">
        <f>H63/DAY(B2)</f>
        <v>-1.8344444444444434</v>
      </c>
      <c r="K63" s="467"/>
      <c r="L63" s="408"/>
      <c r="N63" s="413"/>
    </row>
    <row r="64" spans="1:14" ht="27.75">
      <c r="A64" s="1385" t="s">
        <v>107</v>
      </c>
      <c r="B64" s="1386"/>
      <c r="C64" s="1387"/>
      <c r="D64" s="599" t="s">
        <v>198</v>
      </c>
      <c r="E64" s="590">
        <f>'26'!F64</f>
        <v>109117</v>
      </c>
      <c r="F64" s="554">
        <v>109552.79</v>
      </c>
      <c r="G64" s="549">
        <f t="shared" si="5"/>
        <v>435.7899999999936</v>
      </c>
      <c r="H64" s="536">
        <f>G64+'26'!H64</f>
        <v>-1730.6700000000128</v>
      </c>
      <c r="I64" s="556"/>
      <c r="J64" s="629">
        <f>H64/DAY(B2)</f>
        <v>-64.098888888889363</v>
      </c>
      <c r="K64" s="467"/>
      <c r="L64" s="408"/>
      <c r="N64" s="413"/>
    </row>
    <row r="65" spans="1:14" ht="27.75">
      <c r="A65" s="1385" t="s">
        <v>108</v>
      </c>
      <c r="B65" s="1386"/>
      <c r="C65" s="1387"/>
      <c r="D65" s="599" t="s">
        <v>198</v>
      </c>
      <c r="E65" s="590">
        <f>'26'!F65</f>
        <v>119779.76</v>
      </c>
      <c r="F65" s="732">
        <v>120175</v>
      </c>
      <c r="G65" s="549">
        <f t="shared" si="5"/>
        <v>395.24000000000524</v>
      </c>
      <c r="H65" s="536">
        <f>G65+'26'!H65</f>
        <v>-1558.1100000000006</v>
      </c>
      <c r="I65" s="565"/>
      <c r="J65" s="629">
        <f>H65/DAY(B2)</f>
        <v>-57.7077777777778</v>
      </c>
      <c r="K65" s="467"/>
      <c r="L65" s="408"/>
      <c r="N65" s="413"/>
    </row>
    <row r="66" spans="1:14" ht="27.75">
      <c r="A66" s="1385" t="s">
        <v>109</v>
      </c>
      <c r="B66" s="1386"/>
      <c r="C66" s="1387"/>
      <c r="D66" s="599" t="s">
        <v>198</v>
      </c>
      <c r="E66" s="590">
        <f>'26'!F66</f>
        <v>12070.5</v>
      </c>
      <c r="F66" s="554">
        <v>12487.61</v>
      </c>
      <c r="G66" s="549">
        <f t="shared" si="5"/>
        <v>417.11000000000058</v>
      </c>
      <c r="H66" s="536">
        <f>G66+'26'!H66</f>
        <v>-1672.1299999999992</v>
      </c>
      <c r="I66" s="556"/>
      <c r="J66" s="629">
        <f>H66/DAY(B2)</f>
        <v>-61.93074074074071</v>
      </c>
      <c r="K66" s="467"/>
      <c r="L66" s="408"/>
      <c r="N66" s="413"/>
    </row>
    <row r="67" spans="1:14" ht="27.75">
      <c r="A67" s="1385" t="s">
        <v>110</v>
      </c>
      <c r="B67" s="1386"/>
      <c r="C67" s="1387"/>
      <c r="D67" s="599" t="s">
        <v>198</v>
      </c>
      <c r="E67" s="590">
        <f>'26'!F67</f>
        <v>185312.69</v>
      </c>
      <c r="F67" s="554">
        <v>185945</v>
      </c>
      <c r="G67" s="549">
        <f t="shared" si="5"/>
        <v>632.30999999999767</v>
      </c>
      <c r="H67" s="536">
        <f>G67+'26'!H67</f>
        <v>-2729.5299999999988</v>
      </c>
      <c r="I67" s="565"/>
      <c r="J67" s="629">
        <f>H67/DAY(B2)</f>
        <v>-101.09370370370367</v>
      </c>
      <c r="K67" s="468"/>
      <c r="L67" s="408"/>
      <c r="N67" s="413"/>
    </row>
    <row r="68" spans="1:14" ht="27.75">
      <c r="A68" s="1385" t="s">
        <v>111</v>
      </c>
      <c r="B68" s="1386"/>
      <c r="C68" s="1387"/>
      <c r="D68" s="599" t="s">
        <v>198</v>
      </c>
      <c r="E68" s="590">
        <f>'26'!F68</f>
        <v>61723.94</v>
      </c>
      <c r="F68" s="554">
        <v>62030</v>
      </c>
      <c r="G68" s="549">
        <f t="shared" si="5"/>
        <v>306.05999999999767</v>
      </c>
      <c r="H68" s="536">
        <f>G68+'26'!H68</f>
        <v>-1269.8600000000006</v>
      </c>
      <c r="I68" s="592"/>
      <c r="J68" s="629">
        <f>H68/DAY(B2)</f>
        <v>-47.031851851851876</v>
      </c>
      <c r="K68" s="469"/>
      <c r="L68" s="408"/>
      <c r="N68" s="413"/>
    </row>
    <row r="69" spans="1:14" ht="27.75">
      <c r="A69" s="1385" t="s">
        <v>112</v>
      </c>
      <c r="B69" s="1386"/>
      <c r="C69" s="1387"/>
      <c r="D69" s="599" t="s">
        <v>198</v>
      </c>
      <c r="E69" s="590">
        <f>'26'!F69</f>
        <v>54165</v>
      </c>
      <c r="F69" s="554">
        <v>54472.81</v>
      </c>
      <c r="G69" s="549">
        <f t="shared" si="5"/>
        <v>307.80999999999767</v>
      </c>
      <c r="H69" s="536">
        <f>G69+'26'!H69</f>
        <v>-1250.9000000000015</v>
      </c>
      <c r="I69" s="592"/>
      <c r="J69" s="629">
        <f>H69/DAY(B2)</f>
        <v>-46.329629629629686</v>
      </c>
      <c r="K69" s="470"/>
      <c r="L69" s="408"/>
      <c r="N69" s="413"/>
    </row>
    <row r="70" spans="1:14" ht="27.75">
      <c r="A70" s="1391" t="s">
        <v>200</v>
      </c>
      <c r="B70" s="1392"/>
      <c r="C70" s="1393"/>
      <c r="D70" s="599" t="s">
        <v>198</v>
      </c>
      <c r="E70" s="594"/>
      <c r="F70" s="594"/>
      <c r="G70" s="594"/>
      <c r="H70" s="536">
        <f>G70+'13'!H70</f>
        <v>0</v>
      </c>
      <c r="I70" s="594"/>
      <c r="J70" s="633"/>
      <c r="K70" s="470"/>
      <c r="L70" s="408"/>
      <c r="N70" s="413"/>
    </row>
    <row r="71" spans="1:14" ht="31.5">
      <c r="A71" s="1388" t="s">
        <v>201</v>
      </c>
      <c r="B71" s="1389"/>
      <c r="C71" s="1389"/>
      <c r="D71" s="1389"/>
      <c r="E71" s="1389"/>
      <c r="F71" s="1389"/>
      <c r="G71" s="1389"/>
      <c r="H71" s="1389"/>
      <c r="I71" s="1389"/>
      <c r="J71" s="1390"/>
      <c r="K71" s="469"/>
      <c r="L71" s="408"/>
      <c r="N71" s="413"/>
    </row>
    <row r="72" spans="1:14" ht="27.75">
      <c r="A72" s="1385" t="s">
        <v>202</v>
      </c>
      <c r="B72" s="1386"/>
      <c r="C72" s="1387"/>
      <c r="D72" s="599" t="s">
        <v>198</v>
      </c>
      <c r="E72" s="595">
        <f>'26'!F72</f>
        <v>848048</v>
      </c>
      <c r="F72" s="735">
        <v>848139</v>
      </c>
      <c r="G72" s="549">
        <f t="shared" ref="G72:G84" si="6">F72-E72</f>
        <v>91</v>
      </c>
      <c r="H72" s="536">
        <f>G72+'26'!H72</f>
        <v>-413</v>
      </c>
      <c r="I72" s="556"/>
      <c r="J72" s="629">
        <f>H72/DAY(B2)</f>
        <v>-15.296296296296296</v>
      </c>
      <c r="K72" s="470"/>
      <c r="L72" s="408"/>
      <c r="N72" s="413"/>
    </row>
    <row r="73" spans="1:14" ht="27.75">
      <c r="A73" s="1385" t="s">
        <v>203</v>
      </c>
      <c r="B73" s="1386"/>
      <c r="C73" s="1387"/>
      <c r="D73" s="599" t="s">
        <v>198</v>
      </c>
      <c r="E73" s="595">
        <f>'26'!F73</f>
        <v>885727</v>
      </c>
      <c r="F73" s="736">
        <v>885727</v>
      </c>
      <c r="G73" s="733">
        <f t="shared" si="6"/>
        <v>0</v>
      </c>
      <c r="H73" s="536">
        <f>G73+'26'!H73</f>
        <v>946</v>
      </c>
      <c r="I73" s="556"/>
      <c r="J73" s="629">
        <f>H73/DAY(B2)</f>
        <v>35.037037037037038</v>
      </c>
      <c r="K73" s="469"/>
      <c r="L73" s="408"/>
      <c r="N73" s="413"/>
    </row>
    <row r="74" spans="1:14" ht="27.75">
      <c r="A74" s="1385" t="s">
        <v>204</v>
      </c>
      <c r="B74" s="1386"/>
      <c r="C74" s="1387"/>
      <c r="D74" s="599" t="s">
        <v>198</v>
      </c>
      <c r="E74" s="595">
        <f>'26'!F74</f>
        <v>882212</v>
      </c>
      <c r="F74" s="736">
        <v>882243</v>
      </c>
      <c r="G74" s="549">
        <f t="shared" si="6"/>
        <v>31</v>
      </c>
      <c r="H74" s="536">
        <f>G74+'26'!H74</f>
        <v>882472.1</v>
      </c>
      <c r="I74" s="556"/>
      <c r="J74" s="629">
        <f>H74/DAY(B2)</f>
        <v>32684.15185185185</v>
      </c>
      <c r="K74" s="470"/>
      <c r="L74" s="408"/>
      <c r="N74" s="413"/>
    </row>
    <row r="75" spans="1:14" ht="27.75">
      <c r="A75" s="1382" t="s">
        <v>205</v>
      </c>
      <c r="B75" s="1383"/>
      <c r="C75" s="1384"/>
      <c r="D75" s="599" t="s">
        <v>198</v>
      </c>
      <c r="E75" s="595">
        <f>'26'!F75</f>
        <v>736551</v>
      </c>
      <c r="F75" s="735">
        <v>736737</v>
      </c>
      <c r="G75" s="549">
        <f t="shared" si="6"/>
        <v>186</v>
      </c>
      <c r="H75" s="536">
        <f>G75+'26'!H75</f>
        <v>738273.4</v>
      </c>
      <c r="I75" s="556"/>
      <c r="J75" s="629">
        <f>H75/DAY(B2)</f>
        <v>27343.45925925926</v>
      </c>
      <c r="K75" s="469"/>
      <c r="L75" s="408"/>
      <c r="N75" s="413"/>
    </row>
    <row r="76" spans="1:14" ht="27.75">
      <c r="A76" s="1382" t="s">
        <v>206</v>
      </c>
      <c r="B76" s="1383"/>
      <c r="C76" s="1384"/>
      <c r="D76" s="599" t="s">
        <v>198</v>
      </c>
      <c r="E76" s="595">
        <f>'26'!F76</f>
        <v>686645</v>
      </c>
      <c r="F76" s="736">
        <v>686721</v>
      </c>
      <c r="G76" s="549">
        <f t="shared" si="6"/>
        <v>76</v>
      </c>
      <c r="H76" s="536">
        <f>G76+'26'!H76</f>
        <v>688718.2</v>
      </c>
      <c r="I76" s="581"/>
      <c r="J76" s="629">
        <f>H76/DAY(B2)</f>
        <v>25508.08148148148</v>
      </c>
      <c r="K76" s="469"/>
      <c r="L76" s="408"/>
      <c r="N76" s="413"/>
    </row>
    <row r="77" spans="1:14" ht="27.75">
      <c r="A77" s="1385" t="s">
        <v>207</v>
      </c>
      <c r="B77" s="1386"/>
      <c r="C77" s="1387"/>
      <c r="D77" s="599" t="s">
        <v>198</v>
      </c>
      <c r="E77" s="595">
        <f>'26'!F77</f>
        <v>696846</v>
      </c>
      <c r="F77" s="736">
        <v>696898</v>
      </c>
      <c r="G77" s="733">
        <f t="shared" si="6"/>
        <v>52</v>
      </c>
      <c r="H77" s="536">
        <f>G77+'26'!H77</f>
        <v>-209</v>
      </c>
      <c r="I77" s="581"/>
      <c r="J77" s="629">
        <f>H77/DAY(B2)</f>
        <v>-7.7407407407407405</v>
      </c>
      <c r="K77" s="469"/>
      <c r="L77" s="408"/>
      <c r="N77" s="413"/>
    </row>
    <row r="78" spans="1:14" ht="27.75">
      <c r="A78" s="1234" t="s">
        <v>208</v>
      </c>
      <c r="B78" s="1205"/>
      <c r="C78" s="1205"/>
      <c r="D78" s="599" t="s">
        <v>198</v>
      </c>
      <c r="E78" s="595">
        <f>'26'!F78</f>
        <v>640010</v>
      </c>
      <c r="F78" s="735">
        <v>640348</v>
      </c>
      <c r="G78" s="549">
        <f t="shared" si="6"/>
        <v>338</v>
      </c>
      <c r="H78" s="536">
        <f>G78+'26'!H78</f>
        <v>-1605</v>
      </c>
      <c r="I78" s="581"/>
      <c r="J78" s="629">
        <f>H78/DAY(B2)</f>
        <v>-59.444444444444443</v>
      </c>
      <c r="K78" s="469"/>
      <c r="L78" s="408"/>
      <c r="N78" s="413"/>
    </row>
    <row r="79" spans="1:14" ht="27.75">
      <c r="A79" s="1382" t="s">
        <v>97</v>
      </c>
      <c r="B79" s="1383"/>
      <c r="C79" s="1384"/>
      <c r="D79" s="600" t="s">
        <v>198</v>
      </c>
      <c r="E79" s="595">
        <f>'26'!F79</f>
        <v>808754</v>
      </c>
      <c r="F79" s="735">
        <v>808948</v>
      </c>
      <c r="G79" s="549">
        <f t="shared" si="6"/>
        <v>194</v>
      </c>
      <c r="H79" s="536">
        <f>G79+'26'!H79</f>
        <v>2122</v>
      </c>
      <c r="I79" s="581"/>
      <c r="J79" s="629">
        <f>H79/DAY(B2)</f>
        <v>78.592592592592595</v>
      </c>
      <c r="K79" s="469"/>
      <c r="L79" s="408"/>
      <c r="N79" s="413"/>
    </row>
    <row r="80" spans="1:14" ht="27.75">
      <c r="A80" s="1382" t="s">
        <v>209</v>
      </c>
      <c r="B80" s="1383"/>
      <c r="C80" s="1384"/>
      <c r="D80" s="600" t="s">
        <v>198</v>
      </c>
      <c r="E80" s="595">
        <f>'26'!F80</f>
        <v>483563.88</v>
      </c>
      <c r="F80" s="736">
        <v>483852</v>
      </c>
      <c r="G80" s="549">
        <f t="shared" si="6"/>
        <v>288.11999999999534</v>
      </c>
      <c r="H80" s="536">
        <f>G80+'26'!H80</f>
        <v>-2729.679999999993</v>
      </c>
      <c r="I80" s="581"/>
      <c r="J80" s="629">
        <f>H80/DAY(B2)</f>
        <v>-101.099259259259</v>
      </c>
      <c r="K80" s="469"/>
      <c r="L80" s="408"/>
      <c r="N80" s="413"/>
    </row>
    <row r="81" spans="1:15" ht="27.75">
      <c r="A81" s="1382" t="s">
        <v>210</v>
      </c>
      <c r="B81" s="1383"/>
      <c r="C81" s="1384"/>
      <c r="D81" s="600" t="s">
        <v>198</v>
      </c>
      <c r="E81" s="595">
        <f>'26'!F81</f>
        <v>622261.64</v>
      </c>
      <c r="F81" s="736">
        <v>622369</v>
      </c>
      <c r="G81" s="549">
        <f t="shared" si="6"/>
        <v>107.35999999998603</v>
      </c>
      <c r="H81" s="536">
        <f>G81+'26'!H81</f>
        <v>-406</v>
      </c>
      <c r="I81" s="581"/>
      <c r="J81" s="629">
        <f>H81/DAY(B2)</f>
        <v>-15.037037037037036</v>
      </c>
      <c r="K81" s="469"/>
      <c r="L81" s="408"/>
      <c r="N81" s="413"/>
    </row>
    <row r="82" spans="1:15" ht="27.75">
      <c r="A82" s="1382" t="s">
        <v>100</v>
      </c>
      <c r="B82" s="1383"/>
      <c r="C82" s="1384"/>
      <c r="D82" s="561" t="s">
        <v>143</v>
      </c>
      <c r="E82" s="595">
        <f>'26'!F82</f>
        <v>105224.59</v>
      </c>
      <c r="F82" s="732">
        <v>105271.72</v>
      </c>
      <c r="G82" s="549">
        <f t="shared" si="6"/>
        <v>47.130000000004657</v>
      </c>
      <c r="H82" s="536">
        <f>G82+'26'!H82</f>
        <v>-168.27999999999884</v>
      </c>
      <c r="I82" s="562"/>
      <c r="J82" s="629">
        <f>H82/DAY(B2)</f>
        <v>-6.2325925925925496</v>
      </c>
      <c r="K82" s="469"/>
      <c r="L82" s="408"/>
      <c r="N82" s="413"/>
    </row>
    <row r="83" spans="1:15" ht="27.75">
      <c r="A83" s="1382" t="s">
        <v>211</v>
      </c>
      <c r="B83" s="1383"/>
      <c r="C83" s="1384"/>
      <c r="D83" s="697" t="s">
        <v>143</v>
      </c>
      <c r="E83" s="595">
        <f>'26'!F83</f>
        <v>982067</v>
      </c>
      <c r="F83" s="697">
        <v>982274</v>
      </c>
      <c r="G83" s="549">
        <f t="shared" si="6"/>
        <v>207</v>
      </c>
      <c r="H83" s="536">
        <f>G83+'26'!H83</f>
        <v>-1467</v>
      </c>
      <c r="I83" s="557"/>
      <c r="J83" s="629">
        <f>H83/DAY(B2)</f>
        <v>-54.333333333333336</v>
      </c>
      <c r="K83" s="468"/>
      <c r="L83" s="408"/>
      <c r="N83" s="413"/>
    </row>
    <row r="84" spans="1:15">
      <c r="A84" s="1235" t="s">
        <v>212</v>
      </c>
      <c r="B84" s="648"/>
      <c r="C84" s="648"/>
      <c r="D84" s="554" t="s">
        <v>143</v>
      </c>
      <c r="E84" s="595">
        <f>'26'!F84</f>
        <v>413437</v>
      </c>
      <c r="F84" s="600">
        <v>413993</v>
      </c>
      <c r="G84" s="549">
        <f t="shared" si="6"/>
        <v>556</v>
      </c>
      <c r="H84" s="536">
        <f>G84+'26'!H84</f>
        <v>-2080</v>
      </c>
      <c r="I84" s="557"/>
      <c r="J84" s="629">
        <f>H84/DAY(B2)</f>
        <v>-77.037037037037038</v>
      </c>
      <c r="K84" s="411"/>
      <c r="L84" s="408"/>
      <c r="N84" s="413"/>
    </row>
    <row r="85" spans="1:15" s="410" customFormat="1">
      <c r="A85" s="682" t="s">
        <v>213</v>
      </c>
      <c r="B85" s="649"/>
      <c r="C85" s="649"/>
      <c r="D85" s="565"/>
      <c r="E85" s="704">
        <f>'26'!F85</f>
        <v>0</v>
      </c>
      <c r="F85" s="599"/>
      <c r="G85" s="536">
        <f xml:space="preserve"> SUM(G72:G84)</f>
        <v>2173.609999999986</v>
      </c>
      <c r="H85" s="536">
        <f>G85+'26'!H85</f>
        <v>2298150.3699999996</v>
      </c>
      <c r="I85" s="557"/>
      <c r="J85" s="629">
        <f>H85/DAY(B2)</f>
        <v>85116.680370370363</v>
      </c>
      <c r="K85" s="411"/>
      <c r="L85" s="409"/>
      <c r="N85" s="413"/>
    </row>
    <row r="86" spans="1:15" s="817" customFormat="1">
      <c r="A86" s="812" t="s">
        <v>102</v>
      </c>
      <c r="B86" s="813"/>
      <c r="C86" s="813"/>
      <c r="D86" s="814" t="s">
        <v>194</v>
      </c>
      <c r="E86" s="704">
        <f>'26'!F86</f>
        <v>446593</v>
      </c>
      <c r="F86" s="728">
        <v>446695</v>
      </c>
      <c r="G86" s="787">
        <f>F86-E86</f>
        <v>102</v>
      </c>
      <c r="H86" s="787">
        <f t="shared" ref="H86:H88" si="7">G86</f>
        <v>102</v>
      </c>
      <c r="I86" s="733"/>
      <c r="J86" s="789">
        <f>H86/DAY(B2)</f>
        <v>3.7777777777777777</v>
      </c>
      <c r="K86" s="815"/>
      <c r="L86" s="816"/>
      <c r="O86" s="795"/>
    </row>
    <row r="87" spans="1:15" s="817" customFormat="1">
      <c r="A87" s="812" t="s">
        <v>103</v>
      </c>
      <c r="B87" s="813"/>
      <c r="C87" s="813"/>
      <c r="D87" s="814" t="s">
        <v>194</v>
      </c>
      <c r="E87" s="704">
        <f>'26'!F87</f>
        <v>78317.8</v>
      </c>
      <c r="F87" s="728">
        <v>78346.8</v>
      </c>
      <c r="G87" s="787">
        <f t="shared" ref="G87:G90" si="8">F87-E87</f>
        <v>29</v>
      </c>
      <c r="H87" s="787">
        <f t="shared" si="7"/>
        <v>29</v>
      </c>
      <c r="I87" s="733"/>
      <c r="J87" s="789">
        <f>H87/DAY(B2)</f>
        <v>1.0740740740740742</v>
      </c>
      <c r="K87" s="815"/>
      <c r="L87" s="816"/>
      <c r="O87" s="795"/>
    </row>
    <row r="88" spans="1:15" s="817" customFormat="1">
      <c r="A88" s="812" t="s">
        <v>104</v>
      </c>
      <c r="B88" s="813"/>
      <c r="C88" s="813"/>
      <c r="D88" s="814" t="s">
        <v>194</v>
      </c>
      <c r="E88" s="704">
        <f>'26'!F88</f>
        <v>146111</v>
      </c>
      <c r="F88" s="728">
        <v>146228</v>
      </c>
      <c r="G88" s="787">
        <f t="shared" si="8"/>
        <v>117</v>
      </c>
      <c r="H88" s="787">
        <f t="shared" si="7"/>
        <v>117</v>
      </c>
      <c r="I88" s="733"/>
      <c r="J88" s="789">
        <f>H88/DAY(B2)</f>
        <v>4.333333333333333</v>
      </c>
      <c r="K88" s="815"/>
      <c r="L88" s="816"/>
      <c r="O88" s="795"/>
    </row>
    <row r="89" spans="1:15" s="817" customFormat="1">
      <c r="A89" s="812" t="s">
        <v>215</v>
      </c>
      <c r="B89" s="813"/>
      <c r="C89" s="813"/>
      <c r="D89" s="814" t="s">
        <v>194</v>
      </c>
      <c r="E89" s="704">
        <f>'26'!F89</f>
        <v>59414</v>
      </c>
      <c r="F89" s="728">
        <v>59477</v>
      </c>
      <c r="G89" s="787">
        <f t="shared" si="8"/>
        <v>63</v>
      </c>
      <c r="H89" s="787">
        <f>G89</f>
        <v>63</v>
      </c>
      <c r="I89" s="733"/>
      <c r="J89" s="789">
        <f>H89/DAY(B2)</f>
        <v>2.3333333333333335</v>
      </c>
      <c r="K89" s="815"/>
      <c r="L89" s="816"/>
      <c r="N89" s="860"/>
      <c r="O89" s="413"/>
    </row>
    <row r="90" spans="1:15" s="817" customFormat="1">
      <c r="A90" s="812" t="s">
        <v>215</v>
      </c>
      <c r="B90" s="813"/>
      <c r="C90" s="813"/>
      <c r="D90" s="814" t="s">
        <v>194</v>
      </c>
      <c r="E90" s="704">
        <f>'26'!F90</f>
        <v>3049.4</v>
      </c>
      <c r="F90" s="728">
        <v>3054</v>
      </c>
      <c r="G90" s="787">
        <f t="shared" si="8"/>
        <v>4.5999999999999091</v>
      </c>
      <c r="H90" s="787">
        <f>G90</f>
        <v>4.5999999999999091</v>
      </c>
      <c r="I90" s="733"/>
      <c r="J90" s="789">
        <f>H90/DAY(B2)</f>
        <v>0.17037037037036701</v>
      </c>
      <c r="K90" s="815"/>
      <c r="L90" s="816"/>
      <c r="N90" s="860"/>
      <c r="O90" s="413"/>
    </row>
    <row r="91" spans="1:15" s="410" customFormat="1">
      <c r="A91" s="683" t="s">
        <v>216</v>
      </c>
      <c r="B91" s="1237"/>
      <c r="C91" s="1237"/>
      <c r="D91" s="548"/>
      <c r="E91" s="548"/>
      <c r="F91" s="548"/>
      <c r="G91" s="564"/>
      <c r="H91" s="548"/>
      <c r="I91" s="548"/>
      <c r="J91" s="628"/>
      <c r="K91" s="411"/>
      <c r="L91" s="409"/>
      <c r="N91" s="413"/>
    </row>
    <row r="92" spans="1:15" ht="27.75">
      <c r="A92" s="1406" t="s">
        <v>217</v>
      </c>
      <c r="B92" s="1407"/>
      <c r="C92" s="1408"/>
      <c r="D92" s="599" t="s">
        <v>155</v>
      </c>
      <c r="E92" s="560">
        <f>'26'!F92</f>
        <v>236189</v>
      </c>
      <c r="F92" s="554">
        <v>236279</v>
      </c>
      <c r="G92" s="549">
        <f t="shared" ref="G92:G93" si="9">F92-E92</f>
        <v>90</v>
      </c>
      <c r="H92" s="536">
        <f>G92+'26'!H92</f>
        <v>-291</v>
      </c>
      <c r="I92" s="556"/>
      <c r="J92" s="629">
        <f>H92/DAY(B2)</f>
        <v>-10.777777777777779</v>
      </c>
      <c r="K92" s="468"/>
      <c r="L92" s="408"/>
      <c r="N92" s="413"/>
    </row>
    <row r="93" spans="1:15" ht="27.75">
      <c r="A93" s="1406" t="s">
        <v>218</v>
      </c>
      <c r="B93" s="1407"/>
      <c r="C93" s="1408"/>
      <c r="D93" s="599" t="s">
        <v>155</v>
      </c>
      <c r="E93" s="560">
        <f>'26'!F93</f>
        <v>170468</v>
      </c>
      <c r="F93" s="561">
        <v>170581</v>
      </c>
      <c r="G93" s="549">
        <f t="shared" si="9"/>
        <v>113</v>
      </c>
      <c r="H93" s="536">
        <f>G93+'26'!H93</f>
        <v>-595</v>
      </c>
      <c r="I93" s="556"/>
      <c r="J93" s="629">
        <f>H93/DAY(B2)</f>
        <v>-22.037037037037038</v>
      </c>
      <c r="K93" s="411"/>
      <c r="L93" s="408"/>
      <c r="N93" s="413"/>
    </row>
    <row r="94" spans="1:15">
      <c r="A94" s="1434" t="s">
        <v>219</v>
      </c>
      <c r="B94" s="1435"/>
      <c r="C94" s="1436"/>
      <c r="D94" s="599"/>
      <c r="E94" s="560">
        <f>'26'!F94</f>
        <v>0</v>
      </c>
      <c r="F94" s="554"/>
      <c r="G94" s="549">
        <f>G92+G93</f>
        <v>203</v>
      </c>
      <c r="H94" s="536">
        <f>G94+'26'!H94</f>
        <v>-1173</v>
      </c>
      <c r="I94" s="556"/>
      <c r="J94" s="629">
        <f>H94/DAY(B2)</f>
        <v>-43.444444444444443</v>
      </c>
      <c r="K94" s="411"/>
      <c r="L94" s="408"/>
      <c r="N94" s="413"/>
    </row>
    <row r="95" spans="1:15" ht="27.75">
      <c r="A95" s="1406" t="s">
        <v>220</v>
      </c>
      <c r="B95" s="1407"/>
      <c r="C95" s="1408"/>
      <c r="D95" s="599" t="s">
        <v>155</v>
      </c>
      <c r="E95" s="560">
        <f>'26'!F95</f>
        <v>405574</v>
      </c>
      <c r="F95" s="554">
        <v>405645</v>
      </c>
      <c r="G95" s="549">
        <f t="shared" ref="G95:G100" si="10">F95-E95</f>
        <v>71</v>
      </c>
      <c r="H95" s="536">
        <f>G95+'26'!H95</f>
        <v>-231</v>
      </c>
      <c r="I95" s="556"/>
      <c r="J95" s="629">
        <f>H95/DAY(B2)</f>
        <v>-8.5555555555555554</v>
      </c>
      <c r="K95" s="411"/>
      <c r="L95" s="408"/>
      <c r="N95" s="413"/>
    </row>
    <row r="96" spans="1:15" ht="27.75">
      <c r="A96" s="1231" t="s">
        <v>221</v>
      </c>
      <c r="B96" s="1232"/>
      <c r="C96" s="1232"/>
      <c r="D96" s="599" t="s">
        <v>155</v>
      </c>
      <c r="E96" s="560">
        <f>'26'!F96</f>
        <v>100399</v>
      </c>
      <c r="F96" s="554">
        <v>100414</v>
      </c>
      <c r="G96" s="549">
        <f t="shared" si="10"/>
        <v>15</v>
      </c>
      <c r="H96" s="536">
        <f>G96+'26'!H96</f>
        <v>-120</v>
      </c>
      <c r="I96" s="556"/>
      <c r="J96" s="629">
        <f>H96/DAY(B2)</f>
        <v>-4.4444444444444446</v>
      </c>
      <c r="K96" s="466"/>
      <c r="L96" s="408"/>
      <c r="N96" s="413"/>
    </row>
    <row r="97" spans="1:14" ht="27.75">
      <c r="A97" s="1231" t="s">
        <v>222</v>
      </c>
      <c r="B97" s="1232"/>
      <c r="C97" s="1232"/>
      <c r="D97" s="599" t="s">
        <v>155</v>
      </c>
      <c r="E97" s="560">
        <f>'26'!F97</f>
        <v>95582</v>
      </c>
      <c r="F97" s="554">
        <v>95595</v>
      </c>
      <c r="G97" s="549">
        <f t="shared" si="10"/>
        <v>13</v>
      </c>
      <c r="H97" s="536">
        <f>G97+'26'!H97</f>
        <v>-82</v>
      </c>
      <c r="I97" s="556"/>
      <c r="J97" s="629">
        <f>H97/DAY(B2)</f>
        <v>-3.0370370370370372</v>
      </c>
      <c r="K97" s="471"/>
      <c r="L97" s="408"/>
      <c r="N97" s="889"/>
    </row>
    <row r="98" spans="1:14" ht="27.75">
      <c r="A98" s="1231" t="s">
        <v>223</v>
      </c>
      <c r="B98" s="1232"/>
      <c r="C98" s="1232"/>
      <c r="D98" s="599" t="s">
        <v>155</v>
      </c>
      <c r="E98" s="560">
        <f>'26'!F98</f>
        <v>145234</v>
      </c>
      <c r="F98" s="554">
        <v>145298</v>
      </c>
      <c r="G98" s="549">
        <f t="shared" si="10"/>
        <v>64</v>
      </c>
      <c r="H98" s="536">
        <f>G98+'26'!H98</f>
        <v>-256</v>
      </c>
      <c r="I98" s="556"/>
      <c r="J98" s="629">
        <f>H98/DAY(B2)</f>
        <v>-9.481481481481481</v>
      </c>
      <c r="K98" s="411"/>
      <c r="L98" s="408"/>
      <c r="N98" s="1115"/>
    </row>
    <row r="99" spans="1:14" ht="27.75">
      <c r="A99" s="1231" t="s">
        <v>224</v>
      </c>
      <c r="B99" s="1232"/>
      <c r="C99" s="1232"/>
      <c r="D99" s="599" t="s">
        <v>155</v>
      </c>
      <c r="E99" s="560">
        <f>'26'!F99</f>
        <v>5882</v>
      </c>
      <c r="F99" s="554">
        <v>5914</v>
      </c>
      <c r="G99" s="549">
        <f t="shared" si="10"/>
        <v>32</v>
      </c>
      <c r="H99" s="536">
        <f>G99+'26'!H99</f>
        <v>-60</v>
      </c>
      <c r="I99" s="556"/>
      <c r="J99" s="629">
        <f>H99/DAY(B2)</f>
        <v>-2.2222222222222223</v>
      </c>
      <c r="K99" s="411"/>
      <c r="L99" s="408"/>
      <c r="N99" s="889"/>
    </row>
    <row r="100" spans="1:14" ht="27.75">
      <c r="A100" s="1231" t="s">
        <v>225</v>
      </c>
      <c r="B100" s="1232"/>
      <c r="C100" s="1232"/>
      <c r="D100" s="599" t="s">
        <v>155</v>
      </c>
      <c r="E100" s="560">
        <f>'26'!F100</f>
        <v>4205</v>
      </c>
      <c r="F100" s="554">
        <v>4210</v>
      </c>
      <c r="G100" s="549">
        <f t="shared" si="10"/>
        <v>5</v>
      </c>
      <c r="H100" s="536">
        <f>G100+'26'!H100</f>
        <v>-27</v>
      </c>
      <c r="I100" s="556"/>
      <c r="J100" s="629">
        <f>H100/DAY(B2)</f>
        <v>-1</v>
      </c>
      <c r="K100" s="411"/>
      <c r="L100" s="408"/>
      <c r="N100" s="889"/>
    </row>
    <row r="101" spans="1:14">
      <c r="A101" s="1434" t="s">
        <v>227</v>
      </c>
      <c r="B101" s="1435"/>
      <c r="C101" s="1436"/>
      <c r="D101" s="600"/>
      <c r="E101" s="600"/>
      <c r="F101" s="600"/>
      <c r="G101" s="601">
        <f>SUM(G95:G100)</f>
        <v>200</v>
      </c>
      <c r="H101" s="536">
        <f>G101+'26'!H101</f>
        <v>-776</v>
      </c>
      <c r="I101" s="602"/>
      <c r="J101" s="629">
        <f>H101/DAY(B2)</f>
        <v>-28.74074074074074</v>
      </c>
      <c r="K101" s="411"/>
      <c r="L101" s="408"/>
      <c r="N101" s="889"/>
    </row>
    <row r="102" spans="1:14" s="481" customFormat="1" ht="27">
      <c r="A102" s="684" t="s">
        <v>228</v>
      </c>
      <c r="B102" s="685"/>
      <c r="C102" s="685"/>
      <c r="D102" s="698"/>
      <c r="E102" s="604"/>
      <c r="F102" s="738"/>
      <c r="G102" s="605"/>
      <c r="H102" s="606"/>
      <c r="I102" s="607"/>
      <c r="J102" s="634"/>
      <c r="N102" s="413"/>
    </row>
    <row r="103" spans="1:14" s="481" customFormat="1" ht="27.75">
      <c r="A103" s="1437" t="s">
        <v>229</v>
      </c>
      <c r="B103" s="1438"/>
      <c r="C103" s="650"/>
      <c r="D103" s="699"/>
      <c r="E103" s="608"/>
      <c r="F103" s="739"/>
      <c r="G103" s="608"/>
      <c r="H103" s="609"/>
      <c r="I103" s="608"/>
      <c r="J103" s="635"/>
      <c r="N103" s="413"/>
    </row>
    <row r="104" spans="1:14" s="481" customFormat="1" ht="27.75">
      <c r="A104" s="1398" t="s">
        <v>230</v>
      </c>
      <c r="B104" s="1399"/>
      <c r="C104" s="1230"/>
      <c r="D104" s="699" t="s">
        <v>155</v>
      </c>
      <c r="E104" s="608">
        <f>'26'!F104</f>
        <v>7010</v>
      </c>
      <c r="F104" s="739">
        <v>7010</v>
      </c>
      <c r="G104" s="608">
        <f>F104-E104</f>
        <v>0</v>
      </c>
      <c r="H104" s="609">
        <f>SUM(G104+'1'!G76)</f>
        <v>74</v>
      </c>
      <c r="I104" s="608"/>
      <c r="J104" s="635">
        <f>H104/DAY(B2)</f>
        <v>2.7407407407407409</v>
      </c>
      <c r="N104" s="413"/>
    </row>
    <row r="105" spans="1:14" s="481" customFormat="1" ht="27.75">
      <c r="A105" s="1398" t="s">
        <v>77</v>
      </c>
      <c r="B105" s="1399"/>
      <c r="C105" s="1230"/>
      <c r="D105" s="699" t="s">
        <v>155</v>
      </c>
      <c r="E105" s="608">
        <f>'26'!F105</f>
        <v>35124</v>
      </c>
      <c r="F105" s="887">
        <v>35136</v>
      </c>
      <c r="G105" s="608">
        <f t="shared" ref="G105:G106" si="11">F105-E105</f>
        <v>12</v>
      </c>
      <c r="H105" s="609">
        <f>SUM(G105+'1'!G77)</f>
        <v>60</v>
      </c>
      <c r="I105" s="608"/>
      <c r="J105" s="635">
        <f>H105/DAY(B2)</f>
        <v>2.2222222222222223</v>
      </c>
      <c r="N105" s="413"/>
    </row>
    <row r="106" spans="1:14" s="481" customFormat="1" ht="27.75">
      <c r="A106" s="1398" t="s">
        <v>78</v>
      </c>
      <c r="B106" s="1439"/>
      <c r="C106" s="1399"/>
      <c r="D106" s="699" t="s">
        <v>155</v>
      </c>
      <c r="E106" s="608">
        <f>'26'!F106</f>
        <v>19059</v>
      </c>
      <c r="F106" s="740">
        <v>19066</v>
      </c>
      <c r="G106" s="608">
        <f t="shared" si="11"/>
        <v>7</v>
      </c>
      <c r="H106" s="609">
        <f>SUM(G106+'1'!G78)</f>
        <v>341</v>
      </c>
      <c r="I106" s="608"/>
      <c r="J106" s="635">
        <f>H106/DAY(B2)</f>
        <v>12.62962962962963</v>
      </c>
      <c r="N106" s="413"/>
    </row>
    <row r="107" spans="1:14" s="481" customFormat="1" ht="27.75">
      <c r="A107" s="1400" t="s">
        <v>213</v>
      </c>
      <c r="B107" s="1401"/>
      <c r="C107" s="1230"/>
      <c r="D107" s="699"/>
      <c r="E107" s="608">
        <f>'26'!F107</f>
        <v>0</v>
      </c>
      <c r="F107" s="740"/>
      <c r="G107" s="608">
        <f>SUM(G104:G106)</f>
        <v>19</v>
      </c>
      <c r="H107" s="609">
        <f>SUM(G107+'1'!G79)</f>
        <v>224</v>
      </c>
      <c r="I107" s="608"/>
      <c r="J107" s="635">
        <f>H107/DAY(B2)</f>
        <v>8.2962962962962958</v>
      </c>
      <c r="N107" s="413"/>
    </row>
    <row r="108" spans="1:14" s="481" customFormat="1" ht="27.75">
      <c r="A108" s="1404" t="s">
        <v>79</v>
      </c>
      <c r="B108" s="1405"/>
      <c r="C108" s="1230"/>
      <c r="D108" s="699" t="s">
        <v>155</v>
      </c>
      <c r="E108" s="608">
        <f>'26'!F108</f>
        <v>0</v>
      </c>
      <c r="F108" s="740"/>
      <c r="G108" s="608"/>
      <c r="H108" s="609"/>
      <c r="I108" s="608"/>
      <c r="J108" s="635"/>
      <c r="N108" s="413"/>
    </row>
    <row r="109" spans="1:14" s="481" customFormat="1" ht="27.75">
      <c r="A109" s="1398" t="s">
        <v>231</v>
      </c>
      <c r="B109" s="1399"/>
      <c r="C109" s="1230"/>
      <c r="D109" s="699" t="s">
        <v>155</v>
      </c>
      <c r="E109" s="608">
        <f>'26'!F109</f>
        <v>54397</v>
      </c>
      <c r="F109" s="887">
        <v>54439</v>
      </c>
      <c r="G109" s="608">
        <f>F109-E109</f>
        <v>42</v>
      </c>
      <c r="H109" s="609">
        <f>SUM(G109+'1'!G81)</f>
        <v>118</v>
      </c>
      <c r="I109" s="608"/>
      <c r="J109" s="635">
        <f>H109/DAY(B2)</f>
        <v>4.3703703703703702</v>
      </c>
      <c r="N109" s="413"/>
    </row>
    <row r="110" spans="1:14" s="481" customFormat="1" ht="27.75">
      <c r="A110" s="1398" t="s">
        <v>232</v>
      </c>
      <c r="B110" s="1399"/>
      <c r="C110" s="1230"/>
      <c r="D110" s="699" t="s">
        <v>155</v>
      </c>
      <c r="E110" s="608">
        <f>'26'!F110</f>
        <v>28241</v>
      </c>
      <c r="F110" s="887">
        <v>28300</v>
      </c>
      <c r="G110" s="608">
        <f t="shared" ref="G110:G111" si="12">F110-E110</f>
        <v>59</v>
      </c>
      <c r="H110" s="609">
        <f>SUM(G110+'1'!G82)</f>
        <v>104</v>
      </c>
      <c r="I110" s="608"/>
      <c r="J110" s="635">
        <f>H110/DAY(B2)</f>
        <v>3.8518518518518516</v>
      </c>
      <c r="N110" s="413"/>
    </row>
    <row r="111" spans="1:14" s="481" customFormat="1" ht="27.75">
      <c r="A111" s="1398" t="s">
        <v>233</v>
      </c>
      <c r="B111" s="1399"/>
      <c r="C111" s="1230"/>
      <c r="D111" s="699" t="s">
        <v>155</v>
      </c>
      <c r="E111" s="608">
        <f>'26'!F111</f>
        <v>3721</v>
      </c>
      <c r="F111" s="740">
        <v>3726</v>
      </c>
      <c r="G111" s="610">
        <f t="shared" si="12"/>
        <v>5</v>
      </c>
      <c r="H111" s="609">
        <f>SUM(G111+'1'!G83)</f>
        <v>438</v>
      </c>
      <c r="I111" s="608"/>
      <c r="J111" s="635">
        <f>H111/DAY(B2)</f>
        <v>16.222222222222221</v>
      </c>
      <c r="N111" s="413"/>
    </row>
    <row r="112" spans="1:14" s="481" customFormat="1" ht="27.75">
      <c r="A112" s="1400" t="s">
        <v>121</v>
      </c>
      <c r="B112" s="1401"/>
      <c r="C112" s="1230"/>
      <c r="D112" s="699"/>
      <c r="E112" s="608">
        <f>'26'!F112</f>
        <v>0</v>
      </c>
      <c r="F112" s="740"/>
      <c r="G112" s="608">
        <f>SUM(G109:G111)</f>
        <v>106</v>
      </c>
      <c r="H112" s="609">
        <f>SUM(G112+'1'!G84)</f>
        <v>627</v>
      </c>
      <c r="I112" s="608"/>
      <c r="J112" s="635">
        <f>H112/DAY(B2)</f>
        <v>23.222222222222221</v>
      </c>
      <c r="N112" s="413"/>
    </row>
    <row r="113" spans="1:14" s="481" customFormat="1" ht="27.75">
      <c r="A113" s="1404" t="s">
        <v>234</v>
      </c>
      <c r="B113" s="1405"/>
      <c r="C113" s="1230"/>
      <c r="D113" s="699"/>
      <c r="E113" s="608">
        <f>'26'!F113</f>
        <v>0</v>
      </c>
      <c r="F113" s="740"/>
      <c r="G113" s="608"/>
      <c r="H113" s="609"/>
      <c r="I113" s="608"/>
      <c r="J113" s="635">
        <f>H113/DAY(B2)</f>
        <v>0</v>
      </c>
      <c r="N113" s="413"/>
    </row>
    <row r="114" spans="1:14" s="481" customFormat="1" ht="27.75">
      <c r="A114" s="1398" t="s">
        <v>235</v>
      </c>
      <c r="B114" s="1399"/>
      <c r="C114" s="651"/>
      <c r="D114" s="699" t="s">
        <v>155</v>
      </c>
      <c r="E114" s="608">
        <f>'26'!F114</f>
        <v>9693</v>
      </c>
      <c r="F114" s="740">
        <v>9730</v>
      </c>
      <c r="G114" s="610">
        <f>F114-E114</f>
        <v>37</v>
      </c>
      <c r="H114" s="609">
        <f>SUM(G114+'1'!G91)</f>
        <v>37</v>
      </c>
      <c r="I114" s="608"/>
      <c r="J114" s="635">
        <f>H114/DAY(B2)</f>
        <v>1.3703703703703705</v>
      </c>
      <c r="N114" s="413"/>
    </row>
    <row r="115" spans="1:14" s="481" customFormat="1" ht="27.75">
      <c r="A115" s="1398" t="s">
        <v>236</v>
      </c>
      <c r="B115" s="1399"/>
      <c r="C115" s="651"/>
      <c r="D115" s="699" t="s">
        <v>155</v>
      </c>
      <c r="E115" s="608">
        <f>'26'!F115</f>
        <v>7398</v>
      </c>
      <c r="F115" s="740">
        <v>7403</v>
      </c>
      <c r="G115" s="610">
        <f t="shared" ref="G115:G116" si="13">F115-E115</f>
        <v>5</v>
      </c>
      <c r="H115" s="609">
        <f>SUM(G115+'1'!G92)</f>
        <v>92</v>
      </c>
      <c r="I115" s="608"/>
      <c r="J115" s="635">
        <f>H115/DAY(B2)</f>
        <v>3.4074074074074074</v>
      </c>
      <c r="N115" s="413"/>
    </row>
    <row r="116" spans="1:14" s="481" customFormat="1" ht="27.75">
      <c r="A116" s="1398" t="s">
        <v>237</v>
      </c>
      <c r="B116" s="1399"/>
      <c r="C116" s="651"/>
      <c r="D116" s="699" t="s">
        <v>155</v>
      </c>
      <c r="E116" s="610"/>
      <c r="F116" s="740"/>
      <c r="G116" s="610">
        <f t="shared" si="13"/>
        <v>0</v>
      </c>
      <c r="H116" s="609">
        <f>SUM(G116+'1'!G93)</f>
        <v>200</v>
      </c>
      <c r="I116" s="608"/>
      <c r="J116" s="635">
        <f>H116/DAY(B2)</f>
        <v>7.4074074074074074</v>
      </c>
      <c r="N116" s="413"/>
    </row>
    <row r="117" spans="1:14" s="494" customFormat="1" ht="27.75">
      <c r="A117" s="1400" t="s">
        <v>213</v>
      </c>
      <c r="B117" s="1401"/>
      <c r="C117" s="651"/>
      <c r="D117" s="700"/>
      <c r="E117" s="610"/>
      <c r="F117" s="740"/>
      <c r="G117" s="610">
        <f>SUM(G114:G116)</f>
        <v>42</v>
      </c>
      <c r="H117" s="609">
        <f>SUM(G117+'1'!G95)</f>
        <v>114</v>
      </c>
      <c r="I117" s="610"/>
      <c r="J117" s="635">
        <f>H117/DAY(B2)</f>
        <v>4.2222222222222223</v>
      </c>
      <c r="N117" s="413"/>
    </row>
    <row r="118" spans="1:14" s="495" customFormat="1" ht="27.75">
      <c r="A118" s="1394" t="s">
        <v>238</v>
      </c>
      <c r="B118" s="1395"/>
      <c r="C118" s="1228"/>
      <c r="D118" s="701" t="s">
        <v>155</v>
      </c>
      <c r="E118" s="612"/>
      <c r="F118" s="741">
        <f>SUM(G19+G92)</f>
        <v>144</v>
      </c>
      <c r="G118" s="612">
        <f>SUM(G19+G92)</f>
        <v>144</v>
      </c>
      <c r="H118" s="609">
        <f>SUM(G118+'1'!G96)</f>
        <v>167</v>
      </c>
      <c r="I118" s="611"/>
      <c r="J118" s="636">
        <f>H118/DAY(B2)</f>
        <v>6.1851851851851851</v>
      </c>
      <c r="N118" s="413"/>
    </row>
    <row r="119" spans="1:14" s="495" customFormat="1" ht="27.75">
      <c r="A119" s="1394" t="s">
        <v>239</v>
      </c>
      <c r="B119" s="1395"/>
      <c r="C119" s="1228"/>
      <c r="D119" s="701" t="s">
        <v>155</v>
      </c>
      <c r="E119" s="612"/>
      <c r="F119" s="741">
        <f>SUM(G95,G96,G97,G99,G100)</f>
        <v>136</v>
      </c>
      <c r="G119" s="612">
        <f>SUM(G95,G96,G97,G99,G100)</f>
        <v>136</v>
      </c>
      <c r="H119" s="609">
        <f>SUM(G119+'1'!G98)</f>
        <v>219</v>
      </c>
      <c r="I119" s="611"/>
      <c r="J119" s="636">
        <f>H119/DAY(B2)</f>
        <v>8.1111111111111107</v>
      </c>
      <c r="N119" s="413"/>
    </row>
    <row r="120" spans="1:14" s="495" customFormat="1" ht="27.75">
      <c r="A120" s="1394" t="s">
        <v>240</v>
      </c>
      <c r="B120" s="1395"/>
      <c r="C120" s="1228"/>
      <c r="D120" s="701" t="s">
        <v>155</v>
      </c>
      <c r="E120" s="610"/>
      <c r="F120" s="740">
        <f>SUM(G112)</f>
        <v>106</v>
      </c>
      <c r="G120" s="610">
        <f>SUM(G112)</f>
        <v>106</v>
      </c>
      <c r="H120" s="609">
        <f>SUM(G120+'1'!G100)</f>
        <v>112</v>
      </c>
      <c r="I120" s="611"/>
      <c r="J120" s="636">
        <f>H120/DAY(B2)</f>
        <v>4.1481481481481479</v>
      </c>
      <c r="N120" s="413"/>
    </row>
    <row r="121" spans="1:14" s="481" customFormat="1" ht="27.75">
      <c r="A121" s="1396"/>
      <c r="B121" s="1397"/>
      <c r="C121" s="1229"/>
      <c r="D121" s="637"/>
      <c r="E121" s="637"/>
      <c r="F121" s="742" t="s">
        <v>226</v>
      </c>
      <c r="G121" s="637"/>
      <c r="H121" s="638"/>
      <c r="I121" s="637"/>
      <c r="J121" s="639"/>
      <c r="N121" s="413"/>
    </row>
    <row r="122" spans="1:14">
      <c r="A122" s="1431" t="s">
        <v>241</v>
      </c>
      <c r="B122" s="1432"/>
      <c r="C122" s="1433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</row>
    <row r="123" spans="1:14" ht="27.75">
      <c r="A123" s="1231" t="s">
        <v>242</v>
      </c>
      <c r="B123" s="1232"/>
      <c r="C123" s="1232"/>
      <c r="D123" s="599" t="s">
        <v>152</v>
      </c>
      <c r="E123" s="554">
        <f>'26'!F123</f>
        <v>802022.35</v>
      </c>
      <c r="F123" s="554">
        <v>802272.96</v>
      </c>
      <c r="G123" s="549">
        <f t="shared" ref="G123:G127" si="14">F123-E123</f>
        <v>250.60999999998603</v>
      </c>
      <c r="H123" s="536">
        <f>G123+'26'!H123</f>
        <v>-1062.4400000000605</v>
      </c>
      <c r="I123" s="602">
        <f>G123/5</f>
        <v>50.121999999997207</v>
      </c>
      <c r="J123" s="629">
        <f>H123/DAY(B2)</f>
        <v>-39.34962962963187</v>
      </c>
      <c r="K123" s="411"/>
      <c r="L123" s="408"/>
      <c r="N123" s="413"/>
    </row>
    <row r="124" spans="1:14" ht="27.75">
      <c r="A124" s="1231" t="s">
        <v>243</v>
      </c>
      <c r="B124" s="1232"/>
      <c r="C124" s="1232"/>
      <c r="D124" s="599" t="s">
        <v>152</v>
      </c>
      <c r="E124" s="554">
        <f>'26'!F124</f>
        <v>73582</v>
      </c>
      <c r="F124" s="703">
        <v>73582</v>
      </c>
      <c r="G124" s="549">
        <f t="shared" si="14"/>
        <v>0</v>
      </c>
      <c r="H124" s="536">
        <f>G124+'26'!H124</f>
        <v>0</v>
      </c>
      <c r="I124" s="602"/>
      <c r="J124" s="629">
        <f>H124/DAY(B2)</f>
        <v>0</v>
      </c>
      <c r="K124" s="411"/>
      <c r="L124" s="408"/>
      <c r="N124" s="413"/>
    </row>
    <row r="125" spans="1:14" ht="27.75">
      <c r="A125" s="1385" t="s">
        <v>244</v>
      </c>
      <c r="B125" s="1386"/>
      <c r="C125" s="1387"/>
      <c r="D125" s="599" t="s">
        <v>152</v>
      </c>
      <c r="E125" s="554">
        <f>'26'!F125</f>
        <v>137549.56</v>
      </c>
      <c r="F125" s="561">
        <v>137610</v>
      </c>
      <c r="G125" s="549">
        <f t="shared" si="14"/>
        <v>60.440000000002328</v>
      </c>
      <c r="H125" s="536">
        <f>G125+'26'!H125</f>
        <v>-238</v>
      </c>
      <c r="I125" s="602"/>
      <c r="J125" s="629">
        <f>H125/DAY(B2)</f>
        <v>-8.8148148148148149</v>
      </c>
      <c r="K125" s="411"/>
      <c r="L125" s="408"/>
      <c r="N125" s="413"/>
    </row>
    <row r="126" spans="1:14" ht="27.75">
      <c r="A126" s="686" t="s">
        <v>245</v>
      </c>
      <c r="B126" s="1232"/>
      <c r="C126" s="1232"/>
      <c r="D126" s="599" t="s">
        <v>152</v>
      </c>
      <c r="E126" s="554">
        <f>'26'!F126</f>
        <v>58247</v>
      </c>
      <c r="F126" s="703">
        <v>58268</v>
      </c>
      <c r="G126" s="549">
        <f t="shared" si="14"/>
        <v>21</v>
      </c>
      <c r="H126" s="536">
        <f>G126+'26'!H126</f>
        <v>-123.69999999999709</v>
      </c>
      <c r="I126" s="602"/>
      <c r="J126" s="629">
        <f>H126/DAY(B2)</f>
        <v>-4.581481481481374</v>
      </c>
      <c r="K126" s="411"/>
      <c r="L126" s="408"/>
      <c r="N126" s="413"/>
    </row>
    <row r="127" spans="1:14" ht="27.75">
      <c r="A127" s="686" t="s">
        <v>246</v>
      </c>
      <c r="B127" s="1232"/>
      <c r="C127" s="1232"/>
      <c r="D127" s="599" t="s">
        <v>152</v>
      </c>
      <c r="E127" s="554">
        <f>'26'!F127</f>
        <v>8800</v>
      </c>
      <c r="F127" s="703">
        <v>8803</v>
      </c>
      <c r="G127" s="549">
        <f t="shared" si="14"/>
        <v>3</v>
      </c>
      <c r="H127" s="536">
        <f>G127+'26'!H127</f>
        <v>-13</v>
      </c>
      <c r="I127" s="556"/>
      <c r="J127" s="629">
        <f>H127/DAY(B2)</f>
        <v>-0.48148148148148145</v>
      </c>
      <c r="K127" s="411"/>
      <c r="L127" s="408"/>
      <c r="N127" s="413"/>
    </row>
    <row r="128" spans="1:14" s="281" customFormat="1" ht="27.75">
      <c r="A128" s="686" t="s">
        <v>247</v>
      </c>
      <c r="B128" s="1232"/>
      <c r="C128" s="1232"/>
      <c r="D128" s="599"/>
      <c r="E128" s="554"/>
      <c r="F128" s="554"/>
      <c r="G128" s="549">
        <f>G15-SUM(G123:G127)</f>
        <v>508.88999999995576</v>
      </c>
      <c r="H128" s="536">
        <f>G128+'26'!H128</f>
        <v>-8656.5100000001657</v>
      </c>
      <c r="I128" s="556"/>
      <c r="J128" s="629">
        <f>H128/DAY(B2)</f>
        <v>-320.6114814814876</v>
      </c>
      <c r="K128" s="391"/>
      <c r="L128" s="293"/>
      <c r="N128" s="413"/>
    </row>
    <row r="129" spans="1:14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</row>
    <row r="130" spans="1:14" ht="27.75">
      <c r="A130" s="1231" t="s">
        <v>249</v>
      </c>
      <c r="B130" s="1232"/>
      <c r="C130" s="1232"/>
      <c r="D130" s="599" t="s">
        <v>250</v>
      </c>
      <c r="E130" s="560">
        <f>'26'!F130</f>
        <v>0</v>
      </c>
      <c r="F130" s="554">
        <v>0</v>
      </c>
      <c r="G130" s="549">
        <f t="shared" ref="G130:G140" si="15">F130-E130</f>
        <v>0</v>
      </c>
      <c r="H130" s="536">
        <f>G130+'26'!H130</f>
        <v>0</v>
      </c>
      <c r="I130" s="556"/>
      <c r="J130" s="629">
        <f>H130/DAY(B2)</f>
        <v>0</v>
      </c>
      <c r="N130" s="413"/>
    </row>
    <row r="131" spans="1:14" ht="27.75">
      <c r="A131" s="1231" t="s">
        <v>251</v>
      </c>
      <c r="B131" s="1232"/>
      <c r="C131" s="1232"/>
      <c r="D131" s="599" t="s">
        <v>250</v>
      </c>
      <c r="E131" s="560">
        <f>'26'!F131</f>
        <v>0</v>
      </c>
      <c r="F131" s="554">
        <v>0</v>
      </c>
      <c r="G131" s="549">
        <f t="shared" si="15"/>
        <v>0</v>
      </c>
      <c r="H131" s="536">
        <f>G131+'26'!H131</f>
        <v>0</v>
      </c>
      <c r="I131" s="556"/>
      <c r="J131" s="629">
        <f>H131/DAY(B2)</f>
        <v>0</v>
      </c>
      <c r="N131" s="413"/>
    </row>
    <row r="132" spans="1:14" ht="27.75">
      <c r="A132" s="1231" t="s">
        <v>252</v>
      </c>
      <c r="B132" s="1232"/>
      <c r="C132" s="1232"/>
      <c r="D132" s="599" t="s">
        <v>250</v>
      </c>
      <c r="E132" s="560">
        <f>'26'!F132</f>
        <v>38984.400000000001</v>
      </c>
      <c r="F132" s="561">
        <v>39008.67</v>
      </c>
      <c r="G132" s="549">
        <f t="shared" si="15"/>
        <v>24.269999999996799</v>
      </c>
      <c r="H132" s="536">
        <f>G132+'26'!H132</f>
        <v>290.27999999999156</v>
      </c>
      <c r="I132" s="556"/>
      <c r="J132" s="629">
        <f>H132/DAY(B2)</f>
        <v>10.751111111110799</v>
      </c>
      <c r="N132" s="413"/>
    </row>
    <row r="133" spans="1:14" ht="27.75">
      <c r="A133" s="1231" t="s">
        <v>253</v>
      </c>
      <c r="B133" s="1232"/>
      <c r="C133" s="1232"/>
      <c r="D133" s="599" t="s">
        <v>250</v>
      </c>
      <c r="E133" s="560">
        <f>'26'!F133</f>
        <v>299</v>
      </c>
      <c r="F133" s="732">
        <v>299</v>
      </c>
      <c r="G133" s="549">
        <f t="shared" si="15"/>
        <v>0</v>
      </c>
      <c r="H133" s="536">
        <f>G133+'26'!H133</f>
        <v>0</v>
      </c>
      <c r="I133" s="556">
        <f>G130+G131+G132+G133</f>
        <v>24.269999999996799</v>
      </c>
      <c r="J133" s="629">
        <f>H133/DAY(B2)</f>
        <v>0</v>
      </c>
      <c r="N133" s="413"/>
    </row>
    <row r="134" spans="1:14" ht="27.75">
      <c r="A134" s="1231" t="s">
        <v>254</v>
      </c>
      <c r="B134" s="1232"/>
      <c r="C134" s="1232"/>
      <c r="D134" s="599" t="s">
        <v>250</v>
      </c>
      <c r="E134" s="560">
        <f>'26'!F134</f>
        <v>39951</v>
      </c>
      <c r="F134" s="561">
        <v>39951</v>
      </c>
      <c r="G134" s="549">
        <f t="shared" si="15"/>
        <v>0</v>
      </c>
      <c r="H134" s="536">
        <f>G134+'26'!H134</f>
        <v>23.94999999999709</v>
      </c>
      <c r="I134" s="556"/>
      <c r="J134" s="629">
        <f>H134/DAY(B2)</f>
        <v>0.88703703703692927</v>
      </c>
      <c r="N134" s="413"/>
    </row>
    <row r="135" spans="1:14" ht="27.75">
      <c r="A135" s="1231" t="s">
        <v>255</v>
      </c>
      <c r="B135" s="1232"/>
      <c r="C135" s="1232"/>
      <c r="D135" s="599" t="s">
        <v>250</v>
      </c>
      <c r="E135" s="560">
        <f>'26'!F135</f>
        <v>32423</v>
      </c>
      <c r="F135" s="561">
        <v>32423</v>
      </c>
      <c r="G135" s="549">
        <f t="shared" si="15"/>
        <v>0</v>
      </c>
      <c r="H135" s="536">
        <f>G135+'26'!H135</f>
        <v>13</v>
      </c>
      <c r="I135" s="556"/>
      <c r="J135" s="629">
        <f>H135/DAY(B2)</f>
        <v>0.48148148148148145</v>
      </c>
      <c r="N135" s="413"/>
    </row>
    <row r="136" spans="1:14" ht="27.75">
      <c r="A136" s="1231" t="s">
        <v>256</v>
      </c>
      <c r="B136" s="1232"/>
      <c r="C136" s="1232"/>
      <c r="D136" s="599" t="s">
        <v>250</v>
      </c>
      <c r="E136" s="560">
        <f>'26'!F136</f>
        <v>21970.38</v>
      </c>
      <c r="F136" s="561">
        <v>21979.81</v>
      </c>
      <c r="G136" s="549">
        <f t="shared" si="15"/>
        <v>9.430000000000291</v>
      </c>
      <c r="H136" s="536">
        <f>G136+'26'!H136</f>
        <v>-22.149999999997817</v>
      </c>
      <c r="I136" s="556">
        <f>G134+G135+G136</f>
        <v>9.430000000000291</v>
      </c>
      <c r="J136" s="629">
        <f>H136/DAY(B2)</f>
        <v>-0.82037037037028948</v>
      </c>
      <c r="N136" s="413"/>
    </row>
    <row r="137" spans="1:14" ht="27.75">
      <c r="A137" s="1231" t="s">
        <v>257</v>
      </c>
      <c r="B137" s="1232"/>
      <c r="C137" s="1232"/>
      <c r="D137" s="599" t="s">
        <v>250</v>
      </c>
      <c r="E137" s="560">
        <f>'26'!F137</f>
        <v>25019.94</v>
      </c>
      <c r="F137" s="732">
        <v>25019.94</v>
      </c>
      <c r="G137" s="549">
        <f t="shared" si="15"/>
        <v>0</v>
      </c>
      <c r="H137" s="536">
        <f>G137+'26'!H137</f>
        <v>8</v>
      </c>
      <c r="I137" s="556"/>
      <c r="J137" s="629">
        <f>H137/DAY(B2)</f>
        <v>0.29629629629629628</v>
      </c>
      <c r="N137" s="413"/>
    </row>
    <row r="138" spans="1:14" ht="27.75">
      <c r="A138" s="1231" t="s">
        <v>258</v>
      </c>
      <c r="B138" s="1232"/>
      <c r="C138" s="1232"/>
      <c r="D138" s="599" t="s">
        <v>250</v>
      </c>
      <c r="E138" s="560">
        <f>'26'!F138</f>
        <v>70059.78</v>
      </c>
      <c r="F138" s="561">
        <v>70059.78</v>
      </c>
      <c r="G138" s="549">
        <f t="shared" si="15"/>
        <v>0</v>
      </c>
      <c r="H138" s="536">
        <f>G138+'26'!H138</f>
        <v>16.979999999995925</v>
      </c>
      <c r="I138" s="556">
        <f>G137+G138</f>
        <v>0</v>
      </c>
      <c r="J138" s="629">
        <f>H138/DAY(B2)</f>
        <v>0.62888888888873795</v>
      </c>
      <c r="N138" s="413"/>
    </row>
    <row r="139" spans="1:14" ht="27.75">
      <c r="A139" s="1231" t="s">
        <v>259</v>
      </c>
      <c r="B139" s="1232"/>
      <c r="C139" s="1232"/>
      <c r="D139" s="599" t="s">
        <v>250</v>
      </c>
      <c r="E139" s="560">
        <f>'26'!F139</f>
        <v>1162.04</v>
      </c>
      <c r="F139" s="561">
        <v>1169.32</v>
      </c>
      <c r="G139" s="549">
        <f t="shared" si="15"/>
        <v>7.2799999999999727</v>
      </c>
      <c r="H139" s="536">
        <f>G139+'26'!H139</f>
        <v>-31.269999999999982</v>
      </c>
      <c r="I139" s="619"/>
      <c r="J139" s="629">
        <f>H139/DAY(B2)</f>
        <v>-1.1581481481481475</v>
      </c>
      <c r="N139" s="413"/>
    </row>
    <row r="140" spans="1:14" ht="27.75">
      <c r="A140" s="1231" t="s">
        <v>260</v>
      </c>
      <c r="B140" s="1232"/>
      <c r="C140" s="1232"/>
      <c r="D140" s="599" t="s">
        <v>250</v>
      </c>
      <c r="E140" s="560">
        <f>'26'!F140</f>
        <v>4333.53</v>
      </c>
      <c r="F140" s="554">
        <v>4333.53</v>
      </c>
      <c r="G140" s="549">
        <f t="shared" si="15"/>
        <v>0</v>
      </c>
      <c r="H140" s="536">
        <f>G140+'26'!H140</f>
        <v>-0.47000000000025466</v>
      </c>
      <c r="I140" s="619"/>
      <c r="J140" s="629">
        <f>H140/DAY(B2)</f>
        <v>-1.740740740741684E-2</v>
      </c>
      <c r="N140" s="413"/>
    </row>
    <row r="141" spans="1:14">
      <c r="A141" s="1412" t="s">
        <v>261</v>
      </c>
      <c r="B141" s="1413"/>
      <c r="C141" s="1237"/>
      <c r="D141" s="548"/>
      <c r="E141" s="548"/>
      <c r="F141" s="548" t="s">
        <v>226</v>
      </c>
      <c r="G141" s="559"/>
      <c r="H141" s="559"/>
      <c r="I141" s="559"/>
      <c r="J141" s="640"/>
      <c r="K141" s="411"/>
      <c r="L141" s="408"/>
      <c r="N141" s="413"/>
    </row>
    <row r="142" spans="1:14" ht="27.75">
      <c r="A142" s="1406" t="s">
        <v>262</v>
      </c>
      <c r="B142" s="1407"/>
      <c r="C142" s="1408"/>
      <c r="D142" s="599" t="s">
        <v>143</v>
      </c>
      <c r="E142" s="599"/>
      <c r="F142" s="599"/>
      <c r="G142" s="536">
        <f>G35+G43+G49+G57</f>
        <v>5507.5499999999884</v>
      </c>
      <c r="H142" s="536">
        <f>G142+'26'!H142</f>
        <v>-23241</v>
      </c>
      <c r="I142" s="556"/>
      <c r="J142" s="629">
        <f>H142/DAY(B2)</f>
        <v>-860.77777777777783</v>
      </c>
      <c r="K142" s="411"/>
      <c r="L142" s="408"/>
      <c r="N142" s="413"/>
    </row>
    <row r="143" spans="1:14" ht="27.75">
      <c r="A143" s="1406" t="s">
        <v>263</v>
      </c>
      <c r="B143" s="1407"/>
      <c r="C143" s="1408"/>
      <c r="D143" s="599" t="s">
        <v>24</v>
      </c>
      <c r="E143" s="587"/>
      <c r="F143" s="587"/>
      <c r="G143" s="620">
        <f>G142/G7</f>
        <v>0.2939554867634494</v>
      </c>
      <c r="H143" s="536">
        <f>G143+'26'!H143</f>
        <v>6.9360320131786439</v>
      </c>
      <c r="I143" s="621"/>
      <c r="J143" s="629">
        <f>H143/DAY(B2)</f>
        <v>0.256890074562172</v>
      </c>
      <c r="K143" s="411"/>
      <c r="L143" s="408"/>
      <c r="N143" s="413"/>
    </row>
    <row r="144" spans="1:14" ht="27.75">
      <c r="A144" s="1406" t="s">
        <v>264</v>
      </c>
      <c r="B144" s="1407"/>
      <c r="C144" s="1408"/>
      <c r="D144" s="599" t="s">
        <v>143</v>
      </c>
      <c r="E144" s="531"/>
      <c r="F144" s="531"/>
      <c r="G144" s="536">
        <f>G41+G42+G55+G56</f>
        <v>3663.5099999999984</v>
      </c>
      <c r="H144" s="536">
        <f>G144+'26'!H144</f>
        <v>49220.719999999987</v>
      </c>
      <c r="I144" s="556"/>
      <c r="J144" s="629">
        <f>H144/DAY(B2)</f>
        <v>1822.9896296296292</v>
      </c>
      <c r="K144" s="411"/>
      <c r="L144" s="408"/>
      <c r="N144" s="413"/>
    </row>
    <row r="145" spans="1:14" ht="27.75">
      <c r="A145" s="1406" t="s">
        <v>265</v>
      </c>
      <c r="B145" s="1407"/>
      <c r="C145" s="1408"/>
      <c r="D145" s="599" t="s">
        <v>24</v>
      </c>
      <c r="E145" s="531"/>
      <c r="F145" s="531"/>
      <c r="G145" s="620">
        <f>G144/G7</f>
        <v>0.1955331981212638</v>
      </c>
      <c r="H145" s="536">
        <f>G145+'26'!H145</f>
        <v>5.7104863548241918</v>
      </c>
      <c r="I145" s="621"/>
      <c r="J145" s="629">
        <f>H145/DAY(B2)</f>
        <v>0.21149949462311821</v>
      </c>
      <c r="K145" s="411"/>
      <c r="L145" s="408"/>
      <c r="N145" s="413"/>
    </row>
    <row r="146" spans="1:14" ht="27.75">
      <c r="A146" s="1406" t="s">
        <v>266</v>
      </c>
      <c r="B146" s="1407"/>
      <c r="C146" s="1408"/>
      <c r="D146" s="599" t="s">
        <v>143</v>
      </c>
      <c r="E146" s="531"/>
      <c r="F146" s="531"/>
      <c r="G146" s="536">
        <f>G39+G53</f>
        <v>4080.1500000000233</v>
      </c>
      <c r="H146" s="536">
        <f>G146+'26'!H146</f>
        <v>895755.73</v>
      </c>
      <c r="I146" s="622"/>
      <c r="J146" s="629">
        <f>H146/DAY(B2)</f>
        <v>33176.138148148144</v>
      </c>
      <c r="K146" s="411"/>
      <c r="L146" s="408"/>
      <c r="N146" s="413"/>
    </row>
    <row r="147" spans="1:14" ht="27.75">
      <c r="A147" s="1406" t="s">
        <v>267</v>
      </c>
      <c r="B147" s="1407"/>
      <c r="C147" s="1408"/>
      <c r="D147" s="599" t="s">
        <v>24</v>
      </c>
      <c r="E147" s="531"/>
      <c r="F147" s="531"/>
      <c r="G147" s="620">
        <f>G146/G7</f>
        <v>0.21777060204953155</v>
      </c>
      <c r="H147" s="536">
        <f>G147+'26'!H147</f>
        <v>4.3185472429845433</v>
      </c>
      <c r="I147" s="622"/>
      <c r="J147" s="629">
        <f>H147/DAY(B2)</f>
        <v>0.15994619418461273</v>
      </c>
      <c r="N147" s="413"/>
    </row>
    <row r="148" spans="1:14" ht="27.75">
      <c r="A148" s="1406" t="s">
        <v>268</v>
      </c>
      <c r="B148" s="1407"/>
      <c r="C148" s="1408"/>
      <c r="D148" s="599" t="s">
        <v>194</v>
      </c>
      <c r="E148" s="531"/>
      <c r="F148" s="531"/>
      <c r="G148" s="536">
        <f>G38+G52</f>
        <v>1764.1599999999744</v>
      </c>
      <c r="H148" s="536">
        <f>G148+'26'!H148</f>
        <v>142920.24</v>
      </c>
      <c r="I148" s="556"/>
      <c r="J148" s="629">
        <f>H148/DAY(B2)</f>
        <v>5293.3422222222216</v>
      </c>
      <c r="K148" s="412"/>
      <c r="N148" s="413"/>
    </row>
    <row r="149" spans="1:14" ht="27.75">
      <c r="A149" s="1406" t="s">
        <v>269</v>
      </c>
      <c r="B149" s="1407"/>
      <c r="C149" s="1408"/>
      <c r="D149" s="599" t="s">
        <v>24</v>
      </c>
      <c r="E149" s="531"/>
      <c r="F149" s="531"/>
      <c r="G149" s="620">
        <f>G148/G7</f>
        <v>9.4158838599486247E-2</v>
      </c>
      <c r="H149" s="536">
        <f>G149+'26'!H149</f>
        <v>2.5333348116424528</v>
      </c>
      <c r="I149" s="622"/>
      <c r="J149" s="629">
        <f>H149/DAY(B2)</f>
        <v>9.3827215246016768E-2</v>
      </c>
      <c r="N149" s="413"/>
    </row>
    <row r="150" spans="1:14" ht="27.75">
      <c r="A150" s="1406" t="s">
        <v>270</v>
      </c>
      <c r="B150" s="1407"/>
      <c r="C150" s="1408"/>
      <c r="D150" s="599" t="s">
        <v>194</v>
      </c>
      <c r="E150" s="531"/>
      <c r="F150" s="531"/>
      <c r="G150" s="536">
        <f>G36+G50</f>
        <v>1654.0199999999604</v>
      </c>
      <c r="H150" s="536">
        <f>G150+'26'!H150</f>
        <v>-7148.0300000000279</v>
      </c>
      <c r="I150" s="622"/>
      <c r="J150" s="629">
        <f>H150/DAY(B2)</f>
        <v>-264.74185185185291</v>
      </c>
      <c r="N150" s="413"/>
    </row>
    <row r="151" spans="1:14" ht="27.75">
      <c r="A151" s="1406" t="s">
        <v>271</v>
      </c>
      <c r="B151" s="1407"/>
      <c r="C151" s="1408"/>
      <c r="D151" s="599" t="s">
        <v>24</v>
      </c>
      <c r="E151" s="531"/>
      <c r="F151" s="531"/>
      <c r="G151" s="620">
        <f>G150/G7</f>
        <v>8.8280315969254938E-2</v>
      </c>
      <c r="H151" s="536">
        <f>G151+'26'!H151</f>
        <v>2.6020256758626901</v>
      </c>
      <c r="I151" s="556"/>
      <c r="J151" s="629">
        <f>H151/DAY(B2)</f>
        <v>9.6371321328247786E-2</v>
      </c>
      <c r="N151" s="413"/>
    </row>
    <row r="152" spans="1:14" ht="27.75">
      <c r="A152" s="1406" t="s">
        <v>272</v>
      </c>
      <c r="B152" s="1407"/>
      <c r="C152" s="1408"/>
      <c r="D152" s="599" t="s">
        <v>194</v>
      </c>
      <c r="E152" s="531"/>
      <c r="F152" s="531"/>
      <c r="G152" s="536">
        <f>G37+G51</f>
        <v>1436.5399999999936</v>
      </c>
      <c r="H152" s="536">
        <f>G152+'26'!H152</f>
        <v>408992.79999999993</v>
      </c>
      <c r="I152" s="556"/>
      <c r="J152" s="629">
        <f>H152/DAY(B2)</f>
        <v>15147.88148148148</v>
      </c>
      <c r="N152" s="413"/>
    </row>
    <row r="153" spans="1:14" ht="28.5" thickBot="1">
      <c r="A153" s="1409" t="s">
        <v>273</v>
      </c>
      <c r="B153" s="1410"/>
      <c r="C153" s="1411"/>
      <c r="D153" s="702" t="s">
        <v>24</v>
      </c>
      <c r="E153" s="642"/>
      <c r="F153" s="642"/>
      <c r="G153" s="643">
        <f>G152/G7</f>
        <v>7.6672715627668322E-2</v>
      </c>
      <c r="H153" s="536">
        <f>G153+'26'!H153</f>
        <v>1.3798336577534369</v>
      </c>
      <c r="I153" s="645"/>
      <c r="J153" s="646">
        <f>H153/DAY(B2)</f>
        <v>5.110495028716433E-2</v>
      </c>
      <c r="N153" s="413"/>
    </row>
    <row r="154" spans="1:14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413"/>
    </row>
    <row r="160" spans="1:14">
      <c r="A160" s="868" t="s">
        <v>274</v>
      </c>
      <c r="B160" s="869"/>
      <c r="C160" s="869"/>
      <c r="D160" s="587" t="s">
        <v>198</v>
      </c>
      <c r="E160" s="618">
        <f>'26'!F160</f>
        <v>28023.95</v>
      </c>
      <c r="F160" s="739">
        <v>28105.57</v>
      </c>
      <c r="G160" s="549">
        <f t="shared" ref="G160:G163" si="16">F160-E160</f>
        <v>81.619999999998981</v>
      </c>
    </row>
    <row r="161" spans="1:7">
      <c r="A161" s="868" t="s">
        <v>275</v>
      </c>
      <c r="B161" s="869"/>
      <c r="C161" s="869"/>
      <c r="D161" s="587" t="s">
        <v>198</v>
      </c>
      <c r="E161" s="618">
        <f>'26'!F161</f>
        <v>40378</v>
      </c>
      <c r="F161" s="739">
        <v>40826.79</v>
      </c>
      <c r="G161" s="549">
        <f t="shared" si="16"/>
        <v>448.79000000000087</v>
      </c>
    </row>
    <row r="162" spans="1:7">
      <c r="A162" s="868" t="s">
        <v>276</v>
      </c>
      <c r="B162" s="869"/>
      <c r="C162" s="869"/>
      <c r="D162" s="587" t="s">
        <v>198</v>
      </c>
      <c r="E162" s="618">
        <f>'26'!F162</f>
        <v>11645</v>
      </c>
      <c r="F162" s="739">
        <v>11859.34</v>
      </c>
      <c r="G162" s="549">
        <f t="shared" si="16"/>
        <v>214.34000000000015</v>
      </c>
    </row>
    <row r="163" spans="1:7">
      <c r="A163" s="868" t="s">
        <v>277</v>
      </c>
      <c r="B163" s="869"/>
      <c r="C163" s="869"/>
      <c r="D163" s="587" t="s">
        <v>198</v>
      </c>
      <c r="E163" s="618">
        <f>'26'!F163</f>
        <v>4903.9799999999996</v>
      </c>
      <c r="F163" s="739">
        <v>4929.76</v>
      </c>
      <c r="G163" s="549">
        <f t="shared" si="16"/>
        <v>25.780000000000655</v>
      </c>
    </row>
    <row r="164" spans="1:7">
      <c r="A164" s="870" t="s">
        <v>106</v>
      </c>
      <c r="B164" s="681"/>
      <c r="C164" s="681"/>
      <c r="D164" s="587" t="s">
        <v>198</v>
      </c>
      <c r="E164" s="590">
        <f>E62</f>
        <v>20419.18</v>
      </c>
      <c r="F164" s="590">
        <f>F62</f>
        <v>20419.18</v>
      </c>
      <c r="G164" s="549">
        <f t="shared" ref="G164:G171" si="17">F164-E164</f>
        <v>0</v>
      </c>
    </row>
    <row r="165" spans="1:7">
      <c r="A165" s="870" t="s">
        <v>199</v>
      </c>
      <c r="B165" s="681"/>
      <c r="C165" s="681"/>
      <c r="D165" s="587" t="s">
        <v>198</v>
      </c>
      <c r="E165" s="590">
        <f t="shared" ref="E165:E171" si="18">E63</f>
        <v>1273.71</v>
      </c>
      <c r="F165" s="590">
        <f t="shared" ref="F165:F171" si="19">F63</f>
        <v>1283</v>
      </c>
      <c r="G165" s="549">
        <f t="shared" si="17"/>
        <v>9.2899999999999636</v>
      </c>
    </row>
    <row r="166" spans="1:7" ht="27.75">
      <c r="A166" s="1381" t="s">
        <v>107</v>
      </c>
      <c r="B166" s="1381"/>
      <c r="C166" s="1381"/>
      <c r="D166" s="599" t="s">
        <v>198</v>
      </c>
      <c r="E166" s="590">
        <f t="shared" si="18"/>
        <v>109117</v>
      </c>
      <c r="F166" s="590">
        <f t="shared" si="19"/>
        <v>109552.79</v>
      </c>
      <c r="G166" s="549">
        <f t="shared" si="17"/>
        <v>435.7899999999936</v>
      </c>
    </row>
    <row r="167" spans="1:7" ht="27.75">
      <c r="A167" s="1381" t="s">
        <v>108</v>
      </c>
      <c r="B167" s="1381"/>
      <c r="C167" s="1381"/>
      <c r="D167" s="599" t="s">
        <v>198</v>
      </c>
      <c r="E167" s="590">
        <f t="shared" si="18"/>
        <v>119779.76</v>
      </c>
      <c r="F167" s="590">
        <f t="shared" si="19"/>
        <v>120175</v>
      </c>
      <c r="G167" s="549">
        <f t="shared" si="17"/>
        <v>395.24000000000524</v>
      </c>
    </row>
    <row r="168" spans="1:7" ht="27.75">
      <c r="A168" s="1381" t="s">
        <v>109</v>
      </c>
      <c r="B168" s="1381"/>
      <c r="C168" s="1381"/>
      <c r="D168" s="599" t="s">
        <v>198</v>
      </c>
      <c r="E168" s="590">
        <f t="shared" si="18"/>
        <v>12070.5</v>
      </c>
      <c r="F168" s="590">
        <f t="shared" si="19"/>
        <v>12487.61</v>
      </c>
      <c r="G168" s="549">
        <f t="shared" si="17"/>
        <v>417.11000000000058</v>
      </c>
    </row>
    <row r="169" spans="1:7" ht="27.75">
      <c r="A169" s="1381" t="s">
        <v>110</v>
      </c>
      <c r="B169" s="1381"/>
      <c r="C169" s="1381"/>
      <c r="D169" s="599" t="s">
        <v>198</v>
      </c>
      <c r="E169" s="590">
        <f t="shared" si="18"/>
        <v>185312.69</v>
      </c>
      <c r="F169" s="590">
        <f t="shared" si="19"/>
        <v>185945</v>
      </c>
      <c r="G169" s="549">
        <f t="shared" si="17"/>
        <v>632.30999999999767</v>
      </c>
    </row>
    <row r="170" spans="1:7" ht="27.75">
      <c r="A170" s="1381" t="s">
        <v>111</v>
      </c>
      <c r="B170" s="1381"/>
      <c r="C170" s="1381"/>
      <c r="D170" s="599" t="s">
        <v>198</v>
      </c>
      <c r="E170" s="590">
        <f t="shared" si="18"/>
        <v>61723.94</v>
      </c>
      <c r="F170" s="590">
        <f t="shared" si="19"/>
        <v>62030</v>
      </c>
      <c r="G170" s="549">
        <f t="shared" si="17"/>
        <v>306.05999999999767</v>
      </c>
    </row>
    <row r="171" spans="1:7" ht="27.75">
      <c r="A171" s="1381" t="s">
        <v>112</v>
      </c>
      <c r="B171" s="1381"/>
      <c r="C171" s="1381"/>
      <c r="D171" s="599" t="s">
        <v>198</v>
      </c>
      <c r="E171" s="590">
        <f t="shared" si="18"/>
        <v>54165</v>
      </c>
      <c r="F171" s="590">
        <f t="shared" si="19"/>
        <v>54472.81</v>
      </c>
      <c r="G171" s="549">
        <f t="shared" si="17"/>
        <v>307.80999999999767</v>
      </c>
    </row>
    <row r="172" spans="1:7">
      <c r="G172" s="616">
        <f>SUM(G160:G171)</f>
        <v>3274.1399999999931</v>
      </c>
    </row>
  </sheetData>
  <mergeCells count="74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1:J71"/>
    <mergeCell ref="A70:C70"/>
    <mergeCell ref="A75:C75"/>
    <mergeCell ref="A76:C76"/>
    <mergeCell ref="A77:C77"/>
    <mergeCell ref="A79:C79"/>
    <mergeCell ref="A80:C80"/>
    <mergeCell ref="A93:C93"/>
    <mergeCell ref="A94:C94"/>
    <mergeCell ref="A95:C95"/>
    <mergeCell ref="A81:C81"/>
    <mergeCell ref="A82:C82"/>
    <mergeCell ref="A83:C83"/>
    <mergeCell ref="A92:C92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152:C152"/>
    <mergeCell ref="A153:C153"/>
    <mergeCell ref="A143:C143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71:C171"/>
    <mergeCell ref="A166:C166"/>
    <mergeCell ref="A167:C167"/>
    <mergeCell ref="A168:C168"/>
    <mergeCell ref="A169:C169"/>
    <mergeCell ref="A170:C170"/>
  </mergeCells>
  <pageMargins left="0.23622047244094491" right="0.15748031496062992" top="0.15748031496062992" bottom="0.19685039370078741" header="0.19685039370078741" footer="0.19685039370078741"/>
  <pageSetup paperSize="5" scale="23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72"/>
  <sheetViews>
    <sheetView view="pageBreakPreview" zoomScale="55" zoomScaleNormal="80" zoomScaleSheetLayoutView="55" workbookViewId="0">
      <selection activeCell="F28" sqref="F28"/>
    </sheetView>
  </sheetViews>
  <sheetFormatPr defaultColWidth="22.33203125" defaultRowHeight="29.25"/>
  <cols>
    <col min="1" max="1" width="51.21875" style="530" customWidth="1"/>
    <col min="2" max="2" width="25.88671875" style="533" customWidth="1"/>
    <col min="3" max="3" width="15.88671875" style="533" customWidth="1"/>
    <col min="4" max="4" width="13.6640625" style="614" customWidth="1"/>
    <col min="5" max="5" width="30" style="616" customWidth="1"/>
    <col min="6" max="6" width="30" style="838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1190" customWidth="1"/>
    <col min="15" max="17" width="22.33203125" style="852"/>
    <col min="18" max="16384" width="22.33203125" style="407"/>
  </cols>
  <sheetData>
    <row r="1" spans="1:17" ht="33.75">
      <c r="A1" s="1414" t="s">
        <v>128</v>
      </c>
      <c r="B1" s="1415"/>
      <c r="C1" s="1415"/>
      <c r="D1" s="1415"/>
      <c r="E1" s="1415"/>
      <c r="F1" s="1415"/>
      <c r="G1" s="1415"/>
      <c r="H1" s="1415"/>
      <c r="I1" s="1415"/>
      <c r="J1" s="1416"/>
    </row>
    <row r="2" spans="1:17" s="281" customFormat="1" ht="27">
      <c r="A2" s="652" t="s">
        <v>334</v>
      </c>
      <c r="B2" s="891">
        <v>43858</v>
      </c>
      <c r="C2" s="1233" t="s">
        <v>69</v>
      </c>
      <c r="D2" s="688">
        <v>0.52</v>
      </c>
      <c r="E2" s="818"/>
      <c r="F2" s="818"/>
      <c r="G2" s="537" t="s">
        <v>129</v>
      </c>
      <c r="H2" s="537" t="s">
        <v>6</v>
      </c>
      <c r="I2" s="537" t="s">
        <v>8</v>
      </c>
      <c r="J2" s="690" t="s">
        <v>130</v>
      </c>
      <c r="N2" s="1190"/>
      <c r="O2" s="852"/>
      <c r="P2" s="852"/>
      <c r="Q2" s="852"/>
    </row>
    <row r="3" spans="1:17" s="281" customFormat="1" ht="27">
      <c r="A3" s="647"/>
      <c r="B3" s="691"/>
      <c r="C3" s="1233" t="s">
        <v>131</v>
      </c>
      <c r="D3" s="689">
        <v>23</v>
      </c>
      <c r="E3" s="1423" t="s">
        <v>132</v>
      </c>
      <c r="F3" s="1424"/>
      <c r="G3" s="538"/>
      <c r="H3" s="539"/>
      <c r="I3" s="539"/>
      <c r="J3" s="692"/>
      <c r="K3" s="402"/>
      <c r="L3" s="293"/>
      <c r="N3" s="1190"/>
      <c r="O3" s="852"/>
      <c r="P3" s="852"/>
      <c r="Q3" s="852"/>
    </row>
    <row r="4" spans="1:17" s="281" customFormat="1" ht="27">
      <c r="A4" s="653"/>
      <c r="B4" s="693"/>
      <c r="C4" s="1233" t="s">
        <v>133</v>
      </c>
      <c r="D4" s="688">
        <v>0.77</v>
      </c>
      <c r="E4" s="539"/>
      <c r="F4" s="539"/>
      <c r="G4" s="540"/>
      <c r="H4" s="540"/>
      <c r="I4" s="541"/>
      <c r="J4" s="692"/>
      <c r="K4" s="403"/>
      <c r="L4" s="293"/>
      <c r="N4" s="1190"/>
      <c r="O4" s="852"/>
      <c r="P4" s="854"/>
      <c r="Q4" s="852"/>
    </row>
    <row r="5" spans="1:17">
      <c r="A5" s="654" t="s">
        <v>134</v>
      </c>
      <c r="B5" s="535"/>
      <c r="C5" s="535"/>
      <c r="D5" s="587" t="s">
        <v>135</v>
      </c>
      <c r="E5" s="590" t="s">
        <v>136</v>
      </c>
      <c r="F5" s="590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  <c r="P5" s="854"/>
    </row>
    <row r="6" spans="1:17">
      <c r="A6" s="1417" t="s">
        <v>141</v>
      </c>
      <c r="B6" s="1418"/>
      <c r="C6" s="1419"/>
      <c r="D6" s="547"/>
      <c r="E6" s="571"/>
      <c r="F6" s="571"/>
      <c r="G6" s="547"/>
      <c r="H6" s="548"/>
      <c r="I6" s="548"/>
      <c r="J6" s="628"/>
      <c r="K6" s="466"/>
      <c r="L6" s="408"/>
      <c r="M6" s="407">
        <v>1691553</v>
      </c>
    </row>
    <row r="7" spans="1:17" ht="30" thickBot="1">
      <c r="A7" s="757" t="s">
        <v>142</v>
      </c>
      <c r="B7" s="758"/>
      <c r="C7" s="758"/>
      <c r="D7" s="715" t="s">
        <v>143</v>
      </c>
      <c r="E7" s="760">
        <f>'27'!F7</f>
        <v>3812715</v>
      </c>
      <c r="F7" s="536">
        <v>3832072</v>
      </c>
      <c r="G7" s="759">
        <f>F7-E7</f>
        <v>19357</v>
      </c>
      <c r="H7" s="760">
        <f>G7+'27'!H7</f>
        <v>-56126</v>
      </c>
      <c r="I7" s="761">
        <f>'1'!I7</f>
        <v>12000</v>
      </c>
      <c r="J7" s="762">
        <f>H7/DAY(B2)</f>
        <v>-2004.5</v>
      </c>
      <c r="K7" s="626"/>
      <c r="L7" s="408"/>
      <c r="N7" s="1191">
        <f>F7-'1'!E7</f>
        <v>-56126</v>
      </c>
    </row>
    <row r="8" spans="1:17" ht="27.75" thickBot="1">
      <c r="A8" s="763" t="s">
        <v>144</v>
      </c>
      <c r="B8" s="764"/>
      <c r="C8" s="765"/>
      <c r="D8" s="766" t="s">
        <v>25</v>
      </c>
      <c r="E8" s="760">
        <f>'27'!F8</f>
        <v>3836612</v>
      </c>
      <c r="F8" s="819">
        <v>3856131</v>
      </c>
      <c r="G8" s="770">
        <f>F8-E8</f>
        <v>19519</v>
      </c>
      <c r="H8" s="760">
        <f>G8+'27'!H8</f>
        <v>-56720</v>
      </c>
      <c r="I8" s="767">
        <f>'1'!I8</f>
        <v>12000</v>
      </c>
      <c r="J8" s="762">
        <f>H8/DAY(B2)</f>
        <v>-2025.7142857142858</v>
      </c>
      <c r="K8" s="626"/>
      <c r="L8" s="464">
        <v>1375467</v>
      </c>
      <c r="M8" s="479">
        <v>1703438</v>
      </c>
      <c r="N8" s="1191">
        <f>F8-'1'!E8</f>
        <v>-56720</v>
      </c>
    </row>
    <row r="9" spans="1:17">
      <c r="A9" s="768" t="s">
        <v>145</v>
      </c>
      <c r="B9" s="769"/>
      <c r="C9" s="769"/>
      <c r="D9" s="715" t="s">
        <v>143</v>
      </c>
      <c r="E9" s="760">
        <f>'27'!F9</f>
        <v>2510077</v>
      </c>
      <c r="F9" s="820">
        <v>2516698.5</v>
      </c>
      <c r="G9" s="783">
        <f t="shared" ref="G9:G12" si="0">F9-E9</f>
        <v>6621.5</v>
      </c>
      <c r="H9" s="760">
        <f>G9+'27'!H9</f>
        <v>2553810.75</v>
      </c>
      <c r="I9" s="771">
        <f>I8-J8</f>
        <v>14025.714285714286</v>
      </c>
      <c r="J9" s="762">
        <f>H9/DAY(B2)</f>
        <v>91207.52678571429</v>
      </c>
      <c r="K9" s="467"/>
      <c r="L9" s="408"/>
      <c r="N9" s="1191">
        <f>F9-'1'!E9</f>
        <v>-18430</v>
      </c>
    </row>
    <row r="10" spans="1:17">
      <c r="A10" s="757" t="s">
        <v>146</v>
      </c>
      <c r="B10" s="758"/>
      <c r="C10" s="758"/>
      <c r="D10" s="715" t="s">
        <v>143</v>
      </c>
      <c r="E10" s="760">
        <f>'27'!F10</f>
        <v>1153011</v>
      </c>
      <c r="F10" s="820">
        <v>1165093.3999999999</v>
      </c>
      <c r="G10" s="770">
        <f t="shared" si="0"/>
        <v>12082.399999999907</v>
      </c>
      <c r="H10" s="760">
        <f>G10+'27'!H10</f>
        <v>-35781</v>
      </c>
      <c r="I10" s="772"/>
      <c r="J10" s="762">
        <f>H10/DAY(B2)</f>
        <v>-1277.8928571428571</v>
      </c>
      <c r="K10" s="467"/>
      <c r="L10" s="408"/>
      <c r="M10" s="407">
        <f>170</f>
        <v>170</v>
      </c>
      <c r="N10" s="1191">
        <f>F10-'1'!E10</f>
        <v>-35781</v>
      </c>
    </row>
    <row r="11" spans="1:17">
      <c r="A11" s="757" t="s">
        <v>147</v>
      </c>
      <c r="B11" s="758"/>
      <c r="C11" s="758"/>
      <c r="D11" s="715" t="s">
        <v>143</v>
      </c>
      <c r="E11" s="760">
        <f>'27'!F11</f>
        <v>35390</v>
      </c>
      <c r="F11" s="536">
        <v>35390</v>
      </c>
      <c r="G11" s="770">
        <f t="shared" si="0"/>
        <v>0</v>
      </c>
      <c r="H11" s="760">
        <f>G11+'27'!H11</f>
        <v>0</v>
      </c>
      <c r="I11" s="772"/>
      <c r="J11" s="762">
        <f>H11/DAY(B2)</f>
        <v>0</v>
      </c>
      <c r="K11" s="467"/>
      <c r="L11" s="408"/>
      <c r="N11" s="1191">
        <f>F11-'1'!E11</f>
        <v>0</v>
      </c>
    </row>
    <row r="12" spans="1:17">
      <c r="A12" s="757" t="s">
        <v>148</v>
      </c>
      <c r="B12" s="758"/>
      <c r="C12" s="758"/>
      <c r="D12" s="715" t="s">
        <v>143</v>
      </c>
      <c r="E12" s="760">
        <f>'27'!F12</f>
        <v>37630</v>
      </c>
      <c r="F12" s="820">
        <v>37630</v>
      </c>
      <c r="G12" s="770">
        <f t="shared" si="0"/>
        <v>0</v>
      </c>
      <c r="H12" s="760">
        <f>G12+'27'!H12</f>
        <v>0</v>
      </c>
      <c r="I12" s="772"/>
      <c r="J12" s="762">
        <f>H12/DAY(B2)</f>
        <v>0</v>
      </c>
      <c r="K12" s="467"/>
      <c r="L12" s="408"/>
      <c r="N12" s="1191">
        <f>F12-'1'!E12</f>
        <v>0</v>
      </c>
    </row>
    <row r="13" spans="1:17">
      <c r="A13" s="773" t="s">
        <v>149</v>
      </c>
      <c r="B13" s="774"/>
      <c r="C13" s="774"/>
      <c r="D13" s="715"/>
      <c r="E13" s="760"/>
      <c r="F13" s="536"/>
      <c r="G13" s="775">
        <f>G9+G10+G11+G12</f>
        <v>18703.899999999907</v>
      </c>
      <c r="H13" s="760">
        <f>G13+'27'!H13</f>
        <v>2499723.7500000005</v>
      </c>
      <c r="I13" s="776">
        <f>G7-G13</f>
        <v>653.10000000009313</v>
      </c>
      <c r="J13" s="762">
        <f>H13/DAY(B2)</f>
        <v>89275.848214285725</v>
      </c>
      <c r="K13" s="467"/>
      <c r="L13" s="408"/>
      <c r="N13" s="1191">
        <f>F13-'1'!E13</f>
        <v>0</v>
      </c>
    </row>
    <row r="14" spans="1:17">
      <c r="A14" s="1420" t="s">
        <v>150</v>
      </c>
      <c r="B14" s="1421"/>
      <c r="C14" s="1422"/>
      <c r="D14" s="548"/>
      <c r="E14" s="821"/>
      <c r="F14" s="821"/>
      <c r="G14" s="559"/>
      <c r="H14" s="548"/>
      <c r="I14" s="548"/>
      <c r="J14" s="628"/>
      <c r="K14" s="468"/>
      <c r="L14" s="408"/>
      <c r="N14" s="1191">
        <f>F14-'1'!E14</f>
        <v>0</v>
      </c>
    </row>
    <row r="15" spans="1:17">
      <c r="A15" s="746" t="s">
        <v>151</v>
      </c>
      <c r="B15" s="747"/>
      <c r="C15" s="747"/>
      <c r="D15" s="748" t="s">
        <v>152</v>
      </c>
      <c r="E15" s="839">
        <f>'27'!F15</f>
        <v>1591639.94</v>
      </c>
      <c r="F15" s="822">
        <v>1592074</v>
      </c>
      <c r="G15" s="745">
        <f>(F15-E15)</f>
        <v>434.06000000005588</v>
      </c>
      <c r="H15" s="1176">
        <f>G15+'27'!H15</f>
        <v>-2363.1499999999069</v>
      </c>
      <c r="I15" s="1177">
        <v>800</v>
      </c>
      <c r="J15" s="1178">
        <f>H15/DAY(B2)</f>
        <v>-84.398214285710964</v>
      </c>
      <c r="K15" s="467"/>
      <c r="L15" s="408"/>
      <c r="N15" s="1191">
        <f>F15-'1'!E15</f>
        <v>-2363.1499999999069</v>
      </c>
    </row>
    <row r="16" spans="1:17">
      <c r="A16" s="754"/>
      <c r="B16" s="755"/>
      <c r="C16" s="755"/>
      <c r="D16" s="748"/>
      <c r="E16" s="839"/>
      <c r="F16" s="822"/>
      <c r="G16" s="750"/>
      <c r="H16" s="1176"/>
      <c r="I16" s="1179">
        <f>I15-J15</f>
        <v>884.39821428571099</v>
      </c>
      <c r="J16" s="1178"/>
      <c r="K16" s="467"/>
      <c r="L16" s="408"/>
      <c r="N16" s="1191">
        <f>F16-'1'!E16</f>
        <v>0</v>
      </c>
    </row>
    <row r="17" spans="1:17">
      <c r="A17" s="1420" t="s">
        <v>153</v>
      </c>
      <c r="B17" s="1421"/>
      <c r="C17" s="1422"/>
      <c r="D17" s="548"/>
      <c r="E17" s="821"/>
      <c r="F17" s="821"/>
      <c r="G17" s="564"/>
      <c r="H17" s="548"/>
      <c r="I17" s="548"/>
      <c r="J17" s="628"/>
      <c r="K17" s="467"/>
      <c r="L17" s="408"/>
      <c r="N17" s="1191">
        <f>F17-'1'!E17</f>
        <v>0</v>
      </c>
    </row>
    <row r="18" spans="1:17" ht="27.75">
      <c r="A18" s="1446" t="s">
        <v>154</v>
      </c>
      <c r="B18" s="1447"/>
      <c r="C18" s="1448"/>
      <c r="D18" s="715" t="s">
        <v>155</v>
      </c>
      <c r="E18" s="840">
        <f>'27'!F18</f>
        <v>12</v>
      </c>
      <c r="F18" s="820">
        <v>12</v>
      </c>
      <c r="G18" s="775">
        <f>F18*10</f>
        <v>120</v>
      </c>
      <c r="H18" s="760">
        <f>G18+'27'!H18</f>
        <v>4320</v>
      </c>
      <c r="I18" s="761">
        <f>'1'!I18</f>
        <v>65</v>
      </c>
      <c r="J18" s="762">
        <f>H18/DAY(B2)</f>
        <v>154.28571428571428</v>
      </c>
      <c r="K18" s="467"/>
      <c r="L18" s="408"/>
      <c r="N18" s="1191">
        <f>F18-'1'!E18</f>
        <v>0</v>
      </c>
    </row>
    <row r="19" spans="1:17" ht="27.75">
      <c r="A19" s="1446" t="s">
        <v>71</v>
      </c>
      <c r="B19" s="1447"/>
      <c r="C19" s="1448"/>
      <c r="D19" s="715" t="s">
        <v>155</v>
      </c>
      <c r="E19" s="840">
        <f>'27'!F19</f>
        <v>132839</v>
      </c>
      <c r="F19" s="820">
        <v>132892</v>
      </c>
      <c r="G19" s="770">
        <f t="shared" ref="G19" si="1">F19-E19</f>
        <v>53</v>
      </c>
      <c r="H19" s="760">
        <f>G19+'27'!H19</f>
        <v>-156</v>
      </c>
      <c r="I19" s="777"/>
      <c r="J19" s="762">
        <f>H19/DAY(B2)</f>
        <v>-5.5714285714285712</v>
      </c>
      <c r="K19" s="467"/>
      <c r="L19" s="408"/>
      <c r="N19" s="1191">
        <f>F19-'1'!E19</f>
        <v>-156</v>
      </c>
    </row>
    <row r="20" spans="1:17">
      <c r="A20" s="773" t="s">
        <v>156</v>
      </c>
      <c r="B20" s="774"/>
      <c r="C20" s="774"/>
      <c r="D20" s="715"/>
      <c r="E20" s="760"/>
      <c r="F20" s="536"/>
      <c r="G20" s="778">
        <f>G18+G19</f>
        <v>173</v>
      </c>
      <c r="H20" s="760">
        <f>G20+'27'!H20</f>
        <v>4164</v>
      </c>
      <c r="I20" s="779">
        <f>I18-J20</f>
        <v>-83.714285714285722</v>
      </c>
      <c r="J20" s="762">
        <f>H20/DAY(B2)</f>
        <v>148.71428571428572</v>
      </c>
      <c r="K20" s="467"/>
      <c r="L20" s="408"/>
      <c r="N20" s="1191">
        <f>F20-'1'!E20</f>
        <v>0</v>
      </c>
    </row>
    <row r="21" spans="1:17">
      <c r="A21" s="1420" t="s">
        <v>157</v>
      </c>
      <c r="B21" s="1421"/>
      <c r="C21" s="1422"/>
      <c r="D21" s="548"/>
      <c r="E21" s="821"/>
      <c r="F21" s="821"/>
      <c r="G21" s="559"/>
      <c r="H21" s="548"/>
      <c r="I21" s="548"/>
      <c r="J21" s="628"/>
      <c r="K21" s="467"/>
      <c r="L21" s="408"/>
      <c r="N21" s="1191">
        <f>F21-'1'!E21</f>
        <v>0</v>
      </c>
    </row>
    <row r="22" spans="1:17">
      <c r="A22" s="1231" t="s">
        <v>158</v>
      </c>
      <c r="B22" s="666"/>
      <c r="C22" s="666"/>
      <c r="D22" s="599" t="s">
        <v>159</v>
      </c>
      <c r="E22" s="841">
        <f>'27'!F22</f>
        <v>2970</v>
      </c>
      <c r="F22" s="820">
        <v>2970</v>
      </c>
      <c r="G22" s="557">
        <f t="shared" ref="G22" si="2">(F22-E22)</f>
        <v>0</v>
      </c>
      <c r="H22" s="536">
        <f>G22+'27'!H22</f>
        <v>0</v>
      </c>
      <c r="I22" s="556"/>
      <c r="J22" s="629">
        <f>H22/DAY(B2)</f>
        <v>0</v>
      </c>
      <c r="K22" s="467"/>
      <c r="L22" s="408"/>
      <c r="N22" s="1191">
        <f>F22-'1'!E22</f>
        <v>720</v>
      </c>
    </row>
    <row r="23" spans="1:17">
      <c r="A23" s="1231" t="s">
        <v>160</v>
      </c>
      <c r="B23" s="666"/>
      <c r="C23" s="666"/>
      <c r="D23" s="599" t="s">
        <v>159</v>
      </c>
      <c r="E23" s="841">
        <f>'27'!F23</f>
        <v>1900</v>
      </c>
      <c r="F23" s="820">
        <v>1900</v>
      </c>
      <c r="G23" s="557">
        <v>0</v>
      </c>
      <c r="H23" s="536">
        <f>G23+'27'!H23</f>
        <v>0</v>
      </c>
      <c r="I23" s="556"/>
      <c r="J23" s="629">
        <f>H23/DAY(B2)</f>
        <v>0</v>
      </c>
      <c r="K23" s="467"/>
      <c r="L23" s="408"/>
      <c r="N23" s="1191">
        <f>F23-'1'!E23</f>
        <v>-100</v>
      </c>
    </row>
    <row r="24" spans="1:17">
      <c r="A24" s="667" t="s">
        <v>161</v>
      </c>
      <c r="B24" s="668"/>
      <c r="C24" s="668"/>
      <c r="D24" s="587" t="s">
        <v>159</v>
      </c>
      <c r="E24" s="842">
        <f>'27'!F24</f>
        <v>4970</v>
      </c>
      <c r="F24" s="823">
        <v>4970</v>
      </c>
      <c r="G24" s="557">
        <v>0</v>
      </c>
      <c r="H24" s="536">
        <f>G24+'27'!H24</f>
        <v>0</v>
      </c>
      <c r="I24" s="556"/>
      <c r="J24" s="629">
        <f>H24/DAY(B2)</f>
        <v>0</v>
      </c>
      <c r="K24" s="467"/>
      <c r="L24" s="408"/>
      <c r="N24" s="1191">
        <f>F24-'1'!E24</f>
        <v>720</v>
      </c>
    </row>
    <row r="25" spans="1:17" s="481" customFormat="1" ht="27">
      <c r="A25" s="1425" t="s">
        <v>162</v>
      </c>
      <c r="B25" s="1426"/>
      <c r="C25" s="1427"/>
      <c r="D25" s="547"/>
      <c r="E25" s="571"/>
      <c r="F25" s="571"/>
      <c r="G25" s="570"/>
      <c r="H25" s="571"/>
      <c r="I25" s="572"/>
      <c r="J25" s="631"/>
      <c r="K25" s="404"/>
      <c r="L25" s="484"/>
      <c r="N25" s="1191">
        <f>F25-'1'!E25</f>
        <v>0</v>
      </c>
      <c r="O25" s="852"/>
      <c r="P25" s="852"/>
      <c r="Q25" s="852"/>
    </row>
    <row r="26" spans="1:17" s="481" customFormat="1" ht="27">
      <c r="A26" s="669" t="s">
        <v>163</v>
      </c>
      <c r="B26" s="670"/>
      <c r="C26" s="671"/>
      <c r="D26" s="695" t="s">
        <v>164</v>
      </c>
      <c r="E26" s="843"/>
      <c r="F26" s="536"/>
      <c r="G26" s="574"/>
      <c r="H26" s="536"/>
      <c r="I26" s="575"/>
      <c r="J26" s="629"/>
      <c r="K26" s="405"/>
      <c r="L26" s="484"/>
      <c r="N26" s="1191">
        <f>F26-'1'!E26</f>
        <v>0</v>
      </c>
      <c r="O26" s="852"/>
      <c r="P26" s="852"/>
      <c r="Q26" s="852"/>
    </row>
    <row r="27" spans="1:17" s="481" customFormat="1" ht="27">
      <c r="A27" s="669" t="s">
        <v>6</v>
      </c>
      <c r="B27" s="670"/>
      <c r="C27" s="671"/>
      <c r="D27" s="696" t="s">
        <v>25</v>
      </c>
      <c r="E27" s="780">
        <f>G8</f>
        <v>19519</v>
      </c>
      <c r="F27" s="577">
        <v>9</v>
      </c>
      <c r="G27" s="578">
        <f>E27*F27</f>
        <v>175671</v>
      </c>
      <c r="H27" s="536">
        <f>G27+'27'!H27</f>
        <v>-510480</v>
      </c>
      <c r="I27" s="579"/>
      <c r="J27" s="629">
        <f>H27/DAY(B2)</f>
        <v>-18231.428571428572</v>
      </c>
      <c r="K27" s="404"/>
      <c r="L27" s="484"/>
      <c r="N27" s="1191">
        <f>F27-'1'!E27</f>
        <v>-19465</v>
      </c>
      <c r="O27" s="852"/>
      <c r="P27" s="852"/>
      <c r="Q27" s="852"/>
    </row>
    <row r="28" spans="1:17" s="481" customFormat="1" ht="27">
      <c r="A28" s="669" t="s">
        <v>165</v>
      </c>
      <c r="B28" s="670"/>
      <c r="C28" s="671"/>
      <c r="D28" s="696" t="s">
        <v>166</v>
      </c>
      <c r="E28" s="780">
        <f>G15</f>
        <v>434.06000000005588</v>
      </c>
      <c r="F28" s="577">
        <v>43.5</v>
      </c>
      <c r="G28" s="578">
        <f>E28*F28</f>
        <v>18881.610000002431</v>
      </c>
      <c r="H28" s="536">
        <f>G28+'27'!H28</f>
        <v>-102797.02499999595</v>
      </c>
      <c r="I28" s="581"/>
      <c r="J28" s="629">
        <f>H28/DAY(B2)</f>
        <v>-3671.3223214284267</v>
      </c>
      <c r="K28" s="404"/>
      <c r="L28" s="484"/>
      <c r="N28" s="1191">
        <f>F28-'1'!E28</f>
        <v>-754.45000000018626</v>
      </c>
      <c r="O28" s="852"/>
      <c r="P28" s="852"/>
      <c r="Q28" s="852"/>
    </row>
    <row r="29" spans="1:17" s="481" customFormat="1" ht="27">
      <c r="A29" s="669" t="s">
        <v>167</v>
      </c>
      <c r="B29" s="670"/>
      <c r="C29" s="671"/>
      <c r="D29" s="696" t="s">
        <v>168</v>
      </c>
      <c r="E29" s="780">
        <f>G24</f>
        <v>0</v>
      </c>
      <c r="F29" s="780">
        <v>69</v>
      </c>
      <c r="G29" s="578">
        <f>E29*F29</f>
        <v>0</v>
      </c>
      <c r="H29" s="536">
        <f>G29+'27'!H29</f>
        <v>162150</v>
      </c>
      <c r="I29" s="581"/>
      <c r="J29" s="629">
        <f>H29/DAY(B2)</f>
        <v>5791.0714285714284</v>
      </c>
      <c r="K29" s="404"/>
      <c r="L29" s="484"/>
      <c r="N29" s="1191">
        <f>F29-'1'!E29</f>
        <v>69</v>
      </c>
      <c r="O29" s="852"/>
      <c r="P29" s="852"/>
      <c r="Q29" s="852"/>
    </row>
    <row r="30" spans="1:17" s="481" customFormat="1" ht="27">
      <c r="A30" s="669" t="s">
        <v>169</v>
      </c>
      <c r="B30" s="670"/>
      <c r="C30" s="671"/>
      <c r="D30" s="696" t="s">
        <v>170</v>
      </c>
      <c r="E30" s="780">
        <f>G19</f>
        <v>53</v>
      </c>
      <c r="F30" s="780">
        <v>134</v>
      </c>
      <c r="G30" s="578">
        <f>E30*F30</f>
        <v>7102</v>
      </c>
      <c r="H30" s="536">
        <f>G30+'27'!H30</f>
        <v>-20904</v>
      </c>
      <c r="I30" s="581"/>
      <c r="J30" s="629">
        <f>H30/DAY(B2)</f>
        <v>-746.57142857142856</v>
      </c>
      <c r="K30" s="404"/>
      <c r="L30" s="484"/>
      <c r="N30" s="1191">
        <f>F30-'1'!E30</f>
        <v>83</v>
      </c>
      <c r="O30" s="852"/>
      <c r="P30" s="852"/>
      <c r="Q30" s="852"/>
    </row>
    <row r="31" spans="1:17" s="481" customFormat="1" ht="27">
      <c r="A31" s="669" t="s">
        <v>171</v>
      </c>
      <c r="B31" s="670"/>
      <c r="C31" s="671"/>
      <c r="D31" s="696" t="s">
        <v>155</v>
      </c>
      <c r="E31" s="780">
        <f>G18</f>
        <v>120</v>
      </c>
      <c r="F31" s="780">
        <v>80</v>
      </c>
      <c r="G31" s="578">
        <f>E31*F31</f>
        <v>9600</v>
      </c>
      <c r="H31" s="536">
        <f>G31+'27'!H31</f>
        <v>345600</v>
      </c>
      <c r="I31" s="581"/>
      <c r="J31" s="629"/>
      <c r="K31" s="404"/>
      <c r="L31" s="484"/>
      <c r="N31" s="1191">
        <f>F31-'1'!E31</f>
        <v>-40</v>
      </c>
      <c r="O31" s="852"/>
      <c r="P31" s="852"/>
      <c r="Q31" s="852"/>
    </row>
    <row r="32" spans="1:17" s="481" customFormat="1" ht="27">
      <c r="A32" s="672" t="s">
        <v>172</v>
      </c>
      <c r="B32" s="673"/>
      <c r="C32" s="674"/>
      <c r="D32" s="583"/>
      <c r="E32" s="844"/>
      <c r="F32" s="562"/>
      <c r="G32" s="584">
        <f>G27+G28+G29+G30+G31</f>
        <v>211254.61000000243</v>
      </c>
      <c r="H32" s="536">
        <f>G32+'27'!H32</f>
        <v>-126431.02499999572</v>
      </c>
      <c r="I32" s="585"/>
      <c r="J32" s="629">
        <f>H32/DAY(B2)</f>
        <v>-4515.3937499998474</v>
      </c>
      <c r="K32" s="404"/>
      <c r="L32" s="484"/>
      <c r="N32" s="1191">
        <f>F32-'1'!E32</f>
        <v>0</v>
      </c>
      <c r="O32" s="852"/>
      <c r="P32" s="852"/>
      <c r="Q32" s="852"/>
    </row>
    <row r="33" spans="1:14" ht="25.5">
      <c r="A33" s="1428" t="s">
        <v>173</v>
      </c>
      <c r="B33" s="1429"/>
      <c r="C33" s="1429"/>
      <c r="D33" s="1429"/>
      <c r="E33" s="1429"/>
      <c r="F33" s="1429"/>
      <c r="G33" s="1429"/>
      <c r="H33" s="1429"/>
      <c r="I33" s="1429"/>
      <c r="J33" s="1430"/>
      <c r="K33" s="467"/>
      <c r="L33" s="408"/>
      <c r="N33" s="1191">
        <f>F33-'1'!E33</f>
        <v>0</v>
      </c>
    </row>
    <row r="34" spans="1:14">
      <c r="A34" s="675" t="s">
        <v>174</v>
      </c>
      <c r="B34" s="1236"/>
      <c r="C34" s="1236"/>
      <c r="D34" s="548"/>
      <c r="E34" s="571"/>
      <c r="F34" s="571"/>
      <c r="G34" s="548"/>
      <c r="H34" s="548"/>
      <c r="I34" s="548"/>
      <c r="J34" s="628"/>
      <c r="K34" s="467"/>
      <c r="L34" s="408"/>
      <c r="N34" s="1191">
        <f>F34-'1'!E34</f>
        <v>0</v>
      </c>
    </row>
    <row r="35" spans="1:14">
      <c r="A35" s="655" t="s">
        <v>175</v>
      </c>
      <c r="B35" s="656"/>
      <c r="C35" s="656"/>
      <c r="D35" s="599" t="s">
        <v>143</v>
      </c>
      <c r="E35" s="824">
        <f>'27'!F35</f>
        <v>629027.67000000004</v>
      </c>
      <c r="F35" s="824">
        <v>629028</v>
      </c>
      <c r="G35" s="549">
        <f t="shared" ref="G35:G46" si="3">F35-E35</f>
        <v>0.32999999995809048</v>
      </c>
      <c r="H35" s="536">
        <f>G35+'27'!H35</f>
        <v>0.32999999995809048</v>
      </c>
      <c r="I35" s="531"/>
      <c r="J35" s="629">
        <f>H35/DAY(B2)</f>
        <v>1.1785714284217517E-2</v>
      </c>
      <c r="K35" s="467"/>
      <c r="L35" s="408"/>
      <c r="N35" s="1191">
        <f>F35-'1'!E35</f>
        <v>0.32999999995809048</v>
      </c>
    </row>
    <row r="36" spans="1:14">
      <c r="A36" s="655" t="s">
        <v>176</v>
      </c>
      <c r="B36" s="656"/>
      <c r="C36" s="656"/>
      <c r="D36" s="599" t="s">
        <v>143</v>
      </c>
      <c r="E36" s="824">
        <f>'27'!F36</f>
        <v>274050.73</v>
      </c>
      <c r="F36" s="824">
        <v>274786</v>
      </c>
      <c r="G36" s="549">
        <f t="shared" si="3"/>
        <v>735.27000000001863</v>
      </c>
      <c r="H36" s="536">
        <f>G36+'27'!H36</f>
        <v>-1705.4500000000116</v>
      </c>
      <c r="I36" s="531"/>
      <c r="J36" s="629">
        <f>H36/DAY(B2)</f>
        <v>-60.908928571428987</v>
      </c>
      <c r="K36" s="467"/>
      <c r="L36" s="408"/>
      <c r="N36" s="1191">
        <f>F36-'1'!E36</f>
        <v>-1705.4500000000116</v>
      </c>
    </row>
    <row r="37" spans="1:14">
      <c r="A37" s="655" t="s">
        <v>177</v>
      </c>
      <c r="B37" s="656"/>
      <c r="C37" s="656"/>
      <c r="D37" s="599" t="s">
        <v>143</v>
      </c>
      <c r="E37" s="824">
        <f>'27'!F37</f>
        <v>415066</v>
      </c>
      <c r="F37" s="824">
        <v>415066</v>
      </c>
      <c r="G37" s="549">
        <f t="shared" si="3"/>
        <v>0</v>
      </c>
      <c r="H37" s="536">
        <f>G37+'27'!H37</f>
        <v>415066</v>
      </c>
      <c r="I37" s="531"/>
      <c r="J37" s="629">
        <f>H37/DAY(B2)</f>
        <v>14823.785714285714</v>
      </c>
      <c r="K37" s="467"/>
      <c r="L37" s="408"/>
      <c r="N37" s="1191">
        <f>F37-'1'!E37</f>
        <v>0</v>
      </c>
    </row>
    <row r="38" spans="1:14">
      <c r="A38" s="655" t="s">
        <v>178</v>
      </c>
      <c r="B38" s="656"/>
      <c r="C38" s="656"/>
      <c r="D38" s="599" t="s">
        <v>143</v>
      </c>
      <c r="E38" s="824">
        <f>'27'!F38</f>
        <v>150714</v>
      </c>
      <c r="F38" s="546">
        <v>150714</v>
      </c>
      <c r="G38" s="549">
        <f t="shared" si="3"/>
        <v>0</v>
      </c>
      <c r="H38" s="536">
        <f>G38+'27'!H38</f>
        <v>150616.12</v>
      </c>
      <c r="I38" s="531"/>
      <c r="J38" s="629">
        <f>H38/DAY(B2)</f>
        <v>5379.1471428571431</v>
      </c>
      <c r="K38" s="467"/>
      <c r="L38" s="408"/>
      <c r="N38" s="1191">
        <f>F38-'1'!E38</f>
        <v>150616.12</v>
      </c>
    </row>
    <row r="39" spans="1:14">
      <c r="A39" s="655" t="s">
        <v>179</v>
      </c>
      <c r="B39" s="656"/>
      <c r="C39" s="656"/>
      <c r="D39" s="599" t="s">
        <v>143</v>
      </c>
      <c r="E39" s="824">
        <f>'27'!F39</f>
        <v>912480</v>
      </c>
      <c r="F39" s="824">
        <v>912480</v>
      </c>
      <c r="G39" s="549">
        <f>F39-E39</f>
        <v>0</v>
      </c>
      <c r="H39" s="536">
        <f>G39+'27'!H39</f>
        <v>912480</v>
      </c>
      <c r="I39" s="531"/>
      <c r="J39" s="629">
        <f>H39/DAY(B2)</f>
        <v>32588.571428571428</v>
      </c>
      <c r="K39" s="467"/>
      <c r="L39" s="408"/>
      <c r="N39" s="1191">
        <f>F39-'1'!E39</f>
        <v>0</v>
      </c>
    </row>
    <row r="40" spans="1:14">
      <c r="A40" s="676" t="s">
        <v>180</v>
      </c>
      <c r="B40" s="677"/>
      <c r="C40" s="677"/>
      <c r="D40" s="599" t="s">
        <v>143</v>
      </c>
      <c r="E40" s="824">
        <f>'27'!F40</f>
        <v>0</v>
      </c>
      <c r="F40" s="824">
        <v>0</v>
      </c>
      <c r="G40" s="549">
        <f t="shared" si="3"/>
        <v>0</v>
      </c>
      <c r="H40" s="536">
        <f>G40+'27'!H40</f>
        <v>-0.06</v>
      </c>
      <c r="I40" s="531"/>
      <c r="J40" s="629">
        <f>H40/DAY(B2)</f>
        <v>-2.142857142857143E-3</v>
      </c>
      <c r="K40" s="468"/>
      <c r="L40" s="408"/>
      <c r="N40" s="1191">
        <f>F40-'1'!E40</f>
        <v>0</v>
      </c>
    </row>
    <row r="41" spans="1:14">
      <c r="A41" s="655" t="s">
        <v>181</v>
      </c>
      <c r="B41" s="656"/>
      <c r="C41" s="656"/>
      <c r="D41" s="599" t="s">
        <v>143</v>
      </c>
      <c r="E41" s="824">
        <f>'27'!F41</f>
        <v>29963</v>
      </c>
      <c r="F41" s="824">
        <v>33797.56</v>
      </c>
      <c r="G41" s="549">
        <f t="shared" si="3"/>
        <v>3834.5599999999977</v>
      </c>
      <c r="H41" s="536">
        <f>G41+'27'!H41</f>
        <v>53057.039999999994</v>
      </c>
      <c r="I41" s="531"/>
      <c r="J41" s="629">
        <f>H41/DAY(B2)</f>
        <v>1894.8942857142854</v>
      </c>
      <c r="K41" s="467"/>
      <c r="L41" s="408"/>
      <c r="N41" s="1191">
        <f>F41-'1'!E41</f>
        <v>-10824.96</v>
      </c>
    </row>
    <row r="42" spans="1:14">
      <c r="A42" s="655" t="s">
        <v>182</v>
      </c>
      <c r="B42" s="656"/>
      <c r="C42" s="656"/>
      <c r="D42" s="599" t="s">
        <v>143</v>
      </c>
      <c r="E42" s="824">
        <f>'27'!F42</f>
        <v>58926</v>
      </c>
      <c r="F42" s="824">
        <v>58926</v>
      </c>
      <c r="G42" s="549">
        <f t="shared" si="3"/>
        <v>0</v>
      </c>
      <c r="H42" s="536">
        <f>G42+'27'!H42</f>
        <v>0</v>
      </c>
      <c r="I42" s="531"/>
      <c r="J42" s="629">
        <f>H42/DAY(B2)</f>
        <v>0</v>
      </c>
      <c r="K42" s="467"/>
      <c r="L42" s="408"/>
      <c r="N42" s="1191">
        <f>F42-'1'!E42</f>
        <v>0</v>
      </c>
    </row>
    <row r="43" spans="1:14">
      <c r="A43" s="655" t="s">
        <v>183</v>
      </c>
      <c r="B43" s="656"/>
      <c r="C43" s="656"/>
      <c r="D43" s="599" t="s">
        <v>143</v>
      </c>
      <c r="E43" s="824">
        <f>'27'!F43</f>
        <v>758512.95</v>
      </c>
      <c r="F43" s="824">
        <v>760836</v>
      </c>
      <c r="G43" s="549">
        <f t="shared" si="3"/>
        <v>2323.0500000000466</v>
      </c>
      <c r="H43" s="536">
        <f>G43+'27'!H43</f>
        <v>-6975.9100000000326</v>
      </c>
      <c r="I43" s="531"/>
      <c r="J43" s="629">
        <f>H43/DAY(B2)</f>
        <v>-249.13964285714403</v>
      </c>
      <c r="K43" s="467"/>
      <c r="L43" s="408"/>
      <c r="N43" s="1191">
        <f>F43-'1'!E43</f>
        <v>-6975.9100000000326</v>
      </c>
    </row>
    <row r="44" spans="1:14">
      <c r="A44" s="655" t="s">
        <v>184</v>
      </c>
      <c r="B44" s="656"/>
      <c r="C44" s="656"/>
      <c r="D44" s="599" t="s">
        <v>143</v>
      </c>
      <c r="E44" s="824">
        <f>'27'!F44</f>
        <v>0</v>
      </c>
      <c r="F44" s="824">
        <v>0</v>
      </c>
      <c r="G44" s="549">
        <f t="shared" si="3"/>
        <v>0</v>
      </c>
      <c r="H44" s="536">
        <f>G44+'27'!H44</f>
        <v>0</v>
      </c>
      <c r="I44" s="531"/>
      <c r="J44" s="629">
        <f>H44/DAY(B2)</f>
        <v>0</v>
      </c>
      <c r="K44" s="467"/>
      <c r="L44" s="408"/>
      <c r="N44" s="1191">
        <f>F44-'1'!E44</f>
        <v>0</v>
      </c>
    </row>
    <row r="45" spans="1:14">
      <c r="A45" s="655" t="s">
        <v>185</v>
      </c>
      <c r="B45" s="656"/>
      <c r="C45" s="656"/>
      <c r="D45" s="599" t="s">
        <v>143</v>
      </c>
      <c r="E45" s="824">
        <f>'27'!F45</f>
        <v>614</v>
      </c>
      <c r="F45" s="824">
        <v>614</v>
      </c>
      <c r="G45" s="549">
        <f t="shared" si="3"/>
        <v>0</v>
      </c>
      <c r="H45" s="536">
        <f>G45+'27'!H45</f>
        <v>-0.48000000000001819</v>
      </c>
      <c r="I45" s="531"/>
      <c r="J45" s="629">
        <f>H45/DAY(B2)</f>
        <v>-1.7142857142857792E-2</v>
      </c>
      <c r="K45" s="467"/>
      <c r="L45" s="408"/>
      <c r="N45" s="1191">
        <f>F45-'1'!E45</f>
        <v>-0.48000000000001819</v>
      </c>
    </row>
    <row r="46" spans="1:14">
      <c r="A46" s="655" t="s">
        <v>186</v>
      </c>
      <c r="B46" s="656"/>
      <c r="C46" s="656"/>
      <c r="D46" s="599" t="s">
        <v>143</v>
      </c>
      <c r="E46" s="824">
        <f>'27'!F46</f>
        <v>187</v>
      </c>
      <c r="F46" s="824">
        <v>187</v>
      </c>
      <c r="G46" s="549">
        <f t="shared" si="3"/>
        <v>0</v>
      </c>
      <c r="H46" s="536">
        <f>G46+'27'!H46</f>
        <v>-0.49000000000000909</v>
      </c>
      <c r="I46" s="531"/>
      <c r="J46" s="629">
        <f>H46/DAY(B2)</f>
        <v>-1.7500000000000324E-2</v>
      </c>
      <c r="K46" s="467"/>
      <c r="L46" s="408"/>
      <c r="N46" s="1191">
        <f>F46-'1'!E46</f>
        <v>-0.49000000000000909</v>
      </c>
    </row>
    <row r="47" spans="1:14">
      <c r="A47" s="662" t="s">
        <v>187</v>
      </c>
      <c r="B47" s="663"/>
      <c r="C47" s="663"/>
      <c r="D47" s="546"/>
      <c r="E47" s="546"/>
      <c r="F47" s="546"/>
      <c r="G47" s="557">
        <f>G35+G36+G37+G38+G39+G40+G41+G42+G43+G44+G45+G46</f>
        <v>6893.210000000021</v>
      </c>
      <c r="H47" s="536">
        <f>G47+'27'!H47</f>
        <v>1522537.0999999999</v>
      </c>
      <c r="I47" s="531"/>
      <c r="J47" s="629">
        <f>H47/DAY(B2)</f>
        <v>54376.324999999997</v>
      </c>
      <c r="K47" s="467"/>
      <c r="L47" s="408"/>
      <c r="N47" s="1191">
        <f>F47-'1'!E47</f>
        <v>0</v>
      </c>
    </row>
    <row r="48" spans="1:14">
      <c r="A48" s="675" t="s">
        <v>188</v>
      </c>
      <c r="B48" s="1236"/>
      <c r="C48" s="1236"/>
      <c r="D48" s="548"/>
      <c r="E48" s="571"/>
      <c r="F48" s="571"/>
      <c r="G48" s="548"/>
      <c r="H48" s="548"/>
      <c r="I48" s="548"/>
      <c r="J48" s="628"/>
      <c r="K48" s="467"/>
      <c r="L48" s="408"/>
      <c r="N48" s="1191">
        <f>F48-'1'!E48</f>
        <v>0</v>
      </c>
    </row>
    <row r="49" spans="1:14">
      <c r="A49" s="655" t="s">
        <v>175</v>
      </c>
      <c r="B49" s="678"/>
      <c r="C49" s="678"/>
      <c r="D49" s="599" t="s">
        <v>143</v>
      </c>
      <c r="E49" s="824">
        <f>'27'!F49</f>
        <v>233654.45</v>
      </c>
      <c r="F49" s="824">
        <v>236927</v>
      </c>
      <c r="G49" s="549">
        <f t="shared" ref="G49:G58" si="4">F49-E49</f>
        <v>3272.5499999999884</v>
      </c>
      <c r="H49" s="536">
        <f>G49+'27'!H49</f>
        <v>-8972.0499999999884</v>
      </c>
      <c r="I49" s="531"/>
      <c r="J49" s="629">
        <f>H49/DAY(B2)</f>
        <v>-320.43035714285674</v>
      </c>
      <c r="K49" s="467"/>
      <c r="L49" s="408"/>
      <c r="N49" s="1191">
        <f>F49-'1'!E49</f>
        <v>-8972.0499999999884</v>
      </c>
    </row>
    <row r="50" spans="1:14">
      <c r="A50" s="655" t="s">
        <v>189</v>
      </c>
      <c r="B50" s="678"/>
      <c r="C50" s="678"/>
      <c r="D50" s="599" t="s">
        <v>143</v>
      </c>
      <c r="E50" s="824">
        <f>'27'!F50</f>
        <v>363910</v>
      </c>
      <c r="F50" s="824">
        <v>365372</v>
      </c>
      <c r="G50" s="549">
        <f t="shared" si="4"/>
        <v>1462</v>
      </c>
      <c r="H50" s="536">
        <f>G50+'27'!H50</f>
        <v>-4288.3099999999977</v>
      </c>
      <c r="I50" s="531"/>
      <c r="J50" s="629">
        <f>H50/DAY(B2)</f>
        <v>-153.15392857142848</v>
      </c>
      <c r="K50" s="467"/>
      <c r="L50" s="408"/>
      <c r="N50" s="1191">
        <f>F50-'1'!E50</f>
        <v>-3245.3099999999977</v>
      </c>
    </row>
    <row r="51" spans="1:14">
      <c r="A51" s="655" t="s">
        <v>177</v>
      </c>
      <c r="B51" s="678"/>
      <c r="C51" s="678"/>
      <c r="D51" s="599" t="s">
        <v>143</v>
      </c>
      <c r="E51" s="824">
        <f>'27'!F51</f>
        <v>104026.54</v>
      </c>
      <c r="F51" s="824">
        <v>105472</v>
      </c>
      <c r="G51" s="549">
        <f t="shared" si="4"/>
        <v>1445.4600000000064</v>
      </c>
      <c r="H51" s="536">
        <f>G51+'27'!H51</f>
        <v>-4627.7400000000052</v>
      </c>
      <c r="I51" s="531"/>
      <c r="J51" s="629">
        <f>H51/DAY(B2)</f>
        <v>-165.27642857142877</v>
      </c>
      <c r="K51" s="467"/>
      <c r="L51" s="408"/>
      <c r="N51" s="1191">
        <f>F51-'1'!E51</f>
        <v>-4627.7400000000052</v>
      </c>
    </row>
    <row r="52" spans="1:14">
      <c r="A52" s="655" t="s">
        <v>190</v>
      </c>
      <c r="B52" s="678"/>
      <c r="C52" s="678"/>
      <c r="D52" s="599" t="s">
        <v>143</v>
      </c>
      <c r="E52" s="824">
        <f>'27'!F52</f>
        <v>486112.79</v>
      </c>
      <c r="F52" s="824">
        <v>487847</v>
      </c>
      <c r="G52" s="549">
        <f t="shared" si="4"/>
        <v>1734.210000000021</v>
      </c>
      <c r="H52" s="536">
        <f>G52+'27'!H52</f>
        <v>-5961.6699999999837</v>
      </c>
      <c r="I52" s="531"/>
      <c r="J52" s="629">
        <f>H52/DAY(B2)</f>
        <v>-212.91678571428514</v>
      </c>
      <c r="K52" s="467"/>
      <c r="L52" s="408"/>
      <c r="N52" s="1191">
        <f>F52-'1'!E52</f>
        <v>-5961.6699999999837</v>
      </c>
    </row>
    <row r="53" spans="1:14">
      <c r="A53" s="655" t="s">
        <v>179</v>
      </c>
      <c r="B53" s="678"/>
      <c r="C53" s="678"/>
      <c r="D53" s="599" t="s">
        <v>143</v>
      </c>
      <c r="E53" s="824">
        <f>'27'!F53</f>
        <v>287574</v>
      </c>
      <c r="F53" s="824">
        <v>291747</v>
      </c>
      <c r="G53" s="549">
        <f t="shared" si="4"/>
        <v>4173</v>
      </c>
      <c r="H53" s="536">
        <f>G53+'27'!H53</f>
        <v>-12551.270000000019</v>
      </c>
      <c r="I53" s="531"/>
      <c r="J53" s="629">
        <f>H53/DAY(B2)</f>
        <v>-448.25964285714355</v>
      </c>
      <c r="K53" s="467"/>
      <c r="L53" s="408"/>
      <c r="N53" s="1191">
        <f>F53-'1'!E53</f>
        <v>-12551.270000000019</v>
      </c>
    </row>
    <row r="54" spans="1:14">
      <c r="A54" s="655" t="s">
        <v>191</v>
      </c>
      <c r="B54" s="678"/>
      <c r="C54" s="678"/>
      <c r="D54" s="599" t="s">
        <v>143</v>
      </c>
      <c r="E54" s="824">
        <f>'27'!F54</f>
        <v>6126.55</v>
      </c>
      <c r="F54" s="824">
        <v>6177</v>
      </c>
      <c r="G54" s="549">
        <f t="shared" si="4"/>
        <v>50.449999999999818</v>
      </c>
      <c r="H54" s="536">
        <f>G54+'27'!H54</f>
        <v>-211.80000000000018</v>
      </c>
      <c r="I54" s="531"/>
      <c r="J54" s="629">
        <f>H54/DAY(B2)</f>
        <v>-7.5642857142857212</v>
      </c>
      <c r="K54" s="467"/>
      <c r="L54" s="408"/>
      <c r="N54" s="1191">
        <f>F54-'1'!E54</f>
        <v>-139.64000000000033</v>
      </c>
    </row>
    <row r="55" spans="1:14">
      <c r="A55" s="655" t="s">
        <v>192</v>
      </c>
      <c r="B55" s="678"/>
      <c r="C55" s="678"/>
      <c r="D55" s="599" t="s">
        <v>143</v>
      </c>
      <c r="E55" s="824">
        <f>'27'!F55</f>
        <v>39120.58</v>
      </c>
      <c r="F55" s="825">
        <v>39121</v>
      </c>
      <c r="G55" s="733">
        <f t="shared" si="4"/>
        <v>0.41999999999825377</v>
      </c>
      <c r="H55" s="787">
        <f>G55+'27'!H55</f>
        <v>-3866.9800000000032</v>
      </c>
      <c r="I55" s="788"/>
      <c r="J55" s="789">
        <f>H55/DAY(B2)</f>
        <v>-138.10642857142869</v>
      </c>
      <c r="K55" s="467"/>
      <c r="L55" s="408"/>
      <c r="N55" s="1191">
        <f>F55-'1'!E55</f>
        <v>0.41999999999825377</v>
      </c>
    </row>
    <row r="56" spans="1:14">
      <c r="A56" s="655" t="s">
        <v>193</v>
      </c>
      <c r="B56" s="678"/>
      <c r="C56" s="678"/>
      <c r="D56" s="599" t="s">
        <v>194</v>
      </c>
      <c r="E56" s="824">
        <f>'27'!F56</f>
        <v>557730.15</v>
      </c>
      <c r="F56" s="825">
        <v>557730</v>
      </c>
      <c r="G56" s="549">
        <f t="shared" si="4"/>
        <v>-0.15000000002328306</v>
      </c>
      <c r="H56" s="536">
        <f>G56+'27'!H56</f>
        <v>-1.9100000000325963</v>
      </c>
      <c r="I56" s="531"/>
      <c r="J56" s="629">
        <f>H56/DAY(B2)</f>
        <v>-6.8214285715449866E-2</v>
      </c>
      <c r="K56" s="466"/>
      <c r="L56" s="408"/>
      <c r="N56" s="1191">
        <f>F56-'1'!E56</f>
        <v>-1.9100000000325963</v>
      </c>
    </row>
    <row r="57" spans="1:14">
      <c r="A57" s="655" t="s">
        <v>183</v>
      </c>
      <c r="B57" s="678"/>
      <c r="C57" s="678"/>
      <c r="D57" s="599" t="s">
        <v>143</v>
      </c>
      <c r="E57" s="824">
        <f>'27'!F57</f>
        <v>0</v>
      </c>
      <c r="F57" s="824">
        <v>0</v>
      </c>
      <c r="G57" s="549">
        <f t="shared" si="4"/>
        <v>0</v>
      </c>
      <c r="H57" s="536">
        <f>G57+'27'!H57</f>
        <v>0</v>
      </c>
      <c r="I57" s="531"/>
      <c r="J57" s="629">
        <f>H57/DAY(B2)</f>
        <v>0</v>
      </c>
      <c r="K57" s="467"/>
      <c r="L57" s="408"/>
      <c r="N57" s="1191">
        <f>F57-'1'!E57</f>
        <v>0</v>
      </c>
    </row>
    <row r="58" spans="1:14">
      <c r="A58" s="655" t="s">
        <v>195</v>
      </c>
      <c r="B58" s="678"/>
      <c r="C58" s="678"/>
      <c r="D58" s="599" t="s">
        <v>143</v>
      </c>
      <c r="E58" s="824">
        <f>'27'!F58</f>
        <v>30038</v>
      </c>
      <c r="F58" s="1324">
        <v>30038</v>
      </c>
      <c r="G58" s="549">
        <f t="shared" si="4"/>
        <v>0</v>
      </c>
      <c r="H58" s="536">
        <f>G58+'27'!H58</f>
        <v>-691.53999999999724</v>
      </c>
      <c r="I58" s="531"/>
      <c r="J58" s="629">
        <f>H58/DAY(B2)</f>
        <v>-24.697857142857043</v>
      </c>
      <c r="K58" s="467"/>
      <c r="L58" s="408"/>
      <c r="N58" s="1191">
        <f>F58-'1'!E58</f>
        <v>-493.90999999999985</v>
      </c>
    </row>
    <row r="59" spans="1:14">
      <c r="A59" s="662" t="s">
        <v>187</v>
      </c>
      <c r="B59" s="663"/>
      <c r="C59" s="663"/>
      <c r="D59" s="587"/>
      <c r="E59" s="546"/>
      <c r="F59" s="546"/>
      <c r="G59" s="557">
        <f>G49+G50+G51+G52+G53+G54+G55+G56+G57+G58</f>
        <v>12137.939999999991</v>
      </c>
      <c r="H59" s="536">
        <f>G59+'27'!H59</f>
        <v>-41173.269999999975</v>
      </c>
      <c r="I59" s="531">
        <f>G7-G60</f>
        <v>325.84999999998763</v>
      </c>
      <c r="J59" s="629">
        <f>H59/DAY(B2)</f>
        <v>-1470.4739285714277</v>
      </c>
      <c r="K59" s="467"/>
      <c r="L59" s="408"/>
      <c r="N59" s="1191">
        <f>F59-'1'!E59</f>
        <v>0</v>
      </c>
    </row>
    <row r="60" spans="1:14">
      <c r="A60" s="655"/>
      <c r="B60" s="656"/>
      <c r="C60" s="656"/>
      <c r="D60" s="587" t="s">
        <v>196</v>
      </c>
      <c r="E60" s="546"/>
      <c r="F60" s="546"/>
      <c r="G60" s="557">
        <f>G47+G59</f>
        <v>19031.150000000012</v>
      </c>
      <c r="H60" s="536">
        <f>G60+'27'!H60</f>
        <v>1486544.02</v>
      </c>
      <c r="I60" s="531">
        <f>G13-G60</f>
        <v>-327.2500000001055</v>
      </c>
      <c r="J60" s="629">
        <f>H60/DAY(B2)</f>
        <v>53090.857857142859</v>
      </c>
      <c r="K60" s="467"/>
      <c r="L60" s="408"/>
      <c r="N60" s="1191">
        <f>F60-'1'!E60</f>
        <v>0</v>
      </c>
    </row>
    <row r="61" spans="1:14">
      <c r="A61" s="679" t="s">
        <v>197</v>
      </c>
      <c r="B61" s="529"/>
      <c r="C61" s="529"/>
      <c r="D61" s="589"/>
      <c r="E61" s="826"/>
      <c r="F61" s="826"/>
      <c r="G61" s="589"/>
      <c r="H61" s="589"/>
      <c r="I61" s="589"/>
      <c r="J61" s="632"/>
      <c r="K61" s="467"/>
      <c r="L61" s="408"/>
      <c r="N61" s="1191">
        <f>F61-'1'!E61</f>
        <v>0</v>
      </c>
    </row>
    <row r="62" spans="1:14">
      <c r="A62" s="680" t="s">
        <v>106</v>
      </c>
      <c r="B62" s="681"/>
      <c r="C62" s="681"/>
      <c r="D62" s="587" t="s">
        <v>198</v>
      </c>
      <c r="E62" s="590">
        <f>'27'!F62</f>
        <v>20419.18</v>
      </c>
      <c r="F62" s="590">
        <v>20419.187000000002</v>
      </c>
      <c r="G62" s="549">
        <f t="shared" ref="G62:G69" si="5">F62-E62</f>
        <v>7.0000000014260877E-3</v>
      </c>
      <c r="H62" s="536">
        <f>G62+'27'!H62</f>
        <v>-1.9999999967694748E-3</v>
      </c>
      <c r="I62" s="591"/>
      <c r="J62" s="629">
        <f>H62/DAY(B2)</f>
        <v>-7.1428571313195531E-5</v>
      </c>
      <c r="K62" s="467"/>
      <c r="L62" s="408"/>
      <c r="N62" s="1191">
        <f>F62-'1'!E62</f>
        <v>-1.9999999967694748E-3</v>
      </c>
    </row>
    <row r="63" spans="1:14">
      <c r="A63" s="680" t="s">
        <v>199</v>
      </c>
      <c r="B63" s="681"/>
      <c r="C63" s="681"/>
      <c r="D63" s="587" t="s">
        <v>198</v>
      </c>
      <c r="E63" s="590">
        <f>'27'!F63</f>
        <v>1283</v>
      </c>
      <c r="F63" s="590">
        <v>1293.6600000000001</v>
      </c>
      <c r="G63" s="549">
        <f t="shared" si="5"/>
        <v>10.660000000000082</v>
      </c>
      <c r="H63" s="536">
        <f>G63+'27'!H63</f>
        <v>-38.869999999999891</v>
      </c>
      <c r="I63" s="591"/>
      <c r="J63" s="629">
        <f>H63/DAY(B2)</f>
        <v>-1.3882142857142818</v>
      </c>
      <c r="K63" s="467"/>
      <c r="L63" s="408"/>
      <c r="N63" s="1191">
        <f>F63-'1'!E63</f>
        <v>-38.869999999999891</v>
      </c>
    </row>
    <row r="64" spans="1:14" ht="27.75">
      <c r="A64" s="1385" t="s">
        <v>107</v>
      </c>
      <c r="B64" s="1386"/>
      <c r="C64" s="1387"/>
      <c r="D64" s="599" t="s">
        <v>198</v>
      </c>
      <c r="E64" s="590">
        <f>'27'!F64</f>
        <v>109552.79</v>
      </c>
      <c r="F64" s="820">
        <v>110016</v>
      </c>
      <c r="G64" s="549">
        <f t="shared" si="5"/>
        <v>463.2100000000064</v>
      </c>
      <c r="H64" s="536">
        <f>G64+'27'!H64</f>
        <v>-1267.4600000000064</v>
      </c>
      <c r="I64" s="556"/>
      <c r="J64" s="629">
        <f>H64/DAY(B2)</f>
        <v>-45.266428571428797</v>
      </c>
      <c r="K64" s="467"/>
      <c r="L64" s="408"/>
      <c r="N64" s="1191">
        <f>F64-'1'!E64</f>
        <v>-1267.4600000000064</v>
      </c>
    </row>
    <row r="65" spans="1:14" ht="27.75">
      <c r="A65" s="1385" t="s">
        <v>108</v>
      </c>
      <c r="B65" s="1386"/>
      <c r="C65" s="1387"/>
      <c r="D65" s="599" t="s">
        <v>198</v>
      </c>
      <c r="E65" s="590">
        <f>'27'!F65</f>
        <v>120175</v>
      </c>
      <c r="F65" s="827">
        <v>120566.18</v>
      </c>
      <c r="G65" s="549">
        <f t="shared" si="5"/>
        <v>391.17999999999302</v>
      </c>
      <c r="H65" s="536">
        <f>G65+'27'!H65</f>
        <v>-1166.9300000000076</v>
      </c>
      <c r="I65" s="565"/>
      <c r="J65" s="629">
        <f>H65/DAY(B2)</f>
        <v>-41.676071428571696</v>
      </c>
      <c r="K65" s="467"/>
      <c r="L65" s="408"/>
      <c r="N65" s="1191">
        <f>F65-'1'!E65</f>
        <v>-1166.9300000000076</v>
      </c>
    </row>
    <row r="66" spans="1:14" ht="27.75">
      <c r="A66" s="1385" t="s">
        <v>109</v>
      </c>
      <c r="B66" s="1386"/>
      <c r="C66" s="1387"/>
      <c r="D66" s="599" t="s">
        <v>198</v>
      </c>
      <c r="E66" s="590">
        <f>'27'!F66</f>
        <v>12487.61</v>
      </c>
      <c r="F66" s="820">
        <v>12904</v>
      </c>
      <c r="G66" s="549">
        <f t="shared" si="5"/>
        <v>416.38999999999942</v>
      </c>
      <c r="H66" s="536">
        <f>G66+'27'!H66</f>
        <v>-1255.7399999999998</v>
      </c>
      <c r="I66" s="556"/>
      <c r="J66" s="629">
        <f>H66/DAY(B2)</f>
        <v>-44.847857142857137</v>
      </c>
      <c r="K66" s="467"/>
      <c r="L66" s="408"/>
      <c r="N66" s="1191">
        <f>F66-'1'!E66</f>
        <v>-1255.7399999999998</v>
      </c>
    </row>
    <row r="67" spans="1:14" ht="27.75">
      <c r="A67" s="1385" t="s">
        <v>110</v>
      </c>
      <c r="B67" s="1386"/>
      <c r="C67" s="1387"/>
      <c r="D67" s="599" t="s">
        <v>198</v>
      </c>
      <c r="E67" s="590">
        <f>'27'!F67</f>
        <v>185945</v>
      </c>
      <c r="F67" s="820">
        <v>186593</v>
      </c>
      <c r="G67" s="549">
        <f t="shared" si="5"/>
        <v>648</v>
      </c>
      <c r="H67" s="536">
        <f>G67+'27'!H67</f>
        <v>-2081.5299999999988</v>
      </c>
      <c r="I67" s="565"/>
      <c r="J67" s="629">
        <f>H67/DAY(B2)</f>
        <v>-74.340357142857101</v>
      </c>
      <c r="K67" s="468"/>
      <c r="L67" s="408"/>
      <c r="N67" s="1191">
        <f>F67-'1'!E67</f>
        <v>-2081.5299999999988</v>
      </c>
    </row>
    <row r="68" spans="1:14" ht="27.75">
      <c r="A68" s="1385" t="s">
        <v>111</v>
      </c>
      <c r="B68" s="1386"/>
      <c r="C68" s="1387"/>
      <c r="D68" s="599" t="s">
        <v>198</v>
      </c>
      <c r="E68" s="590">
        <f>'27'!F68</f>
        <v>62030</v>
      </c>
      <c r="F68" s="820">
        <v>62358</v>
      </c>
      <c r="G68" s="549">
        <f t="shared" si="5"/>
        <v>328</v>
      </c>
      <c r="H68" s="536">
        <f>G68+'27'!H68</f>
        <v>-941.86000000000058</v>
      </c>
      <c r="I68" s="592"/>
      <c r="J68" s="629">
        <f>H68/DAY(B2)</f>
        <v>-33.637857142857165</v>
      </c>
      <c r="K68" s="469"/>
      <c r="L68" s="408"/>
      <c r="N68" s="1191">
        <f>F68-'1'!E68</f>
        <v>-941.86000000000058</v>
      </c>
    </row>
    <row r="69" spans="1:14" ht="27.75">
      <c r="A69" s="1385" t="s">
        <v>112</v>
      </c>
      <c r="B69" s="1386"/>
      <c r="C69" s="1387"/>
      <c r="D69" s="599" t="s">
        <v>198</v>
      </c>
      <c r="E69" s="590">
        <f>'27'!F69</f>
        <v>54472.81</v>
      </c>
      <c r="F69" s="820">
        <v>54778</v>
      </c>
      <c r="G69" s="549">
        <f t="shared" si="5"/>
        <v>305.19000000000233</v>
      </c>
      <c r="H69" s="536">
        <f>G69+'27'!H69</f>
        <v>-945.70999999999913</v>
      </c>
      <c r="I69" s="592"/>
      <c r="J69" s="629">
        <f>H69/DAY(B2)</f>
        <v>-33.775357142857111</v>
      </c>
      <c r="K69" s="470"/>
      <c r="L69" s="408"/>
      <c r="N69" s="1191">
        <f>F69-'1'!E69</f>
        <v>-945.70999999999913</v>
      </c>
    </row>
    <row r="70" spans="1:14" ht="27.75">
      <c r="A70" s="1391" t="s">
        <v>200</v>
      </c>
      <c r="B70" s="1392"/>
      <c r="C70" s="1393"/>
      <c r="D70" s="599" t="s">
        <v>198</v>
      </c>
      <c r="E70" s="828"/>
      <c r="F70" s="828"/>
      <c r="G70" s="594"/>
      <c r="H70" s="536">
        <f>G70+'13'!H70</f>
        <v>0</v>
      </c>
      <c r="I70" s="594"/>
      <c r="J70" s="633"/>
      <c r="K70" s="470"/>
      <c r="L70" s="408"/>
      <c r="N70" s="1191">
        <f>F70-'1'!E70</f>
        <v>0</v>
      </c>
    </row>
    <row r="71" spans="1:14" ht="31.5">
      <c r="A71" s="1388" t="s">
        <v>201</v>
      </c>
      <c r="B71" s="1389"/>
      <c r="C71" s="1389"/>
      <c r="D71" s="1389"/>
      <c r="E71" s="1389"/>
      <c r="F71" s="1389"/>
      <c r="G71" s="1389"/>
      <c r="H71" s="1389"/>
      <c r="I71" s="1389"/>
      <c r="J71" s="1390"/>
      <c r="K71" s="469"/>
      <c r="L71" s="408"/>
      <c r="N71" s="1191">
        <f>F71-'1'!E71</f>
        <v>0</v>
      </c>
    </row>
    <row r="72" spans="1:14" ht="27.75">
      <c r="A72" s="1385" t="s">
        <v>202</v>
      </c>
      <c r="B72" s="1386"/>
      <c r="C72" s="1387"/>
      <c r="D72" s="599" t="s">
        <v>198</v>
      </c>
      <c r="E72" s="845">
        <f>'27'!F72</f>
        <v>848139</v>
      </c>
      <c r="F72" s="829">
        <v>848208</v>
      </c>
      <c r="G72" s="549">
        <f t="shared" ref="G72:G84" si="6">F72-E72</f>
        <v>69</v>
      </c>
      <c r="H72" s="536">
        <f>G72+'27'!H72</f>
        <v>-344</v>
      </c>
      <c r="I72" s="556"/>
      <c r="J72" s="629">
        <f>H72/DAY(B2)</f>
        <v>-12.285714285714286</v>
      </c>
      <c r="K72" s="470"/>
      <c r="L72" s="408"/>
      <c r="N72" s="1191">
        <f>F72-'1'!E72</f>
        <v>-257</v>
      </c>
    </row>
    <row r="73" spans="1:14" ht="27.75">
      <c r="A73" s="1385" t="s">
        <v>203</v>
      </c>
      <c r="B73" s="1386"/>
      <c r="C73" s="1387"/>
      <c r="D73" s="599" t="s">
        <v>198</v>
      </c>
      <c r="E73" s="845">
        <f>'27'!F73</f>
        <v>885727</v>
      </c>
      <c r="F73" s="830">
        <v>885727</v>
      </c>
      <c r="G73" s="733">
        <f t="shared" si="6"/>
        <v>0</v>
      </c>
      <c r="H73" s="536">
        <f>G73+'27'!H73</f>
        <v>946</v>
      </c>
      <c r="I73" s="556"/>
      <c r="J73" s="629">
        <f>H73/DAY(B2)</f>
        <v>33.785714285714285</v>
      </c>
      <c r="K73" s="469"/>
      <c r="L73" s="408"/>
      <c r="N73" s="1191">
        <f>F73-'1'!E73</f>
        <v>-1</v>
      </c>
    </row>
    <row r="74" spans="1:14" ht="27.75">
      <c r="A74" s="1385" t="s">
        <v>204</v>
      </c>
      <c r="B74" s="1386"/>
      <c r="C74" s="1387"/>
      <c r="D74" s="599" t="s">
        <v>198</v>
      </c>
      <c r="E74" s="845">
        <f>'27'!F74</f>
        <v>882243</v>
      </c>
      <c r="F74" s="830">
        <v>882274</v>
      </c>
      <c r="G74" s="549">
        <f t="shared" si="6"/>
        <v>31</v>
      </c>
      <c r="H74" s="536">
        <f>G74+'27'!H74</f>
        <v>882503.1</v>
      </c>
      <c r="I74" s="556"/>
      <c r="J74" s="629">
        <f>H74/DAY(B2)</f>
        <v>31517.967857142856</v>
      </c>
      <c r="K74" s="470"/>
      <c r="L74" s="408"/>
      <c r="N74" s="1191">
        <f>F74-'1'!E74</f>
        <v>-95</v>
      </c>
    </row>
    <row r="75" spans="1:14" ht="27.75">
      <c r="A75" s="1382" t="s">
        <v>205</v>
      </c>
      <c r="B75" s="1383"/>
      <c r="C75" s="1384"/>
      <c r="D75" s="599" t="s">
        <v>198</v>
      </c>
      <c r="E75" s="845">
        <f>'27'!F75</f>
        <v>736737</v>
      </c>
      <c r="F75" s="830">
        <v>736927</v>
      </c>
      <c r="G75" s="549">
        <f t="shared" si="6"/>
        <v>190</v>
      </c>
      <c r="H75" s="536">
        <f>G75+'27'!H75</f>
        <v>738463.4</v>
      </c>
      <c r="I75" s="556"/>
      <c r="J75" s="629">
        <f>H75/DAY(B2)</f>
        <v>26373.692857142858</v>
      </c>
      <c r="K75" s="469"/>
      <c r="L75" s="408"/>
      <c r="N75" s="1191">
        <f>F75-'1'!E75</f>
        <v>-592</v>
      </c>
    </row>
    <row r="76" spans="1:14" ht="27.75">
      <c r="A76" s="1382" t="s">
        <v>206</v>
      </c>
      <c r="B76" s="1383"/>
      <c r="C76" s="1384"/>
      <c r="D76" s="599" t="s">
        <v>198</v>
      </c>
      <c r="E76" s="845">
        <f>'27'!F76</f>
        <v>686721</v>
      </c>
      <c r="F76" s="830">
        <v>686795</v>
      </c>
      <c r="G76" s="549">
        <f t="shared" si="6"/>
        <v>74</v>
      </c>
      <c r="H76" s="536">
        <f>G76+'27'!H76</f>
        <v>688792.2</v>
      </c>
      <c r="I76" s="581"/>
      <c r="J76" s="629">
        <f>H76/DAY(B2)</f>
        <v>24599.721428571425</v>
      </c>
      <c r="K76" s="469"/>
      <c r="L76" s="408"/>
      <c r="N76" s="1191">
        <f>F76-'1'!E76</f>
        <v>-219</v>
      </c>
    </row>
    <row r="77" spans="1:14" ht="27.75">
      <c r="A77" s="1385" t="s">
        <v>207</v>
      </c>
      <c r="B77" s="1386"/>
      <c r="C77" s="1387"/>
      <c r="D77" s="599" t="s">
        <v>198</v>
      </c>
      <c r="E77" s="845">
        <f>'27'!F77</f>
        <v>696898</v>
      </c>
      <c r="F77" s="830">
        <v>696952</v>
      </c>
      <c r="G77" s="733">
        <f t="shared" si="6"/>
        <v>54</v>
      </c>
      <c r="H77" s="536">
        <f>G77+'27'!H77</f>
        <v>-155</v>
      </c>
      <c r="I77" s="581"/>
      <c r="J77" s="629">
        <f>H77/DAY(B2)</f>
        <v>-5.5357142857142856</v>
      </c>
      <c r="K77" s="469"/>
      <c r="L77" s="408"/>
      <c r="N77" s="1191">
        <f>F77-'1'!E77</f>
        <v>-155</v>
      </c>
    </row>
    <row r="78" spans="1:14" ht="27.75">
      <c r="A78" s="1234" t="s">
        <v>208</v>
      </c>
      <c r="B78" s="1205"/>
      <c r="C78" s="1205"/>
      <c r="D78" s="599" t="s">
        <v>198</v>
      </c>
      <c r="E78" s="845">
        <f>'27'!F78</f>
        <v>640348</v>
      </c>
      <c r="F78" s="830">
        <v>640706</v>
      </c>
      <c r="G78" s="733">
        <f t="shared" si="6"/>
        <v>358</v>
      </c>
      <c r="H78" s="536">
        <f>G78+'27'!H78</f>
        <v>-1247</v>
      </c>
      <c r="I78" s="581"/>
      <c r="J78" s="629">
        <f>H78/DAY(B2)</f>
        <v>-44.535714285714285</v>
      </c>
      <c r="K78" s="469"/>
      <c r="L78" s="408"/>
      <c r="N78" s="1191">
        <f>F78-'1'!E78</f>
        <v>-1247</v>
      </c>
    </row>
    <row r="79" spans="1:14" ht="27.75">
      <c r="A79" s="1382" t="s">
        <v>97</v>
      </c>
      <c r="B79" s="1383"/>
      <c r="C79" s="1384"/>
      <c r="D79" s="600" t="s">
        <v>198</v>
      </c>
      <c r="E79" s="845">
        <f>'27'!F79</f>
        <v>808948</v>
      </c>
      <c r="F79" s="831">
        <v>809124</v>
      </c>
      <c r="G79" s="549">
        <f t="shared" si="6"/>
        <v>176</v>
      </c>
      <c r="H79" s="536">
        <f>G79+'27'!H79</f>
        <v>2298</v>
      </c>
      <c r="I79" s="581"/>
      <c r="J79" s="629">
        <f>H79/DAY(B2)</f>
        <v>82.071428571428569</v>
      </c>
      <c r="K79" s="469"/>
      <c r="L79" s="408"/>
      <c r="N79" s="1191">
        <f>F79-'1'!E79</f>
        <v>-567</v>
      </c>
    </row>
    <row r="80" spans="1:14" ht="27.75">
      <c r="A80" s="1382" t="s">
        <v>209</v>
      </c>
      <c r="B80" s="1383"/>
      <c r="C80" s="1384"/>
      <c r="D80" s="600" t="s">
        <v>198</v>
      </c>
      <c r="E80" s="845">
        <f>'27'!F80</f>
        <v>483852</v>
      </c>
      <c r="F80" s="830">
        <v>484187</v>
      </c>
      <c r="G80" s="549">
        <f t="shared" si="6"/>
        <v>335</v>
      </c>
      <c r="H80" s="536">
        <f>G80+'27'!H80</f>
        <v>-2394.679999999993</v>
      </c>
      <c r="I80" s="581"/>
      <c r="J80" s="629">
        <f>H80/DAY(B2)</f>
        <v>-85.524285714285469</v>
      </c>
      <c r="K80" s="469"/>
      <c r="L80" s="408"/>
      <c r="N80" s="1191">
        <f>F80-'1'!E80</f>
        <v>-940</v>
      </c>
    </row>
    <row r="81" spans="1:17" ht="27.75">
      <c r="A81" s="1382" t="s">
        <v>210</v>
      </c>
      <c r="B81" s="1383"/>
      <c r="C81" s="1384"/>
      <c r="D81" s="600" t="s">
        <v>198</v>
      </c>
      <c r="E81" s="845">
        <f>'27'!F81</f>
        <v>622369</v>
      </c>
      <c r="F81" s="830">
        <v>622474</v>
      </c>
      <c r="G81" s="549">
        <f t="shared" si="6"/>
        <v>105</v>
      </c>
      <c r="H81" s="536">
        <f>G81+'27'!H81</f>
        <v>-301</v>
      </c>
      <c r="I81" s="581"/>
      <c r="J81" s="629">
        <f>H81/DAY(B2)</f>
        <v>-10.75</v>
      </c>
      <c r="K81" s="469"/>
      <c r="L81" s="408"/>
      <c r="N81" s="1191">
        <f>F81-'1'!E81</f>
        <v>-301</v>
      </c>
    </row>
    <row r="82" spans="1:17" ht="27.75">
      <c r="A82" s="1382" t="s">
        <v>100</v>
      </c>
      <c r="B82" s="1383"/>
      <c r="C82" s="1384"/>
      <c r="D82" s="561" t="s">
        <v>143</v>
      </c>
      <c r="E82" s="845">
        <f>'27'!F82</f>
        <v>105271.72</v>
      </c>
      <c r="F82" s="827">
        <v>105280.37</v>
      </c>
      <c r="G82" s="549">
        <f t="shared" si="6"/>
        <v>8.6499999999941792</v>
      </c>
      <c r="H82" s="536">
        <f>G82+'27'!H82</f>
        <v>-159.63000000000466</v>
      </c>
      <c r="I82" s="562"/>
      <c r="J82" s="629">
        <f>H82/DAY(B2)</f>
        <v>-5.7010714285715949</v>
      </c>
      <c r="K82" s="469"/>
      <c r="L82" s="408"/>
      <c r="N82" s="1191">
        <f>F82-'1'!E82</f>
        <v>-159.63000000000466</v>
      </c>
    </row>
    <row r="83" spans="1:17" ht="27.75">
      <c r="A83" s="1382" t="s">
        <v>211</v>
      </c>
      <c r="B83" s="1383"/>
      <c r="C83" s="1384"/>
      <c r="D83" s="697" t="s">
        <v>143</v>
      </c>
      <c r="E83" s="845">
        <f>'27'!F83</f>
        <v>982274</v>
      </c>
      <c r="F83" s="546">
        <v>982567</v>
      </c>
      <c r="G83" s="549">
        <f t="shared" si="6"/>
        <v>293</v>
      </c>
      <c r="H83" s="536">
        <f>G83+'27'!H83</f>
        <v>-1174</v>
      </c>
      <c r="I83" s="557"/>
      <c r="J83" s="629">
        <f>H83/DAY(B2)</f>
        <v>-41.928571428571431</v>
      </c>
      <c r="K83" s="468"/>
      <c r="L83" s="408"/>
      <c r="N83" s="1191">
        <f>F83-'1'!E83</f>
        <v>-1174</v>
      </c>
    </row>
    <row r="84" spans="1:17">
      <c r="A84" s="1235" t="s">
        <v>212</v>
      </c>
      <c r="B84" s="648"/>
      <c r="C84" s="648"/>
      <c r="D84" s="554" t="s">
        <v>143</v>
      </c>
      <c r="E84" s="845">
        <f>'27'!F84</f>
        <v>413993</v>
      </c>
      <c r="F84" s="787">
        <v>414533</v>
      </c>
      <c r="G84" s="549">
        <f t="shared" si="6"/>
        <v>540</v>
      </c>
      <c r="H84" s="536">
        <f>G84+'27'!H84</f>
        <v>-1540</v>
      </c>
      <c r="I84" s="557"/>
      <c r="J84" s="629">
        <f>H84/DAY(B2)</f>
        <v>-55</v>
      </c>
      <c r="K84" s="411"/>
      <c r="L84" s="408"/>
      <c r="N84" s="1191">
        <f>F84-'1'!E84</f>
        <v>-1540</v>
      </c>
    </row>
    <row r="85" spans="1:17" s="410" customFormat="1">
      <c r="A85" s="682" t="s">
        <v>213</v>
      </c>
      <c r="B85" s="649"/>
      <c r="C85" s="649"/>
      <c r="D85" s="565"/>
      <c r="E85" s="787">
        <f>'27'!F85</f>
        <v>0</v>
      </c>
      <c r="F85" s="536"/>
      <c r="G85" s="536">
        <f xml:space="preserve"> SUM(G72:G84)</f>
        <v>2233.6499999999942</v>
      </c>
      <c r="H85" s="536">
        <f>G85+'27'!H85</f>
        <v>2300384.0199999996</v>
      </c>
      <c r="I85" s="557"/>
      <c r="J85" s="629">
        <f>H85/DAY(B2)</f>
        <v>82156.572142857127</v>
      </c>
      <c r="K85" s="411"/>
      <c r="L85" s="409"/>
      <c r="N85" s="1191">
        <f>F85-'1'!E85</f>
        <v>0</v>
      </c>
      <c r="O85" s="852"/>
      <c r="P85" s="852"/>
      <c r="Q85" s="852"/>
    </row>
    <row r="86" spans="1:17" s="817" customFormat="1">
      <c r="A86" s="812" t="s">
        <v>102</v>
      </c>
      <c r="B86" s="813"/>
      <c r="C86" s="813"/>
      <c r="D86" s="814" t="s">
        <v>194</v>
      </c>
      <c r="E86" s="787">
        <f>'27'!F86</f>
        <v>446695</v>
      </c>
      <c r="F86" s="832">
        <v>446801</v>
      </c>
      <c r="G86" s="787">
        <f t="shared" ref="G86:G88" si="7">F86-E86</f>
        <v>106</v>
      </c>
      <c r="H86" s="787">
        <f t="shared" ref="H86:H88" si="8">G86</f>
        <v>106</v>
      </c>
      <c r="I86" s="733"/>
      <c r="J86" s="789">
        <f>H86/DAY(B2)</f>
        <v>3.7857142857142856</v>
      </c>
      <c r="K86" s="815"/>
      <c r="L86" s="816"/>
      <c r="N86" s="1191">
        <f>F86-'1'!E86</f>
        <v>-305</v>
      </c>
      <c r="O86" s="852"/>
      <c r="P86" s="852"/>
      <c r="Q86" s="853"/>
    </row>
    <row r="87" spans="1:17" s="817" customFormat="1">
      <c r="A87" s="812" t="s">
        <v>103</v>
      </c>
      <c r="B87" s="813"/>
      <c r="C87" s="813"/>
      <c r="D87" s="814" t="s">
        <v>194</v>
      </c>
      <c r="E87" s="787">
        <f>'27'!F87</f>
        <v>78346.8</v>
      </c>
      <c r="F87" s="832">
        <v>78375.899999999994</v>
      </c>
      <c r="G87" s="787">
        <f t="shared" si="7"/>
        <v>29.099999999991269</v>
      </c>
      <c r="H87" s="787">
        <f t="shared" si="8"/>
        <v>29.099999999991269</v>
      </c>
      <c r="I87" s="733"/>
      <c r="J87" s="789">
        <f>H87/DAY(B2)</f>
        <v>1.0392857142854024</v>
      </c>
      <c r="K87" s="815"/>
      <c r="L87" s="816"/>
      <c r="N87" s="1191">
        <f>F87-'1'!E87</f>
        <v>-70.400000000008731</v>
      </c>
      <c r="O87" s="852"/>
      <c r="P87" s="852"/>
      <c r="Q87" s="853"/>
    </row>
    <row r="88" spans="1:17" s="817" customFormat="1">
      <c r="A88" s="812" t="s">
        <v>104</v>
      </c>
      <c r="B88" s="813"/>
      <c r="C88" s="813"/>
      <c r="D88" s="814" t="s">
        <v>194</v>
      </c>
      <c r="E88" s="787">
        <f>'27'!F88</f>
        <v>146228</v>
      </c>
      <c r="F88" s="832">
        <v>146266</v>
      </c>
      <c r="G88" s="787">
        <f t="shared" si="7"/>
        <v>38</v>
      </c>
      <c r="H88" s="787">
        <f t="shared" si="8"/>
        <v>38</v>
      </c>
      <c r="I88" s="733"/>
      <c r="J88" s="789">
        <f>H88/DAY(B2)</f>
        <v>1.3571428571428572</v>
      </c>
      <c r="K88" s="815"/>
      <c r="L88" s="816"/>
      <c r="N88" s="1191">
        <f>F88-'1'!E88</f>
        <v>-236</v>
      </c>
      <c r="O88" s="852"/>
      <c r="P88" s="852"/>
      <c r="Q88" s="853"/>
    </row>
    <row r="89" spans="1:17" s="817" customFormat="1">
      <c r="A89" s="812" t="s">
        <v>215</v>
      </c>
      <c r="B89" s="813"/>
      <c r="C89" s="813"/>
      <c r="D89" s="814" t="s">
        <v>194</v>
      </c>
      <c r="E89" s="787">
        <f>'27'!F89</f>
        <v>59477</v>
      </c>
      <c r="F89" s="832">
        <v>59582</v>
      </c>
      <c r="G89" s="787">
        <f t="shared" ref="G89:G90" si="9">F89-E89</f>
        <v>105</v>
      </c>
      <c r="H89" s="787">
        <f t="shared" ref="H89:H90" si="10">G89</f>
        <v>105</v>
      </c>
      <c r="I89" s="733"/>
      <c r="J89" s="789">
        <f>H89/DAY(B2)</f>
        <v>3.75</v>
      </c>
      <c r="K89" s="815"/>
      <c r="L89" s="816"/>
      <c r="N89" s="1191">
        <f>F89-'1'!E89</f>
        <v>-220</v>
      </c>
      <c r="O89" s="413"/>
    </row>
    <row r="90" spans="1:17" s="817" customFormat="1">
      <c r="A90" s="812" t="s">
        <v>215</v>
      </c>
      <c r="B90" s="813"/>
      <c r="C90" s="813"/>
      <c r="D90" s="814" t="s">
        <v>194</v>
      </c>
      <c r="E90" s="787">
        <f>'27'!F90</f>
        <v>3054</v>
      </c>
      <c r="F90" s="832">
        <v>3057.8</v>
      </c>
      <c r="G90" s="787">
        <f t="shared" si="9"/>
        <v>3.8000000000001819</v>
      </c>
      <c r="H90" s="787">
        <f t="shared" si="10"/>
        <v>3.8000000000001819</v>
      </c>
      <c r="I90" s="733"/>
      <c r="J90" s="789">
        <f>H90/DAY(B2)</f>
        <v>0.1357142857142922</v>
      </c>
      <c r="K90" s="815"/>
      <c r="L90" s="816"/>
      <c r="N90" s="1191">
        <f>F90-'1'!E90</f>
        <v>-8.0999999999999091</v>
      </c>
      <c r="O90" s="413"/>
    </row>
    <row r="91" spans="1:17" s="410" customFormat="1">
      <c r="A91" s="683" t="s">
        <v>216</v>
      </c>
      <c r="B91" s="1237"/>
      <c r="C91" s="1237"/>
      <c r="D91" s="548"/>
      <c r="E91" s="821"/>
      <c r="F91" s="821"/>
      <c r="G91" s="564"/>
      <c r="H91" s="548"/>
      <c r="I91" s="548"/>
      <c r="J91" s="628"/>
      <c r="K91" s="411"/>
      <c r="L91" s="409"/>
      <c r="N91" s="1191">
        <f>F91-'1'!E91</f>
        <v>0</v>
      </c>
      <c r="O91" s="852"/>
      <c r="P91" s="852"/>
      <c r="Q91" s="852"/>
    </row>
    <row r="92" spans="1:17" ht="27.75">
      <c r="A92" s="1406" t="s">
        <v>217</v>
      </c>
      <c r="B92" s="1407"/>
      <c r="C92" s="1408"/>
      <c r="D92" s="599" t="s">
        <v>155</v>
      </c>
      <c r="E92" s="841">
        <f>'27'!F92</f>
        <v>236279</v>
      </c>
      <c r="F92" s="820">
        <v>236336</v>
      </c>
      <c r="G92" s="549">
        <f t="shared" ref="G92:G93" si="11">F92-E92</f>
        <v>57</v>
      </c>
      <c r="H92" s="536">
        <f>G92+'27'!H92</f>
        <v>-234</v>
      </c>
      <c r="I92" s="556"/>
      <c r="J92" s="629">
        <f>H92/DAY(B2)</f>
        <v>-8.3571428571428577</v>
      </c>
      <c r="K92" s="468"/>
      <c r="L92" s="408"/>
      <c r="N92" s="1191">
        <f>F92-'1'!E92</f>
        <v>-234</v>
      </c>
    </row>
    <row r="93" spans="1:17" ht="27.75">
      <c r="A93" s="1406" t="s">
        <v>218</v>
      </c>
      <c r="B93" s="1407"/>
      <c r="C93" s="1408"/>
      <c r="D93" s="599" t="s">
        <v>155</v>
      </c>
      <c r="E93" s="841">
        <f>'27'!F93</f>
        <v>170581</v>
      </c>
      <c r="F93" s="820">
        <v>170681</v>
      </c>
      <c r="G93" s="549">
        <f t="shared" si="11"/>
        <v>100</v>
      </c>
      <c r="H93" s="536">
        <f>G93+'27'!H93</f>
        <v>-495</v>
      </c>
      <c r="I93" s="556"/>
      <c r="J93" s="629">
        <f>H93/DAY(B2)</f>
        <v>-17.678571428571427</v>
      </c>
      <c r="K93" s="411"/>
      <c r="L93" s="408"/>
      <c r="N93" s="1191">
        <f>F93-'1'!E93</f>
        <v>-495</v>
      </c>
    </row>
    <row r="94" spans="1:17">
      <c r="A94" s="1434" t="s">
        <v>219</v>
      </c>
      <c r="B94" s="1435"/>
      <c r="C94" s="1436"/>
      <c r="D94" s="599"/>
      <c r="E94" s="841">
        <f>'27'!F94</f>
        <v>0</v>
      </c>
      <c r="F94" s="820"/>
      <c r="G94" s="549">
        <f>G92+G93</f>
        <v>157</v>
      </c>
      <c r="H94" s="536">
        <f>G94+'27'!H94</f>
        <v>-1016</v>
      </c>
      <c r="I94" s="556"/>
      <c r="J94" s="629">
        <f>H94/DAY(B2)</f>
        <v>-36.285714285714285</v>
      </c>
      <c r="K94" s="411"/>
      <c r="L94" s="408"/>
      <c r="N94" s="1191">
        <f>F94-'1'!E94</f>
        <v>0</v>
      </c>
    </row>
    <row r="95" spans="1:17" ht="27.75">
      <c r="A95" s="1406" t="s">
        <v>220</v>
      </c>
      <c r="B95" s="1407"/>
      <c r="C95" s="1408"/>
      <c r="D95" s="599" t="s">
        <v>155</v>
      </c>
      <c r="E95" s="841">
        <f>'27'!F95</f>
        <v>405645</v>
      </c>
      <c r="F95" s="820">
        <v>405688</v>
      </c>
      <c r="G95" s="549">
        <f t="shared" ref="G95:G100" si="12">F95-E95</f>
        <v>43</v>
      </c>
      <c r="H95" s="536">
        <f>G95+'27'!H95</f>
        <v>-188</v>
      </c>
      <c r="I95" s="556"/>
      <c r="J95" s="629">
        <f>H95/DAY(B2)</f>
        <v>-6.7142857142857144</v>
      </c>
      <c r="K95" s="411"/>
      <c r="L95" s="408"/>
      <c r="N95" s="1191">
        <f>F95-'1'!E95</f>
        <v>-188</v>
      </c>
    </row>
    <row r="96" spans="1:17" ht="27.75">
      <c r="A96" s="1231" t="s">
        <v>221</v>
      </c>
      <c r="B96" s="1232"/>
      <c r="C96" s="1232"/>
      <c r="D96" s="599" t="s">
        <v>155</v>
      </c>
      <c r="E96" s="841">
        <f>'27'!F96</f>
        <v>100414</v>
      </c>
      <c r="F96" s="820">
        <v>100437</v>
      </c>
      <c r="G96" s="549">
        <f t="shared" si="12"/>
        <v>23</v>
      </c>
      <c r="H96" s="536">
        <f>G96+'27'!H96</f>
        <v>-97</v>
      </c>
      <c r="I96" s="556"/>
      <c r="J96" s="629">
        <f>H96/DAY(B2)</f>
        <v>-3.4642857142857144</v>
      </c>
      <c r="K96" s="466"/>
      <c r="L96" s="408"/>
      <c r="N96" s="1191">
        <f>F96-'1'!E96</f>
        <v>-97</v>
      </c>
    </row>
    <row r="97" spans="1:17" ht="27.75">
      <c r="A97" s="1231" t="s">
        <v>222</v>
      </c>
      <c r="B97" s="1232"/>
      <c r="C97" s="1232"/>
      <c r="D97" s="599" t="s">
        <v>155</v>
      </c>
      <c r="E97" s="841">
        <f>'27'!F97</f>
        <v>95595</v>
      </c>
      <c r="F97" s="820">
        <v>95606</v>
      </c>
      <c r="G97" s="549">
        <f t="shared" si="12"/>
        <v>11</v>
      </c>
      <c r="H97" s="536">
        <f>G97+'27'!H97</f>
        <v>-71</v>
      </c>
      <c r="I97" s="556"/>
      <c r="J97" s="629">
        <f>H97/DAY(B2)</f>
        <v>-2.5357142857142856</v>
      </c>
      <c r="K97" s="471"/>
      <c r="L97" s="408"/>
      <c r="N97" s="1191">
        <f>F97-'1'!E97</f>
        <v>-71</v>
      </c>
    </row>
    <row r="98" spans="1:17" ht="27.75">
      <c r="A98" s="1231" t="s">
        <v>223</v>
      </c>
      <c r="B98" s="1232"/>
      <c r="C98" s="1232"/>
      <c r="D98" s="599" t="s">
        <v>155</v>
      </c>
      <c r="E98" s="841">
        <f>'27'!F98</f>
        <v>145298</v>
      </c>
      <c r="F98" s="820">
        <v>145357</v>
      </c>
      <c r="G98" s="549">
        <f t="shared" si="12"/>
        <v>59</v>
      </c>
      <c r="H98" s="536">
        <f>G98+'27'!H98</f>
        <v>-197</v>
      </c>
      <c r="I98" s="556"/>
      <c r="J98" s="629">
        <f>H98/DAY(B2)</f>
        <v>-7.0357142857142856</v>
      </c>
      <c r="K98" s="411"/>
      <c r="L98" s="408"/>
      <c r="N98" s="1191">
        <f>F98-'1'!E98</f>
        <v>-197</v>
      </c>
    </row>
    <row r="99" spans="1:17" ht="27.75">
      <c r="A99" s="1231" t="s">
        <v>224</v>
      </c>
      <c r="B99" s="1232"/>
      <c r="C99" s="1232"/>
      <c r="D99" s="599" t="s">
        <v>155</v>
      </c>
      <c r="E99" s="841">
        <f>'27'!F99</f>
        <v>5914</v>
      </c>
      <c r="F99" s="820">
        <v>5936</v>
      </c>
      <c r="G99" s="549">
        <f t="shared" si="12"/>
        <v>22</v>
      </c>
      <c r="H99" s="536">
        <f>G99+'27'!H99</f>
        <v>-38</v>
      </c>
      <c r="I99" s="556"/>
      <c r="J99" s="629">
        <f>H99/DAY(B2)</f>
        <v>-1.3571428571428572</v>
      </c>
      <c r="K99" s="411"/>
      <c r="L99" s="408"/>
      <c r="N99" s="1191">
        <f>F99-'1'!E99</f>
        <v>-38</v>
      </c>
    </row>
    <row r="100" spans="1:17" ht="27.75">
      <c r="A100" s="1231" t="s">
        <v>225</v>
      </c>
      <c r="B100" s="1232"/>
      <c r="C100" s="1232"/>
      <c r="D100" s="599" t="s">
        <v>155</v>
      </c>
      <c r="E100" s="841">
        <f>'27'!F100</f>
        <v>4210</v>
      </c>
      <c r="F100" s="820">
        <v>4218</v>
      </c>
      <c r="G100" s="549">
        <f t="shared" si="12"/>
        <v>8</v>
      </c>
      <c r="H100" s="536">
        <f>G100+'27'!H100</f>
        <v>-19</v>
      </c>
      <c r="I100" s="556"/>
      <c r="J100" s="629">
        <f>H100/DAY(B2)</f>
        <v>-0.6785714285714286</v>
      </c>
      <c r="K100" s="411"/>
      <c r="L100" s="408"/>
      <c r="N100" s="1191">
        <f>F100-'1'!E100</f>
        <v>-19</v>
      </c>
    </row>
    <row r="101" spans="1:17">
      <c r="A101" s="1434" t="s">
        <v>227</v>
      </c>
      <c r="B101" s="1435"/>
      <c r="C101" s="1436"/>
      <c r="D101" s="600"/>
      <c r="E101" s="562"/>
      <c r="F101" s="562"/>
      <c r="G101" s="601">
        <f>SUM(G95:G100)</f>
        <v>166</v>
      </c>
      <c r="H101" s="536">
        <f>G101+'27'!H101</f>
        <v>-610</v>
      </c>
      <c r="I101" s="602"/>
      <c r="J101" s="629">
        <f>H101/DAY(B2)</f>
        <v>-21.785714285714285</v>
      </c>
      <c r="K101" s="411"/>
      <c r="L101" s="408"/>
      <c r="N101" s="1191">
        <f>F101-'1'!E101</f>
        <v>0</v>
      </c>
    </row>
    <row r="102" spans="1:17" s="481" customFormat="1" ht="27">
      <c r="A102" s="684" t="s">
        <v>228</v>
      </c>
      <c r="B102" s="685"/>
      <c r="C102" s="685"/>
      <c r="D102" s="698"/>
      <c r="E102" s="847"/>
      <c r="F102" s="833"/>
      <c r="G102" s="605"/>
      <c r="H102" s="606"/>
      <c r="I102" s="607"/>
      <c r="J102" s="634"/>
      <c r="N102" s="1191">
        <f>F102-'1'!E102</f>
        <v>0</v>
      </c>
      <c r="O102" s="852"/>
      <c r="P102" s="852"/>
      <c r="Q102" s="852"/>
    </row>
    <row r="103" spans="1:17" s="481" customFormat="1" ht="27">
      <c r="A103" s="1437" t="s">
        <v>229</v>
      </c>
      <c r="B103" s="1438"/>
      <c r="C103" s="650"/>
      <c r="D103" s="699"/>
      <c r="E103" s="609"/>
      <c r="F103" s="834"/>
      <c r="G103" s="608"/>
      <c r="H103" s="609"/>
      <c r="I103" s="608"/>
      <c r="J103" s="635"/>
      <c r="N103" s="1191">
        <f>F103-'1'!E103</f>
        <v>0</v>
      </c>
      <c r="O103" s="852"/>
      <c r="P103" s="852"/>
      <c r="Q103" s="852"/>
    </row>
    <row r="104" spans="1:17" s="481" customFormat="1" ht="27">
      <c r="A104" s="1398" t="s">
        <v>230</v>
      </c>
      <c r="B104" s="1399"/>
      <c r="C104" s="1230"/>
      <c r="D104" s="699" t="s">
        <v>155</v>
      </c>
      <c r="E104" s="609">
        <f>'27'!F104</f>
        <v>7010</v>
      </c>
      <c r="F104" s="834">
        <v>7010</v>
      </c>
      <c r="G104" s="608">
        <f>F104-E104</f>
        <v>0</v>
      </c>
      <c r="H104" s="609">
        <f>SUM(G104+'1'!G76)</f>
        <v>74</v>
      </c>
      <c r="I104" s="608"/>
      <c r="J104" s="635">
        <f>H104/DAY(B2)</f>
        <v>2.6428571428571428</v>
      </c>
      <c r="N104" s="1191">
        <f>F104-'1'!E104</f>
        <v>0</v>
      </c>
      <c r="O104" s="852"/>
      <c r="P104" s="852"/>
      <c r="Q104" s="852"/>
    </row>
    <row r="105" spans="1:17" s="481" customFormat="1" ht="27">
      <c r="A105" s="1398" t="s">
        <v>77</v>
      </c>
      <c r="B105" s="1399"/>
      <c r="C105" s="1230"/>
      <c r="D105" s="699" t="s">
        <v>155</v>
      </c>
      <c r="E105" s="609">
        <f>'27'!F105</f>
        <v>35136</v>
      </c>
      <c r="F105" s="741">
        <v>35136</v>
      </c>
      <c r="G105" s="608">
        <f t="shared" ref="G105" si="13">F105-E105</f>
        <v>0</v>
      </c>
      <c r="H105" s="609">
        <f>SUM(G105+'1'!G77)</f>
        <v>48</v>
      </c>
      <c r="I105" s="608"/>
      <c r="J105" s="635">
        <f>H105/DAY(B2)</f>
        <v>1.7142857142857142</v>
      </c>
      <c r="N105" s="1191">
        <f>F105-'1'!E105</f>
        <v>-25</v>
      </c>
      <c r="O105" s="852"/>
      <c r="P105" s="852"/>
      <c r="Q105" s="852"/>
    </row>
    <row r="106" spans="1:17" s="481" customFormat="1" ht="27">
      <c r="A106" s="1398" t="s">
        <v>78</v>
      </c>
      <c r="B106" s="1439"/>
      <c r="C106" s="1399"/>
      <c r="D106" s="699" t="s">
        <v>155</v>
      </c>
      <c r="E106" s="609">
        <f>'27'!F106</f>
        <v>19066</v>
      </c>
      <c r="F106" s="741">
        <v>19066</v>
      </c>
      <c r="G106" s="608">
        <f>F106-E106</f>
        <v>0</v>
      </c>
      <c r="H106" s="609">
        <f>SUM(G106+'1'!G78)</f>
        <v>334</v>
      </c>
      <c r="I106" s="608"/>
      <c r="J106" s="635">
        <f>H106/DAY(B2)</f>
        <v>11.928571428571429</v>
      </c>
      <c r="N106" s="1191">
        <f>F106-'1'!E106</f>
        <v>-14</v>
      </c>
      <c r="O106" s="852"/>
      <c r="P106" s="852"/>
      <c r="Q106" s="852"/>
    </row>
    <row r="107" spans="1:17" s="481" customFormat="1" ht="27">
      <c r="A107" s="1400" t="s">
        <v>213</v>
      </c>
      <c r="B107" s="1401"/>
      <c r="C107" s="1230"/>
      <c r="D107" s="699"/>
      <c r="E107" s="609">
        <f>'27'!F107</f>
        <v>0</v>
      </c>
      <c r="F107" s="741"/>
      <c r="G107" s="608">
        <f>SUM(G104:G106)</f>
        <v>0</v>
      </c>
      <c r="H107" s="609">
        <f>SUM(G107+'1'!G79)</f>
        <v>205</v>
      </c>
      <c r="I107" s="608"/>
      <c r="J107" s="635">
        <f>H107/DAY(B2)</f>
        <v>7.3214285714285712</v>
      </c>
      <c r="N107" s="1191">
        <f>F107-'1'!E107</f>
        <v>0</v>
      </c>
      <c r="O107" s="852"/>
      <c r="P107" s="852"/>
      <c r="Q107" s="852"/>
    </row>
    <row r="108" spans="1:17" s="481" customFormat="1" ht="27">
      <c r="A108" s="1404" t="s">
        <v>79</v>
      </c>
      <c r="B108" s="1405"/>
      <c r="C108" s="1230"/>
      <c r="D108" s="699" t="s">
        <v>155</v>
      </c>
      <c r="E108" s="609">
        <f>'27'!F108</f>
        <v>0</v>
      </c>
      <c r="F108" s="741"/>
      <c r="G108" s="608"/>
      <c r="H108" s="609"/>
      <c r="I108" s="608"/>
      <c r="J108" s="635"/>
      <c r="N108" s="1191">
        <f>F108-'1'!E108</f>
        <v>0</v>
      </c>
      <c r="O108" s="852"/>
      <c r="P108" s="852"/>
      <c r="Q108" s="852"/>
    </row>
    <row r="109" spans="1:17" s="481" customFormat="1" ht="27">
      <c r="A109" s="1398" t="s">
        <v>231</v>
      </c>
      <c r="B109" s="1399"/>
      <c r="C109" s="1230"/>
      <c r="D109" s="699" t="s">
        <v>155</v>
      </c>
      <c r="E109" s="609">
        <f>'27'!F109</f>
        <v>54439</v>
      </c>
      <c r="F109" s="741">
        <v>54502</v>
      </c>
      <c r="G109" s="608">
        <f>F109-E109</f>
        <v>63</v>
      </c>
      <c r="H109" s="609">
        <f>SUM(G109+'1'!G81)</f>
        <v>139</v>
      </c>
      <c r="I109" s="608"/>
      <c r="J109" s="635">
        <f>H109/DAY(B2)</f>
        <v>4.9642857142857144</v>
      </c>
      <c r="N109" s="1191">
        <f>F109-'1'!E109</f>
        <v>-172</v>
      </c>
      <c r="O109" s="852"/>
      <c r="P109" s="852"/>
      <c r="Q109" s="852"/>
    </row>
    <row r="110" spans="1:17" s="481" customFormat="1" ht="27">
      <c r="A110" s="1398" t="s">
        <v>232</v>
      </c>
      <c r="B110" s="1399"/>
      <c r="C110" s="1230"/>
      <c r="D110" s="699" t="s">
        <v>155</v>
      </c>
      <c r="E110" s="609">
        <f>'27'!F110</f>
        <v>28300</v>
      </c>
      <c r="F110" s="741">
        <v>28348</v>
      </c>
      <c r="G110" s="608">
        <f t="shared" ref="G110:G111" si="14">F110-E110</f>
        <v>48</v>
      </c>
      <c r="H110" s="609">
        <f>SUM(G110+'1'!G82)</f>
        <v>93</v>
      </c>
      <c r="I110" s="608"/>
      <c r="J110" s="635">
        <f>H110/DAY(B2)</f>
        <v>3.3214285714285716</v>
      </c>
      <c r="N110" s="1191">
        <f>F110-'1'!E110</f>
        <v>-193</v>
      </c>
      <c r="O110" s="852"/>
      <c r="P110" s="852"/>
      <c r="Q110" s="852"/>
    </row>
    <row r="111" spans="1:17" s="481" customFormat="1" ht="27">
      <c r="A111" s="1398" t="s">
        <v>233</v>
      </c>
      <c r="B111" s="1399"/>
      <c r="C111" s="1230"/>
      <c r="D111" s="699" t="s">
        <v>155</v>
      </c>
      <c r="E111" s="609">
        <f>'27'!F111</f>
        <v>3726</v>
      </c>
      <c r="F111" s="741">
        <v>3726</v>
      </c>
      <c r="G111" s="610">
        <f t="shared" si="14"/>
        <v>0</v>
      </c>
      <c r="H111" s="609">
        <f>SUM(G111+'1'!G83)</f>
        <v>433</v>
      </c>
      <c r="I111" s="608"/>
      <c r="J111" s="635">
        <f>H111/DAY(B2)</f>
        <v>15.464285714285714</v>
      </c>
      <c r="N111" s="1191">
        <f>F111-'1'!E111</f>
        <v>-28</v>
      </c>
      <c r="O111" s="852"/>
      <c r="P111" s="852"/>
      <c r="Q111" s="852"/>
    </row>
    <row r="112" spans="1:17" s="481" customFormat="1" ht="27">
      <c r="A112" s="1400" t="s">
        <v>121</v>
      </c>
      <c r="B112" s="1401"/>
      <c r="C112" s="1230"/>
      <c r="D112" s="699"/>
      <c r="E112" s="609">
        <f>'27'!F112</f>
        <v>0</v>
      </c>
      <c r="F112" s="741"/>
      <c r="G112" s="608">
        <f>SUM(G109:G111)</f>
        <v>111</v>
      </c>
      <c r="H112" s="609">
        <f>SUM(G112+'1'!G84)</f>
        <v>632</v>
      </c>
      <c r="I112" s="608"/>
      <c r="J112" s="635">
        <f>H112/DAY(B2)</f>
        <v>22.571428571428573</v>
      </c>
      <c r="N112" s="1191">
        <f>F112-'1'!E112</f>
        <v>0</v>
      </c>
      <c r="O112" s="852"/>
      <c r="P112" s="852"/>
      <c r="Q112" s="852"/>
    </row>
    <row r="113" spans="1:17" s="481" customFormat="1" ht="27">
      <c r="A113" s="1404" t="s">
        <v>234</v>
      </c>
      <c r="B113" s="1405"/>
      <c r="C113" s="1230"/>
      <c r="D113" s="699"/>
      <c r="E113" s="609">
        <f>'27'!F113</f>
        <v>0</v>
      </c>
      <c r="F113" s="741"/>
      <c r="G113" s="608"/>
      <c r="H113" s="609"/>
      <c r="I113" s="608"/>
      <c r="J113" s="635">
        <f>H113/DAY(B2)</f>
        <v>0</v>
      </c>
      <c r="N113" s="1191">
        <f>F113-'1'!E113</f>
        <v>0</v>
      </c>
      <c r="O113" s="852"/>
      <c r="P113" s="852"/>
      <c r="Q113" s="852"/>
    </row>
    <row r="114" spans="1:17" s="481" customFormat="1" ht="27">
      <c r="A114" s="1398" t="s">
        <v>235</v>
      </c>
      <c r="B114" s="1399"/>
      <c r="C114" s="651"/>
      <c r="D114" s="699" t="s">
        <v>155</v>
      </c>
      <c r="E114" s="609">
        <f>'27'!F114</f>
        <v>9730</v>
      </c>
      <c r="F114" s="741">
        <v>9755</v>
      </c>
      <c r="G114" s="610">
        <f>F114-E114</f>
        <v>25</v>
      </c>
      <c r="H114" s="609">
        <f>SUM(G114+'1'!G91)</f>
        <v>25</v>
      </c>
      <c r="I114" s="608"/>
      <c r="J114" s="635">
        <f>H114/DAY(B2)</f>
        <v>0.8928571428571429</v>
      </c>
      <c r="N114" s="1191">
        <f>F114-'1'!E114</f>
        <v>-46</v>
      </c>
      <c r="O114" s="852"/>
      <c r="P114" s="852"/>
      <c r="Q114" s="852"/>
    </row>
    <row r="115" spans="1:17" s="481" customFormat="1" ht="27">
      <c r="A115" s="1398" t="s">
        <v>236</v>
      </c>
      <c r="B115" s="1399"/>
      <c r="C115" s="651"/>
      <c r="D115" s="699" t="s">
        <v>155</v>
      </c>
      <c r="E115" s="609">
        <f>'27'!F115</f>
        <v>7403</v>
      </c>
      <c r="F115" s="741">
        <v>7410</v>
      </c>
      <c r="G115" s="610">
        <f t="shared" ref="G115:G116" si="15">F115-E115</f>
        <v>7</v>
      </c>
      <c r="H115" s="609">
        <f>SUM(G115+'1'!G92)</f>
        <v>94</v>
      </c>
      <c r="I115" s="608"/>
      <c r="J115" s="635">
        <f>H115/DAY(B2)</f>
        <v>3.3571428571428572</v>
      </c>
      <c r="N115" s="1191">
        <f>F115-'1'!E115</f>
        <v>-17</v>
      </c>
      <c r="O115" s="852"/>
      <c r="P115" s="852"/>
      <c r="Q115" s="852"/>
    </row>
    <row r="116" spans="1:17" s="481" customFormat="1" ht="27">
      <c r="A116" s="1398" t="s">
        <v>237</v>
      </c>
      <c r="B116" s="1399"/>
      <c r="C116" s="651"/>
      <c r="D116" s="699" t="s">
        <v>155</v>
      </c>
      <c r="E116" s="612"/>
      <c r="F116" s="741"/>
      <c r="G116" s="610">
        <f t="shared" si="15"/>
        <v>0</v>
      </c>
      <c r="H116" s="609">
        <f>SUM(G116+'1'!G93)</f>
        <v>200</v>
      </c>
      <c r="I116" s="608"/>
      <c r="J116" s="635">
        <f>H116/DAY(B2)</f>
        <v>7.1428571428571432</v>
      </c>
      <c r="N116" s="1191">
        <f>F116-'1'!E116</f>
        <v>0</v>
      </c>
      <c r="O116" s="852"/>
      <c r="P116" s="852"/>
      <c r="Q116" s="852"/>
    </row>
    <row r="117" spans="1:17" s="494" customFormat="1" ht="27">
      <c r="A117" s="1400" t="s">
        <v>213</v>
      </c>
      <c r="B117" s="1401"/>
      <c r="C117" s="651"/>
      <c r="D117" s="700"/>
      <c r="E117" s="612"/>
      <c r="F117" s="741"/>
      <c r="G117" s="610">
        <f>SUM(G114:G116)</f>
        <v>32</v>
      </c>
      <c r="H117" s="609">
        <f>SUM(G117+'1'!G95)</f>
        <v>104</v>
      </c>
      <c r="I117" s="610"/>
      <c r="J117" s="635">
        <f>H117/DAY(B2)</f>
        <v>3.7142857142857144</v>
      </c>
      <c r="N117" s="1191">
        <f>F117-'1'!E117</f>
        <v>0</v>
      </c>
      <c r="O117" s="852"/>
      <c r="P117" s="852"/>
      <c r="Q117" s="853"/>
    </row>
    <row r="118" spans="1:17" s="495" customFormat="1" ht="27">
      <c r="A118" s="1394" t="s">
        <v>238</v>
      </c>
      <c r="B118" s="1395"/>
      <c r="C118" s="1228"/>
      <c r="D118" s="701" t="s">
        <v>155</v>
      </c>
      <c r="E118" s="612"/>
      <c r="F118" s="741">
        <f>SUM(G19+G92)</f>
        <v>110</v>
      </c>
      <c r="G118" s="612">
        <f>SUM(G19+G92)</f>
        <v>110</v>
      </c>
      <c r="H118" s="609">
        <f>SUM(G118+'1'!G96)</f>
        <v>133</v>
      </c>
      <c r="I118" s="611"/>
      <c r="J118" s="636">
        <f>H118/DAY(B2)</f>
        <v>4.75</v>
      </c>
      <c r="N118" s="1191">
        <f>F118-'1'!E118</f>
        <v>-369646</v>
      </c>
      <c r="O118" s="852"/>
      <c r="P118" s="852"/>
      <c r="Q118" s="853"/>
    </row>
    <row r="119" spans="1:17" s="495" customFormat="1" ht="27">
      <c r="A119" s="1394" t="s">
        <v>239</v>
      </c>
      <c r="B119" s="1395"/>
      <c r="C119" s="1228"/>
      <c r="D119" s="701" t="s">
        <v>155</v>
      </c>
      <c r="E119" s="612"/>
      <c r="F119" s="741">
        <f>SUM(G95,G96,G97,G99,G100)</f>
        <v>107</v>
      </c>
      <c r="G119" s="612">
        <f>SUM(G95,G96,G97,G99,G100)</f>
        <v>107</v>
      </c>
      <c r="H119" s="609">
        <f>SUM(G119+'1'!G98)</f>
        <v>190</v>
      </c>
      <c r="I119" s="611"/>
      <c r="J119" s="636">
        <f>H119/DAY(B2)</f>
        <v>6.7857142857142856</v>
      </c>
      <c r="N119" s="1191">
        <f>F119-'1'!E119</f>
        <v>-612323</v>
      </c>
      <c r="O119" s="852"/>
      <c r="P119" s="852"/>
      <c r="Q119" s="853"/>
    </row>
    <row r="120" spans="1:17" s="495" customFormat="1" ht="27">
      <c r="A120" s="1394" t="s">
        <v>240</v>
      </c>
      <c r="B120" s="1395"/>
      <c r="C120" s="1228"/>
      <c r="D120" s="701" t="s">
        <v>155</v>
      </c>
      <c r="E120" s="612"/>
      <c r="F120" s="741">
        <f>SUM(G112)</f>
        <v>111</v>
      </c>
      <c r="G120" s="610">
        <f>SUM(G112)</f>
        <v>111</v>
      </c>
      <c r="H120" s="609">
        <f>SUM(G120+'1'!G100)</f>
        <v>117</v>
      </c>
      <c r="I120" s="611"/>
      <c r="J120" s="636">
        <f>H120/DAY(B2)</f>
        <v>4.1785714285714288</v>
      </c>
      <c r="N120" s="1191">
        <f>F120-'1'!E120</f>
        <v>111</v>
      </c>
      <c r="O120" s="852"/>
      <c r="P120" s="852"/>
      <c r="Q120" s="853"/>
    </row>
    <row r="121" spans="1:17" s="481" customFormat="1" ht="27">
      <c r="A121" s="1396"/>
      <c r="B121" s="1397"/>
      <c r="C121" s="1229"/>
      <c r="D121" s="637"/>
      <c r="E121" s="848"/>
      <c r="F121" s="835" t="s">
        <v>226</v>
      </c>
      <c r="G121" s="637"/>
      <c r="H121" s="638"/>
      <c r="I121" s="637"/>
      <c r="J121" s="639"/>
      <c r="N121" s="1191" t="e">
        <f>F121-'1'!E121</f>
        <v>#VALUE!</v>
      </c>
      <c r="O121" s="852"/>
      <c r="P121" s="852"/>
      <c r="Q121" s="852"/>
    </row>
    <row r="122" spans="1:17">
      <c r="A122" s="1431" t="s">
        <v>241</v>
      </c>
      <c r="B122" s="1432"/>
      <c r="C122" s="1433"/>
      <c r="D122" s="548"/>
      <c r="E122" s="821"/>
      <c r="F122" s="821"/>
      <c r="G122" s="559"/>
      <c r="H122" s="559"/>
      <c r="I122" s="559"/>
      <c r="J122" s="640"/>
      <c r="K122" s="411"/>
      <c r="L122" s="408"/>
      <c r="N122" s="1191">
        <f>F122-'1'!E122</f>
        <v>0</v>
      </c>
    </row>
    <row r="123" spans="1:17" ht="27.75">
      <c r="A123" s="1231" t="s">
        <v>242</v>
      </c>
      <c r="B123" s="1232"/>
      <c r="C123" s="1232"/>
      <c r="D123" s="599" t="s">
        <v>152</v>
      </c>
      <c r="E123" s="820">
        <f>'27'!F123</f>
        <v>802272.96</v>
      </c>
      <c r="F123" s="820">
        <v>802540</v>
      </c>
      <c r="G123" s="549">
        <f t="shared" ref="G123:G127" si="16">F123-E123</f>
        <v>267.04000000003725</v>
      </c>
      <c r="H123" s="536">
        <f>G123+'27'!H123</f>
        <v>-795.40000000002328</v>
      </c>
      <c r="I123" s="602"/>
      <c r="J123" s="629">
        <f>H123/DAY(B2)</f>
        <v>-28.40714285714369</v>
      </c>
      <c r="K123" s="411"/>
      <c r="L123" s="408"/>
      <c r="N123" s="1191">
        <f>F123-'1'!E123</f>
        <v>-795.40000000002328</v>
      </c>
    </row>
    <row r="124" spans="1:17" ht="27.75">
      <c r="A124" s="1231" t="s">
        <v>243</v>
      </c>
      <c r="B124" s="1232"/>
      <c r="C124" s="1232"/>
      <c r="D124" s="599" t="s">
        <v>152</v>
      </c>
      <c r="E124" s="820">
        <f>'27'!F124</f>
        <v>73582</v>
      </c>
      <c r="F124" s="836">
        <v>73582</v>
      </c>
      <c r="G124" s="549">
        <f t="shared" si="16"/>
        <v>0</v>
      </c>
      <c r="H124" s="536">
        <f>G124+'27'!H124</f>
        <v>0</v>
      </c>
      <c r="I124" s="602"/>
      <c r="J124" s="629">
        <f>H124/DAY(B2)</f>
        <v>0</v>
      </c>
      <c r="K124" s="411"/>
      <c r="L124" s="408"/>
      <c r="N124" s="1191">
        <f>F124-'1'!E124</f>
        <v>0</v>
      </c>
    </row>
    <row r="125" spans="1:17" ht="27.75">
      <c r="A125" s="1385" t="s">
        <v>244</v>
      </c>
      <c r="B125" s="1386"/>
      <c r="C125" s="1387"/>
      <c r="D125" s="599" t="s">
        <v>152</v>
      </c>
      <c r="E125" s="820">
        <f>'27'!F125</f>
        <v>137610</v>
      </c>
      <c r="F125" s="820">
        <v>137669</v>
      </c>
      <c r="G125" s="549">
        <f t="shared" si="16"/>
        <v>59</v>
      </c>
      <c r="H125" s="536">
        <f>G125+'27'!H125</f>
        <v>-179</v>
      </c>
      <c r="I125" s="602"/>
      <c r="J125" s="629">
        <f>H125/DAY(B2)</f>
        <v>-6.3928571428571432</v>
      </c>
      <c r="K125" s="411"/>
      <c r="L125" s="408"/>
      <c r="N125" s="1191">
        <f>F125-'1'!E125</f>
        <v>-179</v>
      </c>
    </row>
    <row r="126" spans="1:17" ht="27.75">
      <c r="A126" s="686" t="s">
        <v>245</v>
      </c>
      <c r="B126" s="1232"/>
      <c r="C126" s="1232"/>
      <c r="D126" s="599" t="s">
        <v>152</v>
      </c>
      <c r="E126" s="820">
        <f>'27'!F126</f>
        <v>58268</v>
      </c>
      <c r="F126" s="836">
        <v>58288</v>
      </c>
      <c r="G126" s="549">
        <f t="shared" si="16"/>
        <v>20</v>
      </c>
      <c r="H126" s="536">
        <f>G126+'27'!H126</f>
        <v>-103.69999999999709</v>
      </c>
      <c r="I126" s="602"/>
      <c r="J126" s="629">
        <f>H126/DAY(B2)</f>
        <v>-3.7035714285713248</v>
      </c>
      <c r="K126" s="411"/>
      <c r="L126" s="408"/>
      <c r="N126" s="1191">
        <f>F126-'1'!E126</f>
        <v>-103.69999999999709</v>
      </c>
    </row>
    <row r="127" spans="1:17" ht="27.75">
      <c r="A127" s="686" t="s">
        <v>246</v>
      </c>
      <c r="B127" s="1232"/>
      <c r="C127" s="1232"/>
      <c r="D127" s="599" t="s">
        <v>152</v>
      </c>
      <c r="E127" s="820">
        <f>'27'!F127</f>
        <v>8803</v>
      </c>
      <c r="F127" s="836">
        <v>8805</v>
      </c>
      <c r="G127" s="549">
        <f t="shared" si="16"/>
        <v>2</v>
      </c>
      <c r="H127" s="536">
        <f>G127+'27'!H127</f>
        <v>-11</v>
      </c>
      <c r="I127" s="556"/>
      <c r="J127" s="629">
        <f>H127/DAY(B2)</f>
        <v>-0.39285714285714285</v>
      </c>
      <c r="K127" s="411"/>
      <c r="L127" s="408"/>
      <c r="N127" s="1191">
        <f>F127-'1'!E127</f>
        <v>-11</v>
      </c>
    </row>
    <row r="128" spans="1:17" s="281" customFormat="1" ht="27">
      <c r="A128" s="686" t="s">
        <v>247</v>
      </c>
      <c r="B128" s="1232"/>
      <c r="C128" s="1232"/>
      <c r="D128" s="599"/>
      <c r="E128" s="820"/>
      <c r="F128" s="820"/>
      <c r="G128" s="549">
        <f>G15-SUM(G123:G127)</f>
        <v>86.020000000018626</v>
      </c>
      <c r="H128" s="536"/>
      <c r="I128" s="556"/>
      <c r="J128" s="629"/>
      <c r="K128" s="391"/>
      <c r="L128" s="293"/>
      <c r="N128" s="1191">
        <f>F128-'1'!E128</f>
        <v>0</v>
      </c>
      <c r="O128" s="852"/>
      <c r="P128" s="852"/>
      <c r="Q128" s="852"/>
    </row>
    <row r="129" spans="1:12">
      <c r="A129" s="687" t="s">
        <v>248</v>
      </c>
      <c r="B129" s="534"/>
      <c r="C129" s="534"/>
      <c r="D129" s="547"/>
      <c r="E129" s="571"/>
      <c r="F129" s="571"/>
      <c r="G129" s="617"/>
      <c r="H129" s="617"/>
      <c r="I129" s="617"/>
      <c r="J129" s="641"/>
    </row>
    <row r="130" spans="1:12" ht="27.75">
      <c r="A130" s="1231" t="s">
        <v>249</v>
      </c>
      <c r="B130" s="1232"/>
      <c r="C130" s="1232"/>
      <c r="D130" s="599" t="s">
        <v>250</v>
      </c>
      <c r="E130" s="841">
        <f>'27'!F130</f>
        <v>0</v>
      </c>
      <c r="F130" s="820">
        <v>0</v>
      </c>
      <c r="G130" s="549">
        <f t="shared" ref="G130:G140" si="17">F130-E130</f>
        <v>0</v>
      </c>
      <c r="H130" s="536">
        <f>G130+'27'!H130</f>
        <v>0</v>
      </c>
      <c r="I130" s="556"/>
      <c r="J130" s="629">
        <f>H130/DAY(B2)</f>
        <v>0</v>
      </c>
    </row>
    <row r="131" spans="1:12" ht="27.75">
      <c r="A131" s="1231" t="s">
        <v>251</v>
      </c>
      <c r="B131" s="1232"/>
      <c r="C131" s="1232"/>
      <c r="D131" s="599" t="s">
        <v>250</v>
      </c>
      <c r="E131" s="841">
        <f>'27'!F131</f>
        <v>0</v>
      </c>
      <c r="F131" s="820">
        <v>0</v>
      </c>
      <c r="G131" s="549">
        <f t="shared" si="17"/>
        <v>0</v>
      </c>
      <c r="H131" s="536">
        <f>G131+'27'!H131</f>
        <v>0</v>
      </c>
      <c r="I131" s="556"/>
      <c r="J131" s="629">
        <f>H131/DAY(B2)</f>
        <v>0</v>
      </c>
    </row>
    <row r="132" spans="1:12" ht="27.75">
      <c r="A132" s="1231" t="s">
        <v>252</v>
      </c>
      <c r="B132" s="1232"/>
      <c r="C132" s="1232"/>
      <c r="D132" s="599" t="s">
        <v>250</v>
      </c>
      <c r="E132" s="850">
        <f>'27'!F132</f>
        <v>39008.67</v>
      </c>
      <c r="F132" s="836">
        <v>39032.480000000003</v>
      </c>
      <c r="G132" s="549">
        <f t="shared" si="17"/>
        <v>23.810000000004948</v>
      </c>
      <c r="H132" s="536">
        <f>G132+'27'!H132</f>
        <v>314.08999999999651</v>
      </c>
      <c r="I132" s="556"/>
      <c r="J132" s="629">
        <f>H132/DAY(B2)</f>
        <v>11.217499999999875</v>
      </c>
    </row>
    <row r="133" spans="1:12" ht="27.75">
      <c r="A133" s="1231" t="s">
        <v>253</v>
      </c>
      <c r="B133" s="1232"/>
      <c r="C133" s="1232"/>
      <c r="D133" s="599" t="s">
        <v>250</v>
      </c>
      <c r="E133" s="850">
        <f>'27'!F133</f>
        <v>299</v>
      </c>
      <c r="F133" s="836">
        <v>299</v>
      </c>
      <c r="G133" s="549">
        <f t="shared" si="17"/>
        <v>0</v>
      </c>
      <c r="H133" s="536">
        <f>G133+'27'!H133</f>
        <v>0</v>
      </c>
      <c r="I133" s="556">
        <f>G130+G131+G132+G133</f>
        <v>23.810000000004948</v>
      </c>
      <c r="J133" s="629">
        <f>H133/DAY(B2)</f>
        <v>0</v>
      </c>
    </row>
    <row r="134" spans="1:12" ht="27.75">
      <c r="A134" s="1231" t="s">
        <v>254</v>
      </c>
      <c r="B134" s="1232"/>
      <c r="C134" s="1232"/>
      <c r="D134" s="599" t="s">
        <v>250</v>
      </c>
      <c r="E134" s="850">
        <f>'27'!F134</f>
        <v>39951</v>
      </c>
      <c r="F134" s="836">
        <v>39951</v>
      </c>
      <c r="G134" s="549">
        <f t="shared" si="17"/>
        <v>0</v>
      </c>
      <c r="H134" s="536">
        <f>G134+'27'!H134</f>
        <v>23.94999999999709</v>
      </c>
      <c r="I134" s="556"/>
      <c r="J134" s="629">
        <f>H134/DAY(B2)</f>
        <v>0.8553571428570389</v>
      </c>
    </row>
    <row r="135" spans="1:12" ht="27.75">
      <c r="A135" s="1231" t="s">
        <v>255</v>
      </c>
      <c r="B135" s="1232"/>
      <c r="C135" s="1232"/>
      <c r="D135" s="599" t="s">
        <v>250</v>
      </c>
      <c r="E135" s="849">
        <f>'27'!F135</f>
        <v>32423</v>
      </c>
      <c r="F135" s="827">
        <v>32423</v>
      </c>
      <c r="G135" s="549">
        <f t="shared" si="17"/>
        <v>0</v>
      </c>
      <c r="H135" s="536">
        <f>G135+'27'!H135</f>
        <v>13</v>
      </c>
      <c r="I135" s="556"/>
      <c r="J135" s="629">
        <f>H135/DAY(B2)</f>
        <v>0.4642857142857143</v>
      </c>
    </row>
    <row r="136" spans="1:12" ht="27.75">
      <c r="A136" s="1231" t="s">
        <v>256</v>
      </c>
      <c r="B136" s="1232"/>
      <c r="C136" s="1232"/>
      <c r="D136" s="599" t="s">
        <v>250</v>
      </c>
      <c r="E136" s="849">
        <f>'27'!F136</f>
        <v>21979.81</v>
      </c>
      <c r="F136" s="827">
        <v>21979.8</v>
      </c>
      <c r="G136" s="549">
        <f t="shared" si="17"/>
        <v>-1.0000000002037268E-2</v>
      </c>
      <c r="H136" s="536">
        <f>G136+'27'!H136</f>
        <v>-22.159999999999854</v>
      </c>
      <c r="I136" s="556">
        <f>G134+G135+G136</f>
        <v>-1.0000000002037268E-2</v>
      </c>
      <c r="J136" s="629">
        <f>H136/DAY(B2)</f>
        <v>-0.79142857142856626</v>
      </c>
    </row>
    <row r="137" spans="1:12" ht="27.75">
      <c r="A137" s="1231" t="s">
        <v>257</v>
      </c>
      <c r="B137" s="1232"/>
      <c r="C137" s="1232"/>
      <c r="D137" s="599" t="s">
        <v>250</v>
      </c>
      <c r="E137" s="849">
        <f>'27'!F137</f>
        <v>25019.94</v>
      </c>
      <c r="F137" s="827">
        <v>25019.94</v>
      </c>
      <c r="G137" s="549">
        <f t="shared" si="17"/>
        <v>0</v>
      </c>
      <c r="H137" s="536">
        <f>G137+'27'!H137</f>
        <v>8</v>
      </c>
      <c r="I137" s="556"/>
      <c r="J137" s="629">
        <f>H137/DAY(B2)</f>
        <v>0.2857142857142857</v>
      </c>
    </row>
    <row r="138" spans="1:12" ht="27.75">
      <c r="A138" s="1231" t="s">
        <v>258</v>
      </c>
      <c r="B138" s="1232"/>
      <c r="C138" s="1232"/>
      <c r="D138" s="599" t="s">
        <v>250</v>
      </c>
      <c r="E138" s="849">
        <f>'27'!F138</f>
        <v>70059.78</v>
      </c>
      <c r="F138" s="827">
        <v>70059.78</v>
      </c>
      <c r="G138" s="549">
        <f t="shared" si="17"/>
        <v>0</v>
      </c>
      <c r="H138" s="536">
        <f>G138+'27'!H138</f>
        <v>16.979999999995925</v>
      </c>
      <c r="I138" s="556">
        <f>G137+G138</f>
        <v>0</v>
      </c>
      <c r="J138" s="629">
        <f>H138/DAY(B2)</f>
        <v>0.60642857142842588</v>
      </c>
    </row>
    <row r="139" spans="1:12" ht="27.75">
      <c r="A139" s="1231" t="s">
        <v>259</v>
      </c>
      <c r="B139" s="1232"/>
      <c r="C139" s="1232"/>
      <c r="D139" s="599" t="s">
        <v>250</v>
      </c>
      <c r="E139" s="850">
        <f>'27'!F139</f>
        <v>1169.32</v>
      </c>
      <c r="F139" s="836">
        <v>1177.29</v>
      </c>
      <c r="G139" s="549">
        <f t="shared" si="17"/>
        <v>7.9700000000000273</v>
      </c>
      <c r="H139" s="536">
        <f>G139+'27'!H139</f>
        <v>-23.299999999999955</v>
      </c>
      <c r="I139" s="619"/>
      <c r="J139" s="629">
        <f>H139/DAY(B2)</f>
        <v>-0.83214285714285552</v>
      </c>
    </row>
    <row r="140" spans="1:12" ht="27.75">
      <c r="A140" s="1231" t="s">
        <v>260</v>
      </c>
      <c r="B140" s="1232"/>
      <c r="C140" s="1232"/>
      <c r="D140" s="599" t="s">
        <v>250</v>
      </c>
      <c r="E140" s="849">
        <f>'27'!F140</f>
        <v>4333.53</v>
      </c>
      <c r="F140" s="820">
        <v>4334</v>
      </c>
      <c r="G140" s="549">
        <f t="shared" si="17"/>
        <v>0.47000000000025466</v>
      </c>
      <c r="H140" s="536">
        <f>G140+'27'!H140</f>
        <v>0</v>
      </c>
      <c r="I140" s="619"/>
      <c r="J140" s="629">
        <f>H140/DAY(B2)</f>
        <v>0</v>
      </c>
    </row>
    <row r="141" spans="1:12">
      <c r="A141" s="1412" t="s">
        <v>261</v>
      </c>
      <c r="B141" s="1413"/>
      <c r="C141" s="1237"/>
      <c r="D141" s="548"/>
      <c r="E141" s="821"/>
      <c r="F141" s="821"/>
      <c r="G141" s="559"/>
      <c r="H141" s="559"/>
      <c r="I141" s="559"/>
      <c r="J141" s="640"/>
      <c r="K141" s="411"/>
      <c r="L141" s="408"/>
    </row>
    <row r="142" spans="1:12" ht="27.75">
      <c r="A142" s="1406" t="s">
        <v>262</v>
      </c>
      <c r="B142" s="1407"/>
      <c r="C142" s="1408"/>
      <c r="D142" s="599" t="s">
        <v>143</v>
      </c>
      <c r="E142" s="536"/>
      <c r="F142" s="536"/>
      <c r="G142" s="536">
        <f>G35+G43+G49+G57</f>
        <v>5595.929999999993</v>
      </c>
      <c r="H142" s="536">
        <f>G142+'27'!H142</f>
        <v>-17645.070000000007</v>
      </c>
      <c r="I142" s="556"/>
      <c r="J142" s="629">
        <f>H142/DAY(B2)</f>
        <v>-630.18107142857173</v>
      </c>
      <c r="K142" s="411"/>
      <c r="L142" s="408"/>
    </row>
    <row r="143" spans="1:12" ht="27.75">
      <c r="A143" s="1406" t="s">
        <v>263</v>
      </c>
      <c r="B143" s="1407"/>
      <c r="C143" s="1408"/>
      <c r="D143" s="599" t="s">
        <v>24</v>
      </c>
      <c r="E143" s="546"/>
      <c r="F143" s="546"/>
      <c r="G143" s="620">
        <f>G142/G7</f>
        <v>0.28909076819755092</v>
      </c>
      <c r="H143" s="536">
        <f>G143+'27'!H143</f>
        <v>7.2251227813761947</v>
      </c>
      <c r="I143" s="621"/>
      <c r="J143" s="629">
        <f>H143/DAY(B2)</f>
        <v>0.2580400993348641</v>
      </c>
      <c r="K143" s="411"/>
      <c r="L143" s="408"/>
    </row>
    <row r="144" spans="1:12" ht="27.75">
      <c r="A144" s="1406" t="s">
        <v>264</v>
      </c>
      <c r="B144" s="1407"/>
      <c r="C144" s="1408"/>
      <c r="D144" s="599" t="s">
        <v>143</v>
      </c>
      <c r="E144" s="536"/>
      <c r="F144" s="536"/>
      <c r="G144" s="536">
        <f>G41+G42+G55+G56</f>
        <v>3834.8299999999726</v>
      </c>
      <c r="H144" s="536">
        <f>G144+'27'!H144</f>
        <v>53055.549999999959</v>
      </c>
      <c r="I144" s="556"/>
      <c r="J144" s="629">
        <f>H144/DAY(B2)</f>
        <v>1894.8410714285699</v>
      </c>
      <c r="K144" s="411"/>
      <c r="L144" s="408"/>
    </row>
    <row r="145" spans="1:12" ht="27.75">
      <c r="A145" s="1406" t="s">
        <v>265</v>
      </c>
      <c r="B145" s="1407"/>
      <c r="C145" s="1408"/>
      <c r="D145" s="599" t="s">
        <v>24</v>
      </c>
      <c r="E145" s="536"/>
      <c r="F145" s="536"/>
      <c r="G145" s="620">
        <f>G144/G7</f>
        <v>0.19811076096502417</v>
      </c>
      <c r="H145" s="536">
        <f>G145+'27'!H145</f>
        <v>5.9085971157892159</v>
      </c>
      <c r="I145" s="621"/>
      <c r="J145" s="629">
        <f>H145/DAY(B2)</f>
        <v>0.21102132556390057</v>
      </c>
      <c r="K145" s="411"/>
      <c r="L145" s="408"/>
    </row>
    <row r="146" spans="1:12" ht="27.75">
      <c r="A146" s="1406" t="s">
        <v>266</v>
      </c>
      <c r="B146" s="1407"/>
      <c r="C146" s="1408"/>
      <c r="D146" s="599" t="s">
        <v>143</v>
      </c>
      <c r="E146" s="536"/>
      <c r="F146" s="536"/>
      <c r="G146" s="536">
        <f>G39+G53</f>
        <v>4173</v>
      </c>
      <c r="H146" s="536">
        <f>G146+'27'!H146</f>
        <v>899928.73</v>
      </c>
      <c r="I146" s="622"/>
      <c r="J146" s="629">
        <f>H146/DAY(B2)</f>
        <v>32140.311785714286</v>
      </c>
      <c r="K146" s="411"/>
      <c r="L146" s="408"/>
    </row>
    <row r="147" spans="1:12" ht="27.75">
      <c r="A147" s="1406" t="s">
        <v>267</v>
      </c>
      <c r="B147" s="1407"/>
      <c r="C147" s="1408"/>
      <c r="D147" s="599" t="s">
        <v>24</v>
      </c>
      <c r="E147" s="536"/>
      <c r="F147" s="536"/>
      <c r="G147" s="620">
        <f>G146/G7</f>
        <v>0.21558092679650773</v>
      </c>
      <c r="H147" s="536">
        <f>G147+'27'!H147</f>
        <v>4.5341281697810514</v>
      </c>
      <c r="I147" s="622"/>
      <c r="J147" s="629">
        <f>H147/DAY(B2)</f>
        <v>0.16193314892075183</v>
      </c>
    </row>
    <row r="148" spans="1:12" ht="27.75">
      <c r="A148" s="1406" t="s">
        <v>268</v>
      </c>
      <c r="B148" s="1407"/>
      <c r="C148" s="1408"/>
      <c r="D148" s="599" t="s">
        <v>194</v>
      </c>
      <c r="E148" s="536"/>
      <c r="F148" s="536"/>
      <c r="G148" s="536">
        <f>G38+G52</f>
        <v>1734.210000000021</v>
      </c>
      <c r="H148" s="536">
        <f>G148+'27'!H148</f>
        <v>144654.45000000001</v>
      </c>
      <c r="I148" s="556"/>
      <c r="J148" s="629">
        <f>H148/DAY(B2)</f>
        <v>5166.2303571428574</v>
      </c>
      <c r="K148" s="412"/>
    </row>
    <row r="149" spans="1:12" ht="27.75">
      <c r="A149" s="1406" t="s">
        <v>269</v>
      </c>
      <c r="B149" s="1407"/>
      <c r="C149" s="1408"/>
      <c r="D149" s="599" t="s">
        <v>24</v>
      </c>
      <c r="E149" s="536"/>
      <c r="F149" s="536"/>
      <c r="G149" s="620">
        <f>G148/G7</f>
        <v>8.9590845688899162E-2</v>
      </c>
      <c r="H149" s="536">
        <f>G149+'27'!H149</f>
        <v>2.622925657331352</v>
      </c>
      <c r="I149" s="622"/>
      <c r="J149" s="629">
        <f>H149/DAY(B2)</f>
        <v>9.3675916333262568E-2</v>
      </c>
    </row>
    <row r="150" spans="1:12" ht="27.75">
      <c r="A150" s="1406" t="s">
        <v>270</v>
      </c>
      <c r="B150" s="1407"/>
      <c r="C150" s="1408"/>
      <c r="D150" s="599" t="s">
        <v>194</v>
      </c>
      <c r="E150" s="536"/>
      <c r="F150" s="536"/>
      <c r="G150" s="536">
        <f>G36+G50</f>
        <v>2197.2700000000186</v>
      </c>
      <c r="H150" s="536">
        <f>G150+'27'!H150</f>
        <v>-4950.7600000000093</v>
      </c>
      <c r="I150" s="622"/>
      <c r="J150" s="629">
        <f>H150/DAY(B2)</f>
        <v>-176.81285714285747</v>
      </c>
    </row>
    <row r="151" spans="1:12" ht="27.75">
      <c r="A151" s="1406" t="s">
        <v>271</v>
      </c>
      <c r="B151" s="1407"/>
      <c r="C151" s="1408"/>
      <c r="D151" s="599" t="s">
        <v>24</v>
      </c>
      <c r="E151" s="536"/>
      <c r="F151" s="536"/>
      <c r="G151" s="620">
        <f>G150/G7</f>
        <v>0.11351294105491649</v>
      </c>
      <c r="H151" s="536">
        <f>G151+'27'!H151</f>
        <v>2.7155386169176063</v>
      </c>
      <c r="I151" s="556"/>
      <c r="J151" s="629">
        <f>H151/DAY(B2)</f>
        <v>9.6983522032771649E-2</v>
      </c>
    </row>
    <row r="152" spans="1:12" ht="27.75">
      <c r="A152" s="1406" t="s">
        <v>272</v>
      </c>
      <c r="B152" s="1407"/>
      <c r="C152" s="1408"/>
      <c r="D152" s="599" t="s">
        <v>194</v>
      </c>
      <c r="E152" s="536"/>
      <c r="F152" s="536"/>
      <c r="G152" s="536">
        <f>G37+G51</f>
        <v>1445.4600000000064</v>
      </c>
      <c r="H152" s="536">
        <f>G152+'27'!H152</f>
        <v>410438.25999999995</v>
      </c>
      <c r="I152" s="556"/>
      <c r="J152" s="629">
        <f>H152/DAY(B2)</f>
        <v>14658.509285714284</v>
      </c>
    </row>
    <row r="153" spans="1:12" ht="28.5" thickBot="1">
      <c r="A153" s="1409" t="s">
        <v>273</v>
      </c>
      <c r="B153" s="1410"/>
      <c r="C153" s="1411"/>
      <c r="D153" s="702" t="s">
        <v>24</v>
      </c>
      <c r="E153" s="644"/>
      <c r="F153" s="644"/>
      <c r="G153" s="643">
        <f>G152/G7</f>
        <v>7.4673761429973978E-2</v>
      </c>
      <c r="H153" s="536">
        <f>G153+'27'!H153</f>
        <v>1.4545074191834109</v>
      </c>
      <c r="I153" s="645"/>
      <c r="J153" s="646">
        <f>H153/DAY(B2)</f>
        <v>5.1946693542264673E-2</v>
      </c>
    </row>
    <row r="154" spans="1:12">
      <c r="A154" s="542"/>
      <c r="B154" s="532"/>
      <c r="C154" s="532"/>
      <c r="D154" s="623"/>
      <c r="E154" s="625"/>
      <c r="F154" s="837"/>
      <c r="G154" s="623"/>
      <c r="H154" s="624"/>
      <c r="I154" s="623"/>
      <c r="J154" s="625"/>
    </row>
    <row r="160" spans="1:12">
      <c r="A160" s="868" t="s">
        <v>274</v>
      </c>
      <c r="B160" s="869"/>
      <c r="C160" s="869"/>
      <c r="D160" s="587" t="s">
        <v>198</v>
      </c>
      <c r="E160" s="849">
        <f>'27'!F160</f>
        <v>28105.57</v>
      </c>
      <c r="F160" s="739">
        <v>28185.9</v>
      </c>
      <c r="G160" s="549">
        <f t="shared" ref="G160:G163" si="18">F160-E160</f>
        <v>80.330000000001746</v>
      </c>
    </row>
    <row r="161" spans="1:7">
      <c r="A161" s="868" t="s">
        <v>275</v>
      </c>
      <c r="B161" s="869"/>
      <c r="C161" s="869"/>
      <c r="D161" s="587" t="s">
        <v>198</v>
      </c>
      <c r="E161" s="849">
        <f>'27'!F161</f>
        <v>40826.79</v>
      </c>
      <c r="F161" s="739">
        <v>41255.49</v>
      </c>
      <c r="G161" s="549">
        <f t="shared" si="18"/>
        <v>428.69999999999709</v>
      </c>
    </row>
    <row r="162" spans="1:7">
      <c r="A162" s="868" t="s">
        <v>276</v>
      </c>
      <c r="B162" s="869"/>
      <c r="C162" s="869"/>
      <c r="D162" s="587" t="s">
        <v>198</v>
      </c>
      <c r="E162" s="849">
        <f>'27'!F162</f>
        <v>11859.34</v>
      </c>
      <c r="F162" s="739">
        <v>12092</v>
      </c>
      <c r="G162" s="549">
        <f t="shared" si="18"/>
        <v>232.65999999999985</v>
      </c>
    </row>
    <row r="163" spans="1:7">
      <c r="A163" s="868" t="s">
        <v>277</v>
      </c>
      <c r="B163" s="869"/>
      <c r="C163" s="869"/>
      <c r="D163" s="587" t="s">
        <v>198</v>
      </c>
      <c r="E163" s="849">
        <f>'27'!F163</f>
        <v>4929.76</v>
      </c>
      <c r="F163" s="739">
        <v>4939.6899999999996</v>
      </c>
      <c r="G163" s="549">
        <f t="shared" si="18"/>
        <v>9.9299999999993815</v>
      </c>
    </row>
    <row r="164" spans="1:7">
      <c r="A164" s="870" t="s">
        <v>106</v>
      </c>
      <c r="B164" s="681"/>
      <c r="C164" s="681"/>
      <c r="D164" s="587" t="s">
        <v>198</v>
      </c>
      <c r="E164" s="590">
        <f>E62</f>
        <v>20419.18</v>
      </c>
      <c r="F164" s="590">
        <f>F62</f>
        <v>20419.187000000002</v>
      </c>
      <c r="G164" s="549">
        <f t="shared" ref="G164:G171" si="19">F164-E164</f>
        <v>7.0000000014260877E-3</v>
      </c>
    </row>
    <row r="165" spans="1:7">
      <c r="A165" s="870" t="s">
        <v>199</v>
      </c>
      <c r="B165" s="681"/>
      <c r="C165" s="681"/>
      <c r="D165" s="587" t="s">
        <v>198</v>
      </c>
      <c r="E165" s="590">
        <f t="shared" ref="E165:E171" si="20">E63</f>
        <v>1283</v>
      </c>
      <c r="F165" s="590">
        <f t="shared" ref="F165:F171" si="21">F63</f>
        <v>1293.6600000000001</v>
      </c>
      <c r="G165" s="549">
        <f t="shared" si="19"/>
        <v>10.660000000000082</v>
      </c>
    </row>
    <row r="166" spans="1:7" ht="27.75">
      <c r="A166" s="1381" t="s">
        <v>107</v>
      </c>
      <c r="B166" s="1381"/>
      <c r="C166" s="1381"/>
      <c r="D166" s="599" t="s">
        <v>198</v>
      </c>
      <c r="E166" s="590">
        <f t="shared" si="20"/>
        <v>109552.79</v>
      </c>
      <c r="F166" s="590">
        <f t="shared" si="21"/>
        <v>110016</v>
      </c>
      <c r="G166" s="549">
        <f t="shared" si="19"/>
        <v>463.2100000000064</v>
      </c>
    </row>
    <row r="167" spans="1:7" ht="27.75">
      <c r="A167" s="1381" t="s">
        <v>108</v>
      </c>
      <c r="B167" s="1381"/>
      <c r="C167" s="1381"/>
      <c r="D167" s="599" t="s">
        <v>198</v>
      </c>
      <c r="E167" s="590">
        <f t="shared" si="20"/>
        <v>120175</v>
      </c>
      <c r="F167" s="590">
        <f t="shared" si="21"/>
        <v>120566.18</v>
      </c>
      <c r="G167" s="549">
        <f t="shared" si="19"/>
        <v>391.17999999999302</v>
      </c>
    </row>
    <row r="168" spans="1:7" ht="27.75">
      <c r="A168" s="1381" t="s">
        <v>109</v>
      </c>
      <c r="B168" s="1381"/>
      <c r="C168" s="1381"/>
      <c r="D168" s="599" t="s">
        <v>198</v>
      </c>
      <c r="E168" s="590">
        <f t="shared" si="20"/>
        <v>12487.61</v>
      </c>
      <c r="F168" s="590">
        <f t="shared" si="21"/>
        <v>12904</v>
      </c>
      <c r="G168" s="549">
        <f t="shared" si="19"/>
        <v>416.38999999999942</v>
      </c>
    </row>
    <row r="169" spans="1:7" ht="27.75">
      <c r="A169" s="1381" t="s">
        <v>110</v>
      </c>
      <c r="B169" s="1381"/>
      <c r="C169" s="1381"/>
      <c r="D169" s="599" t="s">
        <v>198</v>
      </c>
      <c r="E169" s="590">
        <f t="shared" si="20"/>
        <v>185945</v>
      </c>
      <c r="F169" s="590">
        <f t="shared" si="21"/>
        <v>186593</v>
      </c>
      <c r="G169" s="549">
        <f t="shared" si="19"/>
        <v>648</v>
      </c>
    </row>
    <row r="170" spans="1:7" ht="27.75">
      <c r="A170" s="1381" t="s">
        <v>111</v>
      </c>
      <c r="B170" s="1381"/>
      <c r="C170" s="1381"/>
      <c r="D170" s="599" t="s">
        <v>198</v>
      </c>
      <c r="E170" s="590">
        <f t="shared" si="20"/>
        <v>62030</v>
      </c>
      <c r="F170" s="590">
        <f t="shared" si="21"/>
        <v>62358</v>
      </c>
      <c r="G170" s="549">
        <f t="shared" si="19"/>
        <v>328</v>
      </c>
    </row>
    <row r="171" spans="1:7" ht="27.75">
      <c r="A171" s="1381" t="s">
        <v>112</v>
      </c>
      <c r="B171" s="1381"/>
      <c r="C171" s="1381"/>
      <c r="D171" s="599" t="s">
        <v>198</v>
      </c>
      <c r="E171" s="590">
        <f t="shared" si="20"/>
        <v>54472.81</v>
      </c>
      <c r="F171" s="590">
        <f t="shared" si="21"/>
        <v>54778</v>
      </c>
      <c r="G171" s="549">
        <f t="shared" si="19"/>
        <v>305.19000000000233</v>
      </c>
    </row>
    <row r="172" spans="1:7">
      <c r="G172" s="616">
        <f>SUM(G160:G171)</f>
        <v>3314.2570000000005</v>
      </c>
    </row>
  </sheetData>
  <mergeCells count="74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1:J71"/>
    <mergeCell ref="A70:C70"/>
    <mergeCell ref="A75:C75"/>
    <mergeCell ref="A76:C76"/>
    <mergeCell ref="A77:C77"/>
    <mergeCell ref="A79:C79"/>
    <mergeCell ref="A80:C80"/>
    <mergeCell ref="A93:C93"/>
    <mergeCell ref="A94:C94"/>
    <mergeCell ref="A95:C95"/>
    <mergeCell ref="A81:C81"/>
    <mergeCell ref="A82:C82"/>
    <mergeCell ref="A83:C83"/>
    <mergeCell ref="A92:C92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143:C143"/>
    <mergeCell ref="A144:C144"/>
    <mergeCell ref="A145:C145"/>
    <mergeCell ref="A146:C146"/>
    <mergeCell ref="A147:C147"/>
    <mergeCell ref="A152:C152"/>
    <mergeCell ref="A153:C153"/>
    <mergeCell ref="A148:C148"/>
    <mergeCell ref="A149:C149"/>
    <mergeCell ref="A150:C150"/>
    <mergeCell ref="A151:C151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3" orientation="portrait" r:id="rId1"/>
  <colBreaks count="1" manualBreakCount="1">
    <brk id="10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2"/>
  <sheetViews>
    <sheetView view="pageBreakPreview" zoomScale="55" zoomScaleNormal="78" zoomScaleSheetLayoutView="55" workbookViewId="0">
      <selection activeCell="F28" sqref="F28"/>
    </sheetView>
  </sheetViews>
  <sheetFormatPr defaultColWidth="22.33203125" defaultRowHeight="29.25"/>
  <cols>
    <col min="1" max="1" width="51.21875" style="530" customWidth="1"/>
    <col min="2" max="2" width="24.88671875" style="533" customWidth="1"/>
    <col min="3" max="3" width="15.88671875" style="533" customWidth="1"/>
    <col min="4" max="4" width="13.6640625" style="614" customWidth="1"/>
    <col min="5" max="5" width="30" style="616" customWidth="1"/>
    <col min="6" max="6" width="30" style="838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5" width="22.33203125" style="852"/>
    <col min="16" max="16384" width="22.33203125" style="407"/>
  </cols>
  <sheetData>
    <row r="1" spans="1:15" ht="33.75">
      <c r="A1" s="1414" t="s">
        <v>128</v>
      </c>
      <c r="B1" s="1415"/>
      <c r="C1" s="1415"/>
      <c r="D1" s="1415"/>
      <c r="E1" s="1415"/>
      <c r="F1" s="1415"/>
      <c r="G1" s="1415"/>
      <c r="H1" s="1415"/>
      <c r="I1" s="1415"/>
      <c r="J1" s="1416"/>
    </row>
    <row r="2" spans="1:15" s="281" customFormat="1" ht="27">
      <c r="A2" s="652" t="s">
        <v>284</v>
      </c>
      <c r="B2" s="1165">
        <v>43859</v>
      </c>
      <c r="C2" s="1233" t="s">
        <v>69</v>
      </c>
      <c r="D2" s="688">
        <v>0.66</v>
      </c>
      <c r="E2" s="818"/>
      <c r="F2" s="818"/>
      <c r="G2" s="537" t="s">
        <v>129</v>
      </c>
      <c r="H2" s="537" t="s">
        <v>6</v>
      </c>
      <c r="I2" s="537" t="s">
        <v>8</v>
      </c>
      <c r="J2" s="690" t="s">
        <v>130</v>
      </c>
      <c r="N2" s="852"/>
      <c r="O2" s="852"/>
    </row>
    <row r="3" spans="1:15" s="281" customFormat="1" ht="27">
      <c r="A3" s="647"/>
      <c r="B3" s="691"/>
      <c r="C3" s="1233" t="s">
        <v>131</v>
      </c>
      <c r="D3" s="689">
        <v>24</v>
      </c>
      <c r="E3" s="1423" t="s">
        <v>132</v>
      </c>
      <c r="F3" s="1424"/>
      <c r="G3" s="538"/>
      <c r="H3" s="539"/>
      <c r="I3" s="539"/>
      <c r="J3" s="692"/>
      <c r="K3" s="402"/>
      <c r="L3" s="293"/>
      <c r="N3" s="852"/>
      <c r="O3" s="852"/>
    </row>
    <row r="4" spans="1:15" s="281" customFormat="1" ht="27">
      <c r="A4" s="653"/>
      <c r="B4" s="693"/>
      <c r="C4" s="1233" t="s">
        <v>133</v>
      </c>
      <c r="D4" s="688">
        <v>0.78</v>
      </c>
      <c r="E4" s="539"/>
      <c r="F4" s="539"/>
      <c r="G4" s="540"/>
      <c r="H4" s="540"/>
      <c r="I4" s="541"/>
      <c r="J4" s="692"/>
      <c r="K4" s="403"/>
      <c r="L4" s="293"/>
      <c r="N4" s="854"/>
      <c r="O4" s="852"/>
    </row>
    <row r="5" spans="1:15">
      <c r="A5" s="654" t="s">
        <v>134</v>
      </c>
      <c r="B5" s="535"/>
      <c r="C5" s="535"/>
      <c r="D5" s="587" t="s">
        <v>135</v>
      </c>
      <c r="E5" s="590" t="s">
        <v>136</v>
      </c>
      <c r="F5" s="590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  <c r="N5" s="854"/>
    </row>
    <row r="6" spans="1:15">
      <c r="A6" s="1417" t="s">
        <v>141</v>
      </c>
      <c r="B6" s="1418"/>
      <c r="C6" s="1419"/>
      <c r="D6" s="547"/>
      <c r="E6" s="571"/>
      <c r="F6" s="571"/>
      <c r="G6" s="547"/>
      <c r="H6" s="548"/>
      <c r="I6" s="548"/>
      <c r="J6" s="628"/>
      <c r="K6" s="466"/>
      <c r="L6" s="408"/>
    </row>
    <row r="7" spans="1:15" ht="30" thickBot="1">
      <c r="A7" s="757" t="s">
        <v>142</v>
      </c>
      <c r="B7" s="758"/>
      <c r="C7" s="758"/>
      <c r="D7" s="715" t="s">
        <v>143</v>
      </c>
      <c r="E7" s="760">
        <f>'28'!F7</f>
        <v>3832072</v>
      </c>
      <c r="F7" s="536">
        <v>3850820</v>
      </c>
      <c r="G7" s="759">
        <f>F7-E7</f>
        <v>18748</v>
      </c>
      <c r="H7" s="760">
        <f>G7+'28'!H7</f>
        <v>-37378</v>
      </c>
      <c r="I7" s="761">
        <f>'1'!I7</f>
        <v>12000</v>
      </c>
      <c r="J7" s="762">
        <f>H7/DAY(B2)</f>
        <v>-1288.8965517241379</v>
      </c>
      <c r="K7" s="626">
        <v>1703438</v>
      </c>
      <c r="L7" s="408">
        <v>1715917</v>
      </c>
      <c r="O7" s="855"/>
    </row>
    <row r="8" spans="1:15" ht="27.75" thickBot="1">
      <c r="A8" s="763" t="s">
        <v>144</v>
      </c>
      <c r="B8" s="764"/>
      <c r="C8" s="765"/>
      <c r="D8" s="766" t="s">
        <v>25</v>
      </c>
      <c r="E8" s="760">
        <f>'28'!F8</f>
        <v>3856131</v>
      </c>
      <c r="F8" s="819">
        <v>3875075</v>
      </c>
      <c r="G8" s="770">
        <f>F8-E8</f>
        <v>18944</v>
      </c>
      <c r="H8" s="760">
        <f>G8+'28'!H8</f>
        <v>-37776</v>
      </c>
      <c r="I8" s="767"/>
      <c r="J8" s="762">
        <f>H8/DAY(B2)</f>
        <v>-1302.6206896551723</v>
      </c>
      <c r="K8" s="626">
        <v>1375467</v>
      </c>
      <c r="L8" s="464"/>
      <c r="M8" s="479"/>
      <c r="O8" s="855"/>
    </row>
    <row r="9" spans="1:15">
      <c r="A9" s="768" t="s">
        <v>145</v>
      </c>
      <c r="B9" s="769"/>
      <c r="C9" s="769"/>
      <c r="D9" s="715" t="s">
        <v>143</v>
      </c>
      <c r="E9" s="760">
        <f>'28'!F9</f>
        <v>2516698.5</v>
      </c>
      <c r="F9" s="820">
        <v>2522775</v>
      </c>
      <c r="G9" s="783">
        <f t="shared" ref="G9:G12" si="0">F9-E9</f>
        <v>6076.5</v>
      </c>
      <c r="H9" s="760">
        <f>G9+'28'!H9</f>
        <v>2559887.25</v>
      </c>
      <c r="I9" s="771">
        <f>I7-J7</f>
        <v>13288.896551724138</v>
      </c>
      <c r="J9" s="762">
        <f>H9/DAY(B2)</f>
        <v>88271.974137931029</v>
      </c>
      <c r="K9" s="467"/>
      <c r="L9" s="408"/>
      <c r="O9" s="855"/>
    </row>
    <row r="10" spans="1:15">
      <c r="A10" s="757" t="s">
        <v>146</v>
      </c>
      <c r="B10" s="758"/>
      <c r="C10" s="758"/>
      <c r="D10" s="715" t="s">
        <v>143</v>
      </c>
      <c r="E10" s="760">
        <f>'28'!F10</f>
        <v>1165093.3999999999</v>
      </c>
      <c r="F10" s="820">
        <v>1177122</v>
      </c>
      <c r="G10" s="770">
        <f t="shared" si="0"/>
        <v>12028.600000000093</v>
      </c>
      <c r="H10" s="760">
        <f>G10+'28'!H10</f>
        <v>-23752.399999999907</v>
      </c>
      <c r="I10" s="772"/>
      <c r="J10" s="762">
        <f>H10/DAY(B2)</f>
        <v>-819.04827586206579</v>
      </c>
      <c r="K10" s="467"/>
      <c r="L10" s="408"/>
    </row>
    <row r="11" spans="1:15">
      <c r="A11" s="757" t="s">
        <v>147</v>
      </c>
      <c r="B11" s="758"/>
      <c r="C11" s="758"/>
      <c r="D11" s="715" t="s">
        <v>143</v>
      </c>
      <c r="E11" s="760">
        <f>'28'!F11</f>
        <v>35390</v>
      </c>
      <c r="F11" s="536">
        <v>35390</v>
      </c>
      <c r="G11" s="770">
        <f t="shared" si="0"/>
        <v>0</v>
      </c>
      <c r="H11" s="760">
        <f>G11+'28'!H11</f>
        <v>0</v>
      </c>
      <c r="I11" s="772"/>
      <c r="J11" s="762">
        <f>H11/DAY(B2)</f>
        <v>0</v>
      </c>
      <c r="K11" s="467"/>
      <c r="L11" s="408"/>
    </row>
    <row r="12" spans="1:15">
      <c r="A12" s="757" t="s">
        <v>148</v>
      </c>
      <c r="B12" s="758"/>
      <c r="C12" s="758"/>
      <c r="D12" s="1186" t="s">
        <v>143</v>
      </c>
      <c r="E12" s="1180">
        <f>'28'!F12</f>
        <v>37630</v>
      </c>
      <c r="F12" s="820">
        <v>37630</v>
      </c>
      <c r="G12" s="770">
        <f t="shared" si="0"/>
        <v>0</v>
      </c>
      <c r="H12" s="760">
        <f>G12+'28'!H12</f>
        <v>0</v>
      </c>
      <c r="I12" s="772"/>
      <c r="J12" s="762">
        <f>H12/DAY(B2)</f>
        <v>0</v>
      </c>
      <c r="K12" s="467"/>
      <c r="L12" s="408"/>
    </row>
    <row r="13" spans="1:15">
      <c r="A13" s="773" t="s">
        <v>149</v>
      </c>
      <c r="B13" s="774"/>
      <c r="C13" s="774"/>
      <c r="D13" s="1186"/>
      <c r="E13" s="1180"/>
      <c r="F13" s="536"/>
      <c r="G13" s="775">
        <f>G9+G10+G11+G12</f>
        <v>18105.100000000093</v>
      </c>
      <c r="H13" s="1180">
        <f>G13+'28'!H13</f>
        <v>2517828.8500000006</v>
      </c>
      <c r="I13" s="1181">
        <f>G7-G13</f>
        <v>642.89999999990687</v>
      </c>
      <c r="J13" s="1182">
        <f>H13/DAY(B2)</f>
        <v>86821.684482758646</v>
      </c>
      <c r="K13" s="467"/>
      <c r="L13" s="408"/>
    </row>
    <row r="14" spans="1:15">
      <c r="A14" s="1420" t="s">
        <v>150</v>
      </c>
      <c r="B14" s="1421"/>
      <c r="C14" s="1422"/>
      <c r="D14" s="1183"/>
      <c r="E14" s="1187"/>
      <c r="F14" s="821"/>
      <c r="G14" s="559"/>
      <c r="H14" s="1183"/>
      <c r="I14" s="1183"/>
      <c r="J14" s="1184"/>
      <c r="K14" s="468"/>
      <c r="L14" s="408"/>
    </row>
    <row r="15" spans="1:15">
      <c r="A15" s="746" t="s">
        <v>151</v>
      </c>
      <c r="B15" s="747"/>
      <c r="C15" s="747"/>
      <c r="D15" s="1188" t="s">
        <v>152</v>
      </c>
      <c r="E15" s="1189">
        <f>'28'!F15</f>
        <v>1592074</v>
      </c>
      <c r="F15" s="822">
        <v>1592900.97</v>
      </c>
      <c r="G15" s="745">
        <f>(F15-E15)</f>
        <v>826.96999999997206</v>
      </c>
      <c r="H15" s="1176">
        <f>G15+'28'!H15</f>
        <v>-1536.1799999999348</v>
      </c>
      <c r="I15" s="1177">
        <f>'1'!I15</f>
        <v>800</v>
      </c>
      <c r="J15" s="1178">
        <f>H15/DAY(B2)</f>
        <v>-52.971724137928788</v>
      </c>
      <c r="K15" s="467"/>
      <c r="L15" s="408"/>
    </row>
    <row r="16" spans="1:15">
      <c r="A16" s="754"/>
      <c r="B16" s="755"/>
      <c r="C16" s="755"/>
      <c r="D16" s="1188"/>
      <c r="E16" s="1189"/>
      <c r="F16" s="822"/>
      <c r="G16" s="750"/>
      <c r="H16" s="1176"/>
      <c r="I16" s="1179">
        <f>I15-J15</f>
        <v>852.97172413792873</v>
      </c>
      <c r="J16" s="1178"/>
      <c r="K16" s="467"/>
      <c r="L16" s="408"/>
    </row>
    <row r="17" spans="1:15">
      <c r="A17" s="1420" t="s">
        <v>153</v>
      </c>
      <c r="B17" s="1421"/>
      <c r="C17" s="1422"/>
      <c r="D17" s="1183"/>
      <c r="E17" s="1187"/>
      <c r="F17" s="821"/>
      <c r="G17" s="564"/>
      <c r="H17" s="1183"/>
      <c r="I17" s="1183"/>
      <c r="J17" s="1184"/>
      <c r="K17" s="467"/>
      <c r="L17" s="408"/>
    </row>
    <row r="18" spans="1:15" ht="27.75">
      <c r="A18" s="1446" t="s">
        <v>154</v>
      </c>
      <c r="B18" s="1447"/>
      <c r="C18" s="1448"/>
      <c r="D18" s="715" t="s">
        <v>155</v>
      </c>
      <c r="E18" s="840">
        <f>'28'!F18</f>
        <v>12</v>
      </c>
      <c r="F18" s="820">
        <v>10</v>
      </c>
      <c r="G18" s="775">
        <f>F18*10</f>
        <v>100</v>
      </c>
      <c r="H18" s="1180">
        <f>G18+'28'!H18</f>
        <v>4420</v>
      </c>
      <c r="I18" s="1185">
        <f>'1'!I18</f>
        <v>65</v>
      </c>
      <c r="J18" s="1182">
        <f>H18/DAY(B2)</f>
        <v>152.41379310344828</v>
      </c>
      <c r="K18" s="467"/>
      <c r="L18" s="408"/>
    </row>
    <row r="19" spans="1:15" ht="27.75">
      <c r="A19" s="1446" t="s">
        <v>71</v>
      </c>
      <c r="B19" s="1447"/>
      <c r="C19" s="1448"/>
      <c r="D19" s="715" t="s">
        <v>155</v>
      </c>
      <c r="E19" s="840">
        <f>'28'!F19</f>
        <v>132892</v>
      </c>
      <c r="F19" s="820">
        <v>132943</v>
      </c>
      <c r="G19" s="770">
        <f t="shared" ref="G19" si="1">F19-E19</f>
        <v>51</v>
      </c>
      <c r="H19" s="760">
        <f>G19+'28'!H19</f>
        <v>-105</v>
      </c>
      <c r="I19" s="777"/>
      <c r="J19" s="762">
        <f>H19/DAY(B2)</f>
        <v>-3.6206896551724137</v>
      </c>
      <c r="K19" s="467"/>
      <c r="L19" s="408"/>
    </row>
    <row r="20" spans="1:15">
      <c r="A20" s="773" t="s">
        <v>156</v>
      </c>
      <c r="B20" s="774"/>
      <c r="C20" s="774"/>
      <c r="D20" s="715"/>
      <c r="E20" s="760"/>
      <c r="F20" s="536"/>
      <c r="G20" s="778">
        <f>G18+G19</f>
        <v>151</v>
      </c>
      <c r="H20" s="760">
        <f>G20+'28'!H20</f>
        <v>4315</v>
      </c>
      <c r="I20" s="779">
        <f>I18-J20</f>
        <v>-83.793103448275872</v>
      </c>
      <c r="J20" s="762">
        <f>H20/DAY(B2)</f>
        <v>148.79310344827587</v>
      </c>
      <c r="K20" s="467"/>
      <c r="L20" s="408"/>
    </row>
    <row r="21" spans="1:15">
      <c r="A21" s="1420" t="s">
        <v>157</v>
      </c>
      <c r="B21" s="1421"/>
      <c r="C21" s="1422"/>
      <c r="D21" s="548"/>
      <c r="E21" s="821"/>
      <c r="F21" s="821"/>
      <c r="G21" s="559"/>
      <c r="H21" s="548"/>
      <c r="I21" s="548"/>
      <c r="J21" s="628"/>
      <c r="K21" s="467"/>
      <c r="L21" s="408"/>
    </row>
    <row r="22" spans="1:15">
      <c r="A22" s="1231" t="s">
        <v>158</v>
      </c>
      <c r="B22" s="666"/>
      <c r="C22" s="666"/>
      <c r="D22" s="599" t="s">
        <v>159</v>
      </c>
      <c r="E22" s="841">
        <f>'28'!F22</f>
        <v>2970</v>
      </c>
      <c r="F22" s="820">
        <v>2970</v>
      </c>
      <c r="G22" s="557">
        <f t="shared" ref="G22" si="2">(F22-E22)</f>
        <v>0</v>
      </c>
      <c r="H22" s="536">
        <f>G22+'28'!H22</f>
        <v>0</v>
      </c>
      <c r="I22" s="556"/>
      <c r="J22" s="629">
        <f>H22/DAY(B2)</f>
        <v>0</v>
      </c>
      <c r="K22" s="467"/>
      <c r="L22" s="408"/>
    </row>
    <row r="23" spans="1:15">
      <c r="A23" s="1231" t="s">
        <v>160</v>
      </c>
      <c r="B23" s="666"/>
      <c r="C23" s="666"/>
      <c r="D23" s="599" t="s">
        <v>159</v>
      </c>
      <c r="E23" s="841">
        <f>'28'!F23</f>
        <v>1900</v>
      </c>
      <c r="F23" s="820">
        <v>1900</v>
      </c>
      <c r="G23" s="557">
        <v>0</v>
      </c>
      <c r="H23" s="536">
        <f>G23+'28'!H23</f>
        <v>0</v>
      </c>
      <c r="I23" s="556"/>
      <c r="J23" s="629">
        <f>H23/DAY(B2)</f>
        <v>0</v>
      </c>
      <c r="K23" s="467"/>
      <c r="L23" s="408"/>
    </row>
    <row r="24" spans="1:15">
      <c r="A24" s="667" t="s">
        <v>161</v>
      </c>
      <c r="B24" s="668"/>
      <c r="C24" s="668"/>
      <c r="D24" s="587" t="s">
        <v>159</v>
      </c>
      <c r="E24" s="842">
        <f>'28'!F24</f>
        <v>4970</v>
      </c>
      <c r="F24" s="823">
        <v>4970</v>
      </c>
      <c r="G24" s="557">
        <v>0</v>
      </c>
      <c r="H24" s="536">
        <f>G24+'28'!H24</f>
        <v>0</v>
      </c>
      <c r="I24" s="556"/>
      <c r="J24" s="629">
        <f>H24/DAY(B2)</f>
        <v>0</v>
      </c>
      <c r="K24" s="467"/>
      <c r="L24" s="408"/>
    </row>
    <row r="25" spans="1:15" s="481" customFormat="1" ht="27">
      <c r="A25" s="1425" t="s">
        <v>162</v>
      </c>
      <c r="B25" s="1426"/>
      <c r="C25" s="1427"/>
      <c r="D25" s="547"/>
      <c r="E25" s="571"/>
      <c r="F25" s="571"/>
      <c r="G25" s="570"/>
      <c r="H25" s="571"/>
      <c r="I25" s="572"/>
      <c r="J25" s="631"/>
      <c r="K25" s="404"/>
      <c r="L25" s="484"/>
      <c r="N25" s="852"/>
      <c r="O25" s="852"/>
    </row>
    <row r="26" spans="1:15" s="481" customFormat="1" ht="27">
      <c r="A26" s="669" t="s">
        <v>163</v>
      </c>
      <c r="B26" s="670"/>
      <c r="C26" s="671"/>
      <c r="D26" s="695" t="s">
        <v>164</v>
      </c>
      <c r="E26" s="843"/>
      <c r="F26" s="536"/>
      <c r="G26" s="574"/>
      <c r="H26" s="536"/>
      <c r="I26" s="575"/>
      <c r="J26" s="629"/>
      <c r="K26" s="405"/>
      <c r="L26" s="484"/>
      <c r="N26" s="852"/>
      <c r="O26" s="852"/>
    </row>
    <row r="27" spans="1:15" s="481" customFormat="1" ht="27">
      <c r="A27" s="669" t="s">
        <v>6</v>
      </c>
      <c r="B27" s="670"/>
      <c r="C27" s="671"/>
      <c r="D27" s="696" t="s">
        <v>25</v>
      </c>
      <c r="E27" s="780">
        <f>G8</f>
        <v>18944</v>
      </c>
      <c r="F27" s="577">
        <v>9</v>
      </c>
      <c r="G27" s="578">
        <f>E27*F27</f>
        <v>170496</v>
      </c>
      <c r="H27" s="536">
        <f>G27+'28'!H27</f>
        <v>-339984</v>
      </c>
      <c r="I27" s="579"/>
      <c r="J27" s="629">
        <f>H27/DAY(B2)</f>
        <v>-11723.586206896553</v>
      </c>
      <c r="K27" s="404"/>
      <c r="L27" s="484"/>
      <c r="N27" s="852"/>
      <c r="O27" s="852"/>
    </row>
    <row r="28" spans="1:15" s="481" customFormat="1" ht="27">
      <c r="A28" s="669" t="s">
        <v>165</v>
      </c>
      <c r="B28" s="670"/>
      <c r="C28" s="671"/>
      <c r="D28" s="696" t="s">
        <v>166</v>
      </c>
      <c r="E28" s="780">
        <f>G15</f>
        <v>826.96999999997206</v>
      </c>
      <c r="F28" s="577">
        <v>43.5</v>
      </c>
      <c r="G28" s="578">
        <f>E28*F28</f>
        <v>35973.194999998785</v>
      </c>
      <c r="H28" s="536">
        <f>G28+'28'!H28</f>
        <v>-66823.829999997164</v>
      </c>
      <c r="I28" s="581"/>
      <c r="J28" s="629">
        <f>H28/DAY(B2)</f>
        <v>-2304.2699999999022</v>
      </c>
      <c r="K28" s="404"/>
      <c r="L28" s="484"/>
      <c r="N28" s="852"/>
      <c r="O28" s="852"/>
    </row>
    <row r="29" spans="1:15" s="481" customFormat="1" ht="27">
      <c r="A29" s="669" t="s">
        <v>167</v>
      </c>
      <c r="B29" s="670"/>
      <c r="C29" s="671"/>
      <c r="D29" s="696" t="s">
        <v>168</v>
      </c>
      <c r="E29" s="780">
        <f>G24</f>
        <v>0</v>
      </c>
      <c r="F29" s="780">
        <v>69</v>
      </c>
      <c r="G29" s="578">
        <f>E29*F29</f>
        <v>0</v>
      </c>
      <c r="H29" s="536">
        <f>G29+'28'!H29</f>
        <v>162150</v>
      </c>
      <c r="I29" s="581"/>
      <c r="J29" s="629">
        <f>H29/DAY(B2)</f>
        <v>5591.3793103448279</v>
      </c>
      <c r="K29" s="404"/>
      <c r="L29" s="484"/>
      <c r="N29" s="852"/>
      <c r="O29" s="852"/>
    </row>
    <row r="30" spans="1:15" s="481" customFormat="1" ht="27">
      <c r="A30" s="669" t="s">
        <v>169</v>
      </c>
      <c r="B30" s="670"/>
      <c r="C30" s="671"/>
      <c r="D30" s="696" t="s">
        <v>170</v>
      </c>
      <c r="E30" s="780">
        <f>G19</f>
        <v>51</v>
      </c>
      <c r="F30" s="780">
        <v>134</v>
      </c>
      <c r="G30" s="578">
        <f>E30*F30</f>
        <v>6834</v>
      </c>
      <c r="H30" s="536">
        <f>G30+'28'!H30</f>
        <v>-14070</v>
      </c>
      <c r="I30" s="581"/>
      <c r="J30" s="629">
        <f>H30/DAY(B2)</f>
        <v>-485.17241379310343</v>
      </c>
      <c r="K30" s="404"/>
      <c r="L30" s="484"/>
      <c r="N30" s="852"/>
      <c r="O30" s="852"/>
    </row>
    <row r="31" spans="1:15" s="481" customFormat="1" ht="27">
      <c r="A31" s="669" t="s">
        <v>171</v>
      </c>
      <c r="B31" s="670"/>
      <c r="C31" s="671"/>
      <c r="D31" s="696" t="s">
        <v>155</v>
      </c>
      <c r="E31" s="780">
        <f>G18</f>
        <v>100</v>
      </c>
      <c r="F31" s="780">
        <v>80</v>
      </c>
      <c r="G31" s="578">
        <f>E31*F31</f>
        <v>8000</v>
      </c>
      <c r="H31" s="536">
        <f>G31+'28'!H31</f>
        <v>353600</v>
      </c>
      <c r="I31" s="581"/>
      <c r="J31" s="629"/>
      <c r="K31" s="404"/>
      <c r="L31" s="484"/>
      <c r="N31" s="852"/>
      <c r="O31" s="852"/>
    </row>
    <row r="32" spans="1:15" s="481" customFormat="1" ht="27">
      <c r="A32" s="672" t="s">
        <v>172</v>
      </c>
      <c r="B32" s="673"/>
      <c r="C32" s="674"/>
      <c r="D32" s="583"/>
      <c r="E32" s="844"/>
      <c r="F32" s="562"/>
      <c r="G32" s="584">
        <f>G27+G28+G29+G30+G31</f>
        <v>221303.19499999878</v>
      </c>
      <c r="H32" s="536">
        <f>G32+'28'!H32</f>
        <v>94872.170000003069</v>
      </c>
      <c r="I32" s="585"/>
      <c r="J32" s="629">
        <f>H32/DAY(B2)</f>
        <v>3271.4541379311404</v>
      </c>
      <c r="K32" s="404"/>
      <c r="L32" s="484"/>
      <c r="N32" s="852"/>
      <c r="O32" s="852"/>
    </row>
    <row r="33" spans="1:15" ht="25.5">
      <c r="A33" s="1428" t="s">
        <v>173</v>
      </c>
      <c r="B33" s="1429"/>
      <c r="C33" s="1429"/>
      <c r="D33" s="1429"/>
      <c r="E33" s="1429"/>
      <c r="F33" s="1429"/>
      <c r="G33" s="1429"/>
      <c r="H33" s="1429"/>
      <c r="I33" s="1429"/>
      <c r="J33" s="1430"/>
      <c r="K33" s="467"/>
      <c r="L33" s="408"/>
    </row>
    <row r="34" spans="1:15">
      <c r="A34" s="675" t="s">
        <v>174</v>
      </c>
      <c r="B34" s="1236"/>
      <c r="C34" s="1236"/>
      <c r="D34" s="548"/>
      <c r="E34" s="571"/>
      <c r="F34" s="571"/>
      <c r="G34" s="548"/>
      <c r="H34" s="548"/>
      <c r="I34" s="548"/>
      <c r="J34" s="628"/>
      <c r="K34" s="467"/>
      <c r="L34" s="408"/>
    </row>
    <row r="35" spans="1:15">
      <c r="A35" s="655" t="s">
        <v>175</v>
      </c>
      <c r="B35" s="656"/>
      <c r="C35" s="656"/>
      <c r="D35" s="599" t="s">
        <v>143</v>
      </c>
      <c r="E35" s="824">
        <f>'28'!F35</f>
        <v>629028</v>
      </c>
      <c r="F35" s="824">
        <v>629028</v>
      </c>
      <c r="G35" s="549">
        <f t="shared" ref="G35:G46" si="3">F35-E35</f>
        <v>0</v>
      </c>
      <c r="H35" s="536">
        <f>G35+'28'!H35</f>
        <v>0.32999999995809048</v>
      </c>
      <c r="I35" s="531"/>
      <c r="J35" s="629">
        <f>H35/DAY(B2)</f>
        <v>1.137931034338243E-2</v>
      </c>
      <c r="K35" s="467"/>
      <c r="L35" s="408"/>
    </row>
    <row r="36" spans="1:15">
      <c r="A36" s="655" t="s">
        <v>176</v>
      </c>
      <c r="B36" s="656"/>
      <c r="C36" s="656"/>
      <c r="D36" s="599" t="s">
        <v>143</v>
      </c>
      <c r="E36" s="824">
        <f>'28'!F36</f>
        <v>274786</v>
      </c>
      <c r="F36" s="824">
        <v>275372.73</v>
      </c>
      <c r="G36" s="549">
        <f t="shared" si="3"/>
        <v>586.72999999998137</v>
      </c>
      <c r="H36" s="536">
        <f>G36+'28'!H36</f>
        <v>-1118.7200000000303</v>
      </c>
      <c r="I36" s="531"/>
      <c r="J36" s="629">
        <f>H36/DAY(B2)</f>
        <v>-38.576551724138973</v>
      </c>
      <c r="K36" s="467"/>
      <c r="L36" s="408"/>
    </row>
    <row r="37" spans="1:15" s="480" customFormat="1">
      <c r="A37" s="1192" t="s">
        <v>177</v>
      </c>
      <c r="B37" s="1196"/>
      <c r="C37" s="1196"/>
      <c r="D37" s="704" t="s">
        <v>143</v>
      </c>
      <c r="E37" s="825">
        <f>'28'!F37</f>
        <v>415066</v>
      </c>
      <c r="F37" s="825">
        <v>415066</v>
      </c>
      <c r="G37" s="733">
        <f t="shared" si="3"/>
        <v>0</v>
      </c>
      <c r="H37" s="787">
        <f>G37+'28'!H37</f>
        <v>415066</v>
      </c>
      <c r="I37" s="788"/>
      <c r="J37" s="789">
        <f>H37/DAY(B2)</f>
        <v>14312.620689655172</v>
      </c>
      <c r="K37" s="1194"/>
      <c r="L37" s="1195"/>
      <c r="N37" s="853"/>
      <c r="O37" s="853"/>
    </row>
    <row r="38" spans="1:15" s="480" customFormat="1">
      <c r="A38" s="1192" t="s">
        <v>178</v>
      </c>
      <c r="B38" s="1196"/>
      <c r="C38" s="1196"/>
      <c r="D38" s="704" t="s">
        <v>143</v>
      </c>
      <c r="E38" s="825">
        <f>'28'!F38</f>
        <v>150714</v>
      </c>
      <c r="F38" s="1197">
        <v>150714</v>
      </c>
      <c r="G38" s="733">
        <f t="shared" si="3"/>
        <v>0</v>
      </c>
      <c r="H38" s="787">
        <f>G38+'28'!H38</f>
        <v>150616.12</v>
      </c>
      <c r="I38" s="788"/>
      <c r="J38" s="789">
        <f>H38/DAY(B2)</f>
        <v>5193.6593103448276</v>
      </c>
      <c r="K38" s="1194"/>
      <c r="L38" s="1195"/>
      <c r="N38" s="853"/>
      <c r="O38" s="853"/>
    </row>
    <row r="39" spans="1:15" s="480" customFormat="1">
      <c r="A39" s="1192" t="s">
        <v>179</v>
      </c>
      <c r="B39" s="1196"/>
      <c r="C39" s="1196"/>
      <c r="D39" s="704" t="s">
        <v>143</v>
      </c>
      <c r="E39" s="825">
        <f>'28'!F39</f>
        <v>912480</v>
      </c>
      <c r="F39" s="825">
        <v>912480</v>
      </c>
      <c r="G39" s="733">
        <f t="shared" si="3"/>
        <v>0</v>
      </c>
      <c r="H39" s="787">
        <f>G39+'28'!H39</f>
        <v>912480</v>
      </c>
      <c r="I39" s="788"/>
      <c r="J39" s="789">
        <f>H39/DAY(B2)</f>
        <v>31464.827586206895</v>
      </c>
      <c r="K39" s="1194"/>
      <c r="L39" s="1195"/>
      <c r="N39" s="853"/>
      <c r="O39" s="853"/>
    </row>
    <row r="40" spans="1:15" s="480" customFormat="1">
      <c r="A40" s="1198" t="s">
        <v>180</v>
      </c>
      <c r="B40" s="1199"/>
      <c r="C40" s="1199"/>
      <c r="D40" s="704" t="s">
        <v>143</v>
      </c>
      <c r="E40" s="825">
        <f>'28'!F40</f>
        <v>0</v>
      </c>
      <c r="F40" s="825">
        <v>0</v>
      </c>
      <c r="G40" s="733">
        <f t="shared" si="3"/>
        <v>0</v>
      </c>
      <c r="H40" s="787">
        <f>G40+'28'!H40</f>
        <v>-0.06</v>
      </c>
      <c r="I40" s="788"/>
      <c r="J40" s="789">
        <f>H40/DAY(B2)</f>
        <v>-2.0689655172413794E-3</v>
      </c>
      <c r="K40" s="1200"/>
      <c r="L40" s="1195"/>
      <c r="N40" s="853"/>
      <c r="O40" s="853"/>
    </row>
    <row r="41" spans="1:15" s="480" customFormat="1">
      <c r="A41" s="1192" t="s">
        <v>181</v>
      </c>
      <c r="B41" s="1196"/>
      <c r="C41" s="1196"/>
      <c r="D41" s="704" t="s">
        <v>143</v>
      </c>
      <c r="E41" s="825">
        <f>'28'!F41</f>
        <v>33797.56</v>
      </c>
      <c r="F41" s="825">
        <v>37220</v>
      </c>
      <c r="G41" s="733">
        <f>F41-E41</f>
        <v>3422.4400000000023</v>
      </c>
      <c r="H41" s="787">
        <f>G41+'28'!H41</f>
        <v>56479.479999999996</v>
      </c>
      <c r="I41" s="788"/>
      <c r="J41" s="789">
        <f>H41/DAY(B2)</f>
        <v>1947.5682758620687</v>
      </c>
      <c r="K41" s="1194"/>
      <c r="L41" s="1195"/>
      <c r="N41" s="853"/>
      <c r="O41" s="853"/>
    </row>
    <row r="42" spans="1:15">
      <c r="A42" s="655" t="s">
        <v>182</v>
      </c>
      <c r="B42" s="656"/>
      <c r="C42" s="656"/>
      <c r="D42" s="599" t="s">
        <v>143</v>
      </c>
      <c r="E42" s="824">
        <f>'28'!F42</f>
        <v>58926</v>
      </c>
      <c r="F42" s="824">
        <v>58926</v>
      </c>
      <c r="G42" s="549">
        <f t="shared" si="3"/>
        <v>0</v>
      </c>
      <c r="H42" s="536">
        <f>G42+'28'!H42</f>
        <v>0</v>
      </c>
      <c r="I42" s="531"/>
      <c r="J42" s="629">
        <f>H42/DAY(B2)</f>
        <v>0</v>
      </c>
      <c r="K42" s="467"/>
      <c r="L42" s="408"/>
    </row>
    <row r="43" spans="1:15">
      <c r="A43" s="655" t="s">
        <v>183</v>
      </c>
      <c r="B43" s="656"/>
      <c r="C43" s="656"/>
      <c r="D43" s="599" t="s">
        <v>143</v>
      </c>
      <c r="E43" s="824">
        <f>'28'!F43</f>
        <v>760836</v>
      </c>
      <c r="F43" s="824">
        <v>763162.63</v>
      </c>
      <c r="G43" s="549">
        <f t="shared" si="3"/>
        <v>2326.6300000000047</v>
      </c>
      <c r="H43" s="536">
        <f>G43+'28'!H43</f>
        <v>-4649.2800000000279</v>
      </c>
      <c r="I43" s="531"/>
      <c r="J43" s="629">
        <f>H43/DAY(B2)</f>
        <v>-160.32000000000096</v>
      </c>
      <c r="K43" s="467"/>
      <c r="L43" s="408"/>
    </row>
    <row r="44" spans="1:15">
      <c r="A44" s="655" t="s">
        <v>184</v>
      </c>
      <c r="B44" s="656"/>
      <c r="C44" s="656"/>
      <c r="D44" s="599" t="s">
        <v>143</v>
      </c>
      <c r="E44" s="824">
        <f>'28'!F44</f>
        <v>0</v>
      </c>
      <c r="F44" s="824">
        <v>0</v>
      </c>
      <c r="G44" s="549">
        <f t="shared" si="3"/>
        <v>0</v>
      </c>
      <c r="H44" s="536">
        <f>G44+'28'!H44</f>
        <v>0</v>
      </c>
      <c r="I44" s="531"/>
      <c r="J44" s="629">
        <f>H44/DAY(B2)</f>
        <v>0</v>
      </c>
      <c r="K44" s="467"/>
      <c r="L44" s="408"/>
    </row>
    <row r="45" spans="1:15">
      <c r="A45" s="655" t="s">
        <v>185</v>
      </c>
      <c r="B45" s="656"/>
      <c r="C45" s="656"/>
      <c r="D45" s="599" t="s">
        <v>143</v>
      </c>
      <c r="E45" s="824">
        <f>'28'!F45</f>
        <v>614</v>
      </c>
      <c r="F45" s="824">
        <v>614.48</v>
      </c>
      <c r="G45" s="549">
        <f t="shared" si="3"/>
        <v>0.48000000000001819</v>
      </c>
      <c r="H45" s="536">
        <f>G45+'28'!H45</f>
        <v>0</v>
      </c>
      <c r="I45" s="531"/>
      <c r="J45" s="629">
        <f>H45/DAY(B2)</f>
        <v>0</v>
      </c>
      <c r="K45" s="467"/>
      <c r="L45" s="408"/>
    </row>
    <row r="46" spans="1:15">
      <c r="A46" s="655" t="s">
        <v>186</v>
      </c>
      <c r="B46" s="656"/>
      <c r="C46" s="656"/>
      <c r="D46" s="599" t="s">
        <v>143</v>
      </c>
      <c r="E46" s="824">
        <f>'28'!F46</f>
        <v>187</v>
      </c>
      <c r="F46" s="824">
        <v>187.49</v>
      </c>
      <c r="G46" s="549">
        <f t="shared" si="3"/>
        <v>0.49000000000000909</v>
      </c>
      <c r="H46" s="536">
        <f>G46+'28'!H46</f>
        <v>0</v>
      </c>
      <c r="I46" s="531"/>
      <c r="J46" s="629">
        <f>H46/DAY(B2)</f>
        <v>0</v>
      </c>
      <c r="K46" s="467"/>
      <c r="L46" s="408"/>
    </row>
    <row r="47" spans="1:15">
      <c r="A47" s="662" t="s">
        <v>187</v>
      </c>
      <c r="B47" s="663"/>
      <c r="C47" s="663"/>
      <c r="D47" s="546"/>
      <c r="E47" s="546"/>
      <c r="F47" s="546"/>
      <c r="G47" s="557">
        <f>G35+G36+G37+G38+G39+G40+G41+G42+G43+G44+G45+G46</f>
        <v>6336.7699999999877</v>
      </c>
      <c r="H47" s="536">
        <f>G47+'28'!H47</f>
        <v>1528873.8699999999</v>
      </c>
      <c r="I47" s="531"/>
      <c r="J47" s="629">
        <f>H47/DAY(B2)</f>
        <v>52719.788620689651</v>
      </c>
      <c r="K47" s="467"/>
      <c r="L47" s="408"/>
    </row>
    <row r="48" spans="1:15">
      <c r="A48" s="675" t="s">
        <v>188</v>
      </c>
      <c r="B48" s="1236"/>
      <c r="C48" s="1236"/>
      <c r="D48" s="548"/>
      <c r="E48" s="571"/>
      <c r="F48" s="571"/>
      <c r="G48" s="548"/>
      <c r="H48" s="548"/>
      <c r="I48" s="548"/>
      <c r="J48" s="628"/>
      <c r="K48" s="467"/>
      <c r="L48" s="408"/>
    </row>
    <row r="49" spans="1:15" s="480" customFormat="1">
      <c r="A49" s="1192" t="s">
        <v>175</v>
      </c>
      <c r="B49" s="1193"/>
      <c r="C49" s="1193"/>
      <c r="D49" s="704" t="s">
        <v>143</v>
      </c>
      <c r="E49" s="825">
        <f>'28'!F49</f>
        <v>236927</v>
      </c>
      <c r="F49" s="825">
        <v>239985.55</v>
      </c>
      <c r="G49" s="733">
        <f t="shared" ref="G49:G58" si="4">F49-E49</f>
        <v>3058.5499999999884</v>
      </c>
      <c r="H49" s="787">
        <f>G49+'28'!H49</f>
        <v>-5913.5</v>
      </c>
      <c r="I49" s="788"/>
      <c r="J49" s="789">
        <f>H49/DAY(B2)</f>
        <v>-203.91379310344828</v>
      </c>
      <c r="K49" s="1194"/>
      <c r="L49" s="1195"/>
      <c r="N49" s="853"/>
      <c r="O49" s="853"/>
    </row>
    <row r="50" spans="1:15" s="480" customFormat="1">
      <c r="A50" s="1192" t="s">
        <v>189</v>
      </c>
      <c r="B50" s="1193" t="s">
        <v>294</v>
      </c>
      <c r="C50" s="1193"/>
      <c r="D50" s="704" t="s">
        <v>143</v>
      </c>
      <c r="E50" s="825">
        <f>'28'!F50</f>
        <v>365372</v>
      </c>
      <c r="F50" s="825">
        <v>366480.97</v>
      </c>
      <c r="G50" s="733">
        <f t="shared" si="4"/>
        <v>1108.9699999999721</v>
      </c>
      <c r="H50" s="787">
        <f>G50+'28'!H50</f>
        <v>-3179.3400000000256</v>
      </c>
      <c r="I50" s="788"/>
      <c r="J50" s="789">
        <f>H50/DAY(B2)</f>
        <v>-109.63241379310433</v>
      </c>
      <c r="K50" s="1194"/>
      <c r="L50" s="1195"/>
      <c r="N50" s="853"/>
      <c r="O50" s="853"/>
    </row>
    <row r="51" spans="1:15" s="480" customFormat="1">
      <c r="A51" s="1192" t="s">
        <v>177</v>
      </c>
      <c r="B51" s="1193"/>
      <c r="C51" s="1193"/>
      <c r="D51" s="704" t="s">
        <v>143</v>
      </c>
      <c r="E51" s="825">
        <f>'28'!F51</f>
        <v>105472</v>
      </c>
      <c r="F51" s="825">
        <v>107035</v>
      </c>
      <c r="G51" s="733">
        <f t="shared" si="4"/>
        <v>1563</v>
      </c>
      <c r="H51" s="787">
        <f>G51+'28'!H51</f>
        <v>-3064.7400000000052</v>
      </c>
      <c r="I51" s="788"/>
      <c r="J51" s="789">
        <f>H51/DAY(B2)</f>
        <v>-105.6806896551726</v>
      </c>
      <c r="K51" s="1194"/>
      <c r="L51" s="1195"/>
      <c r="N51" s="853"/>
      <c r="O51" s="853"/>
    </row>
    <row r="52" spans="1:15" s="480" customFormat="1">
      <c r="A52" s="1192" t="s">
        <v>190</v>
      </c>
      <c r="B52" s="1193"/>
      <c r="C52" s="1193"/>
      <c r="D52" s="704" t="s">
        <v>143</v>
      </c>
      <c r="E52" s="825">
        <f>'28'!F52</f>
        <v>487847</v>
      </c>
      <c r="F52" s="825">
        <v>489802</v>
      </c>
      <c r="G52" s="733">
        <f t="shared" si="4"/>
        <v>1955</v>
      </c>
      <c r="H52" s="787">
        <f>G52+'28'!H52</f>
        <v>-4006.6699999999837</v>
      </c>
      <c r="I52" s="788"/>
      <c r="J52" s="789">
        <f>H52/DAY(B2)</f>
        <v>-138.16103448275805</v>
      </c>
      <c r="K52" s="1194"/>
      <c r="L52" s="1195"/>
      <c r="N52" s="853"/>
      <c r="O52" s="853"/>
    </row>
    <row r="53" spans="1:15" s="480" customFormat="1">
      <c r="A53" s="1192" t="s">
        <v>179</v>
      </c>
      <c r="B53" s="1193"/>
      <c r="C53" s="1193"/>
      <c r="D53" s="704" t="s">
        <v>143</v>
      </c>
      <c r="E53" s="825">
        <f>'28'!F53</f>
        <v>291747</v>
      </c>
      <c r="F53" s="825">
        <v>295932.96999999997</v>
      </c>
      <c r="G53" s="733">
        <f t="shared" si="4"/>
        <v>4185.9699999999721</v>
      </c>
      <c r="H53" s="787">
        <f>G53+'28'!H53</f>
        <v>-8365.3000000000466</v>
      </c>
      <c r="I53" s="788"/>
      <c r="J53" s="789">
        <f>H53/DAY(B2)</f>
        <v>-288.45862068965675</v>
      </c>
      <c r="K53" s="1194"/>
      <c r="L53" s="1195"/>
      <c r="N53" s="853"/>
      <c r="O53" s="853"/>
    </row>
    <row r="54" spans="1:15">
      <c r="A54" s="655" t="s">
        <v>191</v>
      </c>
      <c r="B54" s="678"/>
      <c r="C54" s="678"/>
      <c r="D54" s="599" t="s">
        <v>143</v>
      </c>
      <c r="E54" s="825">
        <f>'28'!F54</f>
        <v>6177</v>
      </c>
      <c r="F54" s="824">
        <v>6228.8</v>
      </c>
      <c r="G54" s="549">
        <f t="shared" si="4"/>
        <v>51.800000000000182</v>
      </c>
      <c r="H54" s="536">
        <f>G54+'28'!H54</f>
        <v>-160</v>
      </c>
      <c r="I54" s="531"/>
      <c r="J54" s="629">
        <f>H54/DAY(B2)</f>
        <v>-5.5172413793103452</v>
      </c>
      <c r="K54" s="467"/>
      <c r="L54" s="408"/>
    </row>
    <row r="55" spans="1:15">
      <c r="A55" s="655" t="s">
        <v>192</v>
      </c>
      <c r="B55" s="678"/>
      <c r="C55" s="678"/>
      <c r="D55" s="599" t="s">
        <v>143</v>
      </c>
      <c r="E55" s="825">
        <f>'28'!F55</f>
        <v>39121</v>
      </c>
      <c r="F55" s="825">
        <v>39121</v>
      </c>
      <c r="G55" s="733">
        <f t="shared" si="4"/>
        <v>0</v>
      </c>
      <c r="H55" s="787">
        <f>G55+'28'!H55</f>
        <v>-3866.9800000000032</v>
      </c>
      <c r="I55" s="788"/>
      <c r="J55" s="789">
        <f>H55/DAY(B2)</f>
        <v>-133.3441379310346</v>
      </c>
      <c r="K55" s="467"/>
      <c r="L55" s="408"/>
    </row>
    <row r="56" spans="1:15">
      <c r="A56" s="655" t="s">
        <v>193</v>
      </c>
      <c r="B56" s="678"/>
      <c r="C56" s="678"/>
      <c r="D56" s="599" t="s">
        <v>194</v>
      </c>
      <c r="E56" s="825">
        <f>'28'!F56</f>
        <v>557730</v>
      </c>
      <c r="F56" s="825">
        <v>557730</v>
      </c>
      <c r="G56" s="549">
        <f t="shared" si="4"/>
        <v>0</v>
      </c>
      <c r="H56" s="536">
        <f>G56+'28'!H56</f>
        <v>-1.9100000000325963</v>
      </c>
      <c r="I56" s="531"/>
      <c r="J56" s="629">
        <f>H56/DAY(B2)</f>
        <v>-6.5862068966641249E-2</v>
      </c>
      <c r="K56" s="466"/>
      <c r="L56" s="408"/>
    </row>
    <row r="57" spans="1:15">
      <c r="A57" s="655" t="s">
        <v>183</v>
      </c>
      <c r="B57" s="678"/>
      <c r="C57" s="678"/>
      <c r="D57" s="599" t="s">
        <v>143</v>
      </c>
      <c r="E57" s="825">
        <f>'28'!F57</f>
        <v>0</v>
      </c>
      <c r="F57" s="824">
        <v>0</v>
      </c>
      <c r="G57" s="549">
        <f t="shared" si="4"/>
        <v>0</v>
      </c>
      <c r="H57" s="536">
        <f>G57+'28'!H57</f>
        <v>0</v>
      </c>
      <c r="I57" s="531"/>
      <c r="J57" s="629">
        <f>H57/DAY(B2)</f>
        <v>0</v>
      </c>
      <c r="K57" s="467"/>
      <c r="L57" s="408"/>
    </row>
    <row r="58" spans="1:15">
      <c r="A58" s="655" t="s">
        <v>195</v>
      </c>
      <c r="B58" s="678"/>
      <c r="C58" s="678"/>
      <c r="D58" s="599" t="s">
        <v>143</v>
      </c>
      <c r="E58" s="825">
        <f>'28'!F58</f>
        <v>30038</v>
      </c>
      <c r="F58" s="825">
        <v>30214.39</v>
      </c>
      <c r="G58" s="549">
        <f t="shared" si="4"/>
        <v>176.38999999999942</v>
      </c>
      <c r="H58" s="536">
        <f>G58+'28'!H58</f>
        <v>-515.14999999999782</v>
      </c>
      <c r="I58" s="531"/>
      <c r="J58" s="629">
        <f>H58/DAY(B2)</f>
        <v>-17.763793103448201</v>
      </c>
      <c r="K58" s="467"/>
      <c r="L58" s="408"/>
    </row>
    <row r="59" spans="1:15">
      <c r="A59" s="662">
        <v>1</v>
      </c>
      <c r="B59" s="663"/>
      <c r="C59" s="663"/>
      <c r="D59" s="587"/>
      <c r="E59" s="546"/>
      <c r="F59" s="546"/>
      <c r="G59" s="557">
        <f>G49+G50+G51+G52+G53+G54+G55+G56+G57+G58</f>
        <v>12099.679999999931</v>
      </c>
      <c r="H59" s="536">
        <f>G59+'28'!H59</f>
        <v>-29073.590000000044</v>
      </c>
      <c r="I59" s="531">
        <f>G7-G60</f>
        <v>311.55000000008295</v>
      </c>
      <c r="J59" s="629">
        <f>H59/DAY(B2)</f>
        <v>-1002.537586206898</v>
      </c>
      <c r="K59" s="467"/>
      <c r="L59" s="408"/>
      <c r="O59" s="852">
        <f>159+122+341+154</f>
        <v>776</v>
      </c>
    </row>
    <row r="60" spans="1:15">
      <c r="A60" s="655"/>
      <c r="B60" s="656"/>
      <c r="C60" s="656"/>
      <c r="D60" s="587" t="s">
        <v>196</v>
      </c>
      <c r="E60" s="546"/>
      <c r="F60" s="546"/>
      <c r="G60" s="557">
        <f>G47+G59</f>
        <v>18436.449999999917</v>
      </c>
      <c r="H60" s="536">
        <f>G60+'28'!H60</f>
        <v>1504980.47</v>
      </c>
      <c r="I60" s="531">
        <f>G13-G60</f>
        <v>-331.34999999982392</v>
      </c>
      <c r="J60" s="629">
        <f>H60/DAY(B2)</f>
        <v>51895.878275862065</v>
      </c>
      <c r="K60" s="467"/>
      <c r="L60" s="408"/>
    </row>
    <row r="61" spans="1:15">
      <c r="A61" s="679" t="s">
        <v>197</v>
      </c>
      <c r="B61" s="529"/>
      <c r="C61" s="529"/>
      <c r="D61" s="589"/>
      <c r="E61" s="826"/>
      <c r="F61" s="826"/>
      <c r="G61" s="589"/>
      <c r="H61" s="589"/>
      <c r="I61" s="589"/>
      <c r="J61" s="632"/>
      <c r="K61" s="467"/>
      <c r="L61" s="408"/>
    </row>
    <row r="62" spans="1:15">
      <c r="A62" s="680" t="s">
        <v>106</v>
      </c>
      <c r="B62" s="681"/>
      <c r="C62" s="681"/>
      <c r="D62" s="587" t="s">
        <v>198</v>
      </c>
      <c r="E62" s="590">
        <f>'28'!F62</f>
        <v>20419.187000000002</v>
      </c>
      <c r="F62" s="590">
        <v>20419.18</v>
      </c>
      <c r="G62" s="549">
        <f t="shared" ref="G62:G69" si="5">F62-E62</f>
        <v>-7.0000000014260877E-3</v>
      </c>
      <c r="H62" s="536">
        <f>G62+'28'!H62</f>
        <v>-8.9999999981955625E-3</v>
      </c>
      <c r="I62" s="591"/>
      <c r="J62" s="629">
        <f>H62/DAY(B2)</f>
        <v>-3.1034482752398493E-4</v>
      </c>
      <c r="K62" s="467"/>
      <c r="L62" s="408"/>
    </row>
    <row r="63" spans="1:15">
      <c r="A63" s="680" t="s">
        <v>199</v>
      </c>
      <c r="B63" s="681"/>
      <c r="C63" s="681"/>
      <c r="D63" s="587" t="s">
        <v>198</v>
      </c>
      <c r="E63" s="590">
        <f>'28'!F63</f>
        <v>1293.6600000000001</v>
      </c>
      <c r="F63" s="590">
        <v>1305.8900000000001</v>
      </c>
      <c r="G63" s="549">
        <f t="shared" si="5"/>
        <v>12.230000000000018</v>
      </c>
      <c r="H63" s="536">
        <f>G63+'28'!H63</f>
        <v>-26.639999999999873</v>
      </c>
      <c r="I63" s="591"/>
      <c r="J63" s="629">
        <f>H63/DAY(B2)</f>
        <v>-0.91862068965516808</v>
      </c>
      <c r="K63" s="467"/>
      <c r="L63" s="408"/>
    </row>
    <row r="64" spans="1:15" ht="27.75">
      <c r="A64" s="1385" t="s">
        <v>107</v>
      </c>
      <c r="B64" s="1386"/>
      <c r="C64" s="1387"/>
      <c r="D64" s="599" t="s">
        <v>198</v>
      </c>
      <c r="E64" s="590">
        <f>'28'!F64</f>
        <v>110016</v>
      </c>
      <c r="F64" s="820">
        <v>110461.4</v>
      </c>
      <c r="G64" s="549">
        <f t="shared" si="5"/>
        <v>445.39999999999418</v>
      </c>
      <c r="H64" s="536">
        <f>G64+'28'!H64</f>
        <v>-822.06000000001222</v>
      </c>
      <c r="I64" s="556"/>
      <c r="J64" s="629">
        <f>H64/DAY(B2)</f>
        <v>-28.346896551724559</v>
      </c>
      <c r="K64" s="467"/>
      <c r="L64" s="408"/>
    </row>
    <row r="65" spans="1:12" ht="27.75">
      <c r="A65" s="1385" t="s">
        <v>108</v>
      </c>
      <c r="B65" s="1386"/>
      <c r="C65" s="1387"/>
      <c r="D65" s="599" t="s">
        <v>198</v>
      </c>
      <c r="E65" s="590">
        <f>'28'!F65</f>
        <v>120566.18</v>
      </c>
      <c r="F65" s="827">
        <v>120948.65</v>
      </c>
      <c r="G65" s="549">
        <f t="shared" si="5"/>
        <v>382.47000000000116</v>
      </c>
      <c r="H65" s="536">
        <f>G65+'28'!H65</f>
        <v>-784.4600000000064</v>
      </c>
      <c r="I65" s="565"/>
      <c r="J65" s="629">
        <f>H65/DAY(B2)</f>
        <v>-27.050344827586429</v>
      </c>
      <c r="K65" s="467"/>
      <c r="L65" s="408"/>
    </row>
    <row r="66" spans="1:12" ht="27.75">
      <c r="A66" s="1385" t="s">
        <v>109</v>
      </c>
      <c r="B66" s="1386"/>
      <c r="C66" s="1387"/>
      <c r="D66" s="599" t="s">
        <v>198</v>
      </c>
      <c r="E66" s="590">
        <f>'28'!F66</f>
        <v>12904</v>
      </c>
      <c r="F66" s="820">
        <v>13320.84</v>
      </c>
      <c r="G66" s="549">
        <f t="shared" si="5"/>
        <v>416.84000000000015</v>
      </c>
      <c r="H66" s="536">
        <f>G66+'28'!H66</f>
        <v>-838.89999999999964</v>
      </c>
      <c r="I66" s="556"/>
      <c r="J66" s="629">
        <f>H66/DAY(B2)</f>
        <v>-28.927586206896539</v>
      </c>
      <c r="K66" s="467"/>
      <c r="L66" s="408"/>
    </row>
    <row r="67" spans="1:12" ht="27.75">
      <c r="A67" s="1385" t="s">
        <v>110</v>
      </c>
      <c r="B67" s="1386"/>
      <c r="C67" s="1387"/>
      <c r="D67" s="599" t="s">
        <v>198</v>
      </c>
      <c r="E67" s="590">
        <f>'28'!F67</f>
        <v>186593</v>
      </c>
      <c r="F67" s="820">
        <v>187269.37</v>
      </c>
      <c r="G67" s="549">
        <f t="shared" si="5"/>
        <v>676.36999999999534</v>
      </c>
      <c r="H67" s="536">
        <f>G67+'28'!H67</f>
        <v>-1405.1600000000035</v>
      </c>
      <c r="I67" s="565"/>
      <c r="J67" s="629">
        <f>H67/DAY(B2)</f>
        <v>-48.453793103448398</v>
      </c>
      <c r="K67" s="468"/>
      <c r="L67" s="408"/>
    </row>
    <row r="68" spans="1:12" ht="27.75">
      <c r="A68" s="1385" t="s">
        <v>111</v>
      </c>
      <c r="B68" s="1386"/>
      <c r="C68" s="1387"/>
      <c r="D68" s="599" t="s">
        <v>198</v>
      </c>
      <c r="E68" s="590">
        <f>'28'!F68</f>
        <v>62358</v>
      </c>
      <c r="F68" s="820">
        <v>62687.79</v>
      </c>
      <c r="G68" s="549">
        <f t="shared" si="5"/>
        <v>329.79000000000087</v>
      </c>
      <c r="H68" s="536">
        <f>G68+'28'!H68</f>
        <v>-612.06999999999971</v>
      </c>
      <c r="I68" s="592"/>
      <c r="J68" s="629">
        <f>H68/DAY(B2)</f>
        <v>-21.105862068965507</v>
      </c>
      <c r="K68" s="469"/>
      <c r="L68" s="408"/>
    </row>
    <row r="69" spans="1:12" ht="27.75">
      <c r="A69" s="1385" t="s">
        <v>112</v>
      </c>
      <c r="B69" s="1386"/>
      <c r="C69" s="1387"/>
      <c r="D69" s="599" t="s">
        <v>198</v>
      </c>
      <c r="E69" s="590">
        <f>'28'!F69</f>
        <v>54778</v>
      </c>
      <c r="F69" s="820">
        <v>55093</v>
      </c>
      <c r="G69" s="549">
        <f t="shared" si="5"/>
        <v>315</v>
      </c>
      <c r="H69" s="536">
        <f>G69+'28'!H69</f>
        <v>-630.70999999999913</v>
      </c>
      <c r="I69" s="592"/>
      <c r="J69" s="629">
        <f>H69/DAY(B2)</f>
        <v>-21.748620689655141</v>
      </c>
      <c r="K69" s="470"/>
      <c r="L69" s="408"/>
    </row>
    <row r="70" spans="1:12" ht="27.75">
      <c r="A70" s="1391" t="s">
        <v>200</v>
      </c>
      <c r="B70" s="1392"/>
      <c r="C70" s="1393"/>
      <c r="D70" s="599" t="s">
        <v>198</v>
      </c>
      <c r="E70" s="828"/>
      <c r="F70" s="828"/>
      <c r="G70" s="594"/>
      <c r="H70" s="536">
        <f>G70+'13'!H70</f>
        <v>0</v>
      </c>
      <c r="I70" s="594"/>
      <c r="J70" s="633"/>
      <c r="K70" s="470"/>
      <c r="L70" s="408"/>
    </row>
    <row r="71" spans="1:12" ht="31.5">
      <c r="A71" s="1388" t="s">
        <v>201</v>
      </c>
      <c r="B71" s="1389"/>
      <c r="C71" s="1389"/>
      <c r="D71" s="1389"/>
      <c r="E71" s="1389"/>
      <c r="F71" s="1389"/>
      <c r="G71" s="1389"/>
      <c r="H71" s="1389"/>
      <c r="I71" s="1389"/>
      <c r="J71" s="1390"/>
      <c r="K71" s="469"/>
      <c r="L71" s="408"/>
    </row>
    <row r="72" spans="1:12" ht="27.75">
      <c r="A72" s="1385" t="s">
        <v>202</v>
      </c>
      <c r="B72" s="1386"/>
      <c r="C72" s="1387"/>
      <c r="D72" s="599" t="s">
        <v>198</v>
      </c>
      <c r="E72" s="845">
        <f>'28'!F72</f>
        <v>848208</v>
      </c>
      <c r="F72" s="829">
        <v>848280</v>
      </c>
      <c r="G72" s="549">
        <f t="shared" ref="G72:G84" si="6">F72-E72</f>
        <v>72</v>
      </c>
      <c r="H72" s="536">
        <f>G72+'28'!H72</f>
        <v>-272</v>
      </c>
      <c r="I72" s="556"/>
      <c r="J72" s="629">
        <f>H72/DAY(B2)</f>
        <v>-9.3793103448275854</v>
      </c>
      <c r="K72" s="470"/>
      <c r="L72" s="408"/>
    </row>
    <row r="73" spans="1:12" ht="27.75">
      <c r="A73" s="1385" t="s">
        <v>203</v>
      </c>
      <c r="B73" s="1386"/>
      <c r="C73" s="1387"/>
      <c r="D73" s="599" t="s">
        <v>198</v>
      </c>
      <c r="E73" s="845">
        <f>'28'!F73</f>
        <v>885727</v>
      </c>
      <c r="F73" s="830">
        <v>885728</v>
      </c>
      <c r="G73" s="733">
        <f>F73-E73</f>
        <v>1</v>
      </c>
      <c r="H73" s="536">
        <f>G73+'28'!H73</f>
        <v>947</v>
      </c>
      <c r="I73" s="556"/>
      <c r="J73" s="629">
        <f>H73/DAY(B2)</f>
        <v>32.655172413793103</v>
      </c>
      <c r="K73" s="469"/>
      <c r="L73" s="408"/>
    </row>
    <row r="74" spans="1:12" ht="27.75">
      <c r="A74" s="1385" t="s">
        <v>204</v>
      </c>
      <c r="B74" s="1386"/>
      <c r="C74" s="1387"/>
      <c r="D74" s="599" t="s">
        <v>198</v>
      </c>
      <c r="E74" s="845">
        <f>'28'!F74</f>
        <v>882274</v>
      </c>
      <c r="F74" s="830">
        <v>882303</v>
      </c>
      <c r="G74" s="549">
        <f t="shared" si="6"/>
        <v>29</v>
      </c>
      <c r="H74" s="536">
        <f>G74+'28'!H74</f>
        <v>882532.1</v>
      </c>
      <c r="I74" s="556"/>
      <c r="J74" s="629">
        <f>H74/DAY(B2)</f>
        <v>30432.141379310346</v>
      </c>
      <c r="K74" s="470"/>
      <c r="L74" s="408"/>
    </row>
    <row r="75" spans="1:12" ht="27.75">
      <c r="A75" s="1382" t="s">
        <v>205</v>
      </c>
      <c r="B75" s="1383"/>
      <c r="C75" s="1384"/>
      <c r="D75" s="599" t="s">
        <v>198</v>
      </c>
      <c r="E75" s="845">
        <f>'28'!F75</f>
        <v>736927</v>
      </c>
      <c r="F75" s="830">
        <v>737120</v>
      </c>
      <c r="G75" s="549">
        <f t="shared" si="6"/>
        <v>193</v>
      </c>
      <c r="H75" s="536">
        <f>G75+'28'!H75</f>
        <v>738656.4</v>
      </c>
      <c r="I75" s="556"/>
      <c r="J75" s="629">
        <f>H75/DAY(B2)</f>
        <v>25470.910344827586</v>
      </c>
      <c r="K75" s="469"/>
      <c r="L75" s="408"/>
    </row>
    <row r="76" spans="1:12" ht="27.75">
      <c r="A76" s="1382" t="s">
        <v>206</v>
      </c>
      <c r="B76" s="1383"/>
      <c r="C76" s="1384"/>
      <c r="D76" s="599" t="s">
        <v>198</v>
      </c>
      <c r="E76" s="845">
        <f>'28'!F76</f>
        <v>686795</v>
      </c>
      <c r="F76" s="830">
        <v>686870</v>
      </c>
      <c r="G76" s="549">
        <f t="shared" si="6"/>
        <v>75</v>
      </c>
      <c r="H76" s="536">
        <f>G76+'28'!H76</f>
        <v>688867.2</v>
      </c>
      <c r="I76" s="581"/>
      <c r="J76" s="629">
        <f>H76/DAY(B2)</f>
        <v>23754.041379310343</v>
      </c>
      <c r="K76" s="469"/>
      <c r="L76" s="408"/>
    </row>
    <row r="77" spans="1:12" ht="27.75">
      <c r="A77" s="1385" t="s">
        <v>207</v>
      </c>
      <c r="B77" s="1386"/>
      <c r="C77" s="1387"/>
      <c r="D77" s="599" t="s">
        <v>198</v>
      </c>
      <c r="E77" s="845">
        <f>'28'!F77</f>
        <v>696952</v>
      </c>
      <c r="F77" s="830">
        <v>697002</v>
      </c>
      <c r="G77" s="733">
        <f t="shared" si="6"/>
        <v>50</v>
      </c>
      <c r="H77" s="536">
        <f>G77+'28'!H77</f>
        <v>-105</v>
      </c>
      <c r="I77" s="581"/>
      <c r="J77" s="629">
        <f>H77/DAY(B2)</f>
        <v>-3.6206896551724137</v>
      </c>
      <c r="K77" s="469"/>
      <c r="L77" s="408"/>
    </row>
    <row r="78" spans="1:12" ht="27.75">
      <c r="A78" s="1234" t="s">
        <v>208</v>
      </c>
      <c r="B78" s="1205"/>
      <c r="C78" s="1205"/>
      <c r="D78" s="599" t="s">
        <v>198</v>
      </c>
      <c r="E78" s="845">
        <f>'28'!F78</f>
        <v>640706</v>
      </c>
      <c r="F78" s="830">
        <v>641105</v>
      </c>
      <c r="G78" s="733">
        <f t="shared" si="6"/>
        <v>399</v>
      </c>
      <c r="H78" s="536">
        <f>G78+'28'!H78</f>
        <v>-848</v>
      </c>
      <c r="I78" s="581"/>
      <c r="J78" s="629">
        <f>H78/DAY(B2)</f>
        <v>-29.241379310344829</v>
      </c>
      <c r="K78" s="469"/>
      <c r="L78" s="408"/>
    </row>
    <row r="79" spans="1:12" ht="27.75">
      <c r="A79" s="1382" t="s">
        <v>97</v>
      </c>
      <c r="B79" s="1383"/>
      <c r="C79" s="1384"/>
      <c r="D79" s="600" t="s">
        <v>198</v>
      </c>
      <c r="E79" s="845">
        <f>'28'!F79</f>
        <v>809124</v>
      </c>
      <c r="F79" s="831">
        <v>809323</v>
      </c>
      <c r="G79" s="549">
        <f t="shared" si="6"/>
        <v>199</v>
      </c>
      <c r="H79" s="536">
        <f>G79+'28'!H79</f>
        <v>2497</v>
      </c>
      <c r="I79" s="581"/>
      <c r="J79" s="629">
        <f>H79/DAY(B2)</f>
        <v>86.103448275862064</v>
      </c>
      <c r="K79" s="469"/>
      <c r="L79" s="408"/>
    </row>
    <row r="80" spans="1:12" ht="27.75">
      <c r="A80" s="1382" t="s">
        <v>209</v>
      </c>
      <c r="B80" s="1383"/>
      <c r="C80" s="1384"/>
      <c r="D80" s="600" t="s">
        <v>198</v>
      </c>
      <c r="E80" s="845">
        <f>'28'!F80</f>
        <v>484187</v>
      </c>
      <c r="F80" s="830">
        <v>484503</v>
      </c>
      <c r="G80" s="549">
        <f t="shared" si="6"/>
        <v>316</v>
      </c>
      <c r="H80" s="536">
        <f>G80+'28'!H80</f>
        <v>-2078.679999999993</v>
      </c>
      <c r="I80" s="581"/>
      <c r="J80" s="629">
        <f>H80/DAY(B2)</f>
        <v>-71.678620689654934</v>
      </c>
      <c r="K80" s="469"/>
      <c r="L80" s="408"/>
    </row>
    <row r="81" spans="1:15" ht="27.75">
      <c r="A81" s="1382" t="s">
        <v>210</v>
      </c>
      <c r="B81" s="1383"/>
      <c r="C81" s="1384"/>
      <c r="D81" s="600" t="s">
        <v>198</v>
      </c>
      <c r="E81" s="845">
        <f>'28'!F81</f>
        <v>622474</v>
      </c>
      <c r="F81" s="830">
        <v>622568</v>
      </c>
      <c r="G81" s="549">
        <f t="shared" si="6"/>
        <v>94</v>
      </c>
      <c r="H81" s="536">
        <f>G81+'28'!H81</f>
        <v>-207</v>
      </c>
      <c r="I81" s="581"/>
      <c r="J81" s="629">
        <f>H81/DAY(B2)</f>
        <v>-7.1379310344827589</v>
      </c>
      <c r="K81" s="469"/>
      <c r="L81" s="408"/>
    </row>
    <row r="82" spans="1:15" ht="27.75">
      <c r="A82" s="1382" t="s">
        <v>100</v>
      </c>
      <c r="B82" s="1383"/>
      <c r="C82" s="1384"/>
      <c r="D82" s="561" t="s">
        <v>143</v>
      </c>
      <c r="E82" s="845">
        <f>'28'!F82</f>
        <v>105280.37</v>
      </c>
      <c r="F82" s="827">
        <v>105339.54</v>
      </c>
      <c r="G82" s="549">
        <f t="shared" si="6"/>
        <v>59.169999999998254</v>
      </c>
      <c r="H82" s="536">
        <f>G82+'28'!H82</f>
        <v>-100.4600000000064</v>
      </c>
      <c r="I82" s="562"/>
      <c r="J82" s="629">
        <f>H82/DAY(B2)</f>
        <v>-3.4641379310347036</v>
      </c>
      <c r="K82" s="469"/>
      <c r="L82" s="408"/>
    </row>
    <row r="83" spans="1:15" ht="27.75">
      <c r="A83" s="1382" t="s">
        <v>211</v>
      </c>
      <c r="B83" s="1383"/>
      <c r="C83" s="1384"/>
      <c r="D83" s="697" t="s">
        <v>143</v>
      </c>
      <c r="E83" s="845">
        <f>'28'!F83</f>
        <v>982567</v>
      </c>
      <c r="F83" s="546">
        <v>982952</v>
      </c>
      <c r="G83" s="549">
        <f t="shared" si="6"/>
        <v>385</v>
      </c>
      <c r="H83" s="536">
        <f>G83+'28'!H83</f>
        <v>-789</v>
      </c>
      <c r="I83" s="557"/>
      <c r="J83" s="629">
        <f>H83/DAY(B2)</f>
        <v>-27.206896551724139</v>
      </c>
      <c r="K83" s="468"/>
      <c r="L83" s="408"/>
    </row>
    <row r="84" spans="1:15">
      <c r="A84" s="1235" t="s">
        <v>212</v>
      </c>
      <c r="B84" s="648"/>
      <c r="C84" s="648"/>
      <c r="D84" s="554" t="s">
        <v>143</v>
      </c>
      <c r="E84" s="845">
        <f>'28'!F84</f>
        <v>414533</v>
      </c>
      <c r="F84" s="787">
        <v>415080</v>
      </c>
      <c r="G84" s="549">
        <f t="shared" si="6"/>
        <v>547</v>
      </c>
      <c r="H84" s="536">
        <f>G84+'28'!H84</f>
        <v>-993</v>
      </c>
      <c r="I84" s="557"/>
      <c r="J84" s="629">
        <f>H84/DAY(B2)</f>
        <v>-34.241379310344826</v>
      </c>
      <c r="K84" s="411"/>
      <c r="L84" s="408"/>
    </row>
    <row r="85" spans="1:15" s="410" customFormat="1">
      <c r="A85" s="682" t="s">
        <v>213</v>
      </c>
      <c r="B85" s="649"/>
      <c r="C85" s="649"/>
      <c r="D85" s="565"/>
      <c r="E85" s="787">
        <f>'28'!F85</f>
        <v>0</v>
      </c>
      <c r="F85" s="536"/>
      <c r="G85" s="536">
        <f xml:space="preserve"> SUM(G72:G84)</f>
        <v>2419.1699999999983</v>
      </c>
      <c r="H85" s="536">
        <f>G85+'28'!H85</f>
        <v>2302803.1899999995</v>
      </c>
      <c r="I85" s="557"/>
      <c r="J85" s="629">
        <f>H85/DAY(B2)</f>
        <v>79407.006551724116</v>
      </c>
      <c r="K85" s="411"/>
      <c r="L85" s="409"/>
      <c r="N85" s="852"/>
      <c r="O85" s="852"/>
    </row>
    <row r="86" spans="1:15" s="817" customFormat="1">
      <c r="A86" s="812" t="s">
        <v>102</v>
      </c>
      <c r="B86" s="813"/>
      <c r="C86" s="813"/>
      <c r="D86" s="814" t="s">
        <v>194</v>
      </c>
      <c r="E86" s="787">
        <f>'28'!F86</f>
        <v>446801</v>
      </c>
      <c r="F86" s="832">
        <v>446888</v>
      </c>
      <c r="G86" s="787">
        <f t="shared" ref="G86:G90" si="7">F86-E86</f>
        <v>87</v>
      </c>
      <c r="H86" s="787">
        <f t="shared" ref="H86:H88" si="8">G86</f>
        <v>87</v>
      </c>
      <c r="I86" s="733"/>
      <c r="J86" s="789">
        <f>H86/DAY(B2)</f>
        <v>3</v>
      </c>
      <c r="K86" s="815"/>
      <c r="L86" s="816"/>
      <c r="N86" s="853"/>
      <c r="O86" s="853"/>
    </row>
    <row r="87" spans="1:15" s="817" customFormat="1">
      <c r="A87" s="812" t="s">
        <v>103</v>
      </c>
      <c r="B87" s="813"/>
      <c r="C87" s="813"/>
      <c r="D87" s="814" t="s">
        <v>194</v>
      </c>
      <c r="E87" s="787">
        <f>'28'!F87</f>
        <v>78375.899999999994</v>
      </c>
      <c r="F87" s="832">
        <v>78411</v>
      </c>
      <c r="G87" s="787">
        <f t="shared" si="7"/>
        <v>35.100000000005821</v>
      </c>
      <c r="H87" s="787">
        <f t="shared" si="8"/>
        <v>35.100000000005821</v>
      </c>
      <c r="I87" s="733"/>
      <c r="J87" s="789">
        <f>H87/DAY(B2)</f>
        <v>1.2103448275864077</v>
      </c>
      <c r="K87" s="815"/>
      <c r="L87" s="816"/>
      <c r="N87" s="853"/>
      <c r="O87" s="853"/>
    </row>
    <row r="88" spans="1:15" s="817" customFormat="1">
      <c r="A88" s="812" t="s">
        <v>104</v>
      </c>
      <c r="B88" s="813"/>
      <c r="C88" s="813"/>
      <c r="D88" s="814" t="s">
        <v>194</v>
      </c>
      <c r="E88" s="787">
        <f>'28'!F88</f>
        <v>146266</v>
      </c>
      <c r="F88" s="832">
        <v>146382.95000000001</v>
      </c>
      <c r="G88" s="787">
        <f t="shared" si="7"/>
        <v>116.95000000001164</v>
      </c>
      <c r="H88" s="787">
        <f t="shared" si="8"/>
        <v>116.95000000001164</v>
      </c>
      <c r="I88" s="733"/>
      <c r="J88" s="789">
        <f>H88/DAY(B2)</f>
        <v>4.032758620690057</v>
      </c>
      <c r="K88" s="815"/>
      <c r="L88" s="816"/>
      <c r="N88" s="853">
        <f>122+359</f>
        <v>481</v>
      </c>
      <c r="O88" s="853"/>
    </row>
    <row r="89" spans="1:15" s="817" customFormat="1">
      <c r="A89" s="812" t="s">
        <v>215</v>
      </c>
      <c r="B89" s="813"/>
      <c r="C89" s="813"/>
      <c r="D89" s="814" t="s">
        <v>194</v>
      </c>
      <c r="E89" s="787">
        <f>'28'!F89</f>
        <v>59582</v>
      </c>
      <c r="F89" s="728">
        <v>59670.8</v>
      </c>
      <c r="G89" s="787">
        <f t="shared" si="7"/>
        <v>88.80000000000291</v>
      </c>
      <c r="H89" s="787">
        <f>G89</f>
        <v>88.80000000000291</v>
      </c>
      <c r="I89" s="733"/>
      <c r="J89" s="789">
        <f>H89/DAY(B2)</f>
        <v>3.0620689655173416</v>
      </c>
      <c r="K89" s="815"/>
      <c r="L89" s="816"/>
    </row>
    <row r="90" spans="1:15" s="817" customFormat="1">
      <c r="A90" s="812" t="s">
        <v>215</v>
      </c>
      <c r="B90" s="813"/>
      <c r="C90" s="813"/>
      <c r="D90" s="814" t="s">
        <v>194</v>
      </c>
      <c r="E90" s="787">
        <f>'28'!F90</f>
        <v>3057.8</v>
      </c>
      <c r="F90" s="728">
        <v>3061.9</v>
      </c>
      <c r="G90" s="787">
        <f t="shared" si="7"/>
        <v>4.0999999999999091</v>
      </c>
      <c r="H90" s="787">
        <f>G90</f>
        <v>4.0999999999999091</v>
      </c>
      <c r="I90" s="733"/>
      <c r="J90" s="789">
        <f>H90/DAY(B2)</f>
        <v>0.14137931034482445</v>
      </c>
      <c r="K90" s="815"/>
      <c r="L90" s="816"/>
    </row>
    <row r="91" spans="1:15" s="410" customFormat="1">
      <c r="A91" s="683" t="s">
        <v>216</v>
      </c>
      <c r="B91" s="1237"/>
      <c r="C91" s="1237"/>
      <c r="D91" s="548"/>
      <c r="E91" s="821"/>
      <c r="F91" s="821"/>
      <c r="G91" s="564"/>
      <c r="H91" s="548"/>
      <c r="I91" s="548"/>
      <c r="J91" s="628"/>
      <c r="K91" s="411"/>
      <c r="L91" s="409"/>
      <c r="N91" s="852"/>
      <c r="O91" s="852"/>
    </row>
    <row r="92" spans="1:15" ht="27.75">
      <c r="A92" s="1406" t="s">
        <v>217</v>
      </c>
      <c r="B92" s="1407"/>
      <c r="C92" s="1408"/>
      <c r="D92" s="599" t="s">
        <v>155</v>
      </c>
      <c r="E92" s="841">
        <f>'28'!F92</f>
        <v>236336</v>
      </c>
      <c r="F92" s="820">
        <v>236405</v>
      </c>
      <c r="G92" s="549">
        <f t="shared" ref="G92:G93" si="9">F92-E92</f>
        <v>69</v>
      </c>
      <c r="H92" s="536">
        <f>G92+'28'!H92</f>
        <v>-165</v>
      </c>
      <c r="I92" s="556"/>
      <c r="J92" s="629">
        <f>H92/DAY(B2)</f>
        <v>-5.6896551724137927</v>
      </c>
      <c r="K92" s="468"/>
      <c r="L92" s="408"/>
    </row>
    <row r="93" spans="1:15" ht="27.75">
      <c r="A93" s="1406" t="s">
        <v>218</v>
      </c>
      <c r="B93" s="1407"/>
      <c r="C93" s="1408"/>
      <c r="D93" s="599" t="s">
        <v>155</v>
      </c>
      <c r="E93" s="841">
        <f>'28'!F93</f>
        <v>170681</v>
      </c>
      <c r="F93" s="820">
        <v>170864</v>
      </c>
      <c r="G93" s="549">
        <f t="shared" si="9"/>
        <v>183</v>
      </c>
      <c r="H93" s="536">
        <f>G93+'28'!H93</f>
        <v>-312</v>
      </c>
      <c r="I93" s="556"/>
      <c r="J93" s="629">
        <f>H93/DAY(B2)</f>
        <v>-10.758620689655173</v>
      </c>
      <c r="K93" s="411"/>
      <c r="L93" s="408"/>
    </row>
    <row r="94" spans="1:15">
      <c r="A94" s="1434" t="s">
        <v>219</v>
      </c>
      <c r="B94" s="1435"/>
      <c r="C94" s="1436"/>
      <c r="D94" s="599"/>
      <c r="E94" s="841"/>
      <c r="F94" s="820"/>
      <c r="G94" s="549">
        <f>G92+G93</f>
        <v>252</v>
      </c>
      <c r="H94" s="536">
        <f>G94+'28'!H94</f>
        <v>-764</v>
      </c>
      <c r="I94" s="556"/>
      <c r="J94" s="629">
        <f>H94/DAY(B2)</f>
        <v>-26.344827586206897</v>
      </c>
      <c r="K94" s="411"/>
      <c r="L94" s="408"/>
    </row>
    <row r="95" spans="1:15" ht="27.75">
      <c r="A95" s="1406" t="s">
        <v>220</v>
      </c>
      <c r="B95" s="1407"/>
      <c r="C95" s="1408"/>
      <c r="D95" s="599" t="s">
        <v>155</v>
      </c>
      <c r="E95" s="841">
        <f>'28'!F95</f>
        <v>405688</v>
      </c>
      <c r="F95" s="820">
        <v>405753</v>
      </c>
      <c r="G95" s="549">
        <f t="shared" ref="G95:G100" si="10">F95-E95</f>
        <v>65</v>
      </c>
      <c r="H95" s="536">
        <f>G95+'28'!H95</f>
        <v>-123</v>
      </c>
      <c r="I95" s="556"/>
      <c r="J95" s="629">
        <f>H95/DAY(B2)</f>
        <v>-4.2413793103448274</v>
      </c>
      <c r="K95" s="411"/>
      <c r="L95" s="408"/>
    </row>
    <row r="96" spans="1:15" ht="27.75">
      <c r="A96" s="1231" t="s">
        <v>221</v>
      </c>
      <c r="B96" s="1232"/>
      <c r="C96" s="1232"/>
      <c r="D96" s="599" t="s">
        <v>155</v>
      </c>
      <c r="E96" s="841">
        <f>'28'!F96</f>
        <v>100437</v>
      </c>
      <c r="F96" s="820">
        <v>100470</v>
      </c>
      <c r="G96" s="549">
        <f t="shared" si="10"/>
        <v>33</v>
      </c>
      <c r="H96" s="536">
        <f>G96+'28'!H96</f>
        <v>-64</v>
      </c>
      <c r="I96" s="556"/>
      <c r="J96" s="629">
        <f>H96/DAY(B2)</f>
        <v>-2.2068965517241379</v>
      </c>
      <c r="K96" s="466"/>
      <c r="L96" s="408"/>
    </row>
    <row r="97" spans="1:15" ht="27.75">
      <c r="A97" s="1231" t="s">
        <v>222</v>
      </c>
      <c r="B97" s="1232"/>
      <c r="C97" s="1232"/>
      <c r="D97" s="599" t="s">
        <v>155</v>
      </c>
      <c r="E97" s="841">
        <f>'28'!F97</f>
        <v>95606</v>
      </c>
      <c r="F97" s="820">
        <v>95625</v>
      </c>
      <c r="G97" s="549">
        <f t="shared" si="10"/>
        <v>19</v>
      </c>
      <c r="H97" s="536">
        <f>G97+'28'!H97</f>
        <v>-52</v>
      </c>
      <c r="I97" s="556"/>
      <c r="J97" s="629">
        <f>H97/DAY(B2)</f>
        <v>-1.7931034482758621</v>
      </c>
      <c r="K97" s="471"/>
      <c r="L97" s="408"/>
    </row>
    <row r="98" spans="1:15" ht="27.75">
      <c r="A98" s="1231" t="s">
        <v>223</v>
      </c>
      <c r="B98" s="1232"/>
      <c r="C98" s="1232"/>
      <c r="D98" s="599" t="s">
        <v>155</v>
      </c>
      <c r="E98" s="841">
        <f>'28'!F98</f>
        <v>145357</v>
      </c>
      <c r="F98" s="820">
        <v>145422</v>
      </c>
      <c r="G98" s="549">
        <f t="shared" si="10"/>
        <v>65</v>
      </c>
      <c r="H98" s="536">
        <f>G98+'28'!H98</f>
        <v>-132</v>
      </c>
      <c r="I98" s="556"/>
      <c r="J98" s="629">
        <f>H98/DAY(B2)</f>
        <v>-4.5517241379310347</v>
      </c>
      <c r="K98" s="411"/>
      <c r="L98" s="408"/>
    </row>
    <row r="99" spans="1:15" ht="27.75">
      <c r="A99" s="1231" t="s">
        <v>224</v>
      </c>
      <c r="B99" s="1232"/>
      <c r="C99" s="1232"/>
      <c r="D99" s="599" t="s">
        <v>155</v>
      </c>
      <c r="E99" s="841">
        <f>'28'!F99</f>
        <v>5936</v>
      </c>
      <c r="F99" s="820">
        <v>5946</v>
      </c>
      <c r="G99" s="549">
        <f t="shared" si="10"/>
        <v>10</v>
      </c>
      <c r="H99" s="536">
        <f>G99+'28'!H99</f>
        <v>-28</v>
      </c>
      <c r="I99" s="556"/>
      <c r="J99" s="629">
        <f>H99/DAY(B2)</f>
        <v>-0.96551724137931039</v>
      </c>
      <c r="K99" s="411"/>
      <c r="L99" s="408"/>
    </row>
    <row r="100" spans="1:15" ht="27.75">
      <c r="A100" s="1231" t="s">
        <v>225</v>
      </c>
      <c r="B100" s="1232"/>
      <c r="C100" s="1232"/>
      <c r="D100" s="599" t="s">
        <v>155</v>
      </c>
      <c r="E100" s="841">
        <f>'28'!F100</f>
        <v>4218</v>
      </c>
      <c r="F100" s="820">
        <v>4225</v>
      </c>
      <c r="G100" s="549">
        <f t="shared" si="10"/>
        <v>7</v>
      </c>
      <c r="H100" s="536">
        <f>G100+'28'!H100</f>
        <v>-12</v>
      </c>
      <c r="I100" s="556"/>
      <c r="J100" s="629">
        <f>H100/DAY(B2)</f>
        <v>-0.41379310344827586</v>
      </c>
      <c r="K100" s="411"/>
      <c r="L100" s="408"/>
    </row>
    <row r="101" spans="1:15">
      <c r="A101" s="1434" t="s">
        <v>227</v>
      </c>
      <c r="B101" s="1435"/>
      <c r="C101" s="1436"/>
      <c r="D101" s="600"/>
      <c r="E101" s="562"/>
      <c r="F101" s="562"/>
      <c r="G101" s="601">
        <f>SUM(G95:G100)</f>
        <v>199</v>
      </c>
      <c r="H101" s="536">
        <f>G101+'28'!H101</f>
        <v>-411</v>
      </c>
      <c r="I101" s="602"/>
      <c r="J101" s="629">
        <f>H101/DAY(B2)</f>
        <v>-14.172413793103448</v>
      </c>
      <c r="K101" s="411"/>
      <c r="L101" s="408"/>
    </row>
    <row r="102" spans="1:15" s="481" customFormat="1" ht="27">
      <c r="A102" s="684" t="s">
        <v>228</v>
      </c>
      <c r="B102" s="685"/>
      <c r="C102" s="685"/>
      <c r="D102" s="698"/>
      <c r="E102" s="847"/>
      <c r="F102" s="833"/>
      <c r="G102" s="605"/>
      <c r="H102" s="606"/>
      <c r="I102" s="607"/>
      <c r="J102" s="634"/>
      <c r="N102" s="852"/>
      <c r="O102" s="852"/>
    </row>
    <row r="103" spans="1:15" s="481" customFormat="1" ht="27">
      <c r="A103" s="1437" t="s">
        <v>229</v>
      </c>
      <c r="B103" s="1438"/>
      <c r="C103" s="650"/>
      <c r="D103" s="699"/>
      <c r="E103" s="609"/>
      <c r="F103" s="834"/>
      <c r="G103" s="608"/>
      <c r="H103" s="609"/>
      <c r="I103" s="608"/>
      <c r="J103" s="635"/>
      <c r="N103" s="852"/>
      <c r="O103" s="852"/>
    </row>
    <row r="104" spans="1:15" s="481" customFormat="1" ht="27">
      <c r="A104" s="1398" t="s">
        <v>230</v>
      </c>
      <c r="B104" s="1399"/>
      <c r="C104" s="1230"/>
      <c r="D104" s="699" t="s">
        <v>155</v>
      </c>
      <c r="E104" s="609">
        <f>'28'!F104</f>
        <v>7010</v>
      </c>
      <c r="F104" s="834">
        <v>7010</v>
      </c>
      <c r="G104" s="608">
        <f>F104-E104</f>
        <v>0</v>
      </c>
      <c r="H104" s="609">
        <f>SUM(G104+'1'!G76)</f>
        <v>74</v>
      </c>
      <c r="I104" s="608"/>
      <c r="J104" s="635">
        <f>H104/DAY(B2)</f>
        <v>2.5517241379310347</v>
      </c>
      <c r="N104" s="852"/>
      <c r="O104" s="852"/>
    </row>
    <row r="105" spans="1:15" s="481" customFormat="1" ht="27">
      <c r="A105" s="1398" t="s">
        <v>77</v>
      </c>
      <c r="B105" s="1399"/>
      <c r="C105" s="1230"/>
      <c r="D105" s="699" t="s">
        <v>155</v>
      </c>
      <c r="E105" s="609">
        <f>'28'!F105</f>
        <v>35136</v>
      </c>
      <c r="F105" s="741">
        <v>35146</v>
      </c>
      <c r="G105" s="608">
        <f t="shared" ref="G105:G106" si="11">F105-E105</f>
        <v>10</v>
      </c>
      <c r="H105" s="609">
        <f>SUM(G105+'1'!G77)</f>
        <v>58</v>
      </c>
      <c r="I105" s="608"/>
      <c r="J105" s="635">
        <f>H105/DAY(B2)</f>
        <v>2</v>
      </c>
      <c r="N105" s="852"/>
      <c r="O105" s="852"/>
    </row>
    <row r="106" spans="1:15" s="481" customFormat="1" ht="27">
      <c r="A106" s="1398" t="s">
        <v>78</v>
      </c>
      <c r="B106" s="1439"/>
      <c r="C106" s="1399"/>
      <c r="D106" s="699" t="s">
        <v>155</v>
      </c>
      <c r="E106" s="609">
        <f>'28'!F106</f>
        <v>19066</v>
      </c>
      <c r="F106" s="741">
        <v>19070</v>
      </c>
      <c r="G106" s="608">
        <f t="shared" si="11"/>
        <v>4</v>
      </c>
      <c r="H106" s="609">
        <f>SUM(G106+'1'!G78)</f>
        <v>338</v>
      </c>
      <c r="I106" s="608"/>
      <c r="J106" s="635">
        <f>H106/DAY(B2)</f>
        <v>11.655172413793103</v>
      </c>
      <c r="N106" s="852"/>
      <c r="O106" s="852"/>
    </row>
    <row r="107" spans="1:15" s="481" customFormat="1" ht="27">
      <c r="A107" s="1400" t="s">
        <v>213</v>
      </c>
      <c r="B107" s="1401"/>
      <c r="C107" s="1230"/>
      <c r="D107" s="699"/>
      <c r="E107" s="609">
        <f>'28'!F107</f>
        <v>0</v>
      </c>
      <c r="F107" s="741"/>
      <c r="G107" s="608">
        <f>SUM(G104:G106)</f>
        <v>14</v>
      </c>
      <c r="H107" s="609">
        <f>SUM(G107+'1'!G79)</f>
        <v>219</v>
      </c>
      <c r="I107" s="608"/>
      <c r="J107" s="635">
        <f>H107/DAY(B2)</f>
        <v>7.5517241379310347</v>
      </c>
      <c r="N107" s="852"/>
      <c r="O107" s="852"/>
    </row>
    <row r="108" spans="1:15" s="481" customFormat="1" ht="27">
      <c r="A108" s="1404" t="s">
        <v>79</v>
      </c>
      <c r="B108" s="1405"/>
      <c r="C108" s="1230"/>
      <c r="D108" s="699" t="s">
        <v>155</v>
      </c>
      <c r="E108" s="609">
        <f>'28'!F108</f>
        <v>0</v>
      </c>
      <c r="F108" s="741"/>
      <c r="G108" s="608"/>
      <c r="H108" s="609"/>
      <c r="I108" s="608"/>
      <c r="J108" s="635"/>
      <c r="N108" s="852"/>
      <c r="O108" s="852"/>
    </row>
    <row r="109" spans="1:15" s="481" customFormat="1" ht="27">
      <c r="A109" s="1398" t="s">
        <v>231</v>
      </c>
      <c r="B109" s="1399"/>
      <c r="C109" s="1230"/>
      <c r="D109" s="699" t="s">
        <v>155</v>
      </c>
      <c r="E109" s="609">
        <f>'28'!F109</f>
        <v>54502</v>
      </c>
      <c r="F109" s="741">
        <v>54545</v>
      </c>
      <c r="G109" s="608">
        <f>F109-E109</f>
        <v>43</v>
      </c>
      <c r="H109" s="609">
        <f>SUM(G109+'1'!G81)</f>
        <v>119</v>
      </c>
      <c r="I109" s="608"/>
      <c r="J109" s="635">
        <f>H109/DAY(B2)</f>
        <v>4.1034482758620694</v>
      </c>
      <c r="N109" s="852"/>
      <c r="O109" s="852"/>
    </row>
    <row r="110" spans="1:15" s="481" customFormat="1" ht="27">
      <c r="A110" s="1398" t="s">
        <v>232</v>
      </c>
      <c r="B110" s="1399"/>
      <c r="C110" s="1230"/>
      <c r="D110" s="699" t="s">
        <v>155</v>
      </c>
      <c r="E110" s="609">
        <f>'28'!F110</f>
        <v>28348</v>
      </c>
      <c r="F110" s="741">
        <v>28383</v>
      </c>
      <c r="G110" s="608">
        <f t="shared" ref="G110:G111" si="12">F110-E110</f>
        <v>35</v>
      </c>
      <c r="H110" s="609">
        <f>SUM(G110+'1'!G82)</f>
        <v>80</v>
      </c>
      <c r="I110" s="608"/>
      <c r="J110" s="635">
        <f>H110/DAY(B2)</f>
        <v>2.7586206896551726</v>
      </c>
      <c r="N110" s="852"/>
      <c r="O110" s="852"/>
    </row>
    <row r="111" spans="1:15" s="481" customFormat="1" ht="27">
      <c r="A111" s="1398" t="s">
        <v>233</v>
      </c>
      <c r="B111" s="1399"/>
      <c r="C111" s="1230"/>
      <c r="D111" s="699" t="s">
        <v>155</v>
      </c>
      <c r="E111" s="609">
        <f>'28'!F111</f>
        <v>3726</v>
      </c>
      <c r="F111" s="741">
        <v>3726</v>
      </c>
      <c r="G111" s="610">
        <f t="shared" si="12"/>
        <v>0</v>
      </c>
      <c r="H111" s="609">
        <f>SUM(G111+'1'!G83)</f>
        <v>433</v>
      </c>
      <c r="I111" s="608"/>
      <c r="J111" s="635">
        <f>H111/DAY(B2)</f>
        <v>14.931034482758621</v>
      </c>
      <c r="N111" s="852"/>
      <c r="O111" s="852"/>
    </row>
    <row r="112" spans="1:15" s="481" customFormat="1" ht="27">
      <c r="A112" s="1400" t="s">
        <v>121</v>
      </c>
      <c r="B112" s="1401"/>
      <c r="C112" s="1230"/>
      <c r="D112" s="699"/>
      <c r="E112" s="609">
        <f>'28'!F112</f>
        <v>0</v>
      </c>
      <c r="F112" s="741"/>
      <c r="G112" s="608">
        <f>SUM(G109:G111)</f>
        <v>78</v>
      </c>
      <c r="H112" s="609">
        <f>SUM(G112+'1'!G84)</f>
        <v>599</v>
      </c>
      <c r="I112" s="608"/>
      <c r="J112" s="635">
        <f>H112/DAY(B2)</f>
        <v>20.655172413793103</v>
      </c>
      <c r="N112" s="852"/>
      <c r="O112" s="852"/>
    </row>
    <row r="113" spans="1:15" s="481" customFormat="1" ht="27">
      <c r="A113" s="1404" t="s">
        <v>234</v>
      </c>
      <c r="B113" s="1405"/>
      <c r="C113" s="1230"/>
      <c r="D113" s="699"/>
      <c r="E113" s="609">
        <f>'28'!F113</f>
        <v>0</v>
      </c>
      <c r="F113" s="741"/>
      <c r="G113" s="608"/>
      <c r="H113" s="609"/>
      <c r="I113" s="608"/>
      <c r="J113" s="635">
        <f>H113/DAY(B2)</f>
        <v>0</v>
      </c>
      <c r="N113" s="852"/>
      <c r="O113" s="852"/>
    </row>
    <row r="114" spans="1:15" s="481" customFormat="1" ht="27">
      <c r="A114" s="1398" t="s">
        <v>235</v>
      </c>
      <c r="B114" s="1399"/>
      <c r="C114" s="651"/>
      <c r="D114" s="699" t="s">
        <v>155</v>
      </c>
      <c r="E114" s="609">
        <f>'28'!F114</f>
        <v>9755</v>
      </c>
      <c r="F114" s="741">
        <v>9768</v>
      </c>
      <c r="G114" s="610">
        <f>F114-E114</f>
        <v>13</v>
      </c>
      <c r="H114" s="609">
        <f>SUM(G114+'1'!G91)</f>
        <v>13</v>
      </c>
      <c r="I114" s="608"/>
      <c r="J114" s="635">
        <f>H114/DAY(B2)</f>
        <v>0.44827586206896552</v>
      </c>
      <c r="N114" s="852"/>
      <c r="O114" s="852"/>
    </row>
    <row r="115" spans="1:15" s="481" customFormat="1" ht="27">
      <c r="A115" s="1398" t="s">
        <v>236</v>
      </c>
      <c r="B115" s="1399"/>
      <c r="C115" s="651"/>
      <c r="D115" s="699" t="s">
        <v>155</v>
      </c>
      <c r="E115" s="609">
        <f>'28'!F115</f>
        <v>7410</v>
      </c>
      <c r="F115" s="741">
        <v>7415</v>
      </c>
      <c r="G115" s="610">
        <f t="shared" ref="G115:G116" si="13">F115-E115</f>
        <v>5</v>
      </c>
      <c r="H115" s="609">
        <f>SUM(G115+'1'!G92)</f>
        <v>92</v>
      </c>
      <c r="I115" s="608"/>
      <c r="J115" s="635">
        <f>H115/DAY(B2)</f>
        <v>3.1724137931034484</v>
      </c>
      <c r="N115" s="852"/>
      <c r="O115" s="852"/>
    </row>
    <row r="116" spans="1:15" s="481" customFormat="1" ht="27">
      <c r="A116" s="1398" t="s">
        <v>237</v>
      </c>
      <c r="B116" s="1399"/>
      <c r="C116" s="651"/>
      <c r="D116" s="699" t="s">
        <v>155</v>
      </c>
      <c r="E116" s="612"/>
      <c r="F116" s="741"/>
      <c r="G116" s="610">
        <f t="shared" si="13"/>
        <v>0</v>
      </c>
      <c r="H116" s="609">
        <f>SUM(G116+'1'!G93)</f>
        <v>200</v>
      </c>
      <c r="I116" s="608"/>
      <c r="J116" s="635">
        <f>H116/DAY(B2)</f>
        <v>6.8965517241379306</v>
      </c>
      <c r="N116" s="852"/>
      <c r="O116" s="852"/>
    </row>
    <row r="117" spans="1:15" s="494" customFormat="1" ht="27">
      <c r="A117" s="1400" t="s">
        <v>213</v>
      </c>
      <c r="B117" s="1401"/>
      <c r="C117" s="651"/>
      <c r="D117" s="700"/>
      <c r="E117" s="612"/>
      <c r="F117" s="741"/>
      <c r="G117" s="610">
        <f>SUM(G114:G116)</f>
        <v>18</v>
      </c>
      <c r="H117" s="609">
        <f>SUM(G117+'1'!G95)</f>
        <v>90</v>
      </c>
      <c r="I117" s="610"/>
      <c r="J117" s="635">
        <f>H117/DAY(B2)</f>
        <v>3.103448275862069</v>
      </c>
      <c r="N117" s="852"/>
      <c r="O117" s="853"/>
    </row>
    <row r="118" spans="1:15" s="495" customFormat="1" ht="27">
      <c r="A118" s="1394" t="s">
        <v>238</v>
      </c>
      <c r="B118" s="1395"/>
      <c r="C118" s="1228"/>
      <c r="D118" s="701" t="s">
        <v>155</v>
      </c>
      <c r="E118" s="612"/>
      <c r="F118" s="741">
        <f>SUM(G19+G92)</f>
        <v>120</v>
      </c>
      <c r="G118" s="612">
        <f>SUM(G19+G92)</f>
        <v>120</v>
      </c>
      <c r="H118" s="609">
        <f>SUM(G118+'1'!G96)</f>
        <v>143</v>
      </c>
      <c r="I118" s="611"/>
      <c r="J118" s="636">
        <f>H118/DAY(B2)</f>
        <v>4.931034482758621</v>
      </c>
      <c r="N118" s="852"/>
      <c r="O118" s="853"/>
    </row>
    <row r="119" spans="1:15" s="495" customFormat="1" ht="27">
      <c r="A119" s="1394" t="s">
        <v>239</v>
      </c>
      <c r="B119" s="1395"/>
      <c r="C119" s="1228"/>
      <c r="D119" s="701" t="s">
        <v>155</v>
      </c>
      <c r="E119" s="612"/>
      <c r="F119" s="741">
        <f>SUM(G95,G96,G97,G99,G100)</f>
        <v>134</v>
      </c>
      <c r="G119" s="612">
        <f>SUM(G95,G96,G97,G99,G100)</f>
        <v>134</v>
      </c>
      <c r="H119" s="609">
        <f>SUM(G119+'1'!G98)</f>
        <v>217</v>
      </c>
      <c r="I119" s="611"/>
      <c r="J119" s="636">
        <f>H119/DAY(B2)</f>
        <v>7.4827586206896548</v>
      </c>
      <c r="N119" s="852"/>
      <c r="O119" s="853"/>
    </row>
    <row r="120" spans="1:15" s="495" customFormat="1" ht="27">
      <c r="A120" s="1394" t="s">
        <v>240</v>
      </c>
      <c r="B120" s="1395"/>
      <c r="C120" s="1228"/>
      <c r="D120" s="701" t="s">
        <v>155</v>
      </c>
      <c r="E120" s="612"/>
      <c r="F120" s="741">
        <f>SUM(G112)</f>
        <v>78</v>
      </c>
      <c r="G120" s="610">
        <f>SUM(G112)</f>
        <v>78</v>
      </c>
      <c r="H120" s="609">
        <f>SUM(G120+'1'!G100)</f>
        <v>84</v>
      </c>
      <c r="I120" s="611"/>
      <c r="J120" s="636">
        <f>H120/DAY(B2)</f>
        <v>2.896551724137931</v>
      </c>
      <c r="N120" s="852"/>
      <c r="O120" s="853"/>
    </row>
    <row r="121" spans="1:15" s="481" customFormat="1" ht="27">
      <c r="A121" s="1396"/>
      <c r="B121" s="1397"/>
      <c r="C121" s="1229"/>
      <c r="D121" s="637"/>
      <c r="E121" s="848"/>
      <c r="F121" s="835" t="s">
        <v>226</v>
      </c>
      <c r="G121" s="637"/>
      <c r="H121" s="638"/>
      <c r="I121" s="637"/>
      <c r="J121" s="639"/>
      <c r="N121" s="852"/>
      <c r="O121" s="852"/>
    </row>
    <row r="122" spans="1:15">
      <c r="A122" s="1431" t="s">
        <v>241</v>
      </c>
      <c r="B122" s="1432"/>
      <c r="C122" s="1433"/>
      <c r="D122" s="548"/>
      <c r="E122" s="821"/>
      <c r="F122" s="821"/>
      <c r="G122" s="559"/>
      <c r="H122" s="559"/>
      <c r="I122" s="559"/>
      <c r="J122" s="640"/>
      <c r="K122" s="411"/>
      <c r="L122" s="408"/>
    </row>
    <row r="123" spans="1:15" ht="27.75">
      <c r="A123" s="1231" t="s">
        <v>242</v>
      </c>
      <c r="B123" s="1232"/>
      <c r="C123" s="1232"/>
      <c r="D123" s="599" t="s">
        <v>152</v>
      </c>
      <c r="E123" s="820">
        <f>'28'!F123</f>
        <v>802540</v>
      </c>
      <c r="F123" s="820">
        <v>802782.99</v>
      </c>
      <c r="G123" s="549">
        <f t="shared" ref="G123:G127" si="14">F123-E123</f>
        <v>242.98999999999069</v>
      </c>
      <c r="H123" s="536">
        <f>G123+'28'!H123</f>
        <v>-552.4100000000326</v>
      </c>
      <c r="I123" s="602"/>
      <c r="J123" s="629">
        <f>H123/DAY(B2)</f>
        <v>-19.048620689656296</v>
      </c>
      <c r="K123" s="411"/>
      <c r="L123" s="408"/>
    </row>
    <row r="124" spans="1:15" ht="27.75">
      <c r="A124" s="1231" t="s">
        <v>243</v>
      </c>
      <c r="B124" s="1232"/>
      <c r="C124" s="1232"/>
      <c r="D124" s="599" t="s">
        <v>152</v>
      </c>
      <c r="E124" s="820">
        <f>'28'!F124</f>
        <v>73582</v>
      </c>
      <c r="F124" s="836">
        <v>73582</v>
      </c>
      <c r="G124" s="549">
        <f t="shared" si="14"/>
        <v>0</v>
      </c>
      <c r="H124" s="536">
        <f>G124+'28'!H124</f>
        <v>0</v>
      </c>
      <c r="I124" s="602"/>
      <c r="J124" s="629">
        <f>H124/DAY(B2)</f>
        <v>0</v>
      </c>
      <c r="K124" s="411"/>
      <c r="L124" s="408"/>
    </row>
    <row r="125" spans="1:15" ht="27.75">
      <c r="A125" s="1385" t="s">
        <v>244</v>
      </c>
      <c r="B125" s="1386"/>
      <c r="C125" s="1387"/>
      <c r="D125" s="599" t="s">
        <v>152</v>
      </c>
      <c r="E125" s="820">
        <f>'28'!F125</f>
        <v>137669</v>
      </c>
      <c r="F125" s="820">
        <v>137739.76999999999</v>
      </c>
      <c r="G125" s="549">
        <f t="shared" si="14"/>
        <v>70.769999999989523</v>
      </c>
      <c r="H125" s="536">
        <f>G125+'28'!H125</f>
        <v>-108.23000000001048</v>
      </c>
      <c r="I125" s="602"/>
      <c r="J125" s="629">
        <f>H125/DAY(B2)</f>
        <v>-3.7320689655176027</v>
      </c>
      <c r="K125" s="411"/>
      <c r="L125" s="408"/>
    </row>
    <row r="126" spans="1:15" ht="27.75">
      <c r="A126" s="686" t="s">
        <v>245</v>
      </c>
      <c r="B126" s="1232"/>
      <c r="C126" s="1232"/>
      <c r="D126" s="599" t="s">
        <v>152</v>
      </c>
      <c r="E126" s="820">
        <f>'28'!F126</f>
        <v>58288</v>
      </c>
      <c r="F126" s="836">
        <v>58320</v>
      </c>
      <c r="G126" s="549">
        <f t="shared" si="14"/>
        <v>32</v>
      </c>
      <c r="H126" s="536">
        <f>G126+'28'!H126</f>
        <v>-71.69999999999709</v>
      </c>
      <c r="I126" s="602"/>
      <c r="J126" s="629">
        <f>H126/DAY(B2)</f>
        <v>-2.4724137931033479</v>
      </c>
      <c r="K126" s="411"/>
      <c r="L126" s="408"/>
    </row>
    <row r="127" spans="1:15" ht="27.75">
      <c r="A127" s="686" t="s">
        <v>246</v>
      </c>
      <c r="B127" s="1232"/>
      <c r="C127" s="1232"/>
      <c r="D127" s="599" t="s">
        <v>152</v>
      </c>
      <c r="E127" s="820">
        <f>'28'!F127</f>
        <v>8805</v>
      </c>
      <c r="F127" s="836">
        <v>8807</v>
      </c>
      <c r="G127" s="549">
        <f t="shared" si="14"/>
        <v>2</v>
      </c>
      <c r="H127" s="536">
        <f>G127+'28'!H127</f>
        <v>-9</v>
      </c>
      <c r="I127" s="556"/>
      <c r="J127" s="629">
        <f>H127/DAY(B2)</f>
        <v>-0.31034482758620691</v>
      </c>
      <c r="K127" s="411"/>
      <c r="L127" s="408"/>
    </row>
    <row r="128" spans="1:15" s="281" customFormat="1" ht="27">
      <c r="A128" s="686" t="s">
        <v>247</v>
      </c>
      <c r="B128" s="1232"/>
      <c r="C128" s="1232"/>
      <c r="D128" s="599"/>
      <c r="E128" s="820"/>
      <c r="F128" s="820"/>
      <c r="G128" s="549">
        <f>G15-SUM(G123:G127)</f>
        <v>479.20999999999185</v>
      </c>
      <c r="H128" s="536"/>
      <c r="I128" s="556"/>
      <c r="J128" s="629"/>
      <c r="K128" s="391"/>
      <c r="L128" s="293"/>
      <c r="N128" s="852"/>
      <c r="O128" s="852"/>
    </row>
    <row r="129" spans="1:12">
      <c r="A129" s="687" t="s">
        <v>248</v>
      </c>
      <c r="B129" s="534"/>
      <c r="C129" s="534"/>
      <c r="D129" s="547"/>
      <c r="E129" s="571"/>
      <c r="F129" s="571"/>
      <c r="G129" s="617"/>
      <c r="H129" s="617"/>
      <c r="I129" s="617"/>
      <c r="J129" s="641"/>
    </row>
    <row r="130" spans="1:12" ht="27.75">
      <c r="A130" s="1231" t="s">
        <v>249</v>
      </c>
      <c r="B130" s="1232"/>
      <c r="C130" s="1232"/>
      <c r="D130" s="599" t="s">
        <v>250</v>
      </c>
      <c r="E130" s="841">
        <f>'28'!F130</f>
        <v>0</v>
      </c>
      <c r="F130" s="820">
        <v>0</v>
      </c>
      <c r="G130" s="549">
        <f t="shared" ref="G130:G140" si="15">F130-E130</f>
        <v>0</v>
      </c>
      <c r="H130" s="536">
        <f>G130+'28'!H130</f>
        <v>0</v>
      </c>
      <c r="I130" s="556"/>
      <c r="J130" s="629">
        <f>H130/DAY(B2)</f>
        <v>0</v>
      </c>
    </row>
    <row r="131" spans="1:12" ht="27.75">
      <c r="A131" s="1231" t="s">
        <v>251</v>
      </c>
      <c r="B131" s="1232"/>
      <c r="C131" s="1232"/>
      <c r="D131" s="599" t="s">
        <v>250</v>
      </c>
      <c r="E131" s="841">
        <f>'28'!F131</f>
        <v>0</v>
      </c>
      <c r="F131" s="820">
        <v>0</v>
      </c>
      <c r="G131" s="549">
        <f t="shared" si="15"/>
        <v>0</v>
      </c>
      <c r="H131" s="536">
        <f>G131+'28'!H131</f>
        <v>0</v>
      </c>
      <c r="I131" s="556"/>
      <c r="J131" s="629">
        <f>H131/DAY(B2)</f>
        <v>0</v>
      </c>
    </row>
    <row r="132" spans="1:12" ht="27.75">
      <c r="A132" s="1231" t="s">
        <v>252</v>
      </c>
      <c r="B132" s="1232"/>
      <c r="C132" s="1232"/>
      <c r="D132" s="599" t="s">
        <v>250</v>
      </c>
      <c r="E132" s="850">
        <f>'28'!F132</f>
        <v>39032.480000000003</v>
      </c>
      <c r="F132" s="836">
        <v>39056.54</v>
      </c>
      <c r="G132" s="549">
        <f t="shared" si="15"/>
        <v>24.059999999997672</v>
      </c>
      <c r="H132" s="536">
        <f>G132+'28'!H132</f>
        <v>338.14999999999418</v>
      </c>
      <c r="I132" s="556"/>
      <c r="J132" s="629">
        <f>H132/DAY(B2)</f>
        <v>11.660344827586005</v>
      </c>
    </row>
    <row r="133" spans="1:12" ht="27.75">
      <c r="A133" s="1231" t="s">
        <v>253</v>
      </c>
      <c r="B133" s="1232"/>
      <c r="C133" s="1232"/>
      <c r="D133" s="599" t="s">
        <v>250</v>
      </c>
      <c r="E133" s="850">
        <f>'28'!F133</f>
        <v>299</v>
      </c>
      <c r="F133" s="836">
        <v>299</v>
      </c>
      <c r="G133" s="549">
        <f t="shared" si="15"/>
        <v>0</v>
      </c>
      <c r="H133" s="536">
        <f>G133+'28'!H133</f>
        <v>0</v>
      </c>
      <c r="I133" s="556">
        <f>G130+G131+G132+G133</f>
        <v>24.059999999997672</v>
      </c>
      <c r="J133" s="629">
        <f>H133/DAY(B2)</f>
        <v>0</v>
      </c>
    </row>
    <row r="134" spans="1:12" ht="27.75">
      <c r="A134" s="1231" t="s">
        <v>254</v>
      </c>
      <c r="B134" s="1232"/>
      <c r="C134" s="1232"/>
      <c r="D134" s="599" t="s">
        <v>250</v>
      </c>
      <c r="E134" s="850">
        <f>'28'!F134</f>
        <v>39951</v>
      </c>
      <c r="F134" s="836">
        <v>39951</v>
      </c>
      <c r="G134" s="549">
        <f t="shared" si="15"/>
        <v>0</v>
      </c>
      <c r="H134" s="536">
        <f>G134+'28'!H134</f>
        <v>23.94999999999709</v>
      </c>
      <c r="I134" s="556"/>
      <c r="J134" s="629">
        <f>H134/DAY(B2)</f>
        <v>0.82586206896541692</v>
      </c>
    </row>
    <row r="135" spans="1:12" ht="27.75">
      <c r="A135" s="1231" t="s">
        <v>255</v>
      </c>
      <c r="B135" s="1232"/>
      <c r="C135" s="1232"/>
      <c r="D135" s="599" t="s">
        <v>250</v>
      </c>
      <c r="E135" s="846">
        <f>'28'!F135</f>
        <v>32423</v>
      </c>
      <c r="F135" s="823">
        <v>32423</v>
      </c>
      <c r="G135" s="549">
        <f t="shared" si="15"/>
        <v>0</v>
      </c>
      <c r="H135" s="536">
        <f>G135+'28'!H135</f>
        <v>13</v>
      </c>
      <c r="I135" s="556"/>
      <c r="J135" s="629">
        <f>H135/DAY(B2)</f>
        <v>0.44827586206896552</v>
      </c>
    </row>
    <row r="136" spans="1:12" ht="27.75">
      <c r="A136" s="1231" t="s">
        <v>256</v>
      </c>
      <c r="B136" s="1232"/>
      <c r="C136" s="1232"/>
      <c r="D136" s="599" t="s">
        <v>250</v>
      </c>
      <c r="E136" s="849">
        <f>'28'!F136</f>
        <v>21979.8</v>
      </c>
      <c r="F136" s="827">
        <v>21988.73</v>
      </c>
      <c r="G136" s="549">
        <f t="shared" si="15"/>
        <v>8.930000000000291</v>
      </c>
      <c r="H136" s="536">
        <f>G136+'28'!H136</f>
        <v>-13.229999999999563</v>
      </c>
      <c r="I136" s="556">
        <f>G134+G135+G136</f>
        <v>8.930000000000291</v>
      </c>
      <c r="J136" s="629">
        <f>H136/DAY(B2)</f>
        <v>-0.4562068965517091</v>
      </c>
    </row>
    <row r="137" spans="1:12" ht="27.75">
      <c r="A137" s="1231" t="s">
        <v>257</v>
      </c>
      <c r="B137" s="1232"/>
      <c r="C137" s="1232"/>
      <c r="D137" s="599" t="s">
        <v>250</v>
      </c>
      <c r="E137" s="849">
        <f>'28'!F137</f>
        <v>25019.94</v>
      </c>
      <c r="F137" s="827">
        <v>25019.94</v>
      </c>
      <c r="G137" s="549">
        <f t="shared" si="15"/>
        <v>0</v>
      </c>
      <c r="H137" s="536">
        <f>G137+'28'!H137</f>
        <v>8</v>
      </c>
      <c r="I137" s="556"/>
      <c r="J137" s="629">
        <f>H137/DAY(B2)</f>
        <v>0.27586206896551724</v>
      </c>
    </row>
    <row r="138" spans="1:12" ht="27.75">
      <c r="A138" s="1231" t="s">
        <v>258</v>
      </c>
      <c r="B138" s="1232"/>
      <c r="C138" s="1232"/>
      <c r="D138" s="599" t="s">
        <v>250</v>
      </c>
      <c r="E138" s="849">
        <f>'28'!F138</f>
        <v>70059.78</v>
      </c>
      <c r="F138" s="827">
        <v>70059.78</v>
      </c>
      <c r="G138" s="549">
        <f t="shared" si="15"/>
        <v>0</v>
      </c>
      <c r="H138" s="536">
        <f>G138+'28'!H138</f>
        <v>16.979999999995925</v>
      </c>
      <c r="I138" s="556">
        <f>G137+G138</f>
        <v>0</v>
      </c>
      <c r="J138" s="629">
        <f>H138/DAY(B2)</f>
        <v>0.58551724137916983</v>
      </c>
    </row>
    <row r="139" spans="1:12" ht="27.75">
      <c r="A139" s="1231" t="s">
        <v>259</v>
      </c>
      <c r="B139" s="1232"/>
      <c r="C139" s="1232"/>
      <c r="D139" s="599" t="s">
        <v>250</v>
      </c>
      <c r="E139" s="850">
        <f>'28'!F139</f>
        <v>1177.29</v>
      </c>
      <c r="F139" s="836">
        <v>1184.42</v>
      </c>
      <c r="G139" s="549">
        <f t="shared" si="15"/>
        <v>7.1300000000001091</v>
      </c>
      <c r="H139" s="536">
        <f>G139+'28'!H139</f>
        <v>-16.169999999999845</v>
      </c>
      <c r="I139" s="619"/>
      <c r="J139" s="629">
        <f>H139/DAY(B2)</f>
        <v>-0.55758620689654637</v>
      </c>
    </row>
    <row r="140" spans="1:12" ht="27.75">
      <c r="A140" s="1231" t="s">
        <v>260</v>
      </c>
      <c r="B140" s="1232"/>
      <c r="C140" s="1232"/>
      <c r="D140" s="599" t="s">
        <v>250</v>
      </c>
      <c r="E140" s="849">
        <f>'28'!F140</f>
        <v>4334</v>
      </c>
      <c r="F140" s="820">
        <v>4334</v>
      </c>
      <c r="G140" s="549">
        <f t="shared" si="15"/>
        <v>0</v>
      </c>
      <c r="H140" s="536">
        <f>G140+'28'!H140</f>
        <v>0</v>
      </c>
      <c r="I140" s="619"/>
      <c r="J140" s="629">
        <f>H140/DAY(B2)</f>
        <v>0</v>
      </c>
    </row>
    <row r="141" spans="1:12">
      <c r="A141" s="1412" t="s">
        <v>261</v>
      </c>
      <c r="B141" s="1413"/>
      <c r="C141" s="1237"/>
      <c r="D141" s="548"/>
      <c r="E141" s="821"/>
      <c r="F141" s="821"/>
      <c r="G141" s="559"/>
      <c r="H141" s="559"/>
      <c r="I141" s="559"/>
      <c r="J141" s="640"/>
      <c r="K141" s="411"/>
      <c r="L141" s="408"/>
    </row>
    <row r="142" spans="1:12" ht="27.75">
      <c r="A142" s="1406" t="s">
        <v>262</v>
      </c>
      <c r="B142" s="1407"/>
      <c r="C142" s="1408"/>
      <c r="D142" s="599" t="s">
        <v>143</v>
      </c>
      <c r="E142" s="536"/>
      <c r="F142" s="536"/>
      <c r="G142" s="536">
        <f>G35+G43+G49+G57</f>
        <v>5385.179999999993</v>
      </c>
      <c r="H142" s="536">
        <f>G142+'28'!H142</f>
        <v>-12259.890000000014</v>
      </c>
      <c r="I142" s="556"/>
      <c r="J142" s="629">
        <f>H142/DAY(B2)</f>
        <v>-422.7548275862074</v>
      </c>
      <c r="K142" s="411"/>
      <c r="L142" s="408"/>
    </row>
    <row r="143" spans="1:12" ht="27.75">
      <c r="A143" s="1406" t="s">
        <v>263</v>
      </c>
      <c r="B143" s="1407"/>
      <c r="C143" s="1408"/>
      <c r="D143" s="599" t="s">
        <v>24</v>
      </c>
      <c r="E143" s="546"/>
      <c r="F143" s="546"/>
      <c r="G143" s="620">
        <f>G142/G7</f>
        <v>0.28724023895882189</v>
      </c>
      <c r="H143" s="536">
        <f>G143+'28'!H143</f>
        <v>7.5123630203350169</v>
      </c>
      <c r="I143" s="621"/>
      <c r="J143" s="629">
        <f>H143/DAY(B2)</f>
        <v>0.25904700070120745</v>
      </c>
      <c r="K143" s="411"/>
      <c r="L143" s="408"/>
    </row>
    <row r="144" spans="1:12" ht="27.75">
      <c r="A144" s="1406" t="s">
        <v>264</v>
      </c>
      <c r="B144" s="1407"/>
      <c r="C144" s="1408"/>
      <c r="D144" s="599" t="s">
        <v>143</v>
      </c>
      <c r="E144" s="536"/>
      <c r="F144" s="536"/>
      <c r="G144" s="536">
        <f>G41+G42+G55+G56</f>
        <v>3422.4400000000023</v>
      </c>
      <c r="H144" s="536">
        <f>G144+'28'!H144</f>
        <v>56477.989999999962</v>
      </c>
      <c r="I144" s="556"/>
      <c r="J144" s="629">
        <f>H144/DAY(B2)</f>
        <v>1947.5168965517228</v>
      </c>
      <c r="K144" s="411"/>
      <c r="L144" s="408"/>
    </row>
    <row r="145" spans="1:12" ht="27.75">
      <c r="A145" s="1406" t="s">
        <v>265</v>
      </c>
      <c r="B145" s="1407"/>
      <c r="C145" s="1408"/>
      <c r="D145" s="599" t="s">
        <v>24</v>
      </c>
      <c r="E145" s="536"/>
      <c r="F145" s="536"/>
      <c r="G145" s="620">
        <f>G144/G7</f>
        <v>0.18254960529123118</v>
      </c>
      <c r="H145" s="536">
        <f>G145+'28'!H145</f>
        <v>6.0911467210804471</v>
      </c>
      <c r="I145" s="621"/>
      <c r="J145" s="629">
        <f>H145/DAY(B2)</f>
        <v>0.2100395421062223</v>
      </c>
      <c r="K145" s="411"/>
      <c r="L145" s="408"/>
    </row>
    <row r="146" spans="1:12" ht="27.75">
      <c r="A146" s="1406" t="s">
        <v>266</v>
      </c>
      <c r="B146" s="1407"/>
      <c r="C146" s="1408"/>
      <c r="D146" s="599" t="s">
        <v>143</v>
      </c>
      <c r="E146" s="536"/>
      <c r="F146" s="536"/>
      <c r="G146" s="536">
        <f>G39+G53</f>
        <v>4185.9699999999721</v>
      </c>
      <c r="H146" s="536">
        <f>G146+'28'!H146</f>
        <v>904114.7</v>
      </c>
      <c r="I146" s="622"/>
      <c r="J146" s="629">
        <f>H146/DAY(B2)</f>
        <v>31176.368965517238</v>
      </c>
      <c r="K146" s="411"/>
      <c r="L146" s="408"/>
    </row>
    <row r="147" spans="1:12" ht="27.75">
      <c r="A147" s="1406" t="s">
        <v>267</v>
      </c>
      <c r="B147" s="1407"/>
      <c r="C147" s="1408"/>
      <c r="D147" s="599" t="s">
        <v>24</v>
      </c>
      <c r="E147" s="536"/>
      <c r="F147" s="536"/>
      <c r="G147" s="620">
        <f>G146/G7</f>
        <v>0.22327554939193364</v>
      </c>
      <c r="H147" s="536">
        <f>G147+'28'!H147</f>
        <v>4.7574037191729852</v>
      </c>
      <c r="I147" s="622"/>
      <c r="J147" s="629">
        <f>H147/DAY(B2)</f>
        <v>0.16404840410941329</v>
      </c>
    </row>
    <row r="148" spans="1:12" ht="27.75">
      <c r="A148" s="1406" t="s">
        <v>268</v>
      </c>
      <c r="B148" s="1407"/>
      <c r="C148" s="1408"/>
      <c r="D148" s="599" t="s">
        <v>194</v>
      </c>
      <c r="E148" s="536"/>
      <c r="F148" s="536"/>
      <c r="G148" s="536">
        <f>G38+G52</f>
        <v>1955</v>
      </c>
      <c r="H148" s="536">
        <f>G148+'28'!H148</f>
        <v>146609.45000000001</v>
      </c>
      <c r="I148" s="556"/>
      <c r="J148" s="629">
        <f>H148/DAY(B2)</f>
        <v>5055.498275862069</v>
      </c>
      <c r="K148" s="412"/>
    </row>
    <row r="149" spans="1:12" ht="27.75">
      <c r="A149" s="1406" t="s">
        <v>269</v>
      </c>
      <c r="B149" s="1407"/>
      <c r="C149" s="1408"/>
      <c r="D149" s="599" t="s">
        <v>24</v>
      </c>
      <c r="E149" s="536"/>
      <c r="F149" s="536"/>
      <c r="G149" s="620">
        <f>G148/G7</f>
        <v>0.10427778963089396</v>
      </c>
      <c r="H149" s="536">
        <f>G149+'28'!H149</f>
        <v>2.7272034469622461</v>
      </c>
      <c r="I149" s="622"/>
      <c r="J149" s="629">
        <f>H149/DAY(B2)</f>
        <v>9.4041498171111931E-2</v>
      </c>
    </row>
    <row r="150" spans="1:12" ht="27.75">
      <c r="A150" s="1406" t="s">
        <v>270</v>
      </c>
      <c r="B150" s="1407"/>
      <c r="C150" s="1408"/>
      <c r="D150" s="599" t="s">
        <v>194</v>
      </c>
      <c r="E150" s="536"/>
      <c r="F150" s="536"/>
      <c r="G150" s="536">
        <f>G36+G50</f>
        <v>1695.6999999999534</v>
      </c>
      <c r="H150" s="536">
        <f>G150+'28'!H150</f>
        <v>-3255.0600000000559</v>
      </c>
      <c r="I150" s="622"/>
      <c r="J150" s="629">
        <f>H150/DAY(B2)</f>
        <v>-112.243448275864</v>
      </c>
    </row>
    <row r="151" spans="1:12" ht="27.75">
      <c r="A151" s="1406" t="s">
        <v>271</v>
      </c>
      <c r="B151" s="1407"/>
      <c r="C151" s="1408"/>
      <c r="D151" s="599" t="s">
        <v>24</v>
      </c>
      <c r="E151" s="536"/>
      <c r="F151" s="536"/>
      <c r="G151" s="620">
        <f>G150/G7</f>
        <v>9.0446981011305383E-2</v>
      </c>
      <c r="H151" s="536">
        <f>G151+'28'!H151</f>
        <v>2.8059855979289119</v>
      </c>
      <c r="I151" s="556"/>
      <c r="J151" s="629">
        <f>H151/DAY(B2)</f>
        <v>9.6758124066514198E-2</v>
      </c>
    </row>
    <row r="152" spans="1:12" ht="27.75">
      <c r="A152" s="1406" t="s">
        <v>272</v>
      </c>
      <c r="B152" s="1407"/>
      <c r="C152" s="1408"/>
      <c r="D152" s="599" t="s">
        <v>194</v>
      </c>
      <c r="E152" s="536"/>
      <c r="F152" s="536"/>
      <c r="G152" s="536">
        <f>G37+G51</f>
        <v>1563</v>
      </c>
      <c r="H152" s="536">
        <f>G152+'28'!H152</f>
        <v>412001.25999999995</v>
      </c>
      <c r="I152" s="556"/>
      <c r="J152" s="629">
        <f>H152/DAY(B2)</f>
        <v>14206.939999999999</v>
      </c>
    </row>
    <row r="153" spans="1:12" ht="28.5" thickBot="1">
      <c r="A153" s="1409" t="s">
        <v>273</v>
      </c>
      <c r="B153" s="1410"/>
      <c r="C153" s="1411"/>
      <c r="D153" s="702" t="s">
        <v>24</v>
      </c>
      <c r="E153" s="644"/>
      <c r="F153" s="644"/>
      <c r="G153" s="643">
        <f>G152/G7</f>
        <v>8.3368892681886062E-2</v>
      </c>
      <c r="H153" s="536">
        <f>G153+'28'!H153</f>
        <v>1.5378763118652969</v>
      </c>
      <c r="I153" s="645"/>
      <c r="J153" s="646">
        <f>H153/DAY(B2)</f>
        <v>5.3030217650527484E-2</v>
      </c>
    </row>
    <row r="154" spans="1:12">
      <c r="A154" s="542"/>
      <c r="B154" s="532"/>
      <c r="C154" s="532"/>
      <c r="D154" s="623"/>
      <c r="E154" s="625"/>
      <c r="F154" s="837"/>
      <c r="G154" s="623"/>
      <c r="H154" s="624"/>
      <c r="I154" s="623"/>
      <c r="J154" s="625"/>
    </row>
    <row r="160" spans="1:12">
      <c r="A160" s="878" t="s">
        <v>274</v>
      </c>
      <c r="B160" s="879"/>
      <c r="C160" s="879"/>
      <c r="D160" s="697" t="s">
        <v>198</v>
      </c>
      <c r="E160" s="846">
        <f>'28'!F160</f>
        <v>28185.9</v>
      </c>
      <c r="F160" s="887">
        <v>28266.89</v>
      </c>
      <c r="G160" s="549">
        <f t="shared" ref="G160:G163" si="16">F160-E160</f>
        <v>80.989999999997963</v>
      </c>
    </row>
    <row r="161" spans="1:7">
      <c r="A161" s="878" t="s">
        <v>275</v>
      </c>
      <c r="B161" s="879"/>
      <c r="C161" s="879"/>
      <c r="D161" s="697" t="s">
        <v>198</v>
      </c>
      <c r="E161" s="846">
        <f>'28'!F161</f>
        <v>41255.49</v>
      </c>
      <c r="F161" s="887">
        <v>41680.800000000003</v>
      </c>
      <c r="G161" s="549">
        <f t="shared" si="16"/>
        <v>425.31000000000495</v>
      </c>
    </row>
    <row r="162" spans="1:7">
      <c r="A162" s="878" t="s">
        <v>276</v>
      </c>
      <c r="B162" s="879"/>
      <c r="C162" s="879"/>
      <c r="D162" s="697" t="s">
        <v>198</v>
      </c>
      <c r="E162" s="846">
        <f>'28'!F162</f>
        <v>12092</v>
      </c>
      <c r="F162" s="887">
        <v>12319</v>
      </c>
      <c r="G162" s="549">
        <f t="shared" si="16"/>
        <v>227</v>
      </c>
    </row>
    <row r="163" spans="1:7">
      <c r="A163" s="878" t="s">
        <v>277</v>
      </c>
      <c r="B163" s="879"/>
      <c r="C163" s="879"/>
      <c r="D163" s="697" t="s">
        <v>198</v>
      </c>
      <c r="E163" s="846">
        <f>'28'!F163</f>
        <v>4939.6899999999996</v>
      </c>
      <c r="F163" s="887">
        <v>4960.6400000000003</v>
      </c>
      <c r="G163" s="549">
        <f t="shared" si="16"/>
        <v>20.950000000000728</v>
      </c>
    </row>
    <row r="164" spans="1:7">
      <c r="A164" s="880" t="s">
        <v>106</v>
      </c>
      <c r="B164" s="881"/>
      <c r="C164" s="881"/>
      <c r="D164" s="697" t="s">
        <v>198</v>
      </c>
      <c r="E164" s="590">
        <f>E62</f>
        <v>20419.187000000002</v>
      </c>
      <c r="F164" s="590">
        <f>F62</f>
        <v>20419.18</v>
      </c>
      <c r="G164" s="549">
        <f t="shared" ref="G164:G171" si="17">F164-E164</f>
        <v>-7.0000000014260877E-3</v>
      </c>
    </row>
    <row r="165" spans="1:7">
      <c r="A165" s="880" t="s">
        <v>199</v>
      </c>
      <c r="B165" s="881"/>
      <c r="C165" s="881"/>
      <c r="D165" s="697" t="s">
        <v>198</v>
      </c>
      <c r="E165" s="590">
        <f t="shared" ref="E165:E171" si="18">E63</f>
        <v>1293.6600000000001</v>
      </c>
      <c r="F165" s="590">
        <f t="shared" ref="F165:F171" si="19">F63</f>
        <v>1305.8900000000001</v>
      </c>
      <c r="G165" s="549">
        <f t="shared" si="17"/>
        <v>12.230000000000018</v>
      </c>
    </row>
    <row r="166" spans="1:7" ht="27.75">
      <c r="A166" s="1449" t="s">
        <v>107</v>
      </c>
      <c r="B166" s="1449"/>
      <c r="C166" s="1449"/>
      <c r="D166" s="600" t="s">
        <v>198</v>
      </c>
      <c r="E166" s="590">
        <f t="shared" si="18"/>
        <v>110016</v>
      </c>
      <c r="F166" s="590">
        <f t="shared" si="19"/>
        <v>110461.4</v>
      </c>
      <c r="G166" s="549">
        <f t="shared" si="17"/>
        <v>445.39999999999418</v>
      </c>
    </row>
    <row r="167" spans="1:7" ht="27.75">
      <c r="A167" s="1449" t="s">
        <v>108</v>
      </c>
      <c r="B167" s="1449"/>
      <c r="C167" s="1449"/>
      <c r="D167" s="600" t="s">
        <v>198</v>
      </c>
      <c r="E167" s="590">
        <f t="shared" si="18"/>
        <v>120566.18</v>
      </c>
      <c r="F167" s="590">
        <f t="shared" si="19"/>
        <v>120948.65</v>
      </c>
      <c r="G167" s="549">
        <f t="shared" si="17"/>
        <v>382.47000000000116</v>
      </c>
    </row>
    <row r="168" spans="1:7" ht="27.75">
      <c r="A168" s="1449" t="s">
        <v>109</v>
      </c>
      <c r="B168" s="1449"/>
      <c r="C168" s="1449"/>
      <c r="D168" s="600" t="s">
        <v>198</v>
      </c>
      <c r="E168" s="590">
        <f t="shared" si="18"/>
        <v>12904</v>
      </c>
      <c r="F168" s="590">
        <f t="shared" si="19"/>
        <v>13320.84</v>
      </c>
      <c r="G168" s="549">
        <f t="shared" si="17"/>
        <v>416.84000000000015</v>
      </c>
    </row>
    <row r="169" spans="1:7" ht="27.75">
      <c r="A169" s="1449" t="s">
        <v>110</v>
      </c>
      <c r="B169" s="1449"/>
      <c r="C169" s="1449"/>
      <c r="D169" s="600" t="s">
        <v>198</v>
      </c>
      <c r="E169" s="590">
        <f t="shared" si="18"/>
        <v>186593</v>
      </c>
      <c r="F169" s="590">
        <f t="shared" si="19"/>
        <v>187269.37</v>
      </c>
      <c r="G169" s="549">
        <f t="shared" si="17"/>
        <v>676.36999999999534</v>
      </c>
    </row>
    <row r="170" spans="1:7" ht="27.75">
      <c r="A170" s="1449" t="s">
        <v>111</v>
      </c>
      <c r="B170" s="1449"/>
      <c r="C170" s="1449"/>
      <c r="D170" s="600" t="s">
        <v>198</v>
      </c>
      <c r="E170" s="590">
        <f t="shared" si="18"/>
        <v>62358</v>
      </c>
      <c r="F170" s="590">
        <f t="shared" si="19"/>
        <v>62687.79</v>
      </c>
      <c r="G170" s="549">
        <f t="shared" si="17"/>
        <v>329.79000000000087</v>
      </c>
    </row>
    <row r="171" spans="1:7" ht="27.75">
      <c r="A171" s="1449" t="s">
        <v>112</v>
      </c>
      <c r="B171" s="1449"/>
      <c r="C171" s="1449"/>
      <c r="D171" s="600" t="s">
        <v>198</v>
      </c>
      <c r="E171" s="590">
        <f t="shared" si="18"/>
        <v>54778</v>
      </c>
      <c r="F171" s="590">
        <f t="shared" si="19"/>
        <v>55093</v>
      </c>
      <c r="G171" s="549">
        <f t="shared" si="17"/>
        <v>315</v>
      </c>
    </row>
    <row r="172" spans="1:7">
      <c r="A172" s="882"/>
      <c r="B172" s="883"/>
      <c r="C172" s="883"/>
      <c r="D172" s="884"/>
      <c r="E172" s="886"/>
      <c r="F172" s="1116"/>
      <c r="G172" s="886">
        <f>SUM(G160:G171)</f>
        <v>3332.3429999999939</v>
      </c>
    </row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4:C94"/>
    <mergeCell ref="A95:C95"/>
    <mergeCell ref="A82:C82"/>
    <mergeCell ref="A83:C83"/>
    <mergeCell ref="A92:C92"/>
    <mergeCell ref="A93:C93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1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2"/>
  <sheetViews>
    <sheetView view="pageBreakPreview" zoomScale="60" zoomScaleNormal="55" workbookViewId="0">
      <selection activeCell="F28" sqref="F28"/>
    </sheetView>
  </sheetViews>
  <sheetFormatPr defaultColWidth="22.33203125" defaultRowHeight="21.95" customHeight="1"/>
  <cols>
    <col min="1" max="1" width="51.21875" style="530" customWidth="1"/>
    <col min="2" max="2" width="24.88671875" style="533" customWidth="1"/>
    <col min="3" max="3" width="15.88671875" style="533" customWidth="1"/>
    <col min="4" max="4" width="13.6640625" style="614" customWidth="1"/>
    <col min="5" max="5" width="32.109375" style="614" customWidth="1"/>
    <col min="6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2.33203125" style="407"/>
    <col min="15" max="15" width="22.33203125" style="408"/>
    <col min="16" max="16384" width="22.33203125" style="407"/>
  </cols>
  <sheetData>
    <row r="1" spans="1:15" ht="33.75">
      <c r="A1" s="1414" t="s">
        <v>128</v>
      </c>
      <c r="B1" s="1415"/>
      <c r="C1" s="1415"/>
      <c r="D1" s="1415"/>
      <c r="E1" s="1415"/>
      <c r="F1" s="1415"/>
      <c r="G1" s="1415"/>
      <c r="H1" s="1415"/>
      <c r="I1" s="1415"/>
      <c r="J1" s="1416"/>
    </row>
    <row r="2" spans="1:15" s="281" customFormat="1" ht="27">
      <c r="A2" s="652" t="s">
        <v>320</v>
      </c>
      <c r="B2" s="1201">
        <v>43860</v>
      </c>
      <c r="C2" s="1233" t="s">
        <v>69</v>
      </c>
      <c r="D2" s="688">
        <v>0.83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  <c r="O2" s="293"/>
    </row>
    <row r="3" spans="1:15" s="281" customFormat="1" ht="27">
      <c r="A3" s="647"/>
      <c r="B3" s="691"/>
      <c r="C3" s="1233" t="s">
        <v>131</v>
      </c>
      <c r="D3" s="689">
        <v>24</v>
      </c>
      <c r="E3" s="1579" t="s">
        <v>132</v>
      </c>
      <c r="F3" s="1579"/>
      <c r="G3" s="538"/>
      <c r="H3" s="539"/>
      <c r="I3" s="539"/>
      <c r="J3" s="692"/>
      <c r="K3" s="402"/>
      <c r="L3" s="293"/>
      <c r="O3" s="1108"/>
    </row>
    <row r="4" spans="1:15" s="281" customFormat="1" ht="27">
      <c r="A4" s="653"/>
      <c r="B4" s="693"/>
      <c r="C4" s="1233" t="s">
        <v>133</v>
      </c>
      <c r="D4" s="688">
        <v>0.8</v>
      </c>
      <c r="E4" s="540"/>
      <c r="F4" s="540"/>
      <c r="G4" s="540"/>
      <c r="H4" s="540"/>
      <c r="I4" s="541"/>
      <c r="J4" s="692"/>
      <c r="K4" s="403"/>
      <c r="L4" s="293"/>
      <c r="O4" s="293"/>
    </row>
    <row r="5" spans="1:15" ht="21.95" customHeight="1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5" ht="21.95" customHeight="1">
      <c r="A6" s="1580" t="s">
        <v>141</v>
      </c>
      <c r="B6" s="1581"/>
      <c r="C6" s="1581"/>
      <c r="D6" s="547"/>
      <c r="E6" s="547"/>
      <c r="F6" s="547"/>
      <c r="G6" s="547"/>
      <c r="H6" s="548"/>
      <c r="I6" s="548"/>
      <c r="J6" s="628"/>
      <c r="K6" s="466"/>
      <c r="L6" s="408"/>
      <c r="O6" s="1109"/>
    </row>
    <row r="7" spans="1:15" ht="21.95" customHeight="1" thickBot="1">
      <c r="A7" s="655" t="s">
        <v>142</v>
      </c>
      <c r="B7" s="656"/>
      <c r="C7" s="656"/>
      <c r="D7" s="599" t="s">
        <v>143</v>
      </c>
      <c r="E7" s="531">
        <f>'29'!F7</f>
        <v>3850820</v>
      </c>
      <c r="F7" s="531">
        <v>3869737</v>
      </c>
      <c r="G7" s="856">
        <f>F7-E7</f>
        <v>18917</v>
      </c>
      <c r="H7" s="536">
        <f>G7+'29'!H7</f>
        <v>-18461</v>
      </c>
      <c r="I7" s="550">
        <f>'1'!I7</f>
        <v>12000</v>
      </c>
      <c r="J7" s="629">
        <f>H7/DAY(B2)</f>
        <v>-615.36666666666667</v>
      </c>
      <c r="K7" s="626">
        <v>1375467</v>
      </c>
      <c r="L7" s="408"/>
      <c r="N7" s="479">
        <f>F7-'1'!E7</f>
        <v>-18461</v>
      </c>
      <c r="O7" s="889"/>
    </row>
    <row r="8" spans="1:15" ht="21.95" customHeight="1" thickBot="1">
      <c r="A8" s="657" t="s">
        <v>144</v>
      </c>
      <c r="B8" s="658"/>
      <c r="C8" s="659"/>
      <c r="D8" s="694" t="s">
        <v>25</v>
      </c>
      <c r="E8" s="551">
        <f>'29'!F8</f>
        <v>3875075</v>
      </c>
      <c r="F8" s="551">
        <v>3894198</v>
      </c>
      <c r="G8" s="552">
        <f>F8-E8</f>
        <v>19123</v>
      </c>
      <c r="H8" s="536">
        <f>G8+'29'!H8</f>
        <v>-18653</v>
      </c>
      <c r="I8" s="553"/>
      <c r="J8" s="629">
        <f>H8/DAY(B2)</f>
        <v>-621.76666666666665</v>
      </c>
      <c r="K8" s="626">
        <v>1715917</v>
      </c>
      <c r="L8" s="464">
        <v>1728480</v>
      </c>
      <c r="M8" s="479">
        <f>L8-K8</f>
        <v>12563</v>
      </c>
      <c r="N8" s="479">
        <f>F8-'1'!E8</f>
        <v>-18653</v>
      </c>
      <c r="O8" s="889"/>
    </row>
    <row r="9" spans="1:15" ht="21.95" customHeight="1">
      <c r="A9" s="660" t="s">
        <v>145</v>
      </c>
      <c r="B9" s="661"/>
      <c r="C9" s="661"/>
      <c r="D9" s="599" t="s">
        <v>143</v>
      </c>
      <c r="E9" s="531">
        <f>'29'!F9</f>
        <v>2522775</v>
      </c>
      <c r="F9" s="554">
        <v>2529196</v>
      </c>
      <c r="G9" s="549">
        <f t="shared" ref="G9:G12" si="0">F9-E9</f>
        <v>6421</v>
      </c>
      <c r="H9" s="536">
        <f>G9+'29'!H9</f>
        <v>2566308.25</v>
      </c>
      <c r="I9" s="555">
        <f>I7-J7</f>
        <v>12615.366666666667</v>
      </c>
      <c r="J9" s="629">
        <f>H9/DAY(B2)</f>
        <v>85543.608333333337</v>
      </c>
      <c r="K9" s="467">
        <f>K8-100</f>
        <v>1715817</v>
      </c>
      <c r="L9" s="408"/>
      <c r="N9" s="479">
        <f>F9-'1'!E9</f>
        <v>-5932.5</v>
      </c>
      <c r="O9" s="889"/>
    </row>
    <row r="10" spans="1:15" ht="21.95" customHeight="1">
      <c r="A10" s="655" t="s">
        <v>146</v>
      </c>
      <c r="B10" s="656"/>
      <c r="C10" s="656"/>
      <c r="D10" s="599" t="s">
        <v>143</v>
      </c>
      <c r="E10" s="531">
        <f>'29'!F10</f>
        <v>1177122</v>
      </c>
      <c r="F10" s="554">
        <v>1188972.8999999999</v>
      </c>
      <c r="G10" s="549">
        <f t="shared" si="0"/>
        <v>11850.899999999907</v>
      </c>
      <c r="H10" s="536">
        <f>G10+'29'!H10</f>
        <v>-11901.5</v>
      </c>
      <c r="I10" s="556"/>
      <c r="J10" s="629">
        <f>H10/DAY(B2)</f>
        <v>-396.71666666666664</v>
      </c>
      <c r="K10" s="467"/>
      <c r="L10" s="408"/>
      <c r="N10" s="479">
        <f>F10-'1'!E10</f>
        <v>-11901.5</v>
      </c>
      <c r="O10" s="889"/>
    </row>
    <row r="11" spans="1:15" ht="21.95" customHeight="1">
      <c r="A11" s="655" t="s">
        <v>147</v>
      </c>
      <c r="B11" s="656"/>
      <c r="C11" s="656"/>
      <c r="D11" s="599" t="s">
        <v>143</v>
      </c>
      <c r="E11" s="531">
        <f>'29'!F11</f>
        <v>35390</v>
      </c>
      <c r="F11" s="531">
        <v>35390</v>
      </c>
      <c r="G11" s="549">
        <f t="shared" si="0"/>
        <v>0</v>
      </c>
      <c r="H11" s="536">
        <f>G11+'29'!H11</f>
        <v>0</v>
      </c>
      <c r="I11" s="556"/>
      <c r="J11" s="629">
        <f>H11/DAY(B2)</f>
        <v>0</v>
      </c>
      <c r="K11" s="467"/>
      <c r="L11" s="408"/>
      <c r="N11" s="479">
        <f>F11-'1'!E11</f>
        <v>0</v>
      </c>
      <c r="O11" s="889"/>
    </row>
    <row r="12" spans="1:15" ht="21.95" customHeight="1">
      <c r="A12" s="655" t="s">
        <v>148</v>
      </c>
      <c r="B12" s="656"/>
      <c r="C12" s="656"/>
      <c r="D12" s="599" t="s">
        <v>143</v>
      </c>
      <c r="E12" s="531">
        <f>'29'!F12</f>
        <v>37630</v>
      </c>
      <c r="F12" s="554">
        <v>37630</v>
      </c>
      <c r="G12" s="549">
        <f t="shared" si="0"/>
        <v>0</v>
      </c>
      <c r="H12" s="536">
        <f>G12+'29'!H12</f>
        <v>0</v>
      </c>
      <c r="I12" s="556"/>
      <c r="J12" s="629">
        <f>H12/DAY(B2)</f>
        <v>0</v>
      </c>
      <c r="K12" s="467"/>
      <c r="L12" s="408"/>
      <c r="N12" s="479">
        <f>F12-'1'!E12</f>
        <v>0</v>
      </c>
      <c r="O12" s="889"/>
    </row>
    <row r="13" spans="1:15" ht="21.95" customHeight="1">
      <c r="A13" s="662" t="s">
        <v>149</v>
      </c>
      <c r="B13" s="663"/>
      <c r="C13" s="663"/>
      <c r="D13" s="599"/>
      <c r="E13" s="531"/>
      <c r="F13" s="531"/>
      <c r="G13" s="557">
        <f>G9+G10+G11+G12</f>
        <v>18271.899999999907</v>
      </c>
      <c r="H13" s="536">
        <f>G13+'29'!H13</f>
        <v>2536100.7500000005</v>
      </c>
      <c r="I13" s="558">
        <f>G7-G13</f>
        <v>645.10000000009313</v>
      </c>
      <c r="J13" s="629">
        <f>H13/DAY(B2)</f>
        <v>84536.69166666668</v>
      </c>
      <c r="K13" s="467"/>
      <c r="L13" s="408"/>
      <c r="N13" s="479">
        <f>F13-'1'!E13</f>
        <v>0</v>
      </c>
      <c r="O13" s="889"/>
    </row>
    <row r="14" spans="1:15" ht="29.25">
      <c r="A14" s="1582" t="s">
        <v>150</v>
      </c>
      <c r="B14" s="1583"/>
      <c r="C14" s="1583"/>
      <c r="D14" s="548"/>
      <c r="E14" s="548"/>
      <c r="F14" s="548"/>
      <c r="G14" s="559"/>
      <c r="H14" s="548"/>
      <c r="I14" s="548"/>
      <c r="J14" s="628"/>
      <c r="K14" s="468"/>
      <c r="L14" s="408"/>
      <c r="N14" s="479">
        <f>F14-'1'!E14</f>
        <v>0</v>
      </c>
      <c r="O14" s="889"/>
    </row>
    <row r="15" spans="1:15" ht="21.95" customHeight="1">
      <c r="A15" s="1231" t="s">
        <v>151</v>
      </c>
      <c r="B15" s="666"/>
      <c r="C15" s="666"/>
      <c r="D15" s="599" t="s">
        <v>152</v>
      </c>
      <c r="E15" s="531">
        <f>'29'!F15</f>
        <v>1592900.97</v>
      </c>
      <c r="F15" s="560">
        <v>1593568.73</v>
      </c>
      <c r="G15" s="856">
        <f>(F15-E15)</f>
        <v>667.76000000000931</v>
      </c>
      <c r="H15" s="536">
        <f>G15+'29'!H15</f>
        <v>-868.41999999992549</v>
      </c>
      <c r="I15" s="550">
        <f>'1'!I15</f>
        <v>800</v>
      </c>
      <c r="J15" s="629">
        <f>H15/DAY(B2)</f>
        <v>-28.94733333333085</v>
      </c>
      <c r="K15" s="467"/>
      <c r="L15" s="408"/>
      <c r="N15" s="479">
        <f>F15-'1'!E15</f>
        <v>-868.41999999992549</v>
      </c>
      <c r="O15" s="889"/>
    </row>
    <row r="16" spans="1:15" ht="21.95" customHeight="1">
      <c r="A16" s="664"/>
      <c r="B16" s="665"/>
      <c r="C16" s="665"/>
      <c r="D16" s="600"/>
      <c r="E16" s="561"/>
      <c r="F16" s="561"/>
      <c r="G16" s="549"/>
      <c r="H16" s="562"/>
      <c r="I16" s="563">
        <f>I15-J15</f>
        <v>828.9473333333309</v>
      </c>
      <c r="J16" s="630"/>
      <c r="K16" s="467"/>
      <c r="L16" s="408"/>
      <c r="N16" s="479">
        <f>F16-'1'!E16</f>
        <v>0</v>
      </c>
      <c r="O16" s="889"/>
    </row>
    <row r="17" spans="1:15" ht="29.25">
      <c r="A17" s="1582" t="s">
        <v>153</v>
      </c>
      <c r="B17" s="1583"/>
      <c r="C17" s="1583"/>
      <c r="D17" s="548"/>
      <c r="E17" s="548"/>
      <c r="F17" s="548"/>
      <c r="G17" s="564"/>
      <c r="H17" s="548"/>
      <c r="I17" s="548"/>
      <c r="J17" s="628"/>
      <c r="K17" s="467"/>
      <c r="L17" s="408"/>
      <c r="N17" s="479">
        <f>F17-'1'!E17</f>
        <v>0</v>
      </c>
      <c r="O17" s="889"/>
    </row>
    <row r="18" spans="1:15" ht="27.75">
      <c r="A18" s="1577" t="s">
        <v>154</v>
      </c>
      <c r="B18" s="1578"/>
      <c r="C18" s="1578"/>
      <c r="D18" s="599" t="s">
        <v>155</v>
      </c>
      <c r="E18" s="531">
        <f>'29'!F18</f>
        <v>10</v>
      </c>
      <c r="F18" s="560">
        <v>12</v>
      </c>
      <c r="G18" s="557">
        <f>F18*10</f>
        <v>120</v>
      </c>
      <c r="H18" s="536">
        <f>G18+'29'!H18</f>
        <v>4540</v>
      </c>
      <c r="I18" s="550">
        <f>'1'!I18</f>
        <v>65</v>
      </c>
      <c r="J18" s="629">
        <f>H18/DAY(B2)</f>
        <v>151.33333333333334</v>
      </c>
      <c r="K18" s="467"/>
      <c r="L18" s="408"/>
      <c r="N18" s="479">
        <f>F18-'1'!E18</f>
        <v>0</v>
      </c>
      <c r="O18" s="889"/>
    </row>
    <row r="19" spans="1:15" ht="27.75">
      <c r="A19" s="1577" t="s">
        <v>71</v>
      </c>
      <c r="B19" s="1578"/>
      <c r="C19" s="1578"/>
      <c r="D19" s="599" t="s">
        <v>155</v>
      </c>
      <c r="E19" s="531">
        <f>'29'!F19</f>
        <v>132943</v>
      </c>
      <c r="F19" s="560">
        <v>132994</v>
      </c>
      <c r="G19" s="549">
        <f t="shared" ref="G19" si="1">F19-E19</f>
        <v>51</v>
      </c>
      <c r="H19" s="536">
        <f>G19+'29'!H19</f>
        <v>-54</v>
      </c>
      <c r="I19" s="565"/>
      <c r="J19" s="629">
        <f>H19/DAY(B2)</f>
        <v>-1.8</v>
      </c>
      <c r="K19" s="467"/>
      <c r="L19" s="408"/>
      <c r="N19" s="479">
        <f>F19-'1'!E19</f>
        <v>-54</v>
      </c>
      <c r="O19" s="889"/>
    </row>
    <row r="20" spans="1:15" ht="21.95" customHeight="1">
      <c r="A20" s="662" t="s">
        <v>156</v>
      </c>
      <c r="B20" s="663"/>
      <c r="C20" s="663"/>
      <c r="D20" s="566"/>
      <c r="E20" s="566"/>
      <c r="F20" s="566"/>
      <c r="G20" s="1107">
        <f>G18+G19</f>
        <v>171</v>
      </c>
      <c r="H20" s="536">
        <f>G20+'29'!H20</f>
        <v>4486</v>
      </c>
      <c r="I20" s="568">
        <f>I18-J20</f>
        <v>-84.533333333333331</v>
      </c>
      <c r="J20" s="629">
        <f>H20/DAY(B2)</f>
        <v>149.53333333333333</v>
      </c>
      <c r="K20" s="467"/>
      <c r="L20" s="408"/>
      <c r="N20" s="479">
        <f>F20-'1'!E20</f>
        <v>0</v>
      </c>
      <c r="O20" s="889"/>
    </row>
    <row r="21" spans="1:15" ht="29.25">
      <c r="A21" s="1582" t="s">
        <v>157</v>
      </c>
      <c r="B21" s="1583"/>
      <c r="C21" s="1583"/>
      <c r="D21" s="548"/>
      <c r="E21" s="548"/>
      <c r="F21" s="548"/>
      <c r="G21" s="559"/>
      <c r="H21" s="548"/>
      <c r="I21" s="548"/>
      <c r="J21" s="628"/>
      <c r="K21" s="467"/>
      <c r="L21" s="408"/>
      <c r="N21" s="479">
        <f>F21-'1'!E21</f>
        <v>0</v>
      </c>
      <c r="O21" s="889"/>
    </row>
    <row r="22" spans="1:15" ht="21.95" customHeight="1">
      <c r="A22" s="1231" t="s">
        <v>158</v>
      </c>
      <c r="B22" s="666"/>
      <c r="C22" s="666"/>
      <c r="D22" s="599" t="s">
        <v>159</v>
      </c>
      <c r="E22" s="560">
        <v>2250</v>
      </c>
      <c r="F22" s="560">
        <v>2250</v>
      </c>
      <c r="G22" s="557">
        <f t="shared" ref="G22" si="2">(F22-E22)</f>
        <v>0</v>
      </c>
      <c r="H22" s="536">
        <f>G22+'29'!H22</f>
        <v>0</v>
      </c>
      <c r="I22" s="556"/>
      <c r="J22" s="629">
        <f>H22/DAY(B2)</f>
        <v>0</v>
      </c>
      <c r="K22" s="467"/>
      <c r="L22" s="408"/>
      <c r="N22" s="479">
        <f>F22-'1'!E22</f>
        <v>0</v>
      </c>
      <c r="O22" s="889"/>
    </row>
    <row r="23" spans="1:15" ht="21.95" customHeight="1">
      <c r="A23" s="1231" t="s">
        <v>160</v>
      </c>
      <c r="B23" s="666"/>
      <c r="C23" s="666"/>
      <c r="D23" s="599" t="s">
        <v>159</v>
      </c>
      <c r="E23" s="560">
        <v>2000</v>
      </c>
      <c r="F23" s="560">
        <v>2000</v>
      </c>
      <c r="G23" s="557">
        <v>0</v>
      </c>
      <c r="H23" s="536">
        <f>G23+'29'!H23</f>
        <v>0</v>
      </c>
      <c r="I23" s="556"/>
      <c r="J23" s="629">
        <f>H23/DAY(B2)</f>
        <v>0</v>
      </c>
      <c r="K23" s="467"/>
      <c r="L23" s="408"/>
      <c r="N23" s="479">
        <f>F23-'1'!E23</f>
        <v>0</v>
      </c>
      <c r="O23" s="889"/>
    </row>
    <row r="24" spans="1:15" ht="21.95" customHeight="1">
      <c r="A24" s="667" t="s">
        <v>161</v>
      </c>
      <c r="B24" s="668"/>
      <c r="C24" s="668"/>
      <c r="D24" s="587" t="s">
        <v>159</v>
      </c>
      <c r="E24" s="569">
        <v>4250</v>
      </c>
      <c r="F24" s="569">
        <v>4250</v>
      </c>
      <c r="G24" s="557">
        <v>0</v>
      </c>
      <c r="H24" s="536">
        <f>G24+'29'!H24</f>
        <v>0</v>
      </c>
      <c r="I24" s="556"/>
      <c r="J24" s="629">
        <f>H24/DAY(B2)</f>
        <v>0</v>
      </c>
      <c r="K24" s="467"/>
      <c r="L24" s="408"/>
      <c r="N24" s="479">
        <f>F24-'1'!E24</f>
        <v>0</v>
      </c>
      <c r="O24" s="889"/>
    </row>
    <row r="25" spans="1:15" s="481" customFormat="1" ht="27">
      <c r="A25" s="1425" t="s">
        <v>162</v>
      </c>
      <c r="B25" s="1426"/>
      <c r="C25" s="1427"/>
      <c r="D25" s="547"/>
      <c r="E25" s="547"/>
      <c r="F25" s="547"/>
      <c r="G25" s="570"/>
      <c r="H25" s="571"/>
      <c r="I25" s="572"/>
      <c r="J25" s="631"/>
      <c r="K25" s="404"/>
      <c r="L25" s="484"/>
      <c r="N25" s="479">
        <f>F25-'1'!E25</f>
        <v>0</v>
      </c>
      <c r="O25" s="889"/>
    </row>
    <row r="26" spans="1:15" s="481" customFormat="1" ht="27.75">
      <c r="A26" s="669" t="s">
        <v>163</v>
      </c>
      <c r="B26" s="670"/>
      <c r="C26" s="671"/>
      <c r="D26" s="695" t="s">
        <v>164</v>
      </c>
      <c r="E26" s="573"/>
      <c r="F26" s="573"/>
      <c r="G26" s="574"/>
      <c r="H26" s="536"/>
      <c r="I26" s="575"/>
      <c r="J26" s="629"/>
      <c r="K26" s="405"/>
      <c r="L26" s="484"/>
      <c r="N26" s="479">
        <f>F26-'1'!E26</f>
        <v>0</v>
      </c>
      <c r="O26" s="889"/>
    </row>
    <row r="27" spans="1:15" s="481" customFormat="1" ht="27.75">
      <c r="A27" s="669" t="s">
        <v>6</v>
      </c>
      <c r="B27" s="670"/>
      <c r="C27" s="671"/>
      <c r="D27" s="696" t="s">
        <v>25</v>
      </c>
      <c r="E27" s="576">
        <f>G8</f>
        <v>19123</v>
      </c>
      <c r="F27" s="577">
        <v>9</v>
      </c>
      <c r="G27" s="1110">
        <f>E27*F27</f>
        <v>172107</v>
      </c>
      <c r="H27" s="536">
        <f>G27+'29'!H27</f>
        <v>-167877</v>
      </c>
      <c r="I27" s="579"/>
      <c r="J27" s="629">
        <f>H27/DAY(B2)</f>
        <v>-5595.9</v>
      </c>
      <c r="K27" s="404"/>
      <c r="L27" s="484"/>
      <c r="N27" s="479"/>
      <c r="O27" s="889"/>
    </row>
    <row r="28" spans="1:15" s="481" customFormat="1" ht="27.75">
      <c r="A28" s="669" t="s">
        <v>165</v>
      </c>
      <c r="B28" s="670"/>
      <c r="C28" s="671"/>
      <c r="D28" s="696" t="s">
        <v>166</v>
      </c>
      <c r="E28" s="580">
        <f>G15</f>
        <v>667.76000000000931</v>
      </c>
      <c r="F28" s="577">
        <v>43.5</v>
      </c>
      <c r="G28" s="1110">
        <f>E28*F28</f>
        <v>29047.560000000405</v>
      </c>
      <c r="H28" s="536">
        <f>G28+'29'!H28</f>
        <v>-37776.269999996759</v>
      </c>
      <c r="I28" s="581"/>
      <c r="J28" s="629">
        <f>H28/DAY(B2)</f>
        <v>-1259.2089999998921</v>
      </c>
      <c r="K28" s="404"/>
      <c r="L28" s="484"/>
      <c r="N28" s="479"/>
      <c r="O28" s="889"/>
    </row>
    <row r="29" spans="1:15" s="481" customFormat="1" ht="27.75">
      <c r="A29" s="669" t="s">
        <v>167</v>
      </c>
      <c r="B29" s="670"/>
      <c r="C29" s="671"/>
      <c r="D29" s="696" t="s">
        <v>168</v>
      </c>
      <c r="E29" s="582">
        <f>G24</f>
        <v>0</v>
      </c>
      <c r="F29" s="577">
        <v>69</v>
      </c>
      <c r="G29" s="1110">
        <f>E29*F29</f>
        <v>0</v>
      </c>
      <c r="H29" s="536">
        <f>G29+'29'!H29</f>
        <v>162150</v>
      </c>
      <c r="I29" s="581"/>
      <c r="J29" s="629">
        <f>H29/DAY(B2)</f>
        <v>5405</v>
      </c>
      <c r="K29" s="404"/>
      <c r="L29" s="484"/>
      <c r="N29" s="479"/>
      <c r="O29" s="889"/>
    </row>
    <row r="30" spans="1:15" s="481" customFormat="1" ht="27.75">
      <c r="A30" s="669" t="s">
        <v>169</v>
      </c>
      <c r="B30" s="670"/>
      <c r="C30" s="671"/>
      <c r="D30" s="696" t="s">
        <v>170</v>
      </c>
      <c r="E30" s="582">
        <f>G19</f>
        <v>51</v>
      </c>
      <c r="F30" s="577">
        <v>134</v>
      </c>
      <c r="G30" s="1110">
        <f>E30*F30</f>
        <v>6834</v>
      </c>
      <c r="H30" s="536">
        <f>G30+'29'!H30</f>
        <v>-7236</v>
      </c>
      <c r="I30" s="581"/>
      <c r="J30" s="629">
        <f>H30/DAY(B2)</f>
        <v>-241.2</v>
      </c>
      <c r="K30" s="404"/>
      <c r="L30" s="484"/>
      <c r="N30" s="479"/>
      <c r="O30" s="889"/>
    </row>
    <row r="31" spans="1:15" s="481" customFormat="1" ht="27.75">
      <c r="A31" s="669" t="s">
        <v>171</v>
      </c>
      <c r="B31" s="670"/>
      <c r="C31" s="671"/>
      <c r="D31" s="696" t="s">
        <v>155</v>
      </c>
      <c r="E31" s="582">
        <f>G18</f>
        <v>120</v>
      </c>
      <c r="F31" s="577">
        <v>80</v>
      </c>
      <c r="G31" s="1110">
        <f>E31*F31</f>
        <v>9600</v>
      </c>
      <c r="H31" s="536">
        <f>G31+'29'!H31</f>
        <v>363200</v>
      </c>
      <c r="I31" s="581"/>
      <c r="J31" s="629"/>
      <c r="K31" s="404"/>
      <c r="L31" s="484"/>
      <c r="N31" s="479"/>
      <c r="O31" s="889"/>
    </row>
    <row r="32" spans="1:15" s="481" customFormat="1" ht="27.75">
      <c r="A32" s="672" t="s">
        <v>172</v>
      </c>
      <c r="B32" s="673"/>
      <c r="C32" s="674"/>
      <c r="D32" s="583"/>
      <c r="E32" s="583"/>
      <c r="F32" s="583"/>
      <c r="G32" s="584">
        <f>G27+G28+G29+G30+G31</f>
        <v>217588.56000000041</v>
      </c>
      <c r="H32" s="536">
        <f>G32+'29'!H32</f>
        <v>312460.73000000347</v>
      </c>
      <c r="I32" s="585"/>
      <c r="J32" s="629">
        <f>H32/DAY(B2)</f>
        <v>10415.357666666783</v>
      </c>
      <c r="K32" s="404"/>
      <c r="L32" s="484"/>
      <c r="N32" s="479"/>
      <c r="O32" s="889"/>
    </row>
    <row r="33" spans="1:15" ht="25.5">
      <c r="A33" s="1587" t="s">
        <v>173</v>
      </c>
      <c r="B33" s="1588"/>
      <c r="C33" s="1588"/>
      <c r="D33" s="1588"/>
      <c r="E33" s="1588"/>
      <c r="F33" s="1588"/>
      <c r="G33" s="1588"/>
      <c r="H33" s="1588"/>
      <c r="I33" s="1588"/>
      <c r="J33" s="1589"/>
      <c r="K33" s="467"/>
      <c r="L33" s="408"/>
      <c r="N33" s="479"/>
      <c r="O33" s="889"/>
    </row>
    <row r="34" spans="1:15" ht="21.95" customHeight="1">
      <c r="A34" s="675" t="s">
        <v>174</v>
      </c>
      <c r="B34" s="1236"/>
      <c r="C34" s="1236"/>
      <c r="D34" s="548"/>
      <c r="E34" s="547"/>
      <c r="F34" s="547"/>
      <c r="G34" s="548"/>
      <c r="H34" s="548"/>
      <c r="I34" s="548"/>
      <c r="J34" s="628"/>
      <c r="K34" s="467"/>
      <c r="L34" s="408"/>
      <c r="N34" s="479"/>
      <c r="O34" s="889"/>
    </row>
    <row r="35" spans="1:15" ht="21.95" customHeight="1">
      <c r="A35" s="655" t="s">
        <v>175</v>
      </c>
      <c r="B35" s="656"/>
      <c r="C35" s="656"/>
      <c r="D35" s="599" t="s">
        <v>143</v>
      </c>
      <c r="E35" s="531">
        <f>'29'!F35</f>
        <v>629028</v>
      </c>
      <c r="F35" s="586">
        <v>629028</v>
      </c>
      <c r="G35" s="549">
        <f t="shared" ref="G35:G46" si="3">F35-E35</f>
        <v>0</v>
      </c>
      <c r="H35" s="536">
        <f>G35+'29'!H35</f>
        <v>0.32999999995809048</v>
      </c>
      <c r="I35" s="531"/>
      <c r="J35" s="629">
        <f>H35/DAY(B2)</f>
        <v>1.0999999998603016E-2</v>
      </c>
      <c r="K35" s="467"/>
      <c r="L35" s="408"/>
      <c r="N35" s="479">
        <f>F35-'1'!E35</f>
        <v>0.32999999995809048</v>
      </c>
      <c r="O35" s="889"/>
    </row>
    <row r="36" spans="1:15" ht="21.95" customHeight="1">
      <c r="A36" s="655" t="s">
        <v>176</v>
      </c>
      <c r="B36" s="656"/>
      <c r="C36" s="656"/>
      <c r="D36" s="599" t="s">
        <v>143</v>
      </c>
      <c r="E36" s="531">
        <f>'29'!F36</f>
        <v>275372.73</v>
      </c>
      <c r="F36" s="586">
        <v>275959.93</v>
      </c>
      <c r="G36" s="549">
        <f t="shared" si="3"/>
        <v>587.20000000001164</v>
      </c>
      <c r="H36" s="536">
        <f>G36+'29'!H36</f>
        <v>-531.52000000001863</v>
      </c>
      <c r="I36" s="531"/>
      <c r="J36" s="629">
        <f>H36/DAY(B2)</f>
        <v>-17.717333333333954</v>
      </c>
      <c r="K36" s="467"/>
      <c r="L36" s="408"/>
      <c r="N36" s="479">
        <f>F36-'1'!E36</f>
        <v>-531.52000000001863</v>
      </c>
      <c r="O36" s="889"/>
    </row>
    <row r="37" spans="1:15" ht="21.95" customHeight="1">
      <c r="A37" s="655" t="s">
        <v>177</v>
      </c>
      <c r="B37" s="656"/>
      <c r="C37" s="656"/>
      <c r="D37" s="599" t="s">
        <v>143</v>
      </c>
      <c r="E37" s="531">
        <f>'29'!F37</f>
        <v>415066</v>
      </c>
      <c r="F37" s="586">
        <v>415066</v>
      </c>
      <c r="G37" s="549">
        <f t="shared" si="3"/>
        <v>0</v>
      </c>
      <c r="H37" s="536">
        <f>G37+'29'!H37</f>
        <v>415066</v>
      </c>
      <c r="I37" s="531"/>
      <c r="J37" s="629">
        <f>H37/DAY(B2)</f>
        <v>13835.533333333333</v>
      </c>
      <c r="K37" s="467"/>
      <c r="L37" s="408"/>
      <c r="N37" s="479">
        <f>F37-'1'!E37</f>
        <v>0</v>
      </c>
      <c r="O37" s="889"/>
    </row>
    <row r="38" spans="1:15" ht="21.95" customHeight="1">
      <c r="A38" s="655" t="s">
        <v>178</v>
      </c>
      <c r="B38" s="656"/>
      <c r="C38" s="656"/>
      <c r="D38" s="599" t="s">
        <v>143</v>
      </c>
      <c r="E38" s="531">
        <f>'29'!F38</f>
        <v>150714</v>
      </c>
      <c r="F38" s="545">
        <v>150714</v>
      </c>
      <c r="G38" s="549">
        <f t="shared" si="3"/>
        <v>0</v>
      </c>
      <c r="H38" s="536">
        <f>G38+'29'!H38</f>
        <v>150616.12</v>
      </c>
      <c r="I38" s="531"/>
      <c r="J38" s="629">
        <f>H38/DAY(B2)</f>
        <v>5020.5373333333328</v>
      </c>
      <c r="K38" s="467"/>
      <c r="L38" s="408"/>
      <c r="N38" s="479"/>
      <c r="O38" s="889"/>
    </row>
    <row r="39" spans="1:15" ht="21.95" customHeight="1">
      <c r="A39" s="655" t="s">
        <v>179</v>
      </c>
      <c r="B39" s="656"/>
      <c r="C39" s="656"/>
      <c r="D39" s="599" t="s">
        <v>143</v>
      </c>
      <c r="E39" s="531">
        <f>'29'!F39</f>
        <v>912480</v>
      </c>
      <c r="F39" s="586">
        <v>912480</v>
      </c>
      <c r="G39" s="549">
        <f t="shared" si="3"/>
        <v>0</v>
      </c>
      <c r="H39" s="536">
        <f>G39+'29'!H39</f>
        <v>912480</v>
      </c>
      <c r="I39" s="531"/>
      <c r="J39" s="629">
        <f>H39/DAY(B2)</f>
        <v>30416</v>
      </c>
      <c r="K39" s="467"/>
      <c r="L39" s="408"/>
      <c r="N39" s="479">
        <f>F39-'1'!E39</f>
        <v>0</v>
      </c>
      <c r="O39" s="889"/>
    </row>
    <row r="40" spans="1:15" ht="21.95" customHeight="1">
      <c r="A40" s="676" t="s">
        <v>180</v>
      </c>
      <c r="B40" s="677"/>
      <c r="C40" s="677"/>
      <c r="D40" s="599" t="s">
        <v>143</v>
      </c>
      <c r="E40" s="531">
        <f>'29'!F40</f>
        <v>0</v>
      </c>
      <c r="F40" s="586">
        <v>0</v>
      </c>
      <c r="G40" s="549">
        <f t="shared" si="3"/>
        <v>0</v>
      </c>
      <c r="H40" s="536">
        <f>G40+'29'!H40</f>
        <v>-0.06</v>
      </c>
      <c r="I40" s="531"/>
      <c r="J40" s="629">
        <f>H40/DAY(B2)</f>
        <v>-2E-3</v>
      </c>
      <c r="K40" s="468"/>
      <c r="L40" s="408"/>
      <c r="N40" s="479">
        <f>F40-'1'!E40</f>
        <v>0</v>
      </c>
      <c r="O40" s="889"/>
    </row>
    <row r="41" spans="1:15" ht="21.95" customHeight="1">
      <c r="A41" s="655" t="s">
        <v>181</v>
      </c>
      <c r="B41" s="656"/>
      <c r="C41" s="656"/>
      <c r="D41" s="599" t="s">
        <v>143</v>
      </c>
      <c r="E41" s="531">
        <f>'29'!F41</f>
        <v>37220</v>
      </c>
      <c r="F41" s="586">
        <v>40988.949999999997</v>
      </c>
      <c r="G41" s="549">
        <f t="shared" si="3"/>
        <v>3768.9499999999971</v>
      </c>
      <c r="H41" s="536">
        <f>G41+'29'!H41</f>
        <v>60248.429999999993</v>
      </c>
      <c r="I41" s="531"/>
      <c r="J41" s="629">
        <f>H41/DAY(B2)</f>
        <v>2008.2809999999997</v>
      </c>
      <c r="K41" s="467"/>
      <c r="L41" s="408"/>
      <c r="N41" s="479">
        <f>F41-'1'!E41</f>
        <v>-3633.5699999999997</v>
      </c>
      <c r="O41" s="889"/>
    </row>
    <row r="42" spans="1:15" ht="21.95" customHeight="1">
      <c r="A42" s="655" t="s">
        <v>182</v>
      </c>
      <c r="B42" s="656"/>
      <c r="C42" s="656"/>
      <c r="D42" s="599" t="s">
        <v>143</v>
      </c>
      <c r="E42" s="531">
        <f>'29'!F42</f>
        <v>58926</v>
      </c>
      <c r="F42" s="586">
        <v>58926</v>
      </c>
      <c r="G42" s="549">
        <f t="shared" si="3"/>
        <v>0</v>
      </c>
      <c r="H42" s="536">
        <f>G42+'29'!H42</f>
        <v>0</v>
      </c>
      <c r="I42" s="531"/>
      <c r="J42" s="629">
        <f>H42/DAY(B2)</f>
        <v>0</v>
      </c>
      <c r="K42" s="467"/>
      <c r="L42" s="408"/>
      <c r="N42" s="479">
        <f>F42-'1'!E42</f>
        <v>0</v>
      </c>
      <c r="O42" s="889"/>
    </row>
    <row r="43" spans="1:15" ht="21.95" customHeight="1">
      <c r="A43" s="655" t="s">
        <v>183</v>
      </c>
      <c r="B43" s="656"/>
      <c r="C43" s="656"/>
      <c r="D43" s="599" t="s">
        <v>143</v>
      </c>
      <c r="E43" s="531">
        <f>'29'!F43</f>
        <v>763162.63</v>
      </c>
      <c r="F43" s="586">
        <v>765499.51</v>
      </c>
      <c r="G43" s="549">
        <f t="shared" si="3"/>
        <v>2336.8800000000047</v>
      </c>
      <c r="H43" s="536">
        <f>G43+'29'!H43</f>
        <v>-2312.4000000000233</v>
      </c>
      <c r="I43" s="531"/>
      <c r="J43" s="629">
        <f>H43/DAY(B2)</f>
        <v>-77.08000000000078</v>
      </c>
      <c r="K43" s="467"/>
      <c r="L43" s="408"/>
      <c r="N43" s="479">
        <f>F43-'1'!E43</f>
        <v>-2312.4000000000233</v>
      </c>
      <c r="O43" s="889"/>
    </row>
    <row r="44" spans="1:15" ht="21.95" customHeight="1">
      <c r="A44" s="655" t="s">
        <v>184</v>
      </c>
      <c r="B44" s="656"/>
      <c r="C44" s="656"/>
      <c r="D44" s="599" t="s">
        <v>143</v>
      </c>
      <c r="E44" s="531">
        <f>'29'!F44</f>
        <v>0</v>
      </c>
      <c r="F44" s="586">
        <v>0</v>
      </c>
      <c r="G44" s="549">
        <f t="shared" si="3"/>
        <v>0</v>
      </c>
      <c r="H44" s="536">
        <f>G44+'29'!H44</f>
        <v>0</v>
      </c>
      <c r="I44" s="531"/>
      <c r="J44" s="629">
        <f>H44/DAY(B2)</f>
        <v>0</v>
      </c>
      <c r="K44" s="467"/>
      <c r="L44" s="408"/>
      <c r="N44" s="479">
        <f>F44-'1'!E44</f>
        <v>0</v>
      </c>
      <c r="O44" s="889"/>
    </row>
    <row r="45" spans="1:15" ht="21.95" customHeight="1">
      <c r="A45" s="655" t="s">
        <v>185</v>
      </c>
      <c r="B45" s="656"/>
      <c r="C45" s="656"/>
      <c r="D45" s="599" t="s">
        <v>143</v>
      </c>
      <c r="E45" s="531">
        <f>'29'!F45</f>
        <v>614.48</v>
      </c>
      <c r="F45" s="586">
        <v>614.48</v>
      </c>
      <c r="G45" s="549">
        <f t="shared" si="3"/>
        <v>0</v>
      </c>
      <c r="H45" s="536">
        <f>G45+'29'!H45</f>
        <v>0</v>
      </c>
      <c r="I45" s="531"/>
      <c r="J45" s="629">
        <f>H45/DAY(B2)</f>
        <v>0</v>
      </c>
      <c r="K45" s="467"/>
      <c r="L45" s="408"/>
      <c r="N45" s="479">
        <f>F45-'1'!E45</f>
        <v>0</v>
      </c>
      <c r="O45" s="889"/>
    </row>
    <row r="46" spans="1:15" ht="21.95" customHeight="1">
      <c r="A46" s="655" t="s">
        <v>186</v>
      </c>
      <c r="B46" s="656"/>
      <c r="C46" s="656"/>
      <c r="D46" s="599" t="s">
        <v>143</v>
      </c>
      <c r="E46" s="531">
        <f>'29'!F46</f>
        <v>187.49</v>
      </c>
      <c r="F46" s="586">
        <v>187.49</v>
      </c>
      <c r="G46" s="549">
        <f t="shared" si="3"/>
        <v>0</v>
      </c>
      <c r="H46" s="536">
        <f>G46+'29'!H46</f>
        <v>0</v>
      </c>
      <c r="I46" s="531"/>
      <c r="J46" s="629">
        <f>H46/DAY(B2)</f>
        <v>0</v>
      </c>
      <c r="K46" s="467"/>
      <c r="L46" s="408"/>
      <c r="N46" s="479">
        <f>F46-'1'!E46</f>
        <v>0</v>
      </c>
      <c r="O46" s="889"/>
    </row>
    <row r="47" spans="1:15" ht="21.95" customHeight="1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6693.0300000000134</v>
      </c>
      <c r="H47" s="536">
        <f>G47+'29'!H47</f>
        <v>1535566.9</v>
      </c>
      <c r="I47" s="531"/>
      <c r="J47" s="629">
        <f>H47/DAY(B2)</f>
        <v>51185.563333333332</v>
      </c>
      <c r="K47" s="467"/>
      <c r="L47" s="408"/>
      <c r="N47" s="479">
        <f>F47-'1'!E47</f>
        <v>0</v>
      </c>
      <c r="O47" s="889"/>
    </row>
    <row r="48" spans="1:15" ht="29.25">
      <c r="A48" s="675" t="s">
        <v>188</v>
      </c>
      <c r="B48" s="1236"/>
      <c r="C48" s="1236"/>
      <c r="D48" s="548"/>
      <c r="E48" s="547"/>
      <c r="F48" s="547"/>
      <c r="G48" s="548"/>
      <c r="H48" s="548"/>
      <c r="I48" s="548"/>
      <c r="J48" s="628"/>
      <c r="K48" s="467"/>
      <c r="L48" s="408"/>
      <c r="O48" s="889"/>
    </row>
    <row r="49" spans="1:15" ht="29.25">
      <c r="A49" s="655" t="s">
        <v>175</v>
      </c>
      <c r="B49" s="678"/>
      <c r="C49" s="678"/>
      <c r="D49" s="599" t="s">
        <v>143</v>
      </c>
      <c r="E49" s="531">
        <f>'29'!F49</f>
        <v>239985.55</v>
      </c>
      <c r="F49" s="586">
        <v>242955.55</v>
      </c>
      <c r="G49" s="549">
        <f t="shared" ref="G49:G58" si="4">F49-E49</f>
        <v>2970</v>
      </c>
      <c r="H49" s="536">
        <f>G49+'29'!H49</f>
        <v>-2943.5</v>
      </c>
      <c r="I49" s="531"/>
      <c r="J49" s="629">
        <f>H49/DAY(B2)</f>
        <v>-98.11666666666666</v>
      </c>
      <c r="K49" s="467"/>
      <c r="L49" s="408"/>
      <c r="O49" s="889"/>
    </row>
    <row r="50" spans="1:15" ht="29.25">
      <c r="A50" s="655" t="s">
        <v>189</v>
      </c>
      <c r="B50" s="678"/>
      <c r="C50" s="678"/>
      <c r="D50" s="599" t="s">
        <v>143</v>
      </c>
      <c r="E50" s="531">
        <f>'29'!F50</f>
        <v>366480.97</v>
      </c>
      <c r="F50" s="586">
        <v>367595</v>
      </c>
      <c r="G50" s="549">
        <f t="shared" si="4"/>
        <v>1114.0300000000279</v>
      </c>
      <c r="H50" s="536">
        <f>G50+'29'!H50</f>
        <v>-2065.3099999999977</v>
      </c>
      <c r="I50" s="531"/>
      <c r="J50" s="629">
        <f>H50/DAY(B2)</f>
        <v>-68.843666666666593</v>
      </c>
      <c r="K50" s="467"/>
      <c r="L50" s="408"/>
      <c r="O50" s="889"/>
    </row>
    <row r="51" spans="1:15" ht="29.25">
      <c r="A51" s="655" t="s">
        <v>177</v>
      </c>
      <c r="B51" s="678"/>
      <c r="C51" s="678"/>
      <c r="D51" s="599" t="s">
        <v>143</v>
      </c>
      <c r="E51" s="531">
        <f>'29'!F51</f>
        <v>107035</v>
      </c>
      <c r="F51" s="586">
        <v>108550.86</v>
      </c>
      <c r="G51" s="549">
        <f t="shared" si="4"/>
        <v>1515.8600000000006</v>
      </c>
      <c r="H51" s="536">
        <f>G51+'29'!H51</f>
        <v>-1548.8800000000047</v>
      </c>
      <c r="I51" s="531"/>
      <c r="J51" s="629">
        <f>H51/DAY(B2)</f>
        <v>-51.629333333333491</v>
      </c>
      <c r="K51" s="467"/>
      <c r="L51" s="408"/>
      <c r="O51" s="889"/>
    </row>
    <row r="52" spans="1:15" ht="29.25">
      <c r="A52" s="655" t="s">
        <v>190</v>
      </c>
      <c r="B52" s="678"/>
      <c r="C52" s="678"/>
      <c r="D52" s="599" t="s">
        <v>143</v>
      </c>
      <c r="E52" s="531">
        <f>'29'!F52</f>
        <v>489802</v>
      </c>
      <c r="F52" s="586">
        <v>491798.91</v>
      </c>
      <c r="G52" s="549">
        <f t="shared" si="4"/>
        <v>1996.9099999999744</v>
      </c>
      <c r="H52" s="536">
        <f>G52+'29'!H52</f>
        <v>-2009.7600000000093</v>
      </c>
      <c r="I52" s="531"/>
      <c r="J52" s="629">
        <f>H52/DAY(B2)</f>
        <v>-66.992000000000317</v>
      </c>
      <c r="K52" s="467"/>
      <c r="L52" s="408"/>
      <c r="O52" s="889"/>
    </row>
    <row r="53" spans="1:15" ht="29.25">
      <c r="A53" s="655" t="s">
        <v>179</v>
      </c>
      <c r="B53" s="678"/>
      <c r="C53" s="678"/>
      <c r="D53" s="599" t="s">
        <v>143</v>
      </c>
      <c r="E53" s="531">
        <f>'29'!F53</f>
        <v>295932.96999999997</v>
      </c>
      <c r="F53" s="586">
        <v>300092</v>
      </c>
      <c r="G53" s="549">
        <f t="shared" si="4"/>
        <v>4159.0300000000279</v>
      </c>
      <c r="H53" s="536">
        <f>G53+'29'!H53</f>
        <v>-4206.2700000000186</v>
      </c>
      <c r="I53" s="531"/>
      <c r="J53" s="629">
        <f>H53/DAY(B2)</f>
        <v>-140.20900000000063</v>
      </c>
      <c r="K53" s="467"/>
      <c r="L53" s="408"/>
      <c r="O53" s="889"/>
    </row>
    <row r="54" spans="1:15" ht="29.25">
      <c r="A54" s="655" t="s">
        <v>191</v>
      </c>
      <c r="B54" s="678"/>
      <c r="C54" s="678"/>
      <c r="D54" s="599" t="s">
        <v>143</v>
      </c>
      <c r="E54" s="531">
        <f>'29'!F54</f>
        <v>6228.8</v>
      </c>
      <c r="F54" s="586">
        <v>6279.72</v>
      </c>
      <c r="G54" s="549">
        <f t="shared" si="4"/>
        <v>50.920000000000073</v>
      </c>
      <c r="H54" s="536">
        <f>G54+'29'!H54</f>
        <v>-109.07999999999993</v>
      </c>
      <c r="I54" s="531"/>
      <c r="J54" s="629">
        <f>H54/DAY(B2)</f>
        <v>-3.6359999999999975</v>
      </c>
      <c r="K54" s="467"/>
      <c r="L54" s="408"/>
      <c r="O54" s="889"/>
    </row>
    <row r="55" spans="1:15" ht="29.25">
      <c r="A55" s="655" t="s">
        <v>192</v>
      </c>
      <c r="B55" s="678"/>
      <c r="C55" s="678"/>
      <c r="D55" s="599" t="s">
        <v>143</v>
      </c>
      <c r="E55" s="531">
        <f>'29'!F55</f>
        <v>39121</v>
      </c>
      <c r="F55" s="586">
        <v>39121</v>
      </c>
      <c r="G55" s="549">
        <f t="shared" si="4"/>
        <v>0</v>
      </c>
      <c r="H55" s="536">
        <f>G55+'29'!H55</f>
        <v>-3866.9800000000032</v>
      </c>
      <c r="I55" s="531"/>
      <c r="J55" s="629">
        <f>H55/DAY(B2)</f>
        <v>-128.89933333333343</v>
      </c>
      <c r="K55" s="467"/>
      <c r="L55" s="408"/>
      <c r="O55" s="889"/>
    </row>
    <row r="56" spans="1:15" ht="29.25">
      <c r="A56" s="655" t="s">
        <v>193</v>
      </c>
      <c r="B56" s="678"/>
      <c r="C56" s="678"/>
      <c r="D56" s="599" t="s">
        <v>194</v>
      </c>
      <c r="E56" s="531">
        <f>'29'!F56</f>
        <v>557730</v>
      </c>
      <c r="F56" s="586">
        <v>557730</v>
      </c>
      <c r="G56" s="549">
        <f t="shared" si="4"/>
        <v>0</v>
      </c>
      <c r="H56" s="536">
        <f>G56+'29'!H56</f>
        <v>-1.9100000000325963</v>
      </c>
      <c r="I56" s="531"/>
      <c r="J56" s="629">
        <f>H56/DAY(B2)</f>
        <v>-6.3666666667753211E-2</v>
      </c>
      <c r="K56" s="466"/>
      <c r="L56" s="408"/>
      <c r="O56" s="889"/>
    </row>
    <row r="57" spans="1:15" ht="29.25">
      <c r="A57" s="655" t="s">
        <v>183</v>
      </c>
      <c r="B57" s="678"/>
      <c r="C57" s="678"/>
      <c r="D57" s="599" t="s">
        <v>143</v>
      </c>
      <c r="E57" s="531">
        <f>'29'!F57</f>
        <v>0</v>
      </c>
      <c r="F57" s="586">
        <v>0</v>
      </c>
      <c r="G57" s="549">
        <f t="shared" si="4"/>
        <v>0</v>
      </c>
      <c r="H57" s="536">
        <f>G57+'29'!H57</f>
        <v>0</v>
      </c>
      <c r="I57" s="531"/>
      <c r="J57" s="629">
        <f>H57/DAY(B2)</f>
        <v>0</v>
      </c>
      <c r="K57" s="467"/>
      <c r="L57" s="408"/>
      <c r="O57" s="889"/>
    </row>
    <row r="58" spans="1:15" ht="29.25">
      <c r="A58" s="655" t="s">
        <v>195</v>
      </c>
      <c r="B58" s="678"/>
      <c r="C58" s="678"/>
      <c r="D58" s="599" t="s">
        <v>143</v>
      </c>
      <c r="E58" s="531">
        <f>'29'!F58</f>
        <v>30214.39</v>
      </c>
      <c r="F58" s="586">
        <v>30322.240000000002</v>
      </c>
      <c r="G58" s="549">
        <f t="shared" si="4"/>
        <v>107.85000000000218</v>
      </c>
      <c r="H58" s="536">
        <f>G58+'29'!H58</f>
        <v>-407.29999999999563</v>
      </c>
      <c r="I58" s="531"/>
      <c r="J58" s="629">
        <f>H58/DAY(B2)</f>
        <v>-13.576666666666521</v>
      </c>
      <c r="K58" s="467"/>
      <c r="L58" s="408"/>
      <c r="O58" s="889"/>
    </row>
    <row r="59" spans="1:15" ht="29.25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11914.600000000033</v>
      </c>
      <c r="H59" s="536">
        <f>G59+'29'!H59</f>
        <v>-17158.990000000013</v>
      </c>
      <c r="I59" s="531">
        <f>G7-G60</f>
        <v>309.36999999995169</v>
      </c>
      <c r="J59" s="629">
        <f>H59/DAY(B2)</f>
        <v>-571.96633333333375</v>
      </c>
      <c r="K59" s="467"/>
      <c r="L59" s="408"/>
      <c r="O59" s="889"/>
    </row>
    <row r="60" spans="1:15" ht="29.25">
      <c r="A60" s="655"/>
      <c r="B60" s="656"/>
      <c r="C60" s="656"/>
      <c r="D60" s="587" t="s">
        <v>196</v>
      </c>
      <c r="E60" s="587"/>
      <c r="F60" s="587"/>
      <c r="G60" s="557">
        <f>G47+G59</f>
        <v>18607.630000000048</v>
      </c>
      <c r="H60" s="536">
        <f>G60+'29'!H60</f>
        <v>1523588.1</v>
      </c>
      <c r="I60" s="531">
        <f>G13-G60</f>
        <v>-335.73000000014144</v>
      </c>
      <c r="J60" s="629">
        <f>H60/DAY(B2)</f>
        <v>50786.270000000004</v>
      </c>
      <c r="K60" s="467"/>
      <c r="L60" s="408"/>
      <c r="O60" s="889"/>
    </row>
    <row r="61" spans="1:15" ht="29.25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O61" s="889"/>
    </row>
    <row r="62" spans="1:15" ht="29.25">
      <c r="A62" s="680" t="s">
        <v>106</v>
      </c>
      <c r="B62" s="681"/>
      <c r="C62" s="681"/>
      <c r="D62" s="587" t="s">
        <v>198</v>
      </c>
      <c r="E62" s="531">
        <f>'29'!F62</f>
        <v>20419.18</v>
      </c>
      <c r="F62" s="590">
        <v>20419.18</v>
      </c>
      <c r="G62" s="549">
        <f t="shared" ref="G62:G69" si="5">F62-E62</f>
        <v>0</v>
      </c>
      <c r="H62" s="536">
        <f>G62+'29'!H62</f>
        <v>-8.9999999981955625E-3</v>
      </c>
      <c r="I62" s="591"/>
      <c r="J62" s="629">
        <f>H62/DAY(B2)</f>
        <v>-2.9999999993985207E-4</v>
      </c>
      <c r="K62" s="467"/>
      <c r="L62" s="408"/>
      <c r="O62" s="889"/>
    </row>
    <row r="63" spans="1:15" ht="29.25">
      <c r="A63" s="680" t="s">
        <v>199</v>
      </c>
      <c r="B63" s="681"/>
      <c r="C63" s="681"/>
      <c r="D63" s="587" t="s">
        <v>198</v>
      </c>
      <c r="E63" s="531">
        <f>'29'!F63</f>
        <v>1305.8900000000001</v>
      </c>
      <c r="F63" s="590">
        <v>1318.65</v>
      </c>
      <c r="G63" s="549">
        <f t="shared" si="5"/>
        <v>12.759999999999991</v>
      </c>
      <c r="H63" s="536">
        <f>G63+'29'!H63</f>
        <v>-13.879999999999882</v>
      </c>
      <c r="I63" s="591"/>
      <c r="J63" s="629">
        <f>H63/DAY(B2)</f>
        <v>-0.46266666666666273</v>
      </c>
      <c r="K63" s="467"/>
      <c r="L63" s="408"/>
      <c r="O63" s="889"/>
    </row>
    <row r="64" spans="1:15" ht="27.75">
      <c r="A64" s="1590" t="s">
        <v>107</v>
      </c>
      <c r="B64" s="1381"/>
      <c r="C64" s="1381"/>
      <c r="D64" s="599" t="s">
        <v>198</v>
      </c>
      <c r="E64" s="531">
        <f>'29'!F64</f>
        <v>110461.4</v>
      </c>
      <c r="F64" s="560">
        <v>110863</v>
      </c>
      <c r="G64" s="549">
        <f t="shared" si="5"/>
        <v>401.60000000000582</v>
      </c>
      <c r="H64" s="536">
        <f>G64+'29'!H64</f>
        <v>-420.4600000000064</v>
      </c>
      <c r="I64" s="556"/>
      <c r="J64" s="629">
        <f>H64/DAY(B2)</f>
        <v>-14.015333333333547</v>
      </c>
      <c r="K64" s="467"/>
      <c r="L64" s="408"/>
      <c r="O64" s="889"/>
    </row>
    <row r="65" spans="1:15" ht="27.75">
      <c r="A65" s="1590" t="s">
        <v>108</v>
      </c>
      <c r="B65" s="1381"/>
      <c r="C65" s="1381"/>
      <c r="D65" s="599" t="s">
        <v>198</v>
      </c>
      <c r="E65" s="531">
        <f>'29'!F65</f>
        <v>120948.65</v>
      </c>
      <c r="F65" s="560">
        <v>121338</v>
      </c>
      <c r="G65" s="549">
        <f t="shared" si="5"/>
        <v>389.35000000000582</v>
      </c>
      <c r="H65" s="536">
        <f>G65+'29'!H65</f>
        <v>-395.11000000000058</v>
      </c>
      <c r="I65" s="565"/>
      <c r="J65" s="629">
        <f>H65/DAY(B2)</f>
        <v>-13.170333333333353</v>
      </c>
      <c r="K65" s="467"/>
      <c r="L65" s="408"/>
      <c r="O65" s="889"/>
    </row>
    <row r="66" spans="1:15" ht="27.75">
      <c r="A66" s="1590" t="s">
        <v>109</v>
      </c>
      <c r="B66" s="1381"/>
      <c r="C66" s="1381"/>
      <c r="D66" s="599" t="s">
        <v>198</v>
      </c>
      <c r="E66" s="531">
        <f>'29'!F66</f>
        <v>13320.84</v>
      </c>
      <c r="F66" s="560">
        <v>13744</v>
      </c>
      <c r="G66" s="549">
        <f t="shared" si="5"/>
        <v>423.15999999999985</v>
      </c>
      <c r="H66" s="536">
        <f>G66+'29'!H66</f>
        <v>-415.73999999999978</v>
      </c>
      <c r="I66" s="556"/>
      <c r="J66" s="629">
        <f>H66/DAY(B2)</f>
        <v>-13.857999999999993</v>
      </c>
      <c r="K66" s="467"/>
      <c r="L66" s="408"/>
      <c r="O66" s="889"/>
    </row>
    <row r="67" spans="1:15" ht="27.75">
      <c r="A67" s="1590" t="s">
        <v>110</v>
      </c>
      <c r="B67" s="1381"/>
      <c r="C67" s="1381"/>
      <c r="D67" s="599" t="s">
        <v>198</v>
      </c>
      <c r="E67" s="531">
        <f>'29'!F67</f>
        <v>187269.37</v>
      </c>
      <c r="F67" s="560">
        <v>187947</v>
      </c>
      <c r="G67" s="549">
        <f t="shared" si="5"/>
        <v>677.63000000000466</v>
      </c>
      <c r="H67" s="536">
        <f>G67+'29'!H67</f>
        <v>-727.52999999999884</v>
      </c>
      <c r="I67" s="565"/>
      <c r="J67" s="629">
        <f>H67/DAY(B2)</f>
        <v>-24.250999999999962</v>
      </c>
      <c r="K67" s="468"/>
      <c r="L67" s="408"/>
      <c r="O67" s="889"/>
    </row>
    <row r="68" spans="1:15" ht="27.75">
      <c r="A68" s="1590" t="s">
        <v>111</v>
      </c>
      <c r="B68" s="1381"/>
      <c r="C68" s="1381"/>
      <c r="D68" s="599" t="s">
        <v>198</v>
      </c>
      <c r="E68" s="531">
        <f>'29'!F68</f>
        <v>62687.79</v>
      </c>
      <c r="F68" s="560">
        <v>63003</v>
      </c>
      <c r="G68" s="549">
        <f t="shared" si="5"/>
        <v>315.20999999999913</v>
      </c>
      <c r="H68" s="536">
        <f>G68+'29'!H68</f>
        <v>-296.86000000000058</v>
      </c>
      <c r="I68" s="592"/>
      <c r="J68" s="629">
        <f>H68/DAY(B2)</f>
        <v>-9.8953333333333529</v>
      </c>
      <c r="K68" s="469"/>
      <c r="L68" s="408"/>
      <c r="O68" s="889"/>
    </row>
    <row r="69" spans="1:15" ht="27.75">
      <c r="A69" s="1590" t="s">
        <v>112</v>
      </c>
      <c r="B69" s="1381"/>
      <c r="C69" s="1381"/>
      <c r="D69" s="599" t="s">
        <v>198</v>
      </c>
      <c r="E69" s="531">
        <f>'29'!F69</f>
        <v>55093</v>
      </c>
      <c r="F69" s="560">
        <v>55407.56</v>
      </c>
      <c r="G69" s="549">
        <f t="shared" si="5"/>
        <v>314.55999999999767</v>
      </c>
      <c r="H69" s="536">
        <f>G69+'29'!H69</f>
        <v>-316.15000000000146</v>
      </c>
      <c r="I69" s="592"/>
      <c r="J69" s="629">
        <f>H69/DAY(B2)</f>
        <v>-10.538333333333382</v>
      </c>
      <c r="K69" s="470"/>
      <c r="L69" s="408"/>
      <c r="O69" s="889"/>
    </row>
    <row r="70" spans="1:15" ht="27.75">
      <c r="A70" s="1591" t="s">
        <v>200</v>
      </c>
      <c r="B70" s="1449"/>
      <c r="C70" s="1449"/>
      <c r="D70" s="599" t="s">
        <v>198</v>
      </c>
      <c r="E70" s="593"/>
      <c r="F70" s="594"/>
      <c r="G70" s="594"/>
      <c r="H70" s="536">
        <f>G70+'29'!H70</f>
        <v>0</v>
      </c>
      <c r="I70" s="594"/>
      <c r="J70" s="633"/>
      <c r="K70" s="470"/>
      <c r="L70" s="408"/>
      <c r="O70" s="889"/>
    </row>
    <row r="71" spans="1:15" ht="31.5">
      <c r="A71" s="1584" t="s">
        <v>201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69"/>
      <c r="L71" s="408"/>
      <c r="O71" s="889"/>
    </row>
    <row r="72" spans="1:15" ht="27.75">
      <c r="A72" s="1590" t="s">
        <v>202</v>
      </c>
      <c r="B72" s="1381"/>
      <c r="C72" s="1381"/>
      <c r="D72" s="599" t="s">
        <v>198</v>
      </c>
      <c r="E72" s="531">
        <f>'29'!F72</f>
        <v>848280</v>
      </c>
      <c r="F72" s="595">
        <v>848364</v>
      </c>
      <c r="G72" s="549">
        <f t="shared" ref="G72:G84" si="6">F72-E72</f>
        <v>84</v>
      </c>
      <c r="H72" s="536">
        <f>G72+'29'!H72</f>
        <v>-188</v>
      </c>
      <c r="I72" s="556"/>
      <c r="J72" s="629">
        <f>H72/DAY(B2)</f>
        <v>-6.2666666666666666</v>
      </c>
      <c r="K72" s="470"/>
      <c r="L72" s="408"/>
      <c r="O72" s="889"/>
    </row>
    <row r="73" spans="1:15" ht="27.75">
      <c r="A73" s="1590" t="s">
        <v>203</v>
      </c>
      <c r="B73" s="1381"/>
      <c r="C73" s="1381"/>
      <c r="D73" s="599" t="s">
        <v>198</v>
      </c>
      <c r="E73" s="531">
        <f>'29'!F73</f>
        <v>885728</v>
      </c>
      <c r="F73" s="596">
        <v>885728</v>
      </c>
      <c r="G73" s="549">
        <f t="shared" si="6"/>
        <v>0</v>
      </c>
      <c r="H73" s="536">
        <f>G73+'29'!H73</f>
        <v>947</v>
      </c>
      <c r="I73" s="556"/>
      <c r="J73" s="629">
        <f>H73/DAY(B2)</f>
        <v>31.566666666666666</v>
      </c>
      <c r="K73" s="469"/>
      <c r="L73" s="408"/>
      <c r="O73" s="889"/>
    </row>
    <row r="74" spans="1:15" ht="27.75">
      <c r="A74" s="1590" t="s">
        <v>204</v>
      </c>
      <c r="B74" s="1381"/>
      <c r="C74" s="1381"/>
      <c r="D74" s="599" t="s">
        <v>198</v>
      </c>
      <c r="E74" s="531">
        <f>'29'!F74</f>
        <v>882303</v>
      </c>
      <c r="F74" s="597">
        <v>882336</v>
      </c>
      <c r="G74" s="549">
        <f t="shared" si="6"/>
        <v>33</v>
      </c>
      <c r="H74" s="536">
        <f>G74+'29'!H74</f>
        <v>882565.1</v>
      </c>
      <c r="I74" s="556"/>
      <c r="J74" s="629">
        <f>H74/DAY(B2)</f>
        <v>29418.836666666666</v>
      </c>
      <c r="K74" s="470"/>
      <c r="L74" s="408"/>
      <c r="O74" s="889"/>
    </row>
    <row r="75" spans="1:15" ht="27.75">
      <c r="A75" s="1592" t="s">
        <v>205</v>
      </c>
      <c r="B75" s="1593"/>
      <c r="C75" s="1593"/>
      <c r="D75" s="599" t="s">
        <v>198</v>
      </c>
      <c r="E75" s="531">
        <f>'29'!F75</f>
        <v>737120</v>
      </c>
      <c r="F75" s="597">
        <v>737302</v>
      </c>
      <c r="G75" s="549">
        <f t="shared" si="6"/>
        <v>182</v>
      </c>
      <c r="H75" s="536">
        <f>G75+'29'!H75</f>
        <v>738838.4</v>
      </c>
      <c r="I75" s="556"/>
      <c r="J75" s="629">
        <f>H75/DAY(B2)</f>
        <v>24627.946666666667</v>
      </c>
      <c r="K75" s="469"/>
      <c r="L75" s="408"/>
      <c r="O75" s="889"/>
    </row>
    <row r="76" spans="1:15" ht="27.75">
      <c r="A76" s="1592" t="s">
        <v>206</v>
      </c>
      <c r="B76" s="1593"/>
      <c r="C76" s="1593"/>
      <c r="D76" s="599" t="s">
        <v>198</v>
      </c>
      <c r="E76" s="531">
        <f>'29'!F76</f>
        <v>686870</v>
      </c>
      <c r="F76" s="596">
        <v>686940</v>
      </c>
      <c r="G76" s="549">
        <f t="shared" si="6"/>
        <v>70</v>
      </c>
      <c r="H76" s="536">
        <f>G76+'29'!H76</f>
        <v>688937.2</v>
      </c>
      <c r="I76" s="581"/>
      <c r="J76" s="629">
        <f>H76/DAY(B2)</f>
        <v>22964.57333333333</v>
      </c>
      <c r="K76" s="469"/>
      <c r="L76" s="408"/>
      <c r="O76" s="889"/>
    </row>
    <row r="77" spans="1:15" ht="27.75">
      <c r="A77" s="1590" t="s">
        <v>207</v>
      </c>
      <c r="B77" s="1381"/>
      <c r="C77" s="1381"/>
      <c r="D77" s="599" t="s">
        <v>198</v>
      </c>
      <c r="E77" s="531">
        <f>'29'!F77</f>
        <v>697002</v>
      </c>
      <c r="F77" s="597">
        <v>697046</v>
      </c>
      <c r="G77" s="549">
        <f t="shared" si="6"/>
        <v>44</v>
      </c>
      <c r="H77" s="536">
        <f>G77+'29'!H77</f>
        <v>-61</v>
      </c>
      <c r="I77" s="581"/>
      <c r="J77" s="629">
        <f>H77/DAY(B2)</f>
        <v>-2.0333333333333332</v>
      </c>
      <c r="K77" s="469"/>
      <c r="L77" s="408"/>
      <c r="O77" s="889"/>
    </row>
    <row r="78" spans="1:15" ht="27.75">
      <c r="A78" s="1234" t="s">
        <v>208</v>
      </c>
      <c r="B78" s="1205"/>
      <c r="C78" s="1205"/>
      <c r="D78" s="599" t="s">
        <v>198</v>
      </c>
      <c r="E78" s="531">
        <f>'29'!F78</f>
        <v>641105</v>
      </c>
      <c r="F78" s="597">
        <v>641481</v>
      </c>
      <c r="G78" s="549">
        <f t="shared" si="6"/>
        <v>376</v>
      </c>
      <c r="H78" s="536">
        <f>G78+'29'!H78</f>
        <v>-472</v>
      </c>
      <c r="I78" s="581"/>
      <c r="J78" s="629">
        <f>H78/DAY(B2)</f>
        <v>-15.733333333333333</v>
      </c>
      <c r="K78" s="469"/>
      <c r="L78" s="408"/>
      <c r="O78" s="889"/>
    </row>
    <row r="79" spans="1:15" ht="27.75">
      <c r="A79" s="1592" t="s">
        <v>97</v>
      </c>
      <c r="B79" s="1593"/>
      <c r="C79" s="1593"/>
      <c r="D79" s="600" t="s">
        <v>198</v>
      </c>
      <c r="E79" s="531">
        <f>'29'!F79</f>
        <v>809323</v>
      </c>
      <c r="F79" s="597">
        <v>809502</v>
      </c>
      <c r="G79" s="549">
        <f t="shared" si="6"/>
        <v>179</v>
      </c>
      <c r="H79" s="536">
        <f>G79+'29'!H79</f>
        <v>2676</v>
      </c>
      <c r="I79" s="581"/>
      <c r="J79" s="629">
        <f>H79/DAY(B2)</f>
        <v>89.2</v>
      </c>
      <c r="K79" s="469"/>
      <c r="L79" s="408"/>
      <c r="O79" s="889"/>
    </row>
    <row r="80" spans="1:15" ht="27.75">
      <c r="A80" s="1592" t="s">
        <v>209</v>
      </c>
      <c r="B80" s="1593"/>
      <c r="C80" s="1593"/>
      <c r="D80" s="600" t="s">
        <v>198</v>
      </c>
      <c r="E80" s="531">
        <f>'29'!F80</f>
        <v>484503</v>
      </c>
      <c r="F80" s="596">
        <v>484794</v>
      </c>
      <c r="G80" s="549">
        <f t="shared" si="6"/>
        <v>291</v>
      </c>
      <c r="H80" s="536">
        <f>G80+'29'!H80</f>
        <v>-1787.679999999993</v>
      </c>
      <c r="I80" s="581"/>
      <c r="J80" s="629">
        <f>H80/DAY(B2)</f>
        <v>-59.589333333333101</v>
      </c>
      <c r="K80" s="469"/>
      <c r="L80" s="408"/>
      <c r="O80" s="889"/>
    </row>
    <row r="81" spans="1:15" ht="27.75">
      <c r="A81" s="1592" t="s">
        <v>210</v>
      </c>
      <c r="B81" s="1593"/>
      <c r="C81" s="1593"/>
      <c r="D81" s="600" t="s">
        <v>198</v>
      </c>
      <c r="E81" s="531">
        <f>'29'!F81</f>
        <v>622568</v>
      </c>
      <c r="F81" s="596">
        <v>622662.52</v>
      </c>
      <c r="G81" s="549">
        <f t="shared" si="6"/>
        <v>94.520000000018626</v>
      </c>
      <c r="H81" s="536">
        <f>G81+'29'!H81</f>
        <v>-112.47999999998137</v>
      </c>
      <c r="I81" s="581"/>
      <c r="J81" s="629">
        <f>H81/DAY(B2)</f>
        <v>-3.7493333333327126</v>
      </c>
      <c r="K81" s="469"/>
      <c r="L81" s="408"/>
      <c r="O81" s="889"/>
    </row>
    <row r="82" spans="1:15" ht="27.75">
      <c r="A82" s="1592" t="s">
        <v>100</v>
      </c>
      <c r="B82" s="1593"/>
      <c r="C82" s="1593"/>
      <c r="D82" s="561" t="s">
        <v>143</v>
      </c>
      <c r="E82" s="531">
        <f>'29'!F82</f>
        <v>105339.54</v>
      </c>
      <c r="F82" s="598">
        <v>105387.91</v>
      </c>
      <c r="G82" s="549">
        <f t="shared" si="6"/>
        <v>48.370000000009895</v>
      </c>
      <c r="H82" s="536">
        <f>G82+'29'!H82</f>
        <v>-52.089999999996508</v>
      </c>
      <c r="I82" s="562"/>
      <c r="J82" s="629">
        <f>H82/DAY(B2)</f>
        <v>-1.7363333333332169</v>
      </c>
      <c r="K82" s="469"/>
      <c r="L82" s="408"/>
      <c r="O82" s="889"/>
    </row>
    <row r="83" spans="1:15" ht="27.75">
      <c r="A83" s="1592" t="s">
        <v>211</v>
      </c>
      <c r="B83" s="1593"/>
      <c r="C83" s="1593"/>
      <c r="D83" s="697" t="s">
        <v>143</v>
      </c>
      <c r="E83" s="531">
        <f>'29'!F83</f>
        <v>982952</v>
      </c>
      <c r="F83" s="587">
        <v>983326</v>
      </c>
      <c r="G83" s="549">
        <f t="shared" si="6"/>
        <v>374</v>
      </c>
      <c r="H83" s="536">
        <f>G83+'29'!H83</f>
        <v>-415</v>
      </c>
      <c r="I83" s="557"/>
      <c r="J83" s="629">
        <f>H83/DAY(B2)</f>
        <v>-13.833333333333334</v>
      </c>
      <c r="K83" s="468"/>
      <c r="L83" s="408"/>
      <c r="O83" s="889"/>
    </row>
    <row r="84" spans="1:15" ht="29.25">
      <c r="A84" s="1235" t="s">
        <v>212</v>
      </c>
      <c r="B84" s="648"/>
      <c r="C84" s="648"/>
      <c r="D84" s="554" t="s">
        <v>143</v>
      </c>
      <c r="E84" s="531">
        <f>'29'!F84</f>
        <v>415080</v>
      </c>
      <c r="F84" s="599">
        <v>415569</v>
      </c>
      <c r="G84" s="549">
        <f t="shared" si="6"/>
        <v>489</v>
      </c>
      <c r="H84" s="536">
        <f>G84+'29'!H84</f>
        <v>-504</v>
      </c>
      <c r="I84" s="557"/>
      <c r="J84" s="629">
        <f>H84/DAY(B2)</f>
        <v>-16.8</v>
      </c>
      <c r="K84" s="411"/>
      <c r="L84" s="408"/>
      <c r="O84" s="889"/>
    </row>
    <row r="85" spans="1:15" s="410" customFormat="1" ht="21.95" customHeight="1">
      <c r="A85" s="682" t="s">
        <v>213</v>
      </c>
      <c r="B85" s="649"/>
      <c r="C85" s="649"/>
      <c r="D85" s="565"/>
      <c r="E85" s="531">
        <f>'29'!F85</f>
        <v>0</v>
      </c>
      <c r="F85" s="599"/>
      <c r="G85" s="536">
        <f xml:space="preserve"> SUM(G72:G84)</f>
        <v>2264.8900000000285</v>
      </c>
      <c r="H85" s="536">
        <f>G85+'29'!H85</f>
        <v>2305068.0799999996</v>
      </c>
      <c r="I85" s="557"/>
      <c r="J85" s="629">
        <f>H85/DAY(B2)</f>
        <v>76835.602666666658</v>
      </c>
      <c r="K85" s="411"/>
      <c r="L85" s="409"/>
      <c r="O85" s="889"/>
    </row>
    <row r="86" spans="1:15" s="817" customFormat="1" ht="29.25">
      <c r="A86" s="812" t="s">
        <v>102</v>
      </c>
      <c r="B86" s="813"/>
      <c r="C86" s="813"/>
      <c r="D86" s="814" t="s">
        <v>194</v>
      </c>
      <c r="E86" s="531">
        <f>'29'!F86</f>
        <v>446888</v>
      </c>
      <c r="F86" s="728">
        <v>447033</v>
      </c>
      <c r="G86" s="787">
        <f t="shared" ref="G86:G90" si="7">F86-E86</f>
        <v>145</v>
      </c>
      <c r="H86" s="787">
        <f t="shared" ref="H86:H88" si="8">G86</f>
        <v>145</v>
      </c>
      <c r="I86" s="733"/>
      <c r="J86" s="789">
        <f>H86/DAY(B2)</f>
        <v>4.833333333333333</v>
      </c>
      <c r="K86" s="815"/>
      <c r="L86" s="816"/>
      <c r="O86" s="889"/>
    </row>
    <row r="87" spans="1:15" s="817" customFormat="1" ht="27.75" customHeight="1">
      <c r="A87" s="812" t="s">
        <v>103</v>
      </c>
      <c r="B87" s="813"/>
      <c r="C87" s="813"/>
      <c r="D87" s="814" t="s">
        <v>194</v>
      </c>
      <c r="E87" s="531">
        <f>'29'!F87</f>
        <v>78411</v>
      </c>
      <c r="F87" s="728">
        <v>78432.5</v>
      </c>
      <c r="G87" s="787">
        <f t="shared" si="7"/>
        <v>21.5</v>
      </c>
      <c r="H87" s="787">
        <f t="shared" si="8"/>
        <v>21.5</v>
      </c>
      <c r="I87" s="733"/>
      <c r="J87" s="789">
        <f>H87/DAY(B2)</f>
        <v>0.71666666666666667</v>
      </c>
      <c r="K87" s="815"/>
      <c r="L87" s="816"/>
      <c r="O87" s="889"/>
    </row>
    <row r="88" spans="1:15" s="817" customFormat="1" ht="29.25">
      <c r="A88" s="812" t="s">
        <v>104</v>
      </c>
      <c r="B88" s="813"/>
      <c r="C88" s="813"/>
      <c r="D88" s="814" t="s">
        <v>194</v>
      </c>
      <c r="E88" s="531">
        <f>'29'!F88</f>
        <v>146382.95000000001</v>
      </c>
      <c r="F88" s="728">
        <v>146464</v>
      </c>
      <c r="G88" s="787">
        <f t="shared" si="7"/>
        <v>81.049999999988358</v>
      </c>
      <c r="H88" s="787">
        <f t="shared" si="8"/>
        <v>81.049999999988358</v>
      </c>
      <c r="I88" s="733"/>
      <c r="J88" s="789">
        <f>H88/DAY(B2)</f>
        <v>2.7016666666662785</v>
      </c>
      <c r="K88" s="815"/>
      <c r="L88" s="816"/>
      <c r="O88" s="889"/>
    </row>
    <row r="89" spans="1:15" s="817" customFormat="1" ht="29.25">
      <c r="A89" s="812" t="s">
        <v>215</v>
      </c>
      <c r="B89" s="813"/>
      <c r="C89" s="813"/>
      <c r="D89" s="814" t="s">
        <v>194</v>
      </c>
      <c r="E89" s="531">
        <f>'29'!F89</f>
        <v>59670.8</v>
      </c>
      <c r="F89" s="728">
        <v>59738</v>
      </c>
      <c r="G89" s="787">
        <f t="shared" si="7"/>
        <v>67.19999999999709</v>
      </c>
      <c r="H89" s="787">
        <f>G89</f>
        <v>67.19999999999709</v>
      </c>
      <c r="I89" s="733"/>
      <c r="J89" s="789">
        <f>H89/DAY(B2)</f>
        <v>2.239999999999903</v>
      </c>
      <c r="K89" s="815"/>
      <c r="L89" s="816"/>
      <c r="N89" s="860"/>
      <c r="O89" s="889"/>
    </row>
    <row r="90" spans="1:15" s="817" customFormat="1" ht="29.25">
      <c r="A90" s="812" t="s">
        <v>215</v>
      </c>
      <c r="B90" s="813"/>
      <c r="C90" s="813"/>
      <c r="D90" s="814" t="s">
        <v>194</v>
      </c>
      <c r="E90" s="531">
        <f>'29'!F90</f>
        <v>3061.9</v>
      </c>
      <c r="F90" s="728">
        <v>3064</v>
      </c>
      <c r="G90" s="787">
        <f t="shared" si="7"/>
        <v>2.0999999999999091</v>
      </c>
      <c r="H90" s="787">
        <f>G90</f>
        <v>2.0999999999999091</v>
      </c>
      <c r="I90" s="733"/>
      <c r="J90" s="789">
        <f>H90/DAY(B2)</f>
        <v>6.9999999999996967E-2</v>
      </c>
      <c r="K90" s="815"/>
      <c r="L90" s="816"/>
      <c r="N90" s="860"/>
      <c r="O90" s="889"/>
    </row>
    <row r="91" spans="1:15" s="410" customFormat="1" ht="29.25">
      <c r="A91" s="683" t="s">
        <v>216</v>
      </c>
      <c r="B91" s="1237"/>
      <c r="C91" s="1237"/>
      <c r="D91" s="548"/>
      <c r="E91" s="548"/>
      <c r="F91" s="548"/>
      <c r="G91" s="564"/>
      <c r="H91" s="548"/>
      <c r="I91" s="548"/>
      <c r="J91" s="628"/>
      <c r="K91" s="411"/>
      <c r="L91" s="409"/>
      <c r="O91" s="889"/>
    </row>
    <row r="92" spans="1:15" ht="27.75">
      <c r="A92" s="1577" t="s">
        <v>217</v>
      </c>
      <c r="B92" s="1578"/>
      <c r="C92" s="1578"/>
      <c r="D92" s="599" t="s">
        <v>155</v>
      </c>
      <c r="E92" s="531">
        <f>'29'!F92</f>
        <v>236405</v>
      </c>
      <c r="F92" s="560">
        <v>236479</v>
      </c>
      <c r="G92" s="549">
        <f t="shared" ref="G92:G93" si="9">F92-E92</f>
        <v>74</v>
      </c>
      <c r="H92" s="536">
        <f>G92+'29'!H92</f>
        <v>-91</v>
      </c>
      <c r="I92" s="556"/>
      <c r="J92" s="629">
        <f>H92/DAY(B2)</f>
        <v>-3.0333333333333332</v>
      </c>
      <c r="K92" s="468"/>
      <c r="L92" s="408"/>
      <c r="O92" s="889"/>
    </row>
    <row r="93" spans="1:15" ht="27.75">
      <c r="A93" s="1577" t="s">
        <v>218</v>
      </c>
      <c r="B93" s="1578"/>
      <c r="C93" s="1578"/>
      <c r="D93" s="599" t="s">
        <v>155</v>
      </c>
      <c r="E93" s="531">
        <f>'29'!F93</f>
        <v>170864</v>
      </c>
      <c r="F93" s="560">
        <v>170982</v>
      </c>
      <c r="G93" s="549">
        <f t="shared" si="9"/>
        <v>118</v>
      </c>
      <c r="H93" s="536">
        <f>G93+'29'!H93</f>
        <v>-194</v>
      </c>
      <c r="I93" s="556"/>
      <c r="J93" s="629">
        <f>H93/DAY(B2)</f>
        <v>-6.4666666666666668</v>
      </c>
      <c r="K93" s="411"/>
      <c r="L93" s="408"/>
      <c r="O93" s="889"/>
    </row>
    <row r="94" spans="1:15" ht="29.25">
      <c r="A94" s="1594" t="s">
        <v>219</v>
      </c>
      <c r="B94" s="1595"/>
      <c r="C94" s="1595"/>
      <c r="D94" s="599"/>
      <c r="E94" s="531"/>
      <c r="F94" s="560"/>
      <c r="G94" s="549">
        <f>G92+G93</f>
        <v>192</v>
      </c>
      <c r="H94" s="536">
        <f>G94+'29'!H94</f>
        <v>-572</v>
      </c>
      <c r="I94" s="556"/>
      <c r="J94" s="629">
        <f>H94/DAY(B2)</f>
        <v>-19.066666666666666</v>
      </c>
      <c r="K94" s="411"/>
      <c r="L94" s="408"/>
      <c r="O94" s="889"/>
    </row>
    <row r="95" spans="1:15" ht="27.75">
      <c r="A95" s="1577" t="s">
        <v>220</v>
      </c>
      <c r="B95" s="1578"/>
      <c r="C95" s="1578"/>
      <c r="D95" s="599" t="s">
        <v>155</v>
      </c>
      <c r="E95" s="531">
        <f>'29'!F95</f>
        <v>405753</v>
      </c>
      <c r="F95" s="560">
        <v>405807</v>
      </c>
      <c r="G95" s="549">
        <f t="shared" ref="G95:G99" si="10">F95-E95</f>
        <v>54</v>
      </c>
      <c r="H95" s="536">
        <f>G95+'29'!H95</f>
        <v>-69</v>
      </c>
      <c r="I95" s="556"/>
      <c r="J95" s="629">
        <f>H95/DAY(B2)</f>
        <v>-2.2999999999999998</v>
      </c>
      <c r="K95" s="411"/>
      <c r="L95" s="408"/>
      <c r="O95" s="889"/>
    </row>
    <row r="96" spans="1:15" ht="27.75">
      <c r="A96" s="1231" t="s">
        <v>221</v>
      </c>
      <c r="B96" s="1232"/>
      <c r="C96" s="1232"/>
      <c r="D96" s="599" t="s">
        <v>155</v>
      </c>
      <c r="E96" s="531">
        <f>'29'!F96</f>
        <v>100470</v>
      </c>
      <c r="F96" s="560">
        <v>100508</v>
      </c>
      <c r="G96" s="549">
        <f t="shared" si="10"/>
        <v>38</v>
      </c>
      <c r="H96" s="536">
        <f>G96+'29'!H96</f>
        <v>-26</v>
      </c>
      <c r="I96" s="556"/>
      <c r="J96" s="629">
        <f>H96/DAY(B2)</f>
        <v>-0.8666666666666667</v>
      </c>
      <c r="K96" s="466"/>
      <c r="L96" s="408"/>
      <c r="O96" s="889"/>
    </row>
    <row r="97" spans="1:15" ht="27.75">
      <c r="A97" s="1231" t="s">
        <v>222</v>
      </c>
      <c r="B97" s="1232"/>
      <c r="C97" s="1232"/>
      <c r="D97" s="599" t="s">
        <v>155</v>
      </c>
      <c r="E97" s="531">
        <f>'29'!F97</f>
        <v>95625</v>
      </c>
      <c r="F97" s="560">
        <v>95648</v>
      </c>
      <c r="G97" s="549">
        <f t="shared" si="10"/>
        <v>23</v>
      </c>
      <c r="H97" s="536">
        <f>G97+'29'!H97</f>
        <v>-29</v>
      </c>
      <c r="I97" s="556"/>
      <c r="J97" s="629">
        <f>H97/DAY(B2)</f>
        <v>-0.96666666666666667</v>
      </c>
      <c r="K97" s="471"/>
      <c r="L97" s="408"/>
      <c r="O97" s="889"/>
    </row>
    <row r="98" spans="1:15" ht="27.75">
      <c r="A98" s="1231" t="s">
        <v>223</v>
      </c>
      <c r="B98" s="1232"/>
      <c r="C98" s="1232"/>
      <c r="D98" s="599" t="s">
        <v>155</v>
      </c>
      <c r="E98" s="531">
        <f>'29'!F98</f>
        <v>145422</v>
      </c>
      <c r="F98" s="560">
        <v>145479</v>
      </c>
      <c r="G98" s="549">
        <f t="shared" si="10"/>
        <v>57</v>
      </c>
      <c r="H98" s="536">
        <f>G98+'29'!H98</f>
        <v>-75</v>
      </c>
      <c r="I98" s="556"/>
      <c r="J98" s="629">
        <f>H98/DAY(B2)</f>
        <v>-2.5</v>
      </c>
      <c r="K98" s="411"/>
      <c r="L98" s="408"/>
      <c r="O98" s="889"/>
    </row>
    <row r="99" spans="1:15" ht="27.75">
      <c r="A99" s="1231" t="s">
        <v>224</v>
      </c>
      <c r="B99" s="1232"/>
      <c r="C99" s="1232"/>
      <c r="D99" s="599" t="s">
        <v>155</v>
      </c>
      <c r="E99" s="531">
        <f>'29'!F99</f>
        <v>5946</v>
      </c>
      <c r="F99" s="560">
        <v>5957</v>
      </c>
      <c r="G99" s="549">
        <f t="shared" si="10"/>
        <v>11</v>
      </c>
      <c r="H99" s="536">
        <f>G99+'29'!H99</f>
        <v>-17</v>
      </c>
      <c r="I99" s="556"/>
      <c r="J99" s="629">
        <f>H99/DAY(B2)</f>
        <v>-0.56666666666666665</v>
      </c>
      <c r="K99" s="411"/>
      <c r="L99" s="408"/>
      <c r="O99" s="889"/>
    </row>
    <row r="100" spans="1:15" ht="27.75">
      <c r="A100" s="1231" t="s">
        <v>225</v>
      </c>
      <c r="B100" s="1232"/>
      <c r="C100" s="1232"/>
      <c r="D100" s="599" t="s">
        <v>155</v>
      </c>
      <c r="E100" s="531">
        <f>'29'!F100</f>
        <v>4225</v>
      </c>
      <c r="F100" s="560">
        <v>4231</v>
      </c>
      <c r="G100" s="549">
        <f>F100-E100</f>
        <v>6</v>
      </c>
      <c r="H100" s="536">
        <f>G100+'29'!H100</f>
        <v>-6</v>
      </c>
      <c r="I100" s="556"/>
      <c r="J100" s="629">
        <f>H100/DAY(B2)</f>
        <v>-0.2</v>
      </c>
      <c r="K100" s="411"/>
      <c r="L100" s="408"/>
      <c r="O100" s="889"/>
    </row>
    <row r="101" spans="1:15" ht="29.25">
      <c r="A101" s="1594" t="s">
        <v>227</v>
      </c>
      <c r="B101" s="1595"/>
      <c r="C101" s="1595"/>
      <c r="D101" s="600"/>
      <c r="E101" s="600"/>
      <c r="F101" s="600"/>
      <c r="G101" s="601">
        <f>SUM(G95:G100)</f>
        <v>189</v>
      </c>
      <c r="H101" s="536">
        <f>G101+'29'!H101</f>
        <v>-222</v>
      </c>
      <c r="I101" s="602"/>
      <c r="J101" s="629">
        <f>H101/DAY(B2)</f>
        <v>-7.4</v>
      </c>
      <c r="K101" s="411"/>
      <c r="L101" s="408"/>
      <c r="O101" s="889"/>
    </row>
    <row r="102" spans="1:15" s="481" customFormat="1" ht="27">
      <c r="A102" s="684" t="s">
        <v>228</v>
      </c>
      <c r="B102" s="685"/>
      <c r="C102" s="685"/>
      <c r="D102" s="698"/>
      <c r="E102" s="603"/>
      <c r="F102" s="604"/>
      <c r="G102" s="605"/>
      <c r="H102" s="606"/>
      <c r="I102" s="607"/>
      <c r="J102" s="634"/>
      <c r="O102" s="889"/>
    </row>
    <row r="103" spans="1:15" s="481" customFormat="1" ht="27.75">
      <c r="A103" s="1600" t="s">
        <v>229</v>
      </c>
      <c r="B103" s="1601"/>
      <c r="C103" s="650"/>
      <c r="D103" s="699"/>
      <c r="E103" s="608"/>
      <c r="F103" s="608"/>
      <c r="G103" s="608"/>
      <c r="H103" s="609"/>
      <c r="I103" s="608"/>
      <c r="J103" s="635"/>
      <c r="O103" s="889"/>
    </row>
    <row r="104" spans="1:15" s="481" customFormat="1" ht="27.75">
      <c r="A104" s="1575" t="s">
        <v>230</v>
      </c>
      <c r="B104" s="1576"/>
      <c r="C104" s="1229"/>
      <c r="D104" s="699" t="s">
        <v>155</v>
      </c>
      <c r="E104" s="608">
        <f>'29'!F104</f>
        <v>7010</v>
      </c>
      <c r="F104" s="608">
        <v>7010</v>
      </c>
      <c r="G104" s="608">
        <f>F104-E104</f>
        <v>0</v>
      </c>
      <c r="H104" s="609">
        <f>SUM(G104+'1'!G76)</f>
        <v>74</v>
      </c>
      <c r="I104" s="608"/>
      <c r="J104" s="635">
        <f>H104/DAY(B2)</f>
        <v>2.4666666666666668</v>
      </c>
      <c r="O104" s="889"/>
    </row>
    <row r="105" spans="1:15" s="481" customFormat="1" ht="27.75">
      <c r="A105" s="1575" t="s">
        <v>77</v>
      </c>
      <c r="B105" s="1576"/>
      <c r="C105" s="1229"/>
      <c r="D105" s="699" t="s">
        <v>155</v>
      </c>
      <c r="E105" s="608">
        <f>'29'!F105</f>
        <v>35146</v>
      </c>
      <c r="F105" s="610">
        <v>35149</v>
      </c>
      <c r="G105" s="608">
        <f t="shared" ref="G105:G106" si="11">F105-E105</f>
        <v>3</v>
      </c>
      <c r="H105" s="609">
        <f>SUM(G105+'1'!G77)</f>
        <v>51</v>
      </c>
      <c r="I105" s="608"/>
      <c r="J105" s="635">
        <f>H105/DAY(B2)</f>
        <v>1.7</v>
      </c>
      <c r="O105" s="889"/>
    </row>
    <row r="106" spans="1:15" s="481" customFormat="1" ht="27.75">
      <c r="A106" s="1575" t="s">
        <v>78</v>
      </c>
      <c r="B106" s="1576"/>
      <c r="C106" s="1576"/>
      <c r="D106" s="699" t="s">
        <v>155</v>
      </c>
      <c r="E106" s="608">
        <f>'29'!F106</f>
        <v>19070</v>
      </c>
      <c r="F106" s="608">
        <v>19075</v>
      </c>
      <c r="G106" s="608">
        <f t="shared" si="11"/>
        <v>5</v>
      </c>
      <c r="H106" s="609">
        <f>SUM(G106+'1'!G78)</f>
        <v>339</v>
      </c>
      <c r="I106" s="608"/>
      <c r="J106" s="635">
        <f>H106/DAY(B2)</f>
        <v>11.3</v>
      </c>
      <c r="O106" s="889"/>
    </row>
    <row r="107" spans="1:15" s="481" customFormat="1" ht="27.75">
      <c r="A107" s="1565" t="s">
        <v>213</v>
      </c>
      <c r="B107" s="1566"/>
      <c r="C107" s="1229"/>
      <c r="D107" s="699"/>
      <c r="E107" s="608">
        <f>'29'!F107</f>
        <v>0</v>
      </c>
      <c r="F107" s="608"/>
      <c r="G107" s="608">
        <f>SUM(G104:G106)</f>
        <v>8</v>
      </c>
      <c r="H107" s="609">
        <f>SUM(G107+'1'!G79)</f>
        <v>213</v>
      </c>
      <c r="I107" s="608"/>
      <c r="J107" s="635">
        <f>H107/DAY(B2)</f>
        <v>7.1</v>
      </c>
      <c r="O107" s="889"/>
    </row>
    <row r="108" spans="1:15" s="481" customFormat="1" ht="27.75">
      <c r="A108" s="1573" t="s">
        <v>79</v>
      </c>
      <c r="B108" s="1574"/>
      <c r="C108" s="1229"/>
      <c r="D108" s="699" t="s">
        <v>155</v>
      </c>
      <c r="E108" s="608">
        <f>'29'!F108</f>
        <v>0</v>
      </c>
      <c r="F108" s="608"/>
      <c r="G108" s="608"/>
      <c r="H108" s="609"/>
      <c r="I108" s="608"/>
      <c r="J108" s="635"/>
      <c r="O108" s="889"/>
    </row>
    <row r="109" spans="1:15" s="481" customFormat="1" ht="27.75">
      <c r="A109" s="1575" t="s">
        <v>231</v>
      </c>
      <c r="B109" s="1576"/>
      <c r="C109" s="1229"/>
      <c r="D109" s="699" t="s">
        <v>155</v>
      </c>
      <c r="E109" s="608">
        <f>'29'!F109</f>
        <v>54545</v>
      </c>
      <c r="F109" s="608">
        <v>54608</v>
      </c>
      <c r="G109" s="608">
        <f>F109-E109</f>
        <v>63</v>
      </c>
      <c r="H109" s="609">
        <f>SUM(G109+'1'!G81)</f>
        <v>139</v>
      </c>
      <c r="I109" s="608"/>
      <c r="J109" s="635">
        <f>H109/DAY(B2)</f>
        <v>4.6333333333333337</v>
      </c>
      <c r="O109" s="889"/>
    </row>
    <row r="110" spans="1:15" s="481" customFormat="1" ht="27.75">
      <c r="A110" s="1575" t="s">
        <v>232</v>
      </c>
      <c r="B110" s="1576"/>
      <c r="C110" s="1229"/>
      <c r="D110" s="699" t="s">
        <v>155</v>
      </c>
      <c r="E110" s="608">
        <f>'29'!F110</f>
        <v>28383</v>
      </c>
      <c r="F110" s="608">
        <v>28474</v>
      </c>
      <c r="G110" s="608">
        <f t="shared" ref="G110:G111" si="12">F110-E110</f>
        <v>91</v>
      </c>
      <c r="H110" s="609">
        <f>SUM(G110+'1'!G82)</f>
        <v>136</v>
      </c>
      <c r="I110" s="608"/>
      <c r="J110" s="635">
        <f>H110/DAY(B2)</f>
        <v>4.5333333333333332</v>
      </c>
      <c r="O110" s="889"/>
    </row>
    <row r="111" spans="1:15" s="481" customFormat="1" ht="27.75">
      <c r="A111" s="1575" t="s">
        <v>233</v>
      </c>
      <c r="B111" s="1576"/>
      <c r="C111" s="1229"/>
      <c r="D111" s="699" t="s">
        <v>155</v>
      </c>
      <c r="E111" s="608">
        <f>'29'!F111</f>
        <v>3726</v>
      </c>
      <c r="F111" s="608">
        <v>3754</v>
      </c>
      <c r="G111" s="608">
        <f t="shared" si="12"/>
        <v>28</v>
      </c>
      <c r="H111" s="609">
        <f>SUM(G111+'1'!G83)</f>
        <v>461</v>
      </c>
      <c r="I111" s="608"/>
      <c r="J111" s="635">
        <f>H111/DAY(B2)</f>
        <v>15.366666666666667</v>
      </c>
      <c r="O111" s="889"/>
    </row>
    <row r="112" spans="1:15" s="481" customFormat="1" ht="27.75">
      <c r="A112" s="1571" t="s">
        <v>121</v>
      </c>
      <c r="B112" s="1572"/>
      <c r="C112" s="1229"/>
      <c r="D112" s="699"/>
      <c r="E112" s="608">
        <f>'29'!F112</f>
        <v>0</v>
      </c>
      <c r="F112" s="608"/>
      <c r="G112" s="608">
        <f>SUM(G109:G111)</f>
        <v>182</v>
      </c>
      <c r="H112" s="609">
        <f>SUM(G112+'1'!G84)</f>
        <v>703</v>
      </c>
      <c r="I112" s="608"/>
      <c r="J112" s="635">
        <f>H112/DAY(B2)</f>
        <v>23.433333333333334</v>
      </c>
      <c r="O112" s="889"/>
    </row>
    <row r="113" spans="1:15" s="481" customFormat="1" ht="27.75">
      <c r="A113" s="1573" t="s">
        <v>234</v>
      </c>
      <c r="B113" s="1574"/>
      <c r="C113" s="1229"/>
      <c r="D113" s="699"/>
      <c r="E113" s="608">
        <f>'29'!F113</f>
        <v>0</v>
      </c>
      <c r="F113" s="608"/>
      <c r="G113" s="608"/>
      <c r="H113" s="609"/>
      <c r="I113" s="608"/>
      <c r="J113" s="635">
        <f>H113/DAY(B2)</f>
        <v>0</v>
      </c>
      <c r="O113" s="889"/>
    </row>
    <row r="114" spans="1:15" s="481" customFormat="1" ht="27.75">
      <c r="A114" s="1575" t="s">
        <v>235</v>
      </c>
      <c r="B114" s="1576"/>
      <c r="C114" s="651"/>
      <c r="D114" s="699" t="s">
        <v>155</v>
      </c>
      <c r="E114" s="608">
        <f>'29'!F114</f>
        <v>9768</v>
      </c>
      <c r="F114" s="610">
        <v>9781</v>
      </c>
      <c r="G114" s="610">
        <f>F114-E114</f>
        <v>13</v>
      </c>
      <c r="H114" s="610">
        <f>SUM(G114+'1'!G91)</f>
        <v>13</v>
      </c>
      <c r="I114" s="608"/>
      <c r="J114" s="635">
        <f>H114/DAY(B2)</f>
        <v>0.43333333333333335</v>
      </c>
      <c r="O114" s="889"/>
    </row>
    <row r="115" spans="1:15" s="481" customFormat="1" ht="27.75">
      <c r="A115" s="1575" t="s">
        <v>236</v>
      </c>
      <c r="B115" s="1576"/>
      <c r="C115" s="651"/>
      <c r="D115" s="699" t="s">
        <v>155</v>
      </c>
      <c r="E115" s="608">
        <f>'29'!F115</f>
        <v>7415</v>
      </c>
      <c r="F115" s="610">
        <v>7421</v>
      </c>
      <c r="G115" s="610">
        <f t="shared" ref="G115:G116" si="13">F115-E115</f>
        <v>6</v>
      </c>
      <c r="H115" s="610">
        <f>SUM(G115+'1'!G92)</f>
        <v>93</v>
      </c>
      <c r="I115" s="608"/>
      <c r="J115" s="635">
        <f>H115/DAY(B2)</f>
        <v>3.1</v>
      </c>
      <c r="O115" s="889"/>
    </row>
    <row r="116" spans="1:15" s="481" customFormat="1" ht="27.75">
      <c r="A116" s="1575" t="s">
        <v>237</v>
      </c>
      <c r="B116" s="1576"/>
      <c r="C116" s="651"/>
      <c r="D116" s="699" t="s">
        <v>155</v>
      </c>
      <c r="E116" s="610"/>
      <c r="F116" s="610"/>
      <c r="G116" s="610">
        <f t="shared" si="13"/>
        <v>0</v>
      </c>
      <c r="H116" s="610">
        <f>SUM(G116+'1'!G93)</f>
        <v>200</v>
      </c>
      <c r="I116" s="608"/>
      <c r="J116" s="635">
        <f>H116/DAY(B2)</f>
        <v>6.666666666666667</v>
      </c>
      <c r="O116" s="889"/>
    </row>
    <row r="117" spans="1:15" s="494" customFormat="1" ht="27.75">
      <c r="A117" s="1565" t="s">
        <v>213</v>
      </c>
      <c r="B117" s="1566"/>
      <c r="C117" s="651"/>
      <c r="D117" s="700"/>
      <c r="E117" s="610"/>
      <c r="F117" s="610"/>
      <c r="G117" s="610">
        <f>SUM(G114:G116)</f>
        <v>19</v>
      </c>
      <c r="H117" s="610">
        <f>SUM(G117+'1'!G95)</f>
        <v>91</v>
      </c>
      <c r="I117" s="610"/>
      <c r="J117" s="635">
        <f>H117/DAY(B2)</f>
        <v>3.0333333333333332</v>
      </c>
      <c r="O117" s="889"/>
    </row>
    <row r="118" spans="1:15" s="495" customFormat="1" ht="27.75">
      <c r="A118" s="1567" t="s">
        <v>238</v>
      </c>
      <c r="B118" s="1568"/>
      <c r="C118" s="1228"/>
      <c r="D118" s="701" t="s">
        <v>155</v>
      </c>
      <c r="E118" s="611"/>
      <c r="F118" s="612">
        <f>SUM(G19+G92)</f>
        <v>125</v>
      </c>
      <c r="G118" s="612">
        <f>SUM(G19+G92)</f>
        <v>125</v>
      </c>
      <c r="H118" s="613">
        <f>SUM(G118+'1'!G96)</f>
        <v>148</v>
      </c>
      <c r="I118" s="611"/>
      <c r="J118" s="636">
        <f>H118/DAY(B2)</f>
        <v>4.9333333333333336</v>
      </c>
      <c r="O118" s="889"/>
    </row>
    <row r="119" spans="1:15" s="495" customFormat="1" ht="27.75">
      <c r="A119" s="1567" t="s">
        <v>239</v>
      </c>
      <c r="B119" s="1568"/>
      <c r="C119" s="1228"/>
      <c r="D119" s="701" t="s">
        <v>155</v>
      </c>
      <c r="E119" s="611"/>
      <c r="F119" s="612">
        <f>SUM(G95,G96,G97,G99,G100)</f>
        <v>132</v>
      </c>
      <c r="G119" s="612">
        <f>SUM(G95,G96,G97,G99,G100)</f>
        <v>132</v>
      </c>
      <c r="H119" s="613">
        <f>SUM(G119+'1'!G98)</f>
        <v>215</v>
      </c>
      <c r="I119" s="611"/>
      <c r="J119" s="636">
        <f>H119/DAY(B2)</f>
        <v>7.166666666666667</v>
      </c>
      <c r="O119" s="889"/>
    </row>
    <row r="120" spans="1:15" s="495" customFormat="1" ht="27.75">
      <c r="A120" s="1567" t="s">
        <v>240</v>
      </c>
      <c r="B120" s="1568"/>
      <c r="C120" s="1228"/>
      <c r="D120" s="701" t="s">
        <v>155</v>
      </c>
      <c r="E120" s="611"/>
      <c r="F120" s="610">
        <f>SUM(G112)</f>
        <v>182</v>
      </c>
      <c r="G120" s="610">
        <f>SUM(G112)</f>
        <v>182</v>
      </c>
      <c r="H120" s="613">
        <f>SUM(G120+'1'!G100)</f>
        <v>188</v>
      </c>
      <c r="I120" s="611"/>
      <c r="J120" s="636">
        <f>H120/DAY(B2)</f>
        <v>6.2666666666666666</v>
      </c>
      <c r="O120" s="889"/>
    </row>
    <row r="121" spans="1:15" s="481" customFormat="1" ht="27.75">
      <c r="A121" s="1569"/>
      <c r="B121" s="1570"/>
      <c r="C121" s="1229"/>
      <c r="D121" s="637"/>
      <c r="E121" s="637"/>
      <c r="F121" s="637" t="s">
        <v>226</v>
      </c>
      <c r="G121" s="637"/>
      <c r="H121" s="638"/>
      <c r="I121" s="637"/>
      <c r="J121" s="639"/>
      <c r="O121" s="889"/>
    </row>
    <row r="122" spans="1:15" ht="29.25">
      <c r="A122" s="1596" t="s">
        <v>241</v>
      </c>
      <c r="B122" s="1597"/>
      <c r="C122" s="1597"/>
      <c r="D122" s="548"/>
      <c r="E122" s="548"/>
      <c r="F122" s="548"/>
      <c r="G122" s="559"/>
      <c r="H122" s="559"/>
      <c r="I122" s="559"/>
      <c r="J122" s="640"/>
      <c r="K122" s="411"/>
      <c r="L122" s="408"/>
      <c r="O122" s="889"/>
    </row>
    <row r="123" spans="1:15" ht="21.95" customHeight="1">
      <c r="A123" s="1231" t="s">
        <v>242</v>
      </c>
      <c r="B123" s="1232"/>
      <c r="C123" s="1232"/>
      <c r="D123" s="599" t="s">
        <v>152</v>
      </c>
      <c r="E123" s="531">
        <f>'29'!F123</f>
        <v>802782.99</v>
      </c>
      <c r="F123" s="554">
        <v>803053</v>
      </c>
      <c r="G123" s="549">
        <f t="shared" ref="G123:G127" si="14">F123-E123</f>
        <v>270.01000000000931</v>
      </c>
      <c r="H123" s="536">
        <f>G123+'29'!H123</f>
        <v>-282.40000000002328</v>
      </c>
      <c r="I123" s="602"/>
      <c r="J123" s="629">
        <f>H123/DAY(B2)</f>
        <v>-9.4133333333341103</v>
      </c>
      <c r="K123" s="411"/>
      <c r="L123" s="408"/>
      <c r="O123" s="889"/>
    </row>
    <row r="124" spans="1:15" ht="21.95" customHeight="1">
      <c r="A124" s="1231" t="s">
        <v>243</v>
      </c>
      <c r="B124" s="1232"/>
      <c r="C124" s="1232"/>
      <c r="D124" s="599" t="s">
        <v>152</v>
      </c>
      <c r="E124" s="531">
        <f>'29'!F124</f>
        <v>73582</v>
      </c>
      <c r="F124" s="554">
        <v>73582</v>
      </c>
      <c r="G124" s="549">
        <f t="shared" si="14"/>
        <v>0</v>
      </c>
      <c r="H124" s="536">
        <f>G124+'29'!H124</f>
        <v>0</v>
      </c>
      <c r="I124" s="602"/>
      <c r="J124" s="629">
        <f>H124/DAY(B2)</f>
        <v>0</v>
      </c>
      <c r="K124" s="411"/>
      <c r="L124" s="408"/>
      <c r="O124" s="889"/>
    </row>
    <row r="125" spans="1:15" ht="21.95" customHeight="1">
      <c r="A125" s="1590" t="s">
        <v>244</v>
      </c>
      <c r="B125" s="1381"/>
      <c r="C125" s="1381"/>
      <c r="D125" s="599" t="s">
        <v>152</v>
      </c>
      <c r="E125" s="531">
        <f>'29'!F125</f>
        <v>137739.76999999999</v>
      </c>
      <c r="F125" s="554">
        <v>137792</v>
      </c>
      <c r="G125" s="549">
        <f t="shared" si="14"/>
        <v>52.230000000010477</v>
      </c>
      <c r="H125" s="536">
        <f>G125+'29'!H125</f>
        <v>-56</v>
      </c>
      <c r="I125" s="602"/>
      <c r="J125" s="629">
        <f>H125/DAY(B2)</f>
        <v>-1.8666666666666667</v>
      </c>
      <c r="K125" s="411"/>
      <c r="L125" s="408"/>
      <c r="O125" s="889"/>
    </row>
    <row r="126" spans="1:15" ht="21.95" customHeight="1">
      <c r="A126" s="686" t="s">
        <v>245</v>
      </c>
      <c r="B126" s="1232"/>
      <c r="C126" s="1232"/>
      <c r="D126" s="599" t="s">
        <v>152</v>
      </c>
      <c r="E126" s="531">
        <f>'29'!F126</f>
        <v>58320</v>
      </c>
      <c r="F126" s="554">
        <v>58351</v>
      </c>
      <c r="G126" s="549">
        <f t="shared" si="14"/>
        <v>31</v>
      </c>
      <c r="H126" s="536">
        <f>G126+'29'!H126</f>
        <v>-40.69999999999709</v>
      </c>
      <c r="I126" s="602"/>
      <c r="J126" s="629">
        <f>H126/DAY(B2)</f>
        <v>-1.3566666666665697</v>
      </c>
      <c r="K126" s="411"/>
      <c r="L126" s="408"/>
      <c r="O126" s="889"/>
    </row>
    <row r="127" spans="1:15" ht="21.95" customHeight="1">
      <c r="A127" s="686" t="s">
        <v>246</v>
      </c>
      <c r="B127" s="1232"/>
      <c r="C127" s="1232"/>
      <c r="D127" s="599" t="s">
        <v>152</v>
      </c>
      <c r="E127" s="531">
        <f>'29'!F127</f>
        <v>8807</v>
      </c>
      <c r="F127" s="554">
        <v>8812</v>
      </c>
      <c r="G127" s="549">
        <f t="shared" si="14"/>
        <v>5</v>
      </c>
      <c r="H127" s="536">
        <f>G127+'29'!H127</f>
        <v>-4</v>
      </c>
      <c r="I127" s="556"/>
      <c r="J127" s="629">
        <f>H127/DAY(B2)</f>
        <v>-0.13333333333333333</v>
      </c>
      <c r="K127" s="411"/>
      <c r="L127" s="408"/>
      <c r="O127" s="889"/>
    </row>
    <row r="128" spans="1:15" s="281" customFormat="1" ht="21.75" customHeight="1">
      <c r="A128" s="686" t="s">
        <v>247</v>
      </c>
      <c r="B128" s="1232"/>
      <c r="C128" s="1232"/>
      <c r="D128" s="599"/>
      <c r="E128" s="531"/>
      <c r="F128" s="554"/>
      <c r="G128" s="549">
        <f>G15-SUM(G123:G127)</f>
        <v>309.51999999998952</v>
      </c>
      <c r="H128" s="536"/>
      <c r="I128" s="556"/>
      <c r="J128" s="629"/>
      <c r="K128" s="391"/>
      <c r="L128" s="293"/>
      <c r="O128" s="889"/>
    </row>
    <row r="129" spans="1:15" ht="29.25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O129" s="889"/>
    </row>
    <row r="130" spans="1:15" ht="27.75">
      <c r="A130" s="1231" t="s">
        <v>249</v>
      </c>
      <c r="B130" s="1232"/>
      <c r="C130" s="1232"/>
      <c r="D130" s="599" t="s">
        <v>250</v>
      </c>
      <c r="E130" s="531">
        <f>'29'!F130</f>
        <v>0</v>
      </c>
      <c r="F130" s="560">
        <v>0</v>
      </c>
      <c r="G130" s="549">
        <f t="shared" ref="G130:G140" si="15">F130-E130</f>
        <v>0</v>
      </c>
      <c r="H130" s="536">
        <f>G130+'29'!H130</f>
        <v>0</v>
      </c>
      <c r="I130" s="556"/>
      <c r="J130" s="629">
        <f>H130/DAY(B2)</f>
        <v>0</v>
      </c>
      <c r="O130" s="889"/>
    </row>
    <row r="131" spans="1:15" ht="27.75">
      <c r="A131" s="1231" t="s">
        <v>251</v>
      </c>
      <c r="B131" s="1232"/>
      <c r="C131" s="1232"/>
      <c r="D131" s="599" t="s">
        <v>250</v>
      </c>
      <c r="E131" s="531">
        <f>'29'!F131</f>
        <v>0</v>
      </c>
      <c r="F131" s="560">
        <v>0</v>
      </c>
      <c r="G131" s="549">
        <f t="shared" si="15"/>
        <v>0</v>
      </c>
      <c r="H131" s="536">
        <f>G131+'29'!H131</f>
        <v>0</v>
      </c>
      <c r="I131" s="556"/>
      <c r="J131" s="629">
        <f>H131/DAY(B2)</f>
        <v>0</v>
      </c>
      <c r="O131" s="889"/>
    </row>
    <row r="132" spans="1:15" ht="27.75">
      <c r="A132" s="1231" t="s">
        <v>252</v>
      </c>
      <c r="B132" s="1232"/>
      <c r="C132" s="1232"/>
      <c r="D132" s="599" t="s">
        <v>250</v>
      </c>
      <c r="E132" s="531">
        <f>'29'!F132</f>
        <v>39056.54</v>
      </c>
      <c r="F132" s="618">
        <v>39080.410000000003</v>
      </c>
      <c r="G132" s="549">
        <f t="shared" si="15"/>
        <v>23.870000000002619</v>
      </c>
      <c r="H132" s="536">
        <f>G132+'29'!H132</f>
        <v>362.0199999999968</v>
      </c>
      <c r="I132" s="556"/>
      <c r="J132" s="629">
        <f>H132/DAY(B2)</f>
        <v>12.067333333333227</v>
      </c>
      <c r="O132" s="889"/>
    </row>
    <row r="133" spans="1:15" ht="27.75">
      <c r="A133" s="1231" t="s">
        <v>253</v>
      </c>
      <c r="B133" s="1232"/>
      <c r="C133" s="1232"/>
      <c r="D133" s="599" t="s">
        <v>250</v>
      </c>
      <c r="E133" s="531">
        <f>'29'!F133</f>
        <v>299</v>
      </c>
      <c r="F133" s="618">
        <v>299</v>
      </c>
      <c r="G133" s="549">
        <f t="shared" si="15"/>
        <v>0</v>
      </c>
      <c r="H133" s="536">
        <f>G133+'29'!H133</f>
        <v>0</v>
      </c>
      <c r="I133" s="556">
        <f>G130+G131+G132+G133</f>
        <v>23.870000000002619</v>
      </c>
      <c r="J133" s="629">
        <f>H133/DAY(B2)</f>
        <v>0</v>
      </c>
      <c r="O133" s="889"/>
    </row>
    <row r="134" spans="1:15" ht="27.75">
      <c r="A134" s="1231" t="s">
        <v>254</v>
      </c>
      <c r="B134" s="1232"/>
      <c r="C134" s="1232"/>
      <c r="D134" s="599" t="s">
        <v>250</v>
      </c>
      <c r="E134" s="531">
        <f>'29'!F134</f>
        <v>39951</v>
      </c>
      <c r="F134" s="618">
        <v>39951</v>
      </c>
      <c r="G134" s="549">
        <f t="shared" si="15"/>
        <v>0</v>
      </c>
      <c r="H134" s="536">
        <f>G134+'29'!H134</f>
        <v>23.94999999999709</v>
      </c>
      <c r="I134" s="556"/>
      <c r="J134" s="629">
        <f>H134/DAY(B2)</f>
        <v>0.79833333333323631</v>
      </c>
      <c r="O134" s="889"/>
    </row>
    <row r="135" spans="1:15" ht="27.75">
      <c r="A135" s="1231" t="s">
        <v>255</v>
      </c>
      <c r="B135" s="1232"/>
      <c r="C135" s="1232"/>
      <c r="D135" s="599" t="s">
        <v>250</v>
      </c>
      <c r="E135" s="531">
        <f>'29'!F135</f>
        <v>32423</v>
      </c>
      <c r="F135" s="618">
        <v>32423</v>
      </c>
      <c r="G135" s="549">
        <f t="shared" si="15"/>
        <v>0</v>
      </c>
      <c r="H135" s="536">
        <f>G135+'29'!H135</f>
        <v>13</v>
      </c>
      <c r="I135" s="556"/>
      <c r="J135" s="629">
        <f>H135/DAY(B2)</f>
        <v>0.43333333333333335</v>
      </c>
      <c r="O135" s="889"/>
    </row>
    <row r="136" spans="1:15" ht="27.75">
      <c r="A136" s="1231" t="s">
        <v>256</v>
      </c>
      <c r="B136" s="1232"/>
      <c r="C136" s="1232"/>
      <c r="D136" s="599" t="s">
        <v>250</v>
      </c>
      <c r="E136" s="531">
        <f>'29'!F136</f>
        <v>21988.73</v>
      </c>
      <c r="F136" s="618">
        <v>21992.48</v>
      </c>
      <c r="G136" s="549">
        <f t="shared" si="15"/>
        <v>3.75</v>
      </c>
      <c r="H136" s="536">
        <f>G136+'29'!H136</f>
        <v>-9.4799999999995634</v>
      </c>
      <c r="I136" s="556">
        <f>G134+G135+G136</f>
        <v>3.75</v>
      </c>
      <c r="J136" s="629">
        <f>H136/DAY(B2)</f>
        <v>-0.31599999999998546</v>
      </c>
      <c r="O136" s="889"/>
    </row>
    <row r="137" spans="1:15" ht="27.75">
      <c r="A137" s="1231" t="s">
        <v>257</v>
      </c>
      <c r="B137" s="1232"/>
      <c r="C137" s="1232"/>
      <c r="D137" s="599" t="s">
        <v>250</v>
      </c>
      <c r="E137" s="531">
        <f>'29'!F137</f>
        <v>25019.94</v>
      </c>
      <c r="F137" s="618">
        <v>25019.94</v>
      </c>
      <c r="G137" s="549">
        <f t="shared" si="15"/>
        <v>0</v>
      </c>
      <c r="H137" s="536">
        <f>G137+'29'!H137</f>
        <v>8</v>
      </c>
      <c r="I137" s="556"/>
      <c r="J137" s="629">
        <f>H137/DAY(B2)</f>
        <v>0.26666666666666666</v>
      </c>
      <c r="O137" s="889"/>
    </row>
    <row r="138" spans="1:15" ht="27.75">
      <c r="A138" s="1231" t="s">
        <v>258</v>
      </c>
      <c r="B138" s="1232"/>
      <c r="C138" s="1232"/>
      <c r="D138" s="599" t="s">
        <v>250</v>
      </c>
      <c r="E138" s="531">
        <f>'29'!F138</f>
        <v>70059.78</v>
      </c>
      <c r="F138" s="618">
        <v>70063.89</v>
      </c>
      <c r="G138" s="549">
        <f t="shared" si="15"/>
        <v>4.1100000000005821</v>
      </c>
      <c r="H138" s="536">
        <f>G138+'29'!H138</f>
        <v>21.089999999996508</v>
      </c>
      <c r="I138" s="556">
        <f>G137+G138</f>
        <v>4.1100000000005821</v>
      </c>
      <c r="J138" s="629">
        <f>H138/DAY(B2)</f>
        <v>0.70299999999988361</v>
      </c>
      <c r="O138" s="889"/>
    </row>
    <row r="139" spans="1:15" ht="27.75">
      <c r="A139" s="1231" t="s">
        <v>259</v>
      </c>
      <c r="B139" s="1232"/>
      <c r="C139" s="1232"/>
      <c r="D139" s="599" t="s">
        <v>250</v>
      </c>
      <c r="E139" s="531">
        <f>'29'!F139</f>
        <v>1184.42</v>
      </c>
      <c r="F139" s="560">
        <v>1192.3399999999999</v>
      </c>
      <c r="G139" s="549">
        <f t="shared" si="15"/>
        <v>7.9199999999998454</v>
      </c>
      <c r="H139" s="536">
        <f>G139+'29'!H139</f>
        <v>-8.25</v>
      </c>
      <c r="I139" s="619"/>
      <c r="J139" s="629">
        <f>H139/DAY(B2)</f>
        <v>-0.27500000000000002</v>
      </c>
      <c r="O139" s="889"/>
    </row>
    <row r="140" spans="1:15" ht="27.75">
      <c r="A140" s="1231" t="s">
        <v>260</v>
      </c>
      <c r="B140" s="1232"/>
      <c r="C140" s="1232"/>
      <c r="D140" s="599" t="s">
        <v>250</v>
      </c>
      <c r="E140" s="531">
        <f>'29'!F140</f>
        <v>4334</v>
      </c>
      <c r="F140" s="560">
        <v>4334</v>
      </c>
      <c r="G140" s="549">
        <f t="shared" si="15"/>
        <v>0</v>
      </c>
      <c r="H140" s="536">
        <f>G140+'29'!H140</f>
        <v>0</v>
      </c>
      <c r="I140" s="619"/>
      <c r="J140" s="629">
        <f>H140/DAY(B2)</f>
        <v>0</v>
      </c>
      <c r="O140" s="889"/>
    </row>
    <row r="141" spans="1:15" ht="21.95" customHeight="1">
      <c r="A141" s="1598" t="s">
        <v>261</v>
      </c>
      <c r="B141" s="1599"/>
      <c r="C141" s="1237"/>
      <c r="D141" s="548"/>
      <c r="E141" s="548"/>
      <c r="F141" s="548"/>
      <c r="G141" s="559"/>
      <c r="H141" s="559"/>
      <c r="I141" s="559"/>
      <c r="J141" s="640"/>
      <c r="K141" s="411"/>
      <c r="L141" s="408"/>
      <c r="O141" s="889"/>
    </row>
    <row r="142" spans="1:15" ht="21.95" customHeight="1">
      <c r="A142" s="1577" t="s">
        <v>262</v>
      </c>
      <c r="B142" s="1578"/>
      <c r="C142" s="1578"/>
      <c r="D142" s="599" t="s">
        <v>143</v>
      </c>
      <c r="E142" s="599"/>
      <c r="F142" s="599"/>
      <c r="G142" s="536">
        <f>G35+G43+G49+G57</f>
        <v>5306.8800000000047</v>
      </c>
      <c r="H142" s="536">
        <f>G142+'29'!H142</f>
        <v>-6953.0100000000093</v>
      </c>
      <c r="I142" s="556"/>
      <c r="J142" s="629">
        <f>H142/DAY(B2)</f>
        <v>-231.76700000000031</v>
      </c>
      <c r="K142" s="411"/>
      <c r="L142" s="408"/>
      <c r="O142" s="889"/>
    </row>
    <row r="143" spans="1:15" ht="21.95" customHeight="1">
      <c r="A143" s="1577" t="s">
        <v>263</v>
      </c>
      <c r="B143" s="1578"/>
      <c r="C143" s="1578"/>
      <c r="D143" s="599" t="s">
        <v>24</v>
      </c>
      <c r="E143" s="587"/>
      <c r="F143" s="587"/>
      <c r="G143" s="620">
        <f>G142/G7</f>
        <v>0.28053496854680998</v>
      </c>
      <c r="H143" s="536">
        <f>G143+'29'!H143</f>
        <v>7.7928979888818271</v>
      </c>
      <c r="I143" s="621"/>
      <c r="J143" s="629">
        <f>H143/DAY(B2)</f>
        <v>0.25976326629606089</v>
      </c>
      <c r="K143" s="411"/>
      <c r="L143" s="408"/>
      <c r="O143" s="889"/>
    </row>
    <row r="144" spans="1:15" ht="21.95" customHeight="1">
      <c r="A144" s="1577" t="s">
        <v>264</v>
      </c>
      <c r="B144" s="1578"/>
      <c r="C144" s="1578"/>
      <c r="D144" s="599" t="s">
        <v>143</v>
      </c>
      <c r="E144" s="531"/>
      <c r="F144" s="531"/>
      <c r="G144" s="536">
        <f>G41+G42+G55+G56</f>
        <v>3768.9499999999971</v>
      </c>
      <c r="H144" s="536">
        <f>G144+'29'!H144</f>
        <v>60246.939999999959</v>
      </c>
      <c r="I144" s="556"/>
      <c r="J144" s="629">
        <f>H144/DAY(B2)</f>
        <v>2008.231333333332</v>
      </c>
      <c r="K144" s="411"/>
      <c r="L144" s="408"/>
      <c r="O144" s="889"/>
    </row>
    <row r="145" spans="1:15" ht="21.95" customHeight="1">
      <c r="A145" s="1577" t="s">
        <v>265</v>
      </c>
      <c r="B145" s="1578"/>
      <c r="C145" s="1578"/>
      <c r="D145" s="599" t="s">
        <v>24</v>
      </c>
      <c r="E145" s="531"/>
      <c r="F145" s="531"/>
      <c r="G145" s="620">
        <f>G144/G7</f>
        <v>0.19923613680816182</v>
      </c>
      <c r="H145" s="536">
        <f>G145+'29'!H145</f>
        <v>6.2903828578886092</v>
      </c>
      <c r="I145" s="621"/>
      <c r="J145" s="629">
        <f>H145/DAY(B2)</f>
        <v>0.20967942859628697</v>
      </c>
      <c r="K145" s="411"/>
      <c r="L145" s="408"/>
      <c r="O145" s="889"/>
    </row>
    <row r="146" spans="1:15" ht="21.95" customHeight="1">
      <c r="A146" s="1577" t="s">
        <v>266</v>
      </c>
      <c r="B146" s="1578"/>
      <c r="C146" s="1578"/>
      <c r="D146" s="599" t="s">
        <v>143</v>
      </c>
      <c r="E146" s="531"/>
      <c r="F146" s="531"/>
      <c r="G146" s="536">
        <f>G39+G53</f>
        <v>4159.0300000000279</v>
      </c>
      <c r="H146" s="536">
        <f>G146+'29'!H146</f>
        <v>908273.73</v>
      </c>
      <c r="I146" s="622"/>
      <c r="J146" s="629">
        <f>H146/DAY(B2)</f>
        <v>30275.791000000001</v>
      </c>
      <c r="K146" s="411"/>
      <c r="L146" s="408"/>
      <c r="O146" s="889"/>
    </row>
    <row r="147" spans="1:15" ht="21.95" customHeight="1">
      <c r="A147" s="1577" t="s">
        <v>267</v>
      </c>
      <c r="B147" s="1578"/>
      <c r="C147" s="1578"/>
      <c r="D147" s="599" t="s">
        <v>24</v>
      </c>
      <c r="E147" s="531"/>
      <c r="F147" s="531"/>
      <c r="G147" s="620">
        <f>G146/G7</f>
        <v>0.21985674261246646</v>
      </c>
      <c r="H147" s="536">
        <f>G147+'29'!H147</f>
        <v>4.9772604617854519</v>
      </c>
      <c r="I147" s="622"/>
      <c r="J147" s="629">
        <f>H147/DAY(B2)</f>
        <v>0.16590868205951506</v>
      </c>
      <c r="O147" s="889"/>
    </row>
    <row r="148" spans="1:15" ht="21.95" customHeight="1">
      <c r="A148" s="1577" t="s">
        <v>268</v>
      </c>
      <c r="B148" s="1578"/>
      <c r="C148" s="1578"/>
      <c r="D148" s="599" t="s">
        <v>194</v>
      </c>
      <c r="E148" s="531"/>
      <c r="F148" s="531"/>
      <c r="G148" s="536">
        <f>G38+G52</f>
        <v>1996.9099999999744</v>
      </c>
      <c r="H148" s="536">
        <f>G148+'29'!H148</f>
        <v>148606.35999999999</v>
      </c>
      <c r="I148" s="556"/>
      <c r="J148" s="629">
        <f>H148/DAY(B2)</f>
        <v>4953.5453333333326</v>
      </c>
      <c r="K148" s="412"/>
      <c r="O148" s="889"/>
    </row>
    <row r="149" spans="1:15" ht="21.95" customHeight="1">
      <c r="A149" s="1577" t="s">
        <v>269</v>
      </c>
      <c r="B149" s="1578"/>
      <c r="C149" s="1578"/>
      <c r="D149" s="599" t="s">
        <v>24</v>
      </c>
      <c r="E149" s="531"/>
      <c r="F149" s="531"/>
      <c r="G149" s="620">
        <f>G148/G7</f>
        <v>0.10556166411164426</v>
      </c>
      <c r="H149" s="536">
        <f>G149+'29'!H149</f>
        <v>2.8327651110738903</v>
      </c>
      <c r="I149" s="622"/>
      <c r="J149" s="629">
        <f>H149/DAY(B2)</f>
        <v>9.4425503702463012E-2</v>
      </c>
      <c r="O149" s="889"/>
    </row>
    <row r="150" spans="1:15" ht="21.95" customHeight="1">
      <c r="A150" s="1577" t="s">
        <v>270</v>
      </c>
      <c r="B150" s="1578"/>
      <c r="C150" s="1578"/>
      <c r="D150" s="599" t="s">
        <v>194</v>
      </c>
      <c r="E150" s="531"/>
      <c r="F150" s="531"/>
      <c r="G150" s="536">
        <f>G36+G50</f>
        <v>1701.2300000000396</v>
      </c>
      <c r="H150" s="536">
        <f>G150+'29'!H150</f>
        <v>-1553.8300000000163</v>
      </c>
      <c r="I150" s="622"/>
      <c r="J150" s="629">
        <f>H150/DAY(B2)</f>
        <v>-51.794333333333874</v>
      </c>
      <c r="O150" s="889"/>
    </row>
    <row r="151" spans="1:15" ht="21.95" customHeight="1">
      <c r="A151" s="1577" t="s">
        <v>271</v>
      </c>
      <c r="B151" s="1578"/>
      <c r="C151" s="1578"/>
      <c r="D151" s="599" t="s">
        <v>24</v>
      </c>
      <c r="E151" s="531"/>
      <c r="F151" s="531"/>
      <c r="G151" s="620">
        <f>G150/G7</f>
        <v>8.9931278743988985E-2</v>
      </c>
      <c r="H151" s="536">
        <f>G151+'29'!H151</f>
        <v>2.8959168766729011</v>
      </c>
      <c r="I151" s="556"/>
      <c r="J151" s="629">
        <f>H151/DAY(B2)</f>
        <v>9.6530562555763366E-2</v>
      </c>
      <c r="O151" s="889"/>
    </row>
    <row r="152" spans="1:15" ht="27.75">
      <c r="A152" s="1577" t="s">
        <v>272</v>
      </c>
      <c r="B152" s="1578"/>
      <c r="C152" s="1578"/>
      <c r="D152" s="599" t="s">
        <v>194</v>
      </c>
      <c r="E152" s="531"/>
      <c r="F152" s="531"/>
      <c r="G152" s="536">
        <f>G37+G51</f>
        <v>1515.8600000000006</v>
      </c>
      <c r="H152" s="536">
        <f>G152+'29'!H152</f>
        <v>413517.11999999994</v>
      </c>
      <c r="I152" s="556"/>
      <c r="J152" s="629">
        <f>H152/DAY(B2)</f>
        <v>13783.903999999999</v>
      </c>
      <c r="O152" s="889"/>
    </row>
    <row r="153" spans="1:15" ht="28.5" thickBot="1">
      <c r="A153" s="1602" t="s">
        <v>273</v>
      </c>
      <c r="B153" s="1603"/>
      <c r="C153" s="1603"/>
      <c r="D153" s="702" t="s">
        <v>24</v>
      </c>
      <c r="E153" s="642"/>
      <c r="F153" s="642"/>
      <c r="G153" s="643">
        <f>G152/G7</f>
        <v>8.0132156261563697E-2</v>
      </c>
      <c r="H153" s="644">
        <f>G153+'29'!H153</f>
        <v>1.6180084681268607</v>
      </c>
      <c r="I153" s="645"/>
      <c r="J153" s="646">
        <f>H153/DAY(B2)</f>
        <v>5.3933615604228692E-2</v>
      </c>
      <c r="O153" s="889"/>
    </row>
    <row r="154" spans="1:15" ht="29.25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</row>
    <row r="160" spans="1:15" ht="21.95" customHeight="1">
      <c r="A160" s="868" t="s">
        <v>274</v>
      </c>
      <c r="B160" s="869"/>
      <c r="C160" s="869"/>
      <c r="D160" s="587" t="s">
        <v>198</v>
      </c>
      <c r="E160" s="531">
        <f>'29'!F160</f>
        <v>28266.89</v>
      </c>
      <c r="F160" s="739">
        <v>28347.759999999998</v>
      </c>
      <c r="G160" s="549">
        <f t="shared" ref="G160:G163" si="16">F160-E160</f>
        <v>80.869999999998981</v>
      </c>
    </row>
    <row r="161" spans="1:7" ht="21.95" customHeight="1">
      <c r="A161" s="868" t="s">
        <v>275</v>
      </c>
      <c r="B161" s="869"/>
      <c r="C161" s="869"/>
      <c r="D161" s="587" t="s">
        <v>198</v>
      </c>
      <c r="E161" s="531">
        <f>'29'!F161</f>
        <v>41680.800000000003</v>
      </c>
      <c r="F161" s="739">
        <v>42121.97</v>
      </c>
      <c r="G161" s="549">
        <f t="shared" si="16"/>
        <v>441.16999999999825</v>
      </c>
    </row>
    <row r="162" spans="1:7" ht="21.95" customHeight="1">
      <c r="A162" s="868" t="s">
        <v>276</v>
      </c>
      <c r="B162" s="869"/>
      <c r="C162" s="869"/>
      <c r="D162" s="587" t="s">
        <v>198</v>
      </c>
      <c r="E162" s="531">
        <f>'29'!F162</f>
        <v>12319</v>
      </c>
      <c r="F162" s="739">
        <v>12556</v>
      </c>
      <c r="G162" s="549">
        <f t="shared" si="16"/>
        <v>237</v>
      </c>
    </row>
    <row r="163" spans="1:7" ht="21.95" customHeight="1">
      <c r="A163" s="868" t="s">
        <v>277</v>
      </c>
      <c r="B163" s="869"/>
      <c r="C163" s="869"/>
      <c r="D163" s="587" t="s">
        <v>198</v>
      </c>
      <c r="E163" s="531">
        <f>'29'!F163</f>
        <v>4960.6400000000003</v>
      </c>
      <c r="F163" s="739">
        <v>4976.6499999999996</v>
      </c>
      <c r="G163" s="549">
        <f t="shared" si="16"/>
        <v>16.009999999999309</v>
      </c>
    </row>
    <row r="164" spans="1:7" ht="21.95" customHeight="1">
      <c r="A164" s="870" t="s">
        <v>106</v>
      </c>
      <c r="B164" s="681"/>
      <c r="C164" s="681"/>
      <c r="D164" s="587" t="s">
        <v>198</v>
      </c>
      <c r="E164" s="590">
        <f>E62</f>
        <v>20419.18</v>
      </c>
      <c r="F164" s="590">
        <f>F62</f>
        <v>20419.18</v>
      </c>
      <c r="G164" s="549">
        <f t="shared" ref="G164:G171" si="17">F164-E164</f>
        <v>0</v>
      </c>
    </row>
    <row r="165" spans="1:7" ht="21.95" customHeight="1">
      <c r="A165" s="870" t="s">
        <v>199</v>
      </c>
      <c r="B165" s="681"/>
      <c r="C165" s="681"/>
      <c r="D165" s="587" t="s">
        <v>198</v>
      </c>
      <c r="E165" s="590">
        <f t="shared" ref="E165:E171" si="18">E63</f>
        <v>1305.8900000000001</v>
      </c>
      <c r="F165" s="590">
        <f t="shared" ref="F165:F171" si="19">F63</f>
        <v>1318.65</v>
      </c>
      <c r="G165" s="549">
        <f t="shared" si="17"/>
        <v>12.759999999999991</v>
      </c>
    </row>
    <row r="166" spans="1:7" ht="21.95" customHeight="1">
      <c r="A166" s="1381" t="s">
        <v>107</v>
      </c>
      <c r="B166" s="1381"/>
      <c r="C166" s="1381"/>
      <c r="D166" s="599" t="s">
        <v>198</v>
      </c>
      <c r="E166" s="590">
        <f t="shared" si="18"/>
        <v>110461.4</v>
      </c>
      <c r="F166" s="590">
        <f t="shared" si="19"/>
        <v>110863</v>
      </c>
      <c r="G166" s="549">
        <f t="shared" si="17"/>
        <v>401.60000000000582</v>
      </c>
    </row>
    <row r="167" spans="1:7" ht="21.95" customHeight="1">
      <c r="A167" s="1381" t="s">
        <v>108</v>
      </c>
      <c r="B167" s="1381"/>
      <c r="C167" s="1381"/>
      <c r="D167" s="599" t="s">
        <v>198</v>
      </c>
      <c r="E167" s="590">
        <f t="shared" si="18"/>
        <v>120948.65</v>
      </c>
      <c r="F167" s="590">
        <f t="shared" si="19"/>
        <v>121338</v>
      </c>
      <c r="G167" s="549">
        <f t="shared" si="17"/>
        <v>389.35000000000582</v>
      </c>
    </row>
    <row r="168" spans="1:7" ht="21.95" customHeight="1">
      <c r="A168" s="1381" t="s">
        <v>109</v>
      </c>
      <c r="B168" s="1381"/>
      <c r="C168" s="1381"/>
      <c r="D168" s="599" t="s">
        <v>198</v>
      </c>
      <c r="E168" s="590">
        <f t="shared" si="18"/>
        <v>13320.84</v>
      </c>
      <c r="F168" s="590">
        <f t="shared" si="19"/>
        <v>13744</v>
      </c>
      <c r="G168" s="549">
        <f t="shared" si="17"/>
        <v>423.15999999999985</v>
      </c>
    </row>
    <row r="169" spans="1:7" ht="21.95" customHeight="1">
      <c r="A169" s="1381" t="s">
        <v>110</v>
      </c>
      <c r="B169" s="1381"/>
      <c r="C169" s="1381"/>
      <c r="D169" s="599" t="s">
        <v>198</v>
      </c>
      <c r="E169" s="590">
        <f t="shared" si="18"/>
        <v>187269.37</v>
      </c>
      <c r="F169" s="590">
        <f t="shared" si="19"/>
        <v>187947</v>
      </c>
      <c r="G169" s="549">
        <f t="shared" si="17"/>
        <v>677.63000000000466</v>
      </c>
    </row>
    <row r="170" spans="1:7" ht="21.95" customHeight="1">
      <c r="A170" s="1381" t="s">
        <v>111</v>
      </c>
      <c r="B170" s="1381"/>
      <c r="C170" s="1381"/>
      <c r="D170" s="599" t="s">
        <v>198</v>
      </c>
      <c r="E170" s="590">
        <f t="shared" si="18"/>
        <v>62687.79</v>
      </c>
      <c r="F170" s="590">
        <f t="shared" si="19"/>
        <v>63003</v>
      </c>
      <c r="G170" s="549">
        <f t="shared" si="17"/>
        <v>315.20999999999913</v>
      </c>
    </row>
    <row r="171" spans="1:7" ht="21.95" customHeight="1">
      <c r="A171" s="1381" t="s">
        <v>112</v>
      </c>
      <c r="B171" s="1381"/>
      <c r="C171" s="1381"/>
      <c r="D171" s="599" t="s">
        <v>198</v>
      </c>
      <c r="E171" s="590">
        <f t="shared" si="18"/>
        <v>55093</v>
      </c>
      <c r="F171" s="590">
        <f t="shared" si="19"/>
        <v>55407.56</v>
      </c>
      <c r="G171" s="549">
        <f t="shared" si="17"/>
        <v>314.55999999999767</v>
      </c>
    </row>
    <row r="172" spans="1:7" ht="21.95" customHeight="1">
      <c r="G172" s="616">
        <f>SUM(G160:G171)</f>
        <v>3309.3200000000097</v>
      </c>
    </row>
  </sheetData>
  <mergeCells count="74">
    <mergeCell ref="A153:C153"/>
    <mergeCell ref="A147:C147"/>
    <mergeCell ref="A148:C148"/>
    <mergeCell ref="A149:C149"/>
    <mergeCell ref="A150:C150"/>
    <mergeCell ref="A151:C151"/>
    <mergeCell ref="A152:C152"/>
    <mergeCell ref="A146:C146"/>
    <mergeCell ref="A93:C93"/>
    <mergeCell ref="A94:C94"/>
    <mergeCell ref="A95:C95"/>
    <mergeCell ref="A101:C101"/>
    <mergeCell ref="A122:C122"/>
    <mergeCell ref="A125:C125"/>
    <mergeCell ref="A141:B141"/>
    <mergeCell ref="A142:C142"/>
    <mergeCell ref="A143:C143"/>
    <mergeCell ref="A144:C144"/>
    <mergeCell ref="A145:C145"/>
    <mergeCell ref="A103:B103"/>
    <mergeCell ref="A104:B104"/>
    <mergeCell ref="A105:B105"/>
    <mergeCell ref="A106:C106"/>
    <mergeCell ref="A92:C92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71:J71"/>
    <mergeCell ref="A19:C19"/>
    <mergeCell ref="A21:C21"/>
    <mergeCell ref="A33:J33"/>
    <mergeCell ref="A64:C64"/>
    <mergeCell ref="A65:C65"/>
    <mergeCell ref="A66:C66"/>
    <mergeCell ref="A67:C67"/>
    <mergeCell ref="A68:C68"/>
    <mergeCell ref="A69:C69"/>
    <mergeCell ref="A70:C70"/>
    <mergeCell ref="A25:C25"/>
    <mergeCell ref="A18:C18"/>
    <mergeCell ref="A1:J1"/>
    <mergeCell ref="E3:F3"/>
    <mergeCell ref="A6:C6"/>
    <mergeCell ref="A14:C14"/>
    <mergeCell ref="A17:C17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71:C171"/>
    <mergeCell ref="A166:C166"/>
    <mergeCell ref="A167:C167"/>
    <mergeCell ref="A168:C168"/>
    <mergeCell ref="A169:C169"/>
    <mergeCell ref="A170:C170"/>
  </mergeCells>
  <pageMargins left="0.23622047244094491" right="0.15748031496062992" top="0.15748031496062992" bottom="0.19685039370078741" header="0.19685039370078741" footer="0.19685039370078741"/>
  <pageSetup paperSize="9" scale="30" fitToHeight="2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08"/>
  <sheetViews>
    <sheetView view="pageBreakPreview" topLeftCell="A142" zoomScale="55" zoomScaleNormal="75" zoomScaleSheetLayoutView="55" workbookViewId="0">
      <selection activeCell="F28" sqref="F28"/>
    </sheetView>
  </sheetViews>
  <sheetFormatPr defaultColWidth="22.33203125" defaultRowHeight="21.95" customHeight="1"/>
  <cols>
    <col min="1" max="1" width="51.21875" style="530" customWidth="1"/>
    <col min="2" max="2" width="24.88671875" style="533" customWidth="1"/>
    <col min="3" max="3" width="15.88671875" style="533" customWidth="1"/>
    <col min="4" max="4" width="13.6640625" style="614" customWidth="1"/>
    <col min="5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109375" style="407" customWidth="1"/>
    <col min="15" max="16384" width="22.33203125" style="407"/>
  </cols>
  <sheetData>
    <row r="1" spans="1:15" ht="33.75">
      <c r="A1" s="1414" t="s">
        <v>128</v>
      </c>
      <c r="B1" s="1415"/>
      <c r="C1" s="1415"/>
      <c r="D1" s="1415"/>
      <c r="E1" s="1415"/>
      <c r="F1" s="1415"/>
      <c r="G1" s="1415"/>
      <c r="H1" s="1415"/>
      <c r="I1" s="1415"/>
      <c r="J1" s="1416"/>
    </row>
    <row r="2" spans="1:15" s="281" customFormat="1" ht="27">
      <c r="A2" s="652" t="s">
        <v>279</v>
      </c>
      <c r="B2" s="1201">
        <v>44227</v>
      </c>
      <c r="C2" s="1233" t="s">
        <v>69</v>
      </c>
      <c r="D2" s="688">
        <v>0.59599999999999997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5" s="281" customFormat="1" ht="27">
      <c r="A3" s="647"/>
      <c r="B3" s="691"/>
      <c r="C3" s="1233" t="s">
        <v>131</v>
      </c>
      <c r="D3" s="689">
        <v>24</v>
      </c>
      <c r="E3" s="1423" t="s">
        <v>132</v>
      </c>
      <c r="F3" s="1424"/>
      <c r="G3" s="538"/>
      <c r="H3" s="539"/>
      <c r="I3" s="539"/>
      <c r="J3" s="692"/>
      <c r="K3" s="402"/>
      <c r="L3" s="293"/>
    </row>
    <row r="4" spans="1:15" s="281" customFormat="1" ht="27">
      <c r="A4" s="653"/>
      <c r="B4" s="693"/>
      <c r="C4" s="1233" t="s">
        <v>133</v>
      </c>
      <c r="D4" s="688">
        <v>0.8</v>
      </c>
      <c r="E4" s="540"/>
      <c r="F4" s="540"/>
      <c r="G4" s="540"/>
      <c r="H4" s="540"/>
      <c r="I4" s="541"/>
      <c r="J4" s="692"/>
      <c r="K4" s="403"/>
      <c r="L4" s="293"/>
    </row>
    <row r="5" spans="1:15" ht="21.95" customHeight="1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5" ht="21.95" customHeight="1">
      <c r="A6" s="1417" t="s">
        <v>141</v>
      </c>
      <c r="B6" s="1418"/>
      <c r="C6" s="1419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21.95" customHeight="1" thickBot="1">
      <c r="A7" s="655" t="s">
        <v>142</v>
      </c>
      <c r="B7" s="656"/>
      <c r="C7" s="656"/>
      <c r="D7" s="599" t="s">
        <v>143</v>
      </c>
      <c r="E7" s="531">
        <f>'30'!F7</f>
        <v>3869737</v>
      </c>
      <c r="F7" s="531">
        <v>3888198</v>
      </c>
      <c r="G7" s="549">
        <f>F7-E7</f>
        <v>18461</v>
      </c>
      <c r="H7" s="536">
        <f>G7+'30'!H7</f>
        <v>0</v>
      </c>
      <c r="I7" s="550">
        <f>'1'!I7</f>
        <v>12000</v>
      </c>
      <c r="J7" s="629">
        <f>H7/DAY(B2)</f>
        <v>0</v>
      </c>
      <c r="K7" s="626">
        <v>1375467</v>
      </c>
      <c r="L7" s="408"/>
      <c r="N7" s="479">
        <f>F7-'1'!E7</f>
        <v>0</v>
      </c>
      <c r="O7" s="413"/>
    </row>
    <row r="8" spans="1:15" ht="21.95" customHeight="1" thickBot="1">
      <c r="A8" s="657" t="s">
        <v>144</v>
      </c>
      <c r="B8" s="658"/>
      <c r="C8" s="659"/>
      <c r="D8" s="694" t="s">
        <v>25</v>
      </c>
      <c r="E8" s="531">
        <f>'30'!F8</f>
        <v>3894198</v>
      </c>
      <c r="F8" s="551">
        <v>3912851</v>
      </c>
      <c r="G8" s="552">
        <f>F8-E8</f>
        <v>18653</v>
      </c>
      <c r="H8" s="536">
        <f>G8+'30'!H8</f>
        <v>0</v>
      </c>
      <c r="I8" s="553"/>
      <c r="J8" s="629">
        <f>H8/DAY(B2)</f>
        <v>0</v>
      </c>
      <c r="K8" s="626">
        <v>1715917</v>
      </c>
      <c r="L8" s="464">
        <v>1728480</v>
      </c>
      <c r="M8" s="479">
        <f>L8-K8</f>
        <v>12563</v>
      </c>
      <c r="N8" s="479">
        <f>F8-'1'!E8</f>
        <v>0</v>
      </c>
      <c r="O8" s="413"/>
    </row>
    <row r="9" spans="1:15" ht="21.95" customHeight="1">
      <c r="A9" s="660" t="s">
        <v>145</v>
      </c>
      <c r="B9" s="661"/>
      <c r="C9" s="661"/>
      <c r="D9" s="599" t="s">
        <v>143</v>
      </c>
      <c r="E9" s="531">
        <f>'30'!F9</f>
        <v>2529196</v>
      </c>
      <c r="F9" s="554">
        <v>2535128.5</v>
      </c>
      <c r="G9" s="549">
        <f>F9-E9</f>
        <v>5932.5</v>
      </c>
      <c r="H9" s="536">
        <f>G9+'30'!H9</f>
        <v>2572240.75</v>
      </c>
      <c r="I9" s="555">
        <f>I7-J7</f>
        <v>12000</v>
      </c>
      <c r="J9" s="629">
        <f>H9/DAY(B2)</f>
        <v>82975.508064516136</v>
      </c>
      <c r="K9" s="467">
        <f>K8-100</f>
        <v>1715817</v>
      </c>
      <c r="L9" s="408"/>
      <c r="N9" s="479">
        <f>F9-'1'!E9</f>
        <v>0</v>
      </c>
      <c r="O9" s="413"/>
    </row>
    <row r="10" spans="1:15" ht="21.95" customHeight="1">
      <c r="A10" s="655" t="s">
        <v>146</v>
      </c>
      <c r="B10" s="656"/>
      <c r="C10" s="656"/>
      <c r="D10" s="599" t="s">
        <v>143</v>
      </c>
      <c r="E10" s="531">
        <f>'30'!F10</f>
        <v>1188972.8999999999</v>
      </c>
      <c r="F10" s="554">
        <v>1200874.3999999999</v>
      </c>
      <c r="G10" s="549">
        <f t="shared" ref="G10:G12" si="0">F10-E10</f>
        <v>11901.5</v>
      </c>
      <c r="H10" s="536">
        <f>G10+'30'!H10</f>
        <v>0</v>
      </c>
      <c r="I10" s="556"/>
      <c r="J10" s="629">
        <f>H10/DAY(B2)</f>
        <v>0</v>
      </c>
      <c r="K10" s="467"/>
      <c r="L10" s="408"/>
      <c r="N10" s="479">
        <f>F10-'1'!E10</f>
        <v>0</v>
      </c>
      <c r="O10" s="413"/>
    </row>
    <row r="11" spans="1:15" ht="21.95" customHeight="1">
      <c r="A11" s="655" t="s">
        <v>147</v>
      </c>
      <c r="B11" s="656"/>
      <c r="C11" s="656"/>
      <c r="D11" s="599" t="s">
        <v>143</v>
      </c>
      <c r="E11" s="531">
        <f>'30'!F11</f>
        <v>35390</v>
      </c>
      <c r="F11" s="531">
        <v>35390</v>
      </c>
      <c r="G11" s="549">
        <f t="shared" si="0"/>
        <v>0</v>
      </c>
      <c r="H11" s="536">
        <f>G11+'30'!H11</f>
        <v>0</v>
      </c>
      <c r="I11" s="556"/>
      <c r="J11" s="629">
        <f>H11/DAY(B2)</f>
        <v>0</v>
      </c>
      <c r="K11" s="467"/>
      <c r="L11" s="408"/>
      <c r="N11" s="479">
        <f>F11-'1'!E11</f>
        <v>0</v>
      </c>
      <c r="O11" s="413"/>
    </row>
    <row r="12" spans="1:15" ht="21.95" customHeight="1">
      <c r="A12" s="655" t="s">
        <v>148</v>
      </c>
      <c r="B12" s="656"/>
      <c r="C12" s="656"/>
      <c r="D12" s="599" t="s">
        <v>143</v>
      </c>
      <c r="E12" s="531">
        <f>'30'!F12</f>
        <v>37630</v>
      </c>
      <c r="F12" s="554">
        <v>37630</v>
      </c>
      <c r="G12" s="549">
        <f t="shared" si="0"/>
        <v>0</v>
      </c>
      <c r="H12" s="536">
        <f>G12+'30'!H12</f>
        <v>0</v>
      </c>
      <c r="I12" s="556"/>
      <c r="J12" s="629">
        <f>H12/DAY(B2)</f>
        <v>0</v>
      </c>
      <c r="K12" s="467"/>
      <c r="L12" s="408"/>
      <c r="N12" s="479">
        <f>F12-'1'!E12</f>
        <v>0</v>
      </c>
      <c r="O12" s="413"/>
    </row>
    <row r="13" spans="1:15" ht="21.95" customHeight="1">
      <c r="A13" s="662" t="s">
        <v>149</v>
      </c>
      <c r="B13" s="663"/>
      <c r="C13" s="663"/>
      <c r="D13" s="599"/>
      <c r="E13" s="531"/>
      <c r="F13" s="531"/>
      <c r="G13" s="557">
        <f>G9+G10+G11+G12</f>
        <v>17834</v>
      </c>
      <c r="H13" s="536">
        <f>G13+'30'!H13</f>
        <v>2553934.7500000005</v>
      </c>
      <c r="I13" s="558">
        <f>G7-G13</f>
        <v>627</v>
      </c>
      <c r="J13" s="629">
        <f>H13/DAY(B2)</f>
        <v>82384.991935483893</v>
      </c>
      <c r="K13" s="467"/>
      <c r="L13" s="408"/>
      <c r="N13" s="479">
        <f>F13-'1'!E13</f>
        <v>0</v>
      </c>
      <c r="O13" s="413"/>
    </row>
    <row r="14" spans="1:15" ht="29.25">
      <c r="A14" s="1420" t="s">
        <v>150</v>
      </c>
      <c r="B14" s="1421"/>
      <c r="C14" s="1422"/>
      <c r="D14" s="548"/>
      <c r="E14" s="548"/>
      <c r="F14" s="548"/>
      <c r="G14" s="559"/>
      <c r="H14" s="548"/>
      <c r="I14" s="548"/>
      <c r="J14" s="628"/>
      <c r="K14" s="468"/>
      <c r="L14" s="408"/>
      <c r="N14" s="479">
        <f>F14-'1'!E14</f>
        <v>0</v>
      </c>
      <c r="O14" s="413"/>
    </row>
    <row r="15" spans="1:15" ht="21.95" customHeight="1">
      <c r="A15" s="1231" t="s">
        <v>151</v>
      </c>
      <c r="B15" s="666"/>
      <c r="C15" s="666"/>
      <c r="D15" s="599" t="s">
        <v>152</v>
      </c>
      <c r="E15" s="531">
        <f>'30'!F15</f>
        <v>1593568.73</v>
      </c>
      <c r="F15" s="560">
        <v>1594437.15</v>
      </c>
      <c r="G15" s="549">
        <f>(F15-E15)</f>
        <v>868.41999999992549</v>
      </c>
      <c r="H15" s="536">
        <f>'30'!H15</f>
        <v>-868.41999999992549</v>
      </c>
      <c r="I15" s="550">
        <f>'1'!I15</f>
        <v>800</v>
      </c>
      <c r="J15" s="629">
        <f>H15/DAY(B2)</f>
        <v>-28.013548387094371</v>
      </c>
      <c r="K15" s="467"/>
      <c r="L15" s="408"/>
      <c r="N15" s="479">
        <f>F15-'1'!E15</f>
        <v>0</v>
      </c>
      <c r="O15" s="413"/>
    </row>
    <row r="16" spans="1:15" ht="21.95" customHeight="1">
      <c r="A16" s="664"/>
      <c r="B16" s="665"/>
      <c r="C16" s="665"/>
      <c r="D16" s="600"/>
      <c r="E16" s="561"/>
      <c r="F16" s="561"/>
      <c r="G16" s="549"/>
      <c r="H16" s="562"/>
      <c r="I16" s="563">
        <f>I15-J15</f>
        <v>828.01354838709437</v>
      </c>
      <c r="J16" s="630"/>
      <c r="K16" s="467"/>
      <c r="L16" s="408"/>
      <c r="N16" s="479">
        <f>F16-'1'!E16</f>
        <v>0</v>
      </c>
      <c r="O16" s="413"/>
    </row>
    <row r="17" spans="1:15" ht="29.25">
      <c r="A17" s="1420" t="s">
        <v>153</v>
      </c>
      <c r="B17" s="1421"/>
      <c r="C17" s="1422"/>
      <c r="D17" s="548"/>
      <c r="E17" s="548"/>
      <c r="F17" s="548"/>
      <c r="G17" s="564"/>
      <c r="H17" s="548"/>
      <c r="I17" s="548"/>
      <c r="J17" s="628"/>
      <c r="K17" s="467"/>
      <c r="L17" s="408"/>
      <c r="N17" s="479">
        <f>F17-'1'!E17</f>
        <v>0</v>
      </c>
      <c r="O17" s="413"/>
    </row>
    <row r="18" spans="1:15" ht="27.75">
      <c r="A18" s="1406" t="s">
        <v>154</v>
      </c>
      <c r="B18" s="1407"/>
      <c r="C18" s="1408"/>
      <c r="D18" s="599" t="s">
        <v>155</v>
      </c>
      <c r="E18" s="531">
        <f>'30'!F18</f>
        <v>12</v>
      </c>
      <c r="F18" s="560">
        <v>12</v>
      </c>
      <c r="G18" s="557">
        <f>F18*10</f>
        <v>120</v>
      </c>
      <c r="H18" s="536">
        <f>G18+'30'!H18</f>
        <v>4660</v>
      </c>
      <c r="I18" s="550">
        <f>'1'!I18</f>
        <v>65</v>
      </c>
      <c r="J18" s="629">
        <f>H18/DAY(B2)</f>
        <v>150.32258064516128</v>
      </c>
      <c r="K18" s="467"/>
      <c r="L18" s="408"/>
      <c r="N18" s="479">
        <f>F18-'1'!E18</f>
        <v>0</v>
      </c>
      <c r="O18" s="413"/>
    </row>
    <row r="19" spans="1:15" ht="27.75">
      <c r="A19" s="1406" t="s">
        <v>71</v>
      </c>
      <c r="B19" s="1407"/>
      <c r="C19" s="1408"/>
      <c r="D19" s="599" t="s">
        <v>155</v>
      </c>
      <c r="E19" s="531">
        <f>'30'!F19</f>
        <v>132994</v>
      </c>
      <c r="F19" s="560">
        <v>133048</v>
      </c>
      <c r="G19" s="549">
        <f t="shared" ref="G19" si="1">F19-E19</f>
        <v>54</v>
      </c>
      <c r="H19" s="536">
        <f>G19+'30'!H19</f>
        <v>0</v>
      </c>
      <c r="I19" s="565"/>
      <c r="J19" s="629">
        <f>H19/DAY(B2)</f>
        <v>0</v>
      </c>
      <c r="K19" s="467"/>
      <c r="L19" s="408"/>
      <c r="N19" s="479">
        <f>F19-'1'!E19</f>
        <v>0</v>
      </c>
      <c r="O19" s="413"/>
    </row>
    <row r="20" spans="1:15" ht="29.25">
      <c r="A20" s="662" t="s">
        <v>156</v>
      </c>
      <c r="B20" s="663"/>
      <c r="C20" s="663"/>
      <c r="D20" s="566"/>
      <c r="E20" s="566"/>
      <c r="F20" s="566"/>
      <c r="G20" s="567">
        <f>G18+G19</f>
        <v>174</v>
      </c>
      <c r="H20" s="536">
        <f>G20+'30'!H20</f>
        <v>4660</v>
      </c>
      <c r="I20" s="568">
        <f>I18-J20</f>
        <v>-85.322580645161281</v>
      </c>
      <c r="J20" s="629">
        <f>H20/DAY(B2)</f>
        <v>150.32258064516128</v>
      </c>
      <c r="K20" s="467"/>
      <c r="L20" s="408"/>
      <c r="N20" s="479">
        <f>F20-'1'!E20</f>
        <v>0</v>
      </c>
      <c r="O20" s="413"/>
    </row>
    <row r="21" spans="1:15" ht="29.25">
      <c r="A21" s="1420" t="s">
        <v>157</v>
      </c>
      <c r="B21" s="1421"/>
      <c r="C21" s="1422"/>
      <c r="D21" s="548"/>
      <c r="E21" s="548"/>
      <c r="F21" s="548"/>
      <c r="G21" s="559"/>
      <c r="H21" s="548"/>
      <c r="I21" s="548"/>
      <c r="J21" s="628"/>
      <c r="K21" s="467"/>
      <c r="L21" s="408"/>
      <c r="N21" s="479">
        <f>F21-'1'!E21</f>
        <v>0</v>
      </c>
      <c r="O21" s="413"/>
    </row>
    <row r="22" spans="1:15" ht="29.25">
      <c r="A22" s="1231" t="s">
        <v>158</v>
      </c>
      <c r="B22" s="666"/>
      <c r="C22" s="666"/>
      <c r="D22" s="599" t="s">
        <v>159</v>
      </c>
      <c r="E22" s="560">
        <f>'30'!F22</f>
        <v>2250</v>
      </c>
      <c r="F22" s="560">
        <v>2250</v>
      </c>
      <c r="G22" s="557">
        <f t="shared" ref="G22" si="2">(F22-E22)</f>
        <v>0</v>
      </c>
      <c r="H22" s="536">
        <f>'30'!H22</f>
        <v>0</v>
      </c>
      <c r="I22" s="556"/>
      <c r="J22" s="629">
        <f>H22/DAY(B2)</f>
        <v>0</v>
      </c>
      <c r="K22" s="467"/>
      <c r="L22" s="408"/>
      <c r="N22" s="479">
        <f>F22-'1'!E22</f>
        <v>0</v>
      </c>
      <c r="O22" s="413"/>
    </row>
    <row r="23" spans="1:15" ht="29.25">
      <c r="A23" s="1231" t="s">
        <v>160</v>
      </c>
      <c r="B23" s="666"/>
      <c r="C23" s="666"/>
      <c r="D23" s="599" t="s">
        <v>159</v>
      </c>
      <c r="E23" s="560">
        <f>'30'!F23</f>
        <v>2000</v>
      </c>
      <c r="F23" s="560">
        <v>2000</v>
      </c>
      <c r="G23" s="557">
        <v>0</v>
      </c>
      <c r="H23" s="536">
        <f>'30'!H23</f>
        <v>0</v>
      </c>
      <c r="I23" s="556"/>
      <c r="J23" s="629">
        <f>H23/DAY(B2)</f>
        <v>0</v>
      </c>
      <c r="K23" s="467"/>
      <c r="L23" s="408"/>
      <c r="N23" s="479">
        <f>F23-'1'!E23</f>
        <v>0</v>
      </c>
      <c r="O23" s="413"/>
    </row>
    <row r="24" spans="1:15" ht="29.25">
      <c r="A24" s="667" t="s">
        <v>161</v>
      </c>
      <c r="B24" s="668"/>
      <c r="C24" s="668"/>
      <c r="D24" s="587" t="s">
        <v>159</v>
      </c>
      <c r="E24" s="560">
        <f>'30'!F24</f>
        <v>4250</v>
      </c>
      <c r="F24" s="569">
        <v>4250</v>
      </c>
      <c r="G24" s="557">
        <v>0</v>
      </c>
      <c r="H24" s="536">
        <f>'30'!H24</f>
        <v>0</v>
      </c>
      <c r="I24" s="556"/>
      <c r="J24" s="629">
        <f>H24/DAY(B2)</f>
        <v>0</v>
      </c>
      <c r="K24" s="467"/>
      <c r="L24" s="408"/>
      <c r="N24" s="479">
        <f>F24-'1'!E24</f>
        <v>0</v>
      </c>
      <c r="O24" s="413"/>
    </row>
    <row r="25" spans="1:15" s="481" customFormat="1" ht="27">
      <c r="A25" s="1425" t="s">
        <v>162</v>
      </c>
      <c r="B25" s="1426"/>
      <c r="C25" s="1427"/>
      <c r="D25" s="547"/>
      <c r="E25" s="547"/>
      <c r="F25" s="547"/>
      <c r="G25" s="570"/>
      <c r="H25" s="571"/>
      <c r="I25" s="572"/>
      <c r="J25" s="631"/>
      <c r="K25" s="404"/>
      <c r="L25" s="484"/>
      <c r="N25" s="479">
        <f>F25-'1'!E25</f>
        <v>0</v>
      </c>
      <c r="O25" s="413"/>
    </row>
    <row r="26" spans="1:15" s="481" customFormat="1" ht="27.75">
      <c r="A26" s="669" t="s">
        <v>163</v>
      </c>
      <c r="B26" s="670"/>
      <c r="C26" s="671"/>
      <c r="D26" s="695" t="s">
        <v>164</v>
      </c>
      <c r="E26" s="573"/>
      <c r="F26" s="573"/>
      <c r="G26" s="574"/>
      <c r="H26" s="536"/>
      <c r="I26" s="575"/>
      <c r="J26" s="629"/>
      <c r="K26" s="405"/>
      <c r="L26" s="484"/>
      <c r="N26" s="479">
        <f>F26-'1'!E26</f>
        <v>0</v>
      </c>
      <c r="O26" s="413"/>
    </row>
    <row r="27" spans="1:15" s="481" customFormat="1" ht="27.75">
      <c r="A27" s="669" t="s">
        <v>6</v>
      </c>
      <c r="B27" s="670"/>
      <c r="C27" s="671"/>
      <c r="D27" s="696" t="s">
        <v>25</v>
      </c>
      <c r="E27" s="576">
        <f>G8</f>
        <v>18653</v>
      </c>
      <c r="F27" s="577">
        <v>9</v>
      </c>
      <c r="G27" s="578">
        <f>E27*F27</f>
        <v>167877</v>
      </c>
      <c r="H27" s="536">
        <f>G27+'30'!H27</f>
        <v>0</v>
      </c>
      <c r="I27" s="579"/>
      <c r="J27" s="629">
        <f>H27/DAY(B2)</f>
        <v>0</v>
      </c>
      <c r="K27" s="404"/>
      <c r="L27" s="484"/>
      <c r="N27" s="479">
        <f>F27-'1'!E27</f>
        <v>-19465</v>
      </c>
      <c r="O27" s="413"/>
    </row>
    <row r="28" spans="1:15" s="481" customFormat="1" ht="27.75">
      <c r="A28" s="669" t="s">
        <v>165</v>
      </c>
      <c r="B28" s="670"/>
      <c r="C28" s="671"/>
      <c r="D28" s="696" t="s">
        <v>166</v>
      </c>
      <c r="E28" s="580">
        <f>G15</f>
        <v>868.41999999992549</v>
      </c>
      <c r="F28" s="577">
        <v>43.5</v>
      </c>
      <c r="G28" s="578">
        <f>E28*F28</f>
        <v>37776.269999996759</v>
      </c>
      <c r="H28" s="536">
        <f>G28+'30'!H28</f>
        <v>0</v>
      </c>
      <c r="I28" s="581"/>
      <c r="J28" s="629">
        <f>H28/DAY(B2)</f>
        <v>0</v>
      </c>
      <c r="K28" s="404"/>
      <c r="L28" s="484"/>
      <c r="N28" s="479">
        <f>F28-'1'!E28</f>
        <v>-754.45000000018626</v>
      </c>
      <c r="O28" s="413"/>
    </row>
    <row r="29" spans="1:15" s="481" customFormat="1" ht="27.75">
      <c r="A29" s="669" t="s">
        <v>167</v>
      </c>
      <c r="B29" s="670"/>
      <c r="C29" s="671"/>
      <c r="D29" s="696" t="s">
        <v>168</v>
      </c>
      <c r="E29" s="582">
        <f>G24</f>
        <v>0</v>
      </c>
      <c r="F29" s="577">
        <v>69</v>
      </c>
      <c r="G29" s="578">
        <f>E29*F29</f>
        <v>0</v>
      </c>
      <c r="H29" s="536">
        <f>G29+'30'!H29</f>
        <v>162150</v>
      </c>
      <c r="I29" s="581"/>
      <c r="J29" s="629">
        <f>H29/DAY(B2)</f>
        <v>5230.6451612903229</v>
      </c>
      <c r="K29" s="404"/>
      <c r="L29" s="484"/>
      <c r="N29" s="479">
        <f>F29-'1'!E29</f>
        <v>69</v>
      </c>
      <c r="O29" s="413"/>
    </row>
    <row r="30" spans="1:15" s="481" customFormat="1" ht="27.75">
      <c r="A30" s="669" t="s">
        <v>169</v>
      </c>
      <c r="B30" s="670"/>
      <c r="C30" s="671"/>
      <c r="D30" s="696" t="s">
        <v>170</v>
      </c>
      <c r="E30" s="582">
        <f>G19</f>
        <v>54</v>
      </c>
      <c r="F30" s="577">
        <v>134</v>
      </c>
      <c r="G30" s="578">
        <f>E30*F30</f>
        <v>7236</v>
      </c>
      <c r="H30" s="536">
        <f>G30+'30'!H30</f>
        <v>0</v>
      </c>
      <c r="I30" s="581"/>
      <c r="J30" s="629">
        <f>H30/DAY(B2)</f>
        <v>0</v>
      </c>
      <c r="K30" s="404"/>
      <c r="L30" s="484"/>
      <c r="N30" s="479">
        <f>F30-'1'!E30</f>
        <v>83</v>
      </c>
      <c r="O30" s="413"/>
    </row>
    <row r="31" spans="1:15" s="481" customFormat="1" ht="27.75">
      <c r="A31" s="669" t="s">
        <v>171</v>
      </c>
      <c r="B31" s="670"/>
      <c r="C31" s="671"/>
      <c r="D31" s="696" t="s">
        <v>155</v>
      </c>
      <c r="E31" s="582">
        <f>G18</f>
        <v>120</v>
      </c>
      <c r="F31" s="577">
        <v>80</v>
      </c>
      <c r="G31" s="578">
        <f>E31*F31</f>
        <v>9600</v>
      </c>
      <c r="H31" s="536">
        <f>G31+'30'!H31</f>
        <v>372800</v>
      </c>
      <c r="I31" s="581"/>
      <c r="J31" s="629"/>
      <c r="K31" s="404"/>
      <c r="L31" s="484"/>
      <c r="N31" s="479">
        <f>F31-'1'!E31</f>
        <v>-40</v>
      </c>
      <c r="O31" s="413"/>
    </row>
    <row r="32" spans="1:15" s="481" customFormat="1" ht="27.75">
      <c r="A32" s="672" t="s">
        <v>172</v>
      </c>
      <c r="B32" s="673"/>
      <c r="C32" s="674"/>
      <c r="D32" s="583"/>
      <c r="E32" s="583"/>
      <c r="F32" s="583"/>
      <c r="G32" s="584">
        <f>G27+G28+G29+G30+G31</f>
        <v>222489.26999999676</v>
      </c>
      <c r="H32" s="536">
        <f>G32+'30'!H32</f>
        <v>534950.00000000023</v>
      </c>
      <c r="I32" s="585"/>
      <c r="J32" s="629">
        <f>H32/DAY(B2)</f>
        <v>17256.451612903234</v>
      </c>
      <c r="K32" s="404"/>
      <c r="L32" s="484"/>
      <c r="N32" s="479">
        <f>F32-'1'!E32</f>
        <v>0</v>
      </c>
      <c r="O32" s="413"/>
    </row>
    <row r="33" spans="1:15" ht="25.5" customHeight="1">
      <c r="A33" s="1428" t="s">
        <v>173</v>
      </c>
      <c r="B33" s="1429"/>
      <c r="C33" s="1429"/>
      <c r="D33" s="1429"/>
      <c r="E33" s="1429"/>
      <c r="F33" s="1429"/>
      <c r="G33" s="1429"/>
      <c r="H33" s="1429"/>
      <c r="I33" s="1429"/>
      <c r="J33" s="1430"/>
      <c r="K33" s="467"/>
      <c r="L33" s="408"/>
      <c r="N33" s="479">
        <f>F33-'1'!E33</f>
        <v>0</v>
      </c>
      <c r="O33" s="413"/>
    </row>
    <row r="34" spans="1:15" ht="29.25">
      <c r="A34" s="675" t="s">
        <v>174</v>
      </c>
      <c r="B34" s="1236"/>
      <c r="C34" s="1236"/>
      <c r="D34" s="548"/>
      <c r="E34" s="547"/>
      <c r="F34" s="547"/>
      <c r="G34" s="548"/>
      <c r="H34" s="548"/>
      <c r="I34" s="548"/>
      <c r="J34" s="628"/>
      <c r="K34" s="467"/>
      <c r="L34" s="408"/>
      <c r="N34" s="479">
        <f>F34-'1'!E34</f>
        <v>0</v>
      </c>
      <c r="O34" s="413"/>
    </row>
    <row r="35" spans="1:15" ht="29.25">
      <c r="A35" s="655" t="s">
        <v>175</v>
      </c>
      <c r="B35" s="656"/>
      <c r="C35" s="656"/>
      <c r="D35" s="599" t="s">
        <v>143</v>
      </c>
      <c r="E35" s="531">
        <f>'30'!F35</f>
        <v>629028</v>
      </c>
      <c r="F35" s="586">
        <v>629027.67000000004</v>
      </c>
      <c r="G35" s="549">
        <f t="shared" ref="G35:G46" si="3">F35-E35</f>
        <v>-0.32999999995809048</v>
      </c>
      <c r="H35" s="536">
        <f>G35+'30'!H35</f>
        <v>0</v>
      </c>
      <c r="I35" s="531"/>
      <c r="J35" s="629">
        <f>H35/DAY(B2)</f>
        <v>0</v>
      </c>
      <c r="K35" s="467"/>
      <c r="L35" s="408"/>
      <c r="N35" s="479">
        <f>F35-'1'!E35</f>
        <v>0</v>
      </c>
      <c r="O35" s="413"/>
    </row>
    <row r="36" spans="1:15" ht="29.25">
      <c r="A36" s="655" t="s">
        <v>176</v>
      </c>
      <c r="B36" s="656"/>
      <c r="C36" s="656"/>
      <c r="D36" s="599" t="s">
        <v>143</v>
      </c>
      <c r="E36" s="531">
        <f>'30'!F36</f>
        <v>275959.93</v>
      </c>
      <c r="F36" s="586">
        <v>276491.45</v>
      </c>
      <c r="G36" s="549">
        <f t="shared" si="3"/>
        <v>531.52000000001863</v>
      </c>
      <c r="H36" s="536">
        <f>G36+'30'!H36</f>
        <v>0</v>
      </c>
      <c r="I36" s="531"/>
      <c r="J36" s="629">
        <f>H36/DAY(B2)</f>
        <v>0</v>
      </c>
      <c r="K36" s="467"/>
      <c r="L36" s="408"/>
      <c r="N36" s="479">
        <f>F36-'1'!E36</f>
        <v>0</v>
      </c>
      <c r="O36" s="705"/>
    </row>
    <row r="37" spans="1:15" ht="29.25">
      <c r="A37" s="655" t="s">
        <v>177</v>
      </c>
      <c r="B37" s="656"/>
      <c r="C37" s="656"/>
      <c r="D37" s="599" t="s">
        <v>143</v>
      </c>
      <c r="E37" s="531">
        <f>'30'!F37</f>
        <v>415066</v>
      </c>
      <c r="F37" s="586">
        <v>415066</v>
      </c>
      <c r="G37" s="549">
        <f t="shared" si="3"/>
        <v>0</v>
      </c>
      <c r="H37" s="536">
        <f>G37+'30'!H37</f>
        <v>415066</v>
      </c>
      <c r="I37" s="531"/>
      <c r="J37" s="629">
        <f>H37/DAY(B2)</f>
        <v>13389.225806451614</v>
      </c>
      <c r="K37" s="467"/>
      <c r="L37" s="408"/>
      <c r="N37" s="479">
        <f>F37-'1'!E37</f>
        <v>0</v>
      </c>
      <c r="O37" s="706"/>
    </row>
    <row r="38" spans="1:15" ht="29.25">
      <c r="A38" s="655" t="s">
        <v>178</v>
      </c>
      <c r="B38" s="656"/>
      <c r="C38" s="656"/>
      <c r="D38" s="599" t="s">
        <v>143</v>
      </c>
      <c r="E38" s="531">
        <v>0</v>
      </c>
      <c r="F38" s="545">
        <v>97.88</v>
      </c>
      <c r="G38" s="549">
        <f t="shared" si="3"/>
        <v>97.88</v>
      </c>
      <c r="H38" s="536">
        <f>G38+'30'!H38</f>
        <v>150714</v>
      </c>
      <c r="I38" s="531"/>
      <c r="J38" s="629">
        <f>H38/DAY(B2)</f>
        <v>4861.7419354838712</v>
      </c>
      <c r="K38" s="467"/>
      <c r="L38" s="408"/>
      <c r="N38" s="479">
        <f>F38-'1'!E38</f>
        <v>0</v>
      </c>
      <c r="O38" s="413"/>
    </row>
    <row r="39" spans="1:15" ht="29.25">
      <c r="A39" s="655" t="s">
        <v>179</v>
      </c>
      <c r="B39" s="656"/>
      <c r="C39" s="656"/>
      <c r="D39" s="599" t="s">
        <v>143</v>
      </c>
      <c r="E39" s="531">
        <f>'30'!F39</f>
        <v>912480</v>
      </c>
      <c r="F39" s="586">
        <v>912480</v>
      </c>
      <c r="G39" s="549">
        <f t="shared" si="3"/>
        <v>0</v>
      </c>
      <c r="H39" s="536">
        <f>G39+'30'!H39</f>
        <v>912480</v>
      </c>
      <c r="I39" s="531"/>
      <c r="J39" s="629">
        <f>H39/DAY(B2)</f>
        <v>29434.83870967742</v>
      </c>
      <c r="K39" s="467"/>
      <c r="L39" s="408"/>
      <c r="N39" s="479">
        <f>F39-'1'!E39</f>
        <v>0</v>
      </c>
      <c r="O39" s="413"/>
    </row>
    <row r="40" spans="1:15" ht="29.25">
      <c r="A40" s="676" t="s">
        <v>180</v>
      </c>
      <c r="B40" s="677"/>
      <c r="C40" s="677"/>
      <c r="D40" s="599" t="s">
        <v>143</v>
      </c>
      <c r="E40" s="531">
        <f>'30'!F40</f>
        <v>0</v>
      </c>
      <c r="F40" s="586">
        <v>0</v>
      </c>
      <c r="G40" s="549">
        <f t="shared" si="3"/>
        <v>0</v>
      </c>
      <c r="H40" s="536">
        <f>G40+'30'!H40</f>
        <v>-0.06</v>
      </c>
      <c r="I40" s="531"/>
      <c r="J40" s="629">
        <f>H40/DAY(B2)</f>
        <v>-1.9354838709677419E-3</v>
      </c>
      <c r="K40" s="468"/>
      <c r="L40" s="408"/>
      <c r="N40" s="479">
        <f>F40-'1'!E40</f>
        <v>0</v>
      </c>
      <c r="O40" s="413"/>
    </row>
    <row r="41" spans="1:15" ht="29.25">
      <c r="A41" s="655" t="s">
        <v>181</v>
      </c>
      <c r="B41" s="656"/>
      <c r="C41" s="656"/>
      <c r="D41" s="599" t="s">
        <v>143</v>
      </c>
      <c r="E41" s="531">
        <f>'30'!F41</f>
        <v>40988.949999999997</v>
      </c>
      <c r="F41" s="586">
        <v>44622.52</v>
      </c>
      <c r="G41" s="549">
        <f t="shared" si="3"/>
        <v>3633.5699999999997</v>
      </c>
      <c r="H41" s="536">
        <f>G41+'30'!H41</f>
        <v>63881.999999999993</v>
      </c>
      <c r="I41" s="531"/>
      <c r="J41" s="629">
        <f>H41/DAY(B2)</f>
        <v>2060.7096774193546</v>
      </c>
      <c r="K41" s="467"/>
      <c r="L41" s="408"/>
      <c r="N41" s="479">
        <f>H41-'1'!E41</f>
        <v>19259.479999999996</v>
      </c>
      <c r="O41" s="413"/>
    </row>
    <row r="42" spans="1:15" ht="29.25">
      <c r="A42" s="655" t="s">
        <v>182</v>
      </c>
      <c r="B42" s="656"/>
      <c r="C42" s="656"/>
      <c r="D42" s="599" t="s">
        <v>143</v>
      </c>
      <c r="E42" s="531">
        <f>'30'!F42</f>
        <v>58926</v>
      </c>
      <c r="F42" s="586">
        <v>58926</v>
      </c>
      <c r="G42" s="549">
        <f t="shared" si="3"/>
        <v>0</v>
      </c>
      <c r="H42" s="536">
        <f>G42+'30'!H42</f>
        <v>0</v>
      </c>
      <c r="I42" s="531"/>
      <c r="J42" s="629">
        <f>H42/DAY(B2)</f>
        <v>0</v>
      </c>
      <c r="K42" s="467"/>
      <c r="L42" s="408"/>
      <c r="N42" s="479">
        <f>H42-'1'!E42</f>
        <v>-58926</v>
      </c>
      <c r="O42" s="413"/>
    </row>
    <row r="43" spans="1:15" ht="29.25">
      <c r="A43" s="655" t="s">
        <v>183</v>
      </c>
      <c r="B43" s="656"/>
      <c r="C43" s="656"/>
      <c r="D43" s="599" t="s">
        <v>143</v>
      </c>
      <c r="E43" s="531">
        <f>'30'!F43</f>
        <v>765499.51</v>
      </c>
      <c r="F43" s="586">
        <v>767811.91</v>
      </c>
      <c r="G43" s="549">
        <f t="shared" si="3"/>
        <v>2312.4000000000233</v>
      </c>
      <c r="H43" s="536">
        <f>G43+'30'!H43</f>
        <v>0</v>
      </c>
      <c r="I43" s="531"/>
      <c r="J43" s="629">
        <f>H43/DAY(B2)</f>
        <v>0</v>
      </c>
      <c r="K43" s="467"/>
      <c r="L43" s="408"/>
      <c r="N43" s="479">
        <f>H43-'1'!E43</f>
        <v>-767811.91</v>
      </c>
      <c r="O43" s="413"/>
    </row>
    <row r="44" spans="1:15" ht="29.25">
      <c r="A44" s="655" t="s">
        <v>184</v>
      </c>
      <c r="B44" s="656"/>
      <c r="C44" s="656"/>
      <c r="D44" s="599" t="s">
        <v>143</v>
      </c>
      <c r="E44" s="531">
        <f>'30'!F44</f>
        <v>0</v>
      </c>
      <c r="F44" s="586">
        <v>0</v>
      </c>
      <c r="G44" s="549">
        <f t="shared" si="3"/>
        <v>0</v>
      </c>
      <c r="H44" s="536">
        <f>G44+'30'!H44</f>
        <v>0</v>
      </c>
      <c r="I44" s="531"/>
      <c r="J44" s="629">
        <f>H44/DAY(B2)</f>
        <v>0</v>
      </c>
      <c r="K44" s="467"/>
      <c r="L44" s="408"/>
      <c r="N44" s="479">
        <f>H44-'1'!E44</f>
        <v>0</v>
      </c>
      <c r="O44" s="413"/>
    </row>
    <row r="45" spans="1:15" ht="29.25">
      <c r="A45" s="655" t="s">
        <v>185</v>
      </c>
      <c r="B45" s="656"/>
      <c r="C45" s="656"/>
      <c r="D45" s="599" t="s">
        <v>143</v>
      </c>
      <c r="E45" s="531">
        <f>'30'!F45</f>
        <v>614.48</v>
      </c>
      <c r="F45" s="586">
        <v>614.48</v>
      </c>
      <c r="G45" s="549">
        <f t="shared" si="3"/>
        <v>0</v>
      </c>
      <c r="H45" s="536">
        <f>G45+'30'!H45</f>
        <v>0</v>
      </c>
      <c r="I45" s="531"/>
      <c r="J45" s="629">
        <f>H45/DAY(B2)</f>
        <v>0</v>
      </c>
      <c r="K45" s="467"/>
      <c r="L45" s="408"/>
      <c r="N45" s="479">
        <f>H45-'1'!E45</f>
        <v>-614.48</v>
      </c>
      <c r="O45" s="413"/>
    </row>
    <row r="46" spans="1:15" ht="29.25">
      <c r="A46" s="655" t="s">
        <v>186</v>
      </c>
      <c r="B46" s="656"/>
      <c r="C46" s="656"/>
      <c r="D46" s="599" t="s">
        <v>143</v>
      </c>
      <c r="E46" s="531">
        <f>'30'!F46</f>
        <v>187.49</v>
      </c>
      <c r="F46" s="586">
        <v>187.49</v>
      </c>
      <c r="G46" s="549">
        <f t="shared" si="3"/>
        <v>0</v>
      </c>
      <c r="H46" s="536">
        <f>G46+'30'!H46</f>
        <v>0</v>
      </c>
      <c r="I46" s="531"/>
      <c r="J46" s="629">
        <f>H46/DAY(B2)</f>
        <v>0</v>
      </c>
      <c r="K46" s="467"/>
      <c r="L46" s="408"/>
      <c r="N46" s="479">
        <f>H46-'1'!E46</f>
        <v>-187.49</v>
      </c>
      <c r="O46" s="413"/>
    </row>
    <row r="47" spans="1:15" ht="29.25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6575.0400000000836</v>
      </c>
      <c r="H47" s="536">
        <f>G47+'30'!H47</f>
        <v>1542141.94</v>
      </c>
      <c r="I47" s="531"/>
      <c r="J47" s="629">
        <f>H47/DAY(B2)</f>
        <v>49746.514193548384</v>
      </c>
      <c r="K47" s="467"/>
      <c r="L47" s="408"/>
      <c r="N47" s="479">
        <f>H47-'1'!E47</f>
        <v>1542141.94</v>
      </c>
      <c r="O47" s="413"/>
    </row>
    <row r="48" spans="1:15" ht="29.25">
      <c r="A48" s="675" t="s">
        <v>188</v>
      </c>
      <c r="B48" s="1236"/>
      <c r="C48" s="1236"/>
      <c r="D48" s="548"/>
      <c r="E48" s="547"/>
      <c r="F48" s="547"/>
      <c r="G48" s="548"/>
      <c r="H48" s="548"/>
      <c r="I48" s="548"/>
      <c r="J48" s="628"/>
      <c r="K48" s="467"/>
      <c r="L48" s="408"/>
      <c r="N48" s="479">
        <f>H48-'1'!E48</f>
        <v>0</v>
      </c>
      <c r="O48" s="413"/>
    </row>
    <row r="49" spans="1:15" ht="29.25">
      <c r="A49" s="655" t="s">
        <v>175</v>
      </c>
      <c r="B49" s="678"/>
      <c r="C49" s="678"/>
      <c r="D49" s="599" t="s">
        <v>143</v>
      </c>
      <c r="E49" s="531">
        <f>'30'!F49</f>
        <v>242955.55</v>
      </c>
      <c r="F49" s="586">
        <v>245899.05</v>
      </c>
      <c r="G49" s="549">
        <f t="shared" ref="G49:G58" si="4">F49-E49</f>
        <v>2943.5</v>
      </c>
      <c r="H49" s="536">
        <f>G49+'30'!H49</f>
        <v>0</v>
      </c>
      <c r="I49" s="531"/>
      <c r="J49" s="629">
        <f>H49/DAY(B2)</f>
        <v>0</v>
      </c>
      <c r="K49" s="467"/>
      <c r="L49" s="408"/>
      <c r="N49" s="479">
        <f>H49-'1'!E49</f>
        <v>-245899.05</v>
      </c>
      <c r="O49" s="413"/>
    </row>
    <row r="50" spans="1:15" ht="29.25">
      <c r="A50" s="655" t="s">
        <v>189</v>
      </c>
      <c r="B50" s="678"/>
      <c r="C50" s="678"/>
      <c r="D50" s="599" t="s">
        <v>143</v>
      </c>
      <c r="E50" s="531">
        <f>'30'!F50</f>
        <v>367595</v>
      </c>
      <c r="F50" s="586">
        <v>368617.31</v>
      </c>
      <c r="G50" s="549">
        <f t="shared" si="4"/>
        <v>1022.3099999999977</v>
      </c>
      <c r="H50" s="536">
        <f>G50+'30'!H50</f>
        <v>-1043</v>
      </c>
      <c r="I50" s="531"/>
      <c r="J50" s="629">
        <f>H50/DAY(B2)</f>
        <v>-33.645161290322584</v>
      </c>
      <c r="K50" s="467"/>
      <c r="L50" s="408"/>
      <c r="N50" s="479">
        <f>H50-'1'!E50</f>
        <v>-369660.31</v>
      </c>
      <c r="O50" s="413"/>
    </row>
    <row r="51" spans="1:15" ht="29.25">
      <c r="A51" s="655" t="s">
        <v>177</v>
      </c>
      <c r="B51" s="678"/>
      <c r="C51" s="678"/>
      <c r="D51" s="599" t="s">
        <v>143</v>
      </c>
      <c r="E51" s="531">
        <f>'30'!F51</f>
        <v>108550.86</v>
      </c>
      <c r="F51" s="586">
        <v>110099.74</v>
      </c>
      <c r="G51" s="549">
        <f t="shared" si="4"/>
        <v>1548.8800000000047</v>
      </c>
      <c r="H51" s="536">
        <f>G51+'30'!H51</f>
        <v>0</v>
      </c>
      <c r="I51" s="531"/>
      <c r="J51" s="629">
        <f>H51/DAY(B2)</f>
        <v>0</v>
      </c>
      <c r="K51" s="467"/>
      <c r="L51" s="408"/>
      <c r="N51" s="479">
        <f>H51-'1'!E51</f>
        <v>-110099.74</v>
      </c>
      <c r="O51" s="413"/>
    </row>
    <row r="52" spans="1:15" ht="29.25">
      <c r="A52" s="655" t="s">
        <v>190</v>
      </c>
      <c r="B52" s="678"/>
      <c r="C52" s="678"/>
      <c r="D52" s="599" t="s">
        <v>143</v>
      </c>
      <c r="E52" s="531">
        <f>'30'!F52</f>
        <v>491798.91</v>
      </c>
      <c r="F52" s="586">
        <v>493808.67</v>
      </c>
      <c r="G52" s="549">
        <f t="shared" si="4"/>
        <v>2009.7600000000093</v>
      </c>
      <c r="H52" s="536">
        <f>G52+'30'!H52</f>
        <v>0</v>
      </c>
      <c r="I52" s="531"/>
      <c r="J52" s="629">
        <f>H52/DAY(B2)</f>
        <v>0</v>
      </c>
      <c r="K52" s="467"/>
      <c r="L52" s="408"/>
      <c r="N52" s="479">
        <f>H52-'1'!E52</f>
        <v>-493808.67</v>
      </c>
      <c r="O52" s="413"/>
    </row>
    <row r="53" spans="1:15" ht="29.25">
      <c r="A53" s="655" t="s">
        <v>179</v>
      </c>
      <c r="B53" s="678"/>
      <c r="C53" s="678"/>
      <c r="D53" s="599" t="s">
        <v>143</v>
      </c>
      <c r="E53" s="531">
        <f>'30'!F53</f>
        <v>300092</v>
      </c>
      <c r="F53" s="586">
        <v>304298.27</v>
      </c>
      <c r="G53" s="549">
        <f t="shared" si="4"/>
        <v>4206.2700000000186</v>
      </c>
      <c r="H53" s="536">
        <f>G53+'30'!H53</f>
        <v>0</v>
      </c>
      <c r="I53" s="531"/>
      <c r="J53" s="629">
        <f>H53/DAY(B2)</f>
        <v>0</v>
      </c>
      <c r="K53" s="467"/>
      <c r="L53" s="408"/>
      <c r="N53" s="479">
        <f>H53-'1'!E53</f>
        <v>-304298.27</v>
      </c>
      <c r="O53" s="413"/>
    </row>
    <row r="54" spans="1:15" ht="29.25">
      <c r="A54" s="655" t="s">
        <v>191</v>
      </c>
      <c r="B54" s="678"/>
      <c r="C54" s="678"/>
      <c r="D54" s="599" t="s">
        <v>143</v>
      </c>
      <c r="E54" s="531">
        <f>'30'!F54</f>
        <v>6279.72</v>
      </c>
      <c r="F54" s="586">
        <v>6316.64</v>
      </c>
      <c r="G54" s="549">
        <f t="shared" si="4"/>
        <v>36.920000000000073</v>
      </c>
      <c r="H54" s="536">
        <f>G54+'30'!H54</f>
        <v>-72.159999999999854</v>
      </c>
      <c r="I54" s="531"/>
      <c r="J54" s="629">
        <f>H54/DAY(B2)</f>
        <v>-2.3277419354838664</v>
      </c>
      <c r="K54" s="467"/>
      <c r="L54" s="408"/>
      <c r="N54" s="479">
        <f>H54-'1'!E54</f>
        <v>-6388.8</v>
      </c>
      <c r="O54" s="413"/>
    </row>
    <row r="55" spans="1:15" ht="29.25">
      <c r="A55" s="655" t="s">
        <v>192</v>
      </c>
      <c r="B55" s="678"/>
      <c r="C55" s="678"/>
      <c r="D55" s="599" t="s">
        <v>143</v>
      </c>
      <c r="E55" s="531">
        <f>'30'!F55</f>
        <v>39121</v>
      </c>
      <c r="F55" s="586">
        <v>39120.58</v>
      </c>
      <c r="G55" s="549">
        <f t="shared" si="4"/>
        <v>-0.41999999999825377</v>
      </c>
      <c r="H55" s="536">
        <f>G55+'30'!H55</f>
        <v>-3867.4000000000015</v>
      </c>
      <c r="I55" s="531"/>
      <c r="J55" s="629">
        <f>H55/DAY(B2)</f>
        <v>-124.75483870967747</v>
      </c>
      <c r="K55" s="467"/>
      <c r="L55" s="408"/>
      <c r="N55" s="479">
        <f>H55-'1'!E55</f>
        <v>-42987.98</v>
      </c>
      <c r="O55" s="413"/>
    </row>
    <row r="56" spans="1:15" ht="29.25">
      <c r="A56" s="655" t="s">
        <v>193</v>
      </c>
      <c r="B56" s="678"/>
      <c r="C56" s="678"/>
      <c r="D56" s="599" t="s">
        <v>194</v>
      </c>
      <c r="E56" s="531">
        <f>'30'!F56</f>
        <v>557730</v>
      </c>
      <c r="F56" s="586">
        <v>557731.91</v>
      </c>
      <c r="G56" s="549">
        <f t="shared" si="4"/>
        <v>1.9100000000325963</v>
      </c>
      <c r="H56" s="536">
        <f>G56+'30'!H56</f>
        <v>0</v>
      </c>
      <c r="I56" s="531"/>
      <c r="J56" s="629">
        <f>H56/DAY(B2)</f>
        <v>0</v>
      </c>
      <c r="K56" s="466"/>
      <c r="L56" s="408"/>
      <c r="N56" s="479">
        <f>H56-'1'!E56</f>
        <v>-557731.91</v>
      </c>
      <c r="O56" s="413"/>
    </row>
    <row r="57" spans="1:15" ht="29.25">
      <c r="A57" s="655" t="s">
        <v>183</v>
      </c>
      <c r="B57" s="678"/>
      <c r="C57" s="678"/>
      <c r="D57" s="599" t="s">
        <v>143</v>
      </c>
      <c r="E57" s="531">
        <f>'30'!F57</f>
        <v>0</v>
      </c>
      <c r="F57" s="586">
        <v>0</v>
      </c>
      <c r="G57" s="549">
        <f t="shared" si="4"/>
        <v>0</v>
      </c>
      <c r="H57" s="536">
        <f>G57+'30'!H57</f>
        <v>0</v>
      </c>
      <c r="I57" s="531"/>
      <c r="J57" s="629">
        <f>H57/DAY(B2)</f>
        <v>0</v>
      </c>
      <c r="K57" s="467"/>
      <c r="L57" s="408"/>
      <c r="N57" s="479">
        <f>H57-'1'!E57</f>
        <v>0</v>
      </c>
      <c r="O57" s="413"/>
    </row>
    <row r="58" spans="1:15" ht="29.25">
      <c r="A58" s="655" t="s">
        <v>195</v>
      </c>
      <c r="B58" s="678"/>
      <c r="C58" s="678"/>
      <c r="D58" s="599" t="s">
        <v>143</v>
      </c>
      <c r="E58" s="531">
        <f>'30'!F58</f>
        <v>30322.240000000002</v>
      </c>
      <c r="F58" s="586">
        <v>30531.91</v>
      </c>
      <c r="G58" s="549">
        <f t="shared" si="4"/>
        <v>209.66999999999825</v>
      </c>
      <c r="H58" s="536">
        <f>G58+'30'!H58</f>
        <v>-197.62999999999738</v>
      </c>
      <c r="I58" s="531"/>
      <c r="J58" s="629">
        <f>H58/DAY(B2)</f>
        <v>-6.3751612903224961</v>
      </c>
      <c r="K58" s="467"/>
      <c r="L58" s="408"/>
      <c r="N58" s="479">
        <f>H58-'1'!E58</f>
        <v>-30729.539999999997</v>
      </c>
      <c r="O58" s="413"/>
    </row>
    <row r="59" spans="1:15" ht="29.25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11978.800000000063</v>
      </c>
      <c r="H59" s="536">
        <f>G59+'30'!H59</f>
        <v>-5180.1899999999496</v>
      </c>
      <c r="I59" s="531">
        <f>G7-G60</f>
        <v>-92.840000000145665</v>
      </c>
      <c r="J59" s="629">
        <f>H59/DAY(B2)</f>
        <v>-167.10290322580482</v>
      </c>
      <c r="K59" s="467"/>
      <c r="L59" s="408"/>
      <c r="N59" s="479">
        <f>H59-'1'!E59</f>
        <v>-5180.1899999999496</v>
      </c>
      <c r="O59" s="413"/>
    </row>
    <row r="60" spans="1:15" ht="29.25">
      <c r="A60" s="655"/>
      <c r="B60" s="656"/>
      <c r="C60" s="656"/>
      <c r="D60" s="587" t="s">
        <v>196</v>
      </c>
      <c r="E60" s="587"/>
      <c r="F60" s="587"/>
      <c r="G60" s="557">
        <f>G47+G59</f>
        <v>18553.840000000146</v>
      </c>
      <c r="H60" s="536">
        <f>G60+'30'!H60</f>
        <v>1542141.9400000002</v>
      </c>
      <c r="I60" s="531">
        <f>G13-G60</f>
        <v>-719.84000000014566</v>
      </c>
      <c r="J60" s="629">
        <f>H60/DAY(B2)</f>
        <v>49746.514193548392</v>
      </c>
      <c r="K60" s="467"/>
      <c r="L60" s="408"/>
      <c r="N60" s="479">
        <f>H60-'1'!E60</f>
        <v>1542141.9400000002</v>
      </c>
      <c r="O60" s="413"/>
    </row>
    <row r="61" spans="1:15" ht="29.25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79">
        <f>H61-'1'!E61</f>
        <v>0</v>
      </c>
      <c r="O61" s="413"/>
    </row>
    <row r="62" spans="1:15" ht="29.25">
      <c r="A62" s="680" t="s">
        <v>106</v>
      </c>
      <c r="B62" s="681"/>
      <c r="C62" s="681"/>
      <c r="D62" s="587" t="s">
        <v>198</v>
      </c>
      <c r="E62" s="531">
        <f>'30'!F62</f>
        <v>20419.18</v>
      </c>
      <c r="F62" s="590">
        <v>20419.188999999998</v>
      </c>
      <c r="G62" s="549">
        <f t="shared" ref="G62:G69" si="5">F62-E62</f>
        <v>8.9999999981955625E-3</v>
      </c>
      <c r="H62" s="536">
        <f>G62+'30'!H62</f>
        <v>0</v>
      </c>
      <c r="I62" s="591"/>
      <c r="J62" s="629">
        <f>H62/DAY(B2)</f>
        <v>0</v>
      </c>
      <c r="K62" s="467"/>
      <c r="L62" s="408"/>
      <c r="N62" s="479">
        <f>H62-'1'!E62</f>
        <v>-20419.188999999998</v>
      </c>
      <c r="O62" s="413"/>
    </row>
    <row r="63" spans="1:15" ht="29.25">
      <c r="A63" s="680" t="s">
        <v>199</v>
      </c>
      <c r="B63" s="681"/>
      <c r="C63" s="681"/>
      <c r="D63" s="587" t="s">
        <v>198</v>
      </c>
      <c r="E63" s="531">
        <f>'30'!F63</f>
        <v>1318.65</v>
      </c>
      <c r="F63" s="590">
        <v>1332.53</v>
      </c>
      <c r="G63" s="549">
        <f t="shared" si="5"/>
        <v>13.879999999999882</v>
      </c>
      <c r="H63" s="536">
        <f>G63+'30'!H63</f>
        <v>0</v>
      </c>
      <c r="I63" s="591"/>
      <c r="J63" s="629">
        <f>H63/DAY(B2)</f>
        <v>0</v>
      </c>
      <c r="K63" s="467"/>
      <c r="L63" s="408"/>
      <c r="N63" s="479">
        <f>H63-'1'!E63</f>
        <v>-1332.53</v>
      </c>
      <c r="O63" s="413"/>
    </row>
    <row r="64" spans="1:15" ht="27.75">
      <c r="A64" s="1385" t="s">
        <v>107</v>
      </c>
      <c r="B64" s="1386"/>
      <c r="C64" s="1387"/>
      <c r="D64" s="599" t="s">
        <v>198</v>
      </c>
      <c r="E64" s="531">
        <f>'30'!F64</f>
        <v>110863</v>
      </c>
      <c r="F64" s="560">
        <v>111283.46</v>
      </c>
      <c r="G64" s="549">
        <f t="shared" si="5"/>
        <v>420.4600000000064</v>
      </c>
      <c r="H64" s="536">
        <f>G64+'30'!H64</f>
        <v>0</v>
      </c>
      <c r="I64" s="556"/>
      <c r="J64" s="629">
        <f>H64/DAY(B2)</f>
        <v>0</v>
      </c>
      <c r="K64" s="467"/>
      <c r="L64" s="408"/>
      <c r="N64" s="479">
        <f>H64-'1'!E64</f>
        <v>-111283.46</v>
      </c>
      <c r="O64" s="413"/>
    </row>
    <row r="65" spans="1:15" ht="27.75">
      <c r="A65" s="1385" t="s">
        <v>108</v>
      </c>
      <c r="B65" s="1386"/>
      <c r="C65" s="1387"/>
      <c r="D65" s="599" t="s">
        <v>198</v>
      </c>
      <c r="E65" s="531">
        <f>'30'!F65</f>
        <v>121338</v>
      </c>
      <c r="F65" s="560">
        <v>121733.11</v>
      </c>
      <c r="G65" s="549">
        <f t="shared" si="5"/>
        <v>395.11000000000058</v>
      </c>
      <c r="H65" s="536">
        <f>G65+'30'!H65</f>
        <v>0</v>
      </c>
      <c r="I65" s="565"/>
      <c r="J65" s="629">
        <f>H65/DAY(B2)</f>
        <v>0</v>
      </c>
      <c r="K65" s="467"/>
      <c r="L65" s="408"/>
      <c r="N65" s="479">
        <f>H65-'1'!E65</f>
        <v>-121733.11</v>
      </c>
      <c r="O65" s="413"/>
    </row>
    <row r="66" spans="1:15" ht="27.75">
      <c r="A66" s="1385" t="s">
        <v>109</v>
      </c>
      <c r="B66" s="1386"/>
      <c r="C66" s="1387"/>
      <c r="D66" s="599" t="s">
        <v>198</v>
      </c>
      <c r="E66" s="531">
        <f>'30'!F66</f>
        <v>13744</v>
      </c>
      <c r="F66" s="560">
        <v>14159.74</v>
      </c>
      <c r="G66" s="549">
        <f t="shared" si="5"/>
        <v>415.73999999999978</v>
      </c>
      <c r="H66" s="536">
        <f>G66+'30'!H66</f>
        <v>0</v>
      </c>
      <c r="I66" s="556"/>
      <c r="J66" s="629">
        <f>H66/DAY(B2)</f>
        <v>0</v>
      </c>
      <c r="K66" s="467"/>
      <c r="L66" s="408"/>
      <c r="N66" s="479">
        <f>H66-'1'!E66</f>
        <v>-14159.74</v>
      </c>
      <c r="O66" s="413"/>
    </row>
    <row r="67" spans="1:15" ht="27.75">
      <c r="A67" s="1385" t="s">
        <v>110</v>
      </c>
      <c r="B67" s="1386"/>
      <c r="C67" s="1387"/>
      <c r="D67" s="599" t="s">
        <v>198</v>
      </c>
      <c r="E67" s="531">
        <f>'30'!F67</f>
        <v>187947</v>
      </c>
      <c r="F67" s="560">
        <v>188674.53</v>
      </c>
      <c r="G67" s="549">
        <f t="shared" si="5"/>
        <v>727.52999999999884</v>
      </c>
      <c r="H67" s="536">
        <f>G67+'30'!H67</f>
        <v>0</v>
      </c>
      <c r="I67" s="565"/>
      <c r="J67" s="629">
        <f>H67/DAY(B2)</f>
        <v>0</v>
      </c>
      <c r="K67" s="468"/>
      <c r="L67" s="408"/>
      <c r="N67" s="479">
        <f>H67-'1'!E67</f>
        <v>-188674.53</v>
      </c>
      <c r="O67" s="413"/>
    </row>
    <row r="68" spans="1:15" ht="27.75">
      <c r="A68" s="1385" t="s">
        <v>111</v>
      </c>
      <c r="B68" s="1386"/>
      <c r="C68" s="1387"/>
      <c r="D68" s="599" t="s">
        <v>198</v>
      </c>
      <c r="E68" s="531">
        <f>'30'!F68</f>
        <v>63003</v>
      </c>
      <c r="F68" s="560">
        <v>63299.86</v>
      </c>
      <c r="G68" s="549">
        <f t="shared" si="5"/>
        <v>296.86000000000058</v>
      </c>
      <c r="H68" s="536">
        <f>G68+'30'!H68</f>
        <v>0</v>
      </c>
      <c r="I68" s="592"/>
      <c r="J68" s="629">
        <f>H68/DAY(B2)</f>
        <v>0</v>
      </c>
      <c r="K68" s="469"/>
      <c r="L68" s="408"/>
      <c r="N68" s="479">
        <f>H68-'1'!E68</f>
        <v>-63299.86</v>
      </c>
      <c r="O68" s="413"/>
    </row>
    <row r="69" spans="1:15" ht="27.75">
      <c r="A69" s="1385" t="s">
        <v>112</v>
      </c>
      <c r="B69" s="1386"/>
      <c r="C69" s="1387"/>
      <c r="D69" s="599" t="s">
        <v>198</v>
      </c>
      <c r="E69" s="531">
        <f>'30'!F69</f>
        <v>55407.56</v>
      </c>
      <c r="F69" s="560">
        <v>55723.71</v>
      </c>
      <c r="G69" s="549">
        <f t="shared" si="5"/>
        <v>316.15000000000146</v>
      </c>
      <c r="H69" s="536">
        <f>G69+'30'!H69</f>
        <v>0</v>
      </c>
      <c r="I69" s="592"/>
      <c r="J69" s="629">
        <f>H69/DAY(B2)</f>
        <v>0</v>
      </c>
      <c r="K69" s="470"/>
      <c r="L69" s="408"/>
      <c r="N69" s="479">
        <f>H69-'1'!E69</f>
        <v>-55723.71</v>
      </c>
      <c r="O69" s="413"/>
    </row>
    <row r="70" spans="1:15" ht="27.75">
      <c r="A70" s="1391" t="s">
        <v>200</v>
      </c>
      <c r="B70" s="1392"/>
      <c r="C70" s="1393"/>
      <c r="D70" s="599" t="s">
        <v>198</v>
      </c>
      <c r="E70" s="594"/>
      <c r="F70" s="594"/>
      <c r="G70" s="594"/>
      <c r="H70" s="536">
        <f>G70+'30'!H70</f>
        <v>0</v>
      </c>
      <c r="I70" s="594"/>
      <c r="J70" s="633"/>
      <c r="K70" s="470"/>
      <c r="L70" s="408"/>
      <c r="N70" s="479">
        <f>H70-'1'!E70</f>
        <v>0</v>
      </c>
      <c r="O70" s="413"/>
    </row>
    <row r="71" spans="1:15" ht="31.5">
      <c r="A71" s="1388" t="s">
        <v>201</v>
      </c>
      <c r="B71" s="1389"/>
      <c r="C71" s="1389"/>
      <c r="D71" s="1389"/>
      <c r="E71" s="1389"/>
      <c r="F71" s="1389"/>
      <c r="G71" s="1389"/>
      <c r="H71" s="1389"/>
      <c r="I71" s="1389"/>
      <c r="J71" s="1390"/>
      <c r="K71" s="469"/>
      <c r="L71" s="408"/>
      <c r="N71" s="479">
        <f>H71-'1'!E71</f>
        <v>0</v>
      </c>
      <c r="O71" s="413"/>
    </row>
    <row r="72" spans="1:15" ht="27.75">
      <c r="A72" s="1385" t="s">
        <v>202</v>
      </c>
      <c r="B72" s="1386"/>
      <c r="C72" s="1387"/>
      <c r="D72" s="599" t="s">
        <v>198</v>
      </c>
      <c r="E72" s="531">
        <f>'30'!F72</f>
        <v>848364</v>
      </c>
      <c r="F72" s="595">
        <v>848465</v>
      </c>
      <c r="G72" s="549">
        <f t="shared" ref="G72:G84" si="6">F72-E72</f>
        <v>101</v>
      </c>
      <c r="H72" s="536">
        <f>G72+'30'!H72</f>
        <v>-87</v>
      </c>
      <c r="I72" s="556"/>
      <c r="J72" s="629">
        <f>H72/DAY(B2)</f>
        <v>-2.806451612903226</v>
      </c>
      <c r="K72" s="470"/>
      <c r="L72" s="408"/>
      <c r="N72" s="479">
        <f>H72-'1'!E72</f>
        <v>-848552</v>
      </c>
      <c r="O72" s="413"/>
    </row>
    <row r="73" spans="1:15" ht="27.75">
      <c r="A73" s="1385" t="s">
        <v>203</v>
      </c>
      <c r="B73" s="1386"/>
      <c r="C73" s="1387"/>
      <c r="D73" s="599" t="s">
        <v>198</v>
      </c>
      <c r="E73" s="531">
        <f>'30'!F73</f>
        <v>885728</v>
      </c>
      <c r="F73" s="596">
        <v>885728</v>
      </c>
      <c r="G73" s="549">
        <f t="shared" si="6"/>
        <v>0</v>
      </c>
      <c r="H73" s="536">
        <f>G73+'30'!H73</f>
        <v>947</v>
      </c>
      <c r="I73" s="556"/>
      <c r="J73" s="629">
        <f>H73/DAY(B2)</f>
        <v>30.548387096774192</v>
      </c>
      <c r="K73" s="469"/>
      <c r="L73" s="408"/>
      <c r="N73" s="479">
        <f>H73-'1'!E73</f>
        <v>-884781</v>
      </c>
      <c r="O73" s="413"/>
    </row>
    <row r="74" spans="1:15" ht="27.75">
      <c r="A74" s="1385" t="s">
        <v>204</v>
      </c>
      <c r="B74" s="1386"/>
      <c r="C74" s="1387"/>
      <c r="D74" s="599" t="s">
        <v>198</v>
      </c>
      <c r="E74" s="531">
        <f>'30'!F74</f>
        <v>882336</v>
      </c>
      <c r="F74" s="597">
        <v>882369</v>
      </c>
      <c r="G74" s="549">
        <f t="shared" si="6"/>
        <v>33</v>
      </c>
      <c r="H74" s="536">
        <f>G74+'30'!H74</f>
        <v>882598.1</v>
      </c>
      <c r="I74" s="556"/>
      <c r="J74" s="629">
        <f>H74/DAY(B2)</f>
        <v>28470.906451612904</v>
      </c>
      <c r="K74" s="470"/>
      <c r="L74" s="408"/>
      <c r="N74" s="479">
        <f>H74-'1'!E74</f>
        <v>229.09999999997672</v>
      </c>
      <c r="O74" s="413"/>
    </row>
    <row r="75" spans="1:15" ht="27.75">
      <c r="A75" s="1382" t="s">
        <v>205</v>
      </c>
      <c r="B75" s="1383"/>
      <c r="C75" s="1384"/>
      <c r="D75" s="599" t="s">
        <v>198</v>
      </c>
      <c r="E75" s="531">
        <f>'30'!F75</f>
        <v>737302</v>
      </c>
      <c r="F75" s="597">
        <v>737519</v>
      </c>
      <c r="G75" s="549">
        <f t="shared" si="6"/>
        <v>217</v>
      </c>
      <c r="H75" s="536">
        <f>G75+'30'!H75</f>
        <v>739055.4</v>
      </c>
      <c r="I75" s="556"/>
      <c r="J75" s="629">
        <f>H75/DAY(B2)</f>
        <v>23840.496774193551</v>
      </c>
      <c r="K75" s="469"/>
      <c r="L75" s="408"/>
      <c r="N75" s="479">
        <f>H75-'1'!E75</f>
        <v>1536.4000000000233</v>
      </c>
      <c r="O75" s="413"/>
    </row>
    <row r="76" spans="1:15" ht="27.75">
      <c r="A76" s="1382" t="s">
        <v>206</v>
      </c>
      <c r="B76" s="1383"/>
      <c r="C76" s="1384"/>
      <c r="D76" s="599" t="s">
        <v>198</v>
      </c>
      <c r="E76" s="531">
        <f>'30'!F76</f>
        <v>686940</v>
      </c>
      <c r="F76" s="596">
        <v>687014</v>
      </c>
      <c r="G76" s="549">
        <f t="shared" si="6"/>
        <v>74</v>
      </c>
      <c r="H76" s="536">
        <f>G76+'30'!H76</f>
        <v>689011.19999999995</v>
      </c>
      <c r="I76" s="581"/>
      <c r="J76" s="629">
        <f>H76/DAY(B2)</f>
        <v>22226.167741935482</v>
      </c>
      <c r="K76" s="469"/>
      <c r="L76" s="408"/>
      <c r="N76" s="479">
        <f>H76-'1'!E76</f>
        <v>1997.1999999999534</v>
      </c>
      <c r="O76" s="413"/>
    </row>
    <row r="77" spans="1:15" ht="27.75">
      <c r="A77" s="1385" t="s">
        <v>207</v>
      </c>
      <c r="B77" s="1386"/>
      <c r="C77" s="1387"/>
      <c r="D77" s="599" t="s">
        <v>198</v>
      </c>
      <c r="E77" s="531">
        <f>'30'!F77</f>
        <v>697046</v>
      </c>
      <c r="F77" s="597">
        <v>697107</v>
      </c>
      <c r="G77" s="549">
        <f t="shared" si="6"/>
        <v>61</v>
      </c>
      <c r="H77" s="536">
        <f>G77+'30'!H77</f>
        <v>0</v>
      </c>
      <c r="I77" s="581"/>
      <c r="J77" s="629">
        <f>H77/DAY(B2)</f>
        <v>0</v>
      </c>
      <c r="K77" s="469"/>
      <c r="L77" s="408"/>
      <c r="N77" s="479">
        <f>H77-'1'!E77</f>
        <v>-697107</v>
      </c>
      <c r="O77" s="413"/>
    </row>
    <row r="78" spans="1:15" ht="27.75">
      <c r="A78" s="1234" t="s">
        <v>208</v>
      </c>
      <c r="B78" s="1205"/>
      <c r="C78" s="1205"/>
      <c r="D78" s="599" t="s">
        <v>198</v>
      </c>
      <c r="E78" s="531">
        <f>'30'!F78</f>
        <v>641481</v>
      </c>
      <c r="F78" s="597">
        <v>641953</v>
      </c>
      <c r="G78" s="549">
        <f t="shared" si="6"/>
        <v>472</v>
      </c>
      <c r="H78" s="536">
        <f>G78+'30'!H78</f>
        <v>0</v>
      </c>
      <c r="I78" s="581"/>
      <c r="J78" s="629">
        <f>H78/DAY(B2)</f>
        <v>0</v>
      </c>
      <c r="K78" s="469"/>
      <c r="L78" s="408"/>
      <c r="N78" s="479">
        <f>H78-'1'!E78</f>
        <v>-641953</v>
      </c>
      <c r="O78" s="413"/>
    </row>
    <row r="79" spans="1:15" ht="27.75">
      <c r="A79" s="1382" t="s">
        <v>97</v>
      </c>
      <c r="B79" s="1383"/>
      <c r="C79" s="1384"/>
      <c r="D79" s="600" t="s">
        <v>198</v>
      </c>
      <c r="E79" s="531">
        <f>'30'!F79</f>
        <v>809502</v>
      </c>
      <c r="F79" s="597">
        <v>809691</v>
      </c>
      <c r="G79" s="549">
        <f t="shared" si="6"/>
        <v>189</v>
      </c>
      <c r="H79" s="536">
        <f>G79+'30'!H79</f>
        <v>2865</v>
      </c>
      <c r="I79" s="581"/>
      <c r="J79" s="629">
        <f>H79/DAY(B2)</f>
        <v>92.41935483870968</v>
      </c>
      <c r="K79" s="469"/>
      <c r="L79" s="408"/>
      <c r="N79" s="479">
        <f>H79-'1'!E79</f>
        <v>-806826</v>
      </c>
      <c r="O79" s="413"/>
    </row>
    <row r="80" spans="1:15" ht="27.75">
      <c r="A80" s="1382" t="s">
        <v>209</v>
      </c>
      <c r="B80" s="1383"/>
      <c r="C80" s="1384"/>
      <c r="D80" s="600" t="s">
        <v>198</v>
      </c>
      <c r="E80" s="531">
        <f>'30'!F80</f>
        <v>484794</v>
      </c>
      <c r="F80" s="596">
        <v>485127</v>
      </c>
      <c r="G80" s="549">
        <f t="shared" si="6"/>
        <v>333</v>
      </c>
      <c r="H80" s="536">
        <f>G80+'30'!H80</f>
        <v>-1454.679999999993</v>
      </c>
      <c r="I80" s="581"/>
      <c r="J80" s="629">
        <f>H80/DAY(B2)</f>
        <v>-46.925161290322357</v>
      </c>
      <c r="K80" s="469"/>
      <c r="L80" s="408"/>
      <c r="N80" s="479">
        <f>H80-'1'!E80</f>
        <v>-486581.68</v>
      </c>
      <c r="O80" s="413"/>
    </row>
    <row r="81" spans="1:15" ht="27.75">
      <c r="A81" s="1382" t="s">
        <v>210</v>
      </c>
      <c r="B81" s="1383"/>
      <c r="C81" s="1384"/>
      <c r="D81" s="600" t="s">
        <v>198</v>
      </c>
      <c r="E81" s="531">
        <f>'30'!F81</f>
        <v>622662.52</v>
      </c>
      <c r="F81" s="596">
        <v>622775</v>
      </c>
      <c r="G81" s="549">
        <f t="shared" si="6"/>
        <v>112.47999999998137</v>
      </c>
      <c r="H81" s="536">
        <f>G81+'30'!H81</f>
        <v>0</v>
      </c>
      <c r="I81" s="581"/>
      <c r="J81" s="629">
        <f>H81/DAY(B2)</f>
        <v>0</v>
      </c>
      <c r="K81" s="469"/>
      <c r="L81" s="408"/>
      <c r="N81" s="479">
        <f>H81-'1'!E81</f>
        <v>-622775</v>
      </c>
      <c r="O81" s="413"/>
    </row>
    <row r="82" spans="1:15" ht="27.75">
      <c r="A82" s="1382" t="s">
        <v>100</v>
      </c>
      <c r="B82" s="1383"/>
      <c r="C82" s="1384"/>
      <c r="D82" s="561" t="s">
        <v>143</v>
      </c>
      <c r="E82" s="531">
        <f>'30'!F82</f>
        <v>105387.91</v>
      </c>
      <c r="F82" s="598">
        <v>105440</v>
      </c>
      <c r="G82" s="549">
        <f t="shared" si="6"/>
        <v>52.089999999996508</v>
      </c>
      <c r="H82" s="536">
        <f>G82+'30'!H82</f>
        <v>0</v>
      </c>
      <c r="I82" s="562"/>
      <c r="J82" s="629">
        <f>H82/DAY(B2)</f>
        <v>0</v>
      </c>
      <c r="K82" s="469"/>
      <c r="L82" s="408"/>
      <c r="N82" s="479">
        <f>H82-'1'!E82</f>
        <v>-105440</v>
      </c>
      <c r="O82" s="413"/>
    </row>
    <row r="83" spans="1:15" ht="27.75">
      <c r="A83" s="1382" t="s">
        <v>211</v>
      </c>
      <c r="B83" s="1383"/>
      <c r="C83" s="1384"/>
      <c r="D83" s="697" t="s">
        <v>143</v>
      </c>
      <c r="E83" s="531">
        <f>'30'!F83</f>
        <v>983326</v>
      </c>
      <c r="F83" s="587">
        <v>983741</v>
      </c>
      <c r="G83" s="549">
        <f t="shared" si="6"/>
        <v>415</v>
      </c>
      <c r="H83" s="536">
        <f>G83+'30'!H83</f>
        <v>0</v>
      </c>
      <c r="I83" s="557"/>
      <c r="J83" s="629">
        <f>H83/DAY(B2)</f>
        <v>0</v>
      </c>
      <c r="K83" s="468"/>
      <c r="L83" s="408"/>
      <c r="N83" s="479">
        <f>H83-'1'!E83</f>
        <v>-983741</v>
      </c>
      <c r="O83" s="413"/>
    </row>
    <row r="84" spans="1:15" ht="29.25">
      <c r="A84" s="1235" t="s">
        <v>212</v>
      </c>
      <c r="B84" s="648"/>
      <c r="C84" s="648"/>
      <c r="D84" s="554" t="s">
        <v>143</v>
      </c>
      <c r="E84" s="531">
        <f>'30'!F84</f>
        <v>415569</v>
      </c>
      <c r="F84" s="704">
        <v>416073</v>
      </c>
      <c r="G84" s="549">
        <f t="shared" si="6"/>
        <v>504</v>
      </c>
      <c r="H84" s="536">
        <f>G84+'30'!H84</f>
        <v>0</v>
      </c>
      <c r="I84" s="557"/>
      <c r="J84" s="629">
        <f>H84/DAY(B2)</f>
        <v>0</v>
      </c>
      <c r="K84" s="411"/>
      <c r="L84" s="408"/>
      <c r="N84" s="479">
        <f>H84-'1'!E84</f>
        <v>-416073</v>
      </c>
      <c r="O84" s="413"/>
    </row>
    <row r="85" spans="1:15" s="410" customFormat="1" ht="29.25">
      <c r="A85" s="682" t="s">
        <v>213</v>
      </c>
      <c r="B85" s="649"/>
      <c r="C85" s="649"/>
      <c r="D85" s="565"/>
      <c r="E85" s="599"/>
      <c r="F85" s="599"/>
      <c r="G85" s="536">
        <f xml:space="preserve"> SUM(G72:G84)</f>
        <v>2563.5699999999779</v>
      </c>
      <c r="H85" s="536">
        <f>G85+'30'!H85</f>
        <v>2307631.6499999994</v>
      </c>
      <c r="I85" s="557"/>
      <c r="J85" s="629">
        <f>H85/DAY(B2)</f>
        <v>74439.730645161268</v>
      </c>
      <c r="K85" s="411"/>
      <c r="L85" s="409"/>
      <c r="N85" s="479">
        <f>H85-'1'!E85</f>
        <v>2307631.6499999994</v>
      </c>
      <c r="O85" s="413"/>
    </row>
    <row r="86" spans="1:15" s="817" customFormat="1" ht="29.25">
      <c r="A86" s="812" t="s">
        <v>102</v>
      </c>
      <c r="B86" s="813"/>
      <c r="C86" s="813"/>
      <c r="D86" s="814" t="s">
        <v>194</v>
      </c>
      <c r="E86" s="531">
        <f>'30'!F86</f>
        <v>447033</v>
      </c>
      <c r="F86" s="728">
        <v>447106</v>
      </c>
      <c r="G86" s="787">
        <f t="shared" ref="G86:G90" si="7">F86-E86</f>
        <v>73</v>
      </c>
      <c r="H86" s="536">
        <f>G86+'30'!H86</f>
        <v>218</v>
      </c>
      <c r="I86" s="733"/>
      <c r="J86" s="789">
        <f>H86/DAY(B2)</f>
        <v>7.032258064516129</v>
      </c>
      <c r="K86" s="815"/>
      <c r="L86" s="816"/>
      <c r="N86" s="479">
        <f>H86-'1'!E86</f>
        <v>-446888</v>
      </c>
      <c r="O86" s="795"/>
    </row>
    <row r="87" spans="1:15" s="817" customFormat="1" ht="29.25">
      <c r="A87" s="812" t="s">
        <v>103</v>
      </c>
      <c r="B87" s="813"/>
      <c r="C87" s="813"/>
      <c r="D87" s="814" t="s">
        <v>194</v>
      </c>
      <c r="E87" s="531">
        <f>'30'!F87</f>
        <v>78432.5</v>
      </c>
      <c r="F87" s="728">
        <v>78446.3</v>
      </c>
      <c r="G87" s="787">
        <f t="shared" si="7"/>
        <v>13.80000000000291</v>
      </c>
      <c r="H87" s="536">
        <f>G87+'30'!H87</f>
        <v>35.30000000000291</v>
      </c>
      <c r="I87" s="733"/>
      <c r="J87" s="789">
        <f>H87/DAY(B2)</f>
        <v>1.1387096774194487</v>
      </c>
      <c r="K87" s="815"/>
      <c r="L87" s="816"/>
      <c r="N87" s="479">
        <f>H87-'1'!E87</f>
        <v>-78411</v>
      </c>
      <c r="O87" s="795"/>
    </row>
    <row r="88" spans="1:15" s="817" customFormat="1" ht="29.25">
      <c r="A88" s="812" t="s">
        <v>104</v>
      </c>
      <c r="B88" s="813"/>
      <c r="C88" s="813"/>
      <c r="D88" s="814" t="s">
        <v>194</v>
      </c>
      <c r="E88" s="531">
        <f>'30'!F88</f>
        <v>146464</v>
      </c>
      <c r="F88" s="728">
        <v>146502</v>
      </c>
      <c r="G88" s="787">
        <f t="shared" si="7"/>
        <v>38</v>
      </c>
      <c r="H88" s="536">
        <f>G88+'30'!H88</f>
        <v>119.04999999998836</v>
      </c>
      <c r="I88" s="733"/>
      <c r="J88" s="789">
        <f>H88/DAY(B2)</f>
        <v>3.8403225806447856</v>
      </c>
      <c r="K88" s="815"/>
      <c r="L88" s="816"/>
      <c r="N88" s="479">
        <f>H88-'1'!E88</f>
        <v>-146382.95000000001</v>
      </c>
      <c r="O88" s="795"/>
    </row>
    <row r="89" spans="1:15" s="817" customFormat="1" ht="29.25">
      <c r="A89" s="812" t="s">
        <v>215</v>
      </c>
      <c r="B89" s="813"/>
      <c r="C89" s="813"/>
      <c r="D89" s="814" t="s">
        <v>194</v>
      </c>
      <c r="E89" s="531">
        <f>'30'!F89</f>
        <v>59738</v>
      </c>
      <c r="F89" s="728">
        <v>59802</v>
      </c>
      <c r="G89" s="787">
        <f t="shared" si="7"/>
        <v>64</v>
      </c>
      <c r="H89" s="536">
        <f>G89+'30'!H89</f>
        <v>131.19999999999709</v>
      </c>
      <c r="I89" s="733"/>
      <c r="J89" s="789">
        <f>H89/DAY(B2)</f>
        <v>4.232258064516035</v>
      </c>
      <c r="K89" s="815"/>
      <c r="L89" s="816"/>
      <c r="N89" s="479">
        <f>H89-'1'!E89</f>
        <v>-59670.8</v>
      </c>
      <c r="O89" s="413"/>
    </row>
    <row r="90" spans="1:15" s="817" customFormat="1" ht="29.25">
      <c r="A90" s="812" t="s">
        <v>215</v>
      </c>
      <c r="B90" s="813"/>
      <c r="C90" s="813"/>
      <c r="D90" s="814" t="s">
        <v>194</v>
      </c>
      <c r="E90" s="531">
        <f>'30'!F90</f>
        <v>3064</v>
      </c>
      <c r="F90" s="728">
        <v>3065.9</v>
      </c>
      <c r="G90" s="787">
        <f t="shared" si="7"/>
        <v>1.9000000000000909</v>
      </c>
      <c r="H90" s="536">
        <f>G90+'30'!H90</f>
        <v>4</v>
      </c>
      <c r="I90" s="733"/>
      <c r="J90" s="789">
        <f>H90/DAY(B2)</f>
        <v>0.12903225806451613</v>
      </c>
      <c r="K90" s="815"/>
      <c r="L90" s="816"/>
      <c r="N90" s="479">
        <f>H90-'1'!E90</f>
        <v>-3061.9</v>
      </c>
      <c r="O90" s="413"/>
    </row>
    <row r="91" spans="1:15" s="410" customFormat="1" ht="29.25">
      <c r="A91" s="683" t="s">
        <v>216</v>
      </c>
      <c r="B91" s="1237"/>
      <c r="C91" s="1237"/>
      <c r="D91" s="548"/>
      <c r="E91" s="548"/>
      <c r="F91" s="548"/>
      <c r="G91" s="564"/>
      <c r="H91" s="548"/>
      <c r="I91" s="548"/>
      <c r="J91" s="628"/>
      <c r="K91" s="411"/>
      <c r="L91" s="409"/>
      <c r="N91" s="479">
        <f>H91-'1'!E91</f>
        <v>0</v>
      </c>
      <c r="O91" s="413"/>
    </row>
    <row r="92" spans="1:15" ht="27.75">
      <c r="A92" s="1406" t="s">
        <v>217</v>
      </c>
      <c r="B92" s="1407"/>
      <c r="C92" s="1408"/>
      <c r="D92" s="599" t="s">
        <v>155</v>
      </c>
      <c r="E92" s="531">
        <f>'30'!F92</f>
        <v>236479</v>
      </c>
      <c r="F92" s="560">
        <v>236570</v>
      </c>
      <c r="G92" s="549">
        <f t="shared" ref="G92:G93" si="8">F92-E92</f>
        <v>91</v>
      </c>
      <c r="H92" s="536">
        <f>G92+'30'!H92</f>
        <v>0</v>
      </c>
      <c r="I92" s="556"/>
      <c r="J92" s="629">
        <f>H92/DAY(B2)</f>
        <v>0</v>
      </c>
      <c r="K92" s="468"/>
      <c r="L92" s="408"/>
      <c r="N92" s="479">
        <f>H92-'1'!E92</f>
        <v>-236570</v>
      </c>
      <c r="O92" s="413"/>
    </row>
    <row r="93" spans="1:15" ht="27.75">
      <c r="A93" s="1406" t="s">
        <v>218</v>
      </c>
      <c r="B93" s="1407"/>
      <c r="C93" s="1408"/>
      <c r="D93" s="599" t="s">
        <v>155</v>
      </c>
      <c r="E93" s="531">
        <f>'30'!F93</f>
        <v>170982</v>
      </c>
      <c r="F93" s="560">
        <v>171176</v>
      </c>
      <c r="G93" s="549">
        <f t="shared" si="8"/>
        <v>194</v>
      </c>
      <c r="H93" s="536">
        <f>G93+'30'!H93</f>
        <v>0</v>
      </c>
      <c r="I93" s="556"/>
      <c r="J93" s="629">
        <f>H93/DAY(B2)</f>
        <v>0</v>
      </c>
      <c r="K93" s="411"/>
      <c r="L93" s="408"/>
      <c r="N93" s="479">
        <f>H93-'1'!E93</f>
        <v>-171176</v>
      </c>
      <c r="O93" s="413"/>
    </row>
    <row r="94" spans="1:15" ht="29.25">
      <c r="A94" s="1434" t="s">
        <v>219</v>
      </c>
      <c r="B94" s="1435"/>
      <c r="C94" s="1436"/>
      <c r="D94" s="599"/>
      <c r="E94" s="560"/>
      <c r="F94" s="560"/>
      <c r="G94" s="549">
        <f>G92+G93</f>
        <v>285</v>
      </c>
      <c r="H94" s="536">
        <f>G94+'30'!H94</f>
        <v>-287</v>
      </c>
      <c r="I94" s="556"/>
      <c r="J94" s="629">
        <f>H94/DAY(B2)</f>
        <v>-9.258064516129032</v>
      </c>
      <c r="K94" s="411"/>
      <c r="L94" s="408"/>
      <c r="N94" s="479">
        <f>H94-'1'!E94</f>
        <v>-287</v>
      </c>
      <c r="O94" s="413"/>
    </row>
    <row r="95" spans="1:15" ht="27.75">
      <c r="A95" s="1406" t="s">
        <v>220</v>
      </c>
      <c r="B95" s="1407"/>
      <c r="C95" s="1408"/>
      <c r="D95" s="599" t="s">
        <v>155</v>
      </c>
      <c r="E95" s="531">
        <f>'30'!F95</f>
        <v>405807</v>
      </c>
      <c r="F95" s="560">
        <v>405876</v>
      </c>
      <c r="G95" s="549">
        <f t="shared" ref="G95:G100" si="9">F95-E95</f>
        <v>69</v>
      </c>
      <c r="H95" s="536">
        <f>G95+'30'!H95</f>
        <v>0</v>
      </c>
      <c r="I95" s="556"/>
      <c r="J95" s="629">
        <f>H95/DAY(B2)</f>
        <v>0</v>
      </c>
      <c r="K95" s="411"/>
      <c r="L95" s="408"/>
      <c r="N95" s="479">
        <f>H95-'1'!E95</f>
        <v>-405876</v>
      </c>
      <c r="O95" s="413"/>
    </row>
    <row r="96" spans="1:15" ht="27.75">
      <c r="A96" s="1231" t="s">
        <v>221</v>
      </c>
      <c r="B96" s="1232"/>
      <c r="C96" s="1232"/>
      <c r="D96" s="599" t="s">
        <v>155</v>
      </c>
      <c r="E96" s="531">
        <f>'30'!F96</f>
        <v>100508</v>
      </c>
      <c r="F96" s="560">
        <v>100534</v>
      </c>
      <c r="G96" s="549">
        <f t="shared" si="9"/>
        <v>26</v>
      </c>
      <c r="H96" s="536">
        <f>G96+'30'!H96</f>
        <v>0</v>
      </c>
      <c r="I96" s="556"/>
      <c r="J96" s="629">
        <f>H96/DAY(B2)</f>
        <v>0</v>
      </c>
      <c r="K96" s="466"/>
      <c r="L96" s="408"/>
      <c r="N96" s="479">
        <f>H96-'1'!E96</f>
        <v>-100534</v>
      </c>
      <c r="O96" s="413"/>
    </row>
    <row r="97" spans="1:15" ht="27.75">
      <c r="A97" s="1231" t="s">
        <v>222</v>
      </c>
      <c r="B97" s="1232"/>
      <c r="C97" s="1232"/>
      <c r="D97" s="599" t="s">
        <v>155</v>
      </c>
      <c r="E97" s="531">
        <f>'30'!F97</f>
        <v>95648</v>
      </c>
      <c r="F97" s="560">
        <v>95677</v>
      </c>
      <c r="G97" s="549">
        <f t="shared" si="9"/>
        <v>29</v>
      </c>
      <c r="H97" s="536">
        <f>G97+'30'!H97</f>
        <v>0</v>
      </c>
      <c r="I97" s="556"/>
      <c r="J97" s="629">
        <f>H97/DAY(B2)</f>
        <v>0</v>
      </c>
      <c r="K97" s="471"/>
      <c r="L97" s="408"/>
      <c r="N97" s="479">
        <f>H97-'1'!E97</f>
        <v>-95677</v>
      </c>
      <c r="O97" s="413"/>
    </row>
    <row r="98" spans="1:15" ht="27.75">
      <c r="A98" s="1231" t="s">
        <v>223</v>
      </c>
      <c r="B98" s="1232"/>
      <c r="C98" s="1232"/>
      <c r="D98" s="599" t="s">
        <v>155</v>
      </c>
      <c r="E98" s="531">
        <f>'30'!F98</f>
        <v>145479</v>
      </c>
      <c r="F98" s="560">
        <v>145554</v>
      </c>
      <c r="G98" s="549">
        <f t="shared" si="9"/>
        <v>75</v>
      </c>
      <c r="H98" s="536">
        <f>G98+'30'!H98</f>
        <v>0</v>
      </c>
      <c r="I98" s="556"/>
      <c r="J98" s="629">
        <f>H98/DAY(B2)</f>
        <v>0</v>
      </c>
      <c r="K98" s="411"/>
      <c r="L98" s="408"/>
      <c r="N98" s="479">
        <f>H98-'1'!E98</f>
        <v>-145554</v>
      </c>
      <c r="O98" s="413"/>
    </row>
    <row r="99" spans="1:15" ht="27.75">
      <c r="A99" s="1231" t="s">
        <v>224</v>
      </c>
      <c r="B99" s="1232"/>
      <c r="C99" s="1232"/>
      <c r="D99" s="599" t="s">
        <v>155</v>
      </c>
      <c r="E99" s="531">
        <f>'30'!F99</f>
        <v>5957</v>
      </c>
      <c r="F99" s="560">
        <v>5974</v>
      </c>
      <c r="G99" s="549">
        <f t="shared" si="9"/>
        <v>17</v>
      </c>
      <c r="H99" s="536">
        <f>G99+'30'!H99</f>
        <v>0</v>
      </c>
      <c r="I99" s="556"/>
      <c r="J99" s="629">
        <f>H99/DAY(B2)</f>
        <v>0</v>
      </c>
      <c r="K99" s="411"/>
      <c r="L99" s="408"/>
      <c r="N99" s="479">
        <f>H99-'1'!E99</f>
        <v>-5974</v>
      </c>
      <c r="O99" s="413"/>
    </row>
    <row r="100" spans="1:15" ht="27.75">
      <c r="A100" s="1231" t="s">
        <v>225</v>
      </c>
      <c r="B100" s="1232"/>
      <c r="C100" s="1232"/>
      <c r="D100" s="599" t="s">
        <v>155</v>
      </c>
      <c r="E100" s="531">
        <f>'30'!F100</f>
        <v>4231</v>
      </c>
      <c r="F100" s="560">
        <v>4237</v>
      </c>
      <c r="G100" s="549">
        <f t="shared" si="9"/>
        <v>6</v>
      </c>
      <c r="H100" s="536">
        <f>G100+'30'!H100</f>
        <v>0</v>
      </c>
      <c r="I100" s="556"/>
      <c r="J100" s="629">
        <f>H100/DAY(B2)</f>
        <v>0</v>
      </c>
      <c r="K100" s="411"/>
      <c r="L100" s="408"/>
      <c r="N100" s="479">
        <f>H100-'1'!E100</f>
        <v>-4237</v>
      </c>
      <c r="O100" s="413"/>
    </row>
    <row r="101" spans="1:15" ht="29.25">
      <c r="A101" s="1434" t="s">
        <v>227</v>
      </c>
      <c r="B101" s="1435"/>
      <c r="C101" s="1436"/>
      <c r="D101" s="600"/>
      <c r="E101" s="600"/>
      <c r="F101" s="600"/>
      <c r="G101" s="601">
        <f>SUM(G95:G100)</f>
        <v>222</v>
      </c>
      <c r="H101" s="536">
        <f>G101+'30'!H101</f>
        <v>0</v>
      </c>
      <c r="I101" s="602"/>
      <c r="J101" s="629">
        <f>H101/DAY(B2)</f>
        <v>0</v>
      </c>
      <c r="K101" s="411"/>
      <c r="L101" s="408"/>
      <c r="N101" s="479">
        <f>H101-'1'!E101</f>
        <v>0</v>
      </c>
      <c r="O101" s="413"/>
    </row>
    <row r="102" spans="1:15" s="481" customFormat="1" ht="27">
      <c r="A102" s="684" t="s">
        <v>228</v>
      </c>
      <c r="B102" s="685"/>
      <c r="C102" s="685"/>
      <c r="D102" s="698"/>
      <c r="E102" s="604"/>
      <c r="F102" s="604"/>
      <c r="G102" s="605"/>
      <c r="H102" s="606"/>
      <c r="I102" s="607"/>
      <c r="J102" s="634"/>
      <c r="N102" s="479">
        <f>H102-'1'!E102</f>
        <v>0</v>
      </c>
      <c r="O102" s="413"/>
    </row>
    <row r="103" spans="1:15" s="481" customFormat="1" ht="27.75">
      <c r="A103" s="1437" t="s">
        <v>229</v>
      </c>
      <c r="B103" s="1438"/>
      <c r="C103" s="650"/>
      <c r="D103" s="699"/>
      <c r="E103" s="608"/>
      <c r="F103" s="608"/>
      <c r="G103" s="608"/>
      <c r="H103" s="609"/>
      <c r="I103" s="608"/>
      <c r="J103" s="635"/>
      <c r="N103" s="479">
        <f>H103-'1'!E103</f>
        <v>0</v>
      </c>
      <c r="O103" s="413"/>
    </row>
    <row r="104" spans="1:15" s="481" customFormat="1" ht="27.75">
      <c r="A104" s="1398" t="s">
        <v>230</v>
      </c>
      <c r="B104" s="1399"/>
      <c r="C104" s="1229"/>
      <c r="D104" s="699" t="s">
        <v>155</v>
      </c>
      <c r="E104" s="608">
        <f>'30'!F104</f>
        <v>7010</v>
      </c>
      <c r="F104" s="608">
        <v>7010</v>
      </c>
      <c r="G104" s="608">
        <f>F104-E104</f>
        <v>0</v>
      </c>
      <c r="H104" s="536">
        <f>G104+'30'!H104</f>
        <v>74</v>
      </c>
      <c r="I104" s="608"/>
      <c r="J104" s="635">
        <f>H104/DAY(B2)</f>
        <v>2.3870967741935485</v>
      </c>
      <c r="N104" s="479">
        <f>H104-'1'!E104</f>
        <v>-6936</v>
      </c>
      <c r="O104" s="413"/>
    </row>
    <row r="105" spans="1:15" s="481" customFormat="1" ht="27.75">
      <c r="A105" s="1398" t="s">
        <v>77</v>
      </c>
      <c r="B105" s="1399"/>
      <c r="C105" s="1229"/>
      <c r="D105" s="699" t="s">
        <v>155</v>
      </c>
      <c r="E105" s="608">
        <f>'30'!F105</f>
        <v>35149</v>
      </c>
      <c r="F105" s="610">
        <v>35161</v>
      </c>
      <c r="G105" s="608">
        <f t="shared" ref="G105:G106" si="10">F105-E105</f>
        <v>12</v>
      </c>
      <c r="H105" s="536">
        <f>G105+'30'!H105</f>
        <v>63</v>
      </c>
      <c r="I105" s="608"/>
      <c r="J105" s="635">
        <f>H105/DAY(B2)</f>
        <v>2.032258064516129</v>
      </c>
      <c r="N105" s="479">
        <f>H105-'1'!E105</f>
        <v>-35098</v>
      </c>
      <c r="O105" s="413"/>
    </row>
    <row r="106" spans="1:15" s="481" customFormat="1" ht="27.75">
      <c r="A106" s="1398" t="s">
        <v>78</v>
      </c>
      <c r="B106" s="1439"/>
      <c r="C106" s="1399"/>
      <c r="D106" s="699" t="s">
        <v>155</v>
      </c>
      <c r="E106" s="608">
        <f>'30'!F106</f>
        <v>19075</v>
      </c>
      <c r="F106" s="608">
        <v>19080</v>
      </c>
      <c r="G106" s="608">
        <f t="shared" si="10"/>
        <v>5</v>
      </c>
      <c r="H106" s="536">
        <f>G106+'30'!H106</f>
        <v>344</v>
      </c>
      <c r="I106" s="608"/>
      <c r="J106" s="635">
        <f>H106/DAY(B2)</f>
        <v>11.096774193548388</v>
      </c>
      <c r="N106" s="479">
        <f>H106-'1'!E106</f>
        <v>-18736</v>
      </c>
      <c r="O106" s="413"/>
    </row>
    <row r="107" spans="1:15" s="481" customFormat="1" ht="27.75">
      <c r="A107" s="1400" t="s">
        <v>213</v>
      </c>
      <c r="B107" s="1401"/>
      <c r="C107" s="1229"/>
      <c r="D107" s="699"/>
      <c r="E107" s="608"/>
      <c r="F107" s="608"/>
      <c r="G107" s="608">
        <f>SUM(G104:G106)</f>
        <v>17</v>
      </c>
      <c r="H107" s="536">
        <f>G107+'30'!H107</f>
        <v>230</v>
      </c>
      <c r="I107" s="608"/>
      <c r="J107" s="635">
        <f>H107/DAY(B2)</f>
        <v>7.419354838709677</v>
      </c>
      <c r="N107" s="479">
        <f>H107-'1'!E107</f>
        <v>230</v>
      </c>
      <c r="O107" s="413"/>
    </row>
    <row r="108" spans="1:15" s="481" customFormat="1" ht="27.75">
      <c r="A108" s="1404" t="s">
        <v>79</v>
      </c>
      <c r="B108" s="1405"/>
      <c r="C108" s="1229"/>
      <c r="D108" s="699" t="s">
        <v>155</v>
      </c>
      <c r="E108" s="608"/>
      <c r="F108" s="608"/>
      <c r="G108" s="608"/>
      <c r="H108" s="536">
        <f>G108+'30'!H108</f>
        <v>0</v>
      </c>
      <c r="I108" s="608"/>
      <c r="J108" s="635"/>
      <c r="N108" s="479">
        <f>H108-'1'!E108</f>
        <v>0</v>
      </c>
      <c r="O108" s="413"/>
    </row>
    <row r="109" spans="1:15" s="481" customFormat="1" ht="27.75">
      <c r="A109" s="1398" t="s">
        <v>231</v>
      </c>
      <c r="B109" s="1399"/>
      <c r="C109" s="1229"/>
      <c r="D109" s="699" t="s">
        <v>155</v>
      </c>
      <c r="E109" s="608">
        <f>'30'!F109</f>
        <v>54608</v>
      </c>
      <c r="F109" s="608">
        <v>54674</v>
      </c>
      <c r="G109" s="608">
        <f>F109-E109</f>
        <v>66</v>
      </c>
      <c r="H109" s="536">
        <f>G109+'30'!H109</f>
        <v>205</v>
      </c>
      <c r="I109" s="608"/>
      <c r="J109" s="635">
        <f>H109/DAY(B2)</f>
        <v>6.612903225806452</v>
      </c>
      <c r="N109" s="479">
        <f>H109-'1'!E109</f>
        <v>-54469</v>
      </c>
      <c r="O109" s="413"/>
    </row>
    <row r="110" spans="1:15" s="481" customFormat="1" ht="27.75">
      <c r="A110" s="1398" t="s">
        <v>232</v>
      </c>
      <c r="B110" s="1399"/>
      <c r="C110" s="1229"/>
      <c r="D110" s="699" t="s">
        <v>155</v>
      </c>
      <c r="E110" s="608">
        <f>'30'!F110</f>
        <v>28474</v>
      </c>
      <c r="F110" s="608">
        <v>28541</v>
      </c>
      <c r="G110" s="608">
        <f t="shared" ref="G110:G111" si="11">F110-E110</f>
        <v>67</v>
      </c>
      <c r="H110" s="536">
        <f>G110+'30'!H110</f>
        <v>203</v>
      </c>
      <c r="I110" s="608"/>
      <c r="J110" s="635">
        <f>H110/DAY(B2)</f>
        <v>6.5483870967741939</v>
      </c>
      <c r="N110" s="479">
        <f>H110-'1'!E110</f>
        <v>-28338</v>
      </c>
      <c r="O110" s="413"/>
    </row>
    <row r="111" spans="1:15" s="481" customFormat="1" ht="27.75">
      <c r="A111" s="1398" t="s">
        <v>233</v>
      </c>
      <c r="B111" s="1399"/>
      <c r="C111" s="1229"/>
      <c r="D111" s="699" t="s">
        <v>155</v>
      </c>
      <c r="E111" s="608">
        <f>'30'!F111</f>
        <v>3754</v>
      </c>
      <c r="F111" s="608">
        <v>3754</v>
      </c>
      <c r="G111" s="608">
        <f t="shared" si="11"/>
        <v>0</v>
      </c>
      <c r="H111" s="536">
        <f>G111+'30'!H111</f>
        <v>461</v>
      </c>
      <c r="I111" s="608"/>
      <c r="J111" s="635">
        <f>H111/DAY(B2)</f>
        <v>14.870967741935484</v>
      </c>
      <c r="N111" s="479">
        <f>H111-'1'!E111</f>
        <v>-3293</v>
      </c>
      <c r="O111" s="413"/>
    </row>
    <row r="112" spans="1:15" s="481" customFormat="1" ht="27.75">
      <c r="A112" s="1402" t="s">
        <v>121</v>
      </c>
      <c r="B112" s="1403"/>
      <c r="C112" s="1229"/>
      <c r="D112" s="699"/>
      <c r="E112" s="608"/>
      <c r="F112" s="608"/>
      <c r="G112" s="608">
        <f>SUM(G109:G111)</f>
        <v>133</v>
      </c>
      <c r="H112" s="536">
        <f>G112+'30'!H112</f>
        <v>836</v>
      </c>
      <c r="I112" s="608"/>
      <c r="J112" s="635">
        <f>H112/DAY(B2)</f>
        <v>26.967741935483872</v>
      </c>
      <c r="N112" s="479">
        <f>H112-'1'!E112</f>
        <v>836</v>
      </c>
      <c r="O112" s="413"/>
    </row>
    <row r="113" spans="1:15" s="481" customFormat="1" ht="27.75">
      <c r="A113" s="1404" t="s">
        <v>234</v>
      </c>
      <c r="B113" s="1405"/>
      <c r="C113" s="1229"/>
      <c r="D113" s="699"/>
      <c r="E113" s="608"/>
      <c r="F113" s="608"/>
      <c r="G113" s="608"/>
      <c r="H113" s="536">
        <f>G113+'30'!H113</f>
        <v>0</v>
      </c>
      <c r="I113" s="608"/>
      <c r="J113" s="635">
        <f>H113/DAY(B2)</f>
        <v>0</v>
      </c>
      <c r="N113" s="479">
        <f>H113-'1'!E113</f>
        <v>0</v>
      </c>
      <c r="O113" s="413"/>
    </row>
    <row r="114" spans="1:15" s="481" customFormat="1" ht="27.75">
      <c r="A114" s="1398" t="s">
        <v>235</v>
      </c>
      <c r="B114" s="1399"/>
      <c r="C114" s="651"/>
      <c r="D114" s="699" t="s">
        <v>155</v>
      </c>
      <c r="E114" s="608">
        <f>'30'!F114</f>
        <v>9781</v>
      </c>
      <c r="F114" s="610">
        <v>9801</v>
      </c>
      <c r="G114" s="610">
        <f>F114-E114</f>
        <v>20</v>
      </c>
      <c r="H114" s="536">
        <f>G114+'30'!H114</f>
        <v>33</v>
      </c>
      <c r="I114" s="608"/>
      <c r="J114" s="635">
        <f>H114/DAY(B2)</f>
        <v>1.064516129032258</v>
      </c>
      <c r="N114" s="479">
        <f>H114-'1'!E114</f>
        <v>-9768</v>
      </c>
      <c r="O114" s="413"/>
    </row>
    <row r="115" spans="1:15" s="481" customFormat="1" ht="27.75">
      <c r="A115" s="1398" t="s">
        <v>236</v>
      </c>
      <c r="B115" s="1399"/>
      <c r="C115" s="651"/>
      <c r="D115" s="699" t="s">
        <v>155</v>
      </c>
      <c r="E115" s="608">
        <f>'30'!F115</f>
        <v>7421</v>
      </c>
      <c r="F115" s="610">
        <v>7427</v>
      </c>
      <c r="G115" s="610">
        <f t="shared" ref="G115:G116" si="12">F115-E115</f>
        <v>6</v>
      </c>
      <c r="H115" s="536">
        <f>G115+'30'!H115</f>
        <v>99</v>
      </c>
      <c r="I115" s="608"/>
      <c r="J115" s="635">
        <f>H115/DAY(B2)</f>
        <v>3.193548387096774</v>
      </c>
      <c r="N115" s="479">
        <f>H115-'1'!E115</f>
        <v>-7328</v>
      </c>
      <c r="O115" s="413"/>
    </row>
    <row r="116" spans="1:15" s="481" customFormat="1" ht="27.75">
      <c r="A116" s="1398" t="s">
        <v>237</v>
      </c>
      <c r="B116" s="1399"/>
      <c r="C116" s="651"/>
      <c r="D116" s="699" t="s">
        <v>155</v>
      </c>
      <c r="E116" s="610"/>
      <c r="F116" s="610"/>
      <c r="G116" s="610">
        <f t="shared" si="12"/>
        <v>0</v>
      </c>
      <c r="H116" s="536">
        <f>G116+'30'!H116</f>
        <v>200</v>
      </c>
      <c r="I116" s="608"/>
      <c r="J116" s="635">
        <f>H116/DAY(B2)</f>
        <v>6.4516129032258061</v>
      </c>
      <c r="N116" s="479">
        <f>H116-'1'!E116</f>
        <v>200</v>
      </c>
      <c r="O116" s="413"/>
    </row>
    <row r="117" spans="1:15" s="494" customFormat="1" ht="27.75">
      <c r="A117" s="1400" t="s">
        <v>213</v>
      </c>
      <c r="B117" s="1401"/>
      <c r="C117" s="651"/>
      <c r="D117" s="700"/>
      <c r="E117" s="610"/>
      <c r="F117" s="610"/>
      <c r="G117" s="610">
        <f>SUM(G114:G116)</f>
        <v>26</v>
      </c>
      <c r="H117" s="536">
        <f>G117+'30'!H117</f>
        <v>117</v>
      </c>
      <c r="I117" s="610"/>
      <c r="J117" s="635">
        <f>H117/DAY(B2)</f>
        <v>3.774193548387097</v>
      </c>
      <c r="N117" s="479">
        <f>H117-'1'!E117</f>
        <v>117</v>
      </c>
      <c r="O117" s="413"/>
    </row>
    <row r="118" spans="1:15" s="495" customFormat="1" ht="27.75">
      <c r="A118" s="1394" t="s">
        <v>238</v>
      </c>
      <c r="B118" s="1395"/>
      <c r="C118" s="1228"/>
      <c r="D118" s="701" t="s">
        <v>155</v>
      </c>
      <c r="E118" s="612"/>
      <c r="F118" s="612">
        <f>SUM(G19+G92)</f>
        <v>145</v>
      </c>
      <c r="G118" s="612">
        <f>SUM(G19+G92)</f>
        <v>145</v>
      </c>
      <c r="H118" s="536">
        <f>G118+'30'!H118</f>
        <v>293</v>
      </c>
      <c r="I118" s="611"/>
      <c r="J118" s="636">
        <f>H118/DAY(B2)</f>
        <v>9.4516129032258061</v>
      </c>
      <c r="N118" s="479">
        <f>H118-'1'!E118</f>
        <v>-369463</v>
      </c>
      <c r="O118" s="413"/>
    </row>
    <row r="119" spans="1:15" s="495" customFormat="1" ht="27.75">
      <c r="A119" s="1394" t="s">
        <v>239</v>
      </c>
      <c r="B119" s="1395"/>
      <c r="C119" s="1228"/>
      <c r="D119" s="701" t="s">
        <v>155</v>
      </c>
      <c r="E119" s="612"/>
      <c r="F119" s="612">
        <f>SUM(G95,G96,G97,G99,G100)</f>
        <v>147</v>
      </c>
      <c r="G119" s="612">
        <f>SUM(G95,G96,G97,G99,G100)</f>
        <v>147</v>
      </c>
      <c r="H119" s="536">
        <f>G119+'30'!H119</f>
        <v>362</v>
      </c>
      <c r="I119" s="611"/>
      <c r="J119" s="636">
        <f>H119/DAY(B2)</f>
        <v>11.67741935483871</v>
      </c>
      <c r="N119" s="479">
        <f>H119-'1'!E119</f>
        <v>-612068</v>
      </c>
      <c r="O119" s="413"/>
    </row>
    <row r="120" spans="1:15" s="495" customFormat="1" ht="27.75">
      <c r="A120" s="1394" t="s">
        <v>240</v>
      </c>
      <c r="B120" s="1395"/>
      <c r="C120" s="1228"/>
      <c r="D120" s="701" t="s">
        <v>155</v>
      </c>
      <c r="E120" s="610"/>
      <c r="F120" s="610">
        <f>SUM(G112)</f>
        <v>133</v>
      </c>
      <c r="G120" s="610">
        <f>SUM(G112)</f>
        <v>133</v>
      </c>
      <c r="H120" s="536">
        <f>G120+'30'!H120</f>
        <v>321</v>
      </c>
      <c r="I120" s="611"/>
      <c r="J120" s="636">
        <f>H120/DAY(B2)</f>
        <v>10.35483870967742</v>
      </c>
      <c r="N120" s="479">
        <f>H120-'1'!E120</f>
        <v>321</v>
      </c>
      <c r="O120" s="413"/>
    </row>
    <row r="121" spans="1:15" s="481" customFormat="1" ht="27.75">
      <c r="A121" s="1396"/>
      <c r="B121" s="1397"/>
      <c r="C121" s="1229"/>
      <c r="D121" s="637"/>
      <c r="E121" s="637" t="s">
        <v>226</v>
      </c>
      <c r="F121" s="637" t="s">
        <v>226</v>
      </c>
      <c r="G121" s="637"/>
      <c r="H121" s="638"/>
      <c r="I121" s="637"/>
      <c r="J121" s="639"/>
      <c r="N121" s="479" t="e">
        <f>H121-'1'!E121</f>
        <v>#VALUE!</v>
      </c>
      <c r="O121" s="413"/>
    </row>
    <row r="122" spans="1:15" ht="29.25">
      <c r="A122" s="1431" t="s">
        <v>241</v>
      </c>
      <c r="B122" s="1432"/>
      <c r="C122" s="1433"/>
      <c r="D122" s="548"/>
      <c r="E122" s="548"/>
      <c r="F122" s="548"/>
      <c r="G122" s="559"/>
      <c r="H122" s="559"/>
      <c r="I122" s="559"/>
      <c r="J122" s="640"/>
      <c r="K122" s="411"/>
      <c r="L122" s="408"/>
      <c r="N122" s="479">
        <f>H122-'1'!E122</f>
        <v>0</v>
      </c>
      <c r="O122" s="413"/>
    </row>
    <row r="123" spans="1:15" ht="27.75">
      <c r="A123" s="1231" t="s">
        <v>242</v>
      </c>
      <c r="B123" s="1232"/>
      <c r="C123" s="1232"/>
      <c r="D123" s="599" t="s">
        <v>152</v>
      </c>
      <c r="E123" s="531">
        <f>'30'!F123</f>
        <v>803053</v>
      </c>
      <c r="F123" s="554">
        <v>803335.4</v>
      </c>
      <c r="G123" s="549">
        <f t="shared" ref="G123:G127" si="13">F123-E123</f>
        <v>282.40000000002328</v>
      </c>
      <c r="H123" s="536">
        <f>G123+'30'!H123</f>
        <v>0</v>
      </c>
      <c r="I123" s="602"/>
      <c r="J123" s="629">
        <f>H123/DAY(B2)</f>
        <v>0</v>
      </c>
      <c r="K123" s="411"/>
      <c r="L123" s="408"/>
      <c r="N123" s="479">
        <f>H123-'1'!E123</f>
        <v>-803335.4</v>
      </c>
      <c r="O123" s="413"/>
    </row>
    <row r="124" spans="1:15" ht="27.75">
      <c r="A124" s="1231" t="s">
        <v>243</v>
      </c>
      <c r="B124" s="1232"/>
      <c r="C124" s="1232"/>
      <c r="D124" s="599" t="s">
        <v>152</v>
      </c>
      <c r="E124" s="531">
        <f>'30'!F124</f>
        <v>73582</v>
      </c>
      <c r="F124" s="703">
        <v>73582</v>
      </c>
      <c r="G124" s="549">
        <f t="shared" si="13"/>
        <v>0</v>
      </c>
      <c r="H124" s="536">
        <f>G124+'30'!H124</f>
        <v>0</v>
      </c>
      <c r="I124" s="602"/>
      <c r="J124" s="629">
        <f>H124/DAY(B2)</f>
        <v>0</v>
      </c>
      <c r="K124" s="411"/>
      <c r="L124" s="408"/>
      <c r="N124" s="479">
        <f>H124-'1'!E124</f>
        <v>-73582</v>
      </c>
      <c r="O124" s="413"/>
    </row>
    <row r="125" spans="1:15" ht="27.75">
      <c r="A125" s="1385" t="s">
        <v>244</v>
      </c>
      <c r="B125" s="1386"/>
      <c r="C125" s="1387"/>
      <c r="D125" s="599" t="s">
        <v>152</v>
      </c>
      <c r="E125" s="531">
        <f>'30'!F125</f>
        <v>137792</v>
      </c>
      <c r="F125" s="554">
        <v>137848</v>
      </c>
      <c r="G125" s="549">
        <f t="shared" si="13"/>
        <v>56</v>
      </c>
      <c r="H125" s="536">
        <f>G125+'30'!H125</f>
        <v>0</v>
      </c>
      <c r="I125" s="602"/>
      <c r="J125" s="629">
        <f>H125/DAY(B2)</f>
        <v>0</v>
      </c>
      <c r="K125" s="411"/>
      <c r="L125" s="408"/>
      <c r="N125" s="479">
        <f>H125-'1'!E125</f>
        <v>-137848</v>
      </c>
      <c r="O125" s="413"/>
    </row>
    <row r="126" spans="1:15" ht="27.75">
      <c r="A126" s="686" t="s">
        <v>245</v>
      </c>
      <c r="B126" s="1232"/>
      <c r="C126" s="1232"/>
      <c r="D126" s="599" t="s">
        <v>152</v>
      </c>
      <c r="E126" s="531">
        <f>'30'!F126</f>
        <v>58351</v>
      </c>
      <c r="F126" s="703">
        <v>58391.7</v>
      </c>
      <c r="G126" s="549">
        <f t="shared" si="13"/>
        <v>40.69999999999709</v>
      </c>
      <c r="H126" s="536">
        <f>G126+'30'!H126</f>
        <v>0</v>
      </c>
      <c r="I126" s="602"/>
      <c r="J126" s="629">
        <f>H126/DAY(B2)</f>
        <v>0</v>
      </c>
      <c r="K126" s="411"/>
      <c r="L126" s="408"/>
      <c r="N126" s="479">
        <f>H126-'1'!E126</f>
        <v>-58391.7</v>
      </c>
      <c r="O126" s="413"/>
    </row>
    <row r="127" spans="1:15" ht="27.75">
      <c r="A127" s="686" t="s">
        <v>246</v>
      </c>
      <c r="B127" s="1232"/>
      <c r="C127" s="1232"/>
      <c r="D127" s="599" t="s">
        <v>152</v>
      </c>
      <c r="E127" s="531">
        <f>'30'!F127</f>
        <v>8812</v>
      </c>
      <c r="F127" s="703">
        <v>8816</v>
      </c>
      <c r="G127" s="549">
        <f t="shared" si="13"/>
        <v>4</v>
      </c>
      <c r="H127" s="536">
        <f>G127+'30'!H127</f>
        <v>0</v>
      </c>
      <c r="I127" s="556"/>
      <c r="J127" s="629">
        <f>H127/DAY(B2)</f>
        <v>0</v>
      </c>
      <c r="K127" s="411"/>
      <c r="L127" s="408"/>
      <c r="N127" s="479">
        <f>H127-'1'!E127</f>
        <v>-8816</v>
      </c>
      <c r="O127" s="413"/>
    </row>
    <row r="128" spans="1:15" s="281" customFormat="1" ht="27.75">
      <c r="A128" s="686" t="s">
        <v>247</v>
      </c>
      <c r="B128" s="1232"/>
      <c r="C128" s="1232"/>
      <c r="D128" s="599"/>
      <c r="E128" s="554"/>
      <c r="F128" s="554"/>
      <c r="G128" s="549">
        <f>G15-SUM(G123:G127)</f>
        <v>485.31999999990512</v>
      </c>
      <c r="H128" s="536">
        <f>G128+'30'!H128</f>
        <v>485.31999999990512</v>
      </c>
      <c r="I128" s="556"/>
      <c r="J128" s="629"/>
      <c r="K128" s="391"/>
      <c r="L128" s="293"/>
      <c r="N128" s="479">
        <f>H128-'1'!E128</f>
        <v>485.31999999990512</v>
      </c>
      <c r="O128" s="413"/>
    </row>
    <row r="129" spans="1:15" ht="29.25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O129" s="413"/>
    </row>
    <row r="130" spans="1:15" ht="27.75">
      <c r="A130" s="1231" t="s">
        <v>249</v>
      </c>
      <c r="B130" s="1232"/>
      <c r="C130" s="1232"/>
      <c r="D130" s="599" t="s">
        <v>250</v>
      </c>
      <c r="E130" s="531">
        <f>'30'!F130</f>
        <v>0</v>
      </c>
      <c r="F130" s="560">
        <v>0</v>
      </c>
      <c r="G130" s="549">
        <f t="shared" ref="G130:G140" si="14">F130-E130</f>
        <v>0</v>
      </c>
      <c r="H130" s="536">
        <f>G130+'30'!H130</f>
        <v>0</v>
      </c>
      <c r="I130" s="556"/>
      <c r="J130" s="629">
        <f>H130/DAY(B2)</f>
        <v>0</v>
      </c>
      <c r="O130" s="413"/>
    </row>
    <row r="131" spans="1:15" ht="27.75">
      <c r="A131" s="1231" t="s">
        <v>251</v>
      </c>
      <c r="B131" s="1232"/>
      <c r="C131" s="1232"/>
      <c r="D131" s="599" t="s">
        <v>250</v>
      </c>
      <c r="E131" s="531">
        <f>'30'!F131</f>
        <v>0</v>
      </c>
      <c r="F131" s="560">
        <v>0</v>
      </c>
      <c r="G131" s="549">
        <f t="shared" si="14"/>
        <v>0</v>
      </c>
      <c r="H131" s="536">
        <f>G131+'30'!H131</f>
        <v>0</v>
      </c>
      <c r="I131" s="556"/>
      <c r="J131" s="629">
        <f>H131/DAY(B2)</f>
        <v>0</v>
      </c>
      <c r="O131" s="413"/>
    </row>
    <row r="132" spans="1:15" ht="27.75">
      <c r="A132" s="1231" t="s">
        <v>252</v>
      </c>
      <c r="B132" s="1232"/>
      <c r="C132" s="1232"/>
      <c r="D132" s="599" t="s">
        <v>250</v>
      </c>
      <c r="E132" s="531">
        <f>'30'!F132</f>
        <v>39080.410000000003</v>
      </c>
      <c r="F132" s="618">
        <v>39104.44</v>
      </c>
      <c r="G132" s="549">
        <f t="shared" si="14"/>
        <v>24.029999999998836</v>
      </c>
      <c r="H132" s="536">
        <f>G132+'30'!H132</f>
        <v>386.04999999999563</v>
      </c>
      <c r="I132" s="556"/>
      <c r="J132" s="629">
        <f>H132/DAY(B2)</f>
        <v>12.453225806451472</v>
      </c>
      <c r="O132" s="413"/>
    </row>
    <row r="133" spans="1:15" ht="27.75">
      <c r="A133" s="1231" t="s">
        <v>253</v>
      </c>
      <c r="B133" s="1232"/>
      <c r="C133" s="1232"/>
      <c r="D133" s="599" t="s">
        <v>250</v>
      </c>
      <c r="E133" s="531">
        <f>'30'!F133</f>
        <v>299</v>
      </c>
      <c r="F133" s="618">
        <v>299</v>
      </c>
      <c r="G133" s="549">
        <f t="shared" si="14"/>
        <v>0</v>
      </c>
      <c r="H133" s="536">
        <f>G133+'30'!H133</f>
        <v>0</v>
      </c>
      <c r="I133" s="556">
        <f>G130+G131+G132+G133</f>
        <v>24.029999999998836</v>
      </c>
      <c r="J133" s="629">
        <f>H133/DAY(B2)</f>
        <v>0</v>
      </c>
      <c r="O133" s="413"/>
    </row>
    <row r="134" spans="1:15" ht="27.75">
      <c r="A134" s="1231" t="s">
        <v>254</v>
      </c>
      <c r="B134" s="1232"/>
      <c r="C134" s="1232"/>
      <c r="D134" s="599" t="s">
        <v>250</v>
      </c>
      <c r="E134" s="531">
        <f>'30'!F134</f>
        <v>39951</v>
      </c>
      <c r="F134" s="618">
        <v>39951</v>
      </c>
      <c r="G134" s="549">
        <f t="shared" si="14"/>
        <v>0</v>
      </c>
      <c r="H134" s="536">
        <f>G134+'30'!H134</f>
        <v>23.94999999999709</v>
      </c>
      <c r="I134" s="556"/>
      <c r="J134" s="629">
        <f>H134/DAY(B2)</f>
        <v>0.7725806451611964</v>
      </c>
      <c r="O134" s="413"/>
    </row>
    <row r="135" spans="1:15" ht="27.75">
      <c r="A135" s="1231" t="s">
        <v>255</v>
      </c>
      <c r="B135" s="1232"/>
      <c r="C135" s="1232"/>
      <c r="D135" s="599" t="s">
        <v>250</v>
      </c>
      <c r="E135" s="531">
        <f>'30'!F135</f>
        <v>32423</v>
      </c>
      <c r="F135" s="618">
        <v>32423</v>
      </c>
      <c r="G135" s="549">
        <f t="shared" si="14"/>
        <v>0</v>
      </c>
      <c r="H135" s="536">
        <f>G135+'30'!H135</f>
        <v>13</v>
      </c>
      <c r="I135" s="556"/>
      <c r="J135" s="629">
        <f>H135/DAY(B2)</f>
        <v>0.41935483870967744</v>
      </c>
      <c r="O135" s="413"/>
    </row>
    <row r="136" spans="1:15" ht="27.75">
      <c r="A136" s="1231" t="s">
        <v>256</v>
      </c>
      <c r="B136" s="1232"/>
      <c r="C136" s="1232"/>
      <c r="D136" s="599" t="s">
        <v>250</v>
      </c>
      <c r="E136" s="531">
        <f>'30'!F136</f>
        <v>21992.48</v>
      </c>
      <c r="F136" s="618">
        <v>22001.96</v>
      </c>
      <c r="G136" s="549">
        <f t="shared" si="14"/>
        <v>9.4799999999995634</v>
      </c>
      <c r="H136" s="536">
        <f>G136+'30'!H136</f>
        <v>0</v>
      </c>
      <c r="I136" s="556">
        <f>G134+G135+G136</f>
        <v>9.4799999999995634</v>
      </c>
      <c r="J136" s="629">
        <f>H136/DAY(B2)</f>
        <v>0</v>
      </c>
      <c r="O136" s="413"/>
    </row>
    <row r="137" spans="1:15" ht="27.75">
      <c r="A137" s="1231" t="s">
        <v>257</v>
      </c>
      <c r="B137" s="1232"/>
      <c r="C137" s="1232"/>
      <c r="D137" s="599" t="s">
        <v>250</v>
      </c>
      <c r="E137" s="531">
        <f>'30'!F137</f>
        <v>25019.94</v>
      </c>
      <c r="F137" s="618">
        <v>25019.94</v>
      </c>
      <c r="G137" s="549">
        <f t="shared" si="14"/>
        <v>0</v>
      </c>
      <c r="H137" s="536">
        <f>G137+'30'!H137</f>
        <v>8</v>
      </c>
      <c r="I137" s="556"/>
      <c r="J137" s="629">
        <f>H137/DAY(B2)</f>
        <v>0.25806451612903225</v>
      </c>
      <c r="O137" s="413"/>
    </row>
    <row r="138" spans="1:15" ht="27.75">
      <c r="A138" s="1231" t="s">
        <v>258</v>
      </c>
      <c r="B138" s="1232"/>
      <c r="C138" s="1232"/>
      <c r="D138" s="599" t="s">
        <v>250</v>
      </c>
      <c r="E138" s="531">
        <f>'30'!F138</f>
        <v>70063.89</v>
      </c>
      <c r="F138" s="618">
        <v>70063.89</v>
      </c>
      <c r="G138" s="549">
        <f t="shared" si="14"/>
        <v>0</v>
      </c>
      <c r="H138" s="536">
        <f>G138+'30'!H138</f>
        <v>21.089999999996508</v>
      </c>
      <c r="I138" s="556">
        <f>G137+G138</f>
        <v>0</v>
      </c>
      <c r="J138" s="629">
        <f>H138/DAY(B2)</f>
        <v>0.68032258064504858</v>
      </c>
      <c r="O138" s="413"/>
    </row>
    <row r="139" spans="1:15" ht="27.75">
      <c r="A139" s="1231" t="s">
        <v>259</v>
      </c>
      <c r="B139" s="1232"/>
      <c r="C139" s="1232"/>
      <c r="D139" s="599" t="s">
        <v>250</v>
      </c>
      <c r="E139" s="531">
        <f>'30'!F139</f>
        <v>1192.3399999999999</v>
      </c>
      <c r="F139" s="560">
        <v>1200.5899999999999</v>
      </c>
      <c r="G139" s="549">
        <f t="shared" si="14"/>
        <v>8.25</v>
      </c>
      <c r="H139" s="536">
        <f>G139+'30'!H139</f>
        <v>0</v>
      </c>
      <c r="I139" s="619"/>
      <c r="J139" s="629">
        <f>H139/DAY(B2)</f>
        <v>0</v>
      </c>
      <c r="O139" s="413"/>
    </row>
    <row r="140" spans="1:15" ht="27.75">
      <c r="A140" s="1231" t="s">
        <v>260</v>
      </c>
      <c r="B140" s="1232"/>
      <c r="C140" s="1232"/>
      <c r="D140" s="599" t="s">
        <v>250</v>
      </c>
      <c r="E140" s="531">
        <f>'30'!F140</f>
        <v>4334</v>
      </c>
      <c r="F140" s="560">
        <v>4334</v>
      </c>
      <c r="G140" s="549">
        <f t="shared" si="14"/>
        <v>0</v>
      </c>
      <c r="H140" s="536">
        <f>G140+'30'!H140</f>
        <v>0</v>
      </c>
      <c r="I140" s="619"/>
      <c r="J140" s="629">
        <f>H140/DAY(B2)</f>
        <v>0</v>
      </c>
      <c r="O140" s="413"/>
    </row>
    <row r="141" spans="1:15" ht="29.25">
      <c r="A141" s="1412" t="s">
        <v>261</v>
      </c>
      <c r="B141" s="1413"/>
      <c r="C141" s="1237"/>
      <c r="D141" s="548"/>
      <c r="E141" s="548"/>
      <c r="F141" s="548"/>
      <c r="G141" s="559"/>
      <c r="H141" s="559"/>
      <c r="I141" s="559"/>
      <c r="J141" s="640"/>
      <c r="K141" s="411"/>
      <c r="L141" s="408"/>
      <c r="O141" s="413"/>
    </row>
    <row r="142" spans="1:15" ht="27.75">
      <c r="A142" s="1406" t="s">
        <v>262</v>
      </c>
      <c r="B142" s="1407"/>
      <c r="C142" s="1408"/>
      <c r="D142" s="599" t="s">
        <v>143</v>
      </c>
      <c r="E142" s="599"/>
      <c r="F142" s="599"/>
      <c r="G142" s="536">
        <f>G35+G43+G49+G57</f>
        <v>5255.5700000000652</v>
      </c>
      <c r="H142" s="536">
        <f>G142+'30'!H142</f>
        <v>-1697.4399999999441</v>
      </c>
      <c r="I142" s="556"/>
      <c r="J142" s="629">
        <f>H142/DAY(B2)</f>
        <v>-54.756129032256261</v>
      </c>
      <c r="K142" s="411"/>
      <c r="L142" s="408"/>
      <c r="O142" s="413"/>
    </row>
    <row r="143" spans="1:15" ht="27.75">
      <c r="A143" s="1406" t="s">
        <v>263</v>
      </c>
      <c r="B143" s="1407"/>
      <c r="C143" s="1408"/>
      <c r="D143" s="599" t="s">
        <v>24</v>
      </c>
      <c r="E143" s="587"/>
      <c r="F143" s="587"/>
      <c r="G143" s="620">
        <f>G142/G7</f>
        <v>0.28468501164617654</v>
      </c>
      <c r="H143" s="536">
        <f>G143+'30'!H143</f>
        <v>8.0775830005280032</v>
      </c>
      <c r="I143" s="621"/>
      <c r="J143" s="629">
        <f>H143/DAY(B2)</f>
        <v>0.26056719356541946</v>
      </c>
      <c r="K143" s="411"/>
      <c r="L143" s="408"/>
      <c r="O143" s="413"/>
    </row>
    <row r="144" spans="1:15" ht="27.75">
      <c r="A144" s="1406" t="s">
        <v>264</v>
      </c>
      <c r="B144" s="1407"/>
      <c r="C144" s="1408"/>
      <c r="D144" s="599" t="s">
        <v>143</v>
      </c>
      <c r="E144" s="531"/>
      <c r="F144" s="531"/>
      <c r="G144" s="536">
        <f>G41+G42+G55+G56</f>
        <v>3635.0600000000341</v>
      </c>
      <c r="H144" s="536">
        <f>G144+'30'!H144</f>
        <v>63881.999999999993</v>
      </c>
      <c r="I144" s="556"/>
      <c r="J144" s="629">
        <f>H144/DAY(B2)</f>
        <v>2060.7096774193546</v>
      </c>
      <c r="K144" s="411"/>
      <c r="L144" s="408"/>
      <c r="O144" s="413"/>
    </row>
    <row r="145" spans="1:15" ht="27.75">
      <c r="A145" s="1406" t="s">
        <v>265</v>
      </c>
      <c r="B145" s="1407"/>
      <c r="C145" s="1408"/>
      <c r="D145" s="599" t="s">
        <v>24</v>
      </c>
      <c r="E145" s="531"/>
      <c r="F145" s="531"/>
      <c r="G145" s="620">
        <f>G144/G7</f>
        <v>0.19690482639077159</v>
      </c>
      <c r="H145" s="536">
        <f>G145+'30'!H145</f>
        <v>6.487287684279381</v>
      </c>
      <c r="I145" s="621"/>
      <c r="J145" s="629">
        <f>H145/DAY(B2)</f>
        <v>0.20926734465417357</v>
      </c>
      <c r="K145" s="411"/>
      <c r="L145" s="408"/>
      <c r="O145" s="413"/>
    </row>
    <row r="146" spans="1:15" ht="27.75">
      <c r="A146" s="1406" t="s">
        <v>266</v>
      </c>
      <c r="B146" s="1407"/>
      <c r="C146" s="1408"/>
      <c r="D146" s="599" t="s">
        <v>143</v>
      </c>
      <c r="E146" s="531"/>
      <c r="F146" s="531"/>
      <c r="G146" s="536">
        <f>G39+G53</f>
        <v>4206.2700000000186</v>
      </c>
      <c r="H146" s="536">
        <f>G146+'30'!H146</f>
        <v>912480</v>
      </c>
      <c r="I146" s="622"/>
      <c r="J146" s="629">
        <f>H146/DAY(B2)</f>
        <v>29434.83870967742</v>
      </c>
      <c r="K146" s="411"/>
      <c r="L146" s="408"/>
      <c r="O146" s="413"/>
    </row>
    <row r="147" spans="1:15" ht="27.75">
      <c r="A147" s="1406" t="s">
        <v>267</v>
      </c>
      <c r="B147" s="1407"/>
      <c r="C147" s="1408"/>
      <c r="D147" s="599" t="s">
        <v>24</v>
      </c>
      <c r="E147" s="531"/>
      <c r="F147" s="531"/>
      <c r="G147" s="620">
        <f>G146/G7</f>
        <v>0.22784627051622439</v>
      </c>
      <c r="H147" s="536">
        <f>G147+'30'!H147</f>
        <v>5.205106732301676</v>
      </c>
      <c r="I147" s="622"/>
      <c r="J147" s="629">
        <f>H147/DAY(B2)</f>
        <v>0.16790666878392504</v>
      </c>
      <c r="O147" s="413"/>
    </row>
    <row r="148" spans="1:15" ht="27.75">
      <c r="A148" s="1406" t="s">
        <v>268</v>
      </c>
      <c r="B148" s="1407"/>
      <c r="C148" s="1408"/>
      <c r="D148" s="599" t="s">
        <v>194</v>
      </c>
      <c r="E148" s="531"/>
      <c r="F148" s="531"/>
      <c r="G148" s="536">
        <f>G38+G52</f>
        <v>2107.6400000000094</v>
      </c>
      <c r="H148" s="536">
        <f>G148+'30'!H148</f>
        <v>150714</v>
      </c>
      <c r="I148" s="556"/>
      <c r="J148" s="629">
        <f>H148/DAY(B2)</f>
        <v>4861.7419354838712</v>
      </c>
      <c r="K148" s="412"/>
      <c r="O148" s="413"/>
    </row>
    <row r="149" spans="1:15" ht="27.75">
      <c r="A149" s="1406" t="s">
        <v>269</v>
      </c>
      <c r="B149" s="1407"/>
      <c r="C149" s="1408"/>
      <c r="D149" s="599" t="s">
        <v>24</v>
      </c>
      <c r="E149" s="531"/>
      <c r="F149" s="531"/>
      <c r="G149" s="620">
        <f>G148/G7</f>
        <v>0.11416716320892743</v>
      </c>
      <c r="H149" s="536">
        <f>G149+'30'!H149</f>
        <v>2.9469322742828177</v>
      </c>
      <c r="I149" s="622"/>
      <c r="J149" s="629">
        <f>H149/DAY(B2)</f>
        <v>9.5062331428477989E-2</v>
      </c>
      <c r="O149" s="413"/>
    </row>
    <row r="150" spans="1:15" ht="27.75">
      <c r="A150" s="1406" t="s">
        <v>270</v>
      </c>
      <c r="B150" s="1407"/>
      <c r="C150" s="1408"/>
      <c r="D150" s="599" t="s">
        <v>194</v>
      </c>
      <c r="E150" s="531"/>
      <c r="F150" s="531"/>
      <c r="G150" s="536">
        <f>G36+G50</f>
        <v>1553.8300000000163</v>
      </c>
      <c r="H150" s="536">
        <f>G150+'30'!H150</f>
        <v>0</v>
      </c>
      <c r="I150" s="622"/>
      <c r="J150" s="629">
        <f>H150/DAY(B2)</f>
        <v>0</v>
      </c>
      <c r="O150" s="413"/>
    </row>
    <row r="151" spans="1:15" ht="27.75">
      <c r="A151" s="1406" t="s">
        <v>271</v>
      </c>
      <c r="B151" s="1407"/>
      <c r="C151" s="1408"/>
      <c r="D151" s="599" t="s">
        <v>24</v>
      </c>
      <c r="E151" s="531"/>
      <c r="F151" s="531"/>
      <c r="G151" s="620">
        <f>G150/G7</f>
        <v>8.4168246573859282E-2</v>
      </c>
      <c r="H151" s="536">
        <f>G151+'30'!H151</f>
        <v>2.9800851232467602</v>
      </c>
      <c r="I151" s="556"/>
      <c r="J151" s="629">
        <f>H151/DAY(B2)</f>
        <v>9.6131778169250323E-2</v>
      </c>
      <c r="O151" s="413"/>
    </row>
    <row r="152" spans="1:15" ht="27.75">
      <c r="A152" s="1406" t="s">
        <v>272</v>
      </c>
      <c r="B152" s="1407"/>
      <c r="C152" s="1408"/>
      <c r="D152" s="599" t="s">
        <v>194</v>
      </c>
      <c r="E152" s="531"/>
      <c r="F152" s="531"/>
      <c r="G152" s="536">
        <f>G37+G51</f>
        <v>1548.8800000000047</v>
      </c>
      <c r="H152" s="536">
        <f>G152+'30'!H152</f>
        <v>415065.99999999994</v>
      </c>
      <c r="I152" s="556"/>
      <c r="J152" s="629">
        <f>H152/DAY(B2)</f>
        <v>13389.225806451612</v>
      </c>
      <c r="O152" s="413"/>
    </row>
    <row r="153" spans="1:15" ht="28.5" thickBot="1">
      <c r="A153" s="1409" t="s">
        <v>273</v>
      </c>
      <c r="B153" s="1410"/>
      <c r="C153" s="1411"/>
      <c r="D153" s="702" t="s">
        <v>24</v>
      </c>
      <c r="E153" s="642"/>
      <c r="F153" s="642"/>
      <c r="G153" s="643">
        <f>G152/G7</f>
        <v>8.3900113753318059E-2</v>
      </c>
      <c r="H153" s="536">
        <f>G153+'30'!H153</f>
        <v>1.7019085818801787</v>
      </c>
      <c r="I153" s="645"/>
      <c r="J153" s="646">
        <f>H153/DAY(B2)</f>
        <v>5.4900276834844476E-2</v>
      </c>
      <c r="O153" s="413"/>
    </row>
    <row r="154" spans="1:15" ht="29.25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  <c r="O154" s="413"/>
    </row>
    <row r="155" spans="1:15" ht="29.25"/>
    <row r="156" spans="1:15" ht="29.25"/>
    <row r="157" spans="1:15" ht="29.25"/>
    <row r="158" spans="1:15" ht="29.25"/>
    <row r="159" spans="1:15" ht="29.25"/>
    <row r="160" spans="1:15" ht="29.25">
      <c r="A160" s="868" t="s">
        <v>274</v>
      </c>
      <c r="B160" s="869"/>
      <c r="C160" s="869"/>
      <c r="D160" s="587" t="s">
        <v>198</v>
      </c>
      <c r="E160" s="531">
        <f>'30'!F160</f>
        <v>28347.759999999998</v>
      </c>
      <c r="F160" s="739">
        <v>28430.42</v>
      </c>
      <c r="G160" s="549">
        <f t="shared" ref="G160:G163" si="15">F160-E160</f>
        <v>82.659999999999854</v>
      </c>
    </row>
    <row r="161" spans="1:7" ht="29.25">
      <c r="A161" s="868" t="s">
        <v>275</v>
      </c>
      <c r="B161" s="869"/>
      <c r="C161" s="869"/>
      <c r="D161" s="587" t="s">
        <v>198</v>
      </c>
      <c r="E161" s="531">
        <f>'30'!F161</f>
        <v>42121.97</v>
      </c>
      <c r="F161" s="739">
        <v>42555.62</v>
      </c>
      <c r="G161" s="549">
        <f t="shared" si="15"/>
        <v>433.65000000000146</v>
      </c>
    </row>
    <row r="162" spans="1:7" ht="29.25">
      <c r="A162" s="868" t="s">
        <v>276</v>
      </c>
      <c r="B162" s="869"/>
      <c r="C162" s="869"/>
      <c r="D162" s="587" t="s">
        <v>198</v>
      </c>
      <c r="E162" s="531">
        <f>'30'!F162</f>
        <v>12556</v>
      </c>
      <c r="F162" s="739">
        <v>12801.7</v>
      </c>
      <c r="G162" s="549">
        <f t="shared" si="15"/>
        <v>245.70000000000073</v>
      </c>
    </row>
    <row r="163" spans="1:7" ht="29.25">
      <c r="A163" s="868" t="s">
        <v>277</v>
      </c>
      <c r="B163" s="869"/>
      <c r="C163" s="869"/>
      <c r="D163" s="587" t="s">
        <v>198</v>
      </c>
      <c r="E163" s="531">
        <f>'30'!F163</f>
        <v>4976.6499999999996</v>
      </c>
      <c r="F163" s="739">
        <v>4997.0600000000004</v>
      </c>
      <c r="G163" s="549">
        <f t="shared" si="15"/>
        <v>20.410000000000764</v>
      </c>
    </row>
    <row r="164" spans="1:7" ht="29.25">
      <c r="A164" s="870" t="s">
        <v>106</v>
      </c>
      <c r="B164" s="681"/>
      <c r="C164" s="681"/>
      <c r="D164" s="587" t="s">
        <v>198</v>
      </c>
      <c r="E164" s="590">
        <f>E62</f>
        <v>20419.18</v>
      </c>
      <c r="F164" s="590">
        <f>F62</f>
        <v>20419.188999999998</v>
      </c>
      <c r="G164" s="549">
        <f t="shared" ref="G164:G171" si="16">F164-E164</f>
        <v>8.9999999981955625E-3</v>
      </c>
    </row>
    <row r="165" spans="1:7" ht="29.25">
      <c r="A165" s="870" t="s">
        <v>199</v>
      </c>
      <c r="B165" s="681"/>
      <c r="C165" s="681"/>
      <c r="D165" s="587" t="s">
        <v>198</v>
      </c>
      <c r="E165" s="590">
        <f t="shared" ref="E165:E171" si="17">E63</f>
        <v>1318.65</v>
      </c>
      <c r="F165" s="590">
        <f t="shared" ref="F165:F171" si="18">F63</f>
        <v>1332.53</v>
      </c>
      <c r="G165" s="549">
        <f t="shared" si="16"/>
        <v>13.879999999999882</v>
      </c>
    </row>
    <row r="166" spans="1:7" ht="27.75">
      <c r="A166" s="1381" t="s">
        <v>107</v>
      </c>
      <c r="B166" s="1381"/>
      <c r="C166" s="1381"/>
      <c r="D166" s="599" t="s">
        <v>198</v>
      </c>
      <c r="E166" s="590">
        <f t="shared" si="17"/>
        <v>110863</v>
      </c>
      <c r="F166" s="590">
        <f t="shared" si="18"/>
        <v>111283.46</v>
      </c>
      <c r="G166" s="549">
        <f t="shared" si="16"/>
        <v>420.4600000000064</v>
      </c>
    </row>
    <row r="167" spans="1:7" ht="27.75">
      <c r="A167" s="1381" t="s">
        <v>108</v>
      </c>
      <c r="B167" s="1381"/>
      <c r="C167" s="1381"/>
      <c r="D167" s="599" t="s">
        <v>198</v>
      </c>
      <c r="E167" s="590">
        <f t="shared" si="17"/>
        <v>121338</v>
      </c>
      <c r="F167" s="590">
        <f t="shared" si="18"/>
        <v>121733.11</v>
      </c>
      <c r="G167" s="549">
        <f t="shared" si="16"/>
        <v>395.11000000000058</v>
      </c>
    </row>
    <row r="168" spans="1:7" ht="27.75">
      <c r="A168" s="1381" t="s">
        <v>109</v>
      </c>
      <c r="B168" s="1381"/>
      <c r="C168" s="1381"/>
      <c r="D168" s="599" t="s">
        <v>198</v>
      </c>
      <c r="E168" s="590">
        <f t="shared" si="17"/>
        <v>13744</v>
      </c>
      <c r="F168" s="590">
        <f t="shared" si="18"/>
        <v>14159.74</v>
      </c>
      <c r="G168" s="549">
        <f t="shared" si="16"/>
        <v>415.73999999999978</v>
      </c>
    </row>
    <row r="169" spans="1:7" ht="27.75">
      <c r="A169" s="1381" t="s">
        <v>110</v>
      </c>
      <c r="B169" s="1381"/>
      <c r="C169" s="1381"/>
      <c r="D169" s="599" t="s">
        <v>198</v>
      </c>
      <c r="E169" s="590">
        <f t="shared" si="17"/>
        <v>187947</v>
      </c>
      <c r="F169" s="590">
        <f t="shared" si="18"/>
        <v>188674.53</v>
      </c>
      <c r="G169" s="549">
        <f t="shared" si="16"/>
        <v>727.52999999999884</v>
      </c>
    </row>
    <row r="170" spans="1:7" ht="27.75">
      <c r="A170" s="1381" t="s">
        <v>111</v>
      </c>
      <c r="B170" s="1381"/>
      <c r="C170" s="1381"/>
      <c r="D170" s="599" t="s">
        <v>198</v>
      </c>
      <c r="E170" s="590">
        <f t="shared" si="17"/>
        <v>63003</v>
      </c>
      <c r="F170" s="590">
        <f t="shared" si="18"/>
        <v>63299.86</v>
      </c>
      <c r="G170" s="549">
        <f t="shared" si="16"/>
        <v>296.86000000000058</v>
      </c>
    </row>
    <row r="171" spans="1:7" ht="27.75">
      <c r="A171" s="1381" t="s">
        <v>112</v>
      </c>
      <c r="B171" s="1381"/>
      <c r="C171" s="1381"/>
      <c r="D171" s="599" t="s">
        <v>198</v>
      </c>
      <c r="E171" s="590">
        <f t="shared" si="17"/>
        <v>55407.56</v>
      </c>
      <c r="F171" s="590">
        <f t="shared" si="18"/>
        <v>55723.71</v>
      </c>
      <c r="G171" s="549">
        <f t="shared" si="16"/>
        <v>316.15000000000146</v>
      </c>
    </row>
    <row r="172" spans="1:7" ht="29.25">
      <c r="G172" s="616">
        <f>SUM(G160:G171)</f>
        <v>3368.1590000000087</v>
      </c>
    </row>
    <row r="173" spans="1:7" ht="29.25"/>
    <row r="174" spans="1:7" ht="29.25"/>
    <row r="175" spans="1:7" ht="29.25"/>
    <row r="176" spans="1:7" ht="29.25"/>
    <row r="177" ht="29.25"/>
    <row r="178" ht="29.25"/>
    <row r="179" ht="29.25"/>
    <row r="180" ht="29.25"/>
    <row r="181" ht="29.25"/>
    <row r="182" ht="29.25"/>
    <row r="183" ht="29.25"/>
    <row r="184" ht="29.25"/>
    <row r="185" ht="29.25"/>
    <row r="186" ht="29.25"/>
    <row r="187" ht="29.25"/>
    <row r="188" ht="29.25"/>
    <row r="189" ht="29.25"/>
    <row r="190" ht="29.25"/>
    <row r="191" ht="29.25"/>
    <row r="192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  <row r="271" ht="29.25"/>
    <row r="272" ht="29.25"/>
    <row r="273" ht="29.25"/>
    <row r="274" ht="29.25"/>
    <row r="275" ht="29.25"/>
    <row r="276" ht="29.25"/>
    <row r="277" ht="29.25"/>
    <row r="278" ht="29.25"/>
    <row r="279" ht="29.25"/>
    <row r="280" ht="29.25"/>
    <row r="281" ht="29.25"/>
    <row r="282" ht="29.25"/>
    <row r="283" ht="29.25"/>
    <row r="284" ht="29.25"/>
    <row r="285" ht="29.25"/>
    <row r="286" ht="29.25"/>
    <row r="287" ht="29.25"/>
    <row r="288" ht="29.25"/>
    <row r="289" ht="29.25"/>
    <row r="290" ht="29.25"/>
    <row r="291" ht="29.25"/>
    <row r="292" ht="29.25"/>
    <row r="293" ht="29.25"/>
    <row r="294" ht="29.25"/>
    <row r="295" ht="29.25"/>
    <row r="296" ht="29.25"/>
    <row r="297" ht="29.25"/>
    <row r="298" ht="29.25"/>
    <row r="299" ht="29.25"/>
    <row r="300" ht="29.25"/>
    <row r="301" ht="29.25"/>
    <row r="302" ht="29.25"/>
    <row r="303" ht="29.25"/>
    <row r="304" ht="29.25"/>
    <row r="305" ht="29.25"/>
    <row r="306" ht="29.25"/>
    <row r="307" ht="29.25"/>
    <row r="308" ht="29.25"/>
  </sheetData>
  <mergeCells count="74">
    <mergeCell ref="A65:C65"/>
    <mergeCell ref="A66:C66"/>
    <mergeCell ref="A67:C67"/>
    <mergeCell ref="A68:C68"/>
    <mergeCell ref="A19:C19"/>
    <mergeCell ref="A21:C21"/>
    <mergeCell ref="A33:J33"/>
    <mergeCell ref="A64:C64"/>
    <mergeCell ref="A25:C25"/>
    <mergeCell ref="A1:J1"/>
    <mergeCell ref="A6:C6"/>
    <mergeCell ref="A14:C14"/>
    <mergeCell ref="A17:C17"/>
    <mergeCell ref="A18:C18"/>
    <mergeCell ref="A69:C69"/>
    <mergeCell ref="A72:C72"/>
    <mergeCell ref="A73:C73"/>
    <mergeCell ref="A74:C74"/>
    <mergeCell ref="A75:C75"/>
    <mergeCell ref="A70:C70"/>
    <mergeCell ref="A76:C76"/>
    <mergeCell ref="A77:C77"/>
    <mergeCell ref="A79:C79"/>
    <mergeCell ref="A80:C80"/>
    <mergeCell ref="A81:C81"/>
    <mergeCell ref="A149:C149"/>
    <mergeCell ref="A125:C125"/>
    <mergeCell ref="A94:C94"/>
    <mergeCell ref="A95:C95"/>
    <mergeCell ref="A82:C82"/>
    <mergeCell ref="A83:C83"/>
    <mergeCell ref="A92:C92"/>
    <mergeCell ref="A93:C9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52:C152"/>
    <mergeCell ref="A153:C153"/>
    <mergeCell ref="E3:F3"/>
    <mergeCell ref="A71:J71"/>
    <mergeCell ref="A101:C101"/>
    <mergeCell ref="A122:C122"/>
    <mergeCell ref="A141:B141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11:B111"/>
    <mergeCell ref="A112:B112"/>
    <mergeCell ref="A113:B113"/>
    <mergeCell ref="A114:B114"/>
    <mergeCell ref="A115:B115"/>
    <mergeCell ref="A121:B121"/>
    <mergeCell ref="A116:B116"/>
    <mergeCell ref="A117:B117"/>
    <mergeCell ref="A118:B118"/>
    <mergeCell ref="A119:B119"/>
    <mergeCell ref="A120:B120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1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>
      <c r="A1" s="1365"/>
      <c r="B1" s="1365"/>
      <c r="C1" s="1365"/>
      <c r="D1" s="1365"/>
      <c r="E1" s="1365"/>
      <c r="F1" s="1365"/>
      <c r="G1" s="1365"/>
      <c r="H1" s="1365"/>
      <c r="I1" s="1365"/>
      <c r="J1" s="1365"/>
      <c r="K1" s="1365"/>
      <c r="L1" s="1365"/>
      <c r="M1" s="1365"/>
      <c r="N1" s="1365"/>
      <c r="O1" s="1365"/>
    </row>
    <row r="2" spans="1:15" ht="28.5" customHeight="1">
      <c r="A2" s="1" t="s">
        <v>0</v>
      </c>
      <c r="B2" s="1" t="s">
        <v>0</v>
      </c>
      <c r="C2" s="1203" t="s">
        <v>1</v>
      </c>
      <c r="D2" s="4" t="s">
        <v>4</v>
      </c>
      <c r="E2" s="1367" t="s">
        <v>7</v>
      </c>
      <c r="F2" s="1367"/>
      <c r="G2" s="1367"/>
      <c r="H2" s="1373" t="s">
        <v>15</v>
      </c>
      <c r="I2" s="1373"/>
      <c r="J2" s="1373"/>
      <c r="K2" s="1203" t="s">
        <v>16</v>
      </c>
      <c r="L2" s="1373" t="s">
        <v>17</v>
      </c>
      <c r="M2" s="1373"/>
      <c r="N2" s="1373"/>
      <c r="O2" s="1203" t="s">
        <v>18</v>
      </c>
    </row>
    <row r="3" spans="1:15" s="15" customFormat="1" ht="38.25">
      <c r="A3" s="6"/>
      <c r="B3" s="1"/>
      <c r="C3" s="7"/>
      <c r="D3" s="10" t="s">
        <v>24</v>
      </c>
      <c r="E3" s="11" t="s">
        <v>30</v>
      </c>
      <c r="F3" s="11" t="s">
        <v>27</v>
      </c>
      <c r="G3" s="11" t="s">
        <v>28</v>
      </c>
      <c r="H3" s="12" t="s">
        <v>41</v>
      </c>
      <c r="I3" s="12" t="s">
        <v>42</v>
      </c>
      <c r="J3" s="12" t="s">
        <v>43</v>
      </c>
      <c r="K3" s="12"/>
      <c r="L3" s="12" t="s">
        <v>44</v>
      </c>
      <c r="M3" s="12" t="s">
        <v>45</v>
      </c>
      <c r="N3" s="12" t="s">
        <v>295</v>
      </c>
      <c r="O3" s="12"/>
    </row>
    <row r="4" spans="1:15">
      <c r="A4" s="16">
        <v>1</v>
      </c>
      <c r="B4" s="17">
        <v>1</v>
      </c>
      <c r="C4" s="18"/>
      <c r="D4" s="19">
        <f>'1'!F8</f>
        <v>3932325</v>
      </c>
      <c r="E4" s="19">
        <f>'1'!G96</f>
        <v>23</v>
      </c>
      <c r="F4" s="19">
        <f>'1'!F141</f>
        <v>0</v>
      </c>
      <c r="G4" s="21">
        <f>E4*F4</f>
        <v>0</v>
      </c>
      <c r="H4" s="19">
        <f>'1'!G68</f>
        <v>327.79000000000087</v>
      </c>
      <c r="I4" s="19">
        <f>'1'!G69</f>
        <v>319.90000000000146</v>
      </c>
      <c r="J4" s="19">
        <f>'1'!G70</f>
        <v>0</v>
      </c>
      <c r="K4" s="23">
        <f>H4+I4</f>
        <v>647.69000000000233</v>
      </c>
      <c r="L4" s="19">
        <f>'1'!G71</f>
        <v>0</v>
      </c>
      <c r="M4" s="19">
        <f>'1'!G72</f>
        <v>84</v>
      </c>
      <c r="N4" s="19">
        <v>0</v>
      </c>
      <c r="O4" s="23">
        <f>L4+M4+N4</f>
        <v>84</v>
      </c>
    </row>
    <row r="5" spans="1:15">
      <c r="A5" s="16">
        <v>2</v>
      </c>
      <c r="B5" s="26">
        <v>2</v>
      </c>
      <c r="C5" s="26"/>
      <c r="D5" s="19">
        <f>'2'!F8</f>
        <v>3951858</v>
      </c>
      <c r="E5" s="19">
        <f>'2'!G95</f>
        <v>70</v>
      </c>
      <c r="F5" s="19">
        <f>'2'!F122</f>
        <v>0</v>
      </c>
      <c r="G5" s="21">
        <f t="shared" ref="G5:G18" si="0">E5*F5</f>
        <v>0</v>
      </c>
      <c r="H5" s="19">
        <f>'2'!G68</f>
        <v>341.34999999999854</v>
      </c>
      <c r="I5" s="19">
        <f>'2'!G69</f>
        <v>310.38999999999942</v>
      </c>
      <c r="J5" s="19">
        <f>'2'!G70</f>
        <v>0</v>
      </c>
      <c r="K5" s="23">
        <f t="shared" ref="K5:K18" si="1">H5+I5</f>
        <v>651.73999999999796</v>
      </c>
      <c r="L5" s="19">
        <f>'2'!G71</f>
        <v>0</v>
      </c>
      <c r="M5" s="19">
        <f>'2'!G72</f>
        <v>84</v>
      </c>
      <c r="N5" s="19">
        <v>0</v>
      </c>
      <c r="O5" s="23">
        <f t="shared" ref="O5:O18" si="2">L5+M5+N5</f>
        <v>84</v>
      </c>
    </row>
    <row r="6" spans="1:15">
      <c r="A6" s="16">
        <v>3</v>
      </c>
      <c r="B6" s="26">
        <v>3</v>
      </c>
      <c r="C6" s="26"/>
      <c r="D6" s="19">
        <f>'4'!F8</f>
        <v>3990282</v>
      </c>
      <c r="E6" s="19">
        <f>'3'!G95</f>
        <v>64</v>
      </c>
      <c r="F6" s="19">
        <f>'3'!F122</f>
        <v>0</v>
      </c>
      <c r="G6" s="21">
        <f t="shared" si="0"/>
        <v>0</v>
      </c>
      <c r="H6" s="19">
        <f>'4'!G68</f>
        <v>343</v>
      </c>
      <c r="I6" s="19">
        <f>'4'!G69</f>
        <v>296</v>
      </c>
      <c r="J6" s="19">
        <f>'4'!G70</f>
        <v>0</v>
      </c>
      <c r="K6" s="23">
        <f t="shared" si="1"/>
        <v>639</v>
      </c>
      <c r="L6" s="19">
        <f>'4'!G71</f>
        <v>0</v>
      </c>
      <c r="M6" s="19">
        <f>'4'!G72</f>
        <v>83</v>
      </c>
      <c r="N6" s="19">
        <v>0</v>
      </c>
      <c r="O6" s="23">
        <f t="shared" si="2"/>
        <v>83</v>
      </c>
    </row>
    <row r="7" spans="1:15">
      <c r="A7" s="16">
        <v>4</v>
      </c>
      <c r="B7" s="27">
        <v>4</v>
      </c>
      <c r="C7" s="27"/>
      <c r="D7" s="19">
        <f>'3'!F8</f>
        <v>3971529</v>
      </c>
      <c r="E7" s="19">
        <f>'4'!G95</f>
        <v>78</v>
      </c>
      <c r="F7" s="19">
        <f>'1'!F141</f>
        <v>0</v>
      </c>
      <c r="G7" s="21">
        <f t="shared" si="0"/>
        <v>0</v>
      </c>
      <c r="H7" s="19">
        <f>'3'!G68</f>
        <v>331</v>
      </c>
      <c r="I7" s="19">
        <f>'3'!G69</f>
        <v>313</v>
      </c>
      <c r="J7" s="19">
        <f>'3'!G70</f>
        <v>0</v>
      </c>
      <c r="K7" s="23">
        <f t="shared" si="1"/>
        <v>644</v>
      </c>
      <c r="L7" s="19">
        <f>'3'!G71</f>
        <v>0</v>
      </c>
      <c r="M7" s="19">
        <f>'3'!G72</f>
        <v>88</v>
      </c>
      <c r="N7" s="19">
        <v>0</v>
      </c>
      <c r="O7" s="23">
        <f t="shared" si="2"/>
        <v>88</v>
      </c>
    </row>
    <row r="8" spans="1:1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'1'!F141</f>
        <v>0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>
      <c r="A9" s="16">
        <v>6</v>
      </c>
      <c r="B9" s="17">
        <v>6</v>
      </c>
      <c r="C9" s="26"/>
      <c r="D9" s="19">
        <f>'6'!F8</f>
        <v>4028160</v>
      </c>
      <c r="E9" s="19">
        <f>'6'!G95</f>
        <v>61</v>
      </c>
      <c r="F9" s="19">
        <f>'1'!F141</f>
        <v>0</v>
      </c>
      <c r="G9" s="21">
        <f t="shared" si="0"/>
        <v>0</v>
      </c>
      <c r="H9" s="19">
        <f>'6'!G68</f>
        <v>355</v>
      </c>
      <c r="I9" s="19">
        <f>'6'!G69</f>
        <v>280</v>
      </c>
      <c r="J9" s="19">
        <f>'6'!G70</f>
        <v>0</v>
      </c>
      <c r="K9" s="23">
        <f t="shared" si="1"/>
        <v>635</v>
      </c>
      <c r="L9" s="19">
        <f>'6'!G71</f>
        <v>0</v>
      </c>
      <c r="M9" s="19">
        <f>'6'!G72</f>
        <v>67</v>
      </c>
      <c r="N9" s="19">
        <v>0</v>
      </c>
      <c r="O9" s="23">
        <f t="shared" si="2"/>
        <v>67</v>
      </c>
    </row>
    <row r="10" spans="1:15">
      <c r="A10" s="16">
        <v>7</v>
      </c>
      <c r="B10" s="26">
        <v>7</v>
      </c>
      <c r="C10" s="27"/>
      <c r="D10" s="19">
        <f>'7'!F8</f>
        <v>4046475</v>
      </c>
      <c r="E10" s="19">
        <f>'7'!G95</f>
        <v>57</v>
      </c>
      <c r="F10" s="19">
        <f>'1'!F141</f>
        <v>0</v>
      </c>
      <c r="G10" s="21">
        <f t="shared" si="0"/>
        <v>0</v>
      </c>
      <c r="H10" s="19">
        <f>'7'!G68</f>
        <v>330</v>
      </c>
      <c r="I10" s="19">
        <f>'7'!G69</f>
        <v>310</v>
      </c>
      <c r="J10" s="19">
        <f>'7'!G70</f>
        <v>0</v>
      </c>
      <c r="K10" s="23">
        <f t="shared" si="1"/>
        <v>640</v>
      </c>
      <c r="L10" s="19">
        <f>'7'!G71</f>
        <v>0</v>
      </c>
      <c r="M10" s="19">
        <f>'7'!G72</f>
        <v>82</v>
      </c>
      <c r="N10" s="19">
        <v>0</v>
      </c>
      <c r="O10" s="23">
        <f t="shared" si="2"/>
        <v>82</v>
      </c>
    </row>
    <row r="11" spans="1:15">
      <c r="A11" s="16">
        <v>8</v>
      </c>
      <c r="B11" s="26">
        <v>8</v>
      </c>
      <c r="C11" s="18"/>
      <c r="D11" s="19">
        <f>'8'!F8</f>
        <v>4061912</v>
      </c>
      <c r="E11" s="19">
        <f>'8'!G95</f>
        <v>71</v>
      </c>
      <c r="F11" s="19">
        <f>'1'!F141</f>
        <v>0</v>
      </c>
      <c r="G11" s="21">
        <f t="shared" si="0"/>
        <v>0</v>
      </c>
      <c r="H11" s="19">
        <f>'8'!G68</f>
        <v>344</v>
      </c>
      <c r="I11" s="19">
        <f>'8'!G69</f>
        <v>284</v>
      </c>
      <c r="J11" s="19">
        <f>'8'!G70</f>
        <v>0</v>
      </c>
      <c r="K11" s="23">
        <f t="shared" si="1"/>
        <v>628</v>
      </c>
      <c r="L11" s="19">
        <f>'8'!G71</f>
        <v>0</v>
      </c>
      <c r="M11" s="19">
        <f>'8'!G72</f>
        <v>67</v>
      </c>
      <c r="N11" s="19">
        <v>0</v>
      </c>
      <c r="O11" s="23">
        <f t="shared" si="2"/>
        <v>67</v>
      </c>
    </row>
    <row r="12" spans="1:15">
      <c r="A12" s="16">
        <v>9</v>
      </c>
      <c r="B12" s="27">
        <v>9</v>
      </c>
      <c r="C12" s="26"/>
      <c r="D12" s="19">
        <f>'9'!F8</f>
        <v>4080365</v>
      </c>
      <c r="E12" s="19">
        <f>'9'!G95</f>
        <v>62</v>
      </c>
      <c r="F12" s="19">
        <f>'1'!F141</f>
        <v>0</v>
      </c>
      <c r="G12" s="21">
        <f t="shared" si="0"/>
        <v>0</v>
      </c>
      <c r="H12" s="19">
        <f>'9'!G68</f>
        <v>343</v>
      </c>
      <c r="I12" s="19">
        <f>'9'!G69</f>
        <v>276</v>
      </c>
      <c r="J12" s="19">
        <f>'9'!G70</f>
        <v>0</v>
      </c>
      <c r="K12" s="23">
        <f t="shared" si="1"/>
        <v>619</v>
      </c>
      <c r="L12" s="19">
        <f>'9'!G71</f>
        <v>0</v>
      </c>
      <c r="M12" s="19">
        <f>'9'!G72</f>
        <v>50</v>
      </c>
      <c r="N12" s="19">
        <v>0</v>
      </c>
      <c r="O12" s="23">
        <f t="shared" si="2"/>
        <v>50</v>
      </c>
    </row>
    <row r="13" spans="1:15">
      <c r="A13" s="16">
        <v>10</v>
      </c>
      <c r="B13" s="27">
        <v>10</v>
      </c>
      <c r="C13" s="26"/>
      <c r="D13" s="19">
        <f>'10'!F8</f>
        <v>4099303</v>
      </c>
      <c r="E13" s="19">
        <f>'10'!G95</f>
        <v>77</v>
      </c>
      <c r="F13" s="19">
        <f>'1'!F141</f>
        <v>0</v>
      </c>
      <c r="G13" s="21">
        <f t="shared" si="0"/>
        <v>0</v>
      </c>
      <c r="H13" s="19">
        <f>'10'!G68</f>
        <v>345</v>
      </c>
      <c r="I13" s="19">
        <f>'10'!G69</f>
        <v>295.80000000000291</v>
      </c>
      <c r="J13" s="19">
        <f>'10'!G70</f>
        <v>0</v>
      </c>
      <c r="K13" s="23">
        <f t="shared" si="1"/>
        <v>640.80000000000291</v>
      </c>
      <c r="L13" s="19">
        <f>'10'!G71</f>
        <v>0</v>
      </c>
      <c r="M13" s="19">
        <f>'10'!G72</f>
        <v>44</v>
      </c>
      <c r="N13" s="19">
        <v>0</v>
      </c>
      <c r="O13" s="23">
        <f t="shared" si="2"/>
        <v>44</v>
      </c>
    </row>
    <row r="14" spans="1:15">
      <c r="A14" s="16">
        <v>11</v>
      </c>
      <c r="B14" s="17">
        <v>11</v>
      </c>
      <c r="C14" s="27"/>
      <c r="D14" s="19">
        <f>'11'!F8</f>
        <v>4117992</v>
      </c>
      <c r="E14" s="19">
        <f>'11'!G95</f>
        <v>71</v>
      </c>
      <c r="F14" s="19">
        <f>'1'!F141</f>
        <v>0</v>
      </c>
      <c r="G14" s="21">
        <f t="shared" si="0"/>
        <v>0</v>
      </c>
      <c r="H14" s="19">
        <f>'11'!G68</f>
        <v>322</v>
      </c>
      <c r="I14" s="19">
        <f>'11'!G69</f>
        <v>312.19999999999709</v>
      </c>
      <c r="J14" s="19">
        <f>'11'!G70</f>
        <v>0</v>
      </c>
      <c r="K14" s="23">
        <f t="shared" si="1"/>
        <v>634.19999999999709</v>
      </c>
      <c r="L14" s="19">
        <f>'11'!G71</f>
        <v>0</v>
      </c>
      <c r="M14" s="19">
        <f>'11'!G72</f>
        <v>50</v>
      </c>
      <c r="N14" s="19">
        <v>0</v>
      </c>
      <c r="O14" s="23">
        <f t="shared" si="2"/>
        <v>50</v>
      </c>
    </row>
    <row r="15" spans="1:15">
      <c r="A15" s="16">
        <v>12</v>
      </c>
      <c r="B15" s="26">
        <v>12</v>
      </c>
      <c r="C15" s="27"/>
      <c r="D15" s="19">
        <f>'12'!F8</f>
        <v>4137523</v>
      </c>
      <c r="E15" s="19">
        <f>'12'!G95</f>
        <v>86</v>
      </c>
      <c r="F15" s="19">
        <f>'1'!F141</f>
        <v>0</v>
      </c>
      <c r="G15" s="20">
        <f t="shared" si="0"/>
        <v>0</v>
      </c>
      <c r="H15" s="19">
        <f>'12'!G68</f>
        <v>349.86000000000058</v>
      </c>
      <c r="I15" s="19">
        <f>'12'!G69</f>
        <v>306.55000000000291</v>
      </c>
      <c r="J15" s="19">
        <f>'12'!G70</f>
        <v>0</v>
      </c>
      <c r="K15" s="23">
        <f t="shared" si="1"/>
        <v>656.41000000000349</v>
      </c>
      <c r="L15" s="19">
        <f>'12'!G71</f>
        <v>0</v>
      </c>
      <c r="M15" s="19">
        <f>'12'!G72</f>
        <v>100</v>
      </c>
      <c r="N15" s="19">
        <v>0</v>
      </c>
      <c r="O15" s="23">
        <f t="shared" si="2"/>
        <v>100</v>
      </c>
    </row>
    <row r="16" spans="1:15">
      <c r="A16" s="16">
        <v>13</v>
      </c>
      <c r="B16" s="26">
        <v>13</v>
      </c>
      <c r="C16" s="26"/>
      <c r="D16" s="19">
        <f>'13'!F8</f>
        <v>4157819</v>
      </c>
      <c r="E16" s="19">
        <f>'13'!G95</f>
        <v>88</v>
      </c>
      <c r="F16" s="19">
        <f>'1'!F141</f>
        <v>0</v>
      </c>
      <c r="G16" s="20">
        <f t="shared" si="0"/>
        <v>0</v>
      </c>
      <c r="H16" s="19">
        <f>'13'!G68</f>
        <v>366.91000000000349</v>
      </c>
      <c r="I16" s="19">
        <f>'13'!G69</f>
        <v>319.48999999999796</v>
      </c>
      <c r="J16" s="19">
        <f>'13'!G70</f>
        <v>0</v>
      </c>
      <c r="K16" s="23">
        <f t="shared" si="1"/>
        <v>686.40000000000146</v>
      </c>
      <c r="L16" s="19">
        <f>'13'!G71</f>
        <v>0</v>
      </c>
      <c r="M16" s="19">
        <f>'13'!G72</f>
        <v>87</v>
      </c>
      <c r="N16" s="19">
        <v>0</v>
      </c>
      <c r="O16" s="23">
        <f t="shared" si="2"/>
        <v>87</v>
      </c>
    </row>
    <row r="17" spans="1:15">
      <c r="A17" s="16">
        <v>14</v>
      </c>
      <c r="B17" s="17">
        <v>14</v>
      </c>
      <c r="C17" s="27"/>
      <c r="D17" s="19">
        <f>'14'!F8</f>
        <v>4180498</v>
      </c>
      <c r="E17" s="19">
        <f>'14'!G95</f>
        <v>121</v>
      </c>
      <c r="F17" s="19">
        <f>'1'!F141</f>
        <v>0</v>
      </c>
      <c r="G17" s="20">
        <f t="shared" si="0"/>
        <v>0</v>
      </c>
      <c r="H17" s="19">
        <f>'14'!G68</f>
        <v>357.76699999999255</v>
      </c>
      <c r="I17" s="19">
        <f>'14'!G69</f>
        <v>312.34999999999854</v>
      </c>
      <c r="J17" s="19">
        <f>'14'!G71</f>
        <v>0</v>
      </c>
      <c r="K17" s="23">
        <f t="shared" si="1"/>
        <v>670.11699999999109</v>
      </c>
      <c r="L17" s="19">
        <f>'14'!G72</f>
        <v>103</v>
      </c>
      <c r="M17" s="19">
        <f>'14'!G73</f>
        <v>1</v>
      </c>
      <c r="N17" s="19">
        <v>0</v>
      </c>
      <c r="O17" s="23">
        <f t="shared" si="2"/>
        <v>104</v>
      </c>
    </row>
    <row r="18" spans="1:15">
      <c r="A18" s="16">
        <v>15</v>
      </c>
      <c r="B18" s="26">
        <v>15</v>
      </c>
      <c r="C18" s="18"/>
      <c r="D18" s="19">
        <f>'15'!F8</f>
        <v>4203853</v>
      </c>
      <c r="E18" s="19">
        <f>'15'!G95</f>
        <v>131</v>
      </c>
      <c r="F18" s="19">
        <f>'1'!F141</f>
        <v>0</v>
      </c>
      <c r="G18" s="20">
        <f t="shared" si="0"/>
        <v>0</v>
      </c>
      <c r="H18" s="19">
        <f>'15'!G68</f>
        <v>337.84300000000803</v>
      </c>
      <c r="I18" s="19">
        <f>'15'!G69</f>
        <v>305.81999999999971</v>
      </c>
      <c r="J18" s="19">
        <f>'15'!G71</f>
        <v>0</v>
      </c>
      <c r="K18" s="23">
        <f t="shared" si="1"/>
        <v>643.66300000000774</v>
      </c>
      <c r="L18" s="19">
        <f>'15'!G72</f>
        <v>93</v>
      </c>
      <c r="M18" s="19">
        <f>'15'!G73</f>
        <v>1</v>
      </c>
      <c r="N18" s="19">
        <v>0</v>
      </c>
      <c r="O18" s="23">
        <f t="shared" si="2"/>
        <v>94</v>
      </c>
    </row>
    <row r="20" spans="1:1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122"/>
  <sheetViews>
    <sheetView topLeftCell="A18" zoomScale="64" zoomScaleNormal="64" workbookViewId="0">
      <selection activeCell="K34" sqref="K34"/>
    </sheetView>
  </sheetViews>
  <sheetFormatPr defaultColWidth="22.33203125" defaultRowHeight="18.75" customHeight="1"/>
  <cols>
    <col min="1" max="1" width="37.109375" style="114" customWidth="1"/>
    <col min="2" max="2" width="24" style="114" customWidth="1"/>
    <col min="3" max="3" width="18.77734375" style="114" customWidth="1"/>
    <col min="4" max="4" width="11.44140625" style="114" customWidth="1"/>
    <col min="5" max="5" width="19.6640625" style="114" bestFit="1" customWidth="1"/>
    <col min="6" max="6" width="18.5546875" style="114" customWidth="1"/>
    <col min="7" max="7" width="19.33203125" style="114" customWidth="1"/>
    <col min="8" max="8" width="17.6640625" style="155" customWidth="1"/>
    <col min="9" max="9" width="18.88671875" style="114" customWidth="1"/>
    <col min="10" max="10" width="23" style="156" customWidth="1"/>
    <col min="11" max="16384" width="22.33203125" style="114"/>
  </cols>
  <sheetData>
    <row r="1" spans="1:12" ht="28.5" customHeight="1">
      <c r="A1" s="1626" t="s">
        <v>128</v>
      </c>
      <c r="B1" s="1626"/>
      <c r="C1" s="1626"/>
      <c r="D1" s="1626"/>
      <c r="E1" s="1626"/>
      <c r="F1" s="1626"/>
      <c r="G1" s="1626"/>
      <c r="H1" s="1626"/>
      <c r="I1" s="1626"/>
      <c r="J1" s="1626"/>
    </row>
    <row r="2" spans="1:12" ht="23.25" customHeight="1">
      <c r="A2" s="214" t="s">
        <v>296</v>
      </c>
      <c r="B2" s="195">
        <v>42328</v>
      </c>
      <c r="C2" s="1627" t="s">
        <v>297</v>
      </c>
      <c r="D2" s="1628"/>
      <c r="E2" s="191" t="s">
        <v>129</v>
      </c>
      <c r="F2" s="191" t="s">
        <v>6</v>
      </c>
      <c r="G2" s="191" t="s">
        <v>8</v>
      </c>
      <c r="H2" s="40" t="s">
        <v>130</v>
      </c>
      <c r="I2" s="41"/>
      <c r="J2" s="42"/>
    </row>
    <row r="3" spans="1:12" ht="18.75" customHeight="1">
      <c r="A3" s="1225" t="s">
        <v>298</v>
      </c>
      <c r="B3" s="189"/>
      <c r="C3" s="189"/>
      <c r="D3" s="1226"/>
      <c r="E3" s="115" t="str">
        <f>'1'!E3</f>
        <v>Last year same month avg</v>
      </c>
      <c r="F3" s="52">
        <f>'1'!F3</f>
        <v>0</v>
      </c>
      <c r="G3" s="52">
        <f>'1'!G3</f>
        <v>0</v>
      </c>
      <c r="H3" s="49">
        <f>'1'!H3</f>
        <v>0</v>
      </c>
      <c r="I3" s="41" t="s">
        <v>299</v>
      </c>
      <c r="J3" s="42" t="s">
        <v>300</v>
      </c>
      <c r="K3" s="116"/>
      <c r="L3" s="117"/>
    </row>
    <row r="4" spans="1:12" ht="18.75" customHeight="1">
      <c r="A4" s="45" t="s">
        <v>301</v>
      </c>
      <c r="B4" s="46" t="s">
        <v>302</v>
      </c>
      <c r="C4" s="39" t="s">
        <v>69</v>
      </c>
      <c r="D4" s="215">
        <v>0.8</v>
      </c>
      <c r="E4" s="47"/>
      <c r="F4" s="47"/>
      <c r="G4" s="48"/>
      <c r="H4" s="41"/>
      <c r="I4" s="49">
        <v>31</v>
      </c>
      <c r="J4" s="50">
        <v>82</v>
      </c>
      <c r="K4" s="118"/>
      <c r="L4" s="117"/>
    </row>
    <row r="5" spans="1:12" ht="18.75" customHeight="1" thickBot="1">
      <c r="A5" s="216" t="s">
        <v>134</v>
      </c>
      <c r="B5" s="217"/>
      <c r="C5" s="218"/>
      <c r="D5" s="219" t="s">
        <v>135</v>
      </c>
      <c r="E5" s="220" t="s">
        <v>136</v>
      </c>
      <c r="F5" s="220" t="s">
        <v>123</v>
      </c>
      <c r="G5" s="221" t="s">
        <v>137</v>
      </c>
      <c r="H5" s="222" t="s">
        <v>138</v>
      </c>
      <c r="I5" s="223" t="s">
        <v>139</v>
      </c>
      <c r="J5" s="221" t="s">
        <v>140</v>
      </c>
      <c r="K5" s="53"/>
      <c r="L5" s="117"/>
    </row>
    <row r="6" spans="1:12" ht="18.75" customHeight="1">
      <c r="A6" s="1634" t="s">
        <v>141</v>
      </c>
      <c r="B6" s="1635"/>
      <c r="C6" s="1636"/>
      <c r="D6" s="60"/>
      <c r="E6" s="60"/>
      <c r="F6" s="60"/>
      <c r="G6" s="60"/>
      <c r="H6" s="61"/>
      <c r="I6" s="62"/>
      <c r="J6" s="63"/>
      <c r="K6" s="43"/>
      <c r="L6" s="117"/>
    </row>
    <row r="7" spans="1:12" ht="20.25" customHeight="1" thickBot="1">
      <c r="A7" s="250" t="s">
        <v>142</v>
      </c>
      <c r="B7" s="251"/>
      <c r="C7" s="252"/>
      <c r="D7" s="133" t="s">
        <v>143</v>
      </c>
      <c r="E7" s="159"/>
      <c r="F7" s="159"/>
      <c r="G7" s="203"/>
      <c r="H7" s="160"/>
      <c r="I7" s="253"/>
      <c r="J7" s="136"/>
      <c r="K7" s="59"/>
      <c r="L7" s="117"/>
    </row>
    <row r="8" spans="1:12" ht="12.75" customHeight="1">
      <c r="A8" s="246"/>
      <c r="B8" s="247"/>
      <c r="C8" s="248"/>
      <c r="D8" s="137"/>
      <c r="E8" s="161"/>
      <c r="F8" s="161"/>
      <c r="G8" s="139"/>
      <c r="H8" s="162"/>
      <c r="I8" s="249"/>
      <c r="J8" s="141"/>
      <c r="K8" s="59"/>
      <c r="L8" s="117"/>
    </row>
    <row r="9" spans="1:12" ht="18.75" customHeight="1">
      <c r="A9" s="64" t="s">
        <v>145</v>
      </c>
      <c r="B9" s="65"/>
      <c r="C9" s="66"/>
      <c r="D9" s="55" t="s">
        <v>143</v>
      </c>
      <c r="E9" s="56"/>
      <c r="F9" s="67"/>
      <c r="G9" s="68"/>
      <c r="H9" s="57"/>
      <c r="I9" s="69"/>
      <c r="J9" s="58"/>
      <c r="K9" s="59"/>
      <c r="L9" s="117"/>
    </row>
    <row r="10" spans="1:12" ht="18.75" customHeight="1">
      <c r="A10" s="192" t="s">
        <v>146</v>
      </c>
      <c r="B10" s="193"/>
      <c r="C10" s="194"/>
      <c r="D10" s="55" t="s">
        <v>143</v>
      </c>
      <c r="E10" s="56"/>
      <c r="F10" s="67"/>
      <c r="G10" s="68"/>
      <c r="H10" s="57"/>
      <c r="I10" s="69"/>
      <c r="J10" s="58"/>
      <c r="K10" s="59"/>
      <c r="L10" s="117"/>
    </row>
    <row r="11" spans="1:12" ht="18.75" customHeight="1">
      <c r="A11" s="192" t="s">
        <v>147</v>
      </c>
      <c r="B11" s="193"/>
      <c r="C11" s="194"/>
      <c r="D11" s="55" t="s">
        <v>143</v>
      </c>
      <c r="E11" s="56"/>
      <c r="F11" s="56"/>
      <c r="G11" s="68"/>
      <c r="H11" s="57"/>
      <c r="I11" s="69"/>
      <c r="J11" s="58"/>
      <c r="K11" s="59"/>
      <c r="L11" s="117"/>
    </row>
    <row r="12" spans="1:12" ht="18.75" customHeight="1">
      <c r="A12" s="192" t="s">
        <v>148</v>
      </c>
      <c r="B12" s="193"/>
      <c r="C12" s="194"/>
      <c r="D12" s="55" t="s">
        <v>143</v>
      </c>
      <c r="E12" s="56"/>
      <c r="F12" s="67"/>
      <c r="G12" s="68"/>
      <c r="H12" s="57"/>
      <c r="I12" s="69"/>
      <c r="J12" s="58"/>
      <c r="K12" s="59"/>
      <c r="L12" s="117"/>
    </row>
    <row r="13" spans="1:12" ht="18.75" customHeight="1">
      <c r="A13" s="180" t="s">
        <v>149</v>
      </c>
      <c r="B13" s="181"/>
      <c r="C13" s="182"/>
      <c r="D13" s="55"/>
      <c r="E13" s="119"/>
      <c r="F13" s="70"/>
      <c r="G13" s="68"/>
      <c r="H13" s="57"/>
      <c r="I13" s="69"/>
      <c r="J13" s="58"/>
      <c r="K13" s="59"/>
      <c r="L13" s="117"/>
    </row>
    <row r="14" spans="1:12" ht="18.75" customHeight="1">
      <c r="A14" s="1620" t="s">
        <v>150</v>
      </c>
      <c r="B14" s="1621"/>
      <c r="C14" s="1622"/>
      <c r="D14" s="71"/>
      <c r="E14" s="71"/>
      <c r="F14" s="71"/>
      <c r="G14" s="128"/>
      <c r="H14" s="72"/>
      <c r="I14" s="73"/>
      <c r="J14" s="74"/>
      <c r="K14" s="75"/>
      <c r="L14" s="117"/>
    </row>
    <row r="15" spans="1:12" ht="18.75" customHeight="1" thickBot="1">
      <c r="A15" s="183" t="s">
        <v>151</v>
      </c>
      <c r="B15" s="184"/>
      <c r="C15" s="185"/>
      <c r="D15" s="133" t="s">
        <v>152</v>
      </c>
      <c r="E15" s="159"/>
      <c r="F15" s="134"/>
      <c r="G15" s="135"/>
      <c r="H15" s="160"/>
      <c r="I15" s="253"/>
      <c r="J15" s="136"/>
      <c r="K15" s="59"/>
      <c r="L15" s="117"/>
    </row>
    <row r="16" spans="1:12" ht="18.75" customHeight="1">
      <c r="A16" s="224"/>
      <c r="B16" s="225"/>
      <c r="C16" s="226"/>
      <c r="D16" s="227"/>
      <c r="E16" s="228"/>
      <c r="F16" s="212"/>
      <c r="G16" s="205"/>
      <c r="H16" s="254"/>
      <c r="I16" s="255"/>
      <c r="J16" s="229"/>
      <c r="K16" s="59"/>
      <c r="L16" s="117"/>
    </row>
    <row r="17" spans="1:12" ht="18.75" customHeight="1">
      <c r="A17" s="1620" t="s">
        <v>153</v>
      </c>
      <c r="B17" s="1621"/>
      <c r="C17" s="1622"/>
      <c r="D17" s="71"/>
      <c r="E17" s="71"/>
      <c r="F17" s="71"/>
      <c r="G17" s="122"/>
      <c r="H17" s="72"/>
      <c r="I17" s="73"/>
      <c r="J17" s="123"/>
      <c r="K17" s="59"/>
      <c r="L17" s="117"/>
    </row>
    <row r="18" spans="1:12" ht="18.75" customHeight="1">
      <c r="A18" s="1604" t="s">
        <v>154</v>
      </c>
      <c r="B18" s="1605"/>
      <c r="C18" s="1606"/>
      <c r="D18" s="55" t="s">
        <v>155</v>
      </c>
      <c r="E18" s="56"/>
      <c r="F18" s="82"/>
      <c r="G18" s="124"/>
      <c r="H18" s="57"/>
      <c r="I18" s="69"/>
      <c r="J18" s="58"/>
      <c r="K18" s="59"/>
      <c r="L18" s="117"/>
    </row>
    <row r="19" spans="1:12" ht="18.75" customHeight="1">
      <c r="A19" s="1604" t="s">
        <v>71</v>
      </c>
      <c r="B19" s="1605"/>
      <c r="C19" s="1606"/>
      <c r="D19" s="55" t="s">
        <v>155</v>
      </c>
      <c r="E19" s="56"/>
      <c r="F19" s="82"/>
      <c r="G19" s="124"/>
      <c r="H19" s="57"/>
      <c r="I19" s="80"/>
      <c r="J19" s="58"/>
      <c r="K19" s="59"/>
      <c r="L19" s="117"/>
    </row>
    <row r="20" spans="1:12" ht="18.75" customHeight="1">
      <c r="A20" s="180" t="s">
        <v>156</v>
      </c>
      <c r="B20" s="181"/>
      <c r="C20" s="182"/>
      <c r="D20" s="120"/>
      <c r="E20" s="56"/>
      <c r="F20" s="120"/>
      <c r="G20" s="125"/>
      <c r="H20" s="57"/>
      <c r="I20" s="158"/>
      <c r="J20" s="58"/>
      <c r="K20" s="59"/>
      <c r="L20" s="117"/>
    </row>
    <row r="21" spans="1:12" ht="18.75" customHeight="1">
      <c r="A21" s="1620" t="s">
        <v>157</v>
      </c>
      <c r="B21" s="1621"/>
      <c r="C21" s="1622"/>
      <c r="D21" s="71"/>
      <c r="E21" s="71"/>
      <c r="F21" s="71"/>
      <c r="G21" s="128"/>
      <c r="H21" s="72"/>
      <c r="I21" s="90"/>
      <c r="J21" s="74"/>
      <c r="K21" s="59"/>
      <c r="L21" s="117"/>
    </row>
    <row r="22" spans="1:12" ht="18.75" customHeight="1">
      <c r="A22" s="1222" t="s">
        <v>158</v>
      </c>
      <c r="B22" s="1223"/>
      <c r="C22" s="1224"/>
      <c r="D22" s="55" t="s">
        <v>159</v>
      </c>
      <c r="E22" s="56"/>
      <c r="F22" s="82"/>
      <c r="G22" s="124"/>
      <c r="H22" s="57"/>
      <c r="I22" s="69"/>
      <c r="J22" s="58"/>
      <c r="K22" s="59"/>
      <c r="L22" s="117"/>
    </row>
    <row r="23" spans="1:12" ht="18.75" customHeight="1">
      <c r="A23" s="1222" t="s">
        <v>160</v>
      </c>
      <c r="B23" s="1223"/>
      <c r="C23" s="1224"/>
      <c r="D23" s="55" t="s">
        <v>159</v>
      </c>
      <c r="E23" s="56"/>
      <c r="F23" s="82"/>
      <c r="G23" s="124"/>
      <c r="H23" s="57"/>
      <c r="I23" s="69"/>
      <c r="J23" s="58"/>
      <c r="K23" s="59"/>
      <c r="L23" s="117"/>
    </row>
    <row r="24" spans="1:12" ht="18.75" customHeight="1">
      <c r="A24" s="170" t="s">
        <v>161</v>
      </c>
      <c r="B24" s="171"/>
      <c r="C24" s="172"/>
      <c r="D24" s="54" t="s">
        <v>159</v>
      </c>
      <c r="E24" s="56"/>
      <c r="F24" s="91"/>
      <c r="G24" s="142"/>
      <c r="H24" s="57"/>
      <c r="I24" s="69"/>
      <c r="J24" s="58"/>
      <c r="K24" s="59"/>
      <c r="L24" s="117"/>
    </row>
    <row r="25" spans="1:12" ht="18.75" customHeight="1">
      <c r="A25" s="1623" t="s">
        <v>162</v>
      </c>
      <c r="B25" s="1624"/>
      <c r="C25" s="1625"/>
      <c r="D25" s="60"/>
      <c r="E25" s="60"/>
      <c r="F25" s="60"/>
      <c r="G25" s="126"/>
      <c r="H25" s="61"/>
      <c r="I25" s="143"/>
      <c r="J25" s="63"/>
      <c r="K25" s="59"/>
      <c r="L25" s="117"/>
    </row>
    <row r="26" spans="1:12" ht="18.75" customHeight="1">
      <c r="A26" s="164" t="s">
        <v>163</v>
      </c>
      <c r="B26" s="165"/>
      <c r="C26" s="166"/>
      <c r="D26" s="144" t="s">
        <v>164</v>
      </c>
      <c r="E26" s="92"/>
      <c r="F26" s="92"/>
      <c r="G26" s="131"/>
      <c r="H26" s="57"/>
      <c r="I26" s="145"/>
      <c r="J26" s="93"/>
      <c r="K26" s="75"/>
      <c r="L26" s="117"/>
    </row>
    <row r="27" spans="1:12" ht="18.75" customHeight="1">
      <c r="A27" s="164" t="s">
        <v>6</v>
      </c>
      <c r="B27" s="165"/>
      <c r="C27" s="166"/>
      <c r="D27" s="146" t="s">
        <v>143</v>
      </c>
      <c r="E27" s="94"/>
      <c r="F27" s="95"/>
      <c r="G27" s="147"/>
      <c r="H27" s="57"/>
      <c r="I27" s="148"/>
      <c r="J27" s="58"/>
      <c r="K27" s="59"/>
      <c r="L27" s="117"/>
    </row>
    <row r="28" spans="1:12" ht="18.75" customHeight="1">
      <c r="A28" s="164" t="s">
        <v>165</v>
      </c>
      <c r="B28" s="165"/>
      <c r="C28" s="166"/>
      <c r="D28" s="146" t="s">
        <v>166</v>
      </c>
      <c r="E28" s="96"/>
      <c r="F28" s="95"/>
      <c r="G28" s="147"/>
      <c r="H28" s="57"/>
      <c r="I28" s="112"/>
      <c r="J28" s="58"/>
      <c r="K28" s="59"/>
      <c r="L28" s="117"/>
    </row>
    <row r="29" spans="1:12" ht="18.75" customHeight="1">
      <c r="A29" s="164" t="s">
        <v>167</v>
      </c>
      <c r="B29" s="165"/>
      <c r="C29" s="166"/>
      <c r="D29" s="146" t="s">
        <v>168</v>
      </c>
      <c r="E29" s="97"/>
      <c r="F29" s="95"/>
      <c r="G29" s="147"/>
      <c r="H29" s="57"/>
      <c r="I29" s="112"/>
      <c r="J29" s="58"/>
      <c r="K29" s="59"/>
      <c r="L29" s="117"/>
    </row>
    <row r="30" spans="1:12" ht="18.75" customHeight="1">
      <c r="A30" s="164" t="s">
        <v>8</v>
      </c>
      <c r="B30" s="165"/>
      <c r="C30" s="166"/>
      <c r="D30" s="146" t="s">
        <v>170</v>
      </c>
      <c r="E30" s="97"/>
      <c r="F30" s="95"/>
      <c r="G30" s="147"/>
      <c r="H30" s="57"/>
      <c r="I30" s="112"/>
      <c r="J30" s="58"/>
      <c r="K30" s="59"/>
      <c r="L30" s="117"/>
    </row>
    <row r="31" spans="1:12" ht="18.75" customHeight="1">
      <c r="A31" s="167" t="s">
        <v>172</v>
      </c>
      <c r="B31" s="168"/>
      <c r="C31" s="169"/>
      <c r="D31" s="149"/>
      <c r="E31" s="149"/>
      <c r="F31" s="149"/>
      <c r="G31" s="150"/>
      <c r="H31" s="57"/>
      <c r="I31" s="151"/>
      <c r="J31" s="58"/>
      <c r="K31" s="59"/>
      <c r="L31" s="117"/>
    </row>
    <row r="32" spans="1:12" ht="18.75" customHeight="1">
      <c r="A32" s="1629" t="s">
        <v>173</v>
      </c>
      <c r="B32" s="1630"/>
      <c r="C32" s="1630"/>
      <c r="D32" s="1630"/>
      <c r="E32" s="1630"/>
      <c r="F32" s="1630"/>
      <c r="G32" s="1630"/>
      <c r="H32" s="1630"/>
      <c r="I32" s="1630"/>
      <c r="J32" s="1631"/>
      <c r="K32" s="59"/>
      <c r="L32" s="117"/>
    </row>
    <row r="33" spans="1:12" ht="18.75" customHeight="1">
      <c r="A33" s="1238" t="s">
        <v>174</v>
      </c>
      <c r="B33" s="1239"/>
      <c r="C33" s="1240"/>
      <c r="D33" s="71"/>
      <c r="E33" s="60"/>
      <c r="F33" s="60"/>
      <c r="G33" s="71"/>
      <c r="H33" s="72"/>
      <c r="I33" s="73"/>
      <c r="J33" s="74"/>
      <c r="K33" s="59"/>
      <c r="L33" s="117"/>
    </row>
    <row r="34" spans="1:12" ht="18.75" customHeight="1">
      <c r="A34" s="192" t="s">
        <v>175</v>
      </c>
      <c r="B34" s="193"/>
      <c r="C34" s="194"/>
      <c r="D34" s="55" t="s">
        <v>143</v>
      </c>
      <c r="E34" s="163"/>
      <c r="F34" s="211"/>
      <c r="G34" s="68"/>
      <c r="H34" s="57"/>
      <c r="I34" s="56"/>
      <c r="J34" s="58"/>
      <c r="K34" s="59"/>
      <c r="L34" s="117"/>
    </row>
    <row r="35" spans="1:12" ht="18.75" customHeight="1">
      <c r="A35" s="192" t="s">
        <v>176</v>
      </c>
      <c r="B35" s="193"/>
      <c r="C35" s="194"/>
      <c r="D35" s="55" t="s">
        <v>143</v>
      </c>
      <c r="E35" s="163"/>
      <c r="F35" s="211"/>
      <c r="G35" s="68"/>
      <c r="H35" s="57"/>
      <c r="I35" s="56"/>
      <c r="J35" s="58"/>
      <c r="K35" s="59"/>
      <c r="L35" s="117"/>
    </row>
    <row r="36" spans="1:12" ht="18.75" customHeight="1">
      <c r="A36" s="192" t="s">
        <v>177</v>
      </c>
      <c r="B36" s="193"/>
      <c r="C36" s="194"/>
      <c r="D36" s="55" t="s">
        <v>143</v>
      </c>
      <c r="E36" s="163"/>
      <c r="F36" s="211"/>
      <c r="G36" s="68"/>
      <c r="H36" s="57"/>
      <c r="I36" s="56"/>
      <c r="J36" s="58"/>
      <c r="K36" s="59"/>
      <c r="L36" s="117"/>
    </row>
    <row r="37" spans="1:12" ht="18.75" customHeight="1">
      <c r="A37" s="192" t="s">
        <v>178</v>
      </c>
      <c r="B37" s="193"/>
      <c r="C37" s="194"/>
      <c r="D37" s="55" t="s">
        <v>143</v>
      </c>
      <c r="E37" s="163"/>
      <c r="F37" s="163"/>
      <c r="G37" s="68"/>
      <c r="H37" s="57"/>
      <c r="I37" s="56"/>
      <c r="J37" s="58"/>
      <c r="K37" s="59"/>
      <c r="L37" s="117"/>
    </row>
    <row r="38" spans="1:12" ht="18.75" customHeight="1">
      <c r="A38" s="192" t="s">
        <v>179</v>
      </c>
      <c r="B38" s="193"/>
      <c r="C38" s="194"/>
      <c r="D38" s="55" t="s">
        <v>143</v>
      </c>
      <c r="E38" s="163"/>
      <c r="F38" s="211"/>
      <c r="G38" s="68"/>
      <c r="H38" s="57"/>
      <c r="I38" s="56"/>
      <c r="J38" s="58"/>
      <c r="K38" s="59"/>
      <c r="L38" s="117"/>
    </row>
    <row r="39" spans="1:12" ht="18.75" customHeight="1">
      <c r="A39" s="76" t="s">
        <v>180</v>
      </c>
      <c r="B39" s="77"/>
      <c r="C39" s="78"/>
      <c r="D39" s="55" t="s">
        <v>143</v>
      </c>
      <c r="E39" s="163"/>
      <c r="F39" s="211"/>
      <c r="G39" s="68"/>
      <c r="H39" s="57"/>
      <c r="I39" s="56"/>
      <c r="J39" s="58"/>
      <c r="K39" s="75"/>
      <c r="L39" s="117"/>
    </row>
    <row r="40" spans="1:12" ht="18.75" customHeight="1">
      <c r="A40" s="192" t="s">
        <v>181</v>
      </c>
      <c r="B40" s="193"/>
      <c r="C40" s="194"/>
      <c r="D40" s="55" t="s">
        <v>143</v>
      </c>
      <c r="E40" s="163"/>
      <c r="F40" s="211"/>
      <c r="G40" s="68"/>
      <c r="H40" s="57"/>
      <c r="I40" s="56"/>
      <c r="J40" s="58"/>
      <c r="K40" s="59"/>
      <c r="L40" s="117"/>
    </row>
    <row r="41" spans="1:12" ht="18.75" customHeight="1">
      <c r="A41" s="192" t="s">
        <v>182</v>
      </c>
      <c r="B41" s="193"/>
      <c r="C41" s="194"/>
      <c r="D41" s="55" t="s">
        <v>143</v>
      </c>
      <c r="E41" s="163"/>
      <c r="F41" s="211"/>
      <c r="G41" s="68"/>
      <c r="H41" s="57"/>
      <c r="I41" s="56"/>
      <c r="J41" s="58"/>
      <c r="K41" s="59"/>
      <c r="L41" s="117"/>
    </row>
    <row r="42" spans="1:12" ht="18.75" customHeight="1">
      <c r="A42" s="192" t="s">
        <v>183</v>
      </c>
      <c r="B42" s="193"/>
      <c r="C42" s="194"/>
      <c r="D42" s="55" t="s">
        <v>143</v>
      </c>
      <c r="E42" s="163"/>
      <c r="F42" s="211"/>
      <c r="G42" s="68"/>
      <c r="H42" s="57"/>
      <c r="I42" s="56"/>
      <c r="J42" s="58"/>
      <c r="K42" s="59"/>
      <c r="L42" s="117"/>
    </row>
    <row r="43" spans="1:12" ht="18.75" customHeight="1">
      <c r="A43" s="192" t="s">
        <v>184</v>
      </c>
      <c r="B43" s="193"/>
      <c r="C43" s="194"/>
      <c r="D43" s="55" t="s">
        <v>143</v>
      </c>
      <c r="E43" s="163"/>
      <c r="F43" s="211"/>
      <c r="G43" s="68"/>
      <c r="H43" s="57"/>
      <c r="I43" s="56"/>
      <c r="J43" s="58"/>
      <c r="K43" s="59"/>
      <c r="L43" s="117"/>
    </row>
    <row r="44" spans="1:12" ht="18.75" customHeight="1">
      <c r="A44" s="192" t="s">
        <v>185</v>
      </c>
      <c r="B44" s="193"/>
      <c r="C44" s="194"/>
      <c r="D44" s="55" t="s">
        <v>143</v>
      </c>
      <c r="E44" s="163"/>
      <c r="F44" s="211"/>
      <c r="G44" s="68"/>
      <c r="H44" s="57"/>
      <c r="I44" s="56"/>
      <c r="J44" s="58"/>
      <c r="K44" s="59"/>
      <c r="L44" s="117"/>
    </row>
    <row r="45" spans="1:12" ht="18.75" customHeight="1">
      <c r="A45" s="192" t="s">
        <v>186</v>
      </c>
      <c r="B45" s="193"/>
      <c r="C45" s="194"/>
      <c r="D45" s="55" t="s">
        <v>143</v>
      </c>
      <c r="E45" s="163"/>
      <c r="F45" s="211"/>
      <c r="G45" s="68"/>
      <c r="H45" s="57"/>
      <c r="I45" s="56"/>
      <c r="J45" s="58"/>
      <c r="K45" s="59"/>
      <c r="L45" s="117"/>
    </row>
    <row r="46" spans="1:12" ht="18.75" customHeight="1">
      <c r="A46" s="180" t="s">
        <v>187</v>
      </c>
      <c r="B46" s="181"/>
      <c r="C46" s="182"/>
      <c r="D46" s="79"/>
      <c r="E46" s="121"/>
      <c r="F46" s="54"/>
      <c r="G46" s="68"/>
      <c r="H46" s="57"/>
      <c r="I46" s="56"/>
      <c r="J46" s="58"/>
      <c r="K46" s="59"/>
      <c r="L46" s="117"/>
    </row>
    <row r="47" spans="1:12" ht="18.75" customHeight="1">
      <c r="A47" s="1238" t="s">
        <v>188</v>
      </c>
      <c r="B47" s="1239"/>
      <c r="C47" s="1240"/>
      <c r="D47" s="71"/>
      <c r="E47" s="60"/>
      <c r="F47" s="60"/>
      <c r="G47" s="71"/>
      <c r="H47" s="72"/>
      <c r="I47" s="73"/>
      <c r="J47" s="74"/>
      <c r="K47" s="59"/>
      <c r="L47" s="117"/>
    </row>
    <row r="48" spans="1:12" ht="18.75" customHeight="1">
      <c r="A48" s="192" t="s">
        <v>175</v>
      </c>
      <c r="B48" s="175"/>
      <c r="C48" s="176"/>
      <c r="D48" s="55" t="s">
        <v>143</v>
      </c>
      <c r="E48" s="163"/>
      <c r="F48" s="211"/>
      <c r="G48" s="68"/>
      <c r="H48" s="57"/>
      <c r="I48" s="56"/>
      <c r="J48" s="58"/>
      <c r="K48" s="59"/>
      <c r="L48" s="117"/>
    </row>
    <row r="49" spans="1:12" ht="18.75" customHeight="1">
      <c r="A49" s="192" t="s">
        <v>189</v>
      </c>
      <c r="B49" s="175"/>
      <c r="C49" s="176"/>
      <c r="D49" s="55" t="s">
        <v>143</v>
      </c>
      <c r="E49" s="163"/>
      <c r="F49" s="211"/>
      <c r="G49" s="68"/>
      <c r="H49" s="57"/>
      <c r="I49" s="56"/>
      <c r="J49" s="58"/>
      <c r="K49" s="59"/>
      <c r="L49" s="117"/>
    </row>
    <row r="50" spans="1:12" ht="18.75" customHeight="1">
      <c r="A50" s="192" t="s">
        <v>177</v>
      </c>
      <c r="B50" s="175"/>
      <c r="C50" s="176"/>
      <c r="D50" s="55" t="s">
        <v>143</v>
      </c>
      <c r="E50" s="163"/>
      <c r="F50" s="211"/>
      <c r="G50" s="68"/>
      <c r="H50" s="57"/>
      <c r="I50" s="56"/>
      <c r="J50" s="58"/>
      <c r="K50" s="59"/>
      <c r="L50" s="117"/>
    </row>
    <row r="51" spans="1:12" ht="18.75" customHeight="1">
      <c r="A51" s="192" t="s">
        <v>190</v>
      </c>
      <c r="B51" s="175"/>
      <c r="C51" s="176"/>
      <c r="D51" s="55" t="s">
        <v>143</v>
      </c>
      <c r="E51" s="163"/>
      <c r="F51" s="211"/>
      <c r="G51" s="68"/>
      <c r="H51" s="57"/>
      <c r="I51" s="56"/>
      <c r="J51" s="58"/>
      <c r="K51" s="59"/>
      <c r="L51" s="117"/>
    </row>
    <row r="52" spans="1:12" ht="18.75" customHeight="1">
      <c r="A52" s="192" t="s">
        <v>179</v>
      </c>
      <c r="B52" s="175"/>
      <c r="C52" s="176"/>
      <c r="D52" s="55" t="s">
        <v>143</v>
      </c>
      <c r="E52" s="163"/>
      <c r="F52" s="211"/>
      <c r="G52" s="68"/>
      <c r="H52" s="57"/>
      <c r="I52" s="56"/>
      <c r="J52" s="58"/>
      <c r="K52" s="59"/>
      <c r="L52" s="117"/>
    </row>
    <row r="53" spans="1:12" ht="18.75" customHeight="1">
      <c r="A53" s="192" t="s">
        <v>191</v>
      </c>
      <c r="B53" s="175"/>
      <c r="C53" s="176"/>
      <c r="D53" s="55" t="s">
        <v>143</v>
      </c>
      <c r="E53" s="163"/>
      <c r="F53" s="211"/>
      <c r="G53" s="68"/>
      <c r="H53" s="57"/>
      <c r="I53" s="56"/>
      <c r="J53" s="58"/>
      <c r="K53" s="59"/>
      <c r="L53" s="117"/>
    </row>
    <row r="54" spans="1:12" ht="18.75" customHeight="1">
      <c r="A54" s="192" t="s">
        <v>192</v>
      </c>
      <c r="B54" s="175"/>
      <c r="C54" s="176"/>
      <c r="D54" s="55" t="s">
        <v>143</v>
      </c>
      <c r="E54" s="163"/>
      <c r="F54" s="211"/>
      <c r="G54" s="68"/>
      <c r="H54" s="57"/>
      <c r="I54" s="56"/>
      <c r="J54" s="58"/>
      <c r="K54" s="59"/>
      <c r="L54" s="117"/>
    </row>
    <row r="55" spans="1:12" ht="18.75" customHeight="1">
      <c r="A55" s="192" t="s">
        <v>193</v>
      </c>
      <c r="B55" s="175"/>
      <c r="C55" s="176"/>
      <c r="D55" s="55" t="s">
        <v>194</v>
      </c>
      <c r="E55" s="163"/>
      <c r="F55" s="211"/>
      <c r="G55" s="68"/>
      <c r="H55" s="57"/>
      <c r="I55" s="56"/>
      <c r="J55" s="58"/>
      <c r="K55" s="43"/>
      <c r="L55" s="117"/>
    </row>
    <row r="56" spans="1:12" ht="18.75" customHeight="1">
      <c r="A56" s="192" t="s">
        <v>183</v>
      </c>
      <c r="B56" s="175"/>
      <c r="C56" s="176"/>
      <c r="D56" s="55" t="s">
        <v>143</v>
      </c>
      <c r="E56" s="163"/>
      <c r="F56" s="211"/>
      <c r="G56" s="68"/>
      <c r="H56" s="57"/>
      <c r="I56" s="56"/>
      <c r="J56" s="58"/>
      <c r="K56" s="59"/>
      <c r="L56" s="117"/>
    </row>
    <row r="57" spans="1:12" ht="18.75" customHeight="1">
      <c r="A57" s="192" t="s">
        <v>195</v>
      </c>
      <c r="B57" s="175"/>
      <c r="C57" s="176"/>
      <c r="D57" s="55" t="s">
        <v>143</v>
      </c>
      <c r="E57" s="163"/>
      <c r="F57" s="211"/>
      <c r="G57" s="68"/>
      <c r="H57" s="57"/>
      <c r="I57" s="56"/>
      <c r="J57" s="58"/>
      <c r="K57" s="59"/>
      <c r="L57" s="117"/>
    </row>
    <row r="58" spans="1:12" ht="18.75" customHeight="1">
      <c r="A58" s="180" t="s">
        <v>187</v>
      </c>
      <c r="B58" s="181"/>
      <c r="C58" s="182"/>
      <c r="D58" s="54"/>
      <c r="E58" s="121"/>
      <c r="F58" s="54"/>
      <c r="G58" s="68"/>
      <c r="H58" s="57"/>
      <c r="I58" s="56"/>
      <c r="J58" s="58"/>
      <c r="K58" s="59"/>
      <c r="L58" s="117"/>
    </row>
    <row r="59" spans="1:12" ht="18.75" customHeight="1">
      <c r="A59" s="190"/>
      <c r="B59" s="190"/>
      <c r="C59" s="190"/>
      <c r="D59" s="54" t="s">
        <v>196</v>
      </c>
      <c r="E59" s="54"/>
      <c r="F59" s="54"/>
      <c r="G59" s="68"/>
      <c r="H59" s="57"/>
      <c r="I59" s="56"/>
      <c r="J59" s="58"/>
      <c r="K59" s="59"/>
      <c r="L59" s="117"/>
    </row>
    <row r="60" spans="1:12" ht="18.75" customHeight="1">
      <c r="A60" s="98" t="s">
        <v>197</v>
      </c>
      <c r="B60" s="99"/>
      <c r="C60" s="100"/>
      <c r="D60" s="101"/>
      <c r="E60" s="230"/>
      <c r="F60" s="231"/>
      <c r="G60" s="152"/>
      <c r="H60" s="102"/>
      <c r="I60" s="210"/>
      <c r="J60" s="104"/>
      <c r="K60" s="59"/>
      <c r="L60" s="117"/>
    </row>
    <row r="61" spans="1:12" ht="18.75" customHeight="1">
      <c r="A61" s="243" t="s">
        <v>106</v>
      </c>
      <c r="B61" s="244"/>
      <c r="C61" s="245"/>
      <c r="D61" s="54" t="s">
        <v>198</v>
      </c>
      <c r="E61" s="202"/>
      <c r="F61" s="202"/>
      <c r="G61" s="68"/>
      <c r="H61" s="79"/>
      <c r="I61" s="201"/>
      <c r="J61" s="204"/>
      <c r="K61" s="59"/>
      <c r="L61" s="117"/>
    </row>
    <row r="62" spans="1:12" ht="18.75" customHeight="1">
      <c r="A62" s="243" t="s">
        <v>199</v>
      </c>
      <c r="B62" s="244"/>
      <c r="C62" s="245"/>
      <c r="D62" s="54" t="s">
        <v>198</v>
      </c>
      <c r="E62" s="202"/>
      <c r="F62" s="202"/>
      <c r="G62" s="68"/>
      <c r="H62" s="79"/>
      <c r="I62" s="201"/>
      <c r="J62" s="204"/>
      <c r="K62" s="59"/>
      <c r="L62" s="117"/>
    </row>
    <row r="63" spans="1:12" ht="18.75" customHeight="1">
      <c r="A63" s="1616" t="s">
        <v>107</v>
      </c>
      <c r="B63" s="1617"/>
      <c r="C63" s="1618"/>
      <c r="D63" s="55" t="s">
        <v>198</v>
      </c>
      <c r="E63" s="202"/>
      <c r="F63" s="82"/>
      <c r="G63" s="68"/>
      <c r="H63" s="79"/>
      <c r="I63" s="69"/>
      <c r="J63" s="157"/>
      <c r="K63" s="59"/>
      <c r="L63" s="117"/>
    </row>
    <row r="64" spans="1:12" ht="18.75" customHeight="1">
      <c r="A64" s="1616" t="s">
        <v>108</v>
      </c>
      <c r="B64" s="1617"/>
      <c r="C64" s="1618"/>
      <c r="D64" s="55" t="s">
        <v>198</v>
      </c>
      <c r="E64" s="202"/>
      <c r="F64" s="82"/>
      <c r="G64" s="68"/>
      <c r="H64" s="79"/>
      <c r="I64" s="80"/>
      <c r="J64" s="157"/>
      <c r="K64" s="59"/>
      <c r="L64" s="117"/>
    </row>
    <row r="65" spans="1:12" ht="18.75" customHeight="1">
      <c r="A65" s="1616" t="s">
        <v>109</v>
      </c>
      <c r="B65" s="1617"/>
      <c r="C65" s="1618"/>
      <c r="D65" s="55" t="s">
        <v>198</v>
      </c>
      <c r="E65" s="202"/>
      <c r="F65" s="82"/>
      <c r="G65" s="68"/>
      <c r="H65" s="79"/>
      <c r="I65" s="69"/>
      <c r="J65" s="157"/>
      <c r="K65" s="59"/>
      <c r="L65" s="117"/>
    </row>
    <row r="66" spans="1:12" ht="18.75" customHeight="1">
      <c r="A66" s="1616" t="s">
        <v>110</v>
      </c>
      <c r="B66" s="1617"/>
      <c r="C66" s="1618"/>
      <c r="D66" s="55" t="s">
        <v>198</v>
      </c>
      <c r="E66" s="202"/>
      <c r="F66" s="82"/>
      <c r="G66" s="68"/>
      <c r="H66" s="79"/>
      <c r="I66" s="80"/>
      <c r="J66" s="157"/>
      <c r="K66" s="75"/>
      <c r="L66" s="117"/>
    </row>
    <row r="67" spans="1:12" ht="18.75" customHeight="1">
      <c r="A67" s="1616" t="s">
        <v>111</v>
      </c>
      <c r="B67" s="1617"/>
      <c r="C67" s="1618"/>
      <c r="D67" s="55" t="s">
        <v>198</v>
      </c>
      <c r="E67" s="202"/>
      <c r="F67" s="82"/>
      <c r="G67" s="68"/>
      <c r="H67" s="79"/>
      <c r="I67" s="105"/>
      <c r="J67" s="157"/>
      <c r="K67" s="83"/>
      <c r="L67" s="117"/>
    </row>
    <row r="68" spans="1:12" ht="18.75" customHeight="1">
      <c r="A68" s="1616" t="s">
        <v>112</v>
      </c>
      <c r="B68" s="1617"/>
      <c r="C68" s="1618"/>
      <c r="D68" s="55" t="s">
        <v>198</v>
      </c>
      <c r="E68" s="202"/>
      <c r="F68" s="82"/>
      <c r="G68" s="68"/>
      <c r="H68" s="79"/>
      <c r="I68" s="105"/>
      <c r="J68" s="157"/>
      <c r="K68" s="85"/>
      <c r="L68" s="117"/>
    </row>
    <row r="69" spans="1:12" ht="18.75" customHeight="1">
      <c r="A69" s="106" t="s">
        <v>201</v>
      </c>
      <c r="B69" s="107"/>
      <c r="C69" s="107"/>
      <c r="D69" s="174"/>
      <c r="E69" s="108"/>
      <c r="F69" s="108"/>
      <c r="G69" s="109"/>
      <c r="H69" s="102"/>
      <c r="I69" s="103"/>
      <c r="J69" s="199"/>
      <c r="K69" s="83"/>
      <c r="L69" s="117"/>
    </row>
    <row r="70" spans="1:12" ht="18.75" customHeight="1">
      <c r="A70" s="1616" t="s">
        <v>202</v>
      </c>
      <c r="B70" s="1617"/>
      <c r="C70" s="1618"/>
      <c r="D70" s="55" t="s">
        <v>198</v>
      </c>
      <c r="E70" s="110"/>
      <c r="F70" s="110"/>
      <c r="G70" s="68"/>
      <c r="H70" s="57"/>
      <c r="I70" s="69"/>
      <c r="J70" s="157"/>
      <c r="K70" s="85"/>
      <c r="L70" s="117"/>
    </row>
    <row r="71" spans="1:12" ht="18.75" customHeight="1">
      <c r="A71" s="1616" t="s">
        <v>203</v>
      </c>
      <c r="B71" s="1617"/>
      <c r="C71" s="1618"/>
      <c r="D71" s="55" t="s">
        <v>198</v>
      </c>
      <c r="E71" s="110"/>
      <c r="F71" s="110"/>
      <c r="G71" s="68"/>
      <c r="H71" s="57"/>
      <c r="I71" s="69"/>
      <c r="J71" s="157"/>
      <c r="K71" s="83"/>
      <c r="L71" s="117"/>
    </row>
    <row r="72" spans="1:12" ht="18.75" customHeight="1">
      <c r="A72" s="1616" t="s">
        <v>204</v>
      </c>
      <c r="B72" s="1617"/>
      <c r="C72" s="1618"/>
      <c r="D72" s="55" t="s">
        <v>198</v>
      </c>
      <c r="E72" s="110"/>
      <c r="F72" s="110"/>
      <c r="G72" s="68"/>
      <c r="H72" s="57"/>
      <c r="I72" s="69"/>
      <c r="J72" s="157"/>
      <c r="K72" s="85"/>
      <c r="L72" s="117"/>
    </row>
    <row r="73" spans="1:12" ht="18.75" customHeight="1">
      <c r="A73" s="1613" t="s">
        <v>205</v>
      </c>
      <c r="B73" s="1614"/>
      <c r="C73" s="1615"/>
      <c r="D73" s="55" t="s">
        <v>198</v>
      </c>
      <c r="E73" s="110"/>
      <c r="F73" s="110"/>
      <c r="G73" s="68"/>
      <c r="H73" s="57"/>
      <c r="I73" s="69"/>
      <c r="J73" s="157"/>
      <c r="K73" s="83"/>
      <c r="L73" s="117"/>
    </row>
    <row r="74" spans="1:12" ht="18.75" customHeight="1">
      <c r="A74" s="1613" t="s">
        <v>206</v>
      </c>
      <c r="B74" s="1614"/>
      <c r="C74" s="1615"/>
      <c r="D74" s="55" t="s">
        <v>198</v>
      </c>
      <c r="E74" s="110"/>
      <c r="F74" s="110"/>
      <c r="G74" s="124"/>
      <c r="H74" s="57"/>
      <c r="I74" s="112"/>
      <c r="J74" s="157"/>
      <c r="K74" s="83"/>
      <c r="L74" s="117"/>
    </row>
    <row r="75" spans="1:12" ht="18.75" customHeight="1">
      <c r="A75" s="1616" t="s">
        <v>207</v>
      </c>
      <c r="B75" s="1617"/>
      <c r="C75" s="1618"/>
      <c r="D75" s="55" t="s">
        <v>198</v>
      </c>
      <c r="E75" s="110"/>
      <c r="F75" s="110"/>
      <c r="G75" s="124"/>
      <c r="H75" s="57"/>
      <c r="I75" s="112"/>
      <c r="J75" s="157"/>
      <c r="K75" s="83"/>
      <c r="L75" s="117"/>
    </row>
    <row r="76" spans="1:12" ht="18.75" customHeight="1">
      <c r="A76" s="1619" t="s">
        <v>97</v>
      </c>
      <c r="B76" s="1611"/>
      <c r="C76" s="1612"/>
      <c r="D76" s="81" t="s">
        <v>198</v>
      </c>
      <c r="E76" s="110"/>
      <c r="F76" s="110"/>
      <c r="G76" s="124"/>
      <c r="H76" s="57"/>
      <c r="I76" s="112"/>
      <c r="J76" s="157"/>
      <c r="K76" s="83"/>
      <c r="L76" s="117"/>
    </row>
    <row r="77" spans="1:12" ht="18.75" customHeight="1">
      <c r="A77" s="1619" t="s">
        <v>209</v>
      </c>
      <c r="B77" s="1611"/>
      <c r="C77" s="1612"/>
      <c r="D77" s="81" t="s">
        <v>198</v>
      </c>
      <c r="E77" s="110"/>
      <c r="F77" s="110"/>
      <c r="G77" s="124"/>
      <c r="H77" s="57"/>
      <c r="I77" s="112"/>
      <c r="J77" s="157"/>
      <c r="K77" s="83"/>
      <c r="L77" s="117"/>
    </row>
    <row r="78" spans="1:12" ht="18.75" customHeight="1">
      <c r="A78" s="1619" t="s">
        <v>210</v>
      </c>
      <c r="B78" s="1611"/>
      <c r="C78" s="1612"/>
      <c r="D78" s="81" t="s">
        <v>198</v>
      </c>
      <c r="E78" s="110"/>
      <c r="F78" s="110"/>
      <c r="G78" s="124"/>
      <c r="H78" s="57"/>
      <c r="I78" s="112"/>
      <c r="J78" s="157"/>
      <c r="K78" s="83"/>
      <c r="L78" s="117"/>
    </row>
    <row r="79" spans="1:12" ht="18.75" customHeight="1">
      <c r="A79" s="1610" t="s">
        <v>100</v>
      </c>
      <c r="B79" s="1611"/>
      <c r="C79" s="1612"/>
      <c r="D79" s="207" t="s">
        <v>143</v>
      </c>
      <c r="E79" s="110"/>
      <c r="F79" s="196"/>
      <c r="G79" s="196"/>
      <c r="H79" s="205"/>
      <c r="I79" s="206"/>
      <c r="J79" s="200"/>
      <c r="K79" s="83"/>
      <c r="L79" s="117"/>
    </row>
    <row r="80" spans="1:12" ht="18.75" customHeight="1">
      <c r="A80" s="1610" t="s">
        <v>211</v>
      </c>
      <c r="B80" s="1611"/>
      <c r="C80" s="1612"/>
      <c r="D80" s="208" t="s">
        <v>143</v>
      </c>
      <c r="E80" s="110"/>
      <c r="F80" s="54"/>
      <c r="G80" s="202"/>
      <c r="H80" s="202"/>
      <c r="I80" s="68"/>
      <c r="J80" s="79"/>
      <c r="K80" s="75"/>
      <c r="L80" s="117"/>
    </row>
    <row r="81" spans="1:12" ht="18.75" customHeight="1">
      <c r="A81" s="1610" t="s">
        <v>303</v>
      </c>
      <c r="B81" s="1611"/>
      <c r="C81" s="1612"/>
      <c r="D81" s="209" t="s">
        <v>143</v>
      </c>
      <c r="E81" s="110"/>
      <c r="F81" s="55"/>
      <c r="G81" s="202"/>
      <c r="H81" s="202"/>
      <c r="I81" s="68"/>
      <c r="J81" s="57"/>
      <c r="K81" s="88"/>
      <c r="L81" s="117"/>
    </row>
    <row r="82" spans="1:12" s="38" customFormat="1" ht="18.75" customHeight="1">
      <c r="A82" s="113" t="s">
        <v>213</v>
      </c>
      <c r="B82" s="154"/>
      <c r="C82" s="89"/>
      <c r="D82" s="89"/>
      <c r="E82" s="55"/>
      <c r="F82" s="55"/>
      <c r="G82" s="56"/>
      <c r="H82" s="82"/>
      <c r="I82" s="68"/>
      <c r="J82" s="57"/>
      <c r="K82" s="88"/>
      <c r="L82" s="44"/>
    </row>
    <row r="83" spans="1:12" s="38" customFormat="1" ht="18.75" customHeight="1">
      <c r="A83" s="177" t="s">
        <v>216</v>
      </c>
      <c r="B83" s="178"/>
      <c r="C83" s="179"/>
      <c r="D83" s="71"/>
      <c r="E83" s="71"/>
      <c r="F83" s="71"/>
      <c r="G83" s="122"/>
      <c r="H83" s="72"/>
      <c r="I83" s="73"/>
      <c r="J83" s="123"/>
      <c r="K83" s="88"/>
      <c r="L83" s="44"/>
    </row>
    <row r="84" spans="1:12" ht="18.75" customHeight="1">
      <c r="A84" s="1604" t="s">
        <v>218</v>
      </c>
      <c r="B84" s="1605"/>
      <c r="C84" s="1606"/>
      <c r="D84" s="55" t="s">
        <v>155</v>
      </c>
      <c r="E84" s="56"/>
      <c r="F84" s="82"/>
      <c r="G84" s="124"/>
      <c r="H84" s="57"/>
      <c r="I84" s="69"/>
      <c r="J84" s="58"/>
      <c r="K84" s="75"/>
      <c r="L84" s="117"/>
    </row>
    <row r="85" spans="1:12" ht="18.75" customHeight="1">
      <c r="A85" s="1604" t="s">
        <v>220</v>
      </c>
      <c r="B85" s="1605"/>
      <c r="C85" s="1606"/>
      <c r="D85" s="55" t="s">
        <v>155</v>
      </c>
      <c r="E85" s="56"/>
      <c r="F85" s="82"/>
      <c r="G85" s="124"/>
      <c r="H85" s="57"/>
      <c r="I85" s="69"/>
      <c r="J85" s="58"/>
      <c r="K85" s="88"/>
      <c r="L85" s="117"/>
    </row>
    <row r="86" spans="1:12" ht="18.75" customHeight="1">
      <c r="A86" s="1604" t="s">
        <v>221</v>
      </c>
      <c r="B86" s="1605"/>
      <c r="C86" s="1606"/>
      <c r="D86" s="55" t="s">
        <v>155</v>
      </c>
      <c r="E86" s="56"/>
      <c r="F86" s="82"/>
      <c r="G86" s="124"/>
      <c r="H86" s="57"/>
      <c r="I86" s="69"/>
      <c r="J86" s="58"/>
      <c r="K86" s="88"/>
      <c r="L86" s="117"/>
    </row>
    <row r="87" spans="1:12" ht="18.75" customHeight="1">
      <c r="A87" s="1604" t="s">
        <v>222</v>
      </c>
      <c r="B87" s="1605"/>
      <c r="C87" s="1606"/>
      <c r="D87" s="55" t="s">
        <v>155</v>
      </c>
      <c r="E87" s="56"/>
      <c r="F87" s="82"/>
      <c r="G87" s="124"/>
      <c r="H87" s="57"/>
      <c r="I87" s="69"/>
      <c r="J87" s="58"/>
      <c r="K87" s="88"/>
      <c r="L87" s="117"/>
    </row>
    <row r="88" spans="1:12" ht="18.75" customHeight="1">
      <c r="A88" s="1604" t="s">
        <v>223</v>
      </c>
      <c r="B88" s="1605"/>
      <c r="C88" s="1606"/>
      <c r="D88" s="55" t="s">
        <v>155</v>
      </c>
      <c r="E88" s="56"/>
      <c r="F88" s="82"/>
      <c r="G88" s="124"/>
      <c r="H88" s="57"/>
      <c r="I88" s="69"/>
      <c r="J88" s="58"/>
      <c r="K88" s="43"/>
      <c r="L88" s="117"/>
    </row>
    <row r="89" spans="1:12" ht="18.75" customHeight="1">
      <c r="A89" s="1604" t="s">
        <v>224</v>
      </c>
      <c r="B89" s="1605"/>
      <c r="C89" s="1606"/>
      <c r="D89" s="55" t="s">
        <v>155</v>
      </c>
      <c r="E89" s="56"/>
      <c r="F89" s="82"/>
      <c r="G89" s="124"/>
      <c r="H89" s="57"/>
      <c r="I89" s="69"/>
      <c r="J89" s="58"/>
      <c r="K89" s="51"/>
      <c r="L89" s="117"/>
    </row>
    <row r="90" spans="1:12" ht="18.75" customHeight="1">
      <c r="A90" s="1604" t="s">
        <v>225</v>
      </c>
      <c r="B90" s="1605"/>
      <c r="C90" s="1606"/>
      <c r="D90" s="55" t="s">
        <v>155</v>
      </c>
      <c r="E90" s="56"/>
      <c r="F90" s="82"/>
      <c r="G90" s="124"/>
      <c r="H90" s="57"/>
      <c r="I90" s="69"/>
      <c r="J90" s="58"/>
      <c r="K90" s="88"/>
      <c r="L90" s="117"/>
    </row>
    <row r="91" spans="1:12" ht="18.75" customHeight="1">
      <c r="A91" s="1604" t="s">
        <v>230</v>
      </c>
      <c r="B91" s="1605"/>
      <c r="C91" s="1606"/>
      <c r="D91" s="55" t="s">
        <v>155</v>
      </c>
      <c r="E91" s="56"/>
      <c r="F91" s="82"/>
      <c r="G91" s="124"/>
      <c r="H91" s="57"/>
      <c r="I91" s="69"/>
      <c r="J91" s="198"/>
      <c r="K91" s="88"/>
      <c r="L91" s="117"/>
    </row>
    <row r="92" spans="1:12" ht="18.75" customHeight="1">
      <c r="A92" s="1604" t="s">
        <v>77</v>
      </c>
      <c r="B92" s="1605"/>
      <c r="C92" s="1606"/>
      <c r="D92" s="55" t="s">
        <v>155</v>
      </c>
      <c r="E92" s="56"/>
      <c r="F92" s="82"/>
      <c r="G92" s="124"/>
      <c r="H92" s="57"/>
      <c r="I92" s="69"/>
      <c r="J92" s="198"/>
      <c r="K92" s="88"/>
      <c r="L92" s="117"/>
    </row>
    <row r="93" spans="1:12" ht="18.75" customHeight="1">
      <c r="A93" s="1604" t="s">
        <v>78</v>
      </c>
      <c r="B93" s="1605"/>
      <c r="C93" s="1606"/>
      <c r="D93" s="55" t="s">
        <v>155</v>
      </c>
      <c r="E93" s="56"/>
      <c r="F93" s="82"/>
      <c r="G93" s="124"/>
      <c r="H93" s="57"/>
      <c r="I93" s="69"/>
      <c r="J93" s="198"/>
      <c r="K93" s="88"/>
      <c r="L93" s="117"/>
    </row>
    <row r="94" spans="1:12" ht="18.75" customHeight="1">
      <c r="A94" s="1604" t="s">
        <v>217</v>
      </c>
      <c r="B94" s="1605"/>
      <c r="C94" s="1606"/>
      <c r="D94" s="55" t="s">
        <v>155</v>
      </c>
      <c r="E94" s="56"/>
      <c r="F94" s="82"/>
      <c r="G94" s="124"/>
      <c r="H94" s="57"/>
      <c r="I94" s="69"/>
      <c r="J94" s="58"/>
      <c r="K94" s="88"/>
      <c r="L94" s="117"/>
    </row>
    <row r="95" spans="1:12" ht="18.75" customHeight="1">
      <c r="A95" s="1607" t="s">
        <v>241</v>
      </c>
      <c r="B95" s="1608"/>
      <c r="C95" s="1609"/>
      <c r="D95" s="71"/>
      <c r="E95" s="71"/>
      <c r="F95" s="71"/>
      <c r="G95" s="128"/>
      <c r="H95" s="72"/>
      <c r="I95" s="73"/>
      <c r="J95" s="74"/>
      <c r="K95" s="88"/>
      <c r="L95" s="117"/>
    </row>
    <row r="96" spans="1:12" ht="18.75" customHeight="1">
      <c r="A96" s="186" t="s">
        <v>242</v>
      </c>
      <c r="B96" s="187"/>
      <c r="C96" s="188"/>
      <c r="D96" s="137" t="s">
        <v>152</v>
      </c>
      <c r="E96" s="161"/>
      <c r="F96" s="138"/>
      <c r="G96" s="139"/>
      <c r="H96" s="162"/>
      <c r="I96" s="140"/>
      <c r="J96" s="141"/>
      <c r="K96" s="88"/>
      <c r="L96" s="117"/>
    </row>
    <row r="97" spans="1:12" ht="18.75" customHeight="1">
      <c r="A97" s="89" t="s">
        <v>244</v>
      </c>
      <c r="B97" s="1223"/>
      <c r="C97" s="1224"/>
      <c r="D97" s="55" t="s">
        <v>152</v>
      </c>
      <c r="E97" s="56"/>
      <c r="F97" s="67"/>
      <c r="G97" s="68"/>
      <c r="H97" s="57"/>
      <c r="I97" s="87"/>
      <c r="J97" s="58"/>
      <c r="K97" s="88"/>
      <c r="L97" s="117"/>
    </row>
    <row r="98" spans="1:12" ht="18.75" customHeight="1">
      <c r="A98" s="1632" t="s">
        <v>261</v>
      </c>
      <c r="B98" s="1633"/>
      <c r="C98" s="71"/>
      <c r="D98" s="71"/>
      <c r="E98" s="71"/>
      <c r="F98" s="71"/>
      <c r="G98" s="128"/>
      <c r="H98" s="72"/>
      <c r="I98" s="73"/>
      <c r="J98" s="74"/>
      <c r="K98" s="88"/>
      <c r="L98" s="117"/>
    </row>
    <row r="99" spans="1:12" ht="18.75" customHeight="1">
      <c r="A99" s="1604" t="s">
        <v>262</v>
      </c>
      <c r="B99" s="1605"/>
      <c r="C99" s="1606"/>
      <c r="D99" s="55" t="s">
        <v>143</v>
      </c>
      <c r="E99" s="55"/>
      <c r="F99" s="55"/>
      <c r="G99" s="129"/>
      <c r="H99" s="57"/>
      <c r="I99" s="69"/>
      <c r="J99" s="58"/>
      <c r="K99" s="88"/>
      <c r="L99" s="117"/>
    </row>
    <row r="100" spans="1:12" ht="18.75" customHeight="1">
      <c r="A100" s="1604" t="s">
        <v>263</v>
      </c>
      <c r="B100" s="1605"/>
      <c r="C100" s="1606"/>
      <c r="D100" s="55" t="s">
        <v>24</v>
      </c>
      <c r="E100" s="54"/>
      <c r="F100" s="54"/>
      <c r="G100" s="130"/>
      <c r="H100" s="57"/>
      <c r="I100" s="84"/>
      <c r="J100" s="58"/>
      <c r="K100" s="88"/>
      <c r="L100" s="117"/>
    </row>
    <row r="101" spans="1:12" ht="18.75" customHeight="1">
      <c r="A101" s="1604" t="s">
        <v>264</v>
      </c>
      <c r="B101" s="1605"/>
      <c r="C101" s="1606"/>
      <c r="D101" s="55" t="s">
        <v>143</v>
      </c>
      <c r="E101" s="70"/>
      <c r="F101" s="70"/>
      <c r="G101" s="129"/>
      <c r="H101" s="57"/>
      <c r="I101" s="69"/>
      <c r="J101" s="58"/>
      <c r="K101" s="88"/>
      <c r="L101" s="117"/>
    </row>
    <row r="102" spans="1:12" ht="18.75" customHeight="1">
      <c r="A102" s="1604" t="s">
        <v>265</v>
      </c>
      <c r="B102" s="1605"/>
      <c r="C102" s="1606"/>
      <c r="D102" s="55" t="s">
        <v>24</v>
      </c>
      <c r="E102" s="70"/>
      <c r="F102" s="70"/>
      <c r="G102" s="130"/>
      <c r="H102" s="57"/>
      <c r="I102" s="84"/>
      <c r="J102" s="58"/>
      <c r="K102" s="111"/>
      <c r="L102" s="117"/>
    </row>
    <row r="103" spans="1:12" ht="18.75" customHeight="1">
      <c r="A103" s="1604" t="s">
        <v>266</v>
      </c>
      <c r="B103" s="1605"/>
      <c r="C103" s="1606"/>
      <c r="D103" s="55" t="s">
        <v>143</v>
      </c>
      <c r="E103" s="70"/>
      <c r="F103" s="70"/>
      <c r="G103" s="129"/>
      <c r="H103" s="57"/>
      <c r="I103" s="69"/>
      <c r="J103" s="58"/>
      <c r="K103" s="111"/>
      <c r="L103" s="117"/>
    </row>
    <row r="104" spans="1:12" ht="18.75" customHeight="1">
      <c r="A104" s="1604" t="s">
        <v>267</v>
      </c>
      <c r="B104" s="1605"/>
      <c r="C104" s="1606"/>
      <c r="D104" s="55" t="s">
        <v>24</v>
      </c>
      <c r="E104" s="70"/>
      <c r="F104" s="70"/>
      <c r="G104" s="130"/>
      <c r="H104" s="57"/>
      <c r="I104" s="84"/>
      <c r="J104" s="58"/>
      <c r="K104" s="111"/>
      <c r="L104" s="117"/>
    </row>
    <row r="105" spans="1:12" ht="18.75" customHeight="1">
      <c r="A105" s="1604" t="s">
        <v>268</v>
      </c>
      <c r="B105" s="1605"/>
      <c r="C105" s="1606"/>
      <c r="D105" s="55" t="s">
        <v>194</v>
      </c>
      <c r="E105" s="70"/>
      <c r="F105" s="70"/>
      <c r="G105" s="129"/>
      <c r="H105" s="57"/>
      <c r="I105" s="86"/>
      <c r="J105" s="58"/>
      <c r="K105" s="111"/>
      <c r="L105" s="117"/>
    </row>
    <row r="106" spans="1:12" ht="18.75" customHeight="1">
      <c r="A106" s="1604" t="s">
        <v>269</v>
      </c>
      <c r="B106" s="1605"/>
      <c r="C106" s="1606"/>
      <c r="D106" s="55" t="s">
        <v>24</v>
      </c>
      <c r="E106" s="70"/>
      <c r="F106" s="70"/>
      <c r="G106" s="130"/>
      <c r="H106" s="57"/>
      <c r="I106" s="86"/>
      <c r="J106" s="58"/>
    </row>
    <row r="107" spans="1:12" ht="18.75" customHeight="1">
      <c r="A107" s="1604" t="s">
        <v>270</v>
      </c>
      <c r="B107" s="1605"/>
      <c r="C107" s="1606"/>
      <c r="D107" s="55" t="s">
        <v>194</v>
      </c>
      <c r="E107" s="70"/>
      <c r="F107" s="70"/>
      <c r="G107" s="131"/>
      <c r="H107" s="57"/>
      <c r="I107" s="69"/>
      <c r="J107" s="58"/>
      <c r="K107" s="153"/>
    </row>
    <row r="108" spans="1:12" ht="18.75" customHeight="1">
      <c r="A108" s="1604" t="s">
        <v>271</v>
      </c>
      <c r="B108" s="1605"/>
      <c r="C108" s="1606"/>
      <c r="D108" s="55" t="s">
        <v>24</v>
      </c>
      <c r="E108" s="70"/>
      <c r="F108" s="70"/>
      <c r="G108" s="131"/>
      <c r="H108" s="57"/>
      <c r="I108" s="86"/>
      <c r="J108" s="58"/>
    </row>
    <row r="109" spans="1:12" ht="18.75" customHeight="1">
      <c r="A109" s="1604" t="s">
        <v>272</v>
      </c>
      <c r="B109" s="1605"/>
      <c r="C109" s="1606"/>
      <c r="D109" s="55" t="s">
        <v>194</v>
      </c>
      <c r="E109" s="70"/>
      <c r="F109" s="70"/>
      <c r="G109" s="132"/>
      <c r="H109" s="57"/>
      <c r="I109" s="86"/>
      <c r="J109" s="58"/>
    </row>
    <row r="110" spans="1:12" ht="18.75" customHeight="1">
      <c r="A110" s="1604" t="s">
        <v>273</v>
      </c>
      <c r="B110" s="1605"/>
      <c r="C110" s="1606"/>
      <c r="D110" s="55" t="s">
        <v>24</v>
      </c>
      <c r="E110" s="70"/>
      <c r="F110" s="70"/>
      <c r="G110" s="131"/>
      <c r="H110" s="57"/>
      <c r="I110" s="69"/>
      <c r="J110" s="58"/>
    </row>
    <row r="111" spans="1:12" ht="18.75" customHeight="1">
      <c r="A111" s="173" t="s">
        <v>248</v>
      </c>
      <c r="B111" s="173"/>
      <c r="C111" s="173"/>
      <c r="D111" s="60"/>
      <c r="E111" s="60"/>
      <c r="F111" s="60"/>
      <c r="G111" s="126"/>
      <c r="H111" s="61"/>
      <c r="I111" s="127">
        <f>I110-J110</f>
        <v>0</v>
      </c>
      <c r="J111" s="63"/>
    </row>
    <row r="112" spans="1:12" ht="18.75" customHeight="1">
      <c r="A112" s="197" t="s">
        <v>249</v>
      </c>
      <c r="B112" s="197"/>
      <c r="C112" s="197"/>
      <c r="D112" s="55" t="s">
        <v>250</v>
      </c>
      <c r="E112" s="56"/>
      <c r="F112" s="82"/>
      <c r="G112" s="124"/>
      <c r="H112" s="57"/>
      <c r="I112" s="69"/>
      <c r="J112" s="58"/>
    </row>
    <row r="113" spans="1:10" ht="18.75" customHeight="1">
      <c r="A113" s="197" t="s">
        <v>251</v>
      </c>
      <c r="B113" s="197"/>
      <c r="C113" s="197"/>
      <c r="D113" s="55" t="s">
        <v>250</v>
      </c>
      <c r="E113" s="56"/>
      <c r="F113" s="82"/>
      <c r="G113" s="124"/>
      <c r="H113" s="57"/>
      <c r="I113" s="69"/>
      <c r="J113" s="58"/>
    </row>
    <row r="114" spans="1:10" ht="18.75" customHeight="1">
      <c r="A114" s="197" t="s">
        <v>252</v>
      </c>
      <c r="B114" s="197"/>
      <c r="C114" s="197"/>
      <c r="D114" s="55" t="s">
        <v>250</v>
      </c>
      <c r="E114" s="56"/>
      <c r="F114" s="82"/>
      <c r="G114" s="124"/>
      <c r="H114" s="57"/>
      <c r="I114" s="69"/>
      <c r="J114" s="58"/>
    </row>
    <row r="115" spans="1:10" ht="18.75" customHeight="1">
      <c r="A115" s="197" t="s">
        <v>253</v>
      </c>
      <c r="B115" s="197"/>
      <c r="C115" s="197"/>
      <c r="D115" s="55" t="s">
        <v>250</v>
      </c>
      <c r="E115" s="56"/>
      <c r="F115" s="82"/>
      <c r="G115" s="124"/>
      <c r="H115" s="57"/>
      <c r="I115" s="69"/>
      <c r="J115" s="58"/>
    </row>
    <row r="116" spans="1:10" ht="18.75" customHeight="1">
      <c r="A116" s="197" t="s">
        <v>254</v>
      </c>
      <c r="B116" s="197"/>
      <c r="C116" s="197"/>
      <c r="D116" s="55" t="s">
        <v>250</v>
      </c>
      <c r="E116" s="56"/>
      <c r="F116" s="82"/>
      <c r="G116" s="124"/>
      <c r="H116" s="57"/>
      <c r="I116" s="69"/>
      <c r="J116" s="58"/>
    </row>
    <row r="117" spans="1:10" ht="18.75" customHeight="1">
      <c r="A117" s="197" t="s">
        <v>255</v>
      </c>
      <c r="B117" s="197"/>
      <c r="C117" s="197"/>
      <c r="D117" s="55" t="s">
        <v>250</v>
      </c>
      <c r="E117" s="56"/>
      <c r="F117" s="82"/>
      <c r="G117" s="124"/>
      <c r="H117" s="57"/>
      <c r="I117" s="69"/>
      <c r="J117" s="58"/>
    </row>
    <row r="118" spans="1:10" ht="18.75" customHeight="1">
      <c r="A118" s="197" t="s">
        <v>256</v>
      </c>
      <c r="B118" s="197"/>
      <c r="C118" s="197"/>
      <c r="D118" s="55" t="s">
        <v>250</v>
      </c>
      <c r="E118" s="56"/>
      <c r="F118" s="82"/>
      <c r="G118" s="124"/>
      <c r="H118" s="57"/>
      <c r="I118" s="69"/>
      <c r="J118" s="58"/>
    </row>
    <row r="119" spans="1:10" ht="18.75" customHeight="1">
      <c r="A119" s="197" t="s">
        <v>257</v>
      </c>
      <c r="B119" s="197"/>
      <c r="C119" s="197"/>
      <c r="D119" s="55" t="s">
        <v>250</v>
      </c>
      <c r="E119" s="56"/>
      <c r="F119" s="82"/>
      <c r="G119" s="124"/>
      <c r="H119" s="57"/>
      <c r="I119" s="69"/>
      <c r="J119" s="58"/>
    </row>
    <row r="120" spans="1:10" ht="18.75" customHeight="1">
      <c r="A120" s="197" t="s">
        <v>258</v>
      </c>
      <c r="B120" s="197"/>
      <c r="C120" s="197"/>
      <c r="D120" s="55" t="s">
        <v>250</v>
      </c>
      <c r="E120" s="56"/>
      <c r="F120" s="82"/>
      <c r="G120" s="124"/>
      <c r="H120" s="57"/>
      <c r="I120" s="69"/>
      <c r="J120" s="58"/>
    </row>
    <row r="121" spans="1:10" ht="18.75" customHeight="1">
      <c r="A121" s="197" t="s">
        <v>259</v>
      </c>
      <c r="B121" s="197"/>
      <c r="C121" s="197"/>
      <c r="D121" s="55" t="s">
        <v>250</v>
      </c>
      <c r="E121" s="56"/>
      <c r="F121" s="82"/>
      <c r="G121" s="124"/>
      <c r="H121" s="57"/>
      <c r="I121" s="69"/>
      <c r="J121" s="58"/>
    </row>
    <row r="122" spans="1:10" ht="18.75" customHeight="1">
      <c r="A122" s="197" t="s">
        <v>260</v>
      </c>
      <c r="B122" s="197"/>
      <c r="C122" s="197"/>
      <c r="D122" s="55" t="s">
        <v>250</v>
      </c>
      <c r="E122" s="56"/>
      <c r="F122" s="82"/>
      <c r="G122" s="124"/>
      <c r="H122" s="57"/>
      <c r="I122" s="69"/>
      <c r="J122" s="58"/>
    </row>
  </sheetData>
  <mergeCells count="53">
    <mergeCell ref="A1:J1"/>
    <mergeCell ref="C2:D2"/>
    <mergeCell ref="A32:J32"/>
    <mergeCell ref="A98:B98"/>
    <mergeCell ref="A63:C63"/>
    <mergeCell ref="A64:C64"/>
    <mergeCell ref="A65:C65"/>
    <mergeCell ref="A66:C66"/>
    <mergeCell ref="A67:C67"/>
    <mergeCell ref="A68:C68"/>
    <mergeCell ref="A70:C70"/>
    <mergeCell ref="A71:C71"/>
    <mergeCell ref="A72:C72"/>
    <mergeCell ref="A73:C73"/>
    <mergeCell ref="A14:C14"/>
    <mergeCell ref="A6:C6"/>
    <mergeCell ref="A17:C17"/>
    <mergeCell ref="A21:C21"/>
    <mergeCell ref="A18:C18"/>
    <mergeCell ref="A19:C19"/>
    <mergeCell ref="A25:C25"/>
    <mergeCell ref="A74:C74"/>
    <mergeCell ref="A75:C75"/>
    <mergeCell ref="A77:C77"/>
    <mergeCell ref="A76:C76"/>
    <mergeCell ref="A78:C78"/>
    <mergeCell ref="A79:C79"/>
    <mergeCell ref="A80:C80"/>
    <mergeCell ref="A81:C81"/>
    <mergeCell ref="A84:C84"/>
    <mergeCell ref="A85:C85"/>
    <mergeCell ref="A86:C86"/>
    <mergeCell ref="A87:C87"/>
    <mergeCell ref="A88:C88"/>
    <mergeCell ref="A89:C89"/>
    <mergeCell ref="A90:C90"/>
    <mergeCell ref="A93:C93"/>
    <mergeCell ref="A91:C91"/>
    <mergeCell ref="A92:C92"/>
    <mergeCell ref="A94:C94"/>
    <mergeCell ref="A95:C95"/>
    <mergeCell ref="A99:C99"/>
    <mergeCell ref="A100:C100"/>
    <mergeCell ref="A101:C101"/>
    <mergeCell ref="A102:C102"/>
    <mergeCell ref="A108:C108"/>
    <mergeCell ref="A109:C109"/>
    <mergeCell ref="A110:C110"/>
    <mergeCell ref="A103:C103"/>
    <mergeCell ref="A104:C104"/>
    <mergeCell ref="A105:C105"/>
    <mergeCell ref="A106:C106"/>
    <mergeCell ref="A107:C107"/>
  </mergeCells>
  <pageMargins left="0.7" right="0.7" top="0.17" bottom="0.11" header="0.13" footer="0.14000000000000001"/>
  <pageSetup scale="33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>
  <dimension ref="A1:L126"/>
  <sheetViews>
    <sheetView topLeftCell="A64" zoomScale="60" zoomScaleNormal="60" workbookViewId="0">
      <selection activeCell="M104" sqref="M104"/>
    </sheetView>
  </sheetViews>
  <sheetFormatPr defaultColWidth="22.33203125" defaultRowHeight="23.25" customHeight="1"/>
  <cols>
    <col min="1" max="1" width="37.109375" style="114" customWidth="1"/>
    <col min="2" max="2" width="24" style="114" customWidth="1"/>
    <col min="3" max="3" width="18.77734375" style="114" customWidth="1"/>
    <col min="4" max="4" width="13.109375" style="114" customWidth="1"/>
    <col min="5" max="5" width="19.6640625" style="114" bestFit="1" customWidth="1"/>
    <col min="6" max="6" width="18.5546875" style="114" customWidth="1"/>
    <col min="7" max="7" width="19.33203125" style="114" customWidth="1"/>
    <col min="8" max="8" width="18.88671875" style="155" customWidth="1"/>
    <col min="9" max="9" width="18.88671875" style="114" customWidth="1"/>
    <col min="10" max="10" width="23" style="156" customWidth="1"/>
    <col min="11" max="16384" width="22.33203125" style="114"/>
  </cols>
  <sheetData>
    <row r="1" spans="1:12" ht="23.25" customHeight="1">
      <c r="A1" s="1626" t="s">
        <v>128</v>
      </c>
      <c r="B1" s="1626"/>
      <c r="C1" s="1626"/>
      <c r="D1" s="1626"/>
      <c r="E1" s="1626"/>
      <c r="F1" s="1626"/>
      <c r="G1" s="1626"/>
      <c r="H1" s="1626"/>
      <c r="I1" s="1626"/>
      <c r="J1" s="1626"/>
    </row>
    <row r="2" spans="1:12" ht="23.25" customHeight="1">
      <c r="A2" s="282" t="s">
        <v>304</v>
      </c>
      <c r="B2" s="283">
        <v>43585</v>
      </c>
      <c r="C2" s="419" t="s">
        <v>69</v>
      </c>
      <c r="D2" s="284">
        <v>0.66339999999999999</v>
      </c>
      <c r="E2" s="285"/>
      <c r="F2" s="285"/>
      <c r="G2" s="285" t="s">
        <v>129</v>
      </c>
      <c r="H2" s="285" t="s">
        <v>6</v>
      </c>
      <c r="I2" s="285" t="s">
        <v>8</v>
      </c>
      <c r="J2" s="286" t="s">
        <v>130</v>
      </c>
    </row>
    <row r="3" spans="1:12" ht="23.25" customHeight="1">
      <c r="A3" s="288"/>
      <c r="B3" s="289"/>
      <c r="C3" s="1221" t="s">
        <v>131</v>
      </c>
      <c r="D3" s="418">
        <v>32</v>
      </c>
      <c r="E3" s="1504" t="s">
        <v>132</v>
      </c>
      <c r="F3" s="1505"/>
      <c r="G3" s="290">
        <f>'1'!G3</f>
        <v>0</v>
      </c>
      <c r="H3" s="291">
        <f>'1'!H3</f>
        <v>0</v>
      </c>
      <c r="I3" s="291">
        <f>'1'!I3</f>
        <v>0</v>
      </c>
      <c r="J3" s="291">
        <f>'1'!J3</f>
        <v>0</v>
      </c>
      <c r="K3" s="116"/>
      <c r="L3" s="117"/>
    </row>
    <row r="4" spans="1:12" ht="23.25" customHeight="1">
      <c r="A4" s="294"/>
      <c r="B4" s="288"/>
      <c r="C4" s="419" t="s">
        <v>133</v>
      </c>
      <c r="D4" s="284">
        <v>0.71</v>
      </c>
      <c r="E4" s="295"/>
      <c r="F4" s="295"/>
      <c r="G4" s="295"/>
      <c r="H4" s="295"/>
      <c r="I4" s="296"/>
      <c r="J4" s="287"/>
      <c r="K4" s="118"/>
      <c r="L4" s="117"/>
    </row>
    <row r="5" spans="1:12" ht="23.25" customHeight="1" thickBot="1">
      <c r="A5" s="298" t="s">
        <v>134</v>
      </c>
      <c r="B5" s="299"/>
      <c r="C5" s="300"/>
      <c r="D5" s="301" t="s">
        <v>135</v>
      </c>
      <c r="E5" s="302" t="s">
        <v>136</v>
      </c>
      <c r="F5" s="302" t="s">
        <v>123</v>
      </c>
      <c r="G5" s="303" t="s">
        <v>137</v>
      </c>
      <c r="H5" s="222" t="s">
        <v>138</v>
      </c>
      <c r="I5" s="223" t="s">
        <v>139</v>
      </c>
      <c r="J5" s="221" t="s">
        <v>140</v>
      </c>
      <c r="K5" s="53"/>
      <c r="L5" s="117"/>
    </row>
    <row r="6" spans="1:12" ht="23.25" customHeight="1">
      <c r="A6" s="1501" t="s">
        <v>141</v>
      </c>
      <c r="B6" s="1502"/>
      <c r="C6" s="1503"/>
      <c r="D6" s="422"/>
      <c r="E6" s="422"/>
      <c r="F6" s="422"/>
      <c r="G6" s="422"/>
      <c r="H6" s="474"/>
      <c r="I6" s="474"/>
      <c r="J6" s="474"/>
      <c r="K6" s="43"/>
      <c r="L6" s="117"/>
    </row>
    <row r="7" spans="1:12" ht="23.25" customHeight="1" thickBot="1">
      <c r="A7" s="308" t="s">
        <v>142</v>
      </c>
      <c r="B7" s="309"/>
      <c r="C7" s="310"/>
      <c r="D7" s="311" t="s">
        <v>143</v>
      </c>
      <c r="E7" s="159">
        <f>'29'!F7</f>
        <v>3850820</v>
      </c>
      <c r="F7" s="312">
        <v>3615871.9</v>
      </c>
      <c r="G7" s="313">
        <f>F7-E7</f>
        <v>-234948.10000000009</v>
      </c>
      <c r="H7" s="57">
        <f>G7+'29'!H7</f>
        <v>-272326.10000000009</v>
      </c>
      <c r="I7" s="276">
        <f>'1'!I7</f>
        <v>12000</v>
      </c>
      <c r="J7" s="58">
        <f>H7/DAY(B2)</f>
        <v>-9077.5366666666705</v>
      </c>
      <c r="K7" s="59"/>
      <c r="L7" s="117"/>
    </row>
    <row r="8" spans="1:12" ht="23.25" customHeight="1">
      <c r="A8" s="316"/>
      <c r="B8" s="317"/>
      <c r="C8" s="318"/>
      <c r="D8" s="319"/>
      <c r="E8" s="320"/>
      <c r="F8" s="320"/>
      <c r="G8" s="321"/>
      <c r="H8" s="162"/>
      <c r="I8" s="249"/>
      <c r="J8" s="141"/>
      <c r="K8" s="59"/>
      <c r="L8" s="117"/>
    </row>
    <row r="9" spans="1:12" ht="23.25" customHeight="1">
      <c r="A9" s="322" t="s">
        <v>145</v>
      </c>
      <c r="B9" s="323"/>
      <c r="C9" s="324"/>
      <c r="D9" s="268" t="s">
        <v>143</v>
      </c>
      <c r="E9" s="56">
        <f>'29'!F9</f>
        <v>2522775</v>
      </c>
      <c r="F9" s="264">
        <v>2288314.7000000002</v>
      </c>
      <c r="G9" s="325">
        <f t="shared" ref="G9:G11" si="0">F9-E9</f>
        <v>-234460.29999999981</v>
      </c>
      <c r="H9" s="57">
        <f>G9+'29'!H9</f>
        <v>2325426.9500000002</v>
      </c>
      <c r="I9" s="278">
        <f>I7-J7</f>
        <v>21077.53666666667</v>
      </c>
      <c r="J9" s="58">
        <f>H9/DAY(B2)</f>
        <v>77514.231666666674</v>
      </c>
      <c r="K9" s="59"/>
      <c r="L9" s="117"/>
    </row>
    <row r="10" spans="1:12" ht="23.25" customHeight="1">
      <c r="A10" s="327" t="s">
        <v>146</v>
      </c>
      <c r="B10" s="328"/>
      <c r="C10" s="329"/>
      <c r="D10" s="268" t="s">
        <v>143</v>
      </c>
      <c r="E10" s="56">
        <f>'29'!F10</f>
        <v>1177122</v>
      </c>
      <c r="F10" s="264">
        <v>1226059.3999999999</v>
      </c>
      <c r="G10" s="325">
        <f t="shared" si="0"/>
        <v>48937.399999999907</v>
      </c>
      <c r="H10" s="57">
        <f>G10+'29'!H10</f>
        <v>25185</v>
      </c>
      <c r="I10" s="69"/>
      <c r="J10" s="58">
        <f>H10/DAY(B2)</f>
        <v>839.5</v>
      </c>
      <c r="K10" s="59"/>
      <c r="L10" s="117"/>
    </row>
    <row r="11" spans="1:12" ht="23.25" customHeight="1">
      <c r="A11" s="327" t="s">
        <v>147</v>
      </c>
      <c r="B11" s="328"/>
      <c r="C11" s="329"/>
      <c r="D11" s="268" t="s">
        <v>143</v>
      </c>
      <c r="E11" s="56">
        <f>'29'!F11</f>
        <v>35390</v>
      </c>
      <c r="F11" s="263">
        <v>33860</v>
      </c>
      <c r="G11" s="325">
        <f t="shared" si="0"/>
        <v>-1530</v>
      </c>
      <c r="H11" s="57">
        <f>G11+'29'!H11</f>
        <v>-1530</v>
      </c>
      <c r="I11" s="69"/>
      <c r="J11" s="58">
        <f>H11/DAY(B2)</f>
        <v>-51</v>
      </c>
      <c r="K11" s="59"/>
      <c r="L11" s="117"/>
    </row>
    <row r="12" spans="1:12" ht="23.25" customHeight="1">
      <c r="A12" s="327" t="s">
        <v>148</v>
      </c>
      <c r="B12" s="328"/>
      <c r="C12" s="329"/>
      <c r="D12" s="268" t="s">
        <v>143</v>
      </c>
      <c r="E12" s="56">
        <f>'29'!F12</f>
        <v>37630</v>
      </c>
      <c r="F12" s="264">
        <v>3760</v>
      </c>
      <c r="G12" s="325">
        <v>0</v>
      </c>
      <c r="H12" s="57">
        <f>G12+'29'!H12</f>
        <v>0</v>
      </c>
      <c r="I12" s="69"/>
      <c r="J12" s="58">
        <f>H12/DAY(B2)</f>
        <v>0</v>
      </c>
      <c r="K12" s="59"/>
      <c r="L12" s="117"/>
    </row>
    <row r="13" spans="1:12" ht="23.25" customHeight="1">
      <c r="A13" s="437" t="s">
        <v>149</v>
      </c>
      <c r="B13" s="438"/>
      <c r="C13" s="439"/>
      <c r="D13" s="268"/>
      <c r="E13" s="459"/>
      <c r="F13" s="279"/>
      <c r="G13" s="279">
        <f>G9+G10+G11+G12</f>
        <v>-187052.89999999991</v>
      </c>
      <c r="H13" s="57">
        <f>G13+'29'!H13</f>
        <v>2330775.9500000007</v>
      </c>
      <c r="I13" s="400">
        <f>G7-G13</f>
        <v>-47895.200000000186</v>
      </c>
      <c r="J13" s="314">
        <f>H13/DAY(B2)</f>
        <v>77692.531666666691</v>
      </c>
      <c r="K13" s="59"/>
      <c r="L13" s="117"/>
    </row>
    <row r="14" spans="1:12" ht="23.25" customHeight="1">
      <c r="A14" s="1491" t="s">
        <v>150</v>
      </c>
      <c r="B14" s="1492"/>
      <c r="C14" s="1493"/>
      <c r="D14" s="474"/>
      <c r="E14" s="474"/>
      <c r="F14" s="474"/>
      <c r="G14" s="425"/>
      <c r="H14" s="474"/>
      <c r="I14" s="474"/>
      <c r="J14" s="474"/>
      <c r="K14" s="75"/>
      <c r="L14" s="117"/>
    </row>
    <row r="15" spans="1:12" ht="23.25" customHeight="1" thickBot="1">
      <c r="A15" s="331" t="s">
        <v>151</v>
      </c>
      <c r="B15" s="332"/>
      <c r="C15" s="333"/>
      <c r="D15" s="311" t="s">
        <v>152</v>
      </c>
      <c r="E15" s="159">
        <f>'29'!F15</f>
        <v>1592900.97</v>
      </c>
      <c r="F15" s="266">
        <v>1040573.68</v>
      </c>
      <c r="G15" s="325">
        <f>(F15-E15)</f>
        <v>-552327.28999999992</v>
      </c>
      <c r="H15" s="57">
        <f>G15+'29'!H15</f>
        <v>-553863.46999999986</v>
      </c>
      <c r="I15" s="276">
        <f>'1'!I15</f>
        <v>800</v>
      </c>
      <c r="J15" s="58">
        <f>H15/DAY(B2)</f>
        <v>-18462.115666666661</v>
      </c>
      <c r="K15" s="59"/>
      <c r="L15" s="117"/>
    </row>
    <row r="16" spans="1:12" ht="23.25" customHeight="1">
      <c r="A16" s="334"/>
      <c r="B16" s="335"/>
      <c r="C16" s="336"/>
      <c r="D16" s="274"/>
      <c r="E16" s="337"/>
      <c r="F16" s="337"/>
      <c r="G16" s="325"/>
      <c r="H16" s="254"/>
      <c r="I16" s="406">
        <f>I15-J15</f>
        <v>19262.115666666661</v>
      </c>
      <c r="J16" s="229"/>
      <c r="K16" s="59"/>
      <c r="L16" s="117"/>
    </row>
    <row r="17" spans="1:12" ht="23.25" customHeight="1">
      <c r="A17" s="1491" t="s">
        <v>153</v>
      </c>
      <c r="B17" s="1492"/>
      <c r="C17" s="1493"/>
      <c r="D17" s="474"/>
      <c r="E17" s="474"/>
      <c r="F17" s="474"/>
      <c r="G17" s="426"/>
      <c r="H17" s="474"/>
      <c r="I17" s="474"/>
      <c r="J17" s="474"/>
      <c r="K17" s="59"/>
      <c r="L17" s="117"/>
    </row>
    <row r="18" spans="1:12" ht="23.25" customHeight="1">
      <c r="A18" s="1472" t="s">
        <v>154</v>
      </c>
      <c r="B18" s="1473"/>
      <c r="C18" s="1474"/>
      <c r="D18" s="268" t="s">
        <v>155</v>
      </c>
      <c r="E18" s="452">
        <f>'29'!F18</f>
        <v>10</v>
      </c>
      <c r="F18" s="267">
        <v>24</v>
      </c>
      <c r="G18" s="279">
        <f>F18*10</f>
        <v>240</v>
      </c>
      <c r="H18" s="57">
        <f>G18+'29'!H18</f>
        <v>4660</v>
      </c>
      <c r="I18" s="158">
        <f>'1'!I18</f>
        <v>65</v>
      </c>
      <c r="J18" s="58">
        <f>H18/DAY(B2)</f>
        <v>155.33333333333334</v>
      </c>
      <c r="K18" s="59"/>
      <c r="L18" s="117"/>
    </row>
    <row r="19" spans="1:12" ht="23.25" customHeight="1">
      <c r="A19" s="1472" t="s">
        <v>71</v>
      </c>
      <c r="B19" s="1473"/>
      <c r="C19" s="1474"/>
      <c r="D19" s="268" t="s">
        <v>155</v>
      </c>
      <c r="E19" s="56">
        <f>'29'!F19</f>
        <v>132943</v>
      </c>
      <c r="F19" s="267">
        <v>99778</v>
      </c>
      <c r="G19" s="325">
        <f t="shared" ref="G19" si="1">F19-E19</f>
        <v>-33165</v>
      </c>
      <c r="H19" s="57">
        <f>G19+'29'!H19</f>
        <v>-33270</v>
      </c>
      <c r="I19" s="80"/>
      <c r="J19" s="58">
        <f>H19/DAY(B2)</f>
        <v>-1109</v>
      </c>
      <c r="K19" s="59"/>
      <c r="L19" s="117"/>
    </row>
    <row r="20" spans="1:12" ht="23.25" customHeight="1">
      <c r="A20" s="437" t="s">
        <v>156</v>
      </c>
      <c r="B20" s="438"/>
      <c r="C20" s="439"/>
      <c r="D20" s="341"/>
      <c r="E20" s="458"/>
      <c r="F20" s="341"/>
      <c r="G20" s="342">
        <f>G18+G19</f>
        <v>-32925</v>
      </c>
      <c r="H20" s="57">
        <f>G20+'29'!H20</f>
        <v>-28610</v>
      </c>
      <c r="I20" s="127">
        <f>J20-I18</f>
        <v>-1018.6666666666666</v>
      </c>
      <c r="J20" s="58">
        <f>H20/DAY(B2)</f>
        <v>-953.66666666666663</v>
      </c>
      <c r="K20" s="59"/>
      <c r="L20" s="117"/>
    </row>
    <row r="21" spans="1:12" ht="23.25" customHeight="1">
      <c r="A21" s="1491" t="s">
        <v>157</v>
      </c>
      <c r="B21" s="1492"/>
      <c r="C21" s="1493"/>
      <c r="D21" s="474"/>
      <c r="E21" s="474"/>
      <c r="F21" s="474"/>
      <c r="G21" s="425"/>
      <c r="H21" s="474"/>
      <c r="I21" s="474"/>
      <c r="J21" s="474"/>
      <c r="K21" s="59"/>
      <c r="L21" s="117"/>
    </row>
    <row r="22" spans="1:12" ht="23.25" customHeight="1">
      <c r="A22" s="1213" t="s">
        <v>158</v>
      </c>
      <c r="B22" s="1214"/>
      <c r="C22" s="1215"/>
      <c r="D22" s="268" t="s">
        <v>159</v>
      </c>
      <c r="E22" s="452">
        <f>'29'!F22</f>
        <v>2970</v>
      </c>
      <c r="F22" s="267">
        <v>2010</v>
      </c>
      <c r="G22" s="279">
        <f t="shared" ref="G22" si="2">(F22-E22)</f>
        <v>-960</v>
      </c>
      <c r="H22" s="57">
        <f>G22+'29'!H22</f>
        <v>-960</v>
      </c>
      <c r="I22" s="69"/>
      <c r="J22" s="58">
        <f>H22/DAY(B2)</f>
        <v>-32</v>
      </c>
      <c r="K22" s="59"/>
      <c r="L22" s="117"/>
    </row>
    <row r="23" spans="1:12" ht="23.25" customHeight="1">
      <c r="A23" s="1213" t="s">
        <v>160</v>
      </c>
      <c r="B23" s="1214"/>
      <c r="C23" s="1215"/>
      <c r="D23" s="268" t="s">
        <v>159</v>
      </c>
      <c r="E23" s="56">
        <f>'29'!F23</f>
        <v>1900</v>
      </c>
      <c r="F23" s="267">
        <v>2075</v>
      </c>
      <c r="G23" s="279">
        <v>0</v>
      </c>
      <c r="H23" s="57">
        <f>G23+'29'!H23</f>
        <v>0</v>
      </c>
      <c r="I23" s="69"/>
      <c r="J23" s="58">
        <f>H23/DAY(B2)</f>
        <v>0</v>
      </c>
      <c r="K23" s="59"/>
      <c r="L23" s="117"/>
    </row>
    <row r="24" spans="1:12" ht="23.25" customHeight="1">
      <c r="A24" s="440" t="s">
        <v>161</v>
      </c>
      <c r="B24" s="441"/>
      <c r="C24" s="442"/>
      <c r="D24" s="269" t="s">
        <v>159</v>
      </c>
      <c r="E24" s="56">
        <f>'29'!F24</f>
        <v>4970</v>
      </c>
      <c r="F24" s="344">
        <v>4085</v>
      </c>
      <c r="G24" s="279">
        <v>0</v>
      </c>
      <c r="H24" s="57">
        <f>G24+'29'!H24</f>
        <v>0</v>
      </c>
      <c r="I24" s="69"/>
      <c r="J24" s="58">
        <f>H24/DAY(B2)</f>
        <v>0</v>
      </c>
      <c r="K24" s="59"/>
      <c r="L24" s="117"/>
    </row>
    <row r="25" spans="1:12" ht="23.25" customHeight="1">
      <c r="A25" s="1497" t="s">
        <v>162</v>
      </c>
      <c r="B25" s="1498"/>
      <c r="C25" s="1499"/>
      <c r="D25" s="422"/>
      <c r="E25" s="450"/>
      <c r="F25" s="422"/>
      <c r="G25" s="427"/>
      <c r="H25" s="474"/>
      <c r="I25" s="474"/>
      <c r="J25" s="474"/>
      <c r="K25" s="59"/>
      <c r="L25" s="117"/>
    </row>
    <row r="26" spans="1:12" ht="23.25" customHeight="1">
      <c r="A26" s="345" t="s">
        <v>163</v>
      </c>
      <c r="B26" s="346"/>
      <c r="C26" s="347"/>
      <c r="D26" s="348" t="s">
        <v>164</v>
      </c>
      <c r="E26" s="349" t="s">
        <v>305</v>
      </c>
      <c r="F26" s="349"/>
      <c r="G26" s="350"/>
      <c r="H26" s="57"/>
      <c r="I26" s="145"/>
      <c r="J26" s="58"/>
      <c r="K26" s="75"/>
      <c r="L26" s="117"/>
    </row>
    <row r="27" spans="1:12" ht="23.25" customHeight="1">
      <c r="A27" s="345" t="s">
        <v>6</v>
      </c>
      <c r="B27" s="346"/>
      <c r="C27" s="347"/>
      <c r="D27" s="352" t="s">
        <v>143</v>
      </c>
      <c r="E27" s="353">
        <f>G7</f>
        <v>-234948.10000000009</v>
      </c>
      <c r="F27" s="449">
        <v>10.86</v>
      </c>
      <c r="G27" s="396">
        <f>E27*F27</f>
        <v>-2551536.3660000009</v>
      </c>
      <c r="H27" s="57" t="e">
        <f>G27+'29'!#REF!</f>
        <v>#REF!</v>
      </c>
      <c r="I27" s="148"/>
      <c r="J27" s="58" t="e">
        <f>H27/DAY(B2)</f>
        <v>#REF!</v>
      </c>
      <c r="K27" s="59"/>
      <c r="L27" s="117"/>
    </row>
    <row r="28" spans="1:12" ht="23.25" customHeight="1">
      <c r="A28" s="345" t="s">
        <v>165</v>
      </c>
      <c r="B28" s="346"/>
      <c r="C28" s="347"/>
      <c r="D28" s="352" t="s">
        <v>166</v>
      </c>
      <c r="E28" s="355">
        <f>G15</f>
        <v>-552327.28999999992</v>
      </c>
      <c r="F28" s="449">
        <v>44</v>
      </c>
      <c r="G28" s="396">
        <f>E28*F28</f>
        <v>-24302400.759999998</v>
      </c>
      <c r="H28" s="57" t="e">
        <f>G28+'29'!#REF!</f>
        <v>#REF!</v>
      </c>
      <c r="I28" s="112"/>
      <c r="J28" s="58" t="e">
        <f>H28/DAY(B2)</f>
        <v>#REF!</v>
      </c>
      <c r="K28" s="59"/>
      <c r="L28" s="117"/>
    </row>
    <row r="29" spans="1:12" ht="23.25" customHeight="1">
      <c r="A29" s="345" t="s">
        <v>167</v>
      </c>
      <c r="B29" s="346"/>
      <c r="C29" s="347"/>
      <c r="D29" s="352" t="s">
        <v>168</v>
      </c>
      <c r="E29" s="357">
        <f>G24</f>
        <v>0</v>
      </c>
      <c r="F29" s="449">
        <v>61.32</v>
      </c>
      <c r="G29" s="396">
        <f>E29*F29</f>
        <v>0</v>
      </c>
      <c r="H29" s="57" t="e">
        <f>G29+'29'!#REF!</f>
        <v>#REF!</v>
      </c>
      <c r="I29" s="112"/>
      <c r="J29" s="58" t="e">
        <f>H29/DAY(B2)</f>
        <v>#REF!</v>
      </c>
      <c r="K29" s="59"/>
      <c r="L29" s="117"/>
    </row>
    <row r="30" spans="1:12" ht="23.25" customHeight="1">
      <c r="A30" s="345" t="s">
        <v>8</v>
      </c>
      <c r="B30" s="346"/>
      <c r="C30" s="347"/>
      <c r="D30" s="352" t="s">
        <v>170</v>
      </c>
      <c r="E30" s="357">
        <f>G20</f>
        <v>-32925</v>
      </c>
      <c r="F30" s="449">
        <v>95</v>
      </c>
      <c r="G30" s="396">
        <f>E30*F30</f>
        <v>-3127875</v>
      </c>
      <c r="H30" s="57" t="e">
        <f>G30+'29'!#REF!</f>
        <v>#REF!</v>
      </c>
      <c r="I30" s="112"/>
      <c r="J30" s="58" t="e">
        <f>H30/DAY(B2)</f>
        <v>#REF!</v>
      </c>
      <c r="K30" s="59"/>
      <c r="L30" s="117"/>
    </row>
    <row r="31" spans="1:12" ht="23.25" customHeight="1">
      <c r="A31" s="443" t="s">
        <v>172</v>
      </c>
      <c r="B31" s="444"/>
      <c r="C31" s="445"/>
      <c r="D31" s="358"/>
      <c r="E31" s="358"/>
      <c r="F31" s="358"/>
      <c r="G31" s="397">
        <f>G27+G28+G29+G30</f>
        <v>-29981812.125999998</v>
      </c>
      <c r="H31" s="57" t="e">
        <f>G31+'29'!#REF!</f>
        <v>#REF!</v>
      </c>
      <c r="I31" s="151"/>
      <c r="J31" s="58" t="e">
        <f>H31/DAY(B2)</f>
        <v>#REF!</v>
      </c>
      <c r="K31" s="59"/>
      <c r="L31" s="117"/>
    </row>
    <row r="32" spans="1:12" ht="23.25" customHeight="1">
      <c r="A32" s="1629" t="s">
        <v>173</v>
      </c>
      <c r="B32" s="1630"/>
      <c r="C32" s="1630"/>
      <c r="D32" s="1630"/>
      <c r="E32" s="1630"/>
      <c r="F32" s="1630"/>
      <c r="G32" s="1630"/>
      <c r="H32" s="1630"/>
      <c r="I32" s="1630"/>
      <c r="J32" s="1631"/>
      <c r="K32" s="59"/>
      <c r="L32" s="117"/>
    </row>
    <row r="33" spans="1:12" ht="23.25" customHeight="1">
      <c r="A33" s="1208" t="s">
        <v>174</v>
      </c>
      <c r="B33" s="1209"/>
      <c r="C33" s="1210"/>
      <c r="D33" s="474"/>
      <c r="E33" s="422"/>
      <c r="F33" s="422"/>
      <c r="G33" s="474"/>
      <c r="H33" s="474"/>
      <c r="I33" s="474"/>
      <c r="J33" s="474"/>
      <c r="K33" s="59"/>
      <c r="L33" s="117"/>
    </row>
    <row r="34" spans="1:12" ht="23.25" customHeight="1">
      <c r="A34" s="327" t="s">
        <v>175</v>
      </c>
      <c r="B34" s="328"/>
      <c r="C34" s="329"/>
      <c r="D34" s="268" t="s">
        <v>143</v>
      </c>
      <c r="E34" s="452">
        <f>'29'!F35</f>
        <v>629028</v>
      </c>
      <c r="F34" s="360">
        <v>0</v>
      </c>
      <c r="G34" s="325">
        <f t="shared" ref="G34:G45" si="3">F34-E34</f>
        <v>-629028</v>
      </c>
      <c r="H34" s="57">
        <f>G34+'29'!H35</f>
        <v>-629027.67000000004</v>
      </c>
      <c r="I34" s="56"/>
      <c r="J34" s="58">
        <f>H34/DAY(B2)</f>
        <v>-20967.589</v>
      </c>
      <c r="K34" s="59"/>
      <c r="L34" s="117"/>
    </row>
    <row r="35" spans="1:12" ht="23.25" customHeight="1">
      <c r="A35" s="327" t="s">
        <v>176</v>
      </c>
      <c r="B35" s="328"/>
      <c r="C35" s="329"/>
      <c r="D35" s="268" t="s">
        <v>143</v>
      </c>
      <c r="E35" s="56">
        <f>'29'!F36</f>
        <v>275372.73</v>
      </c>
      <c r="F35" s="360">
        <v>694322.47</v>
      </c>
      <c r="G35" s="325">
        <f t="shared" si="3"/>
        <v>418949.74</v>
      </c>
      <c r="H35" s="57">
        <f>G35+'29'!H36</f>
        <v>417831.01999999996</v>
      </c>
      <c r="I35" s="56"/>
      <c r="J35" s="58">
        <f>H35/DAY(B2)</f>
        <v>13927.700666666666</v>
      </c>
      <c r="K35" s="59"/>
      <c r="L35" s="117"/>
    </row>
    <row r="36" spans="1:12" ht="23.25" customHeight="1">
      <c r="A36" s="327" t="s">
        <v>177</v>
      </c>
      <c r="B36" s="328"/>
      <c r="C36" s="329"/>
      <c r="D36" s="268" t="s">
        <v>143</v>
      </c>
      <c r="E36" s="56">
        <f>'29'!F37</f>
        <v>415066</v>
      </c>
      <c r="F36" s="360">
        <v>392708.87</v>
      </c>
      <c r="G36" s="325">
        <f t="shared" si="3"/>
        <v>-22357.130000000005</v>
      </c>
      <c r="H36" s="57">
        <f>G36+'29'!H37</f>
        <v>392708.87</v>
      </c>
      <c r="I36" s="56"/>
      <c r="J36" s="58">
        <f>H36/DAY(B2)</f>
        <v>13090.295666666667</v>
      </c>
      <c r="K36" s="59"/>
      <c r="L36" s="117"/>
    </row>
    <row r="37" spans="1:12" ht="23.25" customHeight="1">
      <c r="A37" s="327" t="s">
        <v>178</v>
      </c>
      <c r="B37" s="328"/>
      <c r="C37" s="329"/>
      <c r="D37" s="268" t="s">
        <v>143</v>
      </c>
      <c r="E37" s="56">
        <f>'29'!F38</f>
        <v>150714</v>
      </c>
      <c r="F37" s="361">
        <v>675505.75</v>
      </c>
      <c r="G37" s="325">
        <f t="shared" si="3"/>
        <v>524791.75</v>
      </c>
      <c r="H37" s="57">
        <f>G37+'29'!H38</f>
        <v>675407.87</v>
      </c>
      <c r="I37" s="56"/>
      <c r="J37" s="58">
        <f>H37/DAY(B2)</f>
        <v>22513.595666666668</v>
      </c>
      <c r="K37" s="59"/>
      <c r="L37" s="117"/>
    </row>
    <row r="38" spans="1:12" ht="23.25" customHeight="1">
      <c r="A38" s="327" t="s">
        <v>179</v>
      </c>
      <c r="B38" s="328"/>
      <c r="C38" s="329"/>
      <c r="D38" s="268" t="s">
        <v>143</v>
      </c>
      <c r="E38" s="56">
        <f>'29'!F39</f>
        <v>912480</v>
      </c>
      <c r="F38" s="360">
        <v>2497766.1</v>
      </c>
      <c r="G38" s="325">
        <f t="shared" si="3"/>
        <v>1585286.1</v>
      </c>
      <c r="H38" s="57">
        <f>G38+'29'!H39</f>
        <v>2497766.1</v>
      </c>
      <c r="I38" s="56"/>
      <c r="J38" s="58">
        <f>H38/DAY(B2)</f>
        <v>83258.87000000001</v>
      </c>
      <c r="K38" s="59"/>
      <c r="L38" s="117"/>
    </row>
    <row r="39" spans="1:12" ht="23.25" customHeight="1">
      <c r="A39" s="362" t="s">
        <v>180</v>
      </c>
      <c r="B39" s="363"/>
      <c r="C39" s="364"/>
      <c r="D39" s="268" t="s">
        <v>143</v>
      </c>
      <c r="E39" s="56">
        <f>'29'!F40</f>
        <v>0</v>
      </c>
      <c r="F39" s="360">
        <v>0</v>
      </c>
      <c r="G39" s="325">
        <f t="shared" si="3"/>
        <v>0</v>
      </c>
      <c r="H39" s="57">
        <f>G39+'29'!H40</f>
        <v>-0.06</v>
      </c>
      <c r="I39" s="56"/>
      <c r="J39" s="58">
        <f>H39/DAY(B2)</f>
        <v>-2E-3</v>
      </c>
      <c r="K39" s="75"/>
      <c r="L39" s="117"/>
    </row>
    <row r="40" spans="1:12" ht="23.25" customHeight="1">
      <c r="A40" s="327" t="s">
        <v>181</v>
      </c>
      <c r="B40" s="328"/>
      <c r="C40" s="329"/>
      <c r="D40" s="268" t="s">
        <v>143</v>
      </c>
      <c r="E40" s="56">
        <f>'29'!F41</f>
        <v>37220</v>
      </c>
      <c r="F40" s="360">
        <v>1138016.5</v>
      </c>
      <c r="G40" s="325">
        <f t="shared" si="3"/>
        <v>1100796.5</v>
      </c>
      <c r="H40" s="57">
        <f>G40+'29'!H41</f>
        <v>1157275.98</v>
      </c>
      <c r="I40" s="56"/>
      <c r="J40" s="58">
        <f>H40/DAY(B2)</f>
        <v>38575.866000000002</v>
      </c>
      <c r="K40" s="59"/>
      <c r="L40" s="117"/>
    </row>
    <row r="41" spans="1:12" ht="23.25" customHeight="1">
      <c r="A41" s="327" t="s">
        <v>182</v>
      </c>
      <c r="B41" s="328"/>
      <c r="C41" s="329"/>
      <c r="D41" s="268" t="s">
        <v>143</v>
      </c>
      <c r="E41" s="56">
        <f>'29'!F42</f>
        <v>58926</v>
      </c>
      <c r="F41" s="360">
        <v>1251783.8</v>
      </c>
      <c r="G41" s="325">
        <f t="shared" si="3"/>
        <v>1192857.8</v>
      </c>
      <c r="H41" s="57">
        <f>G41+'29'!H42</f>
        <v>1192857.8</v>
      </c>
      <c r="I41" s="56"/>
      <c r="J41" s="58">
        <f>H41/DAY(B2)</f>
        <v>39761.926666666666</v>
      </c>
      <c r="K41" s="59"/>
      <c r="L41" s="117"/>
    </row>
    <row r="42" spans="1:12" ht="23.25" customHeight="1">
      <c r="A42" s="327" t="s">
        <v>183</v>
      </c>
      <c r="B42" s="328"/>
      <c r="C42" s="329"/>
      <c r="D42" s="268" t="s">
        <v>143</v>
      </c>
      <c r="E42" s="56">
        <f>'29'!F43</f>
        <v>763162.63</v>
      </c>
      <c r="F42" s="360">
        <v>1479848.9</v>
      </c>
      <c r="G42" s="325">
        <f t="shared" si="3"/>
        <v>716686.2699999999</v>
      </c>
      <c r="H42" s="57">
        <f>G42+'29'!H43</f>
        <v>712036.98999999987</v>
      </c>
      <c r="I42" s="56"/>
      <c r="J42" s="58">
        <f>H42/DAY(B2)</f>
        <v>23734.566333333329</v>
      </c>
      <c r="K42" s="59"/>
      <c r="L42" s="117"/>
    </row>
    <row r="43" spans="1:12" ht="23.25" customHeight="1">
      <c r="A43" s="327" t="s">
        <v>184</v>
      </c>
      <c r="B43" s="328"/>
      <c r="C43" s="329"/>
      <c r="D43" s="268" t="s">
        <v>143</v>
      </c>
      <c r="E43" s="56">
        <f>'29'!F44</f>
        <v>0</v>
      </c>
      <c r="F43" s="360">
        <v>900</v>
      </c>
      <c r="G43" s="325">
        <f t="shared" si="3"/>
        <v>900</v>
      </c>
      <c r="H43" s="57">
        <f>G43+'29'!H44</f>
        <v>900</v>
      </c>
      <c r="I43" s="56"/>
      <c r="J43" s="58">
        <f>H43/DAY(B2)</f>
        <v>30</v>
      </c>
      <c r="K43" s="59"/>
      <c r="L43" s="117"/>
    </row>
    <row r="44" spans="1:12" ht="23.25" customHeight="1">
      <c r="A44" s="327" t="s">
        <v>185</v>
      </c>
      <c r="B44" s="328"/>
      <c r="C44" s="329"/>
      <c r="D44" s="268" t="s">
        <v>143</v>
      </c>
      <c r="E44" s="56">
        <f>'29'!F45</f>
        <v>614.48</v>
      </c>
      <c r="F44" s="360">
        <v>945</v>
      </c>
      <c r="G44" s="325">
        <f t="shared" si="3"/>
        <v>330.52</v>
      </c>
      <c r="H44" s="57">
        <f>G44+'29'!H45</f>
        <v>330.52</v>
      </c>
      <c r="I44" s="56"/>
      <c r="J44" s="58">
        <f>H44/DAY(B2)</f>
        <v>11.017333333333333</v>
      </c>
      <c r="K44" s="59"/>
      <c r="L44" s="117"/>
    </row>
    <row r="45" spans="1:12" ht="23.25" customHeight="1">
      <c r="A45" s="327" t="s">
        <v>186</v>
      </c>
      <c r="B45" s="328"/>
      <c r="C45" s="329"/>
      <c r="D45" s="268" t="s">
        <v>143</v>
      </c>
      <c r="E45" s="56">
        <f>'29'!F46</f>
        <v>187.49</v>
      </c>
      <c r="F45" s="360">
        <v>375</v>
      </c>
      <c r="G45" s="325">
        <f t="shared" si="3"/>
        <v>187.51</v>
      </c>
      <c r="H45" s="57">
        <f>G45+'29'!H46</f>
        <v>187.51</v>
      </c>
      <c r="I45" s="56"/>
      <c r="J45" s="58">
        <f>H45/DAY(B2)</f>
        <v>6.2503333333333329</v>
      </c>
      <c r="K45" s="59"/>
      <c r="L45" s="117"/>
    </row>
    <row r="46" spans="1:12" ht="23.25" customHeight="1">
      <c r="A46" s="437" t="s">
        <v>187</v>
      </c>
      <c r="B46" s="438"/>
      <c r="C46" s="439"/>
      <c r="D46" s="365"/>
      <c r="E46" s="451"/>
      <c r="F46" s="269"/>
      <c r="G46" s="279">
        <f>G34+G35+G36+G37+G38+G39+G40+G41+G42+G43+G44+G45</f>
        <v>4889401.0599999987</v>
      </c>
      <c r="H46" s="57">
        <f>G46+'29'!H47</f>
        <v>6418274.9299999988</v>
      </c>
      <c r="I46" s="56"/>
      <c r="J46" s="58">
        <f>H46/DAY(B2)</f>
        <v>213942.49766666663</v>
      </c>
      <c r="K46" s="59"/>
      <c r="L46" s="117"/>
    </row>
    <row r="47" spans="1:12" ht="23.25" customHeight="1">
      <c r="A47" s="1208" t="s">
        <v>188</v>
      </c>
      <c r="B47" s="1209"/>
      <c r="C47" s="1210"/>
      <c r="D47" s="474"/>
      <c r="E47" s="422"/>
      <c r="F47" s="422"/>
      <c r="G47" s="474"/>
      <c r="H47" s="474"/>
      <c r="I47" s="474"/>
      <c r="J47" s="474"/>
      <c r="K47" s="59"/>
      <c r="L47" s="117"/>
    </row>
    <row r="48" spans="1:12" ht="23.25" customHeight="1">
      <c r="A48" s="327" t="s">
        <v>175</v>
      </c>
      <c r="B48" s="366"/>
      <c r="C48" s="367"/>
      <c r="D48" s="268" t="s">
        <v>143</v>
      </c>
      <c r="E48" s="452">
        <f>'29'!F49</f>
        <v>239985.55</v>
      </c>
      <c r="F48" s="360">
        <v>793704.71</v>
      </c>
      <c r="G48" s="325">
        <f t="shared" ref="G48:G57" si="4">F48-E48</f>
        <v>553719.15999999992</v>
      </c>
      <c r="H48" s="57">
        <f>G48+'29'!H49</f>
        <v>547805.65999999992</v>
      </c>
      <c r="I48" s="56"/>
      <c r="J48" s="58">
        <f>H48/DAY(B2)</f>
        <v>18260.188666666665</v>
      </c>
      <c r="K48" s="59"/>
      <c r="L48" s="117"/>
    </row>
    <row r="49" spans="1:12" ht="23.25" customHeight="1">
      <c r="A49" s="327" t="s">
        <v>189</v>
      </c>
      <c r="B49" s="366"/>
      <c r="C49" s="367"/>
      <c r="D49" s="268" t="s">
        <v>143</v>
      </c>
      <c r="E49" s="56">
        <f>'29'!F50</f>
        <v>366480.97</v>
      </c>
      <c r="F49" s="360">
        <v>707853.75</v>
      </c>
      <c r="G49" s="325">
        <f t="shared" si="4"/>
        <v>341372.78</v>
      </c>
      <c r="H49" s="57">
        <f>G49+'29'!H50</f>
        <v>338193.44</v>
      </c>
      <c r="I49" s="56"/>
      <c r="J49" s="58">
        <f>H49/DAY(B2)</f>
        <v>11273.114666666666</v>
      </c>
      <c r="K49" s="59"/>
      <c r="L49" s="117"/>
    </row>
    <row r="50" spans="1:12" ht="23.25" customHeight="1">
      <c r="A50" s="327" t="s">
        <v>177</v>
      </c>
      <c r="B50" s="366"/>
      <c r="C50" s="367"/>
      <c r="D50" s="268" t="s">
        <v>143</v>
      </c>
      <c r="E50" s="56">
        <f>'29'!F51</f>
        <v>107035</v>
      </c>
      <c r="F50" s="360">
        <v>552102.06999999995</v>
      </c>
      <c r="G50" s="325">
        <f t="shared" si="4"/>
        <v>445067.06999999995</v>
      </c>
      <c r="H50" s="57">
        <f>G50+'29'!H51</f>
        <v>442002.32999999996</v>
      </c>
      <c r="I50" s="56"/>
      <c r="J50" s="58">
        <f>H50/DAY(B2)</f>
        <v>14733.410999999998</v>
      </c>
      <c r="K50" s="59"/>
      <c r="L50" s="117"/>
    </row>
    <row r="51" spans="1:12" ht="23.25" customHeight="1">
      <c r="A51" s="327" t="s">
        <v>190</v>
      </c>
      <c r="B51" s="366"/>
      <c r="C51" s="367"/>
      <c r="D51" s="268" t="s">
        <v>143</v>
      </c>
      <c r="E51" s="56">
        <f>'29'!F52</f>
        <v>489802</v>
      </c>
      <c r="F51" s="360">
        <v>1244061</v>
      </c>
      <c r="G51" s="325">
        <f t="shared" si="4"/>
        <v>754259</v>
      </c>
      <c r="H51" s="57">
        <f>G51+'29'!H52</f>
        <v>750252.33000000007</v>
      </c>
      <c r="I51" s="56"/>
      <c r="J51" s="58">
        <f>H51/DAY(B2)</f>
        <v>25008.411000000004</v>
      </c>
      <c r="K51" s="59"/>
      <c r="L51" s="117"/>
    </row>
    <row r="52" spans="1:12" ht="23.25" customHeight="1">
      <c r="A52" s="327" t="s">
        <v>179</v>
      </c>
      <c r="B52" s="366"/>
      <c r="C52" s="367"/>
      <c r="D52" s="268" t="s">
        <v>143</v>
      </c>
      <c r="E52" s="56">
        <f>'29'!F53</f>
        <v>295932.96999999997</v>
      </c>
      <c r="F52" s="360">
        <v>495803.59</v>
      </c>
      <c r="G52" s="325">
        <f t="shared" si="4"/>
        <v>199870.62000000005</v>
      </c>
      <c r="H52" s="57">
        <f>G52+'29'!H53</f>
        <v>191505.32</v>
      </c>
      <c r="I52" s="56"/>
      <c r="J52" s="58">
        <f>H52/DAY(B2)</f>
        <v>6383.510666666667</v>
      </c>
      <c r="K52" s="59"/>
      <c r="L52" s="117"/>
    </row>
    <row r="53" spans="1:12" ht="23.25" customHeight="1">
      <c r="A53" s="327" t="s">
        <v>191</v>
      </c>
      <c r="B53" s="366"/>
      <c r="C53" s="367"/>
      <c r="D53" s="268" t="s">
        <v>143</v>
      </c>
      <c r="E53" s="56">
        <f>'29'!F54</f>
        <v>6228.8</v>
      </c>
      <c r="F53" s="360">
        <v>55471.01</v>
      </c>
      <c r="G53" s="325">
        <f t="shared" si="4"/>
        <v>49242.21</v>
      </c>
      <c r="H53" s="57">
        <f>G53+'29'!H54</f>
        <v>49082.21</v>
      </c>
      <c r="I53" s="56"/>
      <c r="J53" s="58">
        <f>H53/DAY(B2)</f>
        <v>1636.0736666666667</v>
      </c>
      <c r="K53" s="59"/>
      <c r="L53" s="117"/>
    </row>
    <row r="54" spans="1:12" ht="23.25" customHeight="1">
      <c r="A54" s="327" t="s">
        <v>192</v>
      </c>
      <c r="B54" s="366"/>
      <c r="C54" s="367"/>
      <c r="D54" s="268" t="s">
        <v>143</v>
      </c>
      <c r="E54" s="56">
        <f>'29'!F55</f>
        <v>39121</v>
      </c>
      <c r="F54" s="360">
        <v>741511.59</v>
      </c>
      <c r="G54" s="325">
        <f t="shared" si="4"/>
        <v>702390.59</v>
      </c>
      <c r="H54" s="57">
        <f>G54+'29'!H55</f>
        <v>698523.61</v>
      </c>
      <c r="I54" s="56"/>
      <c r="J54" s="58">
        <f>H54/DAY(B2)</f>
        <v>23284.120333333332</v>
      </c>
      <c r="K54" s="59"/>
      <c r="L54" s="117"/>
    </row>
    <row r="55" spans="1:12" ht="23.25" customHeight="1">
      <c r="A55" s="327" t="s">
        <v>193</v>
      </c>
      <c r="B55" s="366"/>
      <c r="C55" s="367"/>
      <c r="D55" s="268" t="s">
        <v>194</v>
      </c>
      <c r="E55" s="56">
        <f>'29'!F56</f>
        <v>557730</v>
      </c>
      <c r="F55" s="360">
        <v>334966</v>
      </c>
      <c r="G55" s="325">
        <f t="shared" si="4"/>
        <v>-222764</v>
      </c>
      <c r="H55" s="57">
        <f>G55+'29'!H56</f>
        <v>-222765.91000000003</v>
      </c>
      <c r="I55" s="56"/>
      <c r="J55" s="58">
        <f>H55/DAY(B2)</f>
        <v>-7425.5303333333341</v>
      </c>
      <c r="K55" s="43"/>
      <c r="L55" s="117"/>
    </row>
    <row r="56" spans="1:12" ht="23.25" customHeight="1">
      <c r="A56" s="327" t="s">
        <v>183</v>
      </c>
      <c r="B56" s="366"/>
      <c r="C56" s="367"/>
      <c r="D56" s="268" t="s">
        <v>143</v>
      </c>
      <c r="E56" s="56">
        <f>'29'!F57</f>
        <v>0</v>
      </c>
      <c r="F56" s="360">
        <v>0</v>
      </c>
      <c r="G56" s="325">
        <f t="shared" si="4"/>
        <v>0</v>
      </c>
      <c r="H56" s="57">
        <f>G56+'29'!H57</f>
        <v>0</v>
      </c>
      <c r="I56" s="56"/>
      <c r="J56" s="58">
        <f>H56/DAY(B2)</f>
        <v>0</v>
      </c>
      <c r="K56" s="59"/>
      <c r="L56" s="117"/>
    </row>
    <row r="57" spans="1:12" ht="23.25" customHeight="1">
      <c r="A57" s="327" t="s">
        <v>195</v>
      </c>
      <c r="B57" s="366"/>
      <c r="C57" s="367"/>
      <c r="D57" s="268" t="s">
        <v>143</v>
      </c>
      <c r="E57" s="56">
        <f>'29'!F58</f>
        <v>30214.39</v>
      </c>
      <c r="F57" s="360">
        <v>2065.9499999999998</v>
      </c>
      <c r="G57" s="325">
        <f t="shared" si="4"/>
        <v>-28148.44</v>
      </c>
      <c r="H57" s="57">
        <f>G57+'29'!H58</f>
        <v>-28663.589999999997</v>
      </c>
      <c r="I57" s="56"/>
      <c r="J57" s="58">
        <f>H57/DAY(B2)</f>
        <v>-955.45299999999986</v>
      </c>
      <c r="K57" s="59"/>
      <c r="L57" s="117"/>
    </row>
    <row r="58" spans="1:12" ht="23.25" customHeight="1">
      <c r="A58" s="437" t="s">
        <v>187</v>
      </c>
      <c r="B58" s="438"/>
      <c r="C58" s="439"/>
      <c r="D58" s="269"/>
      <c r="E58" s="451"/>
      <c r="F58" s="269"/>
      <c r="G58" s="279">
        <f>G48+G49+G50+G51+G52+G53+G54+G55+G56+G57</f>
        <v>2795008.9899999998</v>
      </c>
      <c r="H58" s="57">
        <f>G58+'29'!H59</f>
        <v>2765935.4</v>
      </c>
      <c r="I58" s="56">
        <f>G7-G59</f>
        <v>-7919358.1499999985</v>
      </c>
      <c r="J58" s="58">
        <f>H58/DAY(B2)</f>
        <v>92197.846666666665</v>
      </c>
      <c r="K58" s="59"/>
      <c r="L58" s="117"/>
    </row>
    <row r="59" spans="1:12" ht="23.25" customHeight="1">
      <c r="A59" s="368"/>
      <c r="B59" s="368"/>
      <c r="C59" s="368"/>
      <c r="D59" s="269" t="s">
        <v>196</v>
      </c>
      <c r="E59" s="269"/>
      <c r="F59" s="269"/>
      <c r="G59" s="279">
        <f>G46+G58</f>
        <v>7684410.0499999989</v>
      </c>
      <c r="H59" s="57">
        <f>G59+'29'!H60</f>
        <v>9189390.5199999996</v>
      </c>
      <c r="I59" s="56">
        <f>G13-G59</f>
        <v>-7871462.9499999993</v>
      </c>
      <c r="J59" s="58">
        <f>H59/DAY(B2)</f>
        <v>306313.01733333332</v>
      </c>
      <c r="K59" s="59"/>
      <c r="L59" s="117"/>
    </row>
    <row r="60" spans="1:12" ht="23.25" customHeight="1">
      <c r="A60" s="429" t="s">
        <v>197</v>
      </c>
      <c r="B60" s="430"/>
      <c r="C60" s="431"/>
      <c r="D60" s="432"/>
      <c r="E60" s="433"/>
      <c r="F60" s="433"/>
      <c r="G60" s="434"/>
      <c r="H60" s="434"/>
      <c r="I60" s="434"/>
      <c r="J60" s="434"/>
      <c r="K60" s="59"/>
      <c r="L60" s="117"/>
    </row>
    <row r="61" spans="1:12" ht="23.25" customHeight="1">
      <c r="A61" s="369" t="s">
        <v>106</v>
      </c>
      <c r="B61" s="370"/>
      <c r="C61" s="371"/>
      <c r="D61" s="269" t="s">
        <v>198</v>
      </c>
      <c r="E61" s="452">
        <f>'29'!F62</f>
        <v>20419.18</v>
      </c>
      <c r="F61" s="270">
        <v>55085</v>
      </c>
      <c r="G61" s="325">
        <f t="shared" ref="G61:G68" si="5">F61-E61</f>
        <v>34665.82</v>
      </c>
      <c r="H61" s="57">
        <f>G61+'29'!H62</f>
        <v>34665.811000000002</v>
      </c>
      <c r="I61" s="201"/>
      <c r="J61" s="58">
        <f>H61/DAY(B2)</f>
        <v>1155.5270333333333</v>
      </c>
      <c r="K61" s="59"/>
      <c r="L61" s="117"/>
    </row>
    <row r="62" spans="1:12" ht="23.25" customHeight="1">
      <c r="A62" s="369" t="s">
        <v>199</v>
      </c>
      <c r="B62" s="370"/>
      <c r="C62" s="371"/>
      <c r="D62" s="269" t="s">
        <v>198</v>
      </c>
      <c r="E62" s="56">
        <f>'29'!F63</f>
        <v>1305.8900000000001</v>
      </c>
      <c r="F62" s="270">
        <v>113360.74</v>
      </c>
      <c r="G62" s="325">
        <f t="shared" si="5"/>
        <v>112054.85</v>
      </c>
      <c r="H62" s="57">
        <f>G62+'29'!H63</f>
        <v>112028.21</v>
      </c>
      <c r="I62" s="201"/>
      <c r="J62" s="58">
        <f>H62/DAY(B2)</f>
        <v>3734.2736666666669</v>
      </c>
      <c r="K62" s="59"/>
      <c r="L62" s="117"/>
    </row>
    <row r="63" spans="1:12" ht="23.25" customHeight="1">
      <c r="A63" s="1475" t="s">
        <v>107</v>
      </c>
      <c r="B63" s="1476"/>
      <c r="C63" s="1477"/>
      <c r="D63" s="268" t="s">
        <v>198</v>
      </c>
      <c r="E63" s="56">
        <f>'29'!F64</f>
        <v>110461.4</v>
      </c>
      <c r="F63" s="267">
        <v>274089</v>
      </c>
      <c r="G63" s="325">
        <f t="shared" si="5"/>
        <v>163627.6</v>
      </c>
      <c r="H63" s="57">
        <f>G63+'29'!H64</f>
        <v>162805.53999999998</v>
      </c>
      <c r="I63" s="69"/>
      <c r="J63" s="58">
        <f>H63/DAY(B2)</f>
        <v>5426.8513333333331</v>
      </c>
      <c r="K63" s="59"/>
      <c r="L63" s="117"/>
    </row>
    <row r="64" spans="1:12" ht="23.25" customHeight="1">
      <c r="A64" s="1475" t="s">
        <v>108</v>
      </c>
      <c r="B64" s="1476"/>
      <c r="C64" s="1477"/>
      <c r="D64" s="268" t="s">
        <v>198</v>
      </c>
      <c r="E64" s="56">
        <f>'29'!F65</f>
        <v>120948.65</v>
      </c>
      <c r="F64" s="267">
        <v>218102.43</v>
      </c>
      <c r="G64" s="325">
        <f t="shared" si="5"/>
        <v>97153.78</v>
      </c>
      <c r="H64" s="57">
        <f>G64+'29'!H65</f>
        <v>96369.319999999992</v>
      </c>
      <c r="I64" s="80"/>
      <c r="J64" s="58">
        <f>H64/DAY(B2)</f>
        <v>3212.3106666666663</v>
      </c>
      <c r="K64" s="59"/>
      <c r="L64" s="117"/>
    </row>
    <row r="65" spans="1:12" ht="23.25" customHeight="1">
      <c r="A65" s="1475" t="s">
        <v>109</v>
      </c>
      <c r="B65" s="1476"/>
      <c r="C65" s="1477"/>
      <c r="D65" s="268" t="s">
        <v>198</v>
      </c>
      <c r="E65" s="56">
        <f>'29'!F66</f>
        <v>13320.84</v>
      </c>
      <c r="F65" s="267">
        <v>7977.92</v>
      </c>
      <c r="G65" s="325">
        <f t="shared" si="5"/>
        <v>-5342.92</v>
      </c>
      <c r="H65" s="57">
        <f>G65+'29'!H66</f>
        <v>-6181.82</v>
      </c>
      <c r="I65" s="69"/>
      <c r="J65" s="58">
        <f>H65/DAY(B2)</f>
        <v>-206.06066666666666</v>
      </c>
      <c r="K65" s="59"/>
      <c r="L65" s="117"/>
    </row>
    <row r="66" spans="1:12" ht="23.25" customHeight="1">
      <c r="A66" s="1475" t="s">
        <v>110</v>
      </c>
      <c r="B66" s="1476"/>
      <c r="C66" s="1477"/>
      <c r="D66" s="268" t="s">
        <v>198</v>
      </c>
      <c r="E66" s="56">
        <f>'29'!F67</f>
        <v>187269.37</v>
      </c>
      <c r="F66" s="267">
        <v>350190.03</v>
      </c>
      <c r="G66" s="325">
        <f t="shared" si="5"/>
        <v>162920.66000000003</v>
      </c>
      <c r="H66" s="57">
        <f>G66+'29'!H67</f>
        <v>161515.50000000003</v>
      </c>
      <c r="I66" s="80"/>
      <c r="J66" s="58">
        <f>H66/DAY(B2)</f>
        <v>5383.8500000000013</v>
      </c>
      <c r="K66" s="75"/>
      <c r="L66" s="117"/>
    </row>
    <row r="67" spans="1:12" ht="23.25" customHeight="1">
      <c r="A67" s="1475" t="s">
        <v>111</v>
      </c>
      <c r="B67" s="1476"/>
      <c r="C67" s="1477"/>
      <c r="D67" s="268" t="s">
        <v>198</v>
      </c>
      <c r="E67" s="56">
        <f>'29'!F68</f>
        <v>62687.79</v>
      </c>
      <c r="F67" s="267">
        <v>0</v>
      </c>
      <c r="G67" s="325">
        <f t="shared" si="5"/>
        <v>-62687.79</v>
      </c>
      <c r="H67" s="57">
        <f>G67+'29'!H68</f>
        <v>-63299.86</v>
      </c>
      <c r="I67" s="105"/>
      <c r="J67" s="58">
        <f>H67/DAY(B2)</f>
        <v>-2109.9953333333333</v>
      </c>
      <c r="K67" s="83"/>
      <c r="L67" s="117"/>
    </row>
    <row r="68" spans="1:12" ht="23.25" customHeight="1">
      <c r="A68" s="1475" t="s">
        <v>112</v>
      </c>
      <c r="B68" s="1476"/>
      <c r="C68" s="1477"/>
      <c r="D68" s="268" t="s">
        <v>198</v>
      </c>
      <c r="E68" s="56">
        <f>'29'!F69</f>
        <v>55093</v>
      </c>
      <c r="F68" s="267">
        <v>156094.09</v>
      </c>
      <c r="G68" s="325">
        <f t="shared" si="5"/>
        <v>101001.09</v>
      </c>
      <c r="H68" s="57">
        <f>G68+'29'!H69</f>
        <v>100370.38</v>
      </c>
      <c r="I68" s="105"/>
      <c r="J68" s="58">
        <f>H68/DAY(B2)</f>
        <v>3345.6793333333335</v>
      </c>
      <c r="K68" s="85"/>
      <c r="L68" s="117"/>
    </row>
    <row r="69" spans="1:12" ht="23.25" customHeight="1">
      <c r="A69" s="1488" t="s">
        <v>200</v>
      </c>
      <c r="B69" s="1489"/>
      <c r="C69" s="1490"/>
      <c r="D69" s="268" t="s">
        <v>198</v>
      </c>
      <c r="E69" s="463"/>
      <c r="F69" s="461"/>
      <c r="G69" s="461"/>
      <c r="H69" s="57">
        <f>G69+'13'!H70</f>
        <v>0</v>
      </c>
      <c r="I69" s="461"/>
      <c r="J69" s="461"/>
      <c r="K69" s="85"/>
      <c r="L69" s="117"/>
    </row>
    <row r="70" spans="1:12" ht="23.25" customHeight="1">
      <c r="A70" s="1485" t="s">
        <v>201</v>
      </c>
      <c r="B70" s="1486"/>
      <c r="C70" s="1486"/>
      <c r="D70" s="1486"/>
      <c r="E70" s="1486"/>
      <c r="F70" s="1486"/>
      <c r="G70" s="1486"/>
      <c r="H70" s="1486"/>
      <c r="I70" s="1486"/>
      <c r="J70" s="1487"/>
      <c r="K70" s="83"/>
      <c r="L70" s="117"/>
    </row>
    <row r="71" spans="1:12" ht="23.25" customHeight="1">
      <c r="A71" s="1475" t="s">
        <v>202</v>
      </c>
      <c r="B71" s="1476"/>
      <c r="C71" s="1477"/>
      <c r="D71" s="268" t="s">
        <v>198</v>
      </c>
      <c r="E71" s="452">
        <f>'29'!F72</f>
        <v>848280</v>
      </c>
      <c r="F71" s="271">
        <v>788748</v>
      </c>
      <c r="G71" s="325">
        <f t="shared" ref="G71:G83" si="6">F71-E71</f>
        <v>-59532</v>
      </c>
      <c r="H71" s="57">
        <f>G71+'29'!H72</f>
        <v>-59804</v>
      </c>
      <c r="I71" s="69"/>
      <c r="J71" s="58">
        <f>H71/DAY(B2)</f>
        <v>-1993.4666666666667</v>
      </c>
      <c r="K71" s="85"/>
      <c r="L71" s="117"/>
    </row>
    <row r="72" spans="1:12" ht="23.25" customHeight="1">
      <c r="A72" s="1475" t="s">
        <v>203</v>
      </c>
      <c r="B72" s="1476"/>
      <c r="C72" s="1477"/>
      <c r="D72" s="268" t="s">
        <v>198</v>
      </c>
      <c r="E72" s="56">
        <f>'29'!F73</f>
        <v>885728</v>
      </c>
      <c r="F72" s="271">
        <v>883770</v>
      </c>
      <c r="G72" s="325">
        <f t="shared" si="6"/>
        <v>-1958</v>
      </c>
      <c r="H72" s="57">
        <f>G72+'29'!H73</f>
        <v>-1011</v>
      </c>
      <c r="I72" s="69"/>
      <c r="J72" s="58">
        <f>H72/DAY(B2)</f>
        <v>-33.700000000000003</v>
      </c>
      <c r="K72" s="83"/>
      <c r="L72" s="117"/>
    </row>
    <row r="73" spans="1:12" ht="23.25" customHeight="1">
      <c r="A73" s="1475" t="s">
        <v>204</v>
      </c>
      <c r="B73" s="1476"/>
      <c r="C73" s="1477"/>
      <c r="D73" s="268" t="s">
        <v>198</v>
      </c>
      <c r="E73" s="56">
        <f>'29'!F74</f>
        <v>882303</v>
      </c>
      <c r="F73" s="271">
        <v>783142</v>
      </c>
      <c r="G73" s="325">
        <f t="shared" si="6"/>
        <v>-99161</v>
      </c>
      <c r="H73" s="57">
        <f>G73+'29'!H74</f>
        <v>783371.1</v>
      </c>
      <c r="I73" s="69"/>
      <c r="J73" s="58">
        <f>H73/DAY(B2)</f>
        <v>26112.37</v>
      </c>
      <c r="K73" s="85"/>
      <c r="L73" s="117"/>
    </row>
    <row r="74" spans="1:12" ht="23.25" customHeight="1">
      <c r="A74" s="1481" t="s">
        <v>205</v>
      </c>
      <c r="B74" s="1482"/>
      <c r="C74" s="1483"/>
      <c r="D74" s="268" t="s">
        <v>198</v>
      </c>
      <c r="E74" s="56">
        <f>'29'!F75</f>
        <v>737120</v>
      </c>
      <c r="F74" s="271">
        <v>641404</v>
      </c>
      <c r="G74" s="325">
        <f t="shared" si="6"/>
        <v>-95716</v>
      </c>
      <c r="H74" s="57">
        <f>G74+'29'!H75</f>
        <v>642940.4</v>
      </c>
      <c r="I74" s="69"/>
      <c r="J74" s="58">
        <f>H74/DAY(B2)</f>
        <v>21431.346666666668</v>
      </c>
      <c r="K74" s="83"/>
      <c r="L74" s="117"/>
    </row>
    <row r="75" spans="1:12" ht="23.25" customHeight="1">
      <c r="A75" s="1481" t="s">
        <v>206</v>
      </c>
      <c r="B75" s="1482"/>
      <c r="C75" s="1483"/>
      <c r="D75" s="268" t="s">
        <v>198</v>
      </c>
      <c r="E75" s="56">
        <f>'29'!F76</f>
        <v>686870</v>
      </c>
      <c r="F75" s="271">
        <v>615603</v>
      </c>
      <c r="G75" s="325">
        <f t="shared" si="6"/>
        <v>-71267</v>
      </c>
      <c r="H75" s="57">
        <f>G75+'29'!H76</f>
        <v>617600.19999999995</v>
      </c>
      <c r="I75" s="112"/>
      <c r="J75" s="58">
        <f>H75/DAY(B2)</f>
        <v>20586.673333333332</v>
      </c>
      <c r="K75" s="83"/>
      <c r="L75" s="117"/>
    </row>
    <row r="76" spans="1:12" ht="23.25" customHeight="1">
      <c r="A76" s="1475" t="s">
        <v>207</v>
      </c>
      <c r="B76" s="1476"/>
      <c r="C76" s="1477"/>
      <c r="D76" s="268" t="s">
        <v>198</v>
      </c>
      <c r="E76" s="56">
        <f>'29'!F77</f>
        <v>697002</v>
      </c>
      <c r="F76" s="271">
        <v>669905</v>
      </c>
      <c r="G76" s="325">
        <f t="shared" si="6"/>
        <v>-27097</v>
      </c>
      <c r="H76" s="57">
        <f>G76+'29'!H77</f>
        <v>-27202</v>
      </c>
      <c r="I76" s="112"/>
      <c r="J76" s="58">
        <f>H76/DAY(B2)</f>
        <v>-906.73333333333335</v>
      </c>
      <c r="K76" s="83"/>
      <c r="L76" s="117"/>
    </row>
    <row r="77" spans="1:12" ht="23.25" customHeight="1">
      <c r="A77" s="1216" t="s">
        <v>208</v>
      </c>
      <c r="B77" s="1217"/>
      <c r="C77" s="1218"/>
      <c r="D77" s="268" t="s">
        <v>198</v>
      </c>
      <c r="E77" s="56">
        <f>'29'!F78</f>
        <v>641105</v>
      </c>
      <c r="F77" s="271">
        <v>487314</v>
      </c>
      <c r="G77" s="325">
        <f t="shared" si="6"/>
        <v>-153791</v>
      </c>
      <c r="H77" s="57">
        <f>G77+'29'!H78</f>
        <v>-154639</v>
      </c>
      <c r="I77" s="112"/>
      <c r="J77" s="58">
        <f>H77/DAY(B2)</f>
        <v>-5154.6333333333332</v>
      </c>
      <c r="K77" s="83"/>
      <c r="L77" s="117"/>
    </row>
    <row r="78" spans="1:12" ht="23.25" customHeight="1">
      <c r="A78" s="1484" t="s">
        <v>97</v>
      </c>
      <c r="B78" s="1479"/>
      <c r="C78" s="1480"/>
      <c r="D78" s="376" t="s">
        <v>198</v>
      </c>
      <c r="E78" s="56">
        <f>'29'!F79</f>
        <v>809323</v>
      </c>
      <c r="F78" s="271">
        <v>677157</v>
      </c>
      <c r="G78" s="325">
        <f t="shared" si="6"/>
        <v>-132166</v>
      </c>
      <c r="H78" s="57">
        <f>G78+'29'!H79</f>
        <v>-129669</v>
      </c>
      <c r="I78" s="112"/>
      <c r="J78" s="58">
        <f>H78/DAY(B2)</f>
        <v>-4322.3</v>
      </c>
      <c r="K78" s="83"/>
      <c r="L78" s="117"/>
    </row>
    <row r="79" spans="1:12" ht="23.25" customHeight="1">
      <c r="A79" s="1484" t="s">
        <v>209</v>
      </c>
      <c r="B79" s="1479"/>
      <c r="C79" s="1480"/>
      <c r="D79" s="376" t="s">
        <v>198</v>
      </c>
      <c r="E79" s="56">
        <f>'29'!F80</f>
        <v>484503</v>
      </c>
      <c r="F79" s="271">
        <v>341072.6</v>
      </c>
      <c r="G79" s="325">
        <f t="shared" si="6"/>
        <v>-143430.40000000002</v>
      </c>
      <c r="H79" s="57">
        <f>G79+'29'!H80</f>
        <v>-145509.08000000002</v>
      </c>
      <c r="I79" s="112"/>
      <c r="J79" s="58">
        <f>H79/DAY(B2)</f>
        <v>-4850.3026666666674</v>
      </c>
      <c r="K79" s="83"/>
      <c r="L79" s="117"/>
    </row>
    <row r="80" spans="1:12" ht="23.25" customHeight="1">
      <c r="A80" s="1484" t="s">
        <v>210</v>
      </c>
      <c r="B80" s="1479"/>
      <c r="C80" s="1480"/>
      <c r="D80" s="376" t="s">
        <v>198</v>
      </c>
      <c r="E80" s="56">
        <f>'29'!F81</f>
        <v>622568</v>
      </c>
      <c r="F80" s="271">
        <v>407588.2</v>
      </c>
      <c r="G80" s="325">
        <f t="shared" si="6"/>
        <v>-214979.8</v>
      </c>
      <c r="H80" s="57">
        <f>G80+'29'!H81</f>
        <v>-215186.8</v>
      </c>
      <c r="I80" s="112"/>
      <c r="J80" s="58">
        <f>H80/DAY(B2)</f>
        <v>-7172.8933333333325</v>
      </c>
      <c r="K80" s="83"/>
      <c r="L80" s="117"/>
    </row>
    <row r="81" spans="1:12" ht="23.25" customHeight="1">
      <c r="A81" s="1478" t="s">
        <v>100</v>
      </c>
      <c r="B81" s="1479"/>
      <c r="C81" s="1480"/>
      <c r="D81" s="377" t="s">
        <v>143</v>
      </c>
      <c r="E81" s="56">
        <f>'29'!F82</f>
        <v>105339.54</v>
      </c>
      <c r="F81" s="272">
        <v>72586.12</v>
      </c>
      <c r="G81" s="325">
        <f t="shared" si="6"/>
        <v>-32753.42</v>
      </c>
      <c r="H81" s="57">
        <f>G81+'29'!H82</f>
        <v>-32853.880000000005</v>
      </c>
      <c r="I81" s="206"/>
      <c r="J81" s="58">
        <f>H81/DAY(B2)</f>
        <v>-1095.1293333333335</v>
      </c>
      <c r="K81" s="83"/>
      <c r="L81" s="117"/>
    </row>
    <row r="82" spans="1:12" ht="23.25" customHeight="1">
      <c r="A82" s="1478" t="s">
        <v>211</v>
      </c>
      <c r="B82" s="1479"/>
      <c r="C82" s="1480"/>
      <c r="D82" s="273" t="s">
        <v>143</v>
      </c>
      <c r="E82" s="56">
        <f>'29'!F83</f>
        <v>982952</v>
      </c>
      <c r="F82" s="269">
        <v>725847</v>
      </c>
      <c r="G82" s="325">
        <f t="shared" si="6"/>
        <v>-257105</v>
      </c>
      <c r="H82" s="57">
        <f>G82+'29'!H83</f>
        <v>-257894</v>
      </c>
      <c r="I82" s="68"/>
      <c r="J82" s="58">
        <f>H82/DAY(B2)</f>
        <v>-8596.4666666666672</v>
      </c>
      <c r="K82" s="75"/>
      <c r="L82" s="117"/>
    </row>
    <row r="83" spans="1:12" ht="23.25" customHeight="1">
      <c r="A83" s="1219" t="s">
        <v>212</v>
      </c>
      <c r="B83" s="1219"/>
      <c r="C83" s="1220"/>
      <c r="D83" s="379" t="s">
        <v>143</v>
      </c>
      <c r="E83" s="56">
        <f>'29'!F84</f>
        <v>415080</v>
      </c>
      <c r="F83" s="268">
        <v>960770</v>
      </c>
      <c r="G83" s="325">
        <f t="shared" si="6"/>
        <v>545690</v>
      </c>
      <c r="H83" s="57">
        <f>G83+'29'!H84</f>
        <v>544697</v>
      </c>
      <c r="I83" s="68"/>
      <c r="J83" s="58">
        <f>H83/DAY(B2)</f>
        <v>18156.566666666666</v>
      </c>
      <c r="K83" s="88"/>
      <c r="L83" s="117"/>
    </row>
    <row r="84" spans="1:12" s="38" customFormat="1" ht="23.25" customHeight="1">
      <c r="A84" s="446" t="s">
        <v>213</v>
      </c>
      <c r="B84" s="447"/>
      <c r="C84" s="447"/>
      <c r="D84" s="381"/>
      <c r="E84" s="319"/>
      <c r="F84" s="268"/>
      <c r="G84" s="399">
        <f xml:space="preserve"> SUM(G71:G83)</f>
        <v>-743266.62000000011</v>
      </c>
      <c r="H84" s="57">
        <f>G84+'29'!H85</f>
        <v>1559536.5699999994</v>
      </c>
      <c r="I84" s="68"/>
      <c r="J84" s="58">
        <f>H84/DAY(B2)</f>
        <v>51984.552333333311</v>
      </c>
      <c r="K84" s="88"/>
      <c r="L84" s="44"/>
    </row>
    <row r="85" spans="1:12" s="38" customFormat="1" ht="23.25" customHeight="1">
      <c r="A85" s="1211" t="s">
        <v>216</v>
      </c>
      <c r="B85" s="435"/>
      <c r="C85" s="1212"/>
      <c r="D85" s="474"/>
      <c r="E85" s="474"/>
      <c r="F85" s="474"/>
      <c r="G85" s="426"/>
      <c r="H85" s="474"/>
      <c r="I85" s="474"/>
      <c r="J85" s="474"/>
      <c r="K85" s="88"/>
      <c r="L85" s="44"/>
    </row>
    <row r="86" spans="1:12" ht="23.25" customHeight="1">
      <c r="A86" s="1472" t="s">
        <v>217</v>
      </c>
      <c r="B86" s="1473"/>
      <c r="C86" s="1474"/>
      <c r="D86" s="268" t="s">
        <v>155</v>
      </c>
      <c r="E86" s="452">
        <f>'29'!F92</f>
        <v>236405</v>
      </c>
      <c r="F86" s="267">
        <v>175511</v>
      </c>
      <c r="G86" s="325">
        <f t="shared" ref="G86:G87" si="7">F86-E86</f>
        <v>-60894</v>
      </c>
      <c r="H86" s="57">
        <f>G86+'29'!H92</f>
        <v>-61059</v>
      </c>
      <c r="I86" s="69"/>
      <c r="J86" s="58">
        <f>H86/DAY(B2)</f>
        <v>-2035.3</v>
      </c>
      <c r="K86" s="75"/>
      <c r="L86" s="117"/>
    </row>
    <row r="87" spans="1:12" ht="23.25" customHeight="1">
      <c r="A87" s="1472" t="s">
        <v>218</v>
      </c>
      <c r="B87" s="1473"/>
      <c r="C87" s="1474"/>
      <c r="D87" s="268" t="s">
        <v>155</v>
      </c>
      <c r="E87" s="56">
        <f>'29'!F93</f>
        <v>170864</v>
      </c>
      <c r="F87" s="267">
        <v>60336</v>
      </c>
      <c r="G87" s="325">
        <f t="shared" si="7"/>
        <v>-110528</v>
      </c>
      <c r="H87" s="57">
        <f>G87+'29'!H93</f>
        <v>-110840</v>
      </c>
      <c r="I87" s="69"/>
      <c r="J87" s="58">
        <f>H87/DAY(B2)</f>
        <v>-3694.6666666666665</v>
      </c>
      <c r="K87" s="88"/>
      <c r="L87" s="117"/>
    </row>
    <row r="88" spans="1:12" ht="23.25" customHeight="1">
      <c r="A88" s="1464" t="s">
        <v>219</v>
      </c>
      <c r="B88" s="1465"/>
      <c r="C88" s="1466"/>
      <c r="D88" s="268"/>
      <c r="E88" s="56">
        <f>'29'!F94</f>
        <v>0</v>
      </c>
      <c r="F88" s="267"/>
      <c r="G88" s="325">
        <f>G86+G87</f>
        <v>-171422</v>
      </c>
      <c r="H88" s="57">
        <f>G88+'29'!H94</f>
        <v>-172186</v>
      </c>
      <c r="I88" s="69"/>
      <c r="J88" s="58">
        <f>H88/DAY(B2)</f>
        <v>-5739.5333333333338</v>
      </c>
      <c r="K88" s="88"/>
      <c r="L88" s="117"/>
    </row>
    <row r="89" spans="1:12" ht="23.25" customHeight="1">
      <c r="A89" s="1472" t="s">
        <v>220</v>
      </c>
      <c r="B89" s="1473"/>
      <c r="C89" s="1474"/>
      <c r="D89" s="268" t="s">
        <v>155</v>
      </c>
      <c r="E89" s="56">
        <f>'29'!F95</f>
        <v>405753</v>
      </c>
      <c r="F89" s="267">
        <v>351186</v>
      </c>
      <c r="G89" s="325">
        <f t="shared" ref="G89:G94" si="8">F89-E89</f>
        <v>-54567</v>
      </c>
      <c r="H89" s="57">
        <f>G89+'29'!H95</f>
        <v>-54690</v>
      </c>
      <c r="I89" s="69"/>
      <c r="J89" s="58">
        <f>H89/DAY(B2)</f>
        <v>-1823</v>
      </c>
      <c r="K89" s="88"/>
      <c r="L89" s="117"/>
    </row>
    <row r="90" spans="1:12" ht="23.25" customHeight="1">
      <c r="A90" s="1213" t="s">
        <v>221</v>
      </c>
      <c r="B90" s="1214"/>
      <c r="C90" s="1215"/>
      <c r="D90" s="268" t="s">
        <v>155</v>
      </c>
      <c r="E90" s="56">
        <v>72</v>
      </c>
      <c r="F90" s="267">
        <v>84</v>
      </c>
      <c r="G90" s="325">
        <f t="shared" si="8"/>
        <v>12</v>
      </c>
      <c r="H90" s="57">
        <f>G90+'29'!H96</f>
        <v>-52</v>
      </c>
      <c r="I90" s="69"/>
      <c r="J90" s="58">
        <f>H90/DAY(B2)</f>
        <v>-1.7333333333333334</v>
      </c>
      <c r="K90" s="43"/>
      <c r="L90" s="117"/>
    </row>
    <row r="91" spans="1:12" ht="23.25" customHeight="1">
      <c r="A91" s="1213" t="s">
        <v>222</v>
      </c>
      <c r="B91" s="1214"/>
      <c r="C91" s="1215"/>
      <c r="D91" s="268" t="s">
        <v>155</v>
      </c>
      <c r="E91" s="56">
        <f>'29'!F97</f>
        <v>95625</v>
      </c>
      <c r="F91" s="267">
        <v>82333</v>
      </c>
      <c r="G91" s="325">
        <f t="shared" si="8"/>
        <v>-13292</v>
      </c>
      <c r="H91" s="57">
        <f>G91+'29'!H97</f>
        <v>-13344</v>
      </c>
      <c r="I91" s="69"/>
      <c r="J91" s="58">
        <f>H91/DAY(B2)</f>
        <v>-444.8</v>
      </c>
      <c r="K91" s="51"/>
      <c r="L91" s="117"/>
    </row>
    <row r="92" spans="1:12" ht="23.25" customHeight="1">
      <c r="A92" s="1213" t="s">
        <v>223</v>
      </c>
      <c r="B92" s="1214"/>
      <c r="C92" s="1215"/>
      <c r="D92" s="268" t="s">
        <v>155</v>
      </c>
      <c r="E92" s="56">
        <f>'29'!F98</f>
        <v>145422</v>
      </c>
      <c r="F92" s="267">
        <v>115948</v>
      </c>
      <c r="G92" s="325">
        <f t="shared" si="8"/>
        <v>-29474</v>
      </c>
      <c r="H92" s="57">
        <f>G92+'29'!H98</f>
        <v>-29606</v>
      </c>
      <c r="I92" s="69"/>
      <c r="J92" s="58">
        <f>H92/DAY(B2)</f>
        <v>-986.86666666666667</v>
      </c>
      <c r="K92" s="88"/>
      <c r="L92" s="117"/>
    </row>
    <row r="93" spans="1:12" ht="23.25" customHeight="1">
      <c r="A93" s="1213" t="s">
        <v>224</v>
      </c>
      <c r="B93" s="1214"/>
      <c r="C93" s="1215"/>
      <c r="D93" s="268" t="s">
        <v>155</v>
      </c>
      <c r="E93" s="56">
        <f>'29'!F99</f>
        <v>5946</v>
      </c>
      <c r="F93" s="267">
        <v>2658</v>
      </c>
      <c r="G93" s="325">
        <f t="shared" si="8"/>
        <v>-3288</v>
      </c>
      <c r="H93" s="57">
        <f>G93+'29'!H99</f>
        <v>-3316</v>
      </c>
      <c r="I93" s="69"/>
      <c r="J93" s="58">
        <f>H93/DAY(B2)</f>
        <v>-110.53333333333333</v>
      </c>
      <c r="K93" s="88"/>
      <c r="L93" s="117"/>
    </row>
    <row r="94" spans="1:12" ht="23.25" customHeight="1">
      <c r="A94" s="1213" t="s">
        <v>225</v>
      </c>
      <c r="B94" s="1214"/>
      <c r="C94" s="1215"/>
      <c r="D94" s="268" t="s">
        <v>155</v>
      </c>
      <c r="E94" s="56">
        <f>'29'!F100</f>
        <v>4225</v>
      </c>
      <c r="F94" s="267">
        <v>2507</v>
      </c>
      <c r="G94" s="325">
        <f t="shared" si="8"/>
        <v>-1718</v>
      </c>
      <c r="H94" s="57">
        <f>G94+'29'!H100</f>
        <v>-1730</v>
      </c>
      <c r="I94" s="69"/>
      <c r="J94" s="58">
        <f>H94/DAY(B2)</f>
        <v>-57.666666666666664</v>
      </c>
      <c r="K94" s="88"/>
      <c r="L94" s="117"/>
    </row>
    <row r="95" spans="1:12" ht="23.25" customHeight="1">
      <c r="A95" s="1464" t="s">
        <v>227</v>
      </c>
      <c r="B95" s="1465"/>
      <c r="C95" s="1466"/>
      <c r="D95" s="274"/>
      <c r="E95" s="453"/>
      <c r="F95" s="274"/>
      <c r="G95" s="448">
        <f>SUM(G89:G94)</f>
        <v>-102327</v>
      </c>
      <c r="H95" s="57">
        <f>G95+'29'!H101</f>
        <v>-102738</v>
      </c>
      <c r="I95" s="140"/>
      <c r="J95" s="58">
        <f>H95/DAY(B2)</f>
        <v>-3424.6</v>
      </c>
      <c r="K95" s="88"/>
      <c r="L95" s="117"/>
    </row>
    <row r="96" spans="1:12" ht="23.25" customHeight="1">
      <c r="A96" s="1467" t="s">
        <v>241</v>
      </c>
      <c r="B96" s="1468"/>
      <c r="C96" s="1469"/>
      <c r="D96" s="474"/>
      <c r="E96" s="474"/>
      <c r="F96" s="474"/>
      <c r="G96" s="425"/>
      <c r="H96" s="425"/>
      <c r="I96" s="425"/>
      <c r="J96" s="425"/>
      <c r="K96" s="88"/>
      <c r="L96" s="117"/>
    </row>
    <row r="97" spans="1:12" ht="23.25" customHeight="1">
      <c r="A97" s="385" t="s">
        <v>242</v>
      </c>
      <c r="B97" s="386"/>
      <c r="C97" s="387"/>
      <c r="D97" s="319" t="s">
        <v>152</v>
      </c>
      <c r="E97" s="452">
        <f>'29'!F123</f>
        <v>802782.99</v>
      </c>
      <c r="F97" s="275">
        <v>650192.71</v>
      </c>
      <c r="G97" s="325">
        <f t="shared" ref="G97:G101" si="9">F97-E97</f>
        <v>-152590.28000000003</v>
      </c>
      <c r="H97" s="57">
        <f>G97+'29'!H123</f>
        <v>-153142.69000000006</v>
      </c>
      <c r="I97" s="87"/>
      <c r="J97" s="58">
        <f>H97/DAY(B2)</f>
        <v>-5104.7563333333355</v>
      </c>
      <c r="K97" s="88"/>
      <c r="L97" s="117"/>
    </row>
    <row r="98" spans="1:12" ht="23.25" customHeight="1">
      <c r="A98" s="385" t="s">
        <v>243</v>
      </c>
      <c r="B98" s="386"/>
      <c r="C98" s="387"/>
      <c r="D98" s="319" t="s">
        <v>152</v>
      </c>
      <c r="E98" s="56">
        <f>'29'!F124</f>
        <v>73582</v>
      </c>
      <c r="F98" s="275">
        <v>51370</v>
      </c>
      <c r="G98" s="325">
        <f t="shared" si="9"/>
        <v>-22212</v>
      </c>
      <c r="H98" s="57">
        <f>G98+'29'!H124</f>
        <v>-22212</v>
      </c>
      <c r="I98" s="389"/>
      <c r="J98" s="58">
        <f>H98/DAY(B2)</f>
        <v>-740.4</v>
      </c>
      <c r="K98" s="88"/>
      <c r="L98" s="117"/>
    </row>
    <row r="99" spans="1:12" ht="23.25" customHeight="1">
      <c r="A99" s="1475" t="s">
        <v>244</v>
      </c>
      <c r="B99" s="1476"/>
      <c r="C99" s="1477"/>
      <c r="D99" s="268" t="s">
        <v>152</v>
      </c>
      <c r="E99" s="56">
        <f>'29'!F125</f>
        <v>137739.76999999999</v>
      </c>
      <c r="F99" s="264">
        <v>83294.490000000005</v>
      </c>
      <c r="G99" s="325">
        <f t="shared" si="9"/>
        <v>-54445.279999999984</v>
      </c>
      <c r="H99" s="57">
        <f>G99+'29'!H125</f>
        <v>-54553.509999999995</v>
      </c>
      <c r="I99" s="389"/>
      <c r="J99" s="58">
        <f>H99/DAY(B2)</f>
        <v>-1818.4503333333332</v>
      </c>
      <c r="K99" s="88"/>
      <c r="L99" s="117"/>
    </row>
    <row r="100" spans="1:12" ht="23.25" customHeight="1">
      <c r="A100" s="416" t="s">
        <v>245</v>
      </c>
      <c r="B100" s="1214"/>
      <c r="C100" s="1215"/>
      <c r="D100" s="268" t="s">
        <v>152</v>
      </c>
      <c r="E100" s="56">
        <f>'29'!F126</f>
        <v>58320</v>
      </c>
      <c r="F100" s="264">
        <v>39666</v>
      </c>
      <c r="G100" s="325">
        <f t="shared" si="9"/>
        <v>-18654</v>
      </c>
      <c r="H100" s="57">
        <f>G100+'29'!H126</f>
        <v>-18725.699999999997</v>
      </c>
      <c r="I100" s="389"/>
      <c r="J100" s="58">
        <f>H100/DAY(B2)</f>
        <v>-624.18999999999994</v>
      </c>
      <c r="K100" s="88"/>
      <c r="L100" s="117"/>
    </row>
    <row r="101" spans="1:12" ht="23.25" customHeight="1">
      <c r="A101" s="416" t="s">
        <v>246</v>
      </c>
      <c r="B101" s="1214"/>
      <c r="C101" s="1215"/>
      <c r="D101" s="268" t="s">
        <v>152</v>
      </c>
      <c r="E101" s="56">
        <f>'29'!F127</f>
        <v>8807</v>
      </c>
      <c r="F101" s="264">
        <v>6221.3</v>
      </c>
      <c r="G101" s="325">
        <f t="shared" si="9"/>
        <v>-2585.6999999999998</v>
      </c>
      <c r="H101" s="57">
        <f>G101+'29'!H127</f>
        <v>-2594.6999999999998</v>
      </c>
      <c r="I101" s="326"/>
      <c r="J101" s="314">
        <f>H101/DAY(B2)</f>
        <v>-86.49</v>
      </c>
      <c r="K101" s="88"/>
      <c r="L101" s="117"/>
    </row>
    <row r="102" spans="1:12" ht="23.25" customHeight="1">
      <c r="A102" s="1470" t="s">
        <v>261</v>
      </c>
      <c r="B102" s="1471"/>
      <c r="C102" s="474"/>
      <c r="D102" s="474"/>
      <c r="E102" s="454"/>
      <c r="F102" s="474"/>
      <c r="G102" s="425"/>
      <c r="H102" s="425"/>
      <c r="I102" s="425"/>
      <c r="J102" s="425"/>
      <c r="K102" s="88"/>
      <c r="L102" s="117"/>
    </row>
    <row r="103" spans="1:12" ht="23.25" customHeight="1">
      <c r="A103" s="1472" t="s">
        <v>262</v>
      </c>
      <c r="B103" s="1473"/>
      <c r="C103" s="1474"/>
      <c r="D103" s="268" t="s">
        <v>143</v>
      </c>
      <c r="E103" s="268"/>
      <c r="F103" s="268"/>
      <c r="G103" s="277">
        <f>G34+G42+G48+G56</f>
        <v>641377.42999999982</v>
      </c>
      <c r="H103" s="57">
        <f>G103+'29'!H142</f>
        <v>629117.5399999998</v>
      </c>
      <c r="I103" s="69"/>
      <c r="J103" s="58">
        <f>H103/DAY(B2)</f>
        <v>20970.584666666658</v>
      </c>
      <c r="K103" s="88"/>
      <c r="L103" s="117"/>
    </row>
    <row r="104" spans="1:12" ht="23.25" customHeight="1">
      <c r="A104" s="1472" t="s">
        <v>263</v>
      </c>
      <c r="B104" s="1473"/>
      <c r="C104" s="1474"/>
      <c r="D104" s="268" t="s">
        <v>24</v>
      </c>
      <c r="E104" s="269"/>
      <c r="F104" s="269"/>
      <c r="G104" s="280">
        <f>G103/G7</f>
        <v>-2.7298685539487213</v>
      </c>
      <c r="H104" s="57">
        <f>G104+'29'!H143</f>
        <v>4.7824944663862956</v>
      </c>
      <c r="I104" s="84"/>
      <c r="J104" s="58">
        <f>H104/DAY(B2)</f>
        <v>0.15941648221287652</v>
      </c>
      <c r="K104" s="111"/>
      <c r="L104" s="117"/>
    </row>
    <row r="105" spans="1:12" ht="23.25" customHeight="1">
      <c r="A105" s="1472" t="s">
        <v>264</v>
      </c>
      <c r="B105" s="1473"/>
      <c r="C105" s="1474"/>
      <c r="D105" s="268" t="s">
        <v>143</v>
      </c>
      <c r="E105" s="265"/>
      <c r="F105" s="265"/>
      <c r="G105" s="277">
        <f>G40+G41+G54+G55</f>
        <v>2773280.8899999997</v>
      </c>
      <c r="H105" s="57">
        <f>G105+'29'!H144</f>
        <v>2829758.8799999994</v>
      </c>
      <c r="I105" s="69"/>
      <c r="J105" s="58">
        <f>H105/DAY(B2)</f>
        <v>94325.295999999988</v>
      </c>
      <c r="K105" s="111"/>
      <c r="L105" s="117"/>
    </row>
    <row r="106" spans="1:12" ht="23.25" customHeight="1">
      <c r="A106" s="1472" t="s">
        <v>265</v>
      </c>
      <c r="B106" s="1473"/>
      <c r="C106" s="1474"/>
      <c r="D106" s="268" t="s">
        <v>24</v>
      </c>
      <c r="E106" s="265"/>
      <c r="F106" s="265"/>
      <c r="G106" s="280">
        <f>G105/G7</f>
        <v>-11.803802158859758</v>
      </c>
      <c r="H106" s="57">
        <f>G106+'29'!H145</f>
        <v>-5.7126554377793113</v>
      </c>
      <c r="I106" s="84"/>
      <c r="J106" s="58">
        <f>H106/DAY(B2)</f>
        <v>-0.19042184792597705</v>
      </c>
      <c r="K106" s="111"/>
      <c r="L106" s="117"/>
    </row>
    <row r="107" spans="1:12" ht="23.25" customHeight="1">
      <c r="A107" s="1472" t="s">
        <v>266</v>
      </c>
      <c r="B107" s="1473"/>
      <c r="C107" s="1474"/>
      <c r="D107" s="268" t="s">
        <v>143</v>
      </c>
      <c r="E107" s="265"/>
      <c r="F107" s="265"/>
      <c r="G107" s="277">
        <f>G38+G52</f>
        <v>1785156.7200000002</v>
      </c>
      <c r="H107" s="57">
        <f>G107+'29'!H146</f>
        <v>2689271.42</v>
      </c>
      <c r="I107" s="86"/>
      <c r="J107" s="58">
        <f>H107/DAY(B2)</f>
        <v>89642.380666666664</v>
      </c>
      <c r="K107" s="111"/>
      <c r="L107" s="117"/>
    </row>
    <row r="108" spans="1:12" ht="23.25" customHeight="1">
      <c r="A108" s="1472" t="s">
        <v>267</v>
      </c>
      <c r="B108" s="1473"/>
      <c r="C108" s="1474"/>
      <c r="D108" s="268" t="s">
        <v>24</v>
      </c>
      <c r="E108" s="265"/>
      <c r="F108" s="265"/>
      <c r="G108" s="280">
        <f>G107/G7</f>
        <v>-7.5980896206438766</v>
      </c>
      <c r="H108" s="57">
        <f>G108+'29'!H147</f>
        <v>-2.8406859014708914</v>
      </c>
      <c r="I108" s="86"/>
      <c r="J108" s="58">
        <f>H108/DAY(B2)</f>
        <v>-9.4689530049029719E-2</v>
      </c>
    </row>
    <row r="109" spans="1:12" ht="23.25" customHeight="1">
      <c r="A109" s="1472" t="s">
        <v>268</v>
      </c>
      <c r="B109" s="1473"/>
      <c r="C109" s="1474"/>
      <c r="D109" s="268" t="s">
        <v>194</v>
      </c>
      <c r="E109" s="265"/>
      <c r="F109" s="265"/>
      <c r="G109" s="277">
        <f>G37+G51</f>
        <v>1279050.75</v>
      </c>
      <c r="H109" s="57">
        <f>G109+'29'!H148</f>
        <v>1425660.2</v>
      </c>
      <c r="I109" s="69"/>
      <c r="J109" s="58">
        <f>H109/DAY(B2)</f>
        <v>47522.006666666668</v>
      </c>
      <c r="K109" s="153"/>
    </row>
    <row r="110" spans="1:12" ht="23.25" customHeight="1">
      <c r="A110" s="1472" t="s">
        <v>269</v>
      </c>
      <c r="B110" s="1473"/>
      <c r="C110" s="1474"/>
      <c r="D110" s="268" t="s">
        <v>24</v>
      </c>
      <c r="E110" s="265"/>
      <c r="F110" s="265"/>
      <c r="G110" s="280">
        <f>G109/G7</f>
        <v>-5.4439714558236458</v>
      </c>
      <c r="H110" s="57">
        <f>G110+'29'!H149</f>
        <v>-2.7167680088613997</v>
      </c>
      <c r="I110" s="86"/>
      <c r="J110" s="58">
        <f>H110/DAY(B2)</f>
        <v>-9.0558933628713326E-2</v>
      </c>
    </row>
    <row r="111" spans="1:12" ht="23.25" customHeight="1">
      <c r="A111" s="1472" t="s">
        <v>270</v>
      </c>
      <c r="B111" s="1473"/>
      <c r="C111" s="1474"/>
      <c r="D111" s="268" t="s">
        <v>194</v>
      </c>
      <c r="E111" s="265"/>
      <c r="F111" s="265"/>
      <c r="G111" s="277">
        <f>G35+G49</f>
        <v>760322.52</v>
      </c>
      <c r="H111" s="57">
        <f>G111+'29'!H150</f>
        <v>757067.46</v>
      </c>
      <c r="I111" s="86"/>
      <c r="J111" s="58">
        <f>H111/DAY(B2)</f>
        <v>25235.581999999999</v>
      </c>
    </row>
    <row r="112" spans="1:12" ht="23.25" customHeight="1">
      <c r="A112" s="1472" t="s">
        <v>271</v>
      </c>
      <c r="B112" s="1473"/>
      <c r="C112" s="1474"/>
      <c r="D112" s="268" t="s">
        <v>24</v>
      </c>
      <c r="E112" s="265"/>
      <c r="F112" s="265"/>
      <c r="G112" s="280">
        <f>G111/G7</f>
        <v>-3.2361296814062328</v>
      </c>
      <c r="H112" s="57">
        <f>G112+'29'!H151</f>
        <v>-0.43014408347732092</v>
      </c>
      <c r="I112" s="69"/>
      <c r="J112" s="58">
        <f>H112/DAY(B2)</f>
        <v>-1.4338136115910697E-2</v>
      </c>
    </row>
    <row r="113" spans="1:10" ht="23.25" customHeight="1">
      <c r="A113" s="1472" t="s">
        <v>272</v>
      </c>
      <c r="B113" s="1473"/>
      <c r="C113" s="1474"/>
      <c r="D113" s="268" t="s">
        <v>194</v>
      </c>
      <c r="E113" s="265"/>
      <c r="F113" s="265"/>
      <c r="G113" s="277">
        <f>G36+G50</f>
        <v>422709.93999999994</v>
      </c>
      <c r="H113" s="57">
        <f>G113+'29'!H152</f>
        <v>834711.2</v>
      </c>
      <c r="I113" s="69"/>
      <c r="J113" s="58">
        <f>H113/DAY(B2)</f>
        <v>27823.706666666665</v>
      </c>
    </row>
    <row r="114" spans="1:10" ht="23.25" customHeight="1">
      <c r="A114" s="1472" t="s">
        <v>273</v>
      </c>
      <c r="B114" s="1473"/>
      <c r="C114" s="1474"/>
      <c r="D114" s="268" t="s">
        <v>24</v>
      </c>
      <c r="E114" s="265"/>
      <c r="F114" s="265"/>
      <c r="G114" s="280">
        <f>G113/G7</f>
        <v>-1.7991630492010779</v>
      </c>
      <c r="H114" s="57">
        <f>G114+'29'!H153</f>
        <v>-0.26128673733578101</v>
      </c>
      <c r="I114" s="69"/>
      <c r="J114" s="58">
        <f>H114/DAY(B2)</f>
        <v>-8.7095579111927009E-3</v>
      </c>
    </row>
    <row r="115" spans="1:10" ht="23.25" customHeight="1">
      <c r="A115" s="422" t="s">
        <v>248</v>
      </c>
      <c r="B115" s="422"/>
      <c r="C115" s="422"/>
      <c r="D115" s="422"/>
      <c r="E115" s="422"/>
      <c r="F115" s="422"/>
      <c r="G115" s="436"/>
      <c r="H115" s="436"/>
      <c r="I115" s="436"/>
      <c r="J115" s="436"/>
    </row>
    <row r="116" spans="1:10" ht="23.25" customHeight="1">
      <c r="A116" s="475" t="s">
        <v>249</v>
      </c>
      <c r="B116" s="475"/>
      <c r="C116" s="475"/>
      <c r="D116" s="268" t="s">
        <v>250</v>
      </c>
      <c r="E116" s="452">
        <f>'29'!F130</f>
        <v>0</v>
      </c>
      <c r="F116" s="267">
        <v>0</v>
      </c>
      <c r="G116" s="325">
        <f t="shared" ref="G116:G126" si="10">F116-E116</f>
        <v>0</v>
      </c>
      <c r="H116" s="57">
        <f>G116+'29'!H130</f>
        <v>0</v>
      </c>
      <c r="I116" s="69"/>
      <c r="J116" s="58">
        <f>H116/DAY(B2)</f>
        <v>0</v>
      </c>
    </row>
    <row r="117" spans="1:10" ht="23.25" customHeight="1">
      <c r="A117" s="475" t="s">
        <v>251</v>
      </c>
      <c r="B117" s="475"/>
      <c r="C117" s="475"/>
      <c r="D117" s="268" t="s">
        <v>250</v>
      </c>
      <c r="E117" s="56">
        <f>'29'!F131</f>
        <v>0</v>
      </c>
      <c r="F117" s="267">
        <v>0</v>
      </c>
      <c r="G117" s="325">
        <f t="shared" si="10"/>
        <v>0</v>
      </c>
      <c r="H117" s="57">
        <f>G117+'29'!H131</f>
        <v>0</v>
      </c>
      <c r="I117" s="69"/>
      <c r="J117" s="58">
        <f>H117/DAY(B2)</f>
        <v>0</v>
      </c>
    </row>
    <row r="118" spans="1:10" ht="23.25" customHeight="1">
      <c r="A118" s="475" t="s">
        <v>252</v>
      </c>
      <c r="B118" s="475"/>
      <c r="C118" s="475"/>
      <c r="D118" s="268" t="s">
        <v>250</v>
      </c>
      <c r="E118" s="56">
        <f>'29'!F132</f>
        <v>39056.54</v>
      </c>
      <c r="F118" s="267">
        <v>36196</v>
      </c>
      <c r="G118" s="325">
        <f t="shared" si="10"/>
        <v>-2860.5400000000009</v>
      </c>
      <c r="H118" s="57">
        <f>G118+'29'!H132</f>
        <v>-2522.3900000000067</v>
      </c>
      <c r="I118" s="69"/>
      <c r="J118" s="58">
        <f>H118/DAY(B2)</f>
        <v>-84.079666666666895</v>
      </c>
    </row>
    <row r="119" spans="1:10" ht="23.25" customHeight="1">
      <c r="A119" s="475" t="s">
        <v>253</v>
      </c>
      <c r="B119" s="475"/>
      <c r="C119" s="475"/>
      <c r="D119" s="268" t="s">
        <v>250</v>
      </c>
      <c r="E119" s="56">
        <f>'29'!F133</f>
        <v>299</v>
      </c>
      <c r="F119" s="267">
        <v>32397.32</v>
      </c>
      <c r="G119" s="325">
        <f t="shared" si="10"/>
        <v>32098.32</v>
      </c>
      <c r="H119" s="57">
        <f>G119+'29'!H133</f>
        <v>32098.32</v>
      </c>
      <c r="I119" s="69">
        <f>G116+G117+G118+G119</f>
        <v>29237.78</v>
      </c>
      <c r="J119" s="58">
        <f>H119/DAY(B2)</f>
        <v>1069.944</v>
      </c>
    </row>
    <row r="120" spans="1:10" ht="23.25" customHeight="1">
      <c r="A120" s="475" t="s">
        <v>254</v>
      </c>
      <c r="B120" s="475"/>
      <c r="C120" s="475"/>
      <c r="D120" s="268" t="s">
        <v>250</v>
      </c>
      <c r="E120" s="56">
        <f>'29'!F134</f>
        <v>39951</v>
      </c>
      <c r="F120" s="267">
        <v>30495.25</v>
      </c>
      <c r="G120" s="325">
        <f t="shared" si="10"/>
        <v>-9455.75</v>
      </c>
      <c r="H120" s="57">
        <f>G120+'29'!H134</f>
        <v>-9431.8000000000029</v>
      </c>
      <c r="I120" s="69"/>
      <c r="J120" s="58">
        <f>H120/DAY(B2)</f>
        <v>-314.39333333333343</v>
      </c>
    </row>
    <row r="121" spans="1:10" ht="23.25" customHeight="1">
      <c r="A121" s="475" t="s">
        <v>255</v>
      </c>
      <c r="B121" s="475"/>
      <c r="C121" s="475"/>
      <c r="D121" s="268" t="s">
        <v>250</v>
      </c>
      <c r="E121" s="56">
        <f>'29'!F135</f>
        <v>32423</v>
      </c>
      <c r="F121" s="267">
        <v>25683.26</v>
      </c>
      <c r="G121" s="325">
        <f t="shared" si="10"/>
        <v>-6739.7400000000016</v>
      </c>
      <c r="H121" s="57">
        <f>G121+'29'!H135</f>
        <v>-6726.7400000000016</v>
      </c>
      <c r="I121" s="69"/>
      <c r="J121" s="58">
        <f>H121/DAY(B2)</f>
        <v>-224.22466666666671</v>
      </c>
    </row>
    <row r="122" spans="1:10" ht="23.25" customHeight="1">
      <c r="A122" s="475" t="s">
        <v>256</v>
      </c>
      <c r="B122" s="475"/>
      <c r="C122" s="475"/>
      <c r="D122" s="268" t="s">
        <v>250</v>
      </c>
      <c r="E122" s="56">
        <f>'29'!F136</f>
        <v>21988.73</v>
      </c>
      <c r="F122" s="267">
        <v>21285.49</v>
      </c>
      <c r="G122" s="325">
        <f t="shared" si="10"/>
        <v>-703.23999999999796</v>
      </c>
      <c r="H122" s="57">
        <f>G122+'29'!H136</f>
        <v>-716.46999999999753</v>
      </c>
      <c r="I122" s="69">
        <f>G120+G121+G122</f>
        <v>-16898.73</v>
      </c>
      <c r="J122" s="58">
        <f>H122/DAY(B2)</f>
        <v>-23.88233333333325</v>
      </c>
    </row>
    <row r="123" spans="1:10" ht="23.25" customHeight="1">
      <c r="A123" s="475" t="s">
        <v>257</v>
      </c>
      <c r="B123" s="475"/>
      <c r="C123" s="475"/>
      <c r="D123" s="268" t="s">
        <v>250</v>
      </c>
      <c r="E123" s="56">
        <f>'29'!F137</f>
        <v>25019.94</v>
      </c>
      <c r="F123" s="267">
        <v>22354.720000000001</v>
      </c>
      <c r="G123" s="325">
        <f t="shared" si="10"/>
        <v>-2665.2199999999975</v>
      </c>
      <c r="H123" s="57">
        <f>G123+'29'!H137</f>
        <v>-2657.2199999999975</v>
      </c>
      <c r="I123" s="69"/>
      <c r="J123" s="58">
        <f>H123/DAY(B2)</f>
        <v>-88.573999999999913</v>
      </c>
    </row>
    <row r="124" spans="1:10" ht="23.25" customHeight="1">
      <c r="A124" s="475" t="s">
        <v>258</v>
      </c>
      <c r="B124" s="475"/>
      <c r="C124" s="475"/>
      <c r="D124" s="268" t="s">
        <v>250</v>
      </c>
      <c r="E124" s="56">
        <f>'29'!F138</f>
        <v>70059.78</v>
      </c>
      <c r="F124" s="267">
        <v>64789.37</v>
      </c>
      <c r="G124" s="325">
        <f t="shared" si="10"/>
        <v>-5270.4099999999962</v>
      </c>
      <c r="H124" s="57">
        <f>G124+'29'!H138</f>
        <v>-5253.43</v>
      </c>
      <c r="I124" s="69">
        <f>G123+G124</f>
        <v>-7935.6299999999937</v>
      </c>
      <c r="J124" s="58">
        <f>H124/DAY(B2)</f>
        <v>-175.11433333333335</v>
      </c>
    </row>
    <row r="125" spans="1:10" ht="23.25" customHeight="1">
      <c r="A125" s="475" t="s">
        <v>259</v>
      </c>
      <c r="B125" s="475"/>
      <c r="C125" s="475"/>
      <c r="D125" s="268" t="s">
        <v>250</v>
      </c>
      <c r="E125" s="56">
        <f>'29'!F139</f>
        <v>1184.42</v>
      </c>
      <c r="F125" s="267">
        <v>17.899999999999999</v>
      </c>
      <c r="G125" s="325">
        <f t="shared" si="10"/>
        <v>-1166.52</v>
      </c>
      <c r="H125" s="57">
        <f>G125+'29'!H139</f>
        <v>-1182.6899999999998</v>
      </c>
      <c r="J125" s="58">
        <f>H125/DAY(B2)</f>
        <v>-39.422999999999995</v>
      </c>
    </row>
    <row r="126" spans="1:10" ht="23.25" customHeight="1" thickBot="1">
      <c r="A126" s="475" t="s">
        <v>260</v>
      </c>
      <c r="B126" s="475"/>
      <c r="C126" s="475"/>
      <c r="D126" s="268" t="s">
        <v>250</v>
      </c>
      <c r="E126" s="455">
        <f>'29'!F140</f>
        <v>4334</v>
      </c>
      <c r="F126" s="267">
        <v>603.07000000000005</v>
      </c>
      <c r="G126" s="325">
        <f t="shared" si="10"/>
        <v>-3730.93</v>
      </c>
      <c r="H126" s="57">
        <f>G126+'29'!H140</f>
        <v>-3730.93</v>
      </c>
      <c r="J126" s="58">
        <f>H126/DAY(B2)</f>
        <v>-124.36433333333333</v>
      </c>
    </row>
  </sheetData>
  <mergeCells count="49">
    <mergeCell ref="A114:C114"/>
    <mergeCell ref="A108:C108"/>
    <mergeCell ref="A109:C109"/>
    <mergeCell ref="A110:C110"/>
    <mergeCell ref="A111:C111"/>
    <mergeCell ref="A112:C112"/>
    <mergeCell ref="A113:C113"/>
    <mergeCell ref="A107:C107"/>
    <mergeCell ref="A87:C87"/>
    <mergeCell ref="A88:C88"/>
    <mergeCell ref="A89:C89"/>
    <mergeCell ref="A95:C95"/>
    <mergeCell ref="A96:C96"/>
    <mergeCell ref="A99:C99"/>
    <mergeCell ref="A102:B102"/>
    <mergeCell ref="A103:C103"/>
    <mergeCell ref="A104:C104"/>
    <mergeCell ref="A105:C105"/>
    <mergeCell ref="A106:C106"/>
    <mergeCell ref="A86:C86"/>
    <mergeCell ref="A71:C71"/>
    <mergeCell ref="A72:C72"/>
    <mergeCell ref="A73:C73"/>
    <mergeCell ref="A74:C74"/>
    <mergeCell ref="A75:C75"/>
    <mergeCell ref="A76:C76"/>
    <mergeCell ref="A78:C78"/>
    <mergeCell ref="A79:C79"/>
    <mergeCell ref="A80:C80"/>
    <mergeCell ref="A81:C81"/>
    <mergeCell ref="A82:C82"/>
    <mergeCell ref="A70:J70"/>
    <mergeCell ref="A19:C19"/>
    <mergeCell ref="A21:C21"/>
    <mergeCell ref="A25:C25"/>
    <mergeCell ref="A32:J32"/>
    <mergeCell ref="A63:C63"/>
    <mergeCell ref="A64:C64"/>
    <mergeCell ref="A65:C65"/>
    <mergeCell ref="A66:C66"/>
    <mergeCell ref="A67:C67"/>
    <mergeCell ref="A68:C68"/>
    <mergeCell ref="A69:C69"/>
    <mergeCell ref="A18:C18"/>
    <mergeCell ref="A1:J1"/>
    <mergeCell ref="E3:F3"/>
    <mergeCell ref="A6:C6"/>
    <mergeCell ref="A14:C14"/>
    <mergeCell ref="A17:C17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3:I7"/>
  <sheetViews>
    <sheetView workbookViewId="0">
      <selection activeCell="A37" sqref="A37"/>
    </sheetView>
  </sheetViews>
  <sheetFormatPr defaultRowHeight="15.75"/>
  <sheetData>
    <row r="3" spans="1:9">
      <c r="A3" s="213">
        <f>'1'!G7</f>
        <v>19291</v>
      </c>
      <c r="B3" s="213"/>
      <c r="C3" s="213"/>
      <c r="D3" s="213"/>
      <c r="E3" s="213"/>
      <c r="F3" s="213"/>
      <c r="G3" s="213"/>
      <c r="H3" s="213"/>
      <c r="I3" s="213"/>
    </row>
    <row r="4" spans="1:9">
      <c r="A4" s="213">
        <f>'2'!G7</f>
        <v>19381</v>
      </c>
      <c r="B4" s="213"/>
    </row>
    <row r="5" spans="1:9">
      <c r="A5" s="213">
        <f>'3'!G7</f>
        <v>19375</v>
      </c>
    </row>
    <row r="6" spans="1:9">
      <c r="A6" s="213">
        <f>'4'!G7</f>
        <v>18251</v>
      </c>
    </row>
    <row r="7" spans="1:9">
      <c r="A7" s="213">
        <f>'5'!G7</f>
        <v>18524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40</vt:i4>
      </vt:variant>
      <vt:variant>
        <vt:lpstr>Named Ranges</vt:lpstr>
      </vt:variant>
      <vt:variant>
        <vt:i4>26</vt:i4>
      </vt:variant>
    </vt:vector>
  </HeadingPairs>
  <TitlesOfParts>
    <vt:vector size="66" baseType="lpstr">
      <vt:lpstr>TOTAL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Sheet2</vt:lpstr>
      <vt:lpstr>Sheet3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'30'!Print_Area</vt:lpstr>
      <vt:lpstr>'31'!Print_Area</vt:lpstr>
      <vt:lpstr>'4'!Print_Area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Ramesh.Kadam</cp:lastModifiedBy>
  <cp:revision/>
  <dcterms:created xsi:type="dcterms:W3CDTF">2013-11-14T06:06:34Z</dcterms:created>
  <dcterms:modified xsi:type="dcterms:W3CDTF">2021-02-19T19:27:16Z</dcterms:modified>
</cp:coreProperties>
</file>