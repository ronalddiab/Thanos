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Ritz Lisbon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I13" i="1" l="1"/>
  <c r="I14" i="1"/>
  <c r="I15" i="1"/>
  <c r="I16" i="1"/>
  <c r="I17" i="1"/>
  <c r="I18" i="1"/>
  <c r="I19" i="1"/>
  <c r="I20" i="1"/>
  <c r="I21" i="1"/>
  <c r="I12" i="1"/>
  <c r="G13" i="1"/>
  <c r="G14" i="1"/>
  <c r="G15" i="1"/>
  <c r="G16" i="1"/>
  <c r="G17" i="1"/>
  <c r="G18" i="1"/>
  <c r="G19" i="1"/>
  <c r="G20" i="1"/>
  <c r="G21" i="1"/>
  <c r="G12" i="1"/>
  <c r="E13" i="1"/>
  <c r="E14" i="1"/>
  <c r="E15" i="1"/>
  <c r="E16" i="1"/>
  <c r="E17" i="1"/>
  <c r="E18" i="1"/>
  <c r="E19" i="1"/>
  <c r="E20" i="1"/>
  <c r="E21" i="1"/>
  <c r="E12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2" i="1"/>
  <c r="E3" i="1"/>
  <c r="E4" i="1"/>
  <c r="E5" i="1"/>
  <c r="E6" i="1"/>
  <c r="E7" i="1"/>
  <c r="E8" i="1"/>
  <c r="E9" i="1"/>
  <c r="E10" i="1"/>
  <c r="E11" i="1"/>
  <c r="E2" i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<sst xmlns="http://schemas.openxmlformats.org/spreadsheetml/2006/main" count="42" uniqueCount="12">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</sst>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M15" sqref="M15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9</v>
      </c>
      <c r="H1" s="8" t="s">
        <v>10</v>
      </c>
      <c r="I1" s="7" t="s">
        <v>6</v>
      </c>
      <c r="J1" s="11" t="s">
        <v>7</v>
      </c>
      <c r="K1" s="7" t="s">
        <v>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1</v>
      </c>
      <c r="D2" s="2">
        <v>2020</v>
      </c>
      <c r="E2" s="4">
        <f>127290/10</f>
        <v>12729</v>
      </c>
      <c r="F2" s="9">
        <v>9.7000000000000003E-2</v>
      </c>
      <c r="G2" s="4">
        <f>14025/10</f>
        <v>1402.5</v>
      </c>
      <c r="H2" s="10">
        <v>0.52</v>
      </c>
      <c r="I2" s="4">
        <f>1052/10</f>
        <v>105.2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1</v>
      </c>
      <c r="D3" s="14">
        <v>2020</v>
      </c>
      <c r="E3" s="4">
        <f t="shared" ref="E3:E11" si="0">127290/10</f>
        <v>12729</v>
      </c>
      <c r="F3" s="9">
        <v>9.7000000000000003E-2</v>
      </c>
      <c r="G3" s="4">
        <f t="shared" ref="G3:G11" si="1">14025/10</f>
        <v>1402.5</v>
      </c>
      <c r="H3" s="14">
        <f t="shared" ref="H3:J3" si="2">H2</f>
        <v>0.52</v>
      </c>
      <c r="I3" s="4">
        <f t="shared" ref="I3:I11" si="3">1052/10</f>
        <v>105.2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1</v>
      </c>
      <c r="D4" s="14">
        <v>2020</v>
      </c>
      <c r="E4" s="4">
        <f t="shared" si="0"/>
        <v>12729</v>
      </c>
      <c r="F4" s="9">
        <v>9.7000000000000003E-2</v>
      </c>
      <c r="G4" s="4">
        <f t="shared" si="1"/>
        <v>1402.5</v>
      </c>
      <c r="H4" s="14">
        <f t="shared" ref="H4:H32" si="5">H3</f>
        <v>0.52</v>
      </c>
      <c r="I4" s="4">
        <f t="shared" si="3"/>
        <v>105.2</v>
      </c>
      <c r="J4" s="14">
        <f t="shared" ref="J4:J32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1</v>
      </c>
      <c r="D5" s="14">
        <v>2020</v>
      </c>
      <c r="E5" s="4">
        <f t="shared" si="0"/>
        <v>12729</v>
      </c>
      <c r="F5" s="9">
        <v>9.7000000000000003E-2</v>
      </c>
      <c r="G5" s="4">
        <f t="shared" si="1"/>
        <v>1402.5</v>
      </c>
      <c r="H5" s="14">
        <f t="shared" si="5"/>
        <v>0.52</v>
      </c>
      <c r="I5" s="4">
        <f t="shared" si="3"/>
        <v>105.2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1</v>
      </c>
      <c r="D6" s="14">
        <v>2020</v>
      </c>
      <c r="E6" s="4">
        <f t="shared" si="0"/>
        <v>12729</v>
      </c>
      <c r="F6" s="9">
        <v>9.7000000000000003E-2</v>
      </c>
      <c r="G6" s="4">
        <f t="shared" si="1"/>
        <v>1402.5</v>
      </c>
      <c r="H6" s="14">
        <f t="shared" si="5"/>
        <v>0.52</v>
      </c>
      <c r="I6" s="4">
        <f t="shared" si="3"/>
        <v>105.2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1</v>
      </c>
      <c r="D7" s="14">
        <v>2020</v>
      </c>
      <c r="E7" s="4">
        <f t="shared" si="0"/>
        <v>12729</v>
      </c>
      <c r="F7" s="9">
        <v>9.7000000000000003E-2</v>
      </c>
      <c r="G7" s="4">
        <f t="shared" si="1"/>
        <v>1402.5</v>
      </c>
      <c r="H7" s="14">
        <f t="shared" si="5"/>
        <v>0.52</v>
      </c>
      <c r="I7" s="4">
        <f t="shared" si="3"/>
        <v>105.2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1</v>
      </c>
      <c r="D8" s="14">
        <v>2020</v>
      </c>
      <c r="E8" s="4">
        <f t="shared" si="0"/>
        <v>12729</v>
      </c>
      <c r="F8" s="9">
        <v>9.7000000000000003E-2</v>
      </c>
      <c r="G8" s="4">
        <f t="shared" si="1"/>
        <v>1402.5</v>
      </c>
      <c r="H8" s="14">
        <f t="shared" si="5"/>
        <v>0.52</v>
      </c>
      <c r="I8" s="4">
        <f t="shared" si="3"/>
        <v>105.2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1</v>
      </c>
      <c r="D9" s="14">
        <v>2020</v>
      </c>
      <c r="E9" s="4">
        <f t="shared" si="0"/>
        <v>12729</v>
      </c>
      <c r="F9" s="9">
        <v>9.7000000000000003E-2</v>
      </c>
      <c r="G9" s="4">
        <f t="shared" si="1"/>
        <v>1402.5</v>
      </c>
      <c r="H9" s="14">
        <f t="shared" si="5"/>
        <v>0.52</v>
      </c>
      <c r="I9" s="4">
        <f t="shared" si="3"/>
        <v>105.2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1</v>
      </c>
      <c r="D10" s="14">
        <v>2020</v>
      </c>
      <c r="E10" s="4">
        <f t="shared" si="0"/>
        <v>12729</v>
      </c>
      <c r="F10" s="9">
        <v>9.7000000000000003E-2</v>
      </c>
      <c r="G10" s="4">
        <f t="shared" si="1"/>
        <v>1402.5</v>
      </c>
      <c r="H10" s="14">
        <f t="shared" si="5"/>
        <v>0.52</v>
      </c>
      <c r="I10" s="4">
        <f t="shared" si="3"/>
        <v>105.2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1</v>
      </c>
      <c r="D11" s="14">
        <v>2020</v>
      </c>
      <c r="E11" s="4">
        <f t="shared" si="0"/>
        <v>12729</v>
      </c>
      <c r="F11" s="9">
        <v>9.7000000000000003E-2</v>
      </c>
      <c r="G11" s="4">
        <f t="shared" si="1"/>
        <v>1402.5</v>
      </c>
      <c r="H11" s="14">
        <f t="shared" si="5"/>
        <v>0.52</v>
      </c>
      <c r="I11" s="4">
        <f t="shared" si="3"/>
        <v>105.2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1</v>
      </c>
      <c r="D12" s="14">
        <v>2020</v>
      </c>
      <c r="E12" s="4">
        <f>105748/10</f>
        <v>10574.8</v>
      </c>
      <c r="F12" s="9">
        <v>9.7000000000000003E-2</v>
      </c>
      <c r="G12" s="4">
        <f>12283/10</f>
        <v>1228.3</v>
      </c>
      <c r="H12" s="14">
        <f t="shared" si="5"/>
        <v>0.52</v>
      </c>
      <c r="I12" s="4">
        <f>809/10</f>
        <v>80.900000000000006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1</v>
      </c>
      <c r="D13" s="14">
        <v>2020</v>
      </c>
      <c r="E13" s="4">
        <f t="shared" ref="E13:E21" si="7">105748/10</f>
        <v>10574.8</v>
      </c>
      <c r="F13" s="9">
        <v>9.7000000000000003E-2</v>
      </c>
      <c r="G13" s="4">
        <f t="shared" ref="G13:G21" si="8">12283/10</f>
        <v>1228.3</v>
      </c>
      <c r="H13" s="14">
        <f t="shared" si="5"/>
        <v>0.52</v>
      </c>
      <c r="I13" s="4">
        <f t="shared" ref="I13:I21" si="9">809/10</f>
        <v>80.900000000000006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1</v>
      </c>
      <c r="D14" s="14">
        <v>2020</v>
      </c>
      <c r="E14" s="4">
        <f t="shared" si="7"/>
        <v>10574.8</v>
      </c>
      <c r="F14" s="9">
        <v>9.7000000000000003E-2</v>
      </c>
      <c r="G14" s="4">
        <f t="shared" si="8"/>
        <v>1228.3</v>
      </c>
      <c r="H14" s="14">
        <f t="shared" si="5"/>
        <v>0.52</v>
      </c>
      <c r="I14" s="4">
        <f t="shared" si="9"/>
        <v>80.900000000000006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1</v>
      </c>
      <c r="D15" s="14">
        <v>2020</v>
      </c>
      <c r="E15" s="4">
        <f t="shared" si="7"/>
        <v>10574.8</v>
      </c>
      <c r="F15" s="9">
        <v>9.7000000000000003E-2</v>
      </c>
      <c r="G15" s="4">
        <f t="shared" si="8"/>
        <v>1228.3</v>
      </c>
      <c r="H15" s="14">
        <f t="shared" si="5"/>
        <v>0.52</v>
      </c>
      <c r="I15" s="4">
        <f t="shared" si="9"/>
        <v>80.900000000000006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1</v>
      </c>
      <c r="D16" s="14">
        <v>2020</v>
      </c>
      <c r="E16" s="4">
        <f t="shared" si="7"/>
        <v>10574.8</v>
      </c>
      <c r="F16" s="9">
        <v>9.7000000000000003E-2</v>
      </c>
      <c r="G16" s="4">
        <f t="shared" si="8"/>
        <v>1228.3</v>
      </c>
      <c r="H16" s="14">
        <f t="shared" si="5"/>
        <v>0.52</v>
      </c>
      <c r="I16" s="4">
        <f t="shared" si="9"/>
        <v>80.900000000000006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1</v>
      </c>
      <c r="D17" s="14">
        <v>2020</v>
      </c>
      <c r="E17" s="4">
        <f t="shared" si="7"/>
        <v>10574.8</v>
      </c>
      <c r="F17" s="9">
        <v>9.7000000000000003E-2</v>
      </c>
      <c r="G17" s="4">
        <f t="shared" si="8"/>
        <v>1228.3</v>
      </c>
      <c r="H17" s="14">
        <f t="shared" si="5"/>
        <v>0.52</v>
      </c>
      <c r="I17" s="4">
        <f t="shared" si="9"/>
        <v>80.900000000000006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1</v>
      </c>
      <c r="D18" s="14">
        <v>2020</v>
      </c>
      <c r="E18" s="4">
        <f t="shared" si="7"/>
        <v>10574.8</v>
      </c>
      <c r="F18" s="9">
        <v>9.7000000000000003E-2</v>
      </c>
      <c r="G18" s="4">
        <f t="shared" si="8"/>
        <v>1228.3</v>
      </c>
      <c r="H18" s="14">
        <f t="shared" si="5"/>
        <v>0.52</v>
      </c>
      <c r="I18" s="4">
        <f t="shared" si="9"/>
        <v>80.900000000000006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1</v>
      </c>
      <c r="D19" s="14">
        <v>2020</v>
      </c>
      <c r="E19" s="4">
        <f t="shared" si="7"/>
        <v>10574.8</v>
      </c>
      <c r="F19" s="9">
        <v>9.7000000000000003E-2</v>
      </c>
      <c r="G19" s="4">
        <f t="shared" si="8"/>
        <v>1228.3</v>
      </c>
      <c r="H19" s="14">
        <f t="shared" si="5"/>
        <v>0.52</v>
      </c>
      <c r="I19" s="4">
        <f t="shared" si="9"/>
        <v>80.900000000000006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1</v>
      </c>
      <c r="D20" s="14">
        <v>2020</v>
      </c>
      <c r="E20" s="4">
        <f t="shared" si="7"/>
        <v>10574.8</v>
      </c>
      <c r="F20" s="9">
        <v>9.7000000000000003E-2</v>
      </c>
      <c r="G20" s="4">
        <f t="shared" si="8"/>
        <v>1228.3</v>
      </c>
      <c r="H20" s="14">
        <f t="shared" si="5"/>
        <v>0.52</v>
      </c>
      <c r="I20" s="4">
        <f t="shared" si="9"/>
        <v>80.900000000000006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1</v>
      </c>
      <c r="D21" s="14">
        <v>2020</v>
      </c>
      <c r="E21" s="4">
        <f t="shared" si="7"/>
        <v>10574.8</v>
      </c>
      <c r="F21" s="9">
        <v>9.7000000000000003E-2</v>
      </c>
      <c r="G21" s="4">
        <f t="shared" si="8"/>
        <v>1228.3</v>
      </c>
      <c r="H21" s="14">
        <f t="shared" si="5"/>
        <v>0.52</v>
      </c>
      <c r="I21" s="4">
        <f t="shared" si="9"/>
        <v>80.900000000000006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1</v>
      </c>
      <c r="D22" s="14">
        <v>2020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1</v>
      </c>
      <c r="D23" s="14">
        <v>2020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1</v>
      </c>
      <c r="D24" s="14">
        <v>2020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1</v>
      </c>
      <c r="D25" s="14">
        <v>2020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1</v>
      </c>
      <c r="D26" s="14">
        <v>2020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1</v>
      </c>
      <c r="D27" s="14">
        <v>2020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1</v>
      </c>
      <c r="D28" s="14">
        <v>2020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1</v>
      </c>
      <c r="D29" s="14">
        <v>2020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1</v>
      </c>
      <c r="D30" s="14">
        <v>2020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  <c r="K30" s="4"/>
    </row>
    <row r="31" spans="1:11" x14ac:dyDescent="0.25">
      <c r="A31" s="3" t="s">
        <v>11</v>
      </c>
      <c r="B31" s="2">
        <f t="shared" si="4"/>
        <v>30</v>
      </c>
      <c r="C31" s="14">
        <v>1</v>
      </c>
      <c r="D31" s="14">
        <v>2020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  <c r="K31" s="4"/>
    </row>
    <row r="32" spans="1:11" x14ac:dyDescent="0.25">
      <c r="A32" s="3" t="s">
        <v>11</v>
      </c>
      <c r="B32" s="2">
        <f t="shared" si="4"/>
        <v>31</v>
      </c>
      <c r="C32" s="14">
        <v>1</v>
      </c>
      <c r="D32" s="14">
        <v>2020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2020-01-30T10:37:19Z</dcterms:modified>
</cp:coreProperties>
</file>