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HEP\Four Seasons\Doha\"/>
    </mc:Choice>
  </mc:AlternateContent>
  <bookViews>
    <workbookView xWindow="0" yWindow="0" windowWidth="28800" windowHeight="12435"/>
  </bookViews>
  <sheets>
    <sheet name="TOTA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<sst xmlns="http://schemas.openxmlformats.org/spreadsheetml/2006/main" count="43" uniqueCount="13">
  <si>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</si>
  <si>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</si>
  <si>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</si>
  <si>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</si>
  <si>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</si>
  <si>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</si>
  <si>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</si>
  <si>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</si>
  <si>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</si>
  <si>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</si>
  <si>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Doha</t>
  </si>
  <si>
    <t xml:space="preserve">LPG (Kg) </t>
  </si>
  <si>
    <t>LPG $/Kg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</si>
</sst>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1" fillId="0" borderId="0" xfId="0" applyFont="1"/>
    <xf numFmtId="1" fontId="0" fillId="2" borderId="0" xfId="0" quotePrefix="1" applyNumberFormat="1" applyFill="1"/>
    <xf numFmtId="0" fontId="0" fillId="2" borderId="0" xfId="0" quotePrefix="1" applyFill="1"/>
    <xf numFmtId="2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N19" sqref="N19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9" customWidth="1"/>
    <col min="6" max="6" width="12.5703125" customWidth="1"/>
    <col min="7" max="7" width="11.5703125" customWidth="1"/>
    <col min="8" max="10" width="11.5703125" style="8" customWidth="1"/>
    <col min="11" max="246" width="11.5703125" customWidth="1"/>
    <col min="247" max="247" width="13.42578125" customWidth="1"/>
    <col min="248" max="249" width="12.5703125" customWidth="1"/>
    <col min="250" max="255" width="11.5703125" customWidth="1"/>
  </cols>
  <sheetData>
    <row r="1" spans="1:12" s="5" customFormat="1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10" t="s">
        <v>11</v>
      </c>
      <c r="J1" s="11" t="s">
        <v>12</v>
      </c>
      <c r="K1" s="3" t="s">
        <v>8</v>
      </c>
      <c r="L1" s="3" t="s">
        <v>9</v>
      </c>
    </row>
    <row r="2" spans="1:12" x14ac:dyDescent="0.25">
      <c r="A2" t="s">
        <v>10</v>
      </c>
      <c r="B2">
        <v>1</v>
      </c>
      <c r="C2">
        <v>1</v>
      </c>
      <c r="D2">
        <v>2019</v>
      </c>
      <c r="E2" s="6">
        <f>1434583/31</f>
        <v>46276.870967741932</v>
      </c>
      <c r="F2">
        <v>4.1000000000000002E-2</v>
      </c>
      <c r="G2" s="7">
        <f>10596/31</f>
        <v>341.80645161290323</v>
      </c>
      <c r="H2" s="8">
        <v>1.5571912601017661</v>
      </c>
      <c r="I2" s="8">
        <f>56963/31</f>
        <v>1837.516129032258</v>
      </c>
      <c r="J2" s="8">
        <v>0.29399999999999998</v>
      </c>
      <c r="K2" s="8">
        <f>4830/31</f>
        <v>155.80645161290323</v>
      </c>
      <c r="L2">
        <v>0</v>
      </c>
    </row>
    <row r="3" spans="1:12" x14ac:dyDescent="0.25">
      <c r="A3" t="s">
        <v>10</v>
      </c>
      <c r="B3">
        <f>B2+1</f>
        <v>2</v>
      </c>
      <c r="C3">
        <v>1</v>
      </c>
      <c r="D3">
        <v>2019</v>
      </c>
      <c r="E3" s="6">
        <f t="shared" ref="E3:E32" si="0">1434583/31</f>
        <v>46276.870967741932</v>
      </c>
      <c r="F3">
        <v>4.1000000000000002E-2</v>
      </c>
      <c r="G3" s="7">
        <f t="shared" ref="G3:G32" si="1">10596/31</f>
        <v>341.80645161290323</v>
      </c>
      <c r="H3" s="8">
        <v>1.5571912601017661</v>
      </c>
      <c r="I3" s="12">
        <f t="shared" ref="I3:I32" si="2">56963/31</f>
        <v>1837.516129032258</v>
      </c>
      <c r="J3" s="8">
        <f>J2</f>
        <v>0.29399999999999998</v>
      </c>
      <c r="K3" s="8">
        <f t="shared" ref="K3:K32" si="3">4830/31</f>
        <v>155.80645161290323</v>
      </c>
      <c r="L3">
        <v>0</v>
      </c>
    </row>
    <row r="4" spans="1:12" x14ac:dyDescent="0.25">
      <c r="A4" t="s">
        <v>10</v>
      </c>
      <c r="B4">
        <f t="shared" ref="B4:B32" si="4">B3+1</f>
        <v>3</v>
      </c>
      <c r="C4">
        <v>1</v>
      </c>
      <c r="D4">
        <v>2019</v>
      </c>
      <c r="E4" s="6">
        <f t="shared" si="0"/>
        <v>46276.870967741932</v>
      </c>
      <c r="F4">
        <v>4.1000000000000002E-2</v>
      </c>
      <c r="G4" s="7">
        <f t="shared" si="1"/>
        <v>341.80645161290323</v>
      </c>
      <c r="H4" s="8">
        <v>1.5571912601017661</v>
      </c>
      <c r="I4" s="12">
        <f t="shared" si="2"/>
        <v>1837.516129032258</v>
      </c>
      <c r="J4" s="12">
        <f t="shared" ref="J4:J32" si="5">J3</f>
        <v>0.29399999999999998</v>
      </c>
      <c r="K4" s="8">
        <f t="shared" si="3"/>
        <v>155.80645161290323</v>
      </c>
      <c r="L4">
        <v>0</v>
      </c>
    </row>
    <row r="5" spans="1:12" x14ac:dyDescent="0.25">
      <c r="A5" t="s">
        <v>10</v>
      </c>
      <c r="B5">
        <f t="shared" si="4"/>
        <v>4</v>
      </c>
      <c r="C5">
        <v>1</v>
      </c>
      <c r="D5">
        <v>2019</v>
      </c>
      <c r="E5" s="6">
        <f t="shared" si="0"/>
        <v>46276.870967741932</v>
      </c>
      <c r="F5">
        <v>4.1000000000000002E-2</v>
      </c>
      <c r="G5" s="7">
        <f t="shared" si="1"/>
        <v>341.80645161290323</v>
      </c>
      <c r="H5" s="8">
        <v>1.5571912601017661</v>
      </c>
      <c r="I5" s="12">
        <f t="shared" si="2"/>
        <v>1837.516129032258</v>
      </c>
      <c r="J5" s="12">
        <f t="shared" si="5"/>
        <v>0.29399999999999998</v>
      </c>
      <c r="K5" s="8">
        <f t="shared" si="3"/>
        <v>155.80645161290323</v>
      </c>
      <c r="L5">
        <v>0</v>
      </c>
    </row>
    <row r="6" spans="1:12" x14ac:dyDescent="0.25">
      <c r="A6" t="s">
        <v>10</v>
      </c>
      <c r="B6">
        <f t="shared" si="4"/>
        <v>5</v>
      </c>
      <c r="C6">
        <v>1</v>
      </c>
      <c r="D6">
        <v>2019</v>
      </c>
      <c r="E6" s="6">
        <f t="shared" si="0"/>
        <v>46276.870967741932</v>
      </c>
      <c r="F6">
        <v>4.1000000000000002E-2</v>
      </c>
      <c r="G6" s="7">
        <f t="shared" si="1"/>
        <v>341.80645161290323</v>
      </c>
      <c r="H6" s="8">
        <v>1.5571912601017661</v>
      </c>
      <c r="I6" s="12">
        <f t="shared" si="2"/>
        <v>1837.516129032258</v>
      </c>
      <c r="J6" s="12">
        <f t="shared" si="5"/>
        <v>0.29399999999999998</v>
      </c>
      <c r="K6" s="8">
        <f t="shared" si="3"/>
        <v>155.80645161290323</v>
      </c>
      <c r="L6">
        <v>0</v>
      </c>
    </row>
    <row r="7" spans="1:12" x14ac:dyDescent="0.25">
      <c r="A7" t="s">
        <v>10</v>
      </c>
      <c r="B7">
        <f t="shared" si="4"/>
        <v>6</v>
      </c>
      <c r="C7">
        <v>1</v>
      </c>
      <c r="D7">
        <v>2019</v>
      </c>
      <c r="E7" s="6">
        <f t="shared" si="0"/>
        <v>46276.870967741932</v>
      </c>
      <c r="F7">
        <v>4.1000000000000002E-2</v>
      </c>
      <c r="G7" s="7">
        <f t="shared" si="1"/>
        <v>341.80645161290323</v>
      </c>
      <c r="H7" s="8">
        <v>1.5571912601017661</v>
      </c>
      <c r="I7" s="12">
        <f t="shared" si="2"/>
        <v>1837.516129032258</v>
      </c>
      <c r="J7" s="12">
        <f t="shared" si="5"/>
        <v>0.29399999999999998</v>
      </c>
      <c r="K7" s="8">
        <f t="shared" si="3"/>
        <v>155.80645161290323</v>
      </c>
      <c r="L7">
        <v>0</v>
      </c>
    </row>
    <row r="8" spans="1:12" x14ac:dyDescent="0.25">
      <c r="A8" t="s">
        <v>10</v>
      </c>
      <c r="B8">
        <f t="shared" si="4"/>
        <v>7</v>
      </c>
      <c r="C8">
        <v>1</v>
      </c>
      <c r="D8">
        <v>2019</v>
      </c>
      <c r="E8" s="6">
        <f t="shared" si="0"/>
        <v>46276.870967741932</v>
      </c>
      <c r="F8">
        <v>4.1000000000000002E-2</v>
      </c>
      <c r="G8" s="7">
        <f t="shared" si="1"/>
        <v>341.80645161290323</v>
      </c>
      <c r="H8" s="8">
        <v>1.5571912601017661</v>
      </c>
      <c r="I8" s="12">
        <f t="shared" si="2"/>
        <v>1837.516129032258</v>
      </c>
      <c r="J8" s="12">
        <f t="shared" si="5"/>
        <v>0.29399999999999998</v>
      </c>
      <c r="K8" s="8">
        <f t="shared" si="3"/>
        <v>155.80645161290323</v>
      </c>
      <c r="L8">
        <v>0</v>
      </c>
    </row>
    <row r="9" spans="1:12" x14ac:dyDescent="0.25">
      <c r="A9" t="s">
        <v>10</v>
      </c>
      <c r="B9">
        <f t="shared" si="4"/>
        <v>8</v>
      </c>
      <c r="C9">
        <v>1</v>
      </c>
      <c r="D9">
        <v>2019</v>
      </c>
      <c r="E9" s="6">
        <f t="shared" si="0"/>
        <v>46276.870967741932</v>
      </c>
      <c r="F9">
        <v>4.1000000000000002E-2</v>
      </c>
      <c r="G9" s="7">
        <f t="shared" si="1"/>
        <v>341.80645161290323</v>
      </c>
      <c r="H9" s="8">
        <v>1.5571912601017661</v>
      </c>
      <c r="I9" s="12">
        <f t="shared" si="2"/>
        <v>1837.516129032258</v>
      </c>
      <c r="J9" s="12">
        <f t="shared" si="5"/>
        <v>0.29399999999999998</v>
      </c>
      <c r="K9" s="8">
        <f t="shared" si="3"/>
        <v>155.80645161290323</v>
      </c>
      <c r="L9">
        <v>0</v>
      </c>
    </row>
    <row r="10" spans="1:12" x14ac:dyDescent="0.25">
      <c r="A10" t="s">
        <v>10</v>
      </c>
      <c r="B10">
        <f t="shared" si="4"/>
        <v>9</v>
      </c>
      <c r="C10">
        <v>1</v>
      </c>
      <c r="D10">
        <v>2019</v>
      </c>
      <c r="E10" s="6">
        <f t="shared" si="0"/>
        <v>46276.870967741932</v>
      </c>
      <c r="F10">
        <v>4.1000000000000002E-2</v>
      </c>
      <c r="G10" s="7">
        <f t="shared" si="1"/>
        <v>341.80645161290323</v>
      </c>
      <c r="H10" s="8">
        <v>1.5571912601017661</v>
      </c>
      <c r="I10" s="12">
        <f t="shared" si="2"/>
        <v>1837.516129032258</v>
      </c>
      <c r="J10" s="12">
        <f t="shared" si="5"/>
        <v>0.29399999999999998</v>
      </c>
      <c r="K10" s="8">
        <f t="shared" si="3"/>
        <v>155.80645161290323</v>
      </c>
      <c r="L10">
        <v>0</v>
      </c>
    </row>
    <row r="11" spans="1:12" x14ac:dyDescent="0.25">
      <c r="A11" t="s">
        <v>10</v>
      </c>
      <c r="B11">
        <f t="shared" si="4"/>
        <v>10</v>
      </c>
      <c r="C11">
        <v>1</v>
      </c>
      <c r="D11">
        <v>2019</v>
      </c>
      <c r="E11" s="6">
        <f t="shared" si="0"/>
        <v>46276.870967741932</v>
      </c>
      <c r="F11">
        <v>4.1000000000000002E-2</v>
      </c>
      <c r="G11" s="7">
        <f t="shared" si="1"/>
        <v>341.80645161290323</v>
      </c>
      <c r="H11" s="8">
        <v>1.5571912601017661</v>
      </c>
      <c r="I11" s="12">
        <f t="shared" si="2"/>
        <v>1837.516129032258</v>
      </c>
      <c r="J11" s="12">
        <f t="shared" si="5"/>
        <v>0.29399999999999998</v>
      </c>
      <c r="K11" s="8">
        <f t="shared" si="3"/>
        <v>155.80645161290323</v>
      </c>
      <c r="L11">
        <v>0</v>
      </c>
    </row>
    <row r="12" spans="1:12" x14ac:dyDescent="0.25">
      <c r="A12" t="s">
        <v>10</v>
      </c>
      <c r="B12">
        <f t="shared" si="4"/>
        <v>11</v>
      </c>
      <c r="C12">
        <v>1</v>
      </c>
      <c r="D12">
        <v>2019</v>
      </c>
      <c r="E12" s="6">
        <f t="shared" si="0"/>
        <v>46276.870967741932</v>
      </c>
      <c r="F12">
        <v>4.1000000000000002E-2</v>
      </c>
      <c r="G12" s="7">
        <f t="shared" si="1"/>
        <v>341.80645161290323</v>
      </c>
      <c r="H12" s="8">
        <v>1.5571912601017661</v>
      </c>
      <c r="I12" s="12">
        <f t="shared" si="2"/>
        <v>1837.516129032258</v>
      </c>
      <c r="J12" s="12">
        <f t="shared" si="5"/>
        <v>0.29399999999999998</v>
      </c>
      <c r="K12" s="8">
        <f t="shared" si="3"/>
        <v>155.80645161290323</v>
      </c>
      <c r="L12">
        <v>0</v>
      </c>
    </row>
    <row r="13" spans="1:12" x14ac:dyDescent="0.25">
      <c r="A13" t="s">
        <v>10</v>
      </c>
      <c r="B13">
        <f t="shared" si="4"/>
        <v>12</v>
      </c>
      <c r="C13">
        <v>1</v>
      </c>
      <c r="D13">
        <v>2019</v>
      </c>
      <c r="E13" s="6">
        <f t="shared" si="0"/>
        <v>46276.870967741932</v>
      </c>
      <c r="F13">
        <v>4.1000000000000002E-2</v>
      </c>
      <c r="G13" s="7">
        <f t="shared" si="1"/>
        <v>341.80645161290323</v>
      </c>
      <c r="H13" s="8">
        <v>1.5571912601017661</v>
      </c>
      <c r="I13" s="12">
        <f t="shared" si="2"/>
        <v>1837.516129032258</v>
      </c>
      <c r="J13" s="12">
        <f t="shared" si="5"/>
        <v>0.29399999999999998</v>
      </c>
      <c r="K13" s="8">
        <f t="shared" si="3"/>
        <v>155.80645161290323</v>
      </c>
      <c r="L13">
        <v>0</v>
      </c>
    </row>
    <row r="14" spans="1:12" x14ac:dyDescent="0.25">
      <c r="A14" t="s">
        <v>10</v>
      </c>
      <c r="B14">
        <f t="shared" si="4"/>
        <v>13</v>
      </c>
      <c r="C14">
        <v>1</v>
      </c>
      <c r="D14">
        <v>2019</v>
      </c>
      <c r="E14" s="6">
        <f t="shared" si="0"/>
        <v>46276.870967741932</v>
      </c>
      <c r="F14">
        <v>4.1000000000000002E-2</v>
      </c>
      <c r="G14" s="7">
        <f t="shared" si="1"/>
        <v>341.80645161290323</v>
      </c>
      <c r="H14" s="8">
        <v>1.5571912601017661</v>
      </c>
      <c r="I14" s="12">
        <f t="shared" si="2"/>
        <v>1837.516129032258</v>
      </c>
      <c r="J14" s="12">
        <f t="shared" si="5"/>
        <v>0.29399999999999998</v>
      </c>
      <c r="K14" s="8">
        <f t="shared" si="3"/>
        <v>155.80645161290323</v>
      </c>
      <c r="L14">
        <v>0</v>
      </c>
    </row>
    <row r="15" spans="1:12" x14ac:dyDescent="0.25">
      <c r="A15" t="s">
        <v>10</v>
      </c>
      <c r="B15">
        <f t="shared" si="4"/>
        <v>14</v>
      </c>
      <c r="C15">
        <v>1</v>
      </c>
      <c r="D15">
        <v>2019</v>
      </c>
      <c r="E15" s="6">
        <f t="shared" si="0"/>
        <v>46276.870967741932</v>
      </c>
      <c r="F15">
        <v>4.1000000000000002E-2</v>
      </c>
      <c r="G15" s="7">
        <f t="shared" si="1"/>
        <v>341.80645161290323</v>
      </c>
      <c r="H15" s="8">
        <v>1.5571912601017661</v>
      </c>
      <c r="I15" s="12">
        <f t="shared" si="2"/>
        <v>1837.516129032258</v>
      </c>
      <c r="J15" s="12">
        <f t="shared" si="5"/>
        <v>0.29399999999999998</v>
      </c>
      <c r="K15" s="8">
        <f t="shared" si="3"/>
        <v>155.80645161290323</v>
      </c>
      <c r="L15">
        <v>0</v>
      </c>
    </row>
    <row r="16" spans="1:12" x14ac:dyDescent="0.25">
      <c r="A16" t="s">
        <v>10</v>
      </c>
      <c r="B16">
        <f t="shared" si="4"/>
        <v>15</v>
      </c>
      <c r="C16">
        <v>1</v>
      </c>
      <c r="D16">
        <v>2019</v>
      </c>
      <c r="E16" s="6">
        <f t="shared" si="0"/>
        <v>46276.870967741932</v>
      </c>
      <c r="F16">
        <v>4.1000000000000002E-2</v>
      </c>
      <c r="G16" s="7">
        <f t="shared" si="1"/>
        <v>341.80645161290323</v>
      </c>
      <c r="H16" s="8">
        <v>1.5571912601017661</v>
      </c>
      <c r="I16" s="12">
        <f t="shared" si="2"/>
        <v>1837.516129032258</v>
      </c>
      <c r="J16" s="12">
        <f t="shared" si="5"/>
        <v>0.29399999999999998</v>
      </c>
      <c r="K16" s="8">
        <f t="shared" si="3"/>
        <v>155.80645161290323</v>
      </c>
      <c r="L16">
        <v>0</v>
      </c>
    </row>
    <row r="17" spans="1:12" x14ac:dyDescent="0.25">
      <c r="A17" t="s">
        <v>10</v>
      </c>
      <c r="B17">
        <f t="shared" si="4"/>
        <v>16</v>
      </c>
      <c r="C17">
        <v>1</v>
      </c>
      <c r="D17">
        <v>2019</v>
      </c>
      <c r="E17" s="6">
        <f t="shared" si="0"/>
        <v>46276.870967741932</v>
      </c>
      <c r="F17">
        <v>4.1000000000000002E-2</v>
      </c>
      <c r="G17" s="7">
        <f t="shared" si="1"/>
        <v>341.80645161290323</v>
      </c>
      <c r="H17" s="8">
        <v>1.5571912601017661</v>
      </c>
      <c r="I17" s="12">
        <f t="shared" si="2"/>
        <v>1837.516129032258</v>
      </c>
      <c r="J17" s="12">
        <f t="shared" si="5"/>
        <v>0.29399999999999998</v>
      </c>
      <c r="K17" s="8">
        <f t="shared" si="3"/>
        <v>155.80645161290323</v>
      </c>
      <c r="L17">
        <v>0</v>
      </c>
    </row>
    <row r="18" spans="1:12" x14ac:dyDescent="0.25">
      <c r="A18" t="s">
        <v>10</v>
      </c>
      <c r="B18">
        <f t="shared" si="4"/>
        <v>17</v>
      </c>
      <c r="C18">
        <v>1</v>
      </c>
      <c r="D18">
        <v>2019</v>
      </c>
      <c r="E18" s="6">
        <f t="shared" si="0"/>
        <v>46276.870967741932</v>
      </c>
      <c r="F18">
        <v>4.1000000000000002E-2</v>
      </c>
      <c r="G18" s="7">
        <f t="shared" si="1"/>
        <v>341.80645161290323</v>
      </c>
      <c r="H18" s="8">
        <v>1.5571912601017661</v>
      </c>
      <c r="I18" s="12">
        <f t="shared" si="2"/>
        <v>1837.516129032258</v>
      </c>
      <c r="J18" s="12">
        <f t="shared" si="5"/>
        <v>0.29399999999999998</v>
      </c>
      <c r="K18" s="8">
        <f t="shared" si="3"/>
        <v>155.80645161290323</v>
      </c>
      <c r="L18">
        <v>0</v>
      </c>
    </row>
    <row r="19" spans="1:12" x14ac:dyDescent="0.25">
      <c r="A19" t="s">
        <v>10</v>
      </c>
      <c r="B19">
        <f t="shared" si="4"/>
        <v>18</v>
      </c>
      <c r="C19">
        <v>1</v>
      </c>
      <c r="D19">
        <v>2019</v>
      </c>
      <c r="E19" s="6">
        <f t="shared" si="0"/>
        <v>46276.870967741932</v>
      </c>
      <c r="F19">
        <v>4.1000000000000002E-2</v>
      </c>
      <c r="G19" s="7">
        <f t="shared" si="1"/>
        <v>341.80645161290323</v>
      </c>
      <c r="H19" s="8">
        <v>1.5571912601017661</v>
      </c>
      <c r="I19" s="12">
        <f t="shared" si="2"/>
        <v>1837.516129032258</v>
      </c>
      <c r="J19" s="12">
        <f t="shared" si="5"/>
        <v>0.29399999999999998</v>
      </c>
      <c r="K19" s="8">
        <f t="shared" si="3"/>
        <v>155.80645161290323</v>
      </c>
      <c r="L19">
        <v>0</v>
      </c>
    </row>
    <row r="20" spans="1:12" x14ac:dyDescent="0.25">
      <c r="A20" t="s">
        <v>10</v>
      </c>
      <c r="B20">
        <f t="shared" si="4"/>
        <v>19</v>
      </c>
      <c r="C20">
        <v>1</v>
      </c>
      <c r="D20">
        <v>2019</v>
      </c>
      <c r="E20" s="6">
        <f t="shared" si="0"/>
        <v>46276.870967741932</v>
      </c>
      <c r="F20">
        <v>4.1000000000000002E-2</v>
      </c>
      <c r="G20" s="7">
        <f t="shared" si="1"/>
        <v>341.80645161290323</v>
      </c>
      <c r="H20" s="8">
        <v>1.5571912601017661</v>
      </c>
      <c r="I20" s="12">
        <f t="shared" si="2"/>
        <v>1837.516129032258</v>
      </c>
      <c r="J20" s="12">
        <f t="shared" si="5"/>
        <v>0.29399999999999998</v>
      </c>
      <c r="K20" s="8">
        <f t="shared" si="3"/>
        <v>155.80645161290323</v>
      </c>
      <c r="L20">
        <v>0</v>
      </c>
    </row>
    <row r="21" spans="1:12" x14ac:dyDescent="0.25">
      <c r="A21" t="s">
        <v>10</v>
      </c>
      <c r="B21">
        <f t="shared" si="4"/>
        <v>20</v>
      </c>
      <c r="C21">
        <v>1</v>
      </c>
      <c r="D21">
        <v>2019</v>
      </c>
      <c r="E21" s="6">
        <f t="shared" si="0"/>
        <v>46276.870967741932</v>
      </c>
      <c r="F21">
        <v>4.1000000000000002E-2</v>
      </c>
      <c r="G21" s="7">
        <f t="shared" si="1"/>
        <v>341.80645161290323</v>
      </c>
      <c r="H21" s="8">
        <v>1.5571912601017661</v>
      </c>
      <c r="I21" s="12">
        <f t="shared" si="2"/>
        <v>1837.516129032258</v>
      </c>
      <c r="J21" s="12">
        <f t="shared" si="5"/>
        <v>0.29399999999999998</v>
      </c>
      <c r="K21" s="8">
        <f t="shared" si="3"/>
        <v>155.80645161290323</v>
      </c>
      <c r="L21">
        <v>0</v>
      </c>
    </row>
    <row r="22" spans="1:12" x14ac:dyDescent="0.25">
      <c r="A22" t="s">
        <v>10</v>
      </c>
      <c r="B22">
        <f t="shared" si="4"/>
        <v>21</v>
      </c>
      <c r="C22">
        <v>1</v>
      </c>
      <c r="D22">
        <v>2019</v>
      </c>
      <c r="E22" s="6">
        <f t="shared" si="0"/>
        <v>46276.870967741932</v>
      </c>
      <c r="F22">
        <v>4.1000000000000002E-2</v>
      </c>
      <c r="G22" s="7">
        <f t="shared" si="1"/>
        <v>341.80645161290323</v>
      </c>
      <c r="H22" s="8">
        <v>1.5571912601017661</v>
      </c>
      <c r="I22" s="12">
        <f t="shared" si="2"/>
        <v>1837.516129032258</v>
      </c>
      <c r="J22" s="12">
        <f t="shared" si="5"/>
        <v>0.29399999999999998</v>
      </c>
      <c r="K22" s="8">
        <f t="shared" si="3"/>
        <v>155.80645161290323</v>
      </c>
      <c r="L22">
        <v>0</v>
      </c>
    </row>
    <row r="23" spans="1:12" x14ac:dyDescent="0.25">
      <c r="A23" t="s">
        <v>10</v>
      </c>
      <c r="B23">
        <f t="shared" si="4"/>
        <v>22</v>
      </c>
      <c r="C23">
        <v>1</v>
      </c>
      <c r="D23">
        <v>2019</v>
      </c>
      <c r="E23" s="6">
        <f t="shared" si="0"/>
        <v>46276.870967741932</v>
      </c>
      <c r="F23">
        <v>4.1000000000000002E-2</v>
      </c>
      <c r="G23" s="7">
        <f t="shared" si="1"/>
        <v>341.80645161290323</v>
      </c>
      <c r="H23" s="8">
        <v>1.5571912601017661</v>
      </c>
      <c r="I23" s="12">
        <f t="shared" si="2"/>
        <v>1837.516129032258</v>
      </c>
      <c r="J23" s="12">
        <f t="shared" si="5"/>
        <v>0.29399999999999998</v>
      </c>
      <c r="K23" s="8">
        <f t="shared" si="3"/>
        <v>155.80645161290323</v>
      </c>
      <c r="L23">
        <v>0</v>
      </c>
    </row>
    <row r="24" spans="1:12" x14ac:dyDescent="0.25">
      <c r="A24" t="s">
        <v>10</v>
      </c>
      <c r="B24">
        <f t="shared" si="4"/>
        <v>23</v>
      </c>
      <c r="C24">
        <v>1</v>
      </c>
      <c r="D24">
        <v>2019</v>
      </c>
      <c r="E24" s="6">
        <f t="shared" si="0"/>
        <v>46276.870967741932</v>
      </c>
      <c r="F24">
        <v>4.1000000000000002E-2</v>
      </c>
      <c r="G24" s="7">
        <f t="shared" si="1"/>
        <v>341.80645161290323</v>
      </c>
      <c r="H24" s="8">
        <v>1.5571912601017661</v>
      </c>
      <c r="I24" s="12">
        <f t="shared" si="2"/>
        <v>1837.516129032258</v>
      </c>
      <c r="J24" s="12">
        <f t="shared" si="5"/>
        <v>0.29399999999999998</v>
      </c>
      <c r="K24" s="8">
        <f t="shared" si="3"/>
        <v>155.80645161290323</v>
      </c>
      <c r="L24">
        <v>0</v>
      </c>
    </row>
    <row r="25" spans="1:12" x14ac:dyDescent="0.25">
      <c r="A25" t="s">
        <v>10</v>
      </c>
      <c r="B25">
        <f t="shared" si="4"/>
        <v>24</v>
      </c>
      <c r="C25">
        <v>1</v>
      </c>
      <c r="D25">
        <v>2019</v>
      </c>
      <c r="E25" s="6">
        <f t="shared" si="0"/>
        <v>46276.870967741932</v>
      </c>
      <c r="F25">
        <v>4.1000000000000002E-2</v>
      </c>
      <c r="G25" s="7">
        <f t="shared" si="1"/>
        <v>341.80645161290323</v>
      </c>
      <c r="H25" s="8">
        <v>1.5571912601017661</v>
      </c>
      <c r="I25" s="12">
        <f t="shared" si="2"/>
        <v>1837.516129032258</v>
      </c>
      <c r="J25" s="12">
        <f t="shared" si="5"/>
        <v>0.29399999999999998</v>
      </c>
      <c r="K25" s="8">
        <f t="shared" si="3"/>
        <v>155.80645161290323</v>
      </c>
      <c r="L25">
        <v>0</v>
      </c>
    </row>
    <row r="26" spans="1:12" x14ac:dyDescent="0.25">
      <c r="A26" t="s">
        <v>10</v>
      </c>
      <c r="B26">
        <f>B25+1</f>
        <v>25</v>
      </c>
      <c r="C26">
        <v>1</v>
      </c>
      <c r="D26">
        <v>2019</v>
      </c>
      <c r="E26" s="6">
        <f t="shared" si="0"/>
        <v>46276.870967741932</v>
      </c>
      <c r="F26">
        <v>4.1000000000000002E-2</v>
      </c>
      <c r="G26" s="7">
        <f t="shared" si="1"/>
        <v>341.80645161290323</v>
      </c>
      <c r="H26" s="8">
        <v>1.5571912601017661</v>
      </c>
      <c r="I26" s="12">
        <f t="shared" si="2"/>
        <v>1837.516129032258</v>
      </c>
      <c r="J26" s="12">
        <f t="shared" si="5"/>
        <v>0.29399999999999998</v>
      </c>
      <c r="K26" s="8">
        <f t="shared" si="3"/>
        <v>155.80645161290323</v>
      </c>
      <c r="L26">
        <v>0</v>
      </c>
    </row>
    <row r="27" spans="1:12" x14ac:dyDescent="0.25">
      <c r="A27" t="s">
        <v>10</v>
      </c>
      <c r="B27">
        <f t="shared" si="4"/>
        <v>26</v>
      </c>
      <c r="C27">
        <v>1</v>
      </c>
      <c r="D27">
        <v>2019</v>
      </c>
      <c r="E27" s="6">
        <f t="shared" si="0"/>
        <v>46276.870967741932</v>
      </c>
      <c r="F27">
        <v>4.1000000000000002E-2</v>
      </c>
      <c r="G27" s="7">
        <f t="shared" si="1"/>
        <v>341.80645161290323</v>
      </c>
      <c r="H27" s="8">
        <v>1.5571912601017661</v>
      </c>
      <c r="I27" s="12">
        <f t="shared" si="2"/>
        <v>1837.516129032258</v>
      </c>
      <c r="J27" s="12">
        <f t="shared" si="5"/>
        <v>0.29399999999999998</v>
      </c>
      <c r="K27" s="8">
        <f t="shared" si="3"/>
        <v>155.80645161290323</v>
      </c>
      <c r="L27">
        <v>0</v>
      </c>
    </row>
    <row r="28" spans="1:12" x14ac:dyDescent="0.25">
      <c r="A28" t="s">
        <v>10</v>
      </c>
      <c r="B28">
        <f t="shared" si="4"/>
        <v>27</v>
      </c>
      <c r="C28">
        <v>1</v>
      </c>
      <c r="D28">
        <v>2019</v>
      </c>
      <c r="E28" s="6">
        <f t="shared" si="0"/>
        <v>46276.870967741932</v>
      </c>
      <c r="F28">
        <v>4.1000000000000002E-2</v>
      </c>
      <c r="G28" s="7">
        <f t="shared" si="1"/>
        <v>341.80645161290323</v>
      </c>
      <c r="H28" s="8">
        <v>1.5571912601017661</v>
      </c>
      <c r="I28" s="12">
        <f t="shared" si="2"/>
        <v>1837.516129032258</v>
      </c>
      <c r="J28" s="12">
        <f t="shared" si="5"/>
        <v>0.29399999999999998</v>
      </c>
      <c r="K28" s="8">
        <f t="shared" si="3"/>
        <v>155.80645161290323</v>
      </c>
      <c r="L28">
        <v>0</v>
      </c>
    </row>
    <row r="29" spans="1:12" x14ac:dyDescent="0.25">
      <c r="A29" t="s">
        <v>10</v>
      </c>
      <c r="B29">
        <f t="shared" si="4"/>
        <v>28</v>
      </c>
      <c r="C29">
        <v>1</v>
      </c>
      <c r="D29">
        <v>2019</v>
      </c>
      <c r="E29" s="6">
        <f t="shared" si="0"/>
        <v>46276.870967741932</v>
      </c>
      <c r="F29">
        <v>4.1000000000000002E-2</v>
      </c>
      <c r="G29" s="7">
        <f t="shared" si="1"/>
        <v>341.80645161290323</v>
      </c>
      <c r="H29" s="8">
        <v>1.5571912601017661</v>
      </c>
      <c r="I29" s="12">
        <f t="shared" si="2"/>
        <v>1837.516129032258</v>
      </c>
      <c r="J29" s="12">
        <f t="shared" si="5"/>
        <v>0.29399999999999998</v>
      </c>
      <c r="K29" s="8">
        <f t="shared" si="3"/>
        <v>155.80645161290323</v>
      </c>
      <c r="L29">
        <v>0</v>
      </c>
    </row>
    <row r="30" spans="1:12" x14ac:dyDescent="0.25">
      <c r="A30" t="s">
        <v>10</v>
      </c>
      <c r="B30">
        <f t="shared" si="4"/>
        <v>29</v>
      </c>
      <c r="C30">
        <v>1</v>
      </c>
      <c r="D30">
        <v>2019</v>
      </c>
      <c r="E30" s="6">
        <f t="shared" si="0"/>
        <v>46276.870967741932</v>
      </c>
      <c r="F30">
        <v>4.1000000000000002E-2</v>
      </c>
      <c r="G30" s="7">
        <f t="shared" si="1"/>
        <v>341.80645161290323</v>
      </c>
      <c r="H30" s="8">
        <v>1.5571912601017661</v>
      </c>
      <c r="I30" s="12">
        <f t="shared" si="2"/>
        <v>1837.516129032258</v>
      </c>
      <c r="J30" s="12">
        <f t="shared" si="5"/>
        <v>0.29399999999999998</v>
      </c>
      <c r="K30" s="8">
        <f t="shared" si="3"/>
        <v>155.80645161290323</v>
      </c>
      <c r="L30">
        <v>0</v>
      </c>
    </row>
    <row r="31" spans="1:12" x14ac:dyDescent="0.25">
      <c r="A31" t="s">
        <v>10</v>
      </c>
      <c r="B31">
        <f t="shared" si="4"/>
        <v>30</v>
      </c>
      <c r="C31">
        <v>1</v>
      </c>
      <c r="D31">
        <v>2019</v>
      </c>
      <c r="E31" s="6">
        <f t="shared" si="0"/>
        <v>46276.870967741932</v>
      </c>
      <c r="F31">
        <v>4.1000000000000002E-2</v>
      </c>
      <c r="G31" s="7">
        <f t="shared" si="1"/>
        <v>341.80645161290323</v>
      </c>
      <c r="H31" s="8">
        <v>1.5571912601017661</v>
      </c>
      <c r="I31" s="12">
        <f t="shared" si="2"/>
        <v>1837.516129032258</v>
      </c>
      <c r="J31" s="12">
        <f t="shared" si="5"/>
        <v>0.29399999999999998</v>
      </c>
      <c r="K31" s="8">
        <f t="shared" si="3"/>
        <v>155.80645161290323</v>
      </c>
      <c r="L31">
        <v>0</v>
      </c>
    </row>
    <row r="32" spans="1:12" x14ac:dyDescent="0.25">
      <c r="A32" t="s">
        <v>10</v>
      </c>
      <c r="B32">
        <f t="shared" si="4"/>
        <v>31</v>
      </c>
      <c r="C32">
        <v>1</v>
      </c>
      <c r="D32">
        <v>2019</v>
      </c>
      <c r="E32" s="6">
        <f t="shared" si="0"/>
        <v>46276.870967741932</v>
      </c>
      <c r="F32">
        <v>4.1000000000000002E-2</v>
      </c>
      <c r="G32" s="7">
        <f t="shared" si="1"/>
        <v>341.80645161290323</v>
      </c>
      <c r="H32" s="8">
        <v>1.5571912601017661</v>
      </c>
      <c r="I32" s="12">
        <f t="shared" si="2"/>
        <v>1837.516129032258</v>
      </c>
      <c r="J32" s="12">
        <f t="shared" si="5"/>
        <v>0.29399999999999998</v>
      </c>
      <c r="K32" s="8">
        <f t="shared" si="3"/>
        <v>155.80645161290323</v>
      </c>
      <c r="L32">
        <v>0</v>
      </c>
    </row>
    <row r="33" spans="5:11" x14ac:dyDescent="0.25">
      <c r="E33"/>
      <c r="K33" s="8"/>
    </row>
    <row r="34" spans="5:11" x14ac:dyDescent="0.25">
      <c r="E34"/>
    </row>
    <row r="35" spans="5:11" x14ac:dyDescent="0.25">
      <c r="E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El Khoury</dc:creator>
  <cp:lastModifiedBy>Joe El Khoury</cp:lastModifiedBy>
  <dcterms:created xsi:type="dcterms:W3CDTF">2019-10-01T13:19:26Z</dcterms:created>
  <dcterms:modified xsi:type="dcterms:W3CDTF">2020-01-13T09:08:20Z</dcterms:modified>
</cp:coreProperties>
</file>