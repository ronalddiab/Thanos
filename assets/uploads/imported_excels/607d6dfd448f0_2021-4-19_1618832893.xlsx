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8" l="1"/>
  <c r="J24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<sst xmlns="http://schemas.openxmlformats.org/spreadsheetml/2006/main" count="574" uniqueCount="342">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</sst>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2694</c:v>
                </c:pt>
                <c:pt idx="16">
                  <c:v>2839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5110912"/>
        <c:axId val="1251168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5118336"/>
        <c:axId val="125119872"/>
      </c:lineChart>
      <c:catAx>
        <c:axId val="12511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16800"/>
        <c:crosses val="autoZero"/>
        <c:auto val="1"/>
        <c:lblAlgn val="ctr"/>
        <c:lblOffset val="100"/>
      </c:catAx>
      <c:valAx>
        <c:axId val="1251168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10912"/>
        <c:crosses val="autoZero"/>
        <c:crossBetween val="between"/>
        <c:majorUnit val="200"/>
      </c:valAx>
      <c:catAx>
        <c:axId val="125118336"/>
        <c:scaling>
          <c:orientation val="minMax"/>
        </c:scaling>
        <c:delete val="1"/>
        <c:axPos val="b"/>
        <c:tickLblPos val="none"/>
        <c:crossAx val="125119872"/>
        <c:crosses val="autoZero"/>
        <c:auto val="1"/>
        <c:lblAlgn val="ctr"/>
        <c:lblOffset val="100"/>
      </c:catAx>
      <c:valAx>
        <c:axId val="125119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18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5166336"/>
        <c:axId val="1251678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5169664"/>
        <c:axId val="125171200"/>
      </c:lineChart>
      <c:catAx>
        <c:axId val="12516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67872"/>
        <c:crosses val="autoZero"/>
        <c:auto val="1"/>
        <c:lblAlgn val="ctr"/>
        <c:lblOffset val="100"/>
      </c:catAx>
      <c:valAx>
        <c:axId val="125167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66336"/>
        <c:crosses val="autoZero"/>
        <c:crossBetween val="between"/>
        <c:majorUnit val="200"/>
      </c:valAx>
      <c:catAx>
        <c:axId val="125169664"/>
        <c:scaling>
          <c:orientation val="minMax"/>
        </c:scaling>
        <c:delete val="1"/>
        <c:axPos val="b"/>
        <c:tickLblPos val="none"/>
        <c:crossAx val="125171200"/>
        <c:crosses val="autoZero"/>
        <c:auto val="1"/>
        <c:lblAlgn val="ctr"/>
        <c:lblOffset val="100"/>
      </c:catAx>
      <c:valAx>
        <c:axId val="1251712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69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5170048"/>
        <c:axId val="85171584"/>
      </c:lineChart>
      <c:catAx>
        <c:axId val="8517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71584"/>
        <c:crosses val="autoZero"/>
        <c:auto val="1"/>
        <c:lblAlgn val="ctr"/>
        <c:lblOffset val="200"/>
        <c:tickLblSkip val="1"/>
      </c:catAx>
      <c:valAx>
        <c:axId val="85171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7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5196160"/>
        <c:axId val="85615744"/>
      </c:lineChart>
      <c:catAx>
        <c:axId val="8519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15744"/>
        <c:crosses val="autoZero"/>
        <c:auto val="1"/>
        <c:lblAlgn val="ctr"/>
        <c:lblOffset val="100"/>
      </c:catAx>
      <c:valAx>
        <c:axId val="856157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9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4673664"/>
        <c:axId val="84675584"/>
      </c:lineChart>
      <c:catAx>
        <c:axId val="846736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75584"/>
        <c:crosses val="autoZero"/>
        <c:auto val="1"/>
        <c:lblAlgn val="ctr"/>
        <c:lblOffset val="100"/>
      </c:catAx>
      <c:valAx>
        <c:axId val="846755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736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4729216"/>
        <c:axId val="85644800"/>
      </c:lineChart>
      <c:catAx>
        <c:axId val="84729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44800"/>
        <c:crosses val="autoZero"/>
        <c:auto val="1"/>
        <c:lblAlgn val="ctr"/>
        <c:lblOffset val="100"/>
      </c:catAx>
      <c:valAx>
        <c:axId val="856448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29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-334740.60400000005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6198144"/>
        <c:axId val="86199680"/>
      </c:lineChart>
      <c:catAx>
        <c:axId val="8619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99680"/>
        <c:crosses val="autoZero"/>
        <c:auto val="1"/>
        <c:lblAlgn val="ctr"/>
        <c:lblOffset val="100"/>
      </c:catAx>
      <c:valAx>
        <c:axId val="86199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9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6237568"/>
        <c:axId val="86239104"/>
      </c:lineChart>
      <c:catAx>
        <c:axId val="8623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9104"/>
        <c:crosses val="autoZero"/>
        <c:auto val="1"/>
        <c:lblAlgn val="ctr"/>
        <c:lblOffset val="100"/>
      </c:catAx>
      <c:valAx>
        <c:axId val="8623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6672896"/>
        <c:axId val="86674432"/>
      </c:lineChart>
      <c:catAx>
        <c:axId val="8667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74432"/>
        <c:crosses val="autoZero"/>
        <c:auto val="1"/>
        <c:lblAlgn val="ctr"/>
        <c:lblOffset val="100"/>
      </c:catAx>
      <c:valAx>
        <c:axId val="8667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7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0856"/>
          <c:y val="7.471324705112179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6703104"/>
        <c:axId val="87446272"/>
      </c:lineChart>
      <c:catAx>
        <c:axId val="8670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46272"/>
        <c:crosses val="autoZero"/>
        <c:auto val="1"/>
        <c:lblAlgn val="ctr"/>
        <c:lblOffset val="200"/>
        <c:tickLblSkip val="1"/>
      </c:catAx>
      <c:valAx>
        <c:axId val="874462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0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7479424"/>
        <c:axId val="87480960"/>
      </c:lineChart>
      <c:catAx>
        <c:axId val="8747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80960"/>
        <c:crosses val="autoZero"/>
        <c:auto val="1"/>
        <c:lblAlgn val="ctr"/>
        <c:lblOffset val="100"/>
      </c:catAx>
      <c:valAx>
        <c:axId val="8748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7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7239296"/>
        <c:axId val="87286528"/>
      </c:lineChart>
      <c:catAx>
        <c:axId val="87239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86528"/>
        <c:crosses val="autoZero"/>
        <c:auto val="1"/>
        <c:lblAlgn val="ctr"/>
        <c:lblOffset val="100"/>
      </c:catAx>
      <c:valAx>
        <c:axId val="872865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392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7798912"/>
        <c:axId val="87800832"/>
      </c:lineChart>
      <c:catAx>
        <c:axId val="87798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00832"/>
        <c:crosses val="autoZero"/>
        <c:auto val="1"/>
        <c:lblAlgn val="ctr"/>
        <c:lblOffset val="100"/>
      </c:catAx>
      <c:valAx>
        <c:axId val="878008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98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8034688"/>
        <c:axId val="88040576"/>
      </c:lineChart>
      <c:catAx>
        <c:axId val="8803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40576"/>
        <c:crosses val="autoZero"/>
        <c:auto val="1"/>
        <c:lblAlgn val="ctr"/>
        <c:lblOffset val="100"/>
      </c:catAx>
      <c:valAx>
        <c:axId val="8804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8070016"/>
        <c:axId val="88071552"/>
      </c:lineChart>
      <c:catAx>
        <c:axId val="8807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71552"/>
        <c:crosses val="autoZero"/>
        <c:auto val="1"/>
        <c:lblAlgn val="ctr"/>
        <c:lblOffset val="100"/>
      </c:catAx>
      <c:valAx>
        <c:axId val="8807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7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8235008"/>
        <c:axId val="88244992"/>
      </c:lineChart>
      <c:catAx>
        <c:axId val="8823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44992"/>
        <c:crosses val="autoZero"/>
        <c:auto val="1"/>
        <c:lblAlgn val="ctr"/>
        <c:lblOffset val="100"/>
      </c:catAx>
      <c:valAx>
        <c:axId val="8824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3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234"/>
          <c:y val="7.471324705112218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8541056"/>
        <c:axId val="8854259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8548480"/>
        <c:axId val="88550016"/>
      </c:lineChart>
      <c:catAx>
        <c:axId val="885410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42592"/>
        <c:crosses val="autoZero"/>
        <c:lblAlgn val="ctr"/>
        <c:lblOffset val="100"/>
        <c:tickMarkSkip val="1"/>
      </c:catAx>
      <c:valAx>
        <c:axId val="88542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41056"/>
        <c:crosses val="autoZero"/>
        <c:crossBetween val="between"/>
      </c:valAx>
      <c:catAx>
        <c:axId val="88548480"/>
        <c:scaling>
          <c:orientation val="minMax"/>
        </c:scaling>
        <c:delete val="1"/>
        <c:axPos val="b"/>
        <c:numFmt formatCode="[$-409]d\-mmm\-yy;@" sourceLinked="1"/>
        <c:tickLblPos val="none"/>
        <c:crossAx val="88550016"/>
        <c:crosses val="autoZero"/>
        <c:lblAlgn val="ctr"/>
        <c:lblOffset val="100"/>
      </c:catAx>
      <c:valAx>
        <c:axId val="8855001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48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8590976"/>
        <c:axId val="88908160"/>
      </c:lineChart>
      <c:catAx>
        <c:axId val="8859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08160"/>
        <c:crosses val="autoZero"/>
        <c:auto val="1"/>
        <c:lblAlgn val="ctr"/>
        <c:lblOffset val="100"/>
      </c:catAx>
      <c:valAx>
        <c:axId val="8890816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9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9002368"/>
        <c:axId val="89003904"/>
      </c:lineChart>
      <c:catAx>
        <c:axId val="8900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03904"/>
        <c:crosses val="autoZero"/>
        <c:auto val="1"/>
        <c:lblAlgn val="ctr"/>
        <c:lblOffset val="100"/>
      </c:catAx>
      <c:valAx>
        <c:axId val="890039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0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9043328"/>
        <c:axId val="890448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9046400"/>
        <c:axId val="84878464"/>
      </c:lineChart>
      <c:catAx>
        <c:axId val="890433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44864"/>
        <c:crosses val="autoZero"/>
        <c:lblAlgn val="ctr"/>
        <c:lblOffset val="100"/>
        <c:tickMarkSkip val="1"/>
      </c:catAx>
      <c:valAx>
        <c:axId val="8904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43328"/>
        <c:crosses val="autoZero"/>
        <c:crossBetween val="between"/>
      </c:valAx>
      <c:catAx>
        <c:axId val="89046400"/>
        <c:scaling>
          <c:orientation val="minMax"/>
        </c:scaling>
        <c:delete val="1"/>
        <c:axPos val="b"/>
        <c:numFmt formatCode="General" sourceLinked="1"/>
        <c:tickLblPos val="none"/>
        <c:crossAx val="84878464"/>
        <c:crosses val="autoZero"/>
        <c:lblAlgn val="ctr"/>
        <c:lblOffset val="100"/>
      </c:catAx>
      <c:valAx>
        <c:axId val="84878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464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4914944"/>
        <c:axId val="84916480"/>
      </c:lineChart>
      <c:catAx>
        <c:axId val="8491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16480"/>
        <c:crosses val="autoZero"/>
        <c:auto val="1"/>
        <c:lblAlgn val="ctr"/>
        <c:lblOffset val="100"/>
      </c:catAx>
      <c:valAx>
        <c:axId val="8491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1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1433216"/>
        <c:axId val="91447296"/>
      </c:lineChart>
      <c:catAx>
        <c:axId val="9143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47296"/>
        <c:crosses val="autoZero"/>
        <c:auto val="1"/>
        <c:lblAlgn val="ctr"/>
        <c:lblOffset val="100"/>
      </c:catAx>
      <c:valAx>
        <c:axId val="91447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3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1723648"/>
        <c:axId val="9172518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1739264"/>
        <c:axId val="91740800"/>
      </c:lineChart>
      <c:catAx>
        <c:axId val="917236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25184"/>
        <c:crosses val="autoZero"/>
        <c:lblAlgn val="ctr"/>
        <c:lblOffset val="100"/>
        <c:tickMarkSkip val="1"/>
      </c:catAx>
      <c:valAx>
        <c:axId val="917251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23648"/>
        <c:crosses val="autoZero"/>
        <c:crossBetween val="between"/>
      </c:valAx>
      <c:catAx>
        <c:axId val="91739264"/>
        <c:scaling>
          <c:orientation val="minMax"/>
        </c:scaling>
        <c:delete val="1"/>
        <c:axPos val="b"/>
        <c:numFmt formatCode="[$-409]d\-mmm\-yy;@" sourceLinked="1"/>
        <c:tickLblPos val="none"/>
        <c:crossAx val="91740800"/>
        <c:crosses val="autoZero"/>
        <c:lblAlgn val="ctr"/>
        <c:lblOffset val="100"/>
      </c:catAx>
      <c:valAx>
        <c:axId val="917408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39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8033152"/>
        <c:axId val="1280346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8036224"/>
        <c:axId val="128054400"/>
      </c:lineChart>
      <c:catAx>
        <c:axId val="1280331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34688"/>
        <c:crosses val="autoZero"/>
        <c:lblAlgn val="ctr"/>
        <c:lblOffset val="100"/>
        <c:tickMarkSkip val="1"/>
      </c:catAx>
      <c:valAx>
        <c:axId val="12803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33152"/>
        <c:crosses val="autoZero"/>
        <c:crossBetween val="between"/>
      </c:valAx>
      <c:catAx>
        <c:axId val="128036224"/>
        <c:scaling>
          <c:orientation val="minMax"/>
        </c:scaling>
        <c:delete val="1"/>
        <c:axPos val="b"/>
        <c:numFmt formatCode="General" sourceLinked="1"/>
        <c:tickLblPos val="none"/>
        <c:crossAx val="128054400"/>
        <c:crosses val="autoZero"/>
        <c:lblAlgn val="ctr"/>
        <c:lblOffset val="100"/>
      </c:catAx>
      <c:valAx>
        <c:axId val="1280544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36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8245120"/>
        <c:axId val="12824691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8248448"/>
        <c:axId val="128258432"/>
      </c:lineChart>
      <c:catAx>
        <c:axId val="1282451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46912"/>
        <c:crosses val="autoZero"/>
        <c:lblAlgn val="ctr"/>
        <c:lblOffset val="100"/>
        <c:tickMarkSkip val="1"/>
      </c:catAx>
      <c:valAx>
        <c:axId val="1282469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45120"/>
        <c:crosses val="autoZero"/>
        <c:crossBetween val="between"/>
      </c:valAx>
      <c:catAx>
        <c:axId val="128248448"/>
        <c:scaling>
          <c:orientation val="minMax"/>
        </c:scaling>
        <c:delete val="1"/>
        <c:axPos val="b"/>
        <c:numFmt formatCode="[$-409]d\-mmm\-yy;@" sourceLinked="1"/>
        <c:tickLblPos val="none"/>
        <c:crossAx val="128258432"/>
        <c:crosses val="autoZero"/>
        <c:lblAlgn val="ctr"/>
        <c:lblOffset val="100"/>
      </c:catAx>
      <c:valAx>
        <c:axId val="1282584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48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8305024"/>
        <c:axId val="1283065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8308352"/>
        <c:axId val="128309888"/>
      </c:lineChart>
      <c:catAx>
        <c:axId val="128305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06560"/>
        <c:crosses val="autoZero"/>
        <c:lblAlgn val="ctr"/>
        <c:lblOffset val="100"/>
        <c:tickMarkSkip val="1"/>
      </c:catAx>
      <c:valAx>
        <c:axId val="12830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05024"/>
        <c:crosses val="autoZero"/>
        <c:crossBetween val="between"/>
      </c:valAx>
      <c:catAx>
        <c:axId val="128308352"/>
        <c:scaling>
          <c:orientation val="minMax"/>
        </c:scaling>
        <c:delete val="1"/>
        <c:axPos val="b"/>
        <c:numFmt formatCode="General" sourceLinked="1"/>
        <c:tickLblPos val="none"/>
        <c:crossAx val="128309888"/>
        <c:crosses val="autoZero"/>
        <c:lblAlgn val="ctr"/>
        <c:lblOffset val="100"/>
      </c:catAx>
      <c:valAx>
        <c:axId val="1283098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08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4504192"/>
        <c:axId val="154522752"/>
      </c:lineChart>
      <c:catAx>
        <c:axId val="154504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22752"/>
        <c:crosses val="autoZero"/>
        <c:auto val="1"/>
        <c:lblAlgn val="ctr"/>
        <c:lblOffset val="100"/>
      </c:catAx>
      <c:valAx>
        <c:axId val="1545227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04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4531328"/>
        <c:axId val="154533248"/>
      </c:lineChart>
      <c:catAx>
        <c:axId val="154531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33248"/>
        <c:crosses val="autoZero"/>
        <c:auto val="1"/>
        <c:lblAlgn val="ctr"/>
        <c:lblOffset val="100"/>
      </c:catAx>
      <c:valAx>
        <c:axId val="1545332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31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5123712"/>
        <c:axId val="155125248"/>
      </c:lineChart>
      <c:catAx>
        <c:axId val="15512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25248"/>
        <c:crosses val="autoZero"/>
        <c:auto val="1"/>
        <c:lblAlgn val="ctr"/>
        <c:lblOffset val="200"/>
        <c:tickLblSkip val="1"/>
      </c:catAx>
      <c:valAx>
        <c:axId val="1551252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2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5153920"/>
        <c:axId val="155155456"/>
      </c:lineChart>
      <c:catAx>
        <c:axId val="15515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55456"/>
        <c:crosses val="autoZero"/>
        <c:auto val="1"/>
        <c:lblAlgn val="ctr"/>
        <c:lblOffset val="100"/>
      </c:catAx>
      <c:valAx>
        <c:axId val="1551554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14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-334740.60400000005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5180032"/>
        <c:axId val="155329280"/>
      </c:lineChart>
      <c:catAx>
        <c:axId val="15518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29280"/>
        <c:crosses val="autoZero"/>
        <c:auto val="1"/>
        <c:lblAlgn val="ctr"/>
        <c:lblOffset val="100"/>
      </c:catAx>
      <c:valAx>
        <c:axId val="1553292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8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6177152"/>
        <c:axId val="156179072"/>
      </c:lineChart>
      <c:catAx>
        <c:axId val="156177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9072"/>
        <c:crosses val="autoZero"/>
        <c:auto val="1"/>
        <c:lblAlgn val="ctr"/>
        <c:lblOffset val="100"/>
      </c:catAx>
      <c:valAx>
        <c:axId val="156179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71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6204032"/>
        <c:axId val="156370048"/>
      </c:lineChart>
      <c:catAx>
        <c:axId val="156204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70048"/>
        <c:crosses val="autoZero"/>
        <c:auto val="1"/>
        <c:lblAlgn val="ctr"/>
        <c:lblOffset val="100"/>
      </c:catAx>
      <c:valAx>
        <c:axId val="156370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04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6386816"/>
        <c:axId val="156388352"/>
      </c:lineChart>
      <c:catAx>
        <c:axId val="15638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88352"/>
        <c:crosses val="autoZero"/>
        <c:auto val="1"/>
        <c:lblAlgn val="ctr"/>
        <c:lblOffset val="200"/>
        <c:tickLblSkip val="1"/>
      </c:catAx>
      <c:valAx>
        <c:axId val="1563883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8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6421120"/>
        <c:axId val="156427008"/>
      </c:lineChart>
      <c:catAx>
        <c:axId val="15642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27008"/>
        <c:crosses val="autoZero"/>
        <c:auto val="1"/>
        <c:lblAlgn val="ctr"/>
        <c:lblOffset val="100"/>
      </c:catAx>
      <c:valAx>
        <c:axId val="1564270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2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14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1247.1799999999873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-334740.60400000005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6865280"/>
        <c:axId val="156866816"/>
      </c:lineChart>
      <c:catAx>
        <c:axId val="15686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66816"/>
        <c:crosses val="autoZero"/>
        <c:auto val="1"/>
        <c:lblAlgn val="ctr"/>
        <c:lblOffset val="100"/>
      </c:catAx>
      <c:valAx>
        <c:axId val="156866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6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7956352"/>
        <c:axId val="157979008"/>
      </c:lineChart>
      <c:catAx>
        <c:axId val="157956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79008"/>
        <c:crosses val="autoZero"/>
        <c:auto val="1"/>
        <c:lblAlgn val="ctr"/>
        <c:lblOffset val="100"/>
      </c:catAx>
      <c:valAx>
        <c:axId val="1579790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563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7483776"/>
        <c:axId val="157485696"/>
      </c:lineChart>
      <c:catAx>
        <c:axId val="157483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85696"/>
        <c:crosses val="autoZero"/>
        <c:auto val="1"/>
        <c:lblAlgn val="ctr"/>
        <c:lblOffset val="100"/>
      </c:catAx>
      <c:valAx>
        <c:axId val="157485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83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7522944"/>
        <c:axId val="157537024"/>
      </c:lineChart>
      <c:catAx>
        <c:axId val="15752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37024"/>
        <c:crosses val="autoZero"/>
        <c:auto val="1"/>
        <c:lblAlgn val="ctr"/>
        <c:lblOffset val="200"/>
        <c:tickLblSkip val="1"/>
      </c:catAx>
      <c:valAx>
        <c:axId val="1575370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2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8540544"/>
        <c:axId val="158542080"/>
      </c:lineChart>
      <c:catAx>
        <c:axId val="1585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42080"/>
        <c:crosses val="autoZero"/>
        <c:auto val="1"/>
        <c:lblAlgn val="ctr"/>
        <c:lblOffset val="100"/>
      </c:catAx>
      <c:valAx>
        <c:axId val="15854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3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8566656"/>
        <c:axId val="158334976"/>
      </c:lineChart>
      <c:catAx>
        <c:axId val="15856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34976"/>
        <c:crosses val="autoZero"/>
        <c:auto val="1"/>
        <c:lblAlgn val="ctr"/>
        <c:lblOffset val="100"/>
      </c:catAx>
      <c:valAx>
        <c:axId val="15833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8375936"/>
        <c:axId val="158377856"/>
      </c:lineChart>
      <c:catAx>
        <c:axId val="158375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77856"/>
        <c:crosses val="autoZero"/>
        <c:auto val="1"/>
        <c:lblAlgn val="ctr"/>
        <c:lblOffset val="100"/>
      </c:catAx>
      <c:valAx>
        <c:axId val="1583778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759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9082752"/>
        <c:axId val="159101312"/>
      </c:lineChart>
      <c:catAx>
        <c:axId val="159082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01312"/>
        <c:crosses val="autoZero"/>
        <c:auto val="1"/>
        <c:lblAlgn val="ctr"/>
        <c:lblOffset val="100"/>
      </c:catAx>
      <c:valAx>
        <c:axId val="159101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827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8864128"/>
        <c:axId val="158865664"/>
      </c:lineChart>
      <c:catAx>
        <c:axId val="15886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65664"/>
        <c:crosses val="autoZero"/>
        <c:auto val="1"/>
        <c:lblAlgn val="ctr"/>
        <c:lblOffset val="200"/>
        <c:tickLblSkip val="1"/>
      </c:catAx>
      <c:valAx>
        <c:axId val="158865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6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8890240"/>
        <c:axId val="158900224"/>
      </c:lineChart>
      <c:catAx>
        <c:axId val="15889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00224"/>
        <c:crosses val="autoZero"/>
        <c:auto val="1"/>
        <c:lblAlgn val="ctr"/>
        <c:lblOffset val="100"/>
      </c:catAx>
      <c:valAx>
        <c:axId val="15890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32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9391744"/>
        <c:axId val="159393280"/>
      </c:lineChart>
      <c:catAx>
        <c:axId val="15939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93280"/>
        <c:crosses val="autoZero"/>
        <c:auto val="1"/>
        <c:lblAlgn val="ctr"/>
        <c:lblOffset val="100"/>
      </c:catAx>
      <c:valAx>
        <c:axId val="15939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9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1247.1799999999873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44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88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57.243999999976957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64.328000000043545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63.227999999979517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59.708000000030736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59.091999999969268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44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2694</v>
      </c>
      <c r="F18" s="418">
        <f>('UTILITY REPORT 1'!E19*'UTILITY REPORT 1'!D19)/'UTILITY REPORT 1'!F19</f>
        <v>0.40934669636228654</v>
      </c>
      <c r="G18" s="418">
        <f>IF('Utility summery'!M22&lt;0,"0",'Utility summery'!M22)</f>
        <v>56.847999999992318</v>
      </c>
      <c r="H18" s="423">
        <v>0</v>
      </c>
      <c r="I18" s="418">
        <f>IF('UTILITY REPORT 1'!G19&lt;0,"0",'UTILITY REPORT 1'!G19)</f>
        <v>52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2839</v>
      </c>
      <c r="F19" s="418">
        <f>('UTILITY REPORT 1'!E20*'UTILITY REPORT 1'!D20)/'UTILITY REPORT 1'!F20</f>
        <v>0.41046143008101443</v>
      </c>
      <c r="G19" s="418">
        <f>IF('Utility summery'!M23&lt;0,"0",'Utility summery'!M23)</f>
        <v>61.952000000007686</v>
      </c>
      <c r="H19" s="423">
        <v>0</v>
      </c>
      <c r="I19" s="418">
        <f>IF('UTILITY REPORT 1'!G20&lt;0,"0",'UTILITY REPORT 1'!G20)</f>
        <v>53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67.804000000015378</v>
      </c>
      <c r="H20" s="423">
        <v>0</v>
      </c>
      <c r="I20" s="418" t="str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 t="str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2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146.31</v>
      </c>
      <c r="F18" s="456">
        <f>'UTILITY REPORT 1'!E19</f>
        <v>1102.78</v>
      </c>
      <c r="G18" s="457">
        <f>'UTILITY REPORT 1'!F19</f>
        <v>2694</v>
      </c>
      <c r="H18" s="456">
        <f>IF('Kit report'!F20&lt;0,"0",'Kit report'!F20)</f>
        <v>240</v>
      </c>
      <c r="I18" s="456">
        <f>IF('Kit report'!X20&lt;0,"0",'Kit report'!X20)</f>
        <v>159.99999999985448</v>
      </c>
      <c r="J18" s="456">
        <f>IF('Utility summery'!H22&lt;0,"0",'Utility summery'!H22)</f>
        <v>45</v>
      </c>
      <c r="K18" s="457">
        <f>IF('UTILITY REPORT 1'!H19&lt;0,"0",'UTILITY REPORT 1'!H19)</f>
        <v>38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52</v>
      </c>
      <c r="Q18" s="242">
        <f>IF('Water-Meter'!U22&lt;0,"0",'Water-Meter'!U22)</f>
        <v>81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16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125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1165.3</v>
      </c>
      <c r="G19" s="457">
        <f>'UTILITY REPORT 1'!F20</f>
        <v>2839</v>
      </c>
      <c r="H19" s="456">
        <f>IF('Kit report'!F21&lt;0,"0",'Kit report'!F21)</f>
        <v>252.00000000004366</v>
      </c>
      <c r="I19" s="456">
        <f>IF('Kit report'!X21&lt;0,"0",'Kit report'!X21)</f>
        <v>280.00000000010914</v>
      </c>
      <c r="J19" s="456">
        <f>IF('Utility summery'!H23&lt;0,"0",'Utility summery'!H23)</f>
        <v>46</v>
      </c>
      <c r="K19" s="457">
        <f>IF('UTILITY REPORT 1'!H20&lt;0,"0",'UTILITY REPORT 1'!H20)</f>
        <v>38</v>
      </c>
      <c r="L19" s="456">
        <f>'Water-Meter'!K23</f>
        <v>1</v>
      </c>
      <c r="M19" s="457">
        <f>'Water-Meter'!H23</f>
        <v>0</v>
      </c>
      <c r="N19" s="457">
        <f>'Water-Meter'!Q23</f>
        <v>4</v>
      </c>
      <c r="O19" s="456" t="e">
        <f>K19*E19+H19*I19+#REF!*#REF!+J19*L19</f>
        <v>#REF!</v>
      </c>
      <c r="P19" s="462">
        <f>'Water-Meter'!E23</f>
        <v>53</v>
      </c>
      <c r="Q19" s="242">
        <f>IF('Water-Meter'!U23&lt;0,"0",'Water-Meter'!U23)</f>
        <v>81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27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 t="str">
        <f>IF('Kit report'!F22&lt;0,"0",'Kit report'!F22)</f>
        <v>0</v>
      </c>
      <c r="I20" s="456" t="str">
        <f>IF('Kit report'!X22&lt;0,"0",'Kit report'!X22)</f>
        <v>0</v>
      </c>
      <c r="J20" s="456" t="str">
        <f>IF('Utility summery'!H24&lt;0,"0",'Utility summery'!H24)</f>
        <v>0</v>
      </c>
      <c r="K20" s="457" t="str">
        <f>IF('UTILITY REPORT 1'!H21&lt;0,"0",'UTILITY REPORT 1'!H21)</f>
        <v>0</v>
      </c>
      <c r="L20" s="456" t="str">
        <f>'Water-Meter'!K24</f>
        <v>0</v>
      </c>
      <c r="M20" s="457" t="str">
        <f>'Water-Meter'!H24</f>
        <v>0</v>
      </c>
      <c r="N20" s="457" t="str">
        <f>'Water-Meter'!Q24</f>
        <v>0</v>
      </c>
      <c r="O20" s="456" t="e">
        <f>K20*E20+H20*I20+#REF!*#REF!+J20*L20</f>
        <v>#REF!</v>
      </c>
      <c r="P20" s="462" t="str">
        <f>'Water-Meter'!E24</f>
        <v>0</v>
      </c>
      <c r="Q20" s="242" t="str">
        <f>IF('Water-Meter'!U24&lt;0,"0",'Water-Meter'!U24)</f>
        <v>0</v>
      </c>
      <c r="R20" s="242" t="str">
        <f>IF('Water-Meter'!X24&lt;0,"0",'Water-Meter'!X24)</f>
        <v>0</v>
      </c>
      <c r="S20" s="242" t="str">
        <f>IF('Water-Meter'!AA24&lt;0,"0",'Water-Meter'!AA24)</f>
        <v>0</v>
      </c>
      <c r="T20" s="242" t="str">
        <f>IF('Water-Meter'!AD24&lt;0,"0",'Water-Meter'!AD24)</f>
        <v>0</v>
      </c>
      <c r="U20" s="242" t="str">
        <f>IF('Water-Meter'!AG24&lt;0,"0",'Water-Meter'!AG24)</f>
        <v>0</v>
      </c>
      <c r="V20" s="242" t="str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0</v>
      </c>
      <c r="C19" s="405">
        <f>'Summery Report'!E21</f>
        <v>6.49</v>
      </c>
      <c r="D19" s="406">
        <v>1</v>
      </c>
      <c r="E19" s="405">
        <f>Gen!S27</f>
        <v>1102.78</v>
      </c>
      <c r="F19" s="405">
        <f>Gen!T27</f>
        <v>2694</v>
      </c>
      <c r="G19" s="405">
        <f>'Water-Meter'!E22</f>
        <v>52</v>
      </c>
      <c r="H19" s="405">
        <f>'Utility report '!AC22</f>
        <v>38</v>
      </c>
      <c r="I19" s="405">
        <f>Gen!AJ27</f>
        <v>146.31</v>
      </c>
    </row>
    <row r="20" spans="1:9" ht="13.5">
      <c r="A20" s="402">
        <f>Gen!A28</f>
        <v>44304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1165.3</v>
      </c>
      <c r="F20" s="405">
        <f>Gen!T28</f>
        <v>2839</v>
      </c>
      <c r="G20" s="405">
        <f>'Water-Meter'!E23</f>
        <v>53</v>
      </c>
      <c r="H20" s="405">
        <f>'Utility report '!AC23</f>
        <v>38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 t="str">
        <f>'Water-Meter'!E24</f>
        <v>0</v>
      </c>
      <c r="H21" s="405">
        <f>'Utility report '!AC24</f>
        <v>-351</v>
      </c>
      <c r="I21" s="405">
        <f>Gen!AJ29</f>
        <v>0</v>
      </c>
    </row>
    <row r="22" spans="1:9" ht="13.5">
      <c r="A22" s="402">
        <f>Gen!A30</f>
        <v>44306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44307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44309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44310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44311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44312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44313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44314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44315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44316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1247.1799999999873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44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79</v>
      </c>
      <c r="M15" s="449">
        <f>'Lpg (2)'!G19</f>
        <v>88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75</v>
      </c>
      <c r="M16" s="449">
        <f>'Lpg (2)'!G20</f>
        <v>57.243999999976957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65</v>
      </c>
      <c r="M17" s="449">
        <f>'Lpg (2)'!G21</f>
        <v>64.328000000043545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60</v>
      </c>
      <c r="M18" s="449">
        <f>'Lpg (2)'!G22</f>
        <v>63.227999999979517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55</v>
      </c>
      <c r="M19" s="449">
        <f>'Lpg (2)'!G23</f>
        <v>59.708000000030736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51</v>
      </c>
      <c r="M20" s="449">
        <f>'Lpg (2)'!G24</f>
        <v>59.091999999969268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49</v>
      </c>
      <c r="M21" s="449">
        <f>'Lpg (2)'!G25</f>
        <v>44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>
        <f>Gen!U27</f>
        <v>0.40934669636228654</v>
      </c>
      <c r="D22" s="152">
        <f>Gen!T27</f>
        <v>2694</v>
      </c>
      <c r="E22" s="152">
        <f>Gen!AK27</f>
        <v>0</v>
      </c>
      <c r="F22" s="152">
        <f>Gen!AS27</f>
        <v>0</v>
      </c>
      <c r="G22" s="153">
        <f>'Utility report '!AC22</f>
        <v>38</v>
      </c>
      <c r="H22" s="153">
        <f>'Utility report '!AE22</f>
        <v>45</v>
      </c>
      <c r="I22" s="296">
        <f>'Water-Meter'!E22</f>
        <v>52</v>
      </c>
      <c r="J22" s="154">
        <f>'Lpg (2)'!B26</f>
        <v>85</v>
      </c>
      <c r="K22" s="154">
        <f>'Lpg (2)'!C26</f>
        <v>85</v>
      </c>
      <c r="L22" s="154">
        <f>'Lpg (2)'!D26</f>
        <v>45</v>
      </c>
      <c r="M22" s="449">
        <f>'Lpg (2)'!G26</f>
        <v>56.847999999992318</v>
      </c>
      <c r="N22" s="151">
        <f t="shared" si="2"/>
        <v>3771.6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581.14021571648686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>
        <f>Gen!U28</f>
        <v>0.41046143008101443</v>
      </c>
      <c r="D23" s="152">
        <f>Gen!T28</f>
        <v>2839</v>
      </c>
      <c r="E23" s="152">
        <f>Gen!AK28</f>
        <v>0</v>
      </c>
      <c r="F23" s="152">
        <f>Gen!AS28</f>
        <v>0</v>
      </c>
      <c r="G23" s="153">
        <f>'Utility report '!AC23</f>
        <v>38</v>
      </c>
      <c r="H23" s="153">
        <f>'Utility report '!AE23</f>
        <v>46</v>
      </c>
      <c r="I23" s="296">
        <f>'Water-Meter'!E23</f>
        <v>53</v>
      </c>
      <c r="J23" s="154">
        <f>'Lpg (2)'!B27</f>
        <v>85</v>
      </c>
      <c r="K23" s="154">
        <f>'Lpg (2)'!C27</f>
        <v>85</v>
      </c>
      <c r="L23" s="154">
        <f>'Lpg (2)'!D27</f>
        <v>40</v>
      </c>
      <c r="M23" s="449">
        <f>'Lpg (2)'!G27</f>
        <v>61.952000000007686</v>
      </c>
      <c r="N23" s="151">
        <f t="shared" si="2"/>
        <v>3974.6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-351</v>
      </c>
      <c r="H24" s="153">
        <f>'Utility report '!AE24</f>
        <v>-215141</v>
      </c>
      <c r="I24" s="296" t="str">
        <f>'Water-Meter'!E24</f>
        <v>0</v>
      </c>
      <c r="J24" s="154">
        <f>'Lpg (2)'!B28</f>
        <v>85</v>
      </c>
      <c r="K24" s="154">
        <f>'Lpg (2)'!C28</f>
        <v>85</v>
      </c>
      <c r="L24" s="154">
        <f>'Lpg (2)'!D28</f>
        <v>35</v>
      </c>
      <c r="M24" s="449">
        <f>'Lpg (2)'!G28</f>
        <v>67.804000000015378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-334740.60400000005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51883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-48777</v>
      </c>
      <c r="H39" s="453">
        <f t="shared" si="3"/>
        <v>-214082</v>
      </c>
      <c r="I39" s="453">
        <f t="shared" si="3"/>
        <v>1381</v>
      </c>
      <c r="J39" s="453">
        <f t="shared" si="3"/>
        <v>935</v>
      </c>
      <c r="K39" s="453">
        <f t="shared" si="3"/>
        <v>948</v>
      </c>
      <c r="L39" s="453">
        <f t="shared" si="3"/>
        <v>1209</v>
      </c>
      <c r="M39" s="453">
        <f t="shared" si="3"/>
        <v>-333476.88</v>
      </c>
      <c r="N39" s="453">
        <f t="shared" si="3"/>
        <v>72636.2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topLeftCell="A10" zoomScalePageLayoutView="85" workbookViewId="0">
      <pane xSplit="1" topLeftCell="M1" activePane="topRight" state="frozen"/>
      <selection pane="topRight" activeCell="AD25" sqref="AD2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44287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/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/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/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/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929.41176470588232</v>
      </c>
      <c r="AI15" s="722">
        <f t="shared" ref="AI15:AI35" si="18">SUM(AF15*2000)+(AG15*1000)+(AH15*1000)</f>
        <v>5929411.7647058824</v>
      </c>
      <c r="AJ15" s="428">
        <f t="shared" si="4"/>
        <v>-4000000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882.35294117647061</v>
      </c>
      <c r="AI16" s="722">
        <f t="shared" si="18"/>
        <v>5882352.9411764704</v>
      </c>
      <c r="AJ16" s="428">
        <f t="shared" si="4"/>
        <v>47058.823529412039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764.70588235294122</v>
      </c>
      <c r="AI17" s="722">
        <f t="shared" si="18"/>
        <v>5764705.8823529407</v>
      </c>
      <c r="AJ17" s="428">
        <f t="shared" si="4"/>
        <v>117647.05882352963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705.88235294117646</v>
      </c>
      <c r="AI18" s="722">
        <f t="shared" si="18"/>
        <v>5705882.3529411769</v>
      </c>
      <c r="AJ18" s="428">
        <f t="shared" si="4"/>
        <v>58823.529411763884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647.05882352941171</v>
      </c>
      <c r="AI19" s="722">
        <f t="shared" si="18"/>
        <v>5647058.823529412</v>
      </c>
      <c r="AJ19" s="428">
        <f t="shared" si="4"/>
        <v>58823.529411764815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1054809.0000000002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600</v>
      </c>
      <c r="AI20" s="722">
        <f t="shared" si="18"/>
        <v>5600000</v>
      </c>
      <c r="AJ20" s="428">
        <f t="shared" si="4"/>
        <v>47058.823529412039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31655.430000000004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0</v>
      </c>
      <c r="V21" s="427">
        <f t="shared" si="19"/>
        <v>0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1206532.8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576.47058823529414</v>
      </c>
      <c r="AI21" s="722">
        <f t="shared" si="18"/>
        <v>5576470.5882352944</v>
      </c>
      <c r="AJ21" s="428">
        <f t="shared" si="4"/>
        <v>23529.411764705554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0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550.51392386034797</v>
      </c>
      <c r="G22" s="438">
        <f t="shared" si="0"/>
        <v>550.51392386034797</v>
      </c>
      <c r="H22" s="720">
        <f>Gen!C27</f>
        <v>30616.600000000006</v>
      </c>
      <c r="I22" s="720">
        <f>Gen!E27</f>
        <v>0</v>
      </c>
      <c r="J22" s="759">
        <f>Gen!T27</f>
        <v>2694</v>
      </c>
      <c r="K22" s="764">
        <f>Gen!AK27</f>
        <v>0</v>
      </c>
      <c r="L22" s="755">
        <f t="shared" si="17"/>
        <v>2694</v>
      </c>
      <c r="M22" s="448">
        <f>'Water-Meter'!K62</f>
        <v>460.85304023474418</v>
      </c>
      <c r="N22" s="715">
        <f>'Water-Meter'!E22</f>
        <v>52</v>
      </c>
      <c r="O22" s="706"/>
      <c r="P22" s="713">
        <v>19032</v>
      </c>
      <c r="Q22" s="725">
        <f t="shared" si="2"/>
        <v>0</v>
      </c>
      <c r="R22" s="426">
        <f t="shared" si="5"/>
        <v>0</v>
      </c>
      <c r="S22" s="701">
        <v>6.2</v>
      </c>
      <c r="T22" s="702">
        <v>17893</v>
      </c>
      <c r="U22" s="725">
        <f t="shared" ref="U22:U23" si="20">T23-T21</f>
        <v>0</v>
      </c>
      <c r="V22" s="427">
        <f t="shared" si="19"/>
        <v>0</v>
      </c>
      <c r="W22" s="706">
        <v>1.8</v>
      </c>
      <c r="X22" s="707">
        <v>27905</v>
      </c>
      <c r="Y22" s="725">
        <f t="shared" si="8"/>
        <v>24</v>
      </c>
      <c r="Z22" s="705">
        <f t="shared" si="9"/>
        <v>43.2</v>
      </c>
      <c r="AA22" s="712">
        <f t="shared" si="10"/>
        <v>0</v>
      </c>
      <c r="AB22" s="709">
        <v>313</v>
      </c>
      <c r="AC22" s="690">
        <f t="shared" si="11"/>
        <v>38</v>
      </c>
      <c r="AD22" s="692">
        <v>215095</v>
      </c>
      <c r="AE22" s="178">
        <f t="shared" si="15"/>
        <v>45</v>
      </c>
      <c r="AF22" s="719">
        <f>'Lpg (2)'!B26*2000/85</f>
        <v>2000</v>
      </c>
      <c r="AG22" s="266">
        <f>'Lpg (2)'!C26*1000/85</f>
        <v>1000</v>
      </c>
      <c r="AH22" s="732">
        <f>'Lpg (2)'!D26*1000/85</f>
        <v>529.41176470588232</v>
      </c>
      <c r="AI22" s="722">
        <f t="shared" si="18"/>
        <v>5529411.7647058824</v>
      </c>
      <c r="AJ22" s="428">
        <f t="shared" si="4"/>
        <v>47058.823529412039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29367.510000000006</v>
      </c>
      <c r="I23" s="720">
        <f>Gen!E28</f>
        <v>0</v>
      </c>
      <c r="J23" s="759">
        <f>Gen!T28</f>
        <v>2839</v>
      </c>
      <c r="K23" s="764">
        <f>Gen!AK28</f>
        <v>0</v>
      </c>
      <c r="L23" s="755">
        <f t="shared" si="17"/>
        <v>2839</v>
      </c>
      <c r="M23" s="448">
        <f>'Water-Meter'!K63</f>
        <v>499.96315781067227</v>
      </c>
      <c r="N23" s="715">
        <f>'Water-Meter'!E23</f>
        <v>53</v>
      </c>
      <c r="O23" s="706"/>
      <c r="P23" s="713">
        <v>19032</v>
      </c>
      <c r="Q23" s="725">
        <f t="shared" si="2"/>
        <v>0</v>
      </c>
      <c r="R23" s="426">
        <f t="shared" si="5"/>
        <v>0</v>
      </c>
      <c r="S23" s="701">
        <v>6.2</v>
      </c>
      <c r="T23" s="702">
        <v>17893</v>
      </c>
      <c r="U23" s="725">
        <f t="shared" si="20"/>
        <v>-17893</v>
      </c>
      <c r="V23" s="427">
        <f t="shared" si="19"/>
        <v>-110936.6</v>
      </c>
      <c r="W23" s="706">
        <v>1.8</v>
      </c>
      <c r="X23" s="707">
        <v>27929</v>
      </c>
      <c r="Y23" s="725">
        <f t="shared" si="8"/>
        <v>24</v>
      </c>
      <c r="Z23" s="705">
        <f t="shared" si="9"/>
        <v>43.2</v>
      </c>
      <c r="AA23" s="712">
        <f t="shared" si="10"/>
        <v>0</v>
      </c>
      <c r="AB23" s="709">
        <v>351</v>
      </c>
      <c r="AC23" s="690">
        <f t="shared" si="11"/>
        <v>38</v>
      </c>
      <c r="AD23" s="693">
        <v>215141</v>
      </c>
      <c r="AE23" s="178">
        <f t="shared" si="15"/>
        <v>46</v>
      </c>
      <c r="AF23" s="719">
        <f>'Lpg (2)'!B27*2000/85</f>
        <v>2000</v>
      </c>
      <c r="AG23" s="266">
        <f>'Lpg (2)'!C27*1000/85</f>
        <v>1000</v>
      </c>
      <c r="AH23" s="732">
        <f>'Lpg (2)'!D27*1000/85</f>
        <v>470.58823529411762</v>
      </c>
      <c r="AI23" s="722">
        <f t="shared" si="18"/>
        <v>5470588.2352941176</v>
      </c>
      <c r="AJ23" s="428">
        <f t="shared" si="4"/>
        <v>58823.529411764815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28202.210000000006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560.76227206855549</v>
      </c>
      <c r="N24" s="715" t="str">
        <f>'Water-Meter'!E24</f>
        <v>0</v>
      </c>
      <c r="O24" s="706"/>
      <c r="P24" s="713"/>
      <c r="Q24" s="725">
        <f t="shared" si="2"/>
        <v>-19032</v>
      </c>
      <c r="R24" s="426">
        <f t="shared" si="5"/>
        <v>0</v>
      </c>
      <c r="S24" s="701"/>
      <c r="T24" s="702"/>
      <c r="U24" s="725">
        <f t="shared" si="6"/>
        <v>-17893</v>
      </c>
      <c r="V24" s="427">
        <f t="shared" si="19"/>
        <v>0</v>
      </c>
      <c r="W24" s="701"/>
      <c r="X24" s="707"/>
      <c r="Y24" s="725">
        <f t="shared" si="8"/>
        <v>-27929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-351</v>
      </c>
      <c r="AD24" s="693"/>
      <c r="AE24" s="178">
        <f t="shared" si="15"/>
        <v>-215141</v>
      </c>
      <c r="AF24" s="719">
        <f>'Lpg (2)'!B28*2000/85</f>
        <v>2000</v>
      </c>
      <c r="AG24" s="266">
        <f>'Lpg (2)'!C28*1000/85</f>
        <v>1000</v>
      </c>
      <c r="AH24" s="732">
        <f>'Lpg (2)'!D28*1000/85</f>
        <v>411.76470588235293</v>
      </c>
      <c r="AI24" s="722">
        <f t="shared" si="18"/>
        <v>5411764.7058823528</v>
      </c>
      <c r="AJ24" s="428">
        <f t="shared" si="4"/>
        <v>58823.529411764815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28202.210000000006</v>
      </c>
      <c r="I25" s="720">
        <f>Gen!E30</f>
        <v>15000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5411764.7058823528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28202.210000000006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28202.210000000006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28202.210000000006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28202.210000000006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28202.210000000006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28202.210000000006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28202.210000000006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28202.210000000006</v>
      </c>
      <c r="I33" s="720">
        <f>Gen!E38</f>
        <v>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28202.210000000006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28202.210000000006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28202.210000000006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55058</v>
      </c>
      <c r="K37" s="770"/>
      <c r="L37" s="756">
        <f t="shared" si="17"/>
        <v>55058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T43" sqref="T43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86" t="s">
        <v>156</v>
      </c>
      <c r="C3" s="887"/>
      <c r="D3" s="166"/>
      <c r="E3" s="577">
        <v>9204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8362</v>
      </c>
      <c r="Q3" s="165"/>
      <c r="R3" s="241"/>
      <c r="S3" s="640"/>
      <c r="T3" s="886" t="s">
        <v>156</v>
      </c>
      <c r="U3" s="887"/>
      <c r="V3" s="166"/>
      <c r="W3" s="578">
        <v>8073</v>
      </c>
      <c r="X3" s="588">
        <f t="shared" ref="X3:X35" si="0">(W3-V3)*200</f>
        <v>1614600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8387</v>
      </c>
      <c r="P19" s="580">
        <f>'Water-Meter'!J21</f>
        <v>8387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0</v>
      </c>
      <c r="B20" s="592">
        <f>Gen!A27</f>
        <v>44303</v>
      </c>
      <c r="C20" s="579"/>
      <c r="D20" s="581">
        <f t="shared" si="1"/>
        <v>9238.7999999999993</v>
      </c>
      <c r="E20" s="577">
        <v>9240.7999999999993</v>
      </c>
      <c r="F20" s="581">
        <f t="shared" si="12"/>
        <v>240</v>
      </c>
      <c r="G20" s="576"/>
      <c r="H20" s="623">
        <f t="shared" si="6"/>
        <v>44303</v>
      </c>
      <c r="I20" s="579"/>
      <c r="J20" s="624">
        <f>'Water-Meter'!G22</f>
        <v>75790</v>
      </c>
      <c r="K20" s="625">
        <f>'Water-Meter'!G22</f>
        <v>75790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8389</v>
      </c>
      <c r="P20" s="580">
        <f>'Water-Meter'!J22</f>
        <v>8389</v>
      </c>
      <c r="Q20" s="576">
        <f t="shared" si="8"/>
        <v>-8387</v>
      </c>
      <c r="R20" s="626">
        <f t="shared" si="4"/>
        <v>-5.193188854489164</v>
      </c>
      <c r="S20" s="627">
        <f>Gen!T27</f>
        <v>2694</v>
      </c>
      <c r="T20" s="628">
        <f t="shared" si="9"/>
        <v>44303</v>
      </c>
      <c r="U20" s="579"/>
      <c r="V20" s="581">
        <f t="shared" si="5"/>
        <v>8101.1</v>
      </c>
      <c r="W20" s="578">
        <v>8101.9</v>
      </c>
      <c r="X20" s="581">
        <f t="shared" si="0"/>
        <v>159.99999999985448</v>
      </c>
      <c r="Y20" s="623">
        <f t="shared" si="10"/>
        <v>44303</v>
      </c>
      <c r="Z20" s="579"/>
      <c r="AA20" s="576"/>
      <c r="AB20" s="580">
        <f>'Water-Meter'!P22</f>
        <v>21183</v>
      </c>
      <c r="AC20" s="633">
        <f t="shared" si="11"/>
        <v>-21178</v>
      </c>
    </row>
    <row r="21" spans="1:29" ht="19.5" thickBot="1">
      <c r="A21" s="642">
        <f>Gen!B28</f>
        <v>0</v>
      </c>
      <c r="B21" s="592">
        <f>Gen!A28</f>
        <v>44304</v>
      </c>
      <c r="C21" s="579"/>
      <c r="D21" s="581">
        <f t="shared" si="1"/>
        <v>9240.7999999999993</v>
      </c>
      <c r="E21" s="577">
        <v>9242.9</v>
      </c>
      <c r="F21" s="581">
        <f t="shared" si="12"/>
        <v>252.00000000004366</v>
      </c>
      <c r="G21" s="576"/>
      <c r="H21" s="623">
        <f t="shared" si="6"/>
        <v>44304</v>
      </c>
      <c r="I21" s="579"/>
      <c r="J21" s="624">
        <f>'Water-Meter'!G23</f>
        <v>75790</v>
      </c>
      <c r="K21" s="625">
        <f>'Water-Meter'!G23</f>
        <v>75790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8390</v>
      </c>
      <c r="P21" s="580">
        <f>'Water-Meter'!J23</f>
        <v>8390</v>
      </c>
      <c r="Q21" s="576">
        <f t="shared" ref="Q21:Q35" si="13">N21-O20</f>
        <v>-8389</v>
      </c>
      <c r="R21" s="626">
        <f t="shared" ref="R21:R35" si="14">SUM(Q21/1615)</f>
        <v>-5.1944272445820436</v>
      </c>
      <c r="S21" s="627">
        <f>Gen!T28</f>
        <v>2839</v>
      </c>
      <c r="T21" s="628">
        <f t="shared" si="9"/>
        <v>44304</v>
      </c>
      <c r="U21" s="579"/>
      <c r="V21" s="581">
        <f t="shared" si="5"/>
        <v>8101.9</v>
      </c>
      <c r="W21" s="578">
        <v>8103.3</v>
      </c>
      <c r="X21" s="581">
        <f t="shared" si="0"/>
        <v>280.00000000010914</v>
      </c>
      <c r="Y21" s="623">
        <f t="shared" si="10"/>
        <v>44304</v>
      </c>
      <c r="Z21" s="579"/>
      <c r="AA21" s="576"/>
      <c r="AB21" s="580">
        <f>'Water-Meter'!P23</f>
        <v>21187</v>
      </c>
      <c r="AC21" s="633">
        <f t="shared" si="11"/>
        <v>-21183</v>
      </c>
    </row>
    <row r="22" spans="1:29" ht="19.5" thickBot="1">
      <c r="A22" s="642">
        <f>Gen!B29</f>
        <v>0</v>
      </c>
      <c r="B22" s="592">
        <f>Gen!A29</f>
        <v>44305</v>
      </c>
      <c r="C22" s="576"/>
      <c r="D22" s="581">
        <f t="shared" si="1"/>
        <v>9242.9</v>
      </c>
      <c r="E22" s="577"/>
      <c r="F22" s="581">
        <f t="shared" si="12"/>
        <v>-1109148</v>
      </c>
      <c r="G22" s="576"/>
      <c r="H22" s="623">
        <f t="shared" si="6"/>
        <v>44305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-8390</v>
      </c>
      <c r="R22" s="626">
        <f t="shared" si="14"/>
        <v>-5.1950464396284826</v>
      </c>
      <c r="S22" s="627">
        <f>Gen!T29</f>
        <v>0</v>
      </c>
      <c r="T22" s="628">
        <f t="shared" si="9"/>
        <v>44305</v>
      </c>
      <c r="U22" s="576"/>
      <c r="V22" s="581">
        <f t="shared" si="5"/>
        <v>8103.3</v>
      </c>
      <c r="W22" s="578"/>
      <c r="X22" s="581">
        <f t="shared" si="0"/>
        <v>-1620660</v>
      </c>
      <c r="Y22" s="623">
        <f t="shared" si="10"/>
        <v>44305</v>
      </c>
      <c r="Z22" s="576"/>
      <c r="AA22" s="576"/>
      <c r="AB22" s="580">
        <f>'Water-Meter'!P24</f>
        <v>0</v>
      </c>
      <c r="AC22" s="633">
        <f t="shared" si="11"/>
        <v>-21187</v>
      </c>
    </row>
    <row r="23" spans="1:29" ht="19.5" thickBot="1">
      <c r="A23" s="642">
        <f>Gen!B30</f>
        <v>0</v>
      </c>
      <c r="B23" s="592">
        <f>Gen!A30</f>
        <v>44306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44306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44306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44306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44307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44307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44307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44307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44308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44308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44308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44309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44309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44309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44309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44310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44310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44310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44310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44311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44311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44311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44311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44312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44312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44312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44312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44313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44313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44313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44313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44314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44314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44314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44314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44315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44315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44315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44315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44316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44316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44316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44316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44287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1247.1799999999873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44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88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57.243999999976957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64.328000000043545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63.227999999979517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59.708000000030736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>
        <f>'Water-Meter'!E20</f>
        <v>47</v>
      </c>
      <c r="L19" s="653">
        <f>'Lpg (2)'!G24</f>
        <v>59.091999999969268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40</v>
      </c>
      <c r="L20" s="653">
        <f>'Lpg (2)'!G25</f>
        <v>44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25</v>
      </c>
      <c r="C21" s="87">
        <f>Gen!B27</f>
        <v>0</v>
      </c>
      <c r="D21" s="434">
        <f t="shared" si="0"/>
        <v>6.49</v>
      </c>
      <c r="E21" s="74">
        <v>6.49</v>
      </c>
      <c r="F21" s="70">
        <f>Gen!U27</f>
        <v>0.40934669636228654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30616.600000000006</v>
      </c>
      <c r="K21" s="295">
        <f>'Water-Meter'!E22</f>
        <v>52</v>
      </c>
      <c r="L21" s="653">
        <f>'Lpg (2)'!G26</f>
        <v>56.847999999992318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24</v>
      </c>
      <c r="C22" s="87">
        <f>Gen!B28</f>
        <v>0</v>
      </c>
      <c r="D22" s="434">
        <f t="shared" si="0"/>
        <v>0</v>
      </c>
      <c r="E22" s="74"/>
      <c r="F22" s="70">
        <f>Gen!U28</f>
        <v>0.41046143008101443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29367.510000000006</v>
      </c>
      <c r="K22" s="295">
        <f>'Water-Meter'!E23</f>
        <v>53</v>
      </c>
      <c r="L22" s="653">
        <f>'Lpg (2)'!G27</f>
        <v>61.952000000007686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-159351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2694</v>
      </c>
      <c r="H23" s="85">
        <f>Gen!AK29</f>
        <v>0</v>
      </c>
      <c r="I23" s="85">
        <f t="shared" si="1"/>
        <v>2694</v>
      </c>
      <c r="J23" s="446">
        <f>Gen!C29</f>
        <v>28202.210000000006</v>
      </c>
      <c r="K23" s="295" t="str">
        <f>'Water-Meter'!E24</f>
        <v>0</v>
      </c>
      <c r="L23" s="653">
        <f>'Lpg (2)'!G28</f>
        <v>67.804000000015378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2839</v>
      </c>
      <c r="H24" s="85">
        <f>Gen!AK30</f>
        <v>0</v>
      </c>
      <c r="I24" s="85">
        <f t="shared" si="1"/>
        <v>2839</v>
      </c>
      <c r="J24" s="446">
        <f>Gen!C30</f>
        <v>28202.210000000006</v>
      </c>
      <c r="K24" s="295">
        <f>'Water-Meter'!E25</f>
        <v>0</v>
      </c>
      <c r="L24" s="653">
        <f>'Lpg (2)'!G29</f>
        <v>-334740.60400000005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28202.210000000006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28202.210000000006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28202.210000000006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28202.210000000006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28202.210000000006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28202.210000000006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28202.210000000006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28202.210000000006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28202.210000000006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28202.210000000006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28202.210000000006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28202.210000000006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A26" sqref="AA2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44287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13853.38</v>
      </c>
      <c r="D5" s="145">
        <v>22273</v>
      </c>
      <c r="E5" s="851"/>
      <c r="F5" s="851"/>
      <c r="G5" s="851"/>
      <c r="H5" s="851"/>
      <c r="I5" s="145">
        <v>31842.2</v>
      </c>
      <c r="J5" s="861">
        <v>21219.4</v>
      </c>
      <c r="K5" s="857"/>
      <c r="L5" s="305">
        <v>36091</v>
      </c>
      <c r="M5" s="680"/>
      <c r="N5" s="673"/>
      <c r="O5" s="820">
        <v>31003</v>
      </c>
      <c r="P5" s="681"/>
      <c r="Q5" s="673"/>
      <c r="R5" s="305">
        <v>36296</v>
      </c>
      <c r="S5" s="681"/>
      <c r="T5" s="673"/>
      <c r="U5" s="820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44287</v>
      </c>
      <c r="B6" s="851"/>
      <c r="C6" s="850">
        <v>12242.97</v>
      </c>
      <c r="D6" s="145">
        <v>22273</v>
      </c>
      <c r="E6" s="852"/>
      <c r="F6" s="145"/>
      <c r="G6" s="145"/>
      <c r="H6" s="145"/>
      <c r="I6" s="145">
        <v>31847.200000000001</v>
      </c>
      <c r="J6" s="848">
        <v>21223.7</v>
      </c>
      <c r="K6" s="858">
        <f>L5</f>
        <v>36091</v>
      </c>
      <c r="L6" s="305">
        <v>36091</v>
      </c>
      <c r="M6" s="304">
        <f>L6-K6</f>
        <v>0</v>
      </c>
      <c r="N6" s="306">
        <f>O5</f>
        <v>31003</v>
      </c>
      <c r="O6" s="820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20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6">
        <f>Gen!A12</f>
        <v>44288</v>
      </c>
      <c r="B7" s="851"/>
      <c r="C7" s="850">
        <v>10771.09</v>
      </c>
      <c r="D7" s="145">
        <v>22273</v>
      </c>
      <c r="E7" s="852"/>
      <c r="F7" s="145"/>
      <c r="G7" s="145"/>
      <c r="H7" s="145"/>
      <c r="I7" s="145">
        <v>31852.7</v>
      </c>
      <c r="J7" s="848">
        <v>21227.1</v>
      </c>
      <c r="K7" s="858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20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20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6">
        <f>Gen!A13</f>
        <v>44289</v>
      </c>
      <c r="B8" s="851"/>
      <c r="C8" s="850">
        <v>9237.36</v>
      </c>
      <c r="D8" s="145">
        <v>22273</v>
      </c>
      <c r="E8" s="852"/>
      <c r="F8" s="850"/>
      <c r="G8" s="145">
        <v>139.29</v>
      </c>
      <c r="H8" s="145"/>
      <c r="I8" s="145">
        <v>31858.2</v>
      </c>
      <c r="J8" s="848">
        <v>21230.9</v>
      </c>
      <c r="K8" s="858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20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6">
        <f>Gen!A14</f>
        <v>44290</v>
      </c>
      <c r="B9" s="851"/>
      <c r="C9" s="850">
        <v>7917.58</v>
      </c>
      <c r="D9" s="145">
        <v>22273</v>
      </c>
      <c r="E9" s="852"/>
      <c r="F9" s="853"/>
      <c r="G9" s="145"/>
      <c r="H9" s="145"/>
      <c r="I9" s="145">
        <v>31863.8</v>
      </c>
      <c r="J9" s="848">
        <v>21235.5</v>
      </c>
      <c r="K9" s="858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6">
        <f>Gen!A15</f>
        <v>44291</v>
      </c>
      <c r="B10" s="851"/>
      <c r="C10" s="850">
        <v>6308.49</v>
      </c>
      <c r="D10" s="145">
        <v>22273</v>
      </c>
      <c r="E10" s="852"/>
      <c r="F10" s="145"/>
      <c r="G10" s="145">
        <v>218.51</v>
      </c>
      <c r="H10" s="145"/>
      <c r="I10" s="145">
        <v>31869.200000000001</v>
      </c>
      <c r="J10" s="848">
        <v>21239.8</v>
      </c>
      <c r="K10" s="858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6">
        <f>Gen!A16</f>
        <v>44292</v>
      </c>
      <c r="B11" s="851"/>
      <c r="C11" s="850">
        <v>4758.5</v>
      </c>
      <c r="D11" s="145">
        <v>22273</v>
      </c>
      <c r="E11" s="852"/>
      <c r="F11" s="145"/>
      <c r="G11" s="145">
        <v>42.44</v>
      </c>
      <c r="H11" s="145"/>
      <c r="I11" s="145">
        <v>31874.5</v>
      </c>
      <c r="J11" s="848">
        <v>21244.1</v>
      </c>
      <c r="K11" s="858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6">
        <f>Gen!A17</f>
        <v>44293</v>
      </c>
      <c r="B12" s="851"/>
      <c r="C12" s="850">
        <v>3448.96</v>
      </c>
      <c r="D12" s="145">
        <v>22273</v>
      </c>
      <c r="E12" s="852"/>
      <c r="F12" s="145"/>
      <c r="G12" s="145">
        <v>117.14</v>
      </c>
      <c r="H12" s="145"/>
      <c r="I12" s="145">
        <v>31879.8</v>
      </c>
      <c r="J12" s="848">
        <v>21247.599999999999</v>
      </c>
      <c r="K12" s="858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6">
        <f>Gen!A18</f>
        <v>44294</v>
      </c>
      <c r="B13" s="851"/>
      <c r="C13" s="850">
        <v>19981.400000000001</v>
      </c>
      <c r="D13" s="145">
        <v>22273</v>
      </c>
      <c r="E13" s="852"/>
      <c r="F13" s="145"/>
      <c r="G13" s="145">
        <v>156.32</v>
      </c>
      <c r="H13" s="145"/>
      <c r="I13" s="145">
        <v>31884.9</v>
      </c>
      <c r="J13" s="848">
        <v>21252.1</v>
      </c>
      <c r="K13" s="858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6">
        <f>Gen!A19</f>
        <v>44295</v>
      </c>
      <c r="B14" s="851"/>
      <c r="C14" s="850">
        <v>18558.759999999998</v>
      </c>
      <c r="D14" s="145">
        <v>22273</v>
      </c>
      <c r="E14" s="852"/>
      <c r="F14" s="145"/>
      <c r="G14" s="145">
        <v>302.12</v>
      </c>
      <c r="H14" s="145"/>
      <c r="I14" s="145">
        <v>31889.7</v>
      </c>
      <c r="J14" s="848">
        <v>21256.3</v>
      </c>
      <c r="K14" s="858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6">
        <f>Gen!A20</f>
        <v>44296</v>
      </c>
      <c r="B15" s="851"/>
      <c r="C15" s="850">
        <v>16950.36</v>
      </c>
      <c r="D15" s="145">
        <v>22273</v>
      </c>
      <c r="E15" s="852"/>
      <c r="F15" s="145"/>
      <c r="G15" s="862">
        <v>112</v>
      </c>
      <c r="H15" s="145"/>
      <c r="I15" s="145">
        <v>31894.5</v>
      </c>
      <c r="J15" s="848">
        <v>21260.799999999999</v>
      </c>
      <c r="K15" s="858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6">
        <f>Gen!A21</f>
        <v>44297</v>
      </c>
      <c r="B16" s="851"/>
      <c r="C16" s="850">
        <v>15592.55</v>
      </c>
      <c r="D16" s="145">
        <v>22273</v>
      </c>
      <c r="E16" s="852"/>
      <c r="F16" s="145"/>
      <c r="G16" s="145">
        <v>25</v>
      </c>
      <c r="H16" s="145"/>
      <c r="I16" s="145">
        <v>31899.200000000001</v>
      </c>
      <c r="J16" s="848">
        <v>21265.1</v>
      </c>
      <c r="K16" s="858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6">
        <f>Gen!A22</f>
        <v>44298</v>
      </c>
      <c r="B17" s="851"/>
      <c r="C17" s="850">
        <v>14283.57</v>
      </c>
      <c r="D17" s="145">
        <v>22273</v>
      </c>
      <c r="E17" s="852"/>
      <c r="F17" s="145"/>
      <c r="G17" s="145">
        <v>250.64</v>
      </c>
      <c r="H17" s="145"/>
      <c r="I17" s="145">
        <v>31903.9</v>
      </c>
      <c r="J17" s="848">
        <v>21269.5</v>
      </c>
      <c r="K17" s="858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6">
        <f>Gen!A23</f>
        <v>44299</v>
      </c>
      <c r="B18" s="851"/>
      <c r="C18" s="850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8">
        <v>21273.9</v>
      </c>
      <c r="K18" s="858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6">
        <f>Gen!A24</f>
        <v>44300</v>
      </c>
      <c r="B19" s="851"/>
      <c r="C19" s="850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8">
        <v>21276.9</v>
      </c>
      <c r="K19" s="858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6">
        <f>Gen!A25</f>
        <v>44301</v>
      </c>
      <c r="B20" s="851"/>
      <c r="C20" s="850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8">
        <v>21280.2</v>
      </c>
      <c r="K20" s="858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 thickBot="1">
      <c r="A21" s="856">
        <f>Gen!A26</f>
        <v>44302</v>
      </c>
      <c r="B21" s="851"/>
      <c r="C21" s="850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8">
        <v>21283.1</v>
      </c>
      <c r="K21" s="858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 thickBot="1">
      <c r="A22" s="856">
        <f>Gen!A27</f>
        <v>44303</v>
      </c>
      <c r="B22" s="851"/>
      <c r="C22" s="850">
        <v>8343.6</v>
      </c>
      <c r="D22" s="145">
        <v>22273</v>
      </c>
      <c r="E22" s="145"/>
      <c r="F22" s="145"/>
      <c r="G22" s="145">
        <v>146.31</v>
      </c>
      <c r="H22" s="145"/>
      <c r="I22" s="145">
        <v>31925.8</v>
      </c>
      <c r="J22" s="848">
        <v>21286.1</v>
      </c>
      <c r="K22" s="858">
        <f t="shared" si="0"/>
        <v>36189</v>
      </c>
      <c r="L22" s="305">
        <v>36189</v>
      </c>
      <c r="M22" s="304">
        <f t="shared" si="1"/>
        <v>0</v>
      </c>
      <c r="N22" s="306">
        <f t="shared" si="2"/>
        <v>31100</v>
      </c>
      <c r="O22" s="125">
        <v>31125</v>
      </c>
      <c r="P22" s="304">
        <f t="shared" si="3"/>
        <v>25</v>
      </c>
      <c r="Q22" s="304">
        <f t="shared" si="4"/>
        <v>36392</v>
      </c>
      <c r="R22" s="125">
        <v>36392</v>
      </c>
      <c r="S22" s="304">
        <f t="shared" si="5"/>
        <v>0</v>
      </c>
      <c r="T22" s="304">
        <f t="shared" si="6"/>
        <v>33587</v>
      </c>
      <c r="U22" s="305">
        <v>33587</v>
      </c>
      <c r="V22" s="304">
        <f t="shared" si="7"/>
        <v>0</v>
      </c>
      <c r="W22" s="306">
        <f t="shared" si="8"/>
        <v>22034</v>
      </c>
      <c r="X22" s="673">
        <v>22034</v>
      </c>
      <c r="Y22" s="304">
        <f t="shared" si="9"/>
        <v>0</v>
      </c>
      <c r="Z22" s="307">
        <f t="shared" si="10"/>
        <v>25</v>
      </c>
      <c r="AA22" s="125">
        <v>225</v>
      </c>
      <c r="AB22" s="125">
        <v>120</v>
      </c>
      <c r="AC22" s="684">
        <f>Gen!AR27</f>
        <v>1249.0899999999999</v>
      </c>
    </row>
    <row r="23" spans="1:29" ht="20.100000000000001" customHeight="1">
      <c r="A23" s="856">
        <f>Gen!A28</f>
        <v>44304</v>
      </c>
      <c r="B23" s="851"/>
      <c r="C23" s="850">
        <v>7094.51</v>
      </c>
      <c r="D23" s="145">
        <v>22273</v>
      </c>
      <c r="E23" s="852"/>
      <c r="F23" s="145"/>
      <c r="G23" s="145"/>
      <c r="H23" s="145"/>
      <c r="I23" s="145">
        <v>31930.400000000001</v>
      </c>
      <c r="J23" s="848">
        <v>21289.200000000001</v>
      </c>
      <c r="K23" s="858">
        <f t="shared" si="0"/>
        <v>36189</v>
      </c>
      <c r="L23" s="305">
        <v>36189</v>
      </c>
      <c r="M23" s="304">
        <f t="shared" si="1"/>
        <v>0</v>
      </c>
      <c r="N23" s="306">
        <f t="shared" si="2"/>
        <v>31125</v>
      </c>
      <c r="O23" s="125">
        <v>31125</v>
      </c>
      <c r="P23" s="304">
        <f t="shared" si="3"/>
        <v>0</v>
      </c>
      <c r="Q23" s="304">
        <f t="shared" si="4"/>
        <v>36392</v>
      </c>
      <c r="R23" s="125">
        <v>36416</v>
      </c>
      <c r="S23" s="304">
        <f t="shared" si="5"/>
        <v>24</v>
      </c>
      <c r="T23" s="304">
        <f t="shared" si="6"/>
        <v>33587</v>
      </c>
      <c r="U23" s="305">
        <v>33587</v>
      </c>
      <c r="V23" s="304">
        <f t="shared" si="7"/>
        <v>0</v>
      </c>
      <c r="W23" s="306">
        <f t="shared" si="8"/>
        <v>22034</v>
      </c>
      <c r="X23" s="673">
        <v>22034</v>
      </c>
      <c r="Y23" s="304">
        <f t="shared" si="9"/>
        <v>0</v>
      </c>
      <c r="Z23" s="307">
        <f t="shared" si="10"/>
        <v>24</v>
      </c>
      <c r="AA23" s="125">
        <v>220</v>
      </c>
      <c r="AB23" s="125">
        <v>122</v>
      </c>
      <c r="AC23" s="684">
        <f>Gen!AR28</f>
        <v>1165.3</v>
      </c>
    </row>
    <row r="24" spans="1:29" ht="20.100000000000001" customHeight="1">
      <c r="A24" s="856">
        <f>Gen!A29</f>
        <v>44305</v>
      </c>
      <c r="B24" s="851"/>
      <c r="C24" s="850">
        <v>5929.21</v>
      </c>
      <c r="D24" s="145">
        <v>22273</v>
      </c>
      <c r="E24" s="145"/>
      <c r="F24" s="145"/>
      <c r="G24" s="145"/>
      <c r="H24" s="145"/>
      <c r="I24" s="145">
        <v>31935</v>
      </c>
      <c r="J24" s="848">
        <v>21292.6</v>
      </c>
      <c r="K24" s="858">
        <f t="shared" si="0"/>
        <v>36189</v>
      </c>
      <c r="L24" s="305"/>
      <c r="M24" s="304">
        <f t="shared" si="1"/>
        <v>-36189</v>
      </c>
      <c r="N24" s="306">
        <f t="shared" si="2"/>
        <v>31125</v>
      </c>
      <c r="O24" s="125"/>
      <c r="P24" s="304">
        <f t="shared" si="3"/>
        <v>-31125</v>
      </c>
      <c r="Q24" s="304">
        <f t="shared" si="4"/>
        <v>36416</v>
      </c>
      <c r="R24" s="125"/>
      <c r="S24" s="304">
        <f t="shared" si="5"/>
        <v>-36416</v>
      </c>
      <c r="T24" s="304">
        <f t="shared" si="6"/>
        <v>33587</v>
      </c>
      <c r="U24" s="305"/>
      <c r="V24" s="304">
        <f t="shared" si="7"/>
        <v>-33587</v>
      </c>
      <c r="W24" s="306">
        <f t="shared" si="8"/>
        <v>22034</v>
      </c>
      <c r="X24" s="305"/>
      <c r="Y24" s="304">
        <f t="shared" si="9"/>
        <v>-22034</v>
      </c>
      <c r="Z24" s="307">
        <f t="shared" si="10"/>
        <v>-159351</v>
      </c>
      <c r="AA24" s="125"/>
      <c r="AB24" s="125"/>
      <c r="AC24" s="684">
        <f>Gen!AR29</f>
        <v>0</v>
      </c>
    </row>
    <row r="25" spans="1:29" ht="18.75" customHeight="1">
      <c r="A25" s="856">
        <f>Gen!A30</f>
        <v>44306</v>
      </c>
      <c r="B25" s="851"/>
      <c r="C25" s="850"/>
      <c r="D25" s="853"/>
      <c r="E25" s="145"/>
      <c r="F25" s="145"/>
      <c r="G25" s="145"/>
      <c r="H25" s="145"/>
      <c r="I25" s="145"/>
      <c r="J25" s="848"/>
      <c r="K25" s="85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44307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44308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44309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44310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44311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44312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44313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44314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44315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44316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0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4" workbookViewId="0">
      <pane xSplit="1" topLeftCell="B1" activePane="topRight" state="frozen"/>
      <selection pane="topRight" activeCell="N33" sqref="N33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44287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f>[4]Gen!$C$43</f>
        <v>34515.97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4">
        <v>0.156</v>
      </c>
      <c r="C11" s="802">
        <f>SUM(C9+D11)</f>
        <v>34515.97</v>
      </c>
      <c r="D11" s="803"/>
      <c r="E11" s="800"/>
      <c r="F11" s="299"/>
      <c r="G11" s="801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5">
        <v>0.16900000000000001</v>
      </c>
      <c r="C12" s="802">
        <f t="shared" ref="C12:C43" si="6">SUM(C11-AR11+D12)</f>
        <v>33044.090000000004</v>
      </c>
      <c r="D12" s="803"/>
      <c r="E12" s="800"/>
      <c r="F12" s="525"/>
      <c r="G12" s="801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6">
        <v>0.23</v>
      </c>
      <c r="C13" s="802">
        <f t="shared" si="6"/>
        <v>31510.360000000004</v>
      </c>
      <c r="D13" s="803"/>
      <c r="E13" s="800"/>
      <c r="F13" s="525"/>
      <c r="G13" s="801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6">
        <v>0.247</v>
      </c>
      <c r="C14" s="802">
        <f t="shared" si="6"/>
        <v>29944.600000000006</v>
      </c>
      <c r="D14" s="803"/>
      <c r="E14" s="800"/>
      <c r="F14" s="804"/>
      <c r="G14" s="801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6">
        <v>0.13</v>
      </c>
      <c r="C15" s="802">
        <f t="shared" si="6"/>
        <v>28581.490000000005</v>
      </c>
      <c r="D15" s="803"/>
      <c r="E15" s="800"/>
      <c r="F15" s="804"/>
      <c r="G15" s="801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6">
        <v>9.0999999999999998E-2</v>
      </c>
      <c r="C16" s="802">
        <f t="shared" si="6"/>
        <v>27031.500000000004</v>
      </c>
      <c r="D16" s="803"/>
      <c r="E16" s="800">
        <v>15000</v>
      </c>
      <c r="F16" s="846" t="s">
        <v>319</v>
      </c>
      <c r="G16" s="801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6">
        <v>6.5000000000000002E-2</v>
      </c>
      <c r="C17" s="802">
        <f t="shared" si="6"/>
        <v>43721.960000000006</v>
      </c>
      <c r="D17" s="803">
        <v>18000</v>
      </c>
      <c r="E17" s="800"/>
      <c r="F17" s="804"/>
      <c r="G17" s="801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6">
        <v>9.0999999999999998E-2</v>
      </c>
      <c r="C18" s="802">
        <f t="shared" si="6"/>
        <v>42252.400000000009</v>
      </c>
      <c r="D18" s="803"/>
      <c r="E18" s="800"/>
      <c r="F18" s="804"/>
      <c r="G18" s="801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6">
        <v>6.5000000000000002E-2</v>
      </c>
      <c r="C19" s="802">
        <f t="shared" si="6"/>
        <v>40831.760000000009</v>
      </c>
      <c r="D19" s="803"/>
      <c r="E19" s="800"/>
      <c r="F19" s="804"/>
      <c r="G19" s="801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6">
        <v>5.1999999999999998E-2</v>
      </c>
      <c r="C20" s="802">
        <f t="shared" si="6"/>
        <v>39223.360000000008</v>
      </c>
      <c r="D20" s="803"/>
      <c r="E20" s="800"/>
      <c r="F20" s="804"/>
      <c r="G20" s="801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6">
        <v>0.104</v>
      </c>
      <c r="C21" s="802">
        <f t="shared" si="6"/>
        <v>37865.55000000001</v>
      </c>
      <c r="D21" s="803"/>
      <c r="E21" s="800"/>
      <c r="F21" s="804"/>
      <c r="G21" s="801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6">
        <v>0.104</v>
      </c>
      <c r="C22" s="802">
        <f t="shared" si="6"/>
        <v>36556.570000000007</v>
      </c>
      <c r="D22" s="803"/>
      <c r="E22" s="800"/>
      <c r="F22" s="805"/>
      <c r="G22" s="801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6">
        <v>1.2999999999999999E-2</v>
      </c>
      <c r="C23" s="802">
        <f t="shared" si="6"/>
        <v>35139.180000000008</v>
      </c>
      <c r="D23" s="803"/>
      <c r="E23" s="800"/>
      <c r="F23" s="805"/>
      <c r="G23" s="801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6">
        <v>0</v>
      </c>
      <c r="C24" s="802">
        <f t="shared" si="6"/>
        <v>34032.900000000009</v>
      </c>
      <c r="D24" s="806"/>
      <c r="E24" s="800"/>
      <c r="F24" s="805"/>
      <c r="G24" s="801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6">
        <v>0</v>
      </c>
      <c r="C25" s="802">
        <f t="shared" si="6"/>
        <v>32808.420000000006</v>
      </c>
      <c r="D25" s="803"/>
      <c r="E25" s="800"/>
      <c r="F25" s="804"/>
      <c r="G25" s="801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6"/>
      <c r="C26" s="802">
        <f t="shared" si="6"/>
        <v>31655.430000000004</v>
      </c>
      <c r="D26" s="803"/>
      <c r="E26" s="800"/>
      <c r="F26" s="805"/>
      <c r="G26" s="801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6"/>
      <c r="C27" s="802">
        <f t="shared" si="6"/>
        <v>30616.600000000006</v>
      </c>
      <c r="D27" s="803"/>
      <c r="E27" s="800"/>
      <c r="F27" s="804"/>
      <c r="G27" s="801"/>
      <c r="H27" s="219">
        <v>1102.78</v>
      </c>
      <c r="I27" s="205"/>
      <c r="J27" s="204"/>
      <c r="K27" s="204"/>
      <c r="L27" s="525"/>
      <c r="M27" s="298"/>
      <c r="N27" s="206">
        <v>2694</v>
      </c>
      <c r="O27" s="206"/>
      <c r="P27" s="206"/>
      <c r="Q27" s="206"/>
      <c r="R27" s="562"/>
      <c r="S27" s="570">
        <f t="shared" si="0"/>
        <v>1102.78</v>
      </c>
      <c r="T27" s="218">
        <f t="shared" si="1"/>
        <v>2694</v>
      </c>
      <c r="U27" s="571">
        <f t="shared" si="4"/>
        <v>0.40934669636228654</v>
      </c>
      <c r="V27" s="211"/>
      <c r="W27" s="219"/>
      <c r="X27" s="197">
        <v>79.650000000000006</v>
      </c>
      <c r="Y27" s="219"/>
      <c r="Z27" s="204"/>
      <c r="AA27" s="273"/>
      <c r="AB27" s="219">
        <v>66.66</v>
      </c>
      <c r="AC27" s="219"/>
      <c r="AD27" s="219"/>
      <c r="AE27" s="219"/>
      <c r="AF27" s="219"/>
      <c r="AG27" s="219"/>
      <c r="AH27" s="219"/>
      <c r="AI27" s="386"/>
      <c r="AJ27" s="271">
        <f t="shared" si="3"/>
        <v>146.31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1249.0899999999999</v>
      </c>
      <c r="AS27" s="221">
        <f t="shared" si="7"/>
        <v>0</v>
      </c>
      <c r="AT27" s="283">
        <f t="shared" si="5"/>
        <v>30616.600000000006</v>
      </c>
    </row>
    <row r="28" spans="1:46" ht="15.75">
      <c r="A28" s="575">
        <v>44304</v>
      </c>
      <c r="B28" s="826"/>
      <c r="C28" s="802">
        <f t="shared" si="6"/>
        <v>29367.510000000006</v>
      </c>
      <c r="D28" s="803"/>
      <c r="E28" s="800"/>
      <c r="F28" s="804"/>
      <c r="G28" s="801"/>
      <c r="H28" s="219"/>
      <c r="I28" s="205"/>
      <c r="J28" s="204">
        <v>1165.3</v>
      </c>
      <c r="K28" s="204"/>
      <c r="L28" s="525"/>
      <c r="M28" s="298"/>
      <c r="N28" s="206"/>
      <c r="O28" s="206"/>
      <c r="P28" s="206">
        <v>2839</v>
      </c>
      <c r="Q28" s="206"/>
      <c r="R28" s="562"/>
      <c r="S28" s="570">
        <f t="shared" si="0"/>
        <v>1165.3</v>
      </c>
      <c r="T28" s="218">
        <f t="shared" si="1"/>
        <v>2839</v>
      </c>
      <c r="U28" s="571">
        <f t="shared" si="4"/>
        <v>0.41046143008101443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1165.3</v>
      </c>
      <c r="AS28" s="221">
        <f t="shared" si="7"/>
        <v>0</v>
      </c>
      <c r="AT28" s="283">
        <f>C28</f>
        <v>29367.510000000006</v>
      </c>
    </row>
    <row r="29" spans="1:46" ht="15.75">
      <c r="A29" s="575">
        <v>44305</v>
      </c>
      <c r="B29" s="826"/>
      <c r="C29" s="802">
        <f t="shared" si="6"/>
        <v>28202.210000000006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28202.210000000006</v>
      </c>
    </row>
    <row r="30" spans="1:46" ht="15.75">
      <c r="A30" s="575">
        <v>44306</v>
      </c>
      <c r="B30" s="826"/>
      <c r="C30" s="802">
        <f t="shared" si="6"/>
        <v>28202.210000000006</v>
      </c>
      <c r="D30" s="803"/>
      <c r="E30" s="800">
        <v>15000</v>
      </c>
      <c r="F30" s="847" t="s">
        <v>319</v>
      </c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28202.210000000006</v>
      </c>
    </row>
    <row r="31" spans="1:46" ht="15.75">
      <c r="A31" s="575">
        <v>44307</v>
      </c>
      <c r="B31" s="826"/>
      <c r="C31" s="802">
        <f t="shared" si="6"/>
        <v>28202.210000000006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28202.210000000006</v>
      </c>
    </row>
    <row r="32" spans="1:46" ht="15.75">
      <c r="A32" s="575">
        <v>44308</v>
      </c>
      <c r="B32" s="826"/>
      <c r="C32" s="802">
        <f t="shared" si="6"/>
        <v>28202.210000000006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28202.210000000006</v>
      </c>
    </row>
    <row r="33" spans="1:46" ht="15.75">
      <c r="A33" s="575">
        <v>44309</v>
      </c>
      <c r="B33" s="826"/>
      <c r="C33" s="802">
        <f t="shared" si="6"/>
        <v>28202.210000000006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28202.210000000006</v>
      </c>
    </row>
    <row r="34" spans="1:46" ht="15.75">
      <c r="A34" s="575">
        <v>44310</v>
      </c>
      <c r="B34" s="826"/>
      <c r="C34" s="802">
        <f t="shared" si="6"/>
        <v>28202.210000000006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28202.210000000006</v>
      </c>
    </row>
    <row r="35" spans="1:46" ht="15.75">
      <c r="A35" s="575">
        <v>44311</v>
      </c>
      <c r="B35" s="826"/>
      <c r="C35" s="802">
        <f t="shared" si="6"/>
        <v>28202.210000000006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28202.210000000006</v>
      </c>
    </row>
    <row r="36" spans="1:46" ht="15.75">
      <c r="A36" s="575">
        <v>44312</v>
      </c>
      <c r="B36" s="826"/>
      <c r="C36" s="802">
        <f t="shared" si="6"/>
        <v>28202.210000000006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28202.210000000006</v>
      </c>
    </row>
    <row r="37" spans="1:46" ht="15.75">
      <c r="A37" s="575">
        <v>44313</v>
      </c>
      <c r="B37" s="826"/>
      <c r="C37" s="802">
        <f t="shared" si="6"/>
        <v>28202.210000000006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28202.210000000006</v>
      </c>
    </row>
    <row r="38" spans="1:46" ht="15.75">
      <c r="A38" s="575">
        <v>44314</v>
      </c>
      <c r="B38" s="826"/>
      <c r="C38" s="802">
        <f t="shared" si="6"/>
        <v>28202.210000000006</v>
      </c>
      <c r="D38" s="803"/>
      <c r="E38" s="800"/>
      <c r="F38" s="804"/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28202.210000000006</v>
      </c>
    </row>
    <row r="39" spans="1:46" ht="15.75">
      <c r="A39" s="575">
        <v>44315</v>
      </c>
      <c r="B39" s="826"/>
      <c r="C39" s="802">
        <f t="shared" si="6"/>
        <v>28202.210000000006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28202.210000000006</v>
      </c>
    </row>
    <row r="40" spans="1:46" ht="15.75">
      <c r="A40" s="575">
        <v>44316</v>
      </c>
      <c r="B40" s="826"/>
      <c r="C40" s="802">
        <f t="shared" si="6"/>
        <v>28202.210000000006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28202.210000000006</v>
      </c>
    </row>
    <row r="41" spans="1:46" ht="15.75">
      <c r="A41" s="575"/>
      <c r="B41" s="826"/>
      <c r="C41" s="802">
        <f t="shared" si="6"/>
        <v>28202.210000000006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28202.210000000006</v>
      </c>
    </row>
    <row r="42" spans="1:46" ht="14.25">
      <c r="A42" s="575"/>
      <c r="B42" s="574"/>
      <c r="C42" s="802">
        <f t="shared" si="6"/>
        <v>28202.210000000006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28202.210000000006</v>
      </c>
    </row>
    <row r="43" spans="1:46" ht="14.25">
      <c r="A43" s="495" t="s">
        <v>25</v>
      </c>
      <c r="B43" s="469">
        <f>AVERAGE(B11:B42)</f>
        <v>0.10113333333333334</v>
      </c>
      <c r="C43" s="798">
        <f t="shared" si="6"/>
        <v>28202.210000000006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28202.210000000006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18000</v>
      </c>
      <c r="E45" s="313">
        <f>SUM(E11:E42)</f>
        <v>30000</v>
      </c>
      <c r="F45" s="814">
        <f t="shared" ref="F45:O45" si="8">SUM(F11:F44)</f>
        <v>0</v>
      </c>
      <c r="G45" s="313">
        <f t="shared" si="8"/>
        <v>5111.9500000000007</v>
      </c>
      <c r="H45" s="308">
        <f t="shared" si="8"/>
        <v>6006.13</v>
      </c>
      <c r="I45" s="313">
        <f t="shared" si="8"/>
        <v>0</v>
      </c>
      <c r="J45" s="308">
        <f t="shared" si="8"/>
        <v>6236.68</v>
      </c>
      <c r="K45" s="313">
        <f t="shared" si="8"/>
        <v>4791.9699999999993</v>
      </c>
      <c r="L45" s="308">
        <f t="shared" si="8"/>
        <v>0</v>
      </c>
      <c r="M45" s="313">
        <f t="shared" si="8"/>
        <v>15834</v>
      </c>
      <c r="N45" s="553">
        <f t="shared" si="8"/>
        <v>11680</v>
      </c>
      <c r="O45" s="313">
        <f t="shared" si="8"/>
        <v>0</v>
      </c>
      <c r="P45" s="308">
        <f>SUM(P11:P43)</f>
        <v>15691</v>
      </c>
      <c r="Q45" s="313">
        <f>SUM(Q11:Q44)</f>
        <v>11853</v>
      </c>
      <c r="R45" s="308">
        <f>SUM(R11:R44)</f>
        <v>0</v>
      </c>
      <c r="S45" s="551">
        <f>SUM(G45:L45)</f>
        <v>22146.730000000003</v>
      </c>
      <c r="T45" s="308">
        <f>SUM(M45:R45)</f>
        <v>55058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405.55999999999995</v>
      </c>
      <c r="Y45" s="234">
        <f t="shared" si="9"/>
        <v>213.5</v>
      </c>
      <c r="Z45" s="546">
        <f t="shared" si="9"/>
        <v>363.95000000000005</v>
      </c>
      <c r="AA45" s="234">
        <f t="shared" si="9"/>
        <v>0</v>
      </c>
      <c r="AB45" s="546">
        <f t="shared" si="9"/>
        <v>66.66</v>
      </c>
      <c r="AC45" s="234">
        <f>SUM(AC10:AC44)</f>
        <v>54.9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748</v>
      </c>
      <c r="AI45" s="234">
        <f>SUM(AI9:AI39)</f>
        <v>230.2</v>
      </c>
      <c r="AJ45" s="546">
        <f>SUM(AJ9:AJ44)</f>
        <v>2167.0300000000002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24313.759999999995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714.41064516129029</v>
      </c>
      <c r="T47" s="316">
        <f>S45*2315</f>
        <v>51269679.95000001</v>
      </c>
      <c r="U47" s="317" t="s">
        <v>244</v>
      </c>
      <c r="AR47" s="522">
        <f>AR45*2143</f>
        <v>52104387.679999992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22398.287439930104</v>
      </c>
      <c r="U48" s="317" t="s">
        <v>245</v>
      </c>
      <c r="W48" s="191"/>
      <c r="X48" s="191"/>
      <c r="Y48" s="191"/>
      <c r="Z48" s="191"/>
      <c r="AA48" s="191"/>
      <c r="AR48" s="316">
        <f>AR47/2289</f>
        <v>22762.947872433375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9" t="s">
        <v>327</v>
      </c>
    </row>
    <row r="54" spans="2:46" ht="11.25" customHeight="1">
      <c r="B54" s="498">
        <v>44293</v>
      </c>
      <c r="C54" s="498"/>
      <c r="D54" s="500"/>
      <c r="E54" s="499"/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36" sqref="F3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75506.75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1247.1799999999873</v>
      </c>
      <c r="H10" s="111">
        <f>[5]Gen!B11</f>
        <v>7.6999999999999999E-2</v>
      </c>
      <c r="I10" s="843">
        <f>SUM(F10/H10)</f>
        <v>984288.31168831163</v>
      </c>
      <c r="J10" s="844">
        <f t="shared" ref="J10:J40" si="1">SUM(G10/I10)</f>
        <v>1.2670880931835386E-3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3">
        <f t="shared" ref="I11:I41" si="2">SUM(F11/H11)</f>
        <v>833075.49450549448</v>
      </c>
      <c r="J11" s="844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3">
        <f t="shared" si="2"/>
        <v>5833083.846153846</v>
      </c>
      <c r="J12" s="844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3">
        <f t="shared" si="2"/>
        <v>5834593.8461538469</v>
      </c>
      <c r="J13" s="844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3">
        <f t="shared" si="2"/>
        <v>7586983.9999999991</v>
      </c>
      <c r="J14" s="844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3">
        <f t="shared" si="2"/>
        <v>7588867.9999999991</v>
      </c>
      <c r="J15" s="844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3">
        <f t="shared" si="2"/>
        <v>7590691</v>
      </c>
      <c r="J16" s="844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3">
        <f t="shared" si="2"/>
        <v>7592600</v>
      </c>
      <c r="J17" s="844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75936</v>
      </c>
      <c r="G18" s="268">
        <f t="shared" si="0"/>
        <v>44</v>
      </c>
      <c r="H18" s="111">
        <f>[5]Gen!B19</f>
        <v>0.01</v>
      </c>
      <c r="I18" s="843">
        <f t="shared" si="2"/>
        <v>7593600</v>
      </c>
      <c r="J18" s="844">
        <f t="shared" si="1"/>
        <v>5.794353139485883E-6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79</v>
      </c>
      <c r="E19" s="268"/>
      <c r="F19" s="268">
        <v>75956</v>
      </c>
      <c r="G19" s="268">
        <f t="shared" si="0"/>
        <v>88</v>
      </c>
      <c r="H19" s="111">
        <f>[5]Gen!B20</f>
        <v>0.01</v>
      </c>
      <c r="I19" s="843">
        <f t="shared" si="2"/>
        <v>7595600</v>
      </c>
      <c r="J19" s="844">
        <f t="shared" si="1"/>
        <v>1.1585654852809521E-5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75</v>
      </c>
      <c r="E20" s="268"/>
      <c r="F20" s="268">
        <v>75969.009999999995</v>
      </c>
      <c r="G20" s="268">
        <f t="shared" si="0"/>
        <v>57.243999999976957</v>
      </c>
      <c r="H20" s="111">
        <f>[5]Gen!B21</f>
        <v>0.01</v>
      </c>
      <c r="I20" s="843">
        <f t="shared" si="2"/>
        <v>7596900.9999999991</v>
      </c>
      <c r="J20" s="844">
        <f t="shared" si="1"/>
        <v>7.535177831062556E-6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65</v>
      </c>
      <c r="E21" s="268"/>
      <c r="F21" s="268">
        <v>75983.63</v>
      </c>
      <c r="G21" s="268">
        <f t="shared" si="0"/>
        <v>64.328000000043545</v>
      </c>
      <c r="H21" s="111">
        <f>[5]Gen!B22</f>
        <v>0.03</v>
      </c>
      <c r="I21" s="843">
        <f t="shared" si="2"/>
        <v>2532787.666666667</v>
      </c>
      <c r="J21" s="844">
        <f t="shared" si="1"/>
        <v>2.539810219650346E-5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60</v>
      </c>
      <c r="E22" s="268"/>
      <c r="F22" s="268">
        <v>75998</v>
      </c>
      <c r="G22" s="268">
        <f t="shared" si="0"/>
        <v>63.227999999979517</v>
      </c>
      <c r="H22" s="111">
        <f>[5]Gen!B23</f>
        <v>0.22</v>
      </c>
      <c r="I22" s="843">
        <f t="shared" si="2"/>
        <v>345445.45454545453</v>
      </c>
      <c r="J22" s="844">
        <f t="shared" si="1"/>
        <v>1.8303323771672272E-4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55</v>
      </c>
      <c r="E23" s="268"/>
      <c r="F23" s="268">
        <v>76011.570000000007</v>
      </c>
      <c r="G23" s="268">
        <f>(F23-F22)*4.4</f>
        <v>59.708000000030736</v>
      </c>
      <c r="H23" s="111">
        <f>[5]Gen!B24</f>
        <v>0.23</v>
      </c>
      <c r="I23" s="843">
        <f t="shared" si="2"/>
        <v>330485.08695652173</v>
      </c>
      <c r="J23" s="844">
        <f t="shared" si="1"/>
        <v>1.8066775886890733E-4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51</v>
      </c>
      <c r="E24" s="268"/>
      <c r="F24" s="268">
        <v>76025</v>
      </c>
      <c r="G24" s="268">
        <f t="shared" si="0"/>
        <v>59.091999999969268</v>
      </c>
      <c r="H24" s="111">
        <f>[5]Gen!B25</f>
        <v>0.21</v>
      </c>
      <c r="I24" s="843">
        <f t="shared" si="2"/>
        <v>362023.80952380953</v>
      </c>
      <c r="J24" s="844">
        <f t="shared" si="1"/>
        <v>1.6322683327844192E-4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49</v>
      </c>
      <c r="E25" s="268"/>
      <c r="F25" s="268">
        <v>76035</v>
      </c>
      <c r="G25" s="268">
        <f t="shared" si="0"/>
        <v>44</v>
      </c>
      <c r="H25" s="111">
        <f>[5]Gen!B26</f>
        <v>0.03</v>
      </c>
      <c r="I25" s="843">
        <f t="shared" si="2"/>
        <v>2534500</v>
      </c>
      <c r="J25" s="844">
        <f t="shared" si="1"/>
        <v>1.7360426119550208E-5</v>
      </c>
    </row>
    <row r="26" spans="1:14" ht="18.75">
      <c r="A26" s="94">
        <f>Gen!A27</f>
        <v>44303</v>
      </c>
      <c r="B26" s="268">
        <v>85</v>
      </c>
      <c r="C26" s="268">
        <v>85</v>
      </c>
      <c r="D26" s="268">
        <v>45</v>
      </c>
      <c r="E26" s="268"/>
      <c r="F26" s="268">
        <v>76047.92</v>
      </c>
      <c r="G26" s="268">
        <f t="shared" si="0"/>
        <v>56.847999999992318</v>
      </c>
      <c r="H26" s="111">
        <f>[5]Gen!B27</f>
        <v>0.06</v>
      </c>
      <c r="I26" s="843">
        <f t="shared" si="2"/>
        <v>1267465.3333333333</v>
      </c>
      <c r="J26" s="844">
        <f t="shared" si="1"/>
        <v>4.4851719810345099E-5</v>
      </c>
    </row>
    <row r="27" spans="1:14" ht="18.75">
      <c r="A27" s="94">
        <f>Gen!A28</f>
        <v>44304</v>
      </c>
      <c r="B27" s="268">
        <v>85</v>
      </c>
      <c r="C27" s="268">
        <v>85</v>
      </c>
      <c r="D27" s="268">
        <v>40</v>
      </c>
      <c r="E27" s="268"/>
      <c r="F27" s="268">
        <v>76062</v>
      </c>
      <c r="G27" s="268">
        <f t="shared" si="0"/>
        <v>61.952000000007686</v>
      </c>
      <c r="H27" s="111">
        <f>[5]Gen!B28</f>
        <v>0.05</v>
      </c>
      <c r="I27" s="843">
        <f t="shared" si="2"/>
        <v>1521240</v>
      </c>
      <c r="J27" s="844">
        <f t="shared" si="1"/>
        <v>4.0724671978128163E-5</v>
      </c>
    </row>
    <row r="28" spans="1:14" ht="18.75">
      <c r="A28" s="94">
        <f>Gen!A29</f>
        <v>44305</v>
      </c>
      <c r="B28" s="268">
        <v>85</v>
      </c>
      <c r="C28" s="268">
        <v>85</v>
      </c>
      <c r="D28" s="268">
        <v>35</v>
      </c>
      <c r="E28" s="268"/>
      <c r="F28" s="268">
        <v>76077.41</v>
      </c>
      <c r="G28" s="268">
        <f t="shared" si="0"/>
        <v>67.804000000015378</v>
      </c>
      <c r="H28" s="111">
        <f>[5]Gen!B29</f>
        <v>7.7899999999999997E-2</v>
      </c>
      <c r="I28" s="843">
        <f t="shared" si="2"/>
        <v>976603.46598202828</v>
      </c>
      <c r="J28" s="844">
        <f t="shared" si="1"/>
        <v>6.9428383537257617E-5</v>
      </c>
    </row>
    <row r="29" spans="1:14" ht="18.75">
      <c r="A29" s="94">
        <f>Gen!A30</f>
        <v>44306</v>
      </c>
      <c r="B29" s="268"/>
      <c r="C29" s="268"/>
      <c r="D29" s="268"/>
      <c r="E29" s="268"/>
      <c r="F29" s="268"/>
      <c r="G29" s="268">
        <f t="shared" si="0"/>
        <v>-334740.60400000005</v>
      </c>
      <c r="H29" s="111">
        <f>[5]Gen!B30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44307</v>
      </c>
      <c r="B30" s="268"/>
      <c r="C30" s="268"/>
      <c r="D30" s="268"/>
      <c r="E30" s="268"/>
      <c r="F30" s="268"/>
      <c r="G30" s="268">
        <f t="shared" si="0"/>
        <v>0</v>
      </c>
      <c r="H30" s="111">
        <f>[5]Gen!B31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44308</v>
      </c>
      <c r="B31" s="268"/>
      <c r="C31" s="268"/>
      <c r="D31" s="268"/>
      <c r="E31" s="268"/>
      <c r="F31" s="268"/>
      <c r="G31" s="268">
        <f t="shared" si="0"/>
        <v>0</v>
      </c>
      <c r="H31" s="111">
        <f>[5]Gen!B32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44309</v>
      </c>
      <c r="B32" s="268"/>
      <c r="C32" s="268"/>
      <c r="D32" s="268"/>
      <c r="E32" s="268"/>
      <c r="F32" s="268"/>
      <c r="G32" s="268">
        <f t="shared" si="0"/>
        <v>0</v>
      </c>
      <c r="H32" s="111">
        <f>[5]Gen!B33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44310</v>
      </c>
      <c r="B33" s="268"/>
      <c r="C33" s="268"/>
      <c r="D33" s="268"/>
      <c r="E33" s="268"/>
      <c r="F33" s="268"/>
      <c r="G33" s="268">
        <f t="shared" si="0"/>
        <v>0</v>
      </c>
      <c r="H33" s="111">
        <f>[5]Gen!B34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44311</v>
      </c>
      <c r="B34" s="268"/>
      <c r="C34" s="268"/>
      <c r="D34" s="268"/>
      <c r="E34" s="268"/>
      <c r="F34" s="268"/>
      <c r="G34" s="268">
        <f t="shared" si="0"/>
        <v>0</v>
      </c>
      <c r="H34" s="111">
        <f>[5]Gen!B35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44312</v>
      </c>
      <c r="B35" s="268"/>
      <c r="C35" s="268"/>
      <c r="D35" s="268"/>
      <c r="E35" s="268"/>
      <c r="F35" s="268"/>
      <c r="G35" s="268">
        <f t="shared" si="0"/>
        <v>0</v>
      </c>
      <c r="H35" s="111">
        <f>[5]Gen!B36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44313</v>
      </c>
      <c r="B36" s="268"/>
      <c r="C36" s="268"/>
      <c r="D36" s="268"/>
      <c r="E36" s="268"/>
      <c r="F36" s="268"/>
      <c r="G36" s="268">
        <f t="shared" si="0"/>
        <v>0</v>
      </c>
      <c r="H36" s="111">
        <f>[5]Gen!B37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44314</v>
      </c>
      <c r="B37" s="268"/>
      <c r="C37" s="268"/>
      <c r="D37" s="268"/>
      <c r="E37" s="268"/>
      <c r="F37" s="268"/>
      <c r="G37" s="268">
        <f t="shared" si="0"/>
        <v>0</v>
      </c>
      <c r="H37" s="111">
        <f>[5]Gen!B38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44315</v>
      </c>
      <c r="B38" s="268"/>
      <c r="C38" s="268"/>
      <c r="D38" s="268"/>
      <c r="E38" s="268"/>
      <c r="F38" s="268"/>
      <c r="G38" s="268">
        <f t="shared" si="0"/>
        <v>0</v>
      </c>
      <c r="H38" s="111">
        <f>[5]Gen!B39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44316</v>
      </c>
      <c r="B39" s="268"/>
      <c r="C39" s="268"/>
      <c r="D39" s="268"/>
      <c r="E39" s="268"/>
      <c r="F39" s="268"/>
      <c r="G39" s="268">
        <f t="shared" si="0"/>
        <v>0</v>
      </c>
      <c r="H39" s="111">
        <f>[5]Gen!B40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0</v>
      </c>
      <c r="B40" s="268"/>
      <c r="C40" s="268"/>
      <c r="D40" s="268"/>
      <c r="E40" s="268"/>
      <c r="F40" s="268"/>
      <c r="G40" s="268">
        <f t="shared" si="0"/>
        <v>0</v>
      </c>
      <c r="H40" s="111">
        <f>[5]Gen!B41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[5]Gen!B42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1442972.8499999999</v>
      </c>
      <c r="G42" s="101">
        <f>SUM(G10:G40)</f>
        <v>-332229.7</v>
      </c>
      <c r="H42" s="111">
        <f>[5]Gen!B43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3" zoomScale="94" zoomScaleNormal="94" workbookViewId="0">
      <pane xSplit="1" topLeftCell="R1" activePane="topRight" state="frozen"/>
      <selection pane="topRight" activeCell="AI25" sqref="AI2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1" t="s">
        <v>315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932"/>
      <c r="AJ1" s="932"/>
      <c r="AK1" s="932"/>
      <c r="AL1" s="932"/>
      <c r="AM1" s="932"/>
      <c r="AN1" s="932"/>
    </row>
    <row r="2" spans="1:40" ht="13.5" customHeight="1" thickTop="1">
      <c r="A2" s="29"/>
      <c r="B2" s="29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2"/>
      <c r="S2" s="939" t="s">
        <v>181</v>
      </c>
      <c r="T2" s="940"/>
      <c r="U2" s="941"/>
      <c r="V2" s="939" t="s">
        <v>182</v>
      </c>
      <c r="W2" s="940"/>
      <c r="X2" s="941"/>
      <c r="Y2" s="939" t="s">
        <v>183</v>
      </c>
      <c r="Z2" s="940"/>
      <c r="AA2" s="941"/>
      <c r="AB2" s="939" t="s">
        <v>184</v>
      </c>
      <c r="AC2" s="940"/>
      <c r="AD2" s="941"/>
      <c r="AE2" s="933" t="s">
        <v>239</v>
      </c>
      <c r="AF2" s="934"/>
      <c r="AG2" s="945"/>
      <c r="AH2" s="933" t="s">
        <v>243</v>
      </c>
      <c r="AI2" s="934"/>
      <c r="AJ2" s="945"/>
      <c r="AK2" s="933" t="s">
        <v>240</v>
      </c>
      <c r="AL2" s="934"/>
      <c r="AM2" s="934"/>
      <c r="AN2" s="937" t="s">
        <v>189</v>
      </c>
    </row>
    <row r="3" spans="1:40" ht="21.75" customHeight="1" thickBot="1">
      <c r="A3" s="929" t="s">
        <v>7</v>
      </c>
      <c r="B3" s="29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7" t="s">
        <v>185</v>
      </c>
      <c r="S3" s="942"/>
      <c r="T3" s="943"/>
      <c r="U3" s="944"/>
      <c r="V3" s="942"/>
      <c r="W3" s="943"/>
      <c r="X3" s="944"/>
      <c r="Y3" s="942"/>
      <c r="Z3" s="943"/>
      <c r="AA3" s="944"/>
      <c r="AB3" s="942"/>
      <c r="AC3" s="943"/>
      <c r="AD3" s="944"/>
      <c r="AE3" s="935"/>
      <c r="AF3" s="936"/>
      <c r="AG3" s="946"/>
      <c r="AH3" s="935"/>
      <c r="AI3" s="936"/>
      <c r="AJ3" s="946"/>
      <c r="AK3" s="935"/>
      <c r="AL3" s="936"/>
      <c r="AM3" s="936"/>
      <c r="AN3" s="938"/>
    </row>
    <row r="4" spans="1:40" ht="15.75" thickTop="1">
      <c r="A4" s="930"/>
      <c r="B4" s="244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8387</v>
      </c>
      <c r="K21" s="474">
        <f t="shared" si="28"/>
        <v>2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>
        <v>254061</v>
      </c>
      <c r="E22" s="474">
        <f t="shared" si="29"/>
        <v>52</v>
      </c>
      <c r="F22" s="95">
        <f t="shared" si="2"/>
        <v>75790</v>
      </c>
      <c r="G22" s="387">
        <v>75790</v>
      </c>
      <c r="H22" s="474">
        <f t="shared" si="13"/>
        <v>0</v>
      </c>
      <c r="I22" s="95">
        <f t="shared" si="3"/>
        <v>8387</v>
      </c>
      <c r="J22" s="1">
        <v>8389</v>
      </c>
      <c r="K22" s="474">
        <f t="shared" si="28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>
        <v>21183</v>
      </c>
      <c r="Q22" s="474">
        <f t="shared" si="7"/>
        <v>5</v>
      </c>
      <c r="R22" s="250"/>
      <c r="S22" s="245">
        <f t="shared" si="15"/>
        <v>68447</v>
      </c>
      <c r="T22" s="384">
        <v>68528</v>
      </c>
      <c r="U22" s="475">
        <f t="shared" si="16"/>
        <v>81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90129</v>
      </c>
      <c r="Z22" s="384">
        <v>90129</v>
      </c>
      <c r="AA22" s="475">
        <f t="shared" si="18"/>
        <v>0</v>
      </c>
      <c r="AB22" s="606">
        <f t="shared" si="22"/>
        <v>19034</v>
      </c>
      <c r="AC22" s="610">
        <v>19050</v>
      </c>
      <c r="AD22" s="609">
        <f t="shared" si="23"/>
        <v>16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30759</v>
      </c>
      <c r="AI22" s="385">
        <v>30787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125</v>
      </c>
    </row>
    <row r="23" spans="1:40" ht="23.1" customHeight="1">
      <c r="A23" s="57">
        <f>Gen!A28</f>
        <v>44304</v>
      </c>
      <c r="B23" s="4"/>
      <c r="C23" s="95">
        <f t="shared" si="0"/>
        <v>254061</v>
      </c>
      <c r="D23" s="1">
        <v>254114</v>
      </c>
      <c r="E23" s="474">
        <f t="shared" si="29"/>
        <v>53</v>
      </c>
      <c r="F23" s="95">
        <f t="shared" si="2"/>
        <v>75790</v>
      </c>
      <c r="G23" s="387">
        <v>75790</v>
      </c>
      <c r="H23" s="474">
        <f t="shared" si="13"/>
        <v>0</v>
      </c>
      <c r="I23" s="95">
        <f t="shared" si="3"/>
        <v>8389</v>
      </c>
      <c r="J23" s="1">
        <v>8390</v>
      </c>
      <c r="K23" s="474">
        <f t="shared" si="28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21183</v>
      </c>
      <c r="P23" s="383">
        <v>21187</v>
      </c>
      <c r="Q23" s="474">
        <f t="shared" si="7"/>
        <v>4</v>
      </c>
      <c r="R23" s="250"/>
      <c r="S23" s="245">
        <f t="shared" si="15"/>
        <v>68528</v>
      </c>
      <c r="T23" s="384">
        <v>68609</v>
      </c>
      <c r="U23" s="475">
        <f t="shared" si="16"/>
        <v>81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90129</v>
      </c>
      <c r="Z23" s="384">
        <v>90129</v>
      </c>
      <c r="AA23" s="475">
        <f t="shared" si="18"/>
        <v>0</v>
      </c>
      <c r="AB23" s="606">
        <f t="shared" si="22"/>
        <v>19050</v>
      </c>
      <c r="AC23" s="607">
        <v>19067</v>
      </c>
      <c r="AD23" s="609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30787</v>
      </c>
      <c r="AI23" s="385">
        <v>30814</v>
      </c>
      <c r="AJ23" s="475">
        <f t="shared" si="20"/>
        <v>27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44305</v>
      </c>
      <c r="B24" s="4"/>
      <c r="C24" s="95">
        <f t="shared" si="0"/>
        <v>254114</v>
      </c>
      <c r="D24" s="1"/>
      <c r="E24" s="474" t="str">
        <f t="shared" si="29"/>
        <v>0</v>
      </c>
      <c r="F24" s="95">
        <f t="shared" si="2"/>
        <v>75790</v>
      </c>
      <c r="G24" s="387"/>
      <c r="H24" s="474" t="str">
        <f t="shared" si="13"/>
        <v>0</v>
      </c>
      <c r="I24" s="95">
        <f t="shared" si="3"/>
        <v>8390</v>
      </c>
      <c r="J24" s="1"/>
      <c r="K24" s="474" t="str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21187</v>
      </c>
      <c r="P24" s="383"/>
      <c r="Q24" s="474" t="str">
        <f t="shared" si="7"/>
        <v>0</v>
      </c>
      <c r="R24" s="250"/>
      <c r="S24" s="245">
        <f t="shared" si="15"/>
        <v>68609</v>
      </c>
      <c r="T24" s="384"/>
      <c r="U24" s="475" t="str">
        <f t="shared" si="16"/>
        <v>0</v>
      </c>
      <c r="V24" s="245">
        <f t="shared" si="31"/>
        <v>73031</v>
      </c>
      <c r="W24" s="384"/>
      <c r="X24" s="475" t="str">
        <f t="shared" si="17"/>
        <v>0</v>
      </c>
      <c r="Y24" s="245">
        <f t="shared" si="9"/>
        <v>90129</v>
      </c>
      <c r="Z24" s="384"/>
      <c r="AA24" s="475" t="str">
        <f t="shared" si="18"/>
        <v>0</v>
      </c>
      <c r="AB24" s="606">
        <f t="shared" si="22"/>
        <v>19067</v>
      </c>
      <c r="AC24" s="607"/>
      <c r="AD24" s="609" t="str">
        <f t="shared" si="23"/>
        <v>0</v>
      </c>
      <c r="AE24" s="245">
        <f t="shared" si="10"/>
        <v>18300</v>
      </c>
      <c r="AF24" s="385"/>
      <c r="AG24" s="475" t="str">
        <f t="shared" si="19"/>
        <v>0</v>
      </c>
      <c r="AH24" s="245">
        <f t="shared" si="11"/>
        <v>30814</v>
      </c>
      <c r="AI24" s="385"/>
      <c r="AJ24" s="475" t="str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44306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44307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44308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44309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44310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44311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44312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44314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44315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44316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0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1153</v>
      </c>
    </row>
    <row r="38" spans="1:41" ht="18.75">
      <c r="A38" s="57"/>
      <c r="B38" s="21"/>
      <c r="C38" s="927" t="s">
        <v>6</v>
      </c>
      <c r="D38" s="927"/>
      <c r="E38" s="22">
        <f>SUM(E6:E36)</f>
        <v>1470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28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1470</v>
      </c>
      <c r="S38" s="247"/>
      <c r="T38" s="247"/>
      <c r="U38" s="257">
        <f>SUM(U6:U37)</f>
        <v>1153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1153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53"/>
      <c r="B42" s="277"/>
      <c r="C42" s="950" t="s">
        <v>222</v>
      </c>
      <c r="D42" s="951"/>
      <c r="E42" s="951"/>
      <c r="F42" s="951"/>
      <c r="G42" s="951"/>
      <c r="H42" s="951"/>
      <c r="I42" s="951"/>
      <c r="J42" s="951"/>
      <c r="K42" s="952"/>
      <c r="R42" s="19"/>
    </row>
    <row r="43" spans="1:41" ht="24.75" customHeight="1">
      <c r="A43" s="954"/>
      <c r="B43" s="19"/>
      <c r="C43" s="956" t="s">
        <v>216</v>
      </c>
      <c r="D43" s="957"/>
      <c r="E43" s="958" t="s">
        <v>237</v>
      </c>
      <c r="F43" s="959"/>
      <c r="G43" s="960" t="s">
        <v>217</v>
      </c>
      <c r="H43" s="961"/>
      <c r="I43" s="960" t="s">
        <v>238</v>
      </c>
      <c r="J43" s="961"/>
      <c r="K43" s="94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54"/>
      <c r="B44" s="19"/>
      <c r="C44" s="962" t="s">
        <v>218</v>
      </c>
      <c r="D44" s="963"/>
      <c r="E44" s="962" t="s">
        <v>219</v>
      </c>
      <c r="F44" s="963"/>
      <c r="G44" s="962" t="s">
        <v>220</v>
      </c>
      <c r="H44" s="963"/>
      <c r="I44" s="962" t="s">
        <v>221</v>
      </c>
      <c r="J44" s="963"/>
      <c r="K44" s="94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5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>
        <v>236</v>
      </c>
      <c r="D63" s="325">
        <f t="shared" si="49"/>
        <v>170.70666666666668</v>
      </c>
      <c r="E63" s="6">
        <v>200</v>
      </c>
      <c r="F63" s="325">
        <f t="shared" si="50"/>
        <v>60.327868852459019</v>
      </c>
      <c r="G63" s="477">
        <v>183</v>
      </c>
      <c r="H63" s="325">
        <f t="shared" si="51"/>
        <v>69.759791122715399</v>
      </c>
      <c r="I63" s="6">
        <v>288</v>
      </c>
      <c r="J63" s="325">
        <f t="shared" si="52"/>
        <v>199.16883116883116</v>
      </c>
      <c r="K63" s="331">
        <f t="shared" si="53"/>
        <v>499.96315781067227</v>
      </c>
    </row>
    <row r="64" spans="1:15" ht="13.5">
      <c r="A64" s="293">
        <f>Gen!A29</f>
        <v>44305</v>
      </c>
      <c r="B64" s="19"/>
      <c r="C64" s="62">
        <v>300</v>
      </c>
      <c r="D64" s="325">
        <f t="shared" si="49"/>
        <v>217</v>
      </c>
      <c r="E64" s="6">
        <v>289</v>
      </c>
      <c r="F64" s="325">
        <f t="shared" si="50"/>
        <v>87.173770491803282</v>
      </c>
      <c r="G64" s="477">
        <v>147</v>
      </c>
      <c r="H64" s="325">
        <f t="shared" si="51"/>
        <v>56.036553524804177</v>
      </c>
      <c r="I64" s="6">
        <v>290</v>
      </c>
      <c r="J64" s="325">
        <f t="shared" si="52"/>
        <v>200.55194805194805</v>
      </c>
      <c r="K64" s="331">
        <f t="shared" si="53"/>
        <v>560.76227206855549</v>
      </c>
    </row>
    <row r="65" spans="1:11" ht="13.5">
      <c r="A65" s="293">
        <f>Gen!A30</f>
        <v>44306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44307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44308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44309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44310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44311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44312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44313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44314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44315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44316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1247.1799999999873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1545.5898611110954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44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54.527777777777779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88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109.05555555555556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57.243999999976957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70.940638888860335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64.328000000043545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79.719611111165079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63.227999999979517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78.35641666664128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59.708000000030736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73.994194444482531</v>
      </c>
      <c r="V18" s="17">
        <f t="shared" si="7"/>
        <v>7161979.8213156564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59.091999999969268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73.230805555517463</v>
      </c>
      <c r="V19" s="17">
        <f t="shared" si="7"/>
        <v>6288712.6978207063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44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54.527777777777779</v>
      </c>
      <c r="V20" s="17">
        <f t="shared" si="7"/>
        <v>5821442.8600353543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>
        <f>Gen!U27</f>
        <v>0.40934669636228654</v>
      </c>
      <c r="G21" s="85">
        <f>Gen!T27</f>
        <v>2694</v>
      </c>
      <c r="H21" s="85">
        <f>[1]Gen!AJ30</f>
        <v>783.92</v>
      </c>
      <c r="I21" s="85">
        <f t="shared" si="0"/>
        <v>3477.92</v>
      </c>
      <c r="J21" s="85">
        <f>[1]Gen!AT27</f>
        <v>36688.350000000035</v>
      </c>
      <c r="K21" s="69">
        <f>'Water-Meter'!E22</f>
        <v>52</v>
      </c>
      <c r="L21" s="447">
        <f>'Lpg (2)'!G26</f>
        <v>56.847999999992318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7685681.5120000001</v>
      </c>
      <c r="R21" s="76" t="e">
        <f t="shared" si="3"/>
        <v>#DIV/0!</v>
      </c>
      <c r="S21" s="438" t="e">
        <f t="shared" si="4"/>
        <v>#DIV/0!</v>
      </c>
      <c r="T21" s="76">
        <f t="shared" si="5"/>
        <v>3.3484848484848486</v>
      </c>
      <c r="U21" s="122">
        <f t="shared" si="6"/>
        <v>70.449888888879372</v>
      </c>
      <c r="V21" s="17">
        <f t="shared" si="7"/>
        <v>7685755.3103737375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>
        <f>Gen!U28</f>
        <v>0.41046143008101443</v>
      </c>
      <c r="G22" s="85">
        <f>Gen!T28</f>
        <v>2839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53</v>
      </c>
      <c r="L22" s="447">
        <f>'Lpg (2)'!G27</f>
        <v>61.952000000007686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3.4128787878787881</v>
      </c>
      <c r="U22" s="122">
        <f t="shared" si="6"/>
        <v>76.775111111120637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 t="str">
        <f>'Water-Meter'!E24</f>
        <v>0</v>
      </c>
      <c r="L23" s="447">
        <f>'Lpg (2)'!G28</f>
        <v>67.804000000015378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84.027305555574614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-334740.60400000005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-414833.21063888894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1470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44287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31655.430000000004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0</v>
      </c>
      <c r="C21" s="443">
        <f>Gen!AJ27</f>
        <v>146.31</v>
      </c>
      <c r="D21" s="444">
        <f>Gen!S27</f>
        <v>1102.78</v>
      </c>
      <c r="E21" s="395">
        <f>Gen!C27</f>
        <v>30616.600000000006</v>
      </c>
      <c r="F21" s="396">
        <f>'Water-Meter'!E22</f>
        <v>52</v>
      </c>
      <c r="G21" s="397">
        <f>'Water-Meter'!AN22</f>
        <v>125</v>
      </c>
      <c r="H21" s="395">
        <f>'Utility report '!AC22</f>
        <v>38</v>
      </c>
      <c r="I21" s="394">
        <f>'Kit report'!F20</f>
        <v>240</v>
      </c>
      <c r="J21" s="395">
        <f>'Kit report'!X20</f>
        <v>159.99999999985448</v>
      </c>
    </row>
    <row r="22" spans="1:10" ht="15" customHeight="1" thickBot="1">
      <c r="A22" s="217">
        <f>Gen!A28</f>
        <v>44304</v>
      </c>
      <c r="B22" s="399">
        <f>Gen!B28</f>
        <v>0</v>
      </c>
      <c r="C22" s="443">
        <f>Gen!AJ28</f>
        <v>0</v>
      </c>
      <c r="D22" s="444">
        <f>Gen!S28</f>
        <v>1165.3</v>
      </c>
      <c r="E22" s="395">
        <f>Gen!C28</f>
        <v>29367.510000000006</v>
      </c>
      <c r="F22" s="396">
        <f>'Water-Meter'!E23</f>
        <v>53</v>
      </c>
      <c r="G22" s="397">
        <f>'Water-Meter'!AN23</f>
        <v>125</v>
      </c>
      <c r="H22" s="395">
        <f>'Utility report '!AC23</f>
        <v>38</v>
      </c>
      <c r="I22" s="394">
        <f>'Kit report'!F21</f>
        <v>252.00000000004366</v>
      </c>
      <c r="J22" s="395">
        <f>'Kit report'!X21</f>
        <v>280.00000000010914</v>
      </c>
    </row>
    <row r="23" spans="1:10" ht="15" customHeight="1" thickBot="1">
      <c r="A23" s="217">
        <f>Gen!A29</f>
        <v>44305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28202.210000000006</v>
      </c>
      <c r="F23" s="396" t="str">
        <f>'Water-Meter'!E24</f>
        <v>0</v>
      </c>
      <c r="G23" s="397">
        <f>'Water-Meter'!AN24</f>
        <v>0</v>
      </c>
      <c r="H23" s="395">
        <f>'Utility report '!AC24</f>
        <v>-351</v>
      </c>
      <c r="I23" s="394">
        <f>'Kit report'!F22</f>
        <v>-1109148</v>
      </c>
      <c r="J23" s="395">
        <f>'Kit report'!X22</f>
        <v>-1620660</v>
      </c>
    </row>
    <row r="24" spans="1:10" ht="15" customHeight="1" thickBot="1">
      <c r="A24" s="217">
        <f>Gen!A30</f>
        <v>44306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28202.210000000006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44307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28202.210000000006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28202.210000000006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44309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28202.210000000006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44310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28202.210000000006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44311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28202.210000000006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44312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28202.210000000006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44313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28202.210000000006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44314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28202.210000000006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44315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28202.210000000006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44316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28202.210000000006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28202.210000000006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28202.210000000006</v>
      </c>
      <c r="F36" s="396">
        <f>'Water-Meter'!E37</f>
        <v>0</v>
      </c>
      <c r="G36" s="397">
        <f>'Water-Meter'!AN37</f>
        <v>1153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2021-04-19T05:02:52Z</dcterms:modified>
</cp:coreProperties>
</file>