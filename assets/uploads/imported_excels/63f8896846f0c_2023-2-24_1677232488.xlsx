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Q32" i="3" l="1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29" i="1"/>
  <c r="E8" i="1"/>
  <c r="E21" i="1"/>
  <c r="E31" i="1"/>
</calcChain>
</file>

<file path=xl/sharedStrings.xml><?xml version="1.0" encoding="utf-8"?>
<sst xmlns="http://schemas.openxmlformats.org/spreadsheetml/2006/main" count="111" uniqueCount="34">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</sst>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165" fontId="4" fillId="3" borderId="17" xfId="1" applyNumberFormat="1" applyFont="1" applyFill="1" applyBorder="1" applyAlignment="1">
      <alignment horizontal="center"/>
    </xf>
    <xf numFmtId="165" fontId="4" fillId="3" borderId="8" xfId="1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8" t="s">
        <v>13</v>
      </c>
      <c r="B1" s="28" t="s">
        <v>33</v>
      </c>
      <c r="C1" s="28" t="s">
        <v>14</v>
      </c>
      <c r="D1" s="28" t="s">
        <v>15</v>
      </c>
      <c r="E1" s="29" t="s">
        <v>25</v>
      </c>
      <c r="F1" s="29" t="s">
        <v>26</v>
      </c>
      <c r="G1" s="29" t="s">
        <v>27</v>
      </c>
      <c r="H1" s="30" t="s">
        <v>28</v>
      </c>
      <c r="I1" s="29" t="s">
        <v>29</v>
      </c>
      <c r="J1" s="29" t="s">
        <v>30</v>
      </c>
      <c r="K1" s="29" t="s">
        <v>31</v>
      </c>
      <c r="L1" s="29" t="s">
        <v>32</v>
      </c>
    </row>
    <row r="2" spans="1:12" x14ac:dyDescent="0.25">
      <c r="A2" t="s">
        <v>24</v>
      </c>
      <c r="B2">
        <v>1</v>
      </c>
      <c r="C2" s="23">
        <v>11</v>
      </c>
      <c r="D2" s="23">
        <v>2022</v>
      </c>
      <c r="E2" s="24">
        <f>Submetering!E2+Submetering!F2+Submetering!G2+Submetering!H2</f>
        <v>35917</v>
      </c>
      <c r="F2" s="31">
        <v>0.36499999999999999</v>
      </c>
      <c r="G2" s="24">
        <f>Submetering!I2+Submetering!J2+Submetering!K2</f>
        <v>370</v>
      </c>
      <c r="H2" s="26">
        <f>(1/22.25)*64.12</f>
        <v>2.8817977528089891</v>
      </c>
      <c r="I2" s="25">
        <f>Submetering!L2</f>
        <v>495</v>
      </c>
      <c r="J2" s="25">
        <v>2.86</v>
      </c>
      <c r="K2" s="32">
        <v>144</v>
      </c>
      <c r="L2" s="32">
        <v>210</v>
      </c>
    </row>
    <row r="3" spans="1:12" x14ac:dyDescent="0.25">
      <c r="A3" t="s">
        <v>24</v>
      </c>
      <c r="B3">
        <v>2</v>
      </c>
      <c r="C3" s="23">
        <v>11</v>
      </c>
      <c r="D3" s="23">
        <v>2022</v>
      </c>
      <c r="E3" s="24">
        <f>Submetering!E3+Submetering!F3+Submetering!G3+Submetering!H3</f>
        <v>34347</v>
      </c>
      <c r="F3" s="31">
        <v>0.36499999999999999</v>
      </c>
      <c r="G3" s="24">
        <f>Submetering!I3+Submetering!J3+Submetering!K3</f>
        <v>343</v>
      </c>
      <c r="H3" s="26">
        <f t="shared" ref="H3:H31" si="0">(1/22.25)*64.12</f>
        <v>2.8817977528089891</v>
      </c>
      <c r="I3" s="25">
        <f>Submetering!L3</f>
        <v>715</v>
      </c>
      <c r="J3" s="25">
        <v>2.86</v>
      </c>
      <c r="K3" s="32">
        <v>151</v>
      </c>
      <c r="L3" s="32">
        <v>219</v>
      </c>
    </row>
    <row r="4" spans="1:12" x14ac:dyDescent="0.25">
      <c r="A4" t="s">
        <v>24</v>
      </c>
      <c r="B4">
        <v>3</v>
      </c>
      <c r="C4" s="23">
        <v>11</v>
      </c>
      <c r="D4" s="23">
        <v>2022</v>
      </c>
      <c r="E4" s="24">
        <f>Submetering!E4+Submetering!F4+Submetering!G4+Submetering!H4</f>
        <v>34947</v>
      </c>
      <c r="F4" s="31">
        <v>0.36499999999999999</v>
      </c>
      <c r="G4" s="24">
        <f>Submetering!I4+Submetering!J4+Submetering!K4</f>
        <v>339</v>
      </c>
      <c r="H4" s="26">
        <f t="shared" si="0"/>
        <v>2.8817977528089891</v>
      </c>
      <c r="I4" s="25">
        <f>Submetering!L4</f>
        <v>486</v>
      </c>
      <c r="J4" s="25">
        <v>2.86</v>
      </c>
      <c r="K4" s="32">
        <v>139</v>
      </c>
      <c r="L4" s="32">
        <v>211</v>
      </c>
    </row>
    <row r="5" spans="1:12" x14ac:dyDescent="0.25">
      <c r="A5" t="s">
        <v>24</v>
      </c>
      <c r="B5">
        <v>4</v>
      </c>
      <c r="C5" s="23">
        <v>11</v>
      </c>
      <c r="D5" s="23">
        <v>2022</v>
      </c>
      <c r="E5" s="24">
        <f>Submetering!E5+Submetering!F5+Submetering!G5+Submetering!H5</f>
        <v>35896</v>
      </c>
      <c r="F5" s="31">
        <v>0.36499999999999999</v>
      </c>
      <c r="G5" s="24">
        <f>Submetering!I5+Submetering!J5+Submetering!K5</f>
        <v>353</v>
      </c>
      <c r="H5" s="26">
        <f t="shared" si="0"/>
        <v>2.8817977528089891</v>
      </c>
      <c r="I5" s="25">
        <f>Submetering!L5</f>
        <v>652</v>
      </c>
      <c r="J5" s="25">
        <v>2.86</v>
      </c>
      <c r="K5" s="32">
        <v>146</v>
      </c>
      <c r="L5" s="32">
        <v>255</v>
      </c>
    </row>
    <row r="6" spans="1:12" x14ac:dyDescent="0.25">
      <c r="A6" t="s">
        <v>24</v>
      </c>
      <c r="B6">
        <v>5</v>
      </c>
      <c r="C6" s="23">
        <v>11</v>
      </c>
      <c r="D6" s="23">
        <v>2022</v>
      </c>
      <c r="E6" s="24">
        <f>Submetering!E6+Submetering!F6+Submetering!G6+Submetering!H6</f>
        <v>38723</v>
      </c>
      <c r="F6" s="31">
        <v>0.36499999999999999</v>
      </c>
      <c r="G6" s="24">
        <f>Submetering!I6+Submetering!J6+Submetering!K6</f>
        <v>446</v>
      </c>
      <c r="H6" s="26">
        <f t="shared" si="0"/>
        <v>2.8817977528089891</v>
      </c>
      <c r="I6" s="25">
        <f>Submetering!L6</f>
        <v>596</v>
      </c>
      <c r="J6" s="25">
        <v>2.86</v>
      </c>
      <c r="K6" s="32">
        <v>164</v>
      </c>
      <c r="L6" s="32">
        <v>301</v>
      </c>
    </row>
    <row r="7" spans="1:12" x14ac:dyDescent="0.25">
      <c r="A7" t="s">
        <v>24</v>
      </c>
      <c r="B7">
        <v>6</v>
      </c>
      <c r="C7" s="23">
        <v>11</v>
      </c>
      <c r="D7" s="23">
        <v>2022</v>
      </c>
      <c r="E7" s="24">
        <f>Submetering!E7+Submetering!F7+Submetering!G7+Submetering!H7</f>
        <v>35378</v>
      </c>
      <c r="F7" s="31">
        <v>0.36499999999999999</v>
      </c>
      <c r="G7" s="24">
        <f>Submetering!I7+Submetering!J7+Submetering!K7</f>
        <v>322</v>
      </c>
      <c r="H7" s="26">
        <f t="shared" si="0"/>
        <v>2.8817977528089891</v>
      </c>
      <c r="I7" s="25">
        <f>Submetering!L7</f>
        <v>487</v>
      </c>
      <c r="J7" s="25">
        <v>2.86</v>
      </c>
      <c r="K7" s="32">
        <v>130</v>
      </c>
      <c r="L7" s="32">
        <v>195</v>
      </c>
    </row>
    <row r="8" spans="1:12" x14ac:dyDescent="0.25">
      <c r="A8" t="s">
        <v>24</v>
      </c>
      <c r="B8">
        <v>7</v>
      </c>
      <c r="C8" s="23">
        <v>11</v>
      </c>
      <c r="D8" s="23">
        <v>2022</v>
      </c>
      <c r="E8" s="24">
        <f>Submetering!E8+Submetering!F8+Submetering!G8+Submetering!H8</f>
        <v>36172</v>
      </c>
      <c r="F8" s="31">
        <v>0.36499999999999999</v>
      </c>
      <c r="G8" s="24">
        <f>Submetering!I8+Submetering!J8+Submetering!K8</f>
        <v>400</v>
      </c>
      <c r="H8" s="26">
        <f t="shared" si="0"/>
        <v>2.8817977528089891</v>
      </c>
      <c r="I8" s="25">
        <f>Submetering!L8</f>
        <v>684</v>
      </c>
      <c r="J8" s="25">
        <v>2.86</v>
      </c>
      <c r="K8" s="32">
        <v>147</v>
      </c>
      <c r="L8" s="32">
        <v>209</v>
      </c>
    </row>
    <row r="9" spans="1:12" x14ac:dyDescent="0.25">
      <c r="A9" t="s">
        <v>24</v>
      </c>
      <c r="B9">
        <v>8</v>
      </c>
      <c r="C9" s="23">
        <v>11</v>
      </c>
      <c r="D9" s="23">
        <v>2022</v>
      </c>
      <c r="E9" s="24">
        <f>Submetering!E9+Submetering!F9+Submetering!G9+Submetering!H9</f>
        <v>36502</v>
      </c>
      <c r="F9" s="31">
        <v>0.36499999999999999</v>
      </c>
      <c r="G9" s="24">
        <f>Submetering!I9+Submetering!J9+Submetering!K9</f>
        <v>394</v>
      </c>
      <c r="H9" s="26">
        <f t="shared" si="0"/>
        <v>2.8817977528089891</v>
      </c>
      <c r="I9" s="25">
        <f>Submetering!L9</f>
        <v>498</v>
      </c>
      <c r="J9" s="25">
        <v>2.86</v>
      </c>
      <c r="K9" s="32">
        <v>176</v>
      </c>
      <c r="L9" s="32">
        <v>248</v>
      </c>
    </row>
    <row r="10" spans="1:12" x14ac:dyDescent="0.25">
      <c r="A10" t="s">
        <v>24</v>
      </c>
      <c r="B10">
        <v>9</v>
      </c>
      <c r="C10" s="23">
        <v>11</v>
      </c>
      <c r="D10" s="23">
        <v>2022</v>
      </c>
      <c r="E10" s="24">
        <f>Submetering!E10+Submetering!F10+Submetering!G10+Submetering!H10</f>
        <v>40170</v>
      </c>
      <c r="F10" s="31">
        <v>0.36499999999999999</v>
      </c>
      <c r="G10" s="24">
        <f>Submetering!I10+Submetering!J10+Submetering!K10</f>
        <v>448</v>
      </c>
      <c r="H10" s="26">
        <f t="shared" si="0"/>
        <v>2.8817977528089891</v>
      </c>
      <c r="I10" s="25">
        <f>Submetering!L10</f>
        <v>568</v>
      </c>
      <c r="J10" s="25">
        <v>2.86</v>
      </c>
      <c r="K10" s="32">
        <v>174</v>
      </c>
      <c r="L10" s="32">
        <v>232</v>
      </c>
    </row>
    <row r="11" spans="1:12" x14ac:dyDescent="0.25">
      <c r="A11" t="s">
        <v>24</v>
      </c>
      <c r="B11">
        <v>10</v>
      </c>
      <c r="C11" s="23">
        <v>11</v>
      </c>
      <c r="D11" s="23">
        <v>2022</v>
      </c>
      <c r="E11" s="24">
        <f>Submetering!E11+Submetering!F11+Submetering!G11+Submetering!H11</f>
        <v>32784</v>
      </c>
      <c r="F11" s="31">
        <v>0.36499999999999999</v>
      </c>
      <c r="G11" s="24">
        <f>Submetering!I11+Submetering!J11+Submetering!K11</f>
        <v>326</v>
      </c>
      <c r="H11" s="26">
        <f t="shared" si="0"/>
        <v>2.8817977528089891</v>
      </c>
      <c r="I11" s="25">
        <f>Submetering!L11</f>
        <v>648</v>
      </c>
      <c r="J11" s="25">
        <v>2.86</v>
      </c>
      <c r="K11" s="32">
        <v>167</v>
      </c>
      <c r="L11" s="32">
        <v>238</v>
      </c>
    </row>
    <row r="12" spans="1:12" x14ac:dyDescent="0.25">
      <c r="A12" t="s">
        <v>24</v>
      </c>
      <c r="B12">
        <v>11</v>
      </c>
      <c r="C12" s="23">
        <v>11</v>
      </c>
      <c r="D12" s="23">
        <v>2022</v>
      </c>
      <c r="E12" s="24">
        <f>Submetering!E12+Submetering!F12+Submetering!G12+Submetering!H12</f>
        <v>36106</v>
      </c>
      <c r="F12" s="31">
        <v>0.36499999999999999</v>
      </c>
      <c r="G12" s="24">
        <f>Submetering!I12+Submetering!J12+Submetering!K12</f>
        <v>342</v>
      </c>
      <c r="H12" s="26">
        <f t="shared" si="0"/>
        <v>2.8817977528089891</v>
      </c>
      <c r="I12" s="25">
        <f>Submetering!L12</f>
        <v>537</v>
      </c>
      <c r="J12" s="25">
        <v>2.86</v>
      </c>
      <c r="K12" s="32">
        <v>153</v>
      </c>
      <c r="L12" s="32">
        <v>253</v>
      </c>
    </row>
    <row r="13" spans="1:12" x14ac:dyDescent="0.25">
      <c r="A13" t="s">
        <v>24</v>
      </c>
      <c r="B13">
        <v>12</v>
      </c>
      <c r="C13" s="23">
        <v>11</v>
      </c>
      <c r="D13" s="23">
        <v>2022</v>
      </c>
      <c r="E13" s="24">
        <f>Submetering!E13+Submetering!F13+Submetering!G13+Submetering!H13</f>
        <v>37234</v>
      </c>
      <c r="F13" s="31">
        <v>0.36499999999999999</v>
      </c>
      <c r="G13" s="24">
        <f>Submetering!I13+Submetering!J13+Submetering!K13</f>
        <v>432</v>
      </c>
      <c r="H13" s="26">
        <f t="shared" si="0"/>
        <v>2.8817977528089891</v>
      </c>
      <c r="I13" s="25">
        <f>Submetering!L13</f>
        <v>633</v>
      </c>
      <c r="J13" s="25">
        <v>2.86</v>
      </c>
      <c r="K13" s="32">
        <v>151</v>
      </c>
      <c r="L13" s="32">
        <v>291</v>
      </c>
    </row>
    <row r="14" spans="1:12" x14ac:dyDescent="0.25">
      <c r="A14" t="s">
        <v>24</v>
      </c>
      <c r="B14">
        <v>13</v>
      </c>
      <c r="C14" s="23">
        <v>11</v>
      </c>
      <c r="D14" s="23">
        <v>2022</v>
      </c>
      <c r="E14" s="24">
        <f>Submetering!E14+Submetering!F14+Submetering!G14+Submetering!H14</f>
        <v>34555</v>
      </c>
      <c r="F14" s="31">
        <v>0.36499999999999999</v>
      </c>
      <c r="G14" s="24">
        <f>Submetering!I14+Submetering!J14+Submetering!K14</f>
        <v>260</v>
      </c>
      <c r="H14" s="26">
        <f t="shared" si="0"/>
        <v>2.8817977528089891</v>
      </c>
      <c r="I14" s="25">
        <f>Submetering!L14</f>
        <v>569</v>
      </c>
      <c r="J14" s="25">
        <v>2.86</v>
      </c>
      <c r="K14" s="32">
        <v>131</v>
      </c>
      <c r="L14" s="32">
        <v>213</v>
      </c>
    </row>
    <row r="15" spans="1:12" x14ac:dyDescent="0.25">
      <c r="A15" t="s">
        <v>24</v>
      </c>
      <c r="B15">
        <v>14</v>
      </c>
      <c r="C15" s="23">
        <v>11</v>
      </c>
      <c r="D15" s="23">
        <v>2022</v>
      </c>
      <c r="E15" s="24">
        <f>Submetering!E15+Submetering!F15+Submetering!G15+Submetering!H15</f>
        <v>36257</v>
      </c>
      <c r="F15" s="31">
        <v>0.36499999999999999</v>
      </c>
      <c r="G15" s="24">
        <f>Submetering!I15+Submetering!J15+Submetering!K15</f>
        <v>374</v>
      </c>
      <c r="H15" s="26">
        <f t="shared" si="0"/>
        <v>2.8817977528089891</v>
      </c>
      <c r="I15" s="25">
        <f>Submetering!L15</f>
        <v>621</v>
      </c>
      <c r="J15" s="25">
        <v>2.86</v>
      </c>
      <c r="K15" s="32">
        <v>160</v>
      </c>
      <c r="L15" s="32">
        <v>235</v>
      </c>
    </row>
    <row r="16" spans="1:12" x14ac:dyDescent="0.25">
      <c r="A16" t="s">
        <v>24</v>
      </c>
      <c r="B16">
        <v>15</v>
      </c>
      <c r="C16" s="23">
        <v>11</v>
      </c>
      <c r="D16" s="23">
        <v>2022</v>
      </c>
      <c r="E16" s="24">
        <f>Submetering!E16+Submetering!F16+Submetering!G16+Submetering!H16</f>
        <v>36478</v>
      </c>
      <c r="F16" s="31">
        <v>0.36499999999999999</v>
      </c>
      <c r="G16" s="24">
        <f>Submetering!I16+Submetering!J16+Submetering!K16</f>
        <v>368</v>
      </c>
      <c r="H16" s="26">
        <f t="shared" si="0"/>
        <v>2.8817977528089891</v>
      </c>
      <c r="I16" s="25">
        <f>Submetering!L16</f>
        <v>546</v>
      </c>
      <c r="J16" s="25">
        <v>2.86</v>
      </c>
      <c r="K16" s="32">
        <v>141</v>
      </c>
      <c r="L16" s="32">
        <v>209</v>
      </c>
    </row>
    <row r="17" spans="1:12" x14ac:dyDescent="0.25">
      <c r="A17" t="s">
        <v>24</v>
      </c>
      <c r="B17">
        <v>16</v>
      </c>
      <c r="C17" s="23">
        <v>11</v>
      </c>
      <c r="D17" s="23">
        <v>2022</v>
      </c>
      <c r="E17" s="24">
        <f>Submetering!E17+Submetering!F17+Submetering!G17+Submetering!H17</f>
        <v>36217</v>
      </c>
      <c r="F17" s="31">
        <v>0.36499999999999999</v>
      </c>
      <c r="G17" s="24">
        <f>Submetering!I17+Submetering!J17+Submetering!K17</f>
        <v>287</v>
      </c>
      <c r="H17" s="26">
        <f t="shared" si="0"/>
        <v>2.8817977528089891</v>
      </c>
      <c r="I17" s="25">
        <f>Submetering!L17</f>
        <v>549</v>
      </c>
      <c r="J17" s="25">
        <v>2.86</v>
      </c>
      <c r="K17" s="32">
        <v>177</v>
      </c>
      <c r="L17" s="32">
        <v>245</v>
      </c>
    </row>
    <row r="18" spans="1:12" x14ac:dyDescent="0.25">
      <c r="A18" t="s">
        <v>24</v>
      </c>
      <c r="B18">
        <v>17</v>
      </c>
      <c r="C18" s="23">
        <v>11</v>
      </c>
      <c r="D18" s="23">
        <v>2022</v>
      </c>
      <c r="E18" s="24">
        <f>Submetering!E18+Submetering!F18+Submetering!G18+Submetering!H18</f>
        <v>36508</v>
      </c>
      <c r="F18" s="31">
        <v>0.36499999999999999</v>
      </c>
      <c r="G18" s="24">
        <f>Submetering!I18+Submetering!J18+Submetering!K18</f>
        <v>344</v>
      </c>
      <c r="H18" s="26">
        <f t="shared" si="0"/>
        <v>2.8817977528089891</v>
      </c>
      <c r="I18" s="25">
        <f>Submetering!L18</f>
        <v>669</v>
      </c>
      <c r="J18" s="25">
        <v>2.86</v>
      </c>
      <c r="K18" s="32">
        <v>156</v>
      </c>
      <c r="L18" s="32">
        <v>210</v>
      </c>
    </row>
    <row r="19" spans="1:12" x14ac:dyDescent="0.25">
      <c r="A19" t="s">
        <v>24</v>
      </c>
      <c r="B19">
        <v>18</v>
      </c>
      <c r="C19" s="23">
        <v>11</v>
      </c>
      <c r="D19" s="23">
        <v>2022</v>
      </c>
      <c r="E19" s="24">
        <f>Submetering!E19+Submetering!F19+Submetering!G19+Submetering!H19</f>
        <v>36271</v>
      </c>
      <c r="F19" s="31">
        <v>0.36499999999999999</v>
      </c>
      <c r="G19" s="24">
        <f>Submetering!I19+Submetering!J19+Submetering!K19</f>
        <v>318</v>
      </c>
      <c r="H19" s="26">
        <f t="shared" si="0"/>
        <v>2.8817977528089891</v>
      </c>
      <c r="I19" s="25">
        <f>Submetering!L19</f>
        <v>534</v>
      </c>
      <c r="J19" s="25">
        <v>2.86</v>
      </c>
      <c r="K19" s="32">
        <v>146</v>
      </c>
      <c r="L19" s="32">
        <v>209</v>
      </c>
    </row>
    <row r="20" spans="1:12" x14ac:dyDescent="0.25">
      <c r="A20" t="s">
        <v>24</v>
      </c>
      <c r="B20">
        <v>19</v>
      </c>
      <c r="C20" s="23">
        <v>11</v>
      </c>
      <c r="D20" s="23">
        <v>2022</v>
      </c>
      <c r="E20" s="24">
        <f>Submetering!E20+Submetering!F20+Submetering!G20+Submetering!H20</f>
        <v>36204</v>
      </c>
      <c r="F20" s="31">
        <v>0.36499999999999999</v>
      </c>
      <c r="G20" s="24">
        <f>Submetering!I20+Submetering!J20+Submetering!K20</f>
        <v>349</v>
      </c>
      <c r="H20" s="26">
        <f t="shared" si="0"/>
        <v>2.8817977528089891</v>
      </c>
      <c r="I20" s="25">
        <f>Submetering!L20</f>
        <v>506</v>
      </c>
      <c r="J20" s="25">
        <v>2.86</v>
      </c>
      <c r="K20" s="32">
        <v>160</v>
      </c>
      <c r="L20" s="32">
        <v>232</v>
      </c>
    </row>
    <row r="21" spans="1:12" x14ac:dyDescent="0.25">
      <c r="A21" t="s">
        <v>24</v>
      </c>
      <c r="B21">
        <v>20</v>
      </c>
      <c r="C21" s="23">
        <v>11</v>
      </c>
      <c r="D21" s="23">
        <v>2022</v>
      </c>
      <c r="E21" s="24">
        <f>Submetering!E21+Submetering!F21+Submetering!G21+Submetering!H21</f>
        <v>33958</v>
      </c>
      <c r="F21" s="31">
        <v>0.36499999999999999</v>
      </c>
      <c r="G21" s="24">
        <f>Submetering!I21+Submetering!J21+Submetering!K21</f>
        <v>301</v>
      </c>
      <c r="H21" s="26">
        <f t="shared" si="0"/>
        <v>2.8817977528089891</v>
      </c>
      <c r="I21" s="25">
        <f>Submetering!L21</f>
        <v>453</v>
      </c>
      <c r="J21" s="25">
        <v>2.86</v>
      </c>
      <c r="K21" s="32">
        <v>113</v>
      </c>
      <c r="L21" s="32">
        <v>204</v>
      </c>
    </row>
    <row r="22" spans="1:12" x14ac:dyDescent="0.25">
      <c r="A22" t="s">
        <v>24</v>
      </c>
      <c r="B22">
        <v>21</v>
      </c>
      <c r="C22" s="23">
        <v>11</v>
      </c>
      <c r="D22" s="23">
        <v>2022</v>
      </c>
      <c r="E22" s="24">
        <f>Submetering!E22+Submetering!F22+Submetering!G22+Submetering!H22</f>
        <v>31912</v>
      </c>
      <c r="F22" s="31">
        <v>0.36499999999999999</v>
      </c>
      <c r="G22" s="24">
        <f>Submetering!I22+Submetering!J22+Submetering!K22</f>
        <v>316</v>
      </c>
      <c r="H22" s="26">
        <f t="shared" si="0"/>
        <v>2.8817977528089891</v>
      </c>
      <c r="I22" s="25">
        <f>Submetering!L22</f>
        <v>531</v>
      </c>
      <c r="J22" s="25">
        <v>2.86</v>
      </c>
      <c r="K22" s="32">
        <v>93</v>
      </c>
      <c r="L22" s="32">
        <v>142</v>
      </c>
    </row>
    <row r="23" spans="1:12" x14ac:dyDescent="0.25">
      <c r="A23" t="s">
        <v>24</v>
      </c>
      <c r="B23">
        <v>22</v>
      </c>
      <c r="C23" s="23">
        <v>11</v>
      </c>
      <c r="D23" s="23">
        <v>2022</v>
      </c>
      <c r="E23" s="24">
        <f>Submetering!E23+Submetering!F23+Submetering!G23+Submetering!H23</f>
        <v>35350</v>
      </c>
      <c r="F23" s="31">
        <v>0.36499999999999999</v>
      </c>
      <c r="G23" s="24">
        <f>Submetering!I23+Submetering!J23+Submetering!K23</f>
        <v>360</v>
      </c>
      <c r="H23" s="26">
        <f t="shared" si="0"/>
        <v>2.8817977528089891</v>
      </c>
      <c r="I23" s="25">
        <f>Submetering!L23</f>
        <v>593</v>
      </c>
      <c r="J23" s="25">
        <v>2.86</v>
      </c>
      <c r="K23" s="32">
        <v>138</v>
      </c>
      <c r="L23" s="32">
        <v>215</v>
      </c>
    </row>
    <row r="24" spans="1:12" x14ac:dyDescent="0.25">
      <c r="A24" t="s">
        <v>24</v>
      </c>
      <c r="B24">
        <v>23</v>
      </c>
      <c r="C24" s="23">
        <v>11</v>
      </c>
      <c r="D24" s="23">
        <v>2022</v>
      </c>
      <c r="E24" s="24">
        <f>Submetering!E24+Submetering!F24+Submetering!G24+Submetering!H24</f>
        <v>34542</v>
      </c>
      <c r="F24" s="31">
        <v>0.36499999999999999</v>
      </c>
      <c r="G24" s="24">
        <f>Submetering!I24+Submetering!J24+Submetering!K24</f>
        <v>344</v>
      </c>
      <c r="H24" s="26">
        <f t="shared" si="0"/>
        <v>2.8817977528089891</v>
      </c>
      <c r="I24" s="25">
        <f>Submetering!L24</f>
        <v>260</v>
      </c>
      <c r="J24" s="25">
        <v>2.86</v>
      </c>
      <c r="K24" s="32">
        <v>156</v>
      </c>
      <c r="L24" s="32">
        <v>241</v>
      </c>
    </row>
    <row r="25" spans="1:12" x14ac:dyDescent="0.25">
      <c r="A25" t="s">
        <v>24</v>
      </c>
      <c r="B25">
        <v>24</v>
      </c>
      <c r="C25" s="23">
        <v>11</v>
      </c>
      <c r="D25" s="23">
        <v>2022</v>
      </c>
      <c r="E25" s="24">
        <f>Submetering!E25+Submetering!F25+Submetering!G25+Submetering!H25</f>
        <v>35489</v>
      </c>
      <c r="F25" s="31">
        <v>0.36499999999999999</v>
      </c>
      <c r="G25" s="24">
        <f>Submetering!I25+Submetering!J25+Submetering!K25</f>
        <v>348</v>
      </c>
      <c r="H25" s="26">
        <f t="shared" si="0"/>
        <v>2.8817977528089891</v>
      </c>
      <c r="I25" s="25">
        <f>Submetering!L25</f>
        <v>366</v>
      </c>
      <c r="J25" s="25">
        <v>2.86</v>
      </c>
      <c r="K25" s="32">
        <v>157</v>
      </c>
      <c r="L25" s="32">
        <v>260</v>
      </c>
    </row>
    <row r="26" spans="1:12" x14ac:dyDescent="0.25">
      <c r="A26" t="s">
        <v>24</v>
      </c>
      <c r="B26">
        <v>25</v>
      </c>
      <c r="C26" s="23">
        <v>11</v>
      </c>
      <c r="D26" s="23">
        <v>2022</v>
      </c>
      <c r="E26" s="24">
        <f>Submetering!E26+Submetering!F26+Submetering!G26+Submetering!H26</f>
        <v>36255</v>
      </c>
      <c r="F26" s="31">
        <v>0.36499999999999999</v>
      </c>
      <c r="G26" s="24">
        <f>Submetering!I26+Submetering!J26+Submetering!K26</f>
        <v>430</v>
      </c>
      <c r="H26" s="26">
        <f t="shared" si="0"/>
        <v>2.8817977528089891</v>
      </c>
      <c r="I26" s="25">
        <f>Submetering!L26</f>
        <v>487</v>
      </c>
      <c r="J26" s="25">
        <v>2.86</v>
      </c>
      <c r="K26" s="32">
        <v>155</v>
      </c>
      <c r="L26" s="32">
        <v>284</v>
      </c>
    </row>
    <row r="27" spans="1:12" x14ac:dyDescent="0.25">
      <c r="A27" t="s">
        <v>24</v>
      </c>
      <c r="B27">
        <v>26</v>
      </c>
      <c r="C27" s="23">
        <v>11</v>
      </c>
      <c r="D27" s="23">
        <v>2022</v>
      </c>
      <c r="E27" s="24">
        <f>Submetering!E27+Submetering!F27+Submetering!G27+Submetering!H27</f>
        <v>37433</v>
      </c>
      <c r="F27" s="31">
        <v>0.36499999999999999</v>
      </c>
      <c r="G27" s="24">
        <f>Submetering!I27+Submetering!J27+Submetering!K27</f>
        <v>463</v>
      </c>
      <c r="H27" s="26">
        <f t="shared" si="0"/>
        <v>2.8817977528089891</v>
      </c>
      <c r="I27" s="25">
        <f>Submetering!L27</f>
        <v>358</v>
      </c>
      <c r="J27" s="25">
        <v>2.86</v>
      </c>
      <c r="K27" s="32">
        <v>193</v>
      </c>
      <c r="L27" s="32">
        <v>357</v>
      </c>
    </row>
    <row r="28" spans="1:12" x14ac:dyDescent="0.25">
      <c r="A28" t="s">
        <v>24</v>
      </c>
      <c r="B28">
        <v>27</v>
      </c>
      <c r="C28" s="23">
        <v>11</v>
      </c>
      <c r="D28" s="23">
        <v>2022</v>
      </c>
      <c r="E28" s="24">
        <f>Submetering!E28+Submetering!F28+Submetering!G28+Submetering!H28</f>
        <v>35820</v>
      </c>
      <c r="F28" s="31">
        <v>0.36499999999999999</v>
      </c>
      <c r="G28" s="24">
        <f>Submetering!I28+Submetering!J28+Submetering!K28</f>
        <v>328</v>
      </c>
      <c r="H28" s="26">
        <f t="shared" si="0"/>
        <v>2.8817977528089891</v>
      </c>
      <c r="I28" s="25">
        <f>Submetering!L28</f>
        <v>448</v>
      </c>
      <c r="J28" s="25">
        <v>2.86</v>
      </c>
      <c r="K28" s="32">
        <v>175</v>
      </c>
      <c r="L28" s="32">
        <v>281</v>
      </c>
    </row>
    <row r="29" spans="1:12" x14ac:dyDescent="0.25">
      <c r="A29" t="s">
        <v>24</v>
      </c>
      <c r="B29">
        <v>28</v>
      </c>
      <c r="C29" s="23">
        <v>11</v>
      </c>
      <c r="D29" s="23">
        <v>2022</v>
      </c>
      <c r="E29" s="24">
        <f>Submetering!E29+Submetering!F29+Submetering!G29+Submetering!H29</f>
        <v>35177</v>
      </c>
      <c r="F29" s="31">
        <v>0.36499999999999999</v>
      </c>
      <c r="G29" s="24">
        <f>Submetering!I29+Submetering!J29+Submetering!K29</f>
        <v>324</v>
      </c>
      <c r="H29" s="26">
        <f t="shared" si="0"/>
        <v>2.8817977528089891</v>
      </c>
      <c r="I29" s="25">
        <f>Submetering!L29</f>
        <v>418</v>
      </c>
      <c r="J29" s="25">
        <v>2.86</v>
      </c>
      <c r="K29" s="32">
        <v>176</v>
      </c>
      <c r="L29" s="32">
        <v>260</v>
      </c>
    </row>
    <row r="30" spans="1:12" x14ac:dyDescent="0.25">
      <c r="A30" t="s">
        <v>24</v>
      </c>
      <c r="B30">
        <v>29</v>
      </c>
      <c r="C30" s="23">
        <v>11</v>
      </c>
      <c r="D30" s="23">
        <v>2022</v>
      </c>
      <c r="E30" s="24">
        <f>Submetering!E30+Submetering!F30+Submetering!G30+Submetering!H30</f>
        <v>35883</v>
      </c>
      <c r="F30" s="31">
        <v>0.36499999999999999</v>
      </c>
      <c r="G30" s="24">
        <f>Submetering!I30+Submetering!J30+Submetering!K30</f>
        <v>369</v>
      </c>
      <c r="H30" s="26">
        <f t="shared" si="0"/>
        <v>2.8817977528089891</v>
      </c>
      <c r="I30" s="25">
        <f>Submetering!L30</f>
        <v>402</v>
      </c>
      <c r="J30" s="25">
        <v>2.86</v>
      </c>
      <c r="K30" s="32">
        <v>197</v>
      </c>
      <c r="L30" s="32">
        <v>280</v>
      </c>
    </row>
    <row r="31" spans="1:12" x14ac:dyDescent="0.25">
      <c r="A31" t="s">
        <v>24</v>
      </c>
      <c r="B31">
        <v>30</v>
      </c>
      <c r="C31" s="23">
        <v>11</v>
      </c>
      <c r="D31" s="23">
        <v>2022</v>
      </c>
      <c r="E31" s="24">
        <f>Submetering!E31+Submetering!F31+Submetering!G31+Submetering!H31</f>
        <v>34491</v>
      </c>
      <c r="F31" s="31">
        <v>0.36499999999999999</v>
      </c>
      <c r="G31" s="24">
        <f>Submetering!I31+Submetering!J31+Submetering!K31</f>
        <v>372</v>
      </c>
      <c r="H31" s="26">
        <f t="shared" si="0"/>
        <v>2.8817977528089891</v>
      </c>
      <c r="I31" s="25">
        <f>Submetering!L31</f>
        <v>377</v>
      </c>
      <c r="J31" s="25">
        <v>2.86</v>
      </c>
      <c r="K31" s="32">
        <v>186</v>
      </c>
      <c r="L31" s="32">
        <v>261</v>
      </c>
    </row>
    <row r="32" spans="1:12" x14ac:dyDescent="0.25">
      <c r="C32" s="23"/>
      <c r="D32" s="23"/>
      <c r="E32" s="24"/>
      <c r="F32" s="31"/>
      <c r="G32" s="24"/>
      <c r="H32" s="26"/>
      <c r="I32" s="25"/>
      <c r="J32" s="25"/>
      <c r="K32" s="32"/>
      <c r="L32" s="32"/>
    </row>
    <row r="33" spans="3:11" x14ac:dyDescent="0.25">
      <c r="C33" s="23"/>
      <c r="D33" s="23"/>
      <c r="E33" s="24"/>
      <c r="F33" s="26"/>
      <c r="G33" s="24"/>
      <c r="H33" s="26"/>
      <c r="I33" s="24"/>
      <c r="J33" s="24"/>
      <c r="K33" s="25"/>
    </row>
    <row r="34" spans="3:11" x14ac:dyDescent="0.25">
      <c r="C34" s="23"/>
      <c r="D34" s="23"/>
      <c r="E34" s="24"/>
      <c r="F34" s="24"/>
      <c r="G34" s="24"/>
      <c r="H34" s="31"/>
      <c r="I34" s="24"/>
      <c r="J34" s="24"/>
      <c r="K34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0" t="s">
        <v>13</v>
      </c>
      <c r="B1" s="20" t="s">
        <v>33</v>
      </c>
      <c r="C1" s="20" t="s">
        <v>14</v>
      </c>
      <c r="D1" s="20" t="s">
        <v>15</v>
      </c>
      <c r="E1" s="21" t="s">
        <v>16</v>
      </c>
      <c r="F1" s="21" t="s">
        <v>17</v>
      </c>
      <c r="G1" s="21" t="s">
        <v>18</v>
      </c>
      <c r="H1" s="22" t="s">
        <v>19</v>
      </c>
      <c r="I1" s="21" t="s">
        <v>20</v>
      </c>
      <c r="J1" s="21" t="s">
        <v>21</v>
      </c>
      <c r="K1" s="21" t="s">
        <v>22</v>
      </c>
      <c r="L1" s="21" t="s">
        <v>23</v>
      </c>
      <c r="M1" s="29" t="s">
        <v>31</v>
      </c>
    </row>
    <row r="2" spans="1:13" ht="13.5" customHeight="1" x14ac:dyDescent="0.25">
      <c r="A2" t="s">
        <v>24</v>
      </c>
      <c r="B2">
        <v>1</v>
      </c>
      <c r="C2" s="23">
        <v>11</v>
      </c>
      <c r="D2" s="23">
        <v>2022</v>
      </c>
      <c r="E2" s="24">
        <f>'Daily Meter Reading'!C3</f>
        <v>12288</v>
      </c>
      <c r="F2" s="25">
        <f>'Daily Meter Reading'!E3</f>
        <v>9585</v>
      </c>
      <c r="G2" s="24">
        <f>'Daily Meter Reading'!G3</f>
        <v>6372</v>
      </c>
      <c r="H2" s="26">
        <f>'Daily Meter Reading'!I3</f>
        <v>7672</v>
      </c>
      <c r="I2" s="25">
        <f>'Daily Meter Reading'!K3</f>
        <v>149</v>
      </c>
      <c r="J2" s="25">
        <f>'Daily Meter Reading'!M3</f>
        <v>31</v>
      </c>
      <c r="K2" s="25">
        <f>'Daily Meter Reading'!O3</f>
        <v>190</v>
      </c>
      <c r="L2" s="25">
        <f>'Daily Meter Reading'!Q3</f>
        <v>495</v>
      </c>
      <c r="M2" s="32">
        <v>144</v>
      </c>
    </row>
    <row r="3" spans="1:13" ht="13.5" customHeight="1" x14ac:dyDescent="0.25">
      <c r="A3" t="s">
        <v>24</v>
      </c>
      <c r="B3">
        <v>2</v>
      </c>
      <c r="C3" s="23">
        <v>11</v>
      </c>
      <c r="D3" s="23">
        <v>2022</v>
      </c>
      <c r="E3" s="24">
        <f>'Daily Meter Reading'!C4</f>
        <v>11796</v>
      </c>
      <c r="F3" s="25">
        <f>'Daily Meter Reading'!E4</f>
        <v>8983</v>
      </c>
      <c r="G3" s="24">
        <f>'Daily Meter Reading'!G4</f>
        <v>6297</v>
      </c>
      <c r="H3" s="26">
        <f>'Daily Meter Reading'!I4</f>
        <v>7271</v>
      </c>
      <c r="I3" s="25">
        <f>'Daily Meter Reading'!K4</f>
        <v>145</v>
      </c>
      <c r="J3" s="25">
        <f>'Daily Meter Reading'!M4</f>
        <v>16</v>
      </c>
      <c r="K3" s="25">
        <f>'Daily Meter Reading'!O4</f>
        <v>182</v>
      </c>
      <c r="L3" s="25">
        <f>'Daily Meter Reading'!Q4</f>
        <v>715</v>
      </c>
      <c r="M3" s="32">
        <v>151</v>
      </c>
    </row>
    <row r="4" spans="1:13" ht="13.5" customHeight="1" x14ac:dyDescent="0.25">
      <c r="A4" t="s">
        <v>24</v>
      </c>
      <c r="B4">
        <v>3</v>
      </c>
      <c r="C4" s="23">
        <v>11</v>
      </c>
      <c r="D4" s="23">
        <v>2022</v>
      </c>
      <c r="E4" s="24">
        <f>'Daily Meter Reading'!C5</f>
        <v>12069</v>
      </c>
      <c r="F4" s="25">
        <f>'Daily Meter Reading'!E5</f>
        <v>9132</v>
      </c>
      <c r="G4" s="24">
        <f>'Daily Meter Reading'!G5</f>
        <v>6271</v>
      </c>
      <c r="H4" s="26">
        <f>'Daily Meter Reading'!I5</f>
        <v>7475</v>
      </c>
      <c r="I4" s="25">
        <f>'Daily Meter Reading'!K5</f>
        <v>149</v>
      </c>
      <c r="J4" s="25">
        <f>'Daily Meter Reading'!M5</f>
        <v>28</v>
      </c>
      <c r="K4" s="25">
        <f>'Daily Meter Reading'!O5</f>
        <v>162</v>
      </c>
      <c r="L4" s="25">
        <f>'Daily Meter Reading'!Q5</f>
        <v>486</v>
      </c>
      <c r="M4" s="32">
        <v>139</v>
      </c>
    </row>
    <row r="5" spans="1:13" ht="12.75" customHeight="1" x14ac:dyDescent="0.25">
      <c r="A5" t="s">
        <v>24</v>
      </c>
      <c r="B5">
        <v>4</v>
      </c>
      <c r="C5" s="23">
        <v>11</v>
      </c>
      <c r="D5" s="23">
        <v>2022</v>
      </c>
      <c r="E5" s="24">
        <f>'Daily Meter Reading'!C6</f>
        <v>12623</v>
      </c>
      <c r="F5" s="25">
        <f>'Daily Meter Reading'!E6</f>
        <v>9291</v>
      </c>
      <c r="G5" s="24">
        <f>'Daily Meter Reading'!G6</f>
        <v>6315</v>
      </c>
      <c r="H5" s="26">
        <f>'Daily Meter Reading'!I6</f>
        <v>7667</v>
      </c>
      <c r="I5" s="25">
        <f>'Daily Meter Reading'!K6</f>
        <v>161</v>
      </c>
      <c r="J5" s="25">
        <f>'Daily Meter Reading'!M6</f>
        <v>11</v>
      </c>
      <c r="K5" s="25">
        <f>'Daily Meter Reading'!O6</f>
        <v>181</v>
      </c>
      <c r="L5" s="25">
        <f>'Daily Meter Reading'!Q6</f>
        <v>652</v>
      </c>
      <c r="M5" s="32">
        <v>146</v>
      </c>
    </row>
    <row r="6" spans="1:13" x14ac:dyDescent="0.25">
      <c r="A6" t="s">
        <v>24</v>
      </c>
      <c r="B6">
        <v>5</v>
      </c>
      <c r="C6" s="23">
        <v>11</v>
      </c>
      <c r="D6" s="23">
        <v>2022</v>
      </c>
      <c r="E6" s="24">
        <f>'Daily Meter Reading'!C7</f>
        <v>13379</v>
      </c>
      <c r="F6" s="25">
        <f>'Daily Meter Reading'!E7</f>
        <v>10476</v>
      </c>
      <c r="G6" s="24">
        <f>'Daily Meter Reading'!G7</f>
        <v>6527</v>
      </c>
      <c r="H6" s="26">
        <f>'Daily Meter Reading'!I7</f>
        <v>8341</v>
      </c>
      <c r="I6" s="25">
        <f>'Daily Meter Reading'!K7</f>
        <v>177</v>
      </c>
      <c r="J6" s="25">
        <f>'Daily Meter Reading'!M7</f>
        <v>68</v>
      </c>
      <c r="K6" s="25">
        <f>'Daily Meter Reading'!O7</f>
        <v>201</v>
      </c>
      <c r="L6" s="25">
        <f>'Daily Meter Reading'!Q7</f>
        <v>596</v>
      </c>
      <c r="M6" s="32">
        <v>164</v>
      </c>
    </row>
    <row r="7" spans="1:13" x14ac:dyDescent="0.25">
      <c r="A7" t="s">
        <v>24</v>
      </c>
      <c r="B7">
        <v>6</v>
      </c>
      <c r="C7" s="23">
        <v>11</v>
      </c>
      <c r="D7" s="23">
        <v>2022</v>
      </c>
      <c r="E7" s="24">
        <f>'Daily Meter Reading'!C8</f>
        <v>12449</v>
      </c>
      <c r="F7" s="25">
        <f>'Daily Meter Reading'!E8</f>
        <v>9088</v>
      </c>
      <c r="G7" s="24">
        <f>'Daily Meter Reading'!G8</f>
        <v>6589</v>
      </c>
      <c r="H7" s="26">
        <f>'Daily Meter Reading'!I8</f>
        <v>7252</v>
      </c>
      <c r="I7" s="25">
        <f>'Daily Meter Reading'!K8</f>
        <v>158</v>
      </c>
      <c r="J7" s="25">
        <f>'Daily Meter Reading'!M8</f>
        <v>28</v>
      </c>
      <c r="K7" s="25">
        <f>'Daily Meter Reading'!O8</f>
        <v>136</v>
      </c>
      <c r="L7" s="25">
        <f>'Daily Meter Reading'!Q8</f>
        <v>487</v>
      </c>
      <c r="M7" s="32">
        <v>130</v>
      </c>
    </row>
    <row r="8" spans="1:13" x14ac:dyDescent="0.25">
      <c r="A8" t="s">
        <v>24</v>
      </c>
      <c r="B8">
        <v>7</v>
      </c>
      <c r="C8" s="23">
        <v>11</v>
      </c>
      <c r="D8" s="23">
        <v>2022</v>
      </c>
      <c r="E8" s="24">
        <f>'Daily Meter Reading'!C9</f>
        <v>12519</v>
      </c>
      <c r="F8" s="25">
        <f>'Daily Meter Reading'!E9</f>
        <v>9279</v>
      </c>
      <c r="G8" s="24">
        <f>'Daily Meter Reading'!G9</f>
        <v>6932</v>
      </c>
      <c r="H8" s="26">
        <f>'Daily Meter Reading'!I9</f>
        <v>7442</v>
      </c>
      <c r="I8" s="25">
        <f>'Daily Meter Reading'!K9</f>
        <v>160</v>
      </c>
      <c r="J8" s="25">
        <f>'Daily Meter Reading'!M9</f>
        <v>31</v>
      </c>
      <c r="K8" s="25">
        <f>'Daily Meter Reading'!O9</f>
        <v>209</v>
      </c>
      <c r="L8" s="25">
        <f>'Daily Meter Reading'!Q9</f>
        <v>684</v>
      </c>
      <c r="M8" s="32">
        <v>147</v>
      </c>
    </row>
    <row r="9" spans="1:13" x14ac:dyDescent="0.25">
      <c r="A9" t="s">
        <v>24</v>
      </c>
      <c r="B9">
        <v>8</v>
      </c>
      <c r="C9" s="23">
        <v>11</v>
      </c>
      <c r="D9" s="23">
        <v>2022</v>
      </c>
      <c r="E9" s="24">
        <f>'Daily Meter Reading'!C10</f>
        <v>12072</v>
      </c>
      <c r="F9" s="25">
        <f>'Daily Meter Reading'!E10</f>
        <v>9688</v>
      </c>
      <c r="G9" s="24">
        <f>'Daily Meter Reading'!G10</f>
        <v>7175</v>
      </c>
      <c r="H9" s="26">
        <f>'Daily Meter Reading'!I10</f>
        <v>7567</v>
      </c>
      <c r="I9" s="25">
        <f>'Daily Meter Reading'!K10</f>
        <v>138</v>
      </c>
      <c r="J9" s="25">
        <f>'Daily Meter Reading'!M10</f>
        <v>18</v>
      </c>
      <c r="K9" s="25">
        <f>'Daily Meter Reading'!O10</f>
        <v>238</v>
      </c>
      <c r="L9" s="25">
        <f>'Daily Meter Reading'!Q10</f>
        <v>498</v>
      </c>
      <c r="M9" s="32">
        <v>176</v>
      </c>
    </row>
    <row r="10" spans="1:13" x14ac:dyDescent="0.25">
      <c r="A10" t="s">
        <v>24</v>
      </c>
      <c r="B10">
        <v>9</v>
      </c>
      <c r="C10" s="23">
        <v>11</v>
      </c>
      <c r="D10" s="23">
        <v>2022</v>
      </c>
      <c r="E10" s="24">
        <f>'Daily Meter Reading'!C11</f>
        <v>12494</v>
      </c>
      <c r="F10" s="25">
        <f>'Daily Meter Reading'!E11</f>
        <v>9971</v>
      </c>
      <c r="G10" s="24">
        <f>'Daily Meter Reading'!G11</f>
        <v>7058</v>
      </c>
      <c r="H10" s="26">
        <f>'Daily Meter Reading'!I11</f>
        <v>10647</v>
      </c>
      <c r="I10" s="25">
        <f>'Daily Meter Reading'!K11</f>
        <v>159</v>
      </c>
      <c r="J10" s="25">
        <f>'Daily Meter Reading'!M11</f>
        <v>74</v>
      </c>
      <c r="K10" s="25">
        <f>'Daily Meter Reading'!O11</f>
        <v>215</v>
      </c>
      <c r="L10" s="25">
        <f>'Daily Meter Reading'!Q11</f>
        <v>568</v>
      </c>
      <c r="M10" s="32">
        <v>174</v>
      </c>
    </row>
    <row r="11" spans="1:13" x14ac:dyDescent="0.25">
      <c r="A11" t="s">
        <v>24</v>
      </c>
      <c r="B11">
        <v>10</v>
      </c>
      <c r="C11" s="23">
        <v>11</v>
      </c>
      <c r="D11" s="23">
        <v>2022</v>
      </c>
      <c r="E11" s="24">
        <f>'Daily Meter Reading'!C12</f>
        <v>12167</v>
      </c>
      <c r="F11" s="25">
        <f>'Daily Meter Reading'!E12</f>
        <v>9457</v>
      </c>
      <c r="G11" s="24">
        <f>'Daily Meter Reading'!G12</f>
        <v>6790</v>
      </c>
      <c r="H11" s="26">
        <f>'Daily Meter Reading'!I12</f>
        <v>4370</v>
      </c>
      <c r="I11" s="25">
        <f>'Daily Meter Reading'!K12</f>
        <v>127</v>
      </c>
      <c r="J11" s="25">
        <f>'Daily Meter Reading'!M12</f>
        <v>13</v>
      </c>
      <c r="K11" s="25">
        <f>'Daily Meter Reading'!O12</f>
        <v>186</v>
      </c>
      <c r="L11" s="25">
        <f>'Daily Meter Reading'!Q12</f>
        <v>648</v>
      </c>
      <c r="M11" s="32">
        <v>167</v>
      </c>
    </row>
    <row r="12" spans="1:13" x14ac:dyDescent="0.25">
      <c r="A12" t="s">
        <v>24</v>
      </c>
      <c r="B12">
        <v>11</v>
      </c>
      <c r="C12" s="23">
        <v>11</v>
      </c>
      <c r="D12" s="23">
        <v>2022</v>
      </c>
      <c r="E12" s="24">
        <f>'Daily Meter Reading'!C13</f>
        <v>12201</v>
      </c>
      <c r="F12" s="25">
        <f>'Daily Meter Reading'!E13</f>
        <v>9454</v>
      </c>
      <c r="G12" s="24">
        <f>'Daily Meter Reading'!G13</f>
        <v>6947</v>
      </c>
      <c r="H12" s="26">
        <f>'Daily Meter Reading'!I13</f>
        <v>7504</v>
      </c>
      <c r="I12" s="25">
        <f>'Daily Meter Reading'!K13</f>
        <v>129</v>
      </c>
      <c r="J12" s="25">
        <f>'Daily Meter Reading'!M13</f>
        <v>50</v>
      </c>
      <c r="K12" s="25">
        <f>'Daily Meter Reading'!O13</f>
        <v>163</v>
      </c>
      <c r="L12" s="25">
        <f>'Daily Meter Reading'!Q13</f>
        <v>537</v>
      </c>
      <c r="M12" s="32">
        <v>153</v>
      </c>
    </row>
    <row r="13" spans="1:13" x14ac:dyDescent="0.25">
      <c r="A13" t="s">
        <v>24</v>
      </c>
      <c r="B13">
        <v>12</v>
      </c>
      <c r="C13" s="23">
        <v>11</v>
      </c>
      <c r="D13" s="23">
        <v>2022</v>
      </c>
      <c r="E13" s="24">
        <f>'Daily Meter Reading'!C14</f>
        <v>12495</v>
      </c>
      <c r="F13" s="25">
        <f>'Daily Meter Reading'!E14</f>
        <v>10019</v>
      </c>
      <c r="G13" s="24">
        <f>'Daily Meter Reading'!G14</f>
        <v>7068</v>
      </c>
      <c r="H13" s="26">
        <f>'Daily Meter Reading'!I14</f>
        <v>7652</v>
      </c>
      <c r="I13" s="25">
        <f>'Daily Meter Reading'!K14</f>
        <v>174</v>
      </c>
      <c r="J13" s="25">
        <f>'Daily Meter Reading'!M14</f>
        <v>50</v>
      </c>
      <c r="K13" s="25">
        <f>'Daily Meter Reading'!O14</f>
        <v>208</v>
      </c>
      <c r="L13" s="25">
        <f>'Daily Meter Reading'!Q14</f>
        <v>633</v>
      </c>
      <c r="M13" s="32">
        <v>151</v>
      </c>
    </row>
    <row r="14" spans="1:13" x14ac:dyDescent="0.25">
      <c r="A14" t="s">
        <v>24</v>
      </c>
      <c r="B14">
        <v>13</v>
      </c>
      <c r="C14" s="23">
        <v>11</v>
      </c>
      <c r="D14" s="23">
        <v>2022</v>
      </c>
      <c r="E14" s="24">
        <f>'Daily Meter Reading'!C15</f>
        <v>12013</v>
      </c>
      <c r="F14" s="25">
        <f>'Daily Meter Reading'!E15</f>
        <v>8865</v>
      </c>
      <c r="G14" s="24">
        <f>'Daily Meter Reading'!G15</f>
        <v>6131</v>
      </c>
      <c r="H14" s="26">
        <f>'Daily Meter Reading'!I15</f>
        <v>7546</v>
      </c>
      <c r="I14" s="25">
        <f>'Daily Meter Reading'!K15</f>
        <v>123</v>
      </c>
      <c r="J14" s="25">
        <f>'Daily Meter Reading'!M15</f>
        <v>21</v>
      </c>
      <c r="K14" s="25">
        <f>'Daily Meter Reading'!O15</f>
        <v>116</v>
      </c>
      <c r="L14" s="25">
        <f>'Daily Meter Reading'!Q15</f>
        <v>569</v>
      </c>
      <c r="M14" s="32">
        <v>131</v>
      </c>
    </row>
    <row r="15" spans="1:13" x14ac:dyDescent="0.25">
      <c r="A15" t="s">
        <v>24</v>
      </c>
      <c r="B15">
        <v>14</v>
      </c>
      <c r="C15" s="23">
        <v>11</v>
      </c>
      <c r="D15" s="23">
        <v>2022</v>
      </c>
      <c r="E15" s="24">
        <f>'Daily Meter Reading'!C16</f>
        <v>12489</v>
      </c>
      <c r="F15" s="25">
        <f>'Daily Meter Reading'!E16</f>
        <v>9458</v>
      </c>
      <c r="G15" s="24">
        <f>'Daily Meter Reading'!G16</f>
        <v>5049</v>
      </c>
      <c r="H15" s="26">
        <f>'Daily Meter Reading'!I16</f>
        <v>9261</v>
      </c>
      <c r="I15" s="25">
        <f>'Daily Meter Reading'!K16</f>
        <v>142</v>
      </c>
      <c r="J15" s="25">
        <f>'Daily Meter Reading'!M16</f>
        <v>34</v>
      </c>
      <c r="K15" s="25">
        <f>'Daily Meter Reading'!O16</f>
        <v>198</v>
      </c>
      <c r="L15" s="25">
        <f>'Daily Meter Reading'!Q16</f>
        <v>621</v>
      </c>
      <c r="M15" s="32">
        <v>160</v>
      </c>
    </row>
    <row r="16" spans="1:13" x14ac:dyDescent="0.25">
      <c r="A16" t="s">
        <v>24</v>
      </c>
      <c r="B16">
        <v>15</v>
      </c>
      <c r="C16" s="23">
        <v>11</v>
      </c>
      <c r="D16" s="23">
        <v>2022</v>
      </c>
      <c r="E16" s="24">
        <f>'Daily Meter Reading'!C17</f>
        <v>12612</v>
      </c>
      <c r="F16" s="25">
        <f>'Daily Meter Reading'!E17</f>
        <v>9341</v>
      </c>
      <c r="G16" s="24">
        <f>'Daily Meter Reading'!G17</f>
        <v>5096</v>
      </c>
      <c r="H16" s="26">
        <f>'Daily Meter Reading'!I17</f>
        <v>9429</v>
      </c>
      <c r="I16" s="25">
        <f>'Daily Meter Reading'!K17</f>
        <v>153</v>
      </c>
      <c r="J16" s="25">
        <f>'Daily Meter Reading'!M17</f>
        <v>26</v>
      </c>
      <c r="K16" s="25">
        <f>'Daily Meter Reading'!O17</f>
        <v>189</v>
      </c>
      <c r="L16" s="25">
        <f>'Daily Meter Reading'!Q17</f>
        <v>546</v>
      </c>
      <c r="M16" s="32">
        <v>141</v>
      </c>
    </row>
    <row r="17" spans="1:13" x14ac:dyDescent="0.25">
      <c r="A17" t="s">
        <v>24</v>
      </c>
      <c r="B17">
        <v>16</v>
      </c>
      <c r="C17" s="23">
        <v>11</v>
      </c>
      <c r="D17" s="23">
        <v>2022</v>
      </c>
      <c r="E17" s="24">
        <f>'Daily Meter Reading'!C18</f>
        <v>12457</v>
      </c>
      <c r="F17" s="25">
        <f>'Daily Meter Reading'!E18</f>
        <v>9128</v>
      </c>
      <c r="G17" s="24">
        <f>'Daily Meter Reading'!G18</f>
        <v>5188</v>
      </c>
      <c r="H17" s="26">
        <f>'Daily Meter Reading'!I18</f>
        <v>9444</v>
      </c>
      <c r="I17" s="25">
        <f>'Daily Meter Reading'!K18</f>
        <v>116</v>
      </c>
      <c r="J17" s="25">
        <f>'Daily Meter Reading'!M18</f>
        <v>22</v>
      </c>
      <c r="K17" s="25">
        <f>'Daily Meter Reading'!O18</f>
        <v>149</v>
      </c>
      <c r="L17" s="25">
        <f>'Daily Meter Reading'!Q18</f>
        <v>549</v>
      </c>
      <c r="M17" s="32">
        <v>177</v>
      </c>
    </row>
    <row r="18" spans="1:13" x14ac:dyDescent="0.25">
      <c r="A18" t="s">
        <v>24</v>
      </c>
      <c r="B18">
        <v>17</v>
      </c>
      <c r="C18" s="23">
        <v>11</v>
      </c>
      <c r="D18" s="23">
        <v>2022</v>
      </c>
      <c r="E18" s="24">
        <f>'Daily Meter Reading'!C19</f>
        <v>12482</v>
      </c>
      <c r="F18" s="25">
        <f>'Daily Meter Reading'!E19</f>
        <v>9514</v>
      </c>
      <c r="G18" s="24">
        <f>'Daily Meter Reading'!G19</f>
        <v>5083</v>
      </c>
      <c r="H18" s="26">
        <f>'Daily Meter Reading'!I19</f>
        <v>9429</v>
      </c>
      <c r="I18" s="25">
        <f>'Daily Meter Reading'!K19</f>
        <v>153</v>
      </c>
      <c r="J18" s="25">
        <f>'Daily Meter Reading'!M19</f>
        <v>20</v>
      </c>
      <c r="K18" s="25">
        <f>'Daily Meter Reading'!O19</f>
        <v>171</v>
      </c>
      <c r="L18" s="25">
        <f>'Daily Meter Reading'!Q19</f>
        <v>669</v>
      </c>
      <c r="M18" s="32">
        <v>156</v>
      </c>
    </row>
    <row r="19" spans="1:13" x14ac:dyDescent="0.25">
      <c r="A19" t="s">
        <v>24</v>
      </c>
      <c r="B19">
        <v>18</v>
      </c>
      <c r="C19" s="23">
        <v>11</v>
      </c>
      <c r="D19" s="23">
        <v>2022</v>
      </c>
      <c r="E19" s="24">
        <f>'Daily Meter Reading'!C20</f>
        <v>12114</v>
      </c>
      <c r="F19" s="25">
        <f>'Daily Meter Reading'!E20</f>
        <v>9651</v>
      </c>
      <c r="G19" s="24">
        <f>'Daily Meter Reading'!G20</f>
        <v>5082</v>
      </c>
      <c r="H19" s="26">
        <f>'Daily Meter Reading'!I20</f>
        <v>9424</v>
      </c>
      <c r="I19" s="25">
        <f>'Daily Meter Reading'!K20</f>
        <v>145</v>
      </c>
      <c r="J19" s="25">
        <f>'Daily Meter Reading'!M20</f>
        <v>23</v>
      </c>
      <c r="K19" s="25">
        <f>'Daily Meter Reading'!O20</f>
        <v>150</v>
      </c>
      <c r="L19" s="25">
        <f>'Daily Meter Reading'!Q20</f>
        <v>534</v>
      </c>
      <c r="M19" s="32">
        <v>146</v>
      </c>
    </row>
    <row r="20" spans="1:13" x14ac:dyDescent="0.25">
      <c r="A20" t="s">
        <v>24</v>
      </c>
      <c r="B20">
        <v>19</v>
      </c>
      <c r="C20" s="23">
        <v>11</v>
      </c>
      <c r="D20" s="23">
        <v>2022</v>
      </c>
      <c r="E20" s="24">
        <f>'Daily Meter Reading'!C21</f>
        <v>12443</v>
      </c>
      <c r="F20" s="25">
        <f>'Daily Meter Reading'!E21</f>
        <v>9606</v>
      </c>
      <c r="G20" s="24">
        <f>'Daily Meter Reading'!G21</f>
        <v>4899</v>
      </c>
      <c r="H20" s="26">
        <f>'Daily Meter Reading'!I21</f>
        <v>9256</v>
      </c>
      <c r="I20" s="25">
        <f>'Daily Meter Reading'!K21</f>
        <v>142</v>
      </c>
      <c r="J20" s="25">
        <f>'Daily Meter Reading'!M21</f>
        <v>34</v>
      </c>
      <c r="K20" s="25">
        <f>'Daily Meter Reading'!O21</f>
        <v>173</v>
      </c>
      <c r="L20" s="25">
        <f>'Daily Meter Reading'!Q21</f>
        <v>506</v>
      </c>
      <c r="M20" s="32">
        <v>160</v>
      </c>
    </row>
    <row r="21" spans="1:13" x14ac:dyDescent="0.25">
      <c r="A21" t="s">
        <v>24</v>
      </c>
      <c r="B21">
        <v>20</v>
      </c>
      <c r="C21" s="23">
        <v>11</v>
      </c>
      <c r="D21" s="23">
        <v>2022</v>
      </c>
      <c r="E21" s="24">
        <f>'Daily Meter Reading'!C22</f>
        <v>11980</v>
      </c>
      <c r="F21" s="25">
        <f>'Daily Meter Reading'!E22</f>
        <v>8395</v>
      </c>
      <c r="G21" s="24">
        <f>'Daily Meter Reading'!G22</f>
        <v>4709</v>
      </c>
      <c r="H21" s="26">
        <f>'Daily Meter Reading'!I22</f>
        <v>8874</v>
      </c>
      <c r="I21" s="25">
        <f>'Daily Meter Reading'!K22</f>
        <v>142</v>
      </c>
      <c r="J21" s="25">
        <f>'Daily Meter Reading'!M22</f>
        <v>30</v>
      </c>
      <c r="K21" s="25">
        <f>'Daily Meter Reading'!O22</f>
        <v>129</v>
      </c>
      <c r="L21" s="25">
        <f>'Daily Meter Reading'!Q22</f>
        <v>453</v>
      </c>
      <c r="M21" s="32">
        <v>113</v>
      </c>
    </row>
    <row r="22" spans="1:13" x14ac:dyDescent="0.25">
      <c r="A22" t="s">
        <v>24</v>
      </c>
      <c r="B22">
        <v>21</v>
      </c>
      <c r="C22" s="23">
        <v>11</v>
      </c>
      <c r="D22" s="23">
        <v>2022</v>
      </c>
      <c r="E22" s="24">
        <f>'Daily Meter Reading'!C23</f>
        <v>11078</v>
      </c>
      <c r="F22" s="25">
        <f>'Daily Meter Reading'!E23</f>
        <v>8148</v>
      </c>
      <c r="G22" s="24">
        <f>'Daily Meter Reading'!G23</f>
        <v>5921</v>
      </c>
      <c r="H22" s="26">
        <f>'Daily Meter Reading'!I23</f>
        <v>6765</v>
      </c>
      <c r="I22" s="25">
        <f>'Daily Meter Reading'!K23</f>
        <v>119</v>
      </c>
      <c r="J22" s="25">
        <f>'Daily Meter Reading'!M23</f>
        <v>15</v>
      </c>
      <c r="K22" s="25">
        <f>'Daily Meter Reading'!O23</f>
        <v>182</v>
      </c>
      <c r="L22" s="25">
        <f>'Daily Meter Reading'!Q23</f>
        <v>531</v>
      </c>
      <c r="M22" s="32">
        <v>93</v>
      </c>
    </row>
    <row r="23" spans="1:13" x14ac:dyDescent="0.25">
      <c r="A23" t="s">
        <v>24</v>
      </c>
      <c r="B23">
        <v>22</v>
      </c>
      <c r="C23" s="23">
        <v>11</v>
      </c>
      <c r="D23" s="23">
        <v>2022</v>
      </c>
      <c r="E23" s="24">
        <f>'Daily Meter Reading'!C24</f>
        <v>12363</v>
      </c>
      <c r="F23" s="25">
        <f>'Daily Meter Reading'!E24</f>
        <v>9378</v>
      </c>
      <c r="G23" s="24">
        <f>'Daily Meter Reading'!G24</f>
        <v>10259</v>
      </c>
      <c r="H23" s="26">
        <f>'Daily Meter Reading'!I24</f>
        <v>3350</v>
      </c>
      <c r="I23" s="25">
        <f>'Daily Meter Reading'!K24</f>
        <v>145</v>
      </c>
      <c r="J23" s="25">
        <f>'Daily Meter Reading'!M24</f>
        <v>39</v>
      </c>
      <c r="K23" s="25">
        <f>'Daily Meter Reading'!O24</f>
        <v>176</v>
      </c>
      <c r="L23" s="25">
        <f>'Daily Meter Reading'!Q24</f>
        <v>593</v>
      </c>
      <c r="M23" s="32">
        <v>138</v>
      </c>
    </row>
    <row r="24" spans="1:13" x14ac:dyDescent="0.25">
      <c r="A24" t="s">
        <v>24</v>
      </c>
      <c r="B24">
        <v>23</v>
      </c>
      <c r="C24" s="23">
        <v>11</v>
      </c>
      <c r="D24" s="23">
        <v>2022</v>
      </c>
      <c r="E24" s="24">
        <f>'Daily Meter Reading'!C25</f>
        <v>12126</v>
      </c>
      <c r="F24" s="25">
        <f>'Daily Meter Reading'!E25</f>
        <v>9277</v>
      </c>
      <c r="G24" s="24">
        <f>'Daily Meter Reading'!G25</f>
        <v>7240</v>
      </c>
      <c r="H24" s="26">
        <f>'Daily Meter Reading'!I25</f>
        <v>5899</v>
      </c>
      <c r="I24" s="25">
        <f>'Daily Meter Reading'!K25</f>
        <v>144</v>
      </c>
      <c r="J24" s="25">
        <f>'Daily Meter Reading'!M25</f>
        <v>43</v>
      </c>
      <c r="K24" s="25">
        <f>'Daily Meter Reading'!O25</f>
        <v>157</v>
      </c>
      <c r="L24" s="25">
        <f>'Daily Meter Reading'!Q25</f>
        <v>260</v>
      </c>
      <c r="M24" s="32">
        <v>156</v>
      </c>
    </row>
    <row r="25" spans="1:13" x14ac:dyDescent="0.25">
      <c r="A25" t="s">
        <v>24</v>
      </c>
      <c r="B25">
        <v>24</v>
      </c>
      <c r="C25" s="23">
        <v>11</v>
      </c>
      <c r="D25" s="23">
        <v>2022</v>
      </c>
      <c r="E25" s="24">
        <f>'Daily Meter Reading'!C26</f>
        <v>12388</v>
      </c>
      <c r="F25" s="25">
        <f>'Daily Meter Reading'!E26</f>
        <v>9811</v>
      </c>
      <c r="G25" s="24">
        <f>'Daily Meter Reading'!G26</f>
        <v>9420</v>
      </c>
      <c r="H25" s="26">
        <f>'Daily Meter Reading'!I26</f>
        <v>3870</v>
      </c>
      <c r="I25" s="25">
        <f>'Daily Meter Reading'!K26</f>
        <v>157</v>
      </c>
      <c r="J25" s="25">
        <f>'Daily Meter Reading'!M26</f>
        <v>11</v>
      </c>
      <c r="K25" s="25">
        <f>'Daily Meter Reading'!O26</f>
        <v>180</v>
      </c>
      <c r="L25" s="25">
        <f>'Daily Meter Reading'!Q26</f>
        <v>366</v>
      </c>
      <c r="M25" s="32">
        <v>157</v>
      </c>
    </row>
    <row r="26" spans="1:13" x14ac:dyDescent="0.25">
      <c r="A26" t="s">
        <v>24</v>
      </c>
      <c r="B26">
        <v>25</v>
      </c>
      <c r="C26" s="23">
        <v>11</v>
      </c>
      <c r="D26" s="23">
        <v>2022</v>
      </c>
      <c r="E26" s="24">
        <f>'Daily Meter Reading'!C27</f>
        <v>12783</v>
      </c>
      <c r="F26" s="25">
        <f>'Daily Meter Reading'!E27</f>
        <v>9803</v>
      </c>
      <c r="G26" s="24">
        <f>'Daily Meter Reading'!G27</f>
        <v>6681</v>
      </c>
      <c r="H26" s="26">
        <f>'Daily Meter Reading'!I27</f>
        <v>6988</v>
      </c>
      <c r="I26" s="25">
        <f>'Daily Meter Reading'!K27</f>
        <v>175</v>
      </c>
      <c r="J26" s="25">
        <f>'Daily Meter Reading'!M27</f>
        <v>76</v>
      </c>
      <c r="K26" s="25">
        <f>'Daily Meter Reading'!O27</f>
        <v>179</v>
      </c>
      <c r="L26" s="25">
        <f>'Daily Meter Reading'!Q27</f>
        <v>487</v>
      </c>
      <c r="M26" s="32">
        <v>155</v>
      </c>
    </row>
    <row r="27" spans="1:13" x14ac:dyDescent="0.25">
      <c r="A27" t="s">
        <v>24</v>
      </c>
      <c r="B27">
        <v>26</v>
      </c>
      <c r="C27" s="23">
        <v>11</v>
      </c>
      <c r="D27" s="23">
        <v>2022</v>
      </c>
      <c r="E27" s="24">
        <f>'Daily Meter Reading'!C28</f>
        <v>13133</v>
      </c>
      <c r="F27" s="25">
        <f>'Daily Meter Reading'!E28</f>
        <v>10100</v>
      </c>
      <c r="G27" s="24">
        <f>'Daily Meter Reading'!G28</f>
        <v>6694</v>
      </c>
      <c r="H27" s="26">
        <f>'Daily Meter Reading'!I28</f>
        <v>7506</v>
      </c>
      <c r="I27" s="25">
        <f>'Daily Meter Reading'!K28</f>
        <v>192</v>
      </c>
      <c r="J27" s="25">
        <f>'Daily Meter Reading'!M28</f>
        <v>51</v>
      </c>
      <c r="K27" s="25">
        <f>'Daily Meter Reading'!O28</f>
        <v>220</v>
      </c>
      <c r="L27" s="25">
        <f>'Daily Meter Reading'!Q28</f>
        <v>358</v>
      </c>
      <c r="M27" s="32">
        <v>193</v>
      </c>
    </row>
    <row r="28" spans="1:13" x14ac:dyDescent="0.25">
      <c r="A28" t="s">
        <v>24</v>
      </c>
      <c r="B28">
        <v>27</v>
      </c>
      <c r="C28" s="23">
        <v>11</v>
      </c>
      <c r="D28" s="23">
        <v>2022</v>
      </c>
      <c r="E28" s="24">
        <f>'Daily Meter Reading'!C29</f>
        <v>12161</v>
      </c>
      <c r="F28" s="25">
        <f>'Daily Meter Reading'!E29</f>
        <v>9918</v>
      </c>
      <c r="G28" s="24">
        <f>'Daily Meter Reading'!G29</f>
        <v>6672</v>
      </c>
      <c r="H28" s="26">
        <f>'Daily Meter Reading'!I29</f>
        <v>7069</v>
      </c>
      <c r="I28" s="25">
        <f>'Daily Meter Reading'!K29</f>
        <v>166</v>
      </c>
      <c r="J28" s="25">
        <f>'Daily Meter Reading'!M29</f>
        <v>23</v>
      </c>
      <c r="K28" s="25">
        <f>'Daily Meter Reading'!O29</f>
        <v>139</v>
      </c>
      <c r="L28" s="25">
        <f>'Daily Meter Reading'!Q29</f>
        <v>448</v>
      </c>
      <c r="M28" s="32">
        <v>175</v>
      </c>
    </row>
    <row r="29" spans="1:13" x14ac:dyDescent="0.25">
      <c r="A29" t="s">
        <v>24</v>
      </c>
      <c r="B29">
        <v>28</v>
      </c>
      <c r="C29" s="23">
        <v>11</v>
      </c>
      <c r="D29" s="23">
        <v>2022</v>
      </c>
      <c r="E29" s="24">
        <f>'Daily Meter Reading'!C30</f>
        <v>12213</v>
      </c>
      <c r="F29" s="25">
        <f>'Daily Meter Reading'!E30</f>
        <v>9204</v>
      </c>
      <c r="G29" s="24">
        <f>'Daily Meter Reading'!G30</f>
        <v>6207</v>
      </c>
      <c r="H29" s="26">
        <f>'Daily Meter Reading'!I30</f>
        <v>7553</v>
      </c>
      <c r="I29" s="25">
        <f>'Daily Meter Reading'!K30</f>
        <v>161</v>
      </c>
      <c r="J29" s="25">
        <f>'Daily Meter Reading'!M30</f>
        <v>18</v>
      </c>
      <c r="K29" s="25">
        <f>'Daily Meter Reading'!O30</f>
        <v>145</v>
      </c>
      <c r="L29" s="25">
        <f>'Daily Meter Reading'!Q30</f>
        <v>418</v>
      </c>
      <c r="M29" s="32">
        <v>176</v>
      </c>
    </row>
    <row r="30" spans="1:13" x14ac:dyDescent="0.25">
      <c r="A30" t="s">
        <v>24</v>
      </c>
      <c r="B30">
        <v>29</v>
      </c>
      <c r="C30" s="23">
        <v>11</v>
      </c>
      <c r="D30" s="23">
        <v>2022</v>
      </c>
      <c r="E30" s="24">
        <f>'Daily Meter Reading'!C31</f>
        <v>12424</v>
      </c>
      <c r="F30" s="25">
        <f>'Daily Meter Reading'!E31</f>
        <v>9502</v>
      </c>
      <c r="G30" s="24">
        <f>'Daily Meter Reading'!G31</f>
        <v>6377</v>
      </c>
      <c r="H30" s="26">
        <f>'Daily Meter Reading'!I31</f>
        <v>7580</v>
      </c>
      <c r="I30" s="25">
        <f>'Daily Meter Reading'!K31</f>
        <v>159</v>
      </c>
      <c r="J30" s="25">
        <f>'Daily Meter Reading'!M31</f>
        <v>33</v>
      </c>
      <c r="K30" s="25">
        <f>'Daily Meter Reading'!O31</f>
        <v>177</v>
      </c>
      <c r="L30" s="25">
        <f>'Daily Meter Reading'!Q31</f>
        <v>402</v>
      </c>
      <c r="M30" s="32">
        <v>197</v>
      </c>
    </row>
    <row r="31" spans="1:13" x14ac:dyDescent="0.25">
      <c r="A31" t="s">
        <v>24</v>
      </c>
      <c r="B31">
        <v>30</v>
      </c>
      <c r="C31" s="23">
        <v>11</v>
      </c>
      <c r="D31" s="23">
        <v>2022</v>
      </c>
      <c r="E31" s="24">
        <f>'Daily Meter Reading'!C32</f>
        <v>12021</v>
      </c>
      <c r="F31" s="25">
        <f>'Daily Meter Reading'!E32</f>
        <v>9355</v>
      </c>
      <c r="G31" s="24">
        <f>'Daily Meter Reading'!G32</f>
        <v>6651</v>
      </c>
      <c r="H31" s="26">
        <f>'Daily Meter Reading'!I32</f>
        <v>6464</v>
      </c>
      <c r="I31" s="25">
        <f>'Daily Meter Reading'!K32</f>
        <v>141</v>
      </c>
      <c r="J31" s="25">
        <f>'Daily Meter Reading'!M32</f>
        <v>27</v>
      </c>
      <c r="K31" s="25">
        <f>'Daily Meter Reading'!O32</f>
        <v>204</v>
      </c>
      <c r="L31" s="25">
        <f>'Daily Meter Reading'!Q32</f>
        <v>377</v>
      </c>
      <c r="M31" s="32">
        <v>186</v>
      </c>
    </row>
    <row r="32" spans="1:13" x14ac:dyDescent="0.25">
      <c r="C32" s="23"/>
      <c r="D32" s="23"/>
      <c r="E32" s="24"/>
      <c r="F32" s="25"/>
      <c r="G32" s="24"/>
      <c r="H32" s="26"/>
      <c r="I32" s="25"/>
      <c r="J32" s="25"/>
      <c r="K32" s="25"/>
      <c r="L32" s="25"/>
      <c r="M32" s="32"/>
    </row>
    <row r="33" spans="5:13" x14ac:dyDescent="0.25">
      <c r="E33" s="23"/>
      <c r="G33" s="24"/>
      <c r="H33" s="27"/>
      <c r="M33" s="25"/>
    </row>
    <row r="34" spans="5:13" x14ac:dyDescent="0.25">
      <c r="M34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7" t="s">
        <v>0</v>
      </c>
      <c r="C1" s="38"/>
      <c r="D1" s="39" t="s">
        <v>1</v>
      </c>
      <c r="E1" s="40"/>
      <c r="F1" s="39" t="s">
        <v>2</v>
      </c>
      <c r="G1" s="40"/>
      <c r="H1" s="37" t="s">
        <v>3</v>
      </c>
      <c r="I1" s="38"/>
      <c r="J1" s="35" t="s">
        <v>4</v>
      </c>
      <c r="K1" s="36"/>
      <c r="L1" s="35" t="s">
        <v>5</v>
      </c>
      <c r="M1" s="36"/>
      <c r="N1" s="35" t="s">
        <v>6</v>
      </c>
      <c r="O1" s="36"/>
      <c r="P1" s="37" t="s">
        <v>7</v>
      </c>
      <c r="Q1" s="38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0">
        <v>4147308</v>
      </c>
      <c r="C3" s="11">
        <f t="shared" ref="C3:C32" si="0">B4-B3</f>
        <v>12288</v>
      </c>
      <c r="D3" s="10">
        <v>7173997</v>
      </c>
      <c r="E3" s="11">
        <f t="shared" ref="E3:E32" si="1">D4-D3</f>
        <v>9585</v>
      </c>
      <c r="F3" s="10">
        <v>3723854</v>
      </c>
      <c r="G3" s="11">
        <f t="shared" ref="G3:G32" si="2">F4-F3</f>
        <v>6372</v>
      </c>
      <c r="H3" s="10">
        <v>7376456</v>
      </c>
      <c r="I3" s="11">
        <f t="shared" ref="I3:I32" si="3">H4-H3</f>
        <v>7672</v>
      </c>
      <c r="J3" s="10">
        <v>154702</v>
      </c>
      <c r="K3" s="12">
        <f>J4-J3</f>
        <v>149</v>
      </c>
      <c r="L3" s="13">
        <v>22782</v>
      </c>
      <c r="M3" s="12">
        <f>L4-L3</f>
        <v>31</v>
      </c>
      <c r="N3" s="13">
        <v>205102</v>
      </c>
      <c r="O3" s="12">
        <f>N4-N3</f>
        <v>190</v>
      </c>
      <c r="P3" s="10">
        <v>489679</v>
      </c>
      <c r="Q3" s="14">
        <f>P4-P3</f>
        <v>495</v>
      </c>
    </row>
    <row r="4" spans="1:17" ht="18" x14ac:dyDescent="0.25">
      <c r="A4" s="9">
        <v>2</v>
      </c>
      <c r="B4" s="10">
        <v>4159596</v>
      </c>
      <c r="C4" s="11">
        <f t="shared" si="0"/>
        <v>11796</v>
      </c>
      <c r="D4" s="10">
        <v>7183582</v>
      </c>
      <c r="E4" s="11">
        <f t="shared" si="1"/>
        <v>8983</v>
      </c>
      <c r="F4" s="10">
        <v>3730226</v>
      </c>
      <c r="G4" s="11">
        <f t="shared" si="2"/>
        <v>6297</v>
      </c>
      <c r="H4" s="10">
        <v>7384128</v>
      </c>
      <c r="I4" s="11">
        <f t="shared" si="3"/>
        <v>7271</v>
      </c>
      <c r="J4" s="10">
        <v>154851</v>
      </c>
      <c r="K4" s="12">
        <f>J5-J4</f>
        <v>145</v>
      </c>
      <c r="L4" s="13">
        <v>22813</v>
      </c>
      <c r="M4" s="12">
        <f t="shared" ref="M4:M31" si="4">L5-L4</f>
        <v>16</v>
      </c>
      <c r="N4" s="13">
        <v>205292</v>
      </c>
      <c r="O4" s="12">
        <f t="shared" ref="O4:O31" si="5">N5-N4</f>
        <v>182</v>
      </c>
      <c r="P4" s="10">
        <v>490174</v>
      </c>
      <c r="Q4" s="14">
        <f t="shared" ref="Q4:Q31" si="6">P5-P4</f>
        <v>715</v>
      </c>
    </row>
    <row r="5" spans="1:17" ht="18" x14ac:dyDescent="0.25">
      <c r="A5" s="9">
        <v>3</v>
      </c>
      <c r="B5" s="10">
        <v>4171392</v>
      </c>
      <c r="C5" s="11">
        <f t="shared" si="0"/>
        <v>12069</v>
      </c>
      <c r="D5" s="10">
        <v>7192565</v>
      </c>
      <c r="E5" s="11">
        <f t="shared" si="1"/>
        <v>9132</v>
      </c>
      <c r="F5" s="10">
        <v>3736523</v>
      </c>
      <c r="G5" s="11">
        <f t="shared" si="2"/>
        <v>6271</v>
      </c>
      <c r="H5" s="10">
        <v>7391399</v>
      </c>
      <c r="I5" s="11">
        <f t="shared" si="3"/>
        <v>7475</v>
      </c>
      <c r="J5" s="10">
        <v>154996</v>
      </c>
      <c r="K5" s="12">
        <f>J6-J5</f>
        <v>149</v>
      </c>
      <c r="L5" s="13">
        <v>22829</v>
      </c>
      <c r="M5" s="12">
        <f t="shared" si="4"/>
        <v>28</v>
      </c>
      <c r="N5" s="13">
        <v>205474</v>
      </c>
      <c r="O5" s="12">
        <f t="shared" si="5"/>
        <v>162</v>
      </c>
      <c r="P5" s="10">
        <v>490889</v>
      </c>
      <c r="Q5" s="14">
        <f t="shared" si="6"/>
        <v>486</v>
      </c>
    </row>
    <row r="6" spans="1:17" ht="18" x14ac:dyDescent="0.25">
      <c r="A6" s="9">
        <v>4</v>
      </c>
      <c r="B6" s="10">
        <v>4183461</v>
      </c>
      <c r="C6" s="11">
        <f t="shared" si="0"/>
        <v>12623</v>
      </c>
      <c r="D6" s="10">
        <v>7201697</v>
      </c>
      <c r="E6" s="11">
        <f t="shared" si="1"/>
        <v>9291</v>
      </c>
      <c r="F6" s="10">
        <v>3742794</v>
      </c>
      <c r="G6" s="11">
        <f t="shared" si="2"/>
        <v>6315</v>
      </c>
      <c r="H6" s="10">
        <v>7398874</v>
      </c>
      <c r="I6" s="11">
        <f t="shared" si="3"/>
        <v>7667</v>
      </c>
      <c r="J6" s="10">
        <v>155145</v>
      </c>
      <c r="K6" s="12">
        <f>J7-J6</f>
        <v>161</v>
      </c>
      <c r="L6" s="13">
        <v>22857</v>
      </c>
      <c r="M6" s="12">
        <f t="shared" si="4"/>
        <v>11</v>
      </c>
      <c r="N6" s="13">
        <v>205636</v>
      </c>
      <c r="O6" s="12">
        <f t="shared" si="5"/>
        <v>181</v>
      </c>
      <c r="P6" s="10">
        <v>491375</v>
      </c>
      <c r="Q6" s="14">
        <f t="shared" si="6"/>
        <v>652</v>
      </c>
    </row>
    <row r="7" spans="1:17" ht="18" x14ac:dyDescent="0.25">
      <c r="A7" s="15">
        <v>5</v>
      </c>
      <c r="B7" s="10">
        <v>4196084</v>
      </c>
      <c r="C7" s="11">
        <f t="shared" si="0"/>
        <v>13379</v>
      </c>
      <c r="D7" s="10">
        <v>7210988</v>
      </c>
      <c r="E7" s="11">
        <f t="shared" si="1"/>
        <v>10476</v>
      </c>
      <c r="F7" s="10">
        <v>3749109</v>
      </c>
      <c r="G7" s="11">
        <f t="shared" si="2"/>
        <v>6527</v>
      </c>
      <c r="H7" s="10">
        <v>7406541</v>
      </c>
      <c r="I7" s="11">
        <f t="shared" si="3"/>
        <v>8341</v>
      </c>
      <c r="J7" s="10">
        <v>155306</v>
      </c>
      <c r="K7" s="12">
        <f t="shared" ref="K7:K20" si="7">SUM(J8-J7)</f>
        <v>177</v>
      </c>
      <c r="L7" s="13">
        <v>22868</v>
      </c>
      <c r="M7" s="12">
        <f t="shared" si="4"/>
        <v>68</v>
      </c>
      <c r="N7" s="13">
        <v>205817</v>
      </c>
      <c r="O7" s="12">
        <f t="shared" si="5"/>
        <v>201</v>
      </c>
      <c r="P7" s="10">
        <v>492027</v>
      </c>
      <c r="Q7" s="14">
        <f t="shared" si="6"/>
        <v>596</v>
      </c>
    </row>
    <row r="8" spans="1:17" ht="18" x14ac:dyDescent="0.25">
      <c r="A8" s="15">
        <v>6</v>
      </c>
      <c r="B8" s="10">
        <v>4209463</v>
      </c>
      <c r="C8" s="11">
        <f t="shared" si="0"/>
        <v>12449</v>
      </c>
      <c r="D8" s="10">
        <v>7221464</v>
      </c>
      <c r="E8" s="11">
        <f t="shared" si="1"/>
        <v>9088</v>
      </c>
      <c r="F8" s="10">
        <v>3755636</v>
      </c>
      <c r="G8" s="11">
        <f t="shared" si="2"/>
        <v>6589</v>
      </c>
      <c r="H8" s="10">
        <v>7414882</v>
      </c>
      <c r="I8" s="11">
        <f t="shared" si="3"/>
        <v>7252</v>
      </c>
      <c r="J8" s="10">
        <v>155483</v>
      </c>
      <c r="K8" s="12">
        <f t="shared" si="7"/>
        <v>158</v>
      </c>
      <c r="L8" s="13">
        <v>22936</v>
      </c>
      <c r="M8" s="12">
        <f t="shared" si="4"/>
        <v>28</v>
      </c>
      <c r="N8" s="13">
        <v>206018</v>
      </c>
      <c r="O8" s="12">
        <f t="shared" si="5"/>
        <v>136</v>
      </c>
      <c r="P8" s="10">
        <v>492623</v>
      </c>
      <c r="Q8" s="14">
        <f t="shared" si="6"/>
        <v>487</v>
      </c>
    </row>
    <row r="9" spans="1:17" ht="18" x14ac:dyDescent="0.25">
      <c r="A9" s="15">
        <v>7</v>
      </c>
      <c r="B9" s="10">
        <v>4221912</v>
      </c>
      <c r="C9" s="11">
        <f t="shared" si="0"/>
        <v>12519</v>
      </c>
      <c r="D9" s="10">
        <v>7230552</v>
      </c>
      <c r="E9" s="11">
        <f t="shared" si="1"/>
        <v>9279</v>
      </c>
      <c r="F9" s="10">
        <v>3762225</v>
      </c>
      <c r="G9" s="11">
        <f t="shared" si="2"/>
        <v>6932</v>
      </c>
      <c r="H9" s="10">
        <v>7422134</v>
      </c>
      <c r="I9" s="11">
        <f t="shared" si="3"/>
        <v>7442</v>
      </c>
      <c r="J9" s="10">
        <v>155641</v>
      </c>
      <c r="K9" s="12">
        <f t="shared" si="7"/>
        <v>160</v>
      </c>
      <c r="L9" s="13">
        <v>22964</v>
      </c>
      <c r="M9" s="12">
        <f t="shared" si="4"/>
        <v>31</v>
      </c>
      <c r="N9" s="13">
        <v>206154</v>
      </c>
      <c r="O9" s="12">
        <f t="shared" si="5"/>
        <v>209</v>
      </c>
      <c r="P9" s="10">
        <v>493110</v>
      </c>
      <c r="Q9" s="14">
        <f t="shared" si="6"/>
        <v>684</v>
      </c>
    </row>
    <row r="10" spans="1:17" ht="18" x14ac:dyDescent="0.25">
      <c r="A10" s="15">
        <v>8</v>
      </c>
      <c r="B10" s="10">
        <v>4234431</v>
      </c>
      <c r="C10" s="11">
        <f t="shared" si="0"/>
        <v>12072</v>
      </c>
      <c r="D10" s="10">
        <v>7239831</v>
      </c>
      <c r="E10" s="11">
        <f t="shared" si="1"/>
        <v>9688</v>
      </c>
      <c r="F10" s="10">
        <v>3769157</v>
      </c>
      <c r="G10" s="11">
        <f t="shared" si="2"/>
        <v>7175</v>
      </c>
      <c r="H10" s="10">
        <v>7429576</v>
      </c>
      <c r="I10" s="11">
        <f t="shared" si="3"/>
        <v>7567</v>
      </c>
      <c r="J10" s="10">
        <v>155801</v>
      </c>
      <c r="K10" s="12">
        <f t="shared" si="7"/>
        <v>138</v>
      </c>
      <c r="L10" s="13">
        <v>22995</v>
      </c>
      <c r="M10" s="12">
        <f t="shared" si="4"/>
        <v>18</v>
      </c>
      <c r="N10" s="13">
        <v>206363</v>
      </c>
      <c r="O10" s="12">
        <f t="shared" si="5"/>
        <v>238</v>
      </c>
      <c r="P10" s="10">
        <v>493794</v>
      </c>
      <c r="Q10" s="14">
        <f t="shared" si="6"/>
        <v>498</v>
      </c>
    </row>
    <row r="11" spans="1:17" ht="18" x14ac:dyDescent="0.25">
      <c r="A11" s="15">
        <v>9</v>
      </c>
      <c r="B11" s="10">
        <v>4246503</v>
      </c>
      <c r="C11" s="11">
        <f t="shared" si="0"/>
        <v>12494</v>
      </c>
      <c r="D11" s="10">
        <v>7249519</v>
      </c>
      <c r="E11" s="11">
        <f t="shared" si="1"/>
        <v>9971</v>
      </c>
      <c r="F11" s="10">
        <v>3776332</v>
      </c>
      <c r="G11" s="11">
        <f t="shared" si="2"/>
        <v>7058</v>
      </c>
      <c r="H11" s="10">
        <v>7437143</v>
      </c>
      <c r="I11" s="11">
        <f t="shared" si="3"/>
        <v>10647</v>
      </c>
      <c r="J11" s="10">
        <v>155939</v>
      </c>
      <c r="K11" s="12">
        <f t="shared" si="7"/>
        <v>159</v>
      </c>
      <c r="L11" s="13">
        <v>23013</v>
      </c>
      <c r="M11" s="12">
        <f t="shared" si="4"/>
        <v>74</v>
      </c>
      <c r="N11" s="13">
        <v>206601</v>
      </c>
      <c r="O11" s="12">
        <f t="shared" si="5"/>
        <v>215</v>
      </c>
      <c r="P11" s="10">
        <v>494292</v>
      </c>
      <c r="Q11" s="14">
        <f t="shared" si="6"/>
        <v>568</v>
      </c>
    </row>
    <row r="12" spans="1:17" ht="18" x14ac:dyDescent="0.25">
      <c r="A12" s="16">
        <v>10</v>
      </c>
      <c r="B12" s="10">
        <v>4258997</v>
      </c>
      <c r="C12" s="11">
        <f t="shared" si="0"/>
        <v>12167</v>
      </c>
      <c r="D12" s="10">
        <v>7259490</v>
      </c>
      <c r="E12" s="11">
        <f t="shared" si="1"/>
        <v>9457</v>
      </c>
      <c r="F12" s="10">
        <v>3783390</v>
      </c>
      <c r="G12" s="11">
        <f t="shared" si="2"/>
        <v>6790</v>
      </c>
      <c r="H12" s="10">
        <v>7447790</v>
      </c>
      <c r="I12" s="11">
        <f t="shared" si="3"/>
        <v>4370</v>
      </c>
      <c r="J12" s="10">
        <v>156098</v>
      </c>
      <c r="K12" s="12">
        <f t="shared" si="7"/>
        <v>127</v>
      </c>
      <c r="L12" s="13">
        <v>23087</v>
      </c>
      <c r="M12" s="12">
        <f t="shared" si="4"/>
        <v>13</v>
      </c>
      <c r="N12" s="13">
        <v>206816</v>
      </c>
      <c r="O12" s="12">
        <f t="shared" si="5"/>
        <v>186</v>
      </c>
      <c r="P12" s="10">
        <v>494860</v>
      </c>
      <c r="Q12" s="14">
        <f t="shared" si="6"/>
        <v>648</v>
      </c>
    </row>
    <row r="13" spans="1:17" ht="18" x14ac:dyDescent="0.25">
      <c r="A13" s="16">
        <v>11</v>
      </c>
      <c r="B13" s="10">
        <v>4271164</v>
      </c>
      <c r="C13" s="11">
        <f t="shared" si="0"/>
        <v>12201</v>
      </c>
      <c r="D13" s="10">
        <v>7268947</v>
      </c>
      <c r="E13" s="11">
        <f t="shared" si="1"/>
        <v>9454</v>
      </c>
      <c r="F13" s="10">
        <v>3790180</v>
      </c>
      <c r="G13" s="11">
        <f t="shared" si="2"/>
        <v>6947</v>
      </c>
      <c r="H13" s="10">
        <v>7452160</v>
      </c>
      <c r="I13" s="11">
        <f t="shared" si="3"/>
        <v>7504</v>
      </c>
      <c r="J13" s="10">
        <v>156225</v>
      </c>
      <c r="K13" s="12">
        <f t="shared" si="7"/>
        <v>129</v>
      </c>
      <c r="L13" s="13">
        <v>23100</v>
      </c>
      <c r="M13" s="12">
        <f t="shared" si="4"/>
        <v>50</v>
      </c>
      <c r="N13" s="13">
        <v>207002</v>
      </c>
      <c r="O13" s="12">
        <f t="shared" si="5"/>
        <v>163</v>
      </c>
      <c r="P13" s="10">
        <v>495508</v>
      </c>
      <c r="Q13" s="14">
        <f t="shared" si="6"/>
        <v>537</v>
      </c>
    </row>
    <row r="14" spans="1:17" ht="18" x14ac:dyDescent="0.25">
      <c r="A14" s="16">
        <v>12</v>
      </c>
      <c r="B14" s="10">
        <v>4283365</v>
      </c>
      <c r="C14" s="11">
        <f t="shared" si="0"/>
        <v>12495</v>
      </c>
      <c r="D14" s="10">
        <v>7278401</v>
      </c>
      <c r="E14" s="11">
        <f t="shared" si="1"/>
        <v>10019</v>
      </c>
      <c r="F14" s="10">
        <v>3797127</v>
      </c>
      <c r="G14" s="11">
        <f t="shared" si="2"/>
        <v>7068</v>
      </c>
      <c r="H14" s="10">
        <v>7459664</v>
      </c>
      <c r="I14" s="11">
        <f t="shared" si="3"/>
        <v>7652</v>
      </c>
      <c r="J14" s="10">
        <v>156354</v>
      </c>
      <c r="K14" s="12">
        <f t="shared" si="7"/>
        <v>174</v>
      </c>
      <c r="L14" s="13">
        <v>23150</v>
      </c>
      <c r="M14" s="12">
        <f t="shared" si="4"/>
        <v>50</v>
      </c>
      <c r="N14" s="13">
        <v>207165</v>
      </c>
      <c r="O14" s="12">
        <f t="shared" si="5"/>
        <v>208</v>
      </c>
      <c r="P14" s="10">
        <v>496045</v>
      </c>
      <c r="Q14" s="14">
        <f t="shared" si="6"/>
        <v>633</v>
      </c>
    </row>
    <row r="15" spans="1:17" ht="18" x14ac:dyDescent="0.25">
      <c r="A15" s="9">
        <v>13</v>
      </c>
      <c r="B15" s="10">
        <v>4295860</v>
      </c>
      <c r="C15" s="11">
        <f t="shared" si="0"/>
        <v>12013</v>
      </c>
      <c r="D15" s="10">
        <v>7288420</v>
      </c>
      <c r="E15" s="11">
        <f t="shared" si="1"/>
        <v>8865</v>
      </c>
      <c r="F15" s="10">
        <v>3804195</v>
      </c>
      <c r="G15" s="11">
        <f t="shared" si="2"/>
        <v>6131</v>
      </c>
      <c r="H15" s="10">
        <v>7467316</v>
      </c>
      <c r="I15" s="11">
        <f t="shared" si="3"/>
        <v>7546</v>
      </c>
      <c r="J15" s="10">
        <v>156528</v>
      </c>
      <c r="K15" s="12">
        <f t="shared" si="7"/>
        <v>123</v>
      </c>
      <c r="L15" s="13">
        <v>23200</v>
      </c>
      <c r="M15" s="12">
        <f t="shared" si="4"/>
        <v>21</v>
      </c>
      <c r="N15" s="13">
        <v>207373</v>
      </c>
      <c r="O15" s="12">
        <f t="shared" si="5"/>
        <v>116</v>
      </c>
      <c r="P15" s="10">
        <v>496678</v>
      </c>
      <c r="Q15" s="14">
        <f t="shared" si="6"/>
        <v>569</v>
      </c>
    </row>
    <row r="16" spans="1:17" ht="18" x14ac:dyDescent="0.25">
      <c r="A16" s="9">
        <v>14</v>
      </c>
      <c r="B16" s="10">
        <v>4307873</v>
      </c>
      <c r="C16" s="11">
        <f t="shared" si="0"/>
        <v>12489</v>
      </c>
      <c r="D16" s="10">
        <v>7297285</v>
      </c>
      <c r="E16" s="11">
        <f t="shared" si="1"/>
        <v>9458</v>
      </c>
      <c r="F16" s="10">
        <v>3810326</v>
      </c>
      <c r="G16" s="11">
        <f t="shared" si="2"/>
        <v>5049</v>
      </c>
      <c r="H16" s="10">
        <v>7474862</v>
      </c>
      <c r="I16" s="11">
        <f t="shared" si="3"/>
        <v>9261</v>
      </c>
      <c r="J16" s="10">
        <v>156651</v>
      </c>
      <c r="K16" s="12">
        <f t="shared" si="7"/>
        <v>142</v>
      </c>
      <c r="L16" s="13">
        <v>23221</v>
      </c>
      <c r="M16" s="12">
        <f t="shared" si="4"/>
        <v>34</v>
      </c>
      <c r="N16" s="13">
        <v>207489</v>
      </c>
      <c r="O16" s="12">
        <f t="shared" si="5"/>
        <v>198</v>
      </c>
      <c r="P16" s="10">
        <v>497247</v>
      </c>
      <c r="Q16" s="14">
        <f t="shared" si="6"/>
        <v>621</v>
      </c>
    </row>
    <row r="17" spans="1:17" ht="18" x14ac:dyDescent="0.25">
      <c r="A17" s="9">
        <v>15</v>
      </c>
      <c r="B17" s="10">
        <v>4320362</v>
      </c>
      <c r="C17" s="11">
        <f t="shared" si="0"/>
        <v>12612</v>
      </c>
      <c r="D17" s="10">
        <v>7306743</v>
      </c>
      <c r="E17" s="11">
        <f t="shared" si="1"/>
        <v>9341</v>
      </c>
      <c r="F17" s="10">
        <v>3815375</v>
      </c>
      <c r="G17" s="11">
        <f t="shared" si="2"/>
        <v>5096</v>
      </c>
      <c r="H17" s="10">
        <v>7484123</v>
      </c>
      <c r="I17" s="11">
        <f t="shared" si="3"/>
        <v>9429</v>
      </c>
      <c r="J17" s="10">
        <v>156793</v>
      </c>
      <c r="K17" s="12">
        <f t="shared" si="7"/>
        <v>153</v>
      </c>
      <c r="L17" s="13">
        <v>23255</v>
      </c>
      <c r="M17" s="12">
        <f t="shared" si="4"/>
        <v>26</v>
      </c>
      <c r="N17" s="13">
        <v>207687</v>
      </c>
      <c r="O17" s="12">
        <f t="shared" si="5"/>
        <v>189</v>
      </c>
      <c r="P17" s="10">
        <v>497868</v>
      </c>
      <c r="Q17" s="14">
        <f t="shared" si="6"/>
        <v>546</v>
      </c>
    </row>
    <row r="18" spans="1:17" ht="18" x14ac:dyDescent="0.25">
      <c r="A18" s="9">
        <v>16</v>
      </c>
      <c r="B18" s="10">
        <v>4332974</v>
      </c>
      <c r="C18" s="11">
        <f t="shared" si="0"/>
        <v>12457</v>
      </c>
      <c r="D18" s="10">
        <v>7316084</v>
      </c>
      <c r="E18" s="11">
        <f t="shared" si="1"/>
        <v>9128</v>
      </c>
      <c r="F18" s="10">
        <v>3820471</v>
      </c>
      <c r="G18" s="11">
        <f t="shared" si="2"/>
        <v>5188</v>
      </c>
      <c r="H18" s="10">
        <v>7493552</v>
      </c>
      <c r="I18" s="11">
        <f t="shared" si="3"/>
        <v>9444</v>
      </c>
      <c r="J18" s="10">
        <v>156946</v>
      </c>
      <c r="K18" s="12">
        <f t="shared" si="7"/>
        <v>116</v>
      </c>
      <c r="L18" s="13">
        <v>23281</v>
      </c>
      <c r="M18" s="12">
        <f t="shared" si="4"/>
        <v>22</v>
      </c>
      <c r="N18" s="13">
        <v>207876</v>
      </c>
      <c r="O18" s="12">
        <f t="shared" si="5"/>
        <v>149</v>
      </c>
      <c r="P18" s="10">
        <v>498414</v>
      </c>
      <c r="Q18" s="14">
        <f t="shared" si="6"/>
        <v>549</v>
      </c>
    </row>
    <row r="19" spans="1:17" ht="18" x14ac:dyDescent="0.25">
      <c r="A19" s="9">
        <v>17</v>
      </c>
      <c r="B19" s="10">
        <v>4345431</v>
      </c>
      <c r="C19" s="11">
        <f t="shared" si="0"/>
        <v>12482</v>
      </c>
      <c r="D19" s="10">
        <v>7325212</v>
      </c>
      <c r="E19" s="11">
        <f t="shared" si="1"/>
        <v>9514</v>
      </c>
      <c r="F19" s="10">
        <v>3825659</v>
      </c>
      <c r="G19" s="11">
        <f t="shared" si="2"/>
        <v>5083</v>
      </c>
      <c r="H19" s="10">
        <v>7502996</v>
      </c>
      <c r="I19" s="11">
        <f t="shared" si="3"/>
        <v>9429</v>
      </c>
      <c r="J19" s="10">
        <v>157062</v>
      </c>
      <c r="K19" s="12">
        <f t="shared" si="7"/>
        <v>153</v>
      </c>
      <c r="L19" s="13">
        <v>23303</v>
      </c>
      <c r="M19" s="12">
        <f t="shared" si="4"/>
        <v>20</v>
      </c>
      <c r="N19" s="13">
        <v>208025</v>
      </c>
      <c r="O19" s="12">
        <f t="shared" si="5"/>
        <v>171</v>
      </c>
      <c r="P19" s="10">
        <v>498963</v>
      </c>
      <c r="Q19" s="14">
        <f t="shared" si="6"/>
        <v>669</v>
      </c>
    </row>
    <row r="20" spans="1:17" ht="18" x14ac:dyDescent="0.25">
      <c r="A20" s="9">
        <v>18</v>
      </c>
      <c r="B20" s="10">
        <v>4357913</v>
      </c>
      <c r="C20" s="11">
        <f t="shared" si="0"/>
        <v>12114</v>
      </c>
      <c r="D20" s="10">
        <v>7334726</v>
      </c>
      <c r="E20" s="11">
        <f t="shared" si="1"/>
        <v>9651</v>
      </c>
      <c r="F20" s="10">
        <v>3830742</v>
      </c>
      <c r="G20" s="11">
        <f t="shared" si="2"/>
        <v>5082</v>
      </c>
      <c r="H20" s="10">
        <v>7512425</v>
      </c>
      <c r="I20" s="11">
        <f t="shared" si="3"/>
        <v>9424</v>
      </c>
      <c r="J20" s="10">
        <v>157215</v>
      </c>
      <c r="K20" s="12">
        <f t="shared" si="7"/>
        <v>145</v>
      </c>
      <c r="L20" s="13">
        <v>23323</v>
      </c>
      <c r="M20" s="12">
        <f t="shared" si="4"/>
        <v>23</v>
      </c>
      <c r="N20" s="13">
        <v>208196</v>
      </c>
      <c r="O20" s="12">
        <f t="shared" si="5"/>
        <v>150</v>
      </c>
      <c r="P20" s="10">
        <v>499632</v>
      </c>
      <c r="Q20" s="14">
        <f t="shared" si="6"/>
        <v>534</v>
      </c>
    </row>
    <row r="21" spans="1:17" ht="18" x14ac:dyDescent="0.25">
      <c r="A21" s="9">
        <v>19</v>
      </c>
      <c r="B21" s="10">
        <v>4370027</v>
      </c>
      <c r="C21" s="11">
        <f t="shared" si="0"/>
        <v>12443</v>
      </c>
      <c r="D21" s="10">
        <v>7344377</v>
      </c>
      <c r="E21" s="11">
        <f t="shared" si="1"/>
        <v>9606</v>
      </c>
      <c r="F21" s="10">
        <v>3835824</v>
      </c>
      <c r="G21" s="11">
        <f t="shared" si="2"/>
        <v>4899</v>
      </c>
      <c r="H21" s="10">
        <v>7521849</v>
      </c>
      <c r="I21" s="11">
        <f t="shared" si="3"/>
        <v>9256</v>
      </c>
      <c r="J21" s="10">
        <v>157360</v>
      </c>
      <c r="K21" s="12">
        <f t="shared" ref="K21:K31" si="8">SUM(J22-J21)</f>
        <v>142</v>
      </c>
      <c r="L21" s="13">
        <v>23346</v>
      </c>
      <c r="M21" s="12">
        <f t="shared" si="4"/>
        <v>34</v>
      </c>
      <c r="N21" s="13">
        <v>208346</v>
      </c>
      <c r="O21" s="12">
        <f t="shared" si="5"/>
        <v>173</v>
      </c>
      <c r="P21" s="10">
        <v>500166</v>
      </c>
      <c r="Q21" s="14">
        <f t="shared" si="6"/>
        <v>506</v>
      </c>
    </row>
    <row r="22" spans="1:17" ht="18" x14ac:dyDescent="0.25">
      <c r="A22" s="9">
        <v>20</v>
      </c>
      <c r="B22" s="10">
        <v>4382470</v>
      </c>
      <c r="C22" s="11">
        <f t="shared" si="0"/>
        <v>11980</v>
      </c>
      <c r="D22" s="10">
        <v>7353983</v>
      </c>
      <c r="E22" s="11">
        <f t="shared" si="1"/>
        <v>8395</v>
      </c>
      <c r="F22" s="10">
        <v>3840723</v>
      </c>
      <c r="G22" s="11">
        <f t="shared" si="2"/>
        <v>4709</v>
      </c>
      <c r="H22" s="10">
        <v>7531105</v>
      </c>
      <c r="I22" s="11">
        <f t="shared" si="3"/>
        <v>8874</v>
      </c>
      <c r="J22" s="10">
        <v>157502</v>
      </c>
      <c r="K22" s="12">
        <f t="shared" si="8"/>
        <v>142</v>
      </c>
      <c r="L22" s="13">
        <v>23380</v>
      </c>
      <c r="M22" s="12">
        <f t="shared" si="4"/>
        <v>30</v>
      </c>
      <c r="N22" s="13">
        <v>208519</v>
      </c>
      <c r="O22" s="12">
        <f t="shared" si="5"/>
        <v>129</v>
      </c>
      <c r="P22" s="33">
        <v>500672</v>
      </c>
      <c r="Q22" s="17">
        <f t="shared" si="6"/>
        <v>453</v>
      </c>
    </row>
    <row r="23" spans="1:17" ht="18" x14ac:dyDescent="0.25">
      <c r="A23" s="9">
        <v>21</v>
      </c>
      <c r="B23" s="10">
        <v>4394450</v>
      </c>
      <c r="C23" s="11">
        <f t="shared" si="0"/>
        <v>11078</v>
      </c>
      <c r="D23" s="10">
        <v>7362378</v>
      </c>
      <c r="E23" s="11">
        <f t="shared" si="1"/>
        <v>8148</v>
      </c>
      <c r="F23" s="10">
        <v>3845432</v>
      </c>
      <c r="G23" s="11">
        <f t="shared" si="2"/>
        <v>5921</v>
      </c>
      <c r="H23" s="10">
        <v>7539979</v>
      </c>
      <c r="I23" s="11">
        <f t="shared" si="3"/>
        <v>6765</v>
      </c>
      <c r="J23" s="10">
        <v>157644</v>
      </c>
      <c r="K23" s="12">
        <f t="shared" si="8"/>
        <v>119</v>
      </c>
      <c r="L23" s="13">
        <v>23410</v>
      </c>
      <c r="M23" s="12">
        <f t="shared" si="4"/>
        <v>15</v>
      </c>
      <c r="N23" s="13">
        <v>208648</v>
      </c>
      <c r="O23" s="12">
        <f t="shared" si="5"/>
        <v>182</v>
      </c>
      <c r="P23" s="10">
        <v>501125</v>
      </c>
      <c r="Q23" s="14">
        <f t="shared" si="6"/>
        <v>531</v>
      </c>
    </row>
    <row r="24" spans="1:17" ht="18" x14ac:dyDescent="0.25">
      <c r="A24" s="9">
        <v>22</v>
      </c>
      <c r="B24" s="10">
        <v>4405528</v>
      </c>
      <c r="C24" s="11">
        <f t="shared" si="0"/>
        <v>12363</v>
      </c>
      <c r="D24" s="10">
        <v>7370526</v>
      </c>
      <c r="E24" s="11">
        <f t="shared" si="1"/>
        <v>9378</v>
      </c>
      <c r="F24" s="10">
        <v>3851353</v>
      </c>
      <c r="G24" s="11">
        <f t="shared" si="2"/>
        <v>10259</v>
      </c>
      <c r="H24" s="10">
        <v>7546744</v>
      </c>
      <c r="I24" s="11">
        <f t="shared" si="3"/>
        <v>3350</v>
      </c>
      <c r="J24" s="10">
        <v>157763</v>
      </c>
      <c r="K24" s="12">
        <f t="shared" si="8"/>
        <v>145</v>
      </c>
      <c r="L24" s="13">
        <v>23425</v>
      </c>
      <c r="M24" s="12">
        <f t="shared" si="4"/>
        <v>39</v>
      </c>
      <c r="N24" s="13">
        <v>208830</v>
      </c>
      <c r="O24" s="12">
        <f>N25-N24</f>
        <v>176</v>
      </c>
      <c r="P24" s="34">
        <v>501656</v>
      </c>
      <c r="Q24" s="18">
        <f t="shared" si="6"/>
        <v>593</v>
      </c>
    </row>
    <row r="25" spans="1:17" ht="18" x14ac:dyDescent="0.25">
      <c r="A25" s="9">
        <v>23</v>
      </c>
      <c r="B25" s="10">
        <v>4417891</v>
      </c>
      <c r="C25" s="11">
        <f t="shared" si="0"/>
        <v>12126</v>
      </c>
      <c r="D25" s="10">
        <v>7379904</v>
      </c>
      <c r="E25" s="11">
        <f t="shared" si="1"/>
        <v>9277</v>
      </c>
      <c r="F25" s="10">
        <v>3861612</v>
      </c>
      <c r="G25" s="11">
        <f t="shared" si="2"/>
        <v>7240</v>
      </c>
      <c r="H25" s="10">
        <v>7550094</v>
      </c>
      <c r="I25" s="11">
        <f t="shared" si="3"/>
        <v>5899</v>
      </c>
      <c r="J25" s="10">
        <v>157908</v>
      </c>
      <c r="K25" s="12">
        <f t="shared" si="8"/>
        <v>144</v>
      </c>
      <c r="L25" s="13">
        <v>23464</v>
      </c>
      <c r="M25" s="12">
        <f t="shared" si="4"/>
        <v>43</v>
      </c>
      <c r="N25" s="13">
        <v>209006</v>
      </c>
      <c r="O25" s="12">
        <f t="shared" si="5"/>
        <v>157</v>
      </c>
      <c r="P25" s="10">
        <v>502249</v>
      </c>
      <c r="Q25" s="14">
        <f t="shared" si="6"/>
        <v>260</v>
      </c>
    </row>
    <row r="26" spans="1:17" ht="18" x14ac:dyDescent="0.25">
      <c r="A26" s="9">
        <v>24</v>
      </c>
      <c r="B26" s="10">
        <v>4430017</v>
      </c>
      <c r="C26" s="11">
        <f t="shared" si="0"/>
        <v>12388</v>
      </c>
      <c r="D26" s="10">
        <v>7389181</v>
      </c>
      <c r="E26" s="11">
        <f t="shared" si="1"/>
        <v>9811</v>
      </c>
      <c r="F26" s="10">
        <v>3868852</v>
      </c>
      <c r="G26" s="11">
        <f t="shared" si="2"/>
        <v>9420</v>
      </c>
      <c r="H26" s="10">
        <v>7555993</v>
      </c>
      <c r="I26" s="11">
        <f t="shared" si="3"/>
        <v>3870</v>
      </c>
      <c r="J26" s="10">
        <v>158052</v>
      </c>
      <c r="K26" s="12">
        <f t="shared" si="8"/>
        <v>157</v>
      </c>
      <c r="L26" s="13">
        <v>23507</v>
      </c>
      <c r="M26" s="12">
        <f t="shared" si="4"/>
        <v>11</v>
      </c>
      <c r="N26" s="13">
        <v>209163</v>
      </c>
      <c r="O26" s="12">
        <f t="shared" si="5"/>
        <v>180</v>
      </c>
      <c r="P26" s="10">
        <v>502509</v>
      </c>
      <c r="Q26" s="14">
        <f t="shared" si="6"/>
        <v>366</v>
      </c>
    </row>
    <row r="27" spans="1:17" ht="18" x14ac:dyDescent="0.25">
      <c r="A27" s="9">
        <v>25</v>
      </c>
      <c r="B27" s="10">
        <v>4442405</v>
      </c>
      <c r="C27" s="11">
        <f t="shared" si="0"/>
        <v>12783</v>
      </c>
      <c r="D27" s="10">
        <v>7398992</v>
      </c>
      <c r="E27" s="11">
        <f t="shared" si="1"/>
        <v>9803</v>
      </c>
      <c r="F27" s="10">
        <v>3878272</v>
      </c>
      <c r="G27" s="11">
        <f t="shared" si="2"/>
        <v>6681</v>
      </c>
      <c r="H27" s="10">
        <v>7559863</v>
      </c>
      <c r="I27" s="11">
        <f t="shared" si="3"/>
        <v>6988</v>
      </c>
      <c r="J27" s="10">
        <v>158209</v>
      </c>
      <c r="K27" s="12">
        <f t="shared" si="8"/>
        <v>175</v>
      </c>
      <c r="L27" s="13">
        <v>23518</v>
      </c>
      <c r="M27" s="12">
        <f t="shared" si="4"/>
        <v>76</v>
      </c>
      <c r="N27" s="13">
        <v>209343</v>
      </c>
      <c r="O27" s="12">
        <f t="shared" si="5"/>
        <v>179</v>
      </c>
      <c r="P27" s="10">
        <v>502875</v>
      </c>
      <c r="Q27" s="14">
        <f t="shared" si="6"/>
        <v>487</v>
      </c>
    </row>
    <row r="28" spans="1:17" ht="18" x14ac:dyDescent="0.25">
      <c r="A28" s="9">
        <v>26</v>
      </c>
      <c r="B28" s="10">
        <v>4455188</v>
      </c>
      <c r="C28" s="11">
        <f t="shared" si="0"/>
        <v>13133</v>
      </c>
      <c r="D28" s="10">
        <v>7408795</v>
      </c>
      <c r="E28" s="11">
        <f t="shared" si="1"/>
        <v>10100</v>
      </c>
      <c r="F28" s="10">
        <v>3884953</v>
      </c>
      <c r="G28" s="11">
        <f t="shared" si="2"/>
        <v>6694</v>
      </c>
      <c r="H28" s="10">
        <v>7566851</v>
      </c>
      <c r="I28" s="11">
        <f t="shared" si="3"/>
        <v>7506</v>
      </c>
      <c r="J28" s="10">
        <v>158384</v>
      </c>
      <c r="K28" s="12">
        <f t="shared" si="8"/>
        <v>192</v>
      </c>
      <c r="L28" s="13">
        <v>23594</v>
      </c>
      <c r="M28" s="12">
        <f t="shared" si="4"/>
        <v>51</v>
      </c>
      <c r="N28" s="13">
        <v>209522</v>
      </c>
      <c r="O28" s="12">
        <f t="shared" si="5"/>
        <v>220</v>
      </c>
      <c r="P28" s="10">
        <v>503362</v>
      </c>
      <c r="Q28" s="14">
        <f t="shared" si="6"/>
        <v>358</v>
      </c>
    </row>
    <row r="29" spans="1:17" ht="18" x14ac:dyDescent="0.25">
      <c r="A29" s="9">
        <v>27</v>
      </c>
      <c r="B29" s="10">
        <v>4468321</v>
      </c>
      <c r="C29" s="11">
        <f t="shared" si="0"/>
        <v>12161</v>
      </c>
      <c r="D29" s="10">
        <v>7418895</v>
      </c>
      <c r="E29" s="11">
        <f t="shared" si="1"/>
        <v>9918</v>
      </c>
      <c r="F29" s="10">
        <v>3891647</v>
      </c>
      <c r="G29" s="11">
        <f t="shared" si="2"/>
        <v>6672</v>
      </c>
      <c r="H29" s="10">
        <v>7574357</v>
      </c>
      <c r="I29" s="11">
        <f t="shared" si="3"/>
        <v>7069</v>
      </c>
      <c r="J29" s="10">
        <v>158576</v>
      </c>
      <c r="K29" s="12">
        <f t="shared" si="8"/>
        <v>166</v>
      </c>
      <c r="L29" s="13">
        <v>23645</v>
      </c>
      <c r="M29" s="12">
        <f t="shared" si="4"/>
        <v>23</v>
      </c>
      <c r="N29" s="13">
        <v>209742</v>
      </c>
      <c r="O29" s="12">
        <f t="shared" si="5"/>
        <v>139</v>
      </c>
      <c r="P29" s="10">
        <v>503720</v>
      </c>
      <c r="Q29" s="14">
        <f t="shared" si="6"/>
        <v>448</v>
      </c>
    </row>
    <row r="30" spans="1:17" ht="18" x14ac:dyDescent="0.25">
      <c r="A30" s="9">
        <v>28</v>
      </c>
      <c r="B30" s="10">
        <v>4480482</v>
      </c>
      <c r="C30" s="11">
        <f t="shared" si="0"/>
        <v>12213</v>
      </c>
      <c r="D30" s="10">
        <v>7428813</v>
      </c>
      <c r="E30" s="11">
        <f t="shared" si="1"/>
        <v>9204</v>
      </c>
      <c r="F30" s="10">
        <v>3898319</v>
      </c>
      <c r="G30" s="11">
        <f t="shared" si="2"/>
        <v>6207</v>
      </c>
      <c r="H30" s="10">
        <v>7581426</v>
      </c>
      <c r="I30" s="11">
        <f t="shared" si="3"/>
        <v>7553</v>
      </c>
      <c r="J30" s="10">
        <v>158742</v>
      </c>
      <c r="K30" s="12">
        <f t="shared" si="8"/>
        <v>161</v>
      </c>
      <c r="L30" s="13">
        <v>23668</v>
      </c>
      <c r="M30" s="12">
        <f t="shared" si="4"/>
        <v>18</v>
      </c>
      <c r="N30" s="13">
        <v>209881</v>
      </c>
      <c r="O30" s="12">
        <f t="shared" si="5"/>
        <v>145</v>
      </c>
      <c r="P30" s="10">
        <v>504168</v>
      </c>
      <c r="Q30" s="14">
        <f t="shared" si="6"/>
        <v>418</v>
      </c>
    </row>
    <row r="31" spans="1:17" ht="18" x14ac:dyDescent="0.25">
      <c r="A31" s="9">
        <v>29</v>
      </c>
      <c r="B31" s="10">
        <v>4492695</v>
      </c>
      <c r="C31" s="11">
        <f t="shared" si="0"/>
        <v>12424</v>
      </c>
      <c r="D31" s="10">
        <v>7438017</v>
      </c>
      <c r="E31" s="11">
        <f t="shared" si="1"/>
        <v>9502</v>
      </c>
      <c r="F31" s="10">
        <v>3904526</v>
      </c>
      <c r="G31" s="11">
        <f t="shared" si="2"/>
        <v>6377</v>
      </c>
      <c r="H31" s="10">
        <v>7588979</v>
      </c>
      <c r="I31" s="11">
        <f t="shared" si="3"/>
        <v>7580</v>
      </c>
      <c r="J31" s="10">
        <v>158903</v>
      </c>
      <c r="K31" s="12">
        <f t="shared" si="8"/>
        <v>159</v>
      </c>
      <c r="L31" s="13">
        <v>23686</v>
      </c>
      <c r="M31" s="12">
        <f t="shared" si="4"/>
        <v>33</v>
      </c>
      <c r="N31" s="13">
        <v>210026</v>
      </c>
      <c r="O31" s="12">
        <f t="shared" si="5"/>
        <v>177</v>
      </c>
      <c r="P31" s="10">
        <v>504586</v>
      </c>
      <c r="Q31" s="14">
        <f t="shared" si="6"/>
        <v>402</v>
      </c>
    </row>
    <row r="32" spans="1:17" ht="18" x14ac:dyDescent="0.25">
      <c r="A32" s="16">
        <v>30</v>
      </c>
      <c r="B32" s="10">
        <v>4505119</v>
      </c>
      <c r="C32" s="11">
        <f t="shared" si="0"/>
        <v>12021</v>
      </c>
      <c r="D32" s="10">
        <v>7447519</v>
      </c>
      <c r="E32" s="11">
        <f t="shared" si="1"/>
        <v>9355</v>
      </c>
      <c r="F32" s="10">
        <v>3910903</v>
      </c>
      <c r="G32" s="11">
        <f t="shared" si="2"/>
        <v>6651</v>
      </c>
      <c r="H32" s="10">
        <v>7596559</v>
      </c>
      <c r="I32" s="11">
        <f t="shared" si="3"/>
        <v>6464</v>
      </c>
      <c r="J32" s="10">
        <v>159062</v>
      </c>
      <c r="K32" s="12">
        <f>SUM(J33-J32)</f>
        <v>141</v>
      </c>
      <c r="L32" s="13">
        <v>23719</v>
      </c>
      <c r="M32" s="12">
        <f>L33-L32</f>
        <v>27</v>
      </c>
      <c r="N32" s="13">
        <v>210203</v>
      </c>
      <c r="O32" s="12">
        <f>N33-N32</f>
        <v>204</v>
      </c>
      <c r="P32" s="10">
        <v>504988</v>
      </c>
      <c r="Q32" s="14">
        <f>P33-P32</f>
        <v>377</v>
      </c>
    </row>
    <row r="33" spans="1:17" ht="18" x14ac:dyDescent="0.25">
      <c r="A33" s="16">
        <v>1</v>
      </c>
      <c r="B33" s="10">
        <v>4517140</v>
      </c>
      <c r="C33" s="11"/>
      <c r="D33" s="10">
        <v>7456874</v>
      </c>
      <c r="E33" s="11"/>
      <c r="F33" s="10">
        <v>3917554</v>
      </c>
      <c r="G33" s="11"/>
      <c r="H33" s="10">
        <v>7603023</v>
      </c>
      <c r="I33" s="11"/>
      <c r="J33" s="10">
        <v>159203</v>
      </c>
      <c r="K33" s="12"/>
      <c r="L33" s="13">
        <v>23746</v>
      </c>
      <c r="M33" s="12"/>
      <c r="N33" s="13">
        <v>210407</v>
      </c>
      <c r="O33" s="12"/>
      <c r="P33" s="10">
        <v>505365</v>
      </c>
      <c r="Q33" s="14"/>
    </row>
    <row r="34" spans="1:17" ht="1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2023-02-24T08:41:37Z</dcterms:modified>
</cp:coreProperties>
</file>