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1 au 31.0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6" i="6" l="1"/>
  <c r="E26" i="6"/>
  <c r="C26" i="6"/>
  <c r="G25" i="6"/>
  <c r="E25" i="6"/>
  <c r="C25" i="6"/>
  <c r="G21" i="4"/>
  <c r="E21" i="4"/>
  <c r="C21" i="4"/>
  <c r="G20" i="4"/>
  <c r="E20" i="4"/>
  <c r="C20" i="4"/>
  <c r="G24" i="6" l="1"/>
  <c r="E24" i="6"/>
  <c r="C24" i="6"/>
  <c r="G19" i="4"/>
  <c r="E19" i="4"/>
  <c r="C19" i="4"/>
  <c r="G23" i="6" l="1"/>
  <c r="E23" i="6"/>
  <c r="C23" i="6"/>
  <c r="M18" i="4"/>
  <c r="J18" i="4"/>
  <c r="K18" i="4" s="1"/>
  <c r="M17" i="4"/>
  <c r="J17" i="4"/>
  <c r="K17" i="4" s="1"/>
  <c r="G22" i="6" l="1"/>
  <c r="E22" i="6"/>
  <c r="C22" i="6"/>
  <c r="G21" i="6" l="1"/>
  <c r="E21" i="6"/>
  <c r="C21" i="6"/>
  <c r="G20" i="6"/>
  <c r="E20" i="6"/>
  <c r="C20" i="6"/>
  <c r="G19" i="6"/>
  <c r="E19" i="6"/>
  <c r="C19" i="6"/>
  <c r="G16" i="4"/>
  <c r="E16" i="4"/>
  <c r="C16" i="4"/>
  <c r="G15" i="4"/>
  <c r="E15" i="4"/>
  <c r="C15" i="4"/>
  <c r="G18" i="6" l="1"/>
  <c r="E18" i="6"/>
  <c r="C18" i="6"/>
  <c r="G13" i="4"/>
  <c r="E13" i="4"/>
  <c r="C13" i="4"/>
  <c r="U21" i="1" l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G17" i="6"/>
  <c r="K11" i="1" s="1"/>
  <c r="E17" i="6"/>
  <c r="C17" i="6"/>
  <c r="G12" i="4"/>
  <c r="E12" i="4"/>
  <c r="C12" i="4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J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I17" i="6"/>
  <c r="L11" i="1" s="1"/>
  <c r="I16" i="6"/>
  <c r="L10" i="1" s="1"/>
  <c r="G16" i="6"/>
  <c r="K10" i="1" s="1"/>
  <c r="E16" i="6"/>
  <c r="J10" i="1" s="1"/>
  <c r="C16" i="6"/>
  <c r="C48" i="6" s="1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A10" i="6"/>
  <c r="A11" i="6"/>
  <c r="A12" i="6"/>
  <c r="A13" i="6" s="1"/>
  <c r="A14" i="6" s="1"/>
  <c r="A15" i="6" s="1"/>
  <c r="A16" i="6" s="1"/>
  <c r="C41" i="4"/>
  <c r="E41" i="4"/>
  <c r="G41" i="4"/>
  <c r="M12" i="4"/>
  <c r="J12" i="4"/>
  <c r="K12" i="4" s="1"/>
  <c r="M11" i="4"/>
  <c r="K11" i="4"/>
  <c r="J11" i="4"/>
  <c r="M10" i="4"/>
  <c r="J10" i="4"/>
  <c r="K10" i="4" s="1"/>
  <c r="M9" i="4"/>
  <c r="J9" i="4"/>
  <c r="K9" i="4" s="1"/>
  <c r="M8" i="4"/>
  <c r="J8" i="4"/>
  <c r="K8" i="4" s="1"/>
  <c r="M7" i="4"/>
  <c r="K7" i="4"/>
  <c r="J7" i="4"/>
  <c r="M6" i="4"/>
  <c r="J6" i="4"/>
  <c r="K6" i="4" s="1"/>
  <c r="M5" i="4"/>
  <c r="J5" i="4"/>
  <c r="K5" i="4" s="1"/>
  <c r="M4" i="4"/>
  <c r="J4" i="4"/>
  <c r="K4" i="4" s="1"/>
  <c r="D10" i="1" l="1"/>
  <c r="D41" i="1" s="1"/>
  <c r="E48" i="6"/>
  <c r="G48" i="6"/>
  <c r="I47" i="6"/>
  <c r="G47" i="6"/>
  <c r="E47" i="6"/>
  <c r="C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K37" i="4"/>
  <c r="J37" i="4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K30" i="4"/>
  <c r="J30" i="4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6" i="4"/>
  <c r="J16" i="4"/>
  <c r="K16" i="4" s="1"/>
  <c r="M15" i="4"/>
  <c r="J15" i="4"/>
  <c r="K15" i="4" s="1"/>
  <c r="M14" i="4"/>
  <c r="K14" i="4"/>
  <c r="J14" i="4"/>
  <c r="M13" i="4"/>
  <c r="J13" i="4"/>
  <c r="K13" i="4" s="1"/>
  <c r="I48" i="6" l="1"/>
  <c r="Z43" i="4"/>
  <c r="W43" i="4"/>
  <c r="T43" i="4"/>
  <c r="Q4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32" i="10" l="1"/>
  <c r="M21" i="1" l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J41" i="1"/>
  <c r="K21" i="10"/>
  <c r="F27" i="1"/>
  <c r="K6" i="10"/>
  <c r="Y35" i="1"/>
  <c r="Z35" i="1" s="1"/>
  <c r="Y36" i="1"/>
  <c r="K22" i="10"/>
  <c r="F18" i="1"/>
  <c r="K10" i="10"/>
  <c r="F13" i="1"/>
  <c r="K17" i="10"/>
  <c r="M13" i="1"/>
  <c r="E5" i="10" s="1"/>
  <c r="M16" i="1"/>
  <c r="M18" i="1"/>
  <c r="M19" i="1"/>
  <c r="E11" i="10" s="1"/>
  <c r="M20" i="1"/>
  <c r="M24" i="1"/>
  <c r="M25" i="1"/>
  <c r="E17" i="10" s="1"/>
  <c r="M28" i="1"/>
  <c r="E20" i="10" s="1"/>
  <c r="M30" i="10"/>
  <c r="M31" i="10"/>
  <c r="Y28" i="1"/>
  <c r="Z28" i="1" s="1"/>
  <c r="M5" i="10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Z38" i="1" s="1"/>
  <c r="I30" i="10"/>
  <c r="Y37" i="1"/>
  <c r="Y34" i="1"/>
  <c r="Z34" i="1" s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M12" i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F29" i="1"/>
  <c r="F36" i="1"/>
  <c r="K29" i="10"/>
  <c r="F10" i="1"/>
  <c r="K5" i="10"/>
  <c r="K11" i="10"/>
  <c r="K13" i="10"/>
  <c r="F21" i="1"/>
  <c r="K14" i="10"/>
  <c r="F22" i="1"/>
  <c r="F25" i="1"/>
  <c r="F34" i="1"/>
  <c r="K26" i="10"/>
  <c r="K2" i="10"/>
  <c r="Q44" i="4"/>
  <c r="K27" i="10"/>
  <c r="I27" i="10"/>
  <c r="F17" i="1"/>
  <c r="K9" i="10"/>
  <c r="AC44" i="4"/>
  <c r="F26" i="1"/>
  <c r="K18" i="10"/>
  <c r="K30" i="10"/>
  <c r="F38" i="1"/>
  <c r="E17" i="4" l="1"/>
  <c r="L17" i="4"/>
  <c r="N17" i="4" s="1"/>
  <c r="O17" i="4" s="1"/>
  <c r="P17" i="4" s="1"/>
  <c r="G17" i="4"/>
  <c r="C17" i="4"/>
  <c r="I17" i="4"/>
  <c r="L18" i="4"/>
  <c r="N18" i="4" s="1"/>
  <c r="O18" i="4" s="1"/>
  <c r="G18" i="4"/>
  <c r="E18" i="4"/>
  <c r="I18" i="4"/>
  <c r="C18" i="4"/>
  <c r="E14" i="4"/>
  <c r="G14" i="4"/>
  <c r="C14" i="4"/>
  <c r="I11" i="10"/>
  <c r="G38" i="4"/>
  <c r="C38" i="4"/>
  <c r="E38" i="4"/>
  <c r="G34" i="4"/>
  <c r="C34" i="4"/>
  <c r="E34" i="4"/>
  <c r="G30" i="4"/>
  <c r="C30" i="4"/>
  <c r="E30" i="4"/>
  <c r="G26" i="4"/>
  <c r="C26" i="4"/>
  <c r="E26" i="4"/>
  <c r="G22" i="4"/>
  <c r="C22" i="4"/>
  <c r="E22" i="4"/>
  <c r="C39" i="4"/>
  <c r="E39" i="4"/>
  <c r="G39" i="4"/>
  <c r="C35" i="4"/>
  <c r="E35" i="4"/>
  <c r="G35" i="4"/>
  <c r="C31" i="4"/>
  <c r="E31" i="4"/>
  <c r="G31" i="4"/>
  <c r="C27" i="4"/>
  <c r="E27" i="4"/>
  <c r="G27" i="4"/>
  <c r="C23" i="4"/>
  <c r="E23" i="4"/>
  <c r="G23" i="4"/>
  <c r="C40" i="4"/>
  <c r="E40" i="4"/>
  <c r="G40" i="4"/>
  <c r="C36" i="4"/>
  <c r="E36" i="4"/>
  <c r="G36" i="4"/>
  <c r="C32" i="4"/>
  <c r="E32" i="4"/>
  <c r="G32" i="4"/>
  <c r="C28" i="4"/>
  <c r="E28" i="4"/>
  <c r="G28" i="4"/>
  <c r="C24" i="4"/>
  <c r="E24" i="4"/>
  <c r="G24" i="4"/>
  <c r="E37" i="4"/>
  <c r="G37" i="4"/>
  <c r="C37" i="4"/>
  <c r="E33" i="4"/>
  <c r="G33" i="4"/>
  <c r="C33" i="4"/>
  <c r="E29" i="4"/>
  <c r="G29" i="4"/>
  <c r="C29" i="4"/>
  <c r="E25" i="4"/>
  <c r="G25" i="4"/>
  <c r="C25" i="4"/>
  <c r="I6" i="4"/>
  <c r="L6" i="4"/>
  <c r="N6" i="4" s="1"/>
  <c r="O6" i="4" s="1"/>
  <c r="P6" i="4" s="1"/>
  <c r="G6" i="4"/>
  <c r="E6" i="4"/>
  <c r="C6" i="4"/>
  <c r="I10" i="4"/>
  <c r="L10" i="4"/>
  <c r="N10" i="4" s="1"/>
  <c r="O10" i="4" s="1"/>
  <c r="P10" i="4" s="1"/>
  <c r="G10" i="4"/>
  <c r="E10" i="4"/>
  <c r="C10" i="4"/>
  <c r="L5" i="4"/>
  <c r="N5" i="4" s="1"/>
  <c r="O5" i="4" s="1"/>
  <c r="P5" i="4" s="1"/>
  <c r="G5" i="4"/>
  <c r="E5" i="4"/>
  <c r="C5" i="4"/>
  <c r="I5" i="4"/>
  <c r="C11" i="4"/>
  <c r="I11" i="4"/>
  <c r="L11" i="4"/>
  <c r="N11" i="4" s="1"/>
  <c r="O11" i="4" s="1"/>
  <c r="P11" i="4" s="1"/>
  <c r="G11" i="4"/>
  <c r="E11" i="4"/>
  <c r="E4" i="4"/>
  <c r="C4" i="4"/>
  <c r="I4" i="4"/>
  <c r="L4" i="4"/>
  <c r="N4" i="4" s="1"/>
  <c r="O4" i="4" s="1"/>
  <c r="P4" i="4" s="1"/>
  <c r="G4" i="4"/>
  <c r="I12" i="4"/>
  <c r="L12" i="4"/>
  <c r="N12" i="4" s="1"/>
  <c r="O12" i="4" s="1"/>
  <c r="E8" i="4"/>
  <c r="C8" i="4"/>
  <c r="I8" i="4"/>
  <c r="L8" i="4"/>
  <c r="N8" i="4" s="1"/>
  <c r="O8" i="4" s="1"/>
  <c r="P8" i="4" s="1"/>
  <c r="G8" i="4"/>
  <c r="C7" i="4"/>
  <c r="I7" i="4"/>
  <c r="L7" i="4"/>
  <c r="N7" i="4" s="1"/>
  <c r="O7" i="4" s="1"/>
  <c r="P7" i="4" s="1"/>
  <c r="G7" i="4"/>
  <c r="E7" i="4"/>
  <c r="L9" i="4"/>
  <c r="N9" i="4" s="1"/>
  <c r="O9" i="4" s="1"/>
  <c r="P9" i="4" s="1"/>
  <c r="G9" i="4"/>
  <c r="E9" i="4"/>
  <c r="C9" i="4"/>
  <c r="I9" i="4"/>
  <c r="I22" i="10"/>
  <c r="E42" i="4"/>
  <c r="C42" i="4"/>
  <c r="G42" i="4"/>
  <c r="I42" i="4"/>
  <c r="L42" i="4"/>
  <c r="N42" i="4" s="1"/>
  <c r="O42" i="4" s="1"/>
  <c r="P42" i="4" s="1"/>
  <c r="I34" i="4"/>
  <c r="L34" i="4"/>
  <c r="N34" i="4" s="1"/>
  <c r="O34" i="4" s="1"/>
  <c r="P34" i="4" s="1"/>
  <c r="I26" i="4"/>
  <c r="L26" i="4"/>
  <c r="N26" i="4" s="1"/>
  <c r="O26" i="4" s="1"/>
  <c r="P26" i="4" s="1"/>
  <c r="L39" i="4"/>
  <c r="N39" i="4" s="1"/>
  <c r="O39" i="4" s="1"/>
  <c r="P39" i="4" s="1"/>
  <c r="I39" i="4"/>
  <c r="I31" i="4"/>
  <c r="L31" i="4"/>
  <c r="N31" i="4" s="1"/>
  <c r="O31" i="4" s="1"/>
  <c r="P31" i="4" s="1"/>
  <c r="I23" i="4"/>
  <c r="L23" i="4"/>
  <c r="N23" i="4" s="1"/>
  <c r="O23" i="4" s="1"/>
  <c r="P23" i="4" s="1"/>
  <c r="I15" i="4"/>
  <c r="L15" i="4"/>
  <c r="N15" i="4" s="1"/>
  <c r="O15" i="4" s="1"/>
  <c r="I40" i="4"/>
  <c r="L40" i="4"/>
  <c r="N40" i="4" s="1"/>
  <c r="O40" i="4" s="1"/>
  <c r="P40" i="4" s="1"/>
  <c r="I36" i="4"/>
  <c r="L36" i="4"/>
  <c r="N36" i="4" s="1"/>
  <c r="O36" i="4" s="1"/>
  <c r="P36" i="4" s="1"/>
  <c r="I32" i="4"/>
  <c r="L32" i="4"/>
  <c r="N32" i="4" s="1"/>
  <c r="O32" i="4" s="1"/>
  <c r="P32" i="4" s="1"/>
  <c r="L28" i="4"/>
  <c r="N28" i="4" s="1"/>
  <c r="O28" i="4" s="1"/>
  <c r="P28" i="4" s="1"/>
  <c r="I28" i="4"/>
  <c r="L24" i="4"/>
  <c r="N24" i="4" s="1"/>
  <c r="O24" i="4" s="1"/>
  <c r="P24" i="4" s="1"/>
  <c r="I24" i="4"/>
  <c r="L20" i="4"/>
  <c r="N20" i="4" s="1"/>
  <c r="O20" i="4" s="1"/>
  <c r="I20" i="4"/>
  <c r="L16" i="4"/>
  <c r="N16" i="4" s="1"/>
  <c r="O16" i="4" s="1"/>
  <c r="I16" i="4"/>
  <c r="L38" i="4"/>
  <c r="N38" i="4" s="1"/>
  <c r="O38" i="4" s="1"/>
  <c r="P38" i="4" s="1"/>
  <c r="I38" i="4"/>
  <c r="I30" i="4"/>
  <c r="L30" i="4"/>
  <c r="N30" i="4" s="1"/>
  <c r="O30" i="4" s="1"/>
  <c r="P30" i="4" s="1"/>
  <c r="I22" i="4"/>
  <c r="L22" i="4"/>
  <c r="N22" i="4" s="1"/>
  <c r="O22" i="4" s="1"/>
  <c r="P22" i="4" s="1"/>
  <c r="I14" i="4"/>
  <c r="L14" i="4"/>
  <c r="N14" i="4" s="1"/>
  <c r="O14" i="4" s="1"/>
  <c r="L35" i="4"/>
  <c r="N35" i="4" s="1"/>
  <c r="O35" i="4" s="1"/>
  <c r="P35" i="4" s="1"/>
  <c r="I35" i="4"/>
  <c r="L27" i="4"/>
  <c r="N27" i="4" s="1"/>
  <c r="O27" i="4" s="1"/>
  <c r="P27" i="4" s="1"/>
  <c r="I27" i="4"/>
  <c r="L19" i="4"/>
  <c r="N19" i="4" s="1"/>
  <c r="O19" i="4" s="1"/>
  <c r="I19" i="4"/>
  <c r="AC43" i="4"/>
  <c r="K48" i="4" s="1"/>
  <c r="L48" i="4" s="1"/>
  <c r="M48" i="4" s="1"/>
  <c r="I41" i="4"/>
  <c r="L41" i="4"/>
  <c r="N41" i="4" s="1"/>
  <c r="O41" i="4" s="1"/>
  <c r="P41" i="4" s="1"/>
  <c r="I37" i="4"/>
  <c r="L37" i="4"/>
  <c r="N37" i="4" s="1"/>
  <c r="O37" i="4" s="1"/>
  <c r="P37" i="4" s="1"/>
  <c r="I33" i="4"/>
  <c r="L33" i="4"/>
  <c r="N33" i="4" s="1"/>
  <c r="O33" i="4" s="1"/>
  <c r="P33" i="4" s="1"/>
  <c r="I29" i="4"/>
  <c r="L29" i="4"/>
  <c r="N29" i="4" s="1"/>
  <c r="O29" i="4" s="1"/>
  <c r="P29" i="4" s="1"/>
  <c r="I25" i="4"/>
  <c r="L25" i="4"/>
  <c r="N25" i="4" s="1"/>
  <c r="O25" i="4" s="1"/>
  <c r="P25" i="4" s="1"/>
  <c r="I21" i="4"/>
  <c r="L21" i="4"/>
  <c r="N21" i="4" s="1"/>
  <c r="O21" i="4" s="1"/>
  <c r="I13" i="4"/>
  <c r="L13" i="4"/>
  <c r="N13" i="4" s="1"/>
  <c r="O13" i="4" s="1"/>
  <c r="I20" i="10"/>
  <c r="I32" i="10"/>
  <c r="Z40" i="1"/>
  <c r="M39" i="1"/>
  <c r="E31" i="10" s="1"/>
  <c r="I31" i="10"/>
  <c r="Z39" i="1"/>
  <c r="M37" i="1"/>
  <c r="O37" i="1" s="1"/>
  <c r="M38" i="1"/>
  <c r="E30" i="10" s="1"/>
  <c r="W38" i="1"/>
  <c r="I28" i="10"/>
  <c r="Z36" i="1"/>
  <c r="I29" i="10"/>
  <c r="Z37" i="1"/>
  <c r="M34" i="1"/>
  <c r="E26" i="10" s="1"/>
  <c r="M35" i="1"/>
  <c r="O35" i="1" s="1"/>
  <c r="I26" i="10"/>
  <c r="I25" i="10"/>
  <c r="Z33" i="1"/>
  <c r="M31" i="1"/>
  <c r="E23" i="10" s="1"/>
  <c r="M32" i="1"/>
  <c r="E24" i="10" s="1"/>
  <c r="I23" i="10"/>
  <c r="I21" i="10"/>
  <c r="I19" i="10"/>
  <c r="M27" i="1"/>
  <c r="E19" i="10" s="1"/>
  <c r="I18" i="10"/>
  <c r="I17" i="10"/>
  <c r="Z25" i="1"/>
  <c r="M22" i="1"/>
  <c r="E14" i="10" s="1"/>
  <c r="M17" i="1"/>
  <c r="E9" i="10" s="1"/>
  <c r="M15" i="1"/>
  <c r="O15" i="1" s="1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M10" i="1"/>
  <c r="E2" i="10" s="1"/>
  <c r="O13" i="1"/>
  <c r="F12" i="1"/>
  <c r="M11" i="1"/>
  <c r="E3" i="10" s="1"/>
  <c r="M29" i="1"/>
  <c r="E21" i="10" s="1"/>
  <c r="F16" i="1"/>
  <c r="F23" i="1"/>
  <c r="I5" i="10"/>
  <c r="M33" i="1"/>
  <c r="O33" i="1" s="1"/>
  <c r="M23" i="1"/>
  <c r="E15" i="10" s="1"/>
  <c r="F39" i="1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24" i="1"/>
  <c r="E16" i="10"/>
  <c r="O16" i="1"/>
  <c r="E8" i="10"/>
  <c r="O21" i="1"/>
  <c r="E13" i="10"/>
  <c r="O18" i="1"/>
  <c r="E10" i="10"/>
  <c r="F20" i="1"/>
  <c r="O25" i="1"/>
  <c r="O28" i="1"/>
  <c r="O19" i="1"/>
  <c r="F32" i="1"/>
  <c r="K20" i="10"/>
  <c r="F15" i="1"/>
  <c r="F40" i="1"/>
  <c r="I16" i="10"/>
  <c r="I14" i="10"/>
  <c r="M36" i="1"/>
  <c r="E28" i="10" s="1"/>
  <c r="G46" i="1"/>
  <c r="J46" i="1" s="1"/>
  <c r="L46" i="1" s="1"/>
  <c r="G43" i="1"/>
  <c r="J43" i="1" s="1"/>
  <c r="M30" i="1"/>
  <c r="F31" i="1"/>
  <c r="F33" i="1"/>
  <c r="I24" i="10"/>
  <c r="P20" i="4" l="1"/>
  <c r="U19" i="1"/>
  <c r="W19" i="1" s="1"/>
  <c r="P21" i="4"/>
  <c r="U20" i="1"/>
  <c r="P19" i="4"/>
  <c r="U18" i="1"/>
  <c r="W18" i="1" s="1"/>
  <c r="P18" i="4"/>
  <c r="U17" i="1"/>
  <c r="U16" i="1"/>
  <c r="P16" i="4"/>
  <c r="U15" i="1"/>
  <c r="P15" i="4"/>
  <c r="U14" i="1"/>
  <c r="W14" i="1" s="1"/>
  <c r="P14" i="4"/>
  <c r="U13" i="1"/>
  <c r="W13" i="1" s="1"/>
  <c r="P13" i="4"/>
  <c r="U12" i="1"/>
  <c r="P12" i="4"/>
  <c r="U11" i="1"/>
  <c r="W24" i="1"/>
  <c r="O38" i="1"/>
  <c r="O22" i="1"/>
  <c r="G43" i="4"/>
  <c r="C43" i="4"/>
  <c r="I43" i="4"/>
  <c r="E43" i="4"/>
  <c r="N43" i="4"/>
  <c r="O17" i="1"/>
  <c r="E29" i="10"/>
  <c r="O11" i="1"/>
  <c r="O27" i="1"/>
  <c r="O31" i="1"/>
  <c r="E7" i="10"/>
  <c r="E6" i="10"/>
  <c r="L41" i="1"/>
  <c r="G45" i="1" s="1"/>
  <c r="J45" i="1" s="1"/>
  <c r="L43" i="1" s="1"/>
  <c r="W20" i="1"/>
  <c r="W21" i="1"/>
  <c r="W15" i="1"/>
  <c r="W22" i="1"/>
  <c r="W16" i="1"/>
  <c r="W17" i="1"/>
  <c r="W12" i="1"/>
  <c r="O39" i="1"/>
  <c r="O40" i="1"/>
  <c r="W40" i="1"/>
  <c r="W39" i="1"/>
  <c r="W36" i="1"/>
  <c r="W37" i="1"/>
  <c r="O34" i="1"/>
  <c r="W35" i="1"/>
  <c r="E25" i="10"/>
  <c r="W34" i="1"/>
  <c r="W33" i="1"/>
  <c r="W30" i="1"/>
  <c r="W31" i="1"/>
  <c r="W32" i="1"/>
  <c r="W29" i="1"/>
  <c r="W28" i="1"/>
  <c r="W27" i="1"/>
  <c r="W25" i="1"/>
  <c r="W23" i="1"/>
  <c r="E18" i="10"/>
  <c r="O32" i="1"/>
  <c r="O29" i="1"/>
  <c r="O23" i="1"/>
  <c r="O10" i="1"/>
  <c r="F41" i="1"/>
  <c r="O36" i="1"/>
  <c r="E27" i="10"/>
  <c r="Z41" i="1"/>
  <c r="M41" i="1"/>
  <c r="G30" i="10"/>
  <c r="G13" i="10"/>
  <c r="O13" i="10" s="1"/>
  <c r="O30" i="1"/>
  <c r="E22" i="10"/>
  <c r="G5" i="10" l="1"/>
  <c r="O5" i="10" s="1"/>
  <c r="G10" i="10"/>
  <c r="O10" i="10" s="1"/>
  <c r="G4" i="10"/>
  <c r="O4" i="10" s="1"/>
  <c r="U10" i="1"/>
  <c r="W10" i="1" s="1"/>
  <c r="G17" i="10"/>
  <c r="O17" i="10" s="1"/>
  <c r="W11" i="1"/>
  <c r="G18" i="10"/>
  <c r="O18" i="10" s="1"/>
  <c r="W26" i="1"/>
  <c r="G28" i="10"/>
  <c r="O28" i="10" s="1"/>
  <c r="G14" i="10"/>
  <c r="O14" i="10" s="1"/>
  <c r="G22" i="10"/>
  <c r="O22" i="10" s="1"/>
  <c r="G11" i="10"/>
  <c r="O11" i="10" s="1"/>
  <c r="G32" i="10"/>
  <c r="G29" i="10"/>
  <c r="O29" i="10" s="1"/>
  <c r="G21" i="10"/>
  <c r="O21" i="10" s="1"/>
  <c r="G15" i="10"/>
  <c r="O15" i="10" s="1"/>
  <c r="O41" i="1"/>
  <c r="G6" i="10"/>
  <c r="O6" i="10" s="1"/>
  <c r="G7" i="10"/>
  <c r="O7" i="10" s="1"/>
  <c r="G12" i="10"/>
  <c r="O12" i="10" s="1"/>
  <c r="G31" i="10"/>
  <c r="G16" i="10"/>
  <c r="O16" i="10" s="1"/>
  <c r="G9" i="10"/>
  <c r="O9" i="10" s="1"/>
  <c r="G19" i="10"/>
  <c r="O19" i="10" s="1"/>
  <c r="G8" i="10"/>
  <c r="O8" i="10" s="1"/>
  <c r="G20" i="10"/>
  <c r="O20" i="10" s="1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G2" i="10" l="1"/>
  <c r="O2" i="10" s="1"/>
  <c r="G3" i="10"/>
  <c r="O3" i="10" s="1"/>
  <c r="U41" i="1"/>
  <c r="G47" i="1" s="1"/>
  <c r="J47" i="1" s="1"/>
  <c r="L47" i="1" s="1"/>
  <c r="W41" i="1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<sst xmlns="http://schemas.openxmlformats.org/spreadsheetml/2006/main" count="125" uniqueCount="82">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</sst>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7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9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5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450</c:v>
                </c:pt>
                <c:pt idx="1">
                  <c:v>560</c:v>
                </c:pt>
                <c:pt idx="2">
                  <c:v>510</c:v>
                </c:pt>
                <c:pt idx="3">
                  <c:v>450</c:v>
                </c:pt>
                <c:pt idx="4">
                  <c:v>470</c:v>
                </c:pt>
                <c:pt idx="5">
                  <c:v>470</c:v>
                </c:pt>
                <c:pt idx="6">
                  <c:v>490</c:v>
                </c:pt>
                <c:pt idx="7">
                  <c:v>450</c:v>
                </c:pt>
                <c:pt idx="8">
                  <c:v>480</c:v>
                </c:pt>
                <c:pt idx="9">
                  <c:v>440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80256"/>
        <c:axId val="123681792"/>
      </c:lineChart>
      <c:dateAx>
        <c:axId val="12368025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81792"/>
        <c:crosses val="autoZero"/>
        <c:auto val="1"/>
        <c:lblOffset val="100"/>
        <c:baseTimeUnit val="days"/>
      </c:dateAx>
      <c:valAx>
        <c:axId val="123681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802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4479</c:v>
                </c:pt>
                <c:pt idx="1">
                  <c:v>4194</c:v>
                </c:pt>
                <c:pt idx="2">
                  <c:v>4221</c:v>
                </c:pt>
                <c:pt idx="3">
                  <c:v>4176</c:v>
                </c:pt>
                <c:pt idx="4">
                  <c:v>4172</c:v>
                </c:pt>
                <c:pt idx="5">
                  <c:v>4125</c:v>
                </c:pt>
                <c:pt idx="6">
                  <c:v>4163</c:v>
                </c:pt>
                <c:pt idx="7">
                  <c:v>4055</c:v>
                </c:pt>
                <c:pt idx="8">
                  <c:v>4213</c:v>
                </c:pt>
                <c:pt idx="9">
                  <c:v>4256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6918</c:v>
                </c:pt>
                <c:pt idx="1">
                  <c:v>6446</c:v>
                </c:pt>
                <c:pt idx="2">
                  <c:v>6495</c:v>
                </c:pt>
                <c:pt idx="3">
                  <c:v>6291</c:v>
                </c:pt>
                <c:pt idx="4">
                  <c:v>6515</c:v>
                </c:pt>
                <c:pt idx="5">
                  <c:v>6517</c:v>
                </c:pt>
                <c:pt idx="6">
                  <c:v>6338</c:v>
                </c:pt>
                <c:pt idx="7">
                  <c:v>6420</c:v>
                </c:pt>
                <c:pt idx="8">
                  <c:v>6518</c:v>
                </c:pt>
                <c:pt idx="9">
                  <c:v>6550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3105</c:v>
                </c:pt>
                <c:pt idx="1">
                  <c:v>3029</c:v>
                </c:pt>
                <c:pt idx="2">
                  <c:v>2881</c:v>
                </c:pt>
                <c:pt idx="3">
                  <c:v>2927</c:v>
                </c:pt>
                <c:pt idx="4">
                  <c:v>2990</c:v>
                </c:pt>
                <c:pt idx="5">
                  <c:v>2883</c:v>
                </c:pt>
                <c:pt idx="6">
                  <c:v>2835</c:v>
                </c:pt>
                <c:pt idx="7">
                  <c:v>2966</c:v>
                </c:pt>
                <c:pt idx="8">
                  <c:v>3151</c:v>
                </c:pt>
                <c:pt idx="9">
                  <c:v>2942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04832"/>
        <c:axId val="123706368"/>
      </c:lineChart>
      <c:dateAx>
        <c:axId val="12370483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06368"/>
        <c:crosses val="autoZero"/>
        <c:auto val="1"/>
        <c:lblOffset val="100"/>
        <c:baseTimeUnit val="days"/>
      </c:dateAx>
      <c:valAx>
        <c:axId val="1237063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0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43830</c:v>
                </c:pt>
                <c:pt idx="1">
                  <c:v>43831</c:v>
                </c:pt>
                <c:pt idx="2">
                  <c:v>43832</c:v>
                </c:pt>
                <c:pt idx="3">
                  <c:v>43833</c:v>
                </c:pt>
                <c:pt idx="4">
                  <c:v>43834</c:v>
                </c:pt>
                <c:pt idx="5">
                  <c:v>43835</c:v>
                </c:pt>
                <c:pt idx="6">
                  <c:v>43836</c:v>
                </c:pt>
                <c:pt idx="7">
                  <c:v>43837</c:v>
                </c:pt>
                <c:pt idx="8">
                  <c:v>43838</c:v>
                </c:pt>
                <c:pt idx="9">
                  <c:v>43839</c:v>
                </c:pt>
                <c:pt idx="10">
                  <c:v>43840</c:v>
                </c:pt>
                <c:pt idx="11">
                  <c:v>43841</c:v>
                </c:pt>
                <c:pt idx="12">
                  <c:v>43842</c:v>
                </c:pt>
                <c:pt idx="13">
                  <c:v>43843</c:v>
                </c:pt>
                <c:pt idx="14">
                  <c:v>43844</c:v>
                </c:pt>
                <c:pt idx="15">
                  <c:v>43845</c:v>
                </c:pt>
                <c:pt idx="16">
                  <c:v>43846</c:v>
                </c:pt>
                <c:pt idx="17">
                  <c:v>43847</c:v>
                </c:pt>
                <c:pt idx="18">
                  <c:v>43848</c:v>
                </c:pt>
                <c:pt idx="19">
                  <c:v>43849</c:v>
                </c:pt>
                <c:pt idx="20">
                  <c:v>43850</c:v>
                </c:pt>
                <c:pt idx="21">
                  <c:v>43851</c:v>
                </c:pt>
                <c:pt idx="22">
                  <c:v>43852</c:v>
                </c:pt>
                <c:pt idx="23">
                  <c:v>43853</c:v>
                </c:pt>
                <c:pt idx="24">
                  <c:v>43854</c:v>
                </c:pt>
                <c:pt idx="25">
                  <c:v>43855</c:v>
                </c:pt>
                <c:pt idx="26">
                  <c:v>43856</c:v>
                </c:pt>
                <c:pt idx="27">
                  <c:v>43857</c:v>
                </c:pt>
                <c:pt idx="28">
                  <c:v>43858</c:v>
                </c:pt>
                <c:pt idx="29">
                  <c:v>43859</c:v>
                </c:pt>
                <c:pt idx="30">
                  <c:v>43860</c:v>
                </c:pt>
                <c:pt idx="31">
                  <c:v>43861</c:v>
                </c:pt>
                <c:pt idx="32">
                  <c:v>43862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1669.5</c:v>
                </c:pt>
                <c:pt idx="2">
                  <c:v>1558.2</c:v>
                </c:pt>
                <c:pt idx="3">
                  <c:v>2151.8000000000002</c:v>
                </c:pt>
                <c:pt idx="4">
                  <c:v>1780.8000000000002</c:v>
                </c:pt>
                <c:pt idx="5">
                  <c:v>1372.7</c:v>
                </c:pt>
                <c:pt idx="6">
                  <c:v>1521.1000000000001</c:v>
                </c:pt>
                <c:pt idx="7">
                  <c:v>1113</c:v>
                </c:pt>
                <c:pt idx="8">
                  <c:v>1780.8000000000002</c:v>
                </c:pt>
                <c:pt idx="9">
                  <c:v>2448.6</c:v>
                </c:pt>
                <c:pt idx="10">
                  <c:v>1484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31328"/>
        <c:axId val="123430016"/>
      </c:lineChart>
      <c:dateAx>
        <c:axId val="12373132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30016"/>
        <c:crosses val="autoZero"/>
        <c:auto val="1"/>
        <c:lblOffset val="100"/>
        <c:baseTimeUnit val="days"/>
      </c:dateAx>
      <c:valAx>
        <c:axId val="1234300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3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1" sqref="A11:XFD11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1</v>
      </c>
      <c r="D2" s="122">
        <v>2020</v>
      </c>
      <c r="E2" s="108">
        <f>'Consommation du 01.01 au 31.01'!M10</f>
        <v>14502</v>
      </c>
      <c r="F2" s="108">
        <v>1.002</v>
      </c>
      <c r="G2" s="108">
        <f>'Consommation du 01.01 au 31.01'!U10</f>
        <v>1669.5</v>
      </c>
      <c r="H2" s="108">
        <v>8.8038000000000007</v>
      </c>
      <c r="I2" s="108">
        <f>'Consommation du 01.01 au 31.01'!Y10*1000</f>
        <v>12409.999999999854</v>
      </c>
      <c r="J2" s="108">
        <v>0.53</v>
      </c>
      <c r="K2" s="108">
        <f>'Consommation du 01.01 au 31.01'!D10</f>
        <v>450</v>
      </c>
      <c r="L2" s="108">
        <v>12.67</v>
      </c>
      <c r="M2" s="122">
        <f>'Consommation du 01.01 au 31.01'!AC10</f>
        <v>136</v>
      </c>
      <c r="N2" s="122">
        <v>288</v>
      </c>
      <c r="O2" s="108">
        <f>E2*F2+G2*H2+I2*J2+K2*L2</f>
        <v>41507.748099999924</v>
      </c>
    </row>
    <row r="3" spans="1:15" x14ac:dyDescent="0.2">
      <c r="A3" s="109" t="s">
        <v>74</v>
      </c>
      <c r="B3">
        <f>B2+1</f>
        <v>2</v>
      </c>
      <c r="C3">
        <v>1</v>
      </c>
      <c r="D3" s="122">
        <v>2020</v>
      </c>
      <c r="E3" s="108">
        <f>'Consommation du 01.01 au 31.01'!M11</f>
        <v>13669</v>
      </c>
      <c r="F3" s="108">
        <v>1.002</v>
      </c>
      <c r="G3" s="108">
        <f>'Consommation du 01.01 au 31.01'!U11</f>
        <v>1558.2</v>
      </c>
      <c r="H3" s="108">
        <v>8.8038000000000007</v>
      </c>
      <c r="I3" s="108">
        <f>'Consommation du 01.01 au 31.01'!Y11*1000</f>
        <v>6889.9999999994179</v>
      </c>
      <c r="J3" s="108">
        <v>0.53</v>
      </c>
      <c r="K3" s="108">
        <f>'Consommation du 01.01 au 31.01'!D11</f>
        <v>560</v>
      </c>
      <c r="L3" s="108">
        <v>12.67</v>
      </c>
      <c r="M3" s="122">
        <f>'Consommation du 01.01 au 31.01'!AC11</f>
        <v>137</v>
      </c>
      <c r="N3" s="122">
        <v>300</v>
      </c>
      <c r="O3" s="108">
        <f t="shared" ref="O3:O29" si="0">E3*F3+G3*H3+I3*J3+K3*L3</f>
        <v>38161.319159999694</v>
      </c>
    </row>
    <row r="4" spans="1:15" x14ac:dyDescent="0.2">
      <c r="A4" s="109" t="s">
        <v>74</v>
      </c>
      <c r="B4">
        <f t="shared" ref="B4:B32" si="1">B3+1</f>
        <v>3</v>
      </c>
      <c r="C4">
        <v>1</v>
      </c>
      <c r="D4" s="122">
        <v>2020</v>
      </c>
      <c r="E4" s="108">
        <f>'Consommation du 01.01 au 31.01'!M12</f>
        <v>13597</v>
      </c>
      <c r="F4" s="108">
        <v>1.002</v>
      </c>
      <c r="G4" s="108">
        <f>'Consommation du 01.01 au 31.01'!U12</f>
        <v>2151.8000000000002</v>
      </c>
      <c r="H4" s="108">
        <v>8.8038000000000007</v>
      </c>
      <c r="I4" s="108">
        <f>'Consommation du 01.01 au 31.01'!Y12*1000</f>
        <v>7819.999999999709</v>
      </c>
      <c r="J4" s="108">
        <v>0.53</v>
      </c>
      <c r="K4" s="108">
        <f>'Consommation du 01.01 au 31.01'!D12</f>
        <v>510</v>
      </c>
      <c r="L4" s="108">
        <v>12.67</v>
      </c>
      <c r="M4" s="122">
        <f>'Consommation du 01.01 au 31.01'!AC12</f>
        <v>135</v>
      </c>
      <c r="N4" s="122">
        <v>287</v>
      </c>
      <c r="O4" s="108">
        <f t="shared" si="0"/>
        <v>43174.510839999843</v>
      </c>
    </row>
    <row r="5" spans="1:15" x14ac:dyDescent="0.2">
      <c r="A5" s="109" t="s">
        <v>74</v>
      </c>
      <c r="B5">
        <f t="shared" si="1"/>
        <v>4</v>
      </c>
      <c r="C5">
        <v>1</v>
      </c>
      <c r="D5" s="122">
        <v>2020</v>
      </c>
      <c r="E5" s="108">
        <f>'Consommation du 01.01 au 31.01'!M13</f>
        <v>13394</v>
      </c>
      <c r="F5" s="108">
        <v>1.002</v>
      </c>
      <c r="G5" s="108">
        <f>'Consommation du 01.01 au 31.01'!U13</f>
        <v>1780.8000000000002</v>
      </c>
      <c r="H5" s="108">
        <v>8.8038000000000007</v>
      </c>
      <c r="I5" s="108">
        <f>'Consommation du 01.01 au 31.01'!Y13*1000</f>
        <v>9130.0000000010186</v>
      </c>
      <c r="J5" s="108">
        <v>0.53</v>
      </c>
      <c r="K5" s="108">
        <f>'Consommation du 01.01 au 31.01'!D13</f>
        <v>450</v>
      </c>
      <c r="L5" s="108">
        <v>12.67</v>
      </c>
      <c r="M5" s="122">
        <f>'Consommation du 01.01 au 31.01'!AC13</f>
        <v>125</v>
      </c>
      <c r="N5" s="122">
        <v>267</v>
      </c>
      <c r="O5" s="108">
        <f t="shared" si="0"/>
        <v>39638.995040000547</v>
      </c>
    </row>
    <row r="6" spans="1:15" x14ac:dyDescent="0.2">
      <c r="A6" s="109" t="s">
        <v>74</v>
      </c>
      <c r="B6">
        <f t="shared" si="1"/>
        <v>5</v>
      </c>
      <c r="C6">
        <v>1</v>
      </c>
      <c r="D6" s="122">
        <v>2020</v>
      </c>
      <c r="E6" s="108">
        <f>'Consommation du 01.01 au 31.01'!M14</f>
        <v>13677</v>
      </c>
      <c r="F6" s="108">
        <v>1.002</v>
      </c>
      <c r="G6" s="108">
        <f>'Consommation du 01.01 au 31.01'!U14</f>
        <v>1372.7</v>
      </c>
      <c r="H6" s="108">
        <v>8.8038000000000007</v>
      </c>
      <c r="I6" s="108">
        <f>'Consommation du 01.01 au 31.01'!Y14*1000</f>
        <v>16159.999999999854</v>
      </c>
      <c r="J6" s="108">
        <v>0.53</v>
      </c>
      <c r="K6" s="108">
        <f>'Consommation du 01.01 au 31.01'!D14</f>
        <v>470</v>
      </c>
      <c r="L6" s="108">
        <v>12.67</v>
      </c>
      <c r="M6" s="122">
        <f>'Consommation du 01.01 au 31.01'!AC14</f>
        <v>109</v>
      </c>
      <c r="N6" s="122">
        <v>225</v>
      </c>
      <c r="O6" s="108">
        <f t="shared" si="0"/>
        <v>40309.030259999927</v>
      </c>
    </row>
    <row r="7" spans="1:15" x14ac:dyDescent="0.2">
      <c r="A7" s="109" t="s">
        <v>74</v>
      </c>
      <c r="B7">
        <f t="shared" si="1"/>
        <v>6</v>
      </c>
      <c r="C7">
        <v>1</v>
      </c>
      <c r="D7" s="122">
        <v>2020</v>
      </c>
      <c r="E7" s="108">
        <f>'Consommation du 01.01 au 31.01'!M15</f>
        <v>13525</v>
      </c>
      <c r="F7" s="108">
        <v>1.002</v>
      </c>
      <c r="G7" s="108">
        <f>'Consommation du 01.01 au 31.01'!U15</f>
        <v>1521.1000000000001</v>
      </c>
      <c r="H7" s="108">
        <v>8.8038000000000007</v>
      </c>
      <c r="I7" s="108">
        <f>'Consommation du 01.01 au 31.01'!Y15*1000</f>
        <v>16579.999999999927</v>
      </c>
      <c r="J7" s="108">
        <v>0.53</v>
      </c>
      <c r="K7" s="108">
        <f>'Consommation du 01.01 au 31.01'!D15</f>
        <v>470</v>
      </c>
      <c r="L7" s="108">
        <v>12.67</v>
      </c>
      <c r="M7" s="122">
        <f>'Consommation du 01.01 au 31.01'!AC15</f>
        <v>100</v>
      </c>
      <c r="N7" s="122">
        <v>201</v>
      </c>
      <c r="O7" s="108">
        <f t="shared" si="0"/>
        <v>41685.810179999964</v>
      </c>
    </row>
    <row r="8" spans="1:15" x14ac:dyDescent="0.2">
      <c r="A8" s="109" t="s">
        <v>74</v>
      </c>
      <c r="B8">
        <f t="shared" si="1"/>
        <v>7</v>
      </c>
      <c r="C8">
        <v>1</v>
      </c>
      <c r="D8" s="122">
        <v>2020</v>
      </c>
      <c r="E8" s="108">
        <f>'Consommation du 01.01 au 31.01'!M16</f>
        <v>13336</v>
      </c>
      <c r="F8" s="108">
        <v>1.002</v>
      </c>
      <c r="G8" s="108">
        <f>'Consommation du 01.01 au 31.01'!U16</f>
        <v>1113</v>
      </c>
      <c r="H8" s="108">
        <v>8.8038000000000007</v>
      </c>
      <c r="I8" s="108">
        <f>'Consommation du 01.01 au 31.01'!Y16*1000</f>
        <v>15059.999999999491</v>
      </c>
      <c r="J8" s="108">
        <v>0.53</v>
      </c>
      <c r="K8" s="108">
        <f>'Consommation du 01.01 au 31.01'!D16</f>
        <v>490</v>
      </c>
      <c r="L8" s="108">
        <v>12.67</v>
      </c>
      <c r="M8" s="122">
        <f>'Consommation du 01.01 au 31.01'!AC16</f>
        <v>94</v>
      </c>
      <c r="N8" s="122">
        <v>185</v>
      </c>
      <c r="O8" s="108">
        <f t="shared" si="0"/>
        <v>37351.401399999733</v>
      </c>
    </row>
    <row r="9" spans="1:15" x14ac:dyDescent="0.2">
      <c r="A9" s="109" t="s">
        <v>74</v>
      </c>
      <c r="B9">
        <f t="shared" si="1"/>
        <v>8</v>
      </c>
      <c r="C9">
        <v>1</v>
      </c>
      <c r="D9" s="122">
        <v>2020</v>
      </c>
      <c r="E9" s="108">
        <f>'Consommation du 01.01 au 31.01'!M17</f>
        <v>13441</v>
      </c>
      <c r="F9" s="108">
        <v>1.002</v>
      </c>
      <c r="G9" s="108">
        <f>'Consommation du 01.01 au 31.01'!U17</f>
        <v>1780.8000000000002</v>
      </c>
      <c r="H9" s="108">
        <v>8.8038000000000007</v>
      </c>
      <c r="I9" s="108">
        <f>'Consommation du 01.01 au 31.01'!Y17*1000</f>
        <v>6780.0000000006548</v>
      </c>
      <c r="J9" s="108">
        <v>0.53</v>
      </c>
      <c r="K9" s="108">
        <f>'Consommation du 01.01 au 31.01'!D17</f>
        <v>450</v>
      </c>
      <c r="L9" s="108">
        <v>12.67</v>
      </c>
      <c r="M9" s="122">
        <f>'Consommation du 01.01 au 31.01'!AC17</f>
        <v>111</v>
      </c>
      <c r="N9" s="122">
        <v>204</v>
      </c>
      <c r="O9" s="108">
        <f t="shared" si="0"/>
        <v>38440.589040000355</v>
      </c>
    </row>
    <row r="10" spans="1:15" x14ac:dyDescent="0.2">
      <c r="A10" s="109" t="s">
        <v>74</v>
      </c>
      <c r="B10">
        <f t="shared" si="1"/>
        <v>9</v>
      </c>
      <c r="C10">
        <v>1</v>
      </c>
      <c r="D10" s="122">
        <v>2020</v>
      </c>
      <c r="E10" s="108">
        <f>'Consommation du 01.01 au 31.01'!M18</f>
        <v>13882</v>
      </c>
      <c r="F10" s="108">
        <v>1.002</v>
      </c>
      <c r="G10" s="108">
        <f>'Consommation du 01.01 au 31.01'!U18</f>
        <v>2448.6</v>
      </c>
      <c r="H10" s="108">
        <v>8.8038000000000007</v>
      </c>
      <c r="I10" s="108">
        <f>'Consommation du 01.01 au 31.01'!Y18*1000</f>
        <v>2049.9999999992724</v>
      </c>
      <c r="J10" s="108">
        <v>0.53</v>
      </c>
      <c r="K10" s="108">
        <f>'Consommation du 01.01 au 31.01'!D18</f>
        <v>480</v>
      </c>
      <c r="L10" s="108">
        <v>12.67</v>
      </c>
      <c r="M10" s="122">
        <f>'Consommation du 01.01 au 31.01'!AC18</f>
        <v>135</v>
      </c>
      <c r="N10" s="122">
        <v>225</v>
      </c>
      <c r="O10" s="108">
        <f t="shared" si="0"/>
        <v>42634.848679999617</v>
      </c>
    </row>
    <row r="11" spans="1:15" x14ac:dyDescent="0.2">
      <c r="A11" s="109" t="s">
        <v>74</v>
      </c>
      <c r="B11">
        <f t="shared" si="1"/>
        <v>10</v>
      </c>
      <c r="C11">
        <v>1</v>
      </c>
      <c r="D11" s="122">
        <v>2020</v>
      </c>
      <c r="E11" s="108">
        <f>'Consommation du 01.01 au 31.01'!M19</f>
        <v>13748</v>
      </c>
      <c r="F11" s="108">
        <v>1.002</v>
      </c>
      <c r="G11" s="108">
        <f>'Consommation du 01.01 au 31.01'!U19</f>
        <v>1484</v>
      </c>
      <c r="H11" s="108">
        <v>8.8038000000000007</v>
      </c>
      <c r="I11" s="108">
        <f>'Consommation du 01.01 au 31.01'!Y19*1000</f>
        <v>13230.000000001382</v>
      </c>
      <c r="J11" s="108">
        <v>0.53</v>
      </c>
      <c r="K11" s="108">
        <f>'Consommation du 01.01 au 31.01'!D19</f>
        <v>440</v>
      </c>
      <c r="L11" s="108">
        <v>12.67</v>
      </c>
      <c r="M11" s="122">
        <f>'Consommation du 01.01 au 31.01'!AC19</f>
        <v>77</v>
      </c>
      <c r="N11" s="122">
        <v>156</v>
      </c>
      <c r="O11" s="108">
        <f t="shared" si="0"/>
        <v>39427.035200000741</v>
      </c>
    </row>
    <row r="12" spans="1:15" x14ac:dyDescent="0.2">
      <c r="A12" s="109" t="s">
        <v>74</v>
      </c>
      <c r="B12">
        <f t="shared" si="1"/>
        <v>11</v>
      </c>
      <c r="C12">
        <v>1</v>
      </c>
      <c r="D12" s="122">
        <v>2020</v>
      </c>
      <c r="E12" s="108">
        <f>'Consommation du 01.01 au 31.01'!M20</f>
        <v>0</v>
      </c>
      <c r="F12" s="108">
        <v>1.002</v>
      </c>
      <c r="G12" s="108">
        <f>'Consommation du 01.01 au 31.01'!U20</f>
        <v>0</v>
      </c>
      <c r="H12" s="108">
        <v>8.8038000000000007</v>
      </c>
      <c r="I12" s="108">
        <f>'Consommation du 01.01 au 31.01'!Y20*1000</f>
        <v>0</v>
      </c>
      <c r="J12" s="108">
        <v>0.53</v>
      </c>
      <c r="K12" s="108">
        <f>'Consommation du 01.01 au 31.01'!D20</f>
        <v>0</v>
      </c>
      <c r="L12" s="108">
        <v>12.67</v>
      </c>
      <c r="M12" s="122">
        <f>'Consommation du 01.01 au 31.01'!AC20</f>
        <v>0</v>
      </c>
      <c r="N12" s="122"/>
      <c r="O12" s="108">
        <f t="shared" si="0"/>
        <v>0</v>
      </c>
    </row>
    <row r="13" spans="1:15" x14ac:dyDescent="0.2">
      <c r="A13" s="109" t="s">
        <v>74</v>
      </c>
      <c r="B13">
        <f t="shared" si="1"/>
        <v>12</v>
      </c>
      <c r="C13">
        <v>1</v>
      </c>
      <c r="D13" s="122">
        <v>2020</v>
      </c>
      <c r="E13" s="108">
        <f>'Consommation du 01.01 au 31.01'!M21</f>
        <v>0</v>
      </c>
      <c r="F13" s="108">
        <v>1.002</v>
      </c>
      <c r="G13" s="108">
        <f>'Consommation du 01.01 au 31.01'!U21</f>
        <v>0</v>
      </c>
      <c r="H13" s="108">
        <v>8.8038000000000007</v>
      </c>
      <c r="I13" s="108">
        <f>'Consommation du 01.01 au 31.01'!Y21*1000</f>
        <v>0</v>
      </c>
      <c r="J13" s="108">
        <v>0.53</v>
      </c>
      <c r="K13" s="108">
        <f>'Consommation du 01.01 au 31.01'!D21</f>
        <v>0</v>
      </c>
      <c r="L13" s="108">
        <v>12.67</v>
      </c>
      <c r="M13" s="122">
        <f>'Consommation du 01.01 au 31.01'!AC21</f>
        <v>0</v>
      </c>
      <c r="N13" s="122"/>
      <c r="O13" s="108">
        <f t="shared" si="0"/>
        <v>0</v>
      </c>
    </row>
    <row r="14" spans="1:15" x14ac:dyDescent="0.2">
      <c r="A14" s="109" t="s">
        <v>74</v>
      </c>
      <c r="B14">
        <f t="shared" si="1"/>
        <v>13</v>
      </c>
      <c r="C14">
        <v>1</v>
      </c>
      <c r="D14" s="122">
        <v>2020</v>
      </c>
      <c r="E14" s="108">
        <f>'Consommation du 01.01 au 31.01'!M22</f>
        <v>0</v>
      </c>
      <c r="F14" s="108">
        <v>1.002</v>
      </c>
      <c r="G14" s="108">
        <f>'Consommation du 01.01 au 31.01'!U22</f>
        <v>0</v>
      </c>
      <c r="H14" s="108">
        <v>8.8038000000000007</v>
      </c>
      <c r="I14" s="108">
        <f>'Consommation du 01.01 au 31.01'!Y22*1000</f>
        <v>0</v>
      </c>
      <c r="J14" s="108">
        <v>0.53</v>
      </c>
      <c r="K14" s="108">
        <f>'Consommation du 01.01 au 31.01'!D22</f>
        <v>0</v>
      </c>
      <c r="L14" s="108">
        <v>12.67</v>
      </c>
      <c r="M14" s="122">
        <f>'Consommation du 01.01 au 31.01'!AC22</f>
        <v>0</v>
      </c>
      <c r="N14" s="122"/>
      <c r="O14" s="108">
        <f t="shared" si="0"/>
        <v>0</v>
      </c>
    </row>
    <row r="15" spans="1:15" x14ac:dyDescent="0.2">
      <c r="A15" s="109" t="s">
        <v>74</v>
      </c>
      <c r="B15">
        <f t="shared" si="1"/>
        <v>14</v>
      </c>
      <c r="C15">
        <v>1</v>
      </c>
      <c r="D15" s="122">
        <v>2020</v>
      </c>
      <c r="E15" s="108">
        <f>'Consommation du 01.01 au 31.01'!M23</f>
        <v>0</v>
      </c>
      <c r="F15" s="108">
        <v>1.002</v>
      </c>
      <c r="G15" s="108">
        <f>'Consommation du 01.01 au 31.01'!U23</f>
        <v>0</v>
      </c>
      <c r="H15" s="108">
        <v>8.8038000000000007</v>
      </c>
      <c r="I15" s="108">
        <f>'Consommation du 01.01 au 31.01'!Y23*1000</f>
        <v>0</v>
      </c>
      <c r="J15" s="108">
        <v>0.53</v>
      </c>
      <c r="K15" s="108">
        <f>'Consommation du 01.01 au 31.01'!D23</f>
        <v>0</v>
      </c>
      <c r="L15" s="108">
        <v>12.67</v>
      </c>
      <c r="M15" s="122">
        <f>'Consommation du 01.01 au 31.01'!AC23</f>
        <v>0</v>
      </c>
      <c r="N15" s="122"/>
      <c r="O15" s="108">
        <f t="shared" si="0"/>
        <v>0</v>
      </c>
    </row>
    <row r="16" spans="1:15" ht="13.5" customHeight="1" x14ac:dyDescent="0.2">
      <c r="A16" s="109" t="s">
        <v>74</v>
      </c>
      <c r="B16">
        <f t="shared" si="1"/>
        <v>15</v>
      </c>
      <c r="C16">
        <v>1</v>
      </c>
      <c r="D16" s="122">
        <v>2020</v>
      </c>
      <c r="E16" s="108">
        <f>'Consommation du 01.01 au 31.01'!M24</f>
        <v>0</v>
      </c>
      <c r="F16" s="108">
        <v>1.002</v>
      </c>
      <c r="G16" s="108">
        <f>'Consommation du 01.01 au 31.01'!U24</f>
        <v>0</v>
      </c>
      <c r="H16" s="108">
        <v>8.8038000000000007</v>
      </c>
      <c r="I16" s="108">
        <f>'Consommation du 01.01 au 31.01'!Y24*1000</f>
        <v>0</v>
      </c>
      <c r="J16" s="108">
        <v>0.53</v>
      </c>
      <c r="K16" s="108">
        <f>'Consommation du 01.01 au 31.01'!D24</f>
        <v>0</v>
      </c>
      <c r="L16" s="108">
        <v>12.67</v>
      </c>
      <c r="M16" s="122">
        <f>'Consommation du 01.01 au 31.01'!AC24</f>
        <v>0</v>
      </c>
      <c r="N16" s="122"/>
      <c r="O16" s="108">
        <f t="shared" si="0"/>
        <v>0</v>
      </c>
    </row>
    <row r="17" spans="1:15" x14ac:dyDescent="0.2">
      <c r="A17" s="109" t="s">
        <v>74</v>
      </c>
      <c r="B17">
        <f t="shared" si="1"/>
        <v>16</v>
      </c>
      <c r="C17">
        <v>1</v>
      </c>
      <c r="D17" s="122">
        <v>2020</v>
      </c>
      <c r="E17" s="108">
        <f>'Consommation du 01.01 au 31.01'!M25</f>
        <v>0</v>
      </c>
      <c r="F17" s="108">
        <v>1.002</v>
      </c>
      <c r="G17" s="108">
        <f>'Consommation du 01.01 au 31.01'!U25</f>
        <v>0</v>
      </c>
      <c r="H17" s="108">
        <v>8.8038000000000007</v>
      </c>
      <c r="I17" s="108">
        <f>'Consommation du 01.01 au 31.01'!Y25*1000</f>
        <v>0</v>
      </c>
      <c r="J17" s="108">
        <v>0.53</v>
      </c>
      <c r="K17" s="108">
        <f>'Consommation du 01.01 au 31.01'!D25</f>
        <v>0</v>
      </c>
      <c r="L17" s="108">
        <v>12.67</v>
      </c>
      <c r="M17" s="122">
        <f>'Consommation du 01.01 au 31.01'!AC25</f>
        <v>0</v>
      </c>
      <c r="N17" s="122"/>
      <c r="O17" s="108">
        <f t="shared" si="0"/>
        <v>0</v>
      </c>
    </row>
    <row r="18" spans="1:15" x14ac:dyDescent="0.2">
      <c r="A18" s="109" t="s">
        <v>74</v>
      </c>
      <c r="B18">
        <f t="shared" si="1"/>
        <v>17</v>
      </c>
      <c r="C18">
        <v>1</v>
      </c>
      <c r="D18" s="122">
        <v>2020</v>
      </c>
      <c r="E18" s="108">
        <f>'Consommation du 01.01 au 31.01'!M26</f>
        <v>0</v>
      </c>
      <c r="F18" s="108">
        <v>1.002</v>
      </c>
      <c r="G18" s="108">
        <f>'Consommation du 01.01 au 31.01'!U26</f>
        <v>0</v>
      </c>
      <c r="H18" s="108">
        <v>8.8038000000000007</v>
      </c>
      <c r="I18" s="108">
        <f>'Consommation du 01.01 au 31.01'!Y26*1000</f>
        <v>0</v>
      </c>
      <c r="J18" s="108">
        <v>0.53</v>
      </c>
      <c r="K18" s="108">
        <f>'Consommation du 01.01 au 31.01'!D26</f>
        <v>0</v>
      </c>
      <c r="L18" s="108">
        <v>12.67</v>
      </c>
      <c r="M18" s="122">
        <f>'Consommation du 01.01 au 31.01'!AC26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1</v>
      </c>
      <c r="D19" s="122">
        <v>2020</v>
      </c>
      <c r="E19" s="108">
        <f>'Consommation du 01.01 au 31.01'!M27</f>
        <v>0</v>
      </c>
      <c r="F19" s="108">
        <v>1.002</v>
      </c>
      <c r="G19" s="108">
        <f>'Consommation du 01.01 au 31.01'!U27</f>
        <v>0</v>
      </c>
      <c r="H19" s="108">
        <v>8.8038000000000007</v>
      </c>
      <c r="I19" s="108">
        <f>'Consommation du 01.01 au 31.01'!Y27*1000</f>
        <v>0</v>
      </c>
      <c r="J19" s="108">
        <v>0.53</v>
      </c>
      <c r="K19" s="108">
        <f>'Consommation du 01.01 au 31.01'!D27</f>
        <v>0</v>
      </c>
      <c r="L19" s="108">
        <v>12.67</v>
      </c>
      <c r="M19" s="122">
        <f>'Consommation du 01.01 au 31.01'!AC27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1</v>
      </c>
      <c r="D20" s="122">
        <v>2020</v>
      </c>
      <c r="E20" s="108">
        <f>'Consommation du 01.01 au 31.01'!M28</f>
        <v>0</v>
      </c>
      <c r="F20" s="108">
        <v>1.002</v>
      </c>
      <c r="G20" s="108">
        <f>'Consommation du 01.01 au 31.01'!U28</f>
        <v>0</v>
      </c>
      <c r="H20" s="108">
        <v>8.8038000000000007</v>
      </c>
      <c r="I20" s="108">
        <f>'Consommation du 01.01 au 31.01'!Y28*1000</f>
        <v>0</v>
      </c>
      <c r="J20" s="108">
        <v>0.53</v>
      </c>
      <c r="K20" s="108">
        <f>'Consommation du 01.01 au 31.01'!D28</f>
        <v>0</v>
      </c>
      <c r="L20" s="108">
        <v>12.67</v>
      </c>
      <c r="M20" s="122">
        <f>'Consommation du 01.01 au 31.01'!AC28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1</v>
      </c>
      <c r="D21" s="122">
        <v>2020</v>
      </c>
      <c r="E21" s="108">
        <f>'Consommation du 01.01 au 31.01'!M29</f>
        <v>0</v>
      </c>
      <c r="F21" s="108">
        <v>1.002</v>
      </c>
      <c r="G21" s="108">
        <f>'Consommation du 01.01 au 31.01'!U29</f>
        <v>0</v>
      </c>
      <c r="H21" s="108">
        <v>8.8038000000000007</v>
      </c>
      <c r="I21" s="108">
        <f>'Consommation du 01.01 au 31.01'!Y29*1000</f>
        <v>0</v>
      </c>
      <c r="J21" s="108">
        <v>0.53</v>
      </c>
      <c r="K21" s="108">
        <f>'Consommation du 01.01 au 31.01'!D29</f>
        <v>0</v>
      </c>
      <c r="L21" s="108">
        <v>12.67</v>
      </c>
      <c r="M21" s="122">
        <f>'Consommation du 01.01 au 31.01'!AC29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1</v>
      </c>
      <c r="D22" s="122">
        <v>2020</v>
      </c>
      <c r="E22" s="108">
        <f>'Consommation du 01.01 au 31.01'!M30</f>
        <v>0</v>
      </c>
      <c r="F22" s="108">
        <v>1.002</v>
      </c>
      <c r="G22" s="108">
        <f>'Consommation du 01.01 au 31.01'!U30</f>
        <v>0</v>
      </c>
      <c r="H22" s="108">
        <v>8.8038000000000007</v>
      </c>
      <c r="I22" s="108">
        <f>'Consommation du 01.01 au 31.01'!Y30*1000</f>
        <v>0</v>
      </c>
      <c r="J22" s="108">
        <v>0.53</v>
      </c>
      <c r="K22" s="108">
        <f>'Consommation du 01.01 au 31.01'!D30</f>
        <v>0</v>
      </c>
      <c r="L22" s="108">
        <v>12.67</v>
      </c>
      <c r="M22" s="122">
        <f>'Consommation du 01.01 au 31.01'!AC30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1</v>
      </c>
      <c r="D23" s="122">
        <v>2020</v>
      </c>
      <c r="E23" s="108">
        <f>'Consommation du 01.01 au 31.01'!M31</f>
        <v>0</v>
      </c>
      <c r="F23" s="108">
        <v>1.002</v>
      </c>
      <c r="G23" s="108">
        <f>'Consommation du 01.01 au 31.01'!U31</f>
        <v>0</v>
      </c>
      <c r="H23" s="108">
        <v>8.8038000000000007</v>
      </c>
      <c r="I23" s="108">
        <f>'Consommation du 01.01 au 31.01'!Y31*1000</f>
        <v>0</v>
      </c>
      <c r="J23" s="108">
        <v>0.53</v>
      </c>
      <c r="K23" s="108">
        <f>'Consommation du 01.01 au 31.01'!D31</f>
        <v>0</v>
      </c>
      <c r="L23" s="108">
        <v>12.67</v>
      </c>
      <c r="M23" s="122">
        <f>'Consommation du 01.01 au 31.01'!AC31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1</v>
      </c>
      <c r="D24" s="122">
        <v>2020</v>
      </c>
      <c r="E24" s="108">
        <f>'Consommation du 01.01 au 31.01'!M32</f>
        <v>0</v>
      </c>
      <c r="F24" s="108">
        <v>1.002</v>
      </c>
      <c r="G24" s="108">
        <f>'Consommation du 01.01 au 31.01'!U32</f>
        <v>0</v>
      </c>
      <c r="H24" s="108">
        <v>8.8038000000000007</v>
      </c>
      <c r="I24" s="108">
        <f>'Consommation du 01.01 au 31.01'!Y32*1000</f>
        <v>0</v>
      </c>
      <c r="J24" s="108">
        <v>0.53</v>
      </c>
      <c r="K24" s="108">
        <f>'Consommation du 01.01 au 31.01'!D32</f>
        <v>0</v>
      </c>
      <c r="L24" s="108">
        <v>12.67</v>
      </c>
      <c r="M24" s="122">
        <f>'Consommation du 01.01 au 31.01'!AC32</f>
        <v>0</v>
      </c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1</v>
      </c>
      <c r="D25" s="122">
        <v>2020</v>
      </c>
      <c r="E25" s="108">
        <f>'Consommation du 01.01 au 31.01'!M33</f>
        <v>0</v>
      </c>
      <c r="F25" s="108">
        <v>1.002</v>
      </c>
      <c r="G25" s="108">
        <f>'Consommation du 01.01 au 31.01'!U33</f>
        <v>0</v>
      </c>
      <c r="H25" s="108">
        <v>8.8038000000000007</v>
      </c>
      <c r="I25" s="108">
        <f>'Consommation du 01.01 au 31.01'!Y33*1000</f>
        <v>0</v>
      </c>
      <c r="J25" s="108">
        <v>0.53</v>
      </c>
      <c r="K25" s="108">
        <f>'Consommation du 01.01 au 31.01'!D33</f>
        <v>0</v>
      </c>
      <c r="L25" s="108">
        <v>12.67</v>
      </c>
      <c r="M25" s="122">
        <f>'Consommation du 01.01 au 31.01'!AC33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1</v>
      </c>
      <c r="D26" s="122">
        <v>2020</v>
      </c>
      <c r="E26" s="108">
        <f>'Consommation du 01.01 au 31.01'!M34</f>
        <v>0</v>
      </c>
      <c r="F26" s="108">
        <v>1.002</v>
      </c>
      <c r="G26" s="108">
        <f>'Consommation du 01.01 au 31.01'!U34</f>
        <v>0</v>
      </c>
      <c r="H26" s="108">
        <v>8.8038000000000007</v>
      </c>
      <c r="I26" s="108">
        <f>'Consommation du 01.01 au 31.01'!Y34*1000</f>
        <v>0</v>
      </c>
      <c r="J26" s="108">
        <v>0.53</v>
      </c>
      <c r="K26" s="108">
        <f>'Consommation du 01.01 au 31.01'!D34</f>
        <v>0</v>
      </c>
      <c r="L26" s="108">
        <v>12.67</v>
      </c>
      <c r="M26" s="122">
        <f>'Consommation du 01.01 au 31.01'!AC34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1</v>
      </c>
      <c r="D27" s="122">
        <v>2020</v>
      </c>
      <c r="E27" s="108">
        <f>'Consommation du 01.01 au 31.01'!M35</f>
        <v>0</v>
      </c>
      <c r="F27" s="108">
        <v>1.002</v>
      </c>
      <c r="G27" s="108">
        <f>'Consommation du 01.01 au 31.01'!U35</f>
        <v>0</v>
      </c>
      <c r="H27" s="108">
        <v>8.8038000000000007</v>
      </c>
      <c r="I27" s="108">
        <f>'Consommation du 01.01 au 31.01'!Y35*1000</f>
        <v>0</v>
      </c>
      <c r="J27" s="108">
        <v>0.53</v>
      </c>
      <c r="K27" s="108">
        <f>'Consommation du 01.01 au 31.01'!D35</f>
        <v>0</v>
      </c>
      <c r="L27" s="108">
        <v>12.67</v>
      </c>
      <c r="M27" s="122">
        <f>'Consommation du 01.01 au 31.01'!AC35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1</v>
      </c>
      <c r="D28" s="122">
        <v>2020</v>
      </c>
      <c r="E28" s="108">
        <f>'Consommation du 01.01 au 31.01'!M36</f>
        <v>0</v>
      </c>
      <c r="F28" s="108">
        <v>1.002</v>
      </c>
      <c r="G28" s="108">
        <f>'Consommation du 01.01 au 31.01'!U36</f>
        <v>0</v>
      </c>
      <c r="H28" s="108">
        <v>8.8038000000000007</v>
      </c>
      <c r="I28" s="108">
        <f>'Consommation du 01.01 au 31.01'!Y36*1000</f>
        <v>0</v>
      </c>
      <c r="J28" s="108">
        <v>0.53</v>
      </c>
      <c r="K28" s="108">
        <f>'Consommation du 01.01 au 31.01'!D36</f>
        <v>0</v>
      </c>
      <c r="L28" s="108">
        <v>12.67</v>
      </c>
      <c r="M28" s="122">
        <f>'Consommation du 01.01 au 31.01'!AC36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1</v>
      </c>
      <c r="D29" s="122">
        <v>2020</v>
      </c>
      <c r="E29" s="108">
        <f>'Consommation du 01.01 au 31.01'!M37</f>
        <v>0</v>
      </c>
      <c r="F29" s="108">
        <v>1.002</v>
      </c>
      <c r="G29" s="108">
        <f>'Consommation du 01.01 au 31.01'!U37</f>
        <v>0</v>
      </c>
      <c r="H29" s="108">
        <v>8.8038000000000007</v>
      </c>
      <c r="I29" s="108">
        <f>'Consommation du 01.01 au 31.01'!Y37*1000</f>
        <v>0</v>
      </c>
      <c r="J29" s="108">
        <v>0.53</v>
      </c>
      <c r="K29" s="108">
        <f>'Consommation du 01.01 au 31.01'!D37</f>
        <v>0</v>
      </c>
      <c r="L29" s="108">
        <v>12.67</v>
      </c>
      <c r="M29" s="122">
        <f>'Consommation du 01.01 au 31.01'!AC37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1</v>
      </c>
      <c r="D30" s="122">
        <v>2020</v>
      </c>
      <c r="E30" s="108">
        <f>'Consommation du 01.01 au 31.01'!M38</f>
        <v>0</v>
      </c>
      <c r="F30" s="108">
        <v>1.002</v>
      </c>
      <c r="G30" s="108">
        <f>'Consommation du 01.01 au 31.01'!U38</f>
        <v>0</v>
      </c>
      <c r="H30" s="108">
        <v>8.8038000000000007</v>
      </c>
      <c r="I30" s="108">
        <f>'Consommation du 01.01 au 31.01'!Y38*1000</f>
        <v>0</v>
      </c>
      <c r="J30" s="108">
        <v>0.53</v>
      </c>
      <c r="K30" s="108">
        <f>'Consommation du 01.01 au 31.01'!D38</f>
        <v>0</v>
      </c>
      <c r="L30" s="108">
        <v>12.67</v>
      </c>
      <c r="M30" s="122">
        <f>'Consommation du 01.01 au 31.01'!AC38</f>
        <v>0</v>
      </c>
      <c r="N30" s="122"/>
      <c r="O30" s="108"/>
    </row>
    <row r="31" spans="1:15" x14ac:dyDescent="0.2">
      <c r="A31" s="109" t="s">
        <v>74</v>
      </c>
      <c r="B31">
        <f t="shared" si="1"/>
        <v>30</v>
      </c>
      <c r="C31">
        <v>1</v>
      </c>
      <c r="D31" s="122">
        <v>2020</v>
      </c>
      <c r="E31" s="108">
        <f>'Consommation du 01.01 au 31.01'!M39</f>
        <v>0</v>
      </c>
      <c r="F31" s="108">
        <v>1.002</v>
      </c>
      <c r="G31" s="108">
        <f>'Consommation du 01.01 au 31.01'!U39</f>
        <v>0</v>
      </c>
      <c r="H31" s="108">
        <v>8.8038000000000007</v>
      </c>
      <c r="I31" s="108">
        <f>'Consommation du 01.01 au 31.01'!Y39*1000</f>
        <v>0</v>
      </c>
      <c r="J31" s="108">
        <v>0.53</v>
      </c>
      <c r="K31" s="108">
        <f>'Consommation du 01.01 au 31.01'!D39</f>
        <v>0</v>
      </c>
      <c r="L31" s="108">
        <v>12.67</v>
      </c>
      <c r="M31" s="122">
        <f>'Consommation du 01.01 au 31.01'!AC39</f>
        <v>0</v>
      </c>
      <c r="O31" s="108"/>
    </row>
    <row r="32" spans="1:15" x14ac:dyDescent="0.2">
      <c r="A32" s="109" t="s">
        <v>74</v>
      </c>
      <c r="B32">
        <f t="shared" si="1"/>
        <v>31</v>
      </c>
      <c r="C32">
        <v>1</v>
      </c>
      <c r="D32" s="122">
        <v>2020</v>
      </c>
      <c r="E32" s="108">
        <f>'Consommation du 01.01 au 31.01'!M40</f>
        <v>0</v>
      </c>
      <c r="F32" s="108">
        <v>1</v>
      </c>
      <c r="G32" s="108">
        <f>'Consommation du 01.01 au 31.01'!U40</f>
        <v>0</v>
      </c>
      <c r="H32" s="108">
        <v>8.8038000000000007</v>
      </c>
      <c r="I32" s="108">
        <f>'Consommation du 01.01 au 31.01'!Y40*1000</f>
        <v>0</v>
      </c>
      <c r="J32" s="108">
        <v>0.53</v>
      </c>
      <c r="K32" s="108">
        <f>'Consommation du 01.01 au 31.01'!D40</f>
        <v>0</v>
      </c>
      <c r="L32" s="108">
        <v>12.67</v>
      </c>
      <c r="M32" s="122">
        <f>'Consommation du 01.01 au 31.01'!AC40</f>
        <v>0</v>
      </c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AB20" sqref="AB20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18"/>
      <c r="B2" s="219"/>
      <c r="C2" s="219"/>
      <c r="D2" s="219"/>
      <c r="E2" s="219"/>
      <c r="F2" s="220"/>
      <c r="G2" s="207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9"/>
      <c r="AD2" s="183"/>
      <c r="AE2" s="183"/>
      <c r="AF2" s="183"/>
      <c r="AJ2" s="63"/>
    </row>
    <row r="3" spans="1:37" ht="1.5" customHeight="1" x14ac:dyDescent="0.2"/>
    <row r="4" spans="1:37" ht="39" hidden="1" customHeight="1" x14ac:dyDescent="0.2">
      <c r="A4" s="221"/>
      <c r="B4" s="221"/>
      <c r="C4" s="221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1"/>
      <c r="B5" s="221"/>
      <c r="C5" s="221"/>
      <c r="D5" s="6"/>
      <c r="E5" s="6"/>
      <c r="F5" s="6"/>
      <c r="G5" s="6"/>
      <c r="H5" s="6"/>
      <c r="I5" s="6"/>
      <c r="J5" s="6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63"/>
      <c r="E7" s="163"/>
      <c r="F7" s="163"/>
      <c r="G7" s="163"/>
      <c r="H7" s="163"/>
      <c r="I7" s="163"/>
      <c r="J7" s="163"/>
      <c r="K7" s="163"/>
      <c r="L7" s="164"/>
      <c r="M7" s="164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4"/>
      <c r="AC7" s="14"/>
      <c r="AI7" s="6"/>
      <c r="AJ7" s="6"/>
      <c r="AK7" s="6"/>
    </row>
    <row r="8" spans="1:37" ht="2.25" customHeight="1" thickBot="1" x14ac:dyDescent="0.25">
      <c r="A8" s="163"/>
      <c r="B8" s="223" t="s">
        <v>1</v>
      </c>
      <c r="C8" s="4"/>
      <c r="D8" s="224" t="s">
        <v>4</v>
      </c>
      <c r="E8" s="5"/>
      <c r="F8" s="210" t="s">
        <v>12</v>
      </c>
      <c r="G8" s="211"/>
      <c r="H8" s="212"/>
      <c r="I8" s="5"/>
      <c r="J8" s="167" t="s">
        <v>3</v>
      </c>
      <c r="K8" s="167"/>
      <c r="L8" s="167"/>
      <c r="M8" s="167" t="s">
        <v>2</v>
      </c>
      <c r="N8" s="5"/>
      <c r="O8" s="216" t="s">
        <v>12</v>
      </c>
      <c r="P8" s="5"/>
      <c r="Q8" s="216" t="s">
        <v>5</v>
      </c>
      <c r="R8" s="5"/>
      <c r="S8" s="216" t="s">
        <v>6</v>
      </c>
      <c r="T8" s="5"/>
      <c r="U8" s="165" t="s">
        <v>39</v>
      </c>
      <c r="V8" s="5"/>
      <c r="W8" s="216" t="s">
        <v>12</v>
      </c>
      <c r="X8" s="70"/>
      <c r="Y8" s="70"/>
      <c r="Z8" s="70"/>
      <c r="AA8" s="228"/>
      <c r="AB8" s="226" t="s">
        <v>80</v>
      </c>
      <c r="AC8" s="216" t="s">
        <v>75</v>
      </c>
      <c r="AD8" s="233" t="s">
        <v>54</v>
      </c>
      <c r="AE8" s="231" t="s">
        <v>59</v>
      </c>
      <c r="AF8" s="231" t="s">
        <v>60</v>
      </c>
      <c r="AG8" s="229" t="s">
        <v>61</v>
      </c>
      <c r="AH8" s="229" t="s">
        <v>62</v>
      </c>
      <c r="AI8" s="74"/>
      <c r="AJ8" s="74"/>
      <c r="AK8" s="74"/>
    </row>
    <row r="9" spans="1:37" ht="116.25" customHeight="1" thickBot="1" x14ac:dyDescent="0.25">
      <c r="A9" s="163"/>
      <c r="B9" s="223"/>
      <c r="C9" s="4"/>
      <c r="D9" s="225"/>
      <c r="E9" s="5"/>
      <c r="F9" s="213"/>
      <c r="G9" s="214"/>
      <c r="H9" s="215"/>
      <c r="I9" s="5"/>
      <c r="J9" s="86" t="s">
        <v>7</v>
      </c>
      <c r="K9" s="86" t="s">
        <v>8</v>
      </c>
      <c r="L9" s="86" t="s">
        <v>9</v>
      </c>
      <c r="M9" s="167"/>
      <c r="N9" s="5"/>
      <c r="O9" s="217"/>
      <c r="P9" s="5"/>
      <c r="Q9" s="217"/>
      <c r="R9" s="5"/>
      <c r="S9" s="217"/>
      <c r="T9" s="5"/>
      <c r="U9" s="166"/>
      <c r="V9" s="5"/>
      <c r="W9" s="217"/>
      <c r="X9" s="132" t="s">
        <v>81</v>
      </c>
      <c r="Y9" s="101" t="s">
        <v>55</v>
      </c>
      <c r="Z9" s="102" t="s">
        <v>56</v>
      </c>
      <c r="AA9" s="228"/>
      <c r="AB9" s="227"/>
      <c r="AC9" s="222"/>
      <c r="AD9" s="234"/>
      <c r="AE9" s="232"/>
      <c r="AF9" s="232"/>
      <c r="AG9" s="230"/>
      <c r="AH9" s="230"/>
      <c r="AI9" s="103"/>
      <c r="AJ9" s="75"/>
      <c r="AK9" s="75"/>
    </row>
    <row r="10" spans="1:37" ht="32.25" customHeight="1" thickBot="1" x14ac:dyDescent="0.25">
      <c r="A10" s="14"/>
      <c r="B10" s="7">
        <v>43831</v>
      </c>
      <c r="C10" s="8"/>
      <c r="D10" s="110">
        <f>'Suivi EAU-ELEC'!C16</f>
        <v>450</v>
      </c>
      <c r="E10" s="111"/>
      <c r="F10" s="157">
        <f>D10*12.67</f>
        <v>5701.5</v>
      </c>
      <c r="G10" s="157"/>
      <c r="H10" s="158"/>
      <c r="I10" s="92"/>
      <c r="J10" s="117">
        <f>'Suivi EAU-ELEC'!E16</f>
        <v>4479</v>
      </c>
      <c r="K10" s="118">
        <f>'Suivi EAU-ELEC'!G16</f>
        <v>6918</v>
      </c>
      <c r="L10" s="118">
        <f>'Suivi EAU-ELEC'!I16</f>
        <v>3105</v>
      </c>
      <c r="M10" s="119">
        <f>L10+K10+J10</f>
        <v>14502</v>
      </c>
      <c r="N10" s="92"/>
      <c r="O10" s="95">
        <f>M10*1.002</f>
        <v>14531.004000000001</v>
      </c>
      <c r="P10" s="91"/>
      <c r="Q10" s="90"/>
      <c r="R10" s="89"/>
      <c r="S10" s="90"/>
      <c r="T10" s="97"/>
      <c r="U10" s="96">
        <f>'Suvi Gaz'!O11</f>
        <v>1669.5</v>
      </c>
      <c r="V10" s="92"/>
      <c r="W10" s="95">
        <f>U10*8.8038</f>
        <v>14697.944100000001</v>
      </c>
      <c r="X10" s="151">
        <v>16020.93</v>
      </c>
      <c r="Y10" s="99">
        <f>IF(X11&lt;X10,0,X11-X10)</f>
        <v>12.409999999999854</v>
      </c>
      <c r="Z10" s="100">
        <f>Y10*0.53*1000</f>
        <v>6577.2999999999229</v>
      </c>
      <c r="AA10" s="92"/>
      <c r="AB10" s="123">
        <v>19</v>
      </c>
      <c r="AC10" s="124">
        <v>136</v>
      </c>
      <c r="AD10" s="131">
        <v>0.97840000000000005</v>
      </c>
      <c r="AE10" s="137">
        <v>28</v>
      </c>
      <c r="AF10" s="148">
        <v>29</v>
      </c>
      <c r="AG10" s="126">
        <v>27.6</v>
      </c>
      <c r="AH10" s="149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43832</v>
      </c>
      <c r="C11" s="8"/>
      <c r="D11" s="110">
        <f>'Suivi EAU-ELEC'!C17</f>
        <v>560</v>
      </c>
      <c r="E11" s="89"/>
      <c r="F11" s="157">
        <f t="shared" ref="F11:F40" si="0">D11*12.67</f>
        <v>7095.2</v>
      </c>
      <c r="G11" s="157"/>
      <c r="H11" s="158"/>
      <c r="I11" s="92"/>
      <c r="J11" s="117">
        <f>'Suivi EAU-ELEC'!E17</f>
        <v>4194</v>
      </c>
      <c r="K11" s="118">
        <f>'Suivi EAU-ELEC'!G17</f>
        <v>6446</v>
      </c>
      <c r="L11" s="118">
        <f>'Suivi EAU-ELEC'!I17</f>
        <v>3029</v>
      </c>
      <c r="M11" s="119">
        <f t="shared" ref="M11:M40" si="1">L11+K11+J11</f>
        <v>13669</v>
      </c>
      <c r="N11" s="92"/>
      <c r="O11" s="95">
        <f t="shared" ref="O11:O40" si="2">M11*1.002</f>
        <v>13696.338</v>
      </c>
      <c r="P11" s="91"/>
      <c r="Q11" s="90"/>
      <c r="R11" s="89"/>
      <c r="S11" s="90"/>
      <c r="T11" s="97"/>
      <c r="U11" s="96">
        <f>'Suvi Gaz'!O12</f>
        <v>1558.2</v>
      </c>
      <c r="V11" s="92"/>
      <c r="W11" s="95">
        <f t="shared" ref="W11:W40" si="3">U11*8.8038</f>
        <v>13718.081160000002</v>
      </c>
      <c r="X11" s="138">
        <v>16033.34</v>
      </c>
      <c r="Y11" s="99">
        <f t="shared" ref="Y11:Y40" si="4">IF(X12&lt;X11,0,X12-X11)</f>
        <v>6.8899999999994179</v>
      </c>
      <c r="Z11" s="100">
        <f t="shared" ref="Z11:Z40" si="5">Y11*0.53*1000</f>
        <v>3651.699999999692</v>
      </c>
      <c r="AA11" s="92"/>
      <c r="AB11" s="123">
        <v>16</v>
      </c>
      <c r="AC11" s="124">
        <v>137</v>
      </c>
      <c r="AD11" s="125">
        <v>0.99280000000000002</v>
      </c>
      <c r="AE11" s="145">
        <v>28</v>
      </c>
      <c r="AF11" s="137">
        <v>27.5</v>
      </c>
      <c r="AG11" s="135">
        <v>28</v>
      </c>
      <c r="AH11" s="150">
        <v>27.5</v>
      </c>
      <c r="AI11" s="146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43833</v>
      </c>
      <c r="C12" s="8"/>
      <c r="D12" s="110">
        <f>'Suivi EAU-ELEC'!C18</f>
        <v>510</v>
      </c>
      <c r="E12" s="89"/>
      <c r="F12" s="157">
        <f t="shared" si="0"/>
        <v>6461.7</v>
      </c>
      <c r="G12" s="157"/>
      <c r="H12" s="158"/>
      <c r="I12" s="92"/>
      <c r="J12" s="117">
        <f>'Suivi EAU-ELEC'!E18</f>
        <v>4221</v>
      </c>
      <c r="K12" s="118">
        <f>'Suivi EAU-ELEC'!G18</f>
        <v>6495</v>
      </c>
      <c r="L12" s="118">
        <f>'Suivi EAU-ELEC'!I18</f>
        <v>2881</v>
      </c>
      <c r="M12" s="119">
        <f t="shared" si="1"/>
        <v>13597</v>
      </c>
      <c r="N12" s="92"/>
      <c r="O12" s="95">
        <f t="shared" si="2"/>
        <v>13624.194</v>
      </c>
      <c r="P12" s="91"/>
      <c r="Q12" s="90"/>
      <c r="R12" s="89"/>
      <c r="S12" s="90"/>
      <c r="T12" s="97"/>
      <c r="U12" s="96">
        <f>'Suvi Gaz'!O13</f>
        <v>2151.8000000000002</v>
      </c>
      <c r="V12" s="93"/>
      <c r="W12" s="95">
        <f t="shared" si="3"/>
        <v>18944.016840000004</v>
      </c>
      <c r="X12" s="138">
        <v>16040.23</v>
      </c>
      <c r="Y12" s="99">
        <f t="shared" si="4"/>
        <v>7.819999999999709</v>
      </c>
      <c r="Z12" s="100">
        <f t="shared" si="5"/>
        <v>4144.5999999998457</v>
      </c>
      <c r="AA12" s="92"/>
      <c r="AB12" s="115">
        <v>16</v>
      </c>
      <c r="AC12" s="129">
        <v>135</v>
      </c>
      <c r="AD12" s="134">
        <v>0.97119999999999995</v>
      </c>
      <c r="AE12" s="137">
        <v>28</v>
      </c>
      <c r="AF12" s="137">
        <v>28.5</v>
      </c>
      <c r="AG12" s="135">
        <v>28</v>
      </c>
      <c r="AH12" s="136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43834</v>
      </c>
      <c r="C13" s="8"/>
      <c r="D13" s="110">
        <f>'Suivi EAU-ELEC'!C19</f>
        <v>450</v>
      </c>
      <c r="E13" s="89"/>
      <c r="F13" s="157">
        <f t="shared" si="0"/>
        <v>5701.5</v>
      </c>
      <c r="G13" s="157"/>
      <c r="H13" s="158"/>
      <c r="I13" s="92"/>
      <c r="J13" s="117">
        <f>'Suivi EAU-ELEC'!E19</f>
        <v>4176</v>
      </c>
      <c r="K13" s="118">
        <f>'Suivi EAU-ELEC'!G19</f>
        <v>6291</v>
      </c>
      <c r="L13" s="118">
        <f>'Suivi EAU-ELEC'!I19</f>
        <v>2927</v>
      </c>
      <c r="M13" s="119">
        <f t="shared" si="1"/>
        <v>13394</v>
      </c>
      <c r="N13" s="92"/>
      <c r="O13" s="95">
        <f t="shared" si="2"/>
        <v>13420.788</v>
      </c>
      <c r="P13" s="91"/>
      <c r="Q13" s="90"/>
      <c r="R13" s="89"/>
      <c r="S13" s="90"/>
      <c r="T13" s="97"/>
      <c r="U13" s="96">
        <f>'Suvi Gaz'!O14</f>
        <v>1780.8000000000002</v>
      </c>
      <c r="V13" s="93"/>
      <c r="W13" s="95">
        <f t="shared" si="3"/>
        <v>15677.807040000003</v>
      </c>
      <c r="X13" s="138">
        <v>16048.05</v>
      </c>
      <c r="Y13" s="99">
        <f>IF(X14&lt;X13,0,X14-X13)</f>
        <v>9.1300000000010186</v>
      </c>
      <c r="Z13" s="100">
        <f t="shared" si="5"/>
        <v>4838.9000000005399</v>
      </c>
      <c r="AA13" s="92"/>
      <c r="AB13" s="115">
        <v>16</v>
      </c>
      <c r="AC13" s="129">
        <v>125</v>
      </c>
      <c r="AD13" s="125">
        <v>0.90580000000000005</v>
      </c>
      <c r="AE13" s="137">
        <v>27.8</v>
      </c>
      <c r="AF13" s="137">
        <v>28</v>
      </c>
      <c r="AG13" s="135">
        <v>27.8</v>
      </c>
      <c r="AH13" s="136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43835</v>
      </c>
      <c r="C14" s="8"/>
      <c r="D14" s="110">
        <f>'Suivi EAU-ELEC'!C20</f>
        <v>470</v>
      </c>
      <c r="E14" s="112"/>
      <c r="F14" s="157">
        <f t="shared" si="0"/>
        <v>5954.9</v>
      </c>
      <c r="G14" s="157"/>
      <c r="H14" s="158"/>
      <c r="I14" s="93"/>
      <c r="J14" s="117">
        <f>'Suivi EAU-ELEC'!E20</f>
        <v>4172</v>
      </c>
      <c r="K14" s="118">
        <f>'Suivi EAU-ELEC'!G20</f>
        <v>6515</v>
      </c>
      <c r="L14" s="118">
        <f>'Suivi EAU-ELEC'!I20</f>
        <v>2990</v>
      </c>
      <c r="M14" s="119">
        <f t="shared" si="1"/>
        <v>13677</v>
      </c>
      <c r="N14" s="92"/>
      <c r="O14" s="95">
        <f t="shared" si="2"/>
        <v>13704.353999999999</v>
      </c>
      <c r="P14" s="91"/>
      <c r="Q14" s="90"/>
      <c r="R14" s="89"/>
      <c r="S14" s="90"/>
      <c r="T14" s="97"/>
      <c r="U14" s="96">
        <f>'Suvi Gaz'!O15</f>
        <v>1372.7</v>
      </c>
      <c r="V14" s="93"/>
      <c r="W14" s="95">
        <f t="shared" si="3"/>
        <v>12084.976260000001</v>
      </c>
      <c r="X14" s="138">
        <v>16057.18</v>
      </c>
      <c r="Y14" s="99">
        <f>IF(X15&lt;X14,0,X15-X14)</f>
        <v>16.159999999999854</v>
      </c>
      <c r="Z14" s="100">
        <f t="shared" si="5"/>
        <v>8564.7999999999229</v>
      </c>
      <c r="AA14" s="92"/>
      <c r="AB14" s="115">
        <v>15</v>
      </c>
      <c r="AC14" s="129">
        <v>109</v>
      </c>
      <c r="AD14" s="125">
        <v>0.81340000000000001</v>
      </c>
      <c r="AE14" s="137">
        <v>28</v>
      </c>
      <c r="AF14" s="137">
        <v>29</v>
      </c>
      <c r="AG14" s="135">
        <v>27.4</v>
      </c>
      <c r="AH14" s="136">
        <v>28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43836</v>
      </c>
      <c r="C15" s="8"/>
      <c r="D15" s="110">
        <f>'Suivi EAU-ELEC'!C21</f>
        <v>470</v>
      </c>
      <c r="E15" s="89"/>
      <c r="F15" s="157">
        <f t="shared" si="0"/>
        <v>5954.9</v>
      </c>
      <c r="G15" s="157"/>
      <c r="H15" s="158"/>
      <c r="I15" s="92"/>
      <c r="J15" s="117">
        <f>'Suivi EAU-ELEC'!E21</f>
        <v>4125</v>
      </c>
      <c r="K15" s="118">
        <f>'Suivi EAU-ELEC'!G21</f>
        <v>6517</v>
      </c>
      <c r="L15" s="118">
        <f>'Suivi EAU-ELEC'!I21</f>
        <v>2883</v>
      </c>
      <c r="M15" s="119">
        <f t="shared" si="1"/>
        <v>13525</v>
      </c>
      <c r="N15" s="92"/>
      <c r="O15" s="95">
        <f t="shared" si="2"/>
        <v>13552.05</v>
      </c>
      <c r="P15" s="91"/>
      <c r="Q15" s="90"/>
      <c r="R15" s="89"/>
      <c r="S15" s="90"/>
      <c r="T15" s="97"/>
      <c r="U15" s="96">
        <f>'Suvi Gaz'!O16</f>
        <v>1521.1000000000001</v>
      </c>
      <c r="V15" s="93"/>
      <c r="W15" s="95">
        <f t="shared" si="3"/>
        <v>13391.460180000002</v>
      </c>
      <c r="X15" s="138">
        <v>16073.34</v>
      </c>
      <c r="Y15" s="99">
        <f t="shared" si="4"/>
        <v>16.579999999999927</v>
      </c>
      <c r="Z15" s="100">
        <f t="shared" si="5"/>
        <v>8787.3999999999633</v>
      </c>
      <c r="AA15" s="92"/>
      <c r="AB15" s="115">
        <v>12</v>
      </c>
      <c r="AC15" s="129">
        <v>100</v>
      </c>
      <c r="AD15" s="125">
        <v>0.71940000000000004</v>
      </c>
      <c r="AE15" s="137">
        <v>28</v>
      </c>
      <c r="AF15" s="137">
        <v>28</v>
      </c>
      <c r="AG15" s="135">
        <v>27</v>
      </c>
      <c r="AH15" s="136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43837</v>
      </c>
      <c r="C16" s="8"/>
      <c r="D16" s="110">
        <f>'Suivi EAU-ELEC'!C22</f>
        <v>490</v>
      </c>
      <c r="E16" s="112"/>
      <c r="F16" s="157">
        <f t="shared" si="0"/>
        <v>6208.3</v>
      </c>
      <c r="G16" s="157"/>
      <c r="H16" s="158"/>
      <c r="I16" s="93"/>
      <c r="J16" s="117">
        <f>'Suivi EAU-ELEC'!E22</f>
        <v>4163</v>
      </c>
      <c r="K16" s="118">
        <f>'Suivi EAU-ELEC'!G22</f>
        <v>6338</v>
      </c>
      <c r="L16" s="118">
        <f>'Suivi EAU-ELEC'!I22</f>
        <v>2835</v>
      </c>
      <c r="M16" s="119">
        <f t="shared" si="1"/>
        <v>13336</v>
      </c>
      <c r="N16" s="92"/>
      <c r="O16" s="95">
        <f t="shared" si="2"/>
        <v>13362.672</v>
      </c>
      <c r="P16" s="91"/>
      <c r="Q16" s="90"/>
      <c r="R16" s="89"/>
      <c r="S16" s="90"/>
      <c r="T16" s="97"/>
      <c r="U16" s="96">
        <f>'Suvi Gaz'!O17</f>
        <v>1113</v>
      </c>
      <c r="V16" s="93"/>
      <c r="W16" s="95">
        <f t="shared" si="3"/>
        <v>9798.6294000000016</v>
      </c>
      <c r="X16" s="138">
        <v>16089.92</v>
      </c>
      <c r="Y16" s="99">
        <f t="shared" si="4"/>
        <v>15.059999999999491</v>
      </c>
      <c r="Z16" s="100">
        <f t="shared" si="5"/>
        <v>7981.799999999731</v>
      </c>
      <c r="AA16" s="92"/>
      <c r="AB16" s="115">
        <v>15</v>
      </c>
      <c r="AC16" s="129">
        <v>94</v>
      </c>
      <c r="AD16" s="125">
        <v>0.69120000000000004</v>
      </c>
      <c r="AE16" s="137">
        <v>28</v>
      </c>
      <c r="AF16" s="137">
        <v>28</v>
      </c>
      <c r="AG16" s="135">
        <v>27.4</v>
      </c>
      <c r="AH16" s="136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43838</v>
      </c>
      <c r="C17" s="8"/>
      <c r="D17" s="110">
        <f>'Suivi EAU-ELEC'!C23</f>
        <v>450</v>
      </c>
      <c r="E17" s="112"/>
      <c r="F17" s="157">
        <f t="shared" si="0"/>
        <v>5701.5</v>
      </c>
      <c r="G17" s="157"/>
      <c r="H17" s="158"/>
      <c r="I17" s="93"/>
      <c r="J17" s="117">
        <f>'Suivi EAU-ELEC'!E23</f>
        <v>4055</v>
      </c>
      <c r="K17" s="118">
        <f>'Suivi EAU-ELEC'!G23</f>
        <v>6420</v>
      </c>
      <c r="L17" s="118">
        <f>'Suivi EAU-ELEC'!I23</f>
        <v>2966</v>
      </c>
      <c r="M17" s="119">
        <f t="shared" si="1"/>
        <v>13441</v>
      </c>
      <c r="N17" s="92"/>
      <c r="O17" s="95">
        <f t="shared" si="2"/>
        <v>13467.882</v>
      </c>
      <c r="P17" s="91"/>
      <c r="Q17" s="90"/>
      <c r="R17" s="89"/>
      <c r="S17" s="90"/>
      <c r="T17" s="97"/>
      <c r="U17" s="96">
        <f>'Suvi Gaz'!O18</f>
        <v>1780.8000000000002</v>
      </c>
      <c r="V17" s="93"/>
      <c r="W17" s="95">
        <f t="shared" si="3"/>
        <v>15677.807040000003</v>
      </c>
      <c r="X17" s="138">
        <v>16104.98</v>
      </c>
      <c r="Y17" s="99">
        <f t="shared" si="4"/>
        <v>6.7800000000006548</v>
      </c>
      <c r="Z17" s="100">
        <f t="shared" si="5"/>
        <v>3593.4000000003471</v>
      </c>
      <c r="AA17" s="98"/>
      <c r="AB17" s="115">
        <v>16</v>
      </c>
      <c r="AC17" s="129">
        <v>111</v>
      </c>
      <c r="AD17" s="125">
        <v>0.81620000000000004</v>
      </c>
      <c r="AE17" s="137">
        <v>27.6</v>
      </c>
      <c r="AF17" s="137">
        <v>28</v>
      </c>
      <c r="AG17" s="135">
        <v>26.8</v>
      </c>
      <c r="AH17" s="136">
        <v>27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43839</v>
      </c>
      <c r="C18" s="8"/>
      <c r="D18" s="110">
        <f>'Suivi EAU-ELEC'!C24</f>
        <v>480</v>
      </c>
      <c r="E18" s="112"/>
      <c r="F18" s="157">
        <f t="shared" si="0"/>
        <v>6081.6</v>
      </c>
      <c r="G18" s="157"/>
      <c r="H18" s="158"/>
      <c r="I18" s="93"/>
      <c r="J18" s="117">
        <f>'Suivi EAU-ELEC'!E24</f>
        <v>4213</v>
      </c>
      <c r="K18" s="118">
        <f>'Suivi EAU-ELEC'!G24</f>
        <v>6518</v>
      </c>
      <c r="L18" s="118">
        <f>'Suivi EAU-ELEC'!I24</f>
        <v>3151</v>
      </c>
      <c r="M18" s="119">
        <f t="shared" si="1"/>
        <v>13882</v>
      </c>
      <c r="N18" s="92"/>
      <c r="O18" s="95">
        <f t="shared" si="2"/>
        <v>13909.763999999999</v>
      </c>
      <c r="P18" s="91"/>
      <c r="Q18" s="90"/>
      <c r="R18" s="89"/>
      <c r="S18" s="90"/>
      <c r="T18" s="97"/>
      <c r="U18" s="96">
        <f>'Suvi Gaz'!O19</f>
        <v>2448.6</v>
      </c>
      <c r="V18" s="93"/>
      <c r="W18" s="95">
        <f t="shared" si="3"/>
        <v>21556.984680000001</v>
      </c>
      <c r="X18" s="138">
        <v>16111.76</v>
      </c>
      <c r="Y18" s="99">
        <f t="shared" si="4"/>
        <v>2.0499999999992724</v>
      </c>
      <c r="Z18" s="100">
        <f t="shared" si="5"/>
        <v>1086.4999999996144</v>
      </c>
      <c r="AA18" s="98"/>
      <c r="AB18" s="115">
        <v>14</v>
      </c>
      <c r="AC18" s="129">
        <v>135</v>
      </c>
      <c r="AD18" s="125">
        <v>0.97119999999999995</v>
      </c>
      <c r="AE18" s="137">
        <v>27</v>
      </c>
      <c r="AF18" s="137">
        <v>28</v>
      </c>
      <c r="AG18" s="135">
        <v>26</v>
      </c>
      <c r="AH18" s="136">
        <v>27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43840</v>
      </c>
      <c r="C19" s="8"/>
      <c r="D19" s="110">
        <f>'Suivi EAU-ELEC'!C25</f>
        <v>440</v>
      </c>
      <c r="E19" s="112"/>
      <c r="F19" s="157">
        <f t="shared" si="0"/>
        <v>5574.8</v>
      </c>
      <c r="G19" s="157"/>
      <c r="H19" s="158"/>
      <c r="I19" s="93"/>
      <c r="J19" s="117">
        <f>'Suivi EAU-ELEC'!E25</f>
        <v>4256</v>
      </c>
      <c r="K19" s="118">
        <f>'Suivi EAU-ELEC'!G25</f>
        <v>6550</v>
      </c>
      <c r="L19" s="118">
        <f>'Suivi EAU-ELEC'!I25</f>
        <v>2942</v>
      </c>
      <c r="M19" s="119">
        <f t="shared" si="1"/>
        <v>13748</v>
      </c>
      <c r="N19" s="92"/>
      <c r="O19" s="95">
        <f t="shared" si="2"/>
        <v>13775.495999999999</v>
      </c>
      <c r="P19" s="91"/>
      <c r="Q19" s="90"/>
      <c r="R19" s="89"/>
      <c r="S19" s="90"/>
      <c r="T19" s="97"/>
      <c r="U19" s="96">
        <f>'Suvi Gaz'!O20</f>
        <v>1484</v>
      </c>
      <c r="V19" s="93"/>
      <c r="W19" s="95">
        <f t="shared" si="3"/>
        <v>13064.8392</v>
      </c>
      <c r="X19" s="138">
        <v>16113.81</v>
      </c>
      <c r="Y19" s="99">
        <f t="shared" si="4"/>
        <v>13.230000000001382</v>
      </c>
      <c r="Z19" s="100">
        <f t="shared" si="5"/>
        <v>7011.9000000007336</v>
      </c>
      <c r="AA19" s="98"/>
      <c r="AB19" s="115">
        <v>14</v>
      </c>
      <c r="AC19" s="129">
        <v>77</v>
      </c>
      <c r="AD19" s="125">
        <v>0.58779999999999999</v>
      </c>
      <c r="AE19" s="137">
        <v>27.4</v>
      </c>
      <c r="AF19" s="137">
        <v>28</v>
      </c>
      <c r="AG19" s="135">
        <v>26.8</v>
      </c>
      <c r="AH19" s="136">
        <v>27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43841</v>
      </c>
      <c r="C20" s="8"/>
      <c r="D20" s="110">
        <f>'Suivi EAU-ELEC'!C26</f>
        <v>0</v>
      </c>
      <c r="E20" s="112"/>
      <c r="F20" s="157">
        <f t="shared" si="0"/>
        <v>0</v>
      </c>
      <c r="G20" s="157"/>
      <c r="H20" s="158"/>
      <c r="I20" s="93"/>
      <c r="J20" s="117">
        <f>'Suivi EAU-ELEC'!E26</f>
        <v>0</v>
      </c>
      <c r="K20" s="118">
        <f>'Suivi EAU-ELEC'!G26</f>
        <v>0</v>
      </c>
      <c r="L20" s="118">
        <f>'Suivi EAU-ELEC'!I26</f>
        <v>0</v>
      </c>
      <c r="M20" s="119">
        <f t="shared" si="1"/>
        <v>0</v>
      </c>
      <c r="N20" s="92"/>
      <c r="O20" s="95">
        <f t="shared" si="2"/>
        <v>0</v>
      </c>
      <c r="P20" s="91"/>
      <c r="Q20" s="90"/>
      <c r="R20" s="89"/>
      <c r="S20" s="90"/>
      <c r="T20" s="97"/>
      <c r="U20" s="96">
        <f>'Suvi Gaz'!O21</f>
        <v>0</v>
      </c>
      <c r="V20" s="93"/>
      <c r="W20" s="95">
        <f t="shared" si="3"/>
        <v>0</v>
      </c>
      <c r="X20" s="138">
        <v>16127.04</v>
      </c>
      <c r="Y20" s="99">
        <f t="shared" si="4"/>
        <v>0</v>
      </c>
      <c r="Z20" s="100">
        <f t="shared" si="5"/>
        <v>0</v>
      </c>
      <c r="AA20" s="98">
        <v>14</v>
      </c>
      <c r="AB20" s="115"/>
      <c r="AC20" s="129"/>
      <c r="AD20" s="125"/>
      <c r="AE20" s="137"/>
      <c r="AF20" s="130"/>
      <c r="AG20" s="135"/>
      <c r="AH20" s="136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43842</v>
      </c>
      <c r="C21" s="8"/>
      <c r="D21" s="110">
        <f>'Suivi EAU-ELEC'!C27</f>
        <v>0</v>
      </c>
      <c r="E21" s="112"/>
      <c r="F21" s="157">
        <f t="shared" si="0"/>
        <v>0</v>
      </c>
      <c r="G21" s="157"/>
      <c r="H21" s="158"/>
      <c r="I21" s="93"/>
      <c r="J21" s="117">
        <f>'Suivi EAU-ELEC'!E27</f>
        <v>0</v>
      </c>
      <c r="K21" s="118">
        <f>'Suivi EAU-ELEC'!G27</f>
        <v>0</v>
      </c>
      <c r="L21" s="118">
        <f>'Suivi EAU-ELEC'!I27</f>
        <v>0</v>
      </c>
      <c r="M21" s="119">
        <f t="shared" si="1"/>
        <v>0</v>
      </c>
      <c r="N21" s="92"/>
      <c r="O21" s="95">
        <f t="shared" si="2"/>
        <v>0</v>
      </c>
      <c r="P21" s="91"/>
      <c r="Q21" s="90"/>
      <c r="R21" s="89"/>
      <c r="S21" s="90"/>
      <c r="T21" s="97"/>
      <c r="U21" s="96">
        <f>'Suvi Gaz'!O22</f>
        <v>0</v>
      </c>
      <c r="V21" s="93"/>
      <c r="W21" s="95">
        <f t="shared" si="3"/>
        <v>0</v>
      </c>
      <c r="X21" s="138"/>
      <c r="Y21" s="99">
        <f t="shared" si="4"/>
        <v>0</v>
      </c>
      <c r="Z21" s="100">
        <f t="shared" si="5"/>
        <v>0</v>
      </c>
      <c r="AA21" s="98">
        <v>14</v>
      </c>
      <c r="AB21" s="115"/>
      <c r="AC21" s="129"/>
      <c r="AD21" s="125"/>
      <c r="AE21" s="137"/>
      <c r="AF21" s="130"/>
      <c r="AG21" s="135"/>
      <c r="AH21" s="136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43843</v>
      </c>
      <c r="C22" s="8"/>
      <c r="D22" s="110">
        <f>'Suivi EAU-ELEC'!C28</f>
        <v>0</v>
      </c>
      <c r="E22" s="112"/>
      <c r="F22" s="157">
        <f t="shared" si="0"/>
        <v>0</v>
      </c>
      <c r="G22" s="157"/>
      <c r="H22" s="158"/>
      <c r="I22" s="93"/>
      <c r="J22" s="117">
        <f>'Suivi EAU-ELEC'!E28</f>
        <v>0</v>
      </c>
      <c r="K22" s="118">
        <f>'Suivi EAU-ELEC'!G28</f>
        <v>0</v>
      </c>
      <c r="L22" s="118">
        <f>'Suivi EAU-ELEC'!I28</f>
        <v>0</v>
      </c>
      <c r="M22" s="119">
        <f t="shared" si="1"/>
        <v>0</v>
      </c>
      <c r="N22" s="92"/>
      <c r="O22" s="95">
        <f t="shared" si="2"/>
        <v>0</v>
      </c>
      <c r="P22" s="91"/>
      <c r="Q22" s="90"/>
      <c r="R22" s="89"/>
      <c r="S22" s="90"/>
      <c r="T22" s="97"/>
      <c r="U22" s="96">
        <f>'Suvi Gaz'!O23</f>
        <v>0</v>
      </c>
      <c r="V22" s="93"/>
      <c r="W22" s="95">
        <f t="shared" si="3"/>
        <v>0</v>
      </c>
      <c r="X22" s="138"/>
      <c r="Y22" s="99">
        <f t="shared" si="4"/>
        <v>0</v>
      </c>
      <c r="Z22" s="100">
        <f t="shared" si="5"/>
        <v>0</v>
      </c>
      <c r="AA22" s="93"/>
      <c r="AB22" s="115"/>
      <c r="AC22" s="129"/>
      <c r="AD22" s="125"/>
      <c r="AE22" s="137"/>
      <c r="AF22" s="130"/>
      <c r="AG22" s="135"/>
      <c r="AH22" s="136"/>
      <c r="AI22" s="71"/>
      <c r="AJ22" s="78"/>
      <c r="AK22" s="71"/>
    </row>
    <row r="23" spans="1:37" ht="32.25" customHeight="1" thickBot="1" x14ac:dyDescent="0.25">
      <c r="A23" s="5"/>
      <c r="B23" s="7">
        <f>B22+1</f>
        <v>43844</v>
      </c>
      <c r="C23" s="8"/>
      <c r="D23" s="110">
        <f>'Suivi EAU-ELEC'!C29</f>
        <v>0</v>
      </c>
      <c r="E23" s="112"/>
      <c r="F23" s="157">
        <f t="shared" si="0"/>
        <v>0</v>
      </c>
      <c r="G23" s="157"/>
      <c r="H23" s="158"/>
      <c r="I23" s="93"/>
      <c r="J23" s="117">
        <f>'Suivi EAU-ELEC'!E29</f>
        <v>0</v>
      </c>
      <c r="K23" s="118">
        <f>'Suivi EAU-ELEC'!G29</f>
        <v>0</v>
      </c>
      <c r="L23" s="118">
        <f>'Suivi EAU-ELEC'!I29</f>
        <v>0</v>
      </c>
      <c r="M23" s="119">
        <f t="shared" si="1"/>
        <v>0</v>
      </c>
      <c r="N23" s="92"/>
      <c r="O23" s="95">
        <f t="shared" si="2"/>
        <v>0</v>
      </c>
      <c r="P23" s="91"/>
      <c r="Q23" s="90"/>
      <c r="R23" s="89"/>
      <c r="S23" s="90"/>
      <c r="T23" s="97"/>
      <c r="U23" s="96">
        <f>'Suvi Gaz'!O24</f>
        <v>0</v>
      </c>
      <c r="V23" s="93"/>
      <c r="W23" s="95">
        <f t="shared" si="3"/>
        <v>0</v>
      </c>
      <c r="X23" s="138"/>
      <c r="Y23" s="99">
        <f t="shared" si="4"/>
        <v>0</v>
      </c>
      <c r="Z23" s="100">
        <f t="shared" si="5"/>
        <v>0</v>
      </c>
      <c r="AA23" s="93"/>
      <c r="AB23" s="115"/>
      <c r="AC23" s="129"/>
      <c r="AD23" s="125"/>
      <c r="AE23" s="137"/>
      <c r="AF23" s="130"/>
      <c r="AG23" s="135"/>
      <c r="AH23" s="136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43845</v>
      </c>
      <c r="C24" s="8"/>
      <c r="D24" s="110">
        <f>'Suivi EAU-ELEC'!C30</f>
        <v>0</v>
      </c>
      <c r="E24" s="112"/>
      <c r="F24" s="157">
        <f t="shared" si="0"/>
        <v>0</v>
      </c>
      <c r="G24" s="157"/>
      <c r="H24" s="158"/>
      <c r="I24" s="93"/>
      <c r="J24" s="117">
        <f>'Suivi EAU-ELEC'!E30</f>
        <v>0</v>
      </c>
      <c r="K24" s="118">
        <f>'Suivi EAU-ELEC'!G30</f>
        <v>0</v>
      </c>
      <c r="L24" s="118">
        <f>'Suivi EAU-ELEC'!I30</f>
        <v>0</v>
      </c>
      <c r="M24" s="119">
        <f t="shared" si="1"/>
        <v>0</v>
      </c>
      <c r="N24" s="92"/>
      <c r="O24" s="95">
        <f t="shared" si="2"/>
        <v>0</v>
      </c>
      <c r="P24" s="91"/>
      <c r="Q24" s="90"/>
      <c r="R24" s="89"/>
      <c r="S24" s="90"/>
      <c r="T24" s="97"/>
      <c r="U24" s="96">
        <f>'Suvi Gaz'!O25</f>
        <v>0</v>
      </c>
      <c r="V24" s="93"/>
      <c r="W24" s="95">
        <f t="shared" si="3"/>
        <v>0</v>
      </c>
      <c r="X24" s="138"/>
      <c r="Y24" s="99">
        <f t="shared" si="4"/>
        <v>0</v>
      </c>
      <c r="Z24" s="100">
        <f t="shared" si="5"/>
        <v>0</v>
      </c>
      <c r="AA24" s="93"/>
      <c r="AB24" s="115"/>
      <c r="AC24" s="129"/>
      <c r="AD24" s="125"/>
      <c r="AE24" s="137"/>
      <c r="AF24" s="130"/>
      <c r="AG24" s="135"/>
      <c r="AH24" s="136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43846</v>
      </c>
      <c r="C25" s="8"/>
      <c r="D25" s="110">
        <f>'Suivi EAU-ELEC'!C31</f>
        <v>0</v>
      </c>
      <c r="E25" s="112"/>
      <c r="F25" s="157">
        <f t="shared" si="0"/>
        <v>0</v>
      </c>
      <c r="G25" s="157"/>
      <c r="H25" s="158"/>
      <c r="I25" s="93"/>
      <c r="J25" s="117">
        <f>'Suivi EAU-ELEC'!E31</f>
        <v>0</v>
      </c>
      <c r="K25" s="118">
        <f>'Suivi EAU-ELEC'!G31</f>
        <v>0</v>
      </c>
      <c r="L25" s="118">
        <f>'Suivi EAU-ELEC'!I31</f>
        <v>0</v>
      </c>
      <c r="M25" s="119">
        <f t="shared" si="1"/>
        <v>0</v>
      </c>
      <c r="N25" s="92"/>
      <c r="O25" s="95">
        <f t="shared" si="2"/>
        <v>0</v>
      </c>
      <c r="P25" s="91"/>
      <c r="Q25" s="90"/>
      <c r="R25" s="89"/>
      <c r="S25" s="90"/>
      <c r="T25" s="97"/>
      <c r="U25" s="96">
        <f>'Suvi Gaz'!O26</f>
        <v>0</v>
      </c>
      <c r="V25" s="93"/>
      <c r="W25" s="95">
        <f t="shared" si="3"/>
        <v>0</v>
      </c>
      <c r="X25" s="138"/>
      <c r="Y25" s="99">
        <f t="shared" si="4"/>
        <v>0</v>
      </c>
      <c r="Z25" s="100">
        <f t="shared" si="5"/>
        <v>0</v>
      </c>
      <c r="AA25" s="93"/>
      <c r="AB25" s="115"/>
      <c r="AC25" s="129"/>
      <c r="AD25" s="125"/>
      <c r="AE25" s="137"/>
      <c r="AF25" s="130"/>
      <c r="AG25" s="135"/>
      <c r="AH25" s="136"/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43847</v>
      </c>
      <c r="C26" s="8"/>
      <c r="D26" s="110">
        <f>'Suivi EAU-ELEC'!C32</f>
        <v>0</v>
      </c>
      <c r="E26" s="113"/>
      <c r="F26" s="157">
        <f t="shared" si="0"/>
        <v>0</v>
      </c>
      <c r="G26" s="157"/>
      <c r="H26" s="158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8"/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7"/>
      <c r="AF26" s="130"/>
      <c r="AG26" s="135"/>
      <c r="AH26" s="136"/>
      <c r="AI26" s="71"/>
      <c r="AJ26" s="78"/>
      <c r="AK26" s="71"/>
    </row>
    <row r="27" spans="1:37" ht="32.25" customHeight="1" thickBot="1" x14ac:dyDescent="0.25">
      <c r="A27" s="5"/>
      <c r="B27" s="7">
        <f>B26+1</f>
        <v>43848</v>
      </c>
      <c r="C27" s="8"/>
      <c r="D27" s="110">
        <f>'Suivi EAU-ELEC'!C33</f>
        <v>0</v>
      </c>
      <c r="E27" s="113"/>
      <c r="F27" s="157">
        <f t="shared" si="0"/>
        <v>0</v>
      </c>
      <c r="G27" s="157"/>
      <c r="H27" s="158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8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7"/>
      <c r="AF27" s="130"/>
      <c r="AG27" s="135"/>
      <c r="AH27" s="136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43849</v>
      </c>
      <c r="C28" s="8"/>
      <c r="D28" s="110">
        <f>'Suivi EAU-ELEC'!C34</f>
        <v>0</v>
      </c>
      <c r="E28" s="113"/>
      <c r="F28" s="157">
        <f t="shared" si="0"/>
        <v>0</v>
      </c>
      <c r="G28" s="157"/>
      <c r="H28" s="158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8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7"/>
      <c r="AF28" s="130"/>
      <c r="AG28" s="135"/>
      <c r="AH28" s="136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43850</v>
      </c>
      <c r="C29" s="8"/>
      <c r="D29" s="110">
        <f>'Suivi EAU-ELEC'!C35</f>
        <v>0</v>
      </c>
      <c r="E29" s="113"/>
      <c r="F29" s="157">
        <f t="shared" si="0"/>
        <v>0</v>
      </c>
      <c r="G29" s="157"/>
      <c r="H29" s="158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8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7"/>
      <c r="AF29" s="130"/>
      <c r="AG29" s="135"/>
      <c r="AH29" s="136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43851</v>
      </c>
      <c r="C30" s="67"/>
      <c r="D30" s="110">
        <f>'Suivi EAU-ELEC'!C36</f>
        <v>0</v>
      </c>
      <c r="E30" s="113"/>
      <c r="F30" s="157">
        <f t="shared" si="0"/>
        <v>0</v>
      </c>
      <c r="G30" s="157"/>
      <c r="H30" s="158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8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7"/>
      <c r="AF30" s="130"/>
      <c r="AG30" s="135"/>
      <c r="AH30" s="136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43852</v>
      </c>
      <c r="C31" s="8"/>
      <c r="D31" s="110">
        <f>'Suivi EAU-ELEC'!C37</f>
        <v>0</v>
      </c>
      <c r="E31" s="89"/>
      <c r="F31" s="157">
        <f t="shared" si="0"/>
        <v>0</v>
      </c>
      <c r="G31" s="157"/>
      <c r="H31" s="158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8"/>
      <c r="Y31" s="99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7"/>
      <c r="AF31" s="130"/>
      <c r="AG31" s="135"/>
      <c r="AH31" s="136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43853</v>
      </c>
      <c r="C32" s="8"/>
      <c r="D32" s="110">
        <f>'Suivi EAU-ELEC'!C38</f>
        <v>0</v>
      </c>
      <c r="E32" s="89"/>
      <c r="F32" s="157">
        <f t="shared" si="0"/>
        <v>0</v>
      </c>
      <c r="G32" s="157"/>
      <c r="H32" s="158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8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7"/>
      <c r="AF32" s="130"/>
      <c r="AG32" s="135"/>
      <c r="AH32" s="136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43854</v>
      </c>
      <c r="C33" s="8"/>
      <c r="D33" s="110">
        <f>'Suivi EAU-ELEC'!C39</f>
        <v>0</v>
      </c>
      <c r="E33" s="89"/>
      <c r="F33" s="157">
        <f t="shared" si="0"/>
        <v>0</v>
      </c>
      <c r="G33" s="157"/>
      <c r="H33" s="158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8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7"/>
      <c r="AF33" s="130"/>
      <c r="AG33" s="135"/>
      <c r="AH33" s="136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43855</v>
      </c>
      <c r="C34" s="8"/>
      <c r="D34" s="110">
        <f>'Suivi EAU-ELEC'!C40</f>
        <v>0</v>
      </c>
      <c r="E34" s="89"/>
      <c r="F34" s="157">
        <f t="shared" si="0"/>
        <v>0</v>
      </c>
      <c r="G34" s="157"/>
      <c r="H34" s="158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8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7"/>
      <c r="AF34" s="130"/>
      <c r="AG34" s="135"/>
      <c r="AH34" s="136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43856</v>
      </c>
      <c r="C35" s="8"/>
      <c r="D35" s="110">
        <f>'Suivi EAU-ELEC'!C41</f>
        <v>0</v>
      </c>
      <c r="E35" s="89"/>
      <c r="F35" s="157">
        <f t="shared" si="0"/>
        <v>0</v>
      </c>
      <c r="G35" s="157"/>
      <c r="H35" s="158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8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7"/>
      <c r="AF35" s="130"/>
      <c r="AG35" s="135"/>
      <c r="AH35" s="136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43857</v>
      </c>
      <c r="C36" s="8"/>
      <c r="D36" s="110">
        <f>'Suivi EAU-ELEC'!C42</f>
        <v>0</v>
      </c>
      <c r="E36" s="89"/>
      <c r="F36" s="157">
        <f t="shared" si="0"/>
        <v>0</v>
      </c>
      <c r="G36" s="157"/>
      <c r="H36" s="158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8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7"/>
      <c r="AF36" s="130"/>
      <c r="AG36" s="135"/>
      <c r="AH36" s="136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43858</v>
      </c>
      <c r="C37" s="8"/>
      <c r="D37" s="110">
        <f>'Suivi EAU-ELEC'!C43</f>
        <v>0</v>
      </c>
      <c r="E37" s="89"/>
      <c r="F37" s="157">
        <f t="shared" si="0"/>
        <v>0</v>
      </c>
      <c r="G37" s="157"/>
      <c r="H37" s="158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8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7"/>
      <c r="AF37" s="130"/>
      <c r="AG37" s="135"/>
      <c r="AH37" s="136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43859</v>
      </c>
      <c r="C38" s="8"/>
      <c r="D38" s="110">
        <f>'Suivi EAU-ELEC'!C44</f>
        <v>0</v>
      </c>
      <c r="E38" s="89"/>
      <c r="F38" s="157">
        <f t="shared" si="0"/>
        <v>0</v>
      </c>
      <c r="G38" s="157"/>
      <c r="H38" s="158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8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7"/>
      <c r="AF38" s="127"/>
      <c r="AG38" s="135"/>
      <c r="AH38" s="136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43860</v>
      </c>
      <c r="C39" s="8"/>
      <c r="D39" s="110">
        <f>'Suivi EAU-ELEC'!C45</f>
        <v>0</v>
      </c>
      <c r="E39" s="89"/>
      <c r="F39" s="157">
        <f t="shared" si="0"/>
        <v>0</v>
      </c>
      <c r="G39" s="157"/>
      <c r="H39" s="158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8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7"/>
      <c r="AF39" s="130"/>
      <c r="AG39" s="135"/>
      <c r="AH39" s="136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43861</v>
      </c>
      <c r="C40" s="8"/>
      <c r="D40" s="110">
        <f>'Suivi EAU-ELEC'!C46</f>
        <v>0</v>
      </c>
      <c r="E40" s="114"/>
      <c r="F40" s="157">
        <f t="shared" si="0"/>
        <v>0</v>
      </c>
      <c r="G40" s="157"/>
      <c r="H40" s="158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4"/>
      <c r="AF40" s="148"/>
      <c r="AG40" s="126"/>
      <c r="AH40" s="14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SUM(D10:D40)</f>
        <v>4770</v>
      </c>
      <c r="E41" s="1"/>
      <c r="F41" s="174">
        <f>SUM(F10:H40)</f>
        <v>60435.900000000009</v>
      </c>
      <c r="G41" s="175"/>
      <c r="H41" s="176"/>
      <c r="I41" s="1"/>
      <c r="J41" s="87">
        <f>SUM(J10:J40)</f>
        <v>42054</v>
      </c>
      <c r="K41" s="87">
        <f t="shared" ref="K41:M41" si="7">SUM(K10:K40)</f>
        <v>65008</v>
      </c>
      <c r="L41" s="87">
        <f t="shared" si="7"/>
        <v>29709</v>
      </c>
      <c r="M41" s="87">
        <f t="shared" si="7"/>
        <v>136771</v>
      </c>
      <c r="N41" s="28"/>
      <c r="O41" s="174">
        <f>SUM(O10:Q40)</f>
        <v>137044.54200000002</v>
      </c>
      <c r="P41" s="175"/>
      <c r="Q41" s="176"/>
      <c r="R41" s="28"/>
      <c r="S41" s="88">
        <f>SUM(S10:S40)</f>
        <v>0</v>
      </c>
      <c r="T41" s="28"/>
      <c r="U41" s="87">
        <f>SUM(U10:U40)</f>
        <v>16880.5</v>
      </c>
      <c r="V41" s="28"/>
      <c r="W41" s="87">
        <f>SUM(W10:W40)</f>
        <v>148612.5459</v>
      </c>
      <c r="X41" s="128"/>
      <c r="Y41" s="87">
        <f>SUM(Y10:Y40)</f>
        <v>106.11000000000058</v>
      </c>
      <c r="Z41" s="87">
        <f>SUM(Z10:Z40)</f>
        <v>56238.300000000316</v>
      </c>
      <c r="AA41" s="1"/>
      <c r="AB41" s="153"/>
      <c r="AC41" s="155"/>
      <c r="AD41" s="154"/>
      <c r="AE41" s="152"/>
      <c r="AF41" s="152"/>
      <c r="AG41" s="156"/>
      <c r="AH41" s="156"/>
      <c r="AI41" s="147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0"/>
      <c r="G42" s="170"/>
      <c r="H42" s="170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77" t="s">
        <v>10</v>
      </c>
      <c r="B43" s="178"/>
      <c r="C43" s="179"/>
      <c r="D43" s="19" t="s">
        <v>7</v>
      </c>
      <c r="E43" s="53"/>
      <c r="F43" s="20">
        <v>1.002</v>
      </c>
      <c r="G43" s="159">
        <f>J41</f>
        <v>42054</v>
      </c>
      <c r="H43" s="160"/>
      <c r="I43" s="161"/>
      <c r="J43" s="168">
        <f>G43*F43</f>
        <v>42138.108</v>
      </c>
      <c r="K43" s="169"/>
      <c r="L43" s="198">
        <f>J43+J44+J45</f>
        <v>137044.54200000002</v>
      </c>
      <c r="M43" s="199"/>
      <c r="N43" s="199"/>
      <c r="O43" s="199"/>
      <c r="P43" s="199"/>
      <c r="Q43" s="199"/>
      <c r="R43" s="199"/>
      <c r="S43" s="199"/>
      <c r="T43" s="199"/>
      <c r="U43" s="200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80"/>
      <c r="B44" s="181"/>
      <c r="C44" s="182"/>
      <c r="D44" s="17" t="s">
        <v>8</v>
      </c>
      <c r="E44" s="53"/>
      <c r="F44" s="20">
        <v>1.002</v>
      </c>
      <c r="G44" s="159">
        <f>K41</f>
        <v>65008</v>
      </c>
      <c r="H44" s="160"/>
      <c r="I44" s="161"/>
      <c r="J44" s="168">
        <f>G44*F44</f>
        <v>65138.016000000003</v>
      </c>
      <c r="K44" s="169"/>
      <c r="L44" s="201"/>
      <c r="M44" s="202"/>
      <c r="N44" s="202"/>
      <c r="O44" s="202"/>
      <c r="P44" s="202"/>
      <c r="Q44" s="202"/>
      <c r="R44" s="202"/>
      <c r="S44" s="202"/>
      <c r="T44" s="202"/>
      <c r="U44" s="203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0"/>
      <c r="B45" s="181"/>
      <c r="C45" s="182"/>
      <c r="D45" s="23" t="s">
        <v>9</v>
      </c>
      <c r="E45" s="54"/>
      <c r="F45" s="20">
        <v>1.002</v>
      </c>
      <c r="G45" s="159">
        <f>L41</f>
        <v>29709</v>
      </c>
      <c r="H45" s="160"/>
      <c r="I45" s="161"/>
      <c r="J45" s="168">
        <f>G45*F45</f>
        <v>29768.418000000001</v>
      </c>
      <c r="K45" s="169"/>
      <c r="L45" s="204"/>
      <c r="M45" s="205"/>
      <c r="N45" s="205"/>
      <c r="O45" s="205"/>
      <c r="P45" s="205"/>
      <c r="Q45" s="205"/>
      <c r="R45" s="205"/>
      <c r="S45" s="205"/>
      <c r="T45" s="205"/>
      <c r="U45" s="206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71" t="s">
        <v>11</v>
      </c>
      <c r="B46" s="172"/>
      <c r="C46" s="172"/>
      <c r="D46" s="173"/>
      <c r="E46" s="53"/>
      <c r="F46" s="24">
        <v>12.67</v>
      </c>
      <c r="G46" s="171">
        <f>D41</f>
        <v>4770</v>
      </c>
      <c r="H46" s="172"/>
      <c r="I46" s="173"/>
      <c r="J46" s="184">
        <f>G46*F46</f>
        <v>60435.9</v>
      </c>
      <c r="K46" s="185"/>
      <c r="L46" s="192">
        <f>J46</f>
        <v>60435.9</v>
      </c>
      <c r="M46" s="193"/>
      <c r="N46" s="193"/>
      <c r="O46" s="193"/>
      <c r="P46" s="193"/>
      <c r="Q46" s="193"/>
      <c r="R46" s="193"/>
      <c r="S46" s="193"/>
      <c r="T46" s="193"/>
      <c r="U46" s="194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89" t="s">
        <v>13</v>
      </c>
      <c r="B47" s="190"/>
      <c r="C47" s="190"/>
      <c r="D47" s="191"/>
      <c r="E47" s="53"/>
      <c r="F47" s="26">
        <v>8.8038000000000007</v>
      </c>
      <c r="G47" s="186">
        <f>U41</f>
        <v>16880.5</v>
      </c>
      <c r="H47" s="187"/>
      <c r="I47" s="188"/>
      <c r="J47" s="186">
        <f>G47*F47</f>
        <v>148612.54590000003</v>
      </c>
      <c r="K47" s="188"/>
      <c r="L47" s="195">
        <f>J47</f>
        <v>148612.54590000003</v>
      </c>
      <c r="M47" s="196"/>
      <c r="N47" s="196"/>
      <c r="O47" s="196"/>
      <c r="P47" s="196"/>
      <c r="Q47" s="196"/>
      <c r="R47" s="196"/>
      <c r="S47" s="196"/>
      <c r="T47" s="196"/>
      <c r="U47" s="197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22" sqref="B22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35" t="s">
        <v>0</v>
      </c>
      <c r="B1" s="235"/>
      <c r="C1" s="236"/>
      <c r="D1" s="237" t="s">
        <v>57</v>
      </c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9"/>
      <c r="AA1" s="240"/>
      <c r="AB1" s="241"/>
      <c r="AC1" s="241"/>
    </row>
    <row r="2" spans="1:31" ht="41.25" customHeight="1" thickBot="1" x14ac:dyDescent="0.4">
      <c r="A2" s="79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5"/>
      <c r="Q2" s="242">
        <v>803</v>
      </c>
      <c r="R2" s="243"/>
      <c r="S2" s="243"/>
      <c r="T2" s="243">
        <v>519</v>
      </c>
      <c r="U2" s="243"/>
      <c r="V2" s="243"/>
      <c r="W2" s="243">
        <v>800</v>
      </c>
      <c r="X2" s="243"/>
      <c r="Y2" s="243"/>
      <c r="Z2" s="243">
        <v>802</v>
      </c>
      <c r="AA2" s="243"/>
      <c r="AB2" s="246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43824</v>
      </c>
      <c r="B4" s="139">
        <v>66</v>
      </c>
      <c r="C4" s="140">
        <f t="shared" ref="C4:C21" si="0">IF(AC4&gt;0,((B4-R4)+(S4-B5)),IF(B5=0, ,(B4-B5)))</f>
        <v>5</v>
      </c>
      <c r="D4" s="139">
        <v>68</v>
      </c>
      <c r="E4" s="140">
        <f t="shared" ref="E4:E21" si="1">IF(AC4&gt;0,((D4-U4)+(V4-D5)),IF(D5=0, ,(D4-D5)))</f>
        <v>6</v>
      </c>
      <c r="F4" s="139">
        <v>63</v>
      </c>
      <c r="G4" s="140">
        <f t="shared" ref="G4:G21" si="2">IF(AC4&gt;0,((F4-X4)+(Y4-F5)),IF(F5=0, ,(F4-F5)))</f>
        <v>3</v>
      </c>
      <c r="H4" s="139">
        <v>65</v>
      </c>
      <c r="I4" s="140">
        <f t="shared" ref="I4:I12" si="3">IF(AC4&gt;0,((H4-AA4)+(AB4-H5)),IF(H5=0, ,(H4-H5)))</f>
        <v>5</v>
      </c>
      <c r="J4" s="140">
        <f t="shared" ref="J4:J12" si="4">B4+D4+F4+H4</f>
        <v>262</v>
      </c>
      <c r="K4" s="140">
        <f t="shared" ref="K4:K12" si="5">J4/4</f>
        <v>65.5</v>
      </c>
      <c r="L4" s="140">
        <f t="shared" ref="L4:L12" si="6">IF(AC4&gt;0,((K4-AD4)+(AE4-K5)),IF(K5=0, ,(K4-K5)))</f>
        <v>4.75</v>
      </c>
      <c r="M4" s="140">
        <f t="shared" ref="M4:M42" si="7">7000*4</f>
        <v>28000</v>
      </c>
      <c r="N4" s="140">
        <f t="shared" ref="N4:N12" si="8">L4*M4/100</f>
        <v>1330</v>
      </c>
      <c r="O4" s="140">
        <f t="shared" ref="O4:O12" si="9">N4*0.53</f>
        <v>704.90000000000009</v>
      </c>
      <c r="P4" s="38">
        <f t="shared" ref="P4:P12" si="10">O4*8.8038</f>
        <v>6205.7986200000014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35">
        <f>Q4+T4+W4+Z4</f>
        <v>0</v>
      </c>
      <c r="AD4" s="80">
        <f t="shared" ref="AD4:AE7" si="11">(R4+U4+X4+AA4)/4</f>
        <v>0</v>
      </c>
      <c r="AE4" s="80">
        <f t="shared" si="11"/>
        <v>0</v>
      </c>
    </row>
    <row r="5" spans="1:31" ht="32.25" customHeight="1" x14ac:dyDescent="0.3">
      <c r="A5" s="36">
        <f>(A4+1)</f>
        <v>43825</v>
      </c>
      <c r="B5" s="139">
        <v>61</v>
      </c>
      <c r="C5" s="140">
        <f t="shared" si="0"/>
        <v>6</v>
      </c>
      <c r="D5" s="139">
        <v>62</v>
      </c>
      <c r="E5" s="140">
        <f t="shared" si="1"/>
        <v>3</v>
      </c>
      <c r="F5" s="139">
        <v>60</v>
      </c>
      <c r="G5" s="140">
        <f t="shared" si="2"/>
        <v>10</v>
      </c>
      <c r="H5" s="139">
        <v>60</v>
      </c>
      <c r="I5" s="140">
        <f t="shared" si="3"/>
        <v>8</v>
      </c>
      <c r="J5" s="140">
        <f t="shared" si="4"/>
        <v>243</v>
      </c>
      <c r="K5" s="140">
        <f t="shared" si="5"/>
        <v>60.75</v>
      </c>
      <c r="L5" s="140">
        <f t="shared" si="6"/>
        <v>6.75</v>
      </c>
      <c r="M5" s="140">
        <f t="shared" si="7"/>
        <v>28000</v>
      </c>
      <c r="N5" s="140">
        <f t="shared" si="8"/>
        <v>1890</v>
      </c>
      <c r="O5" s="140">
        <f t="shared" si="9"/>
        <v>1001.7</v>
      </c>
      <c r="P5" s="38">
        <f t="shared" si="10"/>
        <v>8818.7664600000007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35">
        <f>Q5+T5+W5+Z5</f>
        <v>0</v>
      </c>
      <c r="AD5" s="80">
        <f t="shared" si="11"/>
        <v>0</v>
      </c>
      <c r="AE5" s="80">
        <f t="shared" si="11"/>
        <v>0</v>
      </c>
    </row>
    <row r="6" spans="1:31" ht="32.25" customHeight="1" x14ac:dyDescent="0.3">
      <c r="A6" s="36">
        <f t="shared" ref="A6:A42" si="12">(A5+1)</f>
        <v>43826</v>
      </c>
      <c r="B6" s="139">
        <v>55</v>
      </c>
      <c r="C6" s="140">
        <f t="shared" si="0"/>
        <v>8</v>
      </c>
      <c r="D6" s="139">
        <v>59</v>
      </c>
      <c r="E6" s="140">
        <f t="shared" si="1"/>
        <v>10</v>
      </c>
      <c r="F6" s="139">
        <v>50</v>
      </c>
      <c r="G6" s="140">
        <f t="shared" si="2"/>
        <v>6</v>
      </c>
      <c r="H6" s="139">
        <v>52</v>
      </c>
      <c r="I6" s="140">
        <f t="shared" si="3"/>
        <v>5</v>
      </c>
      <c r="J6" s="140">
        <f t="shared" si="4"/>
        <v>216</v>
      </c>
      <c r="K6" s="140">
        <f t="shared" si="5"/>
        <v>54</v>
      </c>
      <c r="L6" s="140">
        <f t="shared" si="6"/>
        <v>7.25</v>
      </c>
      <c r="M6" s="140">
        <f t="shared" si="7"/>
        <v>28000</v>
      </c>
      <c r="N6" s="140">
        <f t="shared" si="8"/>
        <v>2030</v>
      </c>
      <c r="O6" s="140">
        <f t="shared" si="9"/>
        <v>1075.9000000000001</v>
      </c>
      <c r="P6" s="38">
        <f t="shared" si="10"/>
        <v>9472.0084200000019</v>
      </c>
      <c r="Q6" s="140">
        <v>1508</v>
      </c>
      <c r="R6" s="140">
        <v>55</v>
      </c>
      <c r="S6" s="140">
        <v>74</v>
      </c>
      <c r="T6" s="140">
        <v>1508</v>
      </c>
      <c r="U6" s="140">
        <v>55</v>
      </c>
      <c r="V6" s="140">
        <v>74</v>
      </c>
      <c r="W6" s="140">
        <v>1508</v>
      </c>
      <c r="X6" s="140">
        <v>50</v>
      </c>
      <c r="Y6" s="140">
        <v>67</v>
      </c>
      <c r="Z6" s="140">
        <v>1508</v>
      </c>
      <c r="AA6" s="140">
        <v>52</v>
      </c>
      <c r="AB6" s="140">
        <v>70</v>
      </c>
      <c r="AC6" s="35">
        <f>Q6+T6+W6+Z6</f>
        <v>6032</v>
      </c>
      <c r="AD6" s="80">
        <f t="shared" si="11"/>
        <v>53</v>
      </c>
      <c r="AE6" s="80">
        <f t="shared" si="11"/>
        <v>71.25</v>
      </c>
    </row>
    <row r="7" spans="1:31" ht="32.25" customHeight="1" x14ac:dyDescent="0.3">
      <c r="A7" s="36">
        <f t="shared" si="12"/>
        <v>43827</v>
      </c>
      <c r="B7" s="139">
        <v>66</v>
      </c>
      <c r="C7" s="140">
        <f t="shared" si="0"/>
        <v>6</v>
      </c>
      <c r="D7" s="139">
        <v>68</v>
      </c>
      <c r="E7" s="140">
        <f t="shared" si="1"/>
        <v>8</v>
      </c>
      <c r="F7" s="139">
        <v>61</v>
      </c>
      <c r="G7" s="140">
        <f t="shared" si="2"/>
        <v>4</v>
      </c>
      <c r="H7" s="139">
        <v>65</v>
      </c>
      <c r="I7" s="140">
        <f t="shared" si="3"/>
        <v>5</v>
      </c>
      <c r="J7" s="140">
        <f t="shared" si="4"/>
        <v>260</v>
      </c>
      <c r="K7" s="140">
        <f t="shared" si="5"/>
        <v>65</v>
      </c>
      <c r="L7" s="140">
        <f t="shared" si="6"/>
        <v>5.75</v>
      </c>
      <c r="M7" s="140">
        <f t="shared" si="7"/>
        <v>28000</v>
      </c>
      <c r="N7" s="140">
        <f t="shared" si="8"/>
        <v>1610</v>
      </c>
      <c r="O7" s="140">
        <f t="shared" si="9"/>
        <v>853.30000000000007</v>
      </c>
      <c r="P7" s="38">
        <f t="shared" si="10"/>
        <v>7512.2825400000011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35">
        <f>Q7+T7+W7+Z7</f>
        <v>0</v>
      </c>
      <c r="AD7" s="80">
        <f t="shared" si="11"/>
        <v>0</v>
      </c>
      <c r="AE7" s="80">
        <f t="shared" si="11"/>
        <v>0</v>
      </c>
    </row>
    <row r="8" spans="1:31" ht="32.25" customHeight="1" x14ac:dyDescent="0.3">
      <c r="A8" s="36">
        <f t="shared" si="12"/>
        <v>43828</v>
      </c>
      <c r="B8" s="139">
        <v>60</v>
      </c>
      <c r="C8" s="140">
        <f t="shared" si="0"/>
        <v>9</v>
      </c>
      <c r="D8" s="139">
        <v>60</v>
      </c>
      <c r="E8" s="140">
        <f t="shared" si="1"/>
        <v>4</v>
      </c>
      <c r="F8" s="139">
        <v>57</v>
      </c>
      <c r="G8" s="140">
        <f t="shared" si="2"/>
        <v>9</v>
      </c>
      <c r="H8" s="139">
        <v>60</v>
      </c>
      <c r="I8" s="140">
        <f t="shared" si="3"/>
        <v>10</v>
      </c>
      <c r="J8" s="140">
        <f t="shared" si="4"/>
        <v>237</v>
      </c>
      <c r="K8" s="140">
        <f t="shared" si="5"/>
        <v>59.25</v>
      </c>
      <c r="L8" s="140">
        <f t="shared" si="6"/>
        <v>8</v>
      </c>
      <c r="M8" s="140">
        <f t="shared" si="7"/>
        <v>28000</v>
      </c>
      <c r="N8" s="140">
        <f t="shared" si="8"/>
        <v>2240</v>
      </c>
      <c r="O8" s="140">
        <f t="shared" si="9"/>
        <v>1187.2</v>
      </c>
      <c r="P8" s="38">
        <f t="shared" si="10"/>
        <v>10451.871360000001</v>
      </c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43829</v>
      </c>
      <c r="B9" s="139">
        <v>51</v>
      </c>
      <c r="C9" s="140">
        <f t="shared" si="0"/>
        <v>9</v>
      </c>
      <c r="D9" s="139">
        <v>56</v>
      </c>
      <c r="E9" s="140">
        <f t="shared" si="1"/>
        <v>10</v>
      </c>
      <c r="F9" s="139">
        <v>48</v>
      </c>
      <c r="G9" s="140">
        <f t="shared" si="2"/>
        <v>8</v>
      </c>
      <c r="H9" s="139">
        <v>50</v>
      </c>
      <c r="I9" s="140">
        <f t="shared" si="3"/>
        <v>9</v>
      </c>
      <c r="J9" s="140">
        <f t="shared" si="4"/>
        <v>205</v>
      </c>
      <c r="K9" s="140">
        <f t="shared" si="5"/>
        <v>51.25</v>
      </c>
      <c r="L9" s="140">
        <f t="shared" si="6"/>
        <v>9</v>
      </c>
      <c r="M9" s="140">
        <f t="shared" si="7"/>
        <v>28000</v>
      </c>
      <c r="N9" s="140">
        <f t="shared" si="8"/>
        <v>2520</v>
      </c>
      <c r="O9" s="140">
        <f t="shared" si="9"/>
        <v>1335.6000000000001</v>
      </c>
      <c r="P9" s="38">
        <f t="shared" si="10"/>
        <v>11758.355280000002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43830</v>
      </c>
      <c r="B10" s="139">
        <v>42</v>
      </c>
      <c r="C10" s="140">
        <f t="shared" si="0"/>
        <v>1</v>
      </c>
      <c r="D10" s="139">
        <v>46</v>
      </c>
      <c r="E10" s="140">
        <f t="shared" si="1"/>
        <v>1</v>
      </c>
      <c r="F10" s="139">
        <v>40</v>
      </c>
      <c r="G10" s="140">
        <f t="shared" si="2"/>
        <v>7</v>
      </c>
      <c r="H10" s="139">
        <v>41</v>
      </c>
      <c r="I10" s="140">
        <f t="shared" si="3"/>
        <v>6</v>
      </c>
      <c r="J10" s="140">
        <f t="shared" si="4"/>
        <v>169</v>
      </c>
      <c r="K10" s="140">
        <f t="shared" si="5"/>
        <v>42.25</v>
      </c>
      <c r="L10" s="140">
        <f t="shared" si="6"/>
        <v>3.75</v>
      </c>
      <c r="M10" s="140">
        <f t="shared" si="7"/>
        <v>28000</v>
      </c>
      <c r="N10" s="140">
        <f t="shared" si="8"/>
        <v>1050</v>
      </c>
      <c r="O10" s="140">
        <f t="shared" si="9"/>
        <v>556.5</v>
      </c>
      <c r="P10" s="38">
        <f t="shared" si="10"/>
        <v>4899.3147000000008</v>
      </c>
      <c r="Q10" s="140">
        <v>2999</v>
      </c>
      <c r="R10" s="140">
        <v>44</v>
      </c>
      <c r="S10" s="140">
        <v>85</v>
      </c>
      <c r="T10" s="140">
        <v>3341</v>
      </c>
      <c r="U10" s="140">
        <v>45</v>
      </c>
      <c r="V10" s="140">
        <v>85</v>
      </c>
      <c r="W10" s="140">
        <v>3511</v>
      </c>
      <c r="X10" s="140">
        <v>38</v>
      </c>
      <c r="Y10" s="140">
        <v>85</v>
      </c>
      <c r="Z10" s="140">
        <v>3424</v>
      </c>
      <c r="AA10" s="140">
        <v>40</v>
      </c>
      <c r="AB10" s="140">
        <v>85</v>
      </c>
      <c r="AC10" s="35">
        <f t="shared" si="13"/>
        <v>13275</v>
      </c>
      <c r="AD10" s="80">
        <f t="shared" si="14"/>
        <v>41.75</v>
      </c>
      <c r="AE10" s="80">
        <f t="shared" si="15"/>
        <v>85</v>
      </c>
    </row>
    <row r="11" spans="1:31" ht="32.25" customHeight="1" x14ac:dyDescent="0.3">
      <c r="A11" s="36">
        <f t="shared" si="12"/>
        <v>43831</v>
      </c>
      <c r="B11" s="139">
        <v>82</v>
      </c>
      <c r="C11" s="140">
        <f t="shared" si="0"/>
        <v>12</v>
      </c>
      <c r="D11" s="139">
        <v>85</v>
      </c>
      <c r="E11" s="140">
        <f t="shared" si="1"/>
        <v>12</v>
      </c>
      <c r="F11" s="139">
        <v>80</v>
      </c>
      <c r="G11" s="140">
        <f t="shared" si="2"/>
        <v>11</v>
      </c>
      <c r="H11" s="139">
        <v>80</v>
      </c>
      <c r="I11" s="140">
        <f t="shared" si="3"/>
        <v>10</v>
      </c>
      <c r="J11" s="140">
        <f t="shared" si="4"/>
        <v>327</v>
      </c>
      <c r="K11" s="140">
        <f t="shared" si="5"/>
        <v>81.75</v>
      </c>
      <c r="L11" s="140">
        <f t="shared" si="6"/>
        <v>11.25</v>
      </c>
      <c r="M11" s="140">
        <f t="shared" si="7"/>
        <v>28000</v>
      </c>
      <c r="N11" s="140">
        <f t="shared" si="8"/>
        <v>3150</v>
      </c>
      <c r="O11" s="140">
        <f t="shared" si="9"/>
        <v>1669.5</v>
      </c>
      <c r="P11" s="38">
        <f t="shared" si="10"/>
        <v>14697.944100000001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35">
        <f t="shared" si="13"/>
        <v>0</v>
      </c>
      <c r="AD11" s="80">
        <f t="shared" si="14"/>
        <v>0</v>
      </c>
      <c r="AE11" s="80">
        <f t="shared" si="15"/>
        <v>0</v>
      </c>
    </row>
    <row r="12" spans="1:31" ht="32.25" customHeight="1" x14ac:dyDescent="0.3">
      <c r="A12" s="36">
        <f t="shared" si="12"/>
        <v>43832</v>
      </c>
      <c r="B12" s="139">
        <v>70</v>
      </c>
      <c r="C12" s="140">
        <f t="shared" si="0"/>
        <v>10</v>
      </c>
      <c r="D12" s="139">
        <v>73</v>
      </c>
      <c r="E12" s="140">
        <f t="shared" si="1"/>
        <v>11</v>
      </c>
      <c r="F12" s="139">
        <v>69</v>
      </c>
      <c r="G12" s="140">
        <f t="shared" si="2"/>
        <v>11</v>
      </c>
      <c r="H12" s="139">
        <v>70</v>
      </c>
      <c r="I12" s="140">
        <f t="shared" si="3"/>
        <v>10</v>
      </c>
      <c r="J12" s="140">
        <f t="shared" si="4"/>
        <v>282</v>
      </c>
      <c r="K12" s="140">
        <f t="shared" si="5"/>
        <v>70.5</v>
      </c>
      <c r="L12" s="140">
        <f t="shared" si="6"/>
        <v>10.5</v>
      </c>
      <c r="M12" s="140">
        <f t="shared" si="7"/>
        <v>28000</v>
      </c>
      <c r="N12" s="140">
        <f t="shared" si="8"/>
        <v>2940</v>
      </c>
      <c r="O12" s="140">
        <f t="shared" si="9"/>
        <v>1558.2</v>
      </c>
      <c r="P12" s="38">
        <f t="shared" si="10"/>
        <v>13718.081160000002</v>
      </c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35">
        <f t="shared" si="13"/>
        <v>0</v>
      </c>
      <c r="AD12" s="80">
        <f t="shared" si="14"/>
        <v>0</v>
      </c>
      <c r="AE12" s="80">
        <f t="shared" si="15"/>
        <v>0</v>
      </c>
    </row>
    <row r="13" spans="1:31" ht="32.25" customHeight="1" x14ac:dyDescent="0.3">
      <c r="A13" s="36">
        <f t="shared" si="12"/>
        <v>43833</v>
      </c>
      <c r="B13" s="139">
        <v>60</v>
      </c>
      <c r="C13" s="140">
        <f t="shared" si="0"/>
        <v>15</v>
      </c>
      <c r="D13" s="139">
        <v>62</v>
      </c>
      <c r="E13" s="140">
        <f t="shared" si="1"/>
        <v>12</v>
      </c>
      <c r="F13" s="139">
        <v>58</v>
      </c>
      <c r="G13" s="140">
        <f t="shared" si="2"/>
        <v>16</v>
      </c>
      <c r="H13" s="139">
        <v>60</v>
      </c>
      <c r="I13" s="140">
        <f t="shared" ref="I13:I42" si="16">IF(AC13&gt;0,((H13-AA13)+(AB13-H14)),IF(H14=0, ,(H13-H14)))</f>
        <v>15</v>
      </c>
      <c r="J13" s="140">
        <f t="shared" ref="J13:J42" si="17">B13+D13+F13+H13</f>
        <v>240</v>
      </c>
      <c r="K13" s="140">
        <f t="shared" ref="K13:K42" si="18">J13/4</f>
        <v>60</v>
      </c>
      <c r="L13" s="140">
        <f t="shared" ref="L13:L42" si="19">IF(AC13&gt;0,((K13-AD13)+(AE13-K14)),IF(K14=0, ,(K13-K14)))</f>
        <v>14.5</v>
      </c>
      <c r="M13" s="140">
        <f t="shared" si="7"/>
        <v>28000</v>
      </c>
      <c r="N13" s="140">
        <f t="shared" ref="N13:N42" si="20">L13*M13/100</f>
        <v>4060</v>
      </c>
      <c r="O13" s="140">
        <f t="shared" ref="O13:O42" si="21">N13*0.53</f>
        <v>2151.8000000000002</v>
      </c>
      <c r="P13" s="38">
        <f t="shared" ref="P13:P42" si="22">O13*8.8038</f>
        <v>18944.016840000004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35">
        <f t="shared" si="13"/>
        <v>0</v>
      </c>
      <c r="AD13" s="80">
        <f t="shared" si="14"/>
        <v>0</v>
      </c>
      <c r="AE13" s="80">
        <f t="shared" si="15"/>
        <v>0</v>
      </c>
    </row>
    <row r="14" spans="1:31" ht="32.25" customHeight="1" x14ac:dyDescent="0.3">
      <c r="A14" s="36">
        <f t="shared" si="12"/>
        <v>43834</v>
      </c>
      <c r="B14" s="139">
        <v>45</v>
      </c>
      <c r="C14" s="140">
        <f t="shared" si="0"/>
        <v>13</v>
      </c>
      <c r="D14" s="139">
        <v>50</v>
      </c>
      <c r="E14" s="140">
        <f t="shared" si="1"/>
        <v>16</v>
      </c>
      <c r="F14" s="139">
        <v>42</v>
      </c>
      <c r="G14" s="140">
        <f t="shared" si="2"/>
        <v>11</v>
      </c>
      <c r="H14" s="139">
        <v>45</v>
      </c>
      <c r="I14" s="140">
        <f t="shared" si="16"/>
        <v>8</v>
      </c>
      <c r="J14" s="140">
        <f t="shared" si="17"/>
        <v>182</v>
      </c>
      <c r="K14" s="140">
        <f t="shared" si="18"/>
        <v>45.5</v>
      </c>
      <c r="L14" s="140">
        <f t="shared" si="19"/>
        <v>12</v>
      </c>
      <c r="M14" s="140">
        <f t="shared" si="7"/>
        <v>28000</v>
      </c>
      <c r="N14" s="140">
        <f t="shared" si="20"/>
        <v>3360</v>
      </c>
      <c r="O14" s="140">
        <f t="shared" si="21"/>
        <v>1780.8000000000002</v>
      </c>
      <c r="P14" s="38">
        <f t="shared" si="22"/>
        <v>15677.807040000003</v>
      </c>
      <c r="Q14" s="140">
        <v>2000</v>
      </c>
      <c r="R14" s="140">
        <v>40</v>
      </c>
      <c r="S14" s="140">
        <v>68</v>
      </c>
      <c r="T14" s="140">
        <v>2000</v>
      </c>
      <c r="U14" s="140">
        <v>40</v>
      </c>
      <c r="V14" s="140">
        <v>68</v>
      </c>
      <c r="W14" s="140">
        <v>2000</v>
      </c>
      <c r="X14" s="140">
        <v>40</v>
      </c>
      <c r="Y14" s="140">
        <v>67</v>
      </c>
      <c r="Z14" s="140">
        <v>1740</v>
      </c>
      <c r="AA14" s="140">
        <v>38</v>
      </c>
      <c r="AB14" s="140">
        <v>60</v>
      </c>
      <c r="AC14" s="35">
        <f t="shared" si="13"/>
        <v>7740</v>
      </c>
      <c r="AD14" s="80">
        <f t="shared" si="14"/>
        <v>39.5</v>
      </c>
      <c r="AE14" s="80">
        <f t="shared" si="15"/>
        <v>65.75</v>
      </c>
    </row>
    <row r="15" spans="1:31" ht="32.25" customHeight="1" x14ac:dyDescent="0.3">
      <c r="A15" s="36">
        <f t="shared" si="12"/>
        <v>43835</v>
      </c>
      <c r="B15" s="139">
        <v>60</v>
      </c>
      <c r="C15" s="140">
        <f t="shared" si="0"/>
        <v>10</v>
      </c>
      <c r="D15" s="139">
        <v>62</v>
      </c>
      <c r="E15" s="140">
        <f t="shared" si="1"/>
        <v>8</v>
      </c>
      <c r="F15" s="139">
        <v>58</v>
      </c>
      <c r="G15" s="140">
        <f t="shared" si="2"/>
        <v>10</v>
      </c>
      <c r="H15" s="139">
        <v>59</v>
      </c>
      <c r="I15" s="140">
        <f t="shared" si="16"/>
        <v>9</v>
      </c>
      <c r="J15" s="140">
        <f t="shared" si="17"/>
        <v>239</v>
      </c>
      <c r="K15" s="140">
        <f t="shared" si="18"/>
        <v>59.75</v>
      </c>
      <c r="L15" s="140">
        <f t="shared" si="19"/>
        <v>9.25</v>
      </c>
      <c r="M15" s="140">
        <f t="shared" si="7"/>
        <v>28000</v>
      </c>
      <c r="N15" s="140">
        <f t="shared" si="20"/>
        <v>2590</v>
      </c>
      <c r="O15" s="140">
        <f t="shared" si="21"/>
        <v>1372.7</v>
      </c>
      <c r="P15" s="38">
        <f t="shared" si="22"/>
        <v>12084.976260000001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43836</v>
      </c>
      <c r="B16" s="139">
        <v>50</v>
      </c>
      <c r="C16" s="140">
        <f t="shared" si="0"/>
        <v>10</v>
      </c>
      <c r="D16" s="139">
        <v>54</v>
      </c>
      <c r="E16" s="140">
        <f t="shared" si="1"/>
        <v>12</v>
      </c>
      <c r="F16" s="139">
        <v>48</v>
      </c>
      <c r="G16" s="140">
        <f t="shared" si="2"/>
        <v>9</v>
      </c>
      <c r="H16" s="139">
        <v>50</v>
      </c>
      <c r="I16" s="140">
        <f t="shared" si="16"/>
        <v>10</v>
      </c>
      <c r="J16" s="140">
        <f t="shared" si="17"/>
        <v>202</v>
      </c>
      <c r="K16" s="140">
        <f t="shared" si="18"/>
        <v>50.5</v>
      </c>
      <c r="L16" s="140">
        <f t="shared" si="19"/>
        <v>10.25</v>
      </c>
      <c r="M16" s="140">
        <f t="shared" si="7"/>
        <v>28000</v>
      </c>
      <c r="N16" s="140">
        <f t="shared" si="20"/>
        <v>2870</v>
      </c>
      <c r="O16" s="140">
        <f t="shared" si="21"/>
        <v>1521.1000000000001</v>
      </c>
      <c r="P16" s="38">
        <f t="shared" si="22"/>
        <v>13391.460180000002</v>
      </c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43837</v>
      </c>
      <c r="B17" s="139">
        <v>40</v>
      </c>
      <c r="C17" s="140">
        <f t="shared" si="0"/>
        <v>7</v>
      </c>
      <c r="D17" s="139">
        <v>42</v>
      </c>
      <c r="E17" s="140">
        <f t="shared" si="1"/>
        <v>7</v>
      </c>
      <c r="F17" s="139">
        <v>39</v>
      </c>
      <c r="G17" s="140">
        <f t="shared" si="2"/>
        <v>11</v>
      </c>
      <c r="H17" s="139">
        <v>40</v>
      </c>
      <c r="I17" s="140">
        <f t="shared" si="16"/>
        <v>5</v>
      </c>
      <c r="J17" s="140">
        <f t="shared" si="17"/>
        <v>161</v>
      </c>
      <c r="K17" s="140">
        <f t="shared" si="18"/>
        <v>40.25</v>
      </c>
      <c r="L17" s="140">
        <f t="shared" si="19"/>
        <v>7.5</v>
      </c>
      <c r="M17" s="140">
        <f t="shared" si="7"/>
        <v>28000</v>
      </c>
      <c r="N17" s="140">
        <f t="shared" si="20"/>
        <v>2100</v>
      </c>
      <c r="O17" s="140">
        <f t="shared" si="21"/>
        <v>1113</v>
      </c>
      <c r="P17" s="38">
        <f t="shared" si="22"/>
        <v>9798.6294000000016</v>
      </c>
      <c r="Q17" s="140">
        <v>3366</v>
      </c>
      <c r="R17" s="140">
        <v>38</v>
      </c>
      <c r="S17" s="140">
        <v>85</v>
      </c>
      <c r="T17" s="140">
        <v>3442</v>
      </c>
      <c r="U17" s="140">
        <v>40</v>
      </c>
      <c r="V17" s="140">
        <v>85</v>
      </c>
      <c r="W17" s="140">
        <v>3701</v>
      </c>
      <c r="X17" s="140">
        <v>35</v>
      </c>
      <c r="Y17" s="140">
        <v>82</v>
      </c>
      <c r="Z17" s="140">
        <v>2900</v>
      </c>
      <c r="AA17" s="140">
        <v>36</v>
      </c>
      <c r="AB17" s="140">
        <v>75</v>
      </c>
      <c r="AC17" s="35">
        <f t="shared" si="13"/>
        <v>13409</v>
      </c>
      <c r="AD17" s="80">
        <f t="shared" si="14"/>
        <v>37.25</v>
      </c>
      <c r="AE17" s="80">
        <f t="shared" si="15"/>
        <v>81.75</v>
      </c>
    </row>
    <row r="18" spans="1:31" ht="32.25" customHeight="1" x14ac:dyDescent="0.3">
      <c r="A18" s="36">
        <f t="shared" si="12"/>
        <v>43838</v>
      </c>
      <c r="B18" s="139">
        <v>80</v>
      </c>
      <c r="C18" s="140">
        <f t="shared" si="0"/>
        <v>14</v>
      </c>
      <c r="D18" s="139">
        <v>80</v>
      </c>
      <c r="E18" s="140">
        <f t="shared" si="1"/>
        <v>12</v>
      </c>
      <c r="F18" s="139">
        <v>75</v>
      </c>
      <c r="G18" s="140">
        <f t="shared" si="2"/>
        <v>13</v>
      </c>
      <c r="H18" s="139">
        <v>74</v>
      </c>
      <c r="I18" s="140">
        <f t="shared" si="16"/>
        <v>9</v>
      </c>
      <c r="J18" s="140">
        <f t="shared" si="17"/>
        <v>309</v>
      </c>
      <c r="K18" s="140">
        <f t="shared" si="18"/>
        <v>77.25</v>
      </c>
      <c r="L18" s="140">
        <f t="shared" si="19"/>
        <v>12</v>
      </c>
      <c r="M18" s="140">
        <f t="shared" si="7"/>
        <v>28000</v>
      </c>
      <c r="N18" s="140">
        <f t="shared" si="20"/>
        <v>3360</v>
      </c>
      <c r="O18" s="140">
        <f t="shared" si="21"/>
        <v>1780.8000000000002</v>
      </c>
      <c r="P18" s="38">
        <f t="shared" si="22"/>
        <v>15677.807040000003</v>
      </c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43839</v>
      </c>
      <c r="B19" s="139">
        <v>66</v>
      </c>
      <c r="C19" s="140">
        <f t="shared" si="0"/>
        <v>16</v>
      </c>
      <c r="D19" s="139">
        <v>68</v>
      </c>
      <c r="E19" s="140">
        <f t="shared" si="1"/>
        <v>18</v>
      </c>
      <c r="F19" s="139">
        <v>62</v>
      </c>
      <c r="G19" s="140">
        <f t="shared" si="2"/>
        <v>17</v>
      </c>
      <c r="H19" s="139">
        <v>65</v>
      </c>
      <c r="I19" s="140">
        <f t="shared" si="16"/>
        <v>15</v>
      </c>
      <c r="J19" s="140">
        <f t="shared" si="17"/>
        <v>261</v>
      </c>
      <c r="K19" s="140">
        <f t="shared" si="18"/>
        <v>65.25</v>
      </c>
      <c r="L19" s="140">
        <f t="shared" si="19"/>
        <v>16.5</v>
      </c>
      <c r="M19" s="140">
        <f t="shared" si="7"/>
        <v>28000</v>
      </c>
      <c r="N19" s="140">
        <f t="shared" si="20"/>
        <v>4620</v>
      </c>
      <c r="O19" s="140">
        <f t="shared" si="21"/>
        <v>2448.6</v>
      </c>
      <c r="P19" s="38">
        <f t="shared" si="22"/>
        <v>21556.984680000001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43840</v>
      </c>
      <c r="B20" s="139">
        <v>50</v>
      </c>
      <c r="C20" s="140">
        <f t="shared" si="0"/>
        <v>10</v>
      </c>
      <c r="D20" s="139">
        <v>50</v>
      </c>
      <c r="E20" s="140">
        <f t="shared" si="1"/>
        <v>10</v>
      </c>
      <c r="F20" s="139">
        <v>45</v>
      </c>
      <c r="G20" s="140">
        <f t="shared" si="2"/>
        <v>9</v>
      </c>
      <c r="H20" s="139">
        <v>50</v>
      </c>
      <c r="I20" s="140">
        <f t="shared" si="16"/>
        <v>11</v>
      </c>
      <c r="J20" s="140">
        <f t="shared" si="17"/>
        <v>195</v>
      </c>
      <c r="K20" s="140">
        <f t="shared" si="18"/>
        <v>48.75</v>
      </c>
      <c r="L20" s="140">
        <f t="shared" si="19"/>
        <v>10</v>
      </c>
      <c r="M20" s="140">
        <f t="shared" si="7"/>
        <v>28000</v>
      </c>
      <c r="N20" s="140">
        <f t="shared" si="20"/>
        <v>2800</v>
      </c>
      <c r="O20" s="140">
        <f t="shared" si="21"/>
        <v>1484</v>
      </c>
      <c r="P20" s="38">
        <f t="shared" si="22"/>
        <v>13064.8392</v>
      </c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43841</v>
      </c>
      <c r="B21" s="139">
        <v>40</v>
      </c>
      <c r="C21" s="140">
        <f t="shared" si="0"/>
        <v>0</v>
      </c>
      <c r="D21" s="139">
        <v>40</v>
      </c>
      <c r="E21" s="140">
        <f t="shared" si="1"/>
        <v>0</v>
      </c>
      <c r="F21" s="139">
        <v>36</v>
      </c>
      <c r="G21" s="140">
        <f t="shared" si="2"/>
        <v>0</v>
      </c>
      <c r="H21" s="139">
        <v>39</v>
      </c>
      <c r="I21" s="140">
        <f t="shared" si="16"/>
        <v>0</v>
      </c>
      <c r="J21" s="140">
        <f t="shared" si="17"/>
        <v>155</v>
      </c>
      <c r="K21" s="140">
        <f t="shared" si="18"/>
        <v>38.75</v>
      </c>
      <c r="L21" s="140">
        <f t="shared" si="19"/>
        <v>0</v>
      </c>
      <c r="M21" s="140">
        <f t="shared" si="7"/>
        <v>28000</v>
      </c>
      <c r="N21" s="140">
        <f t="shared" si="20"/>
        <v>0</v>
      </c>
      <c r="O21" s="140">
        <f t="shared" si="21"/>
        <v>0</v>
      </c>
      <c r="P21" s="38">
        <f t="shared" si="22"/>
        <v>0</v>
      </c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43842</v>
      </c>
      <c r="B22" s="139"/>
      <c r="C22" s="140">
        <f t="shared" ref="C20:C41" si="23">IF(AC22&gt;0,((B22-R22)+(S22-B23)),IF(B23=0, ,(B22-B23)))</f>
        <v>0</v>
      </c>
      <c r="D22" s="139"/>
      <c r="E22" s="140">
        <f t="shared" ref="E20:E41" si="24">IF(AC22&gt;0,((D22-U22)+(V22-D23)),IF(D23=0, ,(D22-D23)))</f>
        <v>0</v>
      </c>
      <c r="F22" s="139"/>
      <c r="G22" s="140">
        <f t="shared" ref="G20:G41" si="25">IF(AC22&gt;0,((F22-X22)+(Y22-F23)),IF(F23=0, ,(F22-F23)))</f>
        <v>0</v>
      </c>
      <c r="H22" s="139"/>
      <c r="I22" s="140">
        <f t="shared" si="16"/>
        <v>0</v>
      </c>
      <c r="J22" s="140">
        <f t="shared" si="17"/>
        <v>0</v>
      </c>
      <c r="K22" s="140">
        <f t="shared" si="18"/>
        <v>0</v>
      </c>
      <c r="L22" s="140">
        <f t="shared" si="19"/>
        <v>0</v>
      </c>
      <c r="M22" s="140">
        <f t="shared" si="7"/>
        <v>28000</v>
      </c>
      <c r="N22" s="140">
        <f t="shared" si="20"/>
        <v>0</v>
      </c>
      <c r="O22" s="140">
        <f t="shared" si="21"/>
        <v>0</v>
      </c>
      <c r="P22" s="38">
        <f t="shared" si="22"/>
        <v>0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43843</v>
      </c>
      <c r="B23" s="139"/>
      <c r="C23" s="140">
        <f t="shared" si="23"/>
        <v>0</v>
      </c>
      <c r="D23" s="139"/>
      <c r="E23" s="140">
        <f t="shared" si="24"/>
        <v>0</v>
      </c>
      <c r="F23" s="139"/>
      <c r="G23" s="140">
        <f t="shared" si="25"/>
        <v>0</v>
      </c>
      <c r="H23" s="139"/>
      <c r="I23" s="140">
        <f t="shared" si="16"/>
        <v>0</v>
      </c>
      <c r="J23" s="140">
        <f t="shared" si="17"/>
        <v>0</v>
      </c>
      <c r="K23" s="140">
        <f t="shared" si="18"/>
        <v>0</v>
      </c>
      <c r="L23" s="140">
        <f t="shared" si="19"/>
        <v>0</v>
      </c>
      <c r="M23" s="140">
        <f t="shared" si="7"/>
        <v>28000</v>
      </c>
      <c r="N23" s="140">
        <f t="shared" si="20"/>
        <v>0</v>
      </c>
      <c r="O23" s="140">
        <f t="shared" si="21"/>
        <v>0</v>
      </c>
      <c r="P23" s="38">
        <f t="shared" si="22"/>
        <v>0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43844</v>
      </c>
      <c r="B24" s="139"/>
      <c r="C24" s="140">
        <f t="shared" si="23"/>
        <v>0</v>
      </c>
      <c r="D24" s="139"/>
      <c r="E24" s="140">
        <f t="shared" si="24"/>
        <v>0</v>
      </c>
      <c r="F24" s="139"/>
      <c r="G24" s="140">
        <f t="shared" si="25"/>
        <v>0</v>
      </c>
      <c r="H24" s="139"/>
      <c r="I24" s="140">
        <f t="shared" si="16"/>
        <v>0</v>
      </c>
      <c r="J24" s="140">
        <f t="shared" si="17"/>
        <v>0</v>
      </c>
      <c r="K24" s="140">
        <f t="shared" si="18"/>
        <v>0</v>
      </c>
      <c r="L24" s="140">
        <f t="shared" si="19"/>
        <v>0</v>
      </c>
      <c r="M24" s="140">
        <f t="shared" si="7"/>
        <v>28000</v>
      </c>
      <c r="N24" s="140">
        <f t="shared" si="20"/>
        <v>0</v>
      </c>
      <c r="O24" s="140">
        <f t="shared" si="21"/>
        <v>0</v>
      </c>
      <c r="P24" s="38">
        <f t="shared" si="22"/>
        <v>0</v>
      </c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43845</v>
      </c>
      <c r="B25" s="139"/>
      <c r="C25" s="140">
        <f t="shared" si="23"/>
        <v>0</v>
      </c>
      <c r="D25" s="139"/>
      <c r="E25" s="140">
        <f t="shared" si="24"/>
        <v>0</v>
      </c>
      <c r="F25" s="139"/>
      <c r="G25" s="140">
        <f t="shared" si="25"/>
        <v>0</v>
      </c>
      <c r="H25" s="139"/>
      <c r="I25" s="140">
        <f t="shared" si="16"/>
        <v>0</v>
      </c>
      <c r="J25" s="140">
        <f t="shared" si="17"/>
        <v>0</v>
      </c>
      <c r="K25" s="140">
        <f t="shared" si="18"/>
        <v>0</v>
      </c>
      <c r="L25" s="140">
        <f t="shared" si="19"/>
        <v>0</v>
      </c>
      <c r="M25" s="140">
        <f t="shared" si="7"/>
        <v>28000</v>
      </c>
      <c r="N25" s="140">
        <f t="shared" si="20"/>
        <v>0</v>
      </c>
      <c r="O25" s="140">
        <f t="shared" si="21"/>
        <v>0</v>
      </c>
      <c r="P25" s="38">
        <f t="shared" si="22"/>
        <v>0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43846</v>
      </c>
      <c r="B26" s="139"/>
      <c r="C26" s="140">
        <f t="shared" si="23"/>
        <v>0</v>
      </c>
      <c r="D26" s="139"/>
      <c r="E26" s="140">
        <f t="shared" si="24"/>
        <v>0</v>
      </c>
      <c r="F26" s="139"/>
      <c r="G26" s="140">
        <f t="shared" si="25"/>
        <v>0</v>
      </c>
      <c r="H26" s="139"/>
      <c r="I26" s="140">
        <f t="shared" si="16"/>
        <v>0</v>
      </c>
      <c r="J26" s="140">
        <f t="shared" si="17"/>
        <v>0</v>
      </c>
      <c r="K26" s="140">
        <f t="shared" si="18"/>
        <v>0</v>
      </c>
      <c r="L26" s="140">
        <f t="shared" si="19"/>
        <v>0</v>
      </c>
      <c r="M26" s="140">
        <f t="shared" si="7"/>
        <v>28000</v>
      </c>
      <c r="N26" s="140">
        <f t="shared" si="20"/>
        <v>0</v>
      </c>
      <c r="O26" s="140">
        <f t="shared" si="21"/>
        <v>0</v>
      </c>
      <c r="P26" s="38">
        <f t="shared" si="22"/>
        <v>0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43847</v>
      </c>
      <c r="B27" s="139"/>
      <c r="C27" s="140">
        <f t="shared" si="23"/>
        <v>0</v>
      </c>
      <c r="D27" s="139"/>
      <c r="E27" s="140">
        <f t="shared" si="24"/>
        <v>0</v>
      </c>
      <c r="F27" s="139"/>
      <c r="G27" s="140">
        <f t="shared" si="25"/>
        <v>0</v>
      </c>
      <c r="H27" s="139"/>
      <c r="I27" s="140">
        <f t="shared" si="16"/>
        <v>0</v>
      </c>
      <c r="J27" s="140">
        <f t="shared" si="17"/>
        <v>0</v>
      </c>
      <c r="K27" s="140">
        <f t="shared" si="18"/>
        <v>0</v>
      </c>
      <c r="L27" s="140">
        <f t="shared" si="19"/>
        <v>0</v>
      </c>
      <c r="M27" s="140">
        <f t="shared" si="7"/>
        <v>28000</v>
      </c>
      <c r="N27" s="140">
        <f t="shared" si="20"/>
        <v>0</v>
      </c>
      <c r="O27" s="140">
        <f t="shared" si="21"/>
        <v>0</v>
      </c>
      <c r="P27" s="38">
        <f t="shared" si="22"/>
        <v>0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43848</v>
      </c>
      <c r="B28" s="139"/>
      <c r="C28" s="140">
        <f t="shared" si="23"/>
        <v>0</v>
      </c>
      <c r="D28" s="139"/>
      <c r="E28" s="140">
        <f t="shared" si="24"/>
        <v>0</v>
      </c>
      <c r="F28" s="139"/>
      <c r="G28" s="140">
        <f t="shared" si="25"/>
        <v>0</v>
      </c>
      <c r="H28" s="139"/>
      <c r="I28" s="140">
        <f t="shared" si="16"/>
        <v>0</v>
      </c>
      <c r="J28" s="140">
        <f t="shared" si="17"/>
        <v>0</v>
      </c>
      <c r="K28" s="140">
        <f t="shared" si="18"/>
        <v>0</v>
      </c>
      <c r="L28" s="140">
        <f t="shared" si="19"/>
        <v>0</v>
      </c>
      <c r="M28" s="140">
        <f t="shared" si="7"/>
        <v>28000</v>
      </c>
      <c r="N28" s="140">
        <f t="shared" si="20"/>
        <v>0</v>
      </c>
      <c r="O28" s="140">
        <f t="shared" si="21"/>
        <v>0</v>
      </c>
      <c r="P28" s="38">
        <f t="shared" si="22"/>
        <v>0</v>
      </c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43849</v>
      </c>
      <c r="B29" s="139"/>
      <c r="C29" s="140">
        <f t="shared" si="23"/>
        <v>0</v>
      </c>
      <c r="D29" s="139"/>
      <c r="E29" s="140">
        <f t="shared" si="24"/>
        <v>0</v>
      </c>
      <c r="F29" s="139"/>
      <c r="G29" s="140">
        <f t="shared" si="25"/>
        <v>0</v>
      </c>
      <c r="H29" s="139"/>
      <c r="I29" s="140">
        <f t="shared" si="16"/>
        <v>0</v>
      </c>
      <c r="J29" s="140">
        <f t="shared" si="17"/>
        <v>0</v>
      </c>
      <c r="K29" s="140">
        <f t="shared" si="18"/>
        <v>0</v>
      </c>
      <c r="L29" s="140">
        <f t="shared" si="19"/>
        <v>0</v>
      </c>
      <c r="M29" s="140">
        <f t="shared" si="7"/>
        <v>28000</v>
      </c>
      <c r="N29" s="140">
        <f t="shared" si="20"/>
        <v>0</v>
      </c>
      <c r="O29" s="140">
        <f t="shared" si="21"/>
        <v>0</v>
      </c>
      <c r="P29" s="38">
        <f t="shared" si="22"/>
        <v>0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43850</v>
      </c>
      <c r="B30" s="139"/>
      <c r="C30" s="140">
        <f t="shared" si="23"/>
        <v>0</v>
      </c>
      <c r="D30" s="139"/>
      <c r="E30" s="140">
        <f t="shared" si="24"/>
        <v>0</v>
      </c>
      <c r="F30" s="139"/>
      <c r="G30" s="140">
        <f t="shared" si="25"/>
        <v>0</v>
      </c>
      <c r="H30" s="139"/>
      <c r="I30" s="140">
        <f t="shared" si="16"/>
        <v>0</v>
      </c>
      <c r="J30" s="140">
        <f t="shared" si="17"/>
        <v>0</v>
      </c>
      <c r="K30" s="140">
        <f t="shared" si="18"/>
        <v>0</v>
      </c>
      <c r="L30" s="140">
        <f t="shared" si="19"/>
        <v>0</v>
      </c>
      <c r="M30" s="140">
        <f t="shared" si="7"/>
        <v>28000</v>
      </c>
      <c r="N30" s="140">
        <f t="shared" si="20"/>
        <v>0</v>
      </c>
      <c r="O30" s="140">
        <f t="shared" si="21"/>
        <v>0</v>
      </c>
      <c r="P30" s="38">
        <f t="shared" si="22"/>
        <v>0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43851</v>
      </c>
      <c r="B31" s="139"/>
      <c r="C31" s="140">
        <f t="shared" si="23"/>
        <v>0</v>
      </c>
      <c r="D31" s="139"/>
      <c r="E31" s="140">
        <f t="shared" si="24"/>
        <v>0</v>
      </c>
      <c r="F31" s="139"/>
      <c r="G31" s="140">
        <f t="shared" si="25"/>
        <v>0</v>
      </c>
      <c r="H31" s="139"/>
      <c r="I31" s="140">
        <f t="shared" si="16"/>
        <v>0</v>
      </c>
      <c r="J31" s="140">
        <f t="shared" si="17"/>
        <v>0</v>
      </c>
      <c r="K31" s="140">
        <f t="shared" si="18"/>
        <v>0</v>
      </c>
      <c r="L31" s="140">
        <f t="shared" si="19"/>
        <v>0</v>
      </c>
      <c r="M31" s="140">
        <f t="shared" si="7"/>
        <v>28000</v>
      </c>
      <c r="N31" s="140">
        <f t="shared" si="20"/>
        <v>0</v>
      </c>
      <c r="O31" s="140">
        <f t="shared" si="21"/>
        <v>0</v>
      </c>
      <c r="P31" s="38">
        <f t="shared" si="22"/>
        <v>0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43852</v>
      </c>
      <c r="B32" s="139"/>
      <c r="C32" s="140">
        <f t="shared" si="23"/>
        <v>0</v>
      </c>
      <c r="D32" s="139"/>
      <c r="E32" s="140">
        <f t="shared" si="24"/>
        <v>0</v>
      </c>
      <c r="F32" s="139"/>
      <c r="G32" s="140">
        <f t="shared" si="25"/>
        <v>0</v>
      </c>
      <c r="H32" s="139"/>
      <c r="I32" s="140">
        <f t="shared" si="16"/>
        <v>0</v>
      </c>
      <c r="J32" s="140">
        <f t="shared" si="17"/>
        <v>0</v>
      </c>
      <c r="K32" s="140">
        <f t="shared" si="18"/>
        <v>0</v>
      </c>
      <c r="L32" s="140">
        <f t="shared" si="19"/>
        <v>0</v>
      </c>
      <c r="M32" s="140">
        <f t="shared" si="7"/>
        <v>28000</v>
      </c>
      <c r="N32" s="140">
        <f t="shared" si="20"/>
        <v>0</v>
      </c>
      <c r="O32" s="140">
        <f t="shared" si="21"/>
        <v>0</v>
      </c>
      <c r="P32" s="38">
        <f t="shared" si="22"/>
        <v>0</v>
      </c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43853</v>
      </c>
      <c r="B33" s="139"/>
      <c r="C33" s="140">
        <f t="shared" si="23"/>
        <v>0</v>
      </c>
      <c r="D33" s="139"/>
      <c r="E33" s="140">
        <f t="shared" si="24"/>
        <v>0</v>
      </c>
      <c r="F33" s="139"/>
      <c r="G33" s="140">
        <f t="shared" si="25"/>
        <v>0</v>
      </c>
      <c r="H33" s="139"/>
      <c r="I33" s="140">
        <f t="shared" si="16"/>
        <v>0</v>
      </c>
      <c r="J33" s="140">
        <f t="shared" si="17"/>
        <v>0</v>
      </c>
      <c r="K33" s="140">
        <f t="shared" si="18"/>
        <v>0</v>
      </c>
      <c r="L33" s="140">
        <f t="shared" si="19"/>
        <v>0</v>
      </c>
      <c r="M33" s="140">
        <f t="shared" si="7"/>
        <v>28000</v>
      </c>
      <c r="N33" s="140">
        <f t="shared" si="20"/>
        <v>0</v>
      </c>
      <c r="O33" s="140">
        <f t="shared" si="21"/>
        <v>0</v>
      </c>
      <c r="P33" s="38">
        <f t="shared" si="22"/>
        <v>0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43854</v>
      </c>
      <c r="B34" s="139"/>
      <c r="C34" s="140">
        <f t="shared" si="23"/>
        <v>0</v>
      </c>
      <c r="D34" s="139"/>
      <c r="E34" s="140">
        <f t="shared" si="24"/>
        <v>0</v>
      </c>
      <c r="F34" s="139"/>
      <c r="G34" s="140">
        <f t="shared" si="25"/>
        <v>0</v>
      </c>
      <c r="H34" s="139"/>
      <c r="I34" s="140">
        <f t="shared" si="16"/>
        <v>0</v>
      </c>
      <c r="J34" s="140">
        <f t="shared" si="17"/>
        <v>0</v>
      </c>
      <c r="K34" s="140">
        <f t="shared" si="18"/>
        <v>0</v>
      </c>
      <c r="L34" s="140">
        <f t="shared" si="19"/>
        <v>0</v>
      </c>
      <c r="M34" s="140">
        <f t="shared" si="7"/>
        <v>28000</v>
      </c>
      <c r="N34" s="140">
        <f t="shared" si="20"/>
        <v>0</v>
      </c>
      <c r="O34" s="140">
        <f t="shared" si="21"/>
        <v>0</v>
      </c>
      <c r="P34" s="38">
        <f t="shared" si="22"/>
        <v>0</v>
      </c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43855</v>
      </c>
      <c r="B35" s="139"/>
      <c r="C35" s="140">
        <f t="shared" si="23"/>
        <v>0</v>
      </c>
      <c r="D35" s="139"/>
      <c r="E35" s="140">
        <f t="shared" si="24"/>
        <v>0</v>
      </c>
      <c r="F35" s="139"/>
      <c r="G35" s="140">
        <f t="shared" si="25"/>
        <v>0</v>
      </c>
      <c r="H35" s="139"/>
      <c r="I35" s="140">
        <f t="shared" si="16"/>
        <v>0</v>
      </c>
      <c r="J35" s="140">
        <f t="shared" si="17"/>
        <v>0</v>
      </c>
      <c r="K35" s="140">
        <f t="shared" si="18"/>
        <v>0</v>
      </c>
      <c r="L35" s="140">
        <f t="shared" si="19"/>
        <v>0</v>
      </c>
      <c r="M35" s="140">
        <f t="shared" si="7"/>
        <v>28000</v>
      </c>
      <c r="N35" s="140">
        <f t="shared" si="20"/>
        <v>0</v>
      </c>
      <c r="O35" s="140">
        <f t="shared" si="21"/>
        <v>0</v>
      </c>
      <c r="P35" s="38">
        <f t="shared" si="22"/>
        <v>0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43856</v>
      </c>
      <c r="B36" s="139"/>
      <c r="C36" s="140">
        <f t="shared" si="23"/>
        <v>0</v>
      </c>
      <c r="D36" s="139"/>
      <c r="E36" s="140">
        <f t="shared" si="24"/>
        <v>0</v>
      </c>
      <c r="F36" s="139"/>
      <c r="G36" s="140">
        <f t="shared" si="25"/>
        <v>0</v>
      </c>
      <c r="H36" s="139"/>
      <c r="I36" s="140">
        <f t="shared" si="16"/>
        <v>0</v>
      </c>
      <c r="J36" s="140">
        <f t="shared" si="17"/>
        <v>0</v>
      </c>
      <c r="K36" s="140">
        <f t="shared" si="18"/>
        <v>0</v>
      </c>
      <c r="L36" s="140">
        <f t="shared" si="19"/>
        <v>0</v>
      </c>
      <c r="M36" s="140">
        <f t="shared" si="7"/>
        <v>28000</v>
      </c>
      <c r="N36" s="140">
        <f t="shared" si="20"/>
        <v>0</v>
      </c>
      <c r="O36" s="140">
        <f t="shared" si="21"/>
        <v>0</v>
      </c>
      <c r="P36" s="38">
        <f t="shared" si="22"/>
        <v>0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43857</v>
      </c>
      <c r="B37" s="139"/>
      <c r="C37" s="140">
        <f t="shared" si="23"/>
        <v>0</v>
      </c>
      <c r="D37" s="139"/>
      <c r="E37" s="140">
        <f t="shared" si="24"/>
        <v>0</v>
      </c>
      <c r="F37" s="139"/>
      <c r="G37" s="140">
        <f t="shared" si="25"/>
        <v>0</v>
      </c>
      <c r="H37" s="139"/>
      <c r="I37" s="140">
        <f t="shared" si="16"/>
        <v>0</v>
      </c>
      <c r="J37" s="140">
        <f t="shared" si="17"/>
        <v>0</v>
      </c>
      <c r="K37" s="140">
        <f t="shared" si="18"/>
        <v>0</v>
      </c>
      <c r="L37" s="140">
        <f t="shared" si="19"/>
        <v>0</v>
      </c>
      <c r="M37" s="140">
        <f t="shared" si="7"/>
        <v>28000</v>
      </c>
      <c r="N37" s="140">
        <f t="shared" si="20"/>
        <v>0</v>
      </c>
      <c r="O37" s="140">
        <f t="shared" si="21"/>
        <v>0</v>
      </c>
      <c r="P37" s="38">
        <f t="shared" si="22"/>
        <v>0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43858</v>
      </c>
      <c r="B38" s="139"/>
      <c r="C38" s="140">
        <f t="shared" si="23"/>
        <v>0</v>
      </c>
      <c r="D38" s="139"/>
      <c r="E38" s="140">
        <f t="shared" si="24"/>
        <v>0</v>
      </c>
      <c r="F38" s="139"/>
      <c r="G38" s="140">
        <f t="shared" si="25"/>
        <v>0</v>
      </c>
      <c r="H38" s="139"/>
      <c r="I38" s="140">
        <f t="shared" si="16"/>
        <v>0</v>
      </c>
      <c r="J38" s="140">
        <f t="shared" si="17"/>
        <v>0</v>
      </c>
      <c r="K38" s="140">
        <f t="shared" si="18"/>
        <v>0</v>
      </c>
      <c r="L38" s="140">
        <f t="shared" si="19"/>
        <v>0</v>
      </c>
      <c r="M38" s="140">
        <f t="shared" si="7"/>
        <v>28000</v>
      </c>
      <c r="N38" s="140">
        <f t="shared" si="20"/>
        <v>0</v>
      </c>
      <c r="O38" s="140">
        <f t="shared" si="21"/>
        <v>0</v>
      </c>
      <c r="P38" s="38">
        <f t="shared" si="22"/>
        <v>0</v>
      </c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43859</v>
      </c>
      <c r="B39" s="139"/>
      <c r="C39" s="140">
        <f t="shared" si="23"/>
        <v>0</v>
      </c>
      <c r="D39" s="139"/>
      <c r="E39" s="140">
        <f t="shared" si="24"/>
        <v>0</v>
      </c>
      <c r="F39" s="139"/>
      <c r="G39" s="140">
        <f t="shared" si="25"/>
        <v>0</v>
      </c>
      <c r="H39" s="139"/>
      <c r="I39" s="140">
        <f t="shared" si="16"/>
        <v>0</v>
      </c>
      <c r="J39" s="140">
        <f t="shared" si="17"/>
        <v>0</v>
      </c>
      <c r="K39" s="140">
        <f t="shared" si="18"/>
        <v>0</v>
      </c>
      <c r="L39" s="140">
        <f t="shared" si="19"/>
        <v>0</v>
      </c>
      <c r="M39" s="140">
        <f t="shared" si="7"/>
        <v>28000</v>
      </c>
      <c r="N39" s="140">
        <f t="shared" si="20"/>
        <v>0</v>
      </c>
      <c r="O39" s="140">
        <f t="shared" si="21"/>
        <v>0</v>
      </c>
      <c r="P39" s="38">
        <f t="shared" si="22"/>
        <v>0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43860</v>
      </c>
      <c r="B40" s="139"/>
      <c r="C40" s="140">
        <f t="shared" si="23"/>
        <v>0</v>
      </c>
      <c r="D40" s="139"/>
      <c r="E40" s="140">
        <f t="shared" si="24"/>
        <v>0</v>
      </c>
      <c r="F40" s="139"/>
      <c r="G40" s="140">
        <f t="shared" si="25"/>
        <v>0</v>
      </c>
      <c r="H40" s="139"/>
      <c r="I40" s="140">
        <f t="shared" si="16"/>
        <v>0</v>
      </c>
      <c r="J40" s="140">
        <f t="shared" si="17"/>
        <v>0</v>
      </c>
      <c r="K40" s="140">
        <f t="shared" si="18"/>
        <v>0</v>
      </c>
      <c r="L40" s="140">
        <f t="shared" si="19"/>
        <v>0</v>
      </c>
      <c r="M40" s="140">
        <f t="shared" si="7"/>
        <v>28000</v>
      </c>
      <c r="N40" s="140">
        <f t="shared" si="20"/>
        <v>0</v>
      </c>
      <c r="O40" s="140">
        <f t="shared" si="21"/>
        <v>0</v>
      </c>
      <c r="P40" s="38">
        <f t="shared" si="22"/>
        <v>0</v>
      </c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43861</v>
      </c>
      <c r="B41" s="139"/>
      <c r="C41" s="140">
        <f t="shared" si="23"/>
        <v>0</v>
      </c>
      <c r="D41" s="139"/>
      <c r="E41" s="140">
        <f t="shared" si="24"/>
        <v>0</v>
      </c>
      <c r="F41" s="139"/>
      <c r="G41" s="140">
        <f t="shared" si="25"/>
        <v>0</v>
      </c>
      <c r="H41" s="139"/>
      <c r="I41" s="140">
        <f t="shared" si="16"/>
        <v>0</v>
      </c>
      <c r="J41" s="140">
        <f t="shared" si="17"/>
        <v>0</v>
      </c>
      <c r="K41" s="140">
        <f t="shared" si="18"/>
        <v>0</v>
      </c>
      <c r="L41" s="140">
        <f t="shared" si="19"/>
        <v>0</v>
      </c>
      <c r="M41" s="140">
        <f t="shared" si="7"/>
        <v>28000</v>
      </c>
      <c r="N41" s="140">
        <f t="shared" si="20"/>
        <v>0</v>
      </c>
      <c r="O41" s="140">
        <f t="shared" si="21"/>
        <v>0</v>
      </c>
      <c r="P41" s="38">
        <f t="shared" si="22"/>
        <v>0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43862</v>
      </c>
      <c r="B42" s="139"/>
      <c r="C42" s="140">
        <f t="shared" ref="C42" si="26">IF(AC42&gt;0,((B42-R42)+(S42-B43)),IF(B43=0, ,(B42-B43)))</f>
        <v>0</v>
      </c>
      <c r="D42" s="139"/>
      <c r="E42" s="140">
        <f t="shared" ref="E42" si="27">IF(AC42&gt;0,((D42-U42)+(V42-D43)),IF(D43=0, ,(D42-D43)))</f>
        <v>0</v>
      </c>
      <c r="F42" s="139"/>
      <c r="G42" s="140">
        <f t="shared" ref="G42" si="28">IF(AC42&gt;0,((F42-X42)+(Y42-F43)),IF(F43=0, ,(F42-F43)))</f>
        <v>0</v>
      </c>
      <c r="H42" s="139"/>
      <c r="I42" s="140">
        <f t="shared" si="16"/>
        <v>0</v>
      </c>
      <c r="J42" s="140">
        <f t="shared" si="17"/>
        <v>0</v>
      </c>
      <c r="K42" s="140">
        <f t="shared" si="18"/>
        <v>0</v>
      </c>
      <c r="L42" s="140">
        <f t="shared" si="19"/>
        <v>0</v>
      </c>
      <c r="M42" s="140">
        <f t="shared" si="7"/>
        <v>28000</v>
      </c>
      <c r="N42" s="140">
        <f t="shared" si="20"/>
        <v>0</v>
      </c>
      <c r="O42" s="140">
        <f t="shared" si="21"/>
        <v>0</v>
      </c>
      <c r="P42" s="38">
        <f t="shared" si="22"/>
        <v>0</v>
      </c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SUM(C11:C41)</f>
        <v>117</v>
      </c>
      <c r="D43" s="37"/>
      <c r="E43" s="140">
        <f>SUM(E11:E41)</f>
        <v>118</v>
      </c>
      <c r="F43" s="37"/>
      <c r="G43" s="140">
        <f>SUM(G11:G41)</f>
        <v>118</v>
      </c>
      <c r="H43" s="37"/>
      <c r="I43" s="140">
        <f>SUM(I11:I41)</f>
        <v>102</v>
      </c>
      <c r="J43" s="33"/>
      <c r="K43" s="33"/>
      <c r="L43" s="33"/>
      <c r="M43" s="33"/>
      <c r="N43" s="140">
        <f>SUM(N11:N41)</f>
        <v>31850</v>
      </c>
      <c r="O43" s="35">
        <f>N43*0.53</f>
        <v>16880.5</v>
      </c>
      <c r="P43" s="38">
        <f>O43*8.8038</f>
        <v>148612.54590000003</v>
      </c>
      <c r="Q43" s="250">
        <f>SUM(Q11:Q41)</f>
        <v>5366</v>
      </c>
      <c r="R43" s="251"/>
      <c r="S43" s="252"/>
      <c r="T43" s="253">
        <f>SUM(T11:T41)</f>
        <v>5442</v>
      </c>
      <c r="U43" s="251"/>
      <c r="V43" s="252"/>
      <c r="W43" s="253">
        <f>SUM(W11:W41)</f>
        <v>5701</v>
      </c>
      <c r="X43" s="251"/>
      <c r="Y43" s="252"/>
      <c r="Z43" s="253">
        <f>SUM(Z11:Z41)</f>
        <v>4640</v>
      </c>
      <c r="AA43" s="251"/>
      <c r="AB43" s="252"/>
      <c r="AC43" s="35">
        <f>SUM(AC11:AC41)</f>
        <v>21149</v>
      </c>
      <c r="AD43" s="33"/>
      <c r="AE43" s="33"/>
    </row>
    <row r="44" spans="1:31" ht="35.25" customHeight="1" thickBot="1" x14ac:dyDescent="0.35">
      <c r="B44" s="254"/>
      <c r="C44" s="255"/>
      <c r="D44" s="255"/>
      <c r="E44" s="255"/>
      <c r="F44" s="255"/>
      <c r="G44" s="255"/>
      <c r="H44" s="255"/>
      <c r="I44" s="256"/>
      <c r="J44" s="33"/>
      <c r="K44" s="33"/>
      <c r="L44" s="33"/>
      <c r="M44" s="33"/>
      <c r="N44" s="33"/>
      <c r="O44" s="33"/>
      <c r="P44" s="33"/>
      <c r="Q44" s="257">
        <f>Q43+T43+W43+Z43</f>
        <v>21149</v>
      </c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9"/>
      <c r="AC44" s="35">
        <f>Q43+T43+W43+Z43</f>
        <v>21149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0" t="s">
        <v>37</v>
      </c>
      <c r="I47" s="261"/>
      <c r="J47" s="262"/>
      <c r="K47" s="45">
        <f>N43</f>
        <v>31850</v>
      </c>
      <c r="L47" s="46">
        <f>O43</f>
        <v>16880.5</v>
      </c>
      <c r="M47" s="46">
        <f>P43</f>
        <v>148612.54590000003</v>
      </c>
    </row>
    <row r="48" spans="1:31" ht="54.75" customHeight="1" thickBot="1" x14ac:dyDescent="0.35">
      <c r="H48" s="247" t="s">
        <v>38</v>
      </c>
      <c r="I48" s="248"/>
      <c r="J48" s="249"/>
      <c r="K48" s="43">
        <f>AC43</f>
        <v>21149</v>
      </c>
      <c r="L48" s="44">
        <f>K48*0.53</f>
        <v>11208.970000000001</v>
      </c>
      <c r="M48" s="44">
        <f>L48*8.8038</f>
        <v>98681.530086000013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2" activePane="bottomRight" state="frozen"/>
      <selection pane="topRight" activeCell="B1" sqref="B1"/>
      <selection pane="bottomLeft" activeCell="A9" sqref="A9"/>
      <selection pane="bottomRight" activeCell="B27" sqref="B27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1"/>
      <c r="B1" s="282"/>
      <c r="C1" s="264" t="s">
        <v>58</v>
      </c>
      <c r="D1" s="265"/>
      <c r="E1" s="265"/>
      <c r="F1" s="265"/>
      <c r="G1" s="266"/>
      <c r="H1" s="273"/>
      <c r="I1" s="274"/>
      <c r="J1" s="50"/>
      <c r="K1" s="48"/>
      <c r="L1" s="48"/>
    </row>
    <row r="2" spans="1:20" ht="16.5" customHeight="1" x14ac:dyDescent="0.2">
      <c r="A2" s="283"/>
      <c r="B2" s="284"/>
      <c r="C2" s="267"/>
      <c r="D2" s="268"/>
      <c r="E2" s="268"/>
      <c r="F2" s="268"/>
      <c r="G2" s="269"/>
      <c r="H2" s="275"/>
      <c r="I2" s="276"/>
      <c r="J2" s="50"/>
      <c r="K2" s="48"/>
      <c r="L2" s="48"/>
    </row>
    <row r="3" spans="1:20" ht="48" customHeight="1" thickBot="1" x14ac:dyDescent="0.25">
      <c r="A3" s="285"/>
      <c r="B3" s="286"/>
      <c r="C3" s="270"/>
      <c r="D3" s="271"/>
      <c r="E3" s="271"/>
      <c r="F3" s="271"/>
      <c r="G3" s="272"/>
      <c r="H3" s="277"/>
      <c r="I3" s="278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3" t="s">
        <v>1</v>
      </c>
      <c r="B7" s="279" t="s">
        <v>42</v>
      </c>
      <c r="C7" s="279"/>
      <c r="D7" s="280" t="s">
        <v>43</v>
      </c>
      <c r="E7" s="280"/>
      <c r="F7" s="280"/>
      <c r="G7" s="280"/>
      <c r="H7" s="280"/>
      <c r="I7" s="280"/>
    </row>
    <row r="8" spans="1:20" s="27" customFormat="1" ht="28.5" customHeight="1" thickTop="1" thickBot="1" x14ac:dyDescent="0.25">
      <c r="A8" s="263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43824</v>
      </c>
      <c r="B9" s="141">
        <v>117812</v>
      </c>
      <c r="C9" s="142">
        <f t="shared" ref="C9:C26" si="0">IF(B10&lt;B9,0,B10-B9)*10</f>
        <v>510</v>
      </c>
      <c r="D9" s="143">
        <v>17970206</v>
      </c>
      <c r="E9" s="142">
        <f t="shared" ref="E9:E26" si="1">IF(D10&lt;D9,0,D10-D9)</f>
        <v>4797</v>
      </c>
      <c r="F9" s="143">
        <v>32439245</v>
      </c>
      <c r="G9" s="142">
        <f t="shared" ref="G9:G26" si="2">IF(F10&lt;F9,0,F10-F9)</f>
        <v>6857</v>
      </c>
      <c r="H9" s="143">
        <v>14342561</v>
      </c>
      <c r="I9" s="142">
        <f t="shared" ref="I9:I16" si="3">IF(H10&lt;H9,0,H10-H9)</f>
        <v>4039</v>
      </c>
    </row>
    <row r="10" spans="1:20" ht="21" thickTop="1" thickBot="1" x14ac:dyDescent="0.35">
      <c r="A10" s="59">
        <f>A9+1</f>
        <v>43825</v>
      </c>
      <c r="B10" s="141">
        <v>117863</v>
      </c>
      <c r="C10" s="142">
        <f t="shared" si="0"/>
        <v>520</v>
      </c>
      <c r="D10" s="143">
        <v>17975003</v>
      </c>
      <c r="E10" s="142">
        <f t="shared" si="1"/>
        <v>4391</v>
      </c>
      <c r="F10" s="143">
        <v>32446102</v>
      </c>
      <c r="G10" s="142">
        <f t="shared" si="2"/>
        <v>6832</v>
      </c>
      <c r="H10" s="143">
        <v>14346600</v>
      </c>
      <c r="I10" s="142">
        <f t="shared" si="3"/>
        <v>3495</v>
      </c>
    </row>
    <row r="11" spans="1:20" ht="21" thickTop="1" thickBot="1" x14ac:dyDescent="0.35">
      <c r="A11" s="59">
        <f t="shared" ref="A11:A47" si="4">A10+1</f>
        <v>43826</v>
      </c>
      <c r="B11" s="141">
        <v>117915</v>
      </c>
      <c r="C11" s="142">
        <f t="shared" si="0"/>
        <v>460</v>
      </c>
      <c r="D11" s="143">
        <v>17979394</v>
      </c>
      <c r="E11" s="142">
        <f t="shared" si="1"/>
        <v>4761</v>
      </c>
      <c r="F11" s="143">
        <v>32452934</v>
      </c>
      <c r="G11" s="142">
        <f t="shared" si="2"/>
        <v>6751</v>
      </c>
      <c r="H11" s="143">
        <v>14350095</v>
      </c>
      <c r="I11" s="142">
        <f t="shared" si="3"/>
        <v>3670</v>
      </c>
    </row>
    <row r="12" spans="1:20" ht="21" thickTop="1" thickBot="1" x14ac:dyDescent="0.35">
      <c r="A12" s="59">
        <f t="shared" si="4"/>
        <v>43827</v>
      </c>
      <c r="B12" s="141">
        <v>117961</v>
      </c>
      <c r="C12" s="142">
        <f t="shared" si="0"/>
        <v>480</v>
      </c>
      <c r="D12" s="143">
        <v>17984155</v>
      </c>
      <c r="E12" s="142">
        <f t="shared" si="1"/>
        <v>4580</v>
      </c>
      <c r="F12" s="143">
        <v>32459685</v>
      </c>
      <c r="G12" s="142">
        <f t="shared" si="2"/>
        <v>7280</v>
      </c>
      <c r="H12" s="143">
        <v>14353765</v>
      </c>
      <c r="I12" s="142">
        <f t="shared" si="3"/>
        <v>3644</v>
      </c>
    </row>
    <row r="13" spans="1:20" ht="21" thickTop="1" thickBot="1" x14ac:dyDescent="0.35">
      <c r="A13" s="59">
        <f t="shared" si="4"/>
        <v>43828</v>
      </c>
      <c r="B13" s="141">
        <v>118009</v>
      </c>
      <c r="C13" s="142">
        <f t="shared" si="0"/>
        <v>480</v>
      </c>
      <c r="D13" s="143">
        <v>17988735</v>
      </c>
      <c r="E13" s="142">
        <f t="shared" si="1"/>
        <v>4282</v>
      </c>
      <c r="F13" s="143">
        <v>32466965</v>
      </c>
      <c r="G13" s="142">
        <f t="shared" si="2"/>
        <v>6493</v>
      </c>
      <c r="H13" s="143">
        <v>14357409</v>
      </c>
      <c r="I13" s="142">
        <f t="shared" si="3"/>
        <v>3161</v>
      </c>
    </row>
    <row r="14" spans="1:20" ht="21" thickTop="1" thickBot="1" x14ac:dyDescent="0.35">
      <c r="A14" s="59">
        <f t="shared" si="4"/>
        <v>43829</v>
      </c>
      <c r="B14" s="141">
        <v>118057</v>
      </c>
      <c r="C14" s="142">
        <f t="shared" si="0"/>
        <v>440</v>
      </c>
      <c r="D14" s="143">
        <v>17993017</v>
      </c>
      <c r="E14" s="142">
        <f t="shared" si="1"/>
        <v>4776</v>
      </c>
      <c r="F14" s="143">
        <v>32473458</v>
      </c>
      <c r="G14" s="142">
        <f t="shared" si="2"/>
        <v>7221</v>
      </c>
      <c r="H14" s="143">
        <v>14360570</v>
      </c>
      <c r="I14" s="142">
        <f t="shared" si="3"/>
        <v>3692</v>
      </c>
    </row>
    <row r="15" spans="1:20" ht="21" thickTop="1" thickBot="1" x14ac:dyDescent="0.35">
      <c r="A15" s="59">
        <f t="shared" si="4"/>
        <v>43830</v>
      </c>
      <c r="B15" s="141">
        <v>118101</v>
      </c>
      <c r="C15" s="142">
        <f t="shared" si="0"/>
        <v>490</v>
      </c>
      <c r="D15" s="143">
        <v>17997793</v>
      </c>
      <c r="E15" s="142">
        <f t="shared" si="1"/>
        <v>5195</v>
      </c>
      <c r="F15" s="143">
        <v>32480679</v>
      </c>
      <c r="G15" s="142">
        <f t="shared" si="2"/>
        <v>7179</v>
      </c>
      <c r="H15" s="143">
        <v>14364262</v>
      </c>
      <c r="I15" s="142">
        <f t="shared" si="3"/>
        <v>3467</v>
      </c>
    </row>
    <row r="16" spans="1:20" ht="21" thickTop="1" thickBot="1" x14ac:dyDescent="0.35">
      <c r="A16" s="59">
        <f t="shared" si="4"/>
        <v>43831</v>
      </c>
      <c r="B16" s="141">
        <v>118150</v>
      </c>
      <c r="C16" s="142">
        <f t="shared" si="0"/>
        <v>450</v>
      </c>
      <c r="D16" s="143">
        <v>18002988</v>
      </c>
      <c r="E16" s="142">
        <f t="shared" si="1"/>
        <v>4479</v>
      </c>
      <c r="F16" s="143">
        <v>32487858</v>
      </c>
      <c r="G16" s="142">
        <f t="shared" si="2"/>
        <v>6918</v>
      </c>
      <c r="H16" s="143">
        <v>14367729</v>
      </c>
      <c r="I16" s="142">
        <f t="shared" si="3"/>
        <v>3105</v>
      </c>
    </row>
    <row r="17" spans="1:9" ht="21" thickTop="1" thickBot="1" x14ac:dyDescent="0.35">
      <c r="A17" s="59">
        <f t="shared" si="4"/>
        <v>43832</v>
      </c>
      <c r="B17" s="141">
        <v>118195</v>
      </c>
      <c r="C17" s="142">
        <f t="shared" si="0"/>
        <v>560</v>
      </c>
      <c r="D17" s="143">
        <v>18007467</v>
      </c>
      <c r="E17" s="142">
        <f t="shared" si="1"/>
        <v>4194</v>
      </c>
      <c r="F17" s="143">
        <v>32494776</v>
      </c>
      <c r="G17" s="142">
        <f t="shared" si="2"/>
        <v>6446</v>
      </c>
      <c r="H17" s="143">
        <v>14370834</v>
      </c>
      <c r="I17" s="142">
        <f>IF(H18&lt;H17,0,H18-H17)</f>
        <v>3029</v>
      </c>
    </row>
    <row r="18" spans="1:9" ht="21" thickTop="1" thickBot="1" x14ac:dyDescent="0.35">
      <c r="A18" s="59">
        <f t="shared" si="4"/>
        <v>43833</v>
      </c>
      <c r="B18" s="141">
        <v>118251</v>
      </c>
      <c r="C18" s="142">
        <f t="shared" si="0"/>
        <v>510</v>
      </c>
      <c r="D18" s="143">
        <v>18011661</v>
      </c>
      <c r="E18" s="142">
        <f t="shared" si="1"/>
        <v>4221</v>
      </c>
      <c r="F18" s="143">
        <v>32501222</v>
      </c>
      <c r="G18" s="142">
        <f t="shared" si="2"/>
        <v>6495</v>
      </c>
      <c r="H18" s="143">
        <v>14373863</v>
      </c>
      <c r="I18" s="142">
        <f>IF(H19&lt;H18,0,H19-H18)</f>
        <v>2881</v>
      </c>
    </row>
    <row r="19" spans="1:9" ht="21" thickTop="1" thickBot="1" x14ac:dyDescent="0.35">
      <c r="A19" s="59">
        <f t="shared" si="4"/>
        <v>43834</v>
      </c>
      <c r="B19" s="141">
        <v>118302</v>
      </c>
      <c r="C19" s="142">
        <f t="shared" si="0"/>
        <v>450</v>
      </c>
      <c r="D19" s="143">
        <v>18015882</v>
      </c>
      <c r="E19" s="142">
        <f t="shared" si="1"/>
        <v>4176</v>
      </c>
      <c r="F19" s="143">
        <v>32507717</v>
      </c>
      <c r="G19" s="142">
        <f t="shared" si="2"/>
        <v>6291</v>
      </c>
      <c r="H19" s="143">
        <v>14376744</v>
      </c>
      <c r="I19" s="142">
        <f>IF(H20&lt;H19,0,H20-H19)</f>
        <v>2927</v>
      </c>
    </row>
    <row r="20" spans="1:9" ht="21" thickTop="1" thickBot="1" x14ac:dyDescent="0.35">
      <c r="A20" s="59">
        <f t="shared" si="4"/>
        <v>43835</v>
      </c>
      <c r="B20" s="141">
        <v>118347</v>
      </c>
      <c r="C20" s="142">
        <f t="shared" si="0"/>
        <v>470</v>
      </c>
      <c r="D20" s="143">
        <v>18020058</v>
      </c>
      <c r="E20" s="142">
        <f t="shared" si="1"/>
        <v>4172</v>
      </c>
      <c r="F20" s="143">
        <v>32514008</v>
      </c>
      <c r="G20" s="142">
        <f t="shared" si="2"/>
        <v>6515</v>
      </c>
      <c r="H20" s="143">
        <v>14379671</v>
      </c>
      <c r="I20" s="142">
        <f t="shared" ref="I20:I46" si="5">IF(H21&lt;H20,0,H21-H20)</f>
        <v>2990</v>
      </c>
    </row>
    <row r="21" spans="1:9" ht="21" thickTop="1" thickBot="1" x14ac:dyDescent="0.35">
      <c r="A21" s="59">
        <f t="shared" si="4"/>
        <v>43836</v>
      </c>
      <c r="B21" s="141">
        <v>118394</v>
      </c>
      <c r="C21" s="142">
        <f t="shared" si="0"/>
        <v>470</v>
      </c>
      <c r="D21" s="143">
        <v>18024230</v>
      </c>
      <c r="E21" s="142">
        <f t="shared" si="1"/>
        <v>4125</v>
      </c>
      <c r="F21" s="143">
        <v>32520523</v>
      </c>
      <c r="G21" s="142">
        <f t="shared" si="2"/>
        <v>6517</v>
      </c>
      <c r="H21" s="143">
        <v>14382661</v>
      </c>
      <c r="I21" s="142">
        <f t="shared" si="5"/>
        <v>2883</v>
      </c>
    </row>
    <row r="22" spans="1:9" ht="21" thickTop="1" thickBot="1" x14ac:dyDescent="0.35">
      <c r="A22" s="59">
        <f t="shared" si="4"/>
        <v>43837</v>
      </c>
      <c r="B22" s="141">
        <v>118441</v>
      </c>
      <c r="C22" s="142">
        <f t="shared" si="0"/>
        <v>490</v>
      </c>
      <c r="D22" s="143">
        <v>18028355</v>
      </c>
      <c r="E22" s="142">
        <f t="shared" si="1"/>
        <v>4163</v>
      </c>
      <c r="F22" s="143">
        <v>32527040</v>
      </c>
      <c r="G22" s="142">
        <f t="shared" si="2"/>
        <v>6338</v>
      </c>
      <c r="H22" s="143">
        <v>14385544</v>
      </c>
      <c r="I22" s="142">
        <f t="shared" si="5"/>
        <v>2835</v>
      </c>
    </row>
    <row r="23" spans="1:9" ht="21" thickTop="1" thickBot="1" x14ac:dyDescent="0.35">
      <c r="A23" s="59">
        <f t="shared" si="4"/>
        <v>43838</v>
      </c>
      <c r="B23" s="141">
        <v>118490</v>
      </c>
      <c r="C23" s="142">
        <f t="shared" si="0"/>
        <v>450</v>
      </c>
      <c r="D23" s="143">
        <v>18032518</v>
      </c>
      <c r="E23" s="142">
        <f t="shared" si="1"/>
        <v>4055</v>
      </c>
      <c r="F23" s="143">
        <v>32533378</v>
      </c>
      <c r="G23" s="142">
        <f t="shared" si="2"/>
        <v>6420</v>
      </c>
      <c r="H23" s="143">
        <v>14388379</v>
      </c>
      <c r="I23" s="142">
        <f t="shared" si="5"/>
        <v>2966</v>
      </c>
    </row>
    <row r="24" spans="1:9" ht="21" thickTop="1" thickBot="1" x14ac:dyDescent="0.35">
      <c r="A24" s="59">
        <f t="shared" si="4"/>
        <v>43839</v>
      </c>
      <c r="B24" s="141">
        <v>118535</v>
      </c>
      <c r="C24" s="142">
        <f t="shared" si="0"/>
        <v>480</v>
      </c>
      <c r="D24" s="143">
        <v>18036573</v>
      </c>
      <c r="E24" s="142">
        <f t="shared" si="1"/>
        <v>4213</v>
      </c>
      <c r="F24" s="143">
        <v>32539798</v>
      </c>
      <c r="G24" s="142">
        <f t="shared" si="2"/>
        <v>6518</v>
      </c>
      <c r="H24" s="143">
        <v>14391345</v>
      </c>
      <c r="I24" s="142">
        <f t="shared" si="5"/>
        <v>3151</v>
      </c>
    </row>
    <row r="25" spans="1:9" ht="21" thickTop="1" thickBot="1" x14ac:dyDescent="0.35">
      <c r="A25" s="59">
        <f t="shared" si="4"/>
        <v>43840</v>
      </c>
      <c r="B25" s="141">
        <v>118583</v>
      </c>
      <c r="C25" s="142">
        <f t="shared" si="0"/>
        <v>440</v>
      </c>
      <c r="D25" s="143">
        <v>18040786</v>
      </c>
      <c r="E25" s="142">
        <f t="shared" si="1"/>
        <v>4256</v>
      </c>
      <c r="F25" s="143">
        <v>32546316</v>
      </c>
      <c r="G25" s="142">
        <f t="shared" si="2"/>
        <v>6550</v>
      </c>
      <c r="H25" s="143">
        <v>14394496</v>
      </c>
      <c r="I25" s="142">
        <f t="shared" si="5"/>
        <v>2942</v>
      </c>
    </row>
    <row r="26" spans="1:9" ht="21" thickTop="1" thickBot="1" x14ac:dyDescent="0.35">
      <c r="A26" s="59">
        <f t="shared" si="4"/>
        <v>43841</v>
      </c>
      <c r="B26" s="141">
        <v>118627</v>
      </c>
      <c r="C26" s="142">
        <f t="shared" si="0"/>
        <v>0</v>
      </c>
      <c r="D26" s="143">
        <v>18045042</v>
      </c>
      <c r="E26" s="142">
        <f t="shared" si="1"/>
        <v>0</v>
      </c>
      <c r="F26" s="143">
        <v>32552866</v>
      </c>
      <c r="G26" s="142">
        <f t="shared" si="2"/>
        <v>0</v>
      </c>
      <c r="H26" s="143">
        <v>14397438</v>
      </c>
      <c r="I26" s="142">
        <f t="shared" si="5"/>
        <v>0</v>
      </c>
    </row>
    <row r="27" spans="1:9" ht="21" thickTop="1" thickBot="1" x14ac:dyDescent="0.35">
      <c r="A27" s="59">
        <f t="shared" si="4"/>
        <v>43842</v>
      </c>
      <c r="B27" s="141"/>
      <c r="C27" s="142">
        <f t="shared" ref="C25:C46" si="6">IF(B28&lt;B27,0,B28-B27)*10</f>
        <v>0</v>
      </c>
      <c r="D27" s="143"/>
      <c r="E27" s="142">
        <f t="shared" ref="E25:E46" si="7">IF(D28&lt;D27,0,D28-D27)</f>
        <v>0</v>
      </c>
      <c r="F27" s="143"/>
      <c r="G27" s="142">
        <f t="shared" ref="G25:G46" si="8">IF(F28&lt;F27,0,F28-F27)</f>
        <v>0</v>
      </c>
      <c r="H27" s="143"/>
      <c r="I27" s="142">
        <f t="shared" si="5"/>
        <v>0</v>
      </c>
    </row>
    <row r="28" spans="1:9" ht="21" thickTop="1" thickBot="1" x14ac:dyDescent="0.35">
      <c r="A28" s="59">
        <f t="shared" si="4"/>
        <v>43843</v>
      </c>
      <c r="B28" s="141"/>
      <c r="C28" s="142">
        <f t="shared" si="6"/>
        <v>0</v>
      </c>
      <c r="D28" s="143"/>
      <c r="E28" s="142">
        <f t="shared" si="7"/>
        <v>0</v>
      </c>
      <c r="F28" s="143"/>
      <c r="G28" s="142">
        <f t="shared" si="8"/>
        <v>0</v>
      </c>
      <c r="H28" s="143"/>
      <c r="I28" s="142">
        <f t="shared" si="5"/>
        <v>0</v>
      </c>
    </row>
    <row r="29" spans="1:9" ht="21" thickTop="1" thickBot="1" x14ac:dyDescent="0.35">
      <c r="A29" s="59">
        <f t="shared" si="4"/>
        <v>43844</v>
      </c>
      <c r="B29" s="141"/>
      <c r="C29" s="142">
        <f t="shared" si="6"/>
        <v>0</v>
      </c>
      <c r="D29" s="143"/>
      <c r="E29" s="142">
        <f t="shared" si="7"/>
        <v>0</v>
      </c>
      <c r="F29" s="143"/>
      <c r="G29" s="142">
        <f t="shared" si="8"/>
        <v>0</v>
      </c>
      <c r="H29" s="143"/>
      <c r="I29" s="142">
        <f t="shared" si="5"/>
        <v>0</v>
      </c>
    </row>
    <row r="30" spans="1:9" ht="21" thickTop="1" thickBot="1" x14ac:dyDescent="0.35">
      <c r="A30" s="59">
        <f t="shared" si="4"/>
        <v>43845</v>
      </c>
      <c r="B30" s="141"/>
      <c r="C30" s="142">
        <f t="shared" si="6"/>
        <v>0</v>
      </c>
      <c r="D30" s="143"/>
      <c r="E30" s="142">
        <f t="shared" si="7"/>
        <v>0</v>
      </c>
      <c r="F30" s="143"/>
      <c r="G30" s="142">
        <f t="shared" si="8"/>
        <v>0</v>
      </c>
      <c r="H30" s="143"/>
      <c r="I30" s="142">
        <f t="shared" si="5"/>
        <v>0</v>
      </c>
    </row>
    <row r="31" spans="1:9" ht="21" thickTop="1" thickBot="1" x14ac:dyDescent="0.35">
      <c r="A31" s="59">
        <f>A30+1</f>
        <v>43846</v>
      </c>
      <c r="B31" s="141"/>
      <c r="C31" s="142">
        <f t="shared" si="6"/>
        <v>0</v>
      </c>
      <c r="D31" s="143"/>
      <c r="E31" s="142">
        <f t="shared" si="7"/>
        <v>0</v>
      </c>
      <c r="F31" s="143"/>
      <c r="G31" s="142">
        <f t="shared" si="8"/>
        <v>0</v>
      </c>
      <c r="H31" s="143"/>
      <c r="I31" s="142">
        <f t="shared" si="5"/>
        <v>0</v>
      </c>
    </row>
    <row r="32" spans="1:9" ht="21" thickTop="1" thickBot="1" x14ac:dyDescent="0.35">
      <c r="A32" s="59">
        <f t="shared" si="4"/>
        <v>43847</v>
      </c>
      <c r="B32" s="141"/>
      <c r="C32" s="142">
        <f t="shared" si="6"/>
        <v>0</v>
      </c>
      <c r="D32" s="143"/>
      <c r="E32" s="142">
        <f t="shared" si="7"/>
        <v>0</v>
      </c>
      <c r="F32" s="143"/>
      <c r="G32" s="142">
        <f t="shared" si="8"/>
        <v>0</v>
      </c>
      <c r="H32" s="143"/>
      <c r="I32" s="142">
        <f t="shared" si="5"/>
        <v>0</v>
      </c>
    </row>
    <row r="33" spans="1:9" ht="21" thickTop="1" thickBot="1" x14ac:dyDescent="0.35">
      <c r="A33" s="59">
        <f t="shared" si="4"/>
        <v>43848</v>
      </c>
      <c r="B33" s="141"/>
      <c r="C33" s="142">
        <f t="shared" si="6"/>
        <v>0</v>
      </c>
      <c r="D33" s="143"/>
      <c r="E33" s="142">
        <f t="shared" si="7"/>
        <v>0</v>
      </c>
      <c r="F33" s="143"/>
      <c r="G33" s="142">
        <f t="shared" si="8"/>
        <v>0</v>
      </c>
      <c r="H33" s="143"/>
      <c r="I33" s="142">
        <f t="shared" si="5"/>
        <v>0</v>
      </c>
    </row>
    <row r="34" spans="1:9" ht="21" thickTop="1" thickBot="1" x14ac:dyDescent="0.35">
      <c r="A34" s="59">
        <f t="shared" si="4"/>
        <v>43849</v>
      </c>
      <c r="B34" s="141"/>
      <c r="C34" s="142">
        <f t="shared" si="6"/>
        <v>0</v>
      </c>
      <c r="D34" s="143"/>
      <c r="E34" s="142">
        <f t="shared" si="7"/>
        <v>0</v>
      </c>
      <c r="F34" s="143"/>
      <c r="G34" s="142">
        <f t="shared" si="8"/>
        <v>0</v>
      </c>
      <c r="H34" s="143"/>
      <c r="I34" s="142">
        <f t="shared" si="5"/>
        <v>0</v>
      </c>
    </row>
    <row r="35" spans="1:9" ht="21" thickTop="1" thickBot="1" x14ac:dyDescent="0.35">
      <c r="A35" s="59">
        <f t="shared" si="4"/>
        <v>43850</v>
      </c>
      <c r="B35" s="141"/>
      <c r="C35" s="142">
        <f t="shared" si="6"/>
        <v>0</v>
      </c>
      <c r="D35" s="143"/>
      <c r="E35" s="142">
        <f t="shared" si="7"/>
        <v>0</v>
      </c>
      <c r="F35" s="143"/>
      <c r="G35" s="142">
        <f t="shared" si="8"/>
        <v>0</v>
      </c>
      <c r="H35" s="143"/>
      <c r="I35" s="142">
        <f t="shared" si="5"/>
        <v>0</v>
      </c>
    </row>
    <row r="36" spans="1:9" ht="21" thickTop="1" thickBot="1" x14ac:dyDescent="0.35">
      <c r="A36" s="59">
        <f t="shared" si="4"/>
        <v>43851</v>
      </c>
      <c r="B36" s="141"/>
      <c r="C36" s="142">
        <f t="shared" si="6"/>
        <v>0</v>
      </c>
      <c r="D36" s="143"/>
      <c r="E36" s="142">
        <f t="shared" si="7"/>
        <v>0</v>
      </c>
      <c r="F36" s="143"/>
      <c r="G36" s="142">
        <f t="shared" si="8"/>
        <v>0</v>
      </c>
      <c r="H36" s="143"/>
      <c r="I36" s="142">
        <f t="shared" si="5"/>
        <v>0</v>
      </c>
    </row>
    <row r="37" spans="1:9" ht="21" thickTop="1" thickBot="1" x14ac:dyDescent="0.35">
      <c r="A37" s="59">
        <f t="shared" si="4"/>
        <v>43852</v>
      </c>
      <c r="B37" s="141"/>
      <c r="C37" s="142">
        <f t="shared" si="6"/>
        <v>0</v>
      </c>
      <c r="D37" s="143"/>
      <c r="E37" s="142">
        <f t="shared" si="7"/>
        <v>0</v>
      </c>
      <c r="F37" s="143"/>
      <c r="G37" s="142">
        <f t="shared" si="8"/>
        <v>0</v>
      </c>
      <c r="H37" s="143"/>
      <c r="I37" s="142">
        <f t="shared" si="5"/>
        <v>0</v>
      </c>
    </row>
    <row r="38" spans="1:9" ht="21" thickTop="1" thickBot="1" x14ac:dyDescent="0.35">
      <c r="A38" s="59">
        <f t="shared" si="4"/>
        <v>43853</v>
      </c>
      <c r="B38" s="141"/>
      <c r="C38" s="142">
        <f t="shared" si="6"/>
        <v>0</v>
      </c>
      <c r="D38" s="143"/>
      <c r="E38" s="142">
        <f t="shared" si="7"/>
        <v>0</v>
      </c>
      <c r="F38" s="143"/>
      <c r="G38" s="142">
        <f t="shared" si="8"/>
        <v>0</v>
      </c>
      <c r="H38" s="143"/>
      <c r="I38" s="142">
        <f t="shared" si="5"/>
        <v>0</v>
      </c>
    </row>
    <row r="39" spans="1:9" ht="21" thickTop="1" thickBot="1" x14ac:dyDescent="0.35">
      <c r="A39" s="59">
        <f t="shared" si="4"/>
        <v>43854</v>
      </c>
      <c r="B39" s="141"/>
      <c r="C39" s="142">
        <f t="shared" si="6"/>
        <v>0</v>
      </c>
      <c r="D39" s="143"/>
      <c r="E39" s="142">
        <f t="shared" si="7"/>
        <v>0</v>
      </c>
      <c r="F39" s="143"/>
      <c r="G39" s="142">
        <f t="shared" si="8"/>
        <v>0</v>
      </c>
      <c r="H39" s="143"/>
      <c r="I39" s="142">
        <f t="shared" si="5"/>
        <v>0</v>
      </c>
    </row>
    <row r="40" spans="1:9" ht="21" thickTop="1" thickBot="1" x14ac:dyDescent="0.35">
      <c r="A40" s="59">
        <f t="shared" si="4"/>
        <v>43855</v>
      </c>
      <c r="B40" s="141"/>
      <c r="C40" s="142">
        <f t="shared" si="6"/>
        <v>0</v>
      </c>
      <c r="D40" s="143"/>
      <c r="E40" s="142">
        <f t="shared" si="7"/>
        <v>0</v>
      </c>
      <c r="F40" s="143"/>
      <c r="G40" s="142">
        <f t="shared" si="8"/>
        <v>0</v>
      </c>
      <c r="H40" s="143"/>
      <c r="I40" s="142">
        <f t="shared" si="5"/>
        <v>0</v>
      </c>
    </row>
    <row r="41" spans="1:9" ht="21" thickTop="1" thickBot="1" x14ac:dyDescent="0.35">
      <c r="A41" s="59">
        <f t="shared" si="4"/>
        <v>43856</v>
      </c>
      <c r="B41" s="141"/>
      <c r="C41" s="142">
        <f t="shared" si="6"/>
        <v>0</v>
      </c>
      <c r="D41" s="143"/>
      <c r="E41" s="142">
        <f t="shared" si="7"/>
        <v>0</v>
      </c>
      <c r="F41" s="143"/>
      <c r="G41" s="142">
        <f t="shared" si="8"/>
        <v>0</v>
      </c>
      <c r="H41" s="143"/>
      <c r="I41" s="142">
        <f t="shared" si="5"/>
        <v>0</v>
      </c>
    </row>
    <row r="42" spans="1:9" ht="21" thickTop="1" thickBot="1" x14ac:dyDescent="0.35">
      <c r="A42" s="59">
        <f t="shared" si="4"/>
        <v>43857</v>
      </c>
      <c r="B42" s="141"/>
      <c r="C42" s="142">
        <f t="shared" si="6"/>
        <v>0</v>
      </c>
      <c r="D42" s="143"/>
      <c r="E42" s="142">
        <f t="shared" si="7"/>
        <v>0</v>
      </c>
      <c r="F42" s="143"/>
      <c r="G42" s="142">
        <f t="shared" si="8"/>
        <v>0</v>
      </c>
      <c r="H42" s="143"/>
      <c r="I42" s="142">
        <f t="shared" si="5"/>
        <v>0</v>
      </c>
    </row>
    <row r="43" spans="1:9" ht="21" thickTop="1" thickBot="1" x14ac:dyDescent="0.35">
      <c r="A43" s="59">
        <f t="shared" si="4"/>
        <v>43858</v>
      </c>
      <c r="B43" s="141"/>
      <c r="C43" s="142">
        <f t="shared" si="6"/>
        <v>0</v>
      </c>
      <c r="D43" s="143"/>
      <c r="E43" s="142">
        <f t="shared" si="7"/>
        <v>0</v>
      </c>
      <c r="F43" s="143"/>
      <c r="G43" s="142">
        <f t="shared" si="8"/>
        <v>0</v>
      </c>
      <c r="H43" s="143"/>
      <c r="I43" s="142">
        <f t="shared" si="5"/>
        <v>0</v>
      </c>
    </row>
    <row r="44" spans="1:9" ht="21" thickTop="1" thickBot="1" x14ac:dyDescent="0.35">
      <c r="A44" s="59">
        <f t="shared" si="4"/>
        <v>43859</v>
      </c>
      <c r="B44" s="141"/>
      <c r="C44" s="142">
        <f t="shared" si="6"/>
        <v>0</v>
      </c>
      <c r="D44" s="143"/>
      <c r="E44" s="142">
        <f t="shared" si="7"/>
        <v>0</v>
      </c>
      <c r="F44" s="143"/>
      <c r="G44" s="142">
        <f t="shared" si="8"/>
        <v>0</v>
      </c>
      <c r="H44" s="143"/>
      <c r="I44" s="142">
        <f t="shared" si="5"/>
        <v>0</v>
      </c>
    </row>
    <row r="45" spans="1:9" ht="21" thickTop="1" thickBot="1" x14ac:dyDescent="0.35">
      <c r="A45" s="59">
        <f t="shared" si="4"/>
        <v>43860</v>
      </c>
      <c r="B45" s="141"/>
      <c r="C45" s="142">
        <f t="shared" si="6"/>
        <v>0</v>
      </c>
      <c r="D45" s="143"/>
      <c r="E45" s="142">
        <f t="shared" si="7"/>
        <v>0</v>
      </c>
      <c r="F45" s="143"/>
      <c r="G45" s="142">
        <f t="shared" si="8"/>
        <v>0</v>
      </c>
      <c r="H45" s="143"/>
      <c r="I45" s="142">
        <f t="shared" si="5"/>
        <v>0</v>
      </c>
    </row>
    <row r="46" spans="1:9" ht="21" thickTop="1" thickBot="1" x14ac:dyDescent="0.35">
      <c r="A46" s="59">
        <f t="shared" si="4"/>
        <v>43861</v>
      </c>
      <c r="B46" s="141"/>
      <c r="C46" s="142">
        <f t="shared" si="6"/>
        <v>0</v>
      </c>
      <c r="D46" s="143"/>
      <c r="E46" s="142">
        <f t="shared" si="7"/>
        <v>0</v>
      </c>
      <c r="F46" s="143"/>
      <c r="G46" s="142">
        <f t="shared" si="8"/>
        <v>0</v>
      </c>
      <c r="H46" s="143"/>
      <c r="I46" s="142">
        <f t="shared" si="5"/>
        <v>0</v>
      </c>
    </row>
    <row r="47" spans="1:9" ht="21" thickTop="1" thickBot="1" x14ac:dyDescent="0.35">
      <c r="A47" s="59">
        <f t="shared" si="4"/>
        <v>43862</v>
      </c>
      <c r="B47" s="141"/>
      <c r="C47" s="142">
        <f t="shared" ref="C47" si="9">IF(B48&lt;B47,0,B48-B47)*10</f>
        <v>0</v>
      </c>
      <c r="D47" s="143"/>
      <c r="E47" s="142">
        <f t="shared" ref="E47" si="10">IF(D48&lt;D47,0,D48-D47)</f>
        <v>0</v>
      </c>
      <c r="F47" s="143"/>
      <c r="G47" s="142">
        <f t="shared" ref="G47" si="11">IF(F48&lt;F47,0,F48-F47)</f>
        <v>0</v>
      </c>
      <c r="H47" s="143"/>
      <c r="I47" s="142">
        <f>IF(H48&lt;H47,0,H48-H47)</f>
        <v>0</v>
      </c>
    </row>
    <row r="48" spans="1:9" ht="21.75" customHeight="1" thickTop="1" thickBot="1" x14ac:dyDescent="0.35">
      <c r="A48" s="61"/>
      <c r="C48" s="142">
        <f>SUM(C16:C46)</f>
        <v>4770</v>
      </c>
      <c r="E48" s="142">
        <f>SUM(E16:E46)</f>
        <v>42054</v>
      </c>
      <c r="F48" s="84"/>
      <c r="G48" s="142">
        <f>SUM(G16:G46)</f>
        <v>65008</v>
      </c>
      <c r="H48" s="84"/>
      <c r="I48" s="142">
        <f>SUM(I16:I46)</f>
        <v>29709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52" priority="2950" stopIfTrue="1" operator="lessThanOrEqual">
      <formula>0</formula>
    </cfRule>
  </conditionalFormatting>
  <conditionalFormatting sqref="C48">
    <cfRule type="cellIs" dxfId="51" priority="60" stopIfTrue="1" operator="lessThanOrEqual">
      <formula>0</formula>
    </cfRule>
  </conditionalFormatting>
  <conditionalFormatting sqref="C48">
    <cfRule type="cellIs" dxfId="50" priority="59" stopIfTrue="1" operator="lessThanOrEqual">
      <formula>0</formula>
    </cfRule>
  </conditionalFormatting>
  <conditionalFormatting sqref="C48">
    <cfRule type="cellIs" dxfId="49" priority="58" stopIfTrue="1" operator="lessThanOrEqual">
      <formula>0</formula>
    </cfRule>
  </conditionalFormatting>
  <conditionalFormatting sqref="C48">
    <cfRule type="cellIs" dxfId="48" priority="57" stopIfTrue="1" operator="lessThanOrEqual">
      <formula>0</formula>
    </cfRule>
  </conditionalFormatting>
  <conditionalFormatting sqref="C47">
    <cfRule type="cellIs" dxfId="47" priority="56" stopIfTrue="1" operator="lessThanOrEqual">
      <formula>0</formula>
    </cfRule>
  </conditionalFormatting>
  <conditionalFormatting sqref="C47">
    <cfRule type="cellIs" dxfId="46" priority="55" stopIfTrue="1" operator="lessThanOrEqual">
      <formula>0</formula>
    </cfRule>
  </conditionalFormatting>
  <conditionalFormatting sqref="C47">
    <cfRule type="cellIs" dxfId="45" priority="54" stopIfTrue="1" operator="lessThanOrEqual">
      <formula>0</formula>
    </cfRule>
  </conditionalFormatting>
  <conditionalFormatting sqref="C47">
    <cfRule type="cellIs" dxfId="44" priority="53" stopIfTrue="1" operator="lessThanOrEqual">
      <formula>0</formula>
    </cfRule>
  </conditionalFormatting>
  <conditionalFormatting sqref="C9:C15 C27:C46">
    <cfRule type="cellIs" dxfId="43" priority="48" stopIfTrue="1" operator="lessThanOrEqual">
      <formula>0</formula>
    </cfRule>
  </conditionalFormatting>
  <conditionalFormatting sqref="C9:C15 C27:C46">
    <cfRule type="cellIs" dxfId="42" priority="47" stopIfTrue="1" operator="lessThanOrEqual">
      <formula>0</formula>
    </cfRule>
  </conditionalFormatting>
  <conditionalFormatting sqref="C9:C15 C27:C46">
    <cfRule type="cellIs" dxfId="41" priority="46" stopIfTrue="1" operator="lessThanOrEqual">
      <formula>0</formula>
    </cfRule>
  </conditionalFormatting>
  <conditionalFormatting sqref="C9:C15 C27:C46">
    <cfRule type="cellIs" dxfId="40" priority="45" stopIfTrue="1" operator="lessThanOrEqual">
      <formula>0</formula>
    </cfRule>
  </conditionalFormatting>
  <conditionalFormatting sqref="C16">
    <cfRule type="cellIs" dxfId="39" priority="44" stopIfTrue="1" operator="lessThanOrEqual">
      <formula>0</formula>
    </cfRule>
  </conditionalFormatting>
  <conditionalFormatting sqref="C16">
    <cfRule type="cellIs" dxfId="38" priority="43" stopIfTrue="1" operator="lessThanOrEqual">
      <formula>0</formula>
    </cfRule>
  </conditionalFormatting>
  <conditionalFormatting sqref="C16">
    <cfRule type="cellIs" dxfId="37" priority="42" stopIfTrue="1" operator="lessThanOrEqual">
      <formula>0</formula>
    </cfRule>
  </conditionalFormatting>
  <conditionalFormatting sqref="C16">
    <cfRule type="cellIs" dxfId="36" priority="41" stopIfTrue="1" operator="lessThanOrEqual">
      <formula>0</formula>
    </cfRule>
  </conditionalFormatting>
  <conditionalFormatting sqref="I48 G48 E48">
    <cfRule type="cellIs" dxfId="35" priority="32" stopIfTrue="1" operator="lessThanOrEqual">
      <formula>0</formula>
    </cfRule>
  </conditionalFormatting>
  <conditionalFormatting sqref="I48 G48 E48">
    <cfRule type="cellIs" dxfId="34" priority="31" stopIfTrue="1" operator="lessThanOrEqual">
      <formula>0</formula>
    </cfRule>
  </conditionalFormatting>
  <conditionalFormatting sqref="I48 G48 E48">
    <cfRule type="cellIs" dxfId="33" priority="30" stopIfTrue="1" operator="lessThanOrEqual">
      <formula>0</formula>
    </cfRule>
  </conditionalFormatting>
  <conditionalFormatting sqref="I48 G48 E48">
    <cfRule type="cellIs" dxfId="32" priority="29" stopIfTrue="1" operator="lessThanOrEqual">
      <formula>0</formula>
    </cfRule>
  </conditionalFormatting>
  <conditionalFormatting sqref="C17">
    <cfRule type="cellIs" dxfId="31" priority="28" stopIfTrue="1" operator="lessThanOrEqual">
      <formula>0</formula>
    </cfRule>
  </conditionalFormatting>
  <conditionalFormatting sqref="C17">
    <cfRule type="cellIs" dxfId="30" priority="27" stopIfTrue="1" operator="lessThanOrEqual">
      <formula>0</formula>
    </cfRule>
  </conditionalFormatting>
  <conditionalFormatting sqref="C17">
    <cfRule type="cellIs" dxfId="29" priority="26" stopIfTrue="1" operator="lessThanOrEqual">
      <formula>0</formula>
    </cfRule>
  </conditionalFormatting>
  <conditionalFormatting sqref="C17">
    <cfRule type="cellIs" dxfId="28" priority="25" stopIfTrue="1" operator="lessThanOrEqual">
      <formula>0</formula>
    </cfRule>
  </conditionalFormatting>
  <conditionalFormatting sqref="C18">
    <cfRule type="cellIs" dxfId="27" priority="24" stopIfTrue="1" operator="lessThanOrEqual">
      <formula>0</formula>
    </cfRule>
  </conditionalFormatting>
  <conditionalFormatting sqref="C18">
    <cfRule type="cellIs" dxfId="26" priority="23" stopIfTrue="1" operator="lessThanOrEqual">
      <formula>0</formula>
    </cfRule>
  </conditionalFormatting>
  <conditionalFormatting sqref="C18">
    <cfRule type="cellIs" dxfId="25" priority="22" stopIfTrue="1" operator="lessThanOrEqual">
      <formula>0</formula>
    </cfRule>
  </conditionalFormatting>
  <conditionalFormatting sqref="C18">
    <cfRule type="cellIs" dxfId="24" priority="21" stopIfTrue="1" operator="lessThanOrEqual">
      <formula>0</formula>
    </cfRule>
  </conditionalFormatting>
  <conditionalFormatting sqref="C19:C21">
    <cfRule type="cellIs" dxfId="23" priority="20" stopIfTrue="1" operator="lessThanOrEqual">
      <formula>0</formula>
    </cfRule>
  </conditionalFormatting>
  <conditionalFormatting sqref="C19:C21">
    <cfRule type="cellIs" dxfId="22" priority="19" stopIfTrue="1" operator="lessThanOrEqual">
      <formula>0</formula>
    </cfRule>
  </conditionalFormatting>
  <conditionalFormatting sqref="C19:C21">
    <cfRule type="cellIs" dxfId="21" priority="18" stopIfTrue="1" operator="lessThanOrEqual">
      <formula>0</formula>
    </cfRule>
  </conditionalFormatting>
  <conditionalFormatting sqref="C19:C21">
    <cfRule type="cellIs" dxfId="20" priority="17" stopIfTrue="1" operator="lessThanOrEqual">
      <formula>0</formula>
    </cfRule>
  </conditionalFormatting>
  <conditionalFormatting sqref="C22">
    <cfRule type="cellIs" dxfId="19" priority="16" stopIfTrue="1" operator="lessThanOrEqual">
      <formula>0</formula>
    </cfRule>
  </conditionalFormatting>
  <conditionalFormatting sqref="C22">
    <cfRule type="cellIs" dxfId="18" priority="15" stopIfTrue="1" operator="lessThanOrEqual">
      <formula>0</formula>
    </cfRule>
  </conditionalFormatting>
  <conditionalFormatting sqref="C22">
    <cfRule type="cellIs" dxfId="17" priority="14" stopIfTrue="1" operator="lessThanOrEqual">
      <formula>0</formula>
    </cfRule>
  </conditionalFormatting>
  <conditionalFormatting sqref="C22">
    <cfRule type="cellIs" dxfId="16" priority="13" stopIfTrue="1" operator="lessThanOrEqual">
      <formula>0</formula>
    </cfRule>
  </conditionalFormatting>
  <conditionalFormatting sqref="C23">
    <cfRule type="cellIs" dxfId="15" priority="12" stopIfTrue="1" operator="lessThanOrEqual">
      <formula>0</formula>
    </cfRule>
  </conditionalFormatting>
  <conditionalFormatting sqref="C23">
    <cfRule type="cellIs" dxfId="14" priority="11" stopIfTrue="1" operator="lessThanOrEqual">
      <formula>0</formula>
    </cfRule>
  </conditionalFormatting>
  <conditionalFormatting sqref="C23">
    <cfRule type="cellIs" dxfId="13" priority="10" stopIfTrue="1" operator="lessThanOrEqual">
      <formula>0</formula>
    </cfRule>
  </conditionalFormatting>
  <conditionalFormatting sqref="C23">
    <cfRule type="cellIs" dxfId="12" priority="9" stopIfTrue="1" operator="lessThanOrEqual">
      <formula>0</formula>
    </cfRule>
  </conditionalFormatting>
  <conditionalFormatting sqref="C24">
    <cfRule type="cellIs" dxfId="11" priority="8" stopIfTrue="1" operator="lessThanOrEqual">
      <formula>0</formula>
    </cfRule>
  </conditionalFormatting>
  <conditionalFormatting sqref="C24">
    <cfRule type="cellIs" dxfId="10" priority="7" stopIfTrue="1" operator="lessThanOrEqual">
      <formula>0</formula>
    </cfRule>
  </conditionalFormatting>
  <conditionalFormatting sqref="C24">
    <cfRule type="cellIs" dxfId="9" priority="6" stopIfTrue="1" operator="lessThanOrEqual">
      <formula>0</formula>
    </cfRule>
  </conditionalFormatting>
  <conditionalFormatting sqref="C24">
    <cfRule type="cellIs" dxfId="8" priority="5" stopIfTrue="1" operator="lessThanOrEqual">
      <formula>0</formula>
    </cfRule>
  </conditionalFormatting>
  <conditionalFormatting sqref="C25:C26">
    <cfRule type="cellIs" dxfId="7" priority="4" stopIfTrue="1" operator="lessThanOrEqual">
      <formula>0</formula>
    </cfRule>
  </conditionalFormatting>
  <conditionalFormatting sqref="C25:C26">
    <cfRule type="cellIs" dxfId="5" priority="3" stopIfTrue="1" operator="lessThanOrEqual">
      <formula>0</formula>
    </cfRule>
  </conditionalFormatting>
  <conditionalFormatting sqref="C25:C26">
    <cfRule type="cellIs" dxfId="3" priority="2" stopIfTrue="1" operator="lessThanOrEqual">
      <formula>0</formula>
    </cfRule>
  </conditionalFormatting>
  <conditionalFormatting sqref="C25:C26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2020-01-11T07:41:03Z</dcterms:modified>
</cp:coreProperties>
</file>