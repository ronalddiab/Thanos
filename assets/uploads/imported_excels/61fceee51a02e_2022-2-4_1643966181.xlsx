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855" documentId="8_{5B502D95-7A37-4D5A-8B6B-374537CC2F26}" xr6:coauthVersionLast="47" xr6:coauthVersionMax="47" xr10:uidLastSave="{606290A0-8995-4693-A983-C00E85EF8885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2" l="1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G27" i="6"/>
  <c r="Q28" i="2"/>
  <c r="K27" i="6"/>
  <c r="I27" i="6"/>
  <c r="E27" i="6"/>
  <c r="C27" i="6"/>
  <c r="G21" i="4"/>
  <c r="E21" i="4"/>
  <c r="C21" i="4"/>
  <c r="K26" i="6"/>
  <c r="I26" i="6"/>
  <c r="G26" i="6"/>
  <c r="E26" i="6"/>
  <c r="C26" i="6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K18" i="6"/>
  <c r="I18" i="6"/>
  <c r="G18" i="6"/>
  <c r="E18" i="6"/>
  <c r="C18" i="6"/>
  <c r="K17" i="6"/>
  <c r="I17" i="6"/>
  <c r="G17" i="6"/>
  <c r="E17" i="6"/>
  <c r="C17" i="6"/>
  <c r="K16" i="6"/>
  <c r="I16" i="6"/>
  <c r="G16" i="6"/>
  <c r="E16" i="6"/>
  <c r="C16" i="6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27" i="4" l="1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<sst xmlns="http://schemas.openxmlformats.org/spreadsheetml/2006/main" count="478" uniqueCount="187">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</sst>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4855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0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0</v>
      </c>
      <c r="L5" s="137">
        <f>'Consommation mensuel énergie'!E13</f>
        <v>0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0</v>
      </c>
      <c r="F6" s="134">
        <v>1.05</v>
      </c>
      <c r="G6" s="134">
        <f>'Consommation mensuel énergie'!V14</f>
        <v>0</v>
      </c>
      <c r="H6" s="134">
        <v>9.9649999999999999</v>
      </c>
      <c r="I6" s="134">
        <f>'Consommation mensuel énergie'!F14</f>
        <v>0</v>
      </c>
      <c r="J6" s="134">
        <v>11.4</v>
      </c>
      <c r="K6" s="137">
        <f>'Consommation mensuel énergie'!D14</f>
        <v>0</v>
      </c>
      <c r="L6" s="137">
        <f>'Consommation mensuel énergie'!E14</f>
        <v>0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0</v>
      </c>
      <c r="F7" s="134">
        <v>1.05</v>
      </c>
      <c r="G7" s="134">
        <f>'Consommation mensuel énergie'!V15</f>
        <v>0</v>
      </c>
      <c r="H7" s="134">
        <v>9.9649999999999999</v>
      </c>
      <c r="I7" s="134">
        <f>'Consommation mensuel énergie'!F15</f>
        <v>0</v>
      </c>
      <c r="J7" s="134">
        <v>11.4</v>
      </c>
      <c r="K7" s="137">
        <f>'Consommation mensuel énergie'!D15</f>
        <v>0</v>
      </c>
      <c r="L7" s="137">
        <f>'Consommation mensuel énergie'!E15</f>
        <v>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0</v>
      </c>
      <c r="F8" s="134">
        <v>1.05</v>
      </c>
      <c r="G8" s="134">
        <f>'Consommation mensuel énergie'!V16</f>
        <v>0</v>
      </c>
      <c r="H8" s="134">
        <v>9.9649999999999999</v>
      </c>
      <c r="I8" s="134">
        <f>'Consommation mensuel énergie'!F16</f>
        <v>0</v>
      </c>
      <c r="J8" s="134">
        <v>11.4</v>
      </c>
      <c r="K8" s="137">
        <f>'Consommation mensuel énergie'!D16</f>
        <v>0</v>
      </c>
      <c r="L8" s="137">
        <f>'Consommation mensuel énergie'!E16</f>
        <v>0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0</v>
      </c>
      <c r="F9" s="134">
        <v>1.05</v>
      </c>
      <c r="G9" s="134">
        <f>'Consommation mensuel énergie'!V17</f>
        <v>0</v>
      </c>
      <c r="H9" s="134">
        <v>9.9649999999999999</v>
      </c>
      <c r="I9" s="134">
        <f>'Consommation mensuel énergie'!F17</f>
        <v>0</v>
      </c>
      <c r="J9" s="134">
        <v>11.4</v>
      </c>
      <c r="K9" s="137">
        <f>'Consommation mensuel énergie'!D17</f>
        <v>0</v>
      </c>
      <c r="L9" s="137">
        <f>'Consommation mensuel énergie'!E17</f>
        <v>0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0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0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575.98577999999998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0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0</v>
      </c>
      <c r="I5" s="137">
        <f>'Consommation mensuel énergie'!E13</f>
        <v>0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0</v>
      </c>
      <c r="F6" s="137">
        <f>'Consommation mensuel énergie'!M14</f>
        <v>0</v>
      </c>
      <c r="G6" s="137">
        <f>'Consommation mensuel énergie'!N14</f>
        <v>0</v>
      </c>
      <c r="H6" s="137">
        <f>'Consommation mensuel énergie'!D14</f>
        <v>0</v>
      </c>
      <c r="I6" s="137">
        <f>'Consommation mensuel énergie'!E14</f>
        <v>0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0</v>
      </c>
      <c r="F7" s="137">
        <f>'Consommation mensuel énergie'!M15</f>
        <v>0</v>
      </c>
      <c r="G7" s="137">
        <f>'Consommation mensuel énergie'!N15</f>
        <v>0</v>
      </c>
      <c r="H7" s="137">
        <f>'Consommation mensuel énergie'!D15</f>
        <v>0</v>
      </c>
      <c r="I7" s="137">
        <f>'Consommation mensuel énergie'!E15</f>
        <v>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0</v>
      </c>
      <c r="F8" s="137">
        <f>'Consommation mensuel énergie'!M16</f>
        <v>0</v>
      </c>
      <c r="G8" s="137">
        <f>'Consommation mensuel énergie'!N16</f>
        <v>0</v>
      </c>
      <c r="H8" s="137">
        <f>'Consommation mensuel énergie'!D16</f>
        <v>0</v>
      </c>
      <c r="I8" s="137">
        <f>'Consommation mensuel énergie'!E16</f>
        <v>0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0</v>
      </c>
      <c r="F9" s="137">
        <f>'Consommation mensuel énergie'!M17</f>
        <v>0</v>
      </c>
      <c r="G9" s="137">
        <f>'Consommation mensuel énergie'!N17</f>
        <v>0</v>
      </c>
      <c r="H9" s="137">
        <f>'Consommation mensuel énergie'!D17</f>
        <v>0</v>
      </c>
      <c r="I9" s="137">
        <f>'Consommation mensuel énergie'!E17</f>
        <v>0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0</v>
      </c>
      <c r="F10" s="137">
        <f>'Consommation mensuel énergie'!M18</f>
        <v>0</v>
      </c>
      <c r="G10" s="137">
        <f>'Consommation mensuel énergie'!N18</f>
        <v>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D10" activePane="bottomRight" state="frozen"/>
      <selection pane="bottomRight" activeCell="E13" sqref="E13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/>
    <row r="4" spans="1:24" ht="39" hidden="1" customHeight="1" thickBot="1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5" t="s">
        <v>30</v>
      </c>
      <c r="M9" s="155" t="s">
        <v>31</v>
      </c>
      <c r="N9" s="155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7">
        <f t="shared" ref="H11:H21" si="0">F11*8.79</f>
        <v>449.16900000005114</v>
      </c>
      <c r="I11" s="168"/>
      <c r="J11" s="168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4064.9431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7">
        <f t="shared" si="0"/>
        <v>469.38599999994881</v>
      </c>
      <c r="I12" s="168"/>
      <c r="J12" s="168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/>
      <c r="E13" s="143"/>
      <c r="F13" s="13">
        <f>'Suivi EAU-ELEC'!E12</f>
        <v>73.399999999994179</v>
      </c>
      <c r="G13" s="11"/>
      <c r="H13" s="167">
        <f t="shared" si="0"/>
        <v>645.18599999994876</v>
      </c>
      <c r="I13" s="168"/>
      <c r="J13" s="168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/>
      <c r="W13" s="11"/>
      <c r="X13" s="34">
        <f t="shared" si="1"/>
        <v>0</v>
      </c>
    </row>
    <row r="14" spans="1:24" ht="32.25" customHeight="1">
      <c r="A14" s="2"/>
      <c r="B14" s="6">
        <v>44597</v>
      </c>
      <c r="C14" s="7"/>
      <c r="D14" s="143"/>
      <c r="E14" s="143"/>
      <c r="F14" s="13"/>
      <c r="G14" s="12"/>
      <c r="H14" s="167">
        <f t="shared" si="0"/>
        <v>0</v>
      </c>
      <c r="I14" s="168"/>
      <c r="J14" s="168"/>
      <c r="K14" s="60">
        <v>42282</v>
      </c>
      <c r="L14" s="90"/>
      <c r="M14" s="91"/>
      <c r="N14" s="91"/>
      <c r="O14" s="91">
        <f t="shared" si="2"/>
        <v>0</v>
      </c>
      <c r="P14" s="12"/>
      <c r="Q14" s="34">
        <f t="shared" si="3"/>
        <v>0</v>
      </c>
      <c r="R14" s="12"/>
      <c r="S14" s="28"/>
      <c r="T14" s="12"/>
      <c r="U14" s="28"/>
      <c r="V14" s="146"/>
      <c r="W14" s="11"/>
      <c r="X14" s="34">
        <f t="shared" si="1"/>
        <v>0</v>
      </c>
    </row>
    <row r="15" spans="1:24" ht="32.25" customHeight="1">
      <c r="A15" s="5"/>
      <c r="B15" s="6">
        <v>44598</v>
      </c>
      <c r="C15" s="7"/>
      <c r="D15" s="143"/>
      <c r="E15" s="143"/>
      <c r="F15" s="13"/>
      <c r="G15" s="11"/>
      <c r="H15" s="167">
        <f t="shared" si="0"/>
        <v>0</v>
      </c>
      <c r="I15" s="168"/>
      <c r="J15" s="168"/>
      <c r="K15" s="60">
        <v>42283</v>
      </c>
      <c r="L15" s="90"/>
      <c r="M15" s="91"/>
      <c r="N15" s="91"/>
      <c r="O15" s="91">
        <f t="shared" si="2"/>
        <v>0</v>
      </c>
      <c r="P15" s="12"/>
      <c r="Q15" s="34">
        <f>L15*0.6985+M15*0.9514+N15*1.3304</f>
        <v>0</v>
      </c>
      <c r="R15" s="12"/>
      <c r="S15" s="28"/>
      <c r="T15" s="12"/>
      <c r="U15" s="28"/>
      <c r="V15" s="146"/>
      <c r="W15" s="11"/>
      <c r="X15" s="34">
        <f t="shared" si="1"/>
        <v>0</v>
      </c>
    </row>
    <row r="16" spans="1:24" ht="32.25" customHeight="1">
      <c r="A16" s="5"/>
      <c r="B16" s="6">
        <v>44599</v>
      </c>
      <c r="C16" s="7"/>
      <c r="D16" s="143"/>
      <c r="E16" s="143"/>
      <c r="F16" s="13"/>
      <c r="G16" s="11"/>
      <c r="H16" s="167">
        <f t="shared" si="0"/>
        <v>0</v>
      </c>
      <c r="I16" s="168"/>
      <c r="J16" s="168"/>
      <c r="K16" s="60">
        <v>42284</v>
      </c>
      <c r="L16" s="90"/>
      <c r="M16" s="91"/>
      <c r="N16" s="91"/>
      <c r="O16" s="91">
        <f t="shared" si="2"/>
        <v>0</v>
      </c>
      <c r="P16" s="11"/>
      <c r="Q16" s="34">
        <f t="shared" si="3"/>
        <v>0</v>
      </c>
      <c r="R16" s="11"/>
      <c r="S16" s="28"/>
      <c r="T16" s="11"/>
      <c r="U16" s="28"/>
      <c r="V16" s="146"/>
      <c r="W16" s="11"/>
      <c r="X16" s="34">
        <f t="shared" si="1"/>
        <v>0</v>
      </c>
    </row>
    <row r="17" spans="1:24" s="5" customFormat="1" ht="32.25" customHeight="1">
      <c r="A17" s="2"/>
      <c r="B17" s="6">
        <v>44600</v>
      </c>
      <c r="C17" s="7"/>
      <c r="D17" s="143"/>
      <c r="E17" s="143"/>
      <c r="F17" s="13"/>
      <c r="G17" s="11"/>
      <c r="H17" s="167">
        <f t="shared" si="0"/>
        <v>0</v>
      </c>
      <c r="I17" s="168"/>
      <c r="J17" s="168"/>
      <c r="K17" s="60">
        <v>42285</v>
      </c>
      <c r="L17" s="90"/>
      <c r="M17" s="91"/>
      <c r="N17" s="91"/>
      <c r="O17" s="91">
        <f t="shared" si="2"/>
        <v>0</v>
      </c>
      <c r="P17" s="12"/>
      <c r="Q17" s="34">
        <f t="shared" si="3"/>
        <v>0</v>
      </c>
      <c r="R17" s="12"/>
      <c r="S17" s="28"/>
      <c r="T17" s="12"/>
      <c r="U17" s="28"/>
      <c r="V17" s="146"/>
      <c r="W17" s="11"/>
      <c r="X17" s="34">
        <f t="shared" si="1"/>
        <v>0</v>
      </c>
    </row>
    <row r="18" spans="1:24" ht="32.25" customHeight="1">
      <c r="A18" s="2"/>
      <c r="B18" s="6">
        <v>44601</v>
      </c>
      <c r="C18" s="7"/>
      <c r="D18" s="143"/>
      <c r="E18" s="143"/>
      <c r="F18" s="13"/>
      <c r="G18" s="11"/>
      <c r="H18" s="167">
        <f t="shared" si="0"/>
        <v>0</v>
      </c>
      <c r="I18" s="168"/>
      <c r="J18" s="168"/>
      <c r="K18" s="60">
        <v>42286</v>
      </c>
      <c r="L18" s="90"/>
      <c r="M18" s="91"/>
      <c r="N18" s="91"/>
      <c r="O18" s="91">
        <f t="shared" si="2"/>
        <v>0</v>
      </c>
      <c r="P18" s="12"/>
      <c r="Q18" s="34">
        <f t="shared" si="3"/>
        <v>0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44602</v>
      </c>
      <c r="C19" s="7"/>
      <c r="D19" s="143"/>
      <c r="E19" s="143"/>
      <c r="F19" s="13"/>
      <c r="G19" s="12"/>
      <c r="H19" s="167">
        <f t="shared" si="0"/>
        <v>0</v>
      </c>
      <c r="I19" s="168"/>
      <c r="J19" s="168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44603</v>
      </c>
      <c r="C20" s="7"/>
      <c r="D20" s="143"/>
      <c r="E20" s="143"/>
      <c r="F20" s="13"/>
      <c r="G20" s="12"/>
      <c r="H20" s="167">
        <f t="shared" si="0"/>
        <v>0</v>
      </c>
      <c r="I20" s="168"/>
      <c r="J20" s="168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44604</v>
      </c>
      <c r="C21" s="7"/>
      <c r="D21" s="143"/>
      <c r="E21" s="143"/>
      <c r="F21" s="13"/>
      <c r="G21" s="12"/>
      <c r="H21" s="167">
        <f t="shared" si="0"/>
        <v>0</v>
      </c>
      <c r="I21" s="168"/>
      <c r="J21" s="168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/>
      <c r="E22" s="143"/>
      <c r="F22" s="13"/>
      <c r="G22" s="12"/>
      <c r="H22" s="167">
        <f t="shared" ref="H22:H35" si="4">F22*8.79</f>
        <v>0</v>
      </c>
      <c r="I22" s="168"/>
      <c r="J22" s="168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44606</v>
      </c>
      <c r="C23" s="7"/>
      <c r="D23" s="143"/>
      <c r="E23" s="143"/>
      <c r="F23" s="13"/>
      <c r="G23" s="14"/>
      <c r="H23" s="167">
        <f t="shared" si="4"/>
        <v>0</v>
      </c>
      <c r="I23" s="168"/>
      <c r="J23" s="168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44607</v>
      </c>
      <c r="C24" s="7"/>
      <c r="D24" s="143"/>
      <c r="E24" s="143"/>
      <c r="F24" s="13"/>
      <c r="G24" s="14"/>
      <c r="H24" s="167">
        <f t="shared" si="4"/>
        <v>0</v>
      </c>
      <c r="I24" s="168"/>
      <c r="J24" s="168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44608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44609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44610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44611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37</v>
      </c>
      <c r="E38" s="8">
        <f>SUM(E10:E37)</f>
        <v>61</v>
      </c>
      <c r="F38" s="152">
        <f>SUM(F10:F37)</f>
        <v>234</v>
      </c>
      <c r="G38" s="1"/>
      <c r="H38" s="205">
        <f>SUM(H10:H37)</f>
        <v>2056.8599999999997</v>
      </c>
      <c r="I38" s="206"/>
      <c r="J38" s="207"/>
      <c r="K38" s="1"/>
      <c r="L38" s="53">
        <f>SUM(L10:L37)</f>
        <v>8849</v>
      </c>
      <c r="M38" s="53">
        <f>SUM(M10:M37)</f>
        <v>10939</v>
      </c>
      <c r="N38" s="54">
        <f>SUM(N10:N37)</f>
        <v>5285</v>
      </c>
      <c r="O38" s="55">
        <f>SUM(O10:O37)</f>
        <v>25073</v>
      </c>
      <c r="P38" s="31"/>
      <c r="Q38" s="32">
        <f>SUM(Q10:Q37)</f>
        <v>21911.321500000002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575.98577999999998</v>
      </c>
      <c r="W38" s="31"/>
      <c r="X38" s="32">
        <f>SUM(X10:X37)</f>
        <v>6661.2755457000003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185" t="s">
        <v>33</v>
      </c>
      <c r="B40" s="186"/>
      <c r="C40" s="186"/>
      <c r="D40" s="186"/>
      <c r="E40" s="186"/>
      <c r="F40" s="187"/>
      <c r="G40" s="26"/>
      <c r="H40" s="27" t="s">
        <v>34</v>
      </c>
      <c r="I40" s="197" t="s">
        <v>35</v>
      </c>
      <c r="J40" s="198"/>
      <c r="K40" s="199"/>
      <c r="L40" s="228" t="s">
        <v>36</v>
      </c>
      <c r="M40" s="229"/>
      <c r="N40" s="185" t="s">
        <v>37</v>
      </c>
      <c r="O40" s="186"/>
      <c r="P40" s="186"/>
      <c r="Q40" s="186"/>
      <c r="R40" s="186"/>
      <c r="S40" s="186"/>
      <c r="T40" s="186"/>
      <c r="U40" s="186"/>
      <c r="V40" s="186"/>
      <c r="W40" s="186"/>
      <c r="X40" s="187"/>
    </row>
    <row r="41" spans="1:24" s="18" customFormat="1" ht="29.25" customHeight="1" thickBot="1">
      <c r="A41" s="222" t="s">
        <v>38</v>
      </c>
      <c r="B41" s="223"/>
      <c r="C41" s="224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19">
        <f>L38</f>
        <v>8849</v>
      </c>
      <c r="J41" s="220"/>
      <c r="K41" s="221"/>
      <c r="L41" s="203">
        <f>I41*H41</f>
        <v>6181.0264999999999</v>
      </c>
      <c r="M41" s="204"/>
      <c r="N41" s="176">
        <f>L41+L42+L43</f>
        <v>23619.555100000001</v>
      </c>
      <c r="O41" s="177"/>
      <c r="P41" s="177"/>
      <c r="Q41" s="177"/>
      <c r="R41" s="177"/>
      <c r="S41" s="177"/>
      <c r="T41" s="177"/>
      <c r="U41" s="177"/>
      <c r="V41" s="177"/>
      <c r="W41" s="177"/>
      <c r="X41" s="178"/>
    </row>
    <row r="42" spans="1:24" s="18" customFormat="1" ht="29.25" customHeight="1" thickBot="1">
      <c r="A42" s="225"/>
      <c r="B42" s="226"/>
      <c r="C42" s="227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19">
        <f>M38</f>
        <v>10939</v>
      </c>
      <c r="J42" s="220"/>
      <c r="K42" s="221"/>
      <c r="L42" s="203">
        <f>I42*H42</f>
        <v>10407.364600000001</v>
      </c>
      <c r="M42" s="204"/>
      <c r="N42" s="179"/>
      <c r="O42" s="180"/>
      <c r="P42" s="180"/>
      <c r="Q42" s="180"/>
      <c r="R42" s="180"/>
      <c r="S42" s="180"/>
      <c r="T42" s="180"/>
      <c r="U42" s="180"/>
      <c r="V42" s="180"/>
      <c r="W42" s="180"/>
      <c r="X42" s="181"/>
    </row>
    <row r="43" spans="1:24" s="18" customFormat="1" ht="24.75" customHeight="1" thickBot="1">
      <c r="A43" s="225"/>
      <c r="B43" s="226"/>
      <c r="C43" s="227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194">
        <f>N38</f>
        <v>5285</v>
      </c>
      <c r="J43" s="195"/>
      <c r="K43" s="196"/>
      <c r="L43" s="203">
        <f>I43*H43</f>
        <v>7031.1639999999998</v>
      </c>
      <c r="M43" s="204"/>
      <c r="N43" s="182"/>
      <c r="O43" s="183"/>
      <c r="P43" s="183"/>
      <c r="Q43" s="183"/>
      <c r="R43" s="183"/>
      <c r="S43" s="183"/>
      <c r="T43" s="183"/>
      <c r="U43" s="183"/>
      <c r="V43" s="183"/>
      <c r="W43" s="183"/>
      <c r="X43" s="18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00">
        <f>N41*1.3</f>
        <v>30705.421630000004</v>
      </c>
      <c r="O44" s="201"/>
      <c r="P44" s="201"/>
      <c r="Q44" s="201"/>
      <c r="R44" s="201"/>
      <c r="S44" s="201"/>
      <c r="T44" s="201"/>
      <c r="U44" s="201"/>
      <c r="V44" s="201"/>
      <c r="W44" s="201"/>
      <c r="X44" s="202"/>
    </row>
    <row r="45" spans="1:24" s="23" customFormat="1" ht="32.25" customHeight="1" thickBot="1">
      <c r="A45" s="214" t="s">
        <v>39</v>
      </c>
      <c r="B45" s="215"/>
      <c r="C45" s="215"/>
      <c r="D45" s="215"/>
      <c r="E45" s="215"/>
      <c r="F45" s="216"/>
      <c r="G45" s="21"/>
      <c r="H45" s="22">
        <v>8.7899999999999991</v>
      </c>
      <c r="I45" s="214">
        <f>F38</f>
        <v>234</v>
      </c>
      <c r="J45" s="215"/>
      <c r="K45" s="216"/>
      <c r="L45" s="217">
        <f>I45*H45</f>
        <v>2056.8599999999997</v>
      </c>
      <c r="M45" s="218"/>
      <c r="N45" s="173">
        <f>L45</f>
        <v>2056.8599999999997</v>
      </c>
      <c r="O45" s="174"/>
      <c r="P45" s="174"/>
      <c r="Q45" s="174"/>
      <c r="R45" s="174"/>
      <c r="S45" s="174"/>
      <c r="T45" s="174"/>
      <c r="U45" s="174"/>
      <c r="V45" s="174"/>
      <c r="W45" s="174"/>
      <c r="X45" s="175"/>
    </row>
    <row r="46" spans="1:24" s="23" customFormat="1" ht="36.75" customHeight="1">
      <c r="A46" s="188" t="s">
        <v>40</v>
      </c>
      <c r="B46" s="189"/>
      <c r="C46" s="189"/>
      <c r="D46" s="189"/>
      <c r="E46" s="189"/>
      <c r="F46" s="190"/>
      <c r="G46" s="24"/>
      <c r="H46" s="25">
        <v>11.565</v>
      </c>
      <c r="I46" s="191">
        <f>V38</f>
        <v>575.98577999999998</v>
      </c>
      <c r="J46" s="192"/>
      <c r="K46" s="193"/>
      <c r="L46" s="191">
        <f>I46*H46</f>
        <v>6661.2755456999994</v>
      </c>
      <c r="M46" s="193"/>
      <c r="N46" s="170">
        <f>L46</f>
        <v>6661.2755456999994</v>
      </c>
      <c r="O46" s="171"/>
      <c r="P46" s="171"/>
      <c r="Q46" s="171"/>
      <c r="R46" s="171"/>
      <c r="S46" s="171"/>
      <c r="T46" s="171"/>
      <c r="U46" s="171"/>
      <c r="V46" s="171"/>
      <c r="W46" s="171"/>
      <c r="X46" s="17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</row>
  </sheetData>
  <mergeCells count="70">
    <mergeCell ref="H36:J36"/>
    <mergeCell ref="L41:M41"/>
    <mergeCell ref="H33:J33"/>
    <mergeCell ref="H31:J31"/>
    <mergeCell ref="H35:J35"/>
    <mergeCell ref="H37:J37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1" activePane="bottomRight" state="frozen"/>
      <selection pane="bottomRight" activeCell="K11" sqref="K11:K12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/>
      <c r="C13" s="115"/>
      <c r="D13" s="57"/>
      <c r="E13" s="50"/>
      <c r="F13" s="51"/>
      <c r="G13" s="50"/>
      <c r="H13" s="51"/>
      <c r="I13" s="50"/>
      <c r="J13" s="51"/>
      <c r="K13" s="50"/>
    </row>
    <row r="14" spans="1:12" ht="19.5">
      <c r="A14" s="59">
        <v>44598</v>
      </c>
      <c r="B14" s="116"/>
      <c r="C14" s="115">
        <f>B14-B13</f>
        <v>0</v>
      </c>
      <c r="D14" s="57"/>
      <c r="E14" s="50">
        <f>D14-D13</f>
        <v>0</v>
      </c>
      <c r="F14" s="51"/>
      <c r="G14" s="50">
        <f>F14-F13</f>
        <v>0</v>
      </c>
      <c r="H14" s="51"/>
      <c r="I14" s="50">
        <f>H14-H13</f>
        <v>0</v>
      </c>
      <c r="J14" s="51"/>
      <c r="K14" s="50">
        <f>J14-J13</f>
        <v>0</v>
      </c>
    </row>
    <row r="15" spans="1:12" ht="19.5">
      <c r="A15" s="59">
        <v>44599</v>
      </c>
      <c r="B15" s="116"/>
      <c r="C15" s="115">
        <f>B15-B14</f>
        <v>0</v>
      </c>
      <c r="D15" s="57"/>
      <c r="E15" s="50">
        <f>D15-D14</f>
        <v>0</v>
      </c>
      <c r="F15" s="51"/>
      <c r="G15" s="50">
        <f>F15-F14</f>
        <v>0</v>
      </c>
      <c r="H15" s="51"/>
      <c r="I15" s="50">
        <f>H15-H14</f>
        <v>0</v>
      </c>
      <c r="J15" s="51"/>
      <c r="K15" s="50">
        <f>J15-J14</f>
        <v>0</v>
      </c>
    </row>
    <row r="16" spans="1:12" ht="19.5">
      <c r="A16" s="59">
        <v>44600</v>
      </c>
      <c r="B16" s="116"/>
      <c r="C16" s="115">
        <f>B16-B15</f>
        <v>0</v>
      </c>
      <c r="D16" s="57"/>
      <c r="E16" s="50">
        <f>D16-D15</f>
        <v>0</v>
      </c>
      <c r="F16" s="51"/>
      <c r="G16" s="50">
        <f>F16-F15</f>
        <v>0</v>
      </c>
      <c r="H16" s="51"/>
      <c r="I16" s="50">
        <f>H16-H15</f>
        <v>0</v>
      </c>
      <c r="J16" s="51"/>
      <c r="K16" s="50">
        <f>J16-J15</f>
        <v>0</v>
      </c>
    </row>
    <row r="17" spans="1:29" ht="19.5">
      <c r="A17" s="59">
        <v>44601</v>
      </c>
      <c r="B17" s="116"/>
      <c r="C17" s="115">
        <f>B17-B16</f>
        <v>0</v>
      </c>
      <c r="D17" s="57"/>
      <c r="E17" s="50">
        <f>D17-D16</f>
        <v>0</v>
      </c>
      <c r="F17" s="51"/>
      <c r="G17" s="50">
        <f>F17-F16</f>
        <v>0</v>
      </c>
      <c r="H17" s="51"/>
      <c r="I17" s="50">
        <f>H17-H16</f>
        <v>0</v>
      </c>
      <c r="J17" s="51"/>
      <c r="K17" s="50">
        <f>J17-J16</f>
        <v>0</v>
      </c>
    </row>
    <row r="18" spans="1:29" ht="19.5">
      <c r="A18" s="59">
        <v>44602</v>
      </c>
      <c r="B18" s="116"/>
      <c r="C18" s="115">
        <f>B18-B17</f>
        <v>0</v>
      </c>
      <c r="D18" s="57"/>
      <c r="E18" s="50">
        <f>D18-D17</f>
        <v>0</v>
      </c>
      <c r="F18" s="51"/>
      <c r="G18" s="50">
        <f>F18-F17</f>
        <v>0</v>
      </c>
      <c r="H18" s="51"/>
      <c r="I18" s="50">
        <f>H18-H17</f>
        <v>0</v>
      </c>
      <c r="J18" s="51"/>
      <c r="K18" s="50">
        <f>J18-J17</f>
        <v>0</v>
      </c>
    </row>
    <row r="19" spans="1:29" ht="19.5">
      <c r="A19" s="59">
        <v>44603</v>
      </c>
      <c r="B19" s="116"/>
      <c r="C19" s="115">
        <f>B19-B18</f>
        <v>0</v>
      </c>
      <c r="D19" s="57"/>
      <c r="E19" s="50">
        <f>D19-D18</f>
        <v>0</v>
      </c>
      <c r="F19" s="51"/>
      <c r="G19" s="50">
        <f>F19-F18</f>
        <v>0</v>
      </c>
      <c r="H19" s="51"/>
      <c r="I19" s="50">
        <f>H19-H18</f>
        <v>0</v>
      </c>
      <c r="J19" s="51"/>
      <c r="K19" s="50">
        <f>J19-J18</f>
        <v>0</v>
      </c>
    </row>
    <row r="20" spans="1:29" ht="25.5">
      <c r="A20" s="59">
        <v>44604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44605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44606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44607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44608</v>
      </c>
      <c r="B24" s="116"/>
      <c r="C24" s="115">
        <f t="shared" ref="C24:C40" si="0">B24-B23</f>
        <v>0</v>
      </c>
      <c r="D24" s="57"/>
      <c r="E24" s="50">
        <f t="shared" ref="E24:E40" si="1">D24-D23</f>
        <v>0</v>
      </c>
      <c r="F24" s="51"/>
      <c r="G24" s="50">
        <f t="shared" ref="G24:G27" si="2">F24-F23</f>
        <v>0</v>
      </c>
      <c r="H24" s="51"/>
      <c r="I24" s="50">
        <f t="shared" ref="I24:I40" si="3">H24-H23</f>
        <v>0</v>
      </c>
      <c r="J24" s="51"/>
      <c r="K24" s="50">
        <f t="shared" ref="K24:K40" si="4">J24-J23</f>
        <v>0</v>
      </c>
    </row>
    <row r="25" spans="1:29" ht="19.5">
      <c r="A25" s="59">
        <v>44609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44610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44611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>F27-F26</f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44612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>F28-F27</f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44613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>F29-F28</f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44614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5">
    <cfRule type="cellIs" dxfId="5" priority="8" stopIfTrue="1" operator="lessThanOrEqual">
      <formula>0</formula>
    </cfRule>
  </conditionalFormatting>
  <conditionalFormatting sqref="E10:E25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H8" sqref="H8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0</v>
      </c>
      <c r="D7" s="41">
        <v>70</v>
      </c>
      <c r="E7" s="39">
        <f t="shared" si="8"/>
        <v>0</v>
      </c>
      <c r="F7" s="41">
        <v>70</v>
      </c>
      <c r="G7" s="39">
        <f t="shared" si="9"/>
        <v>0</v>
      </c>
      <c r="H7" s="41">
        <v>73</v>
      </c>
      <c r="I7" s="39">
        <f t="shared" si="11"/>
        <v>0</v>
      </c>
      <c r="J7" s="39">
        <f t="shared" si="12"/>
        <v>282</v>
      </c>
      <c r="K7" s="39">
        <f t="shared" si="13"/>
        <v>70.5</v>
      </c>
      <c r="L7" s="39">
        <f t="shared" si="14"/>
        <v>0</v>
      </c>
      <c r="M7" s="149">
        <f t="shared" si="3"/>
        <v>24196</v>
      </c>
      <c r="N7" s="39">
        <f t="shared" si="15"/>
        <v>0</v>
      </c>
      <c r="O7" s="39">
        <f>N7*0.53</f>
        <v>0</v>
      </c>
      <c r="P7" s="42">
        <f t="shared" si="10"/>
        <v>0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/>
      <c r="C8" s="39">
        <f t="shared" si="7"/>
        <v>0</v>
      </c>
      <c r="D8" s="41"/>
      <c r="E8" s="39">
        <f t="shared" si="8"/>
        <v>0</v>
      </c>
      <c r="F8" s="41"/>
      <c r="G8" s="39">
        <f t="shared" si="9"/>
        <v>0</v>
      </c>
      <c r="H8" s="41"/>
      <c r="I8" s="39">
        <f t="shared" si="11"/>
        <v>0</v>
      </c>
      <c r="J8" s="39">
        <f t="shared" si="12"/>
        <v>0</v>
      </c>
      <c r="K8" s="39">
        <f t="shared" si="13"/>
        <v>0</v>
      </c>
      <c r="L8" s="39">
        <f t="shared" si="14"/>
        <v>0</v>
      </c>
      <c r="M8" s="149">
        <f>6049*4</f>
        <v>24196</v>
      </c>
      <c r="N8" s="39">
        <f t="shared" si="15"/>
        <v>0</v>
      </c>
      <c r="O8" s="148">
        <f t="shared" ref="O8:O37" si="16">N8*0.529</f>
        <v>0</v>
      </c>
      <c r="P8" s="42">
        <f t="shared" si="10"/>
        <v>0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/>
      <c r="C9" s="39">
        <f t="shared" si="7"/>
        <v>0</v>
      </c>
      <c r="D9" s="41"/>
      <c r="E9" s="39">
        <f t="shared" si="8"/>
        <v>0</v>
      </c>
      <c r="F9" s="41"/>
      <c r="G9" s="39">
        <f t="shared" si="9"/>
        <v>0</v>
      </c>
      <c r="H9" s="41"/>
      <c r="I9" s="39">
        <f t="shared" si="11"/>
        <v>0</v>
      </c>
      <c r="J9" s="39">
        <f t="shared" si="12"/>
        <v>0</v>
      </c>
      <c r="K9" s="39">
        <f t="shared" si="13"/>
        <v>0</v>
      </c>
      <c r="L9" s="39">
        <f t="shared" si="14"/>
        <v>0</v>
      </c>
      <c r="M9" s="149">
        <f t="shared" ref="M9:M42" si="17">6049*4</f>
        <v>24196</v>
      </c>
      <c r="N9" s="39">
        <f t="shared" si="15"/>
        <v>0</v>
      </c>
      <c r="O9" s="39">
        <f t="shared" si="16"/>
        <v>0</v>
      </c>
      <c r="P9" s="42">
        <f t="shared" si="10"/>
        <v>0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/>
      <c r="C10" s="39">
        <f t="shared" si="7"/>
        <v>0</v>
      </c>
      <c r="D10" s="41"/>
      <c r="E10" s="39">
        <f t="shared" si="8"/>
        <v>0</v>
      </c>
      <c r="F10" s="41"/>
      <c r="G10" s="39">
        <f t="shared" si="9"/>
        <v>0</v>
      </c>
      <c r="H10" s="41"/>
      <c r="I10" s="39">
        <f t="shared" si="11"/>
        <v>0</v>
      </c>
      <c r="J10" s="39">
        <f t="shared" si="12"/>
        <v>0</v>
      </c>
      <c r="K10" s="39">
        <f t="shared" si="13"/>
        <v>0</v>
      </c>
      <c r="L10" s="39">
        <f t="shared" si="14"/>
        <v>0</v>
      </c>
      <c r="M10" s="149">
        <f t="shared" si="17"/>
        <v>24196</v>
      </c>
      <c r="N10" s="39">
        <f t="shared" si="15"/>
        <v>0</v>
      </c>
      <c r="O10" s="148">
        <f t="shared" si="16"/>
        <v>0</v>
      </c>
      <c r="P10" s="42">
        <f t="shared" si="10"/>
        <v>0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/>
      <c r="C11" s="39">
        <f t="shared" si="7"/>
        <v>0</v>
      </c>
      <c r="D11" s="41"/>
      <c r="E11" s="39">
        <f t="shared" si="8"/>
        <v>0</v>
      </c>
      <c r="F11" s="41"/>
      <c r="G11" s="39">
        <f t="shared" si="9"/>
        <v>0</v>
      </c>
      <c r="H11" s="41"/>
      <c r="I11" s="39">
        <f t="shared" si="11"/>
        <v>0</v>
      </c>
      <c r="J11" s="39">
        <f t="shared" si="12"/>
        <v>0</v>
      </c>
      <c r="K11" s="39">
        <f t="shared" si="13"/>
        <v>0</v>
      </c>
      <c r="L11" s="39">
        <f t="shared" si="14"/>
        <v>0</v>
      </c>
      <c r="M11" s="149">
        <f t="shared" si="17"/>
        <v>24196</v>
      </c>
      <c r="N11" s="39">
        <f t="shared" si="15"/>
        <v>0</v>
      </c>
      <c r="O11" s="39">
        <f t="shared" si="16"/>
        <v>0</v>
      </c>
      <c r="P11" s="42">
        <f t="shared" si="10"/>
        <v>0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/>
      <c r="C12" s="39">
        <f t="shared" si="7"/>
        <v>0</v>
      </c>
      <c r="D12" s="41"/>
      <c r="E12" s="39">
        <f t="shared" si="8"/>
        <v>0</v>
      </c>
      <c r="F12" s="41"/>
      <c r="G12" s="39">
        <f t="shared" si="9"/>
        <v>0</v>
      </c>
      <c r="H12" s="41"/>
      <c r="I12" s="39">
        <f t="shared" si="11"/>
        <v>0</v>
      </c>
      <c r="J12" s="39">
        <f t="shared" si="12"/>
        <v>0</v>
      </c>
      <c r="K12" s="39">
        <f t="shared" si="13"/>
        <v>0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/>
      <c r="C13" s="39">
        <f t="shared" si="7"/>
        <v>0</v>
      </c>
      <c r="D13" s="41"/>
      <c r="E13" s="39">
        <f t="shared" si="8"/>
        <v>0</v>
      </c>
      <c r="F13" s="41"/>
      <c r="G13" s="39">
        <f t="shared" si="9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44605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1088.82</v>
      </c>
      <c r="O43" s="39">
        <f>N43*0.529</f>
        <v>575.98577999999998</v>
      </c>
      <c r="P43" s="42">
        <f>O43*11.565</f>
        <v>6661.2755456999994</v>
      </c>
      <c r="Q43" s="285">
        <f>SUM(Q4:Q42)</f>
        <v>0</v>
      </c>
      <c r="R43" s="286"/>
      <c r="S43" s="287"/>
      <c r="T43" s="288">
        <f>SUM(T4:T42)</f>
        <v>0</v>
      </c>
      <c r="U43" s="286"/>
      <c r="V43" s="287"/>
      <c r="W43" s="288">
        <f>SUM(W4:W42)</f>
        <v>0</v>
      </c>
      <c r="X43" s="286"/>
      <c r="Y43" s="287"/>
      <c r="Z43" s="288">
        <f>SUM(Z4:Z42)</f>
        <v>0</v>
      </c>
      <c r="AA43" s="286"/>
      <c r="AB43" s="287"/>
      <c r="AC43" s="39">
        <f t="shared" si="20"/>
        <v>0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0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1088.82</v>
      </c>
      <c r="L47" s="46">
        <f>O43</f>
        <v>575.98577999999998</v>
      </c>
      <c r="M47" s="46">
        <f>P43</f>
        <v>6661.2755456999994</v>
      </c>
    </row>
    <row r="48" spans="1:31" ht="54.75" customHeight="1" thickBot="1">
      <c r="H48" s="281" t="s">
        <v>86</v>
      </c>
      <c r="I48" s="282"/>
      <c r="J48" s="283"/>
      <c r="K48" s="43">
        <f>AC44</f>
        <v>0</v>
      </c>
      <c r="L48" s="44">
        <f>K48*0.529</f>
        <v>0</v>
      </c>
      <c r="M48" s="44">
        <f>L48*11.565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57" t="s">
        <v>87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44558</v>
      </c>
      <c r="D8" s="351"/>
      <c r="E8" s="113">
        <v>44589</v>
      </c>
      <c r="F8" s="163" t="s">
        <v>97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417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37"/>
      <c r="H17" s="338"/>
      <c r="I17" s="337">
        <f>+E17</f>
        <v>92248</v>
      </c>
      <c r="J17" s="338"/>
    </row>
    <row r="18" spans="1:10">
      <c r="A18" s="335" t="s">
        <v>111</v>
      </c>
      <c r="B18" s="336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37"/>
      <c r="H18" s="338"/>
      <c r="I18" s="337">
        <f>+E18</f>
        <v>71146</v>
      </c>
      <c r="J18" s="338"/>
    </row>
    <row r="19" spans="1:10">
      <c r="A19" s="335" t="s">
        <v>112</v>
      </c>
      <c r="B19" s="336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37"/>
      <c r="H19" s="338"/>
      <c r="I19" s="337">
        <f>+E19</f>
        <v>43085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206479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03">
        <f>SUM(H25,F25)</f>
        <v>100051.811808</v>
      </c>
      <c r="J25" s="304"/>
    </row>
    <row r="26" spans="1:10" ht="15">
      <c r="A26" s="300" t="s">
        <v>124</v>
      </c>
      <c r="B26" s="301"/>
      <c r="C26" s="302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03">
        <f t="shared" ref="I26:I31" si="0">SUM(H26,F26)</f>
        <v>56652.848339999997</v>
      </c>
      <c r="J26" s="304"/>
    </row>
    <row r="27" spans="1:10" ht="15">
      <c r="A27" s="300" t="s">
        <v>125</v>
      </c>
      <c r="B27" s="301"/>
      <c r="C27" s="302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03">
        <f>SUM(H27,F27)</f>
        <v>65345.123760000002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240995.18219999998</v>
      </c>
      <c r="G32" s="85"/>
      <c r="H32" s="86"/>
      <c r="I32" s="312">
        <f>SUM(I25:J31)</f>
        <v>274680.52770799998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57" t="s">
        <v>131</v>
      </c>
      <c r="D1" s="358"/>
      <c r="E1" s="358"/>
      <c r="F1" s="358"/>
      <c r="G1" s="358"/>
      <c r="H1" s="363" t="s">
        <v>88</v>
      </c>
      <c r="I1" s="364"/>
      <c r="J1" s="365"/>
    </row>
    <row r="2" spans="1:10" ht="16.5" customHeight="1" thickBot="1">
      <c r="A2" s="273"/>
      <c r="B2" s="275"/>
      <c r="C2" s="359"/>
      <c r="D2" s="360"/>
      <c r="E2" s="360"/>
      <c r="F2" s="360"/>
      <c r="G2" s="360"/>
      <c r="H2" s="366"/>
      <c r="I2" s="367"/>
      <c r="J2" s="368"/>
    </row>
    <row r="3" spans="1:10" ht="15" customHeight="1">
      <c r="A3" s="273"/>
      <c r="B3" s="275"/>
      <c r="C3" s="359"/>
      <c r="D3" s="360"/>
      <c r="E3" s="360"/>
      <c r="F3" s="360"/>
      <c r="G3" s="360"/>
      <c r="H3" s="369" t="s">
        <v>89</v>
      </c>
      <c r="I3" s="370"/>
      <c r="J3" s="371"/>
    </row>
    <row r="4" spans="1:10" ht="15.75" customHeight="1" thickBot="1">
      <c r="A4" s="276"/>
      <c r="B4" s="278"/>
      <c r="C4" s="361"/>
      <c r="D4" s="362"/>
      <c r="E4" s="362"/>
      <c r="F4" s="362"/>
      <c r="G4" s="362"/>
      <c r="H4" s="372"/>
      <c r="I4" s="373"/>
      <c r="J4" s="374"/>
    </row>
    <row r="6" spans="1:10" ht="33" customHeight="1" thickBot="1"/>
    <row r="7" spans="1:10" ht="36.75" thickTop="1">
      <c r="A7" s="375" t="s">
        <v>90</v>
      </c>
      <c r="B7" s="375"/>
      <c r="C7" s="376" t="s">
        <v>91</v>
      </c>
      <c r="D7" s="377"/>
      <c r="E7" s="61" t="s">
        <v>92</v>
      </c>
      <c r="F7" s="61" t="s">
        <v>93</v>
      </c>
      <c r="G7" s="61" t="s">
        <v>94</v>
      </c>
      <c r="H7" s="61" t="s">
        <v>95</v>
      </c>
      <c r="I7" s="378" t="s">
        <v>96</v>
      </c>
      <c r="J7" s="379"/>
    </row>
    <row r="8" spans="1:10">
      <c r="A8" s="346">
        <v>95670781</v>
      </c>
      <c r="B8" s="346"/>
      <c r="C8" s="350">
        <v>44297</v>
      </c>
      <c r="D8" s="351"/>
      <c r="E8" s="113">
        <v>44327</v>
      </c>
      <c r="F8" s="163" t="s">
        <v>132</v>
      </c>
      <c r="G8" s="62"/>
      <c r="H8" s="62"/>
      <c r="I8" s="352"/>
      <c r="J8" s="353"/>
    </row>
    <row r="10" spans="1:10" ht="23.25" customHeight="1" thickBot="1"/>
    <row r="11" spans="1:10" ht="24.75" customHeight="1" thickTop="1">
      <c r="A11" s="330" t="s">
        <v>98</v>
      </c>
      <c r="B11" s="330"/>
      <c r="C11" s="354" t="s">
        <v>99</v>
      </c>
      <c r="D11" s="355"/>
      <c r="E11" s="330" t="s">
        <v>100</v>
      </c>
      <c r="F11" s="330"/>
      <c r="G11" s="354" t="s">
        <v>101</v>
      </c>
      <c r="H11" s="355"/>
      <c r="I11" s="356" t="s">
        <v>102</v>
      </c>
      <c r="J11" s="356"/>
    </row>
    <row r="12" spans="1:10">
      <c r="A12" s="346" t="s">
        <v>103</v>
      </c>
      <c r="B12" s="346"/>
      <c r="C12" s="346">
        <v>3750</v>
      </c>
      <c r="D12" s="346"/>
      <c r="E12" s="346">
        <v>1000</v>
      </c>
      <c r="F12" s="346"/>
      <c r="G12" s="347">
        <v>712</v>
      </c>
      <c r="H12" s="347"/>
      <c r="I12" s="348"/>
      <c r="J12" s="348"/>
    </row>
    <row r="13" spans="1:10">
      <c r="A13" s="349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30" t="s">
        <v>104</v>
      </c>
      <c r="B16" s="330"/>
      <c r="C16" s="63" t="s">
        <v>105</v>
      </c>
      <c r="D16" s="64" t="s">
        <v>106</v>
      </c>
      <c r="E16" s="64" t="s">
        <v>48</v>
      </c>
      <c r="F16" s="64" t="s">
        <v>107</v>
      </c>
      <c r="G16" s="343" t="s">
        <v>108</v>
      </c>
      <c r="H16" s="343"/>
      <c r="I16" s="344" t="s">
        <v>109</v>
      </c>
      <c r="J16" s="345"/>
    </row>
    <row r="17" spans="1:10">
      <c r="A17" s="335" t="s">
        <v>110</v>
      </c>
      <c r="B17" s="336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7"/>
      <c r="H17" s="338"/>
      <c r="I17" s="337">
        <f>+E17</f>
        <v>6887</v>
      </c>
      <c r="J17" s="338"/>
    </row>
    <row r="18" spans="1:10">
      <c r="A18" s="335" t="s">
        <v>111</v>
      </c>
      <c r="B18" s="336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7"/>
      <c r="H18" s="338"/>
      <c r="I18" s="337">
        <f>+E18</f>
        <v>3799</v>
      </c>
      <c r="J18" s="338"/>
    </row>
    <row r="19" spans="1:10">
      <c r="A19" s="335" t="s">
        <v>112</v>
      </c>
      <c r="B19" s="336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7"/>
      <c r="H19" s="338"/>
      <c r="I19" s="337">
        <f>+E19</f>
        <v>3073</v>
      </c>
      <c r="J19" s="338"/>
    </row>
    <row r="20" spans="1:10" ht="15">
      <c r="A20" s="339" t="s">
        <v>113</v>
      </c>
      <c r="B20" s="340"/>
      <c r="C20" s="68"/>
      <c r="D20" s="69"/>
      <c r="E20" s="68">
        <f>SUM(E17:E19)</f>
        <v>13759</v>
      </c>
      <c r="F20" s="70"/>
      <c r="G20" s="341"/>
      <c r="H20" s="342"/>
      <c r="I20" s="341"/>
      <c r="J20" s="342"/>
    </row>
    <row r="21" spans="1:10">
      <c r="C21" s="110" t="s">
        <v>18</v>
      </c>
      <c r="D21" t="s">
        <v>114</v>
      </c>
      <c r="G21" s="322"/>
      <c r="H21" s="322"/>
    </row>
    <row r="22" spans="1:10" ht="13.5" thickBot="1">
      <c r="G22" s="323"/>
      <c r="H22" s="323"/>
    </row>
    <row r="23" spans="1:10" ht="13.5" thickTop="1">
      <c r="A23" s="324" t="s">
        <v>115</v>
      </c>
      <c r="B23" s="325"/>
      <c r="C23" s="326"/>
      <c r="D23" s="330" t="s">
        <v>116</v>
      </c>
      <c r="E23" s="330" t="s">
        <v>117</v>
      </c>
      <c r="F23" s="332" t="s">
        <v>118</v>
      </c>
      <c r="G23" s="334" t="s">
        <v>119</v>
      </c>
      <c r="H23" s="334"/>
      <c r="I23" s="318" t="s">
        <v>120</v>
      </c>
      <c r="J23" s="318"/>
    </row>
    <row r="24" spans="1:10">
      <c r="A24" s="327"/>
      <c r="B24" s="328"/>
      <c r="C24" s="329"/>
      <c r="D24" s="331"/>
      <c r="E24" s="331"/>
      <c r="F24" s="333"/>
      <c r="G24" s="164" t="s">
        <v>121</v>
      </c>
      <c r="H24" s="71" t="s">
        <v>122</v>
      </c>
      <c r="I24" s="318"/>
      <c r="J24" s="318"/>
    </row>
    <row r="25" spans="1:10" ht="15">
      <c r="A25" s="319" t="s">
        <v>123</v>
      </c>
      <c r="B25" s="320"/>
      <c r="C25" s="32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03">
        <f>SUM(H25,F25)</f>
        <v>7469.6126519999998</v>
      </c>
      <c r="J25" s="304"/>
    </row>
    <row r="26" spans="1:10" ht="15">
      <c r="A26" s="300" t="s">
        <v>124</v>
      </c>
      <c r="B26" s="301"/>
      <c r="C26" s="302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03">
        <f t="shared" ref="I26:I31" si="0">SUM(H26,F26)</f>
        <v>3025.1057100000003</v>
      </c>
      <c r="J26" s="304"/>
    </row>
    <row r="27" spans="1:10" ht="15">
      <c r="A27" s="300" t="s">
        <v>125</v>
      </c>
      <c r="B27" s="301"/>
      <c r="C27" s="302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03">
        <f>SUM(H27,F27)</f>
        <v>4660.6838879999996</v>
      </c>
      <c r="J27" s="304"/>
    </row>
    <row r="28" spans="1:10" ht="15">
      <c r="A28" s="300" t="s">
        <v>126</v>
      </c>
      <c r="B28" s="301"/>
      <c r="C28" s="302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3">
        <f t="shared" si="0"/>
        <v>50025.103799999997</v>
      </c>
      <c r="J28" s="304"/>
    </row>
    <row r="29" spans="1:10" ht="15">
      <c r="A29" s="313" t="s">
        <v>127</v>
      </c>
      <c r="B29" s="314"/>
      <c r="C29" s="315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6">
        <f t="shared" si="0"/>
        <v>0</v>
      </c>
      <c r="J29" s="317"/>
    </row>
    <row r="30" spans="1:10" ht="15">
      <c r="A30" s="300" t="s">
        <v>128</v>
      </c>
      <c r="B30" s="301"/>
      <c r="C30" s="302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3">
        <f>SUM(H30,F30)</f>
        <v>1009.2</v>
      </c>
      <c r="J30" s="304"/>
    </row>
    <row r="31" spans="1:10" ht="15.75" thickBot="1">
      <c r="A31" s="305" t="s">
        <v>129</v>
      </c>
      <c r="B31" s="306"/>
      <c r="C31" s="307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3">
        <f t="shared" si="0"/>
        <v>1596.44</v>
      </c>
      <c r="J31" s="304"/>
    </row>
    <row r="32" spans="1:10" ht="21">
      <c r="A32" s="308" t="s">
        <v>130</v>
      </c>
      <c r="B32" s="309"/>
      <c r="C32" s="309"/>
      <c r="D32" s="309"/>
      <c r="E32" s="309"/>
      <c r="F32" s="84">
        <f>SUM(F25:F31)</f>
        <v>59508.8825</v>
      </c>
      <c r="G32" s="85"/>
      <c r="H32" s="86"/>
      <c r="I32" s="312">
        <f>SUM(I25:J31)</f>
        <v>67786.146049999996</v>
      </c>
      <c r="J32" s="312"/>
    </row>
    <row r="33" spans="1:10" ht="21.75" thickBot="1">
      <c r="A33" s="310"/>
      <c r="B33" s="311"/>
      <c r="C33" s="311"/>
      <c r="D33" s="311"/>
      <c r="E33" s="311"/>
      <c r="F33" s="87"/>
      <c r="G33" s="88"/>
      <c r="H33" s="89"/>
      <c r="I33" s="312"/>
      <c r="J33" s="312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1595.1000000000058</v>
      </c>
      <c r="C13" s="395"/>
      <c r="D13" s="395">
        <v>8.7899999999999991</v>
      </c>
      <c r="E13" s="395"/>
      <c r="F13" s="399">
        <f>PRODUCT(D13,B13)</f>
        <v>14020.929000000049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f>G8</f>
        <v>1595.1000000000058</v>
      </c>
      <c r="C19" s="395"/>
      <c r="D19" s="395">
        <v>2.61</v>
      </c>
      <c r="E19" s="395"/>
      <c r="F19" s="395">
        <f>PRODUCT(D19,B19)</f>
        <v>4163.2110000000148</v>
      </c>
      <c r="G19" s="395"/>
      <c r="H19" s="395"/>
    </row>
    <row r="20" spans="1:8" ht="18.75">
      <c r="A20" s="391" t="s">
        <v>149</v>
      </c>
      <c r="B20" s="392"/>
      <c r="C20" s="392"/>
      <c r="D20" s="392"/>
      <c r="E20" s="393"/>
      <c r="F20" s="394">
        <f>SUM(F11+F13+F16+F17+F18+F19)</f>
        <v>18207.140000000065</v>
      </c>
      <c r="G20" s="394"/>
      <c r="H20" s="394"/>
    </row>
    <row r="21" spans="1:8" ht="15">
      <c r="A21" s="380" t="s">
        <v>150</v>
      </c>
      <c r="B21" s="381"/>
      <c r="C21" s="381"/>
      <c r="D21" s="381"/>
      <c r="E21" s="382"/>
      <c r="F21" s="395">
        <f>PRODUCT(F20,0.07)</f>
        <v>1274.4998000000046</v>
      </c>
      <c r="G21" s="395"/>
      <c r="H21" s="395"/>
    </row>
    <row r="22" spans="1:8" ht="15">
      <c r="A22" s="433" t="s">
        <v>151</v>
      </c>
      <c r="B22" s="434"/>
      <c r="C22" s="434"/>
      <c r="D22" s="434"/>
      <c r="E22" s="435"/>
      <c r="F22" s="395">
        <v>208.26</v>
      </c>
      <c r="G22" s="395"/>
      <c r="H22" s="395"/>
    </row>
    <row r="23" spans="1:8" ht="15.75">
      <c r="A23" s="380" t="s">
        <v>152</v>
      </c>
      <c r="B23" s="381"/>
      <c r="C23" s="381"/>
      <c r="D23" s="381"/>
      <c r="E23" s="382"/>
      <c r="F23" s="383">
        <f>SUM(F21:H22)</f>
        <v>1482.7598000000046</v>
      </c>
      <c r="G23" s="383"/>
      <c r="H23" s="383"/>
    </row>
    <row r="24" spans="1:8">
      <c r="A24" s="384" t="s">
        <v>153</v>
      </c>
      <c r="B24" s="385"/>
      <c r="C24" s="385"/>
      <c r="D24" s="385"/>
      <c r="E24" s="386"/>
      <c r="F24" s="390">
        <f>SUM(F20,F23)</f>
        <v>19689.899800000068</v>
      </c>
      <c r="G24" s="390"/>
      <c r="H24" s="390"/>
    </row>
    <row r="25" spans="1:8">
      <c r="A25" s="387"/>
      <c r="B25" s="388"/>
      <c r="C25" s="388"/>
      <c r="D25" s="388"/>
      <c r="E25" s="389"/>
      <c r="F25" s="390"/>
      <c r="G25" s="390"/>
      <c r="H25" s="390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133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9">
        <f>PRODUCT(D13,B13)</f>
        <v>1018.3000000000247</v>
      </c>
      <c r="G13" s="399"/>
      <c r="H13" s="399"/>
    </row>
    <row r="14" spans="1:8" ht="45" customHeight="1">
      <c r="A14" s="396" t="s">
        <v>144</v>
      </c>
      <c r="B14" s="396"/>
      <c r="C14" s="396"/>
      <c r="D14" s="396"/>
      <c r="E14" s="396"/>
      <c r="F14" s="396"/>
      <c r="G14" s="396"/>
      <c r="H14" s="396"/>
    </row>
    <row r="15" spans="1:8">
      <c r="A15" s="397"/>
      <c r="B15" s="397"/>
      <c r="C15" s="397"/>
      <c r="D15" s="397"/>
      <c r="E15" s="397"/>
      <c r="F15" s="397"/>
      <c r="G15" s="397"/>
      <c r="H15" s="397"/>
    </row>
    <row r="16" spans="1:8" ht="1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>
      <c r="A19" s="103" t="s">
        <v>148</v>
      </c>
      <c r="B19" s="395">
        <v>0</v>
      </c>
      <c r="C19" s="395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>
      <c r="A21" s="391" t="s">
        <v>149</v>
      </c>
      <c r="B21" s="392"/>
      <c r="C21" s="392"/>
      <c r="D21" s="392"/>
      <c r="E21" s="393"/>
      <c r="F21" s="394">
        <f>SUM(F11+F13+F16+F17+F18+F20)</f>
        <v>1345.5920000000322</v>
      </c>
      <c r="G21" s="394"/>
      <c r="H21" s="394"/>
    </row>
    <row r="22" spans="1:8" ht="15">
      <c r="A22" s="380" t="s">
        <v>150</v>
      </c>
      <c r="B22" s="381"/>
      <c r="C22" s="381"/>
      <c r="D22" s="381"/>
      <c r="E22" s="382"/>
      <c r="F22" s="395">
        <f>PRODUCT(F21,0.07)</f>
        <v>94.19144000000226</v>
      </c>
      <c r="G22" s="395"/>
      <c r="H22" s="395"/>
    </row>
    <row r="23" spans="1:8" ht="15">
      <c r="A23" s="433" t="s">
        <v>151</v>
      </c>
      <c r="B23" s="434"/>
      <c r="C23" s="434"/>
      <c r="D23" s="434"/>
      <c r="E23" s="435"/>
      <c r="F23" s="395">
        <v>208.26</v>
      </c>
      <c r="G23" s="395"/>
      <c r="H23" s="395"/>
    </row>
    <row r="24" spans="1:8" ht="15.75">
      <c r="A24" s="380" t="s">
        <v>152</v>
      </c>
      <c r="B24" s="381"/>
      <c r="C24" s="381"/>
      <c r="D24" s="381"/>
      <c r="E24" s="382"/>
      <c r="F24" s="383">
        <f>SUM(F22:H23)</f>
        <v>302.45144000000226</v>
      </c>
      <c r="G24" s="383"/>
      <c r="H24" s="383"/>
    </row>
    <row r="25" spans="1:8">
      <c r="A25" s="384" t="s">
        <v>153</v>
      </c>
      <c r="B25" s="385"/>
      <c r="C25" s="385"/>
      <c r="D25" s="385"/>
      <c r="E25" s="386"/>
      <c r="F25" s="390">
        <f>SUM(F21,F24)</f>
        <v>1648.0434400000345</v>
      </c>
      <c r="G25" s="390"/>
      <c r="H25" s="390"/>
    </row>
    <row r="26" spans="1:8">
      <c r="A26" s="387"/>
      <c r="B26" s="388"/>
      <c r="C26" s="388"/>
      <c r="D26" s="388"/>
      <c r="E26" s="389"/>
      <c r="F26" s="390"/>
      <c r="G26" s="390"/>
      <c r="H26" s="390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00"/>
      <c r="B1" s="357" t="s">
        <v>155</v>
      </c>
      <c r="C1" s="358"/>
      <c r="D1" s="358"/>
      <c r="E1" s="358"/>
      <c r="F1" s="403" t="s">
        <v>88</v>
      </c>
      <c r="G1" s="404"/>
      <c r="H1" s="405"/>
    </row>
    <row r="2" spans="1:8" ht="15.75" customHeight="1" thickBot="1">
      <c r="A2" s="401"/>
      <c r="B2" s="359"/>
      <c r="C2" s="360"/>
      <c r="D2" s="360"/>
      <c r="E2" s="360"/>
      <c r="F2" s="406"/>
      <c r="G2" s="407"/>
      <c r="H2" s="408"/>
    </row>
    <row r="3" spans="1:8" ht="15" customHeight="1">
      <c r="A3" s="401"/>
      <c r="B3" s="359"/>
      <c r="C3" s="360"/>
      <c r="D3" s="360"/>
      <c r="E3" s="360"/>
      <c r="F3" s="403" t="s">
        <v>89</v>
      </c>
      <c r="G3" s="404"/>
      <c r="H3" s="405"/>
    </row>
    <row r="4" spans="1:8" ht="15.75" customHeight="1" thickBot="1">
      <c r="A4" s="402"/>
      <c r="B4" s="361"/>
      <c r="C4" s="362"/>
      <c r="D4" s="362"/>
      <c r="E4" s="362"/>
      <c r="F4" s="409"/>
      <c r="G4" s="410"/>
      <c r="H4" s="41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412" t="s">
        <v>116</v>
      </c>
      <c r="C10" s="413"/>
      <c r="D10" s="414" t="s">
        <v>139</v>
      </c>
      <c r="E10" s="414"/>
      <c r="F10" s="412" t="s">
        <v>140</v>
      </c>
      <c r="G10" s="415"/>
      <c r="H10" s="413"/>
    </row>
    <row r="11" spans="1:8" ht="1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>
      <c r="A12" s="398" t="s">
        <v>142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5">
        <f>G8</f>
        <v>0</v>
      </c>
      <c r="C13" s="395"/>
      <c r="D13" s="395">
        <v>16.48</v>
      </c>
      <c r="E13" s="395"/>
      <c r="F13" s="399">
        <f>PRODUCT(D13,B13)</f>
        <v>0</v>
      </c>
      <c r="G13" s="399"/>
      <c r="H13" s="399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6" t="s">
        <v>144</v>
      </c>
      <c r="B18" s="396"/>
      <c r="C18" s="396"/>
      <c r="D18" s="396"/>
      <c r="E18" s="396"/>
      <c r="F18" s="396"/>
      <c r="G18" s="396"/>
      <c r="H18" s="396"/>
    </row>
    <row r="19" spans="1:8">
      <c r="A19" s="397"/>
      <c r="B19" s="397"/>
      <c r="C19" s="397"/>
      <c r="D19" s="397"/>
      <c r="E19" s="397"/>
      <c r="F19" s="397"/>
      <c r="G19" s="397"/>
      <c r="H19" s="397"/>
    </row>
    <row r="20" spans="1:8" ht="1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391" t="s">
        <v>149</v>
      </c>
      <c r="B25" s="392"/>
      <c r="C25" s="392"/>
      <c r="D25" s="392"/>
      <c r="E25" s="393"/>
      <c r="F25" s="418">
        <f>SUM(F11+F13+F20+F21+F22+F23)</f>
        <v>15</v>
      </c>
      <c r="G25" s="394"/>
      <c r="H25" s="394"/>
    </row>
    <row r="26" spans="1:8" ht="15">
      <c r="A26" s="380" t="s">
        <v>150</v>
      </c>
      <c r="B26" s="381"/>
      <c r="C26" s="381"/>
      <c r="D26" s="381"/>
      <c r="E26" s="382"/>
      <c r="F26" s="395">
        <v>63.63</v>
      </c>
      <c r="G26" s="395"/>
      <c r="H26" s="395"/>
    </row>
    <row r="27" spans="1:8" ht="15">
      <c r="A27" s="433" t="s">
        <v>151</v>
      </c>
      <c r="B27" s="434"/>
      <c r="C27" s="434"/>
      <c r="D27" s="434"/>
      <c r="E27" s="435"/>
      <c r="F27" s="395">
        <v>2.4300000000000002</v>
      </c>
      <c r="G27" s="395"/>
      <c r="H27" s="395"/>
    </row>
    <row r="28" spans="1:8" ht="15.75">
      <c r="A28" s="380" t="s">
        <v>152</v>
      </c>
      <c r="B28" s="381"/>
      <c r="C28" s="381"/>
      <c r="D28" s="381"/>
      <c r="E28" s="382"/>
      <c r="F28" s="383">
        <f>SUM(F26:H27)</f>
        <v>66.06</v>
      </c>
      <c r="G28" s="383"/>
      <c r="H28" s="383"/>
    </row>
    <row r="29" spans="1:8">
      <c r="A29" s="384" t="s">
        <v>153</v>
      </c>
      <c r="B29" s="385"/>
      <c r="C29" s="385"/>
      <c r="D29" s="385"/>
      <c r="E29" s="386"/>
      <c r="F29" s="390">
        <f>SUM(F25,F28)</f>
        <v>81.06</v>
      </c>
      <c r="G29" s="390"/>
      <c r="H29" s="390"/>
    </row>
    <row r="30" spans="1:8">
      <c r="A30" s="387"/>
      <c r="B30" s="388"/>
      <c r="C30" s="388"/>
      <c r="D30" s="388"/>
      <c r="E30" s="389"/>
      <c r="F30" s="390"/>
      <c r="G30" s="390"/>
      <c r="H30" s="390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2022-02-04T08:40:56Z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