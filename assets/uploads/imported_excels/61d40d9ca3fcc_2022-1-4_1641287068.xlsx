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Basim.Amish\Desktop\HEP Draft\"/>
    </mc:Choice>
  </mc:AlternateContent>
  <xr:revisionPtr revIDLastSave="0" documentId="13_ncr:1_{70784AEC-7229-4D11-8673-6B9A15337D3B}" xr6:coauthVersionLast="46" xr6:coauthVersionMax="47" xr10:uidLastSave="{00000000-0000-0000-0000-000000000000}"/>
  <bookViews>
    <workbookView xWindow="-120" yWindow="-120" windowWidth="20730" windowHeight="11160" tabRatio="307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" i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5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tc={6CB4F41C-6112-4643-987D-5DA934163EBE}</author>
    <author>tc={B57C4778-3B46-451B-A48C-FDC26999EE04}</author>
    <author>tc={71032E43-3902-4953-BE1C-77AEBDE2F47A}</author>
    <author>tc={4B172DEA-F4F2-48FA-9416-4C87E544BD31}</author>
    <author>tc={99391735-7977-4B14-B580-80BB75A64F76}</author>
    <author>tc={5962F0A5-3140-4595-9027-4E29B4007EED}</author>
    <author>tc={7E0A94FA-79A1-4733-88AE-41A5EC2CAEFA}</author>
    <author>tc={59B222C0-DE2E-47A1-BCC4-88A25857D4E7}</author>
    <author>tc={0A72C59D-907E-4986-AC50-879D3E2FA607}</author>
    <author>tc={815106CF-BBF4-441C-ABF9-69EE458C474A}</author>
    <author>tc={1D1DA653-4981-4C6E-8806-6E259B362C76}</author>
    <author>tc={ED5038FF-69ED-4744-9E5D-F330B7ADA2DB}</author>
    <author>tc={98A3E0F4-EFBC-4406-8E18-674803FB80E2}</author>
    <author>tc={DB7AC8F3-5C02-4F29-A95B-0C4B644D3B40}</author>
    <author>tc={1EE72F65-5BF5-499A-8FD8-27142C713F45}</author>
    <author>tc={876C8C46-6659-428B-B2F1-FBB789A97B26}</author>
    <author>tc={7DE4DB06-FDB8-4BF5-AE11-A8FE604BE0C6}</author>
    <author>tc={BC827E7B-E681-46C7-BF6E-4D7AA71D4FCD}</author>
  </authors>
  <commentList>
    <comment ref="R11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HV cable repair - power was from Generators and load share from residences power</t>
      </text>
    </comment>
    <comment ref="D1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HV cable repair - power was from Generators and load share from residences power</t>
      </text>
    </comment>
    <comment ref="H29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COVID-19- only staff kitchen and Laundry</t>
      </text>
    </comment>
    <comment ref="L29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N29" authorId="4" shapeId="0" xr:uid="{00000000-0006-0000-00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T29" authorId="5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V29" authorId="6" shapeId="0" xr:uid="{00000000-0006-0000-00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H30" authorId="7" shapeId="0" xr:uid="{00000000-0006-0000-00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L30" authorId="8" shapeId="0" xr:uid="{00000000-0006-0000-0000-000009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N30" authorId="9" shapeId="0" xr:uid="{00000000-0006-0000-0000-00000A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T30" authorId="10" shapeId="0" xr:uid="{00000000-0006-0000-0000-00000B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V30" authorId="11" shapeId="0" xr:uid="{00000000-0006-0000-0000-00000C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H31" authorId="12" shapeId="0" xr:uid="{00000000-0006-0000-0000-00000D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L31" authorId="13" shapeId="0" xr:uid="{00000000-0006-0000-0000-00000E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N31" authorId="14" shapeId="0" xr:uid="{00000000-0006-0000-0000-00000F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T31" authorId="15" shapeId="0" xr:uid="{00000000-0006-0000-0000-000010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V31" authorId="16" shapeId="0" xr:uid="{00000000-0006-0000-0000-00001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Resort Closure Due to COVID-19</t>
      </text>
    </comment>
    <comment ref="D46" authorId="17" shapeId="0" xr:uid="{BC827E7B-E681-46C7-BF6E-4D7AA71D4FCD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Sep. MDB Maint.</t>
      </text>
    </comment>
  </commentList>
</comments>
</file>

<file path=xl/sharedStrings.xml><?xml version="1.0" encoding="utf-8"?>
<sst xmlns="http://schemas.openxmlformats.org/spreadsheetml/2006/main" count="71" uniqueCount="24">
  <si>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</si>
  <si>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</si>
  <si>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</si>
  <si>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</si>
  <si>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</si>
  <si>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</si>
  <si>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</si>
  <si>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LPG Kitchen $/Kg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</si>
  <si>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</si>
  <si>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</si>
  <si>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</si>
  <si>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</si>
  <si>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Cisterns (m3) m3</t>
  </si>
  <si>
    <t>Water Cisterns (m3) $/m3</t>
  </si>
  <si>
    <t>Water Total Budgeted Cost ($)</t>
  </si>
  <si>
    <t xml:space="preserve">Room Nights </t>
  </si>
  <si>
    <t>Total Guests</t>
  </si>
  <si>
    <t>Food Covers</t>
  </si>
  <si>
    <t>Forex</t>
  </si>
  <si>
    <t>Koh Samui</t>
  </si>
  <si>
    <t>LPG Kitchen (Kg)</t>
  </si>
  <si>
    <t>Water Total Budgeted</t>
  </si>
  <si>
    <t>Fuel Oil Others (Liter) Liter</t>
  </si>
  <si>
    <t>Fuel Oil Others (Liter)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</si>
</sst>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-* #,##0.00_-;\-* #,##0.00_-;_-* &quot;-&quot;??_-;_-@_-"/>
  </numFmts>
  <fonts count="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indexed="8"/>
      <name val="Calibri"/>
      <family val="2"/>
    </font>
    <font>
      <sz val="14"/>
      <name val="Cordia New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2" fillId="0" borderId="0" applyFill="0" applyBorder="0" applyAlignment="0" applyProtection="0"/>
    <xf numFmtId="0" fontId="6" fillId="0" borderId="0" applyFill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8" fillId="0" borderId="0" applyFill="0" applyProtection="0"/>
  </cellStyleXfs>
  <cellXfs count="39">
    <xf numFmtId="0" fontId="0" fillId="0" borderId="0" xfId="0"/>
    <xf numFmtId="1" fontId="0" fillId="0" borderId="0" xfId="0" applyNumberFormat="1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3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4" fontId="0" fillId="0" borderId="0" xfId="0" applyNumberFormat="1"/>
    <xf numFmtId="3" fontId="4" fillId="0" borderId="0" xfId="0" applyNumberFormat="1" applyFont="1"/>
    <xf numFmtId="0" fontId="0" fillId="0" borderId="0" xfId="0" applyNumberFormat="1" applyAlignment="1">
      <alignment horizontal="center"/>
    </xf>
    <xf numFmtId="4" fontId="0" fillId="2" borderId="2" xfId="0" applyNumberFormat="1" applyFill="1" applyBorder="1" applyAlignment="1">
      <alignment vertical="center"/>
    </xf>
    <xf numFmtId="0" fontId="0" fillId="0" borderId="0" xfId="0" applyFont="1" applyFill="1" applyBorder="1" applyAlignment="1">
      <alignment wrapText="1"/>
    </xf>
    <xf numFmtId="1" fontId="4" fillId="3" borderId="2" xfId="0" applyNumberFormat="1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1" fontId="0" fillId="3" borderId="2" xfId="0" applyNumberFormat="1" applyFont="1" applyFill="1" applyBorder="1" applyAlignment="1">
      <alignment horizontal="center"/>
    </xf>
    <xf numFmtId="0" fontId="0" fillId="3" borderId="2" xfId="0" applyNumberFormat="1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1" fontId="0" fillId="3" borderId="2" xfId="1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NumberFormat="1" applyFont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Font="1" applyFill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2" fontId="0" fillId="3" borderId="2" xfId="0" applyNumberFormat="1" applyFont="1" applyFill="1" applyBorder="1" applyAlignment="1">
      <alignment horizontal="center"/>
    </xf>
  </cellXfs>
  <cellStyles count="11">
    <cellStyle name="Comma" xfId="1" builtinId="3"/>
    <cellStyle name="Comma 2" xfId="4" xr:uid="{00000000-0005-0000-0000-000001000000}"/>
    <cellStyle name="Comma 2 2" xfId="9" xr:uid="{00000000-0005-0000-0000-000002000000}"/>
    <cellStyle name="Comma 3" xfId="7" xr:uid="{00000000-0005-0000-0000-000003000000}"/>
    <cellStyle name="Currency 2" xfId="5" xr:uid="{00000000-0005-0000-0000-000004000000}"/>
    <cellStyle name="Normal" xfId="0" builtinId="0"/>
    <cellStyle name="Normal 2" xfId="3" xr:uid="{00000000-0005-0000-0000-000006000000}"/>
    <cellStyle name="Normal 2 2" xfId="8" xr:uid="{00000000-0005-0000-0000-000007000000}"/>
    <cellStyle name="Normal 3" xfId="2" xr:uid="{00000000-0005-0000-0000-000008000000}"/>
    <cellStyle name="Normal 4" xfId="10" xr:uid="{00000000-0005-0000-0000-000009000000}"/>
    <cellStyle name="Percent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SIM AMISH" id="{EA7D21D5-3E35-4E84-AA5E-D22BE7ADA84C}" userId="S::Basim.Amish@fourseasons.com::81394002-7ef7-428a-92b1-ec684d9ee25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1" dT="2021-04-19T13:29:48.70" personId="{EA7D21D5-3E35-4E84-AA5E-D22BE7ADA84C}" id="{6CB4F41C-6112-4643-987D-5DA934163EBE}">
    <text>HV cable repair - power was from Generators and load share from residences power</text>
  </threadedComment>
  <threadedComment ref="D12" dT="2021-04-19T13:21:40.96" personId="{EA7D21D5-3E35-4E84-AA5E-D22BE7ADA84C}" id="{B57C4778-3B46-451B-A48C-FDC26999EE04}">
    <text>HV cable repair - power was from Generators and load share from residences power</text>
  </threadedComment>
  <threadedComment ref="H29" dT="2021-04-19T13:26:30.61" personId="{EA7D21D5-3E35-4E84-AA5E-D22BE7ADA84C}" id="{71032E43-3902-4953-BE1C-77AEBDE2F47A}">
    <text>Resort Closure Due to COVID-19- only staff kitchen and Laundry</text>
  </threadedComment>
  <threadedComment ref="L29" dT="2021-04-19T13:39:08.49" personId="{EA7D21D5-3E35-4E84-AA5E-D22BE7ADA84C}" id="{4B172DEA-F4F2-48FA-9416-4C87E544BD31}">
    <text>Resort Closure Due to COVID-19</text>
  </threadedComment>
  <threadedComment ref="N29" dT="2021-04-19T13:39:23.44" personId="{EA7D21D5-3E35-4E84-AA5E-D22BE7ADA84C}" id="{99391735-7977-4B14-B580-80BB75A64F76}">
    <text>Resort Closure Due to COVID-19</text>
  </threadedComment>
  <threadedComment ref="T29" dT="2021-04-19T13:23:01.40" personId="{EA7D21D5-3E35-4E84-AA5E-D22BE7ADA84C}" id="{5962F0A5-3140-4595-9027-4E29B4007EED}">
    <text>Resort Closure Due to COVID-19</text>
  </threadedComment>
  <threadedComment ref="V29" dT="2021-04-19T13:23:18.84" personId="{EA7D21D5-3E35-4E84-AA5E-D22BE7ADA84C}" id="{7E0A94FA-79A1-4733-88AE-41A5EC2CAEFA}">
    <text>Resort Closure Due to COVID-19</text>
  </threadedComment>
  <threadedComment ref="H30" dT="2021-04-19T13:26:00.81" personId="{EA7D21D5-3E35-4E84-AA5E-D22BE7ADA84C}" id="{59B222C0-DE2E-47A1-BCC4-88A25857D4E7}">
    <text>Resort Closure Due to COVID-19</text>
  </threadedComment>
  <threadedComment ref="L30" dT="2021-04-19T13:39:13.19" personId="{EA7D21D5-3E35-4E84-AA5E-D22BE7ADA84C}" id="{0A72C59D-907E-4986-AC50-879D3E2FA607}">
    <text>Resort Closure Due to COVID-19</text>
  </threadedComment>
  <threadedComment ref="N30" dT="2021-04-19T13:39:27.79" personId="{EA7D21D5-3E35-4E84-AA5E-D22BE7ADA84C}" id="{815106CF-BBF4-441C-ABF9-69EE458C474A}">
    <text>Resort Closure Due to COVID-19</text>
  </threadedComment>
  <threadedComment ref="T30" dT="2021-04-19T13:23:08.18" personId="{EA7D21D5-3E35-4E84-AA5E-D22BE7ADA84C}" id="{1D1DA653-4981-4C6E-8806-6E259B362C76}">
    <text>Resort Closure Due to COVID-19</text>
  </threadedComment>
  <threadedComment ref="V30" dT="2021-04-19T13:23:23.04" personId="{EA7D21D5-3E35-4E84-AA5E-D22BE7ADA84C}" id="{ED5038FF-69ED-4744-9E5D-F330B7ADA2DB}">
    <text>Resort Closure Due to COVID-19</text>
  </threadedComment>
  <threadedComment ref="H31" dT="2021-04-19T13:26:07.47" personId="{EA7D21D5-3E35-4E84-AA5E-D22BE7ADA84C}" id="{98A3E0F4-EFBC-4406-8E18-674803FB80E2}">
    <text>Resort Closure Due to COVID-19</text>
  </threadedComment>
  <threadedComment ref="L31" dT="2021-04-19T13:39:18.22" personId="{EA7D21D5-3E35-4E84-AA5E-D22BE7ADA84C}" id="{DB7AC8F3-5C02-4F29-A95B-0C4B644D3B40}">
    <text>Resort Closure Due to COVID-19</text>
  </threadedComment>
  <threadedComment ref="N31" dT="2021-04-19T13:39:32.53" personId="{EA7D21D5-3E35-4E84-AA5E-D22BE7ADA84C}" id="{1EE72F65-5BF5-499A-8FD8-27142C713F45}">
    <text>Resort Closure Due to COVID-19</text>
  </threadedComment>
  <threadedComment ref="T31" dT="2021-04-19T13:23:13.51" personId="{EA7D21D5-3E35-4E84-AA5E-D22BE7ADA84C}" id="{876C8C46-6659-428B-B2F1-FBB789A97B26}">
    <text>Resort Closure Due to COVID-19</text>
  </threadedComment>
  <threadedComment ref="V31" dT="2021-04-19T13:23:27.59" personId="{EA7D21D5-3E35-4E84-AA5E-D22BE7ADA84C}" id="{7DE4DB06-FDB8-4BF5-AE11-A8FE604BE0C6}">
    <text>Resort Closure Due to COVID-19</text>
  </threadedComment>
  <threadedComment ref="D46" dT="2021-09-14T01:46:33.67" personId="{EA7D21D5-3E35-4E84-AA5E-D22BE7ADA84C}" id="{BC827E7B-E681-46C7-BF6E-4D7AA71D4FCD}">
    <text>13 Sep. MDB Maint.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35"/>
  <sheetViews>
    <sheetView tabSelected="1" zoomScaleNormal="100" workbookViewId="0">
      <pane ySplit="1" topLeftCell="A29" activePane="bottomLeft" state="frozen"/>
      <selection pane="bottomLeft" activeCell="V52" sqref="V52"/>
    </sheetView>
  </sheetViews>
  <sheetFormatPr defaultColWidth="11.5703125" defaultRowHeight="12.75" x14ac:dyDescent="0.2"/>
  <cols>
    <col min="1" max="1" width="12.42578125" style="5" bestFit="1" customWidth="1"/>
    <col min="2" max="2" width="11.5703125" style="5"/>
    <col min="3" max="3" width="13.42578125" style="5" customWidth="1"/>
    <col min="4" max="5" width="12.5703125" style="5" customWidth="1"/>
    <col min="6" max="8" width="11.5703125" style="5"/>
    <col min="9" max="9" width="12.85546875" style="7" customWidth="1"/>
    <col min="10" max="21" width="11.5703125" style="5"/>
  </cols>
  <sheetData>
    <row r="1" spans="1:37" s="2" customFormat="1" ht="51" x14ac:dyDescent="0.2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10" t="s">
        <v>5</v>
      </c>
      <c r="G1" s="10" t="s">
        <v>6</v>
      </c>
      <c r="H1" s="4" t="s">
        <v>20</v>
      </c>
      <c r="I1" s="4" t="s">
        <v>7</v>
      </c>
      <c r="J1" s="10" t="s">
        <v>8</v>
      </c>
      <c r="K1" s="10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10" t="s">
        <v>21</v>
      </c>
      <c r="Q1" s="10" t="s">
        <v>14</v>
      </c>
      <c r="R1" s="4" t="s">
        <v>22</v>
      </c>
      <c r="S1" s="4" t="s">
        <v>23</v>
      </c>
      <c r="T1" s="4" t="s">
        <v>15</v>
      </c>
      <c r="U1" s="4" t="s">
        <v>16</v>
      </c>
      <c r="V1" s="4" t="s">
        <v>17</v>
      </c>
      <c r="W1" s="3" t="s">
        <v>18</v>
      </c>
    </row>
    <row r="2" spans="1:37" x14ac:dyDescent="0.2">
      <c r="A2" s="35" t="s">
        <v>19</v>
      </c>
      <c r="B2" s="36">
        <v>1</v>
      </c>
      <c r="C2" s="36">
        <v>2018</v>
      </c>
      <c r="D2" s="27">
        <v>367812</v>
      </c>
      <c r="E2" s="28">
        <v>3.6</v>
      </c>
      <c r="F2" s="29">
        <f>G2/E2</f>
        <v>416319.44444444444</v>
      </c>
      <c r="G2" s="29">
        <v>1498750</v>
      </c>
      <c r="H2" s="30">
        <v>16719</v>
      </c>
      <c r="I2" s="31">
        <v>23.7</v>
      </c>
      <c r="J2" s="29">
        <f>K2/I2</f>
        <v>14240.506329113925</v>
      </c>
      <c r="K2" s="29">
        <v>337500</v>
      </c>
      <c r="L2" s="27">
        <v>5730</v>
      </c>
      <c r="M2" s="30">
        <v>60</v>
      </c>
      <c r="N2" s="30">
        <v>7519</v>
      </c>
      <c r="O2" s="28">
        <v>3.75</v>
      </c>
      <c r="P2" s="29">
        <f>Q2/60</f>
        <v>5500</v>
      </c>
      <c r="Q2" s="29">
        <v>330000</v>
      </c>
      <c r="R2" s="30">
        <v>0</v>
      </c>
      <c r="S2" s="32">
        <v>0</v>
      </c>
      <c r="T2" s="27">
        <v>1546</v>
      </c>
      <c r="U2" s="27"/>
      <c r="V2" s="33">
        <v>12733</v>
      </c>
      <c r="W2" s="34">
        <v>3.1304999999999999E-2</v>
      </c>
      <c r="X2" s="9"/>
      <c r="Y2" s="9"/>
      <c r="Z2" s="1"/>
    </row>
    <row r="3" spans="1:37" x14ac:dyDescent="0.2">
      <c r="A3" s="35" t="s">
        <v>19</v>
      </c>
      <c r="B3" s="36">
        <v>2</v>
      </c>
      <c r="C3" s="36">
        <v>2018</v>
      </c>
      <c r="D3" s="27">
        <v>334962</v>
      </c>
      <c r="E3" s="28">
        <v>3.6</v>
      </c>
      <c r="F3" s="29">
        <f t="shared" ref="F3:F37" si="0">G3/E3</f>
        <v>414692.36111111112</v>
      </c>
      <c r="G3" s="29">
        <v>1492892.5</v>
      </c>
      <c r="H3" s="30">
        <v>13548</v>
      </c>
      <c r="I3" s="31">
        <v>23.7</v>
      </c>
      <c r="J3" s="29">
        <f t="shared" ref="J3:J37" si="1">K3/I3</f>
        <v>14136.075949367088</v>
      </c>
      <c r="K3" s="29">
        <v>335025</v>
      </c>
      <c r="L3" s="27">
        <v>6720</v>
      </c>
      <c r="M3" s="30">
        <v>60</v>
      </c>
      <c r="N3" s="30">
        <v>7027</v>
      </c>
      <c r="O3" s="28">
        <v>3.75</v>
      </c>
      <c r="P3" s="29">
        <f t="shared" ref="P3:P49" si="2">Q3/60</f>
        <v>5459.666666666667</v>
      </c>
      <c r="Q3" s="29">
        <v>327580</v>
      </c>
      <c r="R3" s="30">
        <v>0</v>
      </c>
      <c r="S3" s="32">
        <v>0</v>
      </c>
      <c r="T3" s="27">
        <v>1406</v>
      </c>
      <c r="U3" s="27"/>
      <c r="V3" s="33">
        <v>11683</v>
      </c>
      <c r="W3" s="34">
        <v>3.1761999999999999E-2</v>
      </c>
      <c r="Y3" s="9"/>
      <c r="Z3" s="1"/>
    </row>
    <row r="4" spans="1:37" x14ac:dyDescent="0.2">
      <c r="A4" s="35" t="s">
        <v>19</v>
      </c>
      <c r="B4" s="36">
        <v>3</v>
      </c>
      <c r="C4" s="36">
        <v>2018</v>
      </c>
      <c r="D4" s="27">
        <v>381906</v>
      </c>
      <c r="E4" s="28">
        <v>3.6</v>
      </c>
      <c r="F4" s="29">
        <f t="shared" si="0"/>
        <v>404781.94444444444</v>
      </c>
      <c r="G4" s="29">
        <v>1457215</v>
      </c>
      <c r="H4" s="30">
        <v>16206</v>
      </c>
      <c r="I4" s="31">
        <v>23.7</v>
      </c>
      <c r="J4" s="29">
        <f t="shared" si="1"/>
        <v>13500</v>
      </c>
      <c r="K4" s="29">
        <v>319950</v>
      </c>
      <c r="L4" s="27">
        <v>6150</v>
      </c>
      <c r="M4" s="30">
        <v>60</v>
      </c>
      <c r="N4" s="30">
        <v>7109</v>
      </c>
      <c r="O4" s="28">
        <v>3.75</v>
      </c>
      <c r="P4" s="29">
        <f t="shared" si="2"/>
        <v>5214</v>
      </c>
      <c r="Q4" s="29">
        <v>312840</v>
      </c>
      <c r="R4" s="30">
        <v>600</v>
      </c>
      <c r="S4" s="32">
        <v>26.87</v>
      </c>
      <c r="T4" s="27">
        <v>1503</v>
      </c>
      <c r="U4" s="27"/>
      <c r="V4" s="33">
        <v>11955</v>
      </c>
      <c r="W4" s="34">
        <v>3.1961000000000003E-2</v>
      </c>
      <c r="Y4" s="9"/>
      <c r="Z4" s="1"/>
      <c r="AC4" s="9"/>
      <c r="AD4" s="9"/>
      <c r="AE4" s="9"/>
      <c r="AF4" s="9"/>
      <c r="AG4" s="9"/>
      <c r="AH4" s="9"/>
      <c r="AI4" s="9"/>
      <c r="AJ4" s="9"/>
      <c r="AK4" s="9"/>
    </row>
    <row r="5" spans="1:37" s="8" customFormat="1" x14ac:dyDescent="0.2">
      <c r="A5" s="35" t="s">
        <v>19</v>
      </c>
      <c r="B5" s="36">
        <v>4</v>
      </c>
      <c r="C5" s="36">
        <v>2018</v>
      </c>
      <c r="D5" s="27">
        <v>386316</v>
      </c>
      <c r="E5" s="28">
        <v>3.6</v>
      </c>
      <c r="F5" s="29">
        <f t="shared" si="0"/>
        <v>404781.94444444444</v>
      </c>
      <c r="G5" s="29">
        <v>1457215</v>
      </c>
      <c r="H5" s="30">
        <v>15696</v>
      </c>
      <c r="I5" s="31">
        <v>23.7</v>
      </c>
      <c r="J5" s="29">
        <f t="shared" si="1"/>
        <v>13917.721518987342</v>
      </c>
      <c r="K5" s="29">
        <v>329850</v>
      </c>
      <c r="L5" s="27">
        <v>6195</v>
      </c>
      <c r="M5" s="30">
        <v>60</v>
      </c>
      <c r="N5" s="30">
        <v>8987</v>
      </c>
      <c r="O5" s="28">
        <v>3.75</v>
      </c>
      <c r="P5" s="29">
        <f t="shared" si="2"/>
        <v>5375.333333333333</v>
      </c>
      <c r="Q5" s="29">
        <v>322520</v>
      </c>
      <c r="R5" s="30">
        <v>0</v>
      </c>
      <c r="S5" s="32">
        <v>0</v>
      </c>
      <c r="T5" s="27">
        <v>1445</v>
      </c>
      <c r="U5" s="27"/>
      <c r="V5" s="33">
        <v>11777</v>
      </c>
      <c r="W5" s="34">
        <v>3.1940999999999997E-2</v>
      </c>
      <c r="Y5" s="9"/>
      <c r="Z5" s="1"/>
      <c r="AA5"/>
      <c r="AB5"/>
      <c r="AC5" s="12"/>
      <c r="AD5" s="12"/>
      <c r="AE5" s="12"/>
      <c r="AF5" s="12"/>
      <c r="AG5" s="12"/>
      <c r="AH5" s="12"/>
      <c r="AI5" s="12"/>
      <c r="AJ5" s="12"/>
    </row>
    <row r="6" spans="1:37" x14ac:dyDescent="0.2">
      <c r="A6" s="35" t="s">
        <v>19</v>
      </c>
      <c r="B6" s="36">
        <v>5</v>
      </c>
      <c r="C6" s="36">
        <v>2018</v>
      </c>
      <c r="D6" s="27">
        <v>388674</v>
      </c>
      <c r="E6" s="28">
        <v>3.6</v>
      </c>
      <c r="F6" s="29">
        <f t="shared" si="0"/>
        <v>409811.11111111112</v>
      </c>
      <c r="G6" s="29">
        <v>1475320</v>
      </c>
      <c r="H6" s="30">
        <v>15324</v>
      </c>
      <c r="I6" s="31">
        <v>23.7</v>
      </c>
      <c r="J6" s="29">
        <f t="shared" si="1"/>
        <v>1164.5569620253166</v>
      </c>
      <c r="K6" s="29">
        <v>27600</v>
      </c>
      <c r="L6" s="27">
        <v>8752</v>
      </c>
      <c r="M6" s="30">
        <v>60</v>
      </c>
      <c r="N6" s="30">
        <v>5595</v>
      </c>
      <c r="O6" s="28">
        <v>3.75</v>
      </c>
      <c r="P6" s="29">
        <f t="shared" si="2"/>
        <v>5338.666666666667</v>
      </c>
      <c r="Q6" s="29">
        <v>320320</v>
      </c>
      <c r="R6" s="30">
        <v>0</v>
      </c>
      <c r="S6" s="32">
        <v>0</v>
      </c>
      <c r="T6" s="27">
        <v>1283</v>
      </c>
      <c r="U6" s="27"/>
      <c r="V6" s="33">
        <v>8613</v>
      </c>
      <c r="W6" s="34">
        <v>3.1299E-2</v>
      </c>
      <c r="Y6" s="9"/>
      <c r="Z6" s="1"/>
    </row>
    <row r="7" spans="1:37" x14ac:dyDescent="0.2">
      <c r="A7" s="35" t="s">
        <v>19</v>
      </c>
      <c r="B7" s="36">
        <v>6</v>
      </c>
      <c r="C7" s="36">
        <v>2018</v>
      </c>
      <c r="D7" s="27">
        <v>372762</v>
      </c>
      <c r="E7" s="28">
        <v>3.6</v>
      </c>
      <c r="F7" s="29">
        <f t="shared" si="0"/>
        <v>409959.02777777775</v>
      </c>
      <c r="G7" s="29">
        <v>1475852.5</v>
      </c>
      <c r="H7" s="30">
        <v>15408</v>
      </c>
      <c r="I7" s="31">
        <v>23.7</v>
      </c>
      <c r="J7" s="29">
        <f t="shared" si="1"/>
        <v>13832.27848101266</v>
      </c>
      <c r="K7" s="29">
        <v>327825</v>
      </c>
      <c r="L7" s="27">
        <v>3990</v>
      </c>
      <c r="M7" s="30">
        <v>60</v>
      </c>
      <c r="N7" s="30">
        <v>9628</v>
      </c>
      <c r="O7" s="28">
        <v>3.75</v>
      </c>
      <c r="P7" s="29">
        <f t="shared" si="2"/>
        <v>5342.333333333333</v>
      </c>
      <c r="Q7" s="29">
        <v>320540</v>
      </c>
      <c r="R7" s="30">
        <v>3400</v>
      </c>
      <c r="S7" s="32">
        <v>28.93</v>
      </c>
      <c r="T7" s="27">
        <v>1307</v>
      </c>
      <c r="U7" s="27"/>
      <c r="V7" s="33">
        <v>9734</v>
      </c>
      <c r="W7" s="34">
        <v>3.0800000000000001E-2</v>
      </c>
      <c r="Y7" s="9"/>
      <c r="Z7" s="1"/>
    </row>
    <row r="8" spans="1:37" x14ac:dyDescent="0.2">
      <c r="A8" s="35" t="s">
        <v>19</v>
      </c>
      <c r="B8" s="36">
        <v>7</v>
      </c>
      <c r="C8" s="36">
        <v>2018</v>
      </c>
      <c r="D8" s="27">
        <v>372042</v>
      </c>
      <c r="E8" s="28">
        <v>3.6</v>
      </c>
      <c r="F8" s="29">
        <f t="shared" si="0"/>
        <v>412029.86111111112</v>
      </c>
      <c r="G8" s="29">
        <v>1483307.5</v>
      </c>
      <c r="H8" s="30">
        <v>15168</v>
      </c>
      <c r="I8" s="31">
        <v>23.7</v>
      </c>
      <c r="J8" s="29">
        <f t="shared" si="1"/>
        <v>13965.189873417721</v>
      </c>
      <c r="K8" s="29">
        <v>330975</v>
      </c>
      <c r="L8" s="27">
        <v>4140</v>
      </c>
      <c r="M8" s="30">
        <v>60</v>
      </c>
      <c r="N8" s="30">
        <v>10732</v>
      </c>
      <c r="O8" s="28">
        <v>3.75</v>
      </c>
      <c r="P8" s="29">
        <f t="shared" si="2"/>
        <v>5393.666666666667</v>
      </c>
      <c r="Q8" s="29">
        <v>323620</v>
      </c>
      <c r="R8" s="30">
        <v>1800</v>
      </c>
      <c r="S8" s="32">
        <v>27.59</v>
      </c>
      <c r="T8" s="27">
        <v>1276</v>
      </c>
      <c r="U8" s="27"/>
      <c r="V8" s="33">
        <v>10868</v>
      </c>
      <c r="W8" s="34">
        <v>3.0058999999999999E-2</v>
      </c>
      <c r="Y8" s="9"/>
      <c r="Z8" s="1"/>
      <c r="AC8" s="9"/>
      <c r="AD8" s="9"/>
      <c r="AE8" s="9"/>
      <c r="AF8" s="9"/>
      <c r="AG8" s="9"/>
      <c r="AH8" s="9"/>
      <c r="AI8" s="9"/>
      <c r="AJ8" s="9"/>
      <c r="AK8" s="9"/>
    </row>
    <row r="9" spans="1:37" x14ac:dyDescent="0.2">
      <c r="A9" s="35" t="s">
        <v>19</v>
      </c>
      <c r="B9" s="36">
        <v>8</v>
      </c>
      <c r="C9" s="36">
        <v>2018</v>
      </c>
      <c r="D9" s="27">
        <v>340254</v>
      </c>
      <c r="E9" s="28">
        <v>3.6</v>
      </c>
      <c r="F9" s="29">
        <f t="shared" si="0"/>
        <v>409663.19444444444</v>
      </c>
      <c r="G9" s="29">
        <v>1474787.5</v>
      </c>
      <c r="H9" s="30">
        <v>17358</v>
      </c>
      <c r="I9" s="31">
        <v>23.7</v>
      </c>
      <c r="J9" s="29">
        <f t="shared" si="1"/>
        <v>13813.291139240508</v>
      </c>
      <c r="K9" s="29">
        <v>327375</v>
      </c>
      <c r="L9" s="27">
        <v>3810</v>
      </c>
      <c r="M9" s="30">
        <v>60</v>
      </c>
      <c r="N9" s="30">
        <v>10449</v>
      </c>
      <c r="O9" s="28">
        <v>3.75</v>
      </c>
      <c r="P9" s="29">
        <f t="shared" si="2"/>
        <v>5335</v>
      </c>
      <c r="Q9" s="29">
        <v>320100</v>
      </c>
      <c r="R9" s="30">
        <v>10200</v>
      </c>
      <c r="S9" s="32">
        <v>29.31</v>
      </c>
      <c r="T9" s="27">
        <v>1531</v>
      </c>
      <c r="U9" s="27"/>
      <c r="V9" s="33">
        <v>12686</v>
      </c>
      <c r="W9" s="34">
        <v>3.0252999999999999E-2</v>
      </c>
      <c r="Y9" s="9"/>
      <c r="Z9" s="1"/>
    </row>
    <row r="10" spans="1:37" x14ac:dyDescent="0.2">
      <c r="A10" s="35" t="s">
        <v>19</v>
      </c>
      <c r="B10" s="36">
        <v>9</v>
      </c>
      <c r="C10" s="36">
        <v>2018</v>
      </c>
      <c r="D10" s="27">
        <v>330138</v>
      </c>
      <c r="E10" s="28">
        <v>3.6</v>
      </c>
      <c r="F10" s="29">
        <f t="shared" si="0"/>
        <v>399752.77777777775</v>
      </c>
      <c r="G10" s="29">
        <v>1439110</v>
      </c>
      <c r="H10" s="30">
        <v>14928</v>
      </c>
      <c r="I10" s="31">
        <v>23.7</v>
      </c>
      <c r="J10" s="29">
        <f t="shared" si="1"/>
        <v>13177.215189873417</v>
      </c>
      <c r="K10" s="29">
        <v>312300</v>
      </c>
      <c r="L10" s="27">
        <v>4020</v>
      </c>
      <c r="M10" s="30">
        <v>60</v>
      </c>
      <c r="N10" s="30">
        <v>8110</v>
      </c>
      <c r="O10" s="28">
        <v>3.75</v>
      </c>
      <c r="P10" s="29">
        <f t="shared" si="2"/>
        <v>5089.333333333333</v>
      </c>
      <c r="Q10" s="29">
        <v>305360</v>
      </c>
      <c r="R10" s="30">
        <v>8800</v>
      </c>
      <c r="S10" s="32">
        <v>29.88</v>
      </c>
      <c r="T10" s="27">
        <v>1195</v>
      </c>
      <c r="U10" s="27"/>
      <c r="V10" s="33">
        <v>7280</v>
      </c>
      <c r="W10" s="34">
        <v>3.0651000000000001E-2</v>
      </c>
      <c r="Y10" s="9"/>
      <c r="Z10" s="1"/>
      <c r="AC10" s="9"/>
      <c r="AD10" s="9"/>
      <c r="AE10" s="9"/>
      <c r="AF10" s="9"/>
      <c r="AG10" s="9"/>
      <c r="AH10" s="9"/>
      <c r="AI10" s="9"/>
      <c r="AJ10" s="9"/>
    </row>
    <row r="11" spans="1:37" x14ac:dyDescent="0.2">
      <c r="A11" s="35" t="s">
        <v>19</v>
      </c>
      <c r="B11" s="36">
        <v>10</v>
      </c>
      <c r="C11" s="36">
        <v>2018</v>
      </c>
      <c r="D11" s="27">
        <v>123184.8</v>
      </c>
      <c r="E11" s="28">
        <v>3.6</v>
      </c>
      <c r="F11" s="29">
        <f t="shared" si="0"/>
        <v>399456.94444444444</v>
      </c>
      <c r="G11" s="29">
        <v>1438045</v>
      </c>
      <c r="H11" s="30">
        <v>13776</v>
      </c>
      <c r="I11" s="31">
        <v>23.7</v>
      </c>
      <c r="J11" s="29">
        <f t="shared" si="1"/>
        <v>13158.227848101265</v>
      </c>
      <c r="K11" s="29">
        <v>311850</v>
      </c>
      <c r="L11" s="27">
        <v>3255</v>
      </c>
      <c r="M11" s="30">
        <v>60</v>
      </c>
      <c r="N11" s="30">
        <v>8172</v>
      </c>
      <c r="O11" s="28">
        <v>3.75</v>
      </c>
      <c r="P11" s="29">
        <f t="shared" si="2"/>
        <v>5082</v>
      </c>
      <c r="Q11" s="29">
        <v>304920</v>
      </c>
      <c r="R11" s="30">
        <v>10400</v>
      </c>
      <c r="S11" s="32">
        <v>29.95</v>
      </c>
      <c r="T11" s="27">
        <v>1195</v>
      </c>
      <c r="U11" s="27"/>
      <c r="V11" s="33">
        <v>7931</v>
      </c>
      <c r="W11" s="34">
        <v>3.0512999999999998E-2</v>
      </c>
      <c r="Y11" s="9"/>
      <c r="Z11" s="1"/>
    </row>
    <row r="12" spans="1:37" x14ac:dyDescent="0.2">
      <c r="A12" s="35" t="s">
        <v>19</v>
      </c>
      <c r="B12" s="36">
        <v>11</v>
      </c>
      <c r="C12" s="36">
        <v>2018</v>
      </c>
      <c r="D12" s="27">
        <v>0</v>
      </c>
      <c r="E12" s="28">
        <v>3.6</v>
      </c>
      <c r="F12" s="29">
        <f t="shared" si="0"/>
        <v>389990.27777777775</v>
      </c>
      <c r="G12" s="29">
        <v>1403965</v>
      </c>
      <c r="H12" s="30">
        <v>13553</v>
      </c>
      <c r="I12" s="31">
        <v>23.7</v>
      </c>
      <c r="J12" s="29">
        <f t="shared" si="1"/>
        <v>12550.632911392406</v>
      </c>
      <c r="K12" s="29">
        <v>297450</v>
      </c>
      <c r="L12" s="27">
        <v>3510</v>
      </c>
      <c r="M12" s="30">
        <v>60</v>
      </c>
      <c r="N12" s="30">
        <v>8381</v>
      </c>
      <c r="O12" s="28">
        <v>3.75</v>
      </c>
      <c r="P12" s="29">
        <f t="shared" si="2"/>
        <v>4847.333333333333</v>
      </c>
      <c r="Q12" s="29">
        <v>290840</v>
      </c>
      <c r="R12" s="30">
        <v>3600</v>
      </c>
      <c r="S12" s="32">
        <v>29.81</v>
      </c>
      <c r="T12" s="27">
        <v>1141</v>
      </c>
      <c r="U12" s="27"/>
      <c r="V12" s="33">
        <v>3589</v>
      </c>
      <c r="W12" s="34">
        <v>3.0334E-2</v>
      </c>
      <c r="Y12" s="9"/>
      <c r="Z12" s="1"/>
    </row>
    <row r="13" spans="1:37" x14ac:dyDescent="0.2">
      <c r="A13" s="35" t="s">
        <v>19</v>
      </c>
      <c r="B13" s="36">
        <v>12</v>
      </c>
      <c r="C13" s="36">
        <v>2018</v>
      </c>
      <c r="D13" s="27">
        <v>31830.6</v>
      </c>
      <c r="E13" s="28">
        <v>3.6</v>
      </c>
      <c r="F13" s="29">
        <f t="shared" si="0"/>
        <v>408184.02777777775</v>
      </c>
      <c r="G13" s="29">
        <v>1469462.5</v>
      </c>
      <c r="H13" s="30">
        <v>15216</v>
      </c>
      <c r="I13" s="31">
        <v>23.7</v>
      </c>
      <c r="J13" s="29">
        <f t="shared" si="1"/>
        <v>13718.354430379748</v>
      </c>
      <c r="K13" s="29">
        <v>325125</v>
      </c>
      <c r="L13" s="27">
        <v>4410</v>
      </c>
      <c r="M13" s="30">
        <v>60</v>
      </c>
      <c r="N13" s="30">
        <v>9180</v>
      </c>
      <c r="O13" s="28">
        <v>3.75</v>
      </c>
      <c r="P13" s="29">
        <f t="shared" si="2"/>
        <v>5298.333333333333</v>
      </c>
      <c r="Q13" s="29">
        <v>317900</v>
      </c>
      <c r="R13" s="30">
        <v>4000</v>
      </c>
      <c r="S13" s="32">
        <v>27.43</v>
      </c>
      <c r="T13" s="27">
        <v>1412</v>
      </c>
      <c r="U13" s="27"/>
      <c r="V13" s="33">
        <v>10411</v>
      </c>
      <c r="W13" s="34">
        <v>3.0549E-2</v>
      </c>
      <c r="Y13" s="9"/>
      <c r="Z13" s="1"/>
      <c r="AC13" s="9"/>
      <c r="AD13" s="9"/>
      <c r="AE13" s="9"/>
      <c r="AF13" s="9"/>
      <c r="AG13" s="9"/>
      <c r="AH13" s="9"/>
    </row>
    <row r="14" spans="1:37" x14ac:dyDescent="0.2">
      <c r="A14" s="35" t="s">
        <v>19</v>
      </c>
      <c r="B14" s="36">
        <v>1</v>
      </c>
      <c r="C14" s="36">
        <v>2019</v>
      </c>
      <c r="D14" s="27">
        <v>262602</v>
      </c>
      <c r="E14" s="28">
        <v>3.6</v>
      </c>
      <c r="F14" s="29">
        <f t="shared" si="0"/>
        <v>421476.11111111112</v>
      </c>
      <c r="G14" s="29">
        <v>1517314</v>
      </c>
      <c r="H14" s="30">
        <v>15627</v>
      </c>
      <c r="I14" s="31">
        <v>24.5</v>
      </c>
      <c r="J14" s="29">
        <f t="shared" si="1"/>
        <v>15406.367346938776</v>
      </c>
      <c r="K14" s="29">
        <v>377456</v>
      </c>
      <c r="L14" s="27">
        <v>5655</v>
      </c>
      <c r="M14" s="30">
        <v>60</v>
      </c>
      <c r="N14" s="30">
        <v>7425</v>
      </c>
      <c r="O14" s="28">
        <v>3.75</v>
      </c>
      <c r="P14" s="29">
        <f t="shared" si="2"/>
        <v>5834.333333333333</v>
      </c>
      <c r="Q14" s="29">
        <v>350060</v>
      </c>
      <c r="R14" s="30">
        <v>4600</v>
      </c>
      <c r="S14" s="32">
        <v>26.43</v>
      </c>
      <c r="T14" s="27">
        <v>1434</v>
      </c>
      <c r="U14" s="27"/>
      <c r="V14" s="33">
        <v>12733</v>
      </c>
      <c r="W14" s="34">
        <v>3.1407999999999998E-2</v>
      </c>
      <c r="X14" s="9"/>
      <c r="Y14" s="9"/>
      <c r="Z14" s="1"/>
    </row>
    <row r="15" spans="1:37" x14ac:dyDescent="0.2">
      <c r="A15" s="35" t="s">
        <v>19</v>
      </c>
      <c r="B15" s="36">
        <v>2</v>
      </c>
      <c r="C15" s="36">
        <v>2019</v>
      </c>
      <c r="D15" s="27">
        <v>331812</v>
      </c>
      <c r="E15" s="28">
        <v>3.6</v>
      </c>
      <c r="F15" s="29">
        <f t="shared" si="0"/>
        <v>405067.77777777775</v>
      </c>
      <c r="G15" s="29">
        <v>1458244</v>
      </c>
      <c r="H15" s="30">
        <v>14190</v>
      </c>
      <c r="I15" s="31">
        <v>24.5</v>
      </c>
      <c r="J15" s="29">
        <f t="shared" si="1"/>
        <v>14292.897959183674</v>
      </c>
      <c r="K15" s="29">
        <v>350176</v>
      </c>
      <c r="L15" s="27">
        <v>6255</v>
      </c>
      <c r="M15" s="30">
        <v>60</v>
      </c>
      <c r="N15" s="30">
        <v>6802</v>
      </c>
      <c r="O15" s="28">
        <v>3.75</v>
      </c>
      <c r="P15" s="29">
        <f t="shared" si="2"/>
        <v>5412.666666666667</v>
      </c>
      <c r="Q15" s="29">
        <v>324760</v>
      </c>
      <c r="R15" s="30">
        <v>0</v>
      </c>
      <c r="S15" s="32">
        <v>0</v>
      </c>
      <c r="T15" s="27">
        <v>1473</v>
      </c>
      <c r="U15" s="27"/>
      <c r="V15" s="33">
        <v>11336</v>
      </c>
      <c r="W15" s="34">
        <v>3.1938000000000001E-2</v>
      </c>
      <c r="Y15" s="9"/>
      <c r="Z15" s="1"/>
    </row>
    <row r="16" spans="1:37" x14ac:dyDescent="0.2">
      <c r="A16" s="35" t="s">
        <v>19</v>
      </c>
      <c r="B16" s="36">
        <v>3</v>
      </c>
      <c r="C16" s="36">
        <v>2019</v>
      </c>
      <c r="D16" s="27">
        <v>366318</v>
      </c>
      <c r="E16" s="28">
        <v>3.6</v>
      </c>
      <c r="F16" s="29">
        <f t="shared" si="0"/>
        <v>416404.44444444444</v>
      </c>
      <c r="G16" s="29">
        <v>1499056</v>
      </c>
      <c r="H16" s="30">
        <v>14031</v>
      </c>
      <c r="I16" s="31">
        <v>24.5</v>
      </c>
      <c r="J16" s="29">
        <f t="shared" si="1"/>
        <v>15062.204081632653</v>
      </c>
      <c r="K16" s="29">
        <v>369024</v>
      </c>
      <c r="L16" s="27">
        <v>3840</v>
      </c>
      <c r="M16" s="30">
        <v>60</v>
      </c>
      <c r="N16" s="30">
        <v>8737</v>
      </c>
      <c r="O16" s="28">
        <v>3.75</v>
      </c>
      <c r="P16" s="29">
        <f t="shared" si="2"/>
        <v>5704</v>
      </c>
      <c r="Q16" s="29">
        <v>342240</v>
      </c>
      <c r="R16" s="30">
        <v>3100</v>
      </c>
      <c r="S16" s="32">
        <v>27.6</v>
      </c>
      <c r="T16" s="27">
        <v>1362</v>
      </c>
      <c r="U16" s="27"/>
      <c r="V16" s="33">
        <v>9363</v>
      </c>
      <c r="W16" s="34">
        <v>3.1522000000000001E-2</v>
      </c>
      <c r="Y16" s="9"/>
      <c r="Z16" s="1"/>
    </row>
    <row r="17" spans="1:35" x14ac:dyDescent="0.2">
      <c r="A17" s="35" t="s">
        <v>19</v>
      </c>
      <c r="B17" s="36">
        <v>4</v>
      </c>
      <c r="C17" s="36">
        <v>2019</v>
      </c>
      <c r="D17" s="27">
        <v>404226</v>
      </c>
      <c r="E17" s="28">
        <v>3.6</v>
      </c>
      <c r="F17" s="29">
        <f t="shared" si="0"/>
        <v>411481.94444444444</v>
      </c>
      <c r="G17" s="29">
        <v>1481335</v>
      </c>
      <c r="H17" s="30">
        <v>12336</v>
      </c>
      <c r="I17" s="31">
        <v>24.5</v>
      </c>
      <c r="J17" s="29">
        <f t="shared" si="1"/>
        <v>14728.163265306122</v>
      </c>
      <c r="K17" s="29">
        <v>360840</v>
      </c>
      <c r="L17" s="27">
        <v>5055</v>
      </c>
      <c r="M17" s="30">
        <v>60</v>
      </c>
      <c r="N17" s="30">
        <v>9209</v>
      </c>
      <c r="O17" s="28">
        <v>3.75</v>
      </c>
      <c r="P17" s="29">
        <f t="shared" si="2"/>
        <v>5577.5</v>
      </c>
      <c r="Q17" s="29">
        <v>334650</v>
      </c>
      <c r="R17" s="30">
        <v>0</v>
      </c>
      <c r="S17" s="32">
        <v>0</v>
      </c>
      <c r="T17" s="27">
        <v>1395</v>
      </c>
      <c r="U17" s="27"/>
      <c r="V17" s="33">
        <v>11595</v>
      </c>
      <c r="W17" s="34">
        <v>3.1400999999999998E-2</v>
      </c>
      <c r="Y17" s="9"/>
      <c r="Z17" s="1"/>
    </row>
    <row r="18" spans="1:35" x14ac:dyDescent="0.2">
      <c r="A18" s="35" t="s">
        <v>19</v>
      </c>
      <c r="B18" s="36">
        <v>5</v>
      </c>
      <c r="C18" s="36">
        <v>2019</v>
      </c>
      <c r="D18" s="27">
        <v>379152</v>
      </c>
      <c r="E18" s="28">
        <v>3.6</v>
      </c>
      <c r="F18" s="29">
        <f t="shared" si="0"/>
        <v>402531.94444444444</v>
      </c>
      <c r="G18" s="29">
        <v>1449115</v>
      </c>
      <c r="H18" s="30">
        <v>11456</v>
      </c>
      <c r="I18" s="31">
        <v>24.5</v>
      </c>
      <c r="J18" s="29">
        <f t="shared" si="1"/>
        <v>14120.816326530612</v>
      </c>
      <c r="K18" s="29">
        <v>345960</v>
      </c>
      <c r="L18" s="27">
        <v>5220</v>
      </c>
      <c r="M18" s="30">
        <v>60</v>
      </c>
      <c r="N18" s="30">
        <v>8375</v>
      </c>
      <c r="O18" s="28">
        <v>3.75</v>
      </c>
      <c r="P18" s="29">
        <f t="shared" si="2"/>
        <v>5347.5</v>
      </c>
      <c r="Q18" s="29">
        <v>320850</v>
      </c>
      <c r="R18" s="30">
        <v>1600</v>
      </c>
      <c r="S18" s="32">
        <v>28.32</v>
      </c>
      <c r="T18" s="27">
        <v>983.94</v>
      </c>
      <c r="U18" s="27"/>
      <c r="V18" s="33">
        <v>6646</v>
      </c>
      <c r="W18" s="34">
        <v>3.1434999999999998E-2</v>
      </c>
      <c r="Y18" s="9"/>
      <c r="Z18" s="1"/>
    </row>
    <row r="19" spans="1:35" x14ac:dyDescent="0.2">
      <c r="A19" s="35" t="s">
        <v>19</v>
      </c>
      <c r="B19" s="36">
        <v>6</v>
      </c>
      <c r="C19" s="36">
        <v>2019</v>
      </c>
      <c r="D19" s="27">
        <v>357624</v>
      </c>
      <c r="E19" s="28">
        <v>3.6</v>
      </c>
      <c r="F19" s="29">
        <f t="shared" si="0"/>
        <v>399101.11111111112</v>
      </c>
      <c r="G19" s="29">
        <v>1436764</v>
      </c>
      <c r="H19" s="30">
        <v>10512</v>
      </c>
      <c r="I19" s="31">
        <v>24.5</v>
      </c>
      <c r="J19" s="29">
        <f t="shared" si="1"/>
        <v>13888</v>
      </c>
      <c r="K19" s="29">
        <v>340256</v>
      </c>
      <c r="L19" s="27">
        <v>4515</v>
      </c>
      <c r="M19" s="30">
        <v>60</v>
      </c>
      <c r="N19" s="30">
        <v>9714</v>
      </c>
      <c r="O19" s="28">
        <v>3.75</v>
      </c>
      <c r="P19" s="29">
        <f t="shared" si="2"/>
        <v>5259.333333333333</v>
      </c>
      <c r="Q19" s="29">
        <v>315560</v>
      </c>
      <c r="R19" s="30">
        <v>0</v>
      </c>
      <c r="S19" s="32">
        <v>0</v>
      </c>
      <c r="T19" s="27">
        <v>1038.5999999999999</v>
      </c>
      <c r="U19" s="27"/>
      <c r="V19" s="33">
        <v>6998</v>
      </c>
      <c r="W19" s="34">
        <v>3.2132000000000001E-2</v>
      </c>
      <c r="Y19" s="9"/>
      <c r="Z19" s="1"/>
    </row>
    <row r="20" spans="1:35" x14ac:dyDescent="0.2">
      <c r="A20" s="35" t="s">
        <v>19</v>
      </c>
      <c r="B20" s="36">
        <v>7</v>
      </c>
      <c r="C20" s="36">
        <v>2019</v>
      </c>
      <c r="D20" s="27">
        <v>393894</v>
      </c>
      <c r="E20" s="28">
        <v>3.6</v>
      </c>
      <c r="F20" s="29">
        <f t="shared" si="0"/>
        <v>394626.11111111112</v>
      </c>
      <c r="G20" s="29">
        <v>1420654</v>
      </c>
      <c r="H20" s="30">
        <v>12992</v>
      </c>
      <c r="I20" s="31">
        <v>24.5</v>
      </c>
      <c r="J20" s="29">
        <f t="shared" si="1"/>
        <v>13584.326530612245</v>
      </c>
      <c r="K20" s="29">
        <v>332816</v>
      </c>
      <c r="L20" s="27">
        <v>4635</v>
      </c>
      <c r="M20" s="30">
        <v>60</v>
      </c>
      <c r="N20" s="30">
        <v>10088</v>
      </c>
      <c r="O20" s="28">
        <v>3.75</v>
      </c>
      <c r="P20" s="29">
        <f t="shared" si="2"/>
        <v>5144.333333333333</v>
      </c>
      <c r="Q20" s="29">
        <v>308660</v>
      </c>
      <c r="R20" s="30">
        <v>0</v>
      </c>
      <c r="S20" s="32">
        <v>0</v>
      </c>
      <c r="T20" s="27">
        <v>1249.92</v>
      </c>
      <c r="U20" s="27"/>
      <c r="V20" s="33">
        <v>9813</v>
      </c>
      <c r="W20" s="34">
        <v>3.2452000000000002E-2</v>
      </c>
      <c r="Y20" s="9"/>
      <c r="Z20" s="1"/>
    </row>
    <row r="21" spans="1:35" x14ac:dyDescent="0.2">
      <c r="A21" s="35" t="s">
        <v>19</v>
      </c>
      <c r="B21" s="36">
        <v>8</v>
      </c>
      <c r="C21" s="36">
        <v>2019</v>
      </c>
      <c r="D21" s="27">
        <v>371970.47</v>
      </c>
      <c r="E21" s="28">
        <v>3.6</v>
      </c>
      <c r="F21" s="29">
        <f t="shared" si="0"/>
        <v>424906.94444444444</v>
      </c>
      <c r="G21" s="29">
        <v>1529665</v>
      </c>
      <c r="H21" s="30">
        <v>12732</v>
      </c>
      <c r="I21" s="31">
        <v>24.5</v>
      </c>
      <c r="J21" s="29">
        <f t="shared" si="1"/>
        <v>15639.183673469388</v>
      </c>
      <c r="K21" s="29">
        <v>383160</v>
      </c>
      <c r="L21" s="27">
        <v>7020</v>
      </c>
      <c r="M21" s="30">
        <v>60</v>
      </c>
      <c r="N21" s="30">
        <v>8449</v>
      </c>
      <c r="O21" s="28">
        <v>3.75</v>
      </c>
      <c r="P21" s="29">
        <f t="shared" si="2"/>
        <v>5922.5</v>
      </c>
      <c r="Q21" s="29">
        <v>355350</v>
      </c>
      <c r="R21" s="30">
        <v>1900</v>
      </c>
      <c r="S21" s="32">
        <v>26.6</v>
      </c>
      <c r="T21" s="27">
        <v>1275.96</v>
      </c>
      <c r="U21" s="27"/>
      <c r="V21" s="33">
        <v>10995</v>
      </c>
      <c r="W21" s="34">
        <v>3.2509999999999997E-2</v>
      </c>
      <c r="Y21" s="9"/>
      <c r="Z21" s="1"/>
    </row>
    <row r="22" spans="1:35" x14ac:dyDescent="0.2">
      <c r="A22" s="35" t="s">
        <v>19</v>
      </c>
      <c r="B22" s="36">
        <v>9</v>
      </c>
      <c r="C22" s="36">
        <v>2019</v>
      </c>
      <c r="D22" s="27">
        <v>314586</v>
      </c>
      <c r="E22" s="28">
        <v>3.6</v>
      </c>
      <c r="F22" s="29">
        <f t="shared" si="0"/>
        <v>387466.11111111112</v>
      </c>
      <c r="G22" s="29">
        <v>1394878</v>
      </c>
      <c r="H22" s="30">
        <v>10213</v>
      </c>
      <c r="I22" s="31">
        <v>24.5</v>
      </c>
      <c r="J22" s="29">
        <f t="shared" si="1"/>
        <v>13098.448979591836</v>
      </c>
      <c r="K22" s="29">
        <v>320912</v>
      </c>
      <c r="L22" s="27">
        <v>5850</v>
      </c>
      <c r="M22" s="30">
        <v>60</v>
      </c>
      <c r="N22" s="30">
        <v>7733</v>
      </c>
      <c r="O22" s="28">
        <v>3.75</v>
      </c>
      <c r="P22" s="29">
        <f t="shared" si="2"/>
        <v>4960.333333333333</v>
      </c>
      <c r="Q22" s="29">
        <v>297620</v>
      </c>
      <c r="R22" s="30">
        <v>800</v>
      </c>
      <c r="S22" s="32">
        <v>26.54</v>
      </c>
      <c r="T22" s="27">
        <v>756</v>
      </c>
      <c r="U22" s="27"/>
      <c r="V22" s="33">
        <v>4832</v>
      </c>
      <c r="W22" s="34">
        <v>3.2729000000000001E-2</v>
      </c>
      <c r="Y22" s="9"/>
      <c r="Z22" s="1"/>
    </row>
    <row r="23" spans="1:35" x14ac:dyDescent="0.2">
      <c r="A23" s="35" t="s">
        <v>19</v>
      </c>
      <c r="B23" s="36">
        <v>10</v>
      </c>
      <c r="C23" s="36">
        <v>2019</v>
      </c>
      <c r="D23" s="27">
        <v>356148</v>
      </c>
      <c r="E23" s="28">
        <v>3.6</v>
      </c>
      <c r="F23" s="29">
        <f t="shared" si="0"/>
        <v>410139.44444444444</v>
      </c>
      <c r="G23" s="29">
        <v>1476502</v>
      </c>
      <c r="H23" s="30">
        <v>12507</v>
      </c>
      <c r="I23" s="31">
        <v>24.5</v>
      </c>
      <c r="J23" s="29">
        <f t="shared" si="1"/>
        <v>14637.061224489797</v>
      </c>
      <c r="K23" s="29">
        <v>358608</v>
      </c>
      <c r="L23" s="27">
        <v>5520</v>
      </c>
      <c r="M23" s="30">
        <v>60</v>
      </c>
      <c r="N23" s="30">
        <v>8519</v>
      </c>
      <c r="O23" s="28">
        <v>3.75</v>
      </c>
      <c r="P23" s="29">
        <f t="shared" si="2"/>
        <v>5543</v>
      </c>
      <c r="Q23" s="29">
        <v>332580</v>
      </c>
      <c r="R23" s="30">
        <v>0</v>
      </c>
      <c r="S23" s="32">
        <v>0</v>
      </c>
      <c r="T23" s="27">
        <v>1097.4000000000001</v>
      </c>
      <c r="U23" s="27"/>
      <c r="V23" s="33">
        <v>7916</v>
      </c>
      <c r="W23" s="34">
        <v>3.2932000000000003E-2</v>
      </c>
      <c r="Y23" s="9"/>
      <c r="Z23" s="1"/>
    </row>
    <row r="24" spans="1:35" x14ac:dyDescent="0.2">
      <c r="A24" s="35" t="s">
        <v>19</v>
      </c>
      <c r="B24" s="36">
        <v>11</v>
      </c>
      <c r="C24" s="36">
        <v>2019</v>
      </c>
      <c r="D24" s="27">
        <v>325260</v>
      </c>
      <c r="E24" s="28">
        <v>3.6</v>
      </c>
      <c r="F24" s="29">
        <f t="shared" si="0"/>
        <v>379112.77777777775</v>
      </c>
      <c r="G24" s="29">
        <v>1364806</v>
      </c>
      <c r="H24" s="30">
        <v>11137</v>
      </c>
      <c r="I24" s="31">
        <v>24.5</v>
      </c>
      <c r="J24" s="29">
        <f t="shared" si="1"/>
        <v>12531.591836734693</v>
      </c>
      <c r="K24" s="29">
        <v>307024</v>
      </c>
      <c r="L24" s="27">
        <v>4650</v>
      </c>
      <c r="M24" s="30">
        <v>60</v>
      </c>
      <c r="N24" s="30">
        <v>7314</v>
      </c>
      <c r="O24" s="28">
        <v>3.75</v>
      </c>
      <c r="P24" s="29">
        <f t="shared" si="2"/>
        <v>4745.666666666667</v>
      </c>
      <c r="Q24" s="29">
        <v>284740</v>
      </c>
      <c r="R24" s="30">
        <v>1600</v>
      </c>
      <c r="S24" s="32">
        <v>26.25</v>
      </c>
      <c r="T24" s="27">
        <v>738</v>
      </c>
      <c r="U24" s="27"/>
      <c r="V24" s="33">
        <v>4966</v>
      </c>
      <c r="W24" s="34">
        <v>3.3064000000000003E-2</v>
      </c>
      <c r="Y24" s="9"/>
      <c r="Z24" s="1"/>
    </row>
    <row r="25" spans="1:35" x14ac:dyDescent="0.2">
      <c r="A25" s="35" t="s">
        <v>19</v>
      </c>
      <c r="B25" s="36">
        <v>12</v>
      </c>
      <c r="C25" s="36">
        <v>2019</v>
      </c>
      <c r="D25" s="27">
        <v>346878</v>
      </c>
      <c r="E25" s="28">
        <v>3.6</v>
      </c>
      <c r="F25" s="29">
        <f t="shared" si="0"/>
        <v>414316.11111111112</v>
      </c>
      <c r="G25" s="29">
        <v>1491538</v>
      </c>
      <c r="H25" s="30">
        <v>10620</v>
      </c>
      <c r="I25" s="31">
        <v>24.5</v>
      </c>
      <c r="J25" s="29">
        <f t="shared" si="1"/>
        <v>14920.489795918367</v>
      </c>
      <c r="K25" s="29">
        <v>365552</v>
      </c>
      <c r="L25" s="27">
        <v>5370</v>
      </c>
      <c r="M25" s="30">
        <v>60</v>
      </c>
      <c r="N25" s="30">
        <v>8926</v>
      </c>
      <c r="O25" s="28">
        <v>3.75</v>
      </c>
      <c r="P25" s="29">
        <f t="shared" si="2"/>
        <v>5650.333333333333</v>
      </c>
      <c r="Q25" s="29">
        <v>339020</v>
      </c>
      <c r="R25" s="30">
        <v>400</v>
      </c>
      <c r="S25" s="32">
        <v>27.24</v>
      </c>
      <c r="T25" s="27">
        <v>1041.5999999999999</v>
      </c>
      <c r="U25" s="27"/>
      <c r="V25" s="33">
        <v>9562</v>
      </c>
      <c r="W25" s="34">
        <v>3.3099999999999997E-2</v>
      </c>
      <c r="Y25" s="9"/>
      <c r="Z25" s="1"/>
    </row>
    <row r="26" spans="1:35" x14ac:dyDescent="0.2">
      <c r="A26" s="35" t="s">
        <v>19</v>
      </c>
      <c r="B26" s="36">
        <v>1</v>
      </c>
      <c r="C26" s="36">
        <v>2020</v>
      </c>
      <c r="D26" s="27">
        <v>328524</v>
      </c>
      <c r="E26" s="31">
        <v>3.7799098695985687</v>
      </c>
      <c r="F26" s="29">
        <f t="shared" si="0"/>
        <v>407615.53929952031</v>
      </c>
      <c r="G26" s="29">
        <v>1540750</v>
      </c>
      <c r="H26" s="30">
        <v>13712</v>
      </c>
      <c r="I26" s="31">
        <v>23.5</v>
      </c>
      <c r="J26" s="29">
        <f t="shared" si="1"/>
        <v>15283.510638297872</v>
      </c>
      <c r="K26" s="29">
        <v>359162.5</v>
      </c>
      <c r="L26" s="27">
        <v>5940</v>
      </c>
      <c r="M26" s="30">
        <v>60</v>
      </c>
      <c r="N26" s="30">
        <v>9744</v>
      </c>
      <c r="O26" s="28">
        <v>3.75</v>
      </c>
      <c r="P26" s="29">
        <f t="shared" si="2"/>
        <v>6440.833333333333</v>
      </c>
      <c r="Q26" s="29">
        <v>386450</v>
      </c>
      <c r="R26" s="30">
        <v>700</v>
      </c>
      <c r="S26" s="32">
        <v>27.309757142857144</v>
      </c>
      <c r="T26" s="27">
        <v>1288</v>
      </c>
      <c r="U26" s="27"/>
      <c r="V26" s="33">
        <v>11272</v>
      </c>
      <c r="W26" s="34">
        <v>3.2926999999999998E-2</v>
      </c>
      <c r="Y26" s="9"/>
      <c r="Z26" s="1"/>
    </row>
    <row r="27" spans="1:35" x14ac:dyDescent="0.2">
      <c r="A27" s="35" t="s">
        <v>19</v>
      </c>
      <c r="B27" s="36">
        <v>2</v>
      </c>
      <c r="C27" s="36">
        <v>2020</v>
      </c>
      <c r="D27" s="27">
        <v>320364</v>
      </c>
      <c r="E27" s="31">
        <v>3.4842763543968736</v>
      </c>
      <c r="F27" s="29">
        <f t="shared" si="0"/>
        <v>429604.27008353808</v>
      </c>
      <c r="G27" s="29">
        <v>1496860</v>
      </c>
      <c r="H27" s="30">
        <v>9771</v>
      </c>
      <c r="I27" s="31">
        <v>23.5</v>
      </c>
      <c r="J27" s="29">
        <f t="shared" si="1"/>
        <v>14485.659574468085</v>
      </c>
      <c r="K27" s="29">
        <v>340413</v>
      </c>
      <c r="L27" s="27">
        <v>6510</v>
      </c>
      <c r="M27" s="30">
        <v>60</v>
      </c>
      <c r="N27" s="30">
        <v>8567</v>
      </c>
      <c r="O27" s="28">
        <v>3.75</v>
      </c>
      <c r="P27" s="29">
        <f t="shared" si="2"/>
        <v>6104.6</v>
      </c>
      <c r="Q27" s="29">
        <v>366276</v>
      </c>
      <c r="R27" s="30">
        <v>400</v>
      </c>
      <c r="S27" s="32">
        <v>26.308400000000002</v>
      </c>
      <c r="T27" s="27">
        <v>1147</v>
      </c>
      <c r="U27" s="27"/>
      <c r="V27" s="33">
        <v>8814</v>
      </c>
      <c r="W27" s="34">
        <v>3.1917000000000001E-2</v>
      </c>
      <c r="Y27" s="9"/>
      <c r="Z27" s="1"/>
    </row>
    <row r="28" spans="1:35" x14ac:dyDescent="0.2">
      <c r="A28" s="35" t="s">
        <v>19</v>
      </c>
      <c r="B28" s="36">
        <v>3</v>
      </c>
      <c r="C28" s="36">
        <v>2020</v>
      </c>
      <c r="D28" s="27">
        <v>282672</v>
      </c>
      <c r="E28" s="31">
        <v>3.5331750933944646</v>
      </c>
      <c r="F28" s="29">
        <f t="shared" si="0"/>
        <v>426078.5158410283</v>
      </c>
      <c r="G28" s="29">
        <v>1505410</v>
      </c>
      <c r="H28" s="30">
        <v>5502</v>
      </c>
      <c r="I28" s="31">
        <v>23.5</v>
      </c>
      <c r="J28" s="29">
        <f t="shared" si="1"/>
        <v>14641.08510638298</v>
      </c>
      <c r="K28" s="29">
        <v>344065.5</v>
      </c>
      <c r="L28" s="27">
        <v>6555</v>
      </c>
      <c r="M28" s="30">
        <v>60</v>
      </c>
      <c r="N28" s="30">
        <v>8729</v>
      </c>
      <c r="O28" s="28">
        <v>3.75</v>
      </c>
      <c r="P28" s="29">
        <f t="shared" si="2"/>
        <v>6170.1</v>
      </c>
      <c r="Q28" s="29">
        <v>370206</v>
      </c>
      <c r="R28" s="30">
        <v>600</v>
      </c>
      <c r="S28" s="32">
        <v>23.317800000000002</v>
      </c>
      <c r="T28" s="27">
        <v>334.8</v>
      </c>
      <c r="U28" s="27"/>
      <c r="V28" s="33">
        <v>3189</v>
      </c>
      <c r="W28" s="34">
        <v>3.1219E-2</v>
      </c>
      <c r="Y28" s="9"/>
      <c r="Z28" s="1"/>
    </row>
    <row r="29" spans="1:35" x14ac:dyDescent="0.2">
      <c r="A29" s="35" t="s">
        <v>19</v>
      </c>
      <c r="B29" s="36">
        <v>4</v>
      </c>
      <c r="C29" s="36">
        <v>2020</v>
      </c>
      <c r="D29" s="27">
        <v>161982</v>
      </c>
      <c r="E29" s="31">
        <v>3.4755114765838182</v>
      </c>
      <c r="F29" s="29">
        <f t="shared" si="0"/>
        <v>444956.09075647505</v>
      </c>
      <c r="G29" s="29">
        <v>1546450</v>
      </c>
      <c r="H29" s="30">
        <v>480</v>
      </c>
      <c r="I29" s="31">
        <v>23.5</v>
      </c>
      <c r="J29" s="29">
        <f t="shared" si="1"/>
        <v>15387.127659574468</v>
      </c>
      <c r="K29" s="29">
        <v>361597.5</v>
      </c>
      <c r="L29" s="27">
        <v>4890</v>
      </c>
      <c r="M29" s="30">
        <v>60</v>
      </c>
      <c r="N29" s="30">
        <v>8822</v>
      </c>
      <c r="O29" s="28">
        <v>3.75</v>
      </c>
      <c r="P29" s="29">
        <f t="shared" si="2"/>
        <v>6484.5</v>
      </c>
      <c r="Q29" s="29">
        <v>389070</v>
      </c>
      <c r="R29" s="30">
        <v>400</v>
      </c>
      <c r="S29" s="32">
        <v>18.271000000000001</v>
      </c>
      <c r="T29" s="27">
        <v>0</v>
      </c>
      <c r="U29" s="27"/>
      <c r="V29" s="33">
        <v>0</v>
      </c>
      <c r="W29" s="34">
        <v>3.0629E-2</v>
      </c>
      <c r="Y29" s="9"/>
      <c r="Z29" s="1"/>
    </row>
    <row r="30" spans="1:35" x14ac:dyDescent="0.2">
      <c r="A30" s="35" t="s">
        <v>19</v>
      </c>
      <c r="B30" s="36">
        <v>5</v>
      </c>
      <c r="C30" s="36">
        <v>2020</v>
      </c>
      <c r="D30" s="27">
        <v>127584</v>
      </c>
      <c r="E30" s="31">
        <v>3.3907746269124659</v>
      </c>
      <c r="F30" s="29">
        <f t="shared" si="0"/>
        <v>396062.89056812297</v>
      </c>
      <c r="G30" s="29">
        <v>1342960</v>
      </c>
      <c r="H30" s="30">
        <v>0</v>
      </c>
      <c r="I30" s="31">
        <v>23.5</v>
      </c>
      <c r="J30" s="29">
        <f t="shared" si="1"/>
        <v>11688</v>
      </c>
      <c r="K30" s="29">
        <v>274668</v>
      </c>
      <c r="L30" s="27">
        <v>2265</v>
      </c>
      <c r="M30" s="30">
        <v>60</v>
      </c>
      <c r="N30" s="30">
        <v>8888</v>
      </c>
      <c r="O30" s="28">
        <v>3.75</v>
      </c>
      <c r="P30" s="29">
        <f t="shared" si="2"/>
        <v>4925.6000000000004</v>
      </c>
      <c r="Q30" s="29">
        <v>295536</v>
      </c>
      <c r="R30" s="30">
        <v>800</v>
      </c>
      <c r="S30" s="32">
        <v>20.316649999999999</v>
      </c>
      <c r="T30" s="27">
        <v>0</v>
      </c>
      <c r="U30" s="27"/>
      <c r="V30" s="33">
        <v>0</v>
      </c>
      <c r="W30" s="34">
        <v>3.1165999999999999E-2</v>
      </c>
      <c r="Y30" s="9"/>
      <c r="Z30" s="1"/>
    </row>
    <row r="31" spans="1:35" x14ac:dyDescent="0.2">
      <c r="A31" s="35" t="s">
        <v>19</v>
      </c>
      <c r="B31" s="36">
        <v>6</v>
      </c>
      <c r="C31" s="36">
        <v>2020</v>
      </c>
      <c r="D31" s="27">
        <v>122670</v>
      </c>
      <c r="E31" s="31">
        <v>3.5024536561506481</v>
      </c>
      <c r="F31" s="29">
        <f t="shared" si="0"/>
        <v>386526.17076677474</v>
      </c>
      <c r="G31" s="29">
        <v>1353790</v>
      </c>
      <c r="H31" s="30">
        <v>0</v>
      </c>
      <c r="I31" s="31">
        <v>23.5</v>
      </c>
      <c r="J31" s="29">
        <f t="shared" si="1"/>
        <v>11884.872340425532</v>
      </c>
      <c r="K31" s="29">
        <v>279294.5</v>
      </c>
      <c r="L31" s="27">
        <v>1800</v>
      </c>
      <c r="M31" s="30">
        <v>60</v>
      </c>
      <c r="N31" s="30">
        <v>7310</v>
      </c>
      <c r="O31" s="28">
        <v>3.75</v>
      </c>
      <c r="P31" s="29">
        <f t="shared" si="2"/>
        <v>5008.5666666666666</v>
      </c>
      <c r="Q31" s="29">
        <v>300514</v>
      </c>
      <c r="R31" s="30">
        <v>600</v>
      </c>
      <c r="S31" s="32">
        <v>22.602599999999999</v>
      </c>
      <c r="T31" s="27">
        <v>0</v>
      </c>
      <c r="U31" s="27"/>
      <c r="V31" s="33">
        <v>0</v>
      </c>
      <c r="W31" s="34">
        <v>3.2077000000000001E-2</v>
      </c>
      <c r="Y31" s="9"/>
      <c r="Z31" s="1"/>
    </row>
    <row r="32" spans="1:35" x14ac:dyDescent="0.2">
      <c r="A32" s="35" t="s">
        <v>19</v>
      </c>
      <c r="B32" s="36">
        <v>7</v>
      </c>
      <c r="C32" s="36">
        <v>2020</v>
      </c>
      <c r="D32" s="27">
        <v>239688</v>
      </c>
      <c r="E32" s="31">
        <v>3.4286209155235139</v>
      </c>
      <c r="F32" s="29">
        <f t="shared" si="0"/>
        <v>417293.1435849744</v>
      </c>
      <c r="G32" s="29">
        <v>1430740</v>
      </c>
      <c r="H32" s="30">
        <v>4107</v>
      </c>
      <c r="I32" s="31">
        <v>23.5</v>
      </c>
      <c r="J32" s="29">
        <f t="shared" si="1"/>
        <v>13283.702127659575</v>
      </c>
      <c r="K32" s="29">
        <v>312167</v>
      </c>
      <c r="L32" s="27">
        <v>3540</v>
      </c>
      <c r="M32" s="30">
        <v>60</v>
      </c>
      <c r="N32" s="30">
        <v>9394</v>
      </c>
      <c r="O32" s="28">
        <v>3.75</v>
      </c>
      <c r="P32" s="29">
        <f t="shared" si="2"/>
        <v>5598.0666666666666</v>
      </c>
      <c r="Q32" s="29">
        <v>335884</v>
      </c>
      <c r="R32" s="30">
        <v>400</v>
      </c>
      <c r="S32" s="32">
        <v>22.7575</v>
      </c>
      <c r="T32" s="27">
        <v>241.8</v>
      </c>
      <c r="U32" s="27"/>
      <c r="V32" s="33">
        <v>2246</v>
      </c>
      <c r="W32" s="34">
        <v>3.1843999999999997E-2</v>
      </c>
      <c r="X32" s="9"/>
      <c r="Y32" s="9"/>
      <c r="Z32" s="1"/>
      <c r="AC32" s="9"/>
      <c r="AD32" s="9"/>
      <c r="AE32" s="9"/>
      <c r="AF32" s="9"/>
      <c r="AG32" s="9"/>
      <c r="AH32" s="9"/>
      <c r="AI32" s="9"/>
    </row>
    <row r="33" spans="1:33" x14ac:dyDescent="0.2">
      <c r="A33" s="35" t="s">
        <v>19</v>
      </c>
      <c r="B33" s="36">
        <v>8</v>
      </c>
      <c r="C33" s="36">
        <v>2020</v>
      </c>
      <c r="D33" s="27">
        <v>225954</v>
      </c>
      <c r="E33" s="31">
        <v>3.3954787700151359</v>
      </c>
      <c r="F33" s="29">
        <f t="shared" si="0"/>
        <v>439999.80597532651</v>
      </c>
      <c r="G33" s="29">
        <v>1494010</v>
      </c>
      <c r="H33" s="30">
        <v>2592</v>
      </c>
      <c r="I33" s="31">
        <v>23.5</v>
      </c>
      <c r="J33" s="29">
        <f t="shared" si="1"/>
        <v>14433.851063829787</v>
      </c>
      <c r="K33" s="29">
        <v>339195.5</v>
      </c>
      <c r="L33" s="27">
        <v>3720</v>
      </c>
      <c r="M33" s="30">
        <v>60</v>
      </c>
      <c r="N33" s="30">
        <v>8014</v>
      </c>
      <c r="O33" s="28">
        <v>3.75</v>
      </c>
      <c r="P33" s="29">
        <f t="shared" si="2"/>
        <v>6082.7666666666664</v>
      </c>
      <c r="Q33" s="29">
        <v>364966</v>
      </c>
      <c r="R33" s="30">
        <v>1600</v>
      </c>
      <c r="S33" s="32">
        <v>22.78</v>
      </c>
      <c r="T33" s="27">
        <v>1116</v>
      </c>
      <c r="U33" s="27"/>
      <c r="V33" s="33">
        <v>1004</v>
      </c>
      <c r="W33" s="34">
        <v>3.2021000000000001E-2</v>
      </c>
      <c r="Y33" s="9"/>
      <c r="Z33" s="1"/>
    </row>
    <row r="34" spans="1:33" x14ac:dyDescent="0.2">
      <c r="A34" s="35" t="s">
        <v>19</v>
      </c>
      <c r="B34" s="36">
        <v>9</v>
      </c>
      <c r="C34" s="36">
        <v>2020</v>
      </c>
      <c r="D34" s="30">
        <v>234810</v>
      </c>
      <c r="E34" s="31">
        <v>3.4159045611345347</v>
      </c>
      <c r="F34" s="29">
        <f t="shared" si="0"/>
        <v>358440.9277504335</v>
      </c>
      <c r="G34" s="29">
        <v>1224400</v>
      </c>
      <c r="H34" s="30">
        <v>3072</v>
      </c>
      <c r="I34" s="31">
        <v>23.5</v>
      </c>
      <c r="J34" s="29">
        <f t="shared" si="1"/>
        <v>9532.7659574468089</v>
      </c>
      <c r="K34" s="29">
        <v>224020</v>
      </c>
      <c r="L34" s="27">
        <v>5280</v>
      </c>
      <c r="M34" s="30">
        <v>60</v>
      </c>
      <c r="N34" s="30">
        <v>10547</v>
      </c>
      <c r="O34" s="28">
        <v>3.75</v>
      </c>
      <c r="P34" s="29">
        <f t="shared" si="2"/>
        <v>4017.3333333333335</v>
      </c>
      <c r="Q34" s="29">
        <v>241040</v>
      </c>
      <c r="R34" s="30">
        <v>2600</v>
      </c>
      <c r="S34" s="32">
        <v>21.836784615384616</v>
      </c>
      <c r="T34" s="27">
        <v>252</v>
      </c>
      <c r="U34" s="27"/>
      <c r="V34" s="33">
        <v>1845</v>
      </c>
      <c r="W34" s="34">
        <v>3.1905000000000003E-2</v>
      </c>
      <c r="Y34" s="9"/>
      <c r="Z34" s="1"/>
    </row>
    <row r="35" spans="1:33" x14ac:dyDescent="0.2">
      <c r="A35" s="35" t="s">
        <v>19</v>
      </c>
      <c r="B35" s="36">
        <v>10</v>
      </c>
      <c r="C35" s="36">
        <v>2020</v>
      </c>
      <c r="D35" s="30">
        <v>233496</v>
      </c>
      <c r="E35" s="31">
        <v>3.3993835440435807</v>
      </c>
      <c r="F35" s="29">
        <f t="shared" si="0"/>
        <v>399419.47779888206</v>
      </c>
      <c r="G35" s="29">
        <v>1357780</v>
      </c>
      <c r="H35" s="30">
        <v>4080</v>
      </c>
      <c r="I35" s="31">
        <v>23.5</v>
      </c>
      <c r="J35" s="29">
        <f t="shared" si="1"/>
        <v>11957.404255319148</v>
      </c>
      <c r="K35" s="29">
        <v>280999</v>
      </c>
      <c r="L35" s="27">
        <v>6015</v>
      </c>
      <c r="M35" s="30">
        <v>60</v>
      </c>
      <c r="N35" s="30">
        <v>11934</v>
      </c>
      <c r="O35" s="28">
        <v>3.75</v>
      </c>
      <c r="P35" s="29">
        <f t="shared" si="2"/>
        <v>5039.1333333333332</v>
      </c>
      <c r="Q35" s="29">
        <v>302348</v>
      </c>
      <c r="R35" s="30">
        <v>400</v>
      </c>
      <c r="S35" s="32">
        <v>22.196300000000001</v>
      </c>
      <c r="T35" s="27">
        <v>242</v>
      </c>
      <c r="U35" s="27"/>
      <c r="V35" s="33">
        <v>1762</v>
      </c>
      <c r="W35" s="34">
        <v>3.3000000000000002E-2</v>
      </c>
      <c r="Y35" s="9"/>
      <c r="Z35" s="1"/>
    </row>
    <row r="36" spans="1:33" x14ac:dyDescent="0.2">
      <c r="A36" s="35" t="s">
        <v>19</v>
      </c>
      <c r="B36" s="36">
        <v>11</v>
      </c>
      <c r="C36" s="36">
        <v>2020</v>
      </c>
      <c r="D36" s="30">
        <v>223807.35</v>
      </c>
      <c r="E36" s="35">
        <v>3.6</v>
      </c>
      <c r="F36" s="29">
        <f t="shared" si="0"/>
        <v>376686.11111111112</v>
      </c>
      <c r="G36" s="29">
        <v>1356070</v>
      </c>
      <c r="H36" s="30">
        <v>3072</v>
      </c>
      <c r="I36" s="31">
        <v>23.5</v>
      </c>
      <c r="J36" s="29">
        <f t="shared" si="1"/>
        <v>11926.319148936171</v>
      </c>
      <c r="K36" s="29">
        <v>280268.5</v>
      </c>
      <c r="L36" s="30">
        <v>6000</v>
      </c>
      <c r="M36" s="30">
        <v>60</v>
      </c>
      <c r="N36" s="30">
        <v>11841</v>
      </c>
      <c r="O36" s="28">
        <v>3.75</v>
      </c>
      <c r="P36" s="29">
        <f t="shared" si="2"/>
        <v>5026.0333333333338</v>
      </c>
      <c r="Q36" s="29">
        <v>301562</v>
      </c>
      <c r="R36" s="30">
        <v>1800</v>
      </c>
      <c r="S36" s="32">
        <v>23.120444444444445</v>
      </c>
      <c r="T36" s="27">
        <v>198</v>
      </c>
      <c r="U36" s="27"/>
      <c r="V36" s="33">
        <v>1356</v>
      </c>
      <c r="W36" s="34">
        <v>3.3000000000000002E-2</v>
      </c>
      <c r="X36" s="9"/>
      <c r="Y36" s="9"/>
      <c r="Z36" s="1"/>
      <c r="AB36" s="9"/>
      <c r="AC36" s="9"/>
      <c r="AD36" s="9"/>
      <c r="AE36" s="9"/>
      <c r="AF36" s="9"/>
      <c r="AG36" s="9"/>
    </row>
    <row r="37" spans="1:33" x14ac:dyDescent="0.2">
      <c r="A37" s="35" t="s">
        <v>19</v>
      </c>
      <c r="B37" s="36">
        <v>12</v>
      </c>
      <c r="C37" s="36">
        <v>2020</v>
      </c>
      <c r="D37" s="30">
        <v>228438</v>
      </c>
      <c r="E37" s="35">
        <v>3.43</v>
      </c>
      <c r="F37" s="29">
        <f t="shared" si="0"/>
        <v>423274.05247813411</v>
      </c>
      <c r="G37" s="29">
        <v>1451830</v>
      </c>
      <c r="H37" s="30">
        <v>3456</v>
      </c>
      <c r="I37" s="31">
        <v>21.75</v>
      </c>
      <c r="J37" s="29">
        <f t="shared" si="1"/>
        <v>14766.735632183909</v>
      </c>
      <c r="K37" s="29">
        <v>321176.5</v>
      </c>
      <c r="L37" s="30">
        <v>6465</v>
      </c>
      <c r="M37" s="30">
        <v>60</v>
      </c>
      <c r="N37" s="30">
        <v>11415</v>
      </c>
      <c r="O37" s="28">
        <v>3.75</v>
      </c>
      <c r="P37" s="29">
        <f t="shared" si="2"/>
        <v>5759.6333333333332</v>
      </c>
      <c r="Q37" s="29">
        <v>345578</v>
      </c>
      <c r="R37" s="30">
        <v>900</v>
      </c>
      <c r="S37" s="32">
        <v>24.46</v>
      </c>
      <c r="T37" s="27">
        <v>223</v>
      </c>
      <c r="U37" s="27"/>
      <c r="V37" s="33">
        <v>1965</v>
      </c>
      <c r="W37" s="34">
        <v>3.3000000000000002E-2</v>
      </c>
      <c r="X37" s="9"/>
      <c r="Y37" s="9"/>
      <c r="Z37" s="1"/>
      <c r="AB37" s="9"/>
      <c r="AC37" s="9"/>
      <c r="AD37" s="9"/>
      <c r="AE37" s="9"/>
    </row>
    <row r="38" spans="1:33" x14ac:dyDescent="0.2">
      <c r="A38" s="23" t="s">
        <v>19</v>
      </c>
      <c r="B38" s="19">
        <v>1</v>
      </c>
      <c r="C38" s="19">
        <v>2021</v>
      </c>
      <c r="D38" s="17">
        <v>202122</v>
      </c>
      <c r="E38" s="23">
        <v>3.24</v>
      </c>
      <c r="F38" s="16">
        <v>278056</v>
      </c>
      <c r="G38" s="16">
        <v>900900</v>
      </c>
      <c r="H38" s="17">
        <v>2400</v>
      </c>
      <c r="I38" s="24">
        <v>22</v>
      </c>
      <c r="J38" s="16">
        <v>3307</v>
      </c>
      <c r="K38" s="16">
        <v>72755</v>
      </c>
      <c r="L38" s="17">
        <v>6495</v>
      </c>
      <c r="M38" s="17">
        <v>60</v>
      </c>
      <c r="N38" s="17">
        <v>11033</v>
      </c>
      <c r="O38" s="25">
        <v>3.75</v>
      </c>
      <c r="P38" s="16">
        <f t="shared" si="2"/>
        <v>3211.6833333333334</v>
      </c>
      <c r="Q38" s="16">
        <v>192701</v>
      </c>
      <c r="R38" s="17">
        <v>2800</v>
      </c>
      <c r="S38" s="18">
        <v>25.373850000000001</v>
      </c>
      <c r="T38" s="19">
        <v>103</v>
      </c>
      <c r="U38" s="19">
        <v>338</v>
      </c>
      <c r="V38" s="20">
        <v>887</v>
      </c>
      <c r="W38" s="21">
        <v>3.3000000000000002E-2</v>
      </c>
      <c r="X38" s="15"/>
      <c r="Y38" s="9"/>
      <c r="Z38" s="1"/>
    </row>
    <row r="39" spans="1:33" x14ac:dyDescent="0.2">
      <c r="A39" s="23" t="s">
        <v>19</v>
      </c>
      <c r="B39" s="19">
        <v>2</v>
      </c>
      <c r="C39" s="19">
        <v>2021</v>
      </c>
      <c r="D39" s="17">
        <v>205542</v>
      </c>
      <c r="E39" s="23">
        <v>3.24</v>
      </c>
      <c r="F39" s="16">
        <v>277840</v>
      </c>
      <c r="G39" s="16">
        <v>900200</v>
      </c>
      <c r="H39" s="17">
        <v>3216</v>
      </c>
      <c r="I39" s="24">
        <v>22</v>
      </c>
      <c r="J39" s="16">
        <v>3296</v>
      </c>
      <c r="K39" s="16">
        <v>72501</v>
      </c>
      <c r="L39" s="17">
        <v>6630</v>
      </c>
      <c r="M39" s="17">
        <v>60</v>
      </c>
      <c r="N39" s="17">
        <v>10506</v>
      </c>
      <c r="O39" s="25">
        <v>3.75</v>
      </c>
      <c r="P39" s="16">
        <f t="shared" si="2"/>
        <v>3206.3</v>
      </c>
      <c r="Q39" s="16">
        <v>192378</v>
      </c>
      <c r="R39" s="17">
        <v>400</v>
      </c>
      <c r="S39" s="18">
        <v>27.336399999999998</v>
      </c>
      <c r="T39" s="19">
        <v>224</v>
      </c>
      <c r="U39" s="19">
        <v>813</v>
      </c>
      <c r="V39" s="20">
        <v>1674</v>
      </c>
      <c r="W39" s="21">
        <v>3.3000000000000002E-2</v>
      </c>
      <c r="X39" s="15"/>
      <c r="Y39" s="9"/>
      <c r="Z39" s="11"/>
      <c r="AA39" s="11"/>
    </row>
    <row r="40" spans="1:33" x14ac:dyDescent="0.2">
      <c r="A40" s="23" t="s">
        <v>19</v>
      </c>
      <c r="B40" s="19">
        <v>3</v>
      </c>
      <c r="C40" s="19">
        <v>2021</v>
      </c>
      <c r="D40" s="17">
        <v>257040</v>
      </c>
      <c r="E40" s="23">
        <v>3.24</v>
      </c>
      <c r="F40" s="16">
        <v>291235</v>
      </c>
      <c r="G40" s="16">
        <v>943600</v>
      </c>
      <c r="H40" s="17">
        <v>2928</v>
      </c>
      <c r="I40" s="24">
        <v>22</v>
      </c>
      <c r="J40" s="16">
        <v>4010</v>
      </c>
      <c r="K40" s="16">
        <v>88218</v>
      </c>
      <c r="L40" s="17">
        <v>7935</v>
      </c>
      <c r="M40" s="17">
        <v>60</v>
      </c>
      <c r="N40" s="17">
        <v>11689</v>
      </c>
      <c r="O40" s="25">
        <v>3.75</v>
      </c>
      <c r="P40" s="16">
        <f t="shared" si="2"/>
        <v>3540.0666666666666</v>
      </c>
      <c r="Q40" s="16">
        <v>212404</v>
      </c>
      <c r="R40" s="17">
        <v>600</v>
      </c>
      <c r="S40" s="18">
        <v>27.429899999999996</v>
      </c>
      <c r="T40" s="19">
        <v>356</v>
      </c>
      <c r="U40" s="19">
        <v>868</v>
      </c>
      <c r="V40" s="20">
        <v>2070</v>
      </c>
      <c r="W40" s="21">
        <v>3.2000000000000001E-2</v>
      </c>
      <c r="X40" s="15"/>
      <c r="Y40" s="9"/>
      <c r="Z40" s="11"/>
      <c r="AA40" s="11"/>
    </row>
    <row r="41" spans="1:33" x14ac:dyDescent="0.2">
      <c r="A41" s="23" t="s">
        <v>19</v>
      </c>
      <c r="B41" s="19">
        <v>4</v>
      </c>
      <c r="C41" s="19">
        <v>2021</v>
      </c>
      <c r="D41" s="17">
        <v>278046</v>
      </c>
      <c r="E41" s="25">
        <v>3.31</v>
      </c>
      <c r="F41" s="16">
        <v>361667</v>
      </c>
      <c r="G41" s="16">
        <v>1171800</v>
      </c>
      <c r="H41" s="17">
        <v>4896</v>
      </c>
      <c r="I41" s="24">
        <v>22</v>
      </c>
      <c r="J41" s="16">
        <v>7766</v>
      </c>
      <c r="K41" s="16">
        <v>170859</v>
      </c>
      <c r="L41" s="17">
        <v>7245</v>
      </c>
      <c r="M41" s="17">
        <v>60</v>
      </c>
      <c r="N41" s="17">
        <v>11208</v>
      </c>
      <c r="O41" s="25">
        <v>3.75</v>
      </c>
      <c r="P41" s="16">
        <f t="shared" si="2"/>
        <v>5295.0333333333338</v>
      </c>
      <c r="Q41" s="16">
        <v>317702</v>
      </c>
      <c r="R41" s="17">
        <v>400</v>
      </c>
      <c r="S41" s="18">
        <v>26.775700000000001</v>
      </c>
      <c r="T41" s="19">
        <v>522</v>
      </c>
      <c r="U41" s="19">
        <v>1558</v>
      </c>
      <c r="V41" s="20">
        <v>3723</v>
      </c>
      <c r="W41" s="21">
        <v>3.2000000000000001E-2</v>
      </c>
      <c r="X41" s="11"/>
      <c r="Y41" s="9"/>
      <c r="Z41" s="11"/>
      <c r="AA41" s="11"/>
      <c r="AB41" s="11"/>
      <c r="AC41" s="11"/>
    </row>
    <row r="42" spans="1:33" x14ac:dyDescent="0.2">
      <c r="A42" s="23" t="s">
        <v>19</v>
      </c>
      <c r="B42" s="19">
        <v>5</v>
      </c>
      <c r="C42" s="19">
        <v>2021</v>
      </c>
      <c r="D42" s="17">
        <v>201035.42999999996</v>
      </c>
      <c r="E42" s="25">
        <v>3.34</v>
      </c>
      <c r="F42" s="16">
        <v>350432</v>
      </c>
      <c r="G42" s="16">
        <v>1135400</v>
      </c>
      <c r="H42" s="26">
        <v>912</v>
      </c>
      <c r="I42" s="24">
        <v>22</v>
      </c>
      <c r="J42" s="16">
        <v>7167</v>
      </c>
      <c r="K42" s="16">
        <v>157677</v>
      </c>
      <c r="L42" s="17">
        <v>3600</v>
      </c>
      <c r="M42" s="17">
        <v>60</v>
      </c>
      <c r="N42" s="17">
        <v>10354</v>
      </c>
      <c r="O42" s="25">
        <v>3.75</v>
      </c>
      <c r="P42" s="16">
        <f t="shared" si="2"/>
        <v>5015.1000000000004</v>
      </c>
      <c r="Q42" s="16">
        <v>300906</v>
      </c>
      <c r="R42" s="17">
        <v>600</v>
      </c>
      <c r="S42" s="18">
        <v>28</v>
      </c>
      <c r="T42" s="19">
        <v>67</v>
      </c>
      <c r="U42" s="19">
        <v>135</v>
      </c>
      <c r="V42" s="20">
        <v>390</v>
      </c>
      <c r="W42" s="21">
        <v>3.2000000000000001E-2</v>
      </c>
      <c r="X42" s="11"/>
      <c r="Y42" s="9"/>
      <c r="Z42" s="11"/>
      <c r="AA42" s="11"/>
      <c r="AB42" s="11"/>
      <c r="AC42" s="11"/>
      <c r="AD42" s="11"/>
    </row>
    <row r="43" spans="1:33" x14ac:dyDescent="0.2">
      <c r="A43" s="23" t="s">
        <v>19</v>
      </c>
      <c r="B43" s="19">
        <v>6</v>
      </c>
      <c r="C43" s="19">
        <v>2021</v>
      </c>
      <c r="D43" s="17">
        <v>222976</v>
      </c>
      <c r="E43" s="25">
        <v>3.54</v>
      </c>
      <c r="F43" s="16">
        <v>355401</v>
      </c>
      <c r="G43" s="16">
        <v>1151500</v>
      </c>
      <c r="H43" s="17">
        <v>1344</v>
      </c>
      <c r="I43" s="24">
        <v>22</v>
      </c>
      <c r="J43" s="16">
        <v>7432</v>
      </c>
      <c r="K43" s="16">
        <v>163507</v>
      </c>
      <c r="L43" s="17">
        <v>4230</v>
      </c>
      <c r="M43" s="17">
        <v>60</v>
      </c>
      <c r="N43" s="17">
        <v>11371</v>
      </c>
      <c r="O43" s="25">
        <v>3.75</v>
      </c>
      <c r="P43" s="16">
        <f t="shared" si="2"/>
        <v>5138.916666666667</v>
      </c>
      <c r="Q43" s="16">
        <v>308335</v>
      </c>
      <c r="R43" s="19">
        <v>800</v>
      </c>
      <c r="S43" s="18">
        <v>29</v>
      </c>
      <c r="T43" s="37">
        <v>126</v>
      </c>
      <c r="U43" s="37">
        <v>271</v>
      </c>
      <c r="V43" s="37">
        <v>773</v>
      </c>
      <c r="W43" s="21">
        <v>3.2000000000000001E-2</v>
      </c>
      <c r="X43" s="11"/>
      <c r="Y43" s="9"/>
      <c r="Z43" s="11"/>
      <c r="AA43" s="11"/>
      <c r="AB43" s="11"/>
      <c r="AC43" s="11"/>
      <c r="AD43" s="11"/>
      <c r="AE43" s="11"/>
      <c r="AF43" s="11"/>
    </row>
    <row r="44" spans="1:33" x14ac:dyDescent="0.2">
      <c r="A44" s="23" t="s">
        <v>19</v>
      </c>
      <c r="B44" s="19">
        <v>7</v>
      </c>
      <c r="C44" s="19">
        <v>2021</v>
      </c>
      <c r="D44" s="17">
        <v>211914</v>
      </c>
      <c r="E44" s="25">
        <v>3.41</v>
      </c>
      <c r="F44" s="16">
        <v>390833</v>
      </c>
      <c r="G44" s="16">
        <v>1266300</v>
      </c>
      <c r="H44" s="17">
        <v>1440</v>
      </c>
      <c r="I44" s="24">
        <v>22</v>
      </c>
      <c r="J44" s="16">
        <v>9322</v>
      </c>
      <c r="K44" s="16">
        <v>205082</v>
      </c>
      <c r="L44" s="17">
        <v>4095</v>
      </c>
      <c r="M44" s="17">
        <v>60</v>
      </c>
      <c r="N44" s="17">
        <v>11747</v>
      </c>
      <c r="O44" s="25">
        <v>3.75</v>
      </c>
      <c r="P44" s="16">
        <f t="shared" si="2"/>
        <v>6021.7833333333338</v>
      </c>
      <c r="Q44" s="16">
        <v>361307</v>
      </c>
      <c r="R44" s="19">
        <v>1200</v>
      </c>
      <c r="S44" s="38">
        <v>32</v>
      </c>
      <c r="T44" s="37">
        <v>143</v>
      </c>
      <c r="U44" s="37">
        <v>325</v>
      </c>
      <c r="V44" s="17">
        <v>1163</v>
      </c>
      <c r="W44" s="21">
        <v>3.2000000000000001E-2</v>
      </c>
      <c r="X44" s="11"/>
      <c r="Y44" s="9"/>
      <c r="Z44" s="11"/>
      <c r="AA44" s="11"/>
      <c r="AB44" s="11"/>
      <c r="AC44" s="11"/>
      <c r="AD44" s="11"/>
      <c r="AE44" s="11"/>
      <c r="AF44" s="11"/>
    </row>
    <row r="45" spans="1:33" x14ac:dyDescent="0.2">
      <c r="A45" s="23" t="s">
        <v>19</v>
      </c>
      <c r="B45" s="19">
        <v>8</v>
      </c>
      <c r="C45" s="19">
        <v>2021</v>
      </c>
      <c r="D45" s="17">
        <v>192492</v>
      </c>
      <c r="E45" s="25">
        <v>3.41</v>
      </c>
      <c r="F45" s="16">
        <v>399907</v>
      </c>
      <c r="G45" s="16">
        <v>1295700</v>
      </c>
      <c r="H45" s="17">
        <v>1968</v>
      </c>
      <c r="I45" s="24">
        <v>22</v>
      </c>
      <c r="J45" s="16">
        <v>9806</v>
      </c>
      <c r="K45" s="16">
        <v>215729</v>
      </c>
      <c r="L45" s="17">
        <v>3825</v>
      </c>
      <c r="M45" s="17">
        <v>60</v>
      </c>
      <c r="N45" s="17">
        <v>10469</v>
      </c>
      <c r="O45" s="25">
        <v>3.75</v>
      </c>
      <c r="P45" s="16">
        <f t="shared" si="2"/>
        <v>6247.8833333333332</v>
      </c>
      <c r="Q45" s="16">
        <v>374873</v>
      </c>
      <c r="R45" s="19">
        <v>0</v>
      </c>
      <c r="S45" s="38">
        <v>0</v>
      </c>
      <c r="T45" s="22">
        <v>78</v>
      </c>
      <c r="U45" s="37">
        <v>388</v>
      </c>
      <c r="V45" s="17">
        <v>785</v>
      </c>
      <c r="W45" s="21">
        <v>3.2000000000000001E-2</v>
      </c>
      <c r="X45" s="11"/>
      <c r="Y45" s="11"/>
      <c r="Z45" s="11"/>
      <c r="AA45" s="11"/>
      <c r="AB45" s="11"/>
      <c r="AC45" s="11"/>
      <c r="AD45" s="11"/>
      <c r="AE45" s="11"/>
      <c r="AF45" s="11"/>
    </row>
    <row r="46" spans="1:33" x14ac:dyDescent="0.2">
      <c r="A46" s="23" t="s">
        <v>19</v>
      </c>
      <c r="B46" s="19">
        <v>9</v>
      </c>
      <c r="C46" s="19">
        <v>2021</v>
      </c>
      <c r="D46" s="17">
        <v>119592.81999999998</v>
      </c>
      <c r="E46" s="25">
        <v>3.41</v>
      </c>
      <c r="F46" s="16">
        <v>363395</v>
      </c>
      <c r="G46" s="16">
        <v>1177400</v>
      </c>
      <c r="H46" s="17">
        <v>2448</v>
      </c>
      <c r="I46" s="21">
        <v>21.75</v>
      </c>
      <c r="J46" s="16">
        <v>7859</v>
      </c>
      <c r="K46" s="16">
        <v>172887</v>
      </c>
      <c r="L46" s="17">
        <v>4365</v>
      </c>
      <c r="M46" s="17">
        <v>60</v>
      </c>
      <c r="N46" s="17">
        <v>7222</v>
      </c>
      <c r="O46" s="25">
        <v>3.75</v>
      </c>
      <c r="P46" s="16">
        <f t="shared" si="2"/>
        <v>5338.1</v>
      </c>
      <c r="Q46" s="16">
        <v>320286</v>
      </c>
      <c r="R46" s="19">
        <v>0</v>
      </c>
      <c r="S46" s="38">
        <v>0</v>
      </c>
      <c r="T46" s="23">
        <v>293</v>
      </c>
      <c r="U46" s="37">
        <v>800</v>
      </c>
      <c r="V46" s="17">
        <v>1845</v>
      </c>
      <c r="W46" s="21">
        <v>3.2000000000000001E-2</v>
      </c>
    </row>
    <row r="47" spans="1:33" x14ac:dyDescent="0.2">
      <c r="A47" s="23" t="s">
        <v>19</v>
      </c>
      <c r="B47" s="19">
        <v>10</v>
      </c>
      <c r="C47" s="19">
        <v>2021</v>
      </c>
      <c r="D47" s="17">
        <v>276657.37</v>
      </c>
      <c r="E47" s="25">
        <v>3.35</v>
      </c>
      <c r="F47" s="16">
        <v>404012</v>
      </c>
      <c r="G47" s="16">
        <v>1309000</v>
      </c>
      <c r="H47" s="17">
        <v>3087</v>
      </c>
      <c r="I47" s="21">
        <v>21.75</v>
      </c>
      <c r="J47" s="16">
        <v>10025</v>
      </c>
      <c r="K47" s="16">
        <v>220545</v>
      </c>
      <c r="L47" s="17">
        <v>5115</v>
      </c>
      <c r="M47" s="17">
        <v>60</v>
      </c>
      <c r="N47" s="17">
        <v>10482</v>
      </c>
      <c r="O47" s="25">
        <v>3.75</v>
      </c>
      <c r="P47" s="16">
        <f t="shared" si="2"/>
        <v>6350.166666666667</v>
      </c>
      <c r="Q47" s="16">
        <v>381010</v>
      </c>
      <c r="R47" s="19">
        <v>800</v>
      </c>
      <c r="S47" s="38">
        <v>28.27</v>
      </c>
      <c r="T47" s="23">
        <v>628</v>
      </c>
      <c r="U47" s="17">
        <v>1804</v>
      </c>
      <c r="V47" s="17">
        <v>3583</v>
      </c>
      <c r="W47" s="21">
        <v>3.2000000000000001E-2</v>
      </c>
    </row>
    <row r="48" spans="1:33" x14ac:dyDescent="0.2">
      <c r="A48" s="23" t="s">
        <v>19</v>
      </c>
      <c r="B48" s="19">
        <v>11</v>
      </c>
      <c r="C48" s="19">
        <v>2021</v>
      </c>
      <c r="D48" s="17">
        <v>244332</v>
      </c>
      <c r="E48" s="25">
        <v>3.48</v>
      </c>
      <c r="F48" s="16">
        <v>350216</v>
      </c>
      <c r="G48" s="16">
        <v>1134700</v>
      </c>
      <c r="H48" s="17">
        <v>4128</v>
      </c>
      <c r="I48" s="21">
        <v>21.7485</v>
      </c>
      <c r="J48" s="16">
        <v>7156</v>
      </c>
      <c r="K48" s="16">
        <v>157424</v>
      </c>
      <c r="L48" s="17">
        <v>4395</v>
      </c>
      <c r="M48" s="17">
        <v>60</v>
      </c>
      <c r="N48" s="17">
        <v>9157</v>
      </c>
      <c r="O48" s="25">
        <v>3.75</v>
      </c>
      <c r="P48" s="16">
        <f t="shared" si="2"/>
        <v>5009.7166666666662</v>
      </c>
      <c r="Q48" s="16">
        <v>300583</v>
      </c>
      <c r="R48" s="19">
        <v>600</v>
      </c>
      <c r="S48" s="38">
        <v>29.859800000000003</v>
      </c>
      <c r="T48" s="23">
        <v>585</v>
      </c>
      <c r="U48" s="17">
        <v>1411</v>
      </c>
      <c r="V48" s="17">
        <v>2932</v>
      </c>
      <c r="W48" s="21">
        <v>3.2000000000000001E-2</v>
      </c>
    </row>
    <row r="49" spans="1:23" x14ac:dyDescent="0.2">
      <c r="A49" s="23" t="s">
        <v>19</v>
      </c>
      <c r="B49" s="19">
        <v>12</v>
      </c>
      <c r="C49" s="19">
        <v>2021</v>
      </c>
      <c r="D49" s="17">
        <v>285876</v>
      </c>
      <c r="E49" s="25">
        <v>3.39</v>
      </c>
      <c r="F49" s="16">
        <v>428426</v>
      </c>
      <c r="G49" s="16">
        <v>1388100</v>
      </c>
      <c r="H49" s="17">
        <v>4128</v>
      </c>
      <c r="I49" s="21">
        <v>21.7485</v>
      </c>
      <c r="J49" s="16">
        <v>11327</v>
      </c>
      <c r="K49" s="16">
        <v>249191</v>
      </c>
      <c r="L49" s="17">
        <v>4740</v>
      </c>
      <c r="M49" s="17">
        <v>60</v>
      </c>
      <c r="N49" s="17">
        <v>9818</v>
      </c>
      <c r="O49" s="25">
        <v>3.75</v>
      </c>
      <c r="P49" s="16">
        <f t="shared" si="2"/>
        <v>6958.4833333333336</v>
      </c>
      <c r="Q49" s="16">
        <v>417509</v>
      </c>
      <c r="R49" s="19">
        <v>1000</v>
      </c>
      <c r="S49" s="38">
        <v>28.449000000000002</v>
      </c>
      <c r="T49" s="23">
        <v>1050</v>
      </c>
      <c r="U49" s="37">
        <v>2736</v>
      </c>
      <c r="V49" s="17">
        <v>6306</v>
      </c>
      <c r="W49" s="21">
        <v>3.2000000000000001E-2</v>
      </c>
    </row>
    <row r="50" spans="1:23" x14ac:dyDescent="0.2">
      <c r="B50" s="6"/>
      <c r="C50" s="6"/>
      <c r="D50" s="6"/>
      <c r="E50" s="6"/>
      <c r="F50" s="6"/>
      <c r="G50" s="6"/>
      <c r="H50" s="6"/>
      <c r="J50" s="6"/>
      <c r="K50" s="6"/>
      <c r="L50" s="6"/>
      <c r="M50" s="6"/>
      <c r="N50" s="6"/>
      <c r="O50" s="13"/>
      <c r="P50" s="6"/>
    </row>
    <row r="51" spans="1:23" x14ac:dyDescent="0.2">
      <c r="B51" s="6"/>
      <c r="C51" s="6"/>
      <c r="D51" s="6"/>
      <c r="E51" s="6"/>
      <c r="F51" s="6"/>
      <c r="G51" s="6"/>
      <c r="H51" s="6"/>
      <c r="J51" s="6"/>
      <c r="K51" s="6"/>
      <c r="L51" s="6"/>
      <c r="M51" s="6"/>
      <c r="N51" s="6"/>
      <c r="O51" s="6"/>
      <c r="P51" s="6"/>
    </row>
    <row r="52" spans="1:23" x14ac:dyDescent="0.2">
      <c r="B52" s="6"/>
      <c r="C52" s="6"/>
      <c r="D52" s="6"/>
      <c r="E52" s="6"/>
      <c r="F52" s="6"/>
      <c r="G52" s="6"/>
      <c r="H52" s="6"/>
      <c r="J52" s="6"/>
      <c r="K52" s="6"/>
      <c r="L52" s="6"/>
      <c r="M52" s="6"/>
      <c r="N52" s="6"/>
      <c r="O52" s="6"/>
      <c r="P52" s="6"/>
    </row>
    <row r="53" spans="1:23" x14ac:dyDescent="0.2">
      <c r="B53" s="6"/>
      <c r="C53" s="6"/>
      <c r="D53" s="6"/>
      <c r="E53" s="6"/>
      <c r="F53" s="6"/>
      <c r="G53" s="6"/>
      <c r="H53" s="6"/>
      <c r="J53" s="6"/>
      <c r="K53" s="6"/>
      <c r="L53" s="6"/>
      <c r="M53" s="6"/>
      <c r="N53" s="6"/>
      <c r="O53" s="6"/>
      <c r="P53" s="6"/>
    </row>
    <row r="54" spans="1:23" x14ac:dyDescent="0.2">
      <c r="B54" s="6"/>
      <c r="C54" s="6"/>
      <c r="D54" s="6"/>
      <c r="E54" s="6"/>
      <c r="F54" s="6"/>
      <c r="G54" s="6"/>
      <c r="H54" s="6"/>
      <c r="J54" s="6"/>
      <c r="K54" s="6"/>
      <c r="L54" s="6"/>
      <c r="M54" s="6"/>
      <c r="N54" s="6"/>
      <c r="O54" s="6"/>
      <c r="P54" s="6"/>
    </row>
    <row r="55" spans="1:23" x14ac:dyDescent="0.2">
      <c r="B55" s="6"/>
      <c r="C55" s="6"/>
      <c r="D55" s="6"/>
      <c r="E55" s="6"/>
      <c r="F55" s="6"/>
      <c r="G55" s="6"/>
      <c r="H55" s="6"/>
      <c r="J55" s="6"/>
      <c r="K55" s="6"/>
      <c r="L55" s="6"/>
      <c r="M55" s="6"/>
      <c r="N55" s="6"/>
      <c r="O55" s="6"/>
      <c r="P55" s="6"/>
    </row>
    <row r="56" spans="1:23" x14ac:dyDescent="0.2">
      <c r="B56" s="6"/>
      <c r="C56" s="6"/>
      <c r="D56" s="6"/>
      <c r="E56" s="6"/>
      <c r="F56" s="6"/>
      <c r="G56" s="6"/>
      <c r="H56" s="6"/>
      <c r="J56" s="6"/>
      <c r="K56" s="6"/>
      <c r="L56" s="6"/>
      <c r="M56" s="6"/>
      <c r="N56" s="6"/>
      <c r="O56" s="6"/>
      <c r="P56" s="6"/>
    </row>
    <row r="57" spans="1:23" x14ac:dyDescent="0.2">
      <c r="B57" s="6"/>
      <c r="C57" s="6"/>
      <c r="D57" s="6"/>
      <c r="E57" s="6"/>
      <c r="F57" s="6"/>
      <c r="G57" s="6"/>
      <c r="H57" s="6"/>
      <c r="J57" s="6"/>
      <c r="K57" s="6"/>
      <c r="L57" s="6"/>
      <c r="M57" s="6"/>
      <c r="N57" s="6"/>
      <c r="O57" s="6"/>
      <c r="P57" s="6"/>
    </row>
    <row r="58" spans="1:23" x14ac:dyDescent="0.2">
      <c r="B58" s="6"/>
      <c r="C58" s="6"/>
      <c r="D58" s="6"/>
      <c r="E58" s="6"/>
      <c r="F58" s="6"/>
      <c r="G58" s="6"/>
      <c r="H58" s="6"/>
      <c r="J58" s="6"/>
      <c r="K58" s="6"/>
      <c r="L58" s="6"/>
      <c r="M58" s="6"/>
      <c r="N58" s="6"/>
      <c r="O58" s="6"/>
      <c r="P58" s="6"/>
    </row>
    <row r="59" spans="1:23" x14ac:dyDescent="0.2">
      <c r="B59" s="6"/>
      <c r="C59" s="6"/>
      <c r="D59" s="6"/>
      <c r="E59" s="6"/>
      <c r="F59" s="6"/>
      <c r="G59" s="6"/>
      <c r="H59" s="6"/>
      <c r="J59" s="6"/>
      <c r="K59" s="6"/>
      <c r="L59" s="6"/>
      <c r="M59" s="6"/>
      <c r="N59" s="6"/>
      <c r="O59" s="6"/>
      <c r="P59" s="6"/>
    </row>
    <row r="60" spans="1:23" x14ac:dyDescent="0.2">
      <c r="B60" s="6"/>
      <c r="C60" s="6"/>
      <c r="D60" s="6"/>
      <c r="E60" s="6"/>
      <c r="F60" s="6"/>
      <c r="G60" s="6"/>
      <c r="H60" s="6"/>
      <c r="J60" s="6"/>
      <c r="K60" s="6"/>
      <c r="L60" s="6"/>
      <c r="M60" s="6"/>
      <c r="N60" s="6"/>
      <c r="O60" s="6"/>
      <c r="P60" s="6"/>
    </row>
    <row r="61" spans="1:23" x14ac:dyDescent="0.2">
      <c r="B61" s="6"/>
      <c r="C61" s="6"/>
      <c r="D61" s="6"/>
      <c r="E61" s="6"/>
      <c r="F61" s="6"/>
      <c r="G61" s="6"/>
      <c r="H61" s="6"/>
      <c r="J61" s="6"/>
      <c r="K61" s="6"/>
      <c r="L61" s="6"/>
      <c r="M61" s="6"/>
      <c r="N61" s="6"/>
      <c r="O61" s="6"/>
      <c r="P61" s="6"/>
    </row>
    <row r="62" spans="1:23" x14ac:dyDescent="0.2">
      <c r="B62" s="6"/>
      <c r="C62" s="6"/>
      <c r="D62" s="6"/>
      <c r="E62" s="6"/>
      <c r="F62" s="6"/>
      <c r="G62" s="6"/>
      <c r="H62" s="6"/>
      <c r="J62" s="6"/>
      <c r="K62" s="6"/>
      <c r="L62" s="6"/>
      <c r="M62" s="6"/>
      <c r="N62" s="6"/>
      <c r="O62" s="6"/>
      <c r="P62" s="6"/>
    </row>
    <row r="63" spans="1:23" x14ac:dyDescent="0.2">
      <c r="B63" s="6"/>
      <c r="C63" s="6"/>
      <c r="D63" s="6"/>
      <c r="E63" s="6"/>
      <c r="F63" s="6"/>
      <c r="G63" s="6"/>
      <c r="H63" s="6"/>
      <c r="J63" s="6"/>
      <c r="K63" s="6"/>
      <c r="L63" s="6"/>
      <c r="M63" s="6"/>
      <c r="N63" s="6"/>
      <c r="O63" s="6"/>
      <c r="P63" s="6"/>
    </row>
    <row r="64" spans="1:23" x14ac:dyDescent="0.2">
      <c r="B64" s="6"/>
      <c r="C64" s="6"/>
      <c r="D64" s="6"/>
      <c r="E64" s="6"/>
      <c r="F64" s="6"/>
      <c r="G64" s="6"/>
      <c r="H64" s="6"/>
      <c r="J64" s="6"/>
      <c r="K64" s="6"/>
      <c r="L64" s="6"/>
      <c r="M64" s="6"/>
      <c r="N64" s="6"/>
      <c r="O64" s="6"/>
      <c r="P64" s="6"/>
    </row>
    <row r="65" spans="2:16" x14ac:dyDescent="0.2">
      <c r="B65" s="6"/>
      <c r="C65" s="6"/>
      <c r="D65" s="6"/>
      <c r="E65" s="6"/>
      <c r="F65" s="6"/>
      <c r="G65" s="6"/>
      <c r="H65" s="6"/>
      <c r="J65" s="6"/>
      <c r="K65" s="6"/>
      <c r="L65" s="6"/>
      <c r="M65" s="6"/>
      <c r="N65" s="6"/>
      <c r="O65" s="6"/>
      <c r="P65" s="6"/>
    </row>
    <row r="66" spans="2:16" x14ac:dyDescent="0.2">
      <c r="B66" s="6"/>
      <c r="C66" s="6"/>
      <c r="D66" s="6"/>
      <c r="E66" s="6"/>
      <c r="F66" s="6"/>
      <c r="G66" s="6"/>
      <c r="H66" s="6"/>
      <c r="J66" s="6"/>
      <c r="K66" s="6"/>
      <c r="L66" s="6"/>
      <c r="M66" s="6"/>
      <c r="N66" s="6"/>
      <c r="O66" s="6"/>
      <c r="P66" s="6"/>
    </row>
    <row r="67" spans="2:16" x14ac:dyDescent="0.2">
      <c r="B67" s="6"/>
      <c r="C67" s="6"/>
      <c r="D67" s="6"/>
      <c r="E67" s="6"/>
      <c r="F67" s="6"/>
      <c r="G67" s="6"/>
      <c r="H67" s="6"/>
      <c r="J67" s="6"/>
      <c r="K67" s="6"/>
      <c r="L67" s="6"/>
      <c r="M67" s="6"/>
      <c r="N67" s="6"/>
      <c r="O67" s="6"/>
      <c r="P67" s="6"/>
    </row>
    <row r="68" spans="2:16" x14ac:dyDescent="0.2">
      <c r="B68" s="6"/>
      <c r="C68" s="6"/>
      <c r="D68" s="6"/>
      <c r="E68" s="6"/>
      <c r="F68" s="6"/>
      <c r="G68" s="6"/>
      <c r="H68" s="6"/>
      <c r="J68" s="6"/>
      <c r="K68" s="6"/>
      <c r="L68" s="6"/>
      <c r="M68" s="6"/>
      <c r="N68" s="6"/>
      <c r="O68" s="6"/>
      <c r="P68" s="6"/>
    </row>
    <row r="69" spans="2:16" x14ac:dyDescent="0.2">
      <c r="B69" s="6"/>
      <c r="C69" s="6"/>
      <c r="D69" s="6"/>
      <c r="E69" s="6"/>
      <c r="F69" s="6"/>
      <c r="G69" s="6"/>
      <c r="H69" s="6"/>
      <c r="J69" s="6"/>
      <c r="K69" s="6"/>
      <c r="L69" s="6"/>
      <c r="M69" s="6"/>
      <c r="N69" s="6"/>
      <c r="O69" s="6"/>
      <c r="P69" s="6"/>
    </row>
    <row r="70" spans="2:16" x14ac:dyDescent="0.2">
      <c r="B70" s="6"/>
      <c r="C70" s="6"/>
      <c r="D70" s="6"/>
      <c r="E70" s="6"/>
      <c r="F70" s="6"/>
      <c r="G70" s="6"/>
      <c r="H70" s="6"/>
      <c r="J70" s="6"/>
      <c r="K70" s="6"/>
      <c r="L70" s="6"/>
      <c r="M70" s="6"/>
      <c r="N70" s="6"/>
      <c r="O70" s="6"/>
      <c r="P70" s="6"/>
    </row>
    <row r="71" spans="2:16" x14ac:dyDescent="0.2">
      <c r="B71" s="6"/>
      <c r="C71" s="6"/>
      <c r="D71" s="6"/>
      <c r="E71" s="6"/>
      <c r="F71" s="6"/>
      <c r="G71" s="6"/>
      <c r="H71" s="6"/>
      <c r="J71" s="6"/>
      <c r="K71" s="6"/>
      <c r="L71" s="6"/>
      <c r="M71" s="6"/>
      <c r="N71" s="6"/>
      <c r="O71" s="6"/>
      <c r="P71" s="6"/>
    </row>
    <row r="72" spans="2:16" x14ac:dyDescent="0.2">
      <c r="B72" s="6"/>
      <c r="C72" s="6"/>
      <c r="D72" s="6"/>
      <c r="E72" s="6"/>
      <c r="F72" s="6"/>
      <c r="G72" s="6"/>
      <c r="H72" s="6"/>
      <c r="J72" s="6"/>
      <c r="K72" s="6"/>
      <c r="L72" s="6"/>
      <c r="M72" s="6"/>
      <c r="N72" s="6"/>
      <c r="O72" s="6"/>
      <c r="P72" s="6"/>
    </row>
    <row r="73" spans="2:16" x14ac:dyDescent="0.2">
      <c r="B73" s="6"/>
      <c r="C73" s="6"/>
      <c r="D73" s="6"/>
      <c r="E73" s="6"/>
      <c r="F73" s="6"/>
      <c r="G73" s="6"/>
      <c r="H73" s="6"/>
      <c r="J73" s="6"/>
      <c r="K73" s="6"/>
      <c r="L73" s="6"/>
      <c r="M73" s="6"/>
      <c r="N73" s="6"/>
      <c r="O73" s="6"/>
      <c r="P73" s="6"/>
    </row>
    <row r="74" spans="2:16" x14ac:dyDescent="0.2">
      <c r="B74" s="6"/>
      <c r="C74" s="6"/>
      <c r="D74" s="6"/>
      <c r="E74" s="6"/>
      <c r="F74" s="6"/>
      <c r="G74" s="6"/>
      <c r="H74" s="6"/>
      <c r="J74" s="6"/>
      <c r="K74" s="6"/>
      <c r="L74" s="6"/>
      <c r="M74" s="6"/>
      <c r="N74" s="6"/>
      <c r="O74" s="6"/>
      <c r="P74" s="6"/>
    </row>
    <row r="75" spans="2:16" x14ac:dyDescent="0.2">
      <c r="B75" s="6"/>
      <c r="C75" s="6"/>
      <c r="D75" s="6"/>
      <c r="E75" s="6"/>
      <c r="F75" s="6"/>
      <c r="G75" s="6"/>
      <c r="H75" s="6"/>
      <c r="J75" s="6"/>
      <c r="K75" s="6"/>
      <c r="L75" s="6"/>
      <c r="M75" s="6"/>
      <c r="N75" s="6"/>
      <c r="O75" s="6"/>
      <c r="P75" s="6"/>
    </row>
    <row r="76" spans="2:16" x14ac:dyDescent="0.2">
      <c r="B76" s="6"/>
      <c r="C76" s="6"/>
      <c r="D76" s="6"/>
      <c r="E76" s="6"/>
      <c r="F76" s="6"/>
      <c r="G76" s="6"/>
      <c r="H76" s="6"/>
      <c r="J76" s="6"/>
      <c r="K76" s="6"/>
      <c r="L76" s="6"/>
      <c r="M76" s="6"/>
      <c r="N76" s="6"/>
      <c r="O76" s="6"/>
      <c r="P76" s="6"/>
    </row>
    <row r="77" spans="2:16" x14ac:dyDescent="0.2">
      <c r="B77" s="6"/>
      <c r="C77" s="6"/>
      <c r="D77" s="6"/>
      <c r="E77" s="6"/>
      <c r="F77" s="6"/>
      <c r="G77" s="6"/>
      <c r="H77" s="6"/>
      <c r="J77" s="6"/>
      <c r="K77" s="6"/>
      <c r="L77" s="6"/>
      <c r="M77" s="6"/>
      <c r="N77" s="6"/>
      <c r="O77" s="6"/>
      <c r="P77" s="6"/>
    </row>
    <row r="78" spans="2:16" x14ac:dyDescent="0.2">
      <c r="B78" s="6"/>
      <c r="C78" s="6"/>
      <c r="D78" s="6"/>
      <c r="E78" s="6"/>
      <c r="F78" s="6"/>
      <c r="G78" s="6"/>
      <c r="H78" s="6"/>
      <c r="J78" s="6"/>
      <c r="K78" s="6"/>
      <c r="L78" s="6"/>
      <c r="M78" s="6"/>
      <c r="N78" s="6"/>
      <c r="O78" s="6"/>
      <c r="P78" s="6"/>
    </row>
    <row r="79" spans="2:16" x14ac:dyDescent="0.2">
      <c r="B79" s="6"/>
      <c r="C79" s="6"/>
      <c r="D79" s="6"/>
      <c r="E79" s="6"/>
      <c r="F79" s="6"/>
      <c r="G79" s="6"/>
      <c r="H79" s="6"/>
      <c r="J79" s="6"/>
      <c r="K79" s="6"/>
      <c r="L79" s="6"/>
      <c r="M79" s="6"/>
      <c r="N79" s="6"/>
      <c r="O79" s="6"/>
      <c r="P79" s="6"/>
    </row>
    <row r="80" spans="2:16" x14ac:dyDescent="0.2">
      <c r="B80" s="6"/>
      <c r="C80" s="6"/>
      <c r="D80" s="6"/>
      <c r="E80" s="6"/>
      <c r="F80" s="6"/>
      <c r="G80" s="6"/>
      <c r="H80" s="6"/>
      <c r="J80" s="6"/>
      <c r="K80" s="6"/>
      <c r="L80" s="6"/>
      <c r="M80" s="6"/>
      <c r="N80" s="6"/>
      <c r="O80" s="6"/>
      <c r="P80" s="6"/>
    </row>
    <row r="81" spans="2:16" x14ac:dyDescent="0.2">
      <c r="B81" s="6"/>
      <c r="C81" s="6"/>
      <c r="D81" s="6"/>
      <c r="E81" s="6"/>
      <c r="F81" s="6"/>
      <c r="G81" s="6"/>
      <c r="H81" s="6"/>
      <c r="J81" s="6"/>
      <c r="K81" s="6"/>
      <c r="L81" s="6"/>
      <c r="M81" s="6"/>
      <c r="N81" s="6"/>
      <c r="O81" s="6"/>
      <c r="P81" s="6"/>
    </row>
    <row r="82" spans="2:16" x14ac:dyDescent="0.2">
      <c r="B82" s="6"/>
      <c r="C82" s="6"/>
      <c r="D82" s="6"/>
      <c r="E82" s="6"/>
      <c r="F82" s="6"/>
      <c r="G82" s="6"/>
      <c r="H82" s="6"/>
      <c r="J82" s="6"/>
      <c r="K82" s="6"/>
      <c r="L82" s="6"/>
      <c r="M82" s="6"/>
      <c r="N82" s="6"/>
      <c r="O82" s="6"/>
      <c r="P82" s="6"/>
    </row>
    <row r="83" spans="2:16" x14ac:dyDescent="0.2">
      <c r="B83" s="6"/>
      <c r="C83" s="6"/>
      <c r="D83" s="6"/>
      <c r="E83" s="6"/>
      <c r="F83" s="6"/>
      <c r="G83" s="6"/>
      <c r="H83" s="6"/>
      <c r="J83" s="6"/>
      <c r="K83" s="6"/>
      <c r="L83" s="6"/>
      <c r="M83" s="6"/>
      <c r="N83" s="6"/>
      <c r="O83" s="6"/>
      <c r="P83" s="6"/>
    </row>
    <row r="84" spans="2:16" x14ac:dyDescent="0.2">
      <c r="B84" s="6"/>
      <c r="C84" s="6"/>
      <c r="D84" s="6"/>
      <c r="E84" s="6"/>
      <c r="F84" s="6"/>
      <c r="G84" s="6"/>
      <c r="H84" s="6"/>
      <c r="J84" s="6"/>
      <c r="K84" s="6"/>
      <c r="L84" s="6"/>
      <c r="M84" s="6"/>
      <c r="N84" s="6"/>
      <c r="O84" s="6"/>
      <c r="P84" s="6"/>
    </row>
    <row r="85" spans="2:16" x14ac:dyDescent="0.2">
      <c r="B85" s="6"/>
      <c r="C85" s="6"/>
      <c r="D85" s="6"/>
      <c r="E85" s="6"/>
      <c r="F85" s="6"/>
      <c r="G85" s="6"/>
      <c r="H85" s="6"/>
      <c r="J85" s="6"/>
      <c r="K85" s="6"/>
      <c r="L85" s="6"/>
      <c r="M85" s="6"/>
      <c r="N85" s="6"/>
      <c r="O85" s="6"/>
      <c r="P85" s="6"/>
    </row>
    <row r="86" spans="2:16" x14ac:dyDescent="0.2">
      <c r="B86" s="6"/>
      <c r="C86" s="6"/>
      <c r="D86" s="6"/>
      <c r="E86" s="6"/>
      <c r="F86" s="6"/>
      <c r="G86" s="6"/>
      <c r="H86" s="6"/>
      <c r="J86" s="6"/>
      <c r="K86" s="6"/>
      <c r="L86" s="6"/>
      <c r="M86" s="6"/>
      <c r="N86" s="6"/>
      <c r="O86" s="6"/>
      <c r="P86" s="6"/>
    </row>
    <row r="87" spans="2:16" x14ac:dyDescent="0.2">
      <c r="B87" s="6"/>
      <c r="C87" s="6"/>
      <c r="D87" s="6"/>
      <c r="E87" s="6"/>
      <c r="F87" s="6"/>
      <c r="G87" s="6"/>
      <c r="H87" s="6"/>
      <c r="J87" s="6"/>
      <c r="K87" s="6"/>
      <c r="L87" s="6"/>
      <c r="M87" s="6"/>
      <c r="N87" s="6"/>
      <c r="O87" s="6"/>
      <c r="P87" s="6"/>
    </row>
    <row r="88" spans="2:16" x14ac:dyDescent="0.2">
      <c r="B88" s="6"/>
      <c r="C88" s="6"/>
      <c r="D88" s="6"/>
      <c r="E88" s="6"/>
      <c r="F88" s="6"/>
      <c r="G88" s="6"/>
      <c r="H88" s="6"/>
      <c r="J88" s="6"/>
      <c r="K88" s="6"/>
      <c r="L88" s="6"/>
      <c r="M88" s="6"/>
      <c r="N88" s="6"/>
      <c r="O88" s="6"/>
      <c r="P88" s="6"/>
    </row>
    <row r="89" spans="2:16" x14ac:dyDescent="0.2">
      <c r="B89" s="6"/>
      <c r="C89" s="6"/>
      <c r="D89" s="6"/>
      <c r="E89" s="6"/>
      <c r="F89" s="6"/>
      <c r="G89" s="6"/>
      <c r="H89" s="6"/>
      <c r="J89" s="6"/>
      <c r="K89" s="6"/>
      <c r="L89" s="6"/>
      <c r="M89" s="6"/>
      <c r="N89" s="6"/>
      <c r="O89" s="6"/>
      <c r="P89" s="6"/>
    </row>
    <row r="90" spans="2:16" x14ac:dyDescent="0.2">
      <c r="B90" s="6"/>
      <c r="C90" s="6"/>
      <c r="D90" s="6"/>
      <c r="E90" s="6"/>
      <c r="F90" s="6"/>
      <c r="G90" s="6"/>
      <c r="H90" s="6"/>
      <c r="J90" s="6"/>
      <c r="K90" s="6"/>
      <c r="L90" s="6"/>
      <c r="M90" s="6"/>
      <c r="N90" s="6"/>
      <c r="O90" s="6"/>
      <c r="P90" s="6"/>
    </row>
    <row r="91" spans="2:16" x14ac:dyDescent="0.2">
      <c r="B91" s="6"/>
      <c r="C91" s="6"/>
      <c r="D91" s="6"/>
      <c r="E91" s="6"/>
      <c r="F91" s="6"/>
      <c r="G91" s="6"/>
      <c r="H91" s="6"/>
      <c r="J91" s="6"/>
      <c r="K91" s="6"/>
      <c r="L91" s="6"/>
      <c r="M91" s="6"/>
      <c r="N91" s="6"/>
      <c r="O91" s="6"/>
      <c r="P91" s="6"/>
    </row>
    <row r="92" spans="2:16" x14ac:dyDescent="0.2">
      <c r="B92" s="6"/>
      <c r="C92" s="6"/>
      <c r="D92" s="6"/>
      <c r="E92" s="6"/>
      <c r="F92" s="6"/>
      <c r="G92" s="6"/>
      <c r="H92" s="6"/>
      <c r="J92" s="6"/>
      <c r="K92" s="6"/>
      <c r="L92" s="6"/>
      <c r="M92" s="6"/>
      <c r="N92" s="6"/>
      <c r="O92" s="6"/>
      <c r="P92" s="6"/>
    </row>
    <row r="93" spans="2:16" x14ac:dyDescent="0.2">
      <c r="B93" s="6"/>
      <c r="C93" s="6"/>
      <c r="D93" s="6"/>
      <c r="E93" s="6"/>
      <c r="F93" s="6"/>
      <c r="G93" s="6"/>
      <c r="H93" s="6"/>
      <c r="J93" s="6"/>
      <c r="K93" s="6"/>
      <c r="L93" s="6"/>
      <c r="M93" s="6"/>
      <c r="N93" s="6"/>
      <c r="O93" s="6"/>
      <c r="P93" s="6"/>
    </row>
    <row r="94" spans="2:16" x14ac:dyDescent="0.2">
      <c r="B94" s="6"/>
      <c r="C94" s="6"/>
      <c r="D94" s="6"/>
      <c r="E94" s="6"/>
      <c r="F94" s="6"/>
      <c r="G94" s="6"/>
      <c r="H94" s="6"/>
      <c r="J94" s="6"/>
      <c r="K94" s="6"/>
      <c r="L94" s="6"/>
      <c r="M94" s="6"/>
      <c r="N94" s="6"/>
      <c r="O94" s="6"/>
      <c r="P94" s="6"/>
    </row>
    <row r="95" spans="2:16" x14ac:dyDescent="0.2">
      <c r="B95" s="6"/>
      <c r="C95" s="6"/>
      <c r="D95" s="6"/>
      <c r="E95" s="6"/>
      <c r="F95" s="6"/>
      <c r="G95" s="6"/>
      <c r="H95" s="6"/>
      <c r="J95" s="6"/>
      <c r="K95" s="6"/>
      <c r="L95" s="6"/>
      <c r="M95" s="6"/>
      <c r="N95" s="6"/>
      <c r="O95" s="6"/>
      <c r="P95" s="6"/>
    </row>
    <row r="96" spans="2:16" x14ac:dyDescent="0.2">
      <c r="B96" s="6"/>
      <c r="C96" s="6"/>
      <c r="D96" s="6"/>
      <c r="E96" s="6"/>
      <c r="F96" s="6"/>
      <c r="G96" s="6"/>
      <c r="H96" s="6"/>
      <c r="J96" s="6"/>
      <c r="K96" s="6"/>
      <c r="L96" s="6"/>
      <c r="M96" s="6"/>
      <c r="N96" s="6"/>
      <c r="O96" s="6"/>
      <c r="P96" s="6"/>
    </row>
    <row r="97" spans="2:16" x14ac:dyDescent="0.2">
      <c r="B97" s="6"/>
      <c r="C97" s="6"/>
      <c r="D97" s="6"/>
      <c r="E97" s="6"/>
      <c r="F97" s="6"/>
      <c r="G97" s="6"/>
      <c r="H97" s="6"/>
      <c r="J97" s="6"/>
      <c r="K97" s="6"/>
      <c r="L97" s="6"/>
      <c r="M97" s="6"/>
      <c r="N97" s="6"/>
      <c r="O97" s="6"/>
      <c r="P97" s="6"/>
    </row>
    <row r="98" spans="2:16" x14ac:dyDescent="0.2">
      <c r="B98" s="6"/>
      <c r="C98" s="6"/>
      <c r="D98" s="6"/>
      <c r="E98" s="6"/>
      <c r="F98" s="6"/>
      <c r="G98" s="6"/>
      <c r="H98" s="6"/>
      <c r="J98" s="6"/>
      <c r="K98" s="6"/>
      <c r="L98" s="6"/>
      <c r="M98" s="6"/>
      <c r="N98" s="6"/>
      <c r="O98" s="6"/>
      <c r="P98" s="6"/>
    </row>
    <row r="99" spans="2:16" x14ac:dyDescent="0.2">
      <c r="B99" s="6"/>
      <c r="C99" s="6"/>
      <c r="D99" s="6"/>
      <c r="E99" s="6"/>
      <c r="F99" s="6"/>
      <c r="G99" s="6"/>
      <c r="H99" s="6"/>
      <c r="J99" s="6"/>
      <c r="K99" s="6"/>
      <c r="L99" s="6"/>
      <c r="M99" s="6"/>
      <c r="N99" s="6"/>
      <c r="O99" s="6"/>
      <c r="P99" s="6"/>
    </row>
    <row r="100" spans="2:16" x14ac:dyDescent="0.2">
      <c r="B100" s="6"/>
      <c r="C100" s="6"/>
      <c r="D100" s="6"/>
      <c r="E100" s="6"/>
      <c r="F100" s="6"/>
      <c r="G100" s="6"/>
      <c r="H100" s="6"/>
      <c r="J100" s="6"/>
      <c r="K100" s="6"/>
      <c r="L100" s="6"/>
      <c r="M100" s="6"/>
      <c r="N100" s="6"/>
      <c r="O100" s="6"/>
      <c r="P100" s="6"/>
    </row>
    <row r="101" spans="2:16" x14ac:dyDescent="0.2">
      <c r="B101" s="6"/>
      <c r="C101" s="6"/>
      <c r="D101" s="6"/>
      <c r="E101" s="6"/>
      <c r="F101" s="6"/>
      <c r="G101" s="6"/>
      <c r="H101" s="6"/>
      <c r="J101" s="6"/>
      <c r="K101" s="6"/>
      <c r="L101" s="6"/>
      <c r="M101" s="6"/>
      <c r="N101" s="6"/>
      <c r="O101" s="6"/>
      <c r="P101" s="6"/>
    </row>
    <row r="102" spans="2:16" x14ac:dyDescent="0.2">
      <c r="B102" s="6"/>
      <c r="C102" s="6"/>
      <c r="D102" s="6"/>
      <c r="E102" s="6"/>
      <c r="F102" s="6"/>
      <c r="G102" s="6"/>
      <c r="H102" s="6"/>
      <c r="J102" s="6"/>
      <c r="K102" s="6"/>
      <c r="L102" s="6"/>
      <c r="M102" s="6"/>
      <c r="N102" s="6"/>
      <c r="O102" s="6"/>
      <c r="P102" s="6"/>
    </row>
    <row r="103" spans="2:16" x14ac:dyDescent="0.2">
      <c r="B103" s="6"/>
      <c r="C103" s="6"/>
      <c r="D103" s="6"/>
      <c r="E103" s="6"/>
      <c r="F103" s="6"/>
      <c r="G103" s="6"/>
      <c r="H103" s="6"/>
      <c r="J103" s="6"/>
      <c r="K103" s="6"/>
      <c r="L103" s="6"/>
      <c r="M103" s="6"/>
      <c r="N103" s="6"/>
      <c r="O103" s="6"/>
      <c r="P103" s="6"/>
    </row>
    <row r="104" spans="2:16" x14ac:dyDescent="0.2">
      <c r="B104" s="6"/>
      <c r="C104" s="6"/>
      <c r="D104" s="6"/>
      <c r="E104" s="6"/>
      <c r="F104" s="6"/>
      <c r="G104" s="6"/>
      <c r="H104" s="6"/>
      <c r="J104" s="6"/>
      <c r="K104" s="6"/>
      <c r="L104" s="6"/>
      <c r="M104" s="6"/>
      <c r="N104" s="6"/>
      <c r="O104" s="6"/>
      <c r="P104" s="6"/>
    </row>
    <row r="105" spans="2:16" x14ac:dyDescent="0.2">
      <c r="B105" s="6"/>
      <c r="C105" s="6"/>
      <c r="D105" s="6"/>
      <c r="E105" s="6"/>
      <c r="F105" s="6"/>
      <c r="G105" s="6"/>
      <c r="H105" s="6"/>
      <c r="J105" s="6"/>
      <c r="K105" s="6"/>
      <c r="L105" s="6"/>
      <c r="M105" s="6"/>
      <c r="N105" s="6"/>
      <c r="O105" s="6"/>
      <c r="P105" s="6"/>
    </row>
    <row r="106" spans="2:16" x14ac:dyDescent="0.2">
      <c r="B106" s="6"/>
      <c r="C106" s="6"/>
      <c r="D106" s="6"/>
      <c r="E106" s="6"/>
      <c r="F106" s="6"/>
      <c r="G106" s="6"/>
      <c r="H106" s="6"/>
      <c r="J106" s="6"/>
      <c r="K106" s="6"/>
      <c r="L106" s="6"/>
      <c r="M106" s="6"/>
      <c r="N106" s="6"/>
      <c r="O106" s="6"/>
      <c r="P106" s="6"/>
    </row>
    <row r="107" spans="2:16" x14ac:dyDescent="0.2">
      <c r="B107" s="6"/>
      <c r="C107" s="6"/>
      <c r="D107" s="6"/>
      <c r="E107" s="6"/>
      <c r="F107" s="6"/>
      <c r="G107" s="6"/>
      <c r="H107" s="6"/>
      <c r="J107" s="6"/>
      <c r="K107" s="6"/>
      <c r="L107" s="6"/>
      <c r="M107" s="6"/>
      <c r="N107" s="6"/>
      <c r="O107" s="6"/>
      <c r="P107" s="6"/>
    </row>
    <row r="108" spans="2:16" x14ac:dyDescent="0.2">
      <c r="B108" s="6"/>
      <c r="C108" s="6"/>
      <c r="D108" s="6"/>
      <c r="E108" s="6"/>
      <c r="F108" s="6"/>
      <c r="G108" s="6"/>
      <c r="H108" s="6"/>
      <c r="J108" s="6"/>
      <c r="K108" s="6"/>
      <c r="L108" s="6"/>
      <c r="M108" s="6"/>
      <c r="N108" s="6"/>
      <c r="O108" s="6"/>
      <c r="P108" s="6"/>
    </row>
    <row r="109" spans="2:16" x14ac:dyDescent="0.2">
      <c r="B109" s="6"/>
      <c r="C109" s="6"/>
      <c r="D109" s="6"/>
      <c r="E109" s="6"/>
      <c r="F109" s="6"/>
      <c r="G109" s="6"/>
      <c r="H109" s="6"/>
      <c r="J109" s="6"/>
      <c r="K109" s="6"/>
      <c r="L109" s="6"/>
      <c r="M109" s="6"/>
      <c r="N109" s="6"/>
      <c r="O109" s="6"/>
      <c r="P109" s="6"/>
    </row>
    <row r="110" spans="2:16" x14ac:dyDescent="0.2">
      <c r="B110" s="6"/>
      <c r="C110" s="6"/>
      <c r="D110" s="6"/>
      <c r="E110" s="6"/>
      <c r="F110" s="6"/>
      <c r="G110" s="6"/>
      <c r="H110" s="6"/>
      <c r="J110" s="6"/>
      <c r="K110" s="6"/>
      <c r="L110" s="6"/>
      <c r="M110" s="6"/>
      <c r="N110" s="6"/>
      <c r="O110" s="6"/>
      <c r="P110" s="6"/>
    </row>
    <row r="111" spans="2:16" x14ac:dyDescent="0.2">
      <c r="B111" s="6"/>
      <c r="C111" s="6"/>
      <c r="D111" s="6"/>
      <c r="E111" s="6"/>
      <c r="F111" s="6"/>
      <c r="G111" s="6"/>
      <c r="H111" s="6"/>
      <c r="J111" s="6"/>
      <c r="K111" s="6"/>
      <c r="L111" s="6"/>
      <c r="M111" s="6"/>
      <c r="N111" s="6"/>
      <c r="O111" s="6"/>
      <c r="P111" s="6"/>
    </row>
    <row r="112" spans="2:16" x14ac:dyDescent="0.2">
      <c r="B112" s="6"/>
      <c r="C112" s="6"/>
      <c r="D112" s="6"/>
      <c r="E112" s="6"/>
      <c r="F112" s="6"/>
      <c r="G112" s="6"/>
      <c r="H112" s="6"/>
      <c r="J112" s="6"/>
      <c r="K112" s="6"/>
      <c r="L112" s="6"/>
      <c r="M112" s="6"/>
      <c r="N112" s="6"/>
      <c r="O112" s="6"/>
      <c r="P112" s="6"/>
    </row>
    <row r="113" spans="2:16" x14ac:dyDescent="0.2">
      <c r="B113" s="6"/>
      <c r="C113" s="6"/>
      <c r="D113" s="6"/>
      <c r="E113" s="6"/>
      <c r="F113" s="6"/>
      <c r="G113" s="6"/>
      <c r="H113" s="6"/>
      <c r="J113" s="6"/>
      <c r="K113" s="6"/>
      <c r="L113" s="6"/>
      <c r="M113" s="6"/>
      <c r="N113" s="6"/>
      <c r="O113" s="6"/>
      <c r="P113" s="6"/>
    </row>
    <row r="114" spans="2:16" x14ac:dyDescent="0.2">
      <c r="B114" s="6"/>
      <c r="C114" s="6"/>
      <c r="D114" s="6"/>
      <c r="E114" s="6"/>
      <c r="F114" s="6"/>
      <c r="G114" s="6"/>
      <c r="H114" s="6"/>
      <c r="J114" s="6"/>
      <c r="K114" s="6"/>
      <c r="L114" s="6"/>
      <c r="M114" s="6"/>
      <c r="N114" s="6"/>
      <c r="O114" s="6"/>
      <c r="P114" s="6"/>
    </row>
    <row r="115" spans="2:16" x14ac:dyDescent="0.2">
      <c r="B115" s="6"/>
      <c r="C115" s="6"/>
      <c r="D115" s="6"/>
      <c r="E115" s="6"/>
      <c r="F115" s="6"/>
      <c r="G115" s="6"/>
      <c r="H115" s="6"/>
      <c r="J115" s="6"/>
      <c r="K115" s="6"/>
      <c r="L115" s="6"/>
      <c r="M115" s="6"/>
      <c r="N115" s="6"/>
      <c r="O115" s="6"/>
      <c r="P115" s="6"/>
    </row>
    <row r="116" spans="2:16" x14ac:dyDescent="0.2">
      <c r="B116" s="6"/>
      <c r="C116" s="6"/>
      <c r="D116" s="6"/>
      <c r="E116" s="6"/>
      <c r="F116" s="6"/>
      <c r="G116" s="6"/>
      <c r="H116" s="6"/>
      <c r="J116" s="6"/>
      <c r="K116" s="6"/>
      <c r="L116" s="6"/>
      <c r="M116" s="6"/>
      <c r="N116" s="6"/>
      <c r="O116" s="6"/>
      <c r="P116" s="6"/>
    </row>
    <row r="117" spans="2:16" x14ac:dyDescent="0.2">
      <c r="B117" s="6"/>
      <c r="C117" s="6"/>
      <c r="D117" s="6"/>
      <c r="E117" s="6"/>
      <c r="F117" s="6"/>
      <c r="G117" s="6"/>
      <c r="H117" s="6"/>
      <c r="J117" s="6"/>
      <c r="K117" s="6"/>
      <c r="L117" s="6"/>
      <c r="M117" s="6"/>
      <c r="N117" s="6"/>
      <c r="O117" s="6"/>
      <c r="P117" s="6"/>
    </row>
    <row r="118" spans="2:16" x14ac:dyDescent="0.2">
      <c r="B118" s="6"/>
      <c r="C118" s="6"/>
      <c r="D118" s="6"/>
      <c r="E118" s="6"/>
      <c r="F118" s="6"/>
      <c r="G118" s="6"/>
      <c r="H118" s="6"/>
      <c r="J118" s="6"/>
      <c r="K118" s="6"/>
      <c r="L118" s="6"/>
      <c r="M118" s="6"/>
      <c r="N118" s="6"/>
      <c r="O118" s="6"/>
      <c r="P118" s="6"/>
    </row>
    <row r="119" spans="2:16" x14ac:dyDescent="0.2">
      <c r="B119" s="6"/>
      <c r="C119" s="6"/>
      <c r="D119" s="6"/>
      <c r="E119" s="6"/>
      <c r="F119" s="6"/>
      <c r="G119" s="6"/>
      <c r="H119" s="6"/>
      <c r="J119" s="6"/>
      <c r="K119" s="6"/>
      <c r="L119" s="6"/>
      <c r="M119" s="6"/>
      <c r="N119" s="6"/>
      <c r="O119" s="6"/>
      <c r="P119" s="6"/>
    </row>
    <row r="120" spans="2:16" x14ac:dyDescent="0.2">
      <c r="B120" s="6"/>
      <c r="C120" s="6"/>
      <c r="D120" s="6"/>
      <c r="E120" s="6"/>
      <c r="F120" s="6"/>
      <c r="G120" s="6"/>
      <c r="H120" s="6"/>
      <c r="J120" s="6"/>
      <c r="K120" s="6"/>
      <c r="L120" s="6"/>
      <c r="M120" s="6"/>
      <c r="N120" s="6"/>
      <c r="O120" s="6"/>
      <c r="P120" s="6"/>
    </row>
    <row r="121" spans="2:16" x14ac:dyDescent="0.2">
      <c r="B121" s="6"/>
      <c r="C121" s="6"/>
      <c r="D121" s="6"/>
      <c r="E121" s="6"/>
      <c r="F121" s="6"/>
      <c r="G121" s="6"/>
      <c r="H121" s="6"/>
      <c r="J121" s="6"/>
      <c r="K121" s="6"/>
      <c r="L121" s="6"/>
      <c r="M121" s="6"/>
      <c r="N121" s="6"/>
      <c r="O121" s="6"/>
      <c r="P121" s="6"/>
    </row>
    <row r="122" spans="2:16" x14ac:dyDescent="0.2">
      <c r="B122" s="6"/>
      <c r="C122" s="6"/>
      <c r="D122" s="6"/>
      <c r="E122" s="6"/>
      <c r="F122" s="6"/>
      <c r="G122" s="6"/>
      <c r="H122" s="6"/>
      <c r="J122" s="6"/>
      <c r="K122" s="6"/>
      <c r="L122" s="6"/>
      <c r="M122" s="6"/>
      <c r="N122" s="6"/>
      <c r="O122" s="6"/>
      <c r="P122" s="6"/>
    </row>
    <row r="123" spans="2:16" x14ac:dyDescent="0.2">
      <c r="B123" s="6"/>
      <c r="C123" s="6"/>
      <c r="D123" s="6"/>
      <c r="E123" s="6"/>
      <c r="F123" s="6"/>
      <c r="G123" s="6"/>
      <c r="H123" s="6"/>
      <c r="J123" s="6"/>
      <c r="K123" s="6"/>
      <c r="L123" s="6"/>
      <c r="M123" s="6"/>
      <c r="N123" s="6"/>
      <c r="O123" s="6"/>
      <c r="P123" s="6"/>
    </row>
    <row r="124" spans="2:16" x14ac:dyDescent="0.2">
      <c r="B124" s="6"/>
      <c r="C124" s="6"/>
      <c r="D124" s="6"/>
      <c r="E124" s="6"/>
      <c r="F124" s="6"/>
      <c r="G124" s="6"/>
      <c r="H124" s="6"/>
      <c r="J124" s="6"/>
      <c r="K124" s="6"/>
      <c r="L124" s="6"/>
      <c r="M124" s="6"/>
      <c r="N124" s="6"/>
      <c r="O124" s="6"/>
      <c r="P124" s="6"/>
    </row>
    <row r="125" spans="2:16" x14ac:dyDescent="0.2">
      <c r="B125" s="6"/>
      <c r="C125" s="6"/>
      <c r="D125" s="6"/>
      <c r="E125" s="6"/>
      <c r="F125" s="6"/>
      <c r="G125" s="6"/>
      <c r="H125" s="6"/>
      <c r="J125" s="6"/>
      <c r="K125" s="6"/>
      <c r="L125" s="6"/>
      <c r="M125" s="6"/>
      <c r="N125" s="6"/>
      <c r="O125" s="6"/>
      <c r="P125" s="6"/>
    </row>
    <row r="126" spans="2:16" x14ac:dyDescent="0.2">
      <c r="B126" s="6"/>
      <c r="C126" s="6"/>
      <c r="D126" s="6"/>
      <c r="E126" s="6"/>
      <c r="F126" s="6"/>
      <c r="G126" s="6"/>
      <c r="H126" s="6"/>
      <c r="J126" s="6"/>
      <c r="K126" s="6"/>
      <c r="L126" s="6"/>
      <c r="M126" s="6"/>
      <c r="N126" s="6"/>
      <c r="O126" s="6"/>
      <c r="P126" s="6"/>
    </row>
    <row r="127" spans="2:16" x14ac:dyDescent="0.2">
      <c r="B127" s="6"/>
      <c r="C127" s="6"/>
      <c r="D127" s="6"/>
      <c r="E127" s="6"/>
      <c r="F127" s="6"/>
      <c r="G127" s="6"/>
      <c r="H127" s="6"/>
      <c r="J127" s="6"/>
      <c r="K127" s="6"/>
      <c r="L127" s="6"/>
      <c r="M127" s="6"/>
      <c r="N127" s="6"/>
      <c r="O127" s="6"/>
      <c r="P127" s="6"/>
    </row>
    <row r="128" spans="2:16" x14ac:dyDescent="0.2">
      <c r="B128" s="6"/>
      <c r="C128" s="6"/>
      <c r="D128" s="6"/>
      <c r="E128" s="6"/>
      <c r="F128" s="6"/>
      <c r="G128" s="6"/>
      <c r="H128" s="6"/>
      <c r="J128" s="6"/>
      <c r="K128" s="6"/>
      <c r="L128" s="6"/>
      <c r="M128" s="6"/>
      <c r="N128" s="6"/>
      <c r="O128" s="6"/>
      <c r="P128" s="6"/>
    </row>
    <row r="129" spans="2:16" x14ac:dyDescent="0.2">
      <c r="B129" s="6"/>
      <c r="C129" s="6"/>
      <c r="D129" s="6"/>
      <c r="E129" s="6"/>
      <c r="F129" s="6"/>
      <c r="G129" s="6"/>
      <c r="H129" s="6"/>
      <c r="J129" s="6"/>
      <c r="K129" s="6"/>
      <c r="L129" s="6"/>
      <c r="M129" s="6"/>
      <c r="N129" s="6"/>
      <c r="O129" s="6"/>
      <c r="P129" s="6"/>
    </row>
    <row r="130" spans="2:16" x14ac:dyDescent="0.2">
      <c r="B130" s="6"/>
      <c r="C130" s="6"/>
      <c r="D130" s="6"/>
      <c r="E130" s="6"/>
      <c r="F130" s="6"/>
      <c r="G130" s="6"/>
      <c r="H130" s="6"/>
      <c r="J130" s="6"/>
      <c r="K130" s="6"/>
      <c r="L130" s="6"/>
      <c r="M130" s="6"/>
      <c r="N130" s="6"/>
      <c r="O130" s="6"/>
      <c r="P130" s="6"/>
    </row>
    <row r="131" spans="2:16" x14ac:dyDescent="0.2">
      <c r="B131" s="6"/>
      <c r="C131" s="6"/>
      <c r="D131" s="6"/>
      <c r="E131" s="6"/>
      <c r="F131" s="6"/>
      <c r="G131" s="6"/>
      <c r="H131" s="6"/>
      <c r="J131" s="6"/>
      <c r="K131" s="6"/>
      <c r="L131" s="6"/>
      <c r="M131" s="6"/>
      <c r="N131" s="6"/>
      <c r="O131" s="6"/>
      <c r="P131" s="6"/>
    </row>
    <row r="132" spans="2:16" x14ac:dyDescent="0.2">
      <c r="B132" s="6"/>
      <c r="C132" s="6"/>
      <c r="D132" s="6"/>
      <c r="E132" s="6"/>
      <c r="F132" s="6"/>
      <c r="G132" s="6"/>
      <c r="H132" s="6"/>
      <c r="J132" s="6"/>
      <c r="K132" s="6"/>
      <c r="L132" s="6"/>
      <c r="M132" s="6"/>
      <c r="N132" s="6"/>
      <c r="O132" s="6"/>
      <c r="P132" s="6"/>
    </row>
    <row r="133" spans="2:16" x14ac:dyDescent="0.2">
      <c r="B133" s="6"/>
      <c r="C133" s="6"/>
      <c r="D133" s="6"/>
      <c r="E133" s="6"/>
      <c r="F133" s="6"/>
      <c r="G133" s="6"/>
      <c r="H133" s="6"/>
      <c r="J133" s="6"/>
      <c r="K133" s="6"/>
      <c r="L133" s="6"/>
      <c r="M133" s="6"/>
      <c r="N133" s="6"/>
      <c r="O133" s="6"/>
      <c r="P133" s="6"/>
    </row>
    <row r="134" spans="2:16" x14ac:dyDescent="0.2">
      <c r="B134" s="6"/>
      <c r="C134" s="6"/>
      <c r="D134" s="6"/>
      <c r="E134" s="6"/>
      <c r="F134" s="6"/>
      <c r="G134" s="6"/>
      <c r="H134" s="6"/>
      <c r="J134" s="6"/>
      <c r="K134" s="6"/>
      <c r="L134" s="6"/>
      <c r="M134" s="6"/>
      <c r="N134" s="6"/>
      <c r="O134" s="6"/>
      <c r="P134" s="6"/>
    </row>
    <row r="135" spans="2:16" x14ac:dyDescent="0.2">
      <c r="B135" s="6"/>
      <c r="C135" s="6"/>
      <c r="D135" s="6"/>
      <c r="E135" s="6"/>
      <c r="F135" s="6"/>
      <c r="G135" s="6"/>
      <c r="H135" s="6"/>
      <c r="J135" s="6"/>
      <c r="K135" s="6"/>
      <c r="L135" s="6"/>
      <c r="M135" s="6"/>
      <c r="N135" s="6"/>
      <c r="O135" s="6"/>
      <c r="P135" s="6"/>
    </row>
  </sheetData>
  <sheetProtection selectLockedCells="1" selectUnlockedCells="1"/>
  <pageMargins left="0.78749999999999998" right="0.78749999999999998" top="1.05277777777778" bottom="1.05277777777778" header="0.78749999999999998" footer="0.78749999999999998"/>
  <pageSetup paperSize="8" scale="71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G36"/>
  <sheetViews>
    <sheetView topLeftCell="A16" workbookViewId="0">
      <selection activeCell="G36" sqref="G36"/>
    </sheetView>
  </sheetViews>
  <sheetFormatPr defaultColWidth="11.5703125" defaultRowHeight="12.75" x14ac:dyDescent="0.2"/>
  <sheetData>
    <row r="5" spans="5:7" x14ac:dyDescent="0.2">
      <c r="E5" s="14">
        <v>13249</v>
      </c>
      <c r="F5" s="14">
        <v>371996.25</v>
      </c>
      <c r="G5">
        <f>F5/E5</f>
        <v>28.077307721337458</v>
      </c>
    </row>
    <row r="6" spans="5:7" x14ac:dyDescent="0.2">
      <c r="E6" s="14">
        <v>13747</v>
      </c>
      <c r="F6" s="14">
        <v>429551.25</v>
      </c>
      <c r="G6">
        <f t="shared" ref="G6:G36" si="0">F6/E6</f>
        <v>31.246908416381757</v>
      </c>
    </row>
    <row r="7" spans="5:7" x14ac:dyDescent="0.2">
      <c r="E7" s="14">
        <v>13259</v>
      </c>
      <c r="F7" s="14">
        <v>395658.75</v>
      </c>
      <c r="G7">
        <f t="shared" si="0"/>
        <v>29.840768534580285</v>
      </c>
    </row>
    <row r="8" spans="5:7" x14ac:dyDescent="0.2">
      <c r="E8" s="14">
        <v>15182</v>
      </c>
      <c r="F8" s="14">
        <v>405401.25</v>
      </c>
      <c r="G8">
        <f t="shared" si="0"/>
        <v>26.702756553813728</v>
      </c>
    </row>
    <row r="9" spans="5:7" x14ac:dyDescent="0.2">
      <c r="E9" s="14">
        <v>14347</v>
      </c>
      <c r="F9" s="14">
        <v>546101.25</v>
      </c>
      <c r="G9">
        <f t="shared" si="0"/>
        <v>38.063793824492926</v>
      </c>
    </row>
    <row r="10" spans="5:7" x14ac:dyDescent="0.2">
      <c r="E10" s="14">
        <v>13618</v>
      </c>
      <c r="F10" s="14">
        <v>275505</v>
      </c>
      <c r="G10">
        <f t="shared" si="0"/>
        <v>20.230944338375679</v>
      </c>
    </row>
    <row r="11" spans="5:7" x14ac:dyDescent="0.2">
      <c r="E11" s="14">
        <v>14872</v>
      </c>
      <c r="F11" s="14">
        <v>288645</v>
      </c>
      <c r="G11">
        <f t="shared" si="0"/>
        <v>19.408620225927919</v>
      </c>
    </row>
    <row r="12" spans="5:7" x14ac:dyDescent="0.2">
      <c r="E12" s="14">
        <v>14259</v>
      </c>
      <c r="F12" s="14">
        <v>267783.75</v>
      </c>
      <c r="G12">
        <f t="shared" si="0"/>
        <v>18.779981064590785</v>
      </c>
    </row>
    <row r="13" spans="5:7" x14ac:dyDescent="0.2">
      <c r="E13" s="14">
        <v>12130</v>
      </c>
      <c r="F13" s="14">
        <v>271612.5</v>
      </c>
      <c r="G13">
        <f t="shared" si="0"/>
        <v>22.391797197032151</v>
      </c>
    </row>
    <row r="14" spans="5:7" x14ac:dyDescent="0.2">
      <c r="E14" s="14">
        <v>11427</v>
      </c>
      <c r="F14" s="14">
        <v>225945</v>
      </c>
      <c r="G14">
        <f t="shared" si="0"/>
        <v>19.772906274612758</v>
      </c>
    </row>
    <row r="15" spans="5:7" x14ac:dyDescent="0.2">
      <c r="E15" s="14">
        <v>11891</v>
      </c>
      <c r="F15" s="14">
        <v>242028.75</v>
      </c>
      <c r="G15">
        <f t="shared" si="0"/>
        <v>20.353944159448321</v>
      </c>
    </row>
    <row r="16" spans="5:7" x14ac:dyDescent="0.2">
      <c r="E16" s="14">
        <v>13590</v>
      </c>
      <c r="F16" s="14">
        <v>299025</v>
      </c>
      <c r="G16">
        <f t="shared" si="0"/>
        <v>22.003311258278146</v>
      </c>
    </row>
    <row r="17" spans="5:7" x14ac:dyDescent="0.2">
      <c r="E17" s="14">
        <v>13080</v>
      </c>
      <c r="F17" s="14">
        <v>367143.75</v>
      </c>
      <c r="G17">
        <f t="shared" si="0"/>
        <v>28.069094036697248</v>
      </c>
    </row>
    <row r="18" spans="5:7" x14ac:dyDescent="0.2">
      <c r="E18" s="14">
        <v>13057</v>
      </c>
      <c r="F18" s="14">
        <v>400807.5</v>
      </c>
      <c r="G18">
        <f t="shared" si="0"/>
        <v>30.69675269970131</v>
      </c>
    </row>
    <row r="19" spans="5:7" x14ac:dyDescent="0.2">
      <c r="E19" s="14">
        <v>12577</v>
      </c>
      <c r="F19" s="14">
        <v>263163.75</v>
      </c>
      <c r="G19">
        <f t="shared" si="0"/>
        <v>20.924206885584798</v>
      </c>
    </row>
    <row r="20" spans="5:7" x14ac:dyDescent="0.2">
      <c r="E20" s="14">
        <v>14264</v>
      </c>
      <c r="F20" s="14">
        <v>337833.75</v>
      </c>
      <c r="G20">
        <f t="shared" si="0"/>
        <v>23.684362731351655</v>
      </c>
    </row>
    <row r="21" spans="5:7" x14ac:dyDescent="0.2">
      <c r="E21" s="14">
        <v>13595</v>
      </c>
      <c r="F21" s="14">
        <v>344606.25</v>
      </c>
      <c r="G21">
        <f t="shared" si="0"/>
        <v>25.348013975726371</v>
      </c>
    </row>
    <row r="22" spans="5:7" x14ac:dyDescent="0.2">
      <c r="E22" s="14">
        <v>14229</v>
      </c>
      <c r="F22" s="14">
        <v>307327.5</v>
      </c>
      <c r="G22">
        <f t="shared" si="0"/>
        <v>21.598671726755217</v>
      </c>
    </row>
    <row r="23" spans="5:7" x14ac:dyDescent="0.2">
      <c r="E23" s="14">
        <v>14723</v>
      </c>
      <c r="F23" s="14">
        <v>315930</v>
      </c>
      <c r="G23">
        <f t="shared" si="0"/>
        <v>21.458262582354141</v>
      </c>
    </row>
    <row r="24" spans="5:7" x14ac:dyDescent="0.2">
      <c r="E24" s="14">
        <v>15469</v>
      </c>
      <c r="F24" s="14">
        <v>452883.75</v>
      </c>
      <c r="G24">
        <f t="shared" si="0"/>
        <v>29.276860171956816</v>
      </c>
    </row>
    <row r="25" spans="5:7" x14ac:dyDescent="0.2">
      <c r="E25" s="14">
        <v>13583</v>
      </c>
      <c r="F25" s="14">
        <v>379998.75</v>
      </c>
      <c r="G25">
        <f t="shared" si="0"/>
        <v>27.976054627107413</v>
      </c>
    </row>
    <row r="26" spans="5:7" x14ac:dyDescent="0.2">
      <c r="E26" s="14">
        <v>14039</v>
      </c>
      <c r="F26" s="14">
        <v>363146.25</v>
      </c>
      <c r="G26">
        <f t="shared" si="0"/>
        <v>25.866959897428593</v>
      </c>
    </row>
    <row r="27" spans="5:7" x14ac:dyDescent="0.2">
      <c r="E27" s="14">
        <v>11964</v>
      </c>
      <c r="F27" s="14">
        <v>306427.5</v>
      </c>
      <c r="G27">
        <f t="shared" si="0"/>
        <v>25.612462387161486</v>
      </c>
    </row>
    <row r="28" spans="5:7" x14ac:dyDescent="0.2">
      <c r="E28" s="14">
        <v>14296</v>
      </c>
      <c r="F28" s="14">
        <v>355672.5</v>
      </c>
      <c r="G28">
        <f t="shared" si="0"/>
        <v>24.879162003357582</v>
      </c>
    </row>
    <row r="29" spans="5:7" x14ac:dyDescent="0.2">
      <c r="E29" s="14">
        <v>15684</v>
      </c>
      <c r="F29" s="14">
        <v>392940</v>
      </c>
      <c r="G29">
        <f t="shared" si="0"/>
        <v>25.053557765876054</v>
      </c>
    </row>
    <row r="30" spans="5:7" x14ac:dyDescent="0.2">
      <c r="E30" s="14">
        <v>15077</v>
      </c>
      <c r="F30" s="14">
        <v>422726.25</v>
      </c>
      <c r="G30">
        <f t="shared" si="0"/>
        <v>28.037822511109638</v>
      </c>
    </row>
    <row r="31" spans="5:7" x14ac:dyDescent="0.2">
      <c r="E31" s="14">
        <v>15284</v>
      </c>
      <c r="F31" s="14">
        <v>426033.75</v>
      </c>
      <c r="G31">
        <f t="shared" si="0"/>
        <v>27.874492933786968</v>
      </c>
    </row>
    <row r="32" spans="5:7" x14ac:dyDescent="0.2">
      <c r="E32" s="14">
        <v>13712</v>
      </c>
      <c r="F32" s="14">
        <v>326482.5</v>
      </c>
      <c r="G32">
        <f t="shared" si="0"/>
        <v>23.809983955659277</v>
      </c>
    </row>
    <row r="33" spans="5:7" x14ac:dyDescent="0.2">
      <c r="E33" s="14">
        <v>11153</v>
      </c>
      <c r="F33" s="14">
        <v>169230</v>
      </c>
      <c r="G33">
        <f t="shared" si="0"/>
        <v>15.173495920380168</v>
      </c>
    </row>
    <row r="34" spans="5:7" x14ac:dyDescent="0.2">
      <c r="E34" s="14">
        <v>9110</v>
      </c>
      <c r="F34" s="14">
        <v>135412.5</v>
      </c>
      <c r="G34">
        <f t="shared" si="0"/>
        <v>14.864160263446761</v>
      </c>
    </row>
    <row r="35" spans="5:7" x14ac:dyDescent="0.2">
      <c r="E35" s="14">
        <v>12934</v>
      </c>
      <c r="F35" s="14">
        <v>247627.5</v>
      </c>
      <c r="G35">
        <f t="shared" si="0"/>
        <v>19.145469305705891</v>
      </c>
    </row>
    <row r="36" spans="5:7" x14ac:dyDescent="0.2">
      <c r="E36" s="14">
        <v>11734</v>
      </c>
      <c r="F36" s="14">
        <v>253252.5</v>
      </c>
      <c r="G36">
        <f t="shared" si="0"/>
        <v>21.582793591273223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6f2bc90f9099878a6eb052c61ad8ac86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038fe3330a7d5d212cff16332f823262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F1C16-84F6-4F54-8AEE-7576C6B8C5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EBDC00-5C9A-4823-A195-DC9AB9754489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baf53ce-c784-4a12-8ee0-51f8f1a018ac"/>
    <ds:schemaRef ds:uri="eff43ebd-2a19-4bb7-a86e-e6d7ee257b8d"/>
  </ds:schemaRefs>
</ds:datastoreItem>
</file>

<file path=customXml/itemProps3.xml><?xml version="1.0" encoding="utf-8"?>
<ds:datastoreItem xmlns:ds="http://schemas.openxmlformats.org/officeDocument/2006/customXml" ds:itemID="{24866A5B-D369-4AB2-85F8-FA60599A27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Basim.Amish</cp:lastModifiedBy>
  <cp:revision/>
  <dcterms:created xsi:type="dcterms:W3CDTF">2016-09-19T10:41:46Z</dcterms:created>
  <dcterms:modified xsi:type="dcterms:W3CDTF">2022-01-04T09:04:13Z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