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00" yWindow="-90" windowWidth="14175" windowHeight="12060" tabRatio="579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V11" i="1"/>
  <c r="V12"/>
  <c r="V13"/>
  <c r="V14"/>
  <c r="V15"/>
  <c r="V16"/>
  <c r="V17"/>
  <c r="V18"/>
  <c r="V19"/>
  <c r="V20"/>
  <c r="S19" i="76"/>
  <c r="N19"/>
  <c r="M19"/>
  <c r="L19"/>
  <c r="B16" l="1"/>
  <c r="F14"/>
  <c r="F13"/>
  <c r="D17" i="2"/>
  <c r="Q9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D3" i="2" l="1"/>
  <c r="C15" i="77"/>
  <c r="C16"/>
  <c r="C17"/>
  <c r="C18"/>
  <c r="C19"/>
  <c r="C20"/>
  <c r="C14"/>
  <c r="H5" i="79" l="1"/>
  <c r="H6" s="1"/>
  <c r="H7" s="1"/>
  <c r="H8" s="1"/>
  <c r="H9" s="1"/>
  <c r="H12" s="1"/>
  <c r="H13" s="1"/>
  <c r="H14" s="1"/>
  <c r="H16" s="1"/>
  <c r="H17" s="1"/>
  <c r="H18" s="1"/>
  <c r="H19" s="1"/>
  <c r="H20" s="1"/>
  <c r="H21" s="1"/>
  <c r="H24" s="1"/>
  <c r="H26" s="1"/>
  <c r="H27" s="1"/>
  <c r="H28" s="1"/>
  <c r="H29" s="1"/>
  <c r="H31" s="1"/>
  <c r="H32" s="1"/>
  <c r="H33" s="1"/>
  <c r="H34" s="1"/>
  <c r="H35" s="1"/>
  <c r="H36" s="1"/>
  <c r="C5"/>
  <c r="D5"/>
  <c r="B5"/>
  <c r="A5"/>
  <c r="AB12" i="76"/>
  <c r="AC12"/>
  <c r="AB13"/>
  <c r="AB16"/>
  <c r="AC16"/>
  <c r="AB17"/>
  <c r="AB19"/>
  <c r="Y15"/>
  <c r="X15"/>
  <c r="W15"/>
  <c r="Z9"/>
  <c r="AA9"/>
  <c r="AB9"/>
  <c r="AC9"/>
  <c r="AD9"/>
  <c r="Z10"/>
  <c r="AA10"/>
  <c r="AB10"/>
  <c r="AC10"/>
  <c r="AD10"/>
  <c r="Z11"/>
  <c r="AA11"/>
  <c r="AB11"/>
  <c r="AC11"/>
  <c r="AD11"/>
  <c r="AE11"/>
  <c r="AF11"/>
  <c r="Y10"/>
  <c r="Y11"/>
  <c r="Y9"/>
  <c r="V10"/>
  <c r="W10"/>
  <c r="V11"/>
  <c r="W11"/>
  <c r="W9"/>
  <c r="V9"/>
  <c r="W13"/>
  <c r="C3"/>
  <c r="D3"/>
  <c r="E3"/>
  <c r="F3"/>
  <c r="F4" s="1"/>
  <c r="F5" s="1"/>
  <c r="F6" s="1"/>
  <c r="F8" s="1"/>
  <c r="F10" s="1"/>
  <c r="F11" s="1"/>
  <c r="F12" s="1"/>
  <c r="F15" s="1"/>
  <c r="F17" s="1"/>
  <c r="F18" s="1"/>
  <c r="F20" s="1"/>
  <c r="F21" s="1"/>
  <c r="F24" s="1"/>
  <c r="F25" s="1"/>
  <c r="F26" s="1"/>
  <c r="F27" s="1"/>
  <c r="F29" s="1"/>
  <c r="F30" s="1"/>
  <c r="F31" s="1"/>
  <c r="F32" s="1"/>
  <c r="F33" s="1"/>
  <c r="F34" s="1"/>
  <c r="G3"/>
  <c r="H3"/>
  <c r="H4" s="1"/>
  <c r="H5" s="1"/>
  <c r="H6" s="1"/>
  <c r="H8" s="1"/>
  <c r="H10" s="1"/>
  <c r="H11" s="1"/>
  <c r="H12" s="1"/>
  <c r="H14" s="1"/>
  <c r="H15" s="1"/>
  <c r="H16" s="1"/>
  <c r="H18" s="1"/>
  <c r="H21" s="1"/>
  <c r="H24" s="1"/>
  <c r="H25" s="1"/>
  <c r="H26" s="1"/>
  <c r="H27" s="1"/>
  <c r="H29" s="1"/>
  <c r="H30" s="1"/>
  <c r="H31" s="1"/>
  <c r="H32" s="1"/>
  <c r="H33" s="1"/>
  <c r="H34" s="1"/>
  <c r="I3"/>
  <c r="J3"/>
  <c r="J4" s="1"/>
  <c r="J5" s="1"/>
  <c r="J6" s="1"/>
  <c r="J8" s="1"/>
  <c r="J10" s="1"/>
  <c r="J11" s="1"/>
  <c r="J12" s="1"/>
  <c r="J14" s="1"/>
  <c r="J15" s="1"/>
  <c r="J16" s="1"/>
  <c r="J17" s="1"/>
  <c r="J18" s="1"/>
  <c r="J21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4" s="1"/>
  <c r="B5" s="1"/>
  <c r="B6" s="1"/>
  <c r="B8" s="1"/>
  <c r="B10" s="1"/>
  <c r="B11" s="1"/>
  <c r="B12" s="1"/>
  <c r="B14" s="1"/>
  <c r="B15" s="1"/>
  <c r="B18" s="1"/>
  <c r="B21" s="1"/>
  <c r="B24" s="1"/>
  <c r="B25" s="1"/>
  <c r="B26" s="1"/>
  <c r="B27" s="1"/>
  <c r="B29" s="1"/>
  <c r="B30" s="1"/>
  <c r="B31" s="1"/>
  <c r="B32" s="1"/>
  <c r="B33" s="1"/>
  <c r="B34" s="1"/>
  <c r="A3"/>
  <c r="AX5" i="7"/>
  <c r="AY5"/>
  <c r="AZ5"/>
  <c r="BA5"/>
  <c r="BB5"/>
  <c r="BC5"/>
  <c r="BD5"/>
  <c r="BE5"/>
  <c r="BF5"/>
  <c r="BG5"/>
  <c r="BH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R3" s="1"/>
  <c r="R4" s="1"/>
  <c r="R5" s="1"/>
  <c r="R6" s="1"/>
  <c r="R8" s="1"/>
  <c r="R9" s="1"/>
  <c r="R10" s="1"/>
  <c r="R14" s="1"/>
  <c r="R15" s="1"/>
  <c r="R16" s="1"/>
  <c r="R17" s="1"/>
  <c r="R21" s="1"/>
  <c r="R23" s="1"/>
  <c r="R24" s="1"/>
  <c r="R26" s="1"/>
  <c r="R28" s="1"/>
  <c r="R29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AL2"/>
  <c r="B2"/>
  <c r="B3" s="1"/>
  <c r="B4" s="1"/>
  <c r="B5" s="1"/>
  <c r="B9" s="1"/>
  <c r="B10" s="1"/>
  <c r="B14" s="1"/>
  <c r="B15" s="1"/>
  <c r="B17" s="1"/>
  <c r="B18" s="1"/>
  <c r="B19" s="1"/>
  <c r="B22" s="1"/>
  <c r="B23" s="1"/>
  <c r="B24" s="1"/>
  <c r="B28" s="1"/>
  <c r="B29" s="1"/>
  <c r="B30" s="1"/>
  <c r="B31" s="1"/>
  <c r="B32" s="1"/>
  <c r="B33" s="1"/>
  <c r="A2"/>
  <c r="AT5" i="5"/>
  <c r="AT6" s="1"/>
  <c r="AT7" s="1"/>
  <c r="AT8" s="1"/>
  <c r="AT10" s="1"/>
  <c r="AT11" s="1"/>
  <c r="AT12" s="1"/>
  <c r="AT13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8" s="1"/>
  <c r="AV12" s="1"/>
  <c r="AV13" s="1"/>
  <c r="AV14" s="1"/>
  <c r="AV17" s="1"/>
  <c r="AV18" s="1"/>
  <c r="AV19" s="1"/>
  <c r="AV20" s="1"/>
  <c r="AV21" s="1"/>
  <c r="AV24" s="1"/>
  <c r="AV25" s="1"/>
  <c r="AV26" s="1"/>
  <c r="AV27" s="1"/>
  <c r="AV29" s="1"/>
  <c r="AV30" s="1"/>
  <c r="AV31" s="1"/>
  <c r="AV32" s="1"/>
  <c r="AV33" s="1"/>
  <c r="AV34" s="1"/>
  <c r="AV35" s="1"/>
  <c r="AV36" s="1"/>
  <c r="AW5"/>
  <c r="AX5"/>
  <c r="AX6" s="1"/>
  <c r="AX7" s="1"/>
  <c r="AX8" s="1"/>
  <c r="AX12" s="1"/>
  <c r="AX13" s="1"/>
  <c r="AX17" s="1"/>
  <c r="AX19" s="1"/>
  <c r="AX20" s="1"/>
  <c r="AX26" s="1"/>
  <c r="AX27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H5" i="1"/>
  <c r="H6" s="1"/>
  <c r="H7" s="1"/>
  <c r="H9" s="1"/>
  <c r="H11" s="1"/>
  <c r="H12" s="1"/>
  <c r="H16" s="1"/>
  <c r="H18" s="1"/>
  <c r="H19" s="1"/>
  <c r="H25" s="1"/>
  <c r="H26" s="1"/>
  <c r="H30" s="1"/>
  <c r="H31" s="1"/>
  <c r="H32" s="1"/>
  <c r="H33" s="1"/>
  <c r="H34" s="1"/>
  <c r="H35" s="1"/>
  <c r="C4"/>
  <c r="C5" s="1"/>
  <c r="C6" s="1"/>
  <c r="C7" s="1"/>
  <c r="C11" s="1"/>
  <c r="C12" s="1"/>
  <c r="C16" s="1"/>
  <c r="C18" s="1"/>
  <c r="C19" s="1"/>
  <c r="C25" s="1"/>
  <c r="C26" s="1"/>
  <c r="C30" s="1"/>
  <c r="C31" s="1"/>
  <c r="C32" s="1"/>
  <c r="C33" s="1"/>
  <c r="C34" s="1"/>
  <c r="C35" s="1"/>
  <c r="D4"/>
  <c r="E4"/>
  <c r="F4"/>
  <c r="F5" s="1"/>
  <c r="F6" s="1"/>
  <c r="F7" s="1"/>
  <c r="F9" s="1"/>
  <c r="F11" s="1"/>
  <c r="F12" s="1"/>
  <c r="F16" s="1"/>
  <c r="F18" s="1"/>
  <c r="F19" s="1"/>
  <c r="F25" s="1"/>
  <c r="F26" s="1"/>
  <c r="F30" s="1"/>
  <c r="F31" s="1"/>
  <c r="F32" s="1"/>
  <c r="F33" s="1"/>
  <c r="F34" s="1"/>
  <c r="F35" s="1"/>
  <c r="G4"/>
  <c r="H4"/>
  <c r="I4"/>
  <c r="J4"/>
  <c r="K4"/>
  <c r="L4"/>
  <c r="M4"/>
  <c r="N4"/>
  <c r="O4"/>
  <c r="P4"/>
  <c r="Q4"/>
  <c r="R4"/>
  <c r="S4"/>
  <c r="T4"/>
  <c r="U4"/>
  <c r="V4"/>
  <c r="W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6" s="1"/>
  <c r="B7" s="1"/>
  <c r="B11" s="1"/>
  <c r="B12" s="1"/>
  <c r="B16" s="1"/>
  <c r="B18" s="1"/>
  <c r="B19" s="1"/>
  <c r="B25" s="1"/>
  <c r="B26" s="1"/>
  <c r="B30" s="1"/>
  <c r="B31" s="1"/>
  <c r="B32" s="1"/>
  <c r="B33" s="1"/>
  <c r="B34" s="1"/>
  <c r="B35" s="1"/>
  <c r="A4"/>
  <c r="K3" i="2"/>
  <c r="L3"/>
  <c r="L4" s="1"/>
  <c r="L5" s="1"/>
  <c r="L6" s="1"/>
  <c r="L10" s="1"/>
  <c r="L11" s="1"/>
  <c r="L15" s="1"/>
  <c r="L17" s="1"/>
  <c r="L18" s="1"/>
  <c r="L24" s="1"/>
  <c r="L25" s="1"/>
  <c r="L29" s="1"/>
  <c r="L30" s="1"/>
  <c r="L31" s="1"/>
  <c r="L32" s="1"/>
  <c r="L33" s="1"/>
  <c r="L34" s="1"/>
  <c r="M3"/>
  <c r="N3"/>
  <c r="O3"/>
  <c r="P3"/>
  <c r="P4" s="1"/>
  <c r="P5" s="1"/>
  <c r="P6" s="1"/>
  <c r="P7" s="1"/>
  <c r="P10" s="1"/>
  <c r="P11" s="1"/>
  <c r="P15" s="1"/>
  <c r="P17" s="1"/>
  <c r="P18" s="1"/>
  <c r="P24" s="1"/>
  <c r="P25" s="1"/>
  <c r="P29" s="1"/>
  <c r="P30" s="1"/>
  <c r="P31" s="1"/>
  <c r="P32" s="1"/>
  <c r="P33" s="1"/>
  <c r="P34" s="1"/>
  <c r="Q3"/>
  <c r="R3"/>
  <c r="S3"/>
  <c r="T3"/>
  <c r="U3"/>
  <c r="V3"/>
  <c r="W3"/>
  <c r="W4" s="1"/>
  <c r="W5" s="1"/>
  <c r="W6" s="1"/>
  <c r="W7" s="1"/>
  <c r="W9" s="1"/>
  <c r="W10" s="1"/>
  <c r="W11" s="1"/>
  <c r="W14" s="1"/>
  <c r="W15" s="1"/>
  <c r="W16" s="1"/>
  <c r="W17" s="1"/>
  <c r="W18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6" s="1"/>
  <c r="Y10" s="1"/>
  <c r="Y11" s="1"/>
  <c r="Y14" s="1"/>
  <c r="Y15" s="1"/>
  <c r="Y17" s="1"/>
  <c r="Y18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AC3"/>
  <c r="AD3"/>
  <c r="AE3"/>
  <c r="AF3"/>
  <c r="AG3"/>
  <c r="E3"/>
  <c r="F3"/>
  <c r="F4" s="1"/>
  <c r="F5" s="1"/>
  <c r="F6" s="1"/>
  <c r="F10" s="1"/>
  <c r="F11" s="1"/>
  <c r="F15" s="1"/>
  <c r="F17" s="1"/>
  <c r="F18" s="1"/>
  <c r="F24" s="1"/>
  <c r="F25" s="1"/>
  <c r="F29" s="1"/>
  <c r="F30" s="1"/>
  <c r="F31" s="1"/>
  <c r="F32" s="1"/>
  <c r="F33" s="1"/>
  <c r="F34" s="1"/>
  <c r="G3"/>
  <c r="H3"/>
  <c r="H4" s="1"/>
  <c r="H5" s="1"/>
  <c r="H6" s="1"/>
  <c r="H10" s="1"/>
  <c r="H11" s="1"/>
  <c r="H15" s="1"/>
  <c r="H17" s="1"/>
  <c r="H18" s="1"/>
  <c r="H24" s="1"/>
  <c r="H25" s="1"/>
  <c r="H29" s="1"/>
  <c r="H30" s="1"/>
  <c r="H31" s="1"/>
  <c r="H32" s="1"/>
  <c r="H33" s="1"/>
  <c r="H34" s="1"/>
  <c r="I3"/>
  <c r="J3"/>
  <c r="J4" s="1"/>
  <c r="J5" s="1"/>
  <c r="J6" s="1"/>
  <c r="J10" s="1"/>
  <c r="J11" s="1"/>
  <c r="J15" s="1"/>
  <c r="J17" s="1"/>
  <c r="J18" s="1"/>
  <c r="J24" s="1"/>
  <c r="J25" s="1"/>
  <c r="J29" s="1"/>
  <c r="J30" s="1"/>
  <c r="J31" s="1"/>
  <c r="J32" s="1"/>
  <c r="J33" s="1"/>
  <c r="J34" s="1"/>
  <c r="D4"/>
  <c r="D5" s="1"/>
  <c r="D6" s="1"/>
  <c r="D10" s="1"/>
  <c r="D11" s="1"/>
  <c r="D15" s="1"/>
  <c r="D18" s="1"/>
  <c r="D24" s="1"/>
  <c r="D25" s="1"/>
  <c r="D29" s="1"/>
  <c r="D30" s="1"/>
  <c r="D31" s="1"/>
  <c r="D32" s="1"/>
  <c r="D33" s="1"/>
  <c r="D34" s="1"/>
  <c r="C3"/>
  <c r="AA12" i="76" l="1"/>
  <c r="D10" i="74" l="1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V26" i="76"/>
  <c r="AF34" i="3" l="1"/>
  <c r="F37" i="5"/>
  <c r="AT37" i="7" l="1"/>
  <c r="BI5"/>
  <c r="E5" i="79"/>
  <c r="F5"/>
  <c r="G5"/>
  <c r="C24" i="3" l="1"/>
  <c r="W26" i="76"/>
  <c r="AA26" s="1"/>
  <c r="W27"/>
  <c r="X6" i="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K5" i="1"/>
  <c r="K6" s="1"/>
  <c r="K7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3" s="1"/>
  <c r="K25" s="1"/>
  <c r="M5"/>
  <c r="M6" s="1"/>
  <c r="M7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3" s="1"/>
  <c r="M25" s="1"/>
  <c r="M26" s="1"/>
  <c r="M28" s="1"/>
  <c r="M29" s="1"/>
  <c r="M30" s="1"/>
  <c r="M31" s="1"/>
  <c r="M32" s="1"/>
  <c r="M33" s="1"/>
  <c r="M34" s="1"/>
  <c r="M35" s="1"/>
  <c r="P5"/>
  <c r="P6" s="1"/>
  <c r="P7" s="1"/>
  <c r="P8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K26" l="1"/>
  <c r="K28" s="1"/>
  <c r="K29" s="1"/>
  <c r="K30" s="1"/>
  <c r="K31" s="1"/>
  <c r="K32" s="1"/>
  <c r="K33" s="1"/>
  <c r="K34" s="1"/>
  <c r="K35" s="1"/>
  <c r="L25"/>
  <c r="E6" i="2"/>
  <c r="W28" i="76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E19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V30" s="1"/>
  <c r="G30"/>
  <c r="J30" s="1"/>
  <c r="D30"/>
  <c r="E30" s="1"/>
  <c r="D25" i="73"/>
  <c r="D26"/>
  <c r="D27"/>
  <c r="D28"/>
  <c r="D29"/>
  <c r="D30"/>
  <c r="E26" i="2" l="1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B3"/>
  <c r="A3"/>
  <c r="E30" l="1"/>
  <c r="Y29" i="5"/>
  <c r="K21" i="2"/>
  <c r="N20"/>
  <c r="R20" s="1"/>
  <c r="G21"/>
  <c r="M21"/>
  <c r="AB21"/>
  <c r="Q21"/>
  <c r="I21"/>
  <c r="Z21"/>
  <c r="X21"/>
  <c r="Q6"/>
  <c r="K6" i="5"/>
  <c r="I36" i="79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E32" l="1"/>
  <c r="Y31" i="5"/>
  <c r="N22" i="2"/>
  <c r="R22" s="1"/>
  <c r="G23"/>
  <c r="X23"/>
  <c r="AB23"/>
  <c r="Q23"/>
  <c r="M23"/>
  <c r="I23"/>
  <c r="K23"/>
  <c r="Z23"/>
  <c r="Q11"/>
  <c r="I7" i="77"/>
  <c r="I12" s="1"/>
  <c r="E34" i="2" l="1"/>
  <c r="E33"/>
  <c r="Y32" i="5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V35" s="1"/>
  <c r="L35"/>
  <c r="U35" s="1"/>
  <c r="B16" i="7"/>
  <c r="H14" i="3" l="1"/>
  <c r="H15" s="1"/>
  <c r="H16" s="1"/>
  <c r="H17" s="1"/>
  <c r="H18" s="1"/>
  <c r="AL35" i="1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F36" i="7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3" i="1"/>
  <c r="V33" s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V23" s="1"/>
  <c r="G23"/>
  <c r="I25" i="3" l="1"/>
  <c r="R31" i="7"/>
  <c r="N34" i="1"/>
  <c r="V34" s="1"/>
  <c r="J23"/>
  <c r="J35" i="7"/>
  <c r="AL35"/>
  <c r="L34"/>
  <c r="P32"/>
  <c r="N33"/>
  <c r="D23" i="1"/>
  <c r="E23" s="1"/>
  <c r="I22"/>
  <c r="V22" s="1"/>
  <c r="I32" i="3" l="1"/>
  <c r="I31"/>
  <c r="L35" i="7"/>
  <c r="R32"/>
  <c r="P33"/>
  <c r="N34"/>
  <c r="R33" l="1"/>
  <c r="P34"/>
  <c r="N35"/>
  <c r="U24" i="5"/>
  <c r="R23" i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S81" i="74" l="1"/>
  <c r="R81"/>
  <c r="V10" i="1"/>
  <c r="V9"/>
  <c r="V7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AO36" i="7"/>
  <c r="AN36" s="1"/>
  <c r="Y36"/>
  <c r="T15" i="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O7" i="2"/>
  <c r="AI4" i="3"/>
  <c r="D6" i="65" s="1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AA15"/>
  <c r="AJ15"/>
  <c r="U16"/>
  <c r="R15" i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S20"/>
  <c r="I21"/>
  <c r="V21" s="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AC27" i="76" l="1"/>
  <c r="AC28"/>
  <c r="AC26"/>
  <c r="AC6" i="5"/>
  <c r="AC7" s="1"/>
  <c r="AE6"/>
  <c r="AG6"/>
  <c r="AC5" i="1"/>
  <c r="AE5"/>
  <c r="S4" i="2"/>
  <c r="U4"/>
  <c r="AC4"/>
  <c r="AC29" i="76" l="1"/>
  <c r="S5" i="2"/>
  <c r="T4"/>
  <c r="AD7" i="5"/>
  <c r="AC8"/>
  <c r="AF6"/>
  <c r="AE7"/>
  <c r="U5" i="2"/>
  <c r="V4"/>
  <c r="AD5" i="1"/>
  <c r="AC6"/>
  <c r="AH6" i="5"/>
  <c r="AG7"/>
  <c r="AD4" i="2"/>
  <c r="AC5"/>
  <c r="AE6" i="1"/>
  <c r="AF5"/>
  <c r="AH5" s="1"/>
  <c r="O30" i="76" l="1"/>
  <c r="P30" s="1"/>
  <c r="O19"/>
  <c r="P19" s="1"/>
  <c r="O31"/>
  <c r="P31" s="1"/>
  <c r="O14"/>
  <c r="P14" s="1"/>
  <c r="O12"/>
  <c r="P12" s="1"/>
  <c r="O11"/>
  <c r="P11" s="1"/>
  <c r="O20"/>
  <c r="P20" s="1"/>
  <c r="O25"/>
  <c r="P25" s="1"/>
  <c r="O23"/>
  <c r="P23" s="1"/>
  <c r="O27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B2" i="63" s="1"/>
  <c r="T5" i="2"/>
  <c r="S6"/>
  <c r="AI5" i="1"/>
  <c r="C5" i="65"/>
  <c r="E5" s="1"/>
  <c r="AD8" i="5"/>
  <c r="AC9"/>
  <c r="A2" i="63"/>
  <c r="AE4" i="2"/>
  <c r="AG4" s="1"/>
  <c r="AI6" i="5"/>
  <c r="AD6" i="1"/>
  <c r="AC7"/>
  <c r="AF7" i="5"/>
  <c r="AE8"/>
  <c r="AM5" i="1"/>
  <c r="F6" i="75" s="1"/>
  <c r="G6" s="1"/>
  <c r="AG5" i="1"/>
  <c r="AH7" i="5"/>
  <c r="AG8"/>
  <c r="AC6" i="2"/>
  <c r="AD5"/>
  <c r="AF6" i="1"/>
  <c r="AH6" s="1"/>
  <c r="AE7"/>
  <c r="V5" i="2"/>
  <c r="U6"/>
  <c r="P34" i="76" l="1"/>
  <c r="R34" s="1"/>
  <c r="T34" s="1"/>
  <c r="F32" i="81" s="1"/>
  <c r="H5" i="65"/>
  <c r="AB36" i="76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T7" s="1"/>
  <c r="F5" i="81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AG9" s="1"/>
  <c r="G6" i="81"/>
  <c r="AX10" i="7"/>
  <c r="AJ9" i="1"/>
  <c r="AK9" s="1"/>
  <c r="AD13" i="5"/>
  <c r="AC14"/>
  <c r="AI11"/>
  <c r="AE13"/>
  <c r="AF12"/>
  <c r="AF10" i="2" l="1"/>
  <c r="B8" i="63" s="1"/>
  <c r="AC12" i="2"/>
  <c r="AD11"/>
  <c r="T11"/>
  <c r="S12"/>
  <c r="AG14" i="5"/>
  <c r="AH13"/>
  <c r="AM11" i="1"/>
  <c r="F12" i="75" s="1"/>
  <c r="G12" s="1"/>
  <c r="AG11" i="1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I12" i="5"/>
  <c r="H11" i="65" l="1"/>
  <c r="AG10" i="2"/>
  <c r="AI13" i="5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G13" i="2" l="1"/>
  <c r="AF14"/>
  <c r="H15" i="65" s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AE18" i="5"/>
  <c r="AF17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I17" i="5" l="1"/>
  <c r="B12" i="63"/>
  <c r="AI16" i="1"/>
  <c r="AW17" i="7" s="1"/>
  <c r="C16" i="65"/>
  <c r="E16" s="1"/>
  <c r="Q13" i="76"/>
  <c r="R13" s="1"/>
  <c r="T13" s="1"/>
  <c r="F11" i="81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T14" s="1"/>
  <c r="F12" i="81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AX19" s="1"/>
  <c r="AY19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V19" i="2"/>
  <c r="U20"/>
  <c r="AM19" i="1"/>
  <c r="F20" i="75" s="1"/>
  <c r="G20" s="1"/>
  <c r="AG19" i="1"/>
  <c r="AD19" i="2"/>
  <c r="AC20"/>
  <c r="AI19" i="1"/>
  <c r="AW20" i="7" s="1"/>
  <c r="AX20" s="1"/>
  <c r="AY20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H22" i="5"/>
  <c r="AG23"/>
  <c r="V20" i="2"/>
  <c r="U21"/>
  <c r="AM20" i="1"/>
  <c r="F21" i="75" s="1"/>
  <c r="G21" s="1"/>
  <c r="AG20" i="1"/>
  <c r="AJ19"/>
  <c r="AK19" s="1"/>
  <c r="G16" i="81"/>
  <c r="AI20" i="1"/>
  <c r="AW21" i="7" s="1"/>
  <c r="AX21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B6" i="5"/>
  <c r="AY21" i="7" l="1"/>
  <c r="Q19" i="76"/>
  <c r="R19" s="1"/>
  <c r="T19" s="1"/>
  <c r="AG19" i="2"/>
  <c r="H20" i="65"/>
  <c r="AI22" i="5"/>
  <c r="AF23"/>
  <c r="AE24"/>
  <c r="AF22" i="1"/>
  <c r="AH22" s="1"/>
  <c r="AE23"/>
  <c r="C6" i="5"/>
  <c r="B7"/>
  <c r="S22" i="2"/>
  <c r="T21"/>
  <c r="BJ20" i="7"/>
  <c r="Q18" i="76"/>
  <c r="R18" s="1"/>
  <c r="T18" s="1"/>
  <c r="F16" i="81" s="1"/>
  <c r="AD22" i="1"/>
  <c r="AC23"/>
  <c r="AJ20"/>
  <c r="AK20" s="1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X22" s="1"/>
  <c r="AY22" s="1"/>
  <c r="AC22" i="2"/>
  <c r="AD21"/>
  <c r="A18" i="63"/>
  <c r="AE20" i="2"/>
  <c r="AG20" s="1"/>
  <c r="U22"/>
  <c r="V21"/>
  <c r="AI23" i="5" l="1"/>
  <c r="G18" i="81"/>
  <c r="AJ21" i="1"/>
  <c r="AK21" s="1"/>
  <c r="AE25" i="5"/>
  <c r="AF24"/>
  <c r="C22" i="65"/>
  <c r="E22" s="1"/>
  <c r="AI22" i="1"/>
  <c r="AW23" i="7" s="1"/>
  <c r="AX23" s="1"/>
  <c r="AY23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F17" i="81"/>
  <c r="S23" i="2"/>
  <c r="T22"/>
  <c r="AF21"/>
  <c r="AD22"/>
  <c r="AC23"/>
  <c r="AC24" i="1"/>
  <c r="AD23"/>
  <c r="A19" i="63"/>
  <c r="AE21" i="2"/>
  <c r="AG21" s="1"/>
  <c r="AS6" i="5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A20" i="63"/>
  <c r="AE22" i="2"/>
  <c r="AG22" s="1"/>
  <c r="G19" i="81"/>
  <c r="AJ22" i="1"/>
  <c r="AK22" s="1"/>
  <c r="Q20" i="76"/>
  <c r="R20" s="1"/>
  <c r="T20" s="1"/>
  <c r="F18" i="81" s="1"/>
  <c r="BJ22" i="7"/>
  <c r="H22" i="65"/>
  <c r="B19" i="63"/>
  <c r="AD26" i="5"/>
  <c r="AC27"/>
  <c r="C23" i="65"/>
  <c r="E23" s="1"/>
  <c r="AI23" i="1"/>
  <c r="AW24" i="7" s="1"/>
  <c r="AX24" s="1"/>
  <c r="AY24" s="1"/>
  <c r="BB6" i="5" l="1"/>
  <c r="BE6" s="1"/>
  <c r="BF6" s="1"/>
  <c r="BG6" s="1"/>
  <c r="G6" i="65" s="1"/>
  <c r="AI25" i="5"/>
  <c r="BJ23" i="7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F26" i="5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X25" s="1"/>
  <c r="AY25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AI26" i="5" l="1"/>
  <c r="BF7"/>
  <c r="BG7" s="1"/>
  <c r="G7" i="65" s="1"/>
  <c r="AD26" i="1"/>
  <c r="AC27"/>
  <c r="AJ24"/>
  <c r="AK24" s="1"/>
  <c r="G21" i="81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X26" s="1"/>
  <c r="AF27" i="5"/>
  <c r="AE28"/>
  <c r="T25" i="2"/>
  <c r="S26"/>
  <c r="AD28" i="5"/>
  <c r="AC29"/>
  <c r="Q22" i="76"/>
  <c r="R22" s="1"/>
  <c r="T22" s="1"/>
  <c r="F20" i="81" s="1"/>
  <c r="BJ24" i="7"/>
  <c r="AE27" i="1"/>
  <c r="AF26"/>
  <c r="AH26" s="1"/>
  <c r="AF24" i="2"/>
  <c r="M6" i="5"/>
  <c r="O6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Q23" i="76"/>
  <c r="R23" s="1"/>
  <c r="T23" s="1"/>
  <c r="F21" i="81" s="1"/>
  <c r="BJ25" i="7"/>
  <c r="B12" i="5"/>
  <c r="C11"/>
  <c r="AF25" i="2"/>
  <c r="C26" i="65"/>
  <c r="E26" s="1"/>
  <c r="AI26" i="1"/>
  <c r="AW27" i="7" s="1"/>
  <c r="AX27" s="1"/>
  <c r="G22" i="81"/>
  <c r="AJ25" i="1"/>
  <c r="AK25" s="1"/>
  <c r="AS10" i="5"/>
  <c r="AY9"/>
  <c r="BB9" s="1"/>
  <c r="BE9" s="1"/>
  <c r="I5" i="63" s="1"/>
  <c r="V26" i="2"/>
  <c r="U27"/>
  <c r="E10" i="5"/>
  <c r="I10"/>
  <c r="D10"/>
  <c r="G7" i="63"/>
  <c r="AE25" i="2"/>
  <c r="AG25" s="1"/>
  <c r="A23" i="63"/>
  <c r="V6" i="5"/>
  <c r="AF26" i="2" l="1"/>
  <c r="H27" i="65" s="1"/>
  <c r="BF9" i="5"/>
  <c r="BG9" s="1"/>
  <c r="G9" i="65" s="1"/>
  <c r="Q6" i="5"/>
  <c r="M2" i="81" s="1"/>
  <c r="AI28" i="5"/>
  <c r="V27" i="2"/>
  <c r="U28"/>
  <c r="AJ26" i="1"/>
  <c r="AK26" s="1"/>
  <c r="G23" i="81"/>
  <c r="AC28" i="2"/>
  <c r="AD27"/>
  <c r="AD28" i="1"/>
  <c r="AC29"/>
  <c r="C27" i="65"/>
  <c r="E27" s="1"/>
  <c r="AI27" i="1"/>
  <c r="AW28" i="7" s="1"/>
  <c r="AX28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B24" i="63" l="1"/>
  <c r="Q7" i="5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AY30" i="7"/>
  <c r="Q28" i="76"/>
  <c r="R28" s="1"/>
  <c r="T28" s="1"/>
  <c r="F26" i="81" s="1"/>
  <c r="BJ30" i="7"/>
  <c r="AD31" i="2"/>
  <c r="AC32"/>
  <c r="C16" i="5"/>
  <c r="B17"/>
  <c r="AI32"/>
  <c r="BF14" l="1"/>
  <c r="BG14" s="1"/>
  <c r="G14" i="65" s="1"/>
  <c r="AG30" i="2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I34" l="1"/>
  <c r="AF32" i="2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G34"/>
  <c r="C19" i="5"/>
  <c r="B20"/>
  <c r="N14"/>
  <c r="M15"/>
  <c r="AI35" i="1"/>
  <c r="AH36"/>
  <c r="BF16" i="5"/>
  <c r="BG16" s="1"/>
  <c r="G16" i="65" s="1"/>
  <c r="AI35" i="5"/>
  <c r="AF34" i="2"/>
  <c r="AM36" i="1" l="1"/>
  <c r="Q14" i="5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G2" i="63"/>
  <c r="I2" s="1"/>
  <c r="Q15" i="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3" i="3"/>
  <c r="C21" i="5"/>
  <c r="B22"/>
  <c r="O17"/>
  <c r="P16"/>
  <c r="Q16" l="1"/>
  <c r="M12" i="81" s="1"/>
  <c r="BF19" i="5"/>
  <c r="BG19" s="1"/>
  <c r="G19" i="65" s="1"/>
  <c r="J3" i="3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B32" s="1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Y32" i="5"/>
  <c r="BB32" s="1"/>
  <c r="BE32" s="1"/>
  <c r="I28" i="63" s="1"/>
  <c r="AS33" i="5"/>
  <c r="AK12" i="3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L13"/>
  <c r="AG12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W31" i="5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Z20"/>
  <c r="M22"/>
  <c r="AA22" s="1"/>
  <c r="L23"/>
  <c r="K21"/>
  <c r="J22"/>
  <c r="AG18"/>
  <c r="BK21" i="7"/>
  <c r="AK19" i="3"/>
  <c r="AL19"/>
  <c r="AE19"/>
  <c r="AF19" s="1"/>
  <c r="F19" i="63"/>
  <c r="W35" i="5"/>
  <c r="AL35" s="1"/>
  <c r="V36"/>
  <c r="W36" s="1"/>
  <c r="AL36" s="1"/>
  <c r="Q35"/>
  <c r="M31" i="81" s="1"/>
  <c r="Q36" i="5"/>
  <c r="AL37" l="1"/>
  <c r="AL20" i="3"/>
  <c r="AK20"/>
  <c r="F20" i="63"/>
  <c r="AE20" i="3"/>
  <c r="AF20" s="1"/>
  <c r="M32" i="81"/>
  <c r="Q37" i="5"/>
  <c r="O38" s="1"/>
  <c r="L24" i="3"/>
  <c r="M23"/>
  <c r="AA23" s="1"/>
  <c r="Z21"/>
  <c r="N21"/>
  <c r="AG19"/>
  <c r="BK22" i="7"/>
  <c r="K22" i="3"/>
  <c r="J23"/>
  <c r="M24" l="1"/>
  <c r="L25"/>
  <c r="AL21"/>
  <c r="AK21"/>
  <c r="AE21"/>
  <c r="AF21" s="1"/>
  <c r="F21" i="63"/>
  <c r="AG20" i="3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Z26"/>
  <c r="AL25"/>
  <c r="AE25"/>
  <c r="AF25" s="1"/>
  <c r="AK25"/>
  <c r="F25" i="63"/>
  <c r="AG24" i="3"/>
  <c r="BK27" i="7"/>
  <c r="K27" i="3"/>
  <c r="J28"/>
  <c r="AL26" l="1"/>
  <c r="AK26"/>
  <c r="AE26"/>
  <c r="AF26" s="1"/>
  <c r="F26" i="63"/>
  <c r="M29" i="3"/>
  <c r="L30"/>
  <c r="N27"/>
  <c r="Z27"/>
  <c r="K28"/>
  <c r="J29"/>
  <c r="AG25"/>
  <c r="BK28" i="7"/>
  <c r="K29" i="3" l="1"/>
  <c r="J30"/>
  <c r="AL27"/>
  <c r="AE27"/>
  <c r="AF27" s="1"/>
  <c r="F27" i="63"/>
  <c r="AK27" i="3"/>
  <c r="N28"/>
  <c r="AB28" s="1"/>
  <c r="Z28"/>
  <c r="AG26"/>
  <c r="BK29" i="7"/>
  <c r="M30" i="3"/>
  <c r="L31"/>
  <c r="Z29" l="1"/>
  <c r="N29"/>
  <c r="K30"/>
  <c r="J31"/>
  <c r="AG27"/>
  <c r="BK30" i="7"/>
  <c r="AC28" i="3"/>
  <c r="F28" i="63"/>
  <c r="AK28" i="3"/>
  <c r="AL28"/>
  <c r="AE28"/>
  <c r="AF28" s="1"/>
  <c r="M31"/>
  <c r="L32"/>
  <c r="Z30" l="1"/>
  <c r="N30"/>
  <c r="K31"/>
  <c r="J32"/>
  <c r="AK29"/>
  <c r="AL29"/>
  <c r="AE29"/>
  <c r="AF29" s="1"/>
  <c r="F29" i="63"/>
  <c r="AG28" i="3"/>
  <c r="AH28" s="1"/>
  <c r="BK31" i="7"/>
  <c r="L33" i="3"/>
  <c r="M33" s="1"/>
  <c r="M32"/>
  <c r="AG29" l="1"/>
  <c r="BK32" i="7"/>
  <c r="Z31" i="3"/>
  <c r="N31"/>
  <c r="AB31" s="1"/>
  <c r="AE30"/>
  <c r="AF30" s="1"/>
  <c r="AK30"/>
  <c r="F30" i="63"/>
  <c r="AL30" i="3"/>
  <c r="K32"/>
  <c r="J33"/>
  <c r="K33" s="1"/>
  <c r="F5" i="75"/>
  <c r="G5" s="1"/>
  <c r="AG30" i="3" l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D3" i="3" l="1"/>
  <c r="E3" l="1"/>
  <c r="D4"/>
  <c r="F3" l="1"/>
  <c r="AB3" s="1"/>
  <c r="AA3"/>
  <c r="AC3" s="1"/>
  <c r="AH3" s="1"/>
  <c r="E4"/>
  <c r="D5"/>
  <c r="D6" s="1"/>
  <c r="F4" l="1"/>
  <c r="AB4" s="1"/>
  <c r="AA4"/>
  <c r="AC4" s="1"/>
  <c r="AH4" s="1"/>
  <c r="E5"/>
  <c r="AA5" s="1"/>
  <c r="E6" l="1"/>
  <c r="D7"/>
  <c r="AA6" l="1"/>
  <c r="AC6" s="1"/>
  <c r="AH6" s="1"/>
  <c r="F6"/>
  <c r="AB6" s="1"/>
  <c r="E7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l="1"/>
  <c r="AC12" s="1"/>
  <c r="AH12" s="1"/>
  <c r="F12"/>
  <c r="AB12" s="1"/>
  <c r="D14"/>
  <c r="D15" s="1"/>
  <c r="E13"/>
  <c r="AA13" l="1"/>
  <c r="AC13" s="1"/>
  <c r="AH13" s="1"/>
  <c r="F13"/>
  <c r="AB13" s="1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AC19" s="1"/>
  <c r="AH19" s="1"/>
  <c r="E20" l="1"/>
  <c r="D21"/>
  <c r="AA20" l="1"/>
  <c r="AC20" s="1"/>
  <c r="AH20" s="1"/>
  <c r="F20"/>
  <c r="AB20" s="1"/>
  <c r="E2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D27"/>
  <c r="AA26" l="1"/>
  <c r="AC26" s="1"/>
  <c r="AH26" s="1"/>
  <c r="F26"/>
  <c r="AB26" s="1"/>
  <c r="E27"/>
  <c r="D28"/>
  <c r="AA27" l="1"/>
  <c r="AC27" s="1"/>
  <c r="AH27" s="1"/>
  <c r="F27"/>
  <c r="AB27" s="1"/>
  <c r="E28"/>
  <c r="AA28" s="1"/>
  <c r="D29"/>
  <c r="D30" l="1"/>
  <c r="E29"/>
  <c r="AA29" l="1"/>
  <c r="AC29" s="1"/>
  <c r="AH29" s="1"/>
  <c r="F29"/>
  <c r="AB29" s="1"/>
  <c r="D31"/>
  <c r="E30"/>
  <c r="AA30" l="1"/>
  <c r="AC30" s="1"/>
  <c r="AH30" s="1"/>
  <c r="F30"/>
  <c r="AB30" s="1"/>
  <c r="D32"/>
  <c r="E31"/>
  <c r="AA31" s="1"/>
  <c r="D33" l="1"/>
  <c r="E33" s="1"/>
  <c r="AA33" s="1"/>
  <c r="E32"/>
  <c r="AA32" s="1"/>
  <c r="AR5" i="1" l="1"/>
  <c r="AP5"/>
  <c r="AN5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3" i="3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 s="1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l="1"/>
  <c r="P31" i="3"/>
  <c r="Q30"/>
  <c r="AU33" i="1"/>
  <c r="I30" i="81" s="1"/>
  <c r="AT34" i="1"/>
  <c r="AU5"/>
  <c r="F2" i="63"/>
  <c r="AU35" i="1" l="1"/>
  <c r="I32" i="81" s="1"/>
  <c r="AU34" i="1"/>
  <c r="I31" i="81" s="1"/>
  <c r="I2"/>
  <c r="P32" i="3"/>
  <c r="Q31"/>
  <c r="AU36" i="1" l="1"/>
  <c r="AU38" s="1"/>
  <c r="P33" i="3"/>
  <c r="Q33" s="1"/>
  <c r="Q32"/>
  <c r="AX5" i="1" l="1"/>
  <c r="J2" i="81" l="1"/>
  <c r="AX6" i="1"/>
  <c r="J3" i="81" l="1"/>
  <c r="AX7" i="1"/>
  <c r="J4" i="81" l="1"/>
  <c r="AX8" i="1"/>
  <c r="J5" i="81" l="1"/>
  <c r="AX9" i="1"/>
  <c r="G5" i="65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6" i="7" l="1"/>
  <c r="H2" i="81" l="1"/>
  <c r="AV7" i="7"/>
  <c r="H3" i="81" l="1"/>
  <c r="AV8" i="7"/>
  <c r="AV9" l="1"/>
  <c r="H4" i="81"/>
  <c r="H5" l="1"/>
  <c r="AV10" i="7"/>
  <c r="H6" i="81" l="1"/>
  <c r="AV11" i="7"/>
  <c r="H7" i="81" l="1"/>
  <c r="AV12" i="7"/>
  <c r="AV13" l="1"/>
  <c r="H8" i="81"/>
  <c r="AV14" i="7" l="1"/>
  <c r="H9" i="81"/>
  <c r="H10" l="1"/>
  <c r="AV15" i="7"/>
  <c r="H11" i="81" l="1"/>
  <c r="AV16" i="7"/>
  <c r="H12" i="81" l="1"/>
  <c r="AV17" i="7"/>
  <c r="H13" i="81" l="1"/>
  <c r="AV18" i="7"/>
  <c r="H14" i="81" l="1"/>
  <c r="AV19" i="7"/>
  <c r="H15" i="81" l="1"/>
  <c r="AV20" i="7"/>
  <c r="H16" i="81" l="1"/>
  <c r="AV21" i="7"/>
  <c r="AV22" l="1"/>
  <c r="H17" i="81"/>
  <c r="AV23" i="7" l="1"/>
  <c r="H18" i="81"/>
  <c r="AV24" i="7" l="1"/>
  <c r="H19" i="81"/>
  <c r="H20" l="1"/>
  <c r="AV25" i="7"/>
  <c r="H21" i="81" l="1"/>
  <c r="AV26" i="7"/>
  <c r="H22" i="81" l="1"/>
  <c r="AV27" i="7"/>
  <c r="H23" i="81" l="1"/>
  <c r="AV28" i="7"/>
  <c r="AV29" l="1"/>
  <c r="H24" i="81"/>
  <c r="AV30" i="7" l="1"/>
  <c r="H25" i="81"/>
  <c r="AV31" i="7" l="1"/>
  <c r="H26" i="81"/>
  <c r="AV32" i="7" l="1"/>
  <c r="H27" i="81"/>
  <c r="AV33" i="7" l="1"/>
  <c r="H28" i="81"/>
  <c r="H29" l="1"/>
  <c r="AV34" i="7"/>
  <c r="H30" i="81" l="1"/>
  <c r="AV35" i="7"/>
  <c r="H31" i="81" l="1"/>
  <c r="AV36" i="7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<sst xmlns="http://schemas.openxmlformats.org/spreadsheetml/2006/main" count="669" uniqueCount="417">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</sst>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70" xfId="0" applyBorder="1" applyAlignment="1">
      <alignment horizontal="righ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5123</c:v>
                </c:pt>
                <c:pt idx="21">
                  <c:v>0</c:v>
                </c:pt>
                <c:pt idx="22">
                  <c:v>0</c:v>
                </c:pt>
                <c:pt idx="23">
                  <c:v>5503</c:v>
                </c:pt>
                <c:pt idx="24">
                  <c:v>5678</c:v>
                </c:pt>
                <c:pt idx="25">
                  <c:v>6028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29583360"/>
        <c:axId val="157900800"/>
      </c:lineChart>
      <c:catAx>
        <c:axId val="129583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00800"/>
        <c:crosses val="autoZero"/>
        <c:auto val="1"/>
        <c:lblAlgn val="ctr"/>
        <c:lblOffset val="100"/>
      </c:catAx>
      <c:valAx>
        <c:axId val="157900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583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58075136"/>
        <c:axId val="158511872"/>
      </c:lineChart>
      <c:catAx>
        <c:axId val="15807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11872"/>
        <c:crosses val="autoZero"/>
        <c:auto val="1"/>
        <c:lblAlgn val="ctr"/>
        <c:lblOffset val="100"/>
      </c:catAx>
      <c:valAx>
        <c:axId val="158511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7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48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0274176"/>
        <c:axId val="80275712"/>
      </c:lineChart>
      <c:catAx>
        <c:axId val="8027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75712"/>
        <c:crosses val="autoZero"/>
        <c:auto val="1"/>
        <c:lblAlgn val="ctr"/>
        <c:lblOffset val="100"/>
      </c:catAx>
      <c:valAx>
        <c:axId val="802757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7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80431360"/>
        <c:axId val="80433152"/>
      </c:lineChart>
      <c:catAx>
        <c:axId val="80431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33152"/>
        <c:crosses val="autoZero"/>
        <c:auto val="1"/>
        <c:lblAlgn val="ctr"/>
        <c:lblOffset val="100"/>
      </c:catAx>
      <c:valAx>
        <c:axId val="80433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31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083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80457728"/>
        <c:axId val="80459264"/>
      </c:lineChart>
      <c:catAx>
        <c:axId val="8045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59264"/>
        <c:crosses val="autoZero"/>
        <c:auto val="1"/>
        <c:lblAlgn val="ctr"/>
        <c:lblOffset val="100"/>
      </c:catAx>
      <c:valAx>
        <c:axId val="804592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5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77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0865152"/>
        <c:axId val="80866688"/>
      </c:lineChart>
      <c:catAx>
        <c:axId val="8086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66688"/>
        <c:crosses val="autoZero"/>
        <c:auto val="1"/>
        <c:lblAlgn val="ctr"/>
        <c:lblOffset val="100"/>
      </c:catAx>
      <c:valAx>
        <c:axId val="8086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6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2259328"/>
        <c:axId val="82265216"/>
      </c:lineChart>
      <c:catAx>
        <c:axId val="8225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65216"/>
        <c:crosses val="autoZero"/>
        <c:auto val="1"/>
        <c:lblAlgn val="ctr"/>
        <c:lblOffset val="100"/>
      </c:catAx>
      <c:valAx>
        <c:axId val="82265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5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2285696"/>
        <c:axId val="82287232"/>
      </c:lineChart>
      <c:catAx>
        <c:axId val="82285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87232"/>
        <c:crosses val="autoZero"/>
        <c:auto val="1"/>
        <c:lblAlgn val="ctr"/>
        <c:lblOffset val="100"/>
      </c:catAx>
      <c:valAx>
        <c:axId val="82287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85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11.5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2303616"/>
        <c:axId val="82977152"/>
      </c:lineChart>
      <c:catAx>
        <c:axId val="8230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77152"/>
        <c:crosses val="autoZero"/>
        <c:auto val="1"/>
        <c:lblAlgn val="ctr"/>
        <c:lblOffset val="100"/>
      </c:catAx>
      <c:valAx>
        <c:axId val="82977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0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399"/>
          <c:w val="0.1272403315177616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3014016"/>
        <c:axId val="83015552"/>
      </c:lineChart>
      <c:catAx>
        <c:axId val="8301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15552"/>
        <c:crosses val="autoZero"/>
        <c:auto val="1"/>
        <c:lblAlgn val="ctr"/>
        <c:lblOffset val="100"/>
      </c:catAx>
      <c:valAx>
        <c:axId val="8301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1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11</c:v>
                </c:pt>
                <c:pt idx="23">
                  <c:v>10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3412864"/>
        <c:axId val="83414400"/>
      </c:lineChart>
      <c:catAx>
        <c:axId val="8341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14400"/>
        <c:crosses val="autoZero"/>
        <c:auto val="1"/>
        <c:lblAlgn val="ctr"/>
        <c:lblOffset val="100"/>
      </c:catAx>
      <c:valAx>
        <c:axId val="834144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1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4144128"/>
        <c:axId val="84145664"/>
      </c:lineChart>
      <c:catAx>
        <c:axId val="84144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45664"/>
        <c:crosses val="autoZero"/>
        <c:auto val="1"/>
        <c:lblAlgn val="ctr"/>
        <c:lblOffset val="100"/>
      </c:catAx>
      <c:valAx>
        <c:axId val="84145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44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47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</c:v>
                </c:pt>
                <c:pt idx="6">
                  <c:v>261</c:v>
                </c:pt>
                <c:pt idx="7">
                  <c:v>0</c:v>
                </c:pt>
                <c:pt idx="8">
                  <c:v>0</c:v>
                </c:pt>
                <c:pt idx="9">
                  <c:v>221</c:v>
                </c:pt>
                <c:pt idx="10">
                  <c:v>395</c:v>
                </c:pt>
                <c:pt idx="11">
                  <c:v>68</c:v>
                </c:pt>
                <c:pt idx="12">
                  <c:v>0</c:v>
                </c:pt>
                <c:pt idx="13">
                  <c:v>842</c:v>
                </c:pt>
                <c:pt idx="14">
                  <c:v>0</c:v>
                </c:pt>
                <c:pt idx="15">
                  <c:v>0</c:v>
                </c:pt>
                <c:pt idx="16">
                  <c:v>352</c:v>
                </c:pt>
                <c:pt idx="17">
                  <c:v>447</c:v>
                </c:pt>
                <c:pt idx="18">
                  <c:v>416</c:v>
                </c:pt>
                <c:pt idx="19">
                  <c:v>572</c:v>
                </c:pt>
                <c:pt idx="20">
                  <c:v>518</c:v>
                </c:pt>
                <c:pt idx="21">
                  <c:v>0</c:v>
                </c:pt>
                <c:pt idx="22">
                  <c:v>0</c:v>
                </c:pt>
                <c:pt idx="23">
                  <c:v>412</c:v>
                </c:pt>
                <c:pt idx="24">
                  <c:v>565</c:v>
                </c:pt>
                <c:pt idx="25">
                  <c:v>522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4227968"/>
        <c:axId val="84229504"/>
      </c:lineChart>
      <c:catAx>
        <c:axId val="84227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29504"/>
        <c:crosses val="autoZero"/>
        <c:auto val="1"/>
        <c:lblAlgn val="ctr"/>
        <c:lblOffset val="100"/>
      </c:catAx>
      <c:valAx>
        <c:axId val="84229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27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399"/>
          <c:w val="0.135416885389376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4249984"/>
        <c:axId val="84259968"/>
      </c:lineChart>
      <c:catAx>
        <c:axId val="8424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59968"/>
        <c:crosses val="autoZero"/>
        <c:auto val="1"/>
        <c:lblAlgn val="ctr"/>
        <c:lblOffset val="100"/>
      </c:catAx>
      <c:valAx>
        <c:axId val="842599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4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39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5123</c:v>
                </c:pt>
                <c:pt idx="21">
                  <c:v>0</c:v>
                </c:pt>
                <c:pt idx="22">
                  <c:v>0</c:v>
                </c:pt>
                <c:pt idx="23">
                  <c:v>5503</c:v>
                </c:pt>
                <c:pt idx="24">
                  <c:v>5678</c:v>
                </c:pt>
                <c:pt idx="25">
                  <c:v>6028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4272640"/>
        <c:axId val="84274176"/>
      </c:lineChart>
      <c:catAx>
        <c:axId val="8427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74176"/>
        <c:crosses val="autoZero"/>
        <c:auto val="1"/>
        <c:lblAlgn val="ctr"/>
        <c:lblOffset val="100"/>
      </c:catAx>
      <c:valAx>
        <c:axId val="84274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7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5400576"/>
        <c:axId val="85414656"/>
      </c:lineChart>
      <c:catAx>
        <c:axId val="8540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14656"/>
        <c:crosses val="autoZero"/>
        <c:auto val="1"/>
        <c:lblAlgn val="ctr"/>
        <c:lblOffset val="100"/>
      </c:catAx>
      <c:valAx>
        <c:axId val="85414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0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399"/>
          <c:w val="0.135416885389376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11</c:v>
                </c:pt>
                <c:pt idx="23">
                  <c:v>10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85426944"/>
        <c:axId val="85428480"/>
      </c:lineChart>
      <c:catAx>
        <c:axId val="8542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28480"/>
        <c:crosses val="autoZero"/>
        <c:auto val="1"/>
        <c:lblAlgn val="ctr"/>
        <c:lblOffset val="100"/>
      </c:catAx>
      <c:valAx>
        <c:axId val="854284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2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75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-2690.0967741935674</c:v>
                </c:pt>
                <c:pt idx="4">
                  <c:v>-2453.4193548387047</c:v>
                </c:pt>
                <c:pt idx="5">
                  <c:v>-492.99999999999272</c:v>
                </c:pt>
                <c:pt idx="6">
                  <c:v>0</c:v>
                </c:pt>
                <c:pt idx="7">
                  <c:v>0</c:v>
                </c:pt>
                <c:pt idx="8">
                  <c:v>-2181.7419354838858</c:v>
                </c:pt>
                <c:pt idx="9">
                  <c:v>-2111.7419354838494</c:v>
                </c:pt>
                <c:pt idx="10">
                  <c:v>-2146.7419354839003</c:v>
                </c:pt>
                <c:pt idx="11">
                  <c:v>0</c:v>
                </c:pt>
                <c:pt idx="12">
                  <c:v>-2146.7419354838494</c:v>
                </c:pt>
                <c:pt idx="13">
                  <c:v>0</c:v>
                </c:pt>
                <c:pt idx="14">
                  <c:v>0</c:v>
                </c:pt>
                <c:pt idx="15">
                  <c:v>809.70967741934146</c:v>
                </c:pt>
                <c:pt idx="16">
                  <c:v>-1910.0645161290158</c:v>
                </c:pt>
                <c:pt idx="17">
                  <c:v>-2383.4193548387266</c:v>
                </c:pt>
                <c:pt idx="18">
                  <c:v>-2690.096774193531</c:v>
                </c:pt>
                <c:pt idx="19">
                  <c:v>-2453.4193548387266</c:v>
                </c:pt>
                <c:pt idx="20">
                  <c:v>0</c:v>
                </c:pt>
                <c:pt idx="21">
                  <c:v>0</c:v>
                </c:pt>
                <c:pt idx="22">
                  <c:v>-2146.7419354838567</c:v>
                </c:pt>
                <c:pt idx="23">
                  <c:v>-2453.4193548387193</c:v>
                </c:pt>
                <c:pt idx="24">
                  <c:v>-3066.7741935483937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5465344"/>
        <c:axId val="85475328"/>
      </c:lineChart>
      <c:catAx>
        <c:axId val="8546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75328"/>
        <c:crosses val="autoZero"/>
        <c:auto val="1"/>
        <c:lblAlgn val="ctr"/>
        <c:lblOffset val="100"/>
      </c:catAx>
      <c:valAx>
        <c:axId val="854753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6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85496192"/>
        <c:axId val="85497728"/>
      </c:lineChart>
      <c:catAx>
        <c:axId val="8549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97728"/>
        <c:crosses val="autoZero"/>
        <c:auto val="1"/>
        <c:lblAlgn val="ctr"/>
        <c:lblOffset val="100"/>
      </c:catAx>
      <c:valAx>
        <c:axId val="85497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9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73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85522304"/>
        <c:axId val="85523840"/>
      </c:lineChart>
      <c:catAx>
        <c:axId val="85522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23840"/>
        <c:crosses val="autoZero"/>
        <c:auto val="1"/>
        <c:lblAlgn val="ctr"/>
        <c:lblOffset val="100"/>
      </c:catAx>
      <c:valAx>
        <c:axId val="8552384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22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85683584"/>
        <c:axId val="85705856"/>
      </c:lineChart>
      <c:catAx>
        <c:axId val="8568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05856"/>
        <c:crosses val="autoZero"/>
        <c:auto val="1"/>
        <c:lblAlgn val="ctr"/>
        <c:lblOffset val="100"/>
      </c:catAx>
      <c:valAx>
        <c:axId val="857058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8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85742720"/>
        <c:axId val="85744256"/>
      </c:lineChart>
      <c:catAx>
        <c:axId val="8574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44256"/>
        <c:crosses val="autoZero"/>
        <c:auto val="1"/>
        <c:lblAlgn val="ctr"/>
        <c:lblOffset val="100"/>
      </c:catAx>
      <c:valAx>
        <c:axId val="85744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42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08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85752448"/>
        <c:axId val="85762432"/>
      </c:lineChart>
      <c:catAx>
        <c:axId val="85752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62432"/>
        <c:crosses val="autoZero"/>
        <c:auto val="1"/>
        <c:lblAlgn val="ctr"/>
        <c:lblOffset val="100"/>
      </c:catAx>
      <c:valAx>
        <c:axId val="8576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52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39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11.5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86258048"/>
        <c:axId val="86259584"/>
      </c:lineChart>
      <c:catAx>
        <c:axId val="8625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9584"/>
        <c:crosses val="autoZero"/>
        <c:auto val="1"/>
        <c:lblAlgn val="ctr"/>
        <c:lblOffset val="100"/>
      </c:catAx>
      <c:valAx>
        <c:axId val="86259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0831"/>
          <c:w val="0.1234311819809433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86273024"/>
        <c:axId val="86283008"/>
      </c:lineChart>
      <c:catAx>
        <c:axId val="8627302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83008"/>
        <c:crosses val="autoZero"/>
        <c:auto val="1"/>
        <c:lblAlgn val="ctr"/>
        <c:lblOffset val="100"/>
      </c:catAx>
      <c:valAx>
        <c:axId val="862830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7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805"/>
          <c:w val="0.1569039853282420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86315392"/>
        <c:axId val="86316928"/>
      </c:lineChart>
      <c:catAx>
        <c:axId val="8631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16928"/>
        <c:crosses val="autoZero"/>
        <c:auto val="1"/>
        <c:lblAlgn val="ctr"/>
        <c:lblOffset val="100"/>
      </c:catAx>
      <c:valAx>
        <c:axId val="863169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1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83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11.5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86460672"/>
        <c:axId val="86462464"/>
      </c:lineChart>
      <c:catAx>
        <c:axId val="8646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62464"/>
        <c:crosses val="autoZero"/>
        <c:auto val="1"/>
        <c:lblAlgn val="ctr"/>
        <c:lblOffset val="100"/>
      </c:catAx>
      <c:valAx>
        <c:axId val="8646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6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30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86701568"/>
        <c:axId val="86703104"/>
      </c:lineChart>
      <c:catAx>
        <c:axId val="8670156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03104"/>
        <c:crosses val="autoZero"/>
        <c:auto val="1"/>
        <c:lblAlgn val="ctr"/>
        <c:lblOffset val="100"/>
      </c:catAx>
      <c:valAx>
        <c:axId val="8670310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0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80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44561</v>
          </cell>
          <cell r="D34">
            <v>118750</v>
          </cell>
          <cell r="E34">
            <v>1910</v>
          </cell>
          <cell r="F34">
            <v>4110097</v>
          </cell>
          <cell r="G34">
            <v>206</v>
          </cell>
          <cell r="H34">
            <v>18001838</v>
          </cell>
          <cell r="I34">
            <v>408</v>
          </cell>
          <cell r="J34">
            <v>29657486</v>
          </cell>
          <cell r="K34">
            <v>550</v>
          </cell>
          <cell r="L34">
            <v>24498960</v>
          </cell>
          <cell r="M34">
            <v>880</v>
          </cell>
          <cell r="N34">
            <v>3954</v>
          </cell>
          <cell r="O34">
            <v>0</v>
          </cell>
          <cell r="P34">
            <v>18783.96</v>
          </cell>
          <cell r="Q34">
            <v>8172.999999998865</v>
          </cell>
          <cell r="R34">
            <v>-4218.999999998865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33479</v>
          </cell>
          <cell r="X34">
            <v>0</v>
          </cell>
          <cell r="Y34">
            <v>995654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44561</v>
          </cell>
          <cell r="B35">
            <v>197</v>
          </cell>
          <cell r="C35">
            <v>203</v>
          </cell>
          <cell r="D35">
            <v>6</v>
          </cell>
          <cell r="E35">
            <v>50.28</v>
          </cell>
          <cell r="F35">
            <v>1965</v>
          </cell>
          <cell r="G35">
            <v>4</v>
          </cell>
          <cell r="H35">
            <v>22723</v>
          </cell>
          <cell r="I35">
            <v>270</v>
          </cell>
          <cell r="J35">
            <v>67.5</v>
          </cell>
          <cell r="K35">
            <v>2371</v>
          </cell>
          <cell r="L35">
            <v>0</v>
          </cell>
          <cell r="M35">
            <v>175131</v>
          </cell>
          <cell r="N35">
            <v>0</v>
          </cell>
          <cell r="O35">
            <v>1869</v>
          </cell>
          <cell r="P35">
            <v>2138</v>
          </cell>
          <cell r="Q35">
            <v>179410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270</v>
          </cell>
          <cell r="Y35">
            <v>0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270</v>
          </cell>
          <cell r="AJ35">
            <v>0</v>
          </cell>
          <cell r="AK35">
            <v>-270</v>
          </cell>
          <cell r="AL35">
            <v>4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44561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626881</v>
          </cell>
          <cell r="H36">
            <v>571</v>
          </cell>
          <cell r="I36">
            <v>571</v>
          </cell>
          <cell r="J36">
            <v>0.42370487543076663</v>
          </cell>
          <cell r="K36">
            <v>6976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5180</v>
          </cell>
          <cell r="U36">
            <v>0</v>
          </cell>
          <cell r="V36">
            <v>478</v>
          </cell>
          <cell r="W36">
            <v>1</v>
          </cell>
          <cell r="X36">
            <v>154639</v>
          </cell>
          <cell r="Y36">
            <v>158</v>
          </cell>
          <cell r="Z36">
            <v>99258</v>
          </cell>
          <cell r="AA36">
            <v>0</v>
          </cell>
          <cell r="AB36">
            <v>240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2218.1999999999998</v>
          </cell>
          <cell r="AH36">
            <v>0.36999999999989086</v>
          </cell>
          <cell r="AI36">
            <v>0.36999999999989086</v>
          </cell>
          <cell r="AJ36">
            <v>0</v>
          </cell>
          <cell r="AK36">
            <v>158</v>
          </cell>
          <cell r="AL36">
            <v>-1</v>
          </cell>
          <cell r="AM36">
            <v>18</v>
          </cell>
          <cell r="AN36">
            <v>0</v>
          </cell>
          <cell r="AP36">
            <v>0</v>
          </cell>
          <cell r="AR36">
            <v>44561</v>
          </cell>
          <cell r="AS36">
            <v>0.9</v>
          </cell>
          <cell r="AT36">
            <v>153</v>
          </cell>
          <cell r="AU36">
            <v>1.1000000000000001</v>
          </cell>
          <cell r="AV36">
            <v>122</v>
          </cell>
          <cell r="AW36">
            <v>2.9</v>
          </cell>
          <cell r="AX36">
            <v>120</v>
          </cell>
          <cell r="AY36">
            <v>137.70000000000002</v>
          </cell>
          <cell r="AZ36">
            <v>134.20000000000002</v>
          </cell>
          <cell r="BA36">
            <v>348</v>
          </cell>
          <cell r="BB36">
            <v>-18</v>
          </cell>
          <cell r="BC36">
            <v>11</v>
          </cell>
          <cell r="BD36">
            <v>113.1</v>
          </cell>
          <cell r="BE36">
            <v>106.1</v>
          </cell>
          <cell r="BF36">
            <v>464.9</v>
          </cell>
          <cell r="BG36">
            <v>106.10000000000002</v>
          </cell>
        </row>
      </sheetData>
      <sheetData sheetId="5">
        <row r="33">
          <cell r="A33">
            <v>44561</v>
          </cell>
          <cell r="B33">
            <v>11328</v>
          </cell>
          <cell r="C33">
            <v>2</v>
          </cell>
          <cell r="D33">
            <v>595016</v>
          </cell>
          <cell r="E33">
            <v>500</v>
          </cell>
          <cell r="F33">
            <v>250</v>
          </cell>
          <cell r="H33">
            <v>11374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13420</v>
          </cell>
          <cell r="S33">
            <v>7</v>
          </cell>
          <cell r="T33">
            <v>294503</v>
          </cell>
          <cell r="U33">
            <v>1757</v>
          </cell>
          <cell r="V33">
            <v>251</v>
          </cell>
          <cell r="Y33" t="str">
            <v>ok</v>
          </cell>
          <cell r="Z33">
            <v>9</v>
          </cell>
          <cell r="AA33">
            <v>2257</v>
          </cell>
          <cell r="AB33">
            <v>501</v>
          </cell>
          <cell r="AC33">
            <v>250.77777777777777</v>
          </cell>
          <cell r="AD33">
            <v>8172.999999998865</v>
          </cell>
          <cell r="AE33">
            <v>908.11111111098501</v>
          </cell>
          <cell r="AF33">
            <v>0.56756944444436563</v>
          </cell>
          <cell r="AG33">
            <v>3.5473090277772854E-4</v>
          </cell>
          <cell r="AH33">
            <v>250.77742304687499</v>
          </cell>
          <cell r="AI33">
            <v>2103.5991561178516</v>
          </cell>
          <cell r="AJ33">
            <v>0.25738396624472576</v>
          </cell>
          <cell r="AK33">
            <v>233.73323956865019</v>
          </cell>
          <cell r="AL33">
            <v>1</v>
          </cell>
        </row>
      </sheetData>
      <sheetData sheetId="6">
        <row r="36">
          <cell r="A36">
            <v>44561</v>
          </cell>
          <cell r="B36">
            <v>197</v>
          </cell>
          <cell r="C36">
            <v>4238.677419354839</v>
          </cell>
          <cell r="D36">
            <v>197</v>
          </cell>
          <cell r="E36">
            <v>4238.677419354839</v>
          </cell>
          <cell r="F36">
            <v>197</v>
          </cell>
          <cell r="G36">
            <v>4238.677419354839</v>
          </cell>
          <cell r="H36">
            <v>197</v>
          </cell>
          <cell r="I36">
            <v>4238.677419354839</v>
          </cell>
          <cell r="J36">
            <v>197</v>
          </cell>
          <cell r="K36">
            <v>4238.677419354839</v>
          </cell>
          <cell r="L36">
            <v>197</v>
          </cell>
          <cell r="M36">
            <v>4238.677419354839</v>
          </cell>
          <cell r="N36">
            <v>197</v>
          </cell>
          <cell r="O36">
            <v>4238.677419354839</v>
          </cell>
          <cell r="P36">
            <v>197</v>
          </cell>
          <cell r="Q36">
            <v>4238.677419354839</v>
          </cell>
          <cell r="R36">
            <v>197</v>
          </cell>
          <cell r="S36">
            <v>4238.677419354839</v>
          </cell>
          <cell r="T36">
            <v>197</v>
          </cell>
          <cell r="U36">
            <v>4238.677419354839</v>
          </cell>
          <cell r="V36">
            <v>197</v>
          </cell>
          <cell r="W36">
            <v>4238.677419354839</v>
          </cell>
          <cell r="X36">
            <v>0.63548387096774217</v>
          </cell>
          <cell r="Y36">
            <v>46625.451612903242</v>
          </cell>
          <cell r="Z36">
            <v>203</v>
          </cell>
          <cell r="AA36">
            <v>2030</v>
          </cell>
          <cell r="AB36">
            <v>203</v>
          </cell>
          <cell r="AC36">
            <v>2030</v>
          </cell>
          <cell r="AD36">
            <v>203</v>
          </cell>
          <cell r="AE36">
            <v>2030</v>
          </cell>
          <cell r="AF36">
            <v>203</v>
          </cell>
          <cell r="AG36">
            <v>2030</v>
          </cell>
          <cell r="AH36">
            <v>203</v>
          </cell>
          <cell r="AI36">
            <v>2030</v>
          </cell>
          <cell r="AJ36">
            <v>203</v>
          </cell>
          <cell r="AK36">
            <v>2030</v>
          </cell>
          <cell r="AL36">
            <v>203</v>
          </cell>
          <cell r="AM36">
            <v>2030</v>
          </cell>
          <cell r="AN36">
            <v>0.72499999999999998</v>
          </cell>
          <cell r="AO36">
            <v>14210</v>
          </cell>
          <cell r="AQ36">
            <v>0.65435572349040816</v>
          </cell>
          <cell r="AR36">
            <v>60835.451612903242</v>
          </cell>
          <cell r="AS36">
            <v>-1603.387096774175</v>
          </cell>
          <cell r="AV36">
            <v>0.60399999999999998</v>
          </cell>
          <cell r="AW36">
            <v>0</v>
          </cell>
          <cell r="AX36">
            <v>-1603.387096774175</v>
          </cell>
          <cell r="AY36">
            <v>-1603.387096774175</v>
          </cell>
          <cell r="AZ36">
            <v>0</v>
          </cell>
          <cell r="BA36">
            <v>18</v>
          </cell>
          <cell r="BB36">
            <v>0.43</v>
          </cell>
        </row>
      </sheetData>
      <sheetData sheetId="7">
        <row r="26">
          <cell r="V26">
            <v>399616</v>
          </cell>
          <cell r="W26">
            <v>400225</v>
          </cell>
          <cell r="Y26">
            <v>80</v>
          </cell>
          <cell r="Z26">
            <v>1</v>
          </cell>
          <cell r="AA26">
            <v>609</v>
          </cell>
          <cell r="AB26">
            <v>48720</v>
          </cell>
          <cell r="AC26">
            <v>1033333</v>
          </cell>
          <cell r="AD26">
            <v>0.15433350228079068</v>
          </cell>
        </row>
        <row r="27">
          <cell r="V27">
            <v>543471</v>
          </cell>
          <cell r="W27">
            <v>546590</v>
          </cell>
          <cell r="Y27">
            <v>112</v>
          </cell>
          <cell r="Z27">
            <v>1</v>
          </cell>
          <cell r="AA27">
            <v>3119</v>
          </cell>
          <cell r="AB27">
            <v>349328</v>
          </cell>
          <cell r="AC27">
            <v>6200000</v>
          </cell>
          <cell r="AD27">
            <v>0.79042067916877856</v>
          </cell>
        </row>
        <row r="28">
          <cell r="V28">
            <v>159873</v>
          </cell>
          <cell r="W28">
            <v>160089</v>
          </cell>
          <cell r="Y28">
            <v>320</v>
          </cell>
          <cell r="Z28">
            <v>1</v>
          </cell>
          <cell r="AA28">
            <v>216</v>
          </cell>
          <cell r="AB28">
            <v>69120</v>
          </cell>
          <cell r="AC28">
            <v>1000</v>
          </cell>
          <cell r="AD28">
            <v>5.4738976178408512E-2</v>
          </cell>
          <cell r="AE28">
            <v>3456</v>
          </cell>
          <cell r="AF28">
            <v>15305.142857142857</v>
          </cell>
        </row>
        <row r="29">
          <cell r="AB29">
            <v>467168</v>
          </cell>
          <cell r="AC29">
            <v>7234333</v>
          </cell>
        </row>
        <row r="30">
          <cell r="AB30">
            <v>7701501</v>
          </cell>
        </row>
        <row r="32">
          <cell r="W32">
            <v>238</v>
          </cell>
          <cell r="X32">
            <v>21.636363636363637</v>
          </cell>
          <cell r="Y32">
            <v>21.636363636363637</v>
          </cell>
        </row>
        <row r="33">
          <cell r="AB33">
            <v>847165.11</v>
          </cell>
          <cell r="AC33">
            <v>7234333</v>
          </cell>
        </row>
        <row r="34">
          <cell r="A34">
            <v>44561</v>
          </cell>
          <cell r="B34">
            <v>1106905</v>
          </cell>
          <cell r="C34">
            <v>0</v>
          </cell>
          <cell r="D34">
            <v>0</v>
          </cell>
          <cell r="E34">
            <v>1106905</v>
          </cell>
          <cell r="F34">
            <v>160089</v>
          </cell>
          <cell r="G34">
            <v>0</v>
          </cell>
          <cell r="H34">
            <v>546590</v>
          </cell>
          <cell r="I34">
            <v>0</v>
          </cell>
          <cell r="J34">
            <v>400225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981.67374999998879</v>
          </cell>
          <cell r="R34">
            <v>1136.4767885705767</v>
          </cell>
          <cell r="S34">
            <v>3954</v>
          </cell>
          <cell r="T34">
            <v>0.28742457981046449</v>
          </cell>
          <cell r="AB34">
            <v>8548666.1099999994</v>
          </cell>
        </row>
        <row r="36">
          <cell r="AB36">
            <v>5108.7900497512437</v>
          </cell>
        </row>
      </sheetData>
      <sheetData sheetId="8" refreshError="1"/>
      <sheetData sheetId="9">
        <row r="19">
          <cell r="F19">
            <v>0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44561</v>
          </cell>
          <cell r="B36">
            <v>2.2000000000000002</v>
          </cell>
          <cell r="C36">
            <v>7.8</v>
          </cell>
          <cell r="D36">
            <v>0</v>
          </cell>
          <cell r="H36">
            <v>6976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</row>
      </sheetData>
      <sheetData sheetId="3">
        <row r="34">
          <cell r="B34">
            <v>218</v>
          </cell>
        </row>
      </sheetData>
      <sheetData sheetId="4">
        <row r="35">
          <cell r="A35">
            <v>44530</v>
          </cell>
        </row>
      </sheetData>
      <sheetData sheetId="5">
        <row r="32">
          <cell r="A32">
            <v>44530</v>
          </cell>
        </row>
      </sheetData>
      <sheetData sheetId="6">
        <row r="35">
          <cell r="A35">
            <v>44530</v>
          </cell>
        </row>
        <row r="36">
          <cell r="BI36">
            <v>23</v>
          </cell>
        </row>
      </sheetData>
      <sheetData sheetId="7">
        <row r="26">
          <cell r="V26">
            <v>399615</v>
          </cell>
        </row>
      </sheetData>
      <sheetData sheetId="8"/>
      <sheetData sheetId="9">
        <row r="5">
          <cell r="B5">
            <v>30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E35">
            <v>0</v>
          </cell>
          <cell r="F35">
            <v>0</v>
          </cell>
          <cell r="G35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2.7999999999999936</v>
          </cell>
        </row>
        <row r="15">
          <cell r="B15">
            <v>-92.59999999999998</v>
          </cell>
        </row>
        <row r="16">
          <cell r="B16">
            <v>14.806451612903226</v>
          </cell>
        </row>
        <row r="17">
          <cell r="B17">
            <v>0</v>
          </cell>
        </row>
        <row r="18">
          <cell r="B18">
            <v>109</v>
          </cell>
        </row>
        <row r="19">
          <cell r="B19">
            <v>3.5161290322580645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5" sqref="F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SUM(tanks!AV6)</f>
        <v>0.60399999999999998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SUM(tanks!AV7)</f>
        <v>0.60399999999999998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0.60399999999999998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</v>
      </c>
      <c r="D5">
        <f t="shared" si="1"/>
        <v>2022</v>
      </c>
      <c r="E5" s="203">
        <f>ELEC!N7</f>
        <v>6258</v>
      </c>
      <c r="F5" s="315">
        <f>SUM('EDl log'!T7)</f>
        <v>0.30069591739991292</v>
      </c>
      <c r="G5" s="203">
        <f>-tanks!AW9</f>
        <v>0</v>
      </c>
      <c r="H5" s="315">
        <f>SUM(tanks!AV9)</f>
        <v>0.60399999999999998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</v>
      </c>
      <c r="D6">
        <f t="shared" si="1"/>
        <v>2022</v>
      </c>
      <c r="E6" s="203">
        <f>ELEC!N8</f>
        <v>5739</v>
      </c>
      <c r="F6" s="315">
        <f>SUM('EDl log'!T8)</f>
        <v>0.2909195386163046</v>
      </c>
      <c r="G6" s="203">
        <f>-tanks!AW10</f>
        <v>49</v>
      </c>
      <c r="H6" s="315">
        <f>SUM(tanks!AV10)</f>
        <v>0.60399999999999998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</v>
      </c>
      <c r="D7">
        <f t="shared" si="1"/>
        <v>2022</v>
      </c>
      <c r="E7" s="203">
        <f>ELEC!N9</f>
        <v>5459</v>
      </c>
      <c r="F7" s="315">
        <f>SUM('EDl log'!T9)</f>
        <v>6.0052400954882956E-2</v>
      </c>
      <c r="G7" s="203">
        <f>-tanks!AW11</f>
        <v>261</v>
      </c>
      <c r="H7" s="315">
        <f>SUM(tanks!AV11)</f>
        <v>0.622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0.622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0.622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</v>
      </c>
      <c r="D10">
        <f t="shared" si="1"/>
        <v>2022</v>
      </c>
      <c r="E10" s="203">
        <f>ELEC!N12</f>
        <v>5541</v>
      </c>
      <c r="F10" s="315">
        <f>SUM('EDl log'!T12)</f>
        <v>0.25086996172630138</v>
      </c>
      <c r="G10" s="203">
        <f>-tanks!AW14</f>
        <v>221</v>
      </c>
      <c r="H10" s="315">
        <f>SUM(tanks!AV14)</f>
        <v>0.622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</v>
      </c>
      <c r="D11">
        <f t="shared" si="1"/>
        <v>2022</v>
      </c>
      <c r="E11" s="203">
        <f>ELEC!N13</f>
        <v>5044</v>
      </c>
      <c r="F11" s="315">
        <f>SUM('EDl log'!T13)</f>
        <v>0.24926258416121347</v>
      </c>
      <c r="G11" s="203">
        <f>-tanks!AW15</f>
        <v>395</v>
      </c>
      <c r="H11" s="315">
        <f>SUM(tanks!AV15)</f>
        <v>0.622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</v>
      </c>
      <c r="D12">
        <f t="shared" si="1"/>
        <v>2022</v>
      </c>
      <c r="E12" s="203">
        <f>ELEC!N14</f>
        <v>5374</v>
      </c>
      <c r="F12" s="315">
        <f>SUM('EDl log'!T14)</f>
        <v>0.27249915480562803</v>
      </c>
      <c r="G12" s="203">
        <f>-tanks!AW16</f>
        <v>68</v>
      </c>
      <c r="H12" s="315">
        <f>SUM(tanks!AV16)</f>
        <v>0.622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0.622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</v>
      </c>
      <c r="D14">
        <f t="shared" si="1"/>
        <v>2022</v>
      </c>
      <c r="E14" s="203">
        <f>ELEC!N16</f>
        <v>5914</v>
      </c>
      <c r="F14" s="315">
        <f>SUM('EDl log'!T16)</f>
        <v>0.16516578591907558</v>
      </c>
      <c r="G14" s="203">
        <f>-tanks!AW18</f>
        <v>842</v>
      </c>
      <c r="H14" s="315">
        <f>SUM(tanks!AV18)</f>
        <v>0.622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0.622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0.622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</v>
      </c>
      <c r="D17">
        <f t="shared" si="1"/>
        <v>2022</v>
      </c>
      <c r="E17" s="203">
        <f>ELEC!N19</f>
        <v>4518</v>
      </c>
      <c r="F17" s="315">
        <f>SUM('EDl log'!T19)</f>
        <v>-0.12722269466331071</v>
      </c>
      <c r="G17" s="203">
        <f>-tanks!AW21</f>
        <v>352</v>
      </c>
      <c r="H17" s="315">
        <f>SUM(tanks!AV21)</f>
        <v>0.63800000000000001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</v>
      </c>
      <c r="D18">
        <f t="shared" si="1"/>
        <v>2022</v>
      </c>
      <c r="E18" s="203">
        <f>ELEC!N20</f>
        <v>4648</v>
      </c>
      <c r="F18" s="315">
        <f>SUM('EDl log'!T20)</f>
        <v>0.23435012662245153</v>
      </c>
      <c r="G18" s="203">
        <f>-tanks!AW22</f>
        <v>447</v>
      </c>
      <c r="H18" s="315">
        <f>SUM(tanks!AV22)</f>
        <v>0.63800000000000001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</v>
      </c>
      <c r="D19">
        <f t="shared" si="1"/>
        <v>2022</v>
      </c>
      <c r="E19" s="203">
        <f>ELEC!N21</f>
        <v>5885</v>
      </c>
      <c r="F19" s="315">
        <f>SUM('EDl log'!T21)</f>
        <v>0.23692051522837479</v>
      </c>
      <c r="G19" s="203">
        <f>-tanks!AW23</f>
        <v>416</v>
      </c>
      <c r="H19" s="315">
        <f>SUM(tanks!AV23)</f>
        <v>0.63800000000000001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</v>
      </c>
      <c r="D20">
        <f t="shared" si="1"/>
        <v>2022</v>
      </c>
      <c r="E20" s="203">
        <f>ELEC!N22</f>
        <v>5677</v>
      </c>
      <c r="F20" s="315">
        <f>SUM('EDl log'!T22)</f>
        <v>0.26577359687571334</v>
      </c>
      <c r="G20" s="203">
        <f>-tanks!AW24</f>
        <v>572</v>
      </c>
      <c r="H20" s="315">
        <f>SUM(tanks!AV24)</f>
        <v>0.63800000000000001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</v>
      </c>
      <c r="D21">
        <f t="shared" si="1"/>
        <v>2022</v>
      </c>
      <c r="E21" s="203">
        <f>ELEC!N23</f>
        <v>5123</v>
      </c>
      <c r="F21" s="315">
        <f>SUM('EDl log'!T23)</f>
        <v>0.27301086181032774</v>
      </c>
      <c r="G21" s="203">
        <f>-tanks!AW25</f>
        <v>518</v>
      </c>
      <c r="H21" s="315">
        <f>SUM(tanks!AV25)</f>
        <v>0.63800000000000001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0.63800000000000001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0.63800000000000001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</v>
      </c>
      <c r="D24">
        <f t="shared" si="1"/>
        <v>2022</v>
      </c>
      <c r="E24" s="203">
        <f>ELEC!N26</f>
        <v>5503</v>
      </c>
      <c r="F24" s="315">
        <f>SUM('EDl log'!T26)</f>
        <v>0.226729140091844</v>
      </c>
      <c r="G24" s="203">
        <f>-tanks!AW28</f>
        <v>412</v>
      </c>
      <c r="H24" s="315">
        <f>SUM(tanks!AV28)</f>
        <v>0.63800000000000001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</v>
      </c>
      <c r="D25">
        <f t="shared" si="1"/>
        <v>2022</v>
      </c>
      <c r="E25" s="203">
        <f>ELEC!N27</f>
        <v>5678</v>
      </c>
      <c r="F25" s="315">
        <f>SUM('EDl log'!T27)</f>
        <v>0.23679239734395582</v>
      </c>
      <c r="G25" s="203">
        <f>-tanks!AW29</f>
        <v>565</v>
      </c>
      <c r="H25" s="315">
        <f>SUM(tanks!AV29)</f>
        <v>0.63800000000000001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</v>
      </c>
      <c r="D26">
        <f t="shared" si="1"/>
        <v>2022</v>
      </c>
      <c r="E26" s="203">
        <f>ELEC!N28</f>
        <v>6028</v>
      </c>
      <c r="F26" s="315">
        <f>SUM('EDl log'!T28)</f>
        <v>0.29260215749530488</v>
      </c>
      <c r="G26" s="203">
        <f>-tanks!AW30</f>
        <v>522</v>
      </c>
      <c r="H26" s="315">
        <f>SUM(tanks!AV30)</f>
        <v>0.63800000000000001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0.63800000000000001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0.63800000000000001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0.63800000000000001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0.63800000000000001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0.63800000000000001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0.63800000000000001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J10" sqref="J1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</v>
      </c>
      <c r="D5">
        <v>2022</v>
      </c>
      <c r="E5" s="203">
        <f>ELEC!M7</f>
        <v>1312</v>
      </c>
      <c r="F5" s="203">
        <f>ELEC!K7</f>
        <v>1492</v>
      </c>
      <c r="G5" s="203">
        <f>ELEC!I7</f>
        <v>564</v>
      </c>
      <c r="H5" s="203">
        <f>ELEC!E7</f>
        <v>2580</v>
      </c>
      <c r="I5" s="203">
        <f>ELEC!G7</f>
        <v>310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</v>
      </c>
      <c r="D6">
        <v>2022</v>
      </c>
      <c r="E6" s="203">
        <f>ELEC!M8</f>
        <v>1108</v>
      </c>
      <c r="F6" s="203">
        <f>ELEC!K8</f>
        <v>1696</v>
      </c>
      <c r="G6" s="203">
        <f>ELEC!I8</f>
        <v>498</v>
      </c>
      <c r="H6" s="203">
        <f>ELEC!E8</f>
        <v>2180</v>
      </c>
      <c r="I6" s="203">
        <f>ELEC!G8</f>
        <v>257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</v>
      </c>
      <c r="D7">
        <v>2022</v>
      </c>
      <c r="E7" s="203">
        <f>ELEC!M9</f>
        <v>1092</v>
      </c>
      <c r="F7" s="203">
        <f>ELEC!K9</f>
        <v>1524</v>
      </c>
      <c r="G7" s="203">
        <f>ELEC!I9</f>
        <v>486</v>
      </c>
      <c r="H7" s="203">
        <f>ELEC!E9</f>
        <v>2110</v>
      </c>
      <c r="I7" s="203">
        <f>ELEC!G9</f>
        <v>247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</v>
      </c>
      <c r="D10">
        <v>2022</v>
      </c>
      <c r="E10" s="203">
        <f>ELEC!M12</f>
        <v>1054</v>
      </c>
      <c r="F10" s="203">
        <f>ELEC!K12</f>
        <v>1606</v>
      </c>
      <c r="G10" s="203">
        <f>ELEC!I12</f>
        <v>478</v>
      </c>
      <c r="H10" s="203">
        <f>ELEC!E12</f>
        <v>2150</v>
      </c>
      <c r="I10" s="203">
        <f>ELEC!G12</f>
        <v>253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</v>
      </c>
      <c r="D11">
        <v>2022</v>
      </c>
      <c r="E11" s="203">
        <f>ELEC!M13</f>
        <v>1014</v>
      </c>
      <c r="F11" s="203">
        <f>ELEC!K13</f>
        <v>1334</v>
      </c>
      <c r="G11" s="203">
        <f>ELEC!I13</f>
        <v>458</v>
      </c>
      <c r="H11" s="203">
        <f>ELEC!E13</f>
        <v>1980</v>
      </c>
      <c r="I11" s="203">
        <f>ELEC!G13</f>
        <v>258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</v>
      </c>
      <c r="D12">
        <v>2022</v>
      </c>
      <c r="E12" s="203">
        <f>ELEC!M14</f>
        <v>1002</v>
      </c>
      <c r="F12" s="203">
        <f>ELEC!K14</f>
        <v>1628</v>
      </c>
      <c r="G12" s="203">
        <f>ELEC!I14</f>
        <v>448</v>
      </c>
      <c r="H12" s="203">
        <f>ELEC!E14</f>
        <v>2060</v>
      </c>
      <c r="I12" s="203">
        <f>ELEC!G14</f>
        <v>236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</v>
      </c>
      <c r="D14">
        <v>2022</v>
      </c>
      <c r="E14" s="203">
        <f>ELEC!M16</f>
        <v>1148</v>
      </c>
      <c r="F14" s="203">
        <f>ELEC!K16</f>
        <v>1596</v>
      </c>
      <c r="G14" s="203">
        <f>ELEC!I16</f>
        <v>490</v>
      </c>
      <c r="H14" s="203">
        <f>ELEC!E16</f>
        <v>2420</v>
      </c>
      <c r="I14" s="203">
        <f>ELEC!G16</f>
        <v>260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</v>
      </c>
      <c r="D17">
        <v>2022</v>
      </c>
      <c r="E17" s="203">
        <f>ELEC!M19</f>
        <v>856</v>
      </c>
      <c r="F17" s="203">
        <f>ELEC!K19</f>
        <v>1185</v>
      </c>
      <c r="G17" s="203">
        <f>ELEC!I19</f>
        <v>410</v>
      </c>
      <c r="H17" s="203">
        <f>ELEC!E19</f>
        <v>1850</v>
      </c>
      <c r="I17" s="203">
        <f>ELEC!G19</f>
        <v>217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</v>
      </c>
      <c r="D18">
        <v>2022</v>
      </c>
      <c r="E18" s="203">
        <f>ELEC!M20</f>
        <v>910</v>
      </c>
      <c r="F18" s="203">
        <f>ELEC!K20</f>
        <v>1177</v>
      </c>
      <c r="G18" s="203">
        <f>ELEC!I20</f>
        <v>436</v>
      </c>
      <c r="H18" s="203">
        <f>ELEC!E20</f>
        <v>1900</v>
      </c>
      <c r="I18" s="203">
        <f>ELEC!G20</f>
        <v>225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</v>
      </c>
      <c r="D19">
        <v>2022</v>
      </c>
      <c r="E19" s="203">
        <f>ELEC!M21</f>
        <v>1206</v>
      </c>
      <c r="F19" s="203">
        <f>ELEC!K21</f>
        <v>1594</v>
      </c>
      <c r="G19" s="203">
        <f>ELEC!I21</f>
        <v>510</v>
      </c>
      <c r="H19" s="203">
        <f>ELEC!E21</f>
        <v>2350</v>
      </c>
      <c r="I19" s="203">
        <f>ELEC!G21</f>
        <v>225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</v>
      </c>
      <c r="D20">
        <v>2022</v>
      </c>
      <c r="E20" s="203">
        <f>ELEC!M22</f>
        <v>1136</v>
      </c>
      <c r="F20" s="203">
        <f>ELEC!K22</f>
        <v>1596</v>
      </c>
      <c r="G20" s="203">
        <f>ELEC!I22</f>
        <v>466</v>
      </c>
      <c r="H20" s="203">
        <f>ELEC!E22</f>
        <v>2270</v>
      </c>
      <c r="I20" s="203">
        <f>ELEC!G22</f>
        <v>209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</v>
      </c>
      <c r="D21">
        <v>2022</v>
      </c>
      <c r="E21" s="203">
        <f>ELEC!M23</f>
        <v>988</v>
      </c>
      <c r="F21" s="203">
        <f>ELEC!K23</f>
        <v>1368</v>
      </c>
      <c r="G21" s="203">
        <f>ELEC!I23</f>
        <v>448</v>
      </c>
      <c r="H21" s="203">
        <f>ELEC!E23</f>
        <v>2120</v>
      </c>
      <c r="I21" s="203">
        <f>ELEC!G23</f>
        <v>199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</v>
      </c>
      <c r="D24">
        <v>2022</v>
      </c>
      <c r="E24" s="203">
        <f>ELEC!M26</f>
        <v>1032</v>
      </c>
      <c r="F24" s="203">
        <f>ELEC!K26</f>
        <v>1424</v>
      </c>
      <c r="G24" s="203">
        <f>ELEC!I26</f>
        <v>458</v>
      </c>
      <c r="H24" s="203">
        <f>ELEC!E26</f>
        <v>2380</v>
      </c>
      <c r="I24" s="203">
        <f>ELEC!G26</f>
        <v>209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</v>
      </c>
      <c r="D25">
        <v>2022</v>
      </c>
      <c r="E25" s="203">
        <f>ELEC!M27</f>
        <v>1072</v>
      </c>
      <c r="F25" s="203">
        <f>ELEC!K27</f>
        <v>1424</v>
      </c>
      <c r="G25" s="203">
        <f>ELEC!I27</f>
        <v>442</v>
      </c>
      <c r="H25" s="203">
        <f>ELEC!E27</f>
        <v>2520</v>
      </c>
      <c r="I25" s="203">
        <f>ELEC!G27</f>
        <v>220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</v>
      </c>
      <c r="D26">
        <v>2022</v>
      </c>
      <c r="E26" s="203">
        <f>ELEC!M28</f>
        <v>1132</v>
      </c>
      <c r="F26" s="203">
        <f>ELEC!K28</f>
        <v>1616</v>
      </c>
      <c r="G26" s="203">
        <f>ELEC!I28</f>
        <v>472</v>
      </c>
      <c r="H26" s="203">
        <f>ELEC!E28</f>
        <v>2580</v>
      </c>
      <c r="I26" s="203">
        <f>ELEC!G28</f>
        <v>228</v>
      </c>
      <c r="J26" s="203">
        <f>WATER!Y30</f>
        <v>70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abSelected="1" topLeftCell="W1" zoomScale="70" zoomScaleNormal="70" zoomScaleSheetLayoutView="100" workbookViewId="0">
      <pane ySplit="2" topLeftCell="A3" activePane="bottomLeft" state="frozen"/>
      <selection activeCell="C1" sqref="C1"/>
      <selection pane="bottomLeft" activeCell="Q28" sqref="Q2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44561</v>
      </c>
      <c r="D3" s="599">
        <f>[2]ELEC!D34</f>
        <v>118750</v>
      </c>
      <c r="E3" s="599">
        <f>[2]ELEC!E34</f>
        <v>1910</v>
      </c>
      <c r="F3" s="599">
        <f>[2]ELEC!F34</f>
        <v>4110097</v>
      </c>
      <c r="G3" s="599">
        <f>[2]ELEC!G34</f>
        <v>206</v>
      </c>
      <c r="H3" s="599">
        <f>[2]ELEC!H34</f>
        <v>18001838</v>
      </c>
      <c r="I3" s="599">
        <f>[2]ELEC!I34</f>
        <v>408</v>
      </c>
      <c r="J3" s="599">
        <f>[2]ELEC!J34</f>
        <v>29657486</v>
      </c>
      <c r="K3" s="599">
        <f>[2]ELEC!K34</f>
        <v>550</v>
      </c>
      <c r="L3" s="599">
        <f>[2]ELEC!L34</f>
        <v>24498960</v>
      </c>
      <c r="M3" s="599">
        <f>[2]ELEC!M34</f>
        <v>880</v>
      </c>
      <c r="N3" s="599">
        <f>[2]ELEC!N34</f>
        <v>3954</v>
      </c>
      <c r="O3" s="599">
        <f>[2]ELEC!O34</f>
        <v>0</v>
      </c>
      <c r="P3" s="599">
        <f>[2]ELEC!P34</f>
        <v>18783.96</v>
      </c>
      <c r="Q3" s="599">
        <f>[2]ELEC!Q34</f>
        <v>8172.999999998865</v>
      </c>
      <c r="R3" s="599">
        <f>[2]ELEC!R34</f>
        <v>-4218.999999998865</v>
      </c>
      <c r="S3" s="599">
        <f>[2]ELEC!S34</f>
        <v>10175</v>
      </c>
      <c r="T3" s="599">
        <f>[2]ELEC!T34</f>
        <v>0</v>
      </c>
      <c r="U3" s="599">
        <f>[2]ELEC!U34</f>
        <v>429166</v>
      </c>
      <c r="V3" s="599">
        <f>[2]ELEC!V34</f>
        <v>0</v>
      </c>
      <c r="W3" s="599">
        <f>[2]ELEC!W34</f>
        <v>33479</v>
      </c>
      <c r="X3" s="599">
        <f>[2]ELEC!X34</f>
        <v>0</v>
      </c>
      <c r="Y3" s="599">
        <f>[2]ELEC!Y34</f>
        <v>995654</v>
      </c>
      <c r="Z3" s="599">
        <f>[2]ELEC!Z34</f>
        <v>0</v>
      </c>
      <c r="AA3" s="599">
        <f>[2]ELEC!AA34</f>
        <v>36796</v>
      </c>
      <c r="AB3" s="599">
        <f>[2]ELEC!AB34</f>
        <v>0</v>
      </c>
      <c r="AC3" s="599">
        <f>[2]ELEC!AC34</f>
        <v>1170505</v>
      </c>
      <c r="AD3" s="599">
        <f>[2]ELEC!AD34</f>
        <v>0</v>
      </c>
      <c r="AE3" s="599">
        <f>[2]ELEC!AE34</f>
        <v>0</v>
      </c>
      <c r="AF3" s="599">
        <f>[2]ELEC!AF34</f>
        <v>0</v>
      </c>
      <c r="AG3" s="599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44562</v>
      </c>
      <c r="D4" s="600">
        <f>D3</f>
        <v>118750</v>
      </c>
      <c r="E4" s="584">
        <f>D4-D3</f>
        <v>0</v>
      </c>
      <c r="F4" s="573">
        <f>F3</f>
        <v>4110097</v>
      </c>
      <c r="G4" s="585">
        <f>F4-F3</f>
        <v>0</v>
      </c>
      <c r="H4" s="426">
        <f>H3</f>
        <v>18001838</v>
      </c>
      <c r="I4" s="585">
        <f>H4-H3</f>
        <v>0</v>
      </c>
      <c r="J4" s="426">
        <f>J3</f>
        <v>29657486</v>
      </c>
      <c r="K4" s="585">
        <f>J4-J3</f>
        <v>0</v>
      </c>
      <c r="L4" s="426">
        <f>L3</f>
        <v>24498960</v>
      </c>
      <c r="M4" s="585">
        <f>L4-L3</f>
        <v>0</v>
      </c>
      <c r="N4" s="427">
        <f>M4+K4+I4+G4+E4</f>
        <v>0</v>
      </c>
      <c r="O4" s="438">
        <f t="shared" ref="O4:O10" si="0">IF(B4&gt;0,N4/B4,0)</f>
        <v>0</v>
      </c>
      <c r="P4" s="564">
        <f>P3</f>
        <v>18783.96</v>
      </c>
      <c r="Q4" s="446">
        <f t="shared" ref="Q4:Q34" si="1">(P4-P3)*1000</f>
        <v>0</v>
      </c>
      <c r="R4" s="548">
        <f>+N4-Q4</f>
        <v>0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33479</v>
      </c>
      <c r="X4" s="439">
        <f t="shared" ref="X4:X9" si="3">W4-W3</f>
        <v>0</v>
      </c>
      <c r="Y4" s="426">
        <f>Y3</f>
        <v>995654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44563</v>
      </c>
      <c r="D5" s="600">
        <f t="shared" ref="D5:D34" si="7">D4</f>
        <v>118750</v>
      </c>
      <c r="E5" s="584">
        <f t="shared" ref="E5:E34" si="8">D5-D4</f>
        <v>0</v>
      </c>
      <c r="F5" s="573">
        <f t="shared" ref="F5:F34" si="9">F4</f>
        <v>4110097</v>
      </c>
      <c r="G5" s="449">
        <f>F5-F4</f>
        <v>0</v>
      </c>
      <c r="H5" s="426">
        <f t="shared" ref="H5:H34" si="10">H4</f>
        <v>18001838</v>
      </c>
      <c r="I5" s="449">
        <f>H5-H4</f>
        <v>0</v>
      </c>
      <c r="J5" s="426">
        <f t="shared" ref="J5:J34" si="11">J4</f>
        <v>29657486</v>
      </c>
      <c r="K5" s="449">
        <f>J5-J4</f>
        <v>0</v>
      </c>
      <c r="L5" s="426">
        <f t="shared" ref="L5:L34" si="12">L4</f>
        <v>24498960</v>
      </c>
      <c r="M5" s="449">
        <f>L5-L4</f>
        <v>0</v>
      </c>
      <c r="N5" s="297">
        <f>M5+K5+I5+G5+E5</f>
        <v>0</v>
      </c>
      <c r="O5" s="445">
        <f t="shared" si="0"/>
        <v>0</v>
      </c>
      <c r="P5" s="564">
        <f t="shared" ref="P5:P34" si="13">P4</f>
        <v>18783.96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33479</v>
      </c>
      <c r="X5" s="428">
        <f t="shared" si="3"/>
        <v>0</v>
      </c>
      <c r="Y5" s="426">
        <f t="shared" ref="Y5:Y34" si="17">Y4</f>
        <v>995654</v>
      </c>
      <c r="Z5" s="428">
        <f>Y5-Y4</f>
        <v>0</v>
      </c>
      <c r="AA5" s="426">
        <v>36796</v>
      </c>
      <c r="AB5" s="448">
        <f>AA5-AA4</f>
        <v>0</v>
      </c>
      <c r="AC5" s="426">
        <f t="shared" ref="AC5:AC34" si="18">AC4</f>
        <v>1170505</v>
      </c>
      <c r="AD5" s="449">
        <f>AC5-AC4</f>
        <v>0</v>
      </c>
      <c r="AE5" s="450">
        <f t="shared" ref="AE5:AE31" si="19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44564</v>
      </c>
      <c r="D6" s="600">
        <f t="shared" si="7"/>
        <v>118750</v>
      </c>
      <c r="E6" s="584">
        <f t="shared" si="8"/>
        <v>0</v>
      </c>
      <c r="F6" s="573">
        <f t="shared" si="9"/>
        <v>4110097</v>
      </c>
      <c r="G6" s="449">
        <f t="shared" ref="G6:G33" si="20">F6-F5</f>
        <v>0</v>
      </c>
      <c r="H6" s="426">
        <f t="shared" si="10"/>
        <v>18001838</v>
      </c>
      <c r="I6" s="449">
        <f t="shared" ref="I6:I34" si="21">H6-H5</f>
        <v>0</v>
      </c>
      <c r="J6" s="426">
        <f t="shared" si="11"/>
        <v>29657486</v>
      </c>
      <c r="K6" s="449">
        <f t="shared" ref="K6:K33" si="22">J6-J5</f>
        <v>0</v>
      </c>
      <c r="L6" s="426">
        <f t="shared" si="12"/>
        <v>24498960</v>
      </c>
      <c r="M6" s="449">
        <f t="shared" ref="M6:M33" si="23">L6-L5</f>
        <v>0</v>
      </c>
      <c r="N6" s="297">
        <f t="shared" ref="N6:N33" si="24">M6+K6+I6+G6+E6</f>
        <v>0</v>
      </c>
      <c r="O6" s="445">
        <f t="shared" si="0"/>
        <v>0</v>
      </c>
      <c r="P6" s="564">
        <f t="shared" si="13"/>
        <v>18783.96</v>
      </c>
      <c r="Q6" s="446">
        <f t="shared" si="1"/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1" si="25">U6-U5</f>
        <v>0</v>
      </c>
      <c r="W6" s="426">
        <f t="shared" si="16"/>
        <v>33479</v>
      </c>
      <c r="X6" s="428">
        <f t="shared" si="3"/>
        <v>0</v>
      </c>
      <c r="Y6" s="426">
        <f t="shared" si="17"/>
        <v>995654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8"/>
        <v>1170505</v>
      </c>
      <c r="AD6" s="428">
        <f t="shared" ref="AD6:AD17" si="28">AC6-AC5</f>
        <v>0</v>
      </c>
      <c r="AE6" s="450">
        <f t="shared" si="19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44565</v>
      </c>
      <c r="D7" s="600">
        <v>121330</v>
      </c>
      <c r="E7" s="584">
        <f t="shared" si="8"/>
        <v>2580</v>
      </c>
      <c r="F7" s="573">
        <v>4110407</v>
      </c>
      <c r="G7" s="449">
        <f t="shared" si="20"/>
        <v>310</v>
      </c>
      <c r="H7" s="426">
        <v>18002402</v>
      </c>
      <c r="I7" s="449">
        <f t="shared" si="21"/>
        <v>564</v>
      </c>
      <c r="J7" s="426">
        <v>29658978</v>
      </c>
      <c r="K7" s="449">
        <f t="shared" si="22"/>
        <v>1492</v>
      </c>
      <c r="L7" s="426">
        <v>24500272</v>
      </c>
      <c r="M7" s="449">
        <f t="shared" si="23"/>
        <v>1312</v>
      </c>
      <c r="N7" s="297">
        <f t="shared" si="24"/>
        <v>6258</v>
      </c>
      <c r="O7" s="445">
        <f t="shared" si="0"/>
        <v>0</v>
      </c>
      <c r="P7" s="564">
        <f t="shared" si="13"/>
        <v>18783.96</v>
      </c>
      <c r="Q7" s="446">
        <f t="shared" si="1"/>
        <v>0</v>
      </c>
      <c r="R7" s="428">
        <f t="shared" ref="R7:R18" si="29">N7-Q7</f>
        <v>6258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5"/>
        <v>0</v>
      </c>
      <c r="W7" s="426">
        <f t="shared" si="16"/>
        <v>33479</v>
      </c>
      <c r="X7" s="428">
        <f t="shared" si="3"/>
        <v>0</v>
      </c>
      <c r="Y7" s="426">
        <v>995801</v>
      </c>
      <c r="Z7" s="428">
        <f t="shared" ref="Z7:Z31" si="30">Y7-Y6</f>
        <v>147</v>
      </c>
      <c r="AA7" s="426">
        <f t="shared" si="26"/>
        <v>36796</v>
      </c>
      <c r="AB7" s="428">
        <f t="shared" si="27"/>
        <v>0</v>
      </c>
      <c r="AC7" s="426">
        <f t="shared" si="18"/>
        <v>1170505</v>
      </c>
      <c r="AD7" s="428">
        <f t="shared" si="28"/>
        <v>0</v>
      </c>
      <c r="AE7" s="450">
        <f t="shared" si="19"/>
        <v>0</v>
      </c>
      <c r="AF7" s="451">
        <f t="shared" si="4"/>
        <v>147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44566</v>
      </c>
      <c r="D8" s="600">
        <v>123510</v>
      </c>
      <c r="E8" s="584">
        <f t="shared" si="8"/>
        <v>2180</v>
      </c>
      <c r="F8" s="573">
        <v>4110664</v>
      </c>
      <c r="G8" s="449">
        <f t="shared" si="20"/>
        <v>257</v>
      </c>
      <c r="H8" s="426">
        <v>18002900</v>
      </c>
      <c r="I8" s="449">
        <f t="shared" si="21"/>
        <v>498</v>
      </c>
      <c r="J8" s="426">
        <v>29660674</v>
      </c>
      <c r="K8" s="449">
        <f t="shared" si="22"/>
        <v>1696</v>
      </c>
      <c r="L8" s="426">
        <v>24501380</v>
      </c>
      <c r="M8" s="449">
        <f t="shared" si="23"/>
        <v>1108</v>
      </c>
      <c r="N8" s="297">
        <f t="shared" si="24"/>
        <v>5739</v>
      </c>
      <c r="O8" s="445">
        <f t="shared" si="0"/>
        <v>0</v>
      </c>
      <c r="P8" s="564">
        <v>18795.649000000001</v>
      </c>
      <c r="Q8" s="446">
        <f t="shared" si="1"/>
        <v>11689.000000002125</v>
      </c>
      <c r="R8" s="428">
        <f t="shared" si="29"/>
        <v>-5950.0000000021246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5"/>
        <v>0</v>
      </c>
      <c r="W8" s="426">
        <v>33481</v>
      </c>
      <c r="X8" s="428">
        <f t="shared" si="3"/>
        <v>2</v>
      </c>
      <c r="Y8" s="426">
        <v>996104</v>
      </c>
      <c r="Z8" s="428">
        <f t="shared" si="30"/>
        <v>303</v>
      </c>
      <c r="AA8" s="426">
        <f t="shared" si="26"/>
        <v>36796</v>
      </c>
      <c r="AB8" s="428">
        <f t="shared" si="27"/>
        <v>0</v>
      </c>
      <c r="AC8" s="426">
        <f t="shared" si="18"/>
        <v>1170505</v>
      </c>
      <c r="AD8" s="428">
        <f t="shared" si="28"/>
        <v>0</v>
      </c>
      <c r="AE8" s="450">
        <f t="shared" si="19"/>
        <v>2</v>
      </c>
      <c r="AF8" s="451">
        <f t="shared" si="4"/>
        <v>303</v>
      </c>
      <c r="AG8" s="443">
        <f t="shared" si="5"/>
        <v>151.5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44567</v>
      </c>
      <c r="D9" s="600">
        <v>125620</v>
      </c>
      <c r="E9" s="584">
        <f t="shared" si="8"/>
        <v>2110</v>
      </c>
      <c r="F9" s="573">
        <v>4110911</v>
      </c>
      <c r="G9" s="449">
        <f t="shared" si="20"/>
        <v>247</v>
      </c>
      <c r="H9" s="426">
        <v>18003386</v>
      </c>
      <c r="I9" s="449">
        <f t="shared" si="21"/>
        <v>486</v>
      </c>
      <c r="J9" s="426">
        <v>29662198</v>
      </c>
      <c r="K9" s="449">
        <f t="shared" si="22"/>
        <v>1524</v>
      </c>
      <c r="L9" s="426">
        <v>24502472</v>
      </c>
      <c r="M9" s="449">
        <f t="shared" si="23"/>
        <v>1092</v>
      </c>
      <c r="N9" s="297">
        <f t="shared" si="24"/>
        <v>5459</v>
      </c>
      <c r="O9" s="445">
        <f t="shared" si="0"/>
        <v>0</v>
      </c>
      <c r="P9" s="564">
        <v>18800.998</v>
      </c>
      <c r="Q9" s="446">
        <f t="shared" si="1"/>
        <v>5348.9999999983411</v>
      </c>
      <c r="R9" s="428">
        <f t="shared" si="29"/>
        <v>110.00000000165892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5"/>
        <v>0</v>
      </c>
      <c r="W9" s="426">
        <f t="shared" si="16"/>
        <v>33481</v>
      </c>
      <c r="X9" s="428">
        <f t="shared" si="3"/>
        <v>0</v>
      </c>
      <c r="Y9" s="426">
        <v>996338</v>
      </c>
      <c r="Z9" s="428">
        <f t="shared" si="30"/>
        <v>234</v>
      </c>
      <c r="AA9" s="426">
        <f t="shared" si="26"/>
        <v>36796</v>
      </c>
      <c r="AB9" s="428">
        <f t="shared" si="27"/>
        <v>0</v>
      </c>
      <c r="AC9" s="426">
        <f t="shared" si="18"/>
        <v>1170505</v>
      </c>
      <c r="AD9" s="428">
        <f t="shared" si="28"/>
        <v>0</v>
      </c>
      <c r="AE9" s="450">
        <f t="shared" si="19"/>
        <v>0</v>
      </c>
      <c r="AF9" s="451">
        <f t="shared" si="4"/>
        <v>234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44568</v>
      </c>
      <c r="D10" s="600">
        <f t="shared" si="7"/>
        <v>125620</v>
      </c>
      <c r="E10" s="584">
        <f t="shared" si="8"/>
        <v>0</v>
      </c>
      <c r="F10" s="573">
        <f t="shared" si="9"/>
        <v>4110911</v>
      </c>
      <c r="G10" s="449">
        <f t="shared" si="20"/>
        <v>0</v>
      </c>
      <c r="H10" s="426">
        <f t="shared" si="10"/>
        <v>18003386</v>
      </c>
      <c r="I10" s="449">
        <f t="shared" si="21"/>
        <v>0</v>
      </c>
      <c r="J10" s="426">
        <f t="shared" si="11"/>
        <v>29662198</v>
      </c>
      <c r="K10" s="449">
        <f t="shared" si="22"/>
        <v>0</v>
      </c>
      <c r="L10" s="426">
        <f t="shared" si="12"/>
        <v>24502472</v>
      </c>
      <c r="M10" s="449">
        <f t="shared" si="23"/>
        <v>0</v>
      </c>
      <c r="N10" s="297">
        <f t="shared" si="24"/>
        <v>0</v>
      </c>
      <c r="O10" s="445">
        <f t="shared" si="0"/>
        <v>0</v>
      </c>
      <c r="P10" s="564">
        <f t="shared" si="13"/>
        <v>18800.998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5"/>
        <v>0</v>
      </c>
      <c r="W10" s="426">
        <f t="shared" si="16"/>
        <v>33481</v>
      </c>
      <c r="X10" s="428">
        <f t="shared" ref="X10:X31" si="31">W10-W9</f>
        <v>0</v>
      </c>
      <c r="Y10" s="426">
        <f t="shared" si="17"/>
        <v>996338</v>
      </c>
      <c r="Z10" s="428">
        <f t="shared" si="30"/>
        <v>0</v>
      </c>
      <c r="AA10" s="426">
        <v>36796</v>
      </c>
      <c r="AB10" s="428">
        <f t="shared" si="27"/>
        <v>0</v>
      </c>
      <c r="AC10" s="426">
        <f t="shared" si="18"/>
        <v>1170505</v>
      </c>
      <c r="AD10" s="428">
        <f t="shared" si="28"/>
        <v>0</v>
      </c>
      <c r="AE10" s="450">
        <f t="shared" si="19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44569</v>
      </c>
      <c r="D11" s="600">
        <f t="shared" si="7"/>
        <v>125620</v>
      </c>
      <c r="E11" s="584">
        <f t="shared" si="8"/>
        <v>0</v>
      </c>
      <c r="F11" s="573">
        <f t="shared" si="9"/>
        <v>4110911</v>
      </c>
      <c r="G11" s="449">
        <f t="shared" si="20"/>
        <v>0</v>
      </c>
      <c r="H11" s="426">
        <f t="shared" si="10"/>
        <v>18003386</v>
      </c>
      <c r="I11" s="449">
        <f t="shared" si="21"/>
        <v>0</v>
      </c>
      <c r="J11" s="426">
        <f t="shared" si="11"/>
        <v>29662198</v>
      </c>
      <c r="K11" s="449">
        <f t="shared" si="22"/>
        <v>0</v>
      </c>
      <c r="L11" s="426">
        <f t="shared" si="12"/>
        <v>24502472</v>
      </c>
      <c r="M11" s="449">
        <f t="shared" si="23"/>
        <v>0</v>
      </c>
      <c r="N11" s="297">
        <f t="shared" si="24"/>
        <v>0</v>
      </c>
      <c r="O11" s="445">
        <f t="shared" ref="O11:O31" si="32">IF(B11&gt;0,N11/B11,0)</f>
        <v>0</v>
      </c>
      <c r="P11" s="564">
        <f t="shared" si="13"/>
        <v>18800.998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5"/>
        <v>0</v>
      </c>
      <c r="W11" s="426">
        <f t="shared" si="16"/>
        <v>33481</v>
      </c>
      <c r="X11" s="428">
        <f t="shared" si="31"/>
        <v>0</v>
      </c>
      <c r="Y11" s="426">
        <f t="shared" si="17"/>
        <v>996338</v>
      </c>
      <c r="Z11" s="428">
        <f t="shared" si="30"/>
        <v>0</v>
      </c>
      <c r="AA11" s="426">
        <f t="shared" si="26"/>
        <v>36796</v>
      </c>
      <c r="AB11" s="428">
        <f t="shared" si="27"/>
        <v>0</v>
      </c>
      <c r="AC11" s="426">
        <f t="shared" si="18"/>
        <v>1170505</v>
      </c>
      <c r="AD11" s="428">
        <f t="shared" si="28"/>
        <v>0</v>
      </c>
      <c r="AE11" s="450">
        <f t="shared" si="19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44570</v>
      </c>
      <c r="D12" s="600">
        <v>127770</v>
      </c>
      <c r="E12" s="584">
        <f>D12-D11</f>
        <v>2150</v>
      </c>
      <c r="F12" s="573">
        <v>4111164</v>
      </c>
      <c r="G12" s="449">
        <f t="shared" si="20"/>
        <v>253</v>
      </c>
      <c r="H12" s="426">
        <v>18003864</v>
      </c>
      <c r="I12" s="449">
        <f t="shared" si="21"/>
        <v>478</v>
      </c>
      <c r="J12" s="426">
        <v>29663804</v>
      </c>
      <c r="K12" s="449">
        <f t="shared" si="22"/>
        <v>1606</v>
      </c>
      <c r="L12" s="426">
        <v>24503526</v>
      </c>
      <c r="M12" s="449">
        <f t="shared" si="23"/>
        <v>1054</v>
      </c>
      <c r="N12" s="297">
        <f>M12+K12+I12+G12+E12</f>
        <v>5541</v>
      </c>
      <c r="O12" s="445">
        <f t="shared" si="32"/>
        <v>0</v>
      </c>
      <c r="P12" s="564">
        <v>18806.463</v>
      </c>
      <c r="Q12" s="446">
        <f t="shared" si="1"/>
        <v>5465.0000000001455</v>
      </c>
      <c r="R12" s="428">
        <f t="shared" si="29"/>
        <v>75.999999999854481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5"/>
        <v>0</v>
      </c>
      <c r="W12" s="426">
        <v>33482</v>
      </c>
      <c r="X12" s="428">
        <f t="shared" si="31"/>
        <v>1</v>
      </c>
      <c r="Y12" s="426">
        <v>996538</v>
      </c>
      <c r="Z12" s="428">
        <f t="shared" si="30"/>
        <v>200</v>
      </c>
      <c r="AA12" s="426">
        <f t="shared" si="26"/>
        <v>36796</v>
      </c>
      <c r="AB12" s="428">
        <f t="shared" si="27"/>
        <v>0</v>
      </c>
      <c r="AC12" s="426">
        <f t="shared" si="18"/>
        <v>1170505</v>
      </c>
      <c r="AD12" s="428">
        <f t="shared" si="28"/>
        <v>0</v>
      </c>
      <c r="AE12" s="450">
        <f t="shared" si="19"/>
        <v>1</v>
      </c>
      <c r="AF12" s="451">
        <f t="shared" si="4"/>
        <v>200</v>
      </c>
      <c r="AG12" s="443">
        <f t="shared" si="33"/>
        <v>200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44571</v>
      </c>
      <c r="D13" s="600">
        <v>129750</v>
      </c>
      <c r="E13" s="584">
        <f t="shared" si="8"/>
        <v>1980</v>
      </c>
      <c r="F13" s="573">
        <v>4111422</v>
      </c>
      <c r="G13" s="449">
        <f t="shared" si="20"/>
        <v>258</v>
      </c>
      <c r="H13" s="426">
        <v>18004322</v>
      </c>
      <c r="I13" s="449">
        <f t="shared" si="21"/>
        <v>458</v>
      </c>
      <c r="J13" s="426">
        <v>29665138</v>
      </c>
      <c r="K13" s="449">
        <f t="shared" si="22"/>
        <v>1334</v>
      </c>
      <c r="L13" s="426">
        <v>24504540</v>
      </c>
      <c r="M13" s="449">
        <f t="shared" si="23"/>
        <v>1014</v>
      </c>
      <c r="N13" s="297">
        <f>M13+K13+I13+G13+E13</f>
        <v>5044</v>
      </c>
      <c r="O13" s="445">
        <f t="shared" si="32"/>
        <v>0</v>
      </c>
      <c r="P13" s="564">
        <v>18811.271000000001</v>
      </c>
      <c r="Q13" s="446">
        <f t="shared" si="1"/>
        <v>4808.0000000009022</v>
      </c>
      <c r="R13" s="428">
        <f t="shared" si="29"/>
        <v>235.99999999909778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5"/>
        <v>0</v>
      </c>
      <c r="W13" s="426">
        <v>33483</v>
      </c>
      <c r="X13" s="428">
        <f t="shared" si="31"/>
        <v>1</v>
      </c>
      <c r="Y13" s="426">
        <v>996641</v>
      </c>
      <c r="Z13" s="428">
        <f t="shared" si="30"/>
        <v>103</v>
      </c>
      <c r="AA13" s="426">
        <f t="shared" si="26"/>
        <v>36796</v>
      </c>
      <c r="AB13" s="428">
        <f t="shared" si="27"/>
        <v>0</v>
      </c>
      <c r="AC13" s="426">
        <f t="shared" si="18"/>
        <v>1170505</v>
      </c>
      <c r="AD13" s="428">
        <f t="shared" si="28"/>
        <v>0</v>
      </c>
      <c r="AE13" s="450">
        <f t="shared" si="19"/>
        <v>1</v>
      </c>
      <c r="AF13" s="451">
        <f t="shared" si="4"/>
        <v>103</v>
      </c>
      <c r="AG13" s="443">
        <f t="shared" si="33"/>
        <v>103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44572</v>
      </c>
      <c r="D14" s="600">
        <v>131810</v>
      </c>
      <c r="E14" s="584">
        <f t="shared" si="8"/>
        <v>2060</v>
      </c>
      <c r="F14" s="573">
        <v>4111658</v>
      </c>
      <c r="G14" s="449">
        <f t="shared" si="20"/>
        <v>236</v>
      </c>
      <c r="H14" s="426">
        <v>18004770</v>
      </c>
      <c r="I14" s="449">
        <f t="shared" si="21"/>
        <v>448</v>
      </c>
      <c r="J14" s="426">
        <v>29666766</v>
      </c>
      <c r="K14" s="449">
        <f t="shared" si="22"/>
        <v>1628</v>
      </c>
      <c r="L14" s="426">
        <v>24505542</v>
      </c>
      <c r="M14" s="449">
        <f t="shared" si="23"/>
        <v>1002</v>
      </c>
      <c r="N14" s="297">
        <f t="shared" si="24"/>
        <v>5374</v>
      </c>
      <c r="O14" s="445">
        <f t="shared" si="32"/>
        <v>0</v>
      </c>
      <c r="P14" s="564">
        <v>18816</v>
      </c>
      <c r="Q14" s="446">
        <f t="shared" si="1"/>
        <v>4728.9999999993597</v>
      </c>
      <c r="R14" s="428">
        <f t="shared" si="29"/>
        <v>645.00000000064028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5"/>
        <v>0</v>
      </c>
      <c r="W14" s="426">
        <f t="shared" si="16"/>
        <v>33483</v>
      </c>
      <c r="X14" s="428">
        <f t="shared" si="31"/>
        <v>0</v>
      </c>
      <c r="Y14" s="426">
        <f t="shared" si="17"/>
        <v>996641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8"/>
        <v>1170505</v>
      </c>
      <c r="AD14" s="428">
        <f t="shared" si="28"/>
        <v>0</v>
      </c>
      <c r="AE14" s="450">
        <f t="shared" si="19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44573</v>
      </c>
      <c r="D15" s="600">
        <f t="shared" si="7"/>
        <v>131810</v>
      </c>
      <c r="E15" s="584">
        <f t="shared" si="8"/>
        <v>0</v>
      </c>
      <c r="F15" s="573">
        <f t="shared" si="9"/>
        <v>4111658</v>
      </c>
      <c r="G15" s="449">
        <f t="shared" si="20"/>
        <v>0</v>
      </c>
      <c r="H15" s="426">
        <f t="shared" si="10"/>
        <v>18004770</v>
      </c>
      <c r="I15" s="449">
        <f t="shared" si="21"/>
        <v>0</v>
      </c>
      <c r="J15" s="426">
        <f t="shared" si="11"/>
        <v>29666766</v>
      </c>
      <c r="K15" s="449">
        <f t="shared" si="22"/>
        <v>0</v>
      </c>
      <c r="L15" s="426">
        <f t="shared" si="12"/>
        <v>24505542</v>
      </c>
      <c r="M15" s="449">
        <f t="shared" si="23"/>
        <v>0</v>
      </c>
      <c r="N15" s="297">
        <f t="shared" si="24"/>
        <v>0</v>
      </c>
      <c r="O15" s="445">
        <f t="shared" si="32"/>
        <v>0</v>
      </c>
      <c r="P15" s="564">
        <f t="shared" si="13"/>
        <v>18816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5"/>
        <v>0</v>
      </c>
      <c r="W15" s="426">
        <f t="shared" si="16"/>
        <v>33483</v>
      </c>
      <c r="X15" s="428">
        <f t="shared" si="31"/>
        <v>0</v>
      </c>
      <c r="Y15" s="426">
        <f t="shared" si="17"/>
        <v>996641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8"/>
        <v>1170505</v>
      </c>
      <c r="AD15" s="428">
        <f t="shared" si="28"/>
        <v>0</v>
      </c>
      <c r="AE15" s="450">
        <f t="shared" si="19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44574</v>
      </c>
      <c r="D16" s="600">
        <v>134230</v>
      </c>
      <c r="E16" s="584">
        <f t="shared" si="8"/>
        <v>2420</v>
      </c>
      <c r="F16" s="573">
        <v>4111918</v>
      </c>
      <c r="G16" s="449">
        <f t="shared" si="20"/>
        <v>260</v>
      </c>
      <c r="H16" s="426">
        <v>18005260</v>
      </c>
      <c r="I16" s="449">
        <f t="shared" si="21"/>
        <v>490</v>
      </c>
      <c r="J16" s="426">
        <v>29668362</v>
      </c>
      <c r="K16" s="449">
        <f t="shared" si="22"/>
        <v>1596</v>
      </c>
      <c r="L16" s="426">
        <v>24506690</v>
      </c>
      <c r="M16" s="449">
        <f t="shared" si="23"/>
        <v>1148</v>
      </c>
      <c r="N16" s="297">
        <f t="shared" si="24"/>
        <v>5914</v>
      </c>
      <c r="O16" s="445">
        <f t="shared" si="32"/>
        <v>0</v>
      </c>
      <c r="P16" s="564">
        <v>18822.162</v>
      </c>
      <c r="Q16" s="446">
        <f t="shared" si="1"/>
        <v>6162.0000000002619</v>
      </c>
      <c r="R16" s="428">
        <f t="shared" si="29"/>
        <v>-248.00000000026193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5"/>
        <v>0</v>
      </c>
      <c r="W16" s="426">
        <f t="shared" si="16"/>
        <v>33483</v>
      </c>
      <c r="X16" s="428">
        <f t="shared" si="31"/>
        <v>0</v>
      </c>
      <c r="Y16" s="426">
        <v>996818</v>
      </c>
      <c r="Z16" s="428">
        <f t="shared" si="30"/>
        <v>177</v>
      </c>
      <c r="AA16" s="426">
        <f t="shared" si="26"/>
        <v>36796</v>
      </c>
      <c r="AB16" s="428">
        <f t="shared" si="27"/>
        <v>0</v>
      </c>
      <c r="AC16" s="426">
        <f t="shared" si="18"/>
        <v>1170505</v>
      </c>
      <c r="AD16" s="428">
        <f t="shared" si="28"/>
        <v>0</v>
      </c>
      <c r="AE16" s="450">
        <f t="shared" si="19"/>
        <v>0</v>
      </c>
      <c r="AF16" s="451">
        <f t="shared" si="4"/>
        <v>177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44575</v>
      </c>
      <c r="D17" s="600">
        <f t="shared" si="7"/>
        <v>134230</v>
      </c>
      <c r="E17" s="584">
        <f t="shared" si="8"/>
        <v>0</v>
      </c>
      <c r="F17" s="573">
        <f t="shared" si="9"/>
        <v>4111918</v>
      </c>
      <c r="G17" s="449">
        <f t="shared" si="20"/>
        <v>0</v>
      </c>
      <c r="H17" s="426">
        <f t="shared" si="10"/>
        <v>18005260</v>
      </c>
      <c r="I17" s="449">
        <f t="shared" si="21"/>
        <v>0</v>
      </c>
      <c r="J17" s="426">
        <f t="shared" si="11"/>
        <v>29668362</v>
      </c>
      <c r="K17" s="449">
        <f t="shared" si="22"/>
        <v>0</v>
      </c>
      <c r="L17" s="426">
        <f t="shared" si="12"/>
        <v>24506690</v>
      </c>
      <c r="M17" s="449">
        <f t="shared" si="23"/>
        <v>0</v>
      </c>
      <c r="N17" s="297">
        <f t="shared" si="24"/>
        <v>0</v>
      </c>
      <c r="O17" s="445">
        <f t="shared" si="32"/>
        <v>0</v>
      </c>
      <c r="P17" s="564">
        <f t="shared" si="13"/>
        <v>18822.162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5"/>
        <v>0</v>
      </c>
      <c r="W17" s="426">
        <f t="shared" si="16"/>
        <v>33483</v>
      </c>
      <c r="X17" s="428">
        <f>W17-W16</f>
        <v>0</v>
      </c>
      <c r="Y17" s="426">
        <f t="shared" si="17"/>
        <v>996818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8"/>
        <v>1170505</v>
      </c>
      <c r="AD17" s="428">
        <f t="shared" si="28"/>
        <v>0</v>
      </c>
      <c r="AE17" s="450">
        <f t="shared" si="19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44576</v>
      </c>
      <c r="D18" s="600">
        <f t="shared" si="7"/>
        <v>134230</v>
      </c>
      <c r="E18" s="584">
        <f t="shared" si="8"/>
        <v>0</v>
      </c>
      <c r="F18" s="573">
        <f t="shared" si="9"/>
        <v>4111918</v>
      </c>
      <c r="G18" s="449">
        <f t="shared" si="20"/>
        <v>0</v>
      </c>
      <c r="H18" s="426">
        <f t="shared" si="10"/>
        <v>18005260</v>
      </c>
      <c r="I18" s="449">
        <f t="shared" si="21"/>
        <v>0</v>
      </c>
      <c r="J18" s="426">
        <f t="shared" si="11"/>
        <v>29668362</v>
      </c>
      <c r="K18" s="449">
        <f t="shared" si="22"/>
        <v>0</v>
      </c>
      <c r="L18" s="426">
        <f t="shared" si="12"/>
        <v>24506690</v>
      </c>
      <c r="M18" s="449">
        <f t="shared" si="23"/>
        <v>0</v>
      </c>
      <c r="N18" s="297">
        <f>M18+K18+I18+G18+E18</f>
        <v>0</v>
      </c>
      <c r="O18" s="445">
        <f t="shared" si="32"/>
        <v>0</v>
      </c>
      <c r="P18" s="564">
        <f t="shared" si="13"/>
        <v>18822.162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5"/>
        <v>0</v>
      </c>
      <c r="W18" s="426">
        <f t="shared" si="16"/>
        <v>33483</v>
      </c>
      <c r="X18" s="428">
        <f t="shared" si="31"/>
        <v>0</v>
      </c>
      <c r="Y18" s="426">
        <f t="shared" si="17"/>
        <v>996818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8"/>
        <v>1170505</v>
      </c>
      <c r="AD18" s="428">
        <f t="shared" ref="AD18:AD31" si="34">AC18-AC17</f>
        <v>0</v>
      </c>
      <c r="AE18" s="450">
        <f t="shared" si="19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44577</v>
      </c>
      <c r="D19" s="600">
        <v>136080</v>
      </c>
      <c r="E19" s="584">
        <f t="shared" si="8"/>
        <v>1850</v>
      </c>
      <c r="F19" s="573">
        <v>4112135</v>
      </c>
      <c r="G19" s="449">
        <f t="shared" si="20"/>
        <v>217</v>
      </c>
      <c r="H19" s="426">
        <v>18005670</v>
      </c>
      <c r="I19" s="449">
        <f t="shared" si="21"/>
        <v>410</v>
      </c>
      <c r="J19" s="426">
        <v>29669547</v>
      </c>
      <c r="K19" s="449">
        <f t="shared" si="22"/>
        <v>1185</v>
      </c>
      <c r="L19" s="426">
        <v>24507546</v>
      </c>
      <c r="M19" s="449">
        <f t="shared" si="23"/>
        <v>856</v>
      </c>
      <c r="N19" s="297">
        <f t="shared" si="24"/>
        <v>4518</v>
      </c>
      <c r="O19" s="445">
        <f t="shared" si="32"/>
        <v>0</v>
      </c>
      <c r="P19" s="564">
        <v>18826.436000000002</v>
      </c>
      <c r="Q19" s="446">
        <f>(P19-P18)*1000</f>
        <v>4274.0000000012515</v>
      </c>
      <c r="R19" s="604">
        <f>N19-Q19</f>
        <v>243.99999999874854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5"/>
        <v>0</v>
      </c>
      <c r="W19" s="426">
        <v>33484</v>
      </c>
      <c r="X19" s="428">
        <f t="shared" si="31"/>
        <v>1</v>
      </c>
      <c r="Y19" s="426">
        <v>996900</v>
      </c>
      <c r="Z19" s="428">
        <f t="shared" si="30"/>
        <v>82</v>
      </c>
      <c r="AA19" s="426">
        <f t="shared" si="26"/>
        <v>36796</v>
      </c>
      <c r="AB19" s="428">
        <f t="shared" si="27"/>
        <v>0</v>
      </c>
      <c r="AC19" s="426">
        <f t="shared" si="18"/>
        <v>1170505</v>
      </c>
      <c r="AD19" s="428">
        <f t="shared" si="34"/>
        <v>0</v>
      </c>
      <c r="AE19" s="450">
        <f t="shared" si="19"/>
        <v>1</v>
      </c>
      <c r="AF19" s="451">
        <f t="shared" si="4"/>
        <v>82</v>
      </c>
      <c r="AG19" s="443">
        <f t="shared" si="33"/>
        <v>82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44578</v>
      </c>
      <c r="D20" s="600">
        <v>137980</v>
      </c>
      <c r="E20" s="584">
        <f t="shared" si="8"/>
        <v>1900</v>
      </c>
      <c r="F20" s="573">
        <v>4112360</v>
      </c>
      <c r="G20" s="449">
        <f t="shared" si="20"/>
        <v>225</v>
      </c>
      <c r="H20" s="426">
        <v>18006106</v>
      </c>
      <c r="I20" s="449">
        <f t="shared" si="21"/>
        <v>436</v>
      </c>
      <c r="J20" s="426">
        <v>29670724</v>
      </c>
      <c r="K20" s="449">
        <f t="shared" si="22"/>
        <v>1177</v>
      </c>
      <c r="L20" s="426">
        <v>24508456</v>
      </c>
      <c r="M20" s="449">
        <f t="shared" si="23"/>
        <v>910</v>
      </c>
      <c r="N20" s="297">
        <f t="shared" si="24"/>
        <v>4648</v>
      </c>
      <c r="O20" s="445">
        <f t="shared" si="32"/>
        <v>0</v>
      </c>
      <c r="P20" s="564">
        <v>18830.98</v>
      </c>
      <c r="Q20" s="446">
        <f>(P20-P19)*1000</f>
        <v>4543.99999999805</v>
      </c>
      <c r="R20" s="604">
        <f>N20-Q20</f>
        <v>104.00000000194996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5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8"/>
        <v>1170505</v>
      </c>
      <c r="AD20" s="428">
        <f t="shared" si="34"/>
        <v>0</v>
      </c>
      <c r="AE20" s="450">
        <f t="shared" si="19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44579</v>
      </c>
      <c r="D21" s="600">
        <v>140330</v>
      </c>
      <c r="E21" s="584">
        <f t="shared" si="8"/>
        <v>2350</v>
      </c>
      <c r="F21" s="573">
        <v>4112585</v>
      </c>
      <c r="G21" s="449">
        <f t="shared" si="20"/>
        <v>225</v>
      </c>
      <c r="H21" s="426">
        <v>18006616</v>
      </c>
      <c r="I21" s="449">
        <f t="shared" si="21"/>
        <v>510</v>
      </c>
      <c r="J21" s="426">
        <v>29672318</v>
      </c>
      <c r="K21" s="449">
        <f t="shared" si="22"/>
        <v>1594</v>
      </c>
      <c r="L21" s="426">
        <v>24509662</v>
      </c>
      <c r="M21" s="449">
        <f t="shared" si="23"/>
        <v>1206</v>
      </c>
      <c r="N21" s="297">
        <f t="shared" si="24"/>
        <v>5885</v>
      </c>
      <c r="O21" s="445">
        <f t="shared" si="32"/>
        <v>0</v>
      </c>
      <c r="P21" s="564">
        <v>18836.84</v>
      </c>
      <c r="Q21" s="446">
        <f t="shared" si="1"/>
        <v>5860.0000000005821</v>
      </c>
      <c r="R21" s="604">
        <f t="shared" ref="R21:R34" si="35">N21-Q21</f>
        <v>24.999999999417923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5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8"/>
        <v>1170505</v>
      </c>
      <c r="AD21" s="428">
        <f t="shared" si="34"/>
        <v>0</v>
      </c>
      <c r="AE21" s="450">
        <f t="shared" si="19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44580</v>
      </c>
      <c r="D22" s="600">
        <v>142600</v>
      </c>
      <c r="E22" s="584">
        <f t="shared" si="8"/>
        <v>2270</v>
      </c>
      <c r="F22" s="573">
        <v>4112794</v>
      </c>
      <c r="G22" s="449">
        <f t="shared" si="20"/>
        <v>209</v>
      </c>
      <c r="H22" s="426">
        <v>18007082</v>
      </c>
      <c r="I22" s="449">
        <f t="shared" si="21"/>
        <v>466</v>
      </c>
      <c r="J22" s="426">
        <v>29673914</v>
      </c>
      <c r="K22" s="449">
        <f t="shared" si="22"/>
        <v>1596</v>
      </c>
      <c r="L22" s="426">
        <v>24510798</v>
      </c>
      <c r="M22" s="449">
        <f t="shared" si="23"/>
        <v>1136</v>
      </c>
      <c r="N22" s="297">
        <f t="shared" si="24"/>
        <v>5677</v>
      </c>
      <c r="O22" s="445">
        <f t="shared" si="32"/>
        <v>0</v>
      </c>
      <c r="P22" s="564">
        <v>18842.386999999999</v>
      </c>
      <c r="Q22" s="446">
        <f t="shared" si="1"/>
        <v>5546.9999999986612</v>
      </c>
      <c r="R22" s="604">
        <f t="shared" si="35"/>
        <v>130.00000000133878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5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8"/>
        <v>1170505</v>
      </c>
      <c r="AD22" s="449">
        <f>AC22-AC21</f>
        <v>0</v>
      </c>
      <c r="AE22" s="450">
        <f t="shared" si="19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44581</v>
      </c>
      <c r="D23" s="600">
        <v>144720</v>
      </c>
      <c r="E23" s="584">
        <f t="shared" si="8"/>
        <v>2120</v>
      </c>
      <c r="F23" s="573">
        <v>4112993</v>
      </c>
      <c r="G23" s="449">
        <f t="shared" si="20"/>
        <v>199</v>
      </c>
      <c r="H23" s="426">
        <v>18007530</v>
      </c>
      <c r="I23" s="449">
        <f t="shared" si="21"/>
        <v>448</v>
      </c>
      <c r="J23" s="426">
        <v>29675282</v>
      </c>
      <c r="K23" s="449">
        <f t="shared" si="22"/>
        <v>1368</v>
      </c>
      <c r="L23" s="426">
        <v>24511786</v>
      </c>
      <c r="M23" s="449">
        <f t="shared" si="23"/>
        <v>988</v>
      </c>
      <c r="N23" s="297">
        <f t="shared" si="24"/>
        <v>5123</v>
      </c>
      <c r="O23" s="445">
        <f t="shared" si="32"/>
        <v>0</v>
      </c>
      <c r="P23" s="564">
        <v>18847.179</v>
      </c>
      <c r="Q23" s="446">
        <f t="shared" si="1"/>
        <v>4792.0000000012806</v>
      </c>
      <c r="R23" s="604">
        <f t="shared" si="35"/>
        <v>330.99999999871943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5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8"/>
        <v>1170505</v>
      </c>
      <c r="AD23" s="428">
        <f t="shared" si="34"/>
        <v>0</v>
      </c>
      <c r="AE23" s="450">
        <f t="shared" si="19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44582</v>
      </c>
      <c r="D24" s="600">
        <f t="shared" si="7"/>
        <v>144720</v>
      </c>
      <c r="E24" s="584">
        <f t="shared" si="8"/>
        <v>0</v>
      </c>
      <c r="F24" s="573">
        <f t="shared" si="9"/>
        <v>4112993</v>
      </c>
      <c r="G24" s="449">
        <f t="shared" si="20"/>
        <v>0</v>
      </c>
      <c r="H24" s="426">
        <f t="shared" si="10"/>
        <v>18007530</v>
      </c>
      <c r="I24" s="616">
        <f t="shared" si="21"/>
        <v>0</v>
      </c>
      <c r="J24" s="426">
        <f t="shared" si="11"/>
        <v>29675282</v>
      </c>
      <c r="K24" s="449">
        <f t="shared" si="22"/>
        <v>0</v>
      </c>
      <c r="L24" s="426">
        <f t="shared" si="12"/>
        <v>24511786</v>
      </c>
      <c r="M24" s="449">
        <f t="shared" si="23"/>
        <v>0</v>
      </c>
      <c r="N24" s="297">
        <f t="shared" si="24"/>
        <v>0</v>
      </c>
      <c r="O24" s="445">
        <f t="shared" si="32"/>
        <v>0</v>
      </c>
      <c r="P24" s="564">
        <f t="shared" si="13"/>
        <v>18847.179</v>
      </c>
      <c r="Q24" s="446">
        <f t="shared" si="1"/>
        <v>0</v>
      </c>
      <c r="R24" s="60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5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8"/>
        <v>1170505</v>
      </c>
      <c r="AD24" s="428">
        <f t="shared" si="34"/>
        <v>0</v>
      </c>
      <c r="AE24" s="450">
        <f t="shared" si="19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44583</v>
      </c>
      <c r="D25" s="600">
        <f t="shared" si="7"/>
        <v>144720</v>
      </c>
      <c r="E25" s="584">
        <f t="shared" si="8"/>
        <v>0</v>
      </c>
      <c r="F25" s="573">
        <f t="shared" si="9"/>
        <v>4112993</v>
      </c>
      <c r="G25" s="449">
        <f t="shared" si="20"/>
        <v>0</v>
      </c>
      <c r="H25" s="426">
        <f t="shared" si="10"/>
        <v>18007530</v>
      </c>
      <c r="I25" s="449">
        <f t="shared" si="21"/>
        <v>0</v>
      </c>
      <c r="J25" s="426">
        <f t="shared" si="11"/>
        <v>29675282</v>
      </c>
      <c r="K25" s="449">
        <f t="shared" si="22"/>
        <v>0</v>
      </c>
      <c r="L25" s="426">
        <f t="shared" si="12"/>
        <v>24511786</v>
      </c>
      <c r="M25" s="449">
        <f t="shared" si="23"/>
        <v>0</v>
      </c>
      <c r="N25" s="297">
        <f t="shared" si="24"/>
        <v>0</v>
      </c>
      <c r="O25" s="445">
        <f t="shared" si="32"/>
        <v>0</v>
      </c>
      <c r="P25" s="564">
        <f t="shared" si="13"/>
        <v>18847.179</v>
      </c>
      <c r="Q25" s="446">
        <f t="shared" si="1"/>
        <v>0</v>
      </c>
      <c r="R25" s="60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5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8"/>
        <v>1170505</v>
      </c>
      <c r="AD25" s="428">
        <f t="shared" si="34"/>
        <v>0</v>
      </c>
      <c r="AE25" s="450">
        <f t="shared" si="19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44584</v>
      </c>
      <c r="D26" s="600">
        <v>147100</v>
      </c>
      <c r="E26" s="584">
        <f t="shared" si="8"/>
        <v>2380</v>
      </c>
      <c r="F26" s="573">
        <v>4113202</v>
      </c>
      <c r="G26" s="449">
        <f t="shared" si="20"/>
        <v>209</v>
      </c>
      <c r="H26" s="426">
        <v>18007988</v>
      </c>
      <c r="I26" s="449">
        <f t="shared" si="21"/>
        <v>458</v>
      </c>
      <c r="J26" s="426">
        <v>29676706</v>
      </c>
      <c r="K26" s="449">
        <f t="shared" si="22"/>
        <v>1424</v>
      </c>
      <c r="L26" s="426">
        <v>24512818</v>
      </c>
      <c r="M26" s="449">
        <f t="shared" si="23"/>
        <v>1032</v>
      </c>
      <c r="N26" s="297">
        <f t="shared" si="24"/>
        <v>5503</v>
      </c>
      <c r="O26" s="445">
        <f t="shared" si="32"/>
        <v>0</v>
      </c>
      <c r="P26" s="564">
        <v>18852.597000000002</v>
      </c>
      <c r="Q26" s="446">
        <f t="shared" si="1"/>
        <v>5418.0000000014843</v>
      </c>
      <c r="R26" s="604">
        <f t="shared" si="35"/>
        <v>84.999999998515705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5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8"/>
        <v>1170505</v>
      </c>
      <c r="AD26" s="428">
        <f t="shared" si="34"/>
        <v>0</v>
      </c>
      <c r="AE26" s="450">
        <f t="shared" si="19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44585</v>
      </c>
      <c r="D27" s="600">
        <v>149620</v>
      </c>
      <c r="E27" s="584">
        <f t="shared" si="8"/>
        <v>2520</v>
      </c>
      <c r="F27" s="573">
        <v>4113422</v>
      </c>
      <c r="G27" s="449">
        <f t="shared" si="20"/>
        <v>220</v>
      </c>
      <c r="H27" s="426">
        <v>18008430</v>
      </c>
      <c r="I27" s="449">
        <f t="shared" si="21"/>
        <v>442</v>
      </c>
      <c r="J27" s="426">
        <v>29678130</v>
      </c>
      <c r="K27" s="449">
        <f t="shared" si="22"/>
        <v>1424</v>
      </c>
      <c r="L27" s="426">
        <v>24513890</v>
      </c>
      <c r="M27" s="449">
        <f t="shared" si="23"/>
        <v>1072</v>
      </c>
      <c r="N27" s="297">
        <f t="shared" si="24"/>
        <v>5678</v>
      </c>
      <c r="O27" s="445">
        <f t="shared" si="32"/>
        <v>0</v>
      </c>
      <c r="P27" s="564">
        <v>18858.395</v>
      </c>
      <c r="Q27" s="446">
        <f t="shared" si="1"/>
        <v>5797.999999998865</v>
      </c>
      <c r="R27" s="604">
        <f t="shared" si="35"/>
        <v>-119.99999999886495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5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8"/>
        <v>1170505</v>
      </c>
      <c r="AD27" s="428">
        <f t="shared" si="34"/>
        <v>0</v>
      </c>
      <c r="AE27" s="450">
        <f t="shared" si="19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44586</v>
      </c>
      <c r="D28" s="600">
        <v>152200</v>
      </c>
      <c r="E28" s="584">
        <f t="shared" si="8"/>
        <v>2580</v>
      </c>
      <c r="F28" s="573">
        <v>4113650</v>
      </c>
      <c r="G28" s="449">
        <f>F28-F27</f>
        <v>228</v>
      </c>
      <c r="H28" s="426">
        <v>18008902</v>
      </c>
      <c r="I28" s="449">
        <f t="shared" si="21"/>
        <v>472</v>
      </c>
      <c r="J28" s="426">
        <v>29679746</v>
      </c>
      <c r="K28" s="449">
        <f t="shared" si="22"/>
        <v>1616</v>
      </c>
      <c r="L28" s="426">
        <v>24515022</v>
      </c>
      <c r="M28" s="449">
        <f t="shared" si="23"/>
        <v>1132</v>
      </c>
      <c r="N28" s="297">
        <f t="shared" si="24"/>
        <v>6028</v>
      </c>
      <c r="O28" s="445">
        <f t="shared" si="32"/>
        <v>0</v>
      </c>
      <c r="P28" s="564">
        <v>18864.555</v>
      </c>
      <c r="Q28" s="446">
        <f t="shared" si="1"/>
        <v>6159.9999999998545</v>
      </c>
      <c r="R28" s="604">
        <f t="shared" si="35"/>
        <v>-131.99999999985448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5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8"/>
        <v>1170505</v>
      </c>
      <c r="AD28" s="428">
        <f t="shared" si="34"/>
        <v>0</v>
      </c>
      <c r="AE28" s="450">
        <f t="shared" si="19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44587</v>
      </c>
      <c r="D29" s="600">
        <f t="shared" si="7"/>
        <v>152200</v>
      </c>
      <c r="E29" s="584">
        <f t="shared" si="8"/>
        <v>0</v>
      </c>
      <c r="F29" s="573">
        <f t="shared" si="9"/>
        <v>4113650</v>
      </c>
      <c r="G29" s="449">
        <f t="shared" ref="G29" si="36">F29-F28</f>
        <v>0</v>
      </c>
      <c r="H29" s="426">
        <f t="shared" si="10"/>
        <v>18008902</v>
      </c>
      <c r="I29" s="449">
        <f t="shared" ref="I29" si="37">H29-H28</f>
        <v>0</v>
      </c>
      <c r="J29" s="426">
        <f t="shared" si="11"/>
        <v>29679746</v>
      </c>
      <c r="K29" s="449">
        <f t="shared" ref="K29" si="38">J29-J28</f>
        <v>0</v>
      </c>
      <c r="L29" s="426">
        <f t="shared" si="12"/>
        <v>24515022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13"/>
        <v>18864.555</v>
      </c>
      <c r="Q29" s="446">
        <f t="shared" ref="Q29" si="42">(P29-P28)*1000</f>
        <v>0</v>
      </c>
      <c r="R29" s="604">
        <f t="shared" si="35"/>
        <v>0</v>
      </c>
      <c r="S29" s="426">
        <f t="shared" si="14"/>
        <v>10175</v>
      </c>
      <c r="T29" s="447">
        <f t="shared" ref="T29" si="43">S29-S28</f>
        <v>0</v>
      </c>
      <c r="U29" s="426">
        <f t="shared" si="15"/>
        <v>429166</v>
      </c>
      <c r="V29" s="428">
        <f t="shared" ref="V29" si="44">U29-U28</f>
        <v>0</v>
      </c>
      <c r="W29" s="426">
        <f t="shared" si="16"/>
        <v>33484</v>
      </c>
      <c r="X29" s="428">
        <f t="shared" ref="X29" si="45">W29-W28</f>
        <v>0</v>
      </c>
      <c r="Y29" s="426">
        <f t="shared" si="17"/>
        <v>996900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8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44588</v>
      </c>
      <c r="D30" s="600">
        <f t="shared" si="7"/>
        <v>152200</v>
      </c>
      <c r="E30" s="584">
        <f t="shared" si="8"/>
        <v>0</v>
      </c>
      <c r="F30" s="573">
        <f t="shared" si="9"/>
        <v>4113650</v>
      </c>
      <c r="G30" s="449">
        <f t="shared" si="20"/>
        <v>0</v>
      </c>
      <c r="H30" s="426">
        <f t="shared" si="10"/>
        <v>18008902</v>
      </c>
      <c r="I30" s="449">
        <f t="shared" si="21"/>
        <v>0</v>
      </c>
      <c r="J30" s="426">
        <f t="shared" si="11"/>
        <v>29679746</v>
      </c>
      <c r="K30" s="449">
        <f t="shared" si="22"/>
        <v>0</v>
      </c>
      <c r="L30" s="426">
        <f t="shared" si="12"/>
        <v>24515022</v>
      </c>
      <c r="M30" s="449">
        <f t="shared" si="23"/>
        <v>0</v>
      </c>
      <c r="N30" s="297">
        <f t="shared" si="24"/>
        <v>0</v>
      </c>
      <c r="O30" s="445">
        <f t="shared" si="32"/>
        <v>0</v>
      </c>
      <c r="P30" s="564">
        <f t="shared" si="13"/>
        <v>18864.555</v>
      </c>
      <c r="Q30" s="446">
        <f t="shared" si="1"/>
        <v>0</v>
      </c>
      <c r="R30" s="604">
        <f t="shared" si="35"/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5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8"/>
        <v>1170505</v>
      </c>
      <c r="AD30" s="428">
        <f t="shared" si="34"/>
        <v>0</v>
      </c>
      <c r="AE30" s="450">
        <f t="shared" si="19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44589</v>
      </c>
      <c r="D31" s="600">
        <f t="shared" si="7"/>
        <v>152200</v>
      </c>
      <c r="E31" s="584">
        <f t="shared" si="8"/>
        <v>0</v>
      </c>
      <c r="F31" s="573">
        <f t="shared" si="9"/>
        <v>4113650</v>
      </c>
      <c r="G31" s="449">
        <f t="shared" si="20"/>
        <v>0</v>
      </c>
      <c r="H31" s="426">
        <f t="shared" si="10"/>
        <v>18008902</v>
      </c>
      <c r="I31" s="449">
        <f t="shared" si="21"/>
        <v>0</v>
      </c>
      <c r="J31" s="426">
        <f t="shared" si="11"/>
        <v>29679746</v>
      </c>
      <c r="K31" s="449">
        <f t="shared" si="22"/>
        <v>0</v>
      </c>
      <c r="L31" s="426">
        <f t="shared" si="12"/>
        <v>24515022</v>
      </c>
      <c r="M31" s="449">
        <f t="shared" si="23"/>
        <v>0</v>
      </c>
      <c r="N31" s="297">
        <f t="shared" si="24"/>
        <v>0</v>
      </c>
      <c r="O31" s="445">
        <f t="shared" si="32"/>
        <v>0</v>
      </c>
      <c r="P31" s="564">
        <f t="shared" si="13"/>
        <v>18864.555</v>
      </c>
      <c r="Q31" s="446">
        <f t="shared" si="1"/>
        <v>0</v>
      </c>
      <c r="R31" s="60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28">
        <f t="shared" si="25"/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8"/>
        <v>1170505</v>
      </c>
      <c r="AD31" s="428">
        <f t="shared" si="34"/>
        <v>0</v>
      </c>
      <c r="AE31" s="450">
        <f t="shared" si="19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44590</v>
      </c>
      <c r="D32" s="600">
        <f t="shared" si="7"/>
        <v>152200</v>
      </c>
      <c r="E32" s="584">
        <f t="shared" si="8"/>
        <v>0</v>
      </c>
      <c r="F32" s="573">
        <f t="shared" si="9"/>
        <v>4113650</v>
      </c>
      <c r="G32" s="449">
        <f t="shared" si="20"/>
        <v>0</v>
      </c>
      <c r="H32" s="426">
        <f t="shared" si="10"/>
        <v>18008902</v>
      </c>
      <c r="I32" s="449">
        <f t="shared" si="21"/>
        <v>0</v>
      </c>
      <c r="J32" s="426">
        <f t="shared" si="11"/>
        <v>29679746</v>
      </c>
      <c r="K32" s="449">
        <f t="shared" si="22"/>
        <v>0</v>
      </c>
      <c r="L32" s="426">
        <f t="shared" si="12"/>
        <v>24515022</v>
      </c>
      <c r="M32" s="449">
        <f t="shared" si="23"/>
        <v>0</v>
      </c>
      <c r="N32" s="297">
        <f t="shared" si="24"/>
        <v>0</v>
      </c>
      <c r="O32" s="445">
        <f>IF(B32&gt;0,N32/B32,0)</f>
        <v>0</v>
      </c>
      <c r="P32" s="564">
        <f t="shared" si="13"/>
        <v>18864.555</v>
      </c>
      <c r="Q32" s="446">
        <f t="shared" si="1"/>
        <v>0</v>
      </c>
      <c r="R32" s="604">
        <f t="shared" si="35"/>
        <v>0</v>
      </c>
      <c r="S32" s="426">
        <f t="shared" si="14"/>
        <v>10175</v>
      </c>
      <c r="T32" s="447">
        <f>S32-S31</f>
        <v>0</v>
      </c>
      <c r="U32" s="426">
        <f t="shared" si="15"/>
        <v>429166</v>
      </c>
      <c r="V32" s="428">
        <f>U32-U31</f>
        <v>0</v>
      </c>
      <c r="W32" s="426">
        <f t="shared" si="16"/>
        <v>33484</v>
      </c>
      <c r="X32" s="448">
        <f>W32-W31</f>
        <v>0</v>
      </c>
      <c r="Y32" s="426">
        <f t="shared" si="17"/>
        <v>996900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8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44591</v>
      </c>
      <c r="D33" s="600">
        <f t="shared" si="7"/>
        <v>152200</v>
      </c>
      <c r="E33" s="584">
        <f t="shared" si="8"/>
        <v>0</v>
      </c>
      <c r="F33" s="573">
        <f t="shared" si="9"/>
        <v>4113650</v>
      </c>
      <c r="G33" s="449">
        <f t="shared" si="20"/>
        <v>0</v>
      </c>
      <c r="H33" s="426">
        <f t="shared" si="10"/>
        <v>18008902</v>
      </c>
      <c r="I33" s="449">
        <f t="shared" si="21"/>
        <v>0</v>
      </c>
      <c r="J33" s="426">
        <f t="shared" si="11"/>
        <v>29679746</v>
      </c>
      <c r="K33" s="449">
        <f t="shared" si="22"/>
        <v>0</v>
      </c>
      <c r="L33" s="426">
        <f t="shared" si="12"/>
        <v>24515022</v>
      </c>
      <c r="M33" s="449">
        <f t="shared" si="23"/>
        <v>0</v>
      </c>
      <c r="N33" s="297">
        <f t="shared" si="24"/>
        <v>0</v>
      </c>
      <c r="O33" s="445">
        <f>IF(B33&gt;0,N33/B33,0)</f>
        <v>0</v>
      </c>
      <c r="P33" s="564">
        <f t="shared" si="13"/>
        <v>18864.555</v>
      </c>
      <c r="Q33" s="446">
        <f t="shared" si="1"/>
        <v>0</v>
      </c>
      <c r="R33" s="604">
        <f t="shared" si="35"/>
        <v>0</v>
      </c>
      <c r="S33" s="426">
        <f t="shared" si="14"/>
        <v>10175</v>
      </c>
      <c r="T33" s="447">
        <f>S33-S32</f>
        <v>0</v>
      </c>
      <c r="U33" s="426">
        <f t="shared" si="15"/>
        <v>429166</v>
      </c>
      <c r="V33" s="428">
        <f>U33-U32</f>
        <v>0</v>
      </c>
      <c r="W33" s="426">
        <f t="shared" si="16"/>
        <v>33484</v>
      </c>
      <c r="X33" s="448">
        <f>W33-W32</f>
        <v>0</v>
      </c>
      <c r="Y33" s="426">
        <f t="shared" si="17"/>
        <v>996900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8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44592</v>
      </c>
      <c r="D34" s="600">
        <f t="shared" si="7"/>
        <v>152200</v>
      </c>
      <c r="E34" s="584">
        <f t="shared" si="8"/>
        <v>0</v>
      </c>
      <c r="F34" s="573">
        <f t="shared" si="9"/>
        <v>4113650</v>
      </c>
      <c r="G34" s="449">
        <f t="shared" ref="G34" si="51">F34-F33</f>
        <v>0</v>
      </c>
      <c r="H34" s="426">
        <f t="shared" si="10"/>
        <v>18008902</v>
      </c>
      <c r="I34" s="449">
        <f t="shared" si="21"/>
        <v>0</v>
      </c>
      <c r="J34" s="426">
        <f t="shared" si="11"/>
        <v>29679746</v>
      </c>
      <c r="K34" s="449">
        <f t="shared" ref="K34" si="52">J34-J33</f>
        <v>0</v>
      </c>
      <c r="L34" s="426">
        <f t="shared" si="12"/>
        <v>24515022</v>
      </c>
      <c r="M34" s="449">
        <f t="shared" ref="M34" si="53">L34-L33</f>
        <v>0</v>
      </c>
      <c r="N34" s="297">
        <f t="shared" ref="N34" si="54">M34+K34+I34+G34+E34</f>
        <v>0</v>
      </c>
      <c r="O34" s="445">
        <f>IF(B34&gt;0,N34/B34,0)</f>
        <v>0</v>
      </c>
      <c r="P34" s="564">
        <f t="shared" si="13"/>
        <v>18864.555</v>
      </c>
      <c r="Q34" s="446">
        <f t="shared" si="1"/>
        <v>0</v>
      </c>
      <c r="R34" s="604">
        <f t="shared" si="35"/>
        <v>0</v>
      </c>
      <c r="S34" s="426">
        <f t="shared" si="14"/>
        <v>10175</v>
      </c>
      <c r="T34" s="447">
        <f>S34-S33</f>
        <v>0</v>
      </c>
      <c r="U34" s="426">
        <f t="shared" si="15"/>
        <v>429166</v>
      </c>
      <c r="V34" s="428">
        <f>U34-U33</f>
        <v>0</v>
      </c>
      <c r="W34" s="426">
        <f t="shared" si="16"/>
        <v>33484</v>
      </c>
      <c r="X34" s="448">
        <f>W34-W33</f>
        <v>0</v>
      </c>
      <c r="Y34" s="426">
        <f t="shared" si="17"/>
        <v>996900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8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K29" sqref="K2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69.952380952380963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44561</v>
      </c>
      <c r="B4" s="379">
        <f>[2]B5!B35</f>
        <v>197</v>
      </c>
      <c r="C4" s="379">
        <f>[2]B5!C35</f>
        <v>203</v>
      </c>
      <c r="D4" s="379">
        <f>[2]B5!D35</f>
        <v>6</v>
      </c>
      <c r="E4" s="379">
        <f>[2]B5!E35</f>
        <v>50.28</v>
      </c>
      <c r="F4" s="379">
        <f>[2]B5!F35</f>
        <v>1965</v>
      </c>
      <c r="G4" s="379">
        <f>[2]B5!G35</f>
        <v>4</v>
      </c>
      <c r="H4" s="379">
        <f>[2]B5!H35</f>
        <v>22723</v>
      </c>
      <c r="I4" s="379">
        <f>[2]B5!I35</f>
        <v>270</v>
      </c>
      <c r="J4" s="379">
        <f>[2]B5!J35</f>
        <v>67.5</v>
      </c>
      <c r="K4" s="379">
        <f>[2]B5!K35</f>
        <v>2371</v>
      </c>
      <c r="L4" s="379">
        <f>[2]B5!L35</f>
        <v>0</v>
      </c>
      <c r="M4" s="379">
        <f>[2]B5!M35</f>
        <v>175131</v>
      </c>
      <c r="N4" s="379">
        <f>[2]B5!N35</f>
        <v>0</v>
      </c>
      <c r="O4" s="379">
        <f>[2]B5!O35</f>
        <v>1869</v>
      </c>
      <c r="P4" s="379">
        <f>[2]B5!P35</f>
        <v>2138</v>
      </c>
      <c r="Q4" s="379">
        <f>[2]B5!Q35</f>
        <v>179410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270</v>
      </c>
      <c r="W4" s="379">
        <f>[2]B5!W35</f>
        <v>0</v>
      </c>
      <c r="X4" s="379">
        <v>2480</v>
      </c>
      <c r="Y4" s="379">
        <f>[2]B5!Y35</f>
        <v>0</v>
      </c>
      <c r="Z4" s="379"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270</v>
      </c>
      <c r="AJ4" s="379">
        <f>[2]B5!AJ35</f>
        <v>0</v>
      </c>
      <c r="AK4" s="379">
        <f>[2]B5!AK35</f>
        <v>-270</v>
      </c>
      <c r="AL4" s="379">
        <f>[2]B5!AL35</f>
        <v>4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44562</v>
      </c>
      <c r="B5" s="537">
        <f>B4</f>
        <v>197</v>
      </c>
      <c r="C5" s="537">
        <f>C4</f>
        <v>203</v>
      </c>
      <c r="D5" s="45">
        <f>C4-C5</f>
        <v>0</v>
      </c>
      <c r="E5" s="45">
        <f>D5*8.38</f>
        <v>0</v>
      </c>
      <c r="F5" s="537">
        <f>F4</f>
        <v>1965</v>
      </c>
      <c r="G5" s="52">
        <f t="shared" ref="G5:G32" si="0">F5-F4</f>
        <v>0</v>
      </c>
      <c r="H5" s="537">
        <f>H4</f>
        <v>22723</v>
      </c>
      <c r="I5" s="380">
        <f t="shared" ref="I5:I32" si="1">SUM(H5-H4)</f>
        <v>0</v>
      </c>
      <c r="J5" s="66">
        <v>1</v>
      </c>
      <c r="K5" s="537">
        <f>K4</f>
        <v>2371</v>
      </c>
      <c r="L5" s="52">
        <f>K5-K4</f>
        <v>0</v>
      </c>
      <c r="M5" s="537">
        <f>M4</f>
        <v>175131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2138</v>
      </c>
      <c r="Q5" s="537">
        <f>Q4</f>
        <v>179410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v>0</v>
      </c>
      <c r="W5" s="384" t="e">
        <f>SUM(V5/U5)</f>
        <v>#DIV/0!</v>
      </c>
      <c r="X5" s="537">
        <f>X4</f>
        <v>2480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44563</v>
      </c>
      <c r="B6" s="537">
        <f t="shared" ref="B6:B35" si="12">B5</f>
        <v>197</v>
      </c>
      <c r="C6" s="537">
        <f t="shared" ref="C6:C35" si="13">C5</f>
        <v>203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1965</v>
      </c>
      <c r="G6" s="52">
        <f t="shared" si="0"/>
        <v>0</v>
      </c>
      <c r="H6" s="537">
        <f t="shared" ref="H6:H35" si="16">H5</f>
        <v>22723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2371</v>
      </c>
      <c r="L6" s="52">
        <f t="shared" ref="L6:L32" si="19">K6-K5</f>
        <v>0</v>
      </c>
      <c r="M6" s="537">
        <f t="shared" ref="M6:M35" si="20">M5</f>
        <v>175131</v>
      </c>
      <c r="N6" s="380">
        <f t="shared" si="2"/>
        <v>0</v>
      </c>
      <c r="O6" s="64">
        <f t="shared" si="3"/>
        <v>1869</v>
      </c>
      <c r="P6" s="537">
        <f t="shared" si="3"/>
        <v>2138</v>
      </c>
      <c r="Q6" s="537">
        <f t="shared" si="3"/>
        <v>179410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5" si="22">R6+N6+I6:I6</f>
        <v>0</v>
      </c>
      <c r="W6" s="384" t="e">
        <f t="shared" ref="W6:W16" si="23">SUM(V6/U6)</f>
        <v>#DIV/0!</v>
      </c>
      <c r="X6" s="537">
        <f t="shared" ref="X6:X35" si="24">X5</f>
        <v>2480</v>
      </c>
      <c r="Y6" s="52">
        <f t="shared" ref="Y6:Y32" si="25">X6-X5</f>
        <v>0</v>
      </c>
      <c r="Z6" s="537">
        <f t="shared" ref="Z6:Z35" si="26">Z5</f>
        <v>1392127</v>
      </c>
      <c r="AA6" s="65">
        <f t="shared" si="6"/>
        <v>0</v>
      </c>
      <c r="AB6" s="273">
        <f>SUM(Y6*$AB$2)</f>
        <v>0</v>
      </c>
      <c r="AC6" s="537">
        <f t="shared" ref="AC6:AC35" si="27">AC5</f>
        <v>1943</v>
      </c>
      <c r="AD6" s="45">
        <f t="shared" si="7"/>
        <v>0</v>
      </c>
      <c r="AE6" s="537">
        <f t="shared" ref="AE6:AE35" si="28">AE5</f>
        <v>366210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5">IF(AV6&gt;0,AW6,AX5)</f>
        <v>0.8</v>
      </c>
    </row>
    <row r="7" spans="1:52">
      <c r="A7" s="63">
        <f>ELEC!C6</f>
        <v>44564</v>
      </c>
      <c r="B7" s="537">
        <f t="shared" si="12"/>
        <v>197</v>
      </c>
      <c r="C7" s="537">
        <f t="shared" si="13"/>
        <v>203</v>
      </c>
      <c r="D7" s="45">
        <f t="shared" ref="D7:D19" si="36">C6-C7</f>
        <v>0</v>
      </c>
      <c r="E7" s="45">
        <f t="shared" si="14"/>
        <v>0</v>
      </c>
      <c r="F7" s="537">
        <f t="shared" si="15"/>
        <v>1965</v>
      </c>
      <c r="G7" s="52">
        <f t="shared" si="0"/>
        <v>0</v>
      </c>
      <c r="H7" s="537">
        <f t="shared" si="16"/>
        <v>22723</v>
      </c>
      <c r="I7" s="380">
        <f t="shared" si="1"/>
        <v>0</v>
      </c>
      <c r="J7" s="66">
        <f t="shared" si="17"/>
        <v>0</v>
      </c>
      <c r="K7" s="537">
        <f t="shared" si="18"/>
        <v>2371</v>
      </c>
      <c r="L7" s="52">
        <f t="shared" si="19"/>
        <v>0</v>
      </c>
      <c r="M7" s="537">
        <f t="shared" si="20"/>
        <v>175131</v>
      </c>
      <c r="N7" s="380">
        <f t="shared" si="2"/>
        <v>0</v>
      </c>
      <c r="O7" s="64">
        <f t="shared" si="3"/>
        <v>1869</v>
      </c>
      <c r="P7" s="537">
        <f t="shared" si="3"/>
        <v>2138</v>
      </c>
      <c r="Q7" s="537">
        <f t="shared" si="3"/>
        <v>179410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0</v>
      </c>
      <c r="V7" s="62">
        <f t="shared" si="22"/>
        <v>0</v>
      </c>
      <c r="W7" s="384" t="e">
        <f t="shared" si="23"/>
        <v>#DIV/0!</v>
      </c>
      <c r="X7" s="537">
        <f t="shared" si="24"/>
        <v>2480</v>
      </c>
      <c r="Y7" s="52">
        <f t="shared" si="25"/>
        <v>0</v>
      </c>
      <c r="Z7" s="537">
        <f t="shared" si="26"/>
        <v>1392127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1943</v>
      </c>
      <c r="AD7" s="45">
        <f t="shared" si="7"/>
        <v>0</v>
      </c>
      <c r="AE7" s="537">
        <f t="shared" si="28"/>
        <v>366210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0</v>
      </c>
      <c r="AJ7" s="303">
        <f>-tanks!AW8</f>
        <v>0</v>
      </c>
      <c r="AK7" s="303">
        <f t="shared" si="31"/>
        <v>0</v>
      </c>
      <c r="AL7" s="303">
        <f t="shared" si="8"/>
        <v>0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44565</v>
      </c>
      <c r="B8" s="537">
        <v>188</v>
      </c>
      <c r="C8" s="537">
        <v>195</v>
      </c>
      <c r="D8" s="45">
        <f t="shared" si="36"/>
        <v>8</v>
      </c>
      <c r="E8" s="45">
        <f t="shared" si="14"/>
        <v>67.040000000000006</v>
      </c>
      <c r="F8" s="537">
        <v>1968</v>
      </c>
      <c r="G8" s="52">
        <f t="shared" si="0"/>
        <v>3</v>
      </c>
      <c r="H8" s="537">
        <v>22938</v>
      </c>
      <c r="I8" s="380">
        <f t="shared" si="1"/>
        <v>215</v>
      </c>
      <c r="J8" s="66">
        <f t="shared" si="17"/>
        <v>71.666666666666671</v>
      </c>
      <c r="K8" s="537">
        <v>2372</v>
      </c>
      <c r="L8" s="52">
        <f t="shared" si="19"/>
        <v>1</v>
      </c>
      <c r="M8" s="537">
        <v>175199</v>
      </c>
      <c r="N8" s="380">
        <f t="shared" si="2"/>
        <v>68</v>
      </c>
      <c r="O8" s="64">
        <f t="shared" si="3"/>
        <v>1869</v>
      </c>
      <c r="P8" s="537">
        <f t="shared" si="3"/>
        <v>2138</v>
      </c>
      <c r="Q8" s="537">
        <f t="shared" si="3"/>
        <v>179410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v>0</v>
      </c>
      <c r="W8" s="384">
        <f t="shared" si="23"/>
        <v>0</v>
      </c>
      <c r="X8" s="537">
        <v>2480</v>
      </c>
      <c r="Y8" s="52">
        <f t="shared" si="25"/>
        <v>0</v>
      </c>
      <c r="Z8" s="537">
        <f t="shared" si="26"/>
        <v>1392127</v>
      </c>
      <c r="AA8" s="65">
        <f t="shared" si="6"/>
        <v>0</v>
      </c>
      <c r="AB8" s="273">
        <f t="shared" si="38"/>
        <v>0</v>
      </c>
      <c r="AC8" s="537">
        <f t="shared" si="27"/>
        <v>1943</v>
      </c>
      <c r="AD8" s="45">
        <f t="shared" si="7"/>
        <v>0</v>
      </c>
      <c r="AE8" s="537">
        <f t="shared" si="28"/>
        <v>366210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0</v>
      </c>
      <c r="AJ8" s="303">
        <f>-tanks!AW9</f>
        <v>0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44566</v>
      </c>
      <c r="B9" s="537">
        <v>180</v>
      </c>
      <c r="C9" s="537">
        <v>187</v>
      </c>
      <c r="D9" s="45">
        <f t="shared" si="36"/>
        <v>8</v>
      </c>
      <c r="E9" s="45">
        <f t="shared" si="14"/>
        <v>67.040000000000006</v>
      </c>
      <c r="F9" s="537">
        <f t="shared" si="15"/>
        <v>1968</v>
      </c>
      <c r="G9" s="52">
        <f t="shared" si="0"/>
        <v>0</v>
      </c>
      <c r="H9" s="537">
        <f t="shared" si="16"/>
        <v>22938</v>
      </c>
      <c r="I9" s="380">
        <f t="shared" si="1"/>
        <v>0</v>
      </c>
      <c r="J9" s="66">
        <f t="shared" si="17"/>
        <v>0</v>
      </c>
      <c r="K9" s="537">
        <f t="shared" si="18"/>
        <v>2372</v>
      </c>
      <c r="L9" s="52">
        <f t="shared" si="19"/>
        <v>0</v>
      </c>
      <c r="M9" s="537">
        <f t="shared" si="20"/>
        <v>175199</v>
      </c>
      <c r="N9" s="380">
        <f t="shared" si="2"/>
        <v>0</v>
      </c>
      <c r="O9" s="64">
        <f t="shared" si="3"/>
        <v>1869</v>
      </c>
      <c r="P9" s="537">
        <v>2139</v>
      </c>
      <c r="Q9" s="537">
        <v>179459</v>
      </c>
      <c r="R9" s="379">
        <f t="shared" si="4"/>
        <v>49</v>
      </c>
      <c r="S9" s="52">
        <f t="shared" si="5"/>
        <v>1</v>
      </c>
      <c r="T9" s="67">
        <f t="shared" si="37"/>
        <v>0</v>
      </c>
      <c r="U9" s="386">
        <f t="shared" si="21"/>
        <v>1</v>
      </c>
      <c r="V9" s="62">
        <f t="shared" si="22"/>
        <v>49</v>
      </c>
      <c r="W9" s="384">
        <f t="shared" si="23"/>
        <v>49</v>
      </c>
      <c r="X9" s="537">
        <f t="shared" si="24"/>
        <v>2480</v>
      </c>
      <c r="Y9" s="52">
        <f t="shared" si="25"/>
        <v>0</v>
      </c>
      <c r="Z9" s="537">
        <f t="shared" si="26"/>
        <v>1392127</v>
      </c>
      <c r="AA9" s="65">
        <f t="shared" si="6"/>
        <v>0</v>
      </c>
      <c r="AB9" s="273">
        <f t="shared" si="38"/>
        <v>0</v>
      </c>
      <c r="AC9" s="537">
        <f t="shared" si="27"/>
        <v>1943</v>
      </c>
      <c r="AD9" s="45">
        <f t="shared" si="7"/>
        <v>0</v>
      </c>
      <c r="AE9" s="537">
        <f t="shared" si="28"/>
        <v>366210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49</v>
      </c>
      <c r="AJ9" s="303">
        <f>-tanks!AW10</f>
        <v>49</v>
      </c>
      <c r="AK9" s="303">
        <f t="shared" si="31"/>
        <v>0</v>
      </c>
      <c r="AL9" s="303">
        <f t="shared" si="8"/>
        <v>1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44567</v>
      </c>
      <c r="B10" s="537">
        <v>211</v>
      </c>
      <c r="C10" s="537">
        <v>218</v>
      </c>
      <c r="D10" s="45">
        <f t="shared" si="36"/>
        <v>-31</v>
      </c>
      <c r="E10" s="45">
        <f t="shared" si="14"/>
        <v>-259.78000000000003</v>
      </c>
      <c r="F10" s="537">
        <v>1969</v>
      </c>
      <c r="G10" s="52">
        <f t="shared" si="0"/>
        <v>1</v>
      </c>
      <c r="H10" s="537">
        <v>23007</v>
      </c>
      <c r="I10" s="380">
        <f t="shared" si="1"/>
        <v>69</v>
      </c>
      <c r="J10" s="66">
        <f t="shared" si="17"/>
        <v>69</v>
      </c>
      <c r="K10" s="537">
        <f t="shared" si="18"/>
        <v>2372</v>
      </c>
      <c r="L10" s="52">
        <f t="shared" si="19"/>
        <v>0</v>
      </c>
      <c r="M10" s="537">
        <f t="shared" si="20"/>
        <v>175199</v>
      </c>
      <c r="N10" s="380">
        <f t="shared" si="2"/>
        <v>0</v>
      </c>
      <c r="O10" s="64">
        <f t="shared" si="3"/>
        <v>1869</v>
      </c>
      <c r="P10" s="537">
        <v>2141</v>
      </c>
      <c r="Q10" s="537">
        <v>179651</v>
      </c>
      <c r="R10" s="379">
        <f t="shared" si="4"/>
        <v>192</v>
      </c>
      <c r="S10" s="52">
        <f t="shared" si="5"/>
        <v>2</v>
      </c>
      <c r="T10" s="67">
        <f t="shared" si="37"/>
        <v>0</v>
      </c>
      <c r="U10" s="386">
        <f t="shared" si="21"/>
        <v>3</v>
      </c>
      <c r="V10" s="62">
        <f t="shared" si="22"/>
        <v>261</v>
      </c>
      <c r="W10" s="384">
        <f t="shared" si="23"/>
        <v>87</v>
      </c>
      <c r="X10" s="537">
        <f t="shared" si="24"/>
        <v>2480</v>
      </c>
      <c r="Y10" s="52">
        <f t="shared" si="25"/>
        <v>0</v>
      </c>
      <c r="Z10" s="537">
        <f t="shared" si="26"/>
        <v>1392127</v>
      </c>
      <c r="AA10" s="65">
        <f t="shared" si="6"/>
        <v>0</v>
      </c>
      <c r="AB10" s="273">
        <f t="shared" si="38"/>
        <v>0</v>
      </c>
      <c r="AC10" s="537">
        <f t="shared" si="27"/>
        <v>1943</v>
      </c>
      <c r="AD10" s="45">
        <f t="shared" si="7"/>
        <v>0</v>
      </c>
      <c r="AE10" s="537">
        <f t="shared" si="28"/>
        <v>366210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261</v>
      </c>
      <c r="AJ10" s="303">
        <f>-tanks!AW11</f>
        <v>261</v>
      </c>
      <c r="AK10" s="303">
        <f t="shared" si="31"/>
        <v>0</v>
      </c>
      <c r="AL10" s="303">
        <f t="shared" si="8"/>
        <v>3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44568</v>
      </c>
      <c r="B11" s="537">
        <f t="shared" si="12"/>
        <v>211</v>
      </c>
      <c r="C11" s="537">
        <f t="shared" si="13"/>
        <v>218</v>
      </c>
      <c r="D11" s="45">
        <f t="shared" si="36"/>
        <v>0</v>
      </c>
      <c r="E11" s="45">
        <f t="shared" si="14"/>
        <v>0</v>
      </c>
      <c r="F11" s="537">
        <f t="shared" si="15"/>
        <v>1969</v>
      </c>
      <c r="G11" s="52">
        <f t="shared" si="0"/>
        <v>0</v>
      </c>
      <c r="H11" s="537">
        <f t="shared" si="16"/>
        <v>23007</v>
      </c>
      <c r="I11" s="380">
        <f t="shared" si="1"/>
        <v>0</v>
      </c>
      <c r="J11" s="66">
        <f t="shared" si="17"/>
        <v>0</v>
      </c>
      <c r="K11" s="537">
        <f t="shared" si="18"/>
        <v>2372</v>
      </c>
      <c r="L11" s="52">
        <f t="shared" si="19"/>
        <v>0</v>
      </c>
      <c r="M11" s="537">
        <f t="shared" si="20"/>
        <v>175199</v>
      </c>
      <c r="N11" s="380">
        <f t="shared" si="2"/>
        <v>0</v>
      </c>
      <c r="O11" s="64">
        <f t="shared" si="3"/>
        <v>1869</v>
      </c>
      <c r="P11" s="537">
        <f t="shared" si="3"/>
        <v>2141</v>
      </c>
      <c r="Q11" s="537">
        <f t="shared" si="3"/>
        <v>179651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2480</v>
      </c>
      <c r="Y11" s="52">
        <f t="shared" si="25"/>
        <v>0</v>
      </c>
      <c r="Z11" s="537">
        <f t="shared" si="26"/>
        <v>1392127</v>
      </c>
      <c r="AA11" s="65">
        <f t="shared" si="6"/>
        <v>0</v>
      </c>
      <c r="AB11" s="273">
        <f t="shared" si="38"/>
        <v>0</v>
      </c>
      <c r="AC11" s="537">
        <f t="shared" si="27"/>
        <v>1943</v>
      </c>
      <c r="AD11" s="45">
        <f t="shared" si="7"/>
        <v>0</v>
      </c>
      <c r="AE11" s="537">
        <f t="shared" si="28"/>
        <v>366210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44569</v>
      </c>
      <c r="B12" s="537">
        <f t="shared" si="12"/>
        <v>211</v>
      </c>
      <c r="C12" s="537">
        <f t="shared" si="13"/>
        <v>218</v>
      </c>
      <c r="D12" s="45">
        <f t="shared" si="36"/>
        <v>0</v>
      </c>
      <c r="E12" s="45">
        <f t="shared" si="14"/>
        <v>0</v>
      </c>
      <c r="F12" s="537">
        <f t="shared" si="15"/>
        <v>1969</v>
      </c>
      <c r="G12" s="52">
        <f t="shared" si="0"/>
        <v>0</v>
      </c>
      <c r="H12" s="537">
        <f t="shared" si="16"/>
        <v>23007</v>
      </c>
      <c r="I12" s="380">
        <f t="shared" si="1"/>
        <v>0</v>
      </c>
      <c r="J12" s="66">
        <f t="shared" si="17"/>
        <v>0</v>
      </c>
      <c r="K12" s="537">
        <f t="shared" si="18"/>
        <v>2372</v>
      </c>
      <c r="L12" s="52">
        <f t="shared" si="19"/>
        <v>0</v>
      </c>
      <c r="M12" s="537">
        <f t="shared" si="20"/>
        <v>175199</v>
      </c>
      <c r="N12" s="380">
        <f t="shared" si="2"/>
        <v>0</v>
      </c>
      <c r="O12" s="64">
        <f t="shared" si="3"/>
        <v>1869</v>
      </c>
      <c r="P12" s="537">
        <f t="shared" si="3"/>
        <v>2141</v>
      </c>
      <c r="Q12" s="537">
        <f t="shared" si="3"/>
        <v>179651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2480</v>
      </c>
      <c r="Y12" s="52">
        <f t="shared" si="25"/>
        <v>0</v>
      </c>
      <c r="Z12" s="537">
        <f t="shared" si="26"/>
        <v>1392127</v>
      </c>
      <c r="AA12" s="65">
        <f t="shared" si="6"/>
        <v>0</v>
      </c>
      <c r="AB12" s="273">
        <f t="shared" si="38"/>
        <v>0</v>
      </c>
      <c r="AC12" s="537">
        <f t="shared" si="27"/>
        <v>1943</v>
      </c>
      <c r="AD12" s="45">
        <f t="shared" si="7"/>
        <v>0</v>
      </c>
      <c r="AE12" s="537">
        <f t="shared" si="28"/>
        <v>366210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44570</v>
      </c>
      <c r="B13" s="537">
        <v>204</v>
      </c>
      <c r="C13" s="537">
        <v>210.5</v>
      </c>
      <c r="D13" s="45">
        <f t="shared" si="36"/>
        <v>7.5</v>
      </c>
      <c r="E13" s="45">
        <f t="shared" si="14"/>
        <v>62.850000000000009</v>
      </c>
      <c r="F13" s="537">
        <v>1973</v>
      </c>
      <c r="G13" s="52">
        <f t="shared" si="0"/>
        <v>4</v>
      </c>
      <c r="H13" s="537">
        <v>23228</v>
      </c>
      <c r="I13" s="380">
        <f t="shared" si="1"/>
        <v>221</v>
      </c>
      <c r="J13" s="66">
        <f t="shared" si="17"/>
        <v>55.25</v>
      </c>
      <c r="K13" s="537">
        <f t="shared" si="18"/>
        <v>2372</v>
      </c>
      <c r="L13" s="52">
        <f t="shared" si="19"/>
        <v>0</v>
      </c>
      <c r="M13" s="537">
        <f t="shared" si="20"/>
        <v>175199</v>
      </c>
      <c r="N13" s="380">
        <f t="shared" si="2"/>
        <v>0</v>
      </c>
      <c r="O13" s="64">
        <f t="shared" si="3"/>
        <v>1869</v>
      </c>
      <c r="P13" s="537">
        <f t="shared" si="3"/>
        <v>2141</v>
      </c>
      <c r="Q13" s="537">
        <f t="shared" si="3"/>
        <v>179651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4</v>
      </c>
      <c r="V13" s="62">
        <f t="shared" si="22"/>
        <v>221</v>
      </c>
      <c r="W13" s="384">
        <f t="shared" si="23"/>
        <v>55.25</v>
      </c>
      <c r="X13" s="537">
        <f t="shared" si="24"/>
        <v>2480</v>
      </c>
      <c r="Y13" s="52">
        <f t="shared" si="25"/>
        <v>0</v>
      </c>
      <c r="Z13" s="537">
        <f t="shared" si="26"/>
        <v>1392127</v>
      </c>
      <c r="AA13" s="273">
        <f t="shared" si="6"/>
        <v>0</v>
      </c>
      <c r="AB13" s="273">
        <f t="shared" si="38"/>
        <v>0</v>
      </c>
      <c r="AC13" s="537">
        <f t="shared" si="27"/>
        <v>1943</v>
      </c>
      <c r="AD13" s="45">
        <f t="shared" si="7"/>
        <v>0</v>
      </c>
      <c r="AE13" s="537">
        <f t="shared" si="28"/>
        <v>366210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221</v>
      </c>
      <c r="AJ13" s="303">
        <f>-tanks!AW14</f>
        <v>221</v>
      </c>
      <c r="AK13" s="303">
        <f t="shared" si="31"/>
        <v>0</v>
      </c>
      <c r="AL13" s="303">
        <f t="shared" si="8"/>
        <v>4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44571</v>
      </c>
      <c r="B14" s="537">
        <v>197</v>
      </c>
      <c r="C14" s="537">
        <v>204</v>
      </c>
      <c r="D14" s="45">
        <f t="shared" si="36"/>
        <v>6.5</v>
      </c>
      <c r="E14" s="45">
        <f t="shared" si="14"/>
        <v>54.470000000000006</v>
      </c>
      <c r="F14" s="537">
        <v>1977</v>
      </c>
      <c r="G14" s="52">
        <f t="shared" si="0"/>
        <v>4</v>
      </c>
      <c r="H14" s="537">
        <v>23623</v>
      </c>
      <c r="I14" s="380">
        <f t="shared" si="1"/>
        <v>395</v>
      </c>
      <c r="J14" s="66">
        <f t="shared" si="17"/>
        <v>98.75</v>
      </c>
      <c r="K14" s="537">
        <f t="shared" si="18"/>
        <v>2372</v>
      </c>
      <c r="L14" s="52">
        <f t="shared" si="19"/>
        <v>0</v>
      </c>
      <c r="M14" s="537">
        <f t="shared" si="20"/>
        <v>175199</v>
      </c>
      <c r="N14" s="380">
        <f t="shared" si="2"/>
        <v>0</v>
      </c>
      <c r="O14" s="64">
        <f t="shared" si="3"/>
        <v>1869</v>
      </c>
      <c r="P14" s="537">
        <f t="shared" si="3"/>
        <v>2141</v>
      </c>
      <c r="Q14" s="537">
        <f t="shared" si="3"/>
        <v>179651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4</v>
      </c>
      <c r="V14" s="62">
        <f t="shared" si="22"/>
        <v>395</v>
      </c>
      <c r="W14" s="384">
        <f t="shared" si="23"/>
        <v>98.75</v>
      </c>
      <c r="X14" s="537">
        <f t="shared" si="24"/>
        <v>2480</v>
      </c>
      <c r="Y14" s="52">
        <f t="shared" si="25"/>
        <v>0</v>
      </c>
      <c r="Z14" s="537">
        <f t="shared" si="26"/>
        <v>1392127</v>
      </c>
      <c r="AA14" s="65">
        <f t="shared" si="6"/>
        <v>0</v>
      </c>
      <c r="AB14" s="273">
        <f t="shared" si="38"/>
        <v>0</v>
      </c>
      <c r="AC14" s="537">
        <f t="shared" si="27"/>
        <v>1943</v>
      </c>
      <c r="AD14" s="45">
        <f t="shared" si="7"/>
        <v>0</v>
      </c>
      <c r="AE14" s="537">
        <f t="shared" si="28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395</v>
      </c>
      <c r="AJ14" s="303">
        <f>-tanks!AW15</f>
        <v>395</v>
      </c>
      <c r="AK14" s="303">
        <f t="shared" si="31"/>
        <v>0</v>
      </c>
      <c r="AL14" s="303">
        <f t="shared" si="8"/>
        <v>4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44572</v>
      </c>
      <c r="B15" s="537">
        <v>190</v>
      </c>
      <c r="C15" s="537">
        <v>197</v>
      </c>
      <c r="D15" s="45">
        <f t="shared" si="36"/>
        <v>7</v>
      </c>
      <c r="E15" s="45">
        <f t="shared" si="14"/>
        <v>58.660000000000004</v>
      </c>
      <c r="F15" s="537">
        <v>1978</v>
      </c>
      <c r="G15" s="52">
        <f t="shared" si="0"/>
        <v>1</v>
      </c>
      <c r="H15" s="537">
        <v>23691</v>
      </c>
      <c r="I15" s="380">
        <f t="shared" si="1"/>
        <v>68</v>
      </c>
      <c r="J15" s="66">
        <f t="shared" si="17"/>
        <v>68</v>
      </c>
      <c r="K15" s="537">
        <f t="shared" si="18"/>
        <v>2372</v>
      </c>
      <c r="L15" s="52">
        <f t="shared" si="19"/>
        <v>0</v>
      </c>
      <c r="M15" s="537">
        <f t="shared" si="20"/>
        <v>175199</v>
      </c>
      <c r="N15" s="380">
        <f t="shared" si="2"/>
        <v>0</v>
      </c>
      <c r="O15" s="64">
        <f t="shared" si="3"/>
        <v>1869</v>
      </c>
      <c r="P15" s="537">
        <f t="shared" si="3"/>
        <v>2141</v>
      </c>
      <c r="Q15" s="537">
        <f t="shared" si="3"/>
        <v>179651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68</v>
      </c>
      <c r="W15" s="384">
        <f t="shared" si="23"/>
        <v>68</v>
      </c>
      <c r="X15" s="537">
        <f t="shared" si="24"/>
        <v>2480</v>
      </c>
      <c r="Y15" s="52">
        <f t="shared" si="25"/>
        <v>0</v>
      </c>
      <c r="Z15" s="537">
        <f t="shared" si="26"/>
        <v>1392127</v>
      </c>
      <c r="AA15" s="65">
        <f t="shared" si="6"/>
        <v>0</v>
      </c>
      <c r="AB15" s="273">
        <f t="shared" si="38"/>
        <v>0</v>
      </c>
      <c r="AC15" s="537">
        <f t="shared" si="27"/>
        <v>1943</v>
      </c>
      <c r="AD15" s="45">
        <f t="shared" si="7"/>
        <v>0</v>
      </c>
      <c r="AE15" s="537">
        <f t="shared" si="28"/>
        <v>366210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68</v>
      </c>
      <c r="AJ15" s="303">
        <f>-tanks!AW16</f>
        <v>68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44573</v>
      </c>
      <c r="B16" s="537">
        <f t="shared" si="12"/>
        <v>190</v>
      </c>
      <c r="C16" s="537">
        <f t="shared" si="13"/>
        <v>197</v>
      </c>
      <c r="D16" s="45">
        <f t="shared" si="36"/>
        <v>0</v>
      </c>
      <c r="E16" s="45">
        <f t="shared" si="14"/>
        <v>0</v>
      </c>
      <c r="F16" s="537">
        <f t="shared" si="15"/>
        <v>1978</v>
      </c>
      <c r="G16" s="52">
        <f t="shared" si="0"/>
        <v>0</v>
      </c>
      <c r="H16" s="537">
        <f t="shared" si="16"/>
        <v>23691</v>
      </c>
      <c r="I16" s="380">
        <f t="shared" si="1"/>
        <v>0</v>
      </c>
      <c r="J16" s="66">
        <f t="shared" si="17"/>
        <v>0</v>
      </c>
      <c r="K16" s="537">
        <f t="shared" si="18"/>
        <v>2372</v>
      </c>
      <c r="L16" s="52">
        <f t="shared" si="19"/>
        <v>0</v>
      </c>
      <c r="M16" s="537">
        <f t="shared" si="20"/>
        <v>175199</v>
      </c>
      <c r="N16" s="380">
        <f t="shared" si="2"/>
        <v>0</v>
      </c>
      <c r="O16" s="64">
        <f t="shared" si="3"/>
        <v>1869</v>
      </c>
      <c r="P16" s="537">
        <f t="shared" si="3"/>
        <v>2141</v>
      </c>
      <c r="Q16" s="537">
        <f t="shared" si="3"/>
        <v>179651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2480</v>
      </c>
      <c r="Y16" s="52">
        <f t="shared" si="25"/>
        <v>0</v>
      </c>
      <c r="Z16" s="537">
        <f t="shared" si="26"/>
        <v>1392127</v>
      </c>
      <c r="AA16" s="65">
        <f t="shared" si="6"/>
        <v>0</v>
      </c>
      <c r="AB16" s="273">
        <f t="shared" si="38"/>
        <v>0</v>
      </c>
      <c r="AC16" s="537">
        <f t="shared" si="27"/>
        <v>1943</v>
      </c>
      <c r="AD16" s="45">
        <f t="shared" si="7"/>
        <v>0</v>
      </c>
      <c r="AE16" s="537">
        <f t="shared" si="28"/>
        <v>366210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44574</v>
      </c>
      <c r="B17" s="537">
        <v>183</v>
      </c>
      <c r="C17" s="537">
        <v>190</v>
      </c>
      <c r="D17" s="45">
        <f t="shared" si="36"/>
        <v>7</v>
      </c>
      <c r="E17" s="45">
        <f t="shared" si="14"/>
        <v>58.660000000000004</v>
      </c>
      <c r="F17" s="537">
        <v>1983</v>
      </c>
      <c r="G17" s="52">
        <f t="shared" si="0"/>
        <v>5</v>
      </c>
      <c r="H17" s="537">
        <v>24006</v>
      </c>
      <c r="I17" s="380">
        <f t="shared" si="1"/>
        <v>315</v>
      </c>
      <c r="J17" s="66">
        <f t="shared" si="17"/>
        <v>63</v>
      </c>
      <c r="K17" s="537">
        <v>2377</v>
      </c>
      <c r="L17" s="52">
        <f t="shared" si="19"/>
        <v>5</v>
      </c>
      <c r="M17" s="537">
        <v>175726</v>
      </c>
      <c r="N17" s="380">
        <f t="shared" si="2"/>
        <v>527</v>
      </c>
      <c r="O17" s="64">
        <f t="shared" si="3"/>
        <v>1869</v>
      </c>
      <c r="P17" s="537">
        <f t="shared" si="3"/>
        <v>2141</v>
      </c>
      <c r="Q17" s="537">
        <f t="shared" si="3"/>
        <v>179651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10</v>
      </c>
      <c r="V17" s="62">
        <f t="shared" si="22"/>
        <v>842</v>
      </c>
      <c r="W17" s="384"/>
      <c r="X17" s="537">
        <f t="shared" si="24"/>
        <v>2480</v>
      </c>
      <c r="Y17" s="52">
        <f t="shared" si="25"/>
        <v>0</v>
      </c>
      <c r="Z17" s="537">
        <f t="shared" si="26"/>
        <v>1392127</v>
      </c>
      <c r="AA17" s="65">
        <f t="shared" si="6"/>
        <v>0</v>
      </c>
      <c r="AB17" s="273">
        <f t="shared" si="38"/>
        <v>0</v>
      </c>
      <c r="AC17" s="537">
        <f t="shared" si="27"/>
        <v>1943</v>
      </c>
      <c r="AD17" s="45">
        <f t="shared" si="7"/>
        <v>0</v>
      </c>
      <c r="AE17" s="537">
        <f t="shared" si="28"/>
        <v>366210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842</v>
      </c>
      <c r="AJ17" s="303">
        <f>-tanks!AW18</f>
        <v>842</v>
      </c>
      <c r="AK17" s="303">
        <f t="shared" si="31"/>
        <v>0</v>
      </c>
      <c r="AL17" s="303">
        <f t="shared" si="8"/>
        <v>10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44575</v>
      </c>
      <c r="B18" s="537">
        <f t="shared" si="12"/>
        <v>183</v>
      </c>
      <c r="C18" s="537">
        <f t="shared" si="13"/>
        <v>190</v>
      </c>
      <c r="D18" s="45">
        <f t="shared" si="36"/>
        <v>0</v>
      </c>
      <c r="E18" s="45">
        <f t="shared" si="14"/>
        <v>0</v>
      </c>
      <c r="F18" s="537">
        <f t="shared" si="15"/>
        <v>1983</v>
      </c>
      <c r="G18" s="52">
        <f t="shared" si="0"/>
        <v>0</v>
      </c>
      <c r="H18" s="537">
        <f t="shared" si="16"/>
        <v>24006</v>
      </c>
      <c r="I18" s="380">
        <f t="shared" si="1"/>
        <v>0</v>
      </c>
      <c r="J18" s="66">
        <f t="shared" si="17"/>
        <v>0</v>
      </c>
      <c r="K18" s="537">
        <f t="shared" si="18"/>
        <v>2377</v>
      </c>
      <c r="L18" s="52">
        <f t="shared" si="19"/>
        <v>0</v>
      </c>
      <c r="M18" s="537">
        <f t="shared" si="20"/>
        <v>175726</v>
      </c>
      <c r="N18" s="380">
        <f t="shared" si="2"/>
        <v>0</v>
      </c>
      <c r="O18" s="64">
        <v>1869</v>
      </c>
      <c r="P18" s="537">
        <f t="shared" ref="P18:P35" si="45">P17</f>
        <v>2141</v>
      </c>
      <c r="Q18" s="537">
        <f t="shared" ref="Q18:Q35" si="46">Q17</f>
        <v>179651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2480</v>
      </c>
      <c r="Y18" s="52">
        <f t="shared" si="25"/>
        <v>0</v>
      </c>
      <c r="Z18" s="537">
        <f t="shared" si="26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1943</v>
      </c>
      <c r="AD18" s="45">
        <f t="shared" si="7"/>
        <v>0</v>
      </c>
      <c r="AE18" s="537">
        <f t="shared" si="28"/>
        <v>366210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44576</v>
      </c>
      <c r="B19" s="537">
        <f t="shared" si="12"/>
        <v>183</v>
      </c>
      <c r="C19" s="537">
        <f t="shared" si="13"/>
        <v>190</v>
      </c>
      <c r="D19" s="45">
        <f t="shared" si="36"/>
        <v>0</v>
      </c>
      <c r="E19" s="45">
        <f t="shared" si="14"/>
        <v>0</v>
      </c>
      <c r="F19" s="537">
        <f t="shared" si="15"/>
        <v>1983</v>
      </c>
      <c r="G19" s="52">
        <f t="shared" si="0"/>
        <v>0</v>
      </c>
      <c r="H19" s="537">
        <f t="shared" si="16"/>
        <v>24006</v>
      </c>
      <c r="I19" s="380">
        <f t="shared" si="1"/>
        <v>0</v>
      </c>
      <c r="J19" s="66">
        <f t="shared" si="17"/>
        <v>0</v>
      </c>
      <c r="K19" s="537">
        <f t="shared" si="18"/>
        <v>2377</v>
      </c>
      <c r="L19" s="52">
        <f t="shared" si="19"/>
        <v>0</v>
      </c>
      <c r="M19" s="537">
        <f t="shared" si="20"/>
        <v>175726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2141</v>
      </c>
      <c r="Q19" s="537">
        <f t="shared" si="46"/>
        <v>179651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2480</v>
      </c>
      <c r="Y19" s="52">
        <f t="shared" si="25"/>
        <v>0</v>
      </c>
      <c r="Z19" s="537">
        <f t="shared" si="26"/>
        <v>1392127</v>
      </c>
      <c r="AA19" s="65">
        <f t="shared" si="6"/>
        <v>0</v>
      </c>
      <c r="AB19" s="273">
        <f t="shared" si="47"/>
        <v>0</v>
      </c>
      <c r="AC19" s="537">
        <f t="shared" si="27"/>
        <v>1943</v>
      </c>
      <c r="AD19" s="45">
        <f t="shared" si="7"/>
        <v>0</v>
      </c>
      <c r="AE19" s="537">
        <f t="shared" si="28"/>
        <v>366210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44577</v>
      </c>
      <c r="B20" s="537">
        <v>249</v>
      </c>
      <c r="C20" s="537">
        <v>255</v>
      </c>
      <c r="D20" s="45">
        <f>C19-C20</f>
        <v>-65</v>
      </c>
      <c r="E20" s="45">
        <f t="shared" si="14"/>
        <v>-544.70000000000005</v>
      </c>
      <c r="F20" s="537">
        <v>1987</v>
      </c>
      <c r="G20" s="52">
        <f t="shared" si="0"/>
        <v>4</v>
      </c>
      <c r="H20" s="537">
        <v>24358</v>
      </c>
      <c r="I20" s="380">
        <f t="shared" si="1"/>
        <v>352</v>
      </c>
      <c r="J20" s="66">
        <f t="shared" si="17"/>
        <v>88</v>
      </c>
      <c r="K20" s="537">
        <f t="shared" si="18"/>
        <v>2377</v>
      </c>
      <c r="L20" s="52">
        <f t="shared" si="19"/>
        <v>0</v>
      </c>
      <c r="M20" s="537">
        <f t="shared" si="20"/>
        <v>175726</v>
      </c>
      <c r="N20" s="380">
        <f t="shared" si="2"/>
        <v>0</v>
      </c>
      <c r="O20" s="64">
        <f t="shared" si="48"/>
        <v>1869</v>
      </c>
      <c r="P20" s="537">
        <f t="shared" si="45"/>
        <v>2141</v>
      </c>
      <c r="Q20" s="537">
        <f t="shared" si="46"/>
        <v>179651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4</v>
      </c>
      <c r="V20" s="62">
        <f t="shared" si="22"/>
        <v>352</v>
      </c>
      <c r="W20" s="384"/>
      <c r="X20" s="537">
        <f t="shared" si="24"/>
        <v>2480</v>
      </c>
      <c r="Y20" s="52">
        <f t="shared" si="25"/>
        <v>0</v>
      </c>
      <c r="Z20" s="537">
        <f t="shared" si="26"/>
        <v>1392127</v>
      </c>
      <c r="AA20" s="65">
        <f t="shared" si="6"/>
        <v>0</v>
      </c>
      <c r="AB20" s="273">
        <f t="shared" si="47"/>
        <v>0</v>
      </c>
      <c r="AC20" s="537">
        <f t="shared" si="27"/>
        <v>1943</v>
      </c>
      <c r="AD20" s="45">
        <f t="shared" si="7"/>
        <v>0</v>
      </c>
      <c r="AE20" s="537">
        <f t="shared" si="28"/>
        <v>366210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352</v>
      </c>
      <c r="AJ20" s="303">
        <f>-tanks!AW21</f>
        <v>352</v>
      </c>
      <c r="AK20" s="303">
        <f t="shared" si="31"/>
        <v>0</v>
      </c>
      <c r="AL20" s="303">
        <f t="shared" si="8"/>
        <v>4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44578</v>
      </c>
      <c r="B21" s="537">
        <v>243</v>
      </c>
      <c r="C21" s="537">
        <v>248</v>
      </c>
      <c r="D21" s="45">
        <f t="shared" ref="D21:D32" si="49">C20-C21</f>
        <v>7</v>
      </c>
      <c r="E21" s="45">
        <f t="shared" si="14"/>
        <v>58.660000000000004</v>
      </c>
      <c r="F21" s="537">
        <v>1993</v>
      </c>
      <c r="G21" s="52">
        <f t="shared" si="0"/>
        <v>6</v>
      </c>
      <c r="H21" s="537">
        <v>24805</v>
      </c>
      <c r="I21" s="380">
        <f t="shared" si="1"/>
        <v>447</v>
      </c>
      <c r="J21" s="66">
        <f t="shared" si="17"/>
        <v>74.5</v>
      </c>
      <c r="K21" s="537">
        <f t="shared" si="18"/>
        <v>2377</v>
      </c>
      <c r="L21" s="52">
        <f t="shared" si="19"/>
        <v>0</v>
      </c>
      <c r="M21" s="537">
        <f t="shared" si="20"/>
        <v>175726</v>
      </c>
      <c r="N21" s="380">
        <f t="shared" si="2"/>
        <v>0</v>
      </c>
      <c r="O21" s="64">
        <f t="shared" si="48"/>
        <v>1869</v>
      </c>
      <c r="P21" s="537">
        <f t="shared" si="45"/>
        <v>2141</v>
      </c>
      <c r="Q21" s="537">
        <f t="shared" si="46"/>
        <v>179651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6</v>
      </c>
      <c r="V21" s="62">
        <f t="shared" si="22"/>
        <v>447</v>
      </c>
      <c r="W21" s="384"/>
      <c r="X21" s="537">
        <f t="shared" si="24"/>
        <v>2480</v>
      </c>
      <c r="Y21" s="52">
        <f t="shared" si="25"/>
        <v>0</v>
      </c>
      <c r="Z21" s="537">
        <f t="shared" si="26"/>
        <v>1392127</v>
      </c>
      <c r="AA21" s="65">
        <f t="shared" si="6"/>
        <v>0</v>
      </c>
      <c r="AB21" s="273">
        <f t="shared" si="47"/>
        <v>0</v>
      </c>
      <c r="AC21" s="537">
        <f t="shared" si="27"/>
        <v>1943</v>
      </c>
      <c r="AD21" s="45">
        <f t="shared" si="7"/>
        <v>0</v>
      </c>
      <c r="AE21" s="537">
        <f t="shared" si="28"/>
        <v>366210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447</v>
      </c>
      <c r="AJ21" s="303">
        <f>-tanks!AW22</f>
        <v>447</v>
      </c>
      <c r="AK21" s="303">
        <f t="shared" si="31"/>
        <v>0</v>
      </c>
      <c r="AL21" s="303">
        <f t="shared" si="8"/>
        <v>6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44579</v>
      </c>
      <c r="B22" s="537">
        <v>235</v>
      </c>
      <c r="C22" s="537">
        <v>241</v>
      </c>
      <c r="D22" s="45">
        <f t="shared" si="49"/>
        <v>7</v>
      </c>
      <c r="E22" s="45">
        <f t="shared" si="14"/>
        <v>58.660000000000004</v>
      </c>
      <c r="F22" s="537">
        <v>1999</v>
      </c>
      <c r="G22" s="52">
        <f t="shared" si="0"/>
        <v>6</v>
      </c>
      <c r="H22" s="537">
        <v>25221</v>
      </c>
      <c r="I22" s="380">
        <f t="shared" si="1"/>
        <v>416</v>
      </c>
      <c r="J22" s="66">
        <f t="shared" si="17"/>
        <v>69.333333333333329</v>
      </c>
      <c r="K22" s="537">
        <f t="shared" si="18"/>
        <v>2377</v>
      </c>
      <c r="L22" s="52">
        <f t="shared" si="19"/>
        <v>0</v>
      </c>
      <c r="M22" s="537">
        <f t="shared" si="20"/>
        <v>175726</v>
      </c>
      <c r="N22" s="380">
        <f t="shared" si="2"/>
        <v>0</v>
      </c>
      <c r="O22" s="64">
        <f t="shared" si="48"/>
        <v>1869</v>
      </c>
      <c r="P22" s="537">
        <f t="shared" si="45"/>
        <v>2141</v>
      </c>
      <c r="Q22" s="537">
        <f t="shared" si="46"/>
        <v>179651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6</v>
      </c>
      <c r="V22" s="62">
        <f t="shared" si="22"/>
        <v>416</v>
      </c>
      <c r="W22" s="384"/>
      <c r="X22" s="537">
        <f t="shared" si="24"/>
        <v>2480</v>
      </c>
      <c r="Y22" s="52">
        <f t="shared" si="25"/>
        <v>0</v>
      </c>
      <c r="Z22" s="537">
        <f t="shared" si="26"/>
        <v>1392127</v>
      </c>
      <c r="AA22" s="65">
        <f t="shared" si="6"/>
        <v>0</v>
      </c>
      <c r="AB22" s="273">
        <f t="shared" si="47"/>
        <v>0</v>
      </c>
      <c r="AC22" s="537">
        <f t="shared" si="27"/>
        <v>1943</v>
      </c>
      <c r="AD22" s="45">
        <f t="shared" si="7"/>
        <v>0</v>
      </c>
      <c r="AE22" s="537">
        <f t="shared" si="28"/>
        <v>366210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416</v>
      </c>
      <c r="AJ22" s="303">
        <f>-tanks!AW23</f>
        <v>416</v>
      </c>
      <c r="AK22" s="303">
        <f t="shared" si="31"/>
        <v>0</v>
      </c>
      <c r="AL22" s="303">
        <f t="shared" si="8"/>
        <v>6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44580</v>
      </c>
      <c r="B23" s="537">
        <v>226</v>
      </c>
      <c r="C23" s="537">
        <v>233</v>
      </c>
      <c r="D23" s="45">
        <f t="shared" si="49"/>
        <v>8</v>
      </c>
      <c r="E23" s="45">
        <f t="shared" si="14"/>
        <v>67.040000000000006</v>
      </c>
      <c r="F23" s="537">
        <v>2007</v>
      </c>
      <c r="G23" s="52">
        <f t="shared" si="0"/>
        <v>8</v>
      </c>
      <c r="H23" s="537">
        <v>25793</v>
      </c>
      <c r="I23" s="380">
        <f t="shared" si="1"/>
        <v>572</v>
      </c>
      <c r="J23" s="66">
        <f t="shared" si="17"/>
        <v>71.5</v>
      </c>
      <c r="K23" s="537">
        <f t="shared" si="18"/>
        <v>2377</v>
      </c>
      <c r="L23" s="52">
        <f t="shared" si="19"/>
        <v>0</v>
      </c>
      <c r="M23" s="537">
        <f t="shared" si="20"/>
        <v>175726</v>
      </c>
      <c r="N23" s="380">
        <f t="shared" si="2"/>
        <v>0</v>
      </c>
      <c r="O23" s="64">
        <f t="shared" si="48"/>
        <v>1869</v>
      </c>
      <c r="P23" s="537">
        <f t="shared" si="45"/>
        <v>2141</v>
      </c>
      <c r="Q23" s="537">
        <f t="shared" si="46"/>
        <v>179651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8</v>
      </c>
      <c r="V23" s="62">
        <f t="shared" si="22"/>
        <v>572</v>
      </c>
      <c r="W23" s="384"/>
      <c r="X23" s="537">
        <f t="shared" si="24"/>
        <v>2480</v>
      </c>
      <c r="Y23" s="52">
        <f t="shared" si="25"/>
        <v>0</v>
      </c>
      <c r="Z23" s="537">
        <f t="shared" si="26"/>
        <v>1392127</v>
      </c>
      <c r="AA23" s="65">
        <f t="shared" si="6"/>
        <v>0</v>
      </c>
      <c r="AB23" s="273">
        <f t="shared" si="47"/>
        <v>0</v>
      </c>
      <c r="AC23" s="537">
        <f t="shared" si="27"/>
        <v>1943</v>
      </c>
      <c r="AD23" s="45">
        <f t="shared" si="7"/>
        <v>0</v>
      </c>
      <c r="AE23" s="537">
        <f t="shared" si="28"/>
        <v>366210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572</v>
      </c>
      <c r="AJ23" s="303">
        <f>-tanks!AW24</f>
        <v>572</v>
      </c>
      <c r="AK23" s="303">
        <f>SUM(AJ23-AI23)</f>
        <v>0</v>
      </c>
      <c r="AL23" s="303">
        <f>S23+L23+G23</f>
        <v>8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44581</v>
      </c>
      <c r="B24" s="537">
        <v>218</v>
      </c>
      <c r="C24" s="537">
        <v>225</v>
      </c>
      <c r="D24" s="45">
        <f t="shared" si="49"/>
        <v>8</v>
      </c>
      <c r="E24" s="45">
        <f t="shared" si="14"/>
        <v>67.040000000000006</v>
      </c>
      <c r="F24" s="537">
        <v>2012</v>
      </c>
      <c r="G24" s="52">
        <f t="shared" si="0"/>
        <v>5</v>
      </c>
      <c r="H24" s="537">
        <v>26163</v>
      </c>
      <c r="I24" s="380">
        <f t="shared" si="1"/>
        <v>370</v>
      </c>
      <c r="J24" s="66">
        <f t="shared" si="17"/>
        <v>74</v>
      </c>
      <c r="K24" s="537">
        <v>2379</v>
      </c>
      <c r="L24" s="52">
        <f t="shared" si="19"/>
        <v>2</v>
      </c>
      <c r="M24" s="537">
        <v>175860</v>
      </c>
      <c r="N24" s="380">
        <f t="shared" si="2"/>
        <v>134</v>
      </c>
      <c r="O24" s="64">
        <f t="shared" si="48"/>
        <v>1869</v>
      </c>
      <c r="P24" s="537">
        <v>2142</v>
      </c>
      <c r="Q24" s="537">
        <v>179665</v>
      </c>
      <c r="R24" s="379">
        <f t="shared" si="44"/>
        <v>14</v>
      </c>
      <c r="S24" s="52">
        <f t="shared" si="5"/>
        <v>1</v>
      </c>
      <c r="T24" s="67">
        <f t="shared" si="37"/>
        <v>0</v>
      </c>
      <c r="U24" s="386">
        <f t="shared" si="21"/>
        <v>8</v>
      </c>
      <c r="V24" s="62">
        <f t="shared" si="22"/>
        <v>518</v>
      </c>
      <c r="W24" s="384"/>
      <c r="X24" s="537">
        <f t="shared" si="24"/>
        <v>2480</v>
      </c>
      <c r="Y24" s="52">
        <f t="shared" si="25"/>
        <v>0</v>
      </c>
      <c r="Z24" s="537">
        <f t="shared" si="26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1943</v>
      </c>
      <c r="AD24" s="45">
        <f t="shared" si="7"/>
        <v>0</v>
      </c>
      <c r="AE24" s="537">
        <f t="shared" si="28"/>
        <v>366210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518</v>
      </c>
      <c r="AJ24" s="303">
        <f>-tanks!AW25</f>
        <v>518</v>
      </c>
      <c r="AK24" s="303">
        <f t="shared" si="31"/>
        <v>0</v>
      </c>
      <c r="AL24" s="303">
        <f t="shared" si="8"/>
        <v>8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44582</v>
      </c>
      <c r="B25" s="537">
        <f t="shared" si="12"/>
        <v>218</v>
      </c>
      <c r="C25" s="537">
        <f t="shared" si="13"/>
        <v>225</v>
      </c>
      <c r="D25" s="45">
        <f t="shared" si="49"/>
        <v>0</v>
      </c>
      <c r="E25" s="45">
        <f t="shared" si="14"/>
        <v>0</v>
      </c>
      <c r="F25" s="537">
        <f t="shared" si="15"/>
        <v>2012</v>
      </c>
      <c r="G25" s="52">
        <f t="shared" si="0"/>
        <v>0</v>
      </c>
      <c r="H25" s="537">
        <f t="shared" si="16"/>
        <v>26163</v>
      </c>
      <c r="I25" s="380">
        <f t="shared" si="1"/>
        <v>0</v>
      </c>
      <c r="J25" s="66">
        <f t="shared" si="17"/>
        <v>0</v>
      </c>
      <c r="K25" s="537">
        <f t="shared" si="18"/>
        <v>2379</v>
      </c>
      <c r="L25" s="52">
        <f t="shared" si="19"/>
        <v>0</v>
      </c>
      <c r="M25" s="537">
        <f t="shared" si="20"/>
        <v>175860</v>
      </c>
      <c r="N25" s="380">
        <f t="shared" si="2"/>
        <v>0</v>
      </c>
      <c r="O25" s="64">
        <f t="shared" si="48"/>
        <v>1869</v>
      </c>
      <c r="P25" s="537">
        <f t="shared" si="45"/>
        <v>2142</v>
      </c>
      <c r="Q25" s="537">
        <f t="shared" si="46"/>
        <v>179665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2480</v>
      </c>
      <c r="Y25" s="52">
        <f t="shared" si="25"/>
        <v>0</v>
      </c>
      <c r="Z25" s="537">
        <f t="shared" si="26"/>
        <v>1392127</v>
      </c>
      <c r="AA25" s="65">
        <f t="shared" si="6"/>
        <v>0</v>
      </c>
      <c r="AB25" s="273">
        <f t="shared" si="50"/>
        <v>0</v>
      </c>
      <c r="AC25" s="537">
        <f t="shared" si="27"/>
        <v>1943</v>
      </c>
      <c r="AD25" s="45">
        <f t="shared" si="7"/>
        <v>0</v>
      </c>
      <c r="AE25" s="537">
        <f t="shared" si="28"/>
        <v>366210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44583</v>
      </c>
      <c r="B26" s="537">
        <f t="shared" si="12"/>
        <v>218</v>
      </c>
      <c r="C26" s="537">
        <f t="shared" si="13"/>
        <v>225</v>
      </c>
      <c r="D26" s="45">
        <f t="shared" si="49"/>
        <v>0</v>
      </c>
      <c r="E26" s="45">
        <f t="shared" si="14"/>
        <v>0</v>
      </c>
      <c r="F26" s="537">
        <f t="shared" si="15"/>
        <v>2012</v>
      </c>
      <c r="G26" s="52">
        <f t="shared" si="0"/>
        <v>0</v>
      </c>
      <c r="H26" s="537">
        <f t="shared" si="16"/>
        <v>26163</v>
      </c>
      <c r="I26" s="380">
        <f t="shared" si="1"/>
        <v>0</v>
      </c>
      <c r="J26" s="66">
        <f t="shared" si="17"/>
        <v>0</v>
      </c>
      <c r="K26" s="537">
        <f t="shared" si="18"/>
        <v>2379</v>
      </c>
      <c r="L26" s="52">
        <f t="shared" si="19"/>
        <v>0</v>
      </c>
      <c r="M26" s="537">
        <f t="shared" si="20"/>
        <v>175860</v>
      </c>
      <c r="N26" s="380">
        <f t="shared" si="2"/>
        <v>0</v>
      </c>
      <c r="O26" s="64">
        <f t="shared" si="48"/>
        <v>1869</v>
      </c>
      <c r="P26" s="537">
        <f t="shared" si="45"/>
        <v>2142</v>
      </c>
      <c r="Q26" s="537">
        <f t="shared" si="46"/>
        <v>179665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2480</v>
      </c>
      <c r="Y26" s="52">
        <f t="shared" si="25"/>
        <v>0</v>
      </c>
      <c r="Z26" s="537">
        <f t="shared" si="26"/>
        <v>1392127</v>
      </c>
      <c r="AA26" s="65">
        <f t="shared" si="6"/>
        <v>0</v>
      </c>
      <c r="AB26" s="273">
        <f t="shared" si="50"/>
        <v>0</v>
      </c>
      <c r="AC26" s="537">
        <f t="shared" si="27"/>
        <v>1943</v>
      </c>
      <c r="AD26" s="45">
        <f t="shared" si="7"/>
        <v>0</v>
      </c>
      <c r="AE26" s="537">
        <f t="shared" si="28"/>
        <v>366210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44584</v>
      </c>
      <c r="B27" s="537">
        <v>211</v>
      </c>
      <c r="C27" s="537">
        <v>218</v>
      </c>
      <c r="D27" s="45">
        <f t="shared" si="49"/>
        <v>7</v>
      </c>
      <c r="E27" s="45">
        <f t="shared" si="14"/>
        <v>58.660000000000004</v>
      </c>
      <c r="F27" s="537">
        <v>2013</v>
      </c>
      <c r="G27" s="52">
        <f t="shared" si="0"/>
        <v>1</v>
      </c>
      <c r="H27" s="537">
        <v>26253</v>
      </c>
      <c r="I27" s="380">
        <f t="shared" si="1"/>
        <v>90</v>
      </c>
      <c r="J27" s="66">
        <f t="shared" si="17"/>
        <v>90</v>
      </c>
      <c r="K27" s="537">
        <v>2383</v>
      </c>
      <c r="L27" s="52">
        <f t="shared" si="19"/>
        <v>4</v>
      </c>
      <c r="M27" s="537">
        <v>176182</v>
      </c>
      <c r="N27" s="380">
        <f t="shared" si="2"/>
        <v>322</v>
      </c>
      <c r="O27" s="64">
        <f t="shared" si="48"/>
        <v>1869</v>
      </c>
      <c r="P27" s="537">
        <f t="shared" si="45"/>
        <v>2142</v>
      </c>
      <c r="Q27" s="537">
        <f t="shared" si="46"/>
        <v>179665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5</v>
      </c>
      <c r="V27" s="62">
        <f t="shared" si="22"/>
        <v>412</v>
      </c>
      <c r="W27" s="384"/>
      <c r="X27" s="537">
        <f t="shared" si="24"/>
        <v>2480</v>
      </c>
      <c r="Y27" s="52">
        <f t="shared" si="25"/>
        <v>0</v>
      </c>
      <c r="Z27" s="537">
        <f t="shared" si="26"/>
        <v>1392127</v>
      </c>
      <c r="AA27" s="65">
        <f t="shared" si="6"/>
        <v>0</v>
      </c>
      <c r="AB27" s="273">
        <f t="shared" si="50"/>
        <v>0</v>
      </c>
      <c r="AC27" s="537">
        <f t="shared" si="27"/>
        <v>1943</v>
      </c>
      <c r="AD27" s="45">
        <f t="shared" si="7"/>
        <v>0</v>
      </c>
      <c r="AE27" s="537">
        <f t="shared" si="28"/>
        <v>366210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412</v>
      </c>
      <c r="AJ27" s="303">
        <f>-tanks!AW28</f>
        <v>412</v>
      </c>
      <c r="AK27" s="303">
        <f t="shared" si="31"/>
        <v>0</v>
      </c>
      <c r="AL27" s="303">
        <f t="shared" si="8"/>
        <v>5</v>
      </c>
      <c r="AM27" s="303">
        <f t="shared" si="32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44585</v>
      </c>
      <c r="B28" s="537">
        <v>203</v>
      </c>
      <c r="C28" s="537">
        <v>210</v>
      </c>
      <c r="D28" s="45">
        <f t="shared" si="49"/>
        <v>8</v>
      </c>
      <c r="E28" s="45">
        <f t="shared" si="14"/>
        <v>67.040000000000006</v>
      </c>
      <c r="F28" s="537">
        <v>2020</v>
      </c>
      <c r="G28" s="52">
        <f t="shared" si="0"/>
        <v>7</v>
      </c>
      <c r="H28" s="537">
        <v>26818</v>
      </c>
      <c r="I28" s="380">
        <f t="shared" si="1"/>
        <v>565</v>
      </c>
      <c r="J28" s="66">
        <f t="shared" si="17"/>
        <v>80.714285714285708</v>
      </c>
      <c r="K28" s="537">
        <f t="shared" si="18"/>
        <v>2383</v>
      </c>
      <c r="L28" s="52">
        <f t="shared" si="19"/>
        <v>0</v>
      </c>
      <c r="M28" s="537">
        <f t="shared" si="20"/>
        <v>176182</v>
      </c>
      <c r="N28" s="380">
        <f t="shared" si="2"/>
        <v>0</v>
      </c>
      <c r="O28" s="64">
        <f t="shared" si="48"/>
        <v>1869</v>
      </c>
      <c r="P28" s="537">
        <f t="shared" si="45"/>
        <v>2142</v>
      </c>
      <c r="Q28" s="537">
        <f t="shared" si="46"/>
        <v>179665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7</v>
      </c>
      <c r="V28" s="62">
        <f t="shared" si="22"/>
        <v>565</v>
      </c>
      <c r="W28" s="384"/>
      <c r="X28" s="537">
        <f t="shared" si="24"/>
        <v>2480</v>
      </c>
      <c r="Y28" s="52">
        <f t="shared" si="25"/>
        <v>0</v>
      </c>
      <c r="Z28" s="537">
        <f t="shared" si="26"/>
        <v>1392127</v>
      </c>
      <c r="AA28" s="65">
        <f t="shared" si="6"/>
        <v>0</v>
      </c>
      <c r="AB28" s="273">
        <f t="shared" si="50"/>
        <v>0</v>
      </c>
      <c r="AC28" s="537">
        <f t="shared" si="27"/>
        <v>1943</v>
      </c>
      <c r="AD28" s="45">
        <f t="shared" si="7"/>
        <v>0</v>
      </c>
      <c r="AE28" s="537">
        <f t="shared" si="28"/>
        <v>366210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565</v>
      </c>
      <c r="AJ28" s="303">
        <f>-tanks!AW29</f>
        <v>565</v>
      </c>
      <c r="AK28" s="303">
        <f t="shared" si="31"/>
        <v>0</v>
      </c>
      <c r="AL28" s="303">
        <f t="shared" si="8"/>
        <v>7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44586</v>
      </c>
      <c r="B29" s="537">
        <v>193</v>
      </c>
      <c r="C29" s="537">
        <v>200</v>
      </c>
      <c r="D29" s="45">
        <f t="shared" si="49"/>
        <v>10</v>
      </c>
      <c r="E29" s="45">
        <f t="shared" si="14"/>
        <v>83.800000000000011</v>
      </c>
      <c r="F29" s="537">
        <v>2027</v>
      </c>
      <c r="G29" s="52">
        <f t="shared" si="0"/>
        <v>7</v>
      </c>
      <c r="H29" s="537">
        <v>27340</v>
      </c>
      <c r="I29" s="380">
        <f t="shared" si="1"/>
        <v>522</v>
      </c>
      <c r="J29" s="66">
        <f t="shared" si="17"/>
        <v>74.571428571428569</v>
      </c>
      <c r="K29" s="537">
        <f t="shared" si="18"/>
        <v>2383</v>
      </c>
      <c r="L29" s="52">
        <f t="shared" si="19"/>
        <v>0</v>
      </c>
      <c r="M29" s="537">
        <f t="shared" si="20"/>
        <v>176182</v>
      </c>
      <c r="N29" s="380">
        <f t="shared" si="2"/>
        <v>0</v>
      </c>
      <c r="O29" s="64">
        <f t="shared" si="48"/>
        <v>1869</v>
      </c>
      <c r="P29" s="537">
        <f t="shared" si="45"/>
        <v>2142</v>
      </c>
      <c r="Q29" s="537">
        <f t="shared" si="46"/>
        <v>179665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7</v>
      </c>
      <c r="V29" s="62">
        <f t="shared" si="22"/>
        <v>522</v>
      </c>
      <c r="W29" s="384"/>
      <c r="X29" s="537">
        <f t="shared" si="24"/>
        <v>2480</v>
      </c>
      <c r="Y29" s="52">
        <f t="shared" si="25"/>
        <v>0</v>
      </c>
      <c r="Z29" s="537">
        <f t="shared" si="26"/>
        <v>1392127</v>
      </c>
      <c r="AA29" s="65">
        <f t="shared" si="6"/>
        <v>0</v>
      </c>
      <c r="AB29" s="273">
        <f t="shared" si="50"/>
        <v>0</v>
      </c>
      <c r="AC29" s="537">
        <f t="shared" si="27"/>
        <v>1943</v>
      </c>
      <c r="AD29" s="45">
        <f t="shared" si="7"/>
        <v>0</v>
      </c>
      <c r="AE29" s="537">
        <f t="shared" si="28"/>
        <v>366210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522</v>
      </c>
      <c r="AJ29" s="303">
        <f>-tanks!AW30</f>
        <v>522</v>
      </c>
      <c r="AK29" s="303">
        <f t="shared" si="31"/>
        <v>0</v>
      </c>
      <c r="AL29" s="303">
        <f t="shared" si="8"/>
        <v>7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44587</v>
      </c>
      <c r="B30" s="537">
        <f t="shared" si="12"/>
        <v>193</v>
      </c>
      <c r="C30" s="537">
        <f t="shared" si="13"/>
        <v>200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5"/>
        <v>2027</v>
      </c>
      <c r="G30" s="52">
        <f t="shared" ref="G30" si="56">F30-F29</f>
        <v>0</v>
      </c>
      <c r="H30" s="537">
        <f t="shared" si="16"/>
        <v>27340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8"/>
        <v>2383</v>
      </c>
      <c r="L30" s="52">
        <f t="shared" ref="L30" si="59">K30-K29</f>
        <v>0</v>
      </c>
      <c r="M30" s="537">
        <f t="shared" si="20"/>
        <v>176182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2142</v>
      </c>
      <c r="Q30" s="537">
        <f t="shared" si="46"/>
        <v>179665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2"/>
        <v>0</v>
      </c>
      <c r="W30" s="384"/>
      <c r="X30" s="537">
        <f t="shared" si="24"/>
        <v>2480</v>
      </c>
      <c r="Y30" s="52">
        <f t="shared" ref="Y30" si="65">X30-X29</f>
        <v>0</v>
      </c>
      <c r="Z30" s="537">
        <f t="shared" si="26"/>
        <v>1392127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7"/>
        <v>1943</v>
      </c>
      <c r="AD30" s="259">
        <f t="shared" ref="AD30" si="68">AC30-AC29</f>
        <v>0</v>
      </c>
      <c r="AE30" s="537">
        <f t="shared" si="28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44588</v>
      </c>
      <c r="B31" s="537">
        <f t="shared" si="12"/>
        <v>193</v>
      </c>
      <c r="C31" s="537">
        <f t="shared" si="13"/>
        <v>200</v>
      </c>
      <c r="D31" s="45">
        <f t="shared" si="49"/>
        <v>0</v>
      </c>
      <c r="E31" s="45">
        <f t="shared" si="14"/>
        <v>0</v>
      </c>
      <c r="F31" s="537">
        <f t="shared" si="15"/>
        <v>2027</v>
      </c>
      <c r="G31" s="52">
        <f t="shared" si="0"/>
        <v>0</v>
      </c>
      <c r="H31" s="537">
        <f t="shared" si="16"/>
        <v>27340</v>
      </c>
      <c r="I31" s="380">
        <f t="shared" si="1"/>
        <v>0</v>
      </c>
      <c r="J31" s="66">
        <f t="shared" si="17"/>
        <v>0</v>
      </c>
      <c r="K31" s="537">
        <f t="shared" si="18"/>
        <v>2383</v>
      </c>
      <c r="L31" s="52">
        <f t="shared" si="19"/>
        <v>0</v>
      </c>
      <c r="M31" s="537">
        <f t="shared" si="20"/>
        <v>176182</v>
      </c>
      <c r="N31" s="380">
        <f t="shared" si="2"/>
        <v>0</v>
      </c>
      <c r="O31" s="64">
        <f t="shared" si="48"/>
        <v>1869</v>
      </c>
      <c r="P31" s="537">
        <f t="shared" si="45"/>
        <v>2142</v>
      </c>
      <c r="Q31" s="537">
        <f t="shared" si="46"/>
        <v>179665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2480</v>
      </c>
      <c r="Y31" s="52">
        <f t="shared" si="25"/>
        <v>0</v>
      </c>
      <c r="Z31" s="537">
        <f t="shared" si="26"/>
        <v>1392127</v>
      </c>
      <c r="AA31" s="65">
        <f t="shared" si="6"/>
        <v>0</v>
      </c>
      <c r="AB31" s="273">
        <f t="shared" si="50"/>
        <v>0</v>
      </c>
      <c r="AC31" s="537">
        <f t="shared" si="27"/>
        <v>1943</v>
      </c>
      <c r="AD31" s="259">
        <f t="shared" si="7"/>
        <v>0</v>
      </c>
      <c r="AE31" s="537">
        <f t="shared" si="28"/>
        <v>366210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44589</v>
      </c>
      <c r="B32" s="537">
        <f t="shared" si="12"/>
        <v>193</v>
      </c>
      <c r="C32" s="537">
        <f t="shared" si="13"/>
        <v>200</v>
      </c>
      <c r="D32" s="45">
        <f t="shared" si="49"/>
        <v>0</v>
      </c>
      <c r="E32" s="45">
        <f t="shared" si="14"/>
        <v>0</v>
      </c>
      <c r="F32" s="537">
        <f t="shared" si="15"/>
        <v>2027</v>
      </c>
      <c r="G32" s="52">
        <f t="shared" si="0"/>
        <v>0</v>
      </c>
      <c r="H32" s="537">
        <f t="shared" si="16"/>
        <v>27340</v>
      </c>
      <c r="I32" s="380">
        <f t="shared" si="1"/>
        <v>0</v>
      </c>
      <c r="J32" s="66">
        <f t="shared" si="17"/>
        <v>0</v>
      </c>
      <c r="K32" s="537">
        <f t="shared" si="18"/>
        <v>2383</v>
      </c>
      <c r="L32" s="52">
        <f t="shared" si="19"/>
        <v>0</v>
      </c>
      <c r="M32" s="537">
        <f t="shared" si="20"/>
        <v>176182</v>
      </c>
      <c r="N32" s="380">
        <f t="shared" si="2"/>
        <v>0</v>
      </c>
      <c r="O32" s="64">
        <f t="shared" si="48"/>
        <v>1869</v>
      </c>
      <c r="P32" s="537">
        <f t="shared" si="45"/>
        <v>2142</v>
      </c>
      <c r="Q32" s="537">
        <f t="shared" si="46"/>
        <v>179665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2480</v>
      </c>
      <c r="Y32" s="52">
        <f t="shared" si="25"/>
        <v>0</v>
      </c>
      <c r="Z32" s="537">
        <f t="shared" si="26"/>
        <v>1392127</v>
      </c>
      <c r="AA32" s="65">
        <f t="shared" si="6"/>
        <v>0</v>
      </c>
      <c r="AB32" s="273">
        <f t="shared" si="50"/>
        <v>0</v>
      </c>
      <c r="AC32" s="537">
        <f t="shared" si="27"/>
        <v>1943</v>
      </c>
      <c r="AD32" s="259">
        <f t="shared" si="7"/>
        <v>0</v>
      </c>
      <c r="AE32" s="537">
        <f t="shared" si="28"/>
        <v>366210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44590</v>
      </c>
      <c r="B33" s="537">
        <f t="shared" si="12"/>
        <v>193</v>
      </c>
      <c r="C33" s="537">
        <f t="shared" si="13"/>
        <v>200</v>
      </c>
      <c r="D33" s="45">
        <f>C32-C33</f>
        <v>0</v>
      </c>
      <c r="E33" s="45">
        <f>D33*8.38</f>
        <v>0</v>
      </c>
      <c r="F33" s="537">
        <f t="shared" si="15"/>
        <v>2027</v>
      </c>
      <c r="G33" s="52">
        <f>F33-F32</f>
        <v>0</v>
      </c>
      <c r="H33" s="537">
        <f t="shared" si="16"/>
        <v>27340</v>
      </c>
      <c r="I33" s="380">
        <f>SUM(H33-H32)</f>
        <v>0</v>
      </c>
      <c r="J33" s="66">
        <f>IF(G33&gt;0,I33/G33,0)</f>
        <v>0</v>
      </c>
      <c r="K33" s="537">
        <f t="shared" si="18"/>
        <v>2383</v>
      </c>
      <c r="L33" s="52">
        <f>K33-K32</f>
        <v>0</v>
      </c>
      <c r="M33" s="537">
        <f t="shared" si="20"/>
        <v>176182</v>
      </c>
      <c r="N33" s="380">
        <f>M33-M32</f>
        <v>0</v>
      </c>
      <c r="O33" s="64">
        <f t="shared" si="48"/>
        <v>1869</v>
      </c>
      <c r="P33" s="537">
        <f t="shared" si="45"/>
        <v>2142</v>
      </c>
      <c r="Q33" s="537">
        <f t="shared" si="46"/>
        <v>179665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2"/>
        <v>0</v>
      </c>
      <c r="W33" s="384"/>
      <c r="X33" s="537">
        <f t="shared" si="24"/>
        <v>2480</v>
      </c>
      <c r="Y33" s="52">
        <f>X33-X32</f>
        <v>0</v>
      </c>
      <c r="Z33" s="537">
        <f t="shared" si="26"/>
        <v>1392127</v>
      </c>
      <c r="AA33" s="65">
        <f>Z33-Z32</f>
        <v>0</v>
      </c>
      <c r="AB33" s="273">
        <f>SUM(Y33*$AB$2)</f>
        <v>0</v>
      </c>
      <c r="AC33" s="537">
        <f t="shared" si="27"/>
        <v>1943</v>
      </c>
      <c r="AD33" s="259">
        <f>AC33-AC32</f>
        <v>0</v>
      </c>
      <c r="AE33" s="537">
        <f t="shared" si="28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5"/>
        <v>0.8</v>
      </c>
    </row>
    <row r="34" spans="1:50">
      <c r="A34" s="63">
        <f>ELEC!C33</f>
        <v>44591</v>
      </c>
      <c r="B34" s="537">
        <f t="shared" si="12"/>
        <v>193</v>
      </c>
      <c r="C34" s="537">
        <f t="shared" si="13"/>
        <v>200</v>
      </c>
      <c r="D34" s="45">
        <f>C33-C34</f>
        <v>0</v>
      </c>
      <c r="E34" s="45">
        <f>D34*8.38</f>
        <v>0</v>
      </c>
      <c r="F34" s="537">
        <f t="shared" si="15"/>
        <v>2027</v>
      </c>
      <c r="G34" s="52">
        <f>F34-F33</f>
        <v>0</v>
      </c>
      <c r="H34" s="537">
        <f t="shared" si="16"/>
        <v>27340</v>
      </c>
      <c r="I34" s="380">
        <f>SUM(H34-H33)</f>
        <v>0</v>
      </c>
      <c r="J34" s="66">
        <f>IF(G34&gt;0,I34/G34,0)</f>
        <v>0</v>
      </c>
      <c r="K34" s="537">
        <f t="shared" si="18"/>
        <v>2383</v>
      </c>
      <c r="L34" s="52">
        <f>K34-K33</f>
        <v>0</v>
      </c>
      <c r="M34" s="537">
        <f t="shared" si="20"/>
        <v>176182</v>
      </c>
      <c r="N34" s="380">
        <f>M34-M33</f>
        <v>0</v>
      </c>
      <c r="O34" s="64">
        <f t="shared" si="48"/>
        <v>1869</v>
      </c>
      <c r="P34" s="537">
        <f t="shared" si="45"/>
        <v>2142</v>
      </c>
      <c r="Q34" s="537">
        <f t="shared" si="46"/>
        <v>179665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2"/>
        <v>0</v>
      </c>
      <c r="W34" s="384"/>
      <c r="X34" s="537">
        <f t="shared" si="24"/>
        <v>2480</v>
      </c>
      <c r="Y34" s="52">
        <f>X34-X33</f>
        <v>0</v>
      </c>
      <c r="Z34" s="537">
        <f t="shared" si="26"/>
        <v>1392127</v>
      </c>
      <c r="AA34" s="65">
        <f>Z34-Z33</f>
        <v>0</v>
      </c>
      <c r="AB34" s="273">
        <f>SUM(Y34*$AB$2)</f>
        <v>0</v>
      </c>
      <c r="AC34" s="537">
        <f t="shared" si="27"/>
        <v>1943</v>
      </c>
      <c r="AD34" s="259">
        <f>AC34-AC33</f>
        <v>0</v>
      </c>
      <c r="AE34" s="537">
        <f t="shared" si="28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5"/>
        <v>0.8</v>
      </c>
    </row>
    <row r="35" spans="1:50">
      <c r="A35" s="63">
        <f>ELEC!C34</f>
        <v>44592</v>
      </c>
      <c r="B35" s="537">
        <f t="shared" si="12"/>
        <v>193</v>
      </c>
      <c r="C35" s="537">
        <f t="shared" si="13"/>
        <v>200</v>
      </c>
      <c r="D35" s="45">
        <f>C34-C35</f>
        <v>0</v>
      </c>
      <c r="E35" s="45">
        <f>D35*8.38</f>
        <v>0</v>
      </c>
      <c r="F35" s="537">
        <f t="shared" si="15"/>
        <v>2027</v>
      </c>
      <c r="G35" s="52">
        <f>F35-F34</f>
        <v>0</v>
      </c>
      <c r="H35" s="537">
        <f t="shared" si="16"/>
        <v>27340</v>
      </c>
      <c r="I35" s="380">
        <f>SUM(H35-H34)</f>
        <v>0</v>
      </c>
      <c r="J35" s="66">
        <f>IF(G35&gt;0,I35/G35,0)</f>
        <v>0</v>
      </c>
      <c r="K35" s="537">
        <f t="shared" si="18"/>
        <v>2383</v>
      </c>
      <c r="L35" s="52">
        <f>K35-K34</f>
        <v>0</v>
      </c>
      <c r="M35" s="537">
        <f t="shared" si="20"/>
        <v>176182</v>
      </c>
      <c r="N35" s="380">
        <f>M35-M34</f>
        <v>0</v>
      </c>
      <c r="O35" s="64">
        <f t="shared" si="48"/>
        <v>1869</v>
      </c>
      <c r="P35" s="537">
        <f t="shared" si="45"/>
        <v>2142</v>
      </c>
      <c r="Q35" s="537">
        <f t="shared" si="46"/>
        <v>179665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2"/>
        <v>0</v>
      </c>
      <c r="W35" s="384"/>
      <c r="X35" s="537">
        <f t="shared" si="24"/>
        <v>2480</v>
      </c>
      <c r="Y35" s="52">
        <f>X35-X34</f>
        <v>0</v>
      </c>
      <c r="Z35" s="537">
        <f t="shared" si="26"/>
        <v>1392127</v>
      </c>
      <c r="AA35" s="65">
        <f>Z35-Z34</f>
        <v>0</v>
      </c>
      <c r="AB35" s="273">
        <f>SUM(Y35*$AB$2)</f>
        <v>0</v>
      </c>
      <c r="AC35" s="537">
        <f t="shared" si="27"/>
        <v>1943</v>
      </c>
      <c r="AD35" s="259">
        <f>AC35-AC34</f>
        <v>0</v>
      </c>
      <c r="AE35" s="537">
        <f t="shared" si="28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69.952380952380963</v>
      </c>
      <c r="U36" s="70">
        <f>SUM(U5:U35)</f>
        <v>78</v>
      </c>
      <c r="V36" s="62">
        <f>SUM(V5:V35)</f>
        <v>5640</v>
      </c>
      <c r="AE36" s="71" t="s">
        <v>379</v>
      </c>
      <c r="AG36" s="329"/>
      <c r="AH36" s="62">
        <f>SUM(AH5:AH35)</f>
        <v>0</v>
      </c>
      <c r="AL36" s="62">
        <f>SUM(AL5:AL35)</f>
        <v>78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72.307692307692307</v>
      </c>
      <c r="AH37" s="62">
        <f>AF37+AA37</f>
        <v>0</v>
      </c>
      <c r="AI37" s="306">
        <f>SUM(AI5:AI35)</f>
        <v>5640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="90" zoomScaleNormal="90" workbookViewId="0">
      <pane ySplit="3" topLeftCell="A4" activePane="bottomLeft" state="frozen"/>
      <selection pane="bottomLeft" activeCell="AU28" sqref="AU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8149453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44561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626881</v>
      </c>
      <c r="H5" s="393">
        <f>[2]WATER!H36</f>
        <v>571</v>
      </c>
      <c r="I5" s="393">
        <f>[2]WATER!I36</f>
        <v>571</v>
      </c>
      <c r="J5" s="393">
        <f>[2]WATER!J36</f>
        <v>0.42370487543076663</v>
      </c>
      <c r="K5" s="393">
        <f>[2]WATER!K36</f>
        <v>6976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478</v>
      </c>
      <c r="W5" s="393">
        <f>[2]WATER!W36</f>
        <v>1</v>
      </c>
      <c r="X5" s="393">
        <f>[2]WATER!X36</f>
        <v>154639</v>
      </c>
      <c r="Y5" s="393">
        <f>[2]WATER!Y36</f>
        <v>158</v>
      </c>
      <c r="Z5" s="393">
        <f>[2]WATER!Z36</f>
        <v>99258</v>
      </c>
      <c r="AA5" s="393">
        <f>[2]WATER!AA36</f>
        <v>0</v>
      </c>
      <c r="AB5" s="393">
        <f>[2]WATER!AB36</f>
        <v>240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2218.1999999999998</v>
      </c>
      <c r="AH5" s="393">
        <f>[2]WATER!AH36</f>
        <v>0.36999999999989086</v>
      </c>
      <c r="AI5" s="393">
        <f>[2]WATER!AI36</f>
        <v>0.36999999999989086</v>
      </c>
      <c r="AJ5" s="393">
        <f>[2]WATER!AJ36</f>
        <v>0</v>
      </c>
      <c r="AK5" s="393">
        <f>[2]WATER!AK36</f>
        <v>158</v>
      </c>
      <c r="AL5" s="393">
        <f>[2]WATER!AL36</f>
        <v>-1</v>
      </c>
      <c r="AM5" s="393">
        <f>[2]WATER!AM36</f>
        <v>18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44561</v>
      </c>
      <c r="AS5" s="393">
        <f>[2]WATER!AS36</f>
        <v>0.9</v>
      </c>
      <c r="AT5" s="393">
        <f>[2]WATER!AT36</f>
        <v>153</v>
      </c>
      <c r="AU5" s="393">
        <f>[2]WATER!AU36</f>
        <v>1.1000000000000001</v>
      </c>
      <c r="AV5" s="393">
        <f>[2]WATER!AV36</f>
        <v>122</v>
      </c>
      <c r="AW5" s="393">
        <f>[2]WATER!AW36</f>
        <v>2.9</v>
      </c>
      <c r="AX5" s="393">
        <f>[2]WATER!AX36</f>
        <v>120</v>
      </c>
      <c r="AY5" s="393">
        <f>[2]WATER!AY36</f>
        <v>137.70000000000002</v>
      </c>
      <c r="AZ5" s="393">
        <f>[2]WATER!AZ36</f>
        <v>134.20000000000002</v>
      </c>
      <c r="BA5" s="393">
        <f>[2]WATER!BA36</f>
        <v>348</v>
      </c>
      <c r="BB5" s="393">
        <f>[2]WATER!BB36</f>
        <v>-18</v>
      </c>
      <c r="BC5" s="393">
        <f>[2]WATER!BC36</f>
        <v>11</v>
      </c>
      <c r="BD5" s="393">
        <f>[2]WATER!BD36</f>
        <v>113.1</v>
      </c>
      <c r="BE5" s="393">
        <f>[2]WATER!BE36</f>
        <v>106.1</v>
      </c>
      <c r="BF5" s="393">
        <f>[2]WATER!BF36</f>
        <v>464.9</v>
      </c>
      <c r="BG5" s="393">
        <f>[2]WATER!BG36</f>
        <v>106.10000000000002</v>
      </c>
    </row>
    <row r="6" spans="1:65" ht="15.75" thickBot="1">
      <c r="A6" s="6">
        <f>ELEC!C4</f>
        <v>44562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626881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6976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154639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44562</v>
      </c>
      <c r="AS6" s="407">
        <f>AS5</f>
        <v>0.9</v>
      </c>
      <c r="AT6" s="201">
        <f>AT5</f>
        <v>153</v>
      </c>
      <c r="AU6" s="408">
        <f>AU5</f>
        <v>1.1000000000000001</v>
      </c>
      <c r="AV6" s="201">
        <f>AV5</f>
        <v>122</v>
      </c>
      <c r="AW6" s="5">
        <v>2.9</v>
      </c>
      <c r="AX6" s="201">
        <f>AX5</f>
        <v>120</v>
      </c>
      <c r="AY6" s="409">
        <f>AS6*AT6</f>
        <v>137.70000000000002</v>
      </c>
      <c r="AZ6" s="409">
        <f>AU6*AV6</f>
        <v>134.20000000000002</v>
      </c>
      <c r="BA6" s="409">
        <f>AW6*AX6</f>
        <v>348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44563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f t="shared" ref="G7:G36" si="9">G6</f>
        <v>626881</v>
      </c>
      <c r="H7" s="5">
        <f t="shared" ref="H7:H33" si="10">G7-G6</f>
        <v>0</v>
      </c>
      <c r="I7" s="5">
        <f t="shared" ref="I7:I33" si="11">C7+H7</f>
        <v>0</v>
      </c>
      <c r="J7" s="319">
        <f t="shared" si="0"/>
        <v>0</v>
      </c>
      <c r="K7" s="5">
        <f>'Swimming Pool quality check '!H7</f>
        <v>6976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5180</v>
      </c>
      <c r="U7" s="5">
        <f t="shared" si="3"/>
        <v>0</v>
      </c>
      <c r="V7" s="5">
        <f t="shared" ref="V7:V36" si="15">V6</f>
        <v>478</v>
      </c>
      <c r="W7" s="309">
        <f t="shared" ref="W7:W33" si="16">+V7-V6</f>
        <v>0</v>
      </c>
      <c r="X7" s="5">
        <f t="shared" ref="X7:X36" si="17">X6</f>
        <v>154639</v>
      </c>
      <c r="Y7" s="309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240</v>
      </c>
      <c r="AC7" s="5">
        <f t="shared" ref="AC7:AC36" si="21">AC6</f>
        <v>789</v>
      </c>
      <c r="AD7" s="83">
        <f>AC7-AC6</f>
        <v>0</v>
      </c>
      <c r="AE7" s="5">
        <f t="shared" ref="AE7:AE36" si="22">AE6</f>
        <v>239.1</v>
      </c>
      <c r="AF7" s="83">
        <f t="shared" ref="AF7:AF32" si="23">AE7-AE6</f>
        <v>0</v>
      </c>
      <c r="AG7" s="5">
        <f t="shared" ref="AG7:AG36" si="24">AG6</f>
        <v>2218.1999999999998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44563</v>
      </c>
      <c r="AS7" s="407">
        <f t="shared" ref="AS7:AT21" si="30">AS6</f>
        <v>0.9</v>
      </c>
      <c r="AT7" s="201">
        <f t="shared" si="30"/>
        <v>153</v>
      </c>
      <c r="AU7" s="408">
        <f>AU6</f>
        <v>1.1000000000000001</v>
      </c>
      <c r="AV7" s="201">
        <f t="shared" ref="AV7:AV36" si="31">AV6</f>
        <v>122</v>
      </c>
      <c r="AW7" s="5">
        <v>2.9</v>
      </c>
      <c r="AX7" s="201">
        <f t="shared" ref="AX7:AX36" si="32">AX6</f>
        <v>120</v>
      </c>
      <c r="AY7" s="409">
        <f>AS7*AT7</f>
        <v>137.70000000000002</v>
      </c>
      <c r="AZ7" s="409">
        <f>AU7*AV7</f>
        <v>134.20000000000002</v>
      </c>
      <c r="BA7" s="409">
        <f>AW7*AX7</f>
        <v>348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44564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si="9"/>
        <v>626881</v>
      </c>
      <c r="H8" s="5">
        <f t="shared" si="10"/>
        <v>0</v>
      </c>
      <c r="I8" s="5">
        <f t="shared" si="11"/>
        <v>0</v>
      </c>
      <c r="J8" s="319">
        <f t="shared" si="0"/>
        <v>0</v>
      </c>
      <c r="K8" s="5">
        <f>'Swimming Pool quality check '!H8</f>
        <v>6976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5180</v>
      </c>
      <c r="U8" s="5">
        <f t="shared" si="3"/>
        <v>0</v>
      </c>
      <c r="V8" s="5">
        <f t="shared" si="15"/>
        <v>478</v>
      </c>
      <c r="W8" s="309">
        <f t="shared" si="16"/>
        <v>0</v>
      </c>
      <c r="X8" s="5">
        <f t="shared" si="17"/>
        <v>154639</v>
      </c>
      <c r="Y8" s="309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240</v>
      </c>
      <c r="AC8" s="5">
        <f t="shared" si="21"/>
        <v>789</v>
      </c>
      <c r="AD8" s="83">
        <f t="shared" ref="AD8:AD33" si="35">AC8-AC7</f>
        <v>0</v>
      </c>
      <c r="AE8" s="5">
        <f t="shared" si="22"/>
        <v>239.1</v>
      </c>
      <c r="AF8" s="83">
        <f t="shared" si="23"/>
        <v>0</v>
      </c>
      <c r="AG8" s="5">
        <f t="shared" si="24"/>
        <v>2218.1999999999998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6">SUM(Y8-L8)</f>
        <v>0</v>
      </c>
      <c r="AL8" s="312">
        <f t="shared" si="28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44564</v>
      </c>
      <c r="AS8" s="407">
        <f t="shared" si="30"/>
        <v>0.9</v>
      </c>
      <c r="AT8" s="201">
        <f t="shared" si="30"/>
        <v>153</v>
      </c>
      <c r="AU8" s="408">
        <v>1.1000000000000001</v>
      </c>
      <c r="AV8" s="201">
        <f t="shared" si="31"/>
        <v>122</v>
      </c>
      <c r="AW8" s="5">
        <v>2.9</v>
      </c>
      <c r="AX8" s="201">
        <f t="shared" si="32"/>
        <v>120</v>
      </c>
      <c r="AY8" s="409">
        <f t="shared" ref="AY8:AY35" si="37">AS8*AT8</f>
        <v>137.70000000000002</v>
      </c>
      <c r="AZ8" s="409">
        <f t="shared" ref="AZ8:AZ33" si="38">AU8*AV8</f>
        <v>134.20000000000002</v>
      </c>
      <c r="BA8" s="409">
        <f t="shared" ref="BA8:BA33" si="39">AW8*AX8</f>
        <v>348</v>
      </c>
      <c r="BB8" s="21">
        <f t="shared" ref="BB8:BB19" si="40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44565</v>
      </c>
      <c r="B9" s="5"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9"/>
        <v>626881</v>
      </c>
      <c r="H9" s="5">
        <f t="shared" si="10"/>
        <v>0</v>
      </c>
      <c r="I9" s="5">
        <f t="shared" si="11"/>
        <v>0</v>
      </c>
      <c r="J9" s="319">
        <f t="shared" si="0"/>
        <v>0</v>
      </c>
      <c r="K9" s="5">
        <f>'Swimming Pool quality check '!H9</f>
        <v>6976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5180</v>
      </c>
      <c r="U9" s="5">
        <f t="shared" si="3"/>
        <v>0</v>
      </c>
      <c r="V9" s="5">
        <f t="shared" si="15"/>
        <v>478</v>
      </c>
      <c r="W9" s="309">
        <f t="shared" si="16"/>
        <v>0</v>
      </c>
      <c r="X9" s="5">
        <f t="shared" si="17"/>
        <v>154639</v>
      </c>
      <c r="Y9" s="309">
        <f t="shared" ref="Y9:Y36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240</v>
      </c>
      <c r="AC9" s="5">
        <f t="shared" si="21"/>
        <v>789</v>
      </c>
      <c r="AD9" s="83">
        <f t="shared" si="35"/>
        <v>0</v>
      </c>
      <c r="AE9" s="5">
        <f t="shared" si="22"/>
        <v>239.1</v>
      </c>
      <c r="AF9" s="83">
        <f t="shared" si="23"/>
        <v>0</v>
      </c>
      <c r="AG9" s="5">
        <f t="shared" si="24"/>
        <v>2218.1999999999998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6"/>
        <v>0</v>
      </c>
      <c r="AL9" s="312">
        <f t="shared" si="28"/>
        <v>0</v>
      </c>
      <c r="AM9" s="312">
        <f>'General information '!D8</f>
        <v>16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44565</v>
      </c>
      <c r="AS9" s="407">
        <f t="shared" si="30"/>
        <v>0.9</v>
      </c>
      <c r="AT9" s="201">
        <v>144</v>
      </c>
      <c r="AU9" s="408">
        <f t="shared" ref="AU9:AU33" si="43">AU8</f>
        <v>1.1000000000000001</v>
      </c>
      <c r="AV9" s="201">
        <v>121</v>
      </c>
      <c r="AW9" s="5">
        <v>2.9</v>
      </c>
      <c r="AX9" s="201">
        <v>114</v>
      </c>
      <c r="AY9" s="409">
        <f t="shared" si="37"/>
        <v>129.6</v>
      </c>
      <c r="AZ9" s="409">
        <f t="shared" si="38"/>
        <v>133.10000000000002</v>
      </c>
      <c r="BA9" s="409">
        <f t="shared" si="39"/>
        <v>330.59999999999997</v>
      </c>
      <c r="BB9" s="21">
        <f t="shared" si="40"/>
        <v>-8.1000000000000227</v>
      </c>
      <c r="BC9" s="21">
        <f t="shared" si="33"/>
        <v>-1.0999999999999943</v>
      </c>
      <c r="BD9" s="21">
        <f t="shared" si="33"/>
        <v>-17.400000000000034</v>
      </c>
      <c r="BE9" s="24">
        <f t="shared" si="34"/>
        <v>-26.600000000000051</v>
      </c>
      <c r="BF9" s="330">
        <f t="shared" si="4"/>
        <v>26.600000000000051</v>
      </c>
      <c r="BG9" s="82">
        <f t="shared" si="5"/>
        <v>-26.600000000000051</v>
      </c>
    </row>
    <row r="10" spans="1:65" ht="15.75" thickBot="1">
      <c r="A10" s="6">
        <f>ELEC!C8</f>
        <v>44566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9"/>
        <v>626881</v>
      </c>
      <c r="H10" s="5">
        <f t="shared" si="10"/>
        <v>0</v>
      </c>
      <c r="I10" s="5">
        <f t="shared" si="11"/>
        <v>0</v>
      </c>
      <c r="J10" s="319">
        <f t="shared" si="0"/>
        <v>0</v>
      </c>
      <c r="K10" s="5">
        <f>'Swimming Pool quality check '!H10</f>
        <v>6983</v>
      </c>
      <c r="L10" s="83">
        <f>K10-K9</f>
        <v>7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5180</v>
      </c>
      <c r="U10" s="5">
        <f t="shared" si="3"/>
        <v>0</v>
      </c>
      <c r="V10" s="5">
        <f t="shared" si="15"/>
        <v>478</v>
      </c>
      <c r="W10" s="309">
        <f t="shared" si="16"/>
        <v>0</v>
      </c>
      <c r="X10" s="5">
        <f t="shared" si="17"/>
        <v>154639</v>
      </c>
      <c r="Y10" s="309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240</v>
      </c>
      <c r="AC10" s="5">
        <f t="shared" si="21"/>
        <v>789</v>
      </c>
      <c r="AD10" s="83">
        <f t="shared" si="35"/>
        <v>0</v>
      </c>
      <c r="AE10" s="5">
        <f t="shared" si="22"/>
        <v>239.1</v>
      </c>
      <c r="AF10" s="83">
        <f t="shared" si="23"/>
        <v>0</v>
      </c>
      <c r="AG10" s="5">
        <f t="shared" si="24"/>
        <v>2218.1999999999998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-7</v>
      </c>
      <c r="AL10" s="312">
        <f t="shared" si="28"/>
        <v>0</v>
      </c>
      <c r="AM10" s="312">
        <f>'General information '!D9</f>
        <v>17.5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44566</v>
      </c>
      <c r="AS10" s="407">
        <f t="shared" si="30"/>
        <v>0.9</v>
      </c>
      <c r="AT10" s="201">
        <f t="shared" si="30"/>
        <v>144</v>
      </c>
      <c r="AU10" s="408">
        <f t="shared" si="43"/>
        <v>1.1000000000000001</v>
      </c>
      <c r="AV10" s="201">
        <v>119</v>
      </c>
      <c r="AW10" s="5">
        <v>2.9</v>
      </c>
      <c r="AX10" s="201">
        <v>113</v>
      </c>
      <c r="AY10" s="409">
        <f t="shared" si="37"/>
        <v>129.6</v>
      </c>
      <c r="AZ10" s="409">
        <f t="shared" si="38"/>
        <v>130.9</v>
      </c>
      <c r="BA10" s="409">
        <f t="shared" si="39"/>
        <v>327.7</v>
      </c>
      <c r="BB10" s="21">
        <f t="shared" si="40"/>
        <v>0</v>
      </c>
      <c r="BC10" s="21">
        <f t="shared" si="33"/>
        <v>-2.2000000000000171</v>
      </c>
      <c r="BD10" s="21">
        <f t="shared" si="33"/>
        <v>-2.8999999999999773</v>
      </c>
      <c r="BE10" s="24">
        <f t="shared" si="34"/>
        <v>-5.0999999999999943</v>
      </c>
      <c r="BF10" s="96">
        <f t="shared" si="4"/>
        <v>5.0999999999999943</v>
      </c>
      <c r="BG10" s="82">
        <f t="shared" si="5"/>
        <v>-5.0999999999999943</v>
      </c>
    </row>
    <row r="11" spans="1:65" ht="15.75" thickBot="1">
      <c r="A11" s="6">
        <f>ELEC!C9</f>
        <v>44567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9"/>
        <v>626881</v>
      </c>
      <c r="H11" s="5">
        <f t="shared" si="10"/>
        <v>0</v>
      </c>
      <c r="I11" s="5">
        <f t="shared" si="11"/>
        <v>0</v>
      </c>
      <c r="J11" s="319">
        <f t="shared" si="0"/>
        <v>0</v>
      </c>
      <c r="K11" s="5">
        <f>'Swimming Pool quality check '!H11</f>
        <v>6984</v>
      </c>
      <c r="L11" s="83">
        <f t="shared" si="41"/>
        <v>1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5180</v>
      </c>
      <c r="U11" s="5">
        <f t="shared" si="3"/>
        <v>0</v>
      </c>
      <c r="V11" s="5">
        <f t="shared" si="15"/>
        <v>478</v>
      </c>
      <c r="W11" s="309">
        <f t="shared" si="16"/>
        <v>0</v>
      </c>
      <c r="X11" s="5">
        <f t="shared" si="17"/>
        <v>154639</v>
      </c>
      <c r="Y11" s="309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240</v>
      </c>
      <c r="AC11" s="5">
        <f t="shared" si="21"/>
        <v>789</v>
      </c>
      <c r="AD11" s="83">
        <f t="shared" si="35"/>
        <v>0</v>
      </c>
      <c r="AE11" s="5">
        <f t="shared" si="22"/>
        <v>239.1</v>
      </c>
      <c r="AF11" s="83">
        <f t="shared" si="23"/>
        <v>0</v>
      </c>
      <c r="AG11" s="5">
        <f t="shared" si="24"/>
        <v>2218.1999999999998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6"/>
        <v>-1</v>
      </c>
      <c r="AL11" s="312">
        <f t="shared" si="28"/>
        <v>0</v>
      </c>
      <c r="AM11" s="312">
        <f>'General information '!D10</f>
        <v>18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44567</v>
      </c>
      <c r="AS11" s="407">
        <f t="shared" si="30"/>
        <v>0.9</v>
      </c>
      <c r="AT11" s="201">
        <f t="shared" si="30"/>
        <v>144</v>
      </c>
      <c r="AU11" s="408">
        <f t="shared" si="43"/>
        <v>1.1000000000000001</v>
      </c>
      <c r="AV11" s="201">
        <v>117</v>
      </c>
      <c r="AW11" s="5">
        <v>2.9</v>
      </c>
      <c r="AX11" s="201">
        <v>112</v>
      </c>
      <c r="AY11" s="409">
        <f t="shared" si="37"/>
        <v>129.6</v>
      </c>
      <c r="AZ11" s="409">
        <f t="shared" si="38"/>
        <v>128.70000000000002</v>
      </c>
      <c r="BA11" s="409">
        <f t="shared" si="39"/>
        <v>324.8</v>
      </c>
      <c r="BB11" s="21">
        <f t="shared" si="40"/>
        <v>0</v>
      </c>
      <c r="BC11" s="21">
        <f t="shared" si="33"/>
        <v>-2.1999999999999886</v>
      </c>
      <c r="BD11" s="21">
        <f t="shared" si="33"/>
        <v>-2.8999999999999773</v>
      </c>
      <c r="BE11" s="24">
        <f t="shared" si="34"/>
        <v>-5.0999999999999659</v>
      </c>
      <c r="BF11" s="96">
        <f t="shared" si="4"/>
        <v>5.0999999999999659</v>
      </c>
      <c r="BG11" s="82">
        <f t="shared" si="5"/>
        <v>-5.0999999999999659</v>
      </c>
    </row>
    <row r="12" spans="1:65" ht="15.75" thickBot="1">
      <c r="A12" s="6">
        <f>ELEC!C10</f>
        <v>44568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9"/>
        <v>626881</v>
      </c>
      <c r="H12" s="5">
        <f t="shared" si="10"/>
        <v>0</v>
      </c>
      <c r="I12" s="5">
        <f t="shared" si="11"/>
        <v>0</v>
      </c>
      <c r="J12" s="319">
        <f t="shared" si="0"/>
        <v>0</v>
      </c>
      <c r="K12" s="5">
        <f>'Swimming Pool quality check '!H12</f>
        <v>6984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5180</v>
      </c>
      <c r="U12" s="5">
        <f t="shared" si="3"/>
        <v>0</v>
      </c>
      <c r="V12" s="5">
        <f t="shared" si="15"/>
        <v>478</v>
      </c>
      <c r="W12" s="309">
        <f t="shared" si="16"/>
        <v>0</v>
      </c>
      <c r="X12" s="5">
        <f t="shared" si="17"/>
        <v>154639</v>
      </c>
      <c r="Y12" s="309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240</v>
      </c>
      <c r="AC12" s="5">
        <f t="shared" si="21"/>
        <v>789</v>
      </c>
      <c r="AD12" s="83">
        <f t="shared" si="35"/>
        <v>0</v>
      </c>
      <c r="AE12" s="5">
        <f t="shared" si="22"/>
        <v>239.1</v>
      </c>
      <c r="AF12" s="83">
        <f t="shared" si="23"/>
        <v>0</v>
      </c>
      <c r="AG12" s="5">
        <f t="shared" si="24"/>
        <v>2218.1999999999998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6"/>
        <v>0</v>
      </c>
      <c r="AL12" s="312">
        <f t="shared" si="28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44568</v>
      </c>
      <c r="AS12" s="407">
        <f t="shared" si="30"/>
        <v>0.9</v>
      </c>
      <c r="AT12" s="201">
        <f t="shared" si="30"/>
        <v>144</v>
      </c>
      <c r="AU12" s="408">
        <f t="shared" si="43"/>
        <v>1.1000000000000001</v>
      </c>
      <c r="AV12" s="201">
        <f t="shared" si="31"/>
        <v>117</v>
      </c>
      <c r="AW12" s="5">
        <v>2.9</v>
      </c>
      <c r="AX12" s="201">
        <f t="shared" si="32"/>
        <v>112</v>
      </c>
      <c r="AY12" s="409">
        <f t="shared" si="37"/>
        <v>129.6</v>
      </c>
      <c r="AZ12" s="409">
        <f t="shared" si="38"/>
        <v>128.70000000000002</v>
      </c>
      <c r="BA12" s="409">
        <f t="shared" si="39"/>
        <v>324.8</v>
      </c>
      <c r="BB12" s="21">
        <f t="shared" si="40"/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44569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9"/>
        <v>626881</v>
      </c>
      <c r="H13" s="5">
        <f t="shared" si="10"/>
        <v>0</v>
      </c>
      <c r="I13" s="5">
        <f t="shared" si="11"/>
        <v>0</v>
      </c>
      <c r="J13" s="319">
        <f t="shared" si="0"/>
        <v>0</v>
      </c>
      <c r="K13" s="5">
        <f>'Swimming Pool quality check '!H13</f>
        <v>6984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5180</v>
      </c>
      <c r="U13" s="5">
        <f t="shared" si="3"/>
        <v>0</v>
      </c>
      <c r="V13" s="5">
        <f t="shared" si="15"/>
        <v>478</v>
      </c>
      <c r="W13" s="309">
        <f t="shared" si="16"/>
        <v>0</v>
      </c>
      <c r="X13" s="5">
        <f t="shared" si="17"/>
        <v>154639</v>
      </c>
      <c r="Y13" s="309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240</v>
      </c>
      <c r="AC13" s="5">
        <f t="shared" si="21"/>
        <v>789</v>
      </c>
      <c r="AD13" s="83">
        <f t="shared" si="35"/>
        <v>0</v>
      </c>
      <c r="AE13" s="5">
        <f t="shared" si="22"/>
        <v>239.1</v>
      </c>
      <c r="AF13" s="83">
        <f t="shared" si="23"/>
        <v>0</v>
      </c>
      <c r="AG13" s="5">
        <f t="shared" si="24"/>
        <v>2218.1999999999998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6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44569</v>
      </c>
      <c r="AS13" s="407">
        <f t="shared" si="30"/>
        <v>0.9</v>
      </c>
      <c r="AT13" s="201">
        <f t="shared" si="30"/>
        <v>144</v>
      </c>
      <c r="AU13" s="408">
        <f t="shared" si="43"/>
        <v>1.1000000000000001</v>
      </c>
      <c r="AV13" s="201">
        <f t="shared" si="31"/>
        <v>117</v>
      </c>
      <c r="AW13" s="5">
        <v>2.9</v>
      </c>
      <c r="AX13" s="201">
        <f t="shared" si="32"/>
        <v>112</v>
      </c>
      <c r="AY13" s="409">
        <f t="shared" si="37"/>
        <v>129.6</v>
      </c>
      <c r="AZ13" s="409">
        <f t="shared" si="38"/>
        <v>128.70000000000002</v>
      </c>
      <c r="BA13" s="409">
        <f t="shared" si="39"/>
        <v>324.8</v>
      </c>
      <c r="BB13" s="21">
        <f t="shared" si="40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44570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9"/>
        <v>626881</v>
      </c>
      <c r="H14" s="5">
        <f t="shared" si="10"/>
        <v>0</v>
      </c>
      <c r="I14" s="5">
        <f t="shared" si="11"/>
        <v>0</v>
      </c>
      <c r="J14" s="319">
        <f t="shared" si="0"/>
        <v>0</v>
      </c>
      <c r="K14" s="5">
        <f>'Swimming Pool quality check '!H14</f>
        <v>6984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4"/>
        <v>5180</v>
      </c>
      <c r="U14" s="5">
        <f t="shared" si="3"/>
        <v>0</v>
      </c>
      <c r="V14" s="5">
        <f t="shared" si="15"/>
        <v>478</v>
      </c>
      <c r="W14" s="309">
        <f t="shared" si="16"/>
        <v>0</v>
      </c>
      <c r="X14" s="5">
        <f t="shared" si="17"/>
        <v>154639</v>
      </c>
      <c r="Y14" s="309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240</v>
      </c>
      <c r="AC14" s="5">
        <f t="shared" si="21"/>
        <v>789</v>
      </c>
      <c r="AD14" s="83">
        <f t="shared" si="35"/>
        <v>0</v>
      </c>
      <c r="AE14" s="5">
        <f t="shared" si="22"/>
        <v>239.1</v>
      </c>
      <c r="AF14" s="83">
        <f t="shared" si="23"/>
        <v>0</v>
      </c>
      <c r="AG14" s="5">
        <f t="shared" si="24"/>
        <v>2218.1999999999998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6"/>
        <v>0</v>
      </c>
      <c r="AL14" s="312">
        <f t="shared" si="28"/>
        <v>0</v>
      </c>
      <c r="AM14" s="312">
        <f>'General information '!D13</f>
        <v>18.5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44570</v>
      </c>
      <c r="AS14" s="407">
        <f t="shared" si="30"/>
        <v>0.9</v>
      </c>
      <c r="AT14" s="201">
        <v>146</v>
      </c>
      <c r="AU14" s="408">
        <f t="shared" si="43"/>
        <v>1.1000000000000001</v>
      </c>
      <c r="AV14" s="201">
        <f t="shared" si="31"/>
        <v>117</v>
      </c>
      <c r="AW14" s="5">
        <v>2.9</v>
      </c>
      <c r="AX14" s="201">
        <v>110</v>
      </c>
      <c r="AY14" s="409">
        <f t="shared" si="37"/>
        <v>131.4</v>
      </c>
      <c r="AZ14" s="409">
        <f t="shared" si="38"/>
        <v>128.70000000000002</v>
      </c>
      <c r="BA14" s="409">
        <f t="shared" si="39"/>
        <v>319</v>
      </c>
      <c r="BB14" s="21">
        <f t="shared" si="40"/>
        <v>1.8000000000000114</v>
      </c>
      <c r="BC14" s="21">
        <f t="shared" si="33"/>
        <v>0</v>
      </c>
      <c r="BD14" s="21">
        <f t="shared" si="33"/>
        <v>-5.8000000000000114</v>
      </c>
      <c r="BE14" s="24">
        <f t="shared" si="34"/>
        <v>-4</v>
      </c>
      <c r="BF14" s="96">
        <f t="shared" si="4"/>
        <v>4</v>
      </c>
      <c r="BG14" s="82">
        <f t="shared" si="5"/>
        <v>-4</v>
      </c>
    </row>
    <row r="15" spans="1:65" ht="16.5" customHeight="1" thickBot="1">
      <c r="A15" s="6">
        <f>ELEC!C13</f>
        <v>44571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9"/>
        <v>626881</v>
      </c>
      <c r="H15" s="5">
        <f t="shared" si="10"/>
        <v>0</v>
      </c>
      <c r="I15" s="5">
        <f t="shared" si="11"/>
        <v>0</v>
      </c>
      <c r="J15" s="319">
        <f t="shared" si="0"/>
        <v>0</v>
      </c>
      <c r="K15" s="5">
        <f>'Swimming Pool quality check '!H15</f>
        <v>6987</v>
      </c>
      <c r="L15" s="83">
        <f t="shared" si="41"/>
        <v>3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4"/>
        <v>5180</v>
      </c>
      <c r="U15" s="5">
        <f t="shared" si="3"/>
        <v>0</v>
      </c>
      <c r="V15" s="5">
        <f t="shared" si="15"/>
        <v>478</v>
      </c>
      <c r="W15" s="309">
        <f t="shared" si="16"/>
        <v>0</v>
      </c>
      <c r="X15" s="5">
        <f t="shared" si="17"/>
        <v>154639</v>
      </c>
      <c r="Y15" s="309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240</v>
      </c>
      <c r="AC15" s="5">
        <f t="shared" si="21"/>
        <v>789</v>
      </c>
      <c r="AD15" s="83">
        <f t="shared" si="35"/>
        <v>0</v>
      </c>
      <c r="AE15" s="5">
        <f t="shared" si="22"/>
        <v>239.1</v>
      </c>
      <c r="AF15" s="83">
        <f t="shared" si="23"/>
        <v>0</v>
      </c>
      <c r="AG15" s="5">
        <f t="shared" si="24"/>
        <v>2218.1999999999998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 t="shared" si="36"/>
        <v>-3</v>
      </c>
      <c r="AL15" s="312">
        <f t="shared" si="28"/>
        <v>0</v>
      </c>
      <c r="AM15" s="312">
        <f>'General information '!D14</f>
        <v>16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44571</v>
      </c>
      <c r="AS15" s="407">
        <f t="shared" si="30"/>
        <v>0.9</v>
      </c>
      <c r="AT15" s="201">
        <v>145</v>
      </c>
      <c r="AU15" s="408">
        <f t="shared" si="43"/>
        <v>1.1000000000000001</v>
      </c>
      <c r="AV15" s="201">
        <v>110</v>
      </c>
      <c r="AW15" s="5">
        <v>2.9</v>
      </c>
      <c r="AX15" s="201">
        <v>107</v>
      </c>
      <c r="AY15" s="409">
        <f t="shared" si="37"/>
        <v>130.5</v>
      </c>
      <c r="AZ15" s="409">
        <f t="shared" si="38"/>
        <v>121.00000000000001</v>
      </c>
      <c r="BA15" s="409">
        <f t="shared" si="39"/>
        <v>310.3</v>
      </c>
      <c r="BB15" s="21">
        <f t="shared" si="40"/>
        <v>-0.90000000000000568</v>
      </c>
      <c r="BC15" s="21">
        <f t="shared" si="33"/>
        <v>-7.7000000000000028</v>
      </c>
      <c r="BD15" s="21">
        <f t="shared" si="33"/>
        <v>-8.6999999999999886</v>
      </c>
      <c r="BE15" s="24">
        <f t="shared" si="34"/>
        <v>-17.299999999999997</v>
      </c>
      <c r="BF15" s="96">
        <f t="shared" si="4"/>
        <v>17.299999999999997</v>
      </c>
      <c r="BG15" s="82">
        <f t="shared" si="5"/>
        <v>-17.299999999999997</v>
      </c>
    </row>
    <row r="16" spans="1:65" ht="15.75" thickBot="1">
      <c r="A16" s="6">
        <f>ELEC!C14</f>
        <v>44572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9"/>
        <v>626881</v>
      </c>
      <c r="H16" s="5">
        <f t="shared" si="10"/>
        <v>0</v>
      </c>
      <c r="I16" s="5">
        <f t="shared" si="11"/>
        <v>0</v>
      </c>
      <c r="J16" s="319">
        <f t="shared" si="0"/>
        <v>0</v>
      </c>
      <c r="K16" s="5">
        <f>'Swimming Pool quality check '!H16</f>
        <v>6987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4"/>
        <v>5180</v>
      </c>
      <c r="U16" s="5">
        <f t="shared" si="3"/>
        <v>0</v>
      </c>
      <c r="V16" s="5">
        <f t="shared" si="15"/>
        <v>478</v>
      </c>
      <c r="W16" s="309">
        <f t="shared" si="16"/>
        <v>0</v>
      </c>
      <c r="X16" s="5">
        <f t="shared" si="17"/>
        <v>154639</v>
      </c>
      <c r="Y16" s="309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240</v>
      </c>
      <c r="AC16" s="5">
        <f t="shared" si="21"/>
        <v>789</v>
      </c>
      <c r="AD16" s="83">
        <f t="shared" si="35"/>
        <v>0</v>
      </c>
      <c r="AE16" s="5">
        <f t="shared" si="22"/>
        <v>239.1</v>
      </c>
      <c r="AF16" s="83">
        <f t="shared" si="23"/>
        <v>0</v>
      </c>
      <c r="AG16" s="5">
        <f t="shared" si="24"/>
        <v>2218.1999999999998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6"/>
        <v>0</v>
      </c>
      <c r="AL16" s="312">
        <f t="shared" si="28"/>
        <v>0</v>
      </c>
      <c r="AM16" s="312">
        <f>'General information '!D15</f>
        <v>16.5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44572</v>
      </c>
      <c r="AS16" s="407">
        <f t="shared" si="30"/>
        <v>0.9</v>
      </c>
      <c r="AT16" s="201">
        <f t="shared" si="30"/>
        <v>145</v>
      </c>
      <c r="AU16" s="408">
        <f t="shared" si="43"/>
        <v>1.1000000000000001</v>
      </c>
      <c r="AV16" s="201">
        <v>109</v>
      </c>
      <c r="AW16" s="5">
        <v>2.9</v>
      </c>
      <c r="AX16" s="201">
        <v>105</v>
      </c>
      <c r="AY16" s="409">
        <f t="shared" si="37"/>
        <v>130.5</v>
      </c>
      <c r="AZ16" s="409">
        <f t="shared" si="38"/>
        <v>119.9</v>
      </c>
      <c r="BA16" s="409">
        <f t="shared" si="39"/>
        <v>304.5</v>
      </c>
      <c r="BB16" s="21">
        <f t="shared" si="40"/>
        <v>0</v>
      </c>
      <c r="BC16" s="21">
        <f t="shared" si="33"/>
        <v>-1.1000000000000085</v>
      </c>
      <c r="BD16" s="21">
        <f t="shared" si="33"/>
        <v>-5.8000000000000114</v>
      </c>
      <c r="BE16" s="24">
        <f t="shared" si="34"/>
        <v>-6.9000000000000199</v>
      </c>
      <c r="BF16" s="96">
        <f t="shared" si="4"/>
        <v>6.9000000000000199</v>
      </c>
      <c r="BG16" s="82">
        <f t="shared" si="5"/>
        <v>-6.9000000000000199</v>
      </c>
    </row>
    <row r="17" spans="1:61" ht="15.75" thickBot="1">
      <c r="A17" s="6">
        <f>ELEC!C15</f>
        <v>44573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9"/>
        <v>626881</v>
      </c>
      <c r="H17" s="5">
        <f t="shared" si="10"/>
        <v>0</v>
      </c>
      <c r="I17" s="5">
        <f t="shared" si="11"/>
        <v>0</v>
      </c>
      <c r="J17" s="319">
        <f t="shared" si="0"/>
        <v>0</v>
      </c>
      <c r="K17" s="5">
        <f>'Swimming Pool quality check '!H17</f>
        <v>6987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4"/>
        <v>5180</v>
      </c>
      <c r="U17" s="5">
        <f t="shared" si="3"/>
        <v>0</v>
      </c>
      <c r="V17" s="5">
        <f t="shared" si="15"/>
        <v>478</v>
      </c>
      <c r="W17" s="309">
        <f t="shared" si="16"/>
        <v>0</v>
      </c>
      <c r="X17" s="5">
        <f t="shared" si="17"/>
        <v>154639</v>
      </c>
      <c r="Y17" s="309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240</v>
      </c>
      <c r="AC17" s="5">
        <f t="shared" si="21"/>
        <v>789</v>
      </c>
      <c r="AD17" s="83">
        <f t="shared" si="35"/>
        <v>0</v>
      </c>
      <c r="AE17" s="5">
        <f t="shared" si="22"/>
        <v>239.1</v>
      </c>
      <c r="AF17" s="83">
        <f t="shared" si="23"/>
        <v>0</v>
      </c>
      <c r="AG17" s="5">
        <f t="shared" si="24"/>
        <v>2218.1999999999998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44573</v>
      </c>
      <c r="AS17" s="407">
        <f t="shared" si="30"/>
        <v>0.9</v>
      </c>
      <c r="AT17" s="201">
        <f t="shared" si="30"/>
        <v>145</v>
      </c>
      <c r="AU17" s="408">
        <f t="shared" si="43"/>
        <v>1.1000000000000001</v>
      </c>
      <c r="AV17" s="201">
        <f t="shared" si="31"/>
        <v>109</v>
      </c>
      <c r="AW17" s="5">
        <v>2.9</v>
      </c>
      <c r="AX17" s="201">
        <f t="shared" si="32"/>
        <v>105</v>
      </c>
      <c r="AY17" s="409">
        <f t="shared" si="37"/>
        <v>130.5</v>
      </c>
      <c r="AZ17" s="409">
        <f t="shared" si="38"/>
        <v>119.9</v>
      </c>
      <c r="BA17" s="409">
        <f t="shared" si="39"/>
        <v>304.5</v>
      </c>
      <c r="BB17" s="21">
        <f t="shared" si="40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44574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9"/>
        <v>626881</v>
      </c>
      <c r="H18" s="5">
        <f t="shared" si="10"/>
        <v>0</v>
      </c>
      <c r="I18" s="5">
        <f t="shared" si="11"/>
        <v>0</v>
      </c>
      <c r="J18" s="319">
        <f t="shared" si="0"/>
        <v>0</v>
      </c>
      <c r="K18" s="5">
        <f>'Swimming Pool quality check '!H18</f>
        <v>6987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4"/>
        <v>5180</v>
      </c>
      <c r="U18" s="5">
        <f t="shared" si="3"/>
        <v>0</v>
      </c>
      <c r="V18" s="5">
        <f t="shared" si="15"/>
        <v>478</v>
      </c>
      <c r="W18" s="309">
        <f t="shared" si="16"/>
        <v>0</v>
      </c>
      <c r="X18" s="5">
        <f t="shared" si="17"/>
        <v>154639</v>
      </c>
      <c r="Y18" s="309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240</v>
      </c>
      <c r="AC18" s="5">
        <f t="shared" si="21"/>
        <v>789</v>
      </c>
      <c r="AD18" s="83">
        <f t="shared" si="35"/>
        <v>0</v>
      </c>
      <c r="AE18" s="5">
        <f t="shared" si="22"/>
        <v>239.1</v>
      </c>
      <c r="AF18" s="83">
        <f t="shared" si="23"/>
        <v>0</v>
      </c>
      <c r="AG18" s="5">
        <f t="shared" si="24"/>
        <v>2218.1999999999998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14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44574</v>
      </c>
      <c r="AS18" s="407">
        <f t="shared" si="30"/>
        <v>0.9</v>
      </c>
      <c r="AT18" s="201">
        <f t="shared" si="30"/>
        <v>145</v>
      </c>
      <c r="AU18" s="408">
        <f t="shared" si="43"/>
        <v>1.1000000000000001</v>
      </c>
      <c r="AV18" s="201">
        <f t="shared" si="31"/>
        <v>109</v>
      </c>
      <c r="AW18" s="5">
        <v>2.9</v>
      </c>
      <c r="AX18" s="201">
        <v>102</v>
      </c>
      <c r="AY18" s="409">
        <f t="shared" si="37"/>
        <v>130.5</v>
      </c>
      <c r="AZ18" s="409">
        <f t="shared" si="38"/>
        <v>119.9</v>
      </c>
      <c r="BA18" s="409">
        <f t="shared" si="39"/>
        <v>295.8</v>
      </c>
      <c r="BB18" s="21">
        <f t="shared" si="40"/>
        <v>0</v>
      </c>
      <c r="BC18" s="21">
        <f t="shared" si="33"/>
        <v>0</v>
      </c>
      <c r="BD18" s="21">
        <f t="shared" si="33"/>
        <v>-8.6999999999999886</v>
      </c>
      <c r="BE18" s="24">
        <f t="shared" si="34"/>
        <v>-8.6999999999999886</v>
      </c>
      <c r="BF18" s="96">
        <f t="shared" si="4"/>
        <v>8.6999999999999886</v>
      </c>
      <c r="BG18" s="82">
        <f t="shared" si="5"/>
        <v>-8.6999999999999886</v>
      </c>
    </row>
    <row r="19" spans="1:61" ht="15.75" thickBot="1">
      <c r="A19" s="6">
        <f>ELEC!C17</f>
        <v>44575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9"/>
        <v>626881</v>
      </c>
      <c r="H19" s="5">
        <f t="shared" si="10"/>
        <v>0</v>
      </c>
      <c r="I19" s="5">
        <f t="shared" si="11"/>
        <v>0</v>
      </c>
      <c r="J19" s="319">
        <f t="shared" si="0"/>
        <v>0</v>
      </c>
      <c r="K19" s="5">
        <f>'Swimming Pool quality check '!H19</f>
        <v>6987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4"/>
        <v>5180</v>
      </c>
      <c r="U19" s="5">
        <f t="shared" si="3"/>
        <v>0</v>
      </c>
      <c r="V19" s="5">
        <f t="shared" si="15"/>
        <v>478</v>
      </c>
      <c r="W19" s="309">
        <f t="shared" si="16"/>
        <v>0</v>
      </c>
      <c r="X19" s="5">
        <f t="shared" si="17"/>
        <v>154639</v>
      </c>
      <c r="Y19" s="309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240</v>
      </c>
      <c r="AC19" s="5">
        <f t="shared" si="21"/>
        <v>789</v>
      </c>
      <c r="AD19" s="83">
        <f t="shared" si="35"/>
        <v>0</v>
      </c>
      <c r="AE19" s="5">
        <f t="shared" si="22"/>
        <v>239.1</v>
      </c>
      <c r="AF19" s="83">
        <f t="shared" si="23"/>
        <v>0</v>
      </c>
      <c r="AG19" s="5">
        <f t="shared" si="24"/>
        <v>2218.1999999999998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6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44575</v>
      </c>
      <c r="AS19" s="407">
        <f t="shared" si="30"/>
        <v>0.9</v>
      </c>
      <c r="AT19" s="201">
        <f t="shared" si="30"/>
        <v>145</v>
      </c>
      <c r="AU19" s="408">
        <f t="shared" si="43"/>
        <v>1.1000000000000001</v>
      </c>
      <c r="AV19" s="201">
        <f t="shared" si="31"/>
        <v>109</v>
      </c>
      <c r="AW19" s="5">
        <v>2.9</v>
      </c>
      <c r="AX19" s="201">
        <f t="shared" si="32"/>
        <v>102</v>
      </c>
      <c r="AY19" s="409">
        <f>AS19*AT19</f>
        <v>130.5</v>
      </c>
      <c r="AZ19" s="409">
        <f>AU19*AV19</f>
        <v>119.9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44576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9"/>
        <v>626881</v>
      </c>
      <c r="H20" s="5">
        <f t="shared" si="10"/>
        <v>0</v>
      </c>
      <c r="I20" s="5">
        <f t="shared" si="11"/>
        <v>0</v>
      </c>
      <c r="J20" s="319">
        <f t="shared" si="0"/>
        <v>0</v>
      </c>
      <c r="K20" s="5">
        <f>'Swimming Pool quality check '!H20</f>
        <v>6987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4"/>
        <v>5180</v>
      </c>
      <c r="U20" s="5">
        <f t="shared" si="3"/>
        <v>0</v>
      </c>
      <c r="V20" s="5">
        <f t="shared" si="15"/>
        <v>478</v>
      </c>
      <c r="W20" s="309">
        <f t="shared" si="16"/>
        <v>0</v>
      </c>
      <c r="X20" s="5">
        <f t="shared" si="17"/>
        <v>154639</v>
      </c>
      <c r="Y20" s="309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240</v>
      </c>
      <c r="AC20" s="5">
        <f t="shared" si="21"/>
        <v>789</v>
      </c>
      <c r="AD20" s="83">
        <f t="shared" si="35"/>
        <v>0</v>
      </c>
      <c r="AE20" s="5">
        <f t="shared" si="22"/>
        <v>239.1</v>
      </c>
      <c r="AF20" s="83">
        <f t="shared" si="23"/>
        <v>0</v>
      </c>
      <c r="AG20" s="5">
        <f t="shared" si="24"/>
        <v>2218.1999999999998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6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44576</v>
      </c>
      <c r="AS20" s="407">
        <f t="shared" si="30"/>
        <v>0.9</v>
      </c>
      <c r="AT20" s="201">
        <f t="shared" si="30"/>
        <v>145</v>
      </c>
      <c r="AU20" s="408">
        <f t="shared" si="43"/>
        <v>1.1000000000000001</v>
      </c>
      <c r="AV20" s="201">
        <f t="shared" si="31"/>
        <v>109</v>
      </c>
      <c r="AW20" s="5">
        <v>2.9</v>
      </c>
      <c r="AX20" s="201">
        <f t="shared" si="32"/>
        <v>102</v>
      </c>
      <c r="AY20" s="409">
        <f>AS20*AT20</f>
        <v>130.5</v>
      </c>
      <c r="AZ20" s="409">
        <f>AU20*AV20</f>
        <v>119.9</v>
      </c>
      <c r="BA20" s="409">
        <f>AW20*AX20</f>
        <v>295.8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44577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9"/>
        <v>626881</v>
      </c>
      <c r="H21" s="5">
        <f t="shared" si="10"/>
        <v>0</v>
      </c>
      <c r="I21" s="5">
        <f t="shared" si="11"/>
        <v>0</v>
      </c>
      <c r="J21" s="319">
        <f t="shared" si="0"/>
        <v>0</v>
      </c>
      <c r="K21" s="5">
        <f>'Swimming Pool quality check '!H21</f>
        <v>6987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4"/>
        <v>5180</v>
      </c>
      <c r="U21" s="5">
        <f t="shared" si="3"/>
        <v>0</v>
      </c>
      <c r="V21" s="5">
        <f t="shared" si="15"/>
        <v>478</v>
      </c>
      <c r="W21" s="309">
        <f t="shared" si="16"/>
        <v>0</v>
      </c>
      <c r="X21" s="5">
        <f t="shared" si="17"/>
        <v>154639</v>
      </c>
      <c r="Y21" s="309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240</v>
      </c>
      <c r="AC21" s="5">
        <f t="shared" si="21"/>
        <v>789</v>
      </c>
      <c r="AD21" s="83">
        <f t="shared" si="35"/>
        <v>0</v>
      </c>
      <c r="AE21" s="5">
        <f t="shared" si="22"/>
        <v>239.1</v>
      </c>
      <c r="AF21" s="83">
        <f t="shared" si="23"/>
        <v>0</v>
      </c>
      <c r="AG21" s="5">
        <f t="shared" si="24"/>
        <v>2218.1999999999998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11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44577</v>
      </c>
      <c r="AS21" s="407">
        <f t="shared" si="30"/>
        <v>0.9</v>
      </c>
      <c r="AT21" s="201">
        <f t="shared" si="30"/>
        <v>145</v>
      </c>
      <c r="AU21" s="408">
        <f t="shared" si="43"/>
        <v>1.1000000000000001</v>
      </c>
      <c r="AV21" s="201">
        <f t="shared" si="31"/>
        <v>109</v>
      </c>
      <c r="AW21" s="5">
        <v>2.9</v>
      </c>
      <c r="AX21" s="201">
        <v>98</v>
      </c>
      <c r="AY21" s="409">
        <f>AS21*AT21</f>
        <v>130.5</v>
      </c>
      <c r="AZ21" s="409">
        <f>AU21*AV21</f>
        <v>119.9</v>
      </c>
      <c r="BA21" s="409">
        <f>AW21*AX21</f>
        <v>284.2</v>
      </c>
      <c r="BB21" s="21">
        <f t="shared" ref="BB21:BD33" si="48">AY21-AY20</f>
        <v>0</v>
      </c>
      <c r="BC21" s="21">
        <f t="shared" si="33"/>
        <v>0</v>
      </c>
      <c r="BD21" s="21">
        <f t="shared" si="33"/>
        <v>-11.600000000000023</v>
      </c>
      <c r="BE21" s="24">
        <f t="shared" si="34"/>
        <v>-11.600000000000023</v>
      </c>
      <c r="BF21" s="96">
        <f t="shared" si="4"/>
        <v>11.600000000000023</v>
      </c>
      <c r="BG21" s="82">
        <f t="shared" si="5"/>
        <v>-11.600000000000023</v>
      </c>
    </row>
    <row r="22" spans="1:61" ht="15.75" thickBot="1">
      <c r="A22" s="6">
        <f>ELEC!C20</f>
        <v>44578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9"/>
        <v>626881</v>
      </c>
      <c r="H22" s="5">
        <f t="shared" si="10"/>
        <v>0</v>
      </c>
      <c r="I22" s="5">
        <f t="shared" si="11"/>
        <v>0</v>
      </c>
      <c r="J22" s="319">
        <f t="shared" si="0"/>
        <v>0</v>
      </c>
      <c r="K22" s="5">
        <f>'Swimming Pool quality check '!H22</f>
        <v>6987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4"/>
        <v>5180</v>
      </c>
      <c r="U22" s="5">
        <f t="shared" si="3"/>
        <v>0</v>
      </c>
      <c r="V22" s="5">
        <f t="shared" si="15"/>
        <v>478</v>
      </c>
      <c r="W22" s="309">
        <f t="shared" si="16"/>
        <v>0</v>
      </c>
      <c r="X22" s="5">
        <f t="shared" si="17"/>
        <v>154639</v>
      </c>
      <c r="Y22" s="309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240</v>
      </c>
      <c r="AC22" s="5">
        <f t="shared" si="21"/>
        <v>789</v>
      </c>
      <c r="AD22" s="83">
        <f t="shared" si="35"/>
        <v>0</v>
      </c>
      <c r="AE22" s="5">
        <f t="shared" si="22"/>
        <v>239.1</v>
      </c>
      <c r="AF22" s="83">
        <f t="shared" si="23"/>
        <v>0</v>
      </c>
      <c r="AG22" s="5">
        <f t="shared" si="24"/>
        <v>2218.1999999999998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6"/>
        <v>0</v>
      </c>
      <c r="AL22" s="312">
        <f t="shared" si="28"/>
        <v>0</v>
      </c>
      <c r="AM22" s="312">
        <f>'General information '!D21</f>
        <v>9.5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44578</v>
      </c>
      <c r="AS22" s="407">
        <f t="shared" ref="AS22:AT33" si="49">AS21</f>
        <v>0.9</v>
      </c>
      <c r="AT22" s="201">
        <f t="shared" si="49"/>
        <v>145</v>
      </c>
      <c r="AU22" s="408">
        <f t="shared" si="43"/>
        <v>1.1000000000000001</v>
      </c>
      <c r="AV22" s="201">
        <v>107</v>
      </c>
      <c r="AW22" s="5">
        <v>2.9</v>
      </c>
      <c r="AX22" s="201">
        <v>96</v>
      </c>
      <c r="AY22" s="409">
        <f t="shared" si="37"/>
        <v>130.5</v>
      </c>
      <c r="AZ22" s="409">
        <f t="shared" si="38"/>
        <v>117.7</v>
      </c>
      <c r="BA22" s="409">
        <f t="shared" si="39"/>
        <v>278.39999999999998</v>
      </c>
      <c r="BB22" s="21">
        <f>AY22-AY21</f>
        <v>0</v>
      </c>
      <c r="BC22" s="21">
        <f t="shared" si="48"/>
        <v>-2.2000000000000028</v>
      </c>
      <c r="BD22" s="21">
        <f t="shared" si="48"/>
        <v>-5.8000000000000114</v>
      </c>
      <c r="BE22" s="24">
        <f t="shared" si="34"/>
        <v>-8.0000000000000142</v>
      </c>
      <c r="BF22" s="96">
        <f t="shared" si="4"/>
        <v>8.0000000000000142</v>
      </c>
      <c r="BG22" s="82">
        <f t="shared" si="5"/>
        <v>-8.0000000000000142</v>
      </c>
    </row>
    <row r="23" spans="1:61" ht="15.75" thickBot="1">
      <c r="A23" s="6">
        <f>ELEC!C21</f>
        <v>44579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9"/>
        <v>626881</v>
      </c>
      <c r="H23" s="5">
        <f t="shared" si="10"/>
        <v>0</v>
      </c>
      <c r="I23" s="5">
        <f t="shared" si="11"/>
        <v>0</v>
      </c>
      <c r="J23" s="319">
        <f t="shared" si="0"/>
        <v>0</v>
      </c>
      <c r="K23" s="5">
        <f>'Swimming Pool quality check '!H23</f>
        <v>6991</v>
      </c>
      <c r="L23" s="263">
        <f t="shared" si="41"/>
        <v>4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4"/>
        <v>5180</v>
      </c>
      <c r="U23" s="5">
        <f t="shared" si="3"/>
        <v>0</v>
      </c>
      <c r="V23" s="5">
        <f t="shared" si="15"/>
        <v>478</v>
      </c>
      <c r="W23" s="309">
        <f t="shared" si="16"/>
        <v>0</v>
      </c>
      <c r="X23" s="5">
        <f t="shared" si="17"/>
        <v>154639</v>
      </c>
      <c r="Y23" s="309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240</v>
      </c>
      <c r="AC23" s="5">
        <f t="shared" si="21"/>
        <v>789</v>
      </c>
      <c r="AD23" s="83">
        <f t="shared" si="35"/>
        <v>0</v>
      </c>
      <c r="AE23" s="5">
        <f t="shared" si="22"/>
        <v>239.1</v>
      </c>
      <c r="AF23" s="83">
        <f t="shared" si="23"/>
        <v>0</v>
      </c>
      <c r="AG23" s="5">
        <f t="shared" si="24"/>
        <v>2218.1999999999998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6"/>
        <v>-4</v>
      </c>
      <c r="AL23" s="312">
        <f t="shared" si="28"/>
        <v>0</v>
      </c>
      <c r="AM23" s="312">
        <f>'General information '!D22</f>
        <v>11.5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44579</v>
      </c>
      <c r="AS23" s="407">
        <f t="shared" si="49"/>
        <v>0.9</v>
      </c>
      <c r="AT23" s="201">
        <f t="shared" si="49"/>
        <v>145</v>
      </c>
      <c r="AU23" s="408">
        <f t="shared" si="43"/>
        <v>1.1000000000000001</v>
      </c>
      <c r="AV23" s="201">
        <v>100</v>
      </c>
      <c r="AW23" s="5">
        <v>2.9</v>
      </c>
      <c r="AX23" s="201">
        <v>93</v>
      </c>
      <c r="AY23" s="409">
        <f t="shared" si="37"/>
        <v>130.5</v>
      </c>
      <c r="AZ23" s="409">
        <f t="shared" si="38"/>
        <v>110.00000000000001</v>
      </c>
      <c r="BA23" s="409">
        <f t="shared" si="39"/>
        <v>269.7</v>
      </c>
      <c r="BB23" s="21">
        <f t="shared" si="48"/>
        <v>0</v>
      </c>
      <c r="BC23" s="21">
        <f t="shared" si="48"/>
        <v>-7.6999999999999886</v>
      </c>
      <c r="BD23" s="21">
        <f t="shared" si="48"/>
        <v>-8.6999999999999886</v>
      </c>
      <c r="BE23" s="24">
        <f t="shared" si="34"/>
        <v>-16.399999999999977</v>
      </c>
      <c r="BF23" s="96">
        <f t="shared" si="4"/>
        <v>16.399999999999977</v>
      </c>
      <c r="BG23" s="82">
        <f t="shared" si="5"/>
        <v>-16.399999999999977</v>
      </c>
    </row>
    <row r="24" spans="1:61" ht="15.75" thickBot="1">
      <c r="A24" s="6">
        <f>ELEC!C22</f>
        <v>44580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9"/>
        <v>626881</v>
      </c>
      <c r="H24" s="5">
        <f t="shared" si="10"/>
        <v>0</v>
      </c>
      <c r="I24" s="5">
        <f t="shared" si="11"/>
        <v>0</v>
      </c>
      <c r="J24" s="319">
        <f t="shared" si="0"/>
        <v>0</v>
      </c>
      <c r="K24" s="5">
        <f>'Swimming Pool quality check '!H24</f>
        <v>6991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4"/>
        <v>5180</v>
      </c>
      <c r="U24" s="5">
        <f t="shared" si="3"/>
        <v>0</v>
      </c>
      <c r="V24" s="5">
        <f t="shared" si="15"/>
        <v>478</v>
      </c>
      <c r="W24" s="309">
        <f t="shared" si="16"/>
        <v>0</v>
      </c>
      <c r="X24" s="5">
        <f t="shared" si="17"/>
        <v>154639</v>
      </c>
      <c r="Y24" s="309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240</v>
      </c>
      <c r="AC24" s="5">
        <f t="shared" si="21"/>
        <v>789</v>
      </c>
      <c r="AD24" s="83">
        <f t="shared" si="35"/>
        <v>0</v>
      </c>
      <c r="AE24" s="5">
        <f t="shared" si="22"/>
        <v>239.1</v>
      </c>
      <c r="AF24" s="83">
        <f t="shared" si="23"/>
        <v>0</v>
      </c>
      <c r="AG24" s="5">
        <f t="shared" si="24"/>
        <v>2218.1999999999998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6"/>
        <v>0</v>
      </c>
      <c r="AL24" s="312">
        <f t="shared" si="28"/>
        <v>0</v>
      </c>
      <c r="AM24" s="312">
        <f>'General information '!D23</f>
        <v>11.5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44580</v>
      </c>
      <c r="AS24" s="407">
        <f t="shared" si="49"/>
        <v>0.9</v>
      </c>
      <c r="AT24" s="201">
        <f t="shared" si="49"/>
        <v>145</v>
      </c>
      <c r="AU24" s="408">
        <f t="shared" si="43"/>
        <v>1.1000000000000001</v>
      </c>
      <c r="AV24" s="201">
        <f t="shared" si="31"/>
        <v>100</v>
      </c>
      <c r="AW24" s="5">
        <v>2.9</v>
      </c>
      <c r="AX24" s="201">
        <v>90</v>
      </c>
      <c r="AY24" s="409">
        <f t="shared" si="37"/>
        <v>130.5</v>
      </c>
      <c r="AZ24" s="409">
        <f t="shared" si="38"/>
        <v>110.00000000000001</v>
      </c>
      <c r="BA24" s="409">
        <f t="shared" si="39"/>
        <v>261</v>
      </c>
      <c r="BB24" s="21">
        <f t="shared" si="48"/>
        <v>0</v>
      </c>
      <c r="BC24" s="21">
        <f t="shared" si="48"/>
        <v>0</v>
      </c>
      <c r="BD24" s="21">
        <f t="shared" si="48"/>
        <v>-8.6999999999999886</v>
      </c>
      <c r="BE24" s="24">
        <f t="shared" si="34"/>
        <v>-8.6999999999999886</v>
      </c>
      <c r="BF24" s="96">
        <f t="shared" si="4"/>
        <v>8.6999999999999886</v>
      </c>
      <c r="BG24" s="82">
        <f t="shared" si="5"/>
        <v>-8.6999999999999886</v>
      </c>
      <c r="BI24" s="82"/>
    </row>
    <row r="25" spans="1:61" ht="15.75" thickBot="1">
      <c r="A25" s="6">
        <f>ELEC!C23</f>
        <v>44581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9"/>
        <v>626881</v>
      </c>
      <c r="H25" s="5">
        <f t="shared" si="10"/>
        <v>0</v>
      </c>
      <c r="I25" s="5">
        <f t="shared" si="11"/>
        <v>0</v>
      </c>
      <c r="J25" s="319">
        <f t="shared" si="0"/>
        <v>0</v>
      </c>
      <c r="K25" s="5">
        <f>'Swimming Pool quality check '!H25</f>
        <v>6997</v>
      </c>
      <c r="L25" s="263">
        <f t="shared" si="41"/>
        <v>6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4"/>
        <v>5180</v>
      </c>
      <c r="U25" s="5">
        <f t="shared" si="3"/>
        <v>0</v>
      </c>
      <c r="V25" s="5">
        <f t="shared" si="15"/>
        <v>478</v>
      </c>
      <c r="W25" s="309">
        <f t="shared" si="16"/>
        <v>0</v>
      </c>
      <c r="X25" s="5">
        <f t="shared" si="17"/>
        <v>154639</v>
      </c>
      <c r="Y25" s="309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240</v>
      </c>
      <c r="AC25" s="5">
        <f t="shared" si="21"/>
        <v>789</v>
      </c>
      <c r="AD25" s="83">
        <f t="shared" si="35"/>
        <v>0</v>
      </c>
      <c r="AE25" s="5">
        <f t="shared" si="22"/>
        <v>239.1</v>
      </c>
      <c r="AF25" s="83">
        <f t="shared" si="23"/>
        <v>0</v>
      </c>
      <c r="AG25" s="5">
        <f t="shared" si="24"/>
        <v>2218.1999999999998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6"/>
        <v>-6</v>
      </c>
      <c r="AL25" s="312">
        <f t="shared" si="28"/>
        <v>0</v>
      </c>
      <c r="AM25" s="312">
        <f>'General information '!D24</f>
        <v>9.5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44581</v>
      </c>
      <c r="AS25" s="407">
        <f t="shared" si="49"/>
        <v>0.9</v>
      </c>
      <c r="AT25" s="201">
        <f t="shared" si="49"/>
        <v>145</v>
      </c>
      <c r="AU25" s="408">
        <f t="shared" si="43"/>
        <v>1.1000000000000001</v>
      </c>
      <c r="AV25" s="201">
        <f t="shared" si="31"/>
        <v>100</v>
      </c>
      <c r="AW25" s="5">
        <v>2.9</v>
      </c>
      <c r="AX25" s="201">
        <v>88</v>
      </c>
      <c r="AY25" s="409">
        <f t="shared" si="37"/>
        <v>130.5</v>
      </c>
      <c r="AZ25" s="409">
        <f t="shared" si="38"/>
        <v>110.00000000000001</v>
      </c>
      <c r="BA25" s="409">
        <f t="shared" si="39"/>
        <v>255.2</v>
      </c>
      <c r="BB25" s="21">
        <f t="shared" si="48"/>
        <v>0</v>
      </c>
      <c r="BC25" s="21">
        <f t="shared" si="48"/>
        <v>0</v>
      </c>
      <c r="BD25" s="21">
        <f t="shared" si="48"/>
        <v>-5.8000000000000114</v>
      </c>
      <c r="BE25" s="24">
        <f t="shared" si="34"/>
        <v>-5.8000000000000114</v>
      </c>
      <c r="BF25" s="96">
        <f t="shared" si="4"/>
        <v>5.8000000000000114</v>
      </c>
      <c r="BG25" s="82">
        <f t="shared" si="5"/>
        <v>-5.8000000000000114</v>
      </c>
    </row>
    <row r="26" spans="1:61" ht="15.75" thickBot="1">
      <c r="A26" s="6">
        <f>ELEC!C24</f>
        <v>44582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9"/>
        <v>626881</v>
      </c>
      <c r="H26" s="5">
        <f>G26-G25</f>
        <v>0</v>
      </c>
      <c r="I26" s="5">
        <f t="shared" si="11"/>
        <v>0</v>
      </c>
      <c r="J26" s="319">
        <f t="shared" si="0"/>
        <v>0</v>
      </c>
      <c r="K26" s="5">
        <f>'Swimming Pool quality check '!H26</f>
        <v>6997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4"/>
        <v>5180</v>
      </c>
      <c r="U26" s="5">
        <f t="shared" si="3"/>
        <v>0</v>
      </c>
      <c r="V26" s="5">
        <f t="shared" si="15"/>
        <v>478</v>
      </c>
      <c r="W26" s="309">
        <f t="shared" si="16"/>
        <v>0</v>
      </c>
      <c r="X26" s="5">
        <f t="shared" si="17"/>
        <v>154639</v>
      </c>
      <c r="Y26" s="309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240</v>
      </c>
      <c r="AC26" s="5">
        <f t="shared" si="21"/>
        <v>789</v>
      </c>
      <c r="AD26" s="83">
        <f t="shared" si="35"/>
        <v>0</v>
      </c>
      <c r="AE26" s="5">
        <f t="shared" si="22"/>
        <v>239.1</v>
      </c>
      <c r="AF26" s="83">
        <f t="shared" si="23"/>
        <v>0</v>
      </c>
      <c r="AG26" s="5">
        <f t="shared" si="24"/>
        <v>2218.1999999999998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44582</v>
      </c>
      <c r="AS26" s="407">
        <f t="shared" si="49"/>
        <v>0.9</v>
      </c>
      <c r="AT26" s="201">
        <f t="shared" si="49"/>
        <v>145</v>
      </c>
      <c r="AU26" s="408">
        <f t="shared" si="43"/>
        <v>1.1000000000000001</v>
      </c>
      <c r="AV26" s="201">
        <f t="shared" si="31"/>
        <v>100</v>
      </c>
      <c r="AW26" s="5">
        <v>2.9</v>
      </c>
      <c r="AX26" s="201">
        <f t="shared" si="32"/>
        <v>88</v>
      </c>
      <c r="AY26" s="409">
        <f t="shared" si="37"/>
        <v>130.5</v>
      </c>
      <c r="AZ26" s="409">
        <f t="shared" si="38"/>
        <v>110.00000000000001</v>
      </c>
      <c r="BA26" s="409">
        <f t="shared" si="39"/>
        <v>255.2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4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44583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9"/>
        <v>626881</v>
      </c>
      <c r="H27" s="5">
        <f t="shared" si="10"/>
        <v>0</v>
      </c>
      <c r="I27" s="5">
        <f t="shared" si="11"/>
        <v>0</v>
      </c>
      <c r="J27" s="319">
        <f t="shared" si="0"/>
        <v>0</v>
      </c>
      <c r="K27" s="5">
        <f>'Swimming Pool quality check '!H27</f>
        <v>6997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5"/>
        <v>478</v>
      </c>
      <c r="W27" s="309">
        <f t="shared" si="16"/>
        <v>0</v>
      </c>
      <c r="X27" s="5">
        <f t="shared" si="17"/>
        <v>154639</v>
      </c>
      <c r="Y27" s="309">
        <f t="shared" si="42"/>
        <v>0</v>
      </c>
      <c r="Z27" s="5">
        <f t="shared" si="18"/>
        <v>99258</v>
      </c>
      <c r="AA27" s="83">
        <f t="shared" si="19"/>
        <v>0</v>
      </c>
      <c r="AB27" s="5">
        <f t="shared" si="20"/>
        <v>240</v>
      </c>
      <c r="AC27" s="5">
        <f t="shared" si="21"/>
        <v>789</v>
      </c>
      <c r="AD27" s="83">
        <f t="shared" si="35"/>
        <v>0</v>
      </c>
      <c r="AE27" s="5">
        <f t="shared" si="22"/>
        <v>239.1</v>
      </c>
      <c r="AF27" s="83">
        <f t="shared" si="23"/>
        <v>0</v>
      </c>
      <c r="AG27" s="5">
        <f t="shared" si="24"/>
        <v>2218.1999999999998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6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44583</v>
      </c>
      <c r="AS27" s="407">
        <f t="shared" si="49"/>
        <v>0.9</v>
      </c>
      <c r="AT27" s="201">
        <f t="shared" si="49"/>
        <v>145</v>
      </c>
      <c r="AU27" s="408">
        <f t="shared" si="43"/>
        <v>1.1000000000000001</v>
      </c>
      <c r="AV27" s="201">
        <f t="shared" si="31"/>
        <v>100</v>
      </c>
      <c r="AW27" s="5">
        <v>2.9</v>
      </c>
      <c r="AX27" s="201">
        <f t="shared" si="32"/>
        <v>88</v>
      </c>
      <c r="AY27" s="409">
        <f t="shared" si="37"/>
        <v>130.5</v>
      </c>
      <c r="AZ27" s="409">
        <f t="shared" si="38"/>
        <v>110.00000000000001</v>
      </c>
      <c r="BA27" s="409">
        <f t="shared" si="39"/>
        <v>255.2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4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44584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9"/>
        <v>626881</v>
      </c>
      <c r="H28" s="5">
        <f t="shared" si="10"/>
        <v>0</v>
      </c>
      <c r="I28" s="5">
        <f t="shared" si="11"/>
        <v>0</v>
      </c>
      <c r="J28" s="319">
        <f t="shared" si="0"/>
        <v>0</v>
      </c>
      <c r="K28" s="5">
        <f>'Swimming Pool quality check '!H28</f>
        <v>6997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4"/>
        <v>5180</v>
      </c>
      <c r="U28" s="5">
        <f t="shared" si="3"/>
        <v>0</v>
      </c>
      <c r="V28" s="5">
        <f t="shared" si="15"/>
        <v>478</v>
      </c>
      <c r="W28" s="309">
        <f t="shared" si="16"/>
        <v>0</v>
      </c>
      <c r="X28" s="5">
        <f t="shared" si="17"/>
        <v>154639</v>
      </c>
      <c r="Y28" s="309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240</v>
      </c>
      <c r="AC28" s="5">
        <f t="shared" si="21"/>
        <v>789</v>
      </c>
      <c r="AD28" s="83">
        <f t="shared" si="35"/>
        <v>0</v>
      </c>
      <c r="AE28" s="5">
        <f t="shared" si="22"/>
        <v>239.1</v>
      </c>
      <c r="AF28" s="83">
        <f t="shared" si="23"/>
        <v>0</v>
      </c>
      <c r="AG28" s="5">
        <f t="shared" si="24"/>
        <v>2218.1999999999998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6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44584</v>
      </c>
      <c r="AS28" s="407">
        <f t="shared" si="49"/>
        <v>0.9</v>
      </c>
      <c r="AT28" s="201">
        <f t="shared" si="49"/>
        <v>145</v>
      </c>
      <c r="AU28" s="408">
        <f t="shared" si="43"/>
        <v>1.1000000000000001</v>
      </c>
      <c r="AV28" s="201">
        <v>99</v>
      </c>
      <c r="AW28" s="5">
        <v>2.9</v>
      </c>
      <c r="AX28" s="201">
        <v>85</v>
      </c>
      <c r="AY28" s="409">
        <f t="shared" si="37"/>
        <v>130.5</v>
      </c>
      <c r="AZ28" s="409">
        <f t="shared" si="38"/>
        <v>108.9</v>
      </c>
      <c r="BA28" s="409">
        <f t="shared" si="39"/>
        <v>246.5</v>
      </c>
      <c r="BB28" s="21">
        <f t="shared" si="48"/>
        <v>0</v>
      </c>
      <c r="BC28" s="21">
        <f t="shared" si="48"/>
        <v>-1.1000000000000085</v>
      </c>
      <c r="BD28" s="21">
        <f t="shared" si="48"/>
        <v>-8.6999999999999886</v>
      </c>
      <c r="BE28" s="24">
        <f t="shared" si="34"/>
        <v>-9.7999999999999972</v>
      </c>
      <c r="BF28" s="96">
        <f t="shared" si="4"/>
        <v>9.7999999999999972</v>
      </c>
      <c r="BG28" s="82">
        <f t="shared" si="5"/>
        <v>-9.7999999999999972</v>
      </c>
    </row>
    <row r="29" spans="1:61" ht="15.75" thickBot="1">
      <c r="A29" s="6">
        <f>ELEC!C27</f>
        <v>44585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9"/>
        <v>626881</v>
      </c>
      <c r="H29" s="5">
        <f t="shared" si="10"/>
        <v>0</v>
      </c>
      <c r="I29" s="5">
        <f t="shared" si="11"/>
        <v>0</v>
      </c>
      <c r="J29" s="319">
        <f t="shared" si="0"/>
        <v>0</v>
      </c>
      <c r="K29" s="5">
        <f>'Swimming Pool quality check '!H29</f>
        <v>6997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4"/>
        <v>5180</v>
      </c>
      <c r="U29" s="5">
        <f t="shared" si="3"/>
        <v>0</v>
      </c>
      <c r="V29" s="5">
        <f t="shared" si="15"/>
        <v>478</v>
      </c>
      <c r="W29" s="309">
        <f t="shared" si="16"/>
        <v>0</v>
      </c>
      <c r="X29" s="5">
        <f t="shared" si="17"/>
        <v>154639</v>
      </c>
      <c r="Y29" s="309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240</v>
      </c>
      <c r="AC29" s="5">
        <f t="shared" si="21"/>
        <v>789</v>
      </c>
      <c r="AD29" s="83">
        <f t="shared" si="35"/>
        <v>0</v>
      </c>
      <c r="AE29" s="5">
        <f t="shared" si="22"/>
        <v>239.1</v>
      </c>
      <c r="AF29" s="83">
        <f t="shared" si="23"/>
        <v>0</v>
      </c>
      <c r="AG29" s="5">
        <f t="shared" si="24"/>
        <v>2218.1999999999998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6"/>
        <v>0</v>
      </c>
      <c r="AL29" s="312">
        <f t="shared" si="28"/>
        <v>0</v>
      </c>
      <c r="AM29" s="312">
        <f>'General information '!D28</f>
        <v>11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44585</v>
      </c>
      <c r="AS29" s="407">
        <f t="shared" si="49"/>
        <v>0.9</v>
      </c>
      <c r="AT29" s="201">
        <f t="shared" si="49"/>
        <v>145</v>
      </c>
      <c r="AU29" s="408">
        <f t="shared" si="43"/>
        <v>1.1000000000000001</v>
      </c>
      <c r="AV29" s="201">
        <f t="shared" si="31"/>
        <v>99</v>
      </c>
      <c r="AW29" s="5">
        <v>2.9</v>
      </c>
      <c r="AX29" s="201">
        <v>83</v>
      </c>
      <c r="AY29" s="409">
        <f t="shared" si="37"/>
        <v>130.5</v>
      </c>
      <c r="AZ29" s="409">
        <f t="shared" si="38"/>
        <v>108.9</v>
      </c>
      <c r="BA29" s="409">
        <f t="shared" si="39"/>
        <v>240.7</v>
      </c>
      <c r="BB29" s="21">
        <f t="shared" si="48"/>
        <v>0</v>
      </c>
      <c r="BC29" s="21">
        <f t="shared" si="48"/>
        <v>0</v>
      </c>
      <c r="BD29" s="21">
        <f t="shared" si="48"/>
        <v>-5.8000000000000114</v>
      </c>
      <c r="BE29" s="24">
        <f t="shared" si="34"/>
        <v>-5.8000000000000114</v>
      </c>
      <c r="BF29" s="96">
        <f t="shared" si="4"/>
        <v>5.8000000000000114</v>
      </c>
      <c r="BG29" s="82">
        <f t="shared" si="5"/>
        <v>-5.8000000000000114</v>
      </c>
    </row>
    <row r="30" spans="1:61" ht="15.75" thickBot="1">
      <c r="A30" s="6">
        <f>ELEC!C28</f>
        <v>44586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9"/>
        <v>626881</v>
      </c>
      <c r="H30" s="5">
        <f t="shared" si="10"/>
        <v>0</v>
      </c>
      <c r="I30" s="5">
        <f t="shared" si="11"/>
        <v>0</v>
      </c>
      <c r="J30" s="319">
        <f t="shared" si="0"/>
        <v>0</v>
      </c>
      <c r="K30" s="5">
        <f>'Swimming Pool quality check '!H30</f>
        <v>7000</v>
      </c>
      <c r="L30" s="263">
        <f t="shared" si="41"/>
        <v>3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4"/>
        <v>5180</v>
      </c>
      <c r="U30" s="5">
        <f t="shared" si="3"/>
        <v>0</v>
      </c>
      <c r="V30" s="5">
        <f t="shared" si="15"/>
        <v>478</v>
      </c>
      <c r="W30" s="309">
        <f t="shared" si="16"/>
        <v>0</v>
      </c>
      <c r="X30" s="5">
        <v>154709</v>
      </c>
      <c r="Y30" s="309">
        <f t="shared" si="42"/>
        <v>70</v>
      </c>
      <c r="Z30" s="5">
        <f t="shared" si="18"/>
        <v>99258</v>
      </c>
      <c r="AA30" s="83">
        <f t="shared" si="19"/>
        <v>0</v>
      </c>
      <c r="AB30" s="5">
        <f t="shared" si="20"/>
        <v>240</v>
      </c>
      <c r="AC30" s="5">
        <f t="shared" si="21"/>
        <v>789</v>
      </c>
      <c r="AD30" s="83">
        <f t="shared" si="35"/>
        <v>0</v>
      </c>
      <c r="AE30" s="5">
        <f t="shared" si="22"/>
        <v>239.1</v>
      </c>
      <c r="AF30" s="83">
        <f t="shared" si="23"/>
        <v>0</v>
      </c>
      <c r="AG30" s="5">
        <f t="shared" si="24"/>
        <v>2218.1999999999998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6"/>
        <v>67</v>
      </c>
      <c r="AL30" s="312">
        <f t="shared" si="28"/>
        <v>0</v>
      </c>
      <c r="AM30" s="312">
        <f>'General information '!D29</f>
        <v>11.5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44586</v>
      </c>
      <c r="AS30" s="407">
        <f t="shared" si="49"/>
        <v>0.9</v>
      </c>
      <c r="AT30" s="201">
        <f t="shared" si="49"/>
        <v>145</v>
      </c>
      <c r="AU30" s="408">
        <f t="shared" si="43"/>
        <v>1.1000000000000001</v>
      </c>
      <c r="AV30" s="201">
        <f t="shared" si="31"/>
        <v>99</v>
      </c>
      <c r="AW30" s="5">
        <v>2.9</v>
      </c>
      <c r="AX30" s="201">
        <v>102</v>
      </c>
      <c r="AY30" s="409">
        <f t="shared" si="37"/>
        <v>130.5</v>
      </c>
      <c r="AZ30" s="409">
        <f t="shared" si="38"/>
        <v>108.9</v>
      </c>
      <c r="BA30" s="409">
        <f t="shared" si="39"/>
        <v>295.8</v>
      </c>
      <c r="BB30" s="21">
        <f t="shared" si="48"/>
        <v>0</v>
      </c>
      <c r="BC30" s="21">
        <f t="shared" si="48"/>
        <v>0</v>
      </c>
      <c r="BD30" s="21">
        <f t="shared" si="48"/>
        <v>55.100000000000023</v>
      </c>
      <c r="BE30" s="24">
        <f t="shared" si="34"/>
        <v>55.100000000000023</v>
      </c>
      <c r="BF30" s="96">
        <f t="shared" si="4"/>
        <v>-55.100000000000023</v>
      </c>
      <c r="BG30" s="82">
        <f t="shared" si="5"/>
        <v>55.100000000000023</v>
      </c>
    </row>
    <row r="31" spans="1:61" ht="15.75" thickBot="1">
      <c r="A31" s="6">
        <f>ELEC!C29</f>
        <v>44587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9"/>
        <v>626881</v>
      </c>
      <c r="H31" s="5">
        <f t="shared" si="10"/>
        <v>0</v>
      </c>
      <c r="I31" s="5">
        <f t="shared" si="11"/>
        <v>0</v>
      </c>
      <c r="J31" s="319">
        <f t="shared" si="0"/>
        <v>0</v>
      </c>
      <c r="K31" s="5">
        <f>'Swimming Pool quality check '!H31</f>
        <v>7000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4"/>
        <v>5180</v>
      </c>
      <c r="U31" s="5">
        <f t="shared" si="3"/>
        <v>0</v>
      </c>
      <c r="V31" s="5">
        <f t="shared" si="15"/>
        <v>478</v>
      </c>
      <c r="W31" s="309">
        <f t="shared" si="16"/>
        <v>0</v>
      </c>
      <c r="X31" s="5">
        <f t="shared" si="17"/>
        <v>154709</v>
      </c>
      <c r="Y31" s="309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240</v>
      </c>
      <c r="AC31" s="5">
        <f t="shared" si="21"/>
        <v>789</v>
      </c>
      <c r="AD31" s="83">
        <f t="shared" si="35"/>
        <v>0</v>
      </c>
      <c r="AE31" s="5">
        <f t="shared" si="22"/>
        <v>239.1</v>
      </c>
      <c r="AF31" s="83">
        <f t="shared" si="23"/>
        <v>0</v>
      </c>
      <c r="AG31" s="5">
        <f t="shared" si="24"/>
        <v>2218.1999999999998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6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44587</v>
      </c>
      <c r="AS31" s="407">
        <f t="shared" si="49"/>
        <v>0.9</v>
      </c>
      <c r="AT31" s="201">
        <f t="shared" si="49"/>
        <v>145</v>
      </c>
      <c r="AU31" s="408">
        <f t="shared" si="43"/>
        <v>1.1000000000000001</v>
      </c>
      <c r="AV31" s="201">
        <f t="shared" si="31"/>
        <v>99</v>
      </c>
      <c r="AW31" s="5">
        <v>2.9</v>
      </c>
      <c r="AX31" s="201">
        <f t="shared" si="32"/>
        <v>102</v>
      </c>
      <c r="AY31" s="409">
        <f t="shared" si="37"/>
        <v>130.5</v>
      </c>
      <c r="AZ31" s="409">
        <f>AU31*AV31</f>
        <v>108.9</v>
      </c>
      <c r="BA31" s="409">
        <f t="shared" si="39"/>
        <v>295.8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4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44588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9"/>
        <v>626881</v>
      </c>
      <c r="H32" s="5">
        <f t="shared" si="10"/>
        <v>0</v>
      </c>
      <c r="I32" s="5">
        <f t="shared" si="11"/>
        <v>0</v>
      </c>
      <c r="J32" s="319">
        <f t="shared" si="0"/>
        <v>0</v>
      </c>
      <c r="K32" s="5">
        <f>'Swimming Pool quality check '!H32</f>
        <v>7000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4"/>
        <v>5180</v>
      </c>
      <c r="U32" s="5">
        <f t="shared" si="3"/>
        <v>0</v>
      </c>
      <c r="V32" s="5">
        <f t="shared" si="15"/>
        <v>478</v>
      </c>
      <c r="W32" s="309">
        <f t="shared" si="16"/>
        <v>0</v>
      </c>
      <c r="X32" s="5">
        <f t="shared" si="17"/>
        <v>154709</v>
      </c>
      <c r="Y32" s="309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240</v>
      </c>
      <c r="AC32" s="5">
        <f t="shared" si="21"/>
        <v>789</v>
      </c>
      <c r="AD32" s="83">
        <f t="shared" si="35"/>
        <v>0</v>
      </c>
      <c r="AE32" s="5">
        <f t="shared" si="22"/>
        <v>239.1</v>
      </c>
      <c r="AF32" s="83">
        <f t="shared" si="23"/>
        <v>0</v>
      </c>
      <c r="AG32" s="5">
        <f t="shared" si="24"/>
        <v>2218.1999999999998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6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44588</v>
      </c>
      <c r="AS32" s="407">
        <f t="shared" si="49"/>
        <v>0.9</v>
      </c>
      <c r="AT32" s="201">
        <f t="shared" si="49"/>
        <v>145</v>
      </c>
      <c r="AU32" s="408">
        <f t="shared" si="43"/>
        <v>1.1000000000000001</v>
      </c>
      <c r="AV32" s="201">
        <f t="shared" si="31"/>
        <v>99</v>
      </c>
      <c r="AW32" s="5">
        <v>2.9</v>
      </c>
      <c r="AX32" s="201">
        <f t="shared" si="32"/>
        <v>102</v>
      </c>
      <c r="AY32" s="409">
        <f t="shared" si="37"/>
        <v>130.5</v>
      </c>
      <c r="AZ32" s="409">
        <f t="shared" si="38"/>
        <v>108.9</v>
      </c>
      <c r="BA32" s="409">
        <f t="shared" si="39"/>
        <v>295.8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4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44589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9"/>
        <v>626881</v>
      </c>
      <c r="H33" s="5">
        <f t="shared" si="10"/>
        <v>0</v>
      </c>
      <c r="I33" s="5">
        <f t="shared" si="11"/>
        <v>0</v>
      </c>
      <c r="J33" s="319">
        <f t="shared" si="0"/>
        <v>0</v>
      </c>
      <c r="K33" s="5">
        <f>'Swimming Pool quality check '!H33</f>
        <v>7000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4"/>
        <v>5180</v>
      </c>
      <c r="U33" s="5">
        <f t="shared" si="3"/>
        <v>0</v>
      </c>
      <c r="V33" s="5">
        <f t="shared" si="15"/>
        <v>478</v>
      </c>
      <c r="W33" s="309">
        <f t="shared" si="16"/>
        <v>0</v>
      </c>
      <c r="X33" s="5">
        <f t="shared" si="17"/>
        <v>154709</v>
      </c>
      <c r="Y33" s="309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240</v>
      </c>
      <c r="AC33" s="5">
        <f t="shared" si="21"/>
        <v>789</v>
      </c>
      <c r="AD33" s="83">
        <f t="shared" si="35"/>
        <v>0</v>
      </c>
      <c r="AE33" s="5">
        <f t="shared" si="22"/>
        <v>239.1</v>
      </c>
      <c r="AF33" s="83">
        <f>AE33-AE32</f>
        <v>0</v>
      </c>
      <c r="AG33" s="5">
        <f t="shared" si="24"/>
        <v>2218.1999999999998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6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44589</v>
      </c>
      <c r="AS33" s="407">
        <f t="shared" si="49"/>
        <v>0.9</v>
      </c>
      <c r="AT33" s="201">
        <f t="shared" si="49"/>
        <v>145</v>
      </c>
      <c r="AU33" s="408">
        <f t="shared" si="43"/>
        <v>1.1000000000000001</v>
      </c>
      <c r="AV33" s="201">
        <f t="shared" si="31"/>
        <v>99</v>
      </c>
      <c r="AW33" s="5">
        <v>2.9</v>
      </c>
      <c r="AX33" s="201">
        <f t="shared" si="32"/>
        <v>102</v>
      </c>
      <c r="AY33" s="409">
        <f t="shared" si="37"/>
        <v>130.5</v>
      </c>
      <c r="AZ33" s="409">
        <f t="shared" si="38"/>
        <v>108.9</v>
      </c>
      <c r="BA33" s="409">
        <f t="shared" si="39"/>
        <v>295.8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4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44590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9"/>
        <v>626881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7000</v>
      </c>
      <c r="L34" s="263">
        <f>K34-K33</f>
        <v>0</v>
      </c>
      <c r="M34" s="393">
        <f t="shared" si="12"/>
        <v>457.44</v>
      </c>
      <c r="N34" s="482">
        <f>SUM(M34-M33)</f>
        <v>0</v>
      </c>
      <c r="O34" s="393">
        <f t="shared" si="13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4"/>
        <v>5180</v>
      </c>
      <c r="U34" s="5">
        <f>SUM(T34-T33)</f>
        <v>0</v>
      </c>
      <c r="V34" s="5">
        <f t="shared" si="15"/>
        <v>478</v>
      </c>
      <c r="W34" s="309">
        <f>+V34-V33</f>
        <v>0</v>
      </c>
      <c r="X34" s="5">
        <f t="shared" si="17"/>
        <v>154709</v>
      </c>
      <c r="Y34" s="309">
        <f t="shared" si="42"/>
        <v>0</v>
      </c>
      <c r="Z34" s="5">
        <f t="shared" si="18"/>
        <v>99258</v>
      </c>
      <c r="AA34" s="83">
        <f>Z34-Z33</f>
        <v>0</v>
      </c>
      <c r="AB34" s="5">
        <f t="shared" si="20"/>
        <v>240</v>
      </c>
      <c r="AC34" s="5">
        <f t="shared" si="21"/>
        <v>789</v>
      </c>
      <c r="AD34" s="83">
        <f>AC34-AC33</f>
        <v>0</v>
      </c>
      <c r="AE34" s="5">
        <f t="shared" si="22"/>
        <v>239.1</v>
      </c>
      <c r="AF34" s="83">
        <f>AE34-AE33</f>
        <v>0</v>
      </c>
      <c r="AG34" s="5">
        <f t="shared" si="24"/>
        <v>2218.1999999999998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44590</v>
      </c>
      <c r="AS34" s="407">
        <f>AS33</f>
        <v>0.9</v>
      </c>
      <c r="AT34" s="201">
        <f t="shared" ref="AT34:AT36" si="50">AT33</f>
        <v>145</v>
      </c>
      <c r="AU34" s="408">
        <f>AU33</f>
        <v>1.1000000000000001</v>
      </c>
      <c r="AV34" s="201">
        <f t="shared" si="31"/>
        <v>99</v>
      </c>
      <c r="AW34" s="5">
        <v>2.9</v>
      </c>
      <c r="AX34" s="201">
        <f t="shared" si="32"/>
        <v>102</v>
      </c>
      <c r="AY34" s="409">
        <f t="shared" si="37"/>
        <v>130.5</v>
      </c>
      <c r="AZ34" s="409">
        <f>AU34*AV34</f>
        <v>108.9</v>
      </c>
      <c r="BA34" s="409">
        <f>AW34*AX34</f>
        <v>295.8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44591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9"/>
        <v>626881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7000</v>
      </c>
      <c r="L35" s="263">
        <f>K35-K34</f>
        <v>0</v>
      </c>
      <c r="M35" s="393">
        <f t="shared" si="12"/>
        <v>457.44</v>
      </c>
      <c r="N35" s="482">
        <f>SUM(M35-M34)</f>
        <v>0</v>
      </c>
      <c r="O35" s="393">
        <f t="shared" si="13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4"/>
        <v>5180</v>
      </c>
      <c r="U35" s="5">
        <f>SUM(T35-T34)</f>
        <v>0</v>
      </c>
      <c r="V35" s="5">
        <f t="shared" si="15"/>
        <v>478</v>
      </c>
      <c r="W35" s="309">
        <f>+V35-V34</f>
        <v>0</v>
      </c>
      <c r="X35" s="5">
        <f t="shared" si="17"/>
        <v>154709</v>
      </c>
      <c r="Y35" s="309">
        <f t="shared" si="42"/>
        <v>0</v>
      </c>
      <c r="Z35" s="5">
        <f t="shared" si="18"/>
        <v>99258</v>
      </c>
      <c r="AA35" s="83">
        <f>Z35-Z34</f>
        <v>0</v>
      </c>
      <c r="AB35" s="5">
        <f t="shared" si="20"/>
        <v>240</v>
      </c>
      <c r="AC35" s="5">
        <f t="shared" si="21"/>
        <v>789</v>
      </c>
      <c r="AD35" s="83">
        <f>AC35-AC34</f>
        <v>0</v>
      </c>
      <c r="AE35" s="5">
        <f t="shared" si="22"/>
        <v>239.1</v>
      </c>
      <c r="AF35" s="83">
        <f>AE35-AE34</f>
        <v>0</v>
      </c>
      <c r="AG35" s="5">
        <f t="shared" si="24"/>
        <v>2218.1999999999998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44591</v>
      </c>
      <c r="AS35" s="407">
        <f>AS34</f>
        <v>0.9</v>
      </c>
      <c r="AT35" s="201">
        <f t="shared" si="50"/>
        <v>145</v>
      </c>
      <c r="AU35" s="408">
        <f>AU34</f>
        <v>1.1000000000000001</v>
      </c>
      <c r="AV35" s="201">
        <f t="shared" si="31"/>
        <v>99</v>
      </c>
      <c r="AW35" s="5">
        <v>2.9</v>
      </c>
      <c r="AX35" s="201">
        <f t="shared" si="32"/>
        <v>102</v>
      </c>
      <c r="AY35" s="409">
        <f t="shared" si="37"/>
        <v>130.5</v>
      </c>
      <c r="AZ35" s="409">
        <f>AU35*AV35</f>
        <v>108.9</v>
      </c>
      <c r="BA35" s="409">
        <f>AW35*AX35</f>
        <v>295.8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44592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9"/>
        <v>626881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7000</v>
      </c>
      <c r="L36" s="263">
        <f>K36-K35</f>
        <v>0</v>
      </c>
      <c r="M36" s="393">
        <f t="shared" si="12"/>
        <v>457.44</v>
      </c>
      <c r="N36" s="482">
        <f>SUM(M36-M35)</f>
        <v>0</v>
      </c>
      <c r="O36" s="393">
        <f t="shared" si="13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4"/>
        <v>5180</v>
      </c>
      <c r="U36" s="5">
        <f>SUM(T36-T35)</f>
        <v>0</v>
      </c>
      <c r="V36" s="5">
        <f t="shared" si="15"/>
        <v>478</v>
      </c>
      <c r="W36" s="309">
        <f>+V36-V35</f>
        <v>0</v>
      </c>
      <c r="X36" s="5">
        <f t="shared" si="17"/>
        <v>154709</v>
      </c>
      <c r="Y36" s="309">
        <f t="shared" si="42"/>
        <v>0</v>
      </c>
      <c r="Z36" s="5">
        <f t="shared" si="18"/>
        <v>99258</v>
      </c>
      <c r="AA36" s="83">
        <f>Z36-Z35</f>
        <v>0</v>
      </c>
      <c r="AB36" s="5">
        <f t="shared" si="20"/>
        <v>240</v>
      </c>
      <c r="AC36" s="5">
        <f t="shared" si="21"/>
        <v>789</v>
      </c>
      <c r="AD36" s="83">
        <f>AC36-AC35</f>
        <v>0</v>
      </c>
      <c r="AE36" s="5">
        <f t="shared" si="22"/>
        <v>239.1</v>
      </c>
      <c r="AF36" s="83">
        <f>AE36-AE35</f>
        <v>0</v>
      </c>
      <c r="AG36" s="5">
        <f t="shared" si="24"/>
        <v>2218.1999999999998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44592</v>
      </c>
      <c r="AS36" s="407">
        <f>AS35</f>
        <v>0.9</v>
      </c>
      <c r="AT36" s="201">
        <f t="shared" si="50"/>
        <v>145</v>
      </c>
      <c r="AU36" s="408">
        <f>AU35</f>
        <v>1.1000000000000001</v>
      </c>
      <c r="AV36" s="201">
        <f t="shared" si="31"/>
        <v>99</v>
      </c>
      <c r="AW36" s="5">
        <v>2.9</v>
      </c>
      <c r="AX36" s="201">
        <f t="shared" si="32"/>
        <v>102</v>
      </c>
      <c r="AY36" s="409">
        <f t="shared" ref="AY36" si="54">AS36*AT36</f>
        <v>130.5</v>
      </c>
      <c r="AZ36" s="409">
        <f>AU36*AV36</f>
        <v>108.9</v>
      </c>
      <c r="BA36" s="409">
        <f>AW36*AX36</f>
        <v>295.8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24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-24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27" sqref="S27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44561</v>
      </c>
      <c r="B2" s="260">
        <f>[2]GEN!B33</f>
        <v>11328</v>
      </c>
      <c r="C2" s="260">
        <f>[2]GEN!C33</f>
        <v>2</v>
      </c>
      <c r="D2" s="260">
        <f>[2]GEN!D33</f>
        <v>595016</v>
      </c>
      <c r="E2" s="260">
        <f>[2]GEN!E33</f>
        <v>500</v>
      </c>
      <c r="F2" s="260">
        <f>[2]GEN!F33</f>
        <v>250</v>
      </c>
      <c r="G2" s="260">
        <f>[2]GEN!G33</f>
        <v>0</v>
      </c>
      <c r="H2" s="260">
        <f>[2]GEN!H33</f>
        <v>11374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13420</v>
      </c>
      <c r="S2" s="260">
        <f>[2]GEN!S33</f>
        <v>7</v>
      </c>
      <c r="T2" s="260">
        <f>[2]GEN!T33</f>
        <v>294503</v>
      </c>
      <c r="U2" s="260">
        <f>[2]GEN!U33</f>
        <v>1757</v>
      </c>
      <c r="V2" s="260">
        <f>[2]GEN!V33</f>
        <v>251</v>
      </c>
      <c r="W2" s="260">
        <f>[2]GEN!W33</f>
        <v>0</v>
      </c>
      <c r="X2" s="260">
        <v>13550</v>
      </c>
      <c r="Y2" s="260" t="str">
        <f>[2]GEN!Y33</f>
        <v>ok</v>
      </c>
      <c r="Z2" s="260">
        <f>[2]GEN!Z33</f>
        <v>9</v>
      </c>
      <c r="AA2" s="260">
        <f>[2]GEN!AA33</f>
        <v>2257</v>
      </c>
      <c r="AB2" s="260">
        <f>[2]GEN!AB33</f>
        <v>501</v>
      </c>
      <c r="AC2" s="260">
        <f>[2]GEN!AC33</f>
        <v>250.77777777777777</v>
      </c>
      <c r="AD2" s="260">
        <f>[2]GEN!AD33</f>
        <v>8172.999999998865</v>
      </c>
      <c r="AE2" s="260">
        <f>[2]GEN!AE33</f>
        <v>908.11111111098501</v>
      </c>
      <c r="AF2" s="260">
        <f>[2]GEN!AF33</f>
        <v>0.56756944444436563</v>
      </c>
      <c r="AG2" s="260">
        <f>[2]GEN!AG33</f>
        <v>3.5473090277772854E-4</v>
      </c>
      <c r="AH2" s="260">
        <f>[2]GEN!AH33</f>
        <v>250.77742304687499</v>
      </c>
      <c r="AI2" s="260">
        <f>[2]GEN!AI33</f>
        <v>2103.5991561178516</v>
      </c>
      <c r="AJ2" s="260">
        <f>[2]GEN!AJ33</f>
        <v>0.25738396624472576</v>
      </c>
      <c r="AK2" s="260">
        <f>[2]GEN!AK33</f>
        <v>233.73323956865019</v>
      </c>
      <c r="AL2" s="260">
        <f>[2]GEN!AL33</f>
        <v>1</v>
      </c>
    </row>
    <row r="3" spans="1:38" ht="15.75" thickBot="1">
      <c r="A3" s="4">
        <f>ELEC!C4</f>
        <v>44562</v>
      </c>
      <c r="B3" s="502">
        <f>B2</f>
        <v>11328</v>
      </c>
      <c r="C3" s="276">
        <f>B3-B2</f>
        <v>0</v>
      </c>
      <c r="D3" s="503">
        <f>D2+C3*250</f>
        <v>595016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11374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13420</v>
      </c>
      <c r="S3" s="276">
        <f t="shared" ref="S3:S30" si="4">R3-R2</f>
        <v>0</v>
      </c>
      <c r="T3" s="503">
        <f>T2+U3</f>
        <v>294503</v>
      </c>
      <c r="U3" s="276">
        <f>V3*S3</f>
        <v>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0</v>
      </c>
      <c r="AA3" s="276">
        <f>U3+M3+E3</f>
        <v>0</v>
      </c>
      <c r="AB3" s="276">
        <f>V3+N3+F3</f>
        <v>250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7">305/1185</f>
        <v>0.25738396624472576</v>
      </c>
      <c r="AK3" s="278" t="e">
        <f t="shared" ref="AK3:AK32" si="8">AI3/Z3</f>
        <v>#DIV/0!</v>
      </c>
      <c r="AL3">
        <f>IF(Z3=0,0,1)</f>
        <v>0</v>
      </c>
    </row>
    <row r="4" spans="1:38" ht="15.75" thickBot="1">
      <c r="A4" s="4">
        <f>ELEC!C5</f>
        <v>44563</v>
      </c>
      <c r="B4" s="502">
        <f t="shared" ref="B4:B33" si="9">B3</f>
        <v>11328</v>
      </c>
      <c r="C4" s="276">
        <f t="shared" ref="C4:C30" si="10">B4-B3</f>
        <v>0</v>
      </c>
      <c r="D4" s="503">
        <f t="shared" ref="D4:D33" si="11">D3+C4*250</f>
        <v>595016</v>
      </c>
      <c r="E4" s="276">
        <f t="shared" ref="E4:E25" si="12">SUM(D4-D3)</f>
        <v>0</v>
      </c>
      <c r="F4" s="276">
        <f t="shared" si="0"/>
        <v>0</v>
      </c>
      <c r="G4" s="196"/>
      <c r="H4" s="260">
        <f t="shared" ref="H4:H33" si="13">H3</f>
        <v>11374</v>
      </c>
      <c r="I4" s="276" t="str">
        <f t="shared" si="1"/>
        <v>ok</v>
      </c>
      <c r="J4" s="502">
        <f t="shared" ref="J4:J33" si="14">J3</f>
        <v>10698</v>
      </c>
      <c r="K4" s="276">
        <f t="shared" si="2"/>
        <v>0</v>
      </c>
      <c r="L4" s="503">
        <f t="shared" ref="L4:L33" si="15">L3</f>
        <v>357691</v>
      </c>
      <c r="M4" s="276">
        <f t="shared" ref="M4:M30" si="16">SUM(L4-L3)</f>
        <v>0</v>
      </c>
      <c r="N4" s="276">
        <f t="shared" ref="N4:N30" si="17">IF(K4&gt;0,M4/K4,0)</f>
        <v>0</v>
      </c>
      <c r="O4" s="196"/>
      <c r="P4" s="277">
        <f t="shared" ref="P4:P33" si="18">P3</f>
        <v>10873</v>
      </c>
      <c r="Q4" s="276" t="str">
        <f t="shared" si="3"/>
        <v>ok</v>
      </c>
      <c r="R4" s="502">
        <f t="shared" ref="R4:R33" si="19">R3</f>
        <v>13420</v>
      </c>
      <c r="S4" s="276">
        <f t="shared" si="4"/>
        <v>0</v>
      </c>
      <c r="T4" s="503">
        <f t="shared" ref="T4:T33" si="20">T3+U4</f>
        <v>294503</v>
      </c>
      <c r="U4" s="276">
        <f t="shared" ref="U4:U33" si="21">V4*S4</f>
        <v>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0</v>
      </c>
      <c r="AA4" s="276">
        <f t="shared" ref="AA4:AA30" si="22">U4+M4+E4</f>
        <v>0</v>
      </c>
      <c r="AB4" s="276">
        <f t="shared" ref="AB4:AB30" si="23">V4+N4+F4</f>
        <v>250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7"/>
        <v>0.25738396624472576</v>
      </c>
      <c r="AK4" s="278" t="e">
        <f t="shared" si="8"/>
        <v>#DIV/0!</v>
      </c>
      <c r="AL4">
        <f t="shared" ref="AL4:AL33" si="26">IF(Z4=0,0,1)</f>
        <v>0</v>
      </c>
    </row>
    <row r="5" spans="1:38" ht="15.75" thickBot="1">
      <c r="A5" s="4">
        <f>ELEC!C6</f>
        <v>44564</v>
      </c>
      <c r="B5" s="502">
        <f t="shared" si="9"/>
        <v>11328</v>
      </c>
      <c r="C5" s="276">
        <f t="shared" si="10"/>
        <v>0</v>
      </c>
      <c r="D5" s="503">
        <f t="shared" si="11"/>
        <v>595016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11374</v>
      </c>
      <c r="I5" s="276" t="str">
        <f t="shared" si="1"/>
        <v>ok</v>
      </c>
      <c r="J5" s="502">
        <f t="shared" si="14"/>
        <v>10698</v>
      </c>
      <c r="K5" s="276">
        <f t="shared" si="2"/>
        <v>0</v>
      </c>
      <c r="L5" s="503">
        <f t="shared" si="15"/>
        <v>357691</v>
      </c>
      <c r="M5" s="276">
        <f t="shared" si="16"/>
        <v>0</v>
      </c>
      <c r="N5" s="276">
        <f t="shared" si="17"/>
        <v>0</v>
      </c>
      <c r="O5" s="196"/>
      <c r="P5" s="277">
        <f t="shared" si="18"/>
        <v>10873</v>
      </c>
      <c r="Q5" s="276" t="str">
        <f t="shared" si="3"/>
        <v>ok</v>
      </c>
      <c r="R5" s="502">
        <f t="shared" si="19"/>
        <v>13420</v>
      </c>
      <c r="S5" s="276">
        <f t="shared" si="4"/>
        <v>0</v>
      </c>
      <c r="T5" s="503">
        <f t="shared" si="20"/>
        <v>294503</v>
      </c>
      <c r="U5" s="276">
        <f t="shared" si="21"/>
        <v>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0</v>
      </c>
      <c r="AA5" s="276">
        <f t="shared" si="22"/>
        <v>0</v>
      </c>
      <c r="AB5" s="276">
        <f t="shared" si="23"/>
        <v>250</v>
      </c>
      <c r="AC5" s="276">
        <f t="shared" si="24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 t="shared" ref="AG5" si="29">SUM(320*AF5)</f>
        <v>#DIV/0!</v>
      </c>
      <c r="AH5" s="388" t="e">
        <f t="shared" si="25"/>
        <v>#DIV/0!</v>
      </c>
      <c r="AI5" s="73">
        <f t="shared" ref="AI5:AI30" si="30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6"/>
        <v>0</v>
      </c>
    </row>
    <row r="6" spans="1:38" ht="15.75" thickBot="1">
      <c r="A6" s="4">
        <f>ELEC!C7</f>
        <v>44565</v>
      </c>
      <c r="B6" s="502">
        <v>11339</v>
      </c>
      <c r="C6" s="276">
        <f t="shared" si="10"/>
        <v>11</v>
      </c>
      <c r="D6" s="503">
        <f t="shared" si="11"/>
        <v>597766</v>
      </c>
      <c r="E6" s="276">
        <f t="shared" si="12"/>
        <v>2750</v>
      </c>
      <c r="F6" s="276">
        <f t="shared" si="0"/>
        <v>250</v>
      </c>
      <c r="G6" s="196"/>
      <c r="H6" s="260">
        <f t="shared" si="13"/>
        <v>11374</v>
      </c>
      <c r="I6" s="276" t="str">
        <f t="shared" si="1"/>
        <v>ok</v>
      </c>
      <c r="J6" s="502">
        <f t="shared" si="14"/>
        <v>10698</v>
      </c>
      <c r="K6" s="276">
        <f t="shared" si="2"/>
        <v>0</v>
      </c>
      <c r="L6" s="503">
        <f t="shared" si="15"/>
        <v>357691</v>
      </c>
      <c r="M6" s="276">
        <f>SUM(L6-L5)</f>
        <v>0</v>
      </c>
      <c r="N6" s="276">
        <f t="shared" si="17"/>
        <v>0</v>
      </c>
      <c r="O6" s="294"/>
      <c r="P6" s="277">
        <f t="shared" si="18"/>
        <v>10873</v>
      </c>
      <c r="Q6" s="276" t="str">
        <f t="shared" si="3"/>
        <v>ok</v>
      </c>
      <c r="R6" s="502">
        <f t="shared" si="19"/>
        <v>13420</v>
      </c>
      <c r="S6" s="276">
        <f t="shared" si="4"/>
        <v>0</v>
      </c>
      <c r="T6" s="503">
        <f t="shared" si="20"/>
        <v>294503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11</v>
      </c>
      <c r="AA6" s="276">
        <f t="shared" si="22"/>
        <v>2750</v>
      </c>
      <c r="AB6" s="276">
        <f t="shared" si="23"/>
        <v>500</v>
      </c>
      <c r="AC6" s="276">
        <f t="shared" si="24"/>
        <v>250</v>
      </c>
      <c r="AD6" s="73">
        <f>ELEC!Q7</f>
        <v>0</v>
      </c>
      <c r="AE6" s="73">
        <f>SUM(AD6/Z6)</f>
        <v>0</v>
      </c>
      <c r="AF6" s="387">
        <f t="shared" si="28"/>
        <v>0</v>
      </c>
      <c r="AG6" s="388">
        <f>SUM(320*AF6)</f>
        <v>0</v>
      </c>
      <c r="AH6" s="388">
        <f t="shared" si="25"/>
        <v>250</v>
      </c>
      <c r="AI6" s="73">
        <f t="shared" si="30"/>
        <v>0</v>
      </c>
      <c r="AJ6" s="278">
        <f t="shared" si="7"/>
        <v>0.25738396624472576</v>
      </c>
      <c r="AK6" s="278">
        <f t="shared" si="8"/>
        <v>0</v>
      </c>
      <c r="AL6">
        <f t="shared" si="26"/>
        <v>1</v>
      </c>
    </row>
    <row r="7" spans="1:38" ht="15.75" thickBot="1">
      <c r="A7" s="4">
        <f>ELEC!C8</f>
        <v>44566</v>
      </c>
      <c r="B7" s="502">
        <v>11341</v>
      </c>
      <c r="C7" s="276">
        <f t="shared" si="10"/>
        <v>2</v>
      </c>
      <c r="D7" s="503">
        <f t="shared" si="11"/>
        <v>598266</v>
      </c>
      <c r="E7" s="276">
        <f t="shared" si="12"/>
        <v>500</v>
      </c>
      <c r="F7" s="276">
        <f t="shared" si="0"/>
        <v>250</v>
      </c>
      <c r="G7" s="196"/>
      <c r="H7" s="260">
        <f>H6</f>
        <v>11374</v>
      </c>
      <c r="I7" s="276" t="str">
        <f t="shared" si="1"/>
        <v>ok</v>
      </c>
      <c r="J7" s="502">
        <f t="shared" si="14"/>
        <v>10698</v>
      </c>
      <c r="K7" s="276">
        <f t="shared" si="2"/>
        <v>0</v>
      </c>
      <c r="L7" s="503">
        <f t="shared" si="15"/>
        <v>357691</v>
      </c>
      <c r="M7" s="276">
        <f t="shared" si="16"/>
        <v>0</v>
      </c>
      <c r="N7" s="276">
        <f t="shared" si="17"/>
        <v>0</v>
      </c>
      <c r="O7" s="294"/>
      <c r="P7" s="277">
        <f t="shared" si="18"/>
        <v>10873</v>
      </c>
      <c r="Q7" s="276" t="str">
        <f t="shared" si="3"/>
        <v>ok</v>
      </c>
      <c r="R7" s="502">
        <v>13429</v>
      </c>
      <c r="S7" s="276">
        <f t="shared" si="4"/>
        <v>9</v>
      </c>
      <c r="T7" s="503">
        <f t="shared" si="20"/>
        <v>296753</v>
      </c>
      <c r="U7" s="276">
        <f>V7*S7</f>
        <v>2250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11</v>
      </c>
      <c r="AA7" s="276">
        <f>U7+M7+E7</f>
        <v>2750</v>
      </c>
      <c r="AB7" s="276">
        <f t="shared" si="23"/>
        <v>500</v>
      </c>
      <c r="AC7" s="276">
        <f t="shared" si="24"/>
        <v>250</v>
      </c>
      <c r="AD7" s="73">
        <f>ELEC!Q8</f>
        <v>11689.000000002125</v>
      </c>
      <c r="AE7" s="73">
        <f t="shared" si="27"/>
        <v>1062.6363636365568</v>
      </c>
      <c r="AF7" s="387">
        <f t="shared" si="28"/>
        <v>0.66414772727284799</v>
      </c>
      <c r="AG7" s="387">
        <f t="shared" si="28"/>
        <v>4.1509232954553001E-4</v>
      </c>
      <c r="AH7" s="388">
        <f t="shared" si="25"/>
        <v>249.99958490767045</v>
      </c>
      <c r="AI7" s="73">
        <f t="shared" si="30"/>
        <v>3008.5611814351464</v>
      </c>
      <c r="AJ7" s="278">
        <f t="shared" si="7"/>
        <v>0.25738396624472576</v>
      </c>
      <c r="AK7" s="278">
        <f t="shared" si="8"/>
        <v>273.5055619486497</v>
      </c>
      <c r="AL7">
        <f t="shared" si="26"/>
        <v>1</v>
      </c>
    </row>
    <row r="8" spans="1:38" ht="15.75" thickBot="1">
      <c r="A8" s="4">
        <f>ELEC!C9</f>
        <v>44567</v>
      </c>
      <c r="B8" s="502">
        <v>11351</v>
      </c>
      <c r="C8" s="276">
        <f t="shared" si="10"/>
        <v>10</v>
      </c>
      <c r="D8" s="503">
        <f t="shared" si="11"/>
        <v>600766</v>
      </c>
      <c r="E8" s="276">
        <f t="shared" si="12"/>
        <v>2500</v>
      </c>
      <c r="F8" s="276">
        <f t="shared" si="0"/>
        <v>250</v>
      </c>
      <c r="G8" s="196"/>
      <c r="H8" s="260">
        <f t="shared" si="13"/>
        <v>11374</v>
      </c>
      <c r="I8" s="276" t="str">
        <f t="shared" si="1"/>
        <v>ok</v>
      </c>
      <c r="J8" s="502">
        <f t="shared" si="14"/>
        <v>10698</v>
      </c>
      <c r="K8" s="276">
        <f t="shared" si="2"/>
        <v>0</v>
      </c>
      <c r="L8" s="503">
        <f t="shared" si="15"/>
        <v>357691</v>
      </c>
      <c r="M8" s="276">
        <f t="shared" si="16"/>
        <v>0</v>
      </c>
      <c r="N8" s="276">
        <f t="shared" si="17"/>
        <v>0</v>
      </c>
      <c r="O8" s="196"/>
      <c r="P8" s="277">
        <f t="shared" si="18"/>
        <v>10873</v>
      </c>
      <c r="Q8" s="276" t="str">
        <f t="shared" si="3"/>
        <v>ok</v>
      </c>
      <c r="R8" s="502">
        <f t="shared" si="19"/>
        <v>13429</v>
      </c>
      <c r="S8" s="276">
        <f t="shared" si="4"/>
        <v>0</v>
      </c>
      <c r="T8" s="503">
        <f>T7+U8</f>
        <v>296753</v>
      </c>
      <c r="U8" s="276">
        <f>V8*S8</f>
        <v>0</v>
      </c>
      <c r="V8" s="276">
        <v>250</v>
      </c>
      <c r="W8" s="196"/>
      <c r="X8" s="260">
        <v>13550</v>
      </c>
      <c r="Y8" s="276" t="str">
        <f t="shared" si="5"/>
        <v>ok</v>
      </c>
      <c r="Z8" s="276">
        <f t="shared" si="6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5348.9999999983411</v>
      </c>
      <c r="AE8" s="73">
        <f>SUM(AD8/Z8)</f>
        <v>534.89999999983411</v>
      </c>
      <c r="AF8" s="387">
        <f t="shared" si="28"/>
        <v>0.33431249999989632</v>
      </c>
      <c r="AG8" s="387">
        <f t="shared" si="28"/>
        <v>2.089453124999352E-4</v>
      </c>
      <c r="AH8" s="388">
        <f t="shared" si="25"/>
        <v>249.99979105468751</v>
      </c>
      <c r="AI8" s="73">
        <f t="shared" si="30"/>
        <v>1376.7468354426112</v>
      </c>
      <c r="AJ8" s="278">
        <f t="shared" si="7"/>
        <v>0.25738396624472576</v>
      </c>
      <c r="AK8" s="278">
        <f t="shared" si="8"/>
        <v>137.67468354426111</v>
      </c>
      <c r="AL8">
        <f t="shared" si="26"/>
        <v>1</v>
      </c>
    </row>
    <row r="9" spans="1:38" ht="15.75" thickBot="1">
      <c r="A9" s="4">
        <f>ELEC!C10</f>
        <v>44568</v>
      </c>
      <c r="B9" s="502">
        <f t="shared" si="9"/>
        <v>11351</v>
      </c>
      <c r="C9" s="276">
        <f t="shared" si="10"/>
        <v>0</v>
      </c>
      <c r="D9" s="503">
        <f t="shared" si="11"/>
        <v>600766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11374</v>
      </c>
      <c r="I9" s="276" t="str">
        <f t="shared" si="1"/>
        <v>ok</v>
      </c>
      <c r="J9" s="502">
        <f t="shared" si="14"/>
        <v>10698</v>
      </c>
      <c r="K9" s="276">
        <f t="shared" si="2"/>
        <v>0</v>
      </c>
      <c r="L9" s="503">
        <f t="shared" si="15"/>
        <v>357691</v>
      </c>
      <c r="M9" s="276">
        <f t="shared" si="16"/>
        <v>0</v>
      </c>
      <c r="N9" s="276">
        <f t="shared" si="17"/>
        <v>0</v>
      </c>
      <c r="O9" s="196"/>
      <c r="P9" s="277">
        <f t="shared" si="18"/>
        <v>10873</v>
      </c>
      <c r="Q9" s="276" t="str">
        <f t="shared" si="3"/>
        <v>ok</v>
      </c>
      <c r="R9" s="502">
        <f t="shared" si="19"/>
        <v>13429</v>
      </c>
      <c r="S9" s="276">
        <f t="shared" si="4"/>
        <v>0</v>
      </c>
      <c r="T9" s="503">
        <f t="shared" si="20"/>
        <v>296753</v>
      </c>
      <c r="U9" s="276">
        <f t="shared" si="21"/>
        <v>0</v>
      </c>
      <c r="V9" s="276">
        <v>250</v>
      </c>
      <c r="W9" s="196"/>
      <c r="X9" s="260">
        <v>13550</v>
      </c>
      <c r="Y9" s="276" t="str">
        <f t="shared" si="5"/>
        <v>ok</v>
      </c>
      <c r="Z9" s="276">
        <f t="shared" si="6"/>
        <v>0</v>
      </c>
      <c r="AA9" s="276">
        <f t="shared" si="22"/>
        <v>0</v>
      </c>
      <c r="AB9" s="276">
        <f t="shared" si="23"/>
        <v>250</v>
      </c>
      <c r="AC9" s="276">
        <f t="shared" si="24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5"/>
        <v>#DIV/0!</v>
      </c>
      <c r="AI9" s="73">
        <f t="shared" si="30"/>
        <v>0</v>
      </c>
      <c r="AJ9" s="278">
        <f t="shared" si="7"/>
        <v>0.25738396624472576</v>
      </c>
      <c r="AK9" s="278" t="e">
        <f t="shared" si="8"/>
        <v>#DIV/0!</v>
      </c>
      <c r="AL9">
        <f t="shared" si="26"/>
        <v>0</v>
      </c>
    </row>
    <row r="10" spans="1:38" ht="15.75" thickBot="1">
      <c r="A10" s="4">
        <f>ELEC!C11</f>
        <v>44569</v>
      </c>
      <c r="B10" s="502">
        <f t="shared" si="9"/>
        <v>11351</v>
      </c>
      <c r="C10" s="276">
        <f t="shared" si="10"/>
        <v>0</v>
      </c>
      <c r="D10" s="503">
        <f t="shared" si="11"/>
        <v>600766</v>
      </c>
      <c r="E10" s="276">
        <f t="shared" si="12"/>
        <v>0</v>
      </c>
      <c r="F10" s="276">
        <f t="shared" si="0"/>
        <v>0</v>
      </c>
      <c r="G10" s="196"/>
      <c r="H10" s="260">
        <f t="shared" si="13"/>
        <v>11374</v>
      </c>
      <c r="I10" s="276" t="str">
        <f t="shared" si="1"/>
        <v>ok</v>
      </c>
      <c r="J10" s="502">
        <f t="shared" si="14"/>
        <v>10698</v>
      </c>
      <c r="K10" s="276">
        <f t="shared" si="2"/>
        <v>0</v>
      </c>
      <c r="L10" s="503">
        <f t="shared" si="15"/>
        <v>357691</v>
      </c>
      <c r="M10" s="276">
        <f t="shared" si="16"/>
        <v>0</v>
      </c>
      <c r="N10" s="276">
        <f t="shared" si="17"/>
        <v>0</v>
      </c>
      <c r="O10" s="196"/>
      <c r="P10" s="277">
        <f t="shared" si="18"/>
        <v>10873</v>
      </c>
      <c r="Q10" s="276" t="str">
        <f t="shared" si="3"/>
        <v>ok</v>
      </c>
      <c r="R10" s="502">
        <f t="shared" si="19"/>
        <v>13429</v>
      </c>
      <c r="S10" s="276">
        <f t="shared" si="4"/>
        <v>0</v>
      </c>
      <c r="T10" s="503">
        <f t="shared" si="20"/>
        <v>296753</v>
      </c>
      <c r="U10" s="276">
        <f t="shared" si="21"/>
        <v>0</v>
      </c>
      <c r="V10" s="276">
        <v>250</v>
      </c>
      <c r="W10" s="323"/>
      <c r="X10" s="260">
        <v>13550</v>
      </c>
      <c r="Y10" s="276" t="str">
        <f t="shared" si="5"/>
        <v>ok</v>
      </c>
      <c r="Z10" s="276">
        <f t="shared" si="6"/>
        <v>0</v>
      </c>
      <c r="AA10" s="276">
        <f t="shared" si="22"/>
        <v>0</v>
      </c>
      <c r="AB10" s="276">
        <f t="shared" si="23"/>
        <v>250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30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6"/>
        <v>0</v>
      </c>
    </row>
    <row r="11" spans="1:38" ht="15.75" thickBot="1">
      <c r="A11" s="4">
        <f>ELEC!C12</f>
        <v>44570</v>
      </c>
      <c r="B11" s="502">
        <v>11360</v>
      </c>
      <c r="C11" s="276">
        <f t="shared" si="10"/>
        <v>9</v>
      </c>
      <c r="D11" s="503">
        <f t="shared" si="11"/>
        <v>603016</v>
      </c>
      <c r="E11" s="276">
        <f t="shared" si="12"/>
        <v>2250</v>
      </c>
      <c r="F11" s="276">
        <f t="shared" si="0"/>
        <v>250</v>
      </c>
      <c r="G11" s="196"/>
      <c r="H11" s="260">
        <f t="shared" si="13"/>
        <v>11374</v>
      </c>
      <c r="I11" s="276" t="str">
        <f t="shared" si="1"/>
        <v>ok</v>
      </c>
      <c r="J11" s="502">
        <f t="shared" si="14"/>
        <v>10698</v>
      </c>
      <c r="K11" s="276">
        <f t="shared" si="2"/>
        <v>0</v>
      </c>
      <c r="L11" s="503">
        <f t="shared" si="15"/>
        <v>357691</v>
      </c>
      <c r="M11" s="276">
        <f t="shared" si="16"/>
        <v>0</v>
      </c>
      <c r="N11" s="276">
        <f t="shared" si="17"/>
        <v>0</v>
      </c>
      <c r="O11" s="196"/>
      <c r="P11" s="277">
        <f t="shared" si="18"/>
        <v>10873</v>
      </c>
      <c r="Q11" s="276" t="str">
        <f t="shared" si="3"/>
        <v>ok</v>
      </c>
      <c r="R11" s="502">
        <v>13431</v>
      </c>
      <c r="S11" s="276">
        <f t="shared" si="4"/>
        <v>2</v>
      </c>
      <c r="T11" s="503">
        <f t="shared" si="20"/>
        <v>297253</v>
      </c>
      <c r="U11" s="276">
        <f t="shared" si="21"/>
        <v>500</v>
      </c>
      <c r="V11" s="276">
        <v>250</v>
      </c>
      <c r="W11" s="323"/>
      <c r="X11" s="260">
        <v>13550</v>
      </c>
      <c r="Y11" s="276" t="str">
        <f t="shared" si="5"/>
        <v>ok</v>
      </c>
      <c r="Z11" s="276">
        <f t="shared" si="6"/>
        <v>11</v>
      </c>
      <c r="AA11" s="276">
        <f t="shared" si="22"/>
        <v>2750</v>
      </c>
      <c r="AB11" s="276">
        <f t="shared" si="23"/>
        <v>500</v>
      </c>
      <c r="AC11" s="276">
        <f t="shared" si="24"/>
        <v>250</v>
      </c>
      <c r="AD11" s="73">
        <f>ELEC!Q12</f>
        <v>5465.0000000001455</v>
      </c>
      <c r="AE11" s="73">
        <f t="shared" si="27"/>
        <v>496.81818181819506</v>
      </c>
      <c r="AF11" s="387">
        <f t="shared" si="28"/>
        <v>0.31051136363637188</v>
      </c>
      <c r="AG11" s="387">
        <f t="shared" si="28"/>
        <v>1.9406960227273242E-4</v>
      </c>
      <c r="AH11" s="388">
        <f t="shared" si="25"/>
        <v>249.99980593039774</v>
      </c>
      <c r="AI11" s="73">
        <f t="shared" si="30"/>
        <v>1406.6033755274636</v>
      </c>
      <c r="AJ11" s="278">
        <f t="shared" si="7"/>
        <v>0.25738396624472576</v>
      </c>
      <c r="AK11" s="278">
        <f t="shared" si="8"/>
        <v>127.87303413886033</v>
      </c>
      <c r="AL11">
        <f t="shared" si="26"/>
        <v>1</v>
      </c>
    </row>
    <row r="12" spans="1:38" ht="15.75" thickBot="1">
      <c r="A12" s="4">
        <f>ELEC!C13</f>
        <v>44571</v>
      </c>
      <c r="B12" s="502">
        <v>11367</v>
      </c>
      <c r="C12" s="276">
        <f t="shared" si="10"/>
        <v>7</v>
      </c>
      <c r="D12" s="503">
        <f t="shared" si="11"/>
        <v>604766</v>
      </c>
      <c r="E12" s="276">
        <f t="shared" si="12"/>
        <v>1750</v>
      </c>
      <c r="F12" s="276">
        <f t="shared" si="0"/>
        <v>250</v>
      </c>
      <c r="G12" s="196"/>
      <c r="H12" s="260">
        <v>11374</v>
      </c>
      <c r="I12" s="276" t="str">
        <f t="shared" si="1"/>
        <v>ok</v>
      </c>
      <c r="J12" s="502">
        <f t="shared" si="14"/>
        <v>10698</v>
      </c>
      <c r="K12" s="276">
        <f t="shared" si="2"/>
        <v>0</v>
      </c>
      <c r="L12" s="503">
        <f t="shared" si="15"/>
        <v>357691</v>
      </c>
      <c r="M12" s="276">
        <f t="shared" si="16"/>
        <v>0</v>
      </c>
      <c r="N12" s="276">
        <f t="shared" si="17"/>
        <v>0</v>
      </c>
      <c r="O12" s="196"/>
      <c r="P12" s="277">
        <f t="shared" si="18"/>
        <v>10873</v>
      </c>
      <c r="Q12" s="276" t="str">
        <f t="shared" si="3"/>
        <v>ok</v>
      </c>
      <c r="R12" s="502">
        <v>13434</v>
      </c>
      <c r="S12" s="276">
        <f t="shared" si="4"/>
        <v>3</v>
      </c>
      <c r="T12" s="503">
        <f t="shared" si="20"/>
        <v>298003</v>
      </c>
      <c r="U12" s="276">
        <f t="shared" si="21"/>
        <v>750</v>
      </c>
      <c r="V12" s="276">
        <v>250</v>
      </c>
      <c r="W12" s="323"/>
      <c r="X12" s="260">
        <v>13550</v>
      </c>
      <c r="Y12" s="276" t="str">
        <f t="shared" si="5"/>
        <v>ok</v>
      </c>
      <c r="Z12" s="276">
        <f t="shared" si="6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4808.0000000009022</v>
      </c>
      <c r="AE12" s="73">
        <f t="shared" si="27"/>
        <v>480.80000000009022</v>
      </c>
      <c r="AF12" s="387">
        <f t="shared" si="28"/>
        <v>0.30050000000005639</v>
      </c>
      <c r="AG12" s="387">
        <f t="shared" si="28"/>
        <v>1.8781250000003525E-4</v>
      </c>
      <c r="AH12" s="388">
        <f t="shared" si="25"/>
        <v>249.9998121875</v>
      </c>
      <c r="AI12" s="73">
        <f t="shared" si="30"/>
        <v>1237.5021097048736</v>
      </c>
      <c r="AJ12" s="278">
        <f t="shared" si="7"/>
        <v>0.25738396624472576</v>
      </c>
      <c r="AK12" s="278">
        <f t="shared" si="8"/>
        <v>123.75021097048736</v>
      </c>
      <c r="AL12">
        <f t="shared" si="26"/>
        <v>1</v>
      </c>
    </row>
    <row r="13" spans="1:38" ht="15.75" thickBot="1">
      <c r="A13" s="4">
        <f>ELEC!C14</f>
        <v>44572</v>
      </c>
      <c r="B13" s="502">
        <v>11369</v>
      </c>
      <c r="C13" s="276">
        <f t="shared" si="10"/>
        <v>2</v>
      </c>
      <c r="D13" s="503">
        <f t="shared" si="11"/>
        <v>605266</v>
      </c>
      <c r="E13" s="276">
        <f t="shared" si="12"/>
        <v>500</v>
      </c>
      <c r="F13" s="276">
        <f t="shared" si="0"/>
        <v>250</v>
      </c>
      <c r="G13" s="196"/>
      <c r="H13" s="260">
        <f t="shared" si="13"/>
        <v>11374</v>
      </c>
      <c r="I13" s="276" t="str">
        <f t="shared" si="1"/>
        <v>ok</v>
      </c>
      <c r="J13" s="502">
        <f t="shared" si="14"/>
        <v>10698</v>
      </c>
      <c r="K13" s="276">
        <f t="shared" si="2"/>
        <v>0</v>
      </c>
      <c r="L13" s="503">
        <f t="shared" si="15"/>
        <v>357691</v>
      </c>
      <c r="M13" s="276">
        <f t="shared" si="16"/>
        <v>0</v>
      </c>
      <c r="N13" s="276">
        <f t="shared" si="17"/>
        <v>0</v>
      </c>
      <c r="O13" s="196"/>
      <c r="P13" s="277">
        <f t="shared" si="18"/>
        <v>10873</v>
      </c>
      <c r="Q13" s="276" t="str">
        <f t="shared" si="3"/>
        <v>ok</v>
      </c>
      <c r="R13" s="502">
        <v>13443</v>
      </c>
      <c r="S13" s="276">
        <f t="shared" si="4"/>
        <v>9</v>
      </c>
      <c r="T13" s="503">
        <f t="shared" si="20"/>
        <v>300253</v>
      </c>
      <c r="U13" s="276">
        <f t="shared" si="21"/>
        <v>2250</v>
      </c>
      <c r="V13" s="276">
        <v>250</v>
      </c>
      <c r="W13" s="323"/>
      <c r="X13" s="260">
        <v>13550</v>
      </c>
      <c r="Y13" s="276" t="str">
        <f t="shared" si="5"/>
        <v>ok</v>
      </c>
      <c r="Z13" s="276">
        <f t="shared" si="6"/>
        <v>11</v>
      </c>
      <c r="AA13" s="276">
        <f t="shared" si="22"/>
        <v>2750</v>
      </c>
      <c r="AB13" s="276">
        <f t="shared" si="23"/>
        <v>500</v>
      </c>
      <c r="AC13" s="276">
        <f t="shared" si="24"/>
        <v>250</v>
      </c>
      <c r="AD13" s="73">
        <f>ELEC!Q14</f>
        <v>4728.9999999993597</v>
      </c>
      <c r="AE13" s="73">
        <f t="shared" si="27"/>
        <v>429.90909090903273</v>
      </c>
      <c r="AF13" s="387">
        <f t="shared" si="28"/>
        <v>0.26869318181814544</v>
      </c>
      <c r="AG13" s="387">
        <f t="shared" si="28"/>
        <v>1.6793323863634091E-4</v>
      </c>
      <c r="AH13" s="388">
        <f t="shared" si="25"/>
        <v>249.99983206676137</v>
      </c>
      <c r="AI13" s="73">
        <f t="shared" si="30"/>
        <v>1217.1687763711434</v>
      </c>
      <c r="AJ13" s="278">
        <f t="shared" si="7"/>
        <v>0.25738396624472576</v>
      </c>
      <c r="AK13" s="278">
        <f t="shared" si="8"/>
        <v>110.65170694283121</v>
      </c>
      <c r="AL13">
        <f t="shared" si="26"/>
        <v>1</v>
      </c>
    </row>
    <row r="14" spans="1:38" ht="15.75" thickBot="1">
      <c r="A14" s="4">
        <f>ELEC!C15</f>
        <v>44573</v>
      </c>
      <c r="B14" s="502">
        <f t="shared" si="9"/>
        <v>11369</v>
      </c>
      <c r="C14" s="276">
        <f t="shared" si="10"/>
        <v>0</v>
      </c>
      <c r="D14" s="503">
        <f t="shared" si="11"/>
        <v>605266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11374</v>
      </c>
      <c r="I14" s="276" t="str">
        <f t="shared" si="1"/>
        <v>ok</v>
      </c>
      <c r="J14" s="502">
        <f t="shared" si="14"/>
        <v>10698</v>
      </c>
      <c r="K14" s="276">
        <f t="shared" si="2"/>
        <v>0</v>
      </c>
      <c r="L14" s="503">
        <f t="shared" si="15"/>
        <v>357691</v>
      </c>
      <c r="M14" s="276">
        <f t="shared" si="16"/>
        <v>0</v>
      </c>
      <c r="N14" s="276">
        <f t="shared" si="17"/>
        <v>0</v>
      </c>
      <c r="O14" s="196"/>
      <c r="P14" s="277">
        <f t="shared" si="18"/>
        <v>10873</v>
      </c>
      <c r="Q14" s="276" t="str">
        <f t="shared" si="3"/>
        <v>ok</v>
      </c>
      <c r="R14" s="502">
        <f t="shared" si="19"/>
        <v>13443</v>
      </c>
      <c r="S14" s="276">
        <f t="shared" si="4"/>
        <v>0</v>
      </c>
      <c r="T14" s="503">
        <f t="shared" si="20"/>
        <v>300253</v>
      </c>
      <c r="U14" s="276">
        <f t="shared" si="21"/>
        <v>0</v>
      </c>
      <c r="V14" s="276">
        <v>250</v>
      </c>
      <c r="W14" s="323"/>
      <c r="X14" s="260">
        <v>13550</v>
      </c>
      <c r="Y14" s="276" t="str">
        <f t="shared" si="5"/>
        <v>ok</v>
      </c>
      <c r="Z14" s="276">
        <f t="shared" si="6"/>
        <v>0</v>
      </c>
      <c r="AA14" s="276">
        <f t="shared" si="22"/>
        <v>0</v>
      </c>
      <c r="AB14" s="276">
        <f t="shared" si="23"/>
        <v>250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30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6"/>
        <v>0</v>
      </c>
    </row>
    <row r="15" spans="1:38" ht="15.75" thickBot="1">
      <c r="A15" s="4">
        <f>ELEC!C16</f>
        <v>44574</v>
      </c>
      <c r="B15" s="502">
        <f t="shared" si="9"/>
        <v>11369</v>
      </c>
      <c r="C15" s="276">
        <f t="shared" si="10"/>
        <v>0</v>
      </c>
      <c r="D15" s="503">
        <f t="shared" si="11"/>
        <v>605266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11374</v>
      </c>
      <c r="I15" s="276" t="str">
        <f t="shared" si="1"/>
        <v>ok</v>
      </c>
      <c r="J15" s="502">
        <f t="shared" si="14"/>
        <v>10698</v>
      </c>
      <c r="K15" s="276">
        <f t="shared" si="2"/>
        <v>0</v>
      </c>
      <c r="L15" s="503">
        <f t="shared" si="15"/>
        <v>357691</v>
      </c>
      <c r="M15" s="276">
        <f t="shared" si="16"/>
        <v>0</v>
      </c>
      <c r="N15" s="276">
        <f t="shared" si="17"/>
        <v>0</v>
      </c>
      <c r="O15" s="196"/>
      <c r="P15" s="277">
        <f t="shared" si="18"/>
        <v>10873</v>
      </c>
      <c r="Q15" s="276" t="str">
        <f t="shared" si="3"/>
        <v>ok</v>
      </c>
      <c r="R15" s="502">
        <f t="shared" si="19"/>
        <v>13443</v>
      </c>
      <c r="S15" s="276">
        <f t="shared" si="4"/>
        <v>0</v>
      </c>
      <c r="T15" s="503">
        <f t="shared" si="20"/>
        <v>300253</v>
      </c>
      <c r="U15" s="276">
        <f t="shared" si="21"/>
        <v>0</v>
      </c>
      <c r="V15" s="276">
        <v>250</v>
      </c>
      <c r="W15" s="323"/>
      <c r="X15" s="260">
        <v>13550</v>
      </c>
      <c r="Y15" s="276" t="str">
        <f t="shared" si="5"/>
        <v>ok</v>
      </c>
      <c r="Z15" s="276">
        <f t="shared" si="6"/>
        <v>0</v>
      </c>
      <c r="AA15" s="276">
        <f t="shared" si="22"/>
        <v>0</v>
      </c>
      <c r="AB15" s="276">
        <f t="shared" si="23"/>
        <v>250</v>
      </c>
      <c r="AC15" s="276">
        <f t="shared" si="24"/>
        <v>0</v>
      </c>
      <c r="AD15" s="73">
        <f>ELEC!Q16</f>
        <v>6162.0000000002619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30"/>
        <v>1586.0000000000675</v>
      </c>
      <c r="AJ15" s="278">
        <f t="shared" si="7"/>
        <v>0.25738396624472576</v>
      </c>
      <c r="AK15" s="278" t="e">
        <f t="shared" si="8"/>
        <v>#DIV/0!</v>
      </c>
      <c r="AL15">
        <f t="shared" si="26"/>
        <v>0</v>
      </c>
    </row>
    <row r="16" spans="1:38" ht="15.75" thickBot="1">
      <c r="A16" s="4">
        <f>ELEC!C17</f>
        <v>44575</v>
      </c>
      <c r="B16" s="502">
        <v>11378</v>
      </c>
      <c r="C16" s="276">
        <f t="shared" si="10"/>
        <v>9</v>
      </c>
      <c r="D16" s="503">
        <f t="shared" si="11"/>
        <v>607516</v>
      </c>
      <c r="E16" s="276">
        <f t="shared" si="12"/>
        <v>2250</v>
      </c>
      <c r="F16" s="276">
        <f t="shared" si="0"/>
        <v>250</v>
      </c>
      <c r="G16" s="196"/>
      <c r="H16" s="260">
        <f t="shared" si="13"/>
        <v>11374</v>
      </c>
      <c r="I16" s="276" t="str">
        <f t="shared" si="1"/>
        <v>oil change</v>
      </c>
      <c r="J16" s="502">
        <f t="shared" si="14"/>
        <v>10698</v>
      </c>
      <c r="K16" s="276">
        <f t="shared" si="2"/>
        <v>0</v>
      </c>
      <c r="L16" s="503">
        <f t="shared" si="15"/>
        <v>357691</v>
      </c>
      <c r="M16" s="276">
        <f t="shared" si="16"/>
        <v>0</v>
      </c>
      <c r="N16" s="276">
        <f t="shared" si="17"/>
        <v>0</v>
      </c>
      <c r="O16" s="196"/>
      <c r="P16" s="277">
        <f t="shared" si="18"/>
        <v>10873</v>
      </c>
      <c r="Q16" s="276" t="str">
        <f t="shared" si="3"/>
        <v>ok</v>
      </c>
      <c r="R16" s="502">
        <f t="shared" si="19"/>
        <v>13443</v>
      </c>
      <c r="S16" s="276">
        <f t="shared" si="4"/>
        <v>0</v>
      </c>
      <c r="T16" s="503">
        <f t="shared" si="20"/>
        <v>300253</v>
      </c>
      <c r="U16" s="276">
        <f t="shared" si="21"/>
        <v>0</v>
      </c>
      <c r="V16" s="276">
        <v>250</v>
      </c>
      <c r="W16" s="323"/>
      <c r="X16" s="260">
        <v>13550</v>
      </c>
      <c r="Y16" s="276" t="str">
        <f t="shared" si="5"/>
        <v>ok</v>
      </c>
      <c r="Z16" s="276">
        <f t="shared" si="6"/>
        <v>9</v>
      </c>
      <c r="AA16" s="276">
        <f t="shared" si="22"/>
        <v>2250</v>
      </c>
      <c r="AB16" s="276">
        <f t="shared" si="23"/>
        <v>500</v>
      </c>
      <c r="AC16" s="276">
        <f t="shared" si="24"/>
        <v>250</v>
      </c>
      <c r="AD16" s="73">
        <f>ELEC!Q17</f>
        <v>0</v>
      </c>
      <c r="AE16" s="73">
        <f t="shared" si="27"/>
        <v>0</v>
      </c>
      <c r="AF16" s="387">
        <f t="shared" si="28"/>
        <v>0</v>
      </c>
      <c r="AG16" s="387">
        <f t="shared" si="28"/>
        <v>0</v>
      </c>
      <c r="AH16" s="388">
        <f t="shared" si="25"/>
        <v>250</v>
      </c>
      <c r="AI16" s="73">
        <f t="shared" si="30"/>
        <v>0</v>
      </c>
      <c r="AJ16" s="278">
        <f t="shared" si="7"/>
        <v>0.25738396624472576</v>
      </c>
      <c r="AK16" s="278">
        <f t="shared" si="8"/>
        <v>0</v>
      </c>
      <c r="AL16">
        <f t="shared" si="26"/>
        <v>1</v>
      </c>
    </row>
    <row r="17" spans="1:38" ht="15.75" thickBot="1">
      <c r="A17" s="4">
        <f>ELEC!C18</f>
        <v>44576</v>
      </c>
      <c r="B17" s="502">
        <f t="shared" si="9"/>
        <v>11378</v>
      </c>
      <c r="C17" s="276">
        <f t="shared" si="10"/>
        <v>0</v>
      </c>
      <c r="D17" s="503">
        <f t="shared" si="11"/>
        <v>607516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11374</v>
      </c>
      <c r="I17" s="276" t="str">
        <f t="shared" si="1"/>
        <v>oil change</v>
      </c>
      <c r="J17" s="502">
        <f t="shared" si="14"/>
        <v>10698</v>
      </c>
      <c r="K17" s="276">
        <f t="shared" si="2"/>
        <v>0</v>
      </c>
      <c r="L17" s="503">
        <f t="shared" si="15"/>
        <v>357691</v>
      </c>
      <c r="M17" s="276">
        <f t="shared" si="16"/>
        <v>0</v>
      </c>
      <c r="N17" s="276">
        <f t="shared" si="17"/>
        <v>0</v>
      </c>
      <c r="O17" s="196"/>
      <c r="P17" s="277">
        <f t="shared" si="18"/>
        <v>10873</v>
      </c>
      <c r="Q17" s="276" t="str">
        <f t="shared" si="3"/>
        <v>ok</v>
      </c>
      <c r="R17" s="502">
        <f t="shared" si="19"/>
        <v>13443</v>
      </c>
      <c r="S17" s="276">
        <f t="shared" si="4"/>
        <v>0</v>
      </c>
      <c r="T17" s="503">
        <f t="shared" si="20"/>
        <v>300253</v>
      </c>
      <c r="U17" s="276">
        <f t="shared" si="21"/>
        <v>0</v>
      </c>
      <c r="V17" s="276">
        <v>250</v>
      </c>
      <c r="W17" s="323"/>
      <c r="X17" s="260">
        <v>13550</v>
      </c>
      <c r="Y17" s="276" t="str">
        <f t="shared" si="5"/>
        <v>ok</v>
      </c>
      <c r="Z17" s="276">
        <f t="shared" si="6"/>
        <v>0</v>
      </c>
      <c r="AA17" s="276">
        <f t="shared" si="22"/>
        <v>0</v>
      </c>
      <c r="AB17" s="276">
        <f t="shared" si="23"/>
        <v>250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30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6"/>
        <v>0</v>
      </c>
    </row>
    <row r="18" spans="1:38" ht="15.75" thickBot="1">
      <c r="A18" s="4">
        <f>ELEC!C19</f>
        <v>44577</v>
      </c>
      <c r="B18" s="502">
        <f t="shared" si="9"/>
        <v>11378</v>
      </c>
      <c r="C18" s="276">
        <f t="shared" si="10"/>
        <v>0</v>
      </c>
      <c r="D18" s="503">
        <f t="shared" si="11"/>
        <v>607516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11374</v>
      </c>
      <c r="I18" s="276" t="str">
        <f t="shared" si="1"/>
        <v>oil change</v>
      </c>
      <c r="J18" s="502">
        <f t="shared" si="14"/>
        <v>10698</v>
      </c>
      <c r="K18" s="276">
        <f t="shared" si="2"/>
        <v>0</v>
      </c>
      <c r="L18" s="503">
        <f t="shared" si="15"/>
        <v>357691</v>
      </c>
      <c r="M18" s="276">
        <f t="shared" si="16"/>
        <v>0</v>
      </c>
      <c r="N18" s="276">
        <f t="shared" si="17"/>
        <v>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v>13453</v>
      </c>
      <c r="S18" s="276">
        <f t="shared" si="4"/>
        <v>10</v>
      </c>
      <c r="T18" s="503">
        <f t="shared" si="20"/>
        <v>302753</v>
      </c>
      <c r="U18" s="276">
        <f t="shared" si="21"/>
        <v>2500</v>
      </c>
      <c r="V18" s="276">
        <v>250</v>
      </c>
      <c r="W18" s="323"/>
      <c r="X18" s="260">
        <v>13550</v>
      </c>
      <c r="Y18" s="276" t="str">
        <f t="shared" si="5"/>
        <v>ok</v>
      </c>
      <c r="Z18" s="276">
        <f t="shared" si="6"/>
        <v>10</v>
      </c>
      <c r="AA18" s="276">
        <f t="shared" si="22"/>
        <v>2500</v>
      </c>
      <c r="AB18" s="276">
        <f t="shared" si="23"/>
        <v>250</v>
      </c>
      <c r="AC18" s="276">
        <f t="shared" si="24"/>
        <v>250</v>
      </c>
      <c r="AD18" s="73">
        <f>ELEC!Q19</f>
        <v>4274.0000000012515</v>
      </c>
      <c r="AE18" s="73">
        <f t="shared" si="27"/>
        <v>427.40000000012515</v>
      </c>
      <c r="AF18" s="387">
        <f t="shared" si="28"/>
        <v>0.26712500000007822</v>
      </c>
      <c r="AG18" s="387">
        <f t="shared" si="28"/>
        <v>1.669531250000489E-4</v>
      </c>
      <c r="AH18" s="388">
        <f t="shared" si="25"/>
        <v>249.99983304687501</v>
      </c>
      <c r="AI18" s="73">
        <f t="shared" si="30"/>
        <v>1100.05907173028</v>
      </c>
      <c r="AJ18" s="278">
        <f t="shared" si="7"/>
        <v>0.25738396624472576</v>
      </c>
      <c r="AK18" s="278">
        <f t="shared" si="8"/>
        <v>110.00590717302801</v>
      </c>
      <c r="AL18">
        <f t="shared" si="26"/>
        <v>1</v>
      </c>
    </row>
    <row r="19" spans="1:38" ht="15.75" thickBot="1">
      <c r="A19" s="4">
        <f>ELEC!C20</f>
        <v>44578</v>
      </c>
      <c r="B19" s="502">
        <f t="shared" si="9"/>
        <v>11378</v>
      </c>
      <c r="C19" s="276">
        <f t="shared" si="10"/>
        <v>0</v>
      </c>
      <c r="D19" s="503">
        <f t="shared" si="11"/>
        <v>607516</v>
      </c>
      <c r="E19" s="276">
        <f t="shared" si="12"/>
        <v>0</v>
      </c>
      <c r="F19" s="276">
        <f t="shared" si="0"/>
        <v>0</v>
      </c>
      <c r="G19" s="196"/>
      <c r="H19" s="260">
        <v>11528</v>
      </c>
      <c r="I19" s="276" t="str">
        <f t="shared" si="1"/>
        <v>ok</v>
      </c>
      <c r="J19" s="502">
        <f t="shared" si="14"/>
        <v>10698</v>
      </c>
      <c r="K19" s="276">
        <f t="shared" si="2"/>
        <v>0</v>
      </c>
      <c r="L19" s="503">
        <f t="shared" si="15"/>
        <v>357691</v>
      </c>
      <c r="M19" s="276">
        <f t="shared" si="16"/>
        <v>0</v>
      </c>
      <c r="N19" s="276">
        <f t="shared" si="17"/>
        <v>0</v>
      </c>
      <c r="O19" s="196"/>
      <c r="P19" s="277">
        <f t="shared" si="18"/>
        <v>10873</v>
      </c>
      <c r="Q19" s="276" t="str">
        <f t="shared" ref="Q19:Q30" si="31">IF(J19-P19&lt;=0,"ok","oil change")</f>
        <v>ok</v>
      </c>
      <c r="R19" s="502">
        <v>13460</v>
      </c>
      <c r="S19" s="276">
        <f t="shared" si="4"/>
        <v>7</v>
      </c>
      <c r="T19" s="503">
        <f t="shared" si="20"/>
        <v>304503</v>
      </c>
      <c r="U19" s="276">
        <f t="shared" si="21"/>
        <v>1750</v>
      </c>
      <c r="V19" s="276">
        <v>250</v>
      </c>
      <c r="W19" s="323"/>
      <c r="X19" s="260">
        <v>13550</v>
      </c>
      <c r="Y19" s="276" t="str">
        <f t="shared" si="5"/>
        <v>ok</v>
      </c>
      <c r="Z19" s="276">
        <f t="shared" si="6"/>
        <v>7</v>
      </c>
      <c r="AA19" s="276">
        <f t="shared" si="22"/>
        <v>1750</v>
      </c>
      <c r="AB19" s="276">
        <f t="shared" si="23"/>
        <v>250</v>
      </c>
      <c r="AC19" s="276">
        <f t="shared" si="24"/>
        <v>250</v>
      </c>
      <c r="AD19" s="73">
        <f>ELEC!Q20</f>
        <v>4543.99999999805</v>
      </c>
      <c r="AE19" s="73">
        <f t="shared" si="27"/>
        <v>649.14285714257858</v>
      </c>
      <c r="AF19" s="387">
        <f t="shared" si="28"/>
        <v>0.40571428571411161</v>
      </c>
      <c r="AG19" s="387">
        <f t="shared" si="28"/>
        <v>2.5357142857131978E-4</v>
      </c>
      <c r="AH19" s="388">
        <f t="shared" si="25"/>
        <v>249.99974642857143</v>
      </c>
      <c r="AI19" s="73">
        <f t="shared" si="30"/>
        <v>1169.552742615532</v>
      </c>
      <c r="AJ19" s="278">
        <f t="shared" si="7"/>
        <v>0.25738396624472576</v>
      </c>
      <c r="AK19" s="278">
        <f t="shared" si="8"/>
        <v>167.07896323079029</v>
      </c>
      <c r="AL19">
        <f t="shared" si="26"/>
        <v>1</v>
      </c>
    </row>
    <row r="20" spans="1:38" ht="15.75" thickBot="1">
      <c r="A20" s="4">
        <f>ELEC!C21</f>
        <v>44579</v>
      </c>
      <c r="B20" s="502">
        <v>11383</v>
      </c>
      <c r="C20" s="276">
        <f>B20-B19</f>
        <v>5</v>
      </c>
      <c r="D20" s="503">
        <f t="shared" si="11"/>
        <v>608766</v>
      </c>
      <c r="E20" s="276">
        <f t="shared" si="12"/>
        <v>1250</v>
      </c>
      <c r="F20" s="276">
        <f t="shared" si="0"/>
        <v>250</v>
      </c>
      <c r="G20" s="196"/>
      <c r="H20" s="260">
        <f t="shared" si="13"/>
        <v>11528</v>
      </c>
      <c r="I20" s="276" t="str">
        <f t="shared" si="1"/>
        <v>ok</v>
      </c>
      <c r="J20" s="502">
        <f t="shared" si="14"/>
        <v>10698</v>
      </c>
      <c r="K20" s="276">
        <f t="shared" si="2"/>
        <v>0</v>
      </c>
      <c r="L20" s="503">
        <f t="shared" si="15"/>
        <v>357691</v>
      </c>
      <c r="M20" s="276">
        <f t="shared" si="16"/>
        <v>0</v>
      </c>
      <c r="N20" s="276">
        <f t="shared" si="17"/>
        <v>0</v>
      </c>
      <c r="O20" s="196"/>
      <c r="P20" s="277">
        <f t="shared" si="18"/>
        <v>10873</v>
      </c>
      <c r="Q20" s="276" t="str">
        <f t="shared" si="31"/>
        <v>ok</v>
      </c>
      <c r="R20" s="502">
        <v>13469</v>
      </c>
      <c r="S20" s="276">
        <f t="shared" si="4"/>
        <v>9</v>
      </c>
      <c r="T20" s="503">
        <f t="shared" si="20"/>
        <v>306753</v>
      </c>
      <c r="U20" s="276">
        <f t="shared" si="21"/>
        <v>2250</v>
      </c>
      <c r="V20" s="276">
        <v>250</v>
      </c>
      <c r="W20" s="323"/>
      <c r="X20" s="260">
        <v>13550</v>
      </c>
      <c r="Y20" s="276" t="str">
        <f t="shared" ref="Y20" si="32">IF(R20-X20&lt;=0,"ok","oil change")</f>
        <v>ok</v>
      </c>
      <c r="Z20" s="276">
        <f t="shared" si="6"/>
        <v>14</v>
      </c>
      <c r="AA20" s="276">
        <f t="shared" si="22"/>
        <v>3500</v>
      </c>
      <c r="AB20" s="276">
        <f t="shared" si="23"/>
        <v>500</v>
      </c>
      <c r="AC20" s="276">
        <f t="shared" si="24"/>
        <v>250</v>
      </c>
      <c r="AD20" s="73">
        <f>ELEC!Q21</f>
        <v>5860.0000000005821</v>
      </c>
      <c r="AE20" s="73">
        <f t="shared" si="27"/>
        <v>418.57142857147016</v>
      </c>
      <c r="AF20" s="387">
        <f t="shared" si="28"/>
        <v>0.26160714285716885</v>
      </c>
      <c r="AG20" s="387">
        <f t="shared" si="28"/>
        <v>1.6350446428573052E-4</v>
      </c>
      <c r="AH20" s="388">
        <f t="shared" si="25"/>
        <v>249.9998364955357</v>
      </c>
      <c r="AI20" s="73">
        <f>AD20*AJ20</f>
        <v>1508.2700421942427</v>
      </c>
      <c r="AJ20" s="278">
        <f t="shared" si="7"/>
        <v>0.25738396624472576</v>
      </c>
      <c r="AK20" s="278">
        <f t="shared" si="8"/>
        <v>107.73357444244591</v>
      </c>
      <c r="AL20">
        <f t="shared" si="26"/>
        <v>1</v>
      </c>
    </row>
    <row r="21" spans="1:38" ht="15.75" thickBot="1">
      <c r="A21" s="4">
        <f>ELEC!C22</f>
        <v>44580</v>
      </c>
      <c r="B21" s="502">
        <v>11393</v>
      </c>
      <c r="C21" s="276">
        <f>B21-B20</f>
        <v>10</v>
      </c>
      <c r="D21" s="503">
        <f t="shared" si="11"/>
        <v>611266</v>
      </c>
      <c r="E21" s="276">
        <f t="shared" si="12"/>
        <v>2500</v>
      </c>
      <c r="F21" s="276">
        <f t="shared" si="0"/>
        <v>250</v>
      </c>
      <c r="G21" s="196"/>
      <c r="H21" s="260">
        <f t="shared" si="13"/>
        <v>11528</v>
      </c>
      <c r="I21" s="276" t="str">
        <f t="shared" si="1"/>
        <v>ok</v>
      </c>
      <c r="J21" s="502">
        <f t="shared" si="14"/>
        <v>10698</v>
      </c>
      <c r="K21" s="276">
        <f t="shared" si="2"/>
        <v>0</v>
      </c>
      <c r="L21" s="503">
        <f t="shared" si="15"/>
        <v>357691</v>
      </c>
      <c r="M21" s="276">
        <f t="shared" si="16"/>
        <v>0</v>
      </c>
      <c r="N21" s="276">
        <f t="shared" si="17"/>
        <v>0</v>
      </c>
      <c r="O21" s="196"/>
      <c r="P21" s="277">
        <f t="shared" si="18"/>
        <v>10873</v>
      </c>
      <c r="Q21" s="276" t="str">
        <f t="shared" si="31"/>
        <v>ok</v>
      </c>
      <c r="R21" s="502">
        <f t="shared" si="19"/>
        <v>13469</v>
      </c>
      <c r="S21" s="276">
        <f t="shared" si="4"/>
        <v>0</v>
      </c>
      <c r="T21" s="503">
        <f t="shared" si="20"/>
        <v>306753</v>
      </c>
      <c r="U21" s="276">
        <f t="shared" si="21"/>
        <v>0</v>
      </c>
      <c r="V21" s="276">
        <v>250</v>
      </c>
      <c r="W21" s="196"/>
      <c r="X21" s="260">
        <v>13550</v>
      </c>
      <c r="Y21" s="276" t="str">
        <f>Y20</f>
        <v>ok</v>
      </c>
      <c r="Z21" s="276">
        <f t="shared" si="6"/>
        <v>10</v>
      </c>
      <c r="AA21" s="276">
        <f t="shared" si="22"/>
        <v>2500</v>
      </c>
      <c r="AB21" s="276">
        <f t="shared" si="23"/>
        <v>500</v>
      </c>
      <c r="AC21" s="276">
        <f t="shared" si="24"/>
        <v>250</v>
      </c>
      <c r="AD21" s="73">
        <f>ELEC!Q22</f>
        <v>5546.9999999986612</v>
      </c>
      <c r="AE21" s="73">
        <f t="shared" si="27"/>
        <v>554.69999999986612</v>
      </c>
      <c r="AF21" s="387">
        <f t="shared" si="28"/>
        <v>0.34668749999991633</v>
      </c>
      <c r="AG21" s="387">
        <f t="shared" si="28"/>
        <v>2.1667968749994771E-4</v>
      </c>
      <c r="AH21" s="388">
        <f t="shared" si="25"/>
        <v>249.9997833203125</v>
      </c>
      <c r="AI21" s="73">
        <f t="shared" si="30"/>
        <v>1427.7088607591493</v>
      </c>
      <c r="AJ21" s="278">
        <f t="shared" si="7"/>
        <v>0.25738396624472576</v>
      </c>
      <c r="AK21" s="278">
        <f t="shared" si="8"/>
        <v>142.77088607591492</v>
      </c>
      <c r="AL21">
        <f t="shared" si="26"/>
        <v>1</v>
      </c>
    </row>
    <row r="22" spans="1:38" ht="15.75" thickBot="1">
      <c r="A22" s="4">
        <f>ELEC!C23</f>
        <v>44581</v>
      </c>
      <c r="B22" s="502">
        <f t="shared" si="9"/>
        <v>11393</v>
      </c>
      <c r="C22" s="276">
        <f t="shared" si="10"/>
        <v>0</v>
      </c>
      <c r="D22" s="503">
        <f t="shared" si="11"/>
        <v>611266</v>
      </c>
      <c r="E22" s="276">
        <f>150*C22</f>
        <v>0</v>
      </c>
      <c r="F22" s="276">
        <f t="shared" si="0"/>
        <v>0</v>
      </c>
      <c r="G22" s="196"/>
      <c r="H22" s="260">
        <f t="shared" si="13"/>
        <v>11528</v>
      </c>
      <c r="I22" s="276" t="str">
        <f t="shared" si="1"/>
        <v>ok</v>
      </c>
      <c r="J22" s="502">
        <f t="shared" si="14"/>
        <v>10698</v>
      </c>
      <c r="K22" s="276">
        <f t="shared" si="2"/>
        <v>0</v>
      </c>
      <c r="L22" s="503">
        <f t="shared" si="15"/>
        <v>357691</v>
      </c>
      <c r="M22" s="276">
        <f t="shared" si="16"/>
        <v>0</v>
      </c>
      <c r="N22" s="276">
        <f t="shared" si="17"/>
        <v>0</v>
      </c>
      <c r="O22" s="196"/>
      <c r="P22" s="277">
        <f t="shared" si="18"/>
        <v>10873</v>
      </c>
      <c r="Q22" s="276" t="str">
        <f t="shared" si="31"/>
        <v>ok</v>
      </c>
      <c r="R22" s="502">
        <v>13480</v>
      </c>
      <c r="S22" s="276">
        <f t="shared" si="4"/>
        <v>11</v>
      </c>
      <c r="T22" s="503">
        <f t="shared" si="20"/>
        <v>309503</v>
      </c>
      <c r="U22" s="276">
        <f t="shared" si="21"/>
        <v>2750</v>
      </c>
      <c r="V22" s="276">
        <v>250</v>
      </c>
      <c r="W22" s="196"/>
      <c r="X22" s="260">
        <v>13550</v>
      </c>
      <c r="Y22" s="276" t="str">
        <f t="shared" ref="Y22:Y33" si="33">Y21</f>
        <v>ok</v>
      </c>
      <c r="Z22" s="276">
        <f t="shared" si="6"/>
        <v>11</v>
      </c>
      <c r="AA22" s="276">
        <f t="shared" si="22"/>
        <v>2750</v>
      </c>
      <c r="AB22" s="276">
        <f t="shared" si="23"/>
        <v>250</v>
      </c>
      <c r="AC22" s="276">
        <f t="shared" si="24"/>
        <v>250</v>
      </c>
      <c r="AD22" s="73">
        <f>ELEC!Q23</f>
        <v>4792.0000000012806</v>
      </c>
      <c r="AE22" s="73">
        <f t="shared" si="27"/>
        <v>435.63636363648004</v>
      </c>
      <c r="AF22" s="387">
        <f t="shared" si="28"/>
        <v>0.27227272727280005</v>
      </c>
      <c r="AG22" s="387">
        <f t="shared" si="28"/>
        <v>1.7017045454550004E-4</v>
      </c>
      <c r="AH22" s="388">
        <f t="shared" si="25"/>
        <v>249.99982982954546</v>
      </c>
      <c r="AI22" s="73">
        <f t="shared" si="30"/>
        <v>1233.3839662450555</v>
      </c>
      <c r="AJ22" s="278">
        <f t="shared" si="7"/>
        <v>0.25738396624472576</v>
      </c>
      <c r="AK22" s="278">
        <f t="shared" si="8"/>
        <v>112.12581511318686</v>
      </c>
      <c r="AL22">
        <f t="shared" si="26"/>
        <v>1</v>
      </c>
    </row>
    <row r="23" spans="1:38" ht="15.75" thickBot="1">
      <c r="A23" s="4">
        <f>ELEC!C24</f>
        <v>44582</v>
      </c>
      <c r="B23" s="502">
        <f t="shared" si="9"/>
        <v>11393</v>
      </c>
      <c r="C23" s="276">
        <f t="shared" si="10"/>
        <v>0</v>
      </c>
      <c r="D23" s="503">
        <f t="shared" si="11"/>
        <v>611266</v>
      </c>
      <c r="E23" s="276">
        <f>150*C23</f>
        <v>0</v>
      </c>
      <c r="F23" s="276">
        <f t="shared" si="0"/>
        <v>0</v>
      </c>
      <c r="G23" s="196"/>
      <c r="H23" s="260">
        <f t="shared" si="13"/>
        <v>11528</v>
      </c>
      <c r="I23" s="276" t="str">
        <f t="shared" si="1"/>
        <v>ok</v>
      </c>
      <c r="J23" s="502">
        <f t="shared" si="14"/>
        <v>10698</v>
      </c>
      <c r="K23" s="276">
        <f t="shared" si="2"/>
        <v>0</v>
      </c>
      <c r="L23" s="503">
        <f t="shared" si="15"/>
        <v>357691</v>
      </c>
      <c r="M23" s="276">
        <f t="shared" si="16"/>
        <v>0</v>
      </c>
      <c r="N23" s="276">
        <f t="shared" si="17"/>
        <v>0</v>
      </c>
      <c r="O23" s="196"/>
      <c r="P23" s="277">
        <f t="shared" si="18"/>
        <v>10873</v>
      </c>
      <c r="Q23" s="276" t="str">
        <f t="shared" si="31"/>
        <v>ok</v>
      </c>
      <c r="R23" s="502">
        <f t="shared" si="19"/>
        <v>13480</v>
      </c>
      <c r="S23" s="276">
        <f>R23-R22</f>
        <v>0</v>
      </c>
      <c r="T23" s="503">
        <f t="shared" si="20"/>
        <v>309503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3"/>
        <v>ok</v>
      </c>
      <c r="Z23" s="276">
        <f t="shared" si="6"/>
        <v>0</v>
      </c>
      <c r="AA23" s="276">
        <f t="shared" si="22"/>
        <v>0</v>
      </c>
      <c r="AB23" s="276">
        <f t="shared" si="23"/>
        <v>250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30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6"/>
        <v>0</v>
      </c>
    </row>
    <row r="24" spans="1:38" ht="15.75" thickBot="1">
      <c r="A24" s="4">
        <f>ELEC!C25</f>
        <v>44583</v>
      </c>
      <c r="B24" s="502">
        <f t="shared" si="9"/>
        <v>11393</v>
      </c>
      <c r="C24" s="276">
        <f t="shared" si="10"/>
        <v>0</v>
      </c>
      <c r="D24" s="503">
        <f t="shared" si="11"/>
        <v>611266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11528</v>
      </c>
      <c r="I24" s="276" t="str">
        <f t="shared" si="1"/>
        <v>ok</v>
      </c>
      <c r="J24" s="502">
        <f t="shared" si="14"/>
        <v>10698</v>
      </c>
      <c r="K24" s="276">
        <f t="shared" si="2"/>
        <v>0</v>
      </c>
      <c r="L24" s="503">
        <f t="shared" si="15"/>
        <v>357691</v>
      </c>
      <c r="M24" s="276">
        <f t="shared" si="16"/>
        <v>0</v>
      </c>
      <c r="N24" s="276">
        <f t="shared" si="17"/>
        <v>0</v>
      </c>
      <c r="O24" s="196"/>
      <c r="P24" s="277">
        <f t="shared" si="18"/>
        <v>10873</v>
      </c>
      <c r="Q24" s="276" t="str">
        <f t="shared" si="31"/>
        <v>ok</v>
      </c>
      <c r="R24" s="502">
        <f t="shared" si="19"/>
        <v>13480</v>
      </c>
      <c r="S24" s="276">
        <f t="shared" si="4"/>
        <v>0</v>
      </c>
      <c r="T24" s="503">
        <f t="shared" si="20"/>
        <v>309503</v>
      </c>
      <c r="U24" s="276">
        <f t="shared" si="21"/>
        <v>0</v>
      </c>
      <c r="V24" s="276">
        <v>250</v>
      </c>
      <c r="W24" s="196"/>
      <c r="X24" s="260">
        <v>13550</v>
      </c>
      <c r="Y24" s="276" t="str">
        <f t="shared" si="33"/>
        <v>ok</v>
      </c>
      <c r="Z24" s="276">
        <f t="shared" si="6"/>
        <v>0</v>
      </c>
      <c r="AA24" s="276">
        <f t="shared" si="22"/>
        <v>0</v>
      </c>
      <c r="AB24" s="276">
        <f t="shared" si="23"/>
        <v>250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30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6"/>
        <v>0</v>
      </c>
    </row>
    <row r="25" spans="1:38" ht="15.75" thickBot="1">
      <c r="A25" s="4">
        <f>ELEC!C26</f>
        <v>44584</v>
      </c>
      <c r="B25" s="502">
        <v>11397</v>
      </c>
      <c r="C25" s="276">
        <f t="shared" si="10"/>
        <v>4</v>
      </c>
      <c r="D25" s="503">
        <f t="shared" si="11"/>
        <v>612266</v>
      </c>
      <c r="E25" s="276">
        <f t="shared" si="12"/>
        <v>1000</v>
      </c>
      <c r="F25" s="276">
        <f t="shared" si="0"/>
        <v>250</v>
      </c>
      <c r="G25" s="196"/>
      <c r="H25" s="260">
        <f t="shared" si="13"/>
        <v>11528</v>
      </c>
      <c r="I25" s="276" t="str">
        <f t="shared" si="1"/>
        <v>ok</v>
      </c>
      <c r="J25" s="502">
        <f t="shared" si="14"/>
        <v>10698</v>
      </c>
      <c r="K25" s="276">
        <f t="shared" si="2"/>
        <v>0</v>
      </c>
      <c r="L25" s="503">
        <f t="shared" si="15"/>
        <v>357691</v>
      </c>
      <c r="M25" s="276">
        <f t="shared" si="16"/>
        <v>0</v>
      </c>
      <c r="N25" s="276">
        <f t="shared" si="17"/>
        <v>0</v>
      </c>
      <c r="O25" s="196"/>
      <c r="P25" s="277">
        <f t="shared" si="18"/>
        <v>10873</v>
      </c>
      <c r="Q25" s="276" t="str">
        <f t="shared" si="31"/>
        <v>ok</v>
      </c>
      <c r="R25" s="502">
        <v>13487</v>
      </c>
      <c r="S25" s="276">
        <f t="shared" si="4"/>
        <v>7</v>
      </c>
      <c r="T25" s="503">
        <f t="shared" si="20"/>
        <v>311253</v>
      </c>
      <c r="U25" s="276">
        <f t="shared" si="21"/>
        <v>1750</v>
      </c>
      <c r="V25" s="276">
        <v>250</v>
      </c>
      <c r="W25" s="196"/>
      <c r="X25" s="260">
        <v>13550</v>
      </c>
      <c r="Y25" s="276" t="str">
        <f t="shared" si="33"/>
        <v>ok</v>
      </c>
      <c r="Z25" s="276">
        <f t="shared" si="6"/>
        <v>11</v>
      </c>
      <c r="AA25" s="276">
        <f t="shared" si="22"/>
        <v>2750</v>
      </c>
      <c r="AB25" s="276">
        <f t="shared" si="23"/>
        <v>500</v>
      </c>
      <c r="AC25" s="276">
        <f t="shared" si="24"/>
        <v>250</v>
      </c>
      <c r="AD25" s="73">
        <f>ELEC!Q26</f>
        <v>5418.0000000014843</v>
      </c>
      <c r="AE25" s="73">
        <f t="shared" si="27"/>
        <v>492.54545454558951</v>
      </c>
      <c r="AF25" s="387">
        <f t="shared" si="28"/>
        <v>0.30784090909099343</v>
      </c>
      <c r="AG25" s="387">
        <f t="shared" si="28"/>
        <v>1.924005681818709E-4</v>
      </c>
      <c r="AH25" s="388">
        <f t="shared" si="25"/>
        <v>249.99980759943182</v>
      </c>
      <c r="AI25" s="73">
        <f t="shared" si="30"/>
        <v>1394.5063291143063</v>
      </c>
      <c r="AJ25" s="278">
        <f t="shared" si="7"/>
        <v>0.25738396624472576</v>
      </c>
      <c r="AK25" s="278">
        <f t="shared" si="8"/>
        <v>126.77330264675511</v>
      </c>
      <c r="AL25">
        <f t="shared" si="26"/>
        <v>1</v>
      </c>
    </row>
    <row r="26" spans="1:38" ht="15.75" thickBot="1">
      <c r="A26" s="4">
        <f>ELEC!C27</f>
        <v>44585</v>
      </c>
      <c r="B26" s="502">
        <v>11407</v>
      </c>
      <c r="C26" s="276">
        <f>B26-B25</f>
        <v>10</v>
      </c>
      <c r="D26" s="503">
        <f t="shared" si="11"/>
        <v>614766</v>
      </c>
      <c r="E26" s="276">
        <f>SUM(D26-D25)</f>
        <v>2500</v>
      </c>
      <c r="F26" s="276">
        <f t="shared" si="0"/>
        <v>250</v>
      </c>
      <c r="G26" s="196"/>
      <c r="H26" s="260">
        <f t="shared" si="13"/>
        <v>11528</v>
      </c>
      <c r="I26" s="276" t="str">
        <f t="shared" si="1"/>
        <v>ok</v>
      </c>
      <c r="J26" s="502">
        <f t="shared" si="14"/>
        <v>10698</v>
      </c>
      <c r="K26" s="276">
        <f t="shared" si="2"/>
        <v>0</v>
      </c>
      <c r="L26" s="503">
        <f t="shared" si="15"/>
        <v>357691</v>
      </c>
      <c r="M26" s="276">
        <f t="shared" si="16"/>
        <v>0</v>
      </c>
      <c r="N26" s="276">
        <f t="shared" si="17"/>
        <v>0</v>
      </c>
      <c r="O26" s="196"/>
      <c r="P26" s="277">
        <f t="shared" si="18"/>
        <v>10873</v>
      </c>
      <c r="Q26" s="276" t="str">
        <f t="shared" si="31"/>
        <v>ok</v>
      </c>
      <c r="R26" s="502">
        <f t="shared" si="19"/>
        <v>13487</v>
      </c>
      <c r="S26" s="276">
        <f t="shared" ref="S26" si="34">R26-R25</f>
        <v>0</v>
      </c>
      <c r="T26" s="503">
        <f t="shared" si="20"/>
        <v>311253</v>
      </c>
      <c r="U26" s="276">
        <f t="shared" si="21"/>
        <v>0</v>
      </c>
      <c r="V26" s="276">
        <v>250</v>
      </c>
      <c r="W26" s="196"/>
      <c r="X26" s="260">
        <v>13550</v>
      </c>
      <c r="Y26" s="276" t="str">
        <f t="shared" si="33"/>
        <v>ok</v>
      </c>
      <c r="Z26" s="276">
        <f t="shared" si="6"/>
        <v>10</v>
      </c>
      <c r="AA26" s="276">
        <f t="shared" si="22"/>
        <v>2500</v>
      </c>
      <c r="AB26" s="276">
        <f t="shared" si="23"/>
        <v>500</v>
      </c>
      <c r="AC26" s="276">
        <f t="shared" si="24"/>
        <v>250</v>
      </c>
      <c r="AD26" s="73">
        <f>ELEC!Q27</f>
        <v>5797.999999998865</v>
      </c>
      <c r="AE26" s="73">
        <f t="shared" si="27"/>
        <v>579.7999999998865</v>
      </c>
      <c r="AF26" s="387">
        <f t="shared" si="28"/>
        <v>0.36237499999992906</v>
      </c>
      <c r="AG26" s="387">
        <f t="shared" si="28"/>
        <v>2.2648437499995567E-4</v>
      </c>
      <c r="AH26" s="388">
        <f t="shared" si="25"/>
        <v>249.99977351562501</v>
      </c>
      <c r="AI26" s="73">
        <f t="shared" si="30"/>
        <v>1492.3122362866279</v>
      </c>
      <c r="AJ26" s="278">
        <f t="shared" si="7"/>
        <v>0.25738396624472576</v>
      </c>
      <c r="AK26" s="278">
        <f t="shared" si="8"/>
        <v>149.2312236286628</v>
      </c>
      <c r="AL26">
        <f t="shared" si="26"/>
        <v>1</v>
      </c>
    </row>
    <row r="27" spans="1:38" ht="15.75" thickBot="1">
      <c r="A27" s="4">
        <f>ELEC!C28</f>
        <v>44586</v>
      </c>
      <c r="B27" s="502">
        <v>11417</v>
      </c>
      <c r="C27" s="276">
        <f>B27-B26</f>
        <v>10</v>
      </c>
      <c r="D27" s="503">
        <f t="shared" si="11"/>
        <v>617266</v>
      </c>
      <c r="E27" s="276">
        <f t="shared" ref="E27:E33" si="35">SUM(D27-D26)</f>
        <v>2500</v>
      </c>
      <c r="F27" s="276">
        <f t="shared" si="0"/>
        <v>250</v>
      </c>
      <c r="G27" s="196"/>
      <c r="H27" s="260">
        <f t="shared" si="13"/>
        <v>11528</v>
      </c>
      <c r="I27" s="276" t="str">
        <f>IF(B27-H27&lt;=0,"ok","oil change")</f>
        <v>ok</v>
      </c>
      <c r="J27" s="502">
        <f t="shared" si="14"/>
        <v>10698</v>
      </c>
      <c r="K27" s="276">
        <f t="shared" si="2"/>
        <v>0</v>
      </c>
      <c r="L27" s="503">
        <f t="shared" si="15"/>
        <v>357691</v>
      </c>
      <c r="M27" s="276">
        <f t="shared" si="16"/>
        <v>0</v>
      </c>
      <c r="N27" s="276">
        <f t="shared" si="17"/>
        <v>0</v>
      </c>
      <c r="O27" s="196"/>
      <c r="P27" s="277">
        <f t="shared" si="18"/>
        <v>10873</v>
      </c>
      <c r="Q27" s="276" t="str">
        <f t="shared" si="31"/>
        <v>ok</v>
      </c>
      <c r="R27" s="502">
        <v>13489</v>
      </c>
      <c r="S27" s="276">
        <f t="shared" si="4"/>
        <v>2</v>
      </c>
      <c r="T27" s="503">
        <f t="shared" si="20"/>
        <v>311753</v>
      </c>
      <c r="U27" s="276">
        <f t="shared" si="21"/>
        <v>500</v>
      </c>
      <c r="V27" s="276">
        <v>250</v>
      </c>
      <c r="W27" s="196"/>
      <c r="X27" s="260">
        <v>13550</v>
      </c>
      <c r="Y27" s="276" t="str">
        <f t="shared" si="33"/>
        <v>ok</v>
      </c>
      <c r="Z27" s="276">
        <f t="shared" si="6"/>
        <v>12</v>
      </c>
      <c r="AA27" s="276">
        <f t="shared" si="22"/>
        <v>3000</v>
      </c>
      <c r="AB27" s="276">
        <f t="shared" si="23"/>
        <v>500</v>
      </c>
      <c r="AC27" s="276">
        <f t="shared" si="24"/>
        <v>250</v>
      </c>
      <c r="AD27" s="73">
        <f>ELEC!Q28</f>
        <v>6159.9999999998545</v>
      </c>
      <c r="AE27" s="73">
        <f t="shared" si="27"/>
        <v>513.33333333332121</v>
      </c>
      <c r="AF27" s="387">
        <f t="shared" si="28"/>
        <v>0.32083333333332575</v>
      </c>
      <c r="AG27" s="387">
        <f t="shared" si="28"/>
        <v>2.005208333333286E-4</v>
      </c>
      <c r="AH27" s="388">
        <f t="shared" si="25"/>
        <v>249.99979947916665</v>
      </c>
      <c r="AI27" s="73">
        <f t="shared" si="30"/>
        <v>1585.4852320674731</v>
      </c>
      <c r="AJ27" s="278">
        <f t="shared" si="7"/>
        <v>0.25738396624472576</v>
      </c>
      <c r="AK27" s="278">
        <f t="shared" si="8"/>
        <v>132.12376933895609</v>
      </c>
      <c r="AL27">
        <f t="shared" si="26"/>
        <v>1</v>
      </c>
    </row>
    <row r="28" spans="1:38" ht="15.75" thickBot="1">
      <c r="A28" s="4">
        <f>ELEC!C29</f>
        <v>44587</v>
      </c>
      <c r="B28" s="502">
        <f t="shared" si="9"/>
        <v>11417</v>
      </c>
      <c r="C28" s="276">
        <f t="shared" si="10"/>
        <v>0</v>
      </c>
      <c r="D28" s="503">
        <f t="shared" si="11"/>
        <v>617266</v>
      </c>
      <c r="E28" s="276">
        <f t="shared" si="35"/>
        <v>0</v>
      </c>
      <c r="F28" s="276">
        <f t="shared" si="0"/>
        <v>0</v>
      </c>
      <c r="G28" s="274"/>
      <c r="H28" s="260">
        <f t="shared" si="13"/>
        <v>11528</v>
      </c>
      <c r="I28" s="276" t="str">
        <f t="shared" si="1"/>
        <v>ok</v>
      </c>
      <c r="J28" s="502">
        <f t="shared" si="14"/>
        <v>10698</v>
      </c>
      <c r="K28" s="276">
        <f t="shared" si="2"/>
        <v>0</v>
      </c>
      <c r="L28" s="503">
        <f t="shared" si="15"/>
        <v>357691</v>
      </c>
      <c r="M28" s="276">
        <f t="shared" si="16"/>
        <v>0</v>
      </c>
      <c r="N28" s="276">
        <f t="shared" si="17"/>
        <v>0</v>
      </c>
      <c r="O28" s="196"/>
      <c r="P28" s="277">
        <f t="shared" si="18"/>
        <v>10873</v>
      </c>
      <c r="Q28" s="276" t="str">
        <f t="shared" si="31"/>
        <v>ok</v>
      </c>
      <c r="R28" s="502">
        <f t="shared" si="19"/>
        <v>13489</v>
      </c>
      <c r="S28" s="276">
        <f t="shared" si="4"/>
        <v>0</v>
      </c>
      <c r="T28" s="503">
        <f t="shared" si="20"/>
        <v>311753</v>
      </c>
      <c r="U28" s="276">
        <f t="shared" si="21"/>
        <v>0</v>
      </c>
      <c r="V28" s="276">
        <v>250</v>
      </c>
      <c r="W28" s="196"/>
      <c r="X28" s="260">
        <v>13550</v>
      </c>
      <c r="Y28" s="276" t="str">
        <f t="shared" si="33"/>
        <v>ok</v>
      </c>
      <c r="Z28" s="276">
        <f t="shared" si="6"/>
        <v>0</v>
      </c>
      <c r="AA28" s="276">
        <f t="shared" si="22"/>
        <v>0</v>
      </c>
      <c r="AB28" s="276">
        <f t="shared" si="23"/>
        <v>250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30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6"/>
        <v>0</v>
      </c>
    </row>
    <row r="29" spans="1:38" ht="15.75" thickBot="1">
      <c r="A29" s="4">
        <f>ELEC!C30</f>
        <v>44588</v>
      </c>
      <c r="B29" s="502">
        <f t="shared" si="9"/>
        <v>11417</v>
      </c>
      <c r="C29" s="276">
        <f t="shared" si="10"/>
        <v>0</v>
      </c>
      <c r="D29" s="503">
        <f t="shared" si="11"/>
        <v>617266</v>
      </c>
      <c r="E29" s="276">
        <f t="shared" si="35"/>
        <v>0</v>
      </c>
      <c r="F29" s="276">
        <f t="shared" si="0"/>
        <v>0</v>
      </c>
      <c r="G29" s="196"/>
      <c r="H29" s="260">
        <f t="shared" si="13"/>
        <v>11528</v>
      </c>
      <c r="I29" s="276" t="str">
        <f t="shared" si="1"/>
        <v>ok</v>
      </c>
      <c r="J29" s="502">
        <f t="shared" si="14"/>
        <v>10698</v>
      </c>
      <c r="K29" s="276">
        <f t="shared" si="2"/>
        <v>0</v>
      </c>
      <c r="L29" s="503">
        <f t="shared" si="15"/>
        <v>357691</v>
      </c>
      <c r="M29" s="276">
        <f t="shared" si="16"/>
        <v>0</v>
      </c>
      <c r="N29" s="276">
        <f t="shared" si="17"/>
        <v>0</v>
      </c>
      <c r="O29" s="196"/>
      <c r="P29" s="277">
        <f t="shared" si="18"/>
        <v>10873</v>
      </c>
      <c r="Q29" s="276" t="str">
        <f t="shared" si="31"/>
        <v>ok</v>
      </c>
      <c r="R29" s="502">
        <f t="shared" si="19"/>
        <v>13489</v>
      </c>
      <c r="S29" s="276">
        <f t="shared" si="4"/>
        <v>0</v>
      </c>
      <c r="T29" s="503">
        <f>T28+U29</f>
        <v>311753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3"/>
        <v>ok</v>
      </c>
      <c r="Z29" s="276">
        <f t="shared" si="6"/>
        <v>0</v>
      </c>
      <c r="AA29" s="276">
        <f t="shared" si="22"/>
        <v>0</v>
      </c>
      <c r="AB29" s="276">
        <f t="shared" si="23"/>
        <v>250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30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6"/>
        <v>0</v>
      </c>
    </row>
    <row r="30" spans="1:38" ht="15.75" thickBot="1">
      <c r="A30" s="4">
        <f>ELEC!C31</f>
        <v>44589</v>
      </c>
      <c r="B30" s="502">
        <f t="shared" si="9"/>
        <v>11417</v>
      </c>
      <c r="C30" s="276">
        <f t="shared" si="10"/>
        <v>0</v>
      </c>
      <c r="D30" s="503">
        <f t="shared" si="11"/>
        <v>617266</v>
      </c>
      <c r="E30" s="276">
        <f t="shared" si="35"/>
        <v>0</v>
      </c>
      <c r="F30" s="276">
        <f t="shared" si="0"/>
        <v>0</v>
      </c>
      <c r="G30" s="196"/>
      <c r="H30" s="260">
        <f t="shared" si="13"/>
        <v>11528</v>
      </c>
      <c r="I30" s="276" t="str">
        <f t="shared" si="1"/>
        <v>ok</v>
      </c>
      <c r="J30" s="502">
        <f t="shared" si="14"/>
        <v>10698</v>
      </c>
      <c r="K30" s="276">
        <f t="shared" si="2"/>
        <v>0</v>
      </c>
      <c r="L30" s="503">
        <f t="shared" si="15"/>
        <v>357691</v>
      </c>
      <c r="M30" s="276">
        <f t="shared" si="16"/>
        <v>0</v>
      </c>
      <c r="N30" s="276">
        <f t="shared" si="17"/>
        <v>0</v>
      </c>
      <c r="O30" s="196"/>
      <c r="P30" s="277">
        <f t="shared" si="18"/>
        <v>10873</v>
      </c>
      <c r="Q30" s="276" t="str">
        <f t="shared" si="31"/>
        <v>ok</v>
      </c>
      <c r="R30" s="502">
        <f t="shared" si="19"/>
        <v>13489</v>
      </c>
      <c r="S30" s="276">
        <f t="shared" si="4"/>
        <v>0</v>
      </c>
      <c r="T30" s="503">
        <f t="shared" si="20"/>
        <v>311753</v>
      </c>
      <c r="U30" s="276">
        <f t="shared" si="21"/>
        <v>0</v>
      </c>
      <c r="V30" s="276">
        <v>250</v>
      </c>
      <c r="W30" s="274"/>
      <c r="X30" s="260">
        <v>13550</v>
      </c>
      <c r="Y30" s="276" t="str">
        <f t="shared" si="33"/>
        <v>ok</v>
      </c>
      <c r="Z30" s="276">
        <f t="shared" si="6"/>
        <v>0</v>
      </c>
      <c r="AA30" s="276">
        <f t="shared" si="22"/>
        <v>0</v>
      </c>
      <c r="AB30" s="276">
        <f t="shared" si="23"/>
        <v>250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30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6"/>
        <v>0</v>
      </c>
    </row>
    <row r="31" spans="1:38" ht="15.75" thickBot="1">
      <c r="A31" s="4">
        <f>ELEC!C32</f>
        <v>44590</v>
      </c>
      <c r="B31" s="502">
        <f t="shared" si="9"/>
        <v>11417</v>
      </c>
      <c r="C31" s="276">
        <f>B31-B30</f>
        <v>0</v>
      </c>
      <c r="D31" s="503">
        <f t="shared" si="11"/>
        <v>617266</v>
      </c>
      <c r="E31" s="276">
        <f t="shared" si="35"/>
        <v>0</v>
      </c>
      <c r="F31" s="276">
        <f>IF(C31&gt;0,E31/C31,0)</f>
        <v>0</v>
      </c>
      <c r="G31" s="323"/>
      <c r="H31" s="260">
        <f t="shared" si="13"/>
        <v>11528</v>
      </c>
      <c r="I31" s="276" t="str">
        <f>IF(B31-H31&lt;=0,"ok","oil change")</f>
        <v>ok</v>
      </c>
      <c r="J31" s="502">
        <f t="shared" si="14"/>
        <v>10698</v>
      </c>
      <c r="K31" s="276">
        <f>J31-J30</f>
        <v>0</v>
      </c>
      <c r="L31" s="503">
        <f t="shared" si="15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8"/>
        <v>10873</v>
      </c>
      <c r="Q31" s="276" t="str">
        <f>IF(J31-P31&lt;=0,"ok","oil change")</f>
        <v>ok</v>
      </c>
      <c r="R31" s="502">
        <f t="shared" si="19"/>
        <v>13489</v>
      </c>
      <c r="S31" s="276">
        <f>R31-R30</f>
        <v>0</v>
      </c>
      <c r="T31" s="503">
        <f t="shared" si="20"/>
        <v>311753</v>
      </c>
      <c r="U31" s="276">
        <f t="shared" si="21"/>
        <v>0</v>
      </c>
      <c r="V31" s="276">
        <v>250</v>
      </c>
      <c r="W31" s="323"/>
      <c r="X31" s="260">
        <v>13550</v>
      </c>
      <c r="Y31" s="276" t="str">
        <f t="shared" si="33"/>
        <v>ok</v>
      </c>
      <c r="Z31" s="276">
        <f>C31+K31+S31</f>
        <v>0</v>
      </c>
      <c r="AA31" s="276">
        <f t="shared" ref="AA31:AB32" si="36">U31+M31+E31</f>
        <v>0</v>
      </c>
      <c r="AB31" s="276">
        <f t="shared" si="36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7">SUM(AE31/1600)</f>
        <v>#DIV/0!</v>
      </c>
      <c r="AG31" s="387" t="e">
        <f t="shared" si="37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6"/>
        <v>0</v>
      </c>
    </row>
    <row r="32" spans="1:38" ht="15.75" thickBot="1">
      <c r="A32" s="4">
        <f>ELEC!C33</f>
        <v>44591</v>
      </c>
      <c r="B32" s="502">
        <f t="shared" si="9"/>
        <v>11417</v>
      </c>
      <c r="C32" s="276">
        <f>B32-B31</f>
        <v>0</v>
      </c>
      <c r="D32" s="503">
        <f t="shared" si="11"/>
        <v>617266</v>
      </c>
      <c r="E32" s="276">
        <f t="shared" si="35"/>
        <v>0</v>
      </c>
      <c r="F32" s="276">
        <f>IF(C32&gt;0,E32/C32,0)</f>
        <v>0</v>
      </c>
      <c r="G32" s="323"/>
      <c r="H32" s="260">
        <f t="shared" si="13"/>
        <v>11528</v>
      </c>
      <c r="I32" s="276" t="str">
        <f>IF(B32-H32&lt;=0,"ok","oil change")</f>
        <v>ok</v>
      </c>
      <c r="J32" s="502">
        <f t="shared" si="14"/>
        <v>10698</v>
      </c>
      <c r="K32" s="276">
        <f>J32-J31</f>
        <v>0</v>
      </c>
      <c r="L32" s="503">
        <f t="shared" si="15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8"/>
        <v>10873</v>
      </c>
      <c r="Q32" s="276" t="str">
        <f>IF(J32-P32&lt;=0,"ok","oil change")</f>
        <v>ok</v>
      </c>
      <c r="R32" s="502">
        <f t="shared" si="19"/>
        <v>13489</v>
      </c>
      <c r="S32" s="276">
        <f>R32-R31</f>
        <v>0</v>
      </c>
      <c r="T32" s="503">
        <f t="shared" si="20"/>
        <v>311753</v>
      </c>
      <c r="U32" s="276">
        <f t="shared" si="21"/>
        <v>0</v>
      </c>
      <c r="V32" s="276">
        <v>250</v>
      </c>
      <c r="W32" s="323"/>
      <c r="X32" s="260">
        <v>13550</v>
      </c>
      <c r="Y32" s="276" t="str">
        <f t="shared" si="33"/>
        <v>ok</v>
      </c>
      <c r="Z32" s="276">
        <f>C32+K32+S32</f>
        <v>0</v>
      </c>
      <c r="AA32" s="276">
        <f t="shared" si="36"/>
        <v>0</v>
      </c>
      <c r="AB32" s="276">
        <f t="shared" si="36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7"/>
        <v>#DIV/0!</v>
      </c>
      <c r="AG32" s="387" t="e">
        <f t="shared" si="37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6"/>
        <v>0</v>
      </c>
    </row>
    <row r="33" spans="1:38">
      <c r="A33" s="4">
        <f>ELEC!C34</f>
        <v>44592</v>
      </c>
      <c r="B33" s="502">
        <f t="shared" si="9"/>
        <v>11417</v>
      </c>
      <c r="C33" s="276">
        <f>B33-B32</f>
        <v>0</v>
      </c>
      <c r="D33" s="503">
        <f t="shared" si="11"/>
        <v>617266</v>
      </c>
      <c r="E33" s="276">
        <f t="shared" si="35"/>
        <v>0</v>
      </c>
      <c r="F33" s="276">
        <f>IF(C33&gt;0,E33/C33,0)</f>
        <v>0</v>
      </c>
      <c r="G33" s="323"/>
      <c r="H33" s="260">
        <f t="shared" si="13"/>
        <v>11528</v>
      </c>
      <c r="I33" s="276" t="str">
        <f>IF(B33-H33&lt;=0,"ok","oil change")</f>
        <v>ok</v>
      </c>
      <c r="J33" s="502">
        <f t="shared" si="14"/>
        <v>10698</v>
      </c>
      <c r="K33" s="276">
        <f>J33-J32</f>
        <v>0</v>
      </c>
      <c r="L33" s="503">
        <f t="shared" si="15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8"/>
        <v>10873</v>
      </c>
      <c r="Q33" s="276" t="str">
        <f>IF(J33-P33&lt;=0,"ok","oil change")</f>
        <v>ok</v>
      </c>
      <c r="R33" s="502">
        <f t="shared" si="19"/>
        <v>13489</v>
      </c>
      <c r="S33" s="276">
        <f>R33-R32</f>
        <v>0</v>
      </c>
      <c r="T33" s="503">
        <f t="shared" si="20"/>
        <v>311753</v>
      </c>
      <c r="U33" s="276">
        <f t="shared" si="21"/>
        <v>0</v>
      </c>
      <c r="V33" s="276">
        <v>251</v>
      </c>
      <c r="W33" s="323"/>
      <c r="X33" s="260">
        <v>13550</v>
      </c>
      <c r="Y33" s="276" t="str">
        <f t="shared" si="33"/>
        <v>ok</v>
      </c>
      <c r="Z33" s="276">
        <f>C33+K33+S33</f>
        <v>0</v>
      </c>
      <c r="AA33" s="276">
        <f t="shared" ref="AA33" si="38">U33+M33+E33</f>
        <v>0</v>
      </c>
      <c r="AB33" s="276">
        <f t="shared" ref="AB33" si="39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7"/>
        <v>#DIV/0!</v>
      </c>
      <c r="AG33" s="387" t="e">
        <f t="shared" si="37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0">AI33/Z33</f>
        <v>#DIV/0!</v>
      </c>
      <c r="AL33">
        <f t="shared" si="26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158</v>
      </c>
      <c r="V34" s="40"/>
      <c r="X34">
        <v>341</v>
      </c>
      <c r="Z34" s="404">
        <f>SUM(Z3:Z33)</f>
        <v>158</v>
      </c>
      <c r="AF34" s="387">
        <f t="shared" si="37"/>
        <v>0</v>
      </c>
      <c r="AL34">
        <f>SUM(AL3:AL33)</f>
        <v>15</v>
      </c>
    </row>
    <row r="35" spans="1:38">
      <c r="C35" s="40">
        <f>SUM(C3:C33)</f>
        <v>89</v>
      </c>
      <c r="K35" s="40">
        <f>SUM(K3:K33)</f>
        <v>0</v>
      </c>
      <c r="S35" s="40">
        <f>SUM(S3:S33)</f>
        <v>69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Q1" activePane="topRight" state="frozen"/>
      <selection pane="topRight" activeCell="AT22" sqref="AT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44561</v>
      </c>
      <c r="B5" s="499">
        <f>[2]tanks!B36</f>
        <v>197</v>
      </c>
      <c r="C5" s="499">
        <f>[2]tanks!C36</f>
        <v>4238.677419354839</v>
      </c>
      <c r="D5" s="499">
        <f>[2]tanks!D36</f>
        <v>197</v>
      </c>
      <c r="E5" s="499">
        <f>[2]tanks!E36</f>
        <v>4238.677419354839</v>
      </c>
      <c r="F5" s="499">
        <f>[2]tanks!F36</f>
        <v>197</v>
      </c>
      <c r="G5" s="499">
        <f>[2]tanks!G36</f>
        <v>4238.677419354839</v>
      </c>
      <c r="H5" s="499">
        <f>[2]tanks!H36</f>
        <v>197</v>
      </c>
      <c r="I5" s="499">
        <f>[2]tanks!I36</f>
        <v>4238.677419354839</v>
      </c>
      <c r="J5" s="499">
        <f>[2]tanks!J36</f>
        <v>197</v>
      </c>
      <c r="K5" s="499">
        <f>[2]tanks!K36</f>
        <v>4238.677419354839</v>
      </c>
      <c r="L5" s="499">
        <f>[2]tanks!L36</f>
        <v>197</v>
      </c>
      <c r="M5" s="499">
        <f>[2]tanks!M36</f>
        <v>4238.677419354839</v>
      </c>
      <c r="N5" s="499">
        <f>[2]tanks!N36</f>
        <v>197</v>
      </c>
      <c r="O5" s="499">
        <f>[2]tanks!O36</f>
        <v>4238.677419354839</v>
      </c>
      <c r="P5" s="499">
        <f>[2]tanks!P36</f>
        <v>197</v>
      </c>
      <c r="Q5" s="499">
        <f>[2]tanks!Q36</f>
        <v>4238.677419354839</v>
      </c>
      <c r="R5" s="499">
        <f>[2]tanks!R36</f>
        <v>197</v>
      </c>
      <c r="S5" s="499">
        <f>[2]tanks!S36</f>
        <v>4238.677419354839</v>
      </c>
      <c r="T5" s="499">
        <f>[2]tanks!T36</f>
        <v>197</v>
      </c>
      <c r="U5" s="499">
        <f>[2]tanks!U36</f>
        <v>4238.677419354839</v>
      </c>
      <c r="V5" s="499">
        <f>[2]tanks!V36</f>
        <v>197</v>
      </c>
      <c r="W5" s="499">
        <f>[2]tanks!W36</f>
        <v>4238.677419354839</v>
      </c>
      <c r="X5" s="499">
        <f>[2]tanks!X36</f>
        <v>0.63548387096774217</v>
      </c>
      <c r="Y5" s="499">
        <f>[2]tanks!Y36</f>
        <v>46625.451612903242</v>
      </c>
      <c r="Z5" s="499">
        <f>[2]tanks!Z36</f>
        <v>203</v>
      </c>
      <c r="AA5" s="499">
        <f>[2]tanks!AA36</f>
        <v>2030</v>
      </c>
      <c r="AB5" s="499">
        <f>[2]tanks!AB36</f>
        <v>203</v>
      </c>
      <c r="AC5" s="499">
        <f>[2]tanks!AC36</f>
        <v>2030</v>
      </c>
      <c r="AD5" s="499">
        <f>[2]tanks!AD36</f>
        <v>203</v>
      </c>
      <c r="AE5" s="499">
        <f>[2]tanks!AE36</f>
        <v>2030</v>
      </c>
      <c r="AF5" s="499">
        <f>[2]tanks!AF36</f>
        <v>203</v>
      </c>
      <c r="AG5" s="499">
        <f>[2]tanks!AG36</f>
        <v>2030</v>
      </c>
      <c r="AH5" s="499">
        <f>[2]tanks!AH36</f>
        <v>203</v>
      </c>
      <c r="AI5" s="499">
        <f>[2]tanks!AI36</f>
        <v>2030</v>
      </c>
      <c r="AJ5" s="499">
        <f>[2]tanks!AJ36</f>
        <v>203</v>
      </c>
      <c r="AK5" s="499">
        <f>[2]tanks!AK36</f>
        <v>2030</v>
      </c>
      <c r="AL5" s="499">
        <f>[2]tanks!AL36</f>
        <v>203</v>
      </c>
      <c r="AM5" s="499">
        <f>[2]tanks!AM36</f>
        <v>2030</v>
      </c>
      <c r="AN5" s="476">
        <f>[2]tanks!AN36</f>
        <v>0.72499999999999998</v>
      </c>
      <c r="AO5" s="499">
        <f>[2]tanks!AO36</f>
        <v>14210</v>
      </c>
      <c r="AP5" s="499"/>
      <c r="AQ5" s="476">
        <f>[2]tanks!$AQ$36</f>
        <v>0.65435572349040816</v>
      </c>
      <c r="AR5" s="576">
        <f>[2]tanks!$AR$36</f>
        <v>60835.451612903242</v>
      </c>
      <c r="AS5" s="576">
        <f>[2]tanks!$AS$36</f>
        <v>-1603.387096774175</v>
      </c>
      <c r="AT5" s="576">
        <f>[2]tanks!$AT$36</f>
        <v>0</v>
      </c>
      <c r="AU5" s="576">
        <f>[2]tanks!$AU$36</f>
        <v>0</v>
      </c>
      <c r="AV5" s="594">
        <f>[2]tanks!$AV$36</f>
        <v>0.60399999999999998</v>
      </c>
      <c r="AW5" s="576">
        <f>[2]tanks!AW36</f>
        <v>0</v>
      </c>
      <c r="AX5" s="576">
        <f>[2]tanks!AX36</f>
        <v>-1603.387096774175</v>
      </c>
      <c r="AY5" s="576">
        <f>[2]tanks!AY36</f>
        <v>-1603.387096774175</v>
      </c>
      <c r="AZ5" s="576">
        <f>[2]tanks!AZ36</f>
        <v>0</v>
      </c>
      <c r="BA5" s="576">
        <f>[2]tanks!BA36</f>
        <v>18</v>
      </c>
      <c r="BB5" s="476">
        <f>[2]tanks!BB36</f>
        <v>0.43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[5]tanks!BI36</f>
        <v>23</v>
      </c>
    </row>
    <row r="6" spans="1:63">
      <c r="A6" s="425">
        <f>ELEC!C4</f>
        <v>44562</v>
      </c>
      <c r="B6" s="499">
        <f>'B5'!B5</f>
        <v>197</v>
      </c>
      <c r="C6" s="203">
        <f>B6*$B$4</f>
        <v>4238.677419354839</v>
      </c>
      <c r="D6">
        <f>SUM(B6)</f>
        <v>197</v>
      </c>
      <c r="E6" s="203">
        <f>D6*$B$4</f>
        <v>4238.677419354839</v>
      </c>
      <c r="F6">
        <f>SUM(D6)</f>
        <v>197</v>
      </c>
      <c r="G6" s="203">
        <f t="shared" ref="G6:G33" si="1">F6*$B$4</f>
        <v>4238.677419354839</v>
      </c>
      <c r="H6" s="203">
        <f>SUM(F6)</f>
        <v>197</v>
      </c>
      <c r="I6" s="203">
        <f t="shared" ref="I6:I33" si="2">H6*$B$4</f>
        <v>4238.677419354839</v>
      </c>
      <c r="J6" s="203">
        <f>SUM(H6)</f>
        <v>197</v>
      </c>
      <c r="K6" s="203">
        <f t="shared" ref="K6:K33" si="3">J6*$B$4</f>
        <v>4238.677419354839</v>
      </c>
      <c r="L6" s="203">
        <f>SUM(J6)</f>
        <v>197</v>
      </c>
      <c r="M6" s="203">
        <f t="shared" ref="M6:M33" si="4">L6*$B$4</f>
        <v>4238.677419354839</v>
      </c>
      <c r="N6" s="203">
        <f>SUM(L6)</f>
        <v>197</v>
      </c>
      <c r="O6" s="203">
        <f t="shared" ref="O6:O33" si="5">N6*$B$4</f>
        <v>4238.677419354839</v>
      </c>
      <c r="P6" s="203">
        <f>SUM(N6)</f>
        <v>197</v>
      </c>
      <c r="Q6" s="203">
        <f t="shared" ref="Q6:Q33" si="6">P6*$B$4</f>
        <v>4238.677419354839</v>
      </c>
      <c r="R6" s="203">
        <f>SUM(P6)</f>
        <v>197</v>
      </c>
      <c r="S6" s="203">
        <f t="shared" ref="S6:S33" si="7">R6*$B$4</f>
        <v>4238.677419354839</v>
      </c>
      <c r="T6" s="203">
        <f>SUM(R6)</f>
        <v>197</v>
      </c>
      <c r="U6" s="203">
        <f t="shared" ref="U6:U33" si="8">T6*$B$4</f>
        <v>4238.677419354839</v>
      </c>
      <c r="V6" s="203">
        <f>SUM(T6)</f>
        <v>197</v>
      </c>
      <c r="W6" s="203">
        <f t="shared" ref="W6:W33" si="9">V6*$B$4</f>
        <v>4238.677419354839</v>
      </c>
      <c r="X6" s="35">
        <f t="shared" ref="X6:X29" si="10">SUM(Y6/73370)</f>
        <v>0.63548387096774217</v>
      </c>
      <c r="Y6" s="36">
        <f>SUM(C6+E6+G6+I6+K6+M6+O6+Q6+S6+U6+W6)</f>
        <v>46625.451612903242</v>
      </c>
      <c r="Z6" s="203">
        <f>'B5'!C5</f>
        <v>203</v>
      </c>
      <c r="AA6" s="203">
        <f>SUM(Z6*$Z$4)</f>
        <v>2030</v>
      </c>
      <c r="AB6" s="203">
        <f>SUM(Z6)</f>
        <v>203</v>
      </c>
      <c r="AC6" s="203">
        <f>SUM(AB6*$Z$4)</f>
        <v>2030</v>
      </c>
      <c r="AD6" s="203">
        <f>SUM(AB6)</f>
        <v>203</v>
      </c>
      <c r="AE6" s="203">
        <f t="shared" ref="AE6:AE33" si="11">SUM(AD6*$Z$4)</f>
        <v>2030</v>
      </c>
      <c r="AF6" s="203">
        <f>SUM(AD6)</f>
        <v>203</v>
      </c>
      <c r="AG6" s="203">
        <f t="shared" ref="AG6:AG33" si="12">SUM(AF6*$Z$4)</f>
        <v>2030</v>
      </c>
      <c r="AH6" s="203">
        <f>SUM(AF6)</f>
        <v>203</v>
      </c>
      <c r="AI6" s="203">
        <f t="shared" ref="AI6:AI33" si="13">SUM(AH6*$Z$4)</f>
        <v>2030</v>
      </c>
      <c r="AJ6" s="203">
        <f>SUM(AH6)</f>
        <v>203</v>
      </c>
      <c r="AK6" s="203">
        <f t="shared" ref="AK6:AK33" si="14">SUM(AJ6*$Z$4)</f>
        <v>2030</v>
      </c>
      <c r="AL6" s="203">
        <f>SUM(AJ6)</f>
        <v>203</v>
      </c>
      <c r="AM6" s="203">
        <f t="shared" ref="AM6:AM33" si="15">SUM(AL6*$Z$4)</f>
        <v>2030</v>
      </c>
      <c r="AN6" s="35">
        <f t="shared" ref="AN6:AN29" si="16">SUM(AO6/19600)</f>
        <v>0.72499999999999998</v>
      </c>
      <c r="AO6" s="36">
        <f>SUM(AA6+AC6+AE6+AG6+AI6+AK6+AM6)</f>
        <v>14210</v>
      </c>
      <c r="AQ6" s="223">
        <f>SUM(AR6/92970)</f>
        <v>0.65435572349040816</v>
      </c>
      <c r="AR6" s="38">
        <f>Y6+AO6</f>
        <v>60835.451612903242</v>
      </c>
      <c r="AS6" s="197">
        <f>SUM(AR6-AR5-AT6)</f>
        <v>0</v>
      </c>
      <c r="AT6" s="340"/>
      <c r="AU6" s="549"/>
      <c r="AV6" s="485">
        <f>IF(AT6&gt;0,AU6,AV5)</f>
        <v>0.60399999999999998</v>
      </c>
      <c r="AW6" s="279">
        <f>-SUM('B5'!AI5)</f>
        <v>0</v>
      </c>
      <c r="AX6" s="279">
        <f t="shared" ref="AX6:AX35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44563</v>
      </c>
      <c r="B7">
        <f>'B5'!B6</f>
        <v>197</v>
      </c>
      <c r="C7" s="203">
        <f t="shared" ref="C7:E33" si="18">B7*$B$4</f>
        <v>4238.677419354839</v>
      </c>
      <c r="D7">
        <f t="shared" ref="D7:D29" si="19">SUM(B7)</f>
        <v>197</v>
      </c>
      <c r="E7" s="203">
        <f t="shared" si="18"/>
        <v>4238.677419354839</v>
      </c>
      <c r="F7">
        <f t="shared" ref="F7:F29" si="20">SUM(D7)</f>
        <v>197</v>
      </c>
      <c r="G7" s="203">
        <f t="shared" si="1"/>
        <v>4238.677419354839</v>
      </c>
      <c r="H7" s="203">
        <f t="shared" ref="H7:H29" si="21">SUM(F7)</f>
        <v>197</v>
      </c>
      <c r="I7" s="203">
        <f t="shared" si="2"/>
        <v>4238.677419354839</v>
      </c>
      <c r="J7" s="203">
        <f t="shared" ref="J7:J29" si="22">SUM(H7)</f>
        <v>197</v>
      </c>
      <c r="K7" s="203">
        <f t="shared" si="3"/>
        <v>4238.677419354839</v>
      </c>
      <c r="L7" s="203">
        <f t="shared" ref="L7:L29" si="23">SUM(J7)</f>
        <v>197</v>
      </c>
      <c r="M7" s="203">
        <f t="shared" si="4"/>
        <v>4238.677419354839</v>
      </c>
      <c r="N7" s="203">
        <f t="shared" ref="N7:N29" si="24">SUM(L7)</f>
        <v>197</v>
      </c>
      <c r="O7" s="203">
        <f t="shared" si="5"/>
        <v>4238.677419354839</v>
      </c>
      <c r="P7" s="203">
        <f t="shared" ref="P7:P29" si="25">SUM(N7)</f>
        <v>197</v>
      </c>
      <c r="Q7" s="203">
        <f t="shared" si="6"/>
        <v>4238.677419354839</v>
      </c>
      <c r="R7" s="203">
        <f t="shared" ref="R7:R29" si="26">SUM(P7)</f>
        <v>197</v>
      </c>
      <c r="S7" s="203">
        <f t="shared" si="7"/>
        <v>4238.677419354839</v>
      </c>
      <c r="T7" s="203">
        <f t="shared" ref="T7:T29" si="27">SUM(R7)</f>
        <v>197</v>
      </c>
      <c r="U7" s="203">
        <f t="shared" si="8"/>
        <v>4238.677419354839</v>
      </c>
      <c r="V7" s="203">
        <f t="shared" ref="V7:V29" si="28">SUM(T7)</f>
        <v>197</v>
      </c>
      <c r="W7" s="203">
        <f t="shared" si="9"/>
        <v>4238.677419354839</v>
      </c>
      <c r="X7" s="35">
        <f t="shared" si="10"/>
        <v>0.63548387096774217</v>
      </c>
      <c r="Y7" s="36">
        <f t="shared" ref="Y7:Y29" si="29">SUM(C7+E7+G7+I7+K7+M7+O7+Q7+S7+U7+W7)</f>
        <v>46625.451612903242</v>
      </c>
      <c r="Z7" s="203">
        <f>'B5'!C6</f>
        <v>203</v>
      </c>
      <c r="AA7" s="203">
        <f t="shared" ref="AA7:AC33" si="30">SUM(Z7*$Z$4)</f>
        <v>2030</v>
      </c>
      <c r="AB7" s="203">
        <f t="shared" ref="AB7:AB29" si="31">SUM(Z7)</f>
        <v>203</v>
      </c>
      <c r="AC7" s="203">
        <f t="shared" si="30"/>
        <v>2030</v>
      </c>
      <c r="AD7" s="203">
        <f t="shared" ref="AD7:AD29" si="32">SUM(AB7)</f>
        <v>203</v>
      </c>
      <c r="AE7" s="203">
        <f t="shared" si="11"/>
        <v>2030</v>
      </c>
      <c r="AF7" s="203">
        <f t="shared" ref="AF7:AF29" si="33">SUM(AD7)</f>
        <v>203</v>
      </c>
      <c r="AG7" s="203">
        <f t="shared" si="12"/>
        <v>2030</v>
      </c>
      <c r="AH7" s="203">
        <f t="shared" ref="AH7:AH29" si="34">SUM(AF7)</f>
        <v>203</v>
      </c>
      <c r="AI7" s="203">
        <f t="shared" si="13"/>
        <v>2030</v>
      </c>
      <c r="AJ7" s="203">
        <f t="shared" ref="AJ7:AJ29" si="35">SUM(AH7)</f>
        <v>203</v>
      </c>
      <c r="AK7" s="203">
        <f t="shared" si="14"/>
        <v>2030</v>
      </c>
      <c r="AL7" s="203">
        <f t="shared" ref="AL7:AL29" si="36">SUM(AJ7)</f>
        <v>203</v>
      </c>
      <c r="AM7" s="203">
        <f t="shared" si="15"/>
        <v>2030</v>
      </c>
      <c r="AN7" s="35">
        <f t="shared" si="16"/>
        <v>0.72499999999999998</v>
      </c>
      <c r="AO7" s="36">
        <f>SUM(AA7+AC7+AE7+AG7+AI7+AK7+AM7)</f>
        <v>14210</v>
      </c>
      <c r="AQ7" s="223">
        <f t="shared" ref="AQ7:AQ33" si="37">SUM(AR7/92970)</f>
        <v>0.65435572349040816</v>
      </c>
      <c r="AR7" s="38">
        <f t="shared" ref="AR7:AR36" si="38">Y7+AO7</f>
        <v>60835.451612903242</v>
      </c>
      <c r="AS7" s="197">
        <f>SUM(AR7-AR6-AT7)</f>
        <v>0</v>
      </c>
      <c r="AT7" s="340"/>
      <c r="AU7" s="549"/>
      <c r="AV7" s="485">
        <f>IF(AT7&gt;0,AU7,AV6)</f>
        <v>0.60399999999999998</v>
      </c>
      <c r="AW7" s="279">
        <f>-SUM('B5'!AI6)</f>
        <v>0</v>
      </c>
      <c r="AX7" s="279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38" t="e">
        <f>GEN!AF4</f>
        <v>#DIV/0!</v>
      </c>
    </row>
    <row r="8" spans="1:63">
      <c r="A8" s="425">
        <f>ELEC!C6</f>
        <v>44564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203</v>
      </c>
      <c r="AA8" s="203">
        <f t="shared" si="30"/>
        <v>2030</v>
      </c>
      <c r="AB8" s="203">
        <f t="shared" si="31"/>
        <v>203</v>
      </c>
      <c r="AC8" s="203">
        <f t="shared" si="30"/>
        <v>2030</v>
      </c>
      <c r="AD8" s="203">
        <f t="shared" si="32"/>
        <v>203</v>
      </c>
      <c r="AE8" s="203">
        <f t="shared" si="11"/>
        <v>2030</v>
      </c>
      <c r="AF8" s="203">
        <f t="shared" si="33"/>
        <v>203</v>
      </c>
      <c r="AG8" s="203">
        <f t="shared" si="12"/>
        <v>2030</v>
      </c>
      <c r="AH8" s="203">
        <f t="shared" si="34"/>
        <v>203</v>
      </c>
      <c r="AI8" s="203">
        <f t="shared" si="13"/>
        <v>2030</v>
      </c>
      <c r="AJ8" s="203">
        <f t="shared" si="35"/>
        <v>203</v>
      </c>
      <c r="AK8" s="203">
        <f t="shared" si="14"/>
        <v>2030</v>
      </c>
      <c r="AL8" s="203">
        <f t="shared" si="36"/>
        <v>203</v>
      </c>
      <c r="AM8" s="203">
        <f t="shared" si="15"/>
        <v>2030</v>
      </c>
      <c r="AN8" s="35">
        <f t="shared" si="16"/>
        <v>0.72499999999999998</v>
      </c>
      <c r="AO8" s="36">
        <f t="shared" ref="AO8:AO29" si="41">SUM(AA8+AC8+AE8+AG8+AI8+AK8+AM8)</f>
        <v>14210</v>
      </c>
      <c r="AQ8" s="223">
        <f t="shared" si="37"/>
        <v>0.65435572349040816</v>
      </c>
      <c r="AR8" s="38">
        <f t="shared" si="38"/>
        <v>60835.451612903242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0.60399999999999998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44565</v>
      </c>
      <c r="B9">
        <f>'B5'!B8</f>
        <v>188</v>
      </c>
      <c r="C9" s="203">
        <f t="shared" si="18"/>
        <v>4045.0322580645161</v>
      </c>
      <c r="D9">
        <f t="shared" si="19"/>
        <v>188</v>
      </c>
      <c r="E9" s="203">
        <f t="shared" si="18"/>
        <v>4045.0322580645161</v>
      </c>
      <c r="F9">
        <f t="shared" si="20"/>
        <v>188</v>
      </c>
      <c r="G9" s="203">
        <f t="shared" si="1"/>
        <v>4045.0322580645161</v>
      </c>
      <c r="H9" s="203">
        <f t="shared" si="21"/>
        <v>188</v>
      </c>
      <c r="I9" s="203">
        <f t="shared" si="2"/>
        <v>4045.0322580645161</v>
      </c>
      <c r="J9" s="203">
        <f t="shared" si="22"/>
        <v>188</v>
      </c>
      <c r="K9" s="203">
        <f t="shared" si="3"/>
        <v>4045.0322580645161</v>
      </c>
      <c r="L9" s="203">
        <f t="shared" si="23"/>
        <v>188</v>
      </c>
      <c r="M9" s="203">
        <f t="shared" si="4"/>
        <v>4045.0322580645161</v>
      </c>
      <c r="N9" s="203">
        <f t="shared" si="24"/>
        <v>188</v>
      </c>
      <c r="O9" s="203">
        <f t="shared" si="5"/>
        <v>4045.0322580645161</v>
      </c>
      <c r="P9" s="203">
        <f t="shared" si="25"/>
        <v>188</v>
      </c>
      <c r="Q9" s="203">
        <f t="shared" si="6"/>
        <v>4045.0322580645161</v>
      </c>
      <c r="R9" s="203">
        <f t="shared" si="26"/>
        <v>188</v>
      </c>
      <c r="S9" s="203">
        <f t="shared" si="7"/>
        <v>4045.0322580645161</v>
      </c>
      <c r="T9" s="203">
        <f t="shared" si="27"/>
        <v>188</v>
      </c>
      <c r="U9" s="203">
        <f t="shared" si="8"/>
        <v>4045.0322580645161</v>
      </c>
      <c r="V9" s="203">
        <f t="shared" si="28"/>
        <v>188</v>
      </c>
      <c r="W9" s="203">
        <f t="shared" si="9"/>
        <v>4045.0322580645161</v>
      </c>
      <c r="X9" s="35">
        <f t="shared" si="10"/>
        <v>0.6064516129032258</v>
      </c>
      <c r="Y9" s="36">
        <f t="shared" si="29"/>
        <v>44495.354838709674</v>
      </c>
      <c r="Z9" s="203">
        <f>'B5'!C8</f>
        <v>195</v>
      </c>
      <c r="AA9" s="203">
        <f t="shared" si="30"/>
        <v>1950</v>
      </c>
      <c r="AB9" s="203">
        <f t="shared" si="31"/>
        <v>195</v>
      </c>
      <c r="AC9" s="203">
        <f t="shared" si="30"/>
        <v>1950</v>
      </c>
      <c r="AD9" s="203">
        <f t="shared" si="32"/>
        <v>195</v>
      </c>
      <c r="AE9" s="203">
        <f t="shared" si="11"/>
        <v>1950</v>
      </c>
      <c r="AF9" s="203">
        <f t="shared" si="33"/>
        <v>195</v>
      </c>
      <c r="AG9" s="203">
        <f t="shared" si="12"/>
        <v>1950</v>
      </c>
      <c r="AH9" s="203">
        <f t="shared" si="34"/>
        <v>195</v>
      </c>
      <c r="AI9" s="203">
        <f t="shared" si="13"/>
        <v>1950</v>
      </c>
      <c r="AJ9" s="203">
        <f t="shared" si="35"/>
        <v>195</v>
      </c>
      <c r="AK9" s="203">
        <f t="shared" si="14"/>
        <v>1950</v>
      </c>
      <c r="AL9" s="203">
        <f t="shared" si="36"/>
        <v>195</v>
      </c>
      <c r="AM9" s="203">
        <f t="shared" si="15"/>
        <v>1950</v>
      </c>
      <c r="AN9" s="35">
        <f t="shared" si="16"/>
        <v>0.6964285714285714</v>
      </c>
      <c r="AO9" s="36">
        <f>SUM(AA9+AC9+AE9+AG9+AI9+AK9+AM9)</f>
        <v>13650</v>
      </c>
      <c r="AQ9" s="223">
        <f t="shared" si="37"/>
        <v>0.62542061781983083</v>
      </c>
      <c r="AR9" s="38">
        <f t="shared" si="38"/>
        <v>58145.354838709674</v>
      </c>
      <c r="AS9" s="197">
        <f t="shared" si="42"/>
        <v>-2690.0967741935674</v>
      </c>
      <c r="AT9" s="340"/>
      <c r="AU9" s="549"/>
      <c r="AV9" s="485">
        <f t="shared" si="43"/>
        <v>0.60399999999999998</v>
      </c>
      <c r="AW9" s="279">
        <f>-SUM('B5'!AI8)</f>
        <v>0</v>
      </c>
      <c r="AX9" s="279">
        <f t="shared" si="17"/>
        <v>-2690.0967741935674</v>
      </c>
      <c r="AY9" s="37">
        <f t="shared" si="39"/>
        <v>-2690.0967741935674</v>
      </c>
      <c r="AZ9" s="100">
        <f>ELEC!A7</f>
        <v>0</v>
      </c>
      <c r="BA9" s="118">
        <f>'General information '!D8</f>
        <v>16</v>
      </c>
      <c r="BB9" s="378">
        <f>SUM('General information '!E8)</f>
        <v>0.7</v>
      </c>
      <c r="BC9" s="3">
        <f t="shared" si="44"/>
        <v>0</v>
      </c>
      <c r="BD9" s="102">
        <v>19222</v>
      </c>
      <c r="BE9" s="14">
        <f>(305/1185)*ELEC!Q8</f>
        <v>3008.5611814351464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-448.34946236559455</v>
      </c>
      <c r="BK9" s="538">
        <f>GEN!AF6</f>
        <v>0</v>
      </c>
    </row>
    <row r="10" spans="1:63">
      <c r="A10" s="425">
        <f>ELEC!C8</f>
        <v>44566</v>
      </c>
      <c r="B10">
        <f>'B5'!B9</f>
        <v>180</v>
      </c>
      <c r="C10" s="203">
        <f t="shared" si="18"/>
        <v>3872.9032258064517</v>
      </c>
      <c r="D10">
        <f t="shared" si="19"/>
        <v>180</v>
      </c>
      <c r="E10" s="203">
        <f t="shared" si="18"/>
        <v>3872.9032258064517</v>
      </c>
      <c r="F10">
        <f t="shared" si="20"/>
        <v>180</v>
      </c>
      <c r="G10" s="203">
        <f t="shared" si="1"/>
        <v>3872.9032258064517</v>
      </c>
      <c r="H10" s="203">
        <f t="shared" si="21"/>
        <v>180</v>
      </c>
      <c r="I10" s="203">
        <f t="shared" si="2"/>
        <v>3872.9032258064517</v>
      </c>
      <c r="J10" s="203">
        <f t="shared" si="22"/>
        <v>180</v>
      </c>
      <c r="K10" s="203">
        <f t="shared" si="3"/>
        <v>3872.9032258064517</v>
      </c>
      <c r="L10" s="203">
        <f t="shared" si="23"/>
        <v>180</v>
      </c>
      <c r="M10" s="203">
        <f t="shared" si="4"/>
        <v>3872.9032258064517</v>
      </c>
      <c r="N10" s="203">
        <f t="shared" si="24"/>
        <v>180</v>
      </c>
      <c r="O10" s="203">
        <f t="shared" si="5"/>
        <v>3872.9032258064517</v>
      </c>
      <c r="P10" s="203">
        <f t="shared" si="25"/>
        <v>180</v>
      </c>
      <c r="Q10" s="203">
        <f t="shared" si="6"/>
        <v>3872.9032258064517</v>
      </c>
      <c r="R10" s="203">
        <f t="shared" si="26"/>
        <v>180</v>
      </c>
      <c r="S10" s="203">
        <f t="shared" si="7"/>
        <v>3872.9032258064517</v>
      </c>
      <c r="T10" s="203">
        <f t="shared" si="27"/>
        <v>180</v>
      </c>
      <c r="U10" s="203">
        <f t="shared" si="8"/>
        <v>3872.9032258064517</v>
      </c>
      <c r="V10" s="203">
        <f t="shared" si="28"/>
        <v>180</v>
      </c>
      <c r="W10" s="203">
        <f t="shared" si="9"/>
        <v>3872.9032258064517</v>
      </c>
      <c r="X10" s="35">
        <f t="shared" si="10"/>
        <v>0.58064516129032262</v>
      </c>
      <c r="Y10" s="36">
        <f t="shared" si="29"/>
        <v>42601.93548387097</v>
      </c>
      <c r="Z10" s="203">
        <f>'B5'!C9</f>
        <v>187</v>
      </c>
      <c r="AA10" s="203">
        <f t="shared" si="30"/>
        <v>1870</v>
      </c>
      <c r="AB10" s="203">
        <f t="shared" si="31"/>
        <v>187</v>
      </c>
      <c r="AC10" s="203">
        <f t="shared" si="30"/>
        <v>1870</v>
      </c>
      <c r="AD10" s="203">
        <f t="shared" si="32"/>
        <v>187</v>
      </c>
      <c r="AE10" s="203">
        <f t="shared" si="11"/>
        <v>1870</v>
      </c>
      <c r="AF10" s="203">
        <f t="shared" si="33"/>
        <v>187</v>
      </c>
      <c r="AG10" s="203">
        <f t="shared" si="12"/>
        <v>1870</v>
      </c>
      <c r="AH10" s="203">
        <f t="shared" si="34"/>
        <v>187</v>
      </c>
      <c r="AI10" s="203">
        <f t="shared" si="13"/>
        <v>1870</v>
      </c>
      <c r="AJ10" s="203">
        <f t="shared" si="35"/>
        <v>187</v>
      </c>
      <c r="AK10" s="203">
        <f t="shared" si="14"/>
        <v>1870</v>
      </c>
      <c r="AL10" s="203">
        <f t="shared" si="36"/>
        <v>187</v>
      </c>
      <c r="AM10" s="203">
        <f t="shared" si="15"/>
        <v>1870</v>
      </c>
      <c r="AN10" s="35">
        <f t="shared" si="16"/>
        <v>0.66785714285714282</v>
      </c>
      <c r="AO10" s="36">
        <f t="shared" si="41"/>
        <v>13090</v>
      </c>
      <c r="AQ10" s="223">
        <f t="shared" si="37"/>
        <v>0.5990312518432932</v>
      </c>
      <c r="AR10" s="38">
        <f t="shared" si="38"/>
        <v>55691.93548387097</v>
      </c>
      <c r="AS10" s="197">
        <f t="shared" si="42"/>
        <v>-2453.4193548387047</v>
      </c>
      <c r="AT10" s="340"/>
      <c r="AU10" s="549"/>
      <c r="AV10" s="485">
        <f>IF(AT10&gt;0,AU10,AV9)</f>
        <v>0.60399999999999998</v>
      </c>
      <c r="AW10" s="279">
        <f>-SUM('B5'!AI9)</f>
        <v>-49</v>
      </c>
      <c r="AX10" s="279">
        <f t="shared" si="17"/>
        <v>-2404.4193548387047</v>
      </c>
      <c r="AY10" s="37">
        <f t="shared" si="39"/>
        <v>-2453.4193548387047</v>
      </c>
      <c r="AZ10" s="100">
        <f>ELEC!A8</f>
        <v>0</v>
      </c>
      <c r="BA10" s="118">
        <f>'General information '!D9</f>
        <v>17.5</v>
      </c>
      <c r="BB10" s="378">
        <f>SUM('General information '!E9)</f>
        <v>0.72</v>
      </c>
      <c r="BC10" s="3">
        <f t="shared" si="44"/>
        <v>0</v>
      </c>
      <c r="BD10" s="102">
        <v>19222</v>
      </c>
      <c r="BE10" s="14">
        <f>(305/1185)*ELEC!Q9</f>
        <v>1376.7468354426112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-343.48847926267212</v>
      </c>
      <c r="BK10" s="538">
        <f>GEN!AF7</f>
        <v>0.66414772727284799</v>
      </c>
    </row>
    <row r="11" spans="1:63">
      <c r="A11" s="425">
        <f>ELEC!C9</f>
        <v>44567</v>
      </c>
      <c r="B11">
        <f>'B5'!B10</f>
        <v>211</v>
      </c>
      <c r="C11" s="203">
        <f t="shared" si="18"/>
        <v>4539.9032258064517</v>
      </c>
      <c r="D11">
        <f>SUM(B11)</f>
        <v>211</v>
      </c>
      <c r="E11" s="203">
        <f t="shared" si="18"/>
        <v>4539.9032258064517</v>
      </c>
      <c r="F11">
        <f>SUM(D11)</f>
        <v>211</v>
      </c>
      <c r="G11" s="203">
        <f t="shared" si="1"/>
        <v>4539.9032258064517</v>
      </c>
      <c r="H11" s="203">
        <f>SUM(F11)</f>
        <v>211</v>
      </c>
      <c r="I11" s="203">
        <f t="shared" si="2"/>
        <v>4539.9032258064517</v>
      </c>
      <c r="J11" s="203">
        <f>SUM(H11)</f>
        <v>211</v>
      </c>
      <c r="K11" s="203">
        <f t="shared" si="3"/>
        <v>4539.9032258064517</v>
      </c>
      <c r="L11" s="203">
        <f>SUM(J11)</f>
        <v>211</v>
      </c>
      <c r="M11" s="203">
        <f t="shared" si="4"/>
        <v>4539.9032258064517</v>
      </c>
      <c r="N11" s="203">
        <f>SUM(L11)</f>
        <v>211</v>
      </c>
      <c r="O11" s="203">
        <f t="shared" si="5"/>
        <v>4539.9032258064517</v>
      </c>
      <c r="P11" s="203">
        <f>SUM(N11)</f>
        <v>211</v>
      </c>
      <c r="Q11" s="203">
        <f t="shared" si="6"/>
        <v>4539.9032258064517</v>
      </c>
      <c r="R11" s="203">
        <f>SUM(P11)</f>
        <v>211</v>
      </c>
      <c r="S11" s="203">
        <f t="shared" si="7"/>
        <v>4539.9032258064517</v>
      </c>
      <c r="T11" s="203">
        <f>SUM(R11)</f>
        <v>211</v>
      </c>
      <c r="U11" s="203">
        <f t="shared" si="8"/>
        <v>4539.9032258064517</v>
      </c>
      <c r="V11" s="203">
        <f>SUM(T11)</f>
        <v>211</v>
      </c>
      <c r="W11" s="203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3">
        <f>'B5'!C10</f>
        <v>218</v>
      </c>
      <c r="AA11" s="203">
        <f t="shared" si="30"/>
        <v>2180</v>
      </c>
      <c r="AB11" s="203">
        <f>SUM(Z11)</f>
        <v>218</v>
      </c>
      <c r="AC11" s="203">
        <f t="shared" si="30"/>
        <v>2180</v>
      </c>
      <c r="AD11" s="203">
        <f>SUM(AB11)</f>
        <v>218</v>
      </c>
      <c r="AE11" s="203">
        <f t="shared" si="11"/>
        <v>2180</v>
      </c>
      <c r="AF11" s="203">
        <f>SUM(AD11)</f>
        <v>218</v>
      </c>
      <c r="AG11" s="203">
        <f t="shared" si="12"/>
        <v>2180</v>
      </c>
      <c r="AH11" s="203">
        <f>SUM(AF11)</f>
        <v>218</v>
      </c>
      <c r="AI11" s="203">
        <f t="shared" si="13"/>
        <v>2180</v>
      </c>
      <c r="AJ11" s="203">
        <f>SUM(AH11)</f>
        <v>218</v>
      </c>
      <c r="AK11" s="203">
        <f t="shared" si="14"/>
        <v>2180</v>
      </c>
      <c r="AL11" s="203">
        <f>SUM(AJ11)</f>
        <v>218</v>
      </c>
      <c r="AM11" s="203">
        <f t="shared" si="15"/>
        <v>2180</v>
      </c>
      <c r="AN11" s="35">
        <f>SUM(AO11/19600)</f>
        <v>0.77857142857142858</v>
      </c>
      <c r="AO11" s="36">
        <f t="shared" si="41"/>
        <v>15260</v>
      </c>
      <c r="AP11" s="525"/>
      <c r="AQ11" s="223">
        <f t="shared" si="37"/>
        <v>0.70129004500237691</v>
      </c>
      <c r="AR11" s="38">
        <f t="shared" si="38"/>
        <v>65198.935483870977</v>
      </c>
      <c r="AS11" s="197">
        <f t="shared" si="42"/>
        <v>-492.99999999999272</v>
      </c>
      <c r="AT11" s="340">
        <v>10000</v>
      </c>
      <c r="AU11" s="549">
        <v>0.622</v>
      </c>
      <c r="AV11" s="485">
        <f>IF(AT11&gt;0,AU11,AV10)</f>
        <v>0.622</v>
      </c>
      <c r="AW11" s="279">
        <f>-SUM('B5'!AI10)</f>
        <v>-261</v>
      </c>
      <c r="AX11" s="279">
        <f t="shared" si="17"/>
        <v>-231.99999999999272</v>
      </c>
      <c r="AY11" s="37">
        <f t="shared" si="39"/>
        <v>-492.99999999999272</v>
      </c>
      <c r="AZ11" s="100">
        <f>ELEC!A9</f>
        <v>0</v>
      </c>
      <c r="BA11" s="118">
        <f>'General information '!D10</f>
        <v>18</v>
      </c>
      <c r="BB11" s="378">
        <f>SUM('General information '!E10)</f>
        <v>0.6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-24.946236559140953</v>
      </c>
      <c r="BK11" s="538">
        <f>GEN!AF8</f>
        <v>0.33431249999989632</v>
      </c>
    </row>
    <row r="12" spans="1:63">
      <c r="A12" s="425">
        <f>ELEC!C10</f>
        <v>44568</v>
      </c>
      <c r="B12">
        <f>'B5'!B11</f>
        <v>211</v>
      </c>
      <c r="C12" s="203">
        <f t="shared" si="18"/>
        <v>4539.9032258064517</v>
      </c>
      <c r="D12">
        <f t="shared" si="19"/>
        <v>211</v>
      </c>
      <c r="E12" s="203">
        <f t="shared" si="18"/>
        <v>4539.9032258064517</v>
      </c>
      <c r="F12">
        <f t="shared" si="20"/>
        <v>211</v>
      </c>
      <c r="G12" s="203">
        <f t="shared" si="1"/>
        <v>4539.9032258064517</v>
      </c>
      <c r="H12" s="203">
        <f t="shared" si="21"/>
        <v>211</v>
      </c>
      <c r="I12" s="203">
        <f t="shared" si="2"/>
        <v>4539.9032258064517</v>
      </c>
      <c r="J12" s="203">
        <f t="shared" si="22"/>
        <v>211</v>
      </c>
      <c r="K12" s="203">
        <f t="shared" si="3"/>
        <v>4539.9032258064517</v>
      </c>
      <c r="L12" s="203">
        <f t="shared" si="23"/>
        <v>211</v>
      </c>
      <c r="M12" s="203">
        <f t="shared" si="4"/>
        <v>4539.9032258064517</v>
      </c>
      <c r="N12" s="203">
        <f t="shared" si="24"/>
        <v>211</v>
      </c>
      <c r="O12" s="203">
        <f t="shared" si="5"/>
        <v>4539.9032258064517</v>
      </c>
      <c r="P12" s="203">
        <f t="shared" si="25"/>
        <v>211</v>
      </c>
      <c r="Q12" s="203">
        <f t="shared" si="6"/>
        <v>4539.9032258064517</v>
      </c>
      <c r="R12" s="203">
        <f t="shared" si="26"/>
        <v>211</v>
      </c>
      <c r="S12" s="203">
        <f t="shared" si="7"/>
        <v>4539.9032258064517</v>
      </c>
      <c r="T12" s="203">
        <f t="shared" si="27"/>
        <v>211</v>
      </c>
      <c r="U12" s="203">
        <f t="shared" si="8"/>
        <v>4539.9032258064517</v>
      </c>
      <c r="V12" s="203">
        <f t="shared" si="28"/>
        <v>211</v>
      </c>
      <c r="W12" s="203">
        <f t="shared" si="9"/>
        <v>4539.9032258064517</v>
      </c>
      <c r="X12" s="35">
        <f t="shared" si="10"/>
        <v>0.68064516129032271</v>
      </c>
      <c r="Y12" s="36">
        <f t="shared" si="29"/>
        <v>49938.935483870977</v>
      </c>
      <c r="Z12" s="203">
        <f>'B5'!C11</f>
        <v>218</v>
      </c>
      <c r="AA12" s="203">
        <f t="shared" si="30"/>
        <v>2180</v>
      </c>
      <c r="AB12" s="203">
        <f t="shared" si="31"/>
        <v>218</v>
      </c>
      <c r="AC12" s="203">
        <f t="shared" si="30"/>
        <v>2180</v>
      </c>
      <c r="AD12" s="203">
        <f t="shared" si="32"/>
        <v>218</v>
      </c>
      <c r="AE12" s="203">
        <f t="shared" si="11"/>
        <v>2180</v>
      </c>
      <c r="AF12" s="203">
        <f t="shared" si="33"/>
        <v>218</v>
      </c>
      <c r="AG12" s="203">
        <f t="shared" si="12"/>
        <v>2180</v>
      </c>
      <c r="AH12" s="203">
        <f t="shared" si="34"/>
        <v>218</v>
      </c>
      <c r="AI12" s="203">
        <f t="shared" si="13"/>
        <v>2180</v>
      </c>
      <c r="AJ12" s="203">
        <f t="shared" si="35"/>
        <v>218</v>
      </c>
      <c r="AK12" s="203">
        <f t="shared" si="14"/>
        <v>2180</v>
      </c>
      <c r="AL12" s="203">
        <f t="shared" si="36"/>
        <v>218</v>
      </c>
      <c r="AM12" s="203">
        <f t="shared" si="15"/>
        <v>2180</v>
      </c>
      <c r="AN12" s="35">
        <f t="shared" si="16"/>
        <v>0.77857142857142858</v>
      </c>
      <c r="AO12" s="36">
        <f t="shared" si="41"/>
        <v>15260</v>
      </c>
      <c r="AP12" s="525"/>
      <c r="AQ12" s="223">
        <f t="shared" si="37"/>
        <v>0.70129004500237691</v>
      </c>
      <c r="AR12" s="38">
        <f t="shared" si="38"/>
        <v>65198.935483870977</v>
      </c>
      <c r="AS12" s="197">
        <f t="shared" si="42"/>
        <v>0</v>
      </c>
      <c r="AT12" s="340"/>
      <c r="AU12" s="549"/>
      <c r="AV12" s="485">
        <f t="shared" si="43"/>
        <v>0.622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44569</v>
      </c>
      <c r="B13">
        <f>'B5'!B12</f>
        <v>211</v>
      </c>
      <c r="C13" s="203">
        <f t="shared" si="18"/>
        <v>4539.9032258064517</v>
      </c>
      <c r="D13">
        <f t="shared" si="19"/>
        <v>211</v>
      </c>
      <c r="E13" s="203">
        <f t="shared" si="18"/>
        <v>4539.9032258064517</v>
      </c>
      <c r="F13">
        <f t="shared" si="20"/>
        <v>211</v>
      </c>
      <c r="G13" s="203">
        <f t="shared" si="1"/>
        <v>4539.9032258064517</v>
      </c>
      <c r="H13" s="203">
        <f t="shared" si="21"/>
        <v>211</v>
      </c>
      <c r="I13" s="203">
        <f t="shared" si="2"/>
        <v>4539.9032258064517</v>
      </c>
      <c r="J13" s="203">
        <f t="shared" si="22"/>
        <v>211</v>
      </c>
      <c r="K13" s="203">
        <f t="shared" si="3"/>
        <v>4539.9032258064517</v>
      </c>
      <c r="L13" s="203">
        <f t="shared" si="23"/>
        <v>211</v>
      </c>
      <c r="M13" s="203">
        <f t="shared" si="4"/>
        <v>4539.9032258064517</v>
      </c>
      <c r="N13" s="203">
        <f t="shared" si="24"/>
        <v>211</v>
      </c>
      <c r="O13" s="203">
        <f t="shared" si="5"/>
        <v>4539.9032258064517</v>
      </c>
      <c r="P13" s="203">
        <f t="shared" si="25"/>
        <v>211</v>
      </c>
      <c r="Q13" s="203">
        <f t="shared" si="6"/>
        <v>4539.9032258064517</v>
      </c>
      <c r="R13" s="203">
        <f t="shared" si="26"/>
        <v>211</v>
      </c>
      <c r="S13" s="203">
        <f t="shared" si="7"/>
        <v>4539.9032258064517</v>
      </c>
      <c r="T13" s="203">
        <f t="shared" si="27"/>
        <v>211</v>
      </c>
      <c r="U13" s="203">
        <f t="shared" si="8"/>
        <v>4539.9032258064517</v>
      </c>
      <c r="V13" s="203">
        <f t="shared" si="28"/>
        <v>211</v>
      </c>
      <c r="W13" s="203">
        <f t="shared" si="9"/>
        <v>4539.9032258064517</v>
      </c>
      <c r="X13" s="35">
        <f t="shared" si="10"/>
        <v>0.68064516129032271</v>
      </c>
      <c r="Y13" s="36">
        <f t="shared" si="29"/>
        <v>49938.935483870977</v>
      </c>
      <c r="Z13" s="203">
        <f>'B5'!C12</f>
        <v>218</v>
      </c>
      <c r="AA13" s="203">
        <f t="shared" si="30"/>
        <v>2180</v>
      </c>
      <c r="AB13" s="203">
        <f t="shared" si="31"/>
        <v>218</v>
      </c>
      <c r="AC13" s="203">
        <f t="shared" si="30"/>
        <v>2180</v>
      </c>
      <c r="AD13" s="203">
        <f t="shared" si="32"/>
        <v>218</v>
      </c>
      <c r="AE13" s="203">
        <f t="shared" si="11"/>
        <v>2180</v>
      </c>
      <c r="AF13" s="203">
        <f t="shared" si="33"/>
        <v>218</v>
      </c>
      <c r="AG13" s="203">
        <f t="shared" si="12"/>
        <v>2180</v>
      </c>
      <c r="AH13" s="203">
        <f t="shared" si="34"/>
        <v>218</v>
      </c>
      <c r="AI13" s="203">
        <f t="shared" si="13"/>
        <v>2180</v>
      </c>
      <c r="AJ13" s="203">
        <f t="shared" si="35"/>
        <v>218</v>
      </c>
      <c r="AK13" s="203">
        <f t="shared" si="14"/>
        <v>2180</v>
      </c>
      <c r="AL13" s="203">
        <f t="shared" si="36"/>
        <v>218</v>
      </c>
      <c r="AM13" s="203">
        <f t="shared" si="15"/>
        <v>2180</v>
      </c>
      <c r="AN13" s="35">
        <f t="shared" si="16"/>
        <v>0.77857142857142858</v>
      </c>
      <c r="AO13" s="36">
        <f t="shared" si="41"/>
        <v>15260</v>
      </c>
      <c r="AP13" s="525"/>
      <c r="AQ13" s="223">
        <f t="shared" si="37"/>
        <v>0.70129004500237691</v>
      </c>
      <c r="AR13" s="38">
        <f t="shared" si="38"/>
        <v>65198.935483870977</v>
      </c>
      <c r="AS13" s="197">
        <f t="shared" si="42"/>
        <v>0</v>
      </c>
      <c r="AT13" s="340"/>
      <c r="AU13" s="549"/>
      <c r="AV13" s="485">
        <f t="shared" si="43"/>
        <v>0.622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1406.6033755274636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44570</v>
      </c>
      <c r="B14">
        <f>'B5'!B13</f>
        <v>204</v>
      </c>
      <c r="C14" s="203">
        <f t="shared" si="18"/>
        <v>4389.2903225806449</v>
      </c>
      <c r="D14">
        <f t="shared" si="19"/>
        <v>204</v>
      </c>
      <c r="E14" s="203">
        <f t="shared" si="18"/>
        <v>4389.2903225806449</v>
      </c>
      <c r="F14">
        <f t="shared" si="20"/>
        <v>204</v>
      </c>
      <c r="G14" s="203">
        <f t="shared" si="1"/>
        <v>4389.2903225806449</v>
      </c>
      <c r="H14" s="203">
        <f t="shared" si="21"/>
        <v>204</v>
      </c>
      <c r="I14" s="203">
        <f t="shared" si="2"/>
        <v>4389.2903225806449</v>
      </c>
      <c r="J14" s="203">
        <f t="shared" si="22"/>
        <v>204</v>
      </c>
      <c r="K14" s="203">
        <f t="shared" si="3"/>
        <v>4389.2903225806449</v>
      </c>
      <c r="L14" s="203">
        <f t="shared" si="23"/>
        <v>204</v>
      </c>
      <c r="M14" s="203">
        <f t="shared" si="4"/>
        <v>4389.2903225806449</v>
      </c>
      <c r="N14" s="203">
        <f t="shared" si="24"/>
        <v>204</v>
      </c>
      <c r="O14" s="203">
        <f t="shared" si="5"/>
        <v>4389.2903225806449</v>
      </c>
      <c r="P14" s="203">
        <f t="shared" si="25"/>
        <v>204</v>
      </c>
      <c r="Q14" s="203">
        <f t="shared" si="6"/>
        <v>4389.2903225806449</v>
      </c>
      <c r="R14" s="203">
        <f t="shared" si="26"/>
        <v>204</v>
      </c>
      <c r="S14" s="203">
        <f t="shared" si="7"/>
        <v>4389.2903225806449</v>
      </c>
      <c r="T14" s="203">
        <f t="shared" si="27"/>
        <v>204</v>
      </c>
      <c r="U14" s="203">
        <f t="shared" si="8"/>
        <v>4389.2903225806449</v>
      </c>
      <c r="V14" s="203">
        <f t="shared" si="28"/>
        <v>204</v>
      </c>
      <c r="W14" s="203">
        <f t="shared" si="9"/>
        <v>4389.2903225806449</v>
      </c>
      <c r="X14" s="35">
        <f t="shared" si="10"/>
        <v>0.65806451612903216</v>
      </c>
      <c r="Y14" s="36">
        <f t="shared" si="29"/>
        <v>48282.193548387091</v>
      </c>
      <c r="Z14" s="203">
        <f>'B5'!C13</f>
        <v>210.5</v>
      </c>
      <c r="AA14" s="203">
        <f t="shared" si="30"/>
        <v>2105</v>
      </c>
      <c r="AB14" s="203">
        <f t="shared" si="31"/>
        <v>210.5</v>
      </c>
      <c r="AC14" s="203">
        <f t="shared" si="30"/>
        <v>2105</v>
      </c>
      <c r="AD14" s="203">
        <f t="shared" si="32"/>
        <v>210.5</v>
      </c>
      <c r="AE14" s="203">
        <f t="shared" si="11"/>
        <v>2105</v>
      </c>
      <c r="AF14" s="203">
        <f t="shared" si="33"/>
        <v>210.5</v>
      </c>
      <c r="AG14" s="203">
        <f t="shared" si="12"/>
        <v>2105</v>
      </c>
      <c r="AH14" s="203">
        <f t="shared" si="34"/>
        <v>210.5</v>
      </c>
      <c r="AI14" s="203">
        <f t="shared" si="13"/>
        <v>2105</v>
      </c>
      <c r="AJ14" s="203">
        <f t="shared" si="35"/>
        <v>210.5</v>
      </c>
      <c r="AK14" s="203">
        <f t="shared" si="14"/>
        <v>2105</v>
      </c>
      <c r="AL14" s="203">
        <f t="shared" si="36"/>
        <v>210.5</v>
      </c>
      <c r="AM14" s="203">
        <f t="shared" si="15"/>
        <v>2105</v>
      </c>
      <c r="AN14" s="35">
        <f t="shared" si="16"/>
        <v>0.75178571428571428</v>
      </c>
      <c r="AO14" s="36">
        <f t="shared" si="41"/>
        <v>14735</v>
      </c>
      <c r="AQ14" s="223">
        <f t="shared" si="37"/>
        <v>0.67782288424639225</v>
      </c>
      <c r="AR14" s="38">
        <f t="shared" si="38"/>
        <v>63017.193548387091</v>
      </c>
      <c r="AS14" s="197">
        <f t="shared" si="42"/>
        <v>-2181.7419354838858</v>
      </c>
      <c r="AT14" s="340"/>
      <c r="AU14" s="549"/>
      <c r="AV14" s="485">
        <f t="shared" si="43"/>
        <v>0.622</v>
      </c>
      <c r="AW14" s="279">
        <f>-SUM('B5'!AI13)</f>
        <v>-221</v>
      </c>
      <c r="AX14" s="279">
        <f t="shared" si="17"/>
        <v>-1960.7419354838858</v>
      </c>
      <c r="AY14" s="37">
        <f t="shared" si="39"/>
        <v>-2181.7419354838858</v>
      </c>
      <c r="AZ14" s="100">
        <f>ELEC!A12</f>
        <v>0</v>
      </c>
      <c r="BA14" s="118">
        <f>'General information '!D13</f>
        <v>18.5</v>
      </c>
      <c r="BB14" s="378">
        <f>SUM('General information '!E13)</f>
        <v>0.5</v>
      </c>
      <c r="BC14" s="3">
        <f t="shared" si="44"/>
        <v>0</v>
      </c>
      <c r="BD14" s="102">
        <v>19222</v>
      </c>
      <c r="BE14" s="14">
        <f>(305/1185)*ELEC!Q13</f>
        <v>1237.5021097048736</v>
      </c>
      <c r="BF14" s="14"/>
      <c r="BG14" s="14" t="e">
        <f>#REF!-BE14</f>
        <v>#REF!</v>
      </c>
      <c r="BH14" s="11"/>
      <c r="BI14">
        <v>3</v>
      </c>
      <c r="BJ14">
        <f t="shared" si="40"/>
        <v>-653.58064516129525</v>
      </c>
      <c r="BK14" s="538">
        <f>GEN!AF11</f>
        <v>0.31051136363637188</v>
      </c>
    </row>
    <row r="15" spans="1:63" ht="13.5" customHeight="1">
      <c r="A15" s="425">
        <f>ELEC!C13</f>
        <v>44571</v>
      </c>
      <c r="B15">
        <f>'B5'!B14</f>
        <v>197</v>
      </c>
      <c r="C15" s="203">
        <f>B15*$B$4</f>
        <v>4238.677419354839</v>
      </c>
      <c r="D15">
        <f t="shared" si="19"/>
        <v>197</v>
      </c>
      <c r="E15" s="203">
        <f t="shared" si="18"/>
        <v>4238.677419354839</v>
      </c>
      <c r="F15">
        <f t="shared" si="20"/>
        <v>197</v>
      </c>
      <c r="G15" s="203">
        <f t="shared" si="1"/>
        <v>4238.677419354839</v>
      </c>
      <c r="H15" s="203">
        <f t="shared" si="21"/>
        <v>197</v>
      </c>
      <c r="I15" s="203">
        <f t="shared" si="2"/>
        <v>4238.677419354839</v>
      </c>
      <c r="J15" s="203">
        <f t="shared" si="22"/>
        <v>197</v>
      </c>
      <c r="K15" s="203">
        <f t="shared" si="3"/>
        <v>4238.677419354839</v>
      </c>
      <c r="L15" s="203">
        <f t="shared" si="23"/>
        <v>197</v>
      </c>
      <c r="M15" s="203">
        <f t="shared" si="4"/>
        <v>4238.677419354839</v>
      </c>
      <c r="N15" s="203">
        <f t="shared" si="24"/>
        <v>197</v>
      </c>
      <c r="O15" s="203">
        <f t="shared" si="5"/>
        <v>4238.677419354839</v>
      </c>
      <c r="P15" s="203">
        <f t="shared" si="25"/>
        <v>197</v>
      </c>
      <c r="Q15" s="203">
        <f t="shared" si="6"/>
        <v>4238.677419354839</v>
      </c>
      <c r="R15" s="203">
        <f t="shared" si="26"/>
        <v>197</v>
      </c>
      <c r="S15" s="203">
        <f t="shared" si="7"/>
        <v>4238.677419354839</v>
      </c>
      <c r="T15" s="203">
        <f t="shared" si="27"/>
        <v>197</v>
      </c>
      <c r="U15" s="203">
        <f t="shared" si="8"/>
        <v>4238.677419354839</v>
      </c>
      <c r="V15" s="203">
        <f t="shared" si="28"/>
        <v>197</v>
      </c>
      <c r="W15" s="203">
        <f t="shared" si="9"/>
        <v>4238.677419354839</v>
      </c>
      <c r="X15" s="35">
        <f t="shared" si="10"/>
        <v>0.63548387096774217</v>
      </c>
      <c r="Y15" s="36">
        <f t="shared" si="29"/>
        <v>46625.451612903242</v>
      </c>
      <c r="Z15" s="203">
        <f>'B5'!C14</f>
        <v>204</v>
      </c>
      <c r="AA15" s="203">
        <f t="shared" si="30"/>
        <v>2040</v>
      </c>
      <c r="AB15" s="203">
        <f t="shared" si="31"/>
        <v>204</v>
      </c>
      <c r="AC15" s="203">
        <f t="shared" si="30"/>
        <v>2040</v>
      </c>
      <c r="AD15" s="203">
        <f t="shared" si="32"/>
        <v>204</v>
      </c>
      <c r="AE15" s="203">
        <f t="shared" si="11"/>
        <v>2040</v>
      </c>
      <c r="AF15" s="203">
        <f t="shared" si="33"/>
        <v>204</v>
      </c>
      <c r="AG15" s="203">
        <f t="shared" si="12"/>
        <v>2040</v>
      </c>
      <c r="AH15" s="203">
        <f t="shared" si="34"/>
        <v>204</v>
      </c>
      <c r="AI15" s="203">
        <f t="shared" si="13"/>
        <v>2040</v>
      </c>
      <c r="AJ15" s="203">
        <f t="shared" si="35"/>
        <v>204</v>
      </c>
      <c r="AK15" s="203">
        <f t="shared" si="14"/>
        <v>2040</v>
      </c>
      <c r="AL15" s="203">
        <f t="shared" si="36"/>
        <v>204</v>
      </c>
      <c r="AM15" s="203">
        <f t="shared" si="15"/>
        <v>2040</v>
      </c>
      <c r="AN15" s="35">
        <f t="shared" si="16"/>
        <v>0.72857142857142854</v>
      </c>
      <c r="AO15" s="36">
        <f t="shared" si="41"/>
        <v>14280</v>
      </c>
      <c r="AQ15" s="223">
        <f t="shared" si="37"/>
        <v>0.65510865454343592</v>
      </c>
      <c r="AR15" s="38">
        <f t="shared" si="38"/>
        <v>60905.451612903242</v>
      </c>
      <c r="AS15" s="197">
        <f t="shared" si="42"/>
        <v>-2111.7419354838494</v>
      </c>
      <c r="AT15" s="340"/>
      <c r="AU15" s="549"/>
      <c r="AV15" s="485">
        <f>IF(AT15&gt;0,AU15,AV14)</f>
        <v>0.622</v>
      </c>
      <c r="AW15" s="279">
        <f>-SUM('B5'!AI14)</f>
        <v>-395</v>
      </c>
      <c r="AX15" s="279">
        <f t="shared" si="17"/>
        <v>-1716.7419354838494</v>
      </c>
      <c r="AY15" s="37">
        <f t="shared" si="39"/>
        <v>-2111.7419354838494</v>
      </c>
      <c r="AZ15" s="100">
        <f>ELEC!A13</f>
        <v>0</v>
      </c>
      <c r="BA15" s="118">
        <f>'General information '!D14</f>
        <v>16</v>
      </c>
      <c r="BB15" s="378">
        <f>SUM('General information '!E14)</f>
        <v>0.47</v>
      </c>
      <c r="BC15" s="3">
        <f t="shared" si="44"/>
        <v>0</v>
      </c>
      <c r="BD15" s="102">
        <v>19222</v>
      </c>
      <c r="BE15" s="14">
        <f>(305/1185)*ELEC!Q14</f>
        <v>1217.1687763711434</v>
      </c>
      <c r="BF15" s="14"/>
      <c r="BG15" s="14" t="e">
        <f>#REF!-BE15</f>
        <v>#REF!</v>
      </c>
      <c r="BH15" s="11"/>
      <c r="BI15">
        <v>4</v>
      </c>
      <c r="BJ15">
        <f t="shared" si="40"/>
        <v>-429.18548387096234</v>
      </c>
      <c r="BK15" s="538">
        <f>GEN!AF12</f>
        <v>0.30050000000005639</v>
      </c>
    </row>
    <row r="16" spans="1:63">
      <c r="A16" s="425">
        <f>ELEC!C14</f>
        <v>44572</v>
      </c>
      <c r="B16">
        <f>'B5'!B15</f>
        <v>190</v>
      </c>
      <c r="C16" s="203">
        <f t="shared" si="18"/>
        <v>4088.0645161290322</v>
      </c>
      <c r="D16">
        <f t="shared" si="19"/>
        <v>190</v>
      </c>
      <c r="E16" s="203">
        <f t="shared" si="18"/>
        <v>4088.0645161290322</v>
      </c>
      <c r="F16">
        <f t="shared" si="20"/>
        <v>190</v>
      </c>
      <c r="G16" s="203">
        <f t="shared" si="1"/>
        <v>4088.0645161290322</v>
      </c>
      <c r="H16" s="203">
        <f t="shared" si="21"/>
        <v>190</v>
      </c>
      <c r="I16" s="203">
        <f t="shared" si="2"/>
        <v>4088.0645161290322</v>
      </c>
      <c r="J16" s="203">
        <f t="shared" si="22"/>
        <v>190</v>
      </c>
      <c r="K16" s="203">
        <f t="shared" si="3"/>
        <v>4088.0645161290322</v>
      </c>
      <c r="L16" s="203">
        <f t="shared" si="23"/>
        <v>190</v>
      </c>
      <c r="M16" s="203">
        <f t="shared" si="4"/>
        <v>4088.0645161290322</v>
      </c>
      <c r="N16" s="203">
        <f t="shared" si="24"/>
        <v>190</v>
      </c>
      <c r="O16" s="203">
        <f t="shared" si="5"/>
        <v>4088.0645161290322</v>
      </c>
      <c r="P16" s="203">
        <f t="shared" si="25"/>
        <v>190</v>
      </c>
      <c r="Q16" s="203">
        <f t="shared" si="6"/>
        <v>4088.0645161290322</v>
      </c>
      <c r="R16" s="203">
        <f t="shared" si="26"/>
        <v>190</v>
      </c>
      <c r="S16" s="203">
        <f t="shared" si="7"/>
        <v>4088.0645161290322</v>
      </c>
      <c r="T16" s="203">
        <f t="shared" si="27"/>
        <v>190</v>
      </c>
      <c r="U16" s="203">
        <f t="shared" si="8"/>
        <v>4088.0645161290322</v>
      </c>
      <c r="V16" s="203">
        <f t="shared" si="28"/>
        <v>190</v>
      </c>
      <c r="W16" s="203">
        <f t="shared" si="9"/>
        <v>4088.0645161290322</v>
      </c>
      <c r="X16" s="35">
        <f t="shared" si="10"/>
        <v>0.6129032258064514</v>
      </c>
      <c r="Y16" s="36">
        <f t="shared" si="29"/>
        <v>44968.709677419341</v>
      </c>
      <c r="Z16" s="203">
        <f>'B5'!C15</f>
        <v>197</v>
      </c>
      <c r="AA16" s="203">
        <f t="shared" si="30"/>
        <v>1970</v>
      </c>
      <c r="AB16" s="203">
        <f t="shared" si="31"/>
        <v>197</v>
      </c>
      <c r="AC16" s="203">
        <f t="shared" si="30"/>
        <v>1970</v>
      </c>
      <c r="AD16" s="203">
        <f t="shared" si="32"/>
        <v>197</v>
      </c>
      <c r="AE16" s="203">
        <f t="shared" si="11"/>
        <v>1970</v>
      </c>
      <c r="AF16" s="203">
        <f t="shared" si="33"/>
        <v>197</v>
      </c>
      <c r="AG16" s="203">
        <f t="shared" si="12"/>
        <v>1970</v>
      </c>
      <c r="AH16" s="203">
        <f t="shared" si="34"/>
        <v>197</v>
      </c>
      <c r="AI16" s="203">
        <f t="shared" si="13"/>
        <v>1970</v>
      </c>
      <c r="AJ16" s="203">
        <f t="shared" si="35"/>
        <v>197</v>
      </c>
      <c r="AK16" s="203">
        <f t="shared" si="14"/>
        <v>1970</v>
      </c>
      <c r="AL16" s="203">
        <f t="shared" si="36"/>
        <v>197</v>
      </c>
      <c r="AM16" s="203">
        <f t="shared" si="15"/>
        <v>1970</v>
      </c>
      <c r="AN16" s="35">
        <f t="shared" si="16"/>
        <v>0.70357142857142863</v>
      </c>
      <c r="AO16" s="36">
        <f t="shared" si="41"/>
        <v>13790</v>
      </c>
      <c r="AQ16" s="223">
        <f t="shared" si="37"/>
        <v>0.63201795931396521</v>
      </c>
      <c r="AR16" s="38">
        <f t="shared" si="38"/>
        <v>58758.709677419341</v>
      </c>
      <c r="AS16" s="197">
        <f t="shared" si="42"/>
        <v>-2146.7419354839003</v>
      </c>
      <c r="AT16" s="340"/>
      <c r="AU16" s="549"/>
      <c r="AV16" s="485">
        <f t="shared" ref="AV16:AV21" si="45">IF(AT16&gt;0,AU16,AV15)</f>
        <v>0.622</v>
      </c>
      <c r="AW16" s="279">
        <f>-SUM('B5'!AI15)</f>
        <v>-68</v>
      </c>
      <c r="AX16" s="279">
        <f t="shared" si="17"/>
        <v>-2078.7419354839003</v>
      </c>
      <c r="AY16" s="37">
        <f t="shared" si="39"/>
        <v>-2146.7419354839003</v>
      </c>
      <c r="AZ16" s="100">
        <f>ELEC!A14</f>
        <v>0</v>
      </c>
      <c r="BA16" s="118">
        <f>'General information '!D15</f>
        <v>16.5</v>
      </c>
      <c r="BB16" s="378">
        <f>SUM('General information '!E15)</f>
        <v>0.46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-692.9139784946334</v>
      </c>
      <c r="BK16" s="538">
        <f>GEN!AF13</f>
        <v>0.26869318181814544</v>
      </c>
    </row>
    <row r="17" spans="1:64">
      <c r="A17" s="425">
        <f>ELEC!C15</f>
        <v>44573</v>
      </c>
      <c r="B17">
        <f>'B5'!B16</f>
        <v>190</v>
      </c>
      <c r="C17" s="203">
        <f t="shared" si="18"/>
        <v>4088.0645161290322</v>
      </c>
      <c r="D17">
        <f t="shared" si="19"/>
        <v>190</v>
      </c>
      <c r="E17" s="203">
        <f t="shared" si="18"/>
        <v>4088.0645161290322</v>
      </c>
      <c r="F17">
        <f t="shared" si="20"/>
        <v>190</v>
      </c>
      <c r="G17" s="203">
        <f t="shared" si="1"/>
        <v>4088.0645161290322</v>
      </c>
      <c r="H17" s="203">
        <f t="shared" si="21"/>
        <v>190</v>
      </c>
      <c r="I17" s="203">
        <f t="shared" si="2"/>
        <v>4088.0645161290322</v>
      </c>
      <c r="J17" s="203">
        <f t="shared" si="22"/>
        <v>190</v>
      </c>
      <c r="K17" s="203">
        <f t="shared" si="3"/>
        <v>4088.0645161290322</v>
      </c>
      <c r="L17" s="203">
        <f t="shared" si="23"/>
        <v>190</v>
      </c>
      <c r="M17" s="203">
        <f t="shared" si="4"/>
        <v>4088.0645161290322</v>
      </c>
      <c r="N17" s="203">
        <f t="shared" si="24"/>
        <v>190</v>
      </c>
      <c r="O17" s="203">
        <f t="shared" si="5"/>
        <v>4088.0645161290322</v>
      </c>
      <c r="P17" s="203">
        <f t="shared" si="25"/>
        <v>190</v>
      </c>
      <c r="Q17" s="203">
        <f t="shared" si="6"/>
        <v>4088.0645161290322</v>
      </c>
      <c r="R17" s="203">
        <f t="shared" si="26"/>
        <v>190</v>
      </c>
      <c r="S17" s="203">
        <f t="shared" si="7"/>
        <v>4088.0645161290322</v>
      </c>
      <c r="T17" s="203">
        <f t="shared" si="27"/>
        <v>190</v>
      </c>
      <c r="U17" s="203">
        <f t="shared" si="8"/>
        <v>4088.0645161290322</v>
      </c>
      <c r="V17" s="203">
        <f t="shared" si="28"/>
        <v>190</v>
      </c>
      <c r="W17" s="203">
        <f t="shared" si="9"/>
        <v>4088.0645161290322</v>
      </c>
      <c r="X17" s="35">
        <f t="shared" si="10"/>
        <v>0.6129032258064514</v>
      </c>
      <c r="Y17" s="36">
        <f t="shared" si="29"/>
        <v>44968.709677419341</v>
      </c>
      <c r="Z17" s="203">
        <f>'B5'!C16</f>
        <v>197</v>
      </c>
      <c r="AA17" s="203">
        <f t="shared" si="30"/>
        <v>1970</v>
      </c>
      <c r="AB17" s="203">
        <f t="shared" si="31"/>
        <v>197</v>
      </c>
      <c r="AC17" s="203">
        <f t="shared" si="30"/>
        <v>1970</v>
      </c>
      <c r="AD17" s="203">
        <f t="shared" si="32"/>
        <v>197</v>
      </c>
      <c r="AE17" s="203">
        <f t="shared" si="11"/>
        <v>1970</v>
      </c>
      <c r="AF17" s="203">
        <f t="shared" si="33"/>
        <v>197</v>
      </c>
      <c r="AG17" s="203">
        <f t="shared" si="12"/>
        <v>1970</v>
      </c>
      <c r="AH17" s="203">
        <f t="shared" si="34"/>
        <v>197</v>
      </c>
      <c r="AI17" s="203">
        <f t="shared" si="13"/>
        <v>1970</v>
      </c>
      <c r="AJ17" s="203">
        <f t="shared" si="35"/>
        <v>197</v>
      </c>
      <c r="AK17" s="203">
        <f t="shared" si="14"/>
        <v>1970</v>
      </c>
      <c r="AL17" s="203">
        <f t="shared" si="36"/>
        <v>197</v>
      </c>
      <c r="AM17" s="203">
        <f t="shared" si="15"/>
        <v>1970</v>
      </c>
      <c r="AN17" s="35">
        <f t="shared" si="16"/>
        <v>0.70357142857142863</v>
      </c>
      <c r="AO17" s="36">
        <f>SUM(AA17+AC17+AE17+AG17+AI17+AK17+AM17)</f>
        <v>13790</v>
      </c>
      <c r="AQ17" s="223">
        <f t="shared" si="37"/>
        <v>0.63201795931396521</v>
      </c>
      <c r="AR17" s="38">
        <f t="shared" si="38"/>
        <v>58758.709677419341</v>
      </c>
      <c r="AS17" s="197">
        <f t="shared" si="42"/>
        <v>0</v>
      </c>
      <c r="AU17" s="3"/>
      <c r="AV17" s="485">
        <f t="shared" si="45"/>
        <v>0.622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1586.0000000000675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44574</v>
      </c>
      <c r="B18">
        <f>'B5'!B17</f>
        <v>183</v>
      </c>
      <c r="C18" s="203">
        <f t="shared" si="18"/>
        <v>3937.4516129032259</v>
      </c>
      <c r="D18">
        <f t="shared" si="19"/>
        <v>183</v>
      </c>
      <c r="E18" s="203">
        <f t="shared" si="18"/>
        <v>3937.4516129032259</v>
      </c>
      <c r="F18">
        <f t="shared" si="20"/>
        <v>183</v>
      </c>
      <c r="G18" s="203">
        <f t="shared" si="1"/>
        <v>3937.4516129032259</v>
      </c>
      <c r="H18" s="203">
        <f t="shared" si="21"/>
        <v>183</v>
      </c>
      <c r="I18" s="203">
        <f t="shared" si="2"/>
        <v>3937.4516129032259</v>
      </c>
      <c r="J18" s="203">
        <f t="shared" si="22"/>
        <v>183</v>
      </c>
      <c r="K18" s="203">
        <f t="shared" si="3"/>
        <v>3937.4516129032259</v>
      </c>
      <c r="L18" s="203">
        <f t="shared" si="23"/>
        <v>183</v>
      </c>
      <c r="M18" s="203">
        <f t="shared" si="4"/>
        <v>3937.4516129032259</v>
      </c>
      <c r="N18" s="203">
        <f t="shared" si="24"/>
        <v>183</v>
      </c>
      <c r="O18" s="203">
        <f t="shared" si="5"/>
        <v>3937.4516129032259</v>
      </c>
      <c r="P18" s="203">
        <f t="shared" si="25"/>
        <v>183</v>
      </c>
      <c r="Q18" s="203">
        <f t="shared" si="6"/>
        <v>3937.4516129032259</v>
      </c>
      <c r="R18" s="203">
        <f t="shared" si="26"/>
        <v>183</v>
      </c>
      <c r="S18" s="203">
        <f t="shared" si="7"/>
        <v>3937.4516129032259</v>
      </c>
      <c r="T18" s="203">
        <f t="shared" si="27"/>
        <v>183</v>
      </c>
      <c r="U18" s="203">
        <f t="shared" si="8"/>
        <v>3937.4516129032259</v>
      </c>
      <c r="V18" s="203">
        <f t="shared" si="28"/>
        <v>183</v>
      </c>
      <c r="W18" s="203">
        <f t="shared" si="9"/>
        <v>3937.4516129032259</v>
      </c>
      <c r="X18" s="35">
        <f t="shared" si="10"/>
        <v>0.59032258064516141</v>
      </c>
      <c r="Y18" s="36">
        <f t="shared" si="29"/>
        <v>43311.967741935492</v>
      </c>
      <c r="Z18" s="203">
        <f>'B5'!C17</f>
        <v>190</v>
      </c>
      <c r="AA18" s="203">
        <f t="shared" si="30"/>
        <v>1900</v>
      </c>
      <c r="AB18" s="203">
        <f t="shared" si="31"/>
        <v>190</v>
      </c>
      <c r="AC18" s="203">
        <f t="shared" si="30"/>
        <v>1900</v>
      </c>
      <c r="AD18" s="203">
        <f t="shared" si="32"/>
        <v>190</v>
      </c>
      <c r="AE18" s="203">
        <f t="shared" si="11"/>
        <v>1900</v>
      </c>
      <c r="AF18" s="203">
        <f t="shared" si="33"/>
        <v>190</v>
      </c>
      <c r="AG18" s="203">
        <f t="shared" si="12"/>
        <v>1900</v>
      </c>
      <c r="AH18" s="203">
        <f t="shared" si="34"/>
        <v>190</v>
      </c>
      <c r="AI18" s="203">
        <f t="shared" si="13"/>
        <v>1900</v>
      </c>
      <c r="AJ18" s="203">
        <f t="shared" si="35"/>
        <v>190</v>
      </c>
      <c r="AK18" s="203">
        <f t="shared" si="14"/>
        <v>1900</v>
      </c>
      <c r="AL18" s="203">
        <f t="shared" si="36"/>
        <v>190</v>
      </c>
      <c r="AM18" s="203">
        <f t="shared" si="15"/>
        <v>1900</v>
      </c>
      <c r="AN18" s="35">
        <f t="shared" si="16"/>
        <v>0.6785714285714286</v>
      </c>
      <c r="AO18" s="36">
        <f t="shared" si="41"/>
        <v>13300</v>
      </c>
      <c r="AQ18" s="223">
        <f t="shared" si="37"/>
        <v>0.60892726408449493</v>
      </c>
      <c r="AR18" s="38">
        <f t="shared" si="38"/>
        <v>56611.967741935492</v>
      </c>
      <c r="AS18" s="197">
        <f>SUM(AR18-AR17-AT18)</f>
        <v>-2146.7419354838494</v>
      </c>
      <c r="AT18" s="340"/>
      <c r="AU18" s="549"/>
      <c r="AV18" s="485">
        <f t="shared" si="45"/>
        <v>0.622</v>
      </c>
      <c r="AW18" s="279">
        <f>-SUM('B5'!AI17)</f>
        <v>-842</v>
      </c>
      <c r="AX18" s="279">
        <f t="shared" si="17"/>
        <v>-1304.7419354838494</v>
      </c>
      <c r="AY18" s="37">
        <f t="shared" si="39"/>
        <v>-2146.7419354838494</v>
      </c>
      <c r="AZ18" s="100">
        <f>ELEC!A16</f>
        <v>0</v>
      </c>
      <c r="BA18" s="118">
        <f>'General information '!D17</f>
        <v>14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-260.94838709676986</v>
      </c>
      <c r="BK18" s="538" t="e">
        <f>GEN!AF15</f>
        <v>#DIV/0!</v>
      </c>
    </row>
    <row r="19" spans="1:64">
      <c r="A19" s="425">
        <f>ELEC!C17</f>
        <v>44575</v>
      </c>
      <c r="B19">
        <f>'B5'!B18</f>
        <v>183</v>
      </c>
      <c r="C19" s="203">
        <f t="shared" si="18"/>
        <v>3937.4516129032259</v>
      </c>
      <c r="D19">
        <f t="shared" si="19"/>
        <v>183</v>
      </c>
      <c r="E19" s="203">
        <f t="shared" si="18"/>
        <v>3937.4516129032259</v>
      </c>
      <c r="F19">
        <f t="shared" si="20"/>
        <v>183</v>
      </c>
      <c r="G19" s="203">
        <f t="shared" si="1"/>
        <v>3937.4516129032259</v>
      </c>
      <c r="H19" s="203">
        <f t="shared" si="21"/>
        <v>183</v>
      </c>
      <c r="I19" s="203">
        <f t="shared" si="2"/>
        <v>3937.4516129032259</v>
      </c>
      <c r="J19" s="203">
        <f t="shared" si="22"/>
        <v>183</v>
      </c>
      <c r="K19" s="203">
        <f t="shared" si="3"/>
        <v>3937.4516129032259</v>
      </c>
      <c r="L19" s="203">
        <f t="shared" si="23"/>
        <v>183</v>
      </c>
      <c r="M19" s="203">
        <f t="shared" si="4"/>
        <v>3937.4516129032259</v>
      </c>
      <c r="N19" s="203">
        <f t="shared" si="24"/>
        <v>183</v>
      </c>
      <c r="O19" s="203">
        <f t="shared" si="5"/>
        <v>3937.4516129032259</v>
      </c>
      <c r="P19" s="203">
        <f t="shared" si="25"/>
        <v>183</v>
      </c>
      <c r="Q19" s="203">
        <f t="shared" si="6"/>
        <v>3937.4516129032259</v>
      </c>
      <c r="R19" s="203">
        <f t="shared" si="26"/>
        <v>183</v>
      </c>
      <c r="S19" s="203">
        <f t="shared" si="7"/>
        <v>3937.4516129032259</v>
      </c>
      <c r="T19" s="203">
        <f t="shared" si="27"/>
        <v>183</v>
      </c>
      <c r="U19" s="203">
        <f t="shared" si="8"/>
        <v>3937.4516129032259</v>
      </c>
      <c r="V19" s="203">
        <f t="shared" si="28"/>
        <v>183</v>
      </c>
      <c r="W19" s="203">
        <f t="shared" si="9"/>
        <v>3937.4516129032259</v>
      </c>
      <c r="X19" s="35">
        <f t="shared" si="10"/>
        <v>0.59032258064516141</v>
      </c>
      <c r="Y19" s="36">
        <f t="shared" si="29"/>
        <v>43311.967741935492</v>
      </c>
      <c r="Z19" s="203">
        <f>'B5'!C18</f>
        <v>190</v>
      </c>
      <c r="AA19" s="203">
        <f t="shared" si="30"/>
        <v>1900</v>
      </c>
      <c r="AB19" s="203">
        <f t="shared" si="31"/>
        <v>190</v>
      </c>
      <c r="AC19" s="203">
        <f t="shared" si="30"/>
        <v>1900</v>
      </c>
      <c r="AD19" s="203">
        <f t="shared" si="32"/>
        <v>190</v>
      </c>
      <c r="AE19" s="203">
        <f t="shared" si="11"/>
        <v>1900</v>
      </c>
      <c r="AF19" s="203">
        <f t="shared" si="33"/>
        <v>190</v>
      </c>
      <c r="AG19" s="203">
        <f t="shared" si="12"/>
        <v>1900</v>
      </c>
      <c r="AH19" s="203">
        <f t="shared" si="34"/>
        <v>190</v>
      </c>
      <c r="AI19" s="203">
        <f t="shared" si="13"/>
        <v>1900</v>
      </c>
      <c r="AJ19" s="203">
        <f t="shared" si="35"/>
        <v>190</v>
      </c>
      <c r="AK19" s="203">
        <f t="shared" si="14"/>
        <v>1900</v>
      </c>
      <c r="AL19" s="203">
        <f t="shared" si="36"/>
        <v>190</v>
      </c>
      <c r="AM19" s="203">
        <f t="shared" si="15"/>
        <v>1900</v>
      </c>
      <c r="AN19" s="35">
        <f t="shared" si="16"/>
        <v>0.6785714285714286</v>
      </c>
      <c r="AO19" s="36">
        <f t="shared" si="41"/>
        <v>13300</v>
      </c>
      <c r="AQ19" s="223">
        <f t="shared" si="37"/>
        <v>0.60892726408449493</v>
      </c>
      <c r="AR19" s="38">
        <f t="shared" si="38"/>
        <v>56611.967741935492</v>
      </c>
      <c r="AS19" s="197">
        <f t="shared" ref="AS19:AS36" si="47">SUM(AR19-AR18-AT19)</f>
        <v>0</v>
      </c>
      <c r="AT19" s="340"/>
      <c r="AU19" s="549"/>
      <c r="AV19" s="485">
        <f t="shared" si="45"/>
        <v>0.622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>
        <f>GEN!AF16</f>
        <v>0</v>
      </c>
    </row>
    <row r="20" spans="1:64">
      <c r="A20" s="425">
        <f>ELEC!C18</f>
        <v>44576</v>
      </c>
      <c r="B20">
        <f>'B5'!B19</f>
        <v>183</v>
      </c>
      <c r="C20" s="203">
        <f t="shared" si="18"/>
        <v>3937.4516129032259</v>
      </c>
      <c r="D20">
        <f t="shared" si="19"/>
        <v>183</v>
      </c>
      <c r="E20" s="203">
        <f t="shared" si="18"/>
        <v>3937.4516129032259</v>
      </c>
      <c r="F20">
        <f t="shared" si="20"/>
        <v>183</v>
      </c>
      <c r="G20" s="203">
        <f t="shared" si="1"/>
        <v>3937.4516129032259</v>
      </c>
      <c r="H20" s="203">
        <f t="shared" si="21"/>
        <v>183</v>
      </c>
      <c r="I20" s="203">
        <f t="shared" si="2"/>
        <v>3937.4516129032259</v>
      </c>
      <c r="J20" s="203">
        <f t="shared" si="22"/>
        <v>183</v>
      </c>
      <c r="K20" s="203">
        <f t="shared" si="3"/>
        <v>3937.4516129032259</v>
      </c>
      <c r="L20" s="203">
        <f t="shared" si="23"/>
        <v>183</v>
      </c>
      <c r="M20" s="203">
        <f t="shared" si="4"/>
        <v>3937.4516129032259</v>
      </c>
      <c r="N20" s="203">
        <f t="shared" si="24"/>
        <v>183</v>
      </c>
      <c r="O20" s="203">
        <f t="shared" si="5"/>
        <v>3937.4516129032259</v>
      </c>
      <c r="P20" s="203">
        <f t="shared" si="25"/>
        <v>183</v>
      </c>
      <c r="Q20" s="203">
        <f t="shared" si="6"/>
        <v>3937.4516129032259</v>
      </c>
      <c r="R20" s="203">
        <f t="shared" si="26"/>
        <v>183</v>
      </c>
      <c r="S20" s="203">
        <f t="shared" si="7"/>
        <v>3937.4516129032259</v>
      </c>
      <c r="T20" s="203">
        <f t="shared" si="27"/>
        <v>183</v>
      </c>
      <c r="U20" s="203">
        <f t="shared" si="8"/>
        <v>3937.4516129032259</v>
      </c>
      <c r="V20" s="203">
        <f t="shared" si="28"/>
        <v>183</v>
      </c>
      <c r="W20" s="203">
        <f t="shared" si="9"/>
        <v>3937.4516129032259</v>
      </c>
      <c r="X20" s="35">
        <f t="shared" si="10"/>
        <v>0.59032258064516141</v>
      </c>
      <c r="Y20" s="36">
        <f t="shared" si="29"/>
        <v>43311.967741935492</v>
      </c>
      <c r="Z20" s="203">
        <f>'B5'!C19</f>
        <v>190</v>
      </c>
      <c r="AA20" s="203">
        <f t="shared" si="30"/>
        <v>1900</v>
      </c>
      <c r="AB20" s="203">
        <f t="shared" si="31"/>
        <v>190</v>
      </c>
      <c r="AC20" s="203">
        <f t="shared" si="30"/>
        <v>1900</v>
      </c>
      <c r="AD20" s="203">
        <f t="shared" si="32"/>
        <v>190</v>
      </c>
      <c r="AE20" s="203">
        <f t="shared" si="11"/>
        <v>1900</v>
      </c>
      <c r="AF20" s="203">
        <f t="shared" si="33"/>
        <v>190</v>
      </c>
      <c r="AG20" s="203">
        <f t="shared" si="12"/>
        <v>1900</v>
      </c>
      <c r="AH20" s="203">
        <f t="shared" si="34"/>
        <v>190</v>
      </c>
      <c r="AI20" s="203">
        <f t="shared" si="13"/>
        <v>1900</v>
      </c>
      <c r="AJ20" s="203">
        <f t="shared" si="35"/>
        <v>190</v>
      </c>
      <c r="AK20" s="203">
        <f t="shared" si="14"/>
        <v>1900</v>
      </c>
      <c r="AL20" s="203">
        <f t="shared" si="36"/>
        <v>190</v>
      </c>
      <c r="AM20" s="203">
        <f t="shared" si="15"/>
        <v>1900</v>
      </c>
      <c r="AN20" s="35">
        <f t="shared" si="16"/>
        <v>0.6785714285714286</v>
      </c>
      <c r="AO20" s="36">
        <f t="shared" si="41"/>
        <v>13300</v>
      </c>
      <c r="AQ20" s="223">
        <f t="shared" si="37"/>
        <v>0.60892726408449493</v>
      </c>
      <c r="AR20" s="38">
        <f t="shared" si="38"/>
        <v>56611.967741935492</v>
      </c>
      <c r="AS20" s="197">
        <f t="shared" si="47"/>
        <v>0</v>
      </c>
      <c r="AT20" s="340"/>
      <c r="AU20" s="549"/>
      <c r="AV20" s="485">
        <f t="shared" si="45"/>
        <v>0.622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1100.05907173028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44577</v>
      </c>
      <c r="B21">
        <f>'B5'!B20</f>
        <v>249</v>
      </c>
      <c r="C21" s="203">
        <f t="shared" si="18"/>
        <v>5357.5161290322576</v>
      </c>
      <c r="D21">
        <f t="shared" si="19"/>
        <v>249</v>
      </c>
      <c r="E21" s="203">
        <f t="shared" si="18"/>
        <v>5357.5161290322576</v>
      </c>
      <c r="F21">
        <f t="shared" si="20"/>
        <v>249</v>
      </c>
      <c r="G21" s="203">
        <f t="shared" si="1"/>
        <v>5357.5161290322576</v>
      </c>
      <c r="H21" s="203">
        <f t="shared" si="21"/>
        <v>249</v>
      </c>
      <c r="I21" s="203">
        <f t="shared" si="2"/>
        <v>5357.5161290322576</v>
      </c>
      <c r="J21" s="203">
        <f t="shared" si="22"/>
        <v>249</v>
      </c>
      <c r="K21" s="203">
        <f t="shared" si="3"/>
        <v>5357.5161290322576</v>
      </c>
      <c r="L21" s="203">
        <f t="shared" si="23"/>
        <v>249</v>
      </c>
      <c r="M21" s="203">
        <f t="shared" si="4"/>
        <v>5357.5161290322576</v>
      </c>
      <c r="N21" s="203">
        <f t="shared" si="24"/>
        <v>249</v>
      </c>
      <c r="O21" s="203">
        <f t="shared" si="5"/>
        <v>5357.5161290322576</v>
      </c>
      <c r="P21" s="203">
        <f t="shared" si="25"/>
        <v>249</v>
      </c>
      <c r="Q21" s="203">
        <f t="shared" si="6"/>
        <v>5357.5161290322576</v>
      </c>
      <c r="R21" s="203">
        <f t="shared" si="26"/>
        <v>249</v>
      </c>
      <c r="S21" s="203">
        <f t="shared" si="7"/>
        <v>5357.5161290322576</v>
      </c>
      <c r="T21" s="203">
        <f t="shared" si="27"/>
        <v>249</v>
      </c>
      <c r="U21" s="203">
        <f t="shared" si="8"/>
        <v>5357.5161290322576</v>
      </c>
      <c r="V21" s="203">
        <f t="shared" si="28"/>
        <v>249</v>
      </c>
      <c r="W21" s="203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3">
        <f>'B5'!C20</f>
        <v>255</v>
      </c>
      <c r="AA21" s="203">
        <f t="shared" si="30"/>
        <v>2550</v>
      </c>
      <c r="AB21" s="203">
        <f t="shared" si="31"/>
        <v>255</v>
      </c>
      <c r="AC21" s="203">
        <f t="shared" si="30"/>
        <v>2550</v>
      </c>
      <c r="AD21" s="203">
        <f t="shared" si="32"/>
        <v>255</v>
      </c>
      <c r="AE21" s="203">
        <f t="shared" si="11"/>
        <v>2550</v>
      </c>
      <c r="AF21" s="203">
        <f t="shared" si="33"/>
        <v>255</v>
      </c>
      <c r="AG21" s="203">
        <f t="shared" si="12"/>
        <v>2550</v>
      </c>
      <c r="AH21" s="203">
        <f t="shared" si="34"/>
        <v>255</v>
      </c>
      <c r="AI21" s="203">
        <f t="shared" si="13"/>
        <v>2550</v>
      </c>
      <c r="AJ21" s="203">
        <f t="shared" si="35"/>
        <v>255</v>
      </c>
      <c r="AK21" s="203">
        <f t="shared" si="14"/>
        <v>2550</v>
      </c>
      <c r="AL21" s="203">
        <f t="shared" si="36"/>
        <v>255</v>
      </c>
      <c r="AM21" s="203">
        <f t="shared" si="15"/>
        <v>2550</v>
      </c>
      <c r="AN21" s="35">
        <f t="shared" si="16"/>
        <v>0.9107142857142857</v>
      </c>
      <c r="AO21" s="36">
        <f t="shared" si="41"/>
        <v>17850</v>
      </c>
      <c r="AQ21" s="223">
        <f t="shared" si="37"/>
        <v>0.8258866023379029</v>
      </c>
      <c r="AR21" s="38">
        <f t="shared" si="38"/>
        <v>76782.677419354834</v>
      </c>
      <c r="AS21" s="197">
        <f>SUM(AR21-AR20-AT21)</f>
        <v>809.70967741934146</v>
      </c>
      <c r="AT21" s="340">
        <v>19361</v>
      </c>
      <c r="AU21" s="549">
        <v>0.63800000000000001</v>
      </c>
      <c r="AV21" s="485">
        <f t="shared" si="45"/>
        <v>0.63800000000000001</v>
      </c>
      <c r="AW21" s="279">
        <f>-SUM('B5'!AI20)</f>
        <v>-352</v>
      </c>
      <c r="AX21" s="279">
        <f t="shared" si="17"/>
        <v>1161.7096774193415</v>
      </c>
      <c r="AY21" s="37">
        <f t="shared" si="39"/>
        <v>809.70967741934146</v>
      </c>
      <c r="AZ21" s="100">
        <f>ELEC!A19</f>
        <v>0</v>
      </c>
      <c r="BA21" s="118">
        <f>'General information '!D20</f>
        <v>11</v>
      </c>
      <c r="BB21" s="378">
        <f>SUM('General information '!E20)</f>
        <v>0.55000000000000004</v>
      </c>
      <c r="BC21" s="3">
        <f t="shared" si="44"/>
        <v>1</v>
      </c>
      <c r="BD21" s="102">
        <v>19222</v>
      </c>
      <c r="BE21" s="14">
        <f>(305/1185)*ELEC!Q20</f>
        <v>1169.552742615532</v>
      </c>
      <c r="BF21" s="14"/>
      <c r="BG21" s="14" t="e">
        <f>#REF!-BE21</f>
        <v>#REF!</v>
      </c>
      <c r="BH21" s="11"/>
      <c r="BI21">
        <v>8</v>
      </c>
      <c r="BJ21">
        <f t="shared" si="46"/>
        <v>145.21370967741768</v>
      </c>
      <c r="BK21" s="538">
        <f>GEN!AF18</f>
        <v>0.26712500000007822</v>
      </c>
    </row>
    <row r="22" spans="1:64">
      <c r="A22" s="425">
        <f>ELEC!C20</f>
        <v>44578</v>
      </c>
      <c r="B22">
        <f>'B5'!B21</f>
        <v>243</v>
      </c>
      <c r="C22" s="203">
        <f t="shared" si="18"/>
        <v>5228.4193548387093</v>
      </c>
      <c r="D22">
        <f t="shared" si="19"/>
        <v>243</v>
      </c>
      <c r="E22" s="203">
        <f t="shared" si="18"/>
        <v>5228.4193548387093</v>
      </c>
      <c r="F22">
        <f t="shared" si="20"/>
        <v>243</v>
      </c>
      <c r="G22" s="203">
        <f t="shared" si="1"/>
        <v>5228.4193548387093</v>
      </c>
      <c r="H22" s="203">
        <f t="shared" si="21"/>
        <v>243</v>
      </c>
      <c r="I22" s="203">
        <f t="shared" si="2"/>
        <v>5228.4193548387093</v>
      </c>
      <c r="J22" s="203">
        <f t="shared" si="22"/>
        <v>243</v>
      </c>
      <c r="K22" s="203">
        <f t="shared" si="3"/>
        <v>5228.4193548387093</v>
      </c>
      <c r="L22" s="203">
        <f t="shared" si="23"/>
        <v>243</v>
      </c>
      <c r="M22" s="203">
        <f t="shared" si="4"/>
        <v>5228.4193548387093</v>
      </c>
      <c r="N22" s="203">
        <f t="shared" si="24"/>
        <v>243</v>
      </c>
      <c r="O22" s="203">
        <f t="shared" si="5"/>
        <v>5228.4193548387093</v>
      </c>
      <c r="P22" s="203">
        <f t="shared" si="25"/>
        <v>243</v>
      </c>
      <c r="Q22" s="203">
        <f t="shared" si="6"/>
        <v>5228.4193548387093</v>
      </c>
      <c r="R22" s="203">
        <f t="shared" si="26"/>
        <v>243</v>
      </c>
      <c r="S22" s="203">
        <f t="shared" si="7"/>
        <v>5228.4193548387093</v>
      </c>
      <c r="T22" s="203">
        <f t="shared" si="27"/>
        <v>243</v>
      </c>
      <c r="U22" s="203">
        <f t="shared" si="8"/>
        <v>5228.4193548387093</v>
      </c>
      <c r="V22" s="203">
        <f t="shared" si="28"/>
        <v>243</v>
      </c>
      <c r="W22" s="203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3">
        <f>'B5'!C21</f>
        <v>248</v>
      </c>
      <c r="AA22" s="203">
        <f t="shared" si="30"/>
        <v>2480</v>
      </c>
      <c r="AB22" s="203">
        <f t="shared" si="31"/>
        <v>248</v>
      </c>
      <c r="AC22" s="203">
        <f t="shared" si="30"/>
        <v>2480</v>
      </c>
      <c r="AD22" s="203">
        <f t="shared" si="32"/>
        <v>248</v>
      </c>
      <c r="AE22" s="203">
        <f t="shared" si="11"/>
        <v>2480</v>
      </c>
      <c r="AF22" s="203">
        <f t="shared" si="33"/>
        <v>248</v>
      </c>
      <c r="AG22" s="203">
        <f t="shared" si="12"/>
        <v>2480</v>
      </c>
      <c r="AH22" s="203">
        <f t="shared" si="34"/>
        <v>248</v>
      </c>
      <c r="AI22" s="203">
        <f t="shared" si="13"/>
        <v>2480</v>
      </c>
      <c r="AJ22" s="203">
        <f t="shared" si="35"/>
        <v>248</v>
      </c>
      <c r="AK22" s="203">
        <f t="shared" si="14"/>
        <v>2480</v>
      </c>
      <c r="AL22" s="203">
        <f t="shared" si="36"/>
        <v>248</v>
      </c>
      <c r="AM22" s="203">
        <f t="shared" si="15"/>
        <v>2480</v>
      </c>
      <c r="AN22" s="35">
        <f t="shared" si="16"/>
        <v>0.88571428571428568</v>
      </c>
      <c r="AO22" s="36">
        <f t="shared" si="41"/>
        <v>17360</v>
      </c>
      <c r="AQ22" s="223">
        <f t="shared" si="37"/>
        <v>0.805341646802472</v>
      </c>
      <c r="AR22" s="38">
        <f t="shared" si="38"/>
        <v>74872.612903225818</v>
      </c>
      <c r="AS22" s="197">
        <f t="shared" si="47"/>
        <v>-1910.0645161290158</v>
      </c>
      <c r="AT22" s="340"/>
      <c r="AU22" s="549"/>
      <c r="AV22" s="485">
        <f t="shared" si="43"/>
        <v>0.63800000000000001</v>
      </c>
      <c r="AW22" s="279">
        <f>-SUM('B5'!AI21)</f>
        <v>-447</v>
      </c>
      <c r="AX22" s="279">
        <f t="shared" si="17"/>
        <v>-1463.0645161290158</v>
      </c>
      <c r="AY22" s="37">
        <f t="shared" si="39"/>
        <v>-1910.0645161290158</v>
      </c>
      <c r="AZ22" s="100">
        <f>ELEC!A20</f>
        <v>0</v>
      </c>
      <c r="BA22" s="118">
        <f>'General information '!D21</f>
        <v>9.5</v>
      </c>
      <c r="BB22" s="378">
        <f>SUM('General information '!E21)</f>
        <v>0.33</v>
      </c>
      <c r="BC22" s="3">
        <f t="shared" si="44"/>
        <v>0</v>
      </c>
      <c r="BD22" s="102">
        <v>19222</v>
      </c>
      <c r="BE22" s="14">
        <f>(305/1185)*ELEC!Q21</f>
        <v>1508.2700421942427</v>
      </c>
      <c r="BF22" s="14"/>
      <c r="BG22" s="14" t="e">
        <f>#REF!-BE22</f>
        <v>#REF!</v>
      </c>
      <c r="BH22" s="11"/>
      <c r="BI22">
        <v>9</v>
      </c>
      <c r="BJ22">
        <f t="shared" si="46"/>
        <v>-162.56272401433509</v>
      </c>
      <c r="BK22" s="538">
        <f>GEN!AF19</f>
        <v>0.40571428571411161</v>
      </c>
    </row>
    <row r="23" spans="1:64">
      <c r="A23" s="425">
        <f>ELEC!C21</f>
        <v>44579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41"/>
        <v>16870</v>
      </c>
      <c r="AQ23" s="223">
        <f t="shared" si="37"/>
        <v>0.77970521187896191</v>
      </c>
      <c r="AR23" s="38">
        <f t="shared" si="38"/>
        <v>72489.193548387091</v>
      </c>
      <c r="AS23" s="197">
        <f t="shared" si="47"/>
        <v>-2383.4193548387266</v>
      </c>
      <c r="AT23" s="340"/>
      <c r="AU23" s="549"/>
      <c r="AV23" s="485">
        <f t="shared" si="43"/>
        <v>0.63800000000000001</v>
      </c>
      <c r="AW23" s="279">
        <f>-SUM('B5'!AI22)</f>
        <v>-416</v>
      </c>
      <c r="AX23" s="279">
        <f t="shared" si="17"/>
        <v>-1967.4193548387266</v>
      </c>
      <c r="AY23" s="37">
        <f t="shared" si="39"/>
        <v>-2383.4193548387266</v>
      </c>
      <c r="AZ23" s="100">
        <f>ELEC!A21</f>
        <v>0</v>
      </c>
      <c r="BA23" s="118">
        <f>'General information '!D22</f>
        <v>11.5</v>
      </c>
      <c r="BB23" s="378">
        <f>SUM('General information '!E22)</f>
        <v>0.44</v>
      </c>
      <c r="BC23" s="3">
        <f t="shared" si="44"/>
        <v>0</v>
      </c>
      <c r="BD23" s="102">
        <v>19222</v>
      </c>
      <c r="BE23" s="14">
        <f>(305/1185)*ELEC!Q22</f>
        <v>1427.7088607591493</v>
      </c>
      <c r="BF23" s="14"/>
      <c r="BG23" s="14" t="e">
        <f>#REF!-BE23</f>
        <v>#REF!</v>
      </c>
      <c r="BH23" s="11"/>
      <c r="BI23">
        <v>10</v>
      </c>
      <c r="BJ23">
        <f t="shared" si="46"/>
        <v>-196.74193548387265</v>
      </c>
      <c r="BK23" s="538">
        <f>GEN!AF20</f>
        <v>0.26160714285716885</v>
      </c>
    </row>
    <row r="24" spans="1:64">
      <c r="A24" s="425">
        <f>ELEC!C22</f>
        <v>44580</v>
      </c>
      <c r="B24">
        <f>'B5'!B23</f>
        <v>226</v>
      </c>
      <c r="C24" s="203">
        <f t="shared" si="18"/>
        <v>4862.6451612903229</v>
      </c>
      <c r="D24">
        <f t="shared" si="19"/>
        <v>226</v>
      </c>
      <c r="E24" s="203">
        <f t="shared" si="18"/>
        <v>4862.6451612903229</v>
      </c>
      <c r="F24">
        <f t="shared" si="20"/>
        <v>226</v>
      </c>
      <c r="G24" s="203">
        <f t="shared" si="1"/>
        <v>4862.6451612903229</v>
      </c>
      <c r="H24" s="203">
        <f t="shared" si="21"/>
        <v>226</v>
      </c>
      <c r="I24" s="203">
        <f t="shared" si="2"/>
        <v>4862.6451612903229</v>
      </c>
      <c r="J24" s="203">
        <f t="shared" si="22"/>
        <v>226</v>
      </c>
      <c r="K24" s="203">
        <f t="shared" si="3"/>
        <v>4862.6451612903229</v>
      </c>
      <c r="L24" s="203">
        <f t="shared" si="23"/>
        <v>226</v>
      </c>
      <c r="M24" s="203">
        <f t="shared" si="4"/>
        <v>4862.6451612903229</v>
      </c>
      <c r="N24" s="203">
        <f t="shared" si="24"/>
        <v>226</v>
      </c>
      <c r="O24" s="203">
        <f t="shared" si="5"/>
        <v>4862.6451612903229</v>
      </c>
      <c r="P24" s="203">
        <f t="shared" si="25"/>
        <v>226</v>
      </c>
      <c r="Q24" s="203">
        <f t="shared" si="6"/>
        <v>4862.6451612903229</v>
      </c>
      <c r="R24" s="203">
        <f t="shared" si="26"/>
        <v>226</v>
      </c>
      <c r="S24" s="203">
        <f t="shared" si="7"/>
        <v>4862.6451612903229</v>
      </c>
      <c r="T24" s="203">
        <f t="shared" si="27"/>
        <v>226</v>
      </c>
      <c r="U24" s="203">
        <f t="shared" si="8"/>
        <v>4862.6451612903229</v>
      </c>
      <c r="V24" s="203">
        <f t="shared" si="28"/>
        <v>226</v>
      </c>
      <c r="W24" s="203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3">
        <f>'B5'!C23</f>
        <v>233</v>
      </c>
      <c r="AA24" s="203">
        <f t="shared" si="30"/>
        <v>2330</v>
      </c>
      <c r="AB24" s="203">
        <f t="shared" si="31"/>
        <v>233</v>
      </c>
      <c r="AC24" s="203">
        <f t="shared" si="30"/>
        <v>2330</v>
      </c>
      <c r="AD24" s="203">
        <f t="shared" si="32"/>
        <v>233</v>
      </c>
      <c r="AE24" s="203">
        <f t="shared" si="11"/>
        <v>2330</v>
      </c>
      <c r="AF24" s="203">
        <f t="shared" si="33"/>
        <v>233</v>
      </c>
      <c r="AG24" s="203">
        <f t="shared" si="12"/>
        <v>2330</v>
      </c>
      <c r="AH24" s="203">
        <f t="shared" si="34"/>
        <v>233</v>
      </c>
      <c r="AI24" s="203">
        <f t="shared" si="13"/>
        <v>2330</v>
      </c>
      <c r="AJ24" s="203">
        <f t="shared" si="35"/>
        <v>233</v>
      </c>
      <c r="AK24" s="203">
        <f t="shared" si="14"/>
        <v>2330</v>
      </c>
      <c r="AL24" s="203">
        <f t="shared" si="36"/>
        <v>233</v>
      </c>
      <c r="AM24" s="203">
        <f t="shared" si="15"/>
        <v>2330</v>
      </c>
      <c r="AN24" s="35">
        <f t="shared" si="16"/>
        <v>0.83214285714285718</v>
      </c>
      <c r="AO24" s="36">
        <f t="shared" si="41"/>
        <v>16310</v>
      </c>
      <c r="AQ24" s="223">
        <f t="shared" si="37"/>
        <v>0.75077010620838502</v>
      </c>
      <c r="AR24" s="38">
        <f t="shared" si="38"/>
        <v>69799.09677419356</v>
      </c>
      <c r="AS24" s="197">
        <f t="shared" si="47"/>
        <v>-2690.096774193531</v>
      </c>
      <c r="AT24" s="340"/>
      <c r="AU24" s="549"/>
      <c r="AV24" s="485">
        <f t="shared" si="43"/>
        <v>0.63800000000000001</v>
      </c>
      <c r="AW24" s="279">
        <f>-SUM('B5'!AI23)</f>
        <v>-572</v>
      </c>
      <c r="AX24" s="279">
        <f t="shared" si="17"/>
        <v>-2118.096774193531</v>
      </c>
      <c r="AY24" s="37">
        <f t="shared" si="39"/>
        <v>-2690.096774193531</v>
      </c>
      <c r="AZ24" s="100">
        <f>ELEC!A22</f>
        <v>0</v>
      </c>
      <c r="BA24" s="118">
        <f>'General information '!D23</f>
        <v>11.5</v>
      </c>
      <c r="BB24" s="378">
        <f>SUM('General information '!E23)</f>
        <v>0.65</v>
      </c>
      <c r="BC24" s="3">
        <f t="shared" si="44"/>
        <v>0</v>
      </c>
      <c r="BD24" s="102">
        <v>19222</v>
      </c>
      <c r="BE24" s="14">
        <f>(305/1185)*ELEC!Q23</f>
        <v>1233.3839662450555</v>
      </c>
      <c r="BF24" s="14"/>
      <c r="BG24" s="14" t="e">
        <f>#REF!-BE24</f>
        <v>#REF!</v>
      </c>
      <c r="BH24" s="11"/>
      <c r="BI24">
        <v>11</v>
      </c>
      <c r="BJ24">
        <f t="shared" si="46"/>
        <v>-192.55425219941191</v>
      </c>
      <c r="BK24" s="538">
        <f>GEN!AF21</f>
        <v>0.34668749999991633</v>
      </c>
    </row>
    <row r="25" spans="1:64">
      <c r="A25" s="425">
        <f>ELEC!C23</f>
        <v>44581</v>
      </c>
      <c r="B25">
        <f>'B5'!B24</f>
        <v>218</v>
      </c>
      <c r="C25" s="203">
        <f t="shared" si="18"/>
        <v>4690.5161290322576</v>
      </c>
      <c r="D25">
        <f t="shared" si="19"/>
        <v>218</v>
      </c>
      <c r="E25" s="203">
        <f t="shared" si="18"/>
        <v>4690.5161290322576</v>
      </c>
      <c r="F25">
        <f t="shared" si="20"/>
        <v>218</v>
      </c>
      <c r="G25" s="203">
        <f t="shared" si="1"/>
        <v>4690.5161290322576</v>
      </c>
      <c r="H25" s="203">
        <f t="shared" si="21"/>
        <v>218</v>
      </c>
      <c r="I25" s="203">
        <f t="shared" si="2"/>
        <v>4690.5161290322576</v>
      </c>
      <c r="J25" s="203">
        <f t="shared" si="22"/>
        <v>218</v>
      </c>
      <c r="K25" s="203">
        <f t="shared" si="3"/>
        <v>4690.5161290322576</v>
      </c>
      <c r="L25" s="203">
        <f t="shared" si="23"/>
        <v>218</v>
      </c>
      <c r="M25" s="203">
        <f t="shared" si="4"/>
        <v>4690.5161290322576</v>
      </c>
      <c r="N25" s="203">
        <f t="shared" si="24"/>
        <v>218</v>
      </c>
      <c r="O25" s="203">
        <f t="shared" si="5"/>
        <v>4690.5161290322576</v>
      </c>
      <c r="P25" s="203">
        <f t="shared" si="25"/>
        <v>218</v>
      </c>
      <c r="Q25" s="203">
        <f t="shared" si="6"/>
        <v>4690.5161290322576</v>
      </c>
      <c r="R25" s="203">
        <f t="shared" si="26"/>
        <v>218</v>
      </c>
      <c r="S25" s="203">
        <f t="shared" si="7"/>
        <v>4690.5161290322576</v>
      </c>
      <c r="T25" s="203">
        <f t="shared" si="27"/>
        <v>218</v>
      </c>
      <c r="U25" s="203">
        <f t="shared" si="8"/>
        <v>4690.5161290322576</v>
      </c>
      <c r="V25" s="203">
        <f t="shared" si="28"/>
        <v>218</v>
      </c>
      <c r="W25" s="203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3">
        <f>'B5'!C24</f>
        <v>225</v>
      </c>
      <c r="AA25" s="203">
        <f t="shared" si="30"/>
        <v>2250</v>
      </c>
      <c r="AB25" s="203">
        <f t="shared" si="31"/>
        <v>225</v>
      </c>
      <c r="AC25" s="203">
        <f t="shared" si="30"/>
        <v>2250</v>
      </c>
      <c r="AD25" s="203">
        <f t="shared" si="32"/>
        <v>225</v>
      </c>
      <c r="AE25" s="203">
        <f t="shared" si="11"/>
        <v>2250</v>
      </c>
      <c r="AF25" s="203">
        <f t="shared" si="33"/>
        <v>225</v>
      </c>
      <c r="AG25" s="203">
        <f t="shared" si="12"/>
        <v>2250</v>
      </c>
      <c r="AH25" s="203">
        <f t="shared" si="34"/>
        <v>225</v>
      </c>
      <c r="AI25" s="203">
        <f t="shared" si="13"/>
        <v>2250</v>
      </c>
      <c r="AJ25" s="203">
        <f t="shared" si="35"/>
        <v>225</v>
      </c>
      <c r="AK25" s="203">
        <f t="shared" si="14"/>
        <v>2250</v>
      </c>
      <c r="AL25" s="203">
        <f t="shared" si="36"/>
        <v>225</v>
      </c>
      <c r="AM25" s="203">
        <f t="shared" si="15"/>
        <v>2250</v>
      </c>
      <c r="AN25" s="35">
        <f t="shared" si="16"/>
        <v>0.8035714285714286</v>
      </c>
      <c r="AO25" s="36">
        <f t="shared" si="41"/>
        <v>15750</v>
      </c>
      <c r="AQ25" s="223">
        <f t="shared" si="37"/>
        <v>0.72438074023184718</v>
      </c>
      <c r="AR25" s="38">
        <f>Y25+AO25</f>
        <v>67345.677419354834</v>
      </c>
      <c r="AS25" s="197">
        <f t="shared" si="47"/>
        <v>-2453.4193548387266</v>
      </c>
      <c r="AT25" s="340"/>
      <c r="AU25" s="550"/>
      <c r="AV25" s="485">
        <f t="shared" si="43"/>
        <v>0.63800000000000001</v>
      </c>
      <c r="AW25" s="279">
        <f>-SUM('B5'!AI24)</f>
        <v>-518</v>
      </c>
      <c r="AX25" s="279">
        <f t="shared" si="17"/>
        <v>-1935.4193548387266</v>
      </c>
      <c r="AY25" s="37">
        <f t="shared" si="39"/>
        <v>-2453.4193548387266</v>
      </c>
      <c r="AZ25" s="100">
        <f>ELEC!A23</f>
        <v>0</v>
      </c>
      <c r="BA25" s="118">
        <f>'General information '!D24</f>
        <v>9.5</v>
      </c>
      <c r="BB25" s="378">
        <f>SUM('General information '!E24)</f>
        <v>0.48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-161.28494623656056</v>
      </c>
      <c r="BK25" s="538">
        <f>GEN!AF22</f>
        <v>0.27227272727280005</v>
      </c>
    </row>
    <row r="26" spans="1:64">
      <c r="A26" s="425">
        <f>ELEC!C24</f>
        <v>44582</v>
      </c>
      <c r="B26">
        <f>'B5'!B25</f>
        <v>218</v>
      </c>
      <c r="C26" s="203">
        <f t="shared" si="18"/>
        <v>4690.5161290322576</v>
      </c>
      <c r="D26">
        <f t="shared" si="19"/>
        <v>218</v>
      </c>
      <c r="E26" s="203">
        <f t="shared" si="18"/>
        <v>4690.5161290322576</v>
      </c>
      <c r="F26">
        <f t="shared" si="20"/>
        <v>218</v>
      </c>
      <c r="G26" s="203">
        <f t="shared" si="1"/>
        <v>4690.5161290322576</v>
      </c>
      <c r="H26" s="203">
        <f t="shared" si="21"/>
        <v>218</v>
      </c>
      <c r="I26" s="203">
        <f t="shared" si="2"/>
        <v>4690.5161290322576</v>
      </c>
      <c r="J26" s="203">
        <f t="shared" si="22"/>
        <v>218</v>
      </c>
      <c r="K26" s="203">
        <f t="shared" si="3"/>
        <v>4690.5161290322576</v>
      </c>
      <c r="L26" s="203">
        <f t="shared" si="23"/>
        <v>218</v>
      </c>
      <c r="M26" s="203">
        <f t="shared" si="4"/>
        <v>4690.5161290322576</v>
      </c>
      <c r="N26" s="203">
        <f t="shared" si="24"/>
        <v>218</v>
      </c>
      <c r="O26" s="203">
        <f t="shared" si="5"/>
        <v>4690.5161290322576</v>
      </c>
      <c r="P26" s="203">
        <f t="shared" si="25"/>
        <v>218</v>
      </c>
      <c r="Q26" s="203">
        <f t="shared" si="6"/>
        <v>4690.5161290322576</v>
      </c>
      <c r="R26" s="203">
        <f t="shared" si="26"/>
        <v>218</v>
      </c>
      <c r="S26" s="203">
        <f t="shared" si="7"/>
        <v>4690.5161290322576</v>
      </c>
      <c r="T26" s="203">
        <f t="shared" si="27"/>
        <v>218</v>
      </c>
      <c r="U26" s="203">
        <f t="shared" si="8"/>
        <v>4690.5161290322576</v>
      </c>
      <c r="V26" s="203">
        <f t="shared" si="28"/>
        <v>218</v>
      </c>
      <c r="W26" s="203">
        <f t="shared" si="9"/>
        <v>4690.5161290322576</v>
      </c>
      <c r="X26" s="35">
        <f t="shared" si="10"/>
        <v>0.70322580645161281</v>
      </c>
      <c r="Y26" s="36">
        <f t="shared" si="29"/>
        <v>51595.677419354834</v>
      </c>
      <c r="Z26" s="203">
        <f>'B5'!C25</f>
        <v>225</v>
      </c>
      <c r="AA26" s="203">
        <f t="shared" si="30"/>
        <v>2250</v>
      </c>
      <c r="AB26" s="203">
        <f t="shared" si="31"/>
        <v>225</v>
      </c>
      <c r="AC26" s="203">
        <f t="shared" si="30"/>
        <v>2250</v>
      </c>
      <c r="AD26" s="203">
        <f t="shared" si="32"/>
        <v>225</v>
      </c>
      <c r="AE26" s="203">
        <f t="shared" si="11"/>
        <v>2250</v>
      </c>
      <c r="AF26" s="203">
        <f t="shared" si="33"/>
        <v>225</v>
      </c>
      <c r="AG26" s="203">
        <f t="shared" si="12"/>
        <v>2250</v>
      </c>
      <c r="AH26" s="203">
        <f t="shared" si="34"/>
        <v>225</v>
      </c>
      <c r="AI26" s="203">
        <f t="shared" si="13"/>
        <v>2250</v>
      </c>
      <c r="AJ26" s="203">
        <f t="shared" si="35"/>
        <v>225</v>
      </c>
      <c r="AK26" s="203">
        <f t="shared" si="14"/>
        <v>2250</v>
      </c>
      <c r="AL26" s="203">
        <f t="shared" si="36"/>
        <v>225</v>
      </c>
      <c r="AM26" s="203">
        <f t="shared" si="15"/>
        <v>2250</v>
      </c>
      <c r="AN26" s="35">
        <f t="shared" si="16"/>
        <v>0.8035714285714286</v>
      </c>
      <c r="AO26" s="36">
        <f t="shared" si="41"/>
        <v>15750</v>
      </c>
      <c r="AQ26" s="223">
        <f t="shared" si="37"/>
        <v>0.72438074023184718</v>
      </c>
      <c r="AR26" s="38">
        <f t="shared" si="38"/>
        <v>67345.677419354834</v>
      </c>
      <c r="AS26" s="197">
        <f t="shared" si="47"/>
        <v>0</v>
      </c>
      <c r="AT26" s="340"/>
      <c r="AU26" s="549"/>
      <c r="AV26" s="485">
        <f t="shared" si="43"/>
        <v>0.63800000000000001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44583</v>
      </c>
      <c r="B27">
        <f>'B5'!B26</f>
        <v>218</v>
      </c>
      <c r="C27" s="203">
        <f t="shared" si="18"/>
        <v>4690.5161290322576</v>
      </c>
      <c r="D27">
        <f t="shared" si="19"/>
        <v>218</v>
      </c>
      <c r="E27" s="203">
        <f t="shared" si="18"/>
        <v>4690.5161290322576</v>
      </c>
      <c r="F27">
        <f t="shared" si="20"/>
        <v>218</v>
      </c>
      <c r="G27" s="203">
        <f t="shared" si="1"/>
        <v>4690.5161290322576</v>
      </c>
      <c r="H27" s="203">
        <f t="shared" si="21"/>
        <v>218</v>
      </c>
      <c r="I27" s="203">
        <f t="shared" si="2"/>
        <v>4690.5161290322576</v>
      </c>
      <c r="J27" s="203">
        <f t="shared" si="22"/>
        <v>218</v>
      </c>
      <c r="K27" s="203">
        <f t="shared" si="3"/>
        <v>4690.5161290322576</v>
      </c>
      <c r="L27" s="203">
        <f t="shared" si="23"/>
        <v>218</v>
      </c>
      <c r="M27" s="203">
        <f t="shared" si="4"/>
        <v>4690.5161290322576</v>
      </c>
      <c r="N27" s="203">
        <f t="shared" si="24"/>
        <v>218</v>
      </c>
      <c r="O27" s="203">
        <f t="shared" si="5"/>
        <v>4690.5161290322576</v>
      </c>
      <c r="P27" s="203">
        <f t="shared" si="25"/>
        <v>218</v>
      </c>
      <c r="Q27" s="203">
        <f t="shared" si="6"/>
        <v>4690.5161290322576</v>
      </c>
      <c r="R27" s="203">
        <f t="shared" si="26"/>
        <v>218</v>
      </c>
      <c r="S27" s="203">
        <f t="shared" si="7"/>
        <v>4690.5161290322576</v>
      </c>
      <c r="T27" s="203">
        <f t="shared" si="27"/>
        <v>218</v>
      </c>
      <c r="U27" s="203">
        <f t="shared" si="8"/>
        <v>4690.5161290322576</v>
      </c>
      <c r="V27" s="203">
        <f t="shared" si="28"/>
        <v>218</v>
      </c>
      <c r="W27" s="203">
        <f t="shared" si="9"/>
        <v>4690.5161290322576</v>
      </c>
      <c r="X27" s="35">
        <f t="shared" si="10"/>
        <v>0.70322580645161281</v>
      </c>
      <c r="Y27" s="36">
        <f t="shared" si="29"/>
        <v>51595.677419354834</v>
      </c>
      <c r="Z27" s="203">
        <f>'B5'!C26</f>
        <v>225</v>
      </c>
      <c r="AA27" s="203">
        <f t="shared" si="30"/>
        <v>2250</v>
      </c>
      <c r="AB27" s="203">
        <f t="shared" si="31"/>
        <v>225</v>
      </c>
      <c r="AC27" s="203">
        <f t="shared" si="30"/>
        <v>2250</v>
      </c>
      <c r="AD27" s="203">
        <f t="shared" si="32"/>
        <v>225</v>
      </c>
      <c r="AE27" s="203">
        <f t="shared" si="11"/>
        <v>2250</v>
      </c>
      <c r="AF27" s="203">
        <f t="shared" si="33"/>
        <v>225</v>
      </c>
      <c r="AG27" s="203">
        <f t="shared" si="12"/>
        <v>2250</v>
      </c>
      <c r="AH27" s="203">
        <f t="shared" si="34"/>
        <v>225</v>
      </c>
      <c r="AI27" s="203">
        <f t="shared" si="13"/>
        <v>2250</v>
      </c>
      <c r="AJ27" s="203">
        <f t="shared" si="35"/>
        <v>225</v>
      </c>
      <c r="AK27" s="203">
        <f t="shared" si="14"/>
        <v>2250</v>
      </c>
      <c r="AL27" s="203">
        <f t="shared" si="36"/>
        <v>225</v>
      </c>
      <c r="AM27" s="203">
        <f t="shared" si="15"/>
        <v>2250</v>
      </c>
      <c r="AN27" s="35">
        <f t="shared" si="16"/>
        <v>0.8035714285714286</v>
      </c>
      <c r="AO27" s="36">
        <f t="shared" si="41"/>
        <v>15750</v>
      </c>
      <c r="AQ27" s="223">
        <f t="shared" si="37"/>
        <v>0.72438074023184718</v>
      </c>
      <c r="AR27" s="38">
        <f t="shared" si="38"/>
        <v>67345.677419354834</v>
      </c>
      <c r="AS27" s="197">
        <f t="shared" si="47"/>
        <v>0</v>
      </c>
      <c r="AT27" s="340"/>
      <c r="AU27" s="549"/>
      <c r="AV27" s="485">
        <f t="shared" si="43"/>
        <v>0.63800000000000001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1394.5063291143063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44584</v>
      </c>
      <c r="B28">
        <f>'B5'!B27</f>
        <v>211</v>
      </c>
      <c r="C28" s="203">
        <f t="shared" si="18"/>
        <v>4539.9032258064517</v>
      </c>
      <c r="D28">
        <f t="shared" si="19"/>
        <v>211</v>
      </c>
      <c r="E28" s="203">
        <f t="shared" si="18"/>
        <v>4539.9032258064517</v>
      </c>
      <c r="F28">
        <f t="shared" si="20"/>
        <v>211</v>
      </c>
      <c r="G28" s="203">
        <f t="shared" si="1"/>
        <v>4539.9032258064517</v>
      </c>
      <c r="H28" s="203">
        <f t="shared" si="21"/>
        <v>211</v>
      </c>
      <c r="I28" s="203">
        <f t="shared" si="2"/>
        <v>4539.9032258064517</v>
      </c>
      <c r="J28" s="203">
        <f t="shared" si="22"/>
        <v>211</v>
      </c>
      <c r="K28" s="203">
        <f t="shared" si="3"/>
        <v>4539.9032258064517</v>
      </c>
      <c r="L28" s="203">
        <f t="shared" si="23"/>
        <v>211</v>
      </c>
      <c r="M28" s="203">
        <f t="shared" si="4"/>
        <v>4539.9032258064517</v>
      </c>
      <c r="N28" s="203">
        <f t="shared" si="24"/>
        <v>211</v>
      </c>
      <c r="O28" s="203">
        <f t="shared" si="5"/>
        <v>4539.9032258064517</v>
      </c>
      <c r="P28" s="203">
        <f t="shared" si="25"/>
        <v>211</v>
      </c>
      <c r="Q28" s="203">
        <f t="shared" si="6"/>
        <v>4539.9032258064517</v>
      </c>
      <c r="R28" s="203">
        <f t="shared" si="26"/>
        <v>211</v>
      </c>
      <c r="S28" s="203">
        <f t="shared" si="7"/>
        <v>4539.9032258064517</v>
      </c>
      <c r="T28" s="203">
        <f t="shared" si="27"/>
        <v>211</v>
      </c>
      <c r="U28" s="203">
        <f t="shared" si="8"/>
        <v>4539.9032258064517</v>
      </c>
      <c r="V28" s="203">
        <f t="shared" si="28"/>
        <v>211</v>
      </c>
      <c r="W28" s="203">
        <f t="shared" si="9"/>
        <v>4539.9032258064517</v>
      </c>
      <c r="X28" s="35">
        <f t="shared" si="10"/>
        <v>0.68064516129032271</v>
      </c>
      <c r="Y28" s="36">
        <f t="shared" si="29"/>
        <v>49938.935483870977</v>
      </c>
      <c r="Z28" s="203">
        <f>'B5'!C27</f>
        <v>218</v>
      </c>
      <c r="AA28" s="203">
        <f t="shared" si="30"/>
        <v>2180</v>
      </c>
      <c r="AB28" s="203">
        <f t="shared" si="31"/>
        <v>218</v>
      </c>
      <c r="AC28" s="203">
        <f t="shared" si="30"/>
        <v>2180</v>
      </c>
      <c r="AD28" s="203">
        <f t="shared" si="32"/>
        <v>218</v>
      </c>
      <c r="AE28" s="203">
        <f t="shared" si="11"/>
        <v>2180</v>
      </c>
      <c r="AF28" s="203">
        <f t="shared" si="33"/>
        <v>218</v>
      </c>
      <c r="AG28" s="203">
        <f t="shared" si="12"/>
        <v>2180</v>
      </c>
      <c r="AH28" s="203">
        <f t="shared" si="34"/>
        <v>218</v>
      </c>
      <c r="AI28" s="203">
        <f t="shared" si="13"/>
        <v>2180</v>
      </c>
      <c r="AJ28" s="203">
        <f t="shared" si="35"/>
        <v>218</v>
      </c>
      <c r="AK28" s="203">
        <f t="shared" si="14"/>
        <v>2180</v>
      </c>
      <c r="AL28" s="203">
        <f t="shared" si="36"/>
        <v>218</v>
      </c>
      <c r="AM28" s="203">
        <f t="shared" si="15"/>
        <v>2180</v>
      </c>
      <c r="AN28" s="35">
        <f t="shared" si="16"/>
        <v>0.77857142857142858</v>
      </c>
      <c r="AO28" s="36">
        <f t="shared" si="41"/>
        <v>15260</v>
      </c>
      <c r="AQ28" s="223">
        <f t="shared" si="37"/>
        <v>0.70129004500237691</v>
      </c>
      <c r="AR28" s="38">
        <f t="shared" si="38"/>
        <v>65198.935483870977</v>
      </c>
      <c r="AS28" s="197">
        <f t="shared" si="47"/>
        <v>-2146.7419354838567</v>
      </c>
      <c r="AT28" s="340"/>
      <c r="AU28" s="550"/>
      <c r="AV28" s="485">
        <f t="shared" si="43"/>
        <v>0.63800000000000001</v>
      </c>
      <c r="AW28" s="279">
        <f>-SUM('B5'!AI27)</f>
        <v>-412</v>
      </c>
      <c r="AX28" s="279">
        <f t="shared" si="17"/>
        <v>-1734.7419354838567</v>
      </c>
      <c r="AY28" s="37">
        <f t="shared" si="39"/>
        <v>-2146.7419354838567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1492.3122362866279</v>
      </c>
      <c r="BF28" s="14"/>
      <c r="BG28" s="14" t="e">
        <f>#REF!-BE28</f>
        <v>#REF!</v>
      </c>
      <c r="BH28" s="11"/>
      <c r="BI28">
        <v>15</v>
      </c>
      <c r="BJ28">
        <f t="shared" si="46"/>
        <v>-115.64946236559044</v>
      </c>
      <c r="BK28" s="538">
        <f>GEN!AF25</f>
        <v>0.30784090909099343</v>
      </c>
    </row>
    <row r="29" spans="1:64">
      <c r="A29" s="425">
        <f>ELEC!C27</f>
        <v>44585</v>
      </c>
      <c r="B29">
        <f>'B5'!B28</f>
        <v>203</v>
      </c>
      <c r="C29" s="203">
        <f t="shared" si="18"/>
        <v>4367.7741935483873</v>
      </c>
      <c r="D29">
        <f t="shared" si="19"/>
        <v>203</v>
      </c>
      <c r="E29" s="203">
        <f t="shared" si="18"/>
        <v>4367.7741935483873</v>
      </c>
      <c r="F29">
        <f t="shared" si="20"/>
        <v>203</v>
      </c>
      <c r="G29" s="203">
        <f t="shared" si="1"/>
        <v>4367.7741935483873</v>
      </c>
      <c r="H29" s="203">
        <f t="shared" si="21"/>
        <v>203</v>
      </c>
      <c r="I29" s="203">
        <f t="shared" si="2"/>
        <v>4367.7741935483873</v>
      </c>
      <c r="J29" s="203">
        <f t="shared" si="22"/>
        <v>203</v>
      </c>
      <c r="K29" s="203">
        <f t="shared" si="3"/>
        <v>4367.7741935483873</v>
      </c>
      <c r="L29" s="203">
        <f t="shared" si="23"/>
        <v>203</v>
      </c>
      <c r="M29" s="203">
        <f t="shared" si="4"/>
        <v>4367.7741935483873</v>
      </c>
      <c r="N29" s="203">
        <f t="shared" si="24"/>
        <v>203</v>
      </c>
      <c r="O29" s="203">
        <f t="shared" si="5"/>
        <v>4367.7741935483873</v>
      </c>
      <c r="P29" s="203">
        <f t="shared" si="25"/>
        <v>203</v>
      </c>
      <c r="Q29" s="203">
        <f t="shared" si="6"/>
        <v>4367.7741935483873</v>
      </c>
      <c r="R29" s="203">
        <f t="shared" si="26"/>
        <v>203</v>
      </c>
      <c r="S29" s="203">
        <f t="shared" si="7"/>
        <v>4367.7741935483873</v>
      </c>
      <c r="T29" s="203">
        <f t="shared" si="27"/>
        <v>203</v>
      </c>
      <c r="U29" s="203">
        <f t="shared" si="8"/>
        <v>4367.7741935483873</v>
      </c>
      <c r="V29" s="203">
        <f t="shared" si="28"/>
        <v>203</v>
      </c>
      <c r="W29" s="203">
        <f t="shared" si="9"/>
        <v>4367.7741935483873</v>
      </c>
      <c r="X29" s="35">
        <f t="shared" si="10"/>
        <v>0.65483870967741931</v>
      </c>
      <c r="Y29" s="36">
        <f t="shared" si="29"/>
        <v>48045.516129032258</v>
      </c>
      <c r="Z29" s="203">
        <f>'B5'!C28</f>
        <v>210</v>
      </c>
      <c r="AA29" s="203">
        <f t="shared" si="30"/>
        <v>2100</v>
      </c>
      <c r="AB29" s="203">
        <f t="shared" si="31"/>
        <v>210</v>
      </c>
      <c r="AC29" s="203">
        <f t="shared" si="30"/>
        <v>2100</v>
      </c>
      <c r="AD29" s="203">
        <f t="shared" si="32"/>
        <v>210</v>
      </c>
      <c r="AE29" s="203">
        <f t="shared" si="11"/>
        <v>2100</v>
      </c>
      <c r="AF29" s="203">
        <f t="shared" si="33"/>
        <v>210</v>
      </c>
      <c r="AG29" s="203">
        <f t="shared" si="12"/>
        <v>2100</v>
      </c>
      <c r="AH29" s="203">
        <f t="shared" si="34"/>
        <v>210</v>
      </c>
      <c r="AI29" s="203">
        <f t="shared" si="13"/>
        <v>2100</v>
      </c>
      <c r="AJ29" s="203">
        <f t="shared" si="35"/>
        <v>210</v>
      </c>
      <c r="AK29" s="203">
        <f t="shared" si="14"/>
        <v>2100</v>
      </c>
      <c r="AL29" s="203">
        <f t="shared" si="36"/>
        <v>210</v>
      </c>
      <c r="AM29" s="203">
        <f t="shared" si="15"/>
        <v>2100</v>
      </c>
      <c r="AN29" s="35">
        <f t="shared" si="16"/>
        <v>0.75</v>
      </c>
      <c r="AO29" s="36">
        <f t="shared" si="41"/>
        <v>14700</v>
      </c>
      <c r="AQ29" s="223">
        <f t="shared" si="37"/>
        <v>0.67490067902583906</v>
      </c>
      <c r="AR29" s="38">
        <f t="shared" si="38"/>
        <v>62745.516129032258</v>
      </c>
      <c r="AS29" s="197">
        <f>SUM(AR29-AR28-AT29)</f>
        <v>-2453.4193548387193</v>
      </c>
      <c r="AT29" s="340"/>
      <c r="AU29" s="550"/>
      <c r="AV29" s="485">
        <f t="shared" si="43"/>
        <v>0.63800000000000001</v>
      </c>
      <c r="AW29" s="279">
        <f>-SUM('B5'!AI28)</f>
        <v>-565</v>
      </c>
      <c r="AX29" s="279">
        <f t="shared" si="17"/>
        <v>-1888.4193548387193</v>
      </c>
      <c r="AY29" s="37">
        <f t="shared" si="39"/>
        <v>-2453.4193548387193</v>
      </c>
      <c r="AZ29" s="100">
        <f>ELEC!A27</f>
        <v>0</v>
      </c>
      <c r="BA29" s="118">
        <f>'General information '!D28</f>
        <v>11</v>
      </c>
      <c r="BB29" s="378">
        <f>SUM('General information '!E28)</f>
        <v>0.68</v>
      </c>
      <c r="BC29" s="3">
        <f t="shared" si="44"/>
        <v>0</v>
      </c>
      <c r="BD29" s="102">
        <v>19222</v>
      </c>
      <c r="BE29" s="14">
        <f>(305/1185)*ELEC!Q28</f>
        <v>1585.4852320674731</v>
      </c>
      <c r="BF29" s="14"/>
      <c r="BG29" s="14" t="e">
        <f>#REF!-BE29</f>
        <v>#REF!</v>
      </c>
      <c r="BH29" s="11"/>
      <c r="BI29">
        <v>16</v>
      </c>
      <c r="BJ29">
        <f t="shared" si="46"/>
        <v>-118.02620967741996</v>
      </c>
      <c r="BK29" s="538">
        <f>GEN!AF26</f>
        <v>0.36237499999992906</v>
      </c>
    </row>
    <row r="30" spans="1:64">
      <c r="A30" s="425">
        <f>ELEC!C28</f>
        <v>44586</v>
      </c>
      <c r="B30">
        <f>'B5'!B29</f>
        <v>193</v>
      </c>
      <c r="C30" s="203">
        <f t="shared" si="18"/>
        <v>4152.6129032258068</v>
      </c>
      <c r="D30">
        <f t="shared" ref="D30:D35" si="48">SUM(B30)</f>
        <v>193</v>
      </c>
      <c r="E30" s="203">
        <f t="shared" si="18"/>
        <v>4152.6129032258068</v>
      </c>
      <c r="F30">
        <f t="shared" ref="F30:F35" si="49">SUM(D30)</f>
        <v>193</v>
      </c>
      <c r="G30" s="203">
        <f t="shared" si="1"/>
        <v>4152.6129032258068</v>
      </c>
      <c r="H30" s="203">
        <f t="shared" ref="H30:H35" si="50">SUM(F30)</f>
        <v>193</v>
      </c>
      <c r="I30" s="203">
        <f t="shared" si="2"/>
        <v>4152.6129032258068</v>
      </c>
      <c r="J30" s="203">
        <f t="shared" ref="J30:J35" si="51">SUM(H30)</f>
        <v>193</v>
      </c>
      <c r="K30" s="203">
        <f t="shared" si="3"/>
        <v>4152.6129032258068</v>
      </c>
      <c r="L30" s="203">
        <f t="shared" ref="L30:L35" si="52">SUM(J30)</f>
        <v>193</v>
      </c>
      <c r="M30" s="203">
        <f t="shared" si="4"/>
        <v>4152.6129032258068</v>
      </c>
      <c r="N30" s="203">
        <f t="shared" ref="N30:N35" si="53">SUM(L30)</f>
        <v>193</v>
      </c>
      <c r="O30" s="203">
        <f t="shared" si="5"/>
        <v>4152.6129032258068</v>
      </c>
      <c r="P30" s="203">
        <f t="shared" ref="P30:P35" si="54">SUM(N30)</f>
        <v>193</v>
      </c>
      <c r="Q30" s="203">
        <f t="shared" si="6"/>
        <v>4152.6129032258068</v>
      </c>
      <c r="R30" s="203">
        <f t="shared" ref="R30:R35" si="55">SUM(P30)</f>
        <v>193</v>
      </c>
      <c r="S30" s="203">
        <f t="shared" si="7"/>
        <v>4152.6129032258068</v>
      </c>
      <c r="T30" s="203">
        <f t="shared" ref="T30:T35" si="56">SUM(R30)</f>
        <v>193</v>
      </c>
      <c r="U30" s="203">
        <f t="shared" si="8"/>
        <v>4152.6129032258068</v>
      </c>
      <c r="V30" s="203">
        <f t="shared" ref="V30:V35" si="57">SUM(T30)</f>
        <v>193</v>
      </c>
      <c r="W30" s="203">
        <f t="shared" si="9"/>
        <v>4152.6129032258068</v>
      </c>
      <c r="X30" s="35">
        <f t="shared" ref="X30:X35" si="58">SUM(Y30/73370)</f>
        <v>0.62258064516129019</v>
      </c>
      <c r="Y30" s="36">
        <f t="shared" ref="Y30:Y35" si="59">SUM(C30+E30+G30+I30+K30+M30+O30+Q30+S30+U30+W30)</f>
        <v>45678.741935483864</v>
      </c>
      <c r="Z30" s="203">
        <f>'B5'!C29</f>
        <v>200</v>
      </c>
      <c r="AA30" s="203">
        <f t="shared" si="30"/>
        <v>2000</v>
      </c>
      <c r="AB30" s="203">
        <f t="shared" ref="AB30:AB35" si="60">SUM(Z30)</f>
        <v>200</v>
      </c>
      <c r="AC30" s="203">
        <f t="shared" si="30"/>
        <v>2000</v>
      </c>
      <c r="AD30" s="203">
        <f t="shared" ref="AD30:AD35" si="61">SUM(AB30)</f>
        <v>200</v>
      </c>
      <c r="AE30" s="203">
        <f t="shared" si="11"/>
        <v>2000</v>
      </c>
      <c r="AF30" s="203">
        <f t="shared" ref="AF30:AF35" si="62">SUM(AD30)</f>
        <v>200</v>
      </c>
      <c r="AG30" s="203">
        <f t="shared" si="12"/>
        <v>2000</v>
      </c>
      <c r="AH30" s="203">
        <f t="shared" ref="AH30:AH35" si="63">SUM(AF30)</f>
        <v>200</v>
      </c>
      <c r="AI30" s="203">
        <f t="shared" si="13"/>
        <v>2000</v>
      </c>
      <c r="AJ30" s="203">
        <f t="shared" ref="AJ30:AJ35" si="64">SUM(AH30)</f>
        <v>200</v>
      </c>
      <c r="AK30" s="203">
        <f t="shared" si="14"/>
        <v>2000</v>
      </c>
      <c r="AL30" s="203">
        <f t="shared" ref="AL30:AL35" si="65">SUM(AJ30)</f>
        <v>200</v>
      </c>
      <c r="AM30" s="203">
        <f t="shared" si="15"/>
        <v>2000</v>
      </c>
      <c r="AN30" s="35">
        <f t="shared" ref="AN30:AN35" si="66">SUM(AO30/19600)</f>
        <v>0.7142857142857143</v>
      </c>
      <c r="AO30" s="36">
        <f t="shared" ref="AO30:AO35" si="67">SUM(AA30+AC30+AE30+AG30+AI30+AK30+AM30)</f>
        <v>14000</v>
      </c>
      <c r="AQ30" s="223">
        <f t="shared" si="37"/>
        <v>0.64191397155516683</v>
      </c>
      <c r="AR30" s="38">
        <f t="shared" si="38"/>
        <v>59678.741935483864</v>
      </c>
      <c r="AS30" s="197">
        <f>SUM(AR30-AR29-AT30)</f>
        <v>-3066.7741935483937</v>
      </c>
      <c r="AT30" s="340"/>
      <c r="AU30" s="550"/>
      <c r="AV30" s="485">
        <f t="shared" si="43"/>
        <v>0.63800000000000001</v>
      </c>
      <c r="AW30" s="279">
        <f>-SUM('B5'!AI29)</f>
        <v>-522</v>
      </c>
      <c r="AX30" s="279">
        <f t="shared" si="17"/>
        <v>-2544.7741935483937</v>
      </c>
      <c r="AY30" s="37">
        <f t="shared" si="39"/>
        <v>-3066.7741935483937</v>
      </c>
      <c r="AZ30" s="100">
        <f>ELEC!A28</f>
        <v>0</v>
      </c>
      <c r="BA30" s="118">
        <f>'General information '!D29</f>
        <v>11.5</v>
      </c>
      <c r="BB30" s="378">
        <f>SUM('General information '!E29)</f>
        <v>0.45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-149.69259962049375</v>
      </c>
      <c r="BK30" s="538">
        <f>GEN!AF27</f>
        <v>0.32083333333332575</v>
      </c>
    </row>
    <row r="31" spans="1:64">
      <c r="A31" s="425">
        <f>ELEC!C29</f>
        <v>44587</v>
      </c>
      <c r="B31">
        <f>'B5'!B30</f>
        <v>193</v>
      </c>
      <c r="C31" s="203">
        <f t="shared" si="18"/>
        <v>4152.6129032258068</v>
      </c>
      <c r="D31">
        <f t="shared" si="48"/>
        <v>193</v>
      </c>
      <c r="E31" s="203">
        <f t="shared" si="18"/>
        <v>4152.6129032258068</v>
      </c>
      <c r="F31">
        <f t="shared" si="49"/>
        <v>193</v>
      </c>
      <c r="G31" s="203">
        <f t="shared" si="1"/>
        <v>4152.6129032258068</v>
      </c>
      <c r="H31" s="203">
        <f t="shared" si="50"/>
        <v>193</v>
      </c>
      <c r="I31" s="203">
        <f t="shared" si="2"/>
        <v>4152.6129032258068</v>
      </c>
      <c r="J31" s="203">
        <f t="shared" si="51"/>
        <v>193</v>
      </c>
      <c r="K31" s="203">
        <f t="shared" si="3"/>
        <v>4152.6129032258068</v>
      </c>
      <c r="L31" s="203">
        <f t="shared" si="52"/>
        <v>193</v>
      </c>
      <c r="M31" s="203">
        <f t="shared" si="4"/>
        <v>4152.6129032258068</v>
      </c>
      <c r="N31" s="203">
        <f t="shared" si="53"/>
        <v>193</v>
      </c>
      <c r="O31" s="203">
        <f t="shared" si="5"/>
        <v>4152.6129032258068</v>
      </c>
      <c r="P31" s="203">
        <f t="shared" si="54"/>
        <v>193</v>
      </c>
      <c r="Q31" s="203">
        <f t="shared" si="6"/>
        <v>4152.6129032258068</v>
      </c>
      <c r="R31" s="203">
        <f t="shared" si="55"/>
        <v>193</v>
      </c>
      <c r="S31" s="203">
        <f t="shared" si="7"/>
        <v>4152.6129032258068</v>
      </c>
      <c r="T31" s="203">
        <f t="shared" si="56"/>
        <v>193</v>
      </c>
      <c r="U31" s="203">
        <f t="shared" si="8"/>
        <v>4152.6129032258068</v>
      </c>
      <c r="V31" s="203">
        <f t="shared" si="57"/>
        <v>193</v>
      </c>
      <c r="W31" s="203">
        <f t="shared" si="9"/>
        <v>4152.6129032258068</v>
      </c>
      <c r="X31" s="35">
        <f t="shared" si="58"/>
        <v>0.62258064516129019</v>
      </c>
      <c r="Y31" s="36">
        <f t="shared" si="59"/>
        <v>45678.741935483864</v>
      </c>
      <c r="Z31" s="203">
        <f>'B5'!C30</f>
        <v>200</v>
      </c>
      <c r="AA31" s="203">
        <f t="shared" si="30"/>
        <v>2000</v>
      </c>
      <c r="AB31" s="203">
        <f t="shared" si="60"/>
        <v>200</v>
      </c>
      <c r="AC31" s="203">
        <f t="shared" si="30"/>
        <v>2000</v>
      </c>
      <c r="AD31" s="203">
        <f t="shared" si="61"/>
        <v>200</v>
      </c>
      <c r="AE31" s="203">
        <f t="shared" si="11"/>
        <v>2000</v>
      </c>
      <c r="AF31" s="203">
        <f t="shared" si="62"/>
        <v>200</v>
      </c>
      <c r="AG31" s="203">
        <f t="shared" si="12"/>
        <v>2000</v>
      </c>
      <c r="AH31" s="203">
        <f t="shared" si="63"/>
        <v>200</v>
      </c>
      <c r="AI31" s="203">
        <f t="shared" si="13"/>
        <v>2000</v>
      </c>
      <c r="AJ31" s="203">
        <f t="shared" si="64"/>
        <v>200</v>
      </c>
      <c r="AK31" s="203">
        <f t="shared" si="14"/>
        <v>2000</v>
      </c>
      <c r="AL31" s="203">
        <f t="shared" si="65"/>
        <v>200</v>
      </c>
      <c r="AM31" s="203">
        <f t="shared" si="15"/>
        <v>2000</v>
      </c>
      <c r="AN31" s="35">
        <f t="shared" si="66"/>
        <v>0.7142857142857143</v>
      </c>
      <c r="AO31" s="36">
        <f t="shared" si="67"/>
        <v>14000</v>
      </c>
      <c r="AQ31" s="223">
        <f t="shared" si="37"/>
        <v>0.64191397155516683</v>
      </c>
      <c r="AR31" s="38">
        <f t="shared" si="38"/>
        <v>59678.741935483864</v>
      </c>
      <c r="AS31" s="197">
        <f t="shared" si="47"/>
        <v>0</v>
      </c>
      <c r="AT31" s="340"/>
      <c r="AU31" s="575"/>
      <c r="AV31" s="485">
        <f t="shared" si="43"/>
        <v>0.63800000000000001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44588</v>
      </c>
      <c r="B32">
        <f>'B5'!B31</f>
        <v>193</v>
      </c>
      <c r="C32" s="203">
        <f t="shared" si="18"/>
        <v>4152.6129032258068</v>
      </c>
      <c r="D32">
        <f t="shared" si="48"/>
        <v>193</v>
      </c>
      <c r="E32" s="203">
        <f t="shared" si="18"/>
        <v>4152.6129032258068</v>
      </c>
      <c r="F32">
        <f t="shared" si="49"/>
        <v>193</v>
      </c>
      <c r="G32" s="203">
        <f t="shared" si="1"/>
        <v>4152.6129032258068</v>
      </c>
      <c r="H32" s="203">
        <f t="shared" si="50"/>
        <v>193</v>
      </c>
      <c r="I32" s="203">
        <f t="shared" si="2"/>
        <v>4152.6129032258068</v>
      </c>
      <c r="J32" s="203">
        <f t="shared" si="51"/>
        <v>193</v>
      </c>
      <c r="K32" s="203">
        <f t="shared" si="3"/>
        <v>4152.6129032258068</v>
      </c>
      <c r="L32" s="203">
        <f t="shared" si="52"/>
        <v>193</v>
      </c>
      <c r="M32" s="203">
        <f t="shared" si="4"/>
        <v>4152.6129032258068</v>
      </c>
      <c r="N32" s="203">
        <f t="shared" si="53"/>
        <v>193</v>
      </c>
      <c r="O32" s="203">
        <f t="shared" si="5"/>
        <v>4152.6129032258068</v>
      </c>
      <c r="P32" s="203">
        <f t="shared" si="54"/>
        <v>193</v>
      </c>
      <c r="Q32" s="203">
        <f t="shared" si="6"/>
        <v>4152.6129032258068</v>
      </c>
      <c r="R32" s="203">
        <f t="shared" si="55"/>
        <v>193</v>
      </c>
      <c r="S32" s="203">
        <f t="shared" si="7"/>
        <v>4152.6129032258068</v>
      </c>
      <c r="T32" s="203">
        <f t="shared" si="56"/>
        <v>193</v>
      </c>
      <c r="U32" s="203">
        <f t="shared" si="8"/>
        <v>4152.6129032258068</v>
      </c>
      <c r="V32" s="203">
        <f t="shared" si="57"/>
        <v>193</v>
      </c>
      <c r="W32" s="203">
        <f t="shared" si="9"/>
        <v>4152.6129032258068</v>
      </c>
      <c r="X32" s="35">
        <f t="shared" si="58"/>
        <v>0.62258064516129019</v>
      </c>
      <c r="Y32" s="36">
        <f t="shared" si="59"/>
        <v>45678.741935483864</v>
      </c>
      <c r="Z32" s="203">
        <f>'B5'!C31</f>
        <v>200</v>
      </c>
      <c r="AA32" s="203">
        <f t="shared" si="30"/>
        <v>2000</v>
      </c>
      <c r="AB32" s="203">
        <f t="shared" si="60"/>
        <v>200</v>
      </c>
      <c r="AC32" s="203">
        <f t="shared" si="30"/>
        <v>2000</v>
      </c>
      <c r="AD32" s="203">
        <f t="shared" si="61"/>
        <v>200</v>
      </c>
      <c r="AE32" s="203">
        <f t="shared" si="11"/>
        <v>2000</v>
      </c>
      <c r="AF32" s="203">
        <f t="shared" si="62"/>
        <v>200</v>
      </c>
      <c r="AG32" s="203">
        <f t="shared" si="12"/>
        <v>2000</v>
      </c>
      <c r="AH32" s="203">
        <f t="shared" si="63"/>
        <v>200</v>
      </c>
      <c r="AI32" s="203">
        <f t="shared" si="13"/>
        <v>2000</v>
      </c>
      <c r="AJ32" s="203">
        <f t="shared" si="64"/>
        <v>200</v>
      </c>
      <c r="AK32" s="203">
        <f t="shared" si="14"/>
        <v>2000</v>
      </c>
      <c r="AL32" s="203">
        <f t="shared" si="65"/>
        <v>200</v>
      </c>
      <c r="AM32" s="203">
        <f t="shared" si="15"/>
        <v>2000</v>
      </c>
      <c r="AN32" s="35">
        <f t="shared" si="66"/>
        <v>0.7142857142857143</v>
      </c>
      <c r="AO32" s="36">
        <f t="shared" si="67"/>
        <v>14000</v>
      </c>
      <c r="AQ32" s="223">
        <f t="shared" si="37"/>
        <v>0.64191397155516683</v>
      </c>
      <c r="AR32" s="38">
        <f t="shared" si="38"/>
        <v>59678.741935483864</v>
      </c>
      <c r="AS32" s="197">
        <f t="shared" si="47"/>
        <v>0</v>
      </c>
      <c r="AT32" s="340"/>
      <c r="AU32" s="549"/>
      <c r="AV32" s="485">
        <f>IF(AT32&gt;0,AU32,AV31)</f>
        <v>0.63800000000000001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44589</v>
      </c>
      <c r="B33">
        <f>'B5'!B32</f>
        <v>193</v>
      </c>
      <c r="C33" s="203">
        <f t="shared" si="18"/>
        <v>4152.6129032258068</v>
      </c>
      <c r="D33">
        <f t="shared" si="48"/>
        <v>193</v>
      </c>
      <c r="E33" s="203">
        <f t="shared" si="18"/>
        <v>4152.6129032258068</v>
      </c>
      <c r="F33">
        <f t="shared" si="49"/>
        <v>193</v>
      </c>
      <c r="G33" s="203">
        <f t="shared" si="1"/>
        <v>4152.6129032258068</v>
      </c>
      <c r="H33" s="203">
        <f t="shared" si="50"/>
        <v>193</v>
      </c>
      <c r="I33" s="203">
        <f t="shared" si="2"/>
        <v>4152.6129032258068</v>
      </c>
      <c r="J33" s="203">
        <f t="shared" si="51"/>
        <v>193</v>
      </c>
      <c r="K33" s="203">
        <f t="shared" si="3"/>
        <v>4152.6129032258068</v>
      </c>
      <c r="L33" s="203">
        <f t="shared" si="52"/>
        <v>193</v>
      </c>
      <c r="M33" s="203">
        <f t="shared" si="4"/>
        <v>4152.6129032258068</v>
      </c>
      <c r="N33" s="203">
        <f t="shared" si="53"/>
        <v>193</v>
      </c>
      <c r="O33" s="203">
        <f t="shared" si="5"/>
        <v>4152.6129032258068</v>
      </c>
      <c r="P33" s="203">
        <f t="shared" si="54"/>
        <v>193</v>
      </c>
      <c r="Q33" s="203">
        <f t="shared" si="6"/>
        <v>4152.6129032258068</v>
      </c>
      <c r="R33" s="203">
        <f t="shared" si="55"/>
        <v>193</v>
      </c>
      <c r="S33" s="203">
        <f t="shared" si="7"/>
        <v>4152.6129032258068</v>
      </c>
      <c r="T33" s="203">
        <f t="shared" si="56"/>
        <v>193</v>
      </c>
      <c r="U33" s="203">
        <f t="shared" si="8"/>
        <v>4152.6129032258068</v>
      </c>
      <c r="V33" s="203">
        <f t="shared" si="57"/>
        <v>193</v>
      </c>
      <c r="W33" s="203">
        <f t="shared" si="9"/>
        <v>4152.6129032258068</v>
      </c>
      <c r="X33" s="35">
        <f t="shared" si="58"/>
        <v>0.62258064516129019</v>
      </c>
      <c r="Y33" s="36">
        <f t="shared" si="59"/>
        <v>45678.741935483864</v>
      </c>
      <c r="Z33" s="203">
        <f>'B5'!C32</f>
        <v>200</v>
      </c>
      <c r="AA33" s="203">
        <f t="shared" si="30"/>
        <v>2000</v>
      </c>
      <c r="AB33" s="203">
        <f t="shared" si="60"/>
        <v>200</v>
      </c>
      <c r="AC33" s="203">
        <f t="shared" si="30"/>
        <v>2000</v>
      </c>
      <c r="AD33" s="203">
        <f t="shared" si="61"/>
        <v>200</v>
      </c>
      <c r="AE33" s="203">
        <f t="shared" si="11"/>
        <v>2000</v>
      </c>
      <c r="AF33" s="203">
        <f t="shared" si="62"/>
        <v>200</v>
      </c>
      <c r="AG33" s="203">
        <f t="shared" si="12"/>
        <v>2000</v>
      </c>
      <c r="AH33" s="203">
        <f t="shared" si="63"/>
        <v>200</v>
      </c>
      <c r="AI33" s="203">
        <f t="shared" si="13"/>
        <v>2000</v>
      </c>
      <c r="AJ33" s="203">
        <f t="shared" si="64"/>
        <v>200</v>
      </c>
      <c r="AK33" s="203">
        <f t="shared" si="14"/>
        <v>2000</v>
      </c>
      <c r="AL33" s="203">
        <f t="shared" si="65"/>
        <v>200</v>
      </c>
      <c r="AM33" s="203">
        <f t="shared" si="15"/>
        <v>2000</v>
      </c>
      <c r="AN33" s="35">
        <f t="shared" si="66"/>
        <v>0.7142857142857143</v>
      </c>
      <c r="AO33" s="36">
        <f t="shared" si="67"/>
        <v>14000</v>
      </c>
      <c r="AQ33" s="223">
        <f t="shared" si="37"/>
        <v>0.64191397155516683</v>
      </c>
      <c r="AR33" s="38">
        <f t="shared" si="38"/>
        <v>59678.741935483864</v>
      </c>
      <c r="AS33" s="197">
        <f>SUM(AR33-AR32-AT33)</f>
        <v>0</v>
      </c>
      <c r="AT33" s="340"/>
      <c r="AU33" s="549"/>
      <c r="AV33" s="485">
        <f>IF(AT33&gt;0,AU33,AV32)</f>
        <v>0.63800000000000001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44590</v>
      </c>
      <c r="B34">
        <f>'B5'!B33</f>
        <v>193</v>
      </c>
      <c r="C34" s="203">
        <f>B34*$B$4</f>
        <v>4152.6129032258068</v>
      </c>
      <c r="D34">
        <f t="shared" si="48"/>
        <v>193</v>
      </c>
      <c r="E34" s="203">
        <f>D34*$B$4</f>
        <v>4152.6129032258068</v>
      </c>
      <c r="F34">
        <f t="shared" si="49"/>
        <v>193</v>
      </c>
      <c r="G34" s="203">
        <f>F34*$B$4</f>
        <v>4152.6129032258068</v>
      </c>
      <c r="H34" s="203">
        <f t="shared" si="50"/>
        <v>193</v>
      </c>
      <c r="I34" s="203">
        <f>H34*$B$4</f>
        <v>4152.6129032258068</v>
      </c>
      <c r="J34" s="203">
        <f t="shared" si="51"/>
        <v>193</v>
      </c>
      <c r="K34" s="203">
        <f>J34*$B$4</f>
        <v>4152.6129032258068</v>
      </c>
      <c r="L34" s="203">
        <f t="shared" si="52"/>
        <v>193</v>
      </c>
      <c r="M34" s="203">
        <f>L34*$B$4</f>
        <v>4152.6129032258068</v>
      </c>
      <c r="N34" s="203">
        <f t="shared" si="53"/>
        <v>193</v>
      </c>
      <c r="O34" s="203">
        <f>N34*$B$4</f>
        <v>4152.6129032258068</v>
      </c>
      <c r="P34" s="203">
        <f t="shared" si="54"/>
        <v>193</v>
      </c>
      <c r="Q34" s="203">
        <f>P34*$B$4</f>
        <v>4152.6129032258068</v>
      </c>
      <c r="R34" s="203">
        <f t="shared" si="55"/>
        <v>193</v>
      </c>
      <c r="S34" s="203">
        <f>R34*$B$4</f>
        <v>4152.6129032258068</v>
      </c>
      <c r="T34" s="203">
        <f t="shared" si="56"/>
        <v>193</v>
      </c>
      <c r="U34" s="203">
        <f>T34*$B$4</f>
        <v>4152.6129032258068</v>
      </c>
      <c r="V34" s="203">
        <f t="shared" si="57"/>
        <v>193</v>
      </c>
      <c r="W34" s="203">
        <f>V34*$B$4</f>
        <v>4152.6129032258068</v>
      </c>
      <c r="X34" s="35">
        <f t="shared" si="58"/>
        <v>0.62258064516129019</v>
      </c>
      <c r="Y34" s="36">
        <f t="shared" si="59"/>
        <v>45678.741935483864</v>
      </c>
      <c r="Z34" s="203">
        <f>'B5'!C33</f>
        <v>200</v>
      </c>
      <c r="AA34" s="203">
        <f>SUM(Z34*$Z$4)</f>
        <v>2000</v>
      </c>
      <c r="AB34" s="203">
        <f t="shared" si="60"/>
        <v>200</v>
      </c>
      <c r="AC34" s="203">
        <f>SUM(AB34*$Z$4)</f>
        <v>2000</v>
      </c>
      <c r="AD34" s="203">
        <f t="shared" si="61"/>
        <v>200</v>
      </c>
      <c r="AE34" s="203">
        <f>SUM(AD34*$Z$4)</f>
        <v>2000</v>
      </c>
      <c r="AF34" s="203">
        <f t="shared" si="62"/>
        <v>200</v>
      </c>
      <c r="AG34" s="203">
        <f>SUM(AF34*$Z$4)</f>
        <v>2000</v>
      </c>
      <c r="AH34" s="203">
        <f t="shared" si="63"/>
        <v>200</v>
      </c>
      <c r="AI34" s="203">
        <f>SUM(AH34*$Z$4)</f>
        <v>2000</v>
      </c>
      <c r="AJ34" s="203">
        <f t="shared" si="64"/>
        <v>200</v>
      </c>
      <c r="AK34" s="203">
        <f>SUM(AJ34*$Z$4)</f>
        <v>2000</v>
      </c>
      <c r="AL34" s="203">
        <f t="shared" si="65"/>
        <v>200</v>
      </c>
      <c r="AM34" s="203">
        <f>SUM(AL34*$Z$4)</f>
        <v>2000</v>
      </c>
      <c r="AN34" s="35">
        <f t="shared" si="66"/>
        <v>0.7142857142857143</v>
      </c>
      <c r="AO34" s="36">
        <f t="shared" si="67"/>
        <v>14000</v>
      </c>
      <c r="AQ34" s="223">
        <f>SUM(AR34/92970)</f>
        <v>0.64191397155516683</v>
      </c>
      <c r="AR34" s="38">
        <f t="shared" si="38"/>
        <v>59678.741935483864</v>
      </c>
      <c r="AS34" s="197">
        <f t="shared" si="47"/>
        <v>0</v>
      </c>
      <c r="AT34" s="340"/>
      <c r="AU34" s="549"/>
      <c r="AV34" s="485">
        <f>IF(AT34&gt;0,AU34,AV33)</f>
        <v>0.63800000000000001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44591</v>
      </c>
      <c r="B35">
        <f>'B5'!B34</f>
        <v>193</v>
      </c>
      <c r="C35" s="203">
        <f>B35*$B$4</f>
        <v>4152.6129032258068</v>
      </c>
      <c r="D35">
        <f t="shared" si="48"/>
        <v>193</v>
      </c>
      <c r="E35" s="203">
        <f>D35*$B$4</f>
        <v>4152.6129032258068</v>
      </c>
      <c r="F35">
        <f t="shared" si="49"/>
        <v>193</v>
      </c>
      <c r="G35" s="203">
        <f>F35*$B$4</f>
        <v>4152.6129032258068</v>
      </c>
      <c r="H35" s="203">
        <f t="shared" si="50"/>
        <v>193</v>
      </c>
      <c r="I35" s="203">
        <f>H35*$B$4</f>
        <v>4152.6129032258068</v>
      </c>
      <c r="J35" s="203">
        <f t="shared" si="51"/>
        <v>193</v>
      </c>
      <c r="K35" s="203">
        <f>J35*$B$4</f>
        <v>4152.6129032258068</v>
      </c>
      <c r="L35" s="203">
        <f t="shared" si="52"/>
        <v>193</v>
      </c>
      <c r="M35" s="203">
        <f>L35*$B$4</f>
        <v>4152.6129032258068</v>
      </c>
      <c r="N35" s="203">
        <f t="shared" si="53"/>
        <v>193</v>
      </c>
      <c r="O35" s="203">
        <f>N35*$B$4</f>
        <v>4152.6129032258068</v>
      </c>
      <c r="P35" s="203">
        <f t="shared" si="54"/>
        <v>193</v>
      </c>
      <c r="Q35" s="203">
        <f>P35*$B$4</f>
        <v>4152.6129032258068</v>
      </c>
      <c r="R35" s="203">
        <f t="shared" si="55"/>
        <v>193</v>
      </c>
      <c r="S35" s="203">
        <f>R35*$B$4</f>
        <v>4152.6129032258068</v>
      </c>
      <c r="T35" s="203">
        <f t="shared" si="56"/>
        <v>193</v>
      </c>
      <c r="U35" s="203">
        <f>T35*$B$4</f>
        <v>4152.6129032258068</v>
      </c>
      <c r="V35" s="203">
        <f t="shared" si="57"/>
        <v>193</v>
      </c>
      <c r="W35" s="203">
        <f>V35*$B$4</f>
        <v>4152.6129032258068</v>
      </c>
      <c r="X35" s="35">
        <f t="shared" si="58"/>
        <v>0.62258064516129019</v>
      </c>
      <c r="Y35" s="36">
        <f t="shared" si="59"/>
        <v>45678.741935483864</v>
      </c>
      <c r="Z35" s="203">
        <f>'B5'!C34</f>
        <v>200</v>
      </c>
      <c r="AA35" s="203">
        <f>SUM(Z35*$Z$4)</f>
        <v>2000</v>
      </c>
      <c r="AB35" s="203">
        <f t="shared" si="60"/>
        <v>200</v>
      </c>
      <c r="AC35" s="203">
        <f>SUM(AB35*$Z$4)</f>
        <v>2000</v>
      </c>
      <c r="AD35" s="203">
        <f t="shared" si="61"/>
        <v>200</v>
      </c>
      <c r="AE35" s="203">
        <f>SUM(AD35*$Z$4)</f>
        <v>2000</v>
      </c>
      <c r="AF35" s="203">
        <f t="shared" si="62"/>
        <v>200</v>
      </c>
      <c r="AG35" s="203">
        <f>SUM(AF35*$Z$4)</f>
        <v>2000</v>
      </c>
      <c r="AH35" s="203">
        <f t="shared" si="63"/>
        <v>200</v>
      </c>
      <c r="AI35" s="203">
        <f>SUM(AH35*$Z$4)</f>
        <v>2000</v>
      </c>
      <c r="AJ35" s="203">
        <f t="shared" si="64"/>
        <v>200</v>
      </c>
      <c r="AK35" s="203">
        <f>SUM(AJ35*$Z$4)</f>
        <v>2000</v>
      </c>
      <c r="AL35" s="203">
        <f t="shared" si="65"/>
        <v>200</v>
      </c>
      <c r="AM35" s="203">
        <f>SUM(AL35*$Z$4)</f>
        <v>2000</v>
      </c>
      <c r="AN35" s="35">
        <f t="shared" si="66"/>
        <v>0.7142857142857143</v>
      </c>
      <c r="AO35" s="36">
        <f t="shared" si="67"/>
        <v>14000</v>
      </c>
      <c r="AQ35" s="223">
        <f>SUM(AR35/92970)</f>
        <v>0.64191397155516683</v>
      </c>
      <c r="AR35" s="38">
        <f t="shared" si="38"/>
        <v>59678.741935483864</v>
      </c>
      <c r="AS35" s="197">
        <f t="shared" si="47"/>
        <v>0</v>
      </c>
      <c r="AT35" s="340"/>
      <c r="AU35" s="549"/>
      <c r="AV35" s="539">
        <f>IF(AT35&gt;0,AU35,AV34)</f>
        <v>0.63800000000000001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44592</v>
      </c>
      <c r="B36">
        <f>'B5'!B35</f>
        <v>193</v>
      </c>
      <c r="C36" s="203">
        <f>B36*$B$4</f>
        <v>4152.6129032258068</v>
      </c>
      <c r="D36">
        <f t="shared" ref="D36" si="68">SUM(B36)</f>
        <v>193</v>
      </c>
      <c r="E36" s="203">
        <f>D36*$B$4</f>
        <v>4152.6129032258068</v>
      </c>
      <c r="F36">
        <f t="shared" ref="F36" si="69">SUM(D36)</f>
        <v>193</v>
      </c>
      <c r="G36" s="203">
        <f>F36*$B$4</f>
        <v>4152.6129032258068</v>
      </c>
      <c r="H36" s="203">
        <f t="shared" ref="H36" si="70">SUM(F36)</f>
        <v>193</v>
      </c>
      <c r="I36" s="203">
        <f>H36*$B$4</f>
        <v>4152.6129032258068</v>
      </c>
      <c r="J36" s="203">
        <f t="shared" ref="J36" si="71">SUM(H36)</f>
        <v>193</v>
      </c>
      <c r="K36" s="203">
        <f>J36*$B$4</f>
        <v>4152.6129032258068</v>
      </c>
      <c r="L36" s="203">
        <f t="shared" ref="L36" si="72">SUM(J36)</f>
        <v>193</v>
      </c>
      <c r="M36" s="203">
        <f>L36*$B$4</f>
        <v>4152.6129032258068</v>
      </c>
      <c r="N36" s="203">
        <f t="shared" ref="N36" si="73">SUM(L36)</f>
        <v>193</v>
      </c>
      <c r="O36" s="203">
        <f>N36*$B$4</f>
        <v>4152.6129032258068</v>
      </c>
      <c r="P36" s="203">
        <f t="shared" ref="P36" si="74">SUM(N36)</f>
        <v>193</v>
      </c>
      <c r="Q36" s="203">
        <f>P36*$B$4</f>
        <v>4152.6129032258068</v>
      </c>
      <c r="R36" s="203">
        <f t="shared" ref="R36" si="75">SUM(P36)</f>
        <v>193</v>
      </c>
      <c r="S36" s="203">
        <f>R36*$B$4</f>
        <v>4152.6129032258068</v>
      </c>
      <c r="T36" s="203">
        <f t="shared" ref="T36" si="76">SUM(R36)</f>
        <v>193</v>
      </c>
      <c r="U36" s="203">
        <f>T36*$B$4</f>
        <v>4152.6129032258068</v>
      </c>
      <c r="V36" s="203">
        <f t="shared" ref="V36" si="77">SUM(T36)</f>
        <v>193</v>
      </c>
      <c r="W36" s="203">
        <f>V36*$B$4</f>
        <v>4152.6129032258068</v>
      </c>
      <c r="X36" s="35">
        <f t="shared" ref="X36" si="78">SUM(Y36/73370)</f>
        <v>0.62258064516129019</v>
      </c>
      <c r="Y36" s="36">
        <f t="shared" ref="Y36" si="79">SUM(C36+E36+G36+I36+K36+M36+O36+Q36+S36+U36+W36)</f>
        <v>45678.741935483864</v>
      </c>
      <c r="Z36" s="203">
        <f>'B5'!C35</f>
        <v>200</v>
      </c>
      <c r="AA36" s="203">
        <f>SUM(Z36*$Z$4)</f>
        <v>2000</v>
      </c>
      <c r="AB36" s="203">
        <f t="shared" ref="AB36" si="80">SUM(Z36)</f>
        <v>200</v>
      </c>
      <c r="AC36" s="203">
        <f>SUM(AB36*$Z$4)</f>
        <v>2000</v>
      </c>
      <c r="AD36" s="203">
        <f t="shared" ref="AD36" si="81">SUM(AB36)</f>
        <v>200</v>
      </c>
      <c r="AE36" s="203">
        <f>SUM(AD36*$Z$4)</f>
        <v>2000</v>
      </c>
      <c r="AF36" s="203">
        <f t="shared" ref="AF36" si="82">SUM(AD36)</f>
        <v>200</v>
      </c>
      <c r="AG36" s="203">
        <f>SUM(AF36*$Z$4)</f>
        <v>2000</v>
      </c>
      <c r="AH36" s="203">
        <f t="shared" ref="AH36" si="83">SUM(AF36)</f>
        <v>200</v>
      </c>
      <c r="AI36" s="203">
        <f>SUM(AH36*$Z$4)</f>
        <v>2000</v>
      </c>
      <c r="AJ36" s="203">
        <f t="shared" ref="AJ36" si="84">SUM(AH36)</f>
        <v>200</v>
      </c>
      <c r="AK36" s="203">
        <f>SUM(AJ36*$Z$4)</f>
        <v>2000</v>
      </c>
      <c r="AL36" s="203">
        <f t="shared" ref="AL36" si="85">SUM(AJ36)</f>
        <v>200</v>
      </c>
      <c r="AM36" s="203">
        <f>SUM(AL36*$Z$4)</f>
        <v>2000</v>
      </c>
      <c r="AN36" s="35">
        <f t="shared" ref="AN36" si="86">SUM(AO36/19600)</f>
        <v>0.7142857142857143</v>
      </c>
      <c r="AO36" s="36">
        <f t="shared" ref="AO36" si="87">SUM(AA36+AC36+AE36+AG36+AI36+AK36+AM36)</f>
        <v>14000</v>
      </c>
      <c r="AQ36" s="223">
        <f>SUM(AR36/92970)</f>
        <v>0.64191397155516683</v>
      </c>
      <c r="AR36" s="38">
        <f t="shared" si="38"/>
        <v>59678.741935483864</v>
      </c>
      <c r="AS36" s="197">
        <f t="shared" si="47"/>
        <v>0</v>
      </c>
      <c r="AT36" s="340"/>
      <c r="AU36" s="549"/>
      <c r="AV36" s="539">
        <f>IF(AT36&gt;0,AU36,AV35)</f>
        <v>0.63800000000000001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29361</v>
      </c>
      <c r="AU37" s="545">
        <f>SUM(AU6:AU36)/AS37</f>
        <v>0.63</v>
      </c>
      <c r="AX37" s="203">
        <f>SUM(AX6:AX36)</f>
        <v>-24877.709677419378</v>
      </c>
      <c r="AY37" s="203">
        <f>SUM(AY6:AY36)</f>
        <v>-30517.709677419378</v>
      </c>
    </row>
    <row r="38" spans="1:63">
      <c r="AS38" s="206"/>
      <c r="AT38" s="82">
        <f>+AT37*AU37</f>
        <v>18497.43</v>
      </c>
    </row>
    <row r="40" spans="1:63">
      <c r="AS40" s="165">
        <f>SUM(AS6:AS36)/'EDl log'!A35</f>
        <v>-3051.770967741938</v>
      </c>
      <c r="AT40" s="203"/>
    </row>
    <row r="41" spans="1:63">
      <c r="AX41">
        <v>43309</v>
      </c>
    </row>
    <row r="42" spans="1:63">
      <c r="AR42" s="203">
        <f>AR36-22000</f>
        <v>37678.741935483864</v>
      </c>
      <c r="AU42" s="203"/>
      <c r="AX42">
        <f>AX37/AX41</f>
        <v>-0.57442355347432117</v>
      </c>
    </row>
    <row r="43" spans="1:63">
      <c r="AR43">
        <f>AR42/5500</f>
        <v>6.8506803519061572</v>
      </c>
    </row>
    <row r="44" spans="1:63">
      <c r="AR44">
        <f>AR43*2</f>
        <v>13.701360703812314</v>
      </c>
    </row>
    <row r="45" spans="1:63">
      <c r="AR45" s="203"/>
    </row>
    <row r="46" spans="1:63">
      <c r="AT46" s="61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H31" sqref="H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44561</v>
      </c>
      <c r="B3" s="254">
        <f>'[2]EDl log'!B34</f>
        <v>1106905</v>
      </c>
      <c r="C3" s="254">
        <f>'[2]EDl log'!C34</f>
        <v>0</v>
      </c>
      <c r="D3" s="254">
        <f>'[2]EDl log'!D34</f>
        <v>0</v>
      </c>
      <c r="E3" s="254">
        <f>'[2]EDl log'!E34</f>
        <v>1106905</v>
      </c>
      <c r="F3" s="254">
        <f>'[2]EDl log'!F34</f>
        <v>160089</v>
      </c>
      <c r="G3" s="254">
        <f>'[2]EDl log'!G34</f>
        <v>0</v>
      </c>
      <c r="H3" s="254">
        <f>'[2]EDl log'!H34</f>
        <v>546590</v>
      </c>
      <c r="I3" s="254">
        <f>'[2]EDl log'!I34</f>
        <v>0</v>
      </c>
      <c r="J3" s="254">
        <f>'[2]EDl log'!J34</f>
        <v>400225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981.67374999998879</v>
      </c>
      <c r="R3" s="254">
        <f>'[2]EDl log'!R34</f>
        <v>1136.4767885705767</v>
      </c>
      <c r="S3" s="254">
        <f>'[2]EDl log'!S34</f>
        <v>3954</v>
      </c>
      <c r="T3" s="254">
        <f>'[2]EDl log'!T34</f>
        <v>0.28742457981046449</v>
      </c>
      <c r="Z3" t="s">
        <v>213</v>
      </c>
      <c r="AA3">
        <v>0.1</v>
      </c>
    </row>
    <row r="4" spans="1:32" ht="20.100000000000001" customHeight="1">
      <c r="A4" s="163">
        <f>ELEC!C4</f>
        <v>44562</v>
      </c>
      <c r="B4" s="536">
        <f>B3</f>
        <v>1106905</v>
      </c>
      <c r="C4" s="254">
        <f t="shared" ref="C4:C30" si="0">SUM(B4-B3)</f>
        <v>0</v>
      </c>
      <c r="D4" s="295">
        <f>SUM(G4+I4+K4)</f>
        <v>0</v>
      </c>
      <c r="E4" s="295">
        <f>B3+D4</f>
        <v>1106905</v>
      </c>
      <c r="F4" s="540">
        <f>F3</f>
        <v>160089</v>
      </c>
      <c r="G4" s="160">
        <f t="shared" ref="G4:G30" si="1">F4-F3</f>
        <v>0</v>
      </c>
      <c r="H4" s="540">
        <f>H3</f>
        <v>546590</v>
      </c>
      <c r="I4" s="161">
        <f t="shared" ref="I4:I30" si="2">H4-H3</f>
        <v>0</v>
      </c>
      <c r="J4" s="593">
        <f>J3</f>
        <v>400225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44551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44563</v>
      </c>
      <c r="B5" s="618">
        <f t="shared" ref="B5:B34" si="7">B4</f>
        <v>1106905</v>
      </c>
      <c r="C5" s="254">
        <f t="shared" si="0"/>
        <v>0</v>
      </c>
      <c r="D5" s="295">
        <f>SUM(G5+I5+K5)</f>
        <v>0</v>
      </c>
      <c r="E5" s="295">
        <f>B4+D5</f>
        <v>1106905</v>
      </c>
      <c r="F5" s="618">
        <f t="shared" ref="F5:F34" si="8">F4</f>
        <v>160089</v>
      </c>
      <c r="G5" s="160">
        <f t="shared" si="1"/>
        <v>0</v>
      </c>
      <c r="H5" s="618">
        <f t="shared" ref="H5:H34" si="9">H4</f>
        <v>546590</v>
      </c>
      <c r="I5" s="161">
        <f t="shared" si="2"/>
        <v>0</v>
      </c>
      <c r="J5" s="618">
        <f t="shared" ref="J5:J34" si="10">J4</f>
        <v>400225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44564</v>
      </c>
      <c r="B6" s="618">
        <f t="shared" si="7"/>
        <v>1106905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1106905</v>
      </c>
      <c r="F6" s="618">
        <f t="shared" si="8"/>
        <v>160089</v>
      </c>
      <c r="G6" s="160">
        <f t="shared" si="1"/>
        <v>0</v>
      </c>
      <c r="H6" s="618">
        <f t="shared" si="9"/>
        <v>546590</v>
      </c>
      <c r="I6" s="161">
        <f t="shared" si="2"/>
        <v>0</v>
      </c>
      <c r="J6" s="618">
        <f t="shared" si="10"/>
        <v>400225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44565</v>
      </c>
      <c r="B7" s="618">
        <v>1107276</v>
      </c>
      <c r="C7" s="254">
        <f t="shared" si="0"/>
        <v>371</v>
      </c>
      <c r="D7" s="295">
        <f t="shared" si="14"/>
        <v>371</v>
      </c>
      <c r="E7" s="295">
        <f t="shared" si="15"/>
        <v>1107276</v>
      </c>
      <c r="F7" s="618">
        <v>160135</v>
      </c>
      <c r="G7" s="160">
        <f t="shared" si="1"/>
        <v>46</v>
      </c>
      <c r="H7" s="618">
        <v>546834</v>
      </c>
      <c r="I7" s="161">
        <f t="shared" si="2"/>
        <v>244</v>
      </c>
      <c r="J7" s="618">
        <v>400306</v>
      </c>
      <c r="K7" s="162">
        <f t="shared" si="11"/>
        <v>81</v>
      </c>
      <c r="L7" s="284">
        <f t="shared" si="3"/>
        <v>9.7645107794361525</v>
      </c>
      <c r="M7" s="284">
        <f t="shared" si="4"/>
        <v>18.128026533996682</v>
      </c>
      <c r="N7" s="284">
        <f t="shared" si="5"/>
        <v>4.2985074626865671</v>
      </c>
      <c r="O7" s="284">
        <f t="shared" si="6"/>
        <v>154.80303857058792</v>
      </c>
      <c r="P7" s="285">
        <f t="shared" si="12"/>
        <v>186.99408334670733</v>
      </c>
      <c r="Q7" s="285">
        <f>SUM(-tanks!AX9*tanks!$AU$37)</f>
        <v>1694.7609677419475</v>
      </c>
      <c r="R7" s="285">
        <f t="shared" si="13"/>
        <v>1881.7550510886549</v>
      </c>
      <c r="S7" s="287">
        <f>SUM(ELEC!N7)</f>
        <v>6258</v>
      </c>
      <c r="T7" s="321">
        <f t="shared" si="16"/>
        <v>0.30069591739991292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44566</v>
      </c>
      <c r="B8" s="618">
        <f t="shared" si="7"/>
        <v>1107276</v>
      </c>
      <c r="C8" s="254">
        <f t="shared" si="0"/>
        <v>0</v>
      </c>
      <c r="D8" s="295">
        <f t="shared" si="14"/>
        <v>0</v>
      </c>
      <c r="E8" s="295">
        <f t="shared" si="15"/>
        <v>1107276</v>
      </c>
      <c r="F8" s="618">
        <f t="shared" si="8"/>
        <v>160135</v>
      </c>
      <c r="G8" s="160">
        <f t="shared" si="1"/>
        <v>0</v>
      </c>
      <c r="H8" s="618">
        <f t="shared" si="9"/>
        <v>546834</v>
      </c>
      <c r="I8" s="161">
        <f t="shared" si="2"/>
        <v>0</v>
      </c>
      <c r="J8" s="618">
        <f t="shared" si="10"/>
        <v>400306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1514.7841935483841</v>
      </c>
      <c r="R8" s="285">
        <f t="shared" si="13"/>
        <v>1669.587232118972</v>
      </c>
      <c r="S8" s="287">
        <f>SUM(ELEC!N8)</f>
        <v>5739</v>
      </c>
      <c r="T8" s="321">
        <f>IF(S8&gt;0,R8/S8,0)</f>
        <v>0.2909195386163046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44567</v>
      </c>
      <c r="B9" s="618">
        <v>1107556</v>
      </c>
      <c r="C9" s="254">
        <f t="shared" si="0"/>
        <v>280</v>
      </c>
      <c r="D9" s="295">
        <f t="shared" si="14"/>
        <v>280</v>
      </c>
      <c r="E9" s="295">
        <f t="shared" si="15"/>
        <v>1107556</v>
      </c>
      <c r="F9" s="618">
        <v>160188</v>
      </c>
      <c r="G9" s="160">
        <f t="shared" si="1"/>
        <v>53</v>
      </c>
      <c r="H9" s="618">
        <v>547002</v>
      </c>
      <c r="I9" s="161">
        <f t="shared" si="2"/>
        <v>168</v>
      </c>
      <c r="J9" s="618">
        <v>400365</v>
      </c>
      <c r="K9" s="162">
        <f>J9-J8</f>
        <v>59</v>
      </c>
      <c r="L9" s="284">
        <f t="shared" si="3"/>
        <v>11.250414593698176</v>
      </c>
      <c r="M9" s="284">
        <f t="shared" si="4"/>
        <v>12.481592039800995</v>
      </c>
      <c r="N9" s="284">
        <f t="shared" si="5"/>
        <v>3.1310116086235489</v>
      </c>
      <c r="O9" s="284">
        <f t="shared" si="6"/>
        <v>154.80303857058792</v>
      </c>
      <c r="P9" s="285">
        <f t="shared" si="12"/>
        <v>181.66605681271062</v>
      </c>
      <c r="Q9" s="285">
        <f>SUM(-tanks!AX11*tanks!$AU$37)</f>
        <v>146.15999999999542</v>
      </c>
      <c r="R9" s="285">
        <f>SUM(P9:Q9)</f>
        <v>327.82605681270604</v>
      </c>
      <c r="S9" s="287">
        <f>SUM(ELEC!N9)</f>
        <v>5459</v>
      </c>
      <c r="T9" s="321">
        <f t="shared" si="16"/>
        <v>6.0052400954882956E-2</v>
      </c>
      <c r="V9" s="246">
        <f>'[2]EDl log'!V26</f>
        <v>399616</v>
      </c>
      <c r="W9" s="246">
        <f>'[2]EDl log'!W26</f>
        <v>400225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609</v>
      </c>
      <c r="AB9" s="172">
        <f>'[2]EDl log'!AB26</f>
        <v>48720</v>
      </c>
      <c r="AC9" s="172">
        <f>'[2]EDl log'!AC26</f>
        <v>1033333</v>
      </c>
      <c r="AD9" s="378">
        <f>'[2]EDl log'!AD26</f>
        <v>0.15433350228079068</v>
      </c>
      <c r="AE9" s="172"/>
      <c r="AF9" s="172"/>
    </row>
    <row r="10" spans="1:32" ht="20.100000000000001" customHeight="1">
      <c r="A10" s="163">
        <f>ELEC!C10</f>
        <v>44568</v>
      </c>
      <c r="B10" s="618">
        <f t="shared" si="7"/>
        <v>1107556</v>
      </c>
      <c r="C10" s="254">
        <f t="shared" si="0"/>
        <v>0</v>
      </c>
      <c r="D10" s="295">
        <f t="shared" si="14"/>
        <v>0</v>
      </c>
      <c r="E10" s="295">
        <f t="shared" si="15"/>
        <v>1107556</v>
      </c>
      <c r="F10" s="618">
        <f t="shared" si="8"/>
        <v>160188</v>
      </c>
      <c r="G10" s="160">
        <f t="shared" si="1"/>
        <v>0</v>
      </c>
      <c r="H10" s="618">
        <f t="shared" si="9"/>
        <v>547002</v>
      </c>
      <c r="I10" s="161">
        <f t="shared" si="2"/>
        <v>0</v>
      </c>
      <c r="J10" s="618">
        <f t="shared" si="10"/>
        <v>400365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543471</v>
      </c>
      <c r="W10" s="246">
        <f>'[2]EDl log'!W27</f>
        <v>546590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3119</v>
      </c>
      <c r="AB10" s="172">
        <f>'[2]EDl log'!AB27</f>
        <v>349328</v>
      </c>
      <c r="AC10" s="172">
        <f>'[2]EDl log'!AC27</f>
        <v>6200000</v>
      </c>
      <c r="AD10" s="378">
        <f>'[2]EDl log'!AD27</f>
        <v>0.79042067916877856</v>
      </c>
      <c r="AE10" s="172"/>
      <c r="AF10" s="172"/>
    </row>
    <row r="11" spans="1:32" ht="20.100000000000001" customHeight="1">
      <c r="A11" s="163">
        <f>ELEC!C11</f>
        <v>44569</v>
      </c>
      <c r="B11" s="618">
        <f t="shared" si="7"/>
        <v>1107556</v>
      </c>
      <c r="C11" s="254">
        <f t="shared" si="0"/>
        <v>0</v>
      </c>
      <c r="D11" s="295">
        <f t="shared" si="14"/>
        <v>0</v>
      </c>
      <c r="E11" s="295">
        <f t="shared" si="15"/>
        <v>1107556</v>
      </c>
      <c r="F11" s="618">
        <f t="shared" si="8"/>
        <v>160188</v>
      </c>
      <c r="G11" s="160">
        <f t="shared" si="1"/>
        <v>0</v>
      </c>
      <c r="H11" s="618">
        <f t="shared" si="9"/>
        <v>547002</v>
      </c>
      <c r="I11" s="161">
        <f t="shared" si="2"/>
        <v>0</v>
      </c>
      <c r="J11" s="618">
        <f t="shared" si="10"/>
        <v>400365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159873</v>
      </c>
      <c r="W11" s="246">
        <f>'[2]EDl log'!W28</f>
        <v>160089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216</v>
      </c>
      <c r="AB11" s="172">
        <f>'[2]EDl log'!AB28</f>
        <v>69120</v>
      </c>
      <c r="AC11" s="172">
        <f>'[2]EDl log'!AC28</f>
        <v>1000</v>
      </c>
      <c r="AD11" s="378">
        <f>'[2]EDl log'!AD28</f>
        <v>5.4738976178408512E-2</v>
      </c>
      <c r="AE11" s="172">
        <f>'[2]EDl log'!AE28</f>
        <v>3456</v>
      </c>
      <c r="AF11" s="172">
        <f>'[2]EDl log'!AF28</f>
        <v>15305.142857142857</v>
      </c>
    </row>
    <row r="12" spans="1:32" ht="20.100000000000001" customHeight="1">
      <c r="A12" s="163">
        <f>ELEC!C12</f>
        <v>44570</v>
      </c>
      <c r="B12" s="618">
        <f t="shared" si="7"/>
        <v>1107556</v>
      </c>
      <c r="C12" s="254">
        <f t="shared" si="0"/>
        <v>0</v>
      </c>
      <c r="D12" s="295">
        <f t="shared" si="14"/>
        <v>0</v>
      </c>
      <c r="E12" s="295">
        <f t="shared" si="15"/>
        <v>1107556</v>
      </c>
      <c r="F12" s="618">
        <f t="shared" si="8"/>
        <v>160188</v>
      </c>
      <c r="G12" s="160">
        <f t="shared" si="1"/>
        <v>0</v>
      </c>
      <c r="H12" s="618">
        <f t="shared" si="9"/>
        <v>547002</v>
      </c>
      <c r="I12" s="161">
        <f t="shared" si="2"/>
        <v>0</v>
      </c>
      <c r="J12" s="618">
        <f t="shared" si="10"/>
        <v>400365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1235.267419354848</v>
      </c>
      <c r="R12" s="285">
        <f t="shared" si="13"/>
        <v>1390.0704579254359</v>
      </c>
      <c r="S12" s="287">
        <f>SUM(ELEC!N12)</f>
        <v>5541</v>
      </c>
      <c r="T12" s="321">
        <f t="shared" si="16"/>
        <v>0.25086996172630138</v>
      </c>
      <c r="V12" s="213"/>
      <c r="W12" s="214"/>
      <c r="X12" s="214"/>
      <c r="Y12" s="215"/>
      <c r="Z12" s="3"/>
      <c r="AA12" s="323">
        <f>SUM(AA9:AA11)</f>
        <v>3944</v>
      </c>
      <c r="AB12" s="172">
        <f>'[2]EDl log'!AB29</f>
        <v>467168</v>
      </c>
      <c r="AC12" s="172">
        <f>'[2]EDl log'!AC29</f>
        <v>7234333</v>
      </c>
    </row>
    <row r="13" spans="1:32" ht="20.100000000000001" customHeight="1">
      <c r="A13" s="163">
        <f>ELEC!C13</f>
        <v>44571</v>
      </c>
      <c r="B13" s="618">
        <v>1107839</v>
      </c>
      <c r="C13" s="254">
        <f t="shared" si="0"/>
        <v>283</v>
      </c>
      <c r="D13" s="295">
        <f t="shared" si="14"/>
        <v>282</v>
      </c>
      <c r="E13" s="295">
        <f t="shared" si="15"/>
        <v>1107838</v>
      </c>
      <c r="F13" s="620">
        <f t="shared" si="8"/>
        <v>160188</v>
      </c>
      <c r="G13" s="160">
        <f t="shared" si="1"/>
        <v>0</v>
      </c>
      <c r="H13" s="618">
        <v>547283</v>
      </c>
      <c r="I13" s="161">
        <f t="shared" si="2"/>
        <v>281</v>
      </c>
      <c r="J13" s="618">
        <v>400366</v>
      </c>
      <c r="K13" s="162">
        <f t="shared" si="11"/>
        <v>1</v>
      </c>
      <c r="L13" s="284">
        <f t="shared" si="3"/>
        <v>0</v>
      </c>
      <c r="M13" s="284">
        <f t="shared" si="4"/>
        <v>20.876948590381428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175.73305515433583</v>
      </c>
      <c r="Q13" s="285">
        <f>SUM(-tanks!AX15*tanks!$AU$37)</f>
        <v>1081.547419354825</v>
      </c>
      <c r="R13" s="285">
        <f t="shared" si="13"/>
        <v>1257.2804745091607</v>
      </c>
      <c r="S13" s="287">
        <f>SUM(ELEC!N13)</f>
        <v>5044</v>
      </c>
      <c r="T13" s="321">
        <f>IF(S13&gt;0,R13/S13,0)</f>
        <v>0.24926258416121347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/>
      <c r="AB13" s="172">
        <f>'[2]EDl log'!AB30</f>
        <v>7701501</v>
      </c>
      <c r="AC13" s="172"/>
    </row>
    <row r="14" spans="1:32" ht="20.100000000000001" customHeight="1">
      <c r="A14" s="163">
        <f>ELEC!C14</f>
        <v>44572</v>
      </c>
      <c r="B14" s="618">
        <f t="shared" si="7"/>
        <v>1107839</v>
      </c>
      <c r="C14" s="254">
        <f t="shared" si="0"/>
        <v>0</v>
      </c>
      <c r="D14" s="295">
        <f t="shared" si="14"/>
        <v>0</v>
      </c>
      <c r="E14" s="295">
        <f t="shared" si="15"/>
        <v>1107839</v>
      </c>
      <c r="F14" s="620">
        <f t="shared" si="8"/>
        <v>160188</v>
      </c>
      <c r="G14" s="160">
        <f t="shared" si="1"/>
        <v>0</v>
      </c>
      <c r="H14" s="618">
        <f t="shared" si="9"/>
        <v>547283</v>
      </c>
      <c r="I14" s="161">
        <f t="shared" si="2"/>
        <v>0</v>
      </c>
      <c r="J14" s="618">
        <f t="shared" si="10"/>
        <v>400366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1309.6074193548573</v>
      </c>
      <c r="R14" s="285">
        <f>SUM(P14:Q14)</f>
        <v>1464.4104579254451</v>
      </c>
      <c r="S14" s="287">
        <f>SUM(ELEC!N14)</f>
        <v>5374</v>
      </c>
      <c r="T14" s="321">
        <f>IF(S14&gt;0,R14/S14,0)</f>
        <v>0.27249915480562803</v>
      </c>
      <c r="V14" s="216"/>
      <c r="W14" s="514"/>
      <c r="X14" s="217"/>
      <c r="Y14" s="218"/>
      <c r="Z14" s="3"/>
      <c r="AA14" s="323"/>
      <c r="AB14" s="172"/>
      <c r="AC14" s="172"/>
    </row>
    <row r="15" spans="1:32" ht="20.100000000000001" customHeight="1">
      <c r="A15" s="163">
        <f>ELEC!C15</f>
        <v>44573</v>
      </c>
      <c r="B15" s="618">
        <f t="shared" si="7"/>
        <v>1107839</v>
      </c>
      <c r="C15" s="254">
        <f t="shared" si="0"/>
        <v>0</v>
      </c>
      <c r="D15" s="295">
        <f t="shared" si="14"/>
        <v>0</v>
      </c>
      <c r="E15" s="295">
        <f t="shared" si="15"/>
        <v>1107839</v>
      </c>
      <c r="F15" s="618">
        <f t="shared" si="8"/>
        <v>160188</v>
      </c>
      <c r="G15" s="160">
        <f t="shared" si="1"/>
        <v>0</v>
      </c>
      <c r="H15" s="618">
        <f t="shared" si="9"/>
        <v>547283</v>
      </c>
      <c r="I15" s="161">
        <f t="shared" si="2"/>
        <v>0</v>
      </c>
      <c r="J15" s="618">
        <f t="shared" si="10"/>
        <v>400366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238</v>
      </c>
      <c r="X15" s="222">
        <f>'[2]EDl log'!$X$32</f>
        <v>21.636363636363637</v>
      </c>
      <c r="Y15" s="250">
        <f>'[2]EDl log'!$Y$32</f>
        <v>21.636363636363637</v>
      </c>
      <c r="Z15" s="3"/>
      <c r="AA15" s="323"/>
      <c r="AB15" s="172"/>
      <c r="AC15" s="172"/>
    </row>
    <row r="16" spans="1:32" ht="20.100000000000001" customHeight="1">
      <c r="A16" s="163">
        <f>ELEC!C16</f>
        <v>44574</v>
      </c>
      <c r="B16" s="620">
        <f t="shared" si="7"/>
        <v>1107839</v>
      </c>
      <c r="C16" s="254">
        <f t="shared" si="0"/>
        <v>0</v>
      </c>
      <c r="D16" s="295">
        <f t="shared" si="14"/>
        <v>0</v>
      </c>
      <c r="E16" s="295">
        <f t="shared" si="15"/>
        <v>1107839</v>
      </c>
      <c r="F16" s="618">
        <v>160188</v>
      </c>
      <c r="G16" s="160">
        <f t="shared" si="1"/>
        <v>0</v>
      </c>
      <c r="H16" s="618">
        <f t="shared" si="9"/>
        <v>547283</v>
      </c>
      <c r="I16" s="161">
        <f t="shared" si="2"/>
        <v>0</v>
      </c>
      <c r="J16" s="618">
        <f t="shared" si="10"/>
        <v>400366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821.98741935482508</v>
      </c>
      <c r="R16" s="285">
        <f>SUM(P16:Q16)</f>
        <v>976.79045792541297</v>
      </c>
      <c r="S16" s="287">
        <f>SUM(ELEC!N16)</f>
        <v>5914</v>
      </c>
      <c r="T16" s="321">
        <f>IF(S16&gt;0,R16/S16,0)</f>
        <v>0.16516578591907558</v>
      </c>
      <c r="V16" s="216" t="s">
        <v>413</v>
      </c>
      <c r="W16" s="541"/>
      <c r="X16" s="222"/>
      <c r="Y16" s="250"/>
      <c r="Z16" s="3" t="s">
        <v>415</v>
      </c>
      <c r="AA16" s="591">
        <v>0.11</v>
      </c>
      <c r="AB16" s="172">
        <f>'[2]EDl log'!AB33</f>
        <v>847165.11</v>
      </c>
      <c r="AC16" s="172">
        <f>'[2]EDl log'!AC33</f>
        <v>7234333</v>
      </c>
    </row>
    <row r="17" spans="1:32" ht="20.100000000000001" customHeight="1">
      <c r="A17" s="163">
        <f>ELEC!C17</f>
        <v>44575</v>
      </c>
      <c r="B17" s="618">
        <v>1108180</v>
      </c>
      <c r="C17" s="254">
        <f t="shared" si="0"/>
        <v>341</v>
      </c>
      <c r="D17" s="295">
        <f t="shared" si="14"/>
        <v>342</v>
      </c>
      <c r="E17" s="295">
        <f t="shared" si="15"/>
        <v>1108181</v>
      </c>
      <c r="F17" s="618">
        <f t="shared" si="8"/>
        <v>160188</v>
      </c>
      <c r="G17" s="160">
        <f>F17-F16</f>
        <v>0</v>
      </c>
      <c r="H17" s="618">
        <v>547625</v>
      </c>
      <c r="I17" s="161">
        <f t="shared" si="2"/>
        <v>342</v>
      </c>
      <c r="J17" s="618">
        <f t="shared" si="10"/>
        <v>400366</v>
      </c>
      <c r="K17" s="162">
        <f>J17-J16</f>
        <v>0</v>
      </c>
      <c r="L17" s="284">
        <f>SUM(G17*$Y$28)/1507.5</f>
        <v>0</v>
      </c>
      <c r="M17" s="284">
        <f>SUM(I17*$Y$27)/1507.5</f>
        <v>25.408955223880596</v>
      </c>
      <c r="N17" s="284">
        <f>SUM(K17*$Y$26)/1507.5</f>
        <v>0</v>
      </c>
      <c r="O17" s="284">
        <f t="shared" si="6"/>
        <v>154.80303857058792</v>
      </c>
      <c r="P17" s="285">
        <f>SUM(L17:O17)</f>
        <v>180.21199379446853</v>
      </c>
      <c r="Q17" s="285">
        <f>SUM(-tanks!AX19*tanks!$AU$37)</f>
        <v>0</v>
      </c>
      <c r="R17" s="285">
        <f>SUM(P17:Q17)</f>
        <v>180.21199379446853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"/>
      <c r="AB17" s="172">
        <f>'[2]EDl log'!AB34</f>
        <v>8548666.1099999994</v>
      </c>
      <c r="AC17" s="172"/>
    </row>
    <row r="18" spans="1:32" ht="20.100000000000001" customHeight="1" thickBot="1">
      <c r="A18" s="163">
        <f>ELEC!C18</f>
        <v>44576</v>
      </c>
      <c r="B18" s="618">
        <f t="shared" si="7"/>
        <v>1108180</v>
      </c>
      <c r="C18" s="254">
        <f>SUM(B18-B17)</f>
        <v>0</v>
      </c>
      <c r="D18" s="295">
        <f>SUM(G18+I18+K18)</f>
        <v>0</v>
      </c>
      <c r="E18" s="295">
        <f t="shared" si="15"/>
        <v>1108180</v>
      </c>
      <c r="F18" s="618">
        <f t="shared" si="8"/>
        <v>160188</v>
      </c>
      <c r="G18" s="160">
        <f t="shared" si="1"/>
        <v>0</v>
      </c>
      <c r="H18" s="618">
        <f t="shared" si="9"/>
        <v>547625</v>
      </c>
      <c r="I18" s="161">
        <f t="shared" si="2"/>
        <v>0</v>
      </c>
      <c r="J18" s="618">
        <f t="shared" si="10"/>
        <v>400366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172"/>
      <c r="AC18" s="172"/>
    </row>
    <row r="19" spans="1:32" ht="20.100000000000001" customHeight="1" thickBot="1">
      <c r="A19" s="163">
        <f>ELEC!C19</f>
        <v>44577</v>
      </c>
      <c r="B19" s="618">
        <v>1108211</v>
      </c>
      <c r="C19" s="254">
        <f t="shared" si="0"/>
        <v>31</v>
      </c>
      <c r="D19" s="295">
        <f t="shared" si="14"/>
        <v>31</v>
      </c>
      <c r="E19" s="295">
        <f t="shared" si="15"/>
        <v>1108211</v>
      </c>
      <c r="F19" s="618">
        <v>160188</v>
      </c>
      <c r="G19" s="160">
        <f t="shared" si="1"/>
        <v>0</v>
      </c>
      <c r="H19" s="618">
        <v>547655</v>
      </c>
      <c r="I19" s="161">
        <f t="shared" si="2"/>
        <v>30</v>
      </c>
      <c r="J19" s="618">
        <v>400367</v>
      </c>
      <c r="K19" s="162">
        <f t="shared" si="11"/>
        <v>1</v>
      </c>
      <c r="L19" s="284">
        <f>SUM(G19*$Y$28)/1507.5</f>
        <v>0</v>
      </c>
      <c r="M19" s="284">
        <f>SUM(I19*$Y$27)/1507.5</f>
        <v>2.2288557213930349</v>
      </c>
      <c r="N19" s="284">
        <f>SUM(K19*$Y$26)/1507.5</f>
        <v>5.306799336650083E-2</v>
      </c>
      <c r="O19" s="284">
        <f>($AC$29/$A$37)/1507.5</f>
        <v>154.80303857058792</v>
      </c>
      <c r="P19" s="285">
        <f>SUM(L19:O19)</f>
        <v>157.08496228534744</v>
      </c>
      <c r="Q19" s="285">
        <f>SUM(-tanks!AX21*tanks!$AU$37)</f>
        <v>-731.87709677418513</v>
      </c>
      <c r="R19" s="285">
        <f>SUM(P19:Q19)</f>
        <v>-574.79213448883775</v>
      </c>
      <c r="S19" s="287">
        <f>SUM(ELEC!N19)</f>
        <v>4518</v>
      </c>
      <c r="T19" s="321">
        <f>IF(S19&gt;0,R19/S19,0)</f>
        <v>-0.12722269466331071</v>
      </c>
      <c r="V19" s="226"/>
      <c r="W19" s="227"/>
      <c r="X19" s="227"/>
      <c r="Y19" s="227"/>
      <c r="Z19" s="227"/>
      <c r="AA19" s="227" t="s">
        <v>416</v>
      </c>
      <c r="AB19" s="172">
        <f>'[2]EDl log'!AB36</f>
        <v>5108.7900497512437</v>
      </c>
      <c r="AC19" s="172"/>
    </row>
    <row r="20" spans="1:32" ht="20.100000000000001" customHeight="1" thickBot="1">
      <c r="A20" s="163">
        <f>ELEC!C20</f>
        <v>44578</v>
      </c>
      <c r="B20" s="618">
        <v>1108406</v>
      </c>
      <c r="C20" s="254">
        <f t="shared" si="0"/>
        <v>195</v>
      </c>
      <c r="D20" s="295">
        <f t="shared" si="14"/>
        <v>195</v>
      </c>
      <c r="E20" s="295">
        <v>160188</v>
      </c>
      <c r="F20" s="618">
        <f t="shared" si="8"/>
        <v>160188</v>
      </c>
      <c r="G20" s="160">
        <f t="shared" si="1"/>
        <v>0</v>
      </c>
      <c r="H20" s="618">
        <v>547767</v>
      </c>
      <c r="I20" s="161">
        <f t="shared" si="2"/>
        <v>112</v>
      </c>
      <c r="J20" s="618">
        <v>400450</v>
      </c>
      <c r="K20" s="162">
        <f t="shared" si="11"/>
        <v>83</v>
      </c>
      <c r="L20" s="284">
        <f t="shared" si="17"/>
        <v>0</v>
      </c>
      <c r="M20" s="284">
        <f t="shared" si="18"/>
        <v>8.3210613598673309</v>
      </c>
      <c r="N20" s="284">
        <f t="shared" si="19"/>
        <v>4.4046434494195692</v>
      </c>
      <c r="O20" s="284">
        <f t="shared" si="6"/>
        <v>154.80303857058792</v>
      </c>
      <c r="P20" s="285">
        <f t="shared" si="12"/>
        <v>167.52874337987481</v>
      </c>
      <c r="Q20" s="285">
        <f>SUM(-tanks!AX22*tanks!$AU$37)</f>
        <v>921.73064516127999</v>
      </c>
      <c r="R20" s="285">
        <f t="shared" si="13"/>
        <v>1089.2593885411547</v>
      </c>
      <c r="S20" s="287">
        <f>SUM(ELEC!N20)</f>
        <v>4648</v>
      </c>
      <c r="T20" s="321">
        <f t="shared" si="16"/>
        <v>0.23435012662245153</v>
      </c>
      <c r="AB20" s="527"/>
    </row>
    <row r="21" spans="1:32" ht="20.100000000000001" customHeight="1">
      <c r="A21" s="163">
        <f>ELEC!C21</f>
        <v>44579</v>
      </c>
      <c r="B21" s="618">
        <f t="shared" si="7"/>
        <v>1108406</v>
      </c>
      <c r="C21" s="254">
        <f t="shared" si="0"/>
        <v>0</v>
      </c>
      <c r="D21" s="295">
        <f t="shared" si="14"/>
        <v>0</v>
      </c>
      <c r="E21" s="295">
        <f t="shared" si="15"/>
        <v>1108406</v>
      </c>
      <c r="F21" s="618">
        <f t="shared" si="8"/>
        <v>160188</v>
      </c>
      <c r="G21" s="160">
        <f t="shared" si="1"/>
        <v>0</v>
      </c>
      <c r="H21" s="618">
        <f t="shared" si="9"/>
        <v>547767</v>
      </c>
      <c r="I21" s="161">
        <f t="shared" si="2"/>
        <v>0</v>
      </c>
      <c r="J21" s="618">
        <f t="shared" si="10"/>
        <v>400450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1239.4741935483978</v>
      </c>
      <c r="R21" s="285">
        <f t="shared" si="13"/>
        <v>1394.2772321189857</v>
      </c>
      <c r="S21" s="287">
        <f>SUM(ELEC!N21)</f>
        <v>5885</v>
      </c>
      <c r="T21" s="321">
        <f t="shared" si="16"/>
        <v>0.23692051522837479</v>
      </c>
      <c r="V21" s="166" t="s">
        <v>200</v>
      </c>
      <c r="W21" s="167">
        <v>44218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44580</v>
      </c>
      <c r="B22" s="618">
        <v>1108592</v>
      </c>
      <c r="C22" s="254">
        <f t="shared" si="0"/>
        <v>186</v>
      </c>
      <c r="D22" s="295">
        <f t="shared" si="14"/>
        <v>186</v>
      </c>
      <c r="E22" s="295">
        <f t="shared" si="15"/>
        <v>1108592</v>
      </c>
      <c r="F22" s="618">
        <v>160238</v>
      </c>
      <c r="G22" s="160">
        <f t="shared" si="1"/>
        <v>50</v>
      </c>
      <c r="H22" s="618">
        <v>547850</v>
      </c>
      <c r="I22" s="161">
        <f t="shared" si="2"/>
        <v>83</v>
      </c>
      <c r="J22" s="618">
        <v>400503</v>
      </c>
      <c r="K22" s="162">
        <f t="shared" si="11"/>
        <v>53</v>
      </c>
      <c r="L22" s="284">
        <f t="shared" si="17"/>
        <v>10.613598673300165</v>
      </c>
      <c r="M22" s="284">
        <f t="shared" si="18"/>
        <v>6.1665008291873962</v>
      </c>
      <c r="N22" s="284">
        <f t="shared" si="19"/>
        <v>2.812603648424544</v>
      </c>
      <c r="O22" s="284">
        <f t="shared" si="6"/>
        <v>154.80303857058792</v>
      </c>
      <c r="P22" s="285">
        <f t="shared" si="12"/>
        <v>174.39574172150003</v>
      </c>
      <c r="Q22" s="285">
        <f>SUM(-tanks!AX24*tanks!$AU$37)</f>
        <v>1334.4009677419247</v>
      </c>
      <c r="R22" s="285">
        <f t="shared" si="13"/>
        <v>1508.7967094634246</v>
      </c>
      <c r="S22" s="287">
        <f>SUM(ELEC!N22)</f>
        <v>5677</v>
      </c>
      <c r="T22" s="321">
        <f t="shared" si="16"/>
        <v>0.26577359687571334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44581</v>
      </c>
      <c r="B23" s="618">
        <v>1108831</v>
      </c>
      <c r="C23" s="254">
        <f t="shared" si="0"/>
        <v>239</v>
      </c>
      <c r="D23" s="295">
        <f t="shared" si="14"/>
        <v>239</v>
      </c>
      <c r="E23" s="295">
        <f t="shared" si="15"/>
        <v>1108831</v>
      </c>
      <c r="F23" s="618">
        <v>160291</v>
      </c>
      <c r="G23" s="160">
        <f t="shared" si="1"/>
        <v>53</v>
      </c>
      <c r="H23" s="618">
        <v>548010</v>
      </c>
      <c r="I23" s="161">
        <f t="shared" si="2"/>
        <v>160</v>
      </c>
      <c r="J23" s="618">
        <v>400529</v>
      </c>
      <c r="K23" s="162">
        <f t="shared" si="11"/>
        <v>26</v>
      </c>
      <c r="L23" s="284">
        <f t="shared" si="17"/>
        <v>11.250414593698176</v>
      </c>
      <c r="M23" s="284">
        <f t="shared" si="18"/>
        <v>11.887230514096185</v>
      </c>
      <c r="N23" s="284">
        <f t="shared" si="19"/>
        <v>1.3797678275290215</v>
      </c>
      <c r="O23" s="284">
        <f t="shared" si="6"/>
        <v>154.80303857058792</v>
      </c>
      <c r="P23" s="285">
        <f t="shared" si="12"/>
        <v>179.32045150591131</v>
      </c>
      <c r="Q23" s="285">
        <f>SUM(-tanks!AX25*tanks!$AU$37)</f>
        <v>1219.3141935483977</v>
      </c>
      <c r="R23" s="285">
        <f t="shared" si="13"/>
        <v>1398.634645054309</v>
      </c>
      <c r="S23" s="287">
        <f>SUM(ELEC!N23)</f>
        <v>5123</v>
      </c>
      <c r="T23" s="321">
        <f t="shared" si="16"/>
        <v>0.27301086181032774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44582</v>
      </c>
      <c r="B24" s="618">
        <f t="shared" si="7"/>
        <v>1108831</v>
      </c>
      <c r="C24" s="254">
        <f t="shared" si="0"/>
        <v>0</v>
      </c>
      <c r="D24" s="295">
        <f t="shared" si="14"/>
        <v>0</v>
      </c>
      <c r="E24" s="295">
        <f t="shared" si="15"/>
        <v>1108831</v>
      </c>
      <c r="F24" s="618">
        <f t="shared" si="8"/>
        <v>160291</v>
      </c>
      <c r="G24" s="160">
        <f t="shared" si="1"/>
        <v>0</v>
      </c>
      <c r="H24" s="618">
        <f t="shared" si="9"/>
        <v>548010</v>
      </c>
      <c r="I24" s="161">
        <f t="shared" si="2"/>
        <v>0</v>
      </c>
      <c r="J24" s="618">
        <f t="shared" si="10"/>
        <v>400529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44583</v>
      </c>
      <c r="B25" s="618">
        <f t="shared" si="7"/>
        <v>1108831</v>
      </c>
      <c r="C25" s="254">
        <f t="shared" si="0"/>
        <v>0</v>
      </c>
      <c r="D25" s="295">
        <f t="shared" si="14"/>
        <v>0</v>
      </c>
      <c r="E25" s="295">
        <f t="shared" si="15"/>
        <v>1108831</v>
      </c>
      <c r="F25" s="618">
        <f t="shared" si="8"/>
        <v>160291</v>
      </c>
      <c r="G25" s="160">
        <f t="shared" si="1"/>
        <v>0</v>
      </c>
      <c r="H25" s="618">
        <f t="shared" si="9"/>
        <v>548010</v>
      </c>
      <c r="I25" s="161">
        <f t="shared" si="2"/>
        <v>0</v>
      </c>
      <c r="J25" s="618">
        <f t="shared" si="10"/>
        <v>400529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44584</v>
      </c>
      <c r="B26" s="618">
        <f t="shared" si="7"/>
        <v>1108831</v>
      </c>
      <c r="C26" s="254">
        <f t="shared" si="0"/>
        <v>0</v>
      </c>
      <c r="D26" s="295">
        <f t="shared" si="14"/>
        <v>0</v>
      </c>
      <c r="E26" s="295">
        <f t="shared" si="15"/>
        <v>1108831</v>
      </c>
      <c r="F26" s="618">
        <f t="shared" si="8"/>
        <v>160291</v>
      </c>
      <c r="G26" s="160">
        <f t="shared" si="1"/>
        <v>0</v>
      </c>
      <c r="H26" s="618">
        <f t="shared" si="9"/>
        <v>548010</v>
      </c>
      <c r="I26" s="161">
        <f t="shared" si="2"/>
        <v>0</v>
      </c>
      <c r="J26" s="618">
        <f t="shared" si="10"/>
        <v>400529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1092.8874193548297</v>
      </c>
      <c r="R26" s="285">
        <f t="shared" si="13"/>
        <v>1247.6904579254176</v>
      </c>
      <c r="S26" s="287">
        <f>SUM(ELEC!N26)</f>
        <v>5503</v>
      </c>
      <c r="T26" s="321">
        <f t="shared" si="16"/>
        <v>0.226729140091844</v>
      </c>
      <c r="V26" s="246">
        <f>W9</f>
        <v>400225</v>
      </c>
      <c r="W26" s="170">
        <f>J34</f>
        <v>400529</v>
      </c>
      <c r="X26" s="172" t="s">
        <v>199</v>
      </c>
      <c r="Y26" s="172">
        <v>80</v>
      </c>
      <c r="Z26" s="172">
        <v>1</v>
      </c>
      <c r="AA26" s="323">
        <f>(W26-V26)*Z26</f>
        <v>304</v>
      </c>
      <c r="AB26" s="323">
        <f>AA26*Y26</f>
        <v>24320</v>
      </c>
      <c r="AC26" s="244">
        <f>AC9</f>
        <v>1033333</v>
      </c>
      <c r="AD26" s="476">
        <f>SUM(K36)</f>
        <v>0.15177234148776833</v>
      </c>
    </row>
    <row r="27" spans="1:32" ht="20.100000000000001" customHeight="1">
      <c r="A27" s="163">
        <f>ELEC!C27</f>
        <v>44585</v>
      </c>
      <c r="B27" s="618">
        <f t="shared" si="7"/>
        <v>1108831</v>
      </c>
      <c r="C27" s="254">
        <f t="shared" si="0"/>
        <v>0</v>
      </c>
      <c r="D27" s="295">
        <f t="shared" si="14"/>
        <v>0</v>
      </c>
      <c r="E27" s="295">
        <f t="shared" si="15"/>
        <v>1108831</v>
      </c>
      <c r="F27" s="618">
        <f t="shared" si="8"/>
        <v>160291</v>
      </c>
      <c r="G27" s="160">
        <f t="shared" si="1"/>
        <v>0</v>
      </c>
      <c r="H27" s="618">
        <f t="shared" si="9"/>
        <v>548010</v>
      </c>
      <c r="I27" s="161">
        <f t="shared" si="2"/>
        <v>0</v>
      </c>
      <c r="J27" s="618">
        <f t="shared" si="10"/>
        <v>400529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1189.7041935483933</v>
      </c>
      <c r="R27" s="285">
        <f t="shared" si="13"/>
        <v>1344.5072321189812</v>
      </c>
      <c r="S27" s="287">
        <f>SUM(ELEC!N27)</f>
        <v>5678</v>
      </c>
      <c r="T27" s="321">
        <f t="shared" si="16"/>
        <v>0.23679239734395582</v>
      </c>
      <c r="V27" s="246">
        <f>W10</f>
        <v>546590</v>
      </c>
      <c r="W27" s="170">
        <f>H34</f>
        <v>548088</v>
      </c>
      <c r="X27" s="172" t="s">
        <v>212</v>
      </c>
      <c r="Y27" s="172">
        <v>112</v>
      </c>
      <c r="Z27" s="172">
        <v>1</v>
      </c>
      <c r="AA27" s="323">
        <f>(W27-V27)*Z27</f>
        <v>1498</v>
      </c>
      <c r="AB27" s="323">
        <f>SUM(AA27*Y27)</f>
        <v>167776</v>
      </c>
      <c r="AC27" s="244">
        <f>AC10</f>
        <v>6200000</v>
      </c>
      <c r="AD27" s="476">
        <f>SUM(I36)</f>
        <v>0.74787818272591111</v>
      </c>
    </row>
    <row r="28" spans="1:32" ht="20.100000000000001" customHeight="1">
      <c r="A28" s="163">
        <f>ELEC!C28</f>
        <v>44586</v>
      </c>
      <c r="B28" s="618">
        <v>1108908</v>
      </c>
      <c r="C28" s="254">
        <f t="shared" si="0"/>
        <v>77</v>
      </c>
      <c r="D28" s="295">
        <f t="shared" si="14"/>
        <v>78</v>
      </c>
      <c r="E28" s="295">
        <f>B27+D28</f>
        <v>1108909</v>
      </c>
      <c r="F28" s="618">
        <v>160291</v>
      </c>
      <c r="G28" s="160">
        <f t="shared" si="1"/>
        <v>0</v>
      </c>
      <c r="H28" s="618">
        <v>548088</v>
      </c>
      <c r="I28" s="161">
        <f t="shared" si="2"/>
        <v>78</v>
      </c>
      <c r="J28" s="618">
        <f t="shared" si="10"/>
        <v>400529</v>
      </c>
      <c r="K28" s="162">
        <f t="shared" si="11"/>
        <v>0</v>
      </c>
      <c r="L28" s="284">
        <f t="shared" si="17"/>
        <v>0</v>
      </c>
      <c r="M28" s="284">
        <f t="shared" si="18"/>
        <v>5.7950248756218903</v>
      </c>
      <c r="N28" s="284">
        <f t="shared" si="19"/>
        <v>0</v>
      </c>
      <c r="O28" s="284">
        <f t="shared" si="6"/>
        <v>154.80303857058792</v>
      </c>
      <c r="P28" s="285">
        <f t="shared" si="12"/>
        <v>160.59806344620981</v>
      </c>
      <c r="Q28" s="285">
        <f>SUM(-tanks!AX30*tanks!$AU$37)</f>
        <v>1603.207741935488</v>
      </c>
      <c r="R28" s="285">
        <f t="shared" si="13"/>
        <v>1763.8058053816978</v>
      </c>
      <c r="S28" s="287">
        <f>SUM(ELEC!N28)</f>
        <v>6028</v>
      </c>
      <c r="T28" s="321">
        <f t="shared" si="16"/>
        <v>0.29260215749530488</v>
      </c>
      <c r="V28" s="246">
        <f>W11</f>
        <v>160089</v>
      </c>
      <c r="W28" s="170">
        <f>F34</f>
        <v>160291</v>
      </c>
      <c r="X28" s="172" t="s">
        <v>197</v>
      </c>
      <c r="Y28" s="172">
        <v>320</v>
      </c>
      <c r="Z28" s="172">
        <v>1</v>
      </c>
      <c r="AA28" s="323">
        <f>(W28-V28)*Z28</f>
        <v>202</v>
      </c>
      <c r="AB28" s="323">
        <f>SUM(AA28*Y28)</f>
        <v>64640</v>
      </c>
      <c r="AC28" s="244">
        <f>AC11</f>
        <v>1000</v>
      </c>
      <c r="AD28" s="476">
        <f>SUM(G36)</f>
        <v>0.10084872690963553</v>
      </c>
      <c r="AE28" s="40">
        <f>SUM(AB28*5%)</f>
        <v>3232</v>
      </c>
      <c r="AF28" s="82">
        <f>SUM(AE28/7)*31</f>
        <v>14313.142857142857</v>
      </c>
    </row>
    <row r="29" spans="1:32" ht="20.100000000000001" customHeight="1">
      <c r="A29" s="163">
        <f>ELEC!C29</f>
        <v>44587</v>
      </c>
      <c r="B29" s="618">
        <f t="shared" si="7"/>
        <v>1108908</v>
      </c>
      <c r="C29" s="254">
        <f t="shared" si="0"/>
        <v>0</v>
      </c>
      <c r="D29" s="295">
        <f t="shared" si="14"/>
        <v>0</v>
      </c>
      <c r="E29" s="295">
        <f>B28+D29</f>
        <v>1108908</v>
      </c>
      <c r="F29" s="618">
        <f t="shared" si="8"/>
        <v>160291</v>
      </c>
      <c r="G29" s="160">
        <f t="shared" si="1"/>
        <v>0</v>
      </c>
      <c r="H29" s="618">
        <f t="shared" si="9"/>
        <v>548088</v>
      </c>
      <c r="I29" s="161">
        <f t="shared" si="2"/>
        <v>0</v>
      </c>
      <c r="J29" s="618">
        <f t="shared" si="10"/>
        <v>400529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2004</v>
      </c>
      <c r="AB29" s="323">
        <f>SUM(AB26:AB28)</f>
        <v>256736</v>
      </c>
      <c r="AC29" s="244">
        <f>SUM(AC26:AC28)</f>
        <v>7234333</v>
      </c>
    </row>
    <row r="30" spans="1:32" ht="20.100000000000001" customHeight="1">
      <c r="A30" s="163">
        <f>ELEC!C30</f>
        <v>44588</v>
      </c>
      <c r="B30" s="618">
        <f t="shared" si="7"/>
        <v>1108908</v>
      </c>
      <c r="C30" s="254">
        <f t="shared" si="0"/>
        <v>0</v>
      </c>
      <c r="D30" s="295">
        <f t="shared" si="14"/>
        <v>0</v>
      </c>
      <c r="E30" s="295">
        <f t="shared" si="15"/>
        <v>1108908</v>
      </c>
      <c r="F30" s="618">
        <f t="shared" si="8"/>
        <v>160291</v>
      </c>
      <c r="G30" s="160">
        <f t="shared" si="1"/>
        <v>0</v>
      </c>
      <c r="H30" s="618">
        <f t="shared" si="9"/>
        <v>548088</v>
      </c>
      <c r="I30" s="161">
        <f t="shared" si="2"/>
        <v>0</v>
      </c>
      <c r="J30" s="618">
        <f t="shared" si="10"/>
        <v>400529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7491069</v>
      </c>
      <c r="AC30" s="244"/>
    </row>
    <row r="31" spans="1:32" ht="20.100000000000001" customHeight="1">
      <c r="A31" s="163">
        <f>ELEC!C31</f>
        <v>44589</v>
      </c>
      <c r="B31" s="618">
        <f t="shared" si="7"/>
        <v>1108908</v>
      </c>
      <c r="C31" s="254">
        <f>SUM(B31-B30)</f>
        <v>0</v>
      </c>
      <c r="D31" s="295">
        <f t="shared" si="14"/>
        <v>0</v>
      </c>
      <c r="E31" s="295">
        <f>B30+D31</f>
        <v>1108908</v>
      </c>
      <c r="F31" s="618">
        <f t="shared" si="8"/>
        <v>160291</v>
      </c>
      <c r="G31" s="160">
        <f>F31-F30</f>
        <v>0</v>
      </c>
      <c r="H31" s="618">
        <f t="shared" si="9"/>
        <v>548088</v>
      </c>
      <c r="I31" s="161">
        <f>H31-H30</f>
        <v>0</v>
      </c>
      <c r="J31" s="618">
        <f t="shared" si="10"/>
        <v>400529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44590</v>
      </c>
      <c r="B32" s="618">
        <f t="shared" si="7"/>
        <v>1108908</v>
      </c>
      <c r="C32" s="254">
        <f>SUM(B32-B31)</f>
        <v>0</v>
      </c>
      <c r="D32" s="295">
        <f t="shared" si="14"/>
        <v>0</v>
      </c>
      <c r="E32" s="295">
        <f>B31+D32</f>
        <v>1108908</v>
      </c>
      <c r="F32" s="618">
        <f t="shared" si="8"/>
        <v>160291</v>
      </c>
      <c r="G32" s="160">
        <f>F32-F31</f>
        <v>0</v>
      </c>
      <c r="H32" s="618">
        <f t="shared" si="9"/>
        <v>548088</v>
      </c>
      <c r="I32" s="161">
        <f>H32-H31</f>
        <v>0</v>
      </c>
      <c r="J32" s="618">
        <f t="shared" si="10"/>
        <v>400529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158</v>
      </c>
      <c r="X32" s="222">
        <f>SUM(W32/A35)</f>
        <v>15.8</v>
      </c>
      <c r="Y32" s="250">
        <f>SUM(X32/1)</f>
        <v>15.8</v>
      </c>
      <c r="Z32" s="3"/>
      <c r="AA32" s="323"/>
      <c r="AB32" s="323"/>
      <c r="AC32" s="244"/>
    </row>
    <row r="33" spans="1:32" ht="20.100000000000001" customHeight="1">
      <c r="A33" s="163">
        <f>ELEC!C33</f>
        <v>44591</v>
      </c>
      <c r="B33" s="618">
        <f t="shared" si="7"/>
        <v>1108908</v>
      </c>
      <c r="C33" s="254">
        <f>SUM(B33-B32)</f>
        <v>0</v>
      </c>
      <c r="D33" s="295">
        <f t="shared" si="14"/>
        <v>0</v>
      </c>
      <c r="E33" s="295">
        <f>B32+D33</f>
        <v>1108908</v>
      </c>
      <c r="F33" s="618">
        <f t="shared" si="8"/>
        <v>160291</v>
      </c>
      <c r="G33" s="160">
        <f>F33-F32</f>
        <v>0</v>
      </c>
      <c r="H33" s="618">
        <f t="shared" si="9"/>
        <v>548088</v>
      </c>
      <c r="I33" s="161">
        <f>H33-H32</f>
        <v>0</v>
      </c>
      <c r="J33" s="618">
        <f t="shared" si="10"/>
        <v>400529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824017.59</v>
      </c>
      <c r="AC33" s="244">
        <f>SUM(AC29)</f>
        <v>7234333</v>
      </c>
    </row>
    <row r="34" spans="1:32" ht="20.100000000000001" customHeight="1">
      <c r="A34" s="163">
        <f>ELEC!C34</f>
        <v>44592</v>
      </c>
      <c r="B34" s="618">
        <f t="shared" si="7"/>
        <v>1108908</v>
      </c>
      <c r="C34" s="254">
        <f>SUM(B34-B33)</f>
        <v>0</v>
      </c>
      <c r="D34" s="295">
        <f t="shared" ref="D34" si="20">SUM(G34+I34+K34)</f>
        <v>0</v>
      </c>
      <c r="E34" s="295">
        <f>B33+D34</f>
        <v>1108908</v>
      </c>
      <c r="F34" s="618">
        <f t="shared" si="8"/>
        <v>160291</v>
      </c>
      <c r="G34" s="160">
        <f>F34-F33</f>
        <v>0</v>
      </c>
      <c r="H34" s="618">
        <f t="shared" si="9"/>
        <v>548088</v>
      </c>
      <c r="I34" s="161">
        <f>H34-H33</f>
        <v>0</v>
      </c>
      <c r="J34" s="618">
        <f t="shared" si="10"/>
        <v>400529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8315086.5899999999</v>
      </c>
      <c r="AC34" s="244">
        <f>SUM(AC30)</f>
        <v>0</v>
      </c>
    </row>
    <row r="35" spans="1:32" ht="15.75" thickBot="1">
      <c r="A35" s="501">
        <f>A37-COUNTIF(C4:C33,0)</f>
        <v>10</v>
      </c>
      <c r="C35" s="173">
        <f>SUM(C4:C34)/A35</f>
        <v>200.3</v>
      </c>
      <c r="D35" s="173"/>
      <c r="E35" s="173"/>
      <c r="F35" s="568"/>
      <c r="G35" s="568">
        <f>SUM(G4:G34)/A35</f>
        <v>20.2</v>
      </c>
      <c r="H35" s="173"/>
      <c r="I35" s="173">
        <f>SUM(I4:I34)/A35</f>
        <v>149.80000000000001</v>
      </c>
      <c r="K35" s="173">
        <f>SUM(K4:K34)/A35</f>
        <v>30.4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1.0004992511233151</v>
      </c>
      <c r="G36" s="225">
        <f>IF(C35&gt;0,G35/C35,0)</f>
        <v>0.10084872690963553</v>
      </c>
      <c r="H36" s="212"/>
      <c r="I36" s="225">
        <f>SUM(I35/C35)</f>
        <v>0.74787818272591111</v>
      </c>
      <c r="J36" s="212"/>
      <c r="K36" s="225">
        <f>SUM(K35/C35)</f>
        <v>0.15177234148776833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4969.2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4969.2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3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3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3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L18" sqref="L18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44562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44563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44564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44565</v>
      </c>
      <c r="B8" s="37">
        <v>18</v>
      </c>
      <c r="C8" s="37">
        <v>14</v>
      </c>
      <c r="D8" s="26">
        <f>(C8+B8)/2</f>
        <v>16</v>
      </c>
      <c r="E8" s="378">
        <v>0.7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44566</v>
      </c>
      <c r="B9" s="37">
        <v>19</v>
      </c>
      <c r="C9" s="37">
        <v>16</v>
      </c>
      <c r="D9" s="26">
        <f t="shared" si="0"/>
        <v>17.5</v>
      </c>
      <c r="E9" s="339">
        <v>0.72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44567</v>
      </c>
      <c r="B10" s="37">
        <v>21</v>
      </c>
      <c r="C10" s="37">
        <v>15</v>
      </c>
      <c r="D10" s="26">
        <f t="shared" si="0"/>
        <v>18</v>
      </c>
      <c r="E10" s="378">
        <v>0.6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44568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44569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44570</v>
      </c>
      <c r="B13" s="37">
        <v>23</v>
      </c>
      <c r="C13" s="37">
        <v>14</v>
      </c>
      <c r="D13" s="26">
        <f t="shared" ref="D13:D32" si="3">(C13+B13)/2</f>
        <v>18.5</v>
      </c>
      <c r="E13" s="325">
        <v>0.5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44571</v>
      </c>
      <c r="B14" s="37">
        <v>18</v>
      </c>
      <c r="C14" s="37">
        <v>14</v>
      </c>
      <c r="D14" s="26">
        <f t="shared" si="3"/>
        <v>16</v>
      </c>
      <c r="E14" s="325">
        <v>0.47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44572</v>
      </c>
      <c r="B15" s="37">
        <v>19</v>
      </c>
      <c r="C15" s="37">
        <v>14</v>
      </c>
      <c r="D15" s="26">
        <f t="shared" ref="D15" si="5">(C15+B15)/2</f>
        <v>16.5</v>
      </c>
      <c r="E15" s="378">
        <v>0.46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44573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44574</v>
      </c>
      <c r="B17" s="37">
        <v>16</v>
      </c>
      <c r="C17" s="37">
        <v>12</v>
      </c>
      <c r="D17" s="26">
        <f t="shared" si="3"/>
        <v>14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44575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44576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44577</v>
      </c>
      <c r="B20" s="37">
        <v>14</v>
      </c>
      <c r="C20" s="37">
        <v>8</v>
      </c>
      <c r="D20" s="26">
        <f>(C20+B20)/2</f>
        <v>11</v>
      </c>
      <c r="E20" s="325">
        <v>0.55000000000000004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44578</v>
      </c>
      <c r="B21" s="37">
        <v>12</v>
      </c>
      <c r="C21" s="37">
        <v>7</v>
      </c>
      <c r="D21" s="26">
        <f t="shared" si="3"/>
        <v>9.5</v>
      </c>
      <c r="E21" s="325">
        <v>0.33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44579</v>
      </c>
      <c r="B22" s="37">
        <v>15</v>
      </c>
      <c r="C22" s="37">
        <v>8</v>
      </c>
      <c r="D22" s="26">
        <f>(C22+B22)/2</f>
        <v>11.5</v>
      </c>
      <c r="E22" s="325">
        <v>0.44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44580</v>
      </c>
      <c r="B23" s="37">
        <v>14</v>
      </c>
      <c r="C23" s="37">
        <v>9</v>
      </c>
      <c r="D23" s="26">
        <f>(C23+B23)/2</f>
        <v>11.5</v>
      </c>
      <c r="E23" s="378">
        <v>0.65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44581</v>
      </c>
      <c r="B24" s="37">
        <v>11</v>
      </c>
      <c r="C24" s="37">
        <v>8</v>
      </c>
      <c r="D24" s="26">
        <f t="shared" si="3"/>
        <v>9.5</v>
      </c>
      <c r="E24" s="325">
        <v>0.48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44582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44583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44584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44585</v>
      </c>
      <c r="B28" s="37">
        <v>13</v>
      </c>
      <c r="C28" s="37">
        <v>9</v>
      </c>
      <c r="D28" s="26">
        <f t="shared" si="3"/>
        <v>11</v>
      </c>
      <c r="E28" s="325">
        <v>0.68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44586</v>
      </c>
      <c r="B29" s="37">
        <v>16</v>
      </c>
      <c r="C29" s="37">
        <v>7</v>
      </c>
      <c r="D29" s="26">
        <f t="shared" si="3"/>
        <v>11.5</v>
      </c>
      <c r="E29" s="325">
        <v>0.45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44587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44588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44589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44590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44591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44592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19.2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9</v>
      </c>
      <c r="G2" s="3">
        <f>WATER!C5+WATER!H5</f>
        <v>571</v>
      </c>
      <c r="H2" s="3">
        <f>WATER!L5</f>
        <v>0</v>
      </c>
      <c r="I2" s="15">
        <f>WATER!BC5+WATER!BD5+WATER!BE6-Sheet1!G2</f>
        <v>-446.9</v>
      </c>
      <c r="J2" s="9">
        <f>'B5'!A4</f>
        <v>44561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44562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44563</v>
      </c>
    </row>
    <row r="5" spans="1:10">
      <c r="A5" s="3">
        <f>ELEC!T7+ELEC!X7+ELEC!AB7</f>
        <v>0</v>
      </c>
      <c r="B5" s="3">
        <f>ELEC!AF7</f>
        <v>147</v>
      </c>
      <c r="C5" s="3">
        <f>ELEC!N7</f>
        <v>6258</v>
      </c>
      <c r="D5" s="3">
        <f t="shared" si="0"/>
        <v>6258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-26.600000000000051</v>
      </c>
      <c r="J5" s="9">
        <f>'B5'!A7</f>
        <v>44564</v>
      </c>
    </row>
    <row r="6" spans="1:10">
      <c r="A6" s="3">
        <f>ELEC!T8+ELEC!X8+ELEC!AB8</f>
        <v>2</v>
      </c>
      <c r="B6" s="3">
        <f>ELEC!AF8</f>
        <v>303</v>
      </c>
      <c r="C6" s="3">
        <f>ELEC!N8</f>
        <v>5739</v>
      </c>
      <c r="D6" s="3">
        <f t="shared" si="0"/>
        <v>5739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0</v>
      </c>
      <c r="I6" s="15">
        <f>WATER!BC9+WATER!BD9+WATER!BE10-Sheet1!G6</f>
        <v>-23.600000000000023</v>
      </c>
      <c r="J6" s="9">
        <f>'B5'!A8</f>
        <v>44565</v>
      </c>
    </row>
    <row r="7" spans="1:10">
      <c r="A7" s="3">
        <f>ELEC!T9+ELEC!X9+ELEC!AB9</f>
        <v>0</v>
      </c>
      <c r="B7" s="3">
        <f>ELEC!AF9</f>
        <v>234</v>
      </c>
      <c r="C7" s="3">
        <f>ELEC!N9</f>
        <v>5459</v>
      </c>
      <c r="D7" s="3">
        <f t="shared" si="0"/>
        <v>110.00000000165892</v>
      </c>
      <c r="E7" s="3">
        <f>ELEC!Q9</f>
        <v>5348.9999999983411</v>
      </c>
      <c r="F7" s="3">
        <f>GEN!Z7</f>
        <v>11</v>
      </c>
      <c r="G7" s="3">
        <f>WATER!C10+WATER!H10</f>
        <v>0</v>
      </c>
      <c r="H7" s="3">
        <f>WATER!L10</f>
        <v>7</v>
      </c>
      <c r="I7" s="15">
        <f>WATER!BC10+WATER!BD10+WATER!BE11-Sheet1!G7</f>
        <v>-10.19999999999996</v>
      </c>
      <c r="J7" s="9">
        <f>'B5'!A9</f>
        <v>44566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1</v>
      </c>
      <c r="I8" s="15">
        <f>WATER!BC11+WATER!BD11+WATER!BE12-Sheet1!G8</f>
        <v>-5.0999999999999659</v>
      </c>
      <c r="J8" s="9">
        <f>'B5'!A10</f>
        <v>44567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44568</v>
      </c>
    </row>
    <row r="10" spans="1:10">
      <c r="A10" s="3">
        <f>ELEC!T12+ELEC!X12+ELEC!AB12</f>
        <v>1</v>
      </c>
      <c r="B10" s="3">
        <f>ELEC!AF12</f>
        <v>200</v>
      </c>
      <c r="C10" s="3">
        <f>ELEC!N12</f>
        <v>5541</v>
      </c>
      <c r="D10" s="3">
        <f t="shared" si="0"/>
        <v>75.999999999854481</v>
      </c>
      <c r="E10" s="3">
        <f>ELEC!Q12</f>
        <v>5465.0000000001455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-4</v>
      </c>
      <c r="J10" s="9">
        <f>'B5'!A12</f>
        <v>44569</v>
      </c>
    </row>
    <row r="11" spans="1:10">
      <c r="A11" s="3">
        <f>ELEC!T13+ELEC!X13+ELEC!AB13</f>
        <v>1</v>
      </c>
      <c r="B11" s="3">
        <f>ELEC!AF13</f>
        <v>103</v>
      </c>
      <c r="C11" s="3">
        <f>ELEC!N13</f>
        <v>5044</v>
      </c>
      <c r="D11" s="3">
        <f t="shared" si="0"/>
        <v>235.99999999909778</v>
      </c>
      <c r="E11" s="3">
        <f>ELEC!Q13</f>
        <v>4808.0000000009022</v>
      </c>
      <c r="F11" s="3">
        <f>GEN!Z11</f>
        <v>11</v>
      </c>
      <c r="G11" s="3">
        <f>WATER!C14+WATER!H14</f>
        <v>0</v>
      </c>
      <c r="H11" s="3">
        <f>WATER!L14</f>
        <v>0</v>
      </c>
      <c r="I11" s="15">
        <f>WATER!BC14+WATER!BD14+WATER!BE15-Sheet1!G11</f>
        <v>-23.100000000000009</v>
      </c>
      <c r="J11" s="9">
        <f>'B5'!A13</f>
        <v>44570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5374</v>
      </c>
      <c r="D12" s="3">
        <f t="shared" si="0"/>
        <v>645.00000000064028</v>
      </c>
      <c r="E12" s="3">
        <f>ELEC!Q14</f>
        <v>4728.9999999993597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-23.300000000000011</v>
      </c>
      <c r="J12" s="9">
        <f>'B5'!A14</f>
        <v>44571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11</v>
      </c>
      <c r="G13" s="3">
        <f>WATER!C16+WATER!H16</f>
        <v>0</v>
      </c>
      <c r="H13" s="3">
        <f>WATER!L16</f>
        <v>0</v>
      </c>
      <c r="I13" s="15">
        <f>WATER!BC16+WATER!BD16+WATER!BE17-Sheet1!G13</f>
        <v>-6.9000000000000199</v>
      </c>
      <c r="J13" s="9">
        <f>'B5'!A15</f>
        <v>44572</v>
      </c>
    </row>
    <row r="14" spans="1:10">
      <c r="A14" s="3">
        <f>ELEC!T16+ELEC!X16+ELEC!AB16</f>
        <v>0</v>
      </c>
      <c r="B14" s="3">
        <f>ELEC!AF16</f>
        <v>177</v>
      </c>
      <c r="C14" s="3">
        <f>ELEC!N16</f>
        <v>5914</v>
      </c>
      <c r="D14" s="3">
        <f t="shared" si="0"/>
        <v>-248.00000000026193</v>
      </c>
      <c r="E14" s="3">
        <f>ELEC!Q16</f>
        <v>6162.0000000002619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-8.6999999999999886</v>
      </c>
      <c r="J14" s="9">
        <f>'B5'!A16</f>
        <v>44573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-8.6999999999999886</v>
      </c>
      <c r="J15" s="9">
        <f>'B5'!A17</f>
        <v>44574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9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44575</v>
      </c>
    </row>
    <row r="17" spans="1:10">
      <c r="A17" s="3">
        <f>ELEC!T19+ELEC!X19+ELEC!AB19</f>
        <v>1</v>
      </c>
      <c r="B17" s="3">
        <f>ELEC!AF19</f>
        <v>82</v>
      </c>
      <c r="C17" s="3">
        <f>ELEC!N19</f>
        <v>4518</v>
      </c>
      <c r="D17" s="3">
        <f t="shared" si="0"/>
        <v>243.99999999874854</v>
      </c>
      <c r="E17" s="3">
        <f>ELEC!Q19</f>
        <v>4274.0000000012515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-11.600000000000023</v>
      </c>
      <c r="J17" s="9">
        <f>'B5'!A19</f>
        <v>44576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4648</v>
      </c>
      <c r="D18" s="3">
        <f t="shared" si="0"/>
        <v>104.00000000194996</v>
      </c>
      <c r="E18" s="3">
        <f>ELEC!Q20</f>
        <v>4543.99999999805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-19.600000000000037</v>
      </c>
      <c r="J18" s="9">
        <f>'B5'!A20</f>
        <v>44577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5885</v>
      </c>
      <c r="D19" s="3">
        <f t="shared" si="0"/>
        <v>24.999999999417923</v>
      </c>
      <c r="E19" s="3">
        <f>ELEC!Q21</f>
        <v>5860.0000000005821</v>
      </c>
      <c r="F19" s="3">
        <f>GEN!Z19</f>
        <v>7</v>
      </c>
      <c r="G19" s="3">
        <f>WATER!C22+WATER!H22</f>
        <v>0</v>
      </c>
      <c r="H19" s="3">
        <f>WATER!L22</f>
        <v>0</v>
      </c>
      <c r="I19" s="15">
        <f>WATER!BC22+WATER!BD22+WATER!BE23-Sheet1!G19</f>
        <v>-24.399999999999991</v>
      </c>
      <c r="J19" s="9">
        <f>'B5'!A21</f>
        <v>44578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5677</v>
      </c>
      <c r="D20" s="3">
        <f t="shared" si="0"/>
        <v>130.00000000133878</v>
      </c>
      <c r="E20" s="3">
        <f>ELEC!Q22</f>
        <v>5546.9999999986612</v>
      </c>
      <c r="F20" s="3">
        <f>GEN!Z20</f>
        <v>14</v>
      </c>
      <c r="G20" s="3">
        <f>WATER!C23+WATER!H23</f>
        <v>0</v>
      </c>
      <c r="H20" s="3">
        <f>WATER!L23</f>
        <v>4</v>
      </c>
      <c r="I20" s="15">
        <f>WATER!BC23+WATER!BD23+WATER!BE24-Sheet1!G20</f>
        <v>-25.099999999999966</v>
      </c>
      <c r="J20" s="9">
        <f>'B5'!A22</f>
        <v>44579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5123</v>
      </c>
      <c r="D21" s="3">
        <f t="shared" si="0"/>
        <v>330.99999999871943</v>
      </c>
      <c r="E21" s="3">
        <f>ELEC!Q23</f>
        <v>4792.0000000012806</v>
      </c>
      <c r="F21" s="3">
        <f>GEN!Z21</f>
        <v>10</v>
      </c>
      <c r="G21" s="3">
        <f>WATER!C24+WATER!H24</f>
        <v>0</v>
      </c>
      <c r="H21" s="3">
        <f>WATER!L24</f>
        <v>0</v>
      </c>
      <c r="I21" s="15">
        <f>WATER!BC24+WATER!BD24+WATER!BE25-Sheet1!G21</f>
        <v>-14.5</v>
      </c>
      <c r="J21" s="9">
        <f>'B5'!A23</f>
        <v>44580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11</v>
      </c>
      <c r="G22" s="3">
        <f>WATER!C25+WATER!H25</f>
        <v>0</v>
      </c>
      <c r="H22" s="3">
        <f>WATER!L25</f>
        <v>6</v>
      </c>
      <c r="I22" s="15">
        <f>WATER!BC25+WATER!BD25+WATER!BE26-Sheet1!G22</f>
        <v>-5.8000000000000114</v>
      </c>
      <c r="J22" s="9">
        <f>'B5'!A24</f>
        <v>44581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44582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5503</v>
      </c>
      <c r="D24" s="3">
        <f t="shared" si="0"/>
        <v>84.999999998515705</v>
      </c>
      <c r="E24" s="3">
        <f>ELEC!Q26</f>
        <v>5418.0000000014843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-9.7999999999999972</v>
      </c>
      <c r="J24" s="9">
        <f>'B5'!A26</f>
        <v>44583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5678</v>
      </c>
      <c r="D25" s="3">
        <f t="shared" si="0"/>
        <v>-119.99999999886495</v>
      </c>
      <c r="E25" s="3">
        <f>ELEC!Q27</f>
        <v>5797.999999998865</v>
      </c>
      <c r="F25" s="3">
        <f>GEN!Z25</f>
        <v>11</v>
      </c>
      <c r="G25" s="3">
        <f>WATER!C28+WATER!H28</f>
        <v>0</v>
      </c>
      <c r="H25" s="3">
        <f>WATER!L28</f>
        <v>0</v>
      </c>
      <c r="I25" s="15">
        <f>WATER!BC28+WATER!BD28+WATER!BE29-Sheet1!G25</f>
        <v>-15.600000000000009</v>
      </c>
      <c r="J25" s="9">
        <f>'B5'!A27</f>
        <v>44584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6028</v>
      </c>
      <c r="D26" s="3">
        <f t="shared" si="0"/>
        <v>-131.99999999985448</v>
      </c>
      <c r="E26" s="3">
        <f>ELEC!Q28</f>
        <v>6159.9999999998545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49.300000000000011</v>
      </c>
      <c r="J26" s="9">
        <f>'B5'!A28</f>
        <v>44585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12</v>
      </c>
      <c r="G27" s="3">
        <f>WATER!C30+WATER!H30</f>
        <v>0</v>
      </c>
      <c r="H27" s="3">
        <f>WATER!L30</f>
        <v>3</v>
      </c>
      <c r="I27" s="15">
        <f>WATER!BC30+WATER!BD30+WATER!BE31-Sheet1!G27</f>
        <v>55.100000000000023</v>
      </c>
      <c r="J27" s="9">
        <f>'B5'!A29</f>
        <v>44586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44587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44588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44589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44562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106.10000000000002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44563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44564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44565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147</v>
      </c>
      <c r="I8" s="79">
        <f>ELEC!Q7</f>
        <v>0</v>
      </c>
      <c r="J8" s="79">
        <f>ELEC!R7</f>
        <v>6258</v>
      </c>
      <c r="K8" s="3"/>
      <c r="L8" s="3"/>
      <c r="M8" s="3"/>
      <c r="N8" s="3"/>
    </row>
    <row r="9" spans="1:14">
      <c r="A9" s="63">
        <f>'B5'!A9</f>
        <v>44566</v>
      </c>
      <c r="B9" s="76">
        <f>'B5'!V9</f>
        <v>49</v>
      </c>
      <c r="C9" s="76">
        <f>'B5'!AH9</f>
        <v>0</v>
      </c>
      <c r="D9" s="76">
        <f>GEN!AI7</f>
        <v>3008.5611814351464</v>
      </c>
      <c r="E9" s="239">
        <f t="shared" si="0"/>
        <v>3057.5611814351464</v>
      </c>
      <c r="F9" s="75">
        <f>WATER!L9</f>
        <v>0</v>
      </c>
      <c r="G9" s="78">
        <f>WATER!BG9</f>
        <v>-26.600000000000051</v>
      </c>
      <c r="H9" s="79">
        <f>ELEC!AF8</f>
        <v>303</v>
      </c>
      <c r="I9" s="79">
        <f>ELEC!Q8</f>
        <v>11689.000000002125</v>
      </c>
      <c r="J9" s="79">
        <f>ELEC!R8</f>
        <v>-5950.0000000021246</v>
      </c>
      <c r="K9" s="3"/>
      <c r="L9" s="3"/>
      <c r="M9" s="3"/>
      <c r="N9" s="3"/>
    </row>
    <row r="10" spans="1:14">
      <c r="A10" s="63">
        <f>'B5'!A10</f>
        <v>44567</v>
      </c>
      <c r="B10" s="76">
        <f>'B5'!V10</f>
        <v>261</v>
      </c>
      <c r="C10" s="76">
        <f>'B5'!AH10</f>
        <v>0</v>
      </c>
      <c r="D10" s="76">
        <f>GEN!AI8</f>
        <v>1376.7468354426112</v>
      </c>
      <c r="E10" s="239">
        <f t="shared" si="0"/>
        <v>1637.7468354426112</v>
      </c>
      <c r="F10" s="75">
        <f>WATER!L10</f>
        <v>7</v>
      </c>
      <c r="G10" s="78">
        <f>WATER!BG10</f>
        <v>-5.0999999999999943</v>
      </c>
      <c r="H10" s="79">
        <f>ELEC!AF9</f>
        <v>234</v>
      </c>
      <c r="I10" s="79">
        <f>ELEC!Q9</f>
        <v>5348.9999999983411</v>
      </c>
      <c r="J10" s="79">
        <f>ELEC!R9</f>
        <v>110.00000000165892</v>
      </c>
      <c r="K10" s="3"/>
      <c r="L10" s="3"/>
      <c r="M10" s="3"/>
      <c r="N10" s="3"/>
    </row>
    <row r="11" spans="1:14">
      <c r="A11" s="63">
        <f>'B5'!A11</f>
        <v>44568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1</v>
      </c>
      <c r="G11" s="78">
        <f>WATER!BG11</f>
        <v>-5.0999999999999659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44569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44570</v>
      </c>
      <c r="B13" s="76">
        <f>'B5'!V13</f>
        <v>221</v>
      </c>
      <c r="C13" s="76">
        <f>'B5'!AH13</f>
        <v>0</v>
      </c>
      <c r="D13" s="76">
        <f>GEN!AI11</f>
        <v>1406.6033755274636</v>
      </c>
      <c r="E13" s="239">
        <f t="shared" si="0"/>
        <v>1627.6033755274636</v>
      </c>
      <c r="F13" s="75">
        <f>WATER!L13</f>
        <v>0</v>
      </c>
      <c r="G13" s="78">
        <f>WATER!BG13</f>
        <v>0</v>
      </c>
      <c r="H13" s="79">
        <f>ELEC!AF12</f>
        <v>200</v>
      </c>
      <c r="I13" s="79">
        <f>ELEC!Q12</f>
        <v>5465.0000000001455</v>
      </c>
      <c r="J13" s="79">
        <f>ELEC!R12</f>
        <v>75.999999999854481</v>
      </c>
      <c r="K13" s="3"/>
      <c r="L13" s="3"/>
      <c r="M13" s="3"/>
      <c r="N13" s="3"/>
    </row>
    <row r="14" spans="1:14">
      <c r="A14" s="63">
        <f>'B5'!A14</f>
        <v>44571</v>
      </c>
      <c r="B14" s="76">
        <f>'B5'!V14</f>
        <v>395</v>
      </c>
      <c r="C14" s="76">
        <f>'B5'!AH14</f>
        <v>0</v>
      </c>
      <c r="D14" s="76">
        <f>GEN!AI12</f>
        <v>1237.5021097048736</v>
      </c>
      <c r="E14" s="239">
        <f t="shared" si="0"/>
        <v>1632.5021097048736</v>
      </c>
      <c r="F14" s="75">
        <f>WATER!L14</f>
        <v>0</v>
      </c>
      <c r="G14" s="78">
        <f>WATER!BG14</f>
        <v>-4</v>
      </c>
      <c r="H14" s="79">
        <f>ELEC!AF13</f>
        <v>103</v>
      </c>
      <c r="I14" s="79">
        <f>ELEC!Q13</f>
        <v>4808.0000000009022</v>
      </c>
      <c r="J14" s="79">
        <f>ELEC!R13</f>
        <v>235.99999999909778</v>
      </c>
      <c r="K14" s="3"/>
      <c r="L14" s="3"/>
      <c r="M14" s="3"/>
      <c r="N14" s="3"/>
    </row>
    <row r="15" spans="1:14">
      <c r="A15" s="63">
        <f>'B5'!A15</f>
        <v>44572</v>
      </c>
      <c r="B15" s="76">
        <f>'B5'!V15</f>
        <v>68</v>
      </c>
      <c r="C15" s="76">
        <f>'B5'!AH15</f>
        <v>0</v>
      </c>
      <c r="D15" s="76">
        <f>GEN!AI13</f>
        <v>1217.1687763711434</v>
      </c>
      <c r="E15" s="239">
        <f t="shared" si="0"/>
        <v>1285.1687763711434</v>
      </c>
      <c r="F15" s="75">
        <f>WATER!L15</f>
        <v>3</v>
      </c>
      <c r="G15" s="78">
        <f>WATER!BG15</f>
        <v>-17.299999999999997</v>
      </c>
      <c r="H15" s="79">
        <f>ELEC!AF14</f>
        <v>0</v>
      </c>
      <c r="I15" s="79">
        <f>ELEC!Q14</f>
        <v>4728.9999999993597</v>
      </c>
      <c r="J15" s="79">
        <f>ELEC!R14</f>
        <v>645.00000000064028</v>
      </c>
      <c r="K15" s="3"/>
      <c r="L15" s="3"/>
      <c r="M15" s="3"/>
      <c r="N15" s="3"/>
    </row>
    <row r="16" spans="1:14">
      <c r="A16" s="63">
        <f>'B5'!A16</f>
        <v>44573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-6.9000000000000199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44574</v>
      </c>
      <c r="B17" s="76">
        <f>'B5'!V17</f>
        <v>842</v>
      </c>
      <c r="C17" s="76">
        <f>'B5'!AH17</f>
        <v>0</v>
      </c>
      <c r="D17" s="76">
        <f>GEN!AI15</f>
        <v>1586.0000000000675</v>
      </c>
      <c r="E17" s="239">
        <f t="shared" si="0"/>
        <v>2428.0000000000673</v>
      </c>
      <c r="F17" s="75">
        <f>WATER!L17</f>
        <v>0</v>
      </c>
      <c r="G17" s="78">
        <f>WATER!BG17</f>
        <v>0</v>
      </c>
      <c r="H17" s="79">
        <f>ELEC!AF16</f>
        <v>177</v>
      </c>
      <c r="I17" s="79">
        <f>ELEC!Q16</f>
        <v>6162.0000000002619</v>
      </c>
      <c r="J17" s="79">
        <f>ELEC!R16</f>
        <v>-248.00000000026193</v>
      </c>
      <c r="K17" s="3"/>
      <c r="L17" s="3"/>
      <c r="M17" s="3"/>
      <c r="N17" s="3"/>
    </row>
    <row r="18" spans="1:14">
      <c r="A18" s="63">
        <f>'B5'!A18</f>
        <v>44575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-8.6999999999999886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44576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44577</v>
      </c>
      <c r="B20" s="76">
        <f>'B5'!V20</f>
        <v>352</v>
      </c>
      <c r="C20" s="76">
        <f>'B5'!AH20</f>
        <v>0</v>
      </c>
      <c r="D20" s="76">
        <f>GEN!AI18</f>
        <v>1100.05907173028</v>
      </c>
      <c r="E20" s="239">
        <f t="shared" si="0"/>
        <v>1452.05907173028</v>
      </c>
      <c r="F20" s="75">
        <f>WATER!L20</f>
        <v>0</v>
      </c>
      <c r="G20" s="78">
        <f>WATER!BG20</f>
        <v>0</v>
      </c>
      <c r="H20" s="79">
        <f>ELEC!AF19</f>
        <v>82</v>
      </c>
      <c r="I20" s="79">
        <f>ELEC!Q19</f>
        <v>4274.0000000012515</v>
      </c>
      <c r="J20" s="79">
        <f>ELEC!R19</f>
        <v>243.99999999874854</v>
      </c>
      <c r="K20" s="3"/>
      <c r="L20" s="3"/>
      <c r="M20" s="3"/>
      <c r="N20" s="3"/>
    </row>
    <row r="21" spans="1:14">
      <c r="A21" s="63">
        <f>'B5'!A21</f>
        <v>44578</v>
      </c>
      <c r="B21" s="76">
        <f>'B5'!V21</f>
        <v>447</v>
      </c>
      <c r="C21" s="76">
        <f>'B5'!AH21</f>
        <v>0</v>
      </c>
      <c r="D21" s="76">
        <f>GEN!AI19</f>
        <v>1169.552742615532</v>
      </c>
      <c r="E21" s="239">
        <f t="shared" si="0"/>
        <v>1616.552742615532</v>
      </c>
      <c r="F21" s="75">
        <f>WATER!L21</f>
        <v>0</v>
      </c>
      <c r="G21" s="78">
        <f>WATER!BG21</f>
        <v>-11.600000000000023</v>
      </c>
      <c r="H21" s="79">
        <f>ELEC!AF20</f>
        <v>0</v>
      </c>
      <c r="I21" s="79">
        <f>ELEC!Q20</f>
        <v>4543.99999999805</v>
      </c>
      <c r="J21" s="79">
        <f>ELEC!R20</f>
        <v>104.00000000194996</v>
      </c>
      <c r="K21" s="3"/>
      <c r="L21" s="3"/>
      <c r="M21" s="3"/>
      <c r="N21" s="3"/>
    </row>
    <row r="22" spans="1:14">
      <c r="A22" s="63">
        <f>'B5'!A22</f>
        <v>44579</v>
      </c>
      <c r="B22" s="76">
        <f>'B5'!V22</f>
        <v>416</v>
      </c>
      <c r="C22" s="76">
        <f>'B5'!AH22</f>
        <v>0</v>
      </c>
      <c r="D22" s="76">
        <f>GEN!AI20</f>
        <v>1508.2700421942427</v>
      </c>
      <c r="E22" s="239">
        <f t="shared" si="0"/>
        <v>1924.2700421942427</v>
      </c>
      <c r="F22" s="75">
        <f>WATER!L22</f>
        <v>0</v>
      </c>
      <c r="G22" s="78">
        <f>WATER!BG22</f>
        <v>-8.0000000000000142</v>
      </c>
      <c r="H22" s="79">
        <f>ELEC!AF21</f>
        <v>0</v>
      </c>
      <c r="I22" s="79">
        <f>ELEC!Q21</f>
        <v>5860.0000000005821</v>
      </c>
      <c r="J22" s="79">
        <f>ELEC!R21</f>
        <v>24.999999999417923</v>
      </c>
      <c r="K22" s="3"/>
      <c r="L22" s="3"/>
      <c r="M22" s="3"/>
      <c r="N22" s="3"/>
    </row>
    <row r="23" spans="1:14">
      <c r="A23" s="63">
        <f>'B5'!A23</f>
        <v>44580</v>
      </c>
      <c r="B23" s="76">
        <f>'B5'!V23</f>
        <v>572</v>
      </c>
      <c r="C23" s="76">
        <f>'B5'!AH23</f>
        <v>0</v>
      </c>
      <c r="D23" s="76">
        <f>GEN!AI21</f>
        <v>1427.7088607591493</v>
      </c>
      <c r="E23" s="239">
        <f t="shared" si="0"/>
        <v>1999.7088607591493</v>
      </c>
      <c r="F23" s="75">
        <f>WATER!L23</f>
        <v>4</v>
      </c>
      <c r="G23" s="78">
        <f>WATER!BG23</f>
        <v>-16.399999999999977</v>
      </c>
      <c r="H23" s="79">
        <f>ELEC!AF22</f>
        <v>0</v>
      </c>
      <c r="I23" s="79">
        <f>ELEC!Q22</f>
        <v>5546.9999999986612</v>
      </c>
      <c r="J23" s="79">
        <f>ELEC!R22</f>
        <v>130.00000000133878</v>
      </c>
      <c r="K23" s="3"/>
      <c r="L23" s="3"/>
      <c r="M23" s="3"/>
      <c r="N23" s="3"/>
    </row>
    <row r="24" spans="1:14">
      <c r="A24" s="63">
        <f>'B5'!A24</f>
        <v>44581</v>
      </c>
      <c r="B24" s="76">
        <f>'B5'!V24</f>
        <v>518</v>
      </c>
      <c r="C24" s="76">
        <f>'B5'!AH24</f>
        <v>0</v>
      </c>
      <c r="D24" s="76">
        <f>GEN!AI22</f>
        <v>1233.3839662450555</v>
      </c>
      <c r="E24" s="239">
        <f t="shared" si="0"/>
        <v>1751.3839662450555</v>
      </c>
      <c r="F24" s="75">
        <f>WATER!L24</f>
        <v>0</v>
      </c>
      <c r="G24" s="78">
        <f>WATER!BG24</f>
        <v>-8.6999999999999886</v>
      </c>
      <c r="H24" s="79">
        <f>ELEC!AF23</f>
        <v>0</v>
      </c>
      <c r="I24" s="79">
        <f>ELEC!Q23</f>
        <v>4792.0000000012806</v>
      </c>
      <c r="J24" s="79">
        <f>ELEC!R23</f>
        <v>330.99999999871943</v>
      </c>
      <c r="K24" s="3"/>
      <c r="L24" s="3"/>
      <c r="M24" s="3"/>
      <c r="N24" s="3"/>
    </row>
    <row r="25" spans="1:14">
      <c r="A25" s="63">
        <f>'B5'!A25</f>
        <v>44582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6</v>
      </c>
      <c r="G25" s="78">
        <f>WATER!BG25</f>
        <v>-5.8000000000000114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44583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44584</v>
      </c>
      <c r="B27" s="76">
        <f>'B5'!V27</f>
        <v>412</v>
      </c>
      <c r="C27" s="76">
        <f>'B5'!AH27</f>
        <v>0</v>
      </c>
      <c r="D27" s="76">
        <f>GEN!AI25</f>
        <v>1394.5063291143063</v>
      </c>
      <c r="E27" s="239">
        <f t="shared" si="0"/>
        <v>1806.5063291143063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5418.0000000014843</v>
      </c>
      <c r="J27" s="79">
        <f>ELEC!R26</f>
        <v>84.999999998515705</v>
      </c>
      <c r="K27" s="3"/>
      <c r="L27" s="3"/>
      <c r="M27" s="3"/>
      <c r="N27" s="3"/>
    </row>
    <row r="28" spans="1:14">
      <c r="A28" s="63">
        <f>'B5'!A28</f>
        <v>44585</v>
      </c>
      <c r="B28" s="76">
        <f>'B5'!V28</f>
        <v>565</v>
      </c>
      <c r="C28" s="76">
        <f>'B5'!AH28</f>
        <v>0</v>
      </c>
      <c r="D28" s="76">
        <f>GEN!AI26</f>
        <v>1492.3122362866279</v>
      </c>
      <c r="E28" s="239">
        <f t="shared" si="0"/>
        <v>2057.3122362866279</v>
      </c>
      <c r="F28" s="75">
        <f>WATER!L28</f>
        <v>0</v>
      </c>
      <c r="G28" s="78">
        <f>WATER!BG28</f>
        <v>-9.7999999999999972</v>
      </c>
      <c r="H28" s="79">
        <f>ELEC!AF27</f>
        <v>0</v>
      </c>
      <c r="I28" s="79">
        <f>ELEC!Q27</f>
        <v>5797.999999998865</v>
      </c>
      <c r="J28" s="79">
        <f>ELEC!R27</f>
        <v>-119.99999999886495</v>
      </c>
      <c r="K28" s="3"/>
      <c r="L28" s="3"/>
      <c r="M28" s="3"/>
      <c r="N28" s="3"/>
    </row>
    <row r="29" spans="1:14">
      <c r="A29" s="63">
        <f>'B5'!A29</f>
        <v>44586</v>
      </c>
      <c r="B29" s="76">
        <f>'B5'!V29</f>
        <v>522</v>
      </c>
      <c r="C29" s="76">
        <f>'B5'!AH29</f>
        <v>0</v>
      </c>
      <c r="D29" s="76">
        <f>GEN!AI27</f>
        <v>1585.4852320674731</v>
      </c>
      <c r="E29" s="77">
        <f t="shared" si="0"/>
        <v>2107.4852320674731</v>
      </c>
      <c r="F29" s="75">
        <f>WATER!L29</f>
        <v>0</v>
      </c>
      <c r="G29" s="78">
        <f>WATER!BG29</f>
        <v>-5.8000000000000114</v>
      </c>
      <c r="H29" s="79">
        <f>ELEC!AF28</f>
        <v>0</v>
      </c>
      <c r="I29" s="79">
        <f>ELEC!Q28</f>
        <v>6159.9999999998545</v>
      </c>
      <c r="J29" s="79">
        <f>ELEC!R28</f>
        <v>-131.99999999985448</v>
      </c>
      <c r="K29" s="3"/>
      <c r="L29" s="3"/>
      <c r="M29" s="3"/>
      <c r="N29" s="3"/>
    </row>
    <row r="30" spans="1:14">
      <c r="A30" s="63">
        <f>'B5'!A30</f>
        <v>44587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3</v>
      </c>
      <c r="G30" s="78">
        <f>WATER!BG30</f>
        <v>55.100000000000023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44588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44589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10</v>
      </c>
      <c r="E18">
        <f t="shared" si="0"/>
        <v>900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6</v>
      </c>
      <c r="E22">
        <f t="shared" si="0"/>
        <v>540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8</v>
      </c>
      <c r="E24">
        <f t="shared" si="0"/>
        <v>720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7</v>
      </c>
      <c r="E29">
        <f t="shared" si="0"/>
        <v>630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7</v>
      </c>
      <c r="E30">
        <f t="shared" si="0"/>
        <v>630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30" sqref="I3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6"/>
      <c r="B4" s="595" t="s">
        <v>325</v>
      </c>
      <c r="C4" s="596" t="s">
        <v>320</v>
      </c>
      <c r="D4" s="597" t="s">
        <v>326</v>
      </c>
      <c r="E4" s="598" t="s">
        <v>325</v>
      </c>
      <c r="F4" s="597" t="s">
        <v>320</v>
      </c>
      <c r="G4" s="598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1">
        <f>'[2]Swimming Pool quality check '!$A$36</f>
        <v>44561</v>
      </c>
      <c r="B5" s="612">
        <f>'[2]Swimming Pool quality check '!B36</f>
        <v>2.2000000000000002</v>
      </c>
      <c r="C5" s="612">
        <f>'[2]Swimming Pool quality check '!C36</f>
        <v>7.8</v>
      </c>
      <c r="D5" s="612">
        <f>'[2]Swimming Pool quality check '!D36</f>
        <v>0</v>
      </c>
      <c r="E5" s="612">
        <f>'[5]Swimming Pool quality check '!E35</f>
        <v>0</v>
      </c>
      <c r="F5" s="612">
        <f>'[5]Swimming Pool quality check '!F35</f>
        <v>0</v>
      </c>
      <c r="G5" s="612">
        <f>'[5]Swimming Pool quality check '!G35</f>
        <v>0</v>
      </c>
      <c r="H5" s="613">
        <f>'[2]Swimming Pool quality check '!$H$36</f>
        <v>6976</v>
      </c>
      <c r="I5" s="614">
        <f>'[6]Swimming Pool quality check '!I36</f>
        <v>0</v>
      </c>
      <c r="J5" s="615">
        <f>'[7]Swimming Pool quality check '!J36</f>
        <v>0.33333333333333398</v>
      </c>
      <c r="K5" s="587">
        <v>0</v>
      </c>
      <c r="L5" s="500">
        <f>A5</f>
        <v>44561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07">
        <f>ELEC!C4</f>
        <v>44562</v>
      </c>
      <c r="B6" s="622"/>
      <c r="C6" s="623"/>
      <c r="D6" s="623">
        <v>0</v>
      </c>
      <c r="E6" s="623">
        <v>0</v>
      </c>
      <c r="F6" s="623">
        <v>0</v>
      </c>
      <c r="G6" s="623">
        <v>0</v>
      </c>
      <c r="H6" s="624">
        <f>H5</f>
        <v>6976</v>
      </c>
      <c r="I6" s="609">
        <f>H6-H5</f>
        <v>0</v>
      </c>
      <c r="J6" s="610">
        <v>0.29166666666666669</v>
      </c>
      <c r="L6" s="99">
        <f t="shared" ref="L6:L33" si="0">A6</f>
        <v>44562</v>
      </c>
      <c r="M6" s="3">
        <f>M5</f>
        <v>6541</v>
      </c>
      <c r="N6" s="477"/>
      <c r="O6" s="477">
        <f>M6+N6</f>
        <v>6541</v>
      </c>
    </row>
    <row r="7" spans="1:18">
      <c r="A7" s="589">
        <f>ELEC!C5</f>
        <v>44563</v>
      </c>
      <c r="B7" s="603"/>
      <c r="C7" s="621"/>
      <c r="D7" s="621">
        <v>0</v>
      </c>
      <c r="E7" s="621">
        <v>0</v>
      </c>
      <c r="F7" s="621">
        <v>0</v>
      </c>
      <c r="G7" s="621">
        <v>0</v>
      </c>
      <c r="H7" s="608">
        <f t="shared" ref="H7:H36" si="1">H6</f>
        <v>6976</v>
      </c>
      <c r="I7" s="601">
        <f>H7-H6</f>
        <v>0</v>
      </c>
      <c r="J7" s="462">
        <v>0.29166666666666669</v>
      </c>
      <c r="L7" s="99">
        <f t="shared" si="0"/>
        <v>44563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89">
        <f>ELEC!C6</f>
        <v>44564</v>
      </c>
      <c r="B8" s="603"/>
      <c r="C8" s="621"/>
      <c r="D8" s="621">
        <v>0</v>
      </c>
      <c r="E8" s="621">
        <v>0</v>
      </c>
      <c r="F8" s="621">
        <v>0</v>
      </c>
      <c r="G8" s="621">
        <v>0</v>
      </c>
      <c r="H8" s="608">
        <f t="shared" si="1"/>
        <v>6976</v>
      </c>
      <c r="I8" s="601">
        <f t="shared" ref="I8:I33" si="4">H8-H7</f>
        <v>0</v>
      </c>
      <c r="J8" s="462">
        <v>0.29166666666666669</v>
      </c>
      <c r="L8" s="99">
        <f t="shared" si="0"/>
        <v>44564</v>
      </c>
      <c r="M8" s="3">
        <f t="shared" si="2"/>
        <v>6541</v>
      </c>
      <c r="N8" s="477"/>
      <c r="O8" s="477">
        <f t="shared" si="3"/>
        <v>6541</v>
      </c>
    </row>
    <row r="9" spans="1:18">
      <c r="A9" s="589">
        <f>ELEC!C7</f>
        <v>44565</v>
      </c>
      <c r="B9" s="603">
        <v>2.2000000000000002</v>
      </c>
      <c r="C9" s="621">
        <v>7.8</v>
      </c>
      <c r="D9" s="621">
        <v>0</v>
      </c>
      <c r="E9" s="621">
        <v>0</v>
      </c>
      <c r="F9" s="621">
        <v>0</v>
      </c>
      <c r="G9" s="621">
        <v>0</v>
      </c>
      <c r="H9" s="608">
        <f t="shared" si="1"/>
        <v>6976</v>
      </c>
      <c r="I9" s="601">
        <f t="shared" si="4"/>
        <v>0</v>
      </c>
      <c r="J9" s="462">
        <v>0.25</v>
      </c>
      <c r="L9" s="99">
        <f t="shared" si="0"/>
        <v>44565</v>
      </c>
      <c r="M9" s="3">
        <f t="shared" si="2"/>
        <v>6541</v>
      </c>
      <c r="N9" s="477"/>
      <c r="O9" s="477">
        <f t="shared" si="3"/>
        <v>6541</v>
      </c>
    </row>
    <row r="10" spans="1:18">
      <c r="A10" s="589">
        <f>ELEC!C8</f>
        <v>44566</v>
      </c>
      <c r="B10" s="603">
        <v>1.5</v>
      </c>
      <c r="C10" s="621">
        <v>8</v>
      </c>
      <c r="D10" s="621">
        <v>0</v>
      </c>
      <c r="E10" s="621">
        <v>0</v>
      </c>
      <c r="F10" s="621">
        <v>0</v>
      </c>
      <c r="G10" s="621">
        <v>0</v>
      </c>
      <c r="H10" s="608">
        <v>6983</v>
      </c>
      <c r="I10" s="601">
        <f t="shared" si="4"/>
        <v>7</v>
      </c>
      <c r="J10" s="462">
        <v>0.29166666666666669</v>
      </c>
      <c r="L10" s="99">
        <f t="shared" si="0"/>
        <v>44566</v>
      </c>
      <c r="M10" s="3">
        <f t="shared" si="2"/>
        <v>6541</v>
      </c>
      <c r="N10" s="477"/>
      <c r="O10" s="477">
        <f t="shared" si="3"/>
        <v>6541</v>
      </c>
    </row>
    <row r="11" spans="1:18">
      <c r="A11" s="589">
        <f>ELEC!C9</f>
        <v>44567</v>
      </c>
      <c r="B11" s="603">
        <v>1.5</v>
      </c>
      <c r="C11" s="621">
        <v>8.6999999999999993</v>
      </c>
      <c r="D11" s="621">
        <v>0</v>
      </c>
      <c r="E11" s="621">
        <v>0</v>
      </c>
      <c r="F11" s="621">
        <v>0</v>
      </c>
      <c r="G11" s="621">
        <v>0</v>
      </c>
      <c r="H11" s="608">
        <v>6984</v>
      </c>
      <c r="I11" s="601">
        <f t="shared" si="4"/>
        <v>1</v>
      </c>
      <c r="J11" s="462">
        <v>0.29166666666666669</v>
      </c>
      <c r="L11" s="99">
        <f t="shared" si="0"/>
        <v>44567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89">
        <f>ELEC!C10</f>
        <v>44568</v>
      </c>
      <c r="B12" s="603"/>
      <c r="C12" s="621"/>
      <c r="D12" s="621">
        <v>0</v>
      </c>
      <c r="E12" s="621">
        <v>0</v>
      </c>
      <c r="F12" s="621">
        <v>0</v>
      </c>
      <c r="G12" s="621">
        <v>0</v>
      </c>
      <c r="H12" s="608">
        <f t="shared" si="1"/>
        <v>6984</v>
      </c>
      <c r="I12" s="601">
        <f t="shared" si="4"/>
        <v>0</v>
      </c>
      <c r="J12" s="462">
        <v>0.29166666666666669</v>
      </c>
      <c r="L12" s="99">
        <f t="shared" si="0"/>
        <v>44568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89">
        <f>ELEC!C11</f>
        <v>44569</v>
      </c>
      <c r="B13" s="603"/>
      <c r="C13" s="621"/>
      <c r="D13" s="621">
        <v>0</v>
      </c>
      <c r="E13" s="621">
        <v>0</v>
      </c>
      <c r="F13" s="621">
        <v>0</v>
      </c>
      <c r="G13" s="621">
        <v>0</v>
      </c>
      <c r="H13" s="608">
        <f t="shared" si="1"/>
        <v>6984</v>
      </c>
      <c r="I13" s="601">
        <f t="shared" si="4"/>
        <v>0</v>
      </c>
      <c r="J13" s="462">
        <v>0.29166666666666669</v>
      </c>
      <c r="L13" s="99">
        <f t="shared" si="0"/>
        <v>44569</v>
      </c>
      <c r="M13" s="3">
        <f t="shared" si="2"/>
        <v>6541</v>
      </c>
      <c r="N13" s="477"/>
      <c r="O13" s="477">
        <f t="shared" si="3"/>
        <v>6541</v>
      </c>
    </row>
    <row r="14" spans="1:18">
      <c r="A14" s="589">
        <f>ELEC!C12</f>
        <v>44570</v>
      </c>
      <c r="B14" s="603"/>
      <c r="C14" s="621"/>
      <c r="D14" s="621">
        <v>0</v>
      </c>
      <c r="E14" s="621">
        <v>0</v>
      </c>
      <c r="F14" s="621">
        <v>0</v>
      </c>
      <c r="G14" s="621">
        <v>0</v>
      </c>
      <c r="H14" s="608">
        <f t="shared" si="1"/>
        <v>6984</v>
      </c>
      <c r="I14" s="601">
        <f t="shared" si="4"/>
        <v>0</v>
      </c>
      <c r="J14" s="462">
        <v>0.29166666666666669</v>
      </c>
      <c r="L14" s="99">
        <f t="shared" si="0"/>
        <v>44570</v>
      </c>
      <c r="M14" s="3">
        <f t="shared" si="2"/>
        <v>6541</v>
      </c>
      <c r="N14" s="477"/>
      <c r="O14" s="477">
        <f t="shared" si="3"/>
        <v>6541</v>
      </c>
    </row>
    <row r="15" spans="1:18">
      <c r="A15" s="589">
        <f>ELEC!C13</f>
        <v>44571</v>
      </c>
      <c r="B15" s="603">
        <v>2</v>
      </c>
      <c r="C15" s="621">
        <v>8</v>
      </c>
      <c r="D15" s="621">
        <v>0</v>
      </c>
      <c r="E15" s="621">
        <v>0</v>
      </c>
      <c r="F15" s="621">
        <v>0</v>
      </c>
      <c r="G15" s="621">
        <v>0</v>
      </c>
      <c r="H15" s="608">
        <v>6987</v>
      </c>
      <c r="I15" s="601">
        <f t="shared" si="4"/>
        <v>3</v>
      </c>
      <c r="J15" s="462">
        <v>0.29166666666666669</v>
      </c>
      <c r="L15" s="99">
        <f t="shared" si="0"/>
        <v>44571</v>
      </c>
      <c r="M15" s="3">
        <f t="shared" si="2"/>
        <v>6541</v>
      </c>
      <c r="N15" s="477"/>
      <c r="O15" s="477">
        <f t="shared" si="3"/>
        <v>6541</v>
      </c>
    </row>
    <row r="16" spans="1:18">
      <c r="A16" s="589">
        <f>ELEC!C14</f>
        <v>44572</v>
      </c>
      <c r="B16" s="603"/>
      <c r="C16" s="621"/>
      <c r="D16" s="621">
        <v>0</v>
      </c>
      <c r="E16" s="621">
        <v>0</v>
      </c>
      <c r="F16" s="621">
        <v>0</v>
      </c>
      <c r="G16" s="621">
        <v>0</v>
      </c>
      <c r="H16" s="608">
        <f t="shared" si="1"/>
        <v>6987</v>
      </c>
      <c r="I16" s="601">
        <f t="shared" si="4"/>
        <v>0</v>
      </c>
      <c r="J16" s="462">
        <v>0.29166666666666669</v>
      </c>
      <c r="L16" s="99">
        <f t="shared" si="0"/>
        <v>44572</v>
      </c>
      <c r="M16" s="3">
        <f t="shared" si="2"/>
        <v>6541</v>
      </c>
      <c r="N16" s="477"/>
      <c r="O16" s="477">
        <f t="shared" si="3"/>
        <v>6541</v>
      </c>
    </row>
    <row r="17" spans="1:15">
      <c r="A17" s="589">
        <f>ELEC!C15</f>
        <v>44573</v>
      </c>
      <c r="B17" s="603"/>
      <c r="C17" s="621"/>
      <c r="D17" s="621">
        <v>0</v>
      </c>
      <c r="E17" s="621">
        <v>0</v>
      </c>
      <c r="F17" s="621">
        <v>0</v>
      </c>
      <c r="G17" s="621">
        <v>0</v>
      </c>
      <c r="H17" s="608">
        <f t="shared" si="1"/>
        <v>6987</v>
      </c>
      <c r="I17" s="601">
        <f t="shared" si="4"/>
        <v>0</v>
      </c>
      <c r="J17" s="462">
        <v>0.29166666666666669</v>
      </c>
      <c r="L17" s="99">
        <f t="shared" si="0"/>
        <v>44573</v>
      </c>
      <c r="M17" s="3">
        <f t="shared" si="2"/>
        <v>6541</v>
      </c>
      <c r="N17" s="477"/>
      <c r="O17" s="477">
        <f t="shared" si="3"/>
        <v>6541</v>
      </c>
    </row>
    <row r="18" spans="1:15">
      <c r="A18" s="589">
        <f>ELEC!C16</f>
        <v>44574</v>
      </c>
      <c r="B18" s="603"/>
      <c r="C18" s="621"/>
      <c r="D18" s="621">
        <v>0</v>
      </c>
      <c r="E18" s="621">
        <v>0</v>
      </c>
      <c r="F18" s="621">
        <v>0</v>
      </c>
      <c r="G18" s="621">
        <v>0</v>
      </c>
      <c r="H18" s="608">
        <f t="shared" si="1"/>
        <v>6987</v>
      </c>
      <c r="I18" s="601">
        <f t="shared" si="4"/>
        <v>0</v>
      </c>
      <c r="J18" s="462">
        <v>0.29166666666666669</v>
      </c>
      <c r="L18" s="99">
        <f t="shared" si="0"/>
        <v>44574</v>
      </c>
      <c r="M18" s="3">
        <f t="shared" si="2"/>
        <v>6541</v>
      </c>
      <c r="N18" s="477"/>
      <c r="O18" s="477">
        <f t="shared" si="3"/>
        <v>6541</v>
      </c>
    </row>
    <row r="19" spans="1:15">
      <c r="A19" s="589">
        <f>ELEC!C17</f>
        <v>44575</v>
      </c>
      <c r="B19" s="603"/>
      <c r="C19" s="621"/>
      <c r="D19" s="621">
        <v>0</v>
      </c>
      <c r="E19" s="621">
        <v>0</v>
      </c>
      <c r="F19" s="621">
        <v>0</v>
      </c>
      <c r="G19" s="621">
        <v>0</v>
      </c>
      <c r="H19" s="608">
        <f t="shared" si="1"/>
        <v>6987</v>
      </c>
      <c r="I19" s="601">
        <f t="shared" si="4"/>
        <v>0</v>
      </c>
      <c r="J19" s="462">
        <v>0.29166666666666669</v>
      </c>
      <c r="L19" s="99">
        <f t="shared" si="0"/>
        <v>44575</v>
      </c>
      <c r="M19" s="3">
        <f t="shared" si="2"/>
        <v>6541</v>
      </c>
      <c r="N19" s="477"/>
      <c r="O19" s="477">
        <f t="shared" si="3"/>
        <v>6541</v>
      </c>
    </row>
    <row r="20" spans="1:15">
      <c r="A20" s="589">
        <f>ELEC!C18</f>
        <v>44576</v>
      </c>
      <c r="B20" s="603"/>
      <c r="C20" s="621"/>
      <c r="D20" s="621">
        <v>0</v>
      </c>
      <c r="E20" s="621">
        <v>0</v>
      </c>
      <c r="F20" s="621">
        <v>0</v>
      </c>
      <c r="G20" s="621">
        <v>0</v>
      </c>
      <c r="H20" s="608">
        <f t="shared" si="1"/>
        <v>6987</v>
      </c>
      <c r="I20" s="601">
        <f t="shared" si="4"/>
        <v>0</v>
      </c>
      <c r="J20" s="462">
        <v>0.29166666666666669</v>
      </c>
      <c r="L20" s="99">
        <f t="shared" si="0"/>
        <v>44576</v>
      </c>
      <c r="M20" s="3">
        <f t="shared" si="2"/>
        <v>6541</v>
      </c>
      <c r="N20" s="477"/>
      <c r="O20" s="477">
        <f t="shared" si="3"/>
        <v>6541</v>
      </c>
    </row>
    <row r="21" spans="1:15">
      <c r="A21" s="589">
        <f>ELEC!C19</f>
        <v>44577</v>
      </c>
      <c r="B21" s="603">
        <v>1.8</v>
      </c>
      <c r="C21" s="621">
        <v>7.2</v>
      </c>
      <c r="D21" s="621">
        <v>0</v>
      </c>
      <c r="E21" s="621">
        <v>0</v>
      </c>
      <c r="F21" s="621">
        <v>0</v>
      </c>
      <c r="G21" s="621">
        <v>0</v>
      </c>
      <c r="H21" s="608">
        <f t="shared" si="1"/>
        <v>6987</v>
      </c>
      <c r="I21" s="601">
        <f t="shared" si="4"/>
        <v>0</v>
      </c>
      <c r="J21" s="535" t="s">
        <v>409</v>
      </c>
      <c r="L21" s="99">
        <f t="shared" si="0"/>
        <v>44577</v>
      </c>
      <c r="M21" s="3">
        <f t="shared" si="2"/>
        <v>6541</v>
      </c>
      <c r="N21" s="477"/>
      <c r="O21" s="477">
        <f t="shared" si="3"/>
        <v>6541</v>
      </c>
    </row>
    <row r="22" spans="1:15">
      <c r="A22" s="589">
        <f>ELEC!C20</f>
        <v>44578</v>
      </c>
      <c r="B22" s="603">
        <v>1</v>
      </c>
      <c r="C22" s="621">
        <v>7.2</v>
      </c>
      <c r="D22" s="621">
        <v>0</v>
      </c>
      <c r="E22" s="621">
        <v>0</v>
      </c>
      <c r="F22" s="621">
        <v>0</v>
      </c>
      <c r="G22" s="621">
        <v>0</v>
      </c>
      <c r="H22" s="608">
        <v>6987</v>
      </c>
      <c r="I22" s="601">
        <f t="shared" si="4"/>
        <v>0</v>
      </c>
      <c r="J22" s="462">
        <v>0.29166666666666669</v>
      </c>
      <c r="L22" s="99">
        <f t="shared" si="0"/>
        <v>44578</v>
      </c>
      <c r="M22" s="3">
        <f t="shared" si="2"/>
        <v>6541</v>
      </c>
      <c r="N22" s="477"/>
      <c r="O22" s="477">
        <f t="shared" si="3"/>
        <v>6541</v>
      </c>
    </row>
    <row r="23" spans="1:15">
      <c r="A23" s="589">
        <f>ELEC!C21</f>
        <v>44579</v>
      </c>
      <c r="B23" s="603">
        <v>1.3</v>
      </c>
      <c r="C23" s="621">
        <v>8</v>
      </c>
      <c r="D23" s="621">
        <v>0</v>
      </c>
      <c r="E23" s="621">
        <v>0</v>
      </c>
      <c r="F23" s="621">
        <v>0</v>
      </c>
      <c r="G23" s="621">
        <v>0</v>
      </c>
      <c r="H23" s="608">
        <v>6991</v>
      </c>
      <c r="I23" s="601">
        <f t="shared" si="4"/>
        <v>4</v>
      </c>
      <c r="J23" s="462">
        <v>0.29166666666666669</v>
      </c>
      <c r="L23" s="99">
        <f t="shared" si="0"/>
        <v>44579</v>
      </c>
      <c r="M23" s="3">
        <f t="shared" si="2"/>
        <v>6541</v>
      </c>
      <c r="N23" s="477"/>
      <c r="O23" s="477">
        <f t="shared" si="3"/>
        <v>6541</v>
      </c>
    </row>
    <row r="24" spans="1:15">
      <c r="A24" s="589">
        <f>ELEC!C22</f>
        <v>44580</v>
      </c>
      <c r="B24" s="603"/>
      <c r="C24" s="621"/>
      <c r="D24" s="621">
        <v>0</v>
      </c>
      <c r="E24" s="621">
        <v>0</v>
      </c>
      <c r="F24" s="621">
        <v>0</v>
      </c>
      <c r="G24" s="621">
        <v>0</v>
      </c>
      <c r="H24" s="608">
        <f t="shared" si="1"/>
        <v>6991</v>
      </c>
      <c r="I24" s="601">
        <f t="shared" si="4"/>
        <v>0</v>
      </c>
      <c r="J24" s="462">
        <v>0.29166666666666702</v>
      </c>
      <c r="L24" s="99">
        <f t="shared" si="0"/>
        <v>44580</v>
      </c>
      <c r="M24" s="3">
        <f t="shared" si="2"/>
        <v>6541</v>
      </c>
      <c r="N24" s="477"/>
      <c r="O24" s="477">
        <f t="shared" si="3"/>
        <v>6541</v>
      </c>
    </row>
    <row r="25" spans="1:15">
      <c r="A25" s="589">
        <f>ELEC!C23</f>
        <v>44581</v>
      </c>
      <c r="B25" s="603">
        <v>1.5</v>
      </c>
      <c r="C25" s="621">
        <v>8</v>
      </c>
      <c r="D25" s="621">
        <v>0</v>
      </c>
      <c r="E25" s="621">
        <v>0</v>
      </c>
      <c r="F25" s="621">
        <v>0</v>
      </c>
      <c r="G25" s="621">
        <v>0</v>
      </c>
      <c r="H25" s="608">
        <v>6997</v>
      </c>
      <c r="I25" s="601">
        <f t="shared" si="4"/>
        <v>6</v>
      </c>
      <c r="J25" s="462">
        <v>0.29166666666666702</v>
      </c>
      <c r="L25" s="99">
        <f t="shared" si="0"/>
        <v>44581</v>
      </c>
      <c r="M25" s="3">
        <f t="shared" si="2"/>
        <v>6541</v>
      </c>
      <c r="N25" s="477"/>
      <c r="O25" s="477">
        <f t="shared" si="3"/>
        <v>6541</v>
      </c>
    </row>
    <row r="26" spans="1:15">
      <c r="A26" s="589">
        <f>ELEC!C24</f>
        <v>44582</v>
      </c>
      <c r="B26" s="603"/>
      <c r="C26" s="621"/>
      <c r="D26" s="621">
        <v>0</v>
      </c>
      <c r="E26" s="621">
        <v>0</v>
      </c>
      <c r="F26" s="621">
        <v>0</v>
      </c>
      <c r="G26" s="621">
        <v>0</v>
      </c>
      <c r="H26" s="608">
        <f t="shared" si="1"/>
        <v>6997</v>
      </c>
      <c r="I26" s="601">
        <f t="shared" si="4"/>
        <v>0</v>
      </c>
      <c r="J26" s="462">
        <v>0.29166666666666702</v>
      </c>
      <c r="L26" s="99">
        <f t="shared" si="0"/>
        <v>44582</v>
      </c>
      <c r="M26" s="3">
        <f t="shared" si="2"/>
        <v>6541</v>
      </c>
      <c r="N26" s="477"/>
      <c r="O26" s="477">
        <f t="shared" si="3"/>
        <v>6541</v>
      </c>
    </row>
    <row r="27" spans="1:15">
      <c r="A27" s="589">
        <f>ELEC!C25</f>
        <v>44583</v>
      </c>
      <c r="B27" s="603"/>
      <c r="C27" s="621"/>
      <c r="D27" s="621">
        <v>0</v>
      </c>
      <c r="E27" s="621">
        <v>0</v>
      </c>
      <c r="F27" s="621">
        <v>0</v>
      </c>
      <c r="G27" s="621">
        <v>0</v>
      </c>
      <c r="H27" s="608">
        <f t="shared" si="1"/>
        <v>6997</v>
      </c>
      <c r="I27" s="601">
        <f t="shared" si="4"/>
        <v>0</v>
      </c>
      <c r="J27" s="462">
        <v>0.29166666666666702</v>
      </c>
      <c r="L27" s="99">
        <f t="shared" si="0"/>
        <v>44583</v>
      </c>
      <c r="M27" s="3">
        <f t="shared" si="2"/>
        <v>6541</v>
      </c>
      <c r="N27" s="477"/>
      <c r="O27" s="477">
        <f t="shared" si="3"/>
        <v>6541</v>
      </c>
    </row>
    <row r="28" spans="1:15">
      <c r="A28" s="589">
        <f>ELEC!C26</f>
        <v>44584</v>
      </c>
      <c r="B28" s="603"/>
      <c r="C28" s="621"/>
      <c r="D28" s="621">
        <v>0</v>
      </c>
      <c r="E28" s="621">
        <v>0</v>
      </c>
      <c r="F28" s="621">
        <v>0</v>
      </c>
      <c r="G28" s="621">
        <v>0</v>
      </c>
      <c r="H28" s="608">
        <f t="shared" si="1"/>
        <v>6997</v>
      </c>
      <c r="I28" s="601">
        <f t="shared" si="4"/>
        <v>0</v>
      </c>
      <c r="J28" s="463">
        <v>0.29166666666666702</v>
      </c>
      <c r="L28" s="99">
        <f t="shared" si="0"/>
        <v>44584</v>
      </c>
      <c r="M28" s="3">
        <f t="shared" si="2"/>
        <v>6541</v>
      </c>
      <c r="N28" s="477"/>
      <c r="O28" s="477">
        <f t="shared" si="3"/>
        <v>6541</v>
      </c>
    </row>
    <row r="29" spans="1:15">
      <c r="A29" s="589">
        <f>ELEC!C27</f>
        <v>44585</v>
      </c>
      <c r="B29" s="603"/>
      <c r="C29" s="621"/>
      <c r="D29" s="621">
        <v>0</v>
      </c>
      <c r="E29" s="621">
        <v>0</v>
      </c>
      <c r="F29" s="621">
        <v>0</v>
      </c>
      <c r="G29" s="621">
        <v>0</v>
      </c>
      <c r="H29" s="608">
        <f t="shared" si="1"/>
        <v>6997</v>
      </c>
      <c r="I29" s="601">
        <f t="shared" si="4"/>
        <v>0</v>
      </c>
      <c r="J29" s="462">
        <v>0.29166666666666702</v>
      </c>
      <c r="L29" s="99">
        <f t="shared" si="0"/>
        <v>44585</v>
      </c>
      <c r="M29" s="3">
        <f t="shared" si="2"/>
        <v>6541</v>
      </c>
      <c r="N29" s="477"/>
      <c r="O29" s="477">
        <f t="shared" si="3"/>
        <v>6541</v>
      </c>
    </row>
    <row r="30" spans="1:15">
      <c r="A30" s="589">
        <f>ELEC!C28</f>
        <v>44586</v>
      </c>
      <c r="B30" s="603">
        <v>0.8</v>
      </c>
      <c r="C30" s="621">
        <v>7.8</v>
      </c>
      <c r="D30" s="621">
        <v>0</v>
      </c>
      <c r="E30" s="621">
        <v>0</v>
      </c>
      <c r="F30" s="621">
        <v>0</v>
      </c>
      <c r="G30" s="621">
        <v>0</v>
      </c>
      <c r="H30" s="608">
        <v>7000</v>
      </c>
      <c r="I30" s="601">
        <f t="shared" si="4"/>
        <v>3</v>
      </c>
      <c r="J30" s="462">
        <v>0.29166666666666702</v>
      </c>
      <c r="L30" s="99">
        <f t="shared" si="0"/>
        <v>44586</v>
      </c>
      <c r="M30" s="3">
        <f t="shared" si="2"/>
        <v>6541</v>
      </c>
      <c r="N30" s="477"/>
      <c r="O30" s="477">
        <f t="shared" si="3"/>
        <v>6541</v>
      </c>
    </row>
    <row r="31" spans="1:15">
      <c r="A31" s="589">
        <f>ELEC!C29</f>
        <v>44587</v>
      </c>
      <c r="B31" s="603"/>
      <c r="C31" s="621"/>
      <c r="D31" s="621">
        <v>0</v>
      </c>
      <c r="E31" s="621">
        <v>0</v>
      </c>
      <c r="F31" s="621">
        <v>0</v>
      </c>
      <c r="G31" s="621">
        <v>0</v>
      </c>
      <c r="H31" s="608">
        <f t="shared" si="1"/>
        <v>7000</v>
      </c>
      <c r="I31" s="601">
        <f t="shared" si="4"/>
        <v>0</v>
      </c>
      <c r="J31" s="462">
        <v>0.29166666666666702</v>
      </c>
      <c r="L31" s="99">
        <f t="shared" si="0"/>
        <v>44587</v>
      </c>
      <c r="M31" s="3">
        <f t="shared" si="2"/>
        <v>6541</v>
      </c>
      <c r="N31" s="477"/>
      <c r="O31" s="477">
        <f t="shared" si="3"/>
        <v>6541</v>
      </c>
    </row>
    <row r="32" spans="1:15">
      <c r="A32" s="589">
        <f>ELEC!C30</f>
        <v>44588</v>
      </c>
      <c r="B32" s="603"/>
      <c r="C32" s="621"/>
      <c r="D32" s="621">
        <v>0</v>
      </c>
      <c r="E32" s="621">
        <v>0</v>
      </c>
      <c r="F32" s="621">
        <v>0</v>
      </c>
      <c r="G32" s="621">
        <v>0</v>
      </c>
      <c r="H32" s="608">
        <f t="shared" si="1"/>
        <v>7000</v>
      </c>
      <c r="I32" s="601">
        <f t="shared" si="4"/>
        <v>0</v>
      </c>
      <c r="J32" s="462">
        <v>0.29166666666666702</v>
      </c>
      <c r="L32" s="99">
        <f t="shared" si="0"/>
        <v>44588</v>
      </c>
      <c r="M32" s="3">
        <f t="shared" si="2"/>
        <v>6541</v>
      </c>
      <c r="N32" s="477"/>
      <c r="O32" s="477">
        <v>6879</v>
      </c>
    </row>
    <row r="33" spans="1:15">
      <c r="A33" s="589">
        <f>ELEC!C31</f>
        <v>44589</v>
      </c>
      <c r="B33" s="603"/>
      <c r="C33" s="621"/>
      <c r="D33" s="621">
        <v>0</v>
      </c>
      <c r="E33" s="621">
        <v>0</v>
      </c>
      <c r="F33" s="621">
        <v>0</v>
      </c>
      <c r="G33" s="621">
        <v>0</v>
      </c>
      <c r="H33" s="608">
        <f t="shared" si="1"/>
        <v>7000</v>
      </c>
      <c r="I33" s="601">
        <f t="shared" si="4"/>
        <v>0</v>
      </c>
      <c r="J33" s="462">
        <v>0.29166666666666702</v>
      </c>
      <c r="L33" s="99">
        <f t="shared" si="0"/>
        <v>44589</v>
      </c>
      <c r="M33" s="3">
        <f t="shared" si="2"/>
        <v>6541</v>
      </c>
      <c r="N33" s="477"/>
      <c r="O33" s="477">
        <f t="shared" si="3"/>
        <v>6541</v>
      </c>
    </row>
    <row r="34" spans="1:15">
      <c r="A34" s="589">
        <f>ELEC!C32</f>
        <v>44590</v>
      </c>
      <c r="B34" s="603"/>
      <c r="C34" s="621"/>
      <c r="D34" s="621">
        <v>0</v>
      </c>
      <c r="E34" s="621">
        <v>0</v>
      </c>
      <c r="F34" s="621">
        <v>0</v>
      </c>
      <c r="G34" s="621">
        <v>0</v>
      </c>
      <c r="H34" s="608">
        <f t="shared" si="1"/>
        <v>7000</v>
      </c>
      <c r="I34" s="601">
        <f>H34-H33</f>
        <v>0</v>
      </c>
      <c r="J34" s="462">
        <v>0.33333333333333398</v>
      </c>
      <c r="L34" s="99">
        <f>A34</f>
        <v>44590</v>
      </c>
      <c r="M34" s="3">
        <f t="shared" si="2"/>
        <v>6541</v>
      </c>
      <c r="N34" s="477"/>
      <c r="O34" s="477">
        <f>M34+N34</f>
        <v>6541</v>
      </c>
    </row>
    <row r="35" spans="1:15">
      <c r="A35" s="589">
        <f>ELEC!C33</f>
        <v>44591</v>
      </c>
      <c r="B35" s="603"/>
      <c r="C35" s="621"/>
      <c r="D35" s="621">
        <v>0</v>
      </c>
      <c r="E35" s="621">
        <v>0</v>
      </c>
      <c r="F35" s="621">
        <v>0</v>
      </c>
      <c r="G35" s="621">
        <v>0</v>
      </c>
      <c r="H35" s="608">
        <f t="shared" si="1"/>
        <v>7000</v>
      </c>
      <c r="I35" s="601">
        <f>H35-H34</f>
        <v>0</v>
      </c>
      <c r="J35" s="462">
        <v>0.375000000000001</v>
      </c>
      <c r="L35" s="99">
        <f>A35</f>
        <v>44591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0">
        <f>ELEC!C34</f>
        <v>44592</v>
      </c>
      <c r="B36" s="605"/>
      <c r="C36" s="606"/>
      <c r="D36" s="606">
        <v>0</v>
      </c>
      <c r="E36" s="606">
        <v>0</v>
      </c>
      <c r="F36" s="606">
        <v>0</v>
      </c>
      <c r="G36" s="606">
        <v>0</v>
      </c>
      <c r="H36" s="625">
        <f t="shared" si="1"/>
        <v>7000</v>
      </c>
      <c r="I36" s="602">
        <f>H36-H35</f>
        <v>0</v>
      </c>
      <c r="J36" s="588">
        <v>0.41666666666666802</v>
      </c>
      <c r="L36" s="99">
        <f>A36</f>
        <v>44592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F18" sqref="F1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'General information '!B5</f>
        <v>0</v>
      </c>
      <c r="C10" s="261">
        <f>'General information '!C5</f>
        <v>0</v>
      </c>
      <c r="D10" s="261">
        <f>'[9]Degree Days 2020'!D10</f>
        <v>-0.80000000000000071</v>
      </c>
      <c r="E10" s="498">
        <v>1</v>
      </c>
      <c r="F10" s="261"/>
      <c r="G10" s="261"/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'General information '!B6</f>
        <v>0</v>
      </c>
      <c r="C11" s="261">
        <f>'General information '!C6</f>
        <v>0</v>
      </c>
      <c r="D11" s="261">
        <f>'[9]Degree Days 2020'!D11</f>
        <v>-0.30000000000000071</v>
      </c>
      <c r="E11" s="498">
        <v>2</v>
      </c>
      <c r="F11" s="261"/>
      <c r="G11" s="261"/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'General information '!B7</f>
        <v>0</v>
      </c>
      <c r="C12" s="261">
        <f>'General information '!C7</f>
        <v>0</v>
      </c>
      <c r="D12" s="261">
        <f>'[9]Degree Days 2020'!D12</f>
        <v>0.19999999999999929</v>
      </c>
      <c r="E12" s="498">
        <v>3</v>
      </c>
      <c r="F12" s="261"/>
      <c r="G12" s="261"/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'General information '!B8</f>
        <v>18</v>
      </c>
      <c r="C13" s="261">
        <f>'General information '!C8</f>
        <v>14</v>
      </c>
      <c r="D13" s="261">
        <f>'[9]Degree Days 2020'!D13</f>
        <v>0.19999999999999929</v>
      </c>
      <c r="E13" s="498">
        <f>'[9]Degree Days 2020'!E13</f>
        <v>4</v>
      </c>
      <c r="F13" s="261"/>
      <c r="G13" s="261"/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'General information '!B9</f>
        <v>19</v>
      </c>
      <c r="C14" s="261">
        <f>'General information '!C9</f>
        <v>16</v>
      </c>
      <c r="D14" s="261">
        <f>'[9]Degree Days 2020'!D14</f>
        <v>0.69999999999999929</v>
      </c>
      <c r="E14" s="498">
        <f>'[9]Degree Days 2020'!E14</f>
        <v>5</v>
      </c>
      <c r="F14" s="261"/>
      <c r="G14" s="261"/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'General information '!B10</f>
        <v>21</v>
      </c>
      <c r="C15" s="261">
        <f>'General information '!C10</f>
        <v>15</v>
      </c>
      <c r="D15" s="261">
        <f>'[9]Degree Days 2020'!D15</f>
        <v>0.19999999999999929</v>
      </c>
      <c r="E15" s="498">
        <f>'[9]Degree Days 2020'!E15</f>
        <v>6</v>
      </c>
      <c r="F15" s="261"/>
      <c r="G15" s="261"/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'General information '!B11</f>
        <v>0</v>
      </c>
      <c r="C16" s="261">
        <f>'General information '!C11</f>
        <v>0</v>
      </c>
      <c r="D16" s="261">
        <f>'[9]Degree Days 2020'!D16</f>
        <v>-1.3000000000000007</v>
      </c>
      <c r="E16" s="498">
        <f>'[9]Degree Days 2020'!E16</f>
        <v>7</v>
      </c>
      <c r="F16" s="261"/>
      <c r="G16" s="261"/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'General information '!B12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/>
      <c r="G17" s="261"/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'General information '!B13</f>
        <v>23</v>
      </c>
      <c r="C18" s="261">
        <f>'General information '!C13</f>
        <v>14</v>
      </c>
      <c r="D18" s="261">
        <f>'[9]Degree Days 2020'!D18</f>
        <v>0.19999999999999929</v>
      </c>
      <c r="E18" s="498">
        <f>'[9]Degree Days 2020'!E18</f>
        <v>9</v>
      </c>
      <c r="F18" s="261"/>
      <c r="G18" s="261"/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'General information '!B14</f>
        <v>18</v>
      </c>
      <c r="C19" s="261">
        <f>'General information '!C14</f>
        <v>14</v>
      </c>
      <c r="D19" s="261">
        <f>'[9]Degree Days 2020'!D19</f>
        <v>0.19999999999999929</v>
      </c>
      <c r="E19" s="498">
        <f>'[9]Degree Days 2020'!E19</f>
        <v>10</v>
      </c>
      <c r="F19" s="261"/>
      <c r="G19" s="261"/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'General information '!B15</f>
        <v>19</v>
      </c>
      <c r="C20" s="261">
        <f>'General information '!C15</f>
        <v>14</v>
      </c>
      <c r="D20" s="261">
        <f>'[9]Degree Days 2020'!D20</f>
        <v>0.69999999999999929</v>
      </c>
      <c r="E20" s="498">
        <f>'[9]Degree Days 2020'!E20</f>
        <v>11</v>
      </c>
      <c r="F20" s="261"/>
      <c r="G20" s="261"/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'General information '!B16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/>
      <c r="G21" s="261"/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'General information '!B17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/>
      <c r="G22" s="261"/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'General information '!B18</f>
        <v>0</v>
      </c>
      <c r="C23" s="261">
        <f>'General information '!C18</f>
        <v>0</v>
      </c>
      <c r="D23" s="261">
        <f>'[9]Degree Days 2020'!D23</f>
        <v>-3.8000000000000007</v>
      </c>
      <c r="E23" s="498">
        <f>'[9]Degree Days 2020'!E23</f>
        <v>14</v>
      </c>
      <c r="F23" s="261"/>
      <c r="G23" s="261"/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'General information '!B19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/>
      <c r="G24" s="261"/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'General information '!B20</f>
        <v>14</v>
      </c>
      <c r="C25" s="261">
        <f>'General information '!C20</f>
        <v>8</v>
      </c>
      <c r="D25" s="261">
        <f>'[9]Degree Days 2020'!D25</f>
        <v>-6.3000000000000007</v>
      </c>
      <c r="E25" s="498">
        <f>'[9]Degree Days 2020'!E25</f>
        <v>16</v>
      </c>
      <c r="F25" s="261"/>
      <c r="G25" s="261"/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'General information '!B21</f>
        <v>12</v>
      </c>
      <c r="C26" s="261">
        <f>'General information '!C21</f>
        <v>7</v>
      </c>
      <c r="D26" s="261">
        <f>'[9]Degree Days 2020'!D26</f>
        <v>-4.8000000000000007</v>
      </c>
      <c r="E26" s="498">
        <f>'[9]Degree Days 2020'!E26</f>
        <v>17</v>
      </c>
      <c r="F26" s="261"/>
      <c r="G26" s="261"/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'General information '!B22</f>
        <v>15</v>
      </c>
      <c r="C27" s="261">
        <f>'General information '!C22</f>
        <v>8</v>
      </c>
      <c r="D27" s="261">
        <f>'[9]Degree Days 2020'!D27</f>
        <v>-7.3000000000000007</v>
      </c>
      <c r="E27" s="498">
        <f>'[9]Degree Days 2020'!E27</f>
        <v>18</v>
      </c>
      <c r="F27" s="261"/>
      <c r="G27" s="261"/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'General information '!B23</f>
        <v>14</v>
      </c>
      <c r="C28" s="261">
        <f>'General information '!C23</f>
        <v>9</v>
      </c>
      <c r="D28" s="261">
        <f>'[9]Degree Days 2020'!D28</f>
        <v>-4.8000000000000007</v>
      </c>
      <c r="E28" s="498">
        <f>'[9]Degree Days 2020'!E28</f>
        <v>19</v>
      </c>
      <c r="F28" s="261"/>
      <c r="G28" s="261"/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'General information '!B24</f>
        <v>11</v>
      </c>
      <c r="C29" s="261">
        <f>'General information '!C24</f>
        <v>8</v>
      </c>
      <c r="D29" s="261">
        <f>'[9]Degree Days 2020'!D29</f>
        <v>-4.8000000000000007</v>
      </c>
      <c r="E29" s="498">
        <f>'[9]Degree Days 2020'!E29</f>
        <v>20</v>
      </c>
      <c r="F29" s="261"/>
      <c r="G29" s="261"/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'General information '!B25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/>
      <c r="G30" s="261"/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'General information '!B26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/>
      <c r="G31" s="261"/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'General information '!B27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/>
      <c r="G32" s="261"/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'General information '!B28</f>
        <v>13</v>
      </c>
      <c r="C33" s="261">
        <f>'General information '!C28</f>
        <v>9</v>
      </c>
      <c r="D33" s="261">
        <f>'[9]Degree Days 2020'!D33</f>
        <v>-4.3000000000000007</v>
      </c>
      <c r="E33" s="498">
        <f>'[9]Degree Days 2020'!E33</f>
        <v>24</v>
      </c>
      <c r="F33" s="261"/>
      <c r="G33" s="261"/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'General information '!B29</f>
        <v>16</v>
      </c>
      <c r="C34" s="261">
        <f>'General information '!C29</f>
        <v>7</v>
      </c>
      <c r="D34" s="261">
        <f>'[9]Degree Days 2020'!D34</f>
        <v>-1.8000000000000007</v>
      </c>
      <c r="E34" s="498">
        <f>'[9]Degree Days 2020'!E34</f>
        <v>25</v>
      </c>
      <c r="F34" s="261"/>
      <c r="G34" s="261"/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'General information '!B30</f>
        <v>0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/>
      <c r="G35" s="261"/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'General information '!B31</f>
        <v>0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/>
      <c r="G36" s="261"/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'General information '!B32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/>
      <c r="G37" s="261"/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'General information '!B33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'General information '!B34</f>
        <v>0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'General information '!B35</f>
        <v>0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SUM(I7/G4)</f>
        <v>348.04</v>
      </c>
      <c r="F7" s="185">
        <f>SUM(E7*F4)</f>
        <v>10789.24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29361</v>
      </c>
      <c r="C8" s="466">
        <f>SUM(tanks!AU37)</f>
        <v>0.63</v>
      </c>
      <c r="D8" s="191">
        <f>SUM(B8*C8)*D4</f>
        <v>27884875.725000001</v>
      </c>
      <c r="E8" s="192">
        <f>SUM(D8/D4/F4)</f>
        <v>596.6912903225807</v>
      </c>
      <c r="F8" s="192">
        <f>SUM(E8*F4)</f>
        <v>18497.43</v>
      </c>
      <c r="G8" s="574">
        <f>E8*$G$4</f>
        <v>14917.282258064517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2004</v>
      </c>
      <c r="C10" s="181"/>
      <c r="D10" s="183">
        <f>'EDl log'!AB30</f>
        <v>7491069</v>
      </c>
      <c r="E10" s="182">
        <f>SUM(D10/D4/F4)</f>
        <v>160.29677419354837</v>
      </c>
      <c r="F10" s="182">
        <f>SUM(E10*F4)</f>
        <v>4969.2</v>
      </c>
      <c r="G10" s="478">
        <f>E10*$G$4</f>
        <v>4007.4193548387093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1105.028064516129</v>
      </c>
      <c r="F12" s="180">
        <f>SUM(F6:F10)</f>
        <v>34255.869999999995</v>
      </c>
      <c r="G12" s="179">
        <f>SUM(G6:G10)</f>
        <v>27124.701612903224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'!B14</f>
        <v>2.7999999999999936</v>
      </c>
      <c r="D14" s="170"/>
      <c r="E14" s="416">
        <f>B14-C14</f>
        <v>-2.7999999999999936</v>
      </c>
      <c r="F14" s="477">
        <v>0</v>
      </c>
      <c r="G14" s="405"/>
      <c r="H14" s="406">
        <f>SUM(G12-H12)</f>
        <v>-53004.198387096767</v>
      </c>
      <c r="I14" s="406">
        <f>SUM(G12-I12)</f>
        <v>-24119.218107526885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'!B15</f>
        <v>-92.59999999999998</v>
      </c>
      <c r="D15" s="170"/>
      <c r="E15" s="416">
        <f>B15-C15</f>
        <v>-456.40000000000015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19.2</v>
      </c>
      <c r="C16" s="619">
        <f>'[12]Utility Cost '!B16</f>
        <v>14.806451612903226</v>
      </c>
      <c r="D16" s="415"/>
      <c r="E16" s="580">
        <f>B16-C16</f>
        <v>4.3935483870967733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158</v>
      </c>
      <c r="C18" s="416">
        <f>'[12]Utility Cost '!B18</f>
        <v>109</v>
      </c>
      <c r="D18" s="413">
        <f>'[13]Other Fuel Calculation 2021'!$G$116</f>
        <v>202.66666666666666</v>
      </c>
      <c r="E18" s="492">
        <f>B18-C18</f>
        <v>49</v>
      </c>
      <c r="F18" s="495">
        <f>B18-D18</f>
        <v>-44.666666666666657</v>
      </c>
    </row>
    <row r="19" spans="1:10">
      <c r="A19" s="489" t="s">
        <v>412</v>
      </c>
      <c r="B19" s="493">
        <f>GEN!AL34</f>
        <v>15</v>
      </c>
      <c r="C19" s="619">
        <f>'[12]Utility Cost '!B19</f>
        <v>3.5161290322580645</v>
      </c>
      <c r="D19" s="413"/>
      <c r="E19" s="492"/>
      <c r="F19" s="495"/>
    </row>
    <row r="20" spans="1:10">
      <c r="A20" s="489" t="s">
        <v>406</v>
      </c>
      <c r="B20" s="487">
        <f>B18/B19</f>
        <v>10.533333333333333</v>
      </c>
      <c r="C20" s="416">
        <f>'[12]Utility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2022-01-26T08:28:09Z</dcterms:modified>
</cp:coreProperties>
</file>