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B898C1F3-436D-4511-80FE-66EE3860A5A5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L48" i="2"/>
  <c r="N48" i="2" s="1"/>
  <c r="L47" i="2"/>
  <c r="N47" i="2" s="1"/>
  <c r="X34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13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F11" i="2"/>
  <c r="I3" i="22" s="1"/>
  <c r="F12" i="2"/>
  <c r="I4" i="22" s="1"/>
  <c r="F13" i="2"/>
  <c r="I5" i="22" s="1"/>
  <c r="F14" i="2"/>
  <c r="I6" i="22" s="1"/>
  <c r="F15" i="2"/>
  <c r="I7" i="22" s="1"/>
  <c r="F16" i="2"/>
  <c r="I8" i="22" s="1"/>
  <c r="F17" i="2"/>
  <c r="I9" i="22" s="1"/>
  <c r="F18" i="2"/>
  <c r="I10" i="22" s="1"/>
  <c r="F19" i="2"/>
  <c r="I11" i="22" s="1"/>
  <c r="F20" i="2"/>
  <c r="I12" i="22" s="1"/>
  <c r="F21" i="2"/>
  <c r="H21" i="2" s="1"/>
  <c r="F22" i="2"/>
  <c r="I14" i="22" s="1"/>
  <c r="F23" i="2"/>
  <c r="I15" i="22" s="1"/>
  <c r="F24" i="2"/>
  <c r="I16" i="22" s="1"/>
  <c r="F25" i="2"/>
  <c r="I17" i="22" s="1"/>
  <c r="F26" i="2"/>
  <c r="H26" i="2" s="1"/>
  <c r="F27" i="2"/>
  <c r="I19" i="22" s="1"/>
  <c r="F28" i="2"/>
  <c r="I20" i="22" s="1"/>
  <c r="F29" i="2"/>
  <c r="I21" i="22" s="1"/>
  <c r="F30" i="2"/>
  <c r="I22" i="22" s="1"/>
  <c r="F31" i="2"/>
  <c r="I23" i="22" s="1"/>
  <c r="F32" i="2"/>
  <c r="I24" i="22" s="1"/>
  <c r="F33" i="2"/>
  <c r="I25" i="22" s="1"/>
  <c r="F34" i="2"/>
  <c r="I26" i="22" s="1"/>
  <c r="F35" i="2"/>
  <c r="I27" i="22" s="1"/>
  <c r="F36" i="2"/>
  <c r="I28" i="22" s="1"/>
  <c r="F37" i="2"/>
  <c r="I29" i="22" s="1"/>
  <c r="F38" i="2"/>
  <c r="I30" i="22" s="1"/>
  <c r="F39" i="2"/>
  <c r="I31" i="22" s="1"/>
  <c r="F40" i="2"/>
  <c r="I32" i="22" s="1"/>
  <c r="N11" i="2"/>
  <c r="G3" i="21" s="1"/>
  <c r="N12" i="2"/>
  <c r="G4" i="21" s="1"/>
  <c r="N13" i="2"/>
  <c r="G5" i="21" s="1"/>
  <c r="N14" i="2"/>
  <c r="G6" i="21" s="1"/>
  <c r="N15" i="2"/>
  <c r="G7" i="21" s="1"/>
  <c r="N16" i="2"/>
  <c r="G8" i="21" s="1"/>
  <c r="N17" i="2"/>
  <c r="G9" i="21" s="1"/>
  <c r="N18" i="2"/>
  <c r="G10" i="21" s="1"/>
  <c r="N19" i="2"/>
  <c r="G11" i="21" s="1"/>
  <c r="N20" i="2"/>
  <c r="G12" i="21" s="1"/>
  <c r="N21" i="2"/>
  <c r="G13" i="21" s="1"/>
  <c r="N22" i="2"/>
  <c r="G14" i="21" s="1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N30" i="2"/>
  <c r="G22" i="21" s="1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N38" i="2"/>
  <c r="G30" i="21" s="1"/>
  <c r="N39" i="2"/>
  <c r="G31" i="21" s="1"/>
  <c r="N40" i="2"/>
  <c r="G32" i="21" s="1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18" i="2"/>
  <c r="F10" i="21" s="1"/>
  <c r="M19" i="2"/>
  <c r="F11" i="21" s="1"/>
  <c r="M20" i="2"/>
  <c r="F12" i="21" s="1"/>
  <c r="M21" i="2"/>
  <c r="F13" i="21" s="1"/>
  <c r="M22" i="2"/>
  <c r="F14" i="21" s="1"/>
  <c r="M23" i="2"/>
  <c r="F15" i="21" s="1"/>
  <c r="M24" i="2"/>
  <c r="F16" i="21" s="1"/>
  <c r="M25" i="2"/>
  <c r="F17" i="21" s="1"/>
  <c r="M26" i="2"/>
  <c r="F18" i="21" s="1"/>
  <c r="M27" i="2"/>
  <c r="F19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F25" i="21" s="1"/>
  <c r="M34" i="2"/>
  <c r="F26" i="21" s="1"/>
  <c r="M35" i="2"/>
  <c r="F27" i="21" s="1"/>
  <c r="M36" i="2"/>
  <c r="F28" i="21" s="1"/>
  <c r="M37" i="2"/>
  <c r="F29" i="21" s="1"/>
  <c r="M38" i="2"/>
  <c r="F30" i="21" s="1"/>
  <c r="M39" i="2"/>
  <c r="F31" i="21" s="1"/>
  <c r="M40" i="2"/>
  <c r="F32" i="21" s="1"/>
  <c r="L11" i="2"/>
  <c r="E3" i="21" s="1"/>
  <c r="E3" i="22" s="1"/>
  <c r="L12" i="2"/>
  <c r="E4" i="21" s="1"/>
  <c r="L13" i="2"/>
  <c r="Q13" i="2" s="1"/>
  <c r="L14" i="2"/>
  <c r="Q14" i="2" s="1"/>
  <c r="L15" i="2"/>
  <c r="L16" i="2"/>
  <c r="L17" i="2"/>
  <c r="E9" i="21" s="1"/>
  <c r="L18" i="2"/>
  <c r="E10" i="21" s="1"/>
  <c r="L19" i="2"/>
  <c r="E11" i="21" s="1"/>
  <c r="E11" i="22" s="1"/>
  <c r="L20" i="2"/>
  <c r="E12" i="21" s="1"/>
  <c r="E12" i="22" s="1"/>
  <c r="L21" i="2"/>
  <c r="E13" i="21" s="1"/>
  <c r="L22" i="2"/>
  <c r="E14" i="21" s="1"/>
  <c r="E14" i="22" s="1"/>
  <c r="L23" i="2"/>
  <c r="E15" i="21" s="1"/>
  <c r="L24" i="2"/>
  <c r="L25" i="2"/>
  <c r="E17" i="21" s="1"/>
  <c r="L26" i="2"/>
  <c r="E18" i="21" s="1"/>
  <c r="L27" i="2"/>
  <c r="E19" i="21" s="1"/>
  <c r="E19" i="22" s="1"/>
  <c r="L28" i="2"/>
  <c r="E20" i="21" s="1"/>
  <c r="E20" i="22" s="1"/>
  <c r="L29" i="2"/>
  <c r="E21" i="21" s="1"/>
  <c r="L30" i="2"/>
  <c r="E22" i="21" s="1"/>
  <c r="E22" i="22" s="1"/>
  <c r="L31" i="2"/>
  <c r="E23" i="21" s="1"/>
  <c r="L32" i="2"/>
  <c r="L33" i="2"/>
  <c r="E25" i="21" s="1"/>
  <c r="L34" i="2"/>
  <c r="E26" i="21" s="1"/>
  <c r="L35" i="2"/>
  <c r="E27" i="21" s="1"/>
  <c r="E27" i="22" s="1"/>
  <c r="L36" i="2"/>
  <c r="E28" i="21" s="1"/>
  <c r="E28" i="22" s="1"/>
  <c r="L37" i="2"/>
  <c r="E29" i="21" s="1"/>
  <c r="L38" i="2"/>
  <c r="E30" i="21" s="1"/>
  <c r="E30" i="22" s="1"/>
  <c r="L39" i="2"/>
  <c r="E31" i="21" s="1"/>
  <c r="L40" i="2"/>
  <c r="E32" i="21" s="1"/>
  <c r="V11" i="2"/>
  <c r="X11" i="2" s="1"/>
  <c r="V12" i="2"/>
  <c r="X12" i="2" s="1"/>
  <c r="V13" i="2"/>
  <c r="X13" i="2" s="1"/>
  <c r="V14" i="2"/>
  <c r="X14" i="2" s="1"/>
  <c r="V15" i="2"/>
  <c r="X15" i="2" s="1"/>
  <c r="V16" i="2"/>
  <c r="G8" i="22" s="1"/>
  <c r="V17" i="2"/>
  <c r="G9" i="22" s="1"/>
  <c r="V18" i="2"/>
  <c r="G10" i="22" s="1"/>
  <c r="V19" i="2"/>
  <c r="X19" i="2" s="1"/>
  <c r="V20" i="2"/>
  <c r="X20" i="2" s="1"/>
  <c r="V21" i="2"/>
  <c r="X21" i="2" s="1"/>
  <c r="V22" i="2"/>
  <c r="X22" i="2" s="1"/>
  <c r="V23" i="2"/>
  <c r="X23" i="2" s="1"/>
  <c r="V24" i="2"/>
  <c r="G16" i="22" s="1"/>
  <c r="V25" i="2"/>
  <c r="G17" i="22" s="1"/>
  <c r="V26" i="2"/>
  <c r="G18" i="22" s="1"/>
  <c r="V27" i="2"/>
  <c r="X27" i="2" s="1"/>
  <c r="V28" i="2"/>
  <c r="X28" i="2" s="1"/>
  <c r="V29" i="2"/>
  <c r="X29" i="2" s="1"/>
  <c r="V30" i="2"/>
  <c r="X30" i="2" s="1"/>
  <c r="V31" i="2"/>
  <c r="X31" i="2" s="1"/>
  <c r="V32" i="2"/>
  <c r="G24" i="22" s="1"/>
  <c r="V33" i="2"/>
  <c r="G25" i="22" s="1"/>
  <c r="V34" i="2"/>
  <c r="G26" i="22" s="1"/>
  <c r="V35" i="2"/>
  <c r="X35" i="2" s="1"/>
  <c r="V36" i="2"/>
  <c r="X36" i="2" s="1"/>
  <c r="V37" i="2"/>
  <c r="X37" i="2" s="1"/>
  <c r="V38" i="2"/>
  <c r="X38" i="2" s="1"/>
  <c r="V39" i="2"/>
  <c r="X39" i="2" s="1"/>
  <c r="V40" i="2"/>
  <c r="G32" i="22" s="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H23" i="2"/>
  <c r="H31" i="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M48" i="4"/>
  <c r="P43" i="4"/>
  <c r="P35" i="4"/>
  <c r="P36" i="4"/>
  <c r="P37" i="4"/>
  <c r="P38" i="4"/>
  <c r="P39" i="4"/>
  <c r="P4" i="4"/>
  <c r="C40" i="6"/>
  <c r="C39" i="6"/>
  <c r="C38" i="6"/>
  <c r="C35" i="6"/>
  <c r="C36" i="6"/>
  <c r="C37" i="6"/>
  <c r="C34" i="6"/>
  <c r="C33" i="6"/>
  <c r="C32" i="6"/>
  <c r="C31" i="6"/>
  <c r="C29" i="6"/>
  <c r="C30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4" i="6"/>
  <c r="C15" i="6"/>
  <c r="C12" i="6"/>
  <c r="C13" i="6"/>
  <c r="C11" i="6"/>
  <c r="V10" i="2"/>
  <c r="X10" i="2" s="1"/>
  <c r="K10" i="6"/>
  <c r="I10" i="6"/>
  <c r="G10" i="6"/>
  <c r="E10" i="6"/>
  <c r="C10" i="6"/>
  <c r="N10" i="2"/>
  <c r="G2" i="21" s="1"/>
  <c r="M10" i="2"/>
  <c r="F2" i="21" s="1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B31" i="21"/>
  <c r="B32" i="21"/>
  <c r="B31" i="22"/>
  <c r="B32" i="22"/>
  <c r="C35" i="4"/>
  <c r="D29" i="10"/>
  <c r="Q36" i="2"/>
  <c r="O37" i="2"/>
  <c r="G21" i="4"/>
  <c r="E21" i="4"/>
  <c r="C21" i="4"/>
  <c r="M4" i="4"/>
  <c r="M5" i="4"/>
  <c r="M6" i="4"/>
  <c r="M7" i="4"/>
  <c r="G17" i="4"/>
  <c r="P42" i="4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I23" i="21"/>
  <c r="I24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I2" i="22"/>
  <c r="Q22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Q38" i="2"/>
  <c r="O38" i="2"/>
  <c r="H15" i="2"/>
  <c r="H29" i="2"/>
  <c r="O30" i="2"/>
  <c r="F25" i="18"/>
  <c r="F29" i="18"/>
  <c r="F21" i="11"/>
  <c r="F23" i="11"/>
  <c r="F24" i="1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H10" i="2"/>
  <c r="Q44" i="4"/>
  <c r="AC44" i="4"/>
  <c r="K48" i="4" s="1"/>
  <c r="L48" i="4" s="1"/>
  <c r="L9" i="4"/>
  <c r="N9" i="4"/>
  <c r="AC43" i="4"/>
  <c r="I9" i="4"/>
  <c r="E26" i="22" l="1"/>
  <c r="E18" i="22"/>
  <c r="E10" i="22"/>
  <c r="G31" i="22"/>
  <c r="X26" i="2"/>
  <c r="O20" i="2"/>
  <c r="Q20" i="2"/>
  <c r="E17" i="22"/>
  <c r="E9" i="22"/>
  <c r="O29" i="2"/>
  <c r="G23" i="22"/>
  <c r="X18" i="2"/>
  <c r="J2" i="21"/>
  <c r="E32" i="22"/>
  <c r="Q16" i="2"/>
  <c r="G15" i="22"/>
  <c r="Q12" i="2"/>
  <c r="H37" i="2"/>
  <c r="Q15" i="2"/>
  <c r="G7" i="22"/>
  <c r="H22" i="2"/>
  <c r="H30" i="2"/>
  <c r="O11" i="2"/>
  <c r="E2" i="22"/>
  <c r="H38" i="2"/>
  <c r="O36" i="2"/>
  <c r="E31" i="22"/>
  <c r="E23" i="22"/>
  <c r="E15" i="22"/>
  <c r="E25" i="22"/>
  <c r="E29" i="22"/>
  <c r="E21" i="22"/>
  <c r="E13" i="22"/>
  <c r="E4" i="22"/>
  <c r="G21" i="21"/>
  <c r="Q37" i="2"/>
  <c r="Q32" i="2"/>
  <c r="Q24" i="2"/>
  <c r="E24" i="21"/>
  <c r="E24" i="22" s="1"/>
  <c r="E16" i="21"/>
  <c r="E16" i="22" s="1"/>
  <c r="E8" i="21"/>
  <c r="E8" i="22" s="1"/>
  <c r="G30" i="22"/>
  <c r="G22" i="22"/>
  <c r="G14" i="22"/>
  <c r="G6" i="22"/>
  <c r="Q19" i="2"/>
  <c r="Q11" i="2"/>
  <c r="X33" i="2"/>
  <c r="X25" i="2"/>
  <c r="X17" i="2"/>
  <c r="Q29" i="2"/>
  <c r="O16" i="2"/>
  <c r="E7" i="21"/>
  <c r="E7" i="22" s="1"/>
  <c r="G29" i="22"/>
  <c r="G21" i="22"/>
  <c r="G13" i="22"/>
  <c r="G5" i="22"/>
  <c r="Q18" i="2"/>
  <c r="X40" i="2"/>
  <c r="X32" i="2"/>
  <c r="X24" i="2"/>
  <c r="X16" i="2"/>
  <c r="O24" i="2"/>
  <c r="Q10" i="2"/>
  <c r="Q23" i="2"/>
  <c r="E6" i="21"/>
  <c r="E6" i="22" s="1"/>
  <c r="G28" i="22"/>
  <c r="G20" i="22"/>
  <c r="G12" i="22"/>
  <c r="G4" i="22"/>
  <c r="I18" i="22"/>
  <c r="Q17" i="2"/>
  <c r="O10" i="2"/>
  <c r="E5" i="21"/>
  <c r="E5" i="22" s="1"/>
  <c r="G27" i="22"/>
  <c r="G19" i="22"/>
  <c r="G11" i="22"/>
  <c r="G3" i="22"/>
  <c r="H18" i="2"/>
  <c r="Q30" i="2"/>
  <c r="O22" i="2"/>
  <c r="O26" i="2"/>
  <c r="O25" i="2"/>
  <c r="O33" i="2"/>
  <c r="O32" i="2"/>
  <c r="O34" i="2"/>
  <c r="Q34" i="2"/>
  <c r="J26" i="21"/>
  <c r="O18" i="2"/>
  <c r="J10" i="21"/>
  <c r="N41" i="2"/>
  <c r="I46" i="2" s="1"/>
  <c r="L46" i="2" s="1"/>
  <c r="Q28" i="2"/>
  <c r="J3" i="21"/>
  <c r="O28" i="2"/>
  <c r="Q25" i="2"/>
  <c r="Q26" i="2"/>
  <c r="O17" i="2"/>
  <c r="J9" i="21"/>
  <c r="J17" i="21"/>
  <c r="M41" i="2"/>
  <c r="I45" i="2" s="1"/>
  <c r="L45" i="2" s="1"/>
  <c r="Q21" i="2"/>
  <c r="J15" i="21"/>
  <c r="J12" i="21"/>
  <c r="O23" i="2"/>
  <c r="Q31" i="2"/>
  <c r="Q33" i="2"/>
  <c r="O21" i="2"/>
  <c r="J18" i="21"/>
  <c r="O35" i="2"/>
  <c r="Q35" i="2"/>
  <c r="Q27" i="2"/>
  <c r="O27" i="2"/>
  <c r="O19" i="2"/>
  <c r="J22" i="21"/>
  <c r="J21" i="21"/>
  <c r="J13" i="21"/>
  <c r="J25" i="21"/>
  <c r="J24" i="21"/>
  <c r="J20" i="21"/>
  <c r="O31" i="2"/>
  <c r="H17" i="2"/>
  <c r="H36" i="2"/>
  <c r="H28" i="2"/>
  <c r="H20" i="2"/>
  <c r="H35" i="2"/>
  <c r="H27" i="2"/>
  <c r="H19" i="2"/>
  <c r="H32" i="2"/>
  <c r="H24" i="2"/>
  <c r="H33" i="2"/>
  <c r="H25" i="2"/>
  <c r="H34" i="2"/>
  <c r="Q40" i="2"/>
  <c r="O40" i="2"/>
  <c r="Q39" i="2"/>
  <c r="O39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J14" i="21"/>
  <c r="I4" i="4"/>
  <c r="L4" i="4"/>
  <c r="N4" i="4" s="1"/>
  <c r="J16" i="21" l="1"/>
  <c r="J8" i="21"/>
  <c r="M10" i="22"/>
  <c r="M15" i="22"/>
  <c r="M8" i="22"/>
  <c r="J11" i="21"/>
  <c r="M11" i="22"/>
  <c r="J19" i="21"/>
  <c r="M19" i="22"/>
  <c r="M23" i="22"/>
  <c r="J23" i="21"/>
  <c r="H39" i="2"/>
  <c r="F41" i="2"/>
  <c r="H40" i="2"/>
  <c r="Q41" i="2"/>
  <c r="M20" i="22"/>
  <c r="M14" i="22"/>
  <c r="M25" i="22"/>
  <c r="M13" i="22"/>
  <c r="M24" i="22"/>
  <c r="M18" i="22"/>
  <c r="M26" i="22"/>
  <c r="M21" i="22"/>
  <c r="M9" i="22"/>
  <c r="M22" i="22"/>
  <c r="M16" i="22"/>
  <c r="M17" i="22"/>
  <c r="M12" i="22"/>
  <c r="O15" i="2"/>
  <c r="O13" i="2"/>
  <c r="O12" i="2"/>
  <c r="H16" i="2"/>
  <c r="H14" i="2"/>
  <c r="H13" i="2"/>
  <c r="H12" i="2"/>
  <c r="H11" i="2"/>
  <c r="O4" i="4"/>
  <c r="N43" i="4"/>
  <c r="M3" i="22"/>
  <c r="O41" i="2" l="1"/>
  <c r="H41" i="2"/>
  <c r="I53" i="2"/>
  <c r="L53" i="2" s="1"/>
  <c r="N53" i="2" s="1"/>
  <c r="I44" i="2"/>
  <c r="L44" i="2" s="1"/>
  <c r="N44" i="2" s="1"/>
  <c r="J4" i="21"/>
  <c r="M4" i="22"/>
  <c r="J5" i="21"/>
  <c r="M5" i="22"/>
  <c r="M6" i="22"/>
  <c r="J6" i="21"/>
  <c r="M7" i="22"/>
  <c r="J7" i="21"/>
  <c r="O43" i="4"/>
  <c r="K47" i="4"/>
  <c r="X41" i="2"/>
  <c r="N51" i="2" l="1"/>
  <c r="N52" i="2" s="1"/>
  <c r="G2" i="22"/>
  <c r="M2" i="22" s="1"/>
  <c r="V41" i="2"/>
  <c r="L47" i="4"/>
  <c r="M47" i="4"/>
  <c r="I54" i="2" l="1"/>
  <c r="L54" i="2" s="1"/>
  <c r="N54" i="2" s="1"/>
</calcChain>
</file>

<file path=xl/sharedStrings.xml><?xml version="1.0" encoding="utf-8"?>
<sst xmlns="http://schemas.openxmlformats.org/spreadsheetml/2006/main" count="490" uniqueCount="189">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</sst>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  <c:pt idx="25">
                  <c:v>190</c:v>
                </c:pt>
                <c:pt idx="26">
                  <c:v>151</c:v>
                </c:pt>
                <c:pt idx="27">
                  <c:v>158</c:v>
                </c:pt>
                <c:pt idx="28">
                  <c:v>151</c:v>
                </c:pt>
                <c:pt idx="29">
                  <c:v>157</c:v>
                </c:pt>
                <c:pt idx="30">
                  <c:v>135.89999999999418</c:v>
                </c:pt>
                <c:pt idx="31">
                  <c:v>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  <c:pt idx="25">
                  <c:v>5855</c:v>
                </c:pt>
                <c:pt idx="26">
                  <c:v>4632</c:v>
                </c:pt>
                <c:pt idx="27">
                  <c:v>4743</c:v>
                </c:pt>
                <c:pt idx="28">
                  <c:v>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  <c:pt idx="25">
                  <c:v>9605</c:v>
                </c:pt>
                <c:pt idx="26">
                  <c:v>9765</c:v>
                </c:pt>
                <c:pt idx="27">
                  <c:v>8747</c:v>
                </c:pt>
                <c:pt idx="28">
                  <c:v>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  <c:pt idx="25">
                  <c:v>3796</c:v>
                </c:pt>
                <c:pt idx="26">
                  <c:v>3888</c:v>
                </c:pt>
                <c:pt idx="27">
                  <c:v>3641</c:v>
                </c:pt>
                <c:pt idx="28">
                  <c:v>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223.99447000000001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159.99605</c:v>
                </c:pt>
                <c:pt idx="25">
                  <c:v>415.98973000000001</c:v>
                </c:pt>
                <c:pt idx="26">
                  <c:v>255.99368000000001</c:v>
                </c:pt>
                <c:pt idx="27">
                  <c:v>351.99131</c:v>
                </c:pt>
                <c:pt idx="28">
                  <c:v>159.99605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U18" sqref="U1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1.08</v>
      </c>
      <c r="G2" s="134">
        <f>'Consommation mensuel énergie'!V10</f>
        <v>159.99605</v>
      </c>
      <c r="H2" s="134">
        <v>12.84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22510</v>
      </c>
      <c r="F3" s="134">
        <v>1.08</v>
      </c>
      <c r="G3" s="134">
        <f>'Consommation mensuel énergie'!V11</f>
        <v>127.99684000000001</v>
      </c>
      <c r="H3" s="134">
        <v>12.84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1.08</v>
      </c>
      <c r="G4" s="134">
        <f>'Consommation mensuel énergie'!V12</f>
        <v>127.99684000000001</v>
      </c>
      <c r="H4" s="134">
        <v>12.84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1.08</v>
      </c>
      <c r="G5" s="134">
        <f>'Consommation mensuel énergie'!V13</f>
        <v>223.99447000000001</v>
      </c>
      <c r="H5" s="134">
        <v>12.84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1.08</v>
      </c>
      <c r="G6" s="134">
        <f>'Consommation mensuel énergie'!V14</f>
        <v>287.99288999999999</v>
      </c>
      <c r="H6" s="134">
        <v>12.84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1.08</v>
      </c>
      <c r="G7" s="134">
        <f>'Consommation mensuel énergie'!V15</f>
        <v>159.99605</v>
      </c>
      <c r="H7" s="134">
        <v>12.84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1.08</v>
      </c>
      <c r="G8" s="134">
        <f>'Consommation mensuel énergie'!V16</f>
        <v>287.99288999999999</v>
      </c>
      <c r="H8" s="134">
        <v>12.84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1.08</v>
      </c>
      <c r="G9" s="134">
        <f>'Consommation mensuel énergie'!V17</f>
        <v>127.99684000000001</v>
      </c>
      <c r="H9" s="134">
        <v>12.84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1.08</v>
      </c>
      <c r="G10" s="134">
        <f>'Consommation mensuel énergie'!V18</f>
        <v>191.99526</v>
      </c>
      <c r="H10" s="134">
        <v>12.84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1.08</v>
      </c>
      <c r="G11" s="134">
        <f>'Consommation mensuel énergie'!V19</f>
        <v>95.997630000000001</v>
      </c>
      <c r="H11" s="134">
        <v>12.84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1.08</v>
      </c>
      <c r="G12" s="134">
        <f>'Consommation mensuel énergie'!V20</f>
        <v>159.99605</v>
      </c>
      <c r="H12" s="134">
        <v>12.84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1.08</v>
      </c>
      <c r="G13" s="134">
        <f>'Consommation mensuel énergie'!V21</f>
        <v>351.99131</v>
      </c>
      <c r="H13" s="134">
        <v>12.84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1.08</v>
      </c>
      <c r="G14" s="134">
        <f>'Consommation mensuel énergie'!V22</f>
        <v>95.997630000000001</v>
      </c>
      <c r="H14" s="134">
        <v>12.84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1.08</v>
      </c>
      <c r="G15" s="134">
        <f>'Consommation mensuel énergie'!V23</f>
        <v>63.998420000000003</v>
      </c>
      <c r="H15" s="134">
        <v>12.84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1.08</v>
      </c>
      <c r="G16" s="134">
        <f>'Consommation mensuel énergie'!V24</f>
        <v>159.99605</v>
      </c>
      <c r="H16" s="134">
        <v>12.84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1.08</v>
      </c>
      <c r="G17" s="134">
        <f>'Consommation mensuel énergie'!V25</f>
        <v>383.99052</v>
      </c>
      <c r="H17" s="134">
        <v>12.84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1.08</v>
      </c>
      <c r="G18" s="134">
        <f>'Consommation mensuel énergie'!V26</f>
        <v>95.997630000000001</v>
      </c>
      <c r="H18" s="134">
        <v>12.84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1.08</v>
      </c>
      <c r="G19" s="134">
        <f>'Consommation mensuel énergie'!V27</f>
        <v>287.99288999999999</v>
      </c>
      <c r="H19" s="134">
        <v>12.84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1.08</v>
      </c>
      <c r="G20" s="134">
        <f>'Consommation mensuel énergie'!V28</f>
        <v>287.99288999999999</v>
      </c>
      <c r="H20" s="134">
        <v>12.84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1.08</v>
      </c>
      <c r="G21" s="134">
        <f>'Consommation mensuel énergie'!V29</f>
        <v>223.99447000000001</v>
      </c>
      <c r="H21" s="134">
        <v>12.84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1.08</v>
      </c>
      <c r="G22" s="134">
        <f>'Consommation mensuel énergie'!V30</f>
        <v>223.99447000000001</v>
      </c>
      <c r="H22" s="134">
        <v>12.84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1.08</v>
      </c>
      <c r="G23" s="134">
        <f>'Consommation mensuel énergie'!V31</f>
        <v>191.99526</v>
      </c>
      <c r="H23" s="134">
        <v>12.84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1.08</v>
      </c>
      <c r="G24" s="134">
        <f>'Consommation mensuel énergie'!V32</f>
        <v>223.99447000000001</v>
      </c>
      <c r="H24" s="134">
        <v>12.84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1.08</v>
      </c>
      <c r="G25" s="134">
        <f>'Consommation mensuel énergie'!V33</f>
        <v>287.99288999999999</v>
      </c>
      <c r="H25" s="134">
        <v>12.84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1.08</v>
      </c>
      <c r="G26" s="134">
        <f>'Consommation mensuel énergie'!V34</f>
        <v>159.99605</v>
      </c>
      <c r="H26" s="134">
        <v>12.84</v>
      </c>
      <c r="I26" s="134">
        <f>'Consommation mensuel énergie'!F34</f>
        <v>134.5</v>
      </c>
      <c r="J26" s="134">
        <v>11.4</v>
      </c>
      <c r="K26" s="137">
        <f>'Consommation mensuel énergie'!D34</f>
        <v>138</v>
      </c>
      <c r="L26" s="137">
        <f>'Consommation mensuel énergie'!E34</f>
        <v>223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19256</v>
      </c>
      <c r="F27" s="134">
        <v>1.08</v>
      </c>
      <c r="G27" s="134">
        <f>'Consommation mensuel énergie'!V35</f>
        <v>415.98973000000001</v>
      </c>
      <c r="H27" s="134">
        <v>12.84</v>
      </c>
      <c r="I27" s="134">
        <f>'Consommation mensuel énergie'!F35</f>
        <v>190</v>
      </c>
      <c r="J27" s="134">
        <v>11.4</v>
      </c>
      <c r="K27" s="137">
        <f>'Consommation mensuel énergie'!D35</f>
        <v>151</v>
      </c>
      <c r="L27" s="137">
        <f>'Consommation mensuel énergie'!E35</f>
        <v>252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18285</v>
      </c>
      <c r="F28" s="134">
        <v>1.08</v>
      </c>
      <c r="G28" s="134">
        <f>'Consommation mensuel énergie'!V36</f>
        <v>255.99368000000001</v>
      </c>
      <c r="H28" s="134">
        <v>12.84</v>
      </c>
      <c r="I28" s="134">
        <f>'Consommation mensuel énergie'!F36</f>
        <v>151</v>
      </c>
      <c r="J28" s="134">
        <v>11.4</v>
      </c>
      <c r="K28" s="137">
        <f>'Consommation mensuel énergie'!D36</f>
        <v>141</v>
      </c>
      <c r="L28" s="137">
        <f>'Consommation mensuel énergie'!E36</f>
        <v>244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17131</v>
      </c>
      <c r="F29" s="134">
        <v>1.08</v>
      </c>
      <c r="G29" s="134">
        <f>'Consommation mensuel énergie'!V37</f>
        <v>351.99131</v>
      </c>
      <c r="H29" s="134">
        <v>12.84</v>
      </c>
      <c r="I29" s="134">
        <f>'Consommation mensuel énergie'!F37</f>
        <v>158</v>
      </c>
      <c r="J29" s="134">
        <v>11.4</v>
      </c>
      <c r="K29" s="137">
        <f>'Consommation mensuel énergie'!D37</f>
        <v>132</v>
      </c>
      <c r="L29" s="137">
        <f>'Consommation mensuel énergie'!E37</f>
        <v>221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16904</v>
      </c>
      <c r="F30" s="134">
        <v>1.08</v>
      </c>
      <c r="G30" s="134">
        <f>'Consommation mensuel énergie'!V38</f>
        <v>159.99605</v>
      </c>
      <c r="H30" s="134">
        <v>12.84</v>
      </c>
      <c r="I30" s="134">
        <f>'Consommation mensuel énergie'!F38</f>
        <v>151</v>
      </c>
      <c r="J30" s="134">
        <v>11.4</v>
      </c>
      <c r="K30" s="137">
        <f>'Consommation mensuel énergie'!D38</f>
        <v>141</v>
      </c>
      <c r="L30" s="137">
        <f>'Consommation mensuel énergie'!E38</f>
        <v>231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19823</v>
      </c>
      <c r="F31" s="134">
        <v>1.08</v>
      </c>
      <c r="G31" s="134">
        <f>'Consommation mensuel énergie'!V39</f>
        <v>287.99288999999999</v>
      </c>
      <c r="H31" s="134">
        <v>12.84</v>
      </c>
      <c r="I31" s="134">
        <f>'Consommation mensuel énergie'!F39</f>
        <v>157</v>
      </c>
      <c r="J31" s="134">
        <v>11.4</v>
      </c>
      <c r="K31" s="137">
        <f>'Consommation mensuel énergie'!D39</f>
        <v>132</v>
      </c>
      <c r="L31" s="137">
        <f>'Consommation mensuel énergie'!E39</f>
        <v>207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18445</v>
      </c>
      <c r="F32" s="134">
        <v>1.08</v>
      </c>
      <c r="G32" s="134">
        <f>'Consommation mensuel énergie'!V40</f>
        <v>159.99605</v>
      </c>
      <c r="H32" s="134">
        <v>12.84</v>
      </c>
      <c r="I32" s="134">
        <f>'Consommation mensuel énergie'!F40</f>
        <v>135.89999999999418</v>
      </c>
      <c r="J32" s="134">
        <v>11.4</v>
      </c>
      <c r="K32" s="137">
        <f>'Consommation mensuel énergie'!D40</f>
        <v>126</v>
      </c>
      <c r="L32" s="137">
        <f>'Consommation mensuel énergie'!E40</f>
        <v>191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N30" sqref="N3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énergie'!N11</f>
        <v>4772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138</v>
      </c>
      <c r="I26" s="137">
        <f>'Consommation mensuel énergie'!E34</f>
        <v>223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5855</v>
      </c>
      <c r="F27" s="137">
        <f>'Consommation mensuel énergie'!M35</f>
        <v>9605</v>
      </c>
      <c r="G27" s="137">
        <f>'Consommation mensuel énergie'!N35</f>
        <v>3796</v>
      </c>
      <c r="H27" s="137">
        <f>'Consommation mensuel énergie'!D35</f>
        <v>151</v>
      </c>
      <c r="I27" s="137">
        <f>'Consommation mensuel énergie'!E35</f>
        <v>252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4632</v>
      </c>
      <c r="F28" s="137">
        <f>'Consommation mensuel énergie'!M36</f>
        <v>9765</v>
      </c>
      <c r="G28" s="137">
        <f>'Consommation mensuel énergie'!N36</f>
        <v>3888</v>
      </c>
      <c r="H28" s="137">
        <f>'Consommation mensuel énergie'!D36</f>
        <v>141</v>
      </c>
      <c r="I28" s="137">
        <f>'Consommation mensuel énergie'!E36</f>
        <v>244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4743</v>
      </c>
      <c r="F29" s="137">
        <f>'Consommation mensuel énergie'!M37</f>
        <v>8747</v>
      </c>
      <c r="G29" s="137">
        <f>'Consommation mensuel énergie'!N37</f>
        <v>3641</v>
      </c>
      <c r="H29" s="137">
        <f>'Consommation mensuel énergie'!D37</f>
        <v>132</v>
      </c>
      <c r="I29" s="137">
        <f>'Consommation mensuel énergie'!E37</f>
        <v>221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4517</v>
      </c>
      <c r="F30" s="137">
        <f>'Consommation mensuel énergie'!M38</f>
        <v>8832</v>
      </c>
      <c r="G30" s="137">
        <f>'Consommation mensuel énergie'!N38</f>
        <v>3555</v>
      </c>
      <c r="H30" s="137">
        <f>'Consommation mensuel énergie'!D38</f>
        <v>141</v>
      </c>
      <c r="I30" s="137">
        <f>'Consommation mensuel énergie'!E38</f>
        <v>231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5023</v>
      </c>
      <c r="F31" s="137">
        <f>'Consommation mensuel énergie'!M39</f>
        <v>10449</v>
      </c>
      <c r="G31" s="137">
        <f>'Consommation mensuel énergie'!N39</f>
        <v>4351</v>
      </c>
      <c r="H31" s="137">
        <f>'Consommation mensuel énergie'!D39</f>
        <v>132</v>
      </c>
      <c r="I31" s="137">
        <f>'Consommation mensuel énergie'!E39</f>
        <v>207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4191</v>
      </c>
      <c r="F32" s="137">
        <f>'Consommation mensuel énergie'!M40</f>
        <v>10204</v>
      </c>
      <c r="G32" s="137">
        <f>'Consommation mensuel énergie'!N40</f>
        <v>4050</v>
      </c>
      <c r="H32" s="137">
        <f>'Consommation mensuel énergie'!D40</f>
        <v>126</v>
      </c>
      <c r="I32" s="137">
        <f>'Consommation mensuel énergie'!E40</f>
        <v>191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zoomScale="55" zoomScaleNormal="55" workbookViewId="0">
      <pane xSplit="3" ySplit="9" topLeftCell="D36" activePane="bottomRight" state="frozen"/>
      <selection pane="topRight" activeCell="B21" sqref="A21:IV21"/>
      <selection pane="bottomLeft" activeCell="B21" sqref="A21:IV21"/>
      <selection pane="bottomRight" activeCell="X38" sqref="X3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40"/>
      <c r="B2" s="241"/>
      <c r="C2" s="241"/>
      <c r="D2" s="241"/>
      <c r="E2" s="241"/>
      <c r="F2" s="241"/>
      <c r="G2" s="241"/>
      <c r="H2" s="242"/>
      <c r="I2" s="251" t="s">
        <v>17</v>
      </c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</row>
    <row r="3" spans="1:24" ht="15" hidden="1" customHeight="1" thickBot="1" x14ac:dyDescent="0.25"/>
    <row r="4" spans="1:24" ht="39" hidden="1" customHeight="1" thickBot="1" x14ac:dyDescent="0.25">
      <c r="A4" s="243"/>
      <c r="B4" s="243"/>
      <c r="C4" s="24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43"/>
      <c r="B5" s="243"/>
      <c r="C5" s="243"/>
      <c r="D5" s="5"/>
      <c r="E5" s="5"/>
      <c r="F5" s="5"/>
      <c r="G5" s="5"/>
      <c r="H5" s="5"/>
      <c r="I5" s="5"/>
      <c r="J5" s="5"/>
      <c r="K5" s="5"/>
      <c r="L5" s="5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</row>
    <row r="6" spans="1:24" s="5" customFormat="1" ht="44.25" hidden="1" customHeight="1" thickBot="1" x14ac:dyDescent="0.25">
      <c r="A6" s="3"/>
      <c r="B6" s="3"/>
      <c r="C6" s="3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</row>
    <row r="7" spans="1:24" s="5" customFormat="1" ht="18.75" hidden="1" customHeight="1" thickBot="1" x14ac:dyDescent="0.25">
      <c r="F7" s="244"/>
      <c r="G7" s="244"/>
      <c r="H7" s="244"/>
      <c r="I7" s="244"/>
      <c r="J7" s="244"/>
      <c r="K7" s="244"/>
      <c r="L7" s="244"/>
      <c r="M7" s="244"/>
      <c r="N7" s="253"/>
      <c r="O7" s="253"/>
      <c r="P7" s="244"/>
      <c r="Q7" s="244"/>
      <c r="R7" s="244"/>
      <c r="S7" s="244"/>
      <c r="T7" s="244"/>
      <c r="U7" s="244"/>
      <c r="V7" s="244"/>
      <c r="W7" s="244"/>
      <c r="X7" s="244"/>
    </row>
    <row r="8" spans="1:24" ht="18.75" customHeight="1" thickBot="1" x14ac:dyDescent="0.25">
      <c r="A8" s="244"/>
      <c r="B8" s="255" t="s">
        <v>19</v>
      </c>
      <c r="C8" s="4"/>
      <c r="D8" s="217" t="s">
        <v>20</v>
      </c>
      <c r="E8" s="217" t="s">
        <v>21</v>
      </c>
      <c r="F8" s="238" t="s">
        <v>22</v>
      </c>
      <c r="G8" s="2"/>
      <c r="H8" s="245" t="s">
        <v>23</v>
      </c>
      <c r="I8" s="246"/>
      <c r="J8" s="247"/>
      <c r="K8" s="256" t="s">
        <v>24</v>
      </c>
      <c r="L8" s="237" t="s">
        <v>25</v>
      </c>
      <c r="M8" s="237"/>
      <c r="N8" s="237"/>
      <c r="O8" s="237" t="s">
        <v>26</v>
      </c>
      <c r="P8" s="2"/>
      <c r="Q8" s="219" t="s">
        <v>23</v>
      </c>
      <c r="R8" s="2"/>
      <c r="S8" s="219" t="s">
        <v>27</v>
      </c>
      <c r="T8" s="2"/>
      <c r="U8" s="219" t="s">
        <v>28</v>
      </c>
      <c r="V8" s="221" t="s">
        <v>29</v>
      </c>
      <c r="W8" s="2"/>
      <c r="X8" s="219" t="s">
        <v>23</v>
      </c>
    </row>
    <row r="9" spans="1:24" ht="59.25" customHeight="1" thickBot="1" x14ac:dyDescent="0.25">
      <c r="A9" s="244"/>
      <c r="B9" s="255"/>
      <c r="C9" s="4"/>
      <c r="D9" s="218"/>
      <c r="E9" s="218"/>
      <c r="F9" s="239"/>
      <c r="G9" s="2"/>
      <c r="H9" s="248"/>
      <c r="I9" s="249"/>
      <c r="J9" s="250"/>
      <c r="K9" s="257"/>
      <c r="L9" s="152" t="s">
        <v>30</v>
      </c>
      <c r="M9" s="152" t="s">
        <v>31</v>
      </c>
      <c r="N9" s="152" t="s">
        <v>32</v>
      </c>
      <c r="O9" s="254"/>
      <c r="P9" s="2"/>
      <c r="Q9" s="220"/>
      <c r="R9" s="2"/>
      <c r="S9" s="220"/>
      <c r="T9" s="2"/>
      <c r="U9" s="220"/>
      <c r="V9" s="222"/>
      <c r="W9" s="2"/>
      <c r="X9" s="220"/>
    </row>
    <row r="10" spans="1:24" ht="32.25" customHeight="1" x14ac:dyDescent="0.2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80">
        <f>F10*8.79</f>
        <v>1538.2499999999998</v>
      </c>
      <c r="I10" s="181"/>
      <c r="J10" s="181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V10*12.84</f>
        <v>2054.3492820000001</v>
      </c>
    </row>
    <row r="11" spans="1:24" ht="32.25" customHeight="1" x14ac:dyDescent="0.2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80">
        <f t="shared" ref="H11:H21" si="0">F11*8.79</f>
        <v>1380.03</v>
      </c>
      <c r="I11" s="181"/>
      <c r="J11" s="181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 t="shared" ref="Q11:Q19" si="1">L11*0.6985+M11*0.9514+N11*1.3304</f>
        <v>21860.965200000002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2">V11*12.84</f>
        <v>1643.4794256</v>
      </c>
    </row>
    <row r="12" spans="1:24" ht="32.25" customHeight="1" x14ac:dyDescent="0.2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80">
        <f t="shared" si="0"/>
        <v>1590.9899999999998</v>
      </c>
      <c r="I12" s="181"/>
      <c r="J12" s="181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 t="shared" si="1"/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2"/>
        <v>1643.4794256</v>
      </c>
    </row>
    <row r="13" spans="1:24" ht="32.25" customHeight="1" x14ac:dyDescent="0.2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80">
        <f t="shared" si="0"/>
        <v>1362.4499999999998</v>
      </c>
      <c r="I13" s="181"/>
      <c r="J13" s="181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3">L13+M13+N13</f>
        <v>22596</v>
      </c>
      <c r="P13" s="11"/>
      <c r="Q13" s="34">
        <f t="shared" si="1"/>
        <v>21621.319500000001</v>
      </c>
      <c r="R13" s="11"/>
      <c r="S13" s="28"/>
      <c r="T13" s="11"/>
      <c r="U13" s="28"/>
      <c r="V13" s="146">
        <f>'Suvi Gaz'!O7</f>
        <v>223.99447000000001</v>
      </c>
      <c r="W13" s="11"/>
      <c r="X13" s="34">
        <f t="shared" si="2"/>
        <v>2876.0889947999999</v>
      </c>
    </row>
    <row r="14" spans="1:24" ht="32.25" customHeight="1" x14ac:dyDescent="0.2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80">
        <f t="shared" si="0"/>
        <v>1485.5099999999998</v>
      </c>
      <c r="I14" s="181"/>
      <c r="J14" s="181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3"/>
        <v>21668</v>
      </c>
      <c r="P14" s="12"/>
      <c r="Q14" s="34">
        <f t="shared" si="1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2"/>
        <v>3697.8287075999997</v>
      </c>
    </row>
    <row r="15" spans="1:24" ht="32.25" customHeight="1" x14ac:dyDescent="0.2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80">
        <f t="shared" si="0"/>
        <v>1547.04</v>
      </c>
      <c r="I15" s="181"/>
      <c r="J15" s="181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3"/>
        <v>21526</v>
      </c>
      <c r="P15" s="12"/>
      <c r="Q15" s="34">
        <f t="shared" si="1"/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2"/>
        <v>2054.3492820000001</v>
      </c>
    </row>
    <row r="16" spans="1:24" ht="32.25" customHeight="1" x14ac:dyDescent="0.2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80">
        <f t="shared" si="0"/>
        <v>1714.929000000051</v>
      </c>
      <c r="I16" s="181"/>
      <c r="J16" s="181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3"/>
        <v>19512</v>
      </c>
      <c r="P16" s="11"/>
      <c r="Q16" s="34">
        <f t="shared" si="1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2"/>
        <v>3697.8287075999997</v>
      </c>
    </row>
    <row r="17" spans="1:24" s="5" customFormat="1" ht="32.25" customHeight="1" x14ac:dyDescent="0.2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80">
        <f t="shared" si="0"/>
        <v>1477.5990000000511</v>
      </c>
      <c r="I17" s="181"/>
      <c r="J17" s="181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3"/>
        <v>19606</v>
      </c>
      <c r="P17" s="12"/>
      <c r="Q17" s="34">
        <f t="shared" si="1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2"/>
        <v>1643.4794256</v>
      </c>
    </row>
    <row r="18" spans="1:24" ht="32.25" customHeight="1" x14ac:dyDescent="0.2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80">
        <f t="shared" si="0"/>
        <v>1932.9209999999487</v>
      </c>
      <c r="I18" s="181"/>
      <c r="J18" s="181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3"/>
        <v>19679</v>
      </c>
      <c r="P18" s="12"/>
      <c r="Q18" s="34">
        <f t="shared" si="1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2"/>
        <v>2465.2191383999998</v>
      </c>
    </row>
    <row r="19" spans="1:24" ht="32.25" customHeight="1" x14ac:dyDescent="0.2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80">
        <f t="shared" si="0"/>
        <v>1479.3569999998974</v>
      </c>
      <c r="I19" s="181"/>
      <c r="J19" s="181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3"/>
        <v>20345</v>
      </c>
      <c r="P19" s="12"/>
      <c r="Q19" s="34">
        <f t="shared" si="1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2"/>
        <v>1232.6095691999999</v>
      </c>
    </row>
    <row r="20" spans="1:24" ht="32.25" customHeight="1" x14ac:dyDescent="0.2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80">
        <f t="shared" si="0"/>
        <v>1781.7330000001023</v>
      </c>
      <c r="I20" s="181"/>
      <c r="J20" s="181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3"/>
        <v>20262</v>
      </c>
      <c r="P20" s="12"/>
      <c r="Q20" s="34">
        <f t="shared" ref="Q20:Q36" si="4">L20*0.6985+M20*0.9514+N20*1.3304</f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2"/>
        <v>2054.3492820000001</v>
      </c>
    </row>
    <row r="21" spans="1:24" ht="32.25" customHeight="1" x14ac:dyDescent="0.2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80">
        <f t="shared" si="0"/>
        <v>1730.7509999999486</v>
      </c>
      <c r="I21" s="181"/>
      <c r="J21" s="181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4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2"/>
        <v>4519.5684203999999</v>
      </c>
    </row>
    <row r="22" spans="1:24" ht="32.25" customHeight="1" x14ac:dyDescent="0.2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80">
        <f t="shared" ref="H22:H35" si="5">F22*8.79</f>
        <v>1409.9159999999488</v>
      </c>
      <c r="I22" s="181"/>
      <c r="J22" s="181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3"/>
        <v>21945</v>
      </c>
      <c r="P22" s="12"/>
      <c r="Q22" s="34">
        <f t="shared" si="4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2"/>
        <v>1232.6095691999999</v>
      </c>
    </row>
    <row r="23" spans="1:24" ht="32.25" customHeight="1" x14ac:dyDescent="0.2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80">
        <f t="shared" si="5"/>
        <v>1748.3309999999487</v>
      </c>
      <c r="I23" s="181"/>
      <c r="J23" s="181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2"/>
        <v>821.73971280000001</v>
      </c>
    </row>
    <row r="24" spans="1:24" ht="32.25" customHeight="1" x14ac:dyDescent="0.2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80">
        <f t="shared" si="5"/>
        <v>1343.9910000002046</v>
      </c>
      <c r="I24" s="181"/>
      <c r="J24" s="181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2"/>
        <v>2054.3492820000001</v>
      </c>
    </row>
    <row r="25" spans="1:24" ht="32.25" customHeight="1" x14ac:dyDescent="0.2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80">
        <f t="shared" si="5"/>
        <v>1456.5029999998465</v>
      </c>
      <c r="I25" s="181"/>
      <c r="J25" s="181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2"/>
        <v>4930.4382767999996</v>
      </c>
    </row>
    <row r="26" spans="1:24" ht="32.25" customHeight="1" x14ac:dyDescent="0.2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80">
        <f t="shared" si="5"/>
        <v>1409.9159999999488</v>
      </c>
      <c r="I26" s="181"/>
      <c r="J26" s="181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2"/>
        <v>1232.6095691999999</v>
      </c>
    </row>
    <row r="27" spans="1:24" ht="32.25" customHeight="1" x14ac:dyDescent="0.2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80">
        <f t="shared" si="5"/>
        <v>1464.4140000000509</v>
      </c>
      <c r="I27" s="181"/>
      <c r="J27" s="181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3"/>
        <v>18840</v>
      </c>
      <c r="P27" s="14"/>
      <c r="Q27" s="34">
        <f t="shared" si="4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2"/>
        <v>3697.8287075999997</v>
      </c>
    </row>
    <row r="28" spans="1:24" ht="32.25" customHeight="1" x14ac:dyDescent="0.2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80">
        <f t="shared" si="5"/>
        <v>1334.3220000001534</v>
      </c>
      <c r="I28" s="181"/>
      <c r="J28" s="181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3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2"/>
        <v>3697.8287075999997</v>
      </c>
    </row>
    <row r="29" spans="1:24" ht="32.25" customHeight="1" x14ac:dyDescent="0.2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80">
        <f t="shared" si="5"/>
        <v>1441.56</v>
      </c>
      <c r="I29" s="181"/>
      <c r="J29" s="181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4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2"/>
        <v>2876.0889947999999</v>
      </c>
    </row>
    <row r="30" spans="1:24" ht="32.25" customHeight="1" x14ac:dyDescent="0.2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80">
        <f t="shared" si="5"/>
        <v>1655.1569999998976</v>
      </c>
      <c r="I30" s="181"/>
      <c r="J30" s="181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2876.0889947999999</v>
      </c>
    </row>
    <row r="31" spans="1:24" ht="27.75" customHeight="1" x14ac:dyDescent="0.2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80">
        <f t="shared" si="5"/>
        <v>1513.6380000001022</v>
      </c>
      <c r="I31" s="181"/>
      <c r="J31" s="181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2"/>
        <v>2465.2191383999998</v>
      </c>
    </row>
    <row r="32" spans="1:24" ht="37.5" customHeight="1" x14ac:dyDescent="0.2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80">
        <f t="shared" si="5"/>
        <v>1410.7949999999998</v>
      </c>
      <c r="I32" s="181"/>
      <c r="J32" s="181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3"/>
        <v>20840</v>
      </c>
      <c r="P32" s="11"/>
      <c r="Q32" s="34">
        <f t="shared" si="4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2"/>
        <v>2876.0889947999999</v>
      </c>
    </row>
    <row r="33" spans="1:24" ht="37.5" customHeight="1" x14ac:dyDescent="0.2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80">
        <f t="shared" si="5"/>
        <v>1343.1119999998975</v>
      </c>
      <c r="I33" s="181"/>
      <c r="J33" s="181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3"/>
        <v>21054</v>
      </c>
      <c r="P33" s="11"/>
      <c r="Q33" s="34">
        <f t="shared" si="4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2"/>
        <v>3697.8287075999997</v>
      </c>
    </row>
    <row r="34" spans="1:24" ht="37.5" customHeight="1" x14ac:dyDescent="0.2">
      <c r="A34" s="2"/>
      <c r="B34" s="6">
        <v>44798</v>
      </c>
      <c r="C34" s="7"/>
      <c r="D34" s="143">
        <v>138</v>
      </c>
      <c r="E34" s="143">
        <v>223</v>
      </c>
      <c r="F34" s="13">
        <f>'Suivi EAU-ELEC'!E33</f>
        <v>134.5</v>
      </c>
      <c r="G34" s="11"/>
      <c r="H34" s="180">
        <f t="shared" si="5"/>
        <v>1182.2549999999999</v>
      </c>
      <c r="I34" s="181"/>
      <c r="J34" s="181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3"/>
        <v>20367</v>
      </c>
      <c r="P34" s="11"/>
      <c r="Q34" s="34">
        <f t="shared" si="4"/>
        <v>19801.527099999999</v>
      </c>
      <c r="R34" s="11"/>
      <c r="S34" s="28"/>
      <c r="T34" s="11"/>
      <c r="U34" s="28"/>
      <c r="V34" s="146">
        <f>'Suvi Gaz'!O28</f>
        <v>159.99605</v>
      </c>
      <c r="W34" s="11"/>
      <c r="X34" s="34">
        <f t="shared" si="2"/>
        <v>2054.3492820000001</v>
      </c>
    </row>
    <row r="35" spans="1:24" ht="33.75" customHeight="1" x14ac:dyDescent="0.2">
      <c r="A35" s="2"/>
      <c r="B35" s="6">
        <v>44799</v>
      </c>
      <c r="C35" s="7"/>
      <c r="D35" s="143">
        <v>151</v>
      </c>
      <c r="E35" s="143">
        <v>252</v>
      </c>
      <c r="F35" s="13">
        <f>'Suivi EAU-ELEC'!E34</f>
        <v>190</v>
      </c>
      <c r="G35" s="11"/>
      <c r="H35" s="180">
        <f t="shared" si="5"/>
        <v>1670.1</v>
      </c>
      <c r="I35" s="181"/>
      <c r="J35" s="181"/>
      <c r="K35" s="60">
        <v>42303</v>
      </c>
      <c r="L35" s="90">
        <f>'Suivi EAU-ELEC'!G34</f>
        <v>5855</v>
      </c>
      <c r="M35" s="91">
        <f>'Suivi EAU-ELEC'!I34</f>
        <v>9605</v>
      </c>
      <c r="N35" s="91">
        <f>'Suivi EAU-ELEC'!K34</f>
        <v>3796</v>
      </c>
      <c r="O35" s="91">
        <f t="shared" si="3"/>
        <v>19256</v>
      </c>
      <c r="P35" s="11"/>
      <c r="Q35" s="34">
        <f t="shared" si="4"/>
        <v>18278.1129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2"/>
        <v>5341.3081332000002</v>
      </c>
    </row>
    <row r="36" spans="1:24" ht="33.75" customHeight="1" x14ac:dyDescent="0.2">
      <c r="A36" s="2"/>
      <c r="B36" s="6">
        <v>44800</v>
      </c>
      <c r="C36" s="7"/>
      <c r="D36" s="143">
        <v>141</v>
      </c>
      <c r="E36" s="143">
        <v>244</v>
      </c>
      <c r="F36" s="13">
        <f>'Suivi EAU-ELEC'!E35</f>
        <v>151</v>
      </c>
      <c r="G36" s="11"/>
      <c r="H36" s="180">
        <f t="shared" ref="H36:H37" si="6">F36*8.79</f>
        <v>1327.29</v>
      </c>
      <c r="I36" s="181"/>
      <c r="J36" s="181"/>
      <c r="K36" s="60"/>
      <c r="L36" s="90">
        <f>'Suivi EAU-ELEC'!G35</f>
        <v>4632</v>
      </c>
      <c r="M36" s="91">
        <f>'Suivi EAU-ELEC'!I35</f>
        <v>9765</v>
      </c>
      <c r="N36" s="91">
        <f>'Suivi EAU-ELEC'!K35</f>
        <v>3888</v>
      </c>
      <c r="O36" s="91">
        <f t="shared" si="3"/>
        <v>18285</v>
      </c>
      <c r="P36" s="11"/>
      <c r="Q36" s="34">
        <f t="shared" si="4"/>
        <v>17698.468199999999</v>
      </c>
      <c r="R36" s="11"/>
      <c r="S36" s="28"/>
      <c r="T36" s="11"/>
      <c r="U36" s="28"/>
      <c r="V36" s="146">
        <f>'Suvi Gaz'!O30</f>
        <v>255.99368000000001</v>
      </c>
      <c r="W36" s="11"/>
      <c r="X36" s="34">
        <f t="shared" si="2"/>
        <v>3286.9588512</v>
      </c>
    </row>
    <row r="37" spans="1:24" ht="33.75" customHeight="1" x14ac:dyDescent="0.2">
      <c r="A37" s="2"/>
      <c r="B37" s="6">
        <v>44801</v>
      </c>
      <c r="C37" s="7"/>
      <c r="D37" s="143">
        <v>132</v>
      </c>
      <c r="E37" s="143">
        <v>221</v>
      </c>
      <c r="F37" s="13">
        <f>'Suivi EAU-ELEC'!E36</f>
        <v>158</v>
      </c>
      <c r="G37" s="11"/>
      <c r="H37" s="180">
        <f t="shared" si="6"/>
        <v>1388.82</v>
      </c>
      <c r="I37" s="181"/>
      <c r="J37" s="181"/>
      <c r="K37" s="60"/>
      <c r="L37" s="90">
        <f>'Suivi EAU-ELEC'!G36</f>
        <v>4743</v>
      </c>
      <c r="M37" s="91">
        <f>'Suivi EAU-ELEC'!I36</f>
        <v>8747</v>
      </c>
      <c r="N37" s="91">
        <f>'Suivi EAU-ELEC'!K36</f>
        <v>3641</v>
      </c>
      <c r="O37" s="91">
        <f>L37+M37+N37</f>
        <v>17131</v>
      </c>
      <c r="P37" s="11"/>
      <c r="Q37" s="34">
        <f>L37*0.6985+M37*0.9514+N37*1.3304</f>
        <v>16478.867700000003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2"/>
        <v>4519.5684203999999</v>
      </c>
    </row>
    <row r="38" spans="1:24" ht="33.75" customHeight="1" x14ac:dyDescent="0.2">
      <c r="A38" s="2"/>
      <c r="B38" s="6">
        <v>44802</v>
      </c>
      <c r="C38" s="7"/>
      <c r="D38" s="143">
        <v>141</v>
      </c>
      <c r="E38" s="143">
        <v>231</v>
      </c>
      <c r="F38" s="13">
        <f>'Suivi EAU-ELEC'!E37</f>
        <v>151</v>
      </c>
      <c r="G38" s="11"/>
      <c r="H38" s="180">
        <f>F38*8.79</f>
        <v>1327.29</v>
      </c>
      <c r="I38" s="181"/>
      <c r="J38" s="181"/>
      <c r="K38" s="60">
        <v>42304</v>
      </c>
      <c r="L38" s="90">
        <f>'Suivi EAU-ELEC'!G37</f>
        <v>4517</v>
      </c>
      <c r="M38" s="91">
        <f>'Suivi EAU-ELEC'!I37</f>
        <v>8832</v>
      </c>
      <c r="N38" s="91">
        <f>'Suivi EAU-ELEC'!K37</f>
        <v>3555</v>
      </c>
      <c r="O38" s="91">
        <f>L38+M38+N38</f>
        <v>16904</v>
      </c>
      <c r="P38" s="11"/>
      <c r="Q38" s="34">
        <f>L38*0.6985+M38*0.9514+N38*1.3304</f>
        <v>16287.461300000001</v>
      </c>
      <c r="R38" s="11"/>
      <c r="S38" s="28"/>
      <c r="T38" s="11"/>
      <c r="U38" s="28"/>
      <c r="V38" s="146">
        <f>'Suvi Gaz'!O32</f>
        <v>159.99605</v>
      </c>
      <c r="W38" s="11"/>
      <c r="X38" s="34">
        <f t="shared" si="2"/>
        <v>2054.3492820000001</v>
      </c>
    </row>
    <row r="39" spans="1:24" ht="33.75" customHeight="1" x14ac:dyDescent="0.2">
      <c r="A39" s="2"/>
      <c r="B39" s="6">
        <v>44803</v>
      </c>
      <c r="C39" s="7"/>
      <c r="D39" s="143">
        <v>132</v>
      </c>
      <c r="E39" s="143">
        <v>207</v>
      </c>
      <c r="F39" s="13">
        <f>'Suivi EAU-ELEC'!E38</f>
        <v>157</v>
      </c>
      <c r="G39" s="11"/>
      <c r="H39" s="180">
        <f>F39*8.79</f>
        <v>1380.03</v>
      </c>
      <c r="I39" s="181"/>
      <c r="J39" s="181"/>
      <c r="K39" s="60"/>
      <c r="L39" s="90">
        <f>'Suivi EAU-ELEC'!G38</f>
        <v>5023</v>
      </c>
      <c r="M39" s="91">
        <f>'Suivi EAU-ELEC'!I38</f>
        <v>10449</v>
      </c>
      <c r="N39" s="91">
        <f>'Suivi EAU-ELEC'!K38</f>
        <v>4351</v>
      </c>
      <c r="O39" s="91">
        <f t="shared" ref="O39:O40" si="7">L39+M39+N39</f>
        <v>19823</v>
      </c>
      <c r="P39" s="11"/>
      <c r="Q39" s="34">
        <f t="shared" ref="Q39:Q40" si="8">L39*0.6985+M39*0.9514+N39*1.3304</f>
        <v>19238.3145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2"/>
        <v>3697.8287075999997</v>
      </c>
    </row>
    <row r="40" spans="1:24" ht="33.75" customHeight="1" x14ac:dyDescent="0.2">
      <c r="A40" s="2"/>
      <c r="B40" s="6">
        <v>44804</v>
      </c>
      <c r="C40" s="7"/>
      <c r="D40" s="143">
        <v>126</v>
      </c>
      <c r="E40" s="143">
        <v>191</v>
      </c>
      <c r="F40" s="13">
        <f>'Suivi EAU-ELEC'!E39</f>
        <v>135.89999999999418</v>
      </c>
      <c r="G40" s="11"/>
      <c r="H40" s="180">
        <f>F40*8.79</f>
        <v>1194.5609999999488</v>
      </c>
      <c r="I40" s="181"/>
      <c r="J40" s="181"/>
      <c r="K40" s="60"/>
      <c r="L40" s="90">
        <f>'Suivi EAU-ELEC'!G39</f>
        <v>4191</v>
      </c>
      <c r="M40" s="91">
        <f>'Suivi EAU-ELEC'!I39</f>
        <v>10204</v>
      </c>
      <c r="N40" s="91">
        <f>'Suivi EAU-ELEC'!K39</f>
        <v>4050</v>
      </c>
      <c r="O40" s="91">
        <f t="shared" si="7"/>
        <v>18445</v>
      </c>
      <c r="P40" s="11"/>
      <c r="Q40" s="34">
        <f t="shared" si="8"/>
        <v>18023.6191</v>
      </c>
      <c r="R40" s="11"/>
      <c r="S40" s="28"/>
      <c r="T40" s="11"/>
      <c r="U40" s="28"/>
      <c r="V40" s="146">
        <f>'Suvi Gaz'!O34</f>
        <v>159.99605</v>
      </c>
      <c r="W40" s="11"/>
      <c r="X40" s="34">
        <f t="shared" si="2"/>
        <v>2054.3492820000001</v>
      </c>
    </row>
    <row r="41" spans="1:24" ht="42.75" customHeight="1" x14ac:dyDescent="0.2">
      <c r="A41" s="2"/>
      <c r="B41" s="10"/>
      <c r="C41" s="10"/>
      <c r="D41" s="8">
        <f>SUM(D10:D40)</f>
        <v>4593</v>
      </c>
      <c r="E41" s="8">
        <f>SUM(E10:E40)</f>
        <v>8265</v>
      </c>
      <c r="F41" s="151">
        <f>SUM(F10:F40)</f>
        <v>5235.8999999999942</v>
      </c>
      <c r="G41" s="1"/>
      <c r="H41" s="214">
        <f>SUM(H10:H40)</f>
        <v>46023.560999999951</v>
      </c>
      <c r="I41" s="215"/>
      <c r="J41" s="216"/>
      <c r="K41" s="1"/>
      <c r="L41" s="53">
        <f>SUM(L10:L40)</f>
        <v>167899</v>
      </c>
      <c r="M41" s="53">
        <f>SUM(M10:M40)</f>
        <v>324141</v>
      </c>
      <c r="N41" s="54">
        <f>SUM(N10:N40)</f>
        <v>136233</v>
      </c>
      <c r="O41" s="55">
        <f>SUM(O10:O40)</f>
        <v>628273</v>
      </c>
      <c r="P41" s="31"/>
      <c r="Q41" s="34">
        <f t="shared" ref="Q41" si="9">L41*0.6985+M41*0.9514+N41*1.3304</f>
        <v>606909.5821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6623.8364699999984</v>
      </c>
      <c r="W41" s="31"/>
      <c r="X41" s="32">
        <f>SUM(X10:X40)</f>
        <v>85050.06027479998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98" t="s">
        <v>33</v>
      </c>
      <c r="B43" s="199"/>
      <c r="C43" s="199"/>
      <c r="D43" s="199"/>
      <c r="E43" s="199"/>
      <c r="F43" s="200"/>
      <c r="G43" s="26"/>
      <c r="H43" s="27" t="s">
        <v>34</v>
      </c>
      <c r="I43" s="210" t="s">
        <v>35</v>
      </c>
      <c r="J43" s="211"/>
      <c r="K43" s="212"/>
      <c r="L43" s="235" t="s">
        <v>36</v>
      </c>
      <c r="M43" s="236"/>
      <c r="N43" s="198" t="s">
        <v>37</v>
      </c>
      <c r="O43" s="199"/>
      <c r="P43" s="199"/>
      <c r="Q43" s="199"/>
      <c r="R43" s="199"/>
      <c r="S43" s="199"/>
      <c r="T43" s="199"/>
      <c r="U43" s="199"/>
      <c r="V43" s="199"/>
      <c r="W43" s="199"/>
      <c r="X43" s="200"/>
    </row>
    <row r="44" spans="1:24" s="18" customFormat="1" ht="29.25" customHeight="1" thickBot="1" x14ac:dyDescent="0.25">
      <c r="A44" s="230" t="s">
        <v>38</v>
      </c>
      <c r="B44" s="231"/>
      <c r="C44" s="232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171">
        <f>L41</f>
        <v>167899</v>
      </c>
      <c r="J44" s="228"/>
      <c r="K44" s="229"/>
      <c r="L44" s="177">
        <f>I44*H44</f>
        <v>117277.4515</v>
      </c>
      <c r="M44" s="213"/>
      <c r="N44" s="189">
        <f>L44+L45+L46</f>
        <v>606909.5821</v>
      </c>
      <c r="O44" s="190"/>
      <c r="P44" s="190"/>
      <c r="Q44" s="190"/>
      <c r="R44" s="190"/>
      <c r="S44" s="190"/>
      <c r="T44" s="190"/>
      <c r="U44" s="190"/>
      <c r="V44" s="190"/>
      <c r="W44" s="190"/>
      <c r="X44" s="191"/>
    </row>
    <row r="45" spans="1:24" s="18" customFormat="1" ht="29.25" customHeight="1" thickBot="1" x14ac:dyDescent="0.25">
      <c r="A45" s="165"/>
      <c r="B45" s="233"/>
      <c r="C45" s="234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171">
        <f>M41</f>
        <v>324141</v>
      </c>
      <c r="J45" s="228"/>
      <c r="K45" s="229"/>
      <c r="L45" s="177">
        <f>I45*H45</f>
        <v>308387.74739999999</v>
      </c>
      <c r="M45" s="213"/>
      <c r="N45" s="192"/>
      <c r="O45" s="193"/>
      <c r="P45" s="193"/>
      <c r="Q45" s="193"/>
      <c r="R45" s="193"/>
      <c r="S45" s="193"/>
      <c r="T45" s="193"/>
      <c r="U45" s="193"/>
      <c r="V45" s="193"/>
      <c r="W45" s="193"/>
      <c r="X45" s="194"/>
    </row>
    <row r="46" spans="1:24" s="18" customFormat="1" ht="24.75" customHeight="1" thickBot="1" x14ac:dyDescent="0.25">
      <c r="A46" s="165"/>
      <c r="B46" s="233"/>
      <c r="C46" s="234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07">
        <f>N41</f>
        <v>136233</v>
      </c>
      <c r="J46" s="208"/>
      <c r="K46" s="209"/>
      <c r="L46" s="177">
        <f>I46*H46</f>
        <v>181244.38320000001</v>
      </c>
      <c r="M46" s="213"/>
      <c r="N46" s="195"/>
      <c r="O46" s="196"/>
      <c r="P46" s="196"/>
      <c r="Q46" s="196"/>
      <c r="R46" s="196"/>
      <c r="S46" s="196"/>
      <c r="T46" s="196"/>
      <c r="U46" s="196"/>
      <c r="V46" s="196"/>
      <c r="W46" s="196"/>
      <c r="X46" s="197"/>
    </row>
    <row r="47" spans="1:24" s="18" customFormat="1" ht="43.5" customHeight="1" thickBot="1" x14ac:dyDescent="0.25">
      <c r="A47" s="162"/>
      <c r="B47" s="163"/>
      <c r="C47" s="163"/>
      <c r="D47" s="171" t="s">
        <v>126</v>
      </c>
      <c r="E47" s="172"/>
      <c r="F47" s="173"/>
      <c r="G47" s="16"/>
      <c r="H47" s="19">
        <v>1000</v>
      </c>
      <c r="I47" s="171">
        <v>43.88167</v>
      </c>
      <c r="J47" s="172"/>
      <c r="K47" s="161"/>
      <c r="L47" s="178">
        <f>H47*I47</f>
        <v>43881.67</v>
      </c>
      <c r="M47" s="179"/>
      <c r="N47" s="168">
        <f>L47</f>
        <v>43881.67</v>
      </c>
      <c r="O47" s="169"/>
      <c r="P47" s="169"/>
      <c r="Q47" s="169"/>
      <c r="R47" s="169"/>
      <c r="S47" s="169"/>
      <c r="T47" s="169"/>
      <c r="U47" s="169"/>
      <c r="V47" s="169"/>
      <c r="W47" s="169"/>
      <c r="X47" s="170"/>
    </row>
    <row r="48" spans="1:24" s="18" customFormat="1" ht="43.5" customHeight="1" thickBot="1" x14ac:dyDescent="0.25">
      <c r="A48" s="162"/>
      <c r="B48" s="163"/>
      <c r="C48" s="163"/>
      <c r="D48" s="171" t="s">
        <v>127</v>
      </c>
      <c r="E48" s="172"/>
      <c r="F48" s="173"/>
      <c r="G48" s="16"/>
      <c r="H48" s="164">
        <v>403</v>
      </c>
      <c r="I48" s="171">
        <v>65.822505000000007</v>
      </c>
      <c r="J48" s="172"/>
      <c r="K48" s="173"/>
      <c r="L48" s="177">
        <f>I48*H48</f>
        <v>26526.469515000004</v>
      </c>
      <c r="M48" s="173"/>
      <c r="N48" s="168">
        <f t="shared" ref="N48:N50" si="10">L48</f>
        <v>26526.469515000004</v>
      </c>
      <c r="O48" s="169"/>
      <c r="P48" s="169"/>
      <c r="Q48" s="169"/>
      <c r="R48" s="169"/>
      <c r="S48" s="169"/>
      <c r="T48" s="169"/>
      <c r="U48" s="169"/>
      <c r="V48" s="169"/>
      <c r="W48" s="169"/>
      <c r="X48" s="170"/>
    </row>
    <row r="49" spans="1:24" s="18" customFormat="1" ht="43.5" customHeight="1" thickBot="1" x14ac:dyDescent="0.25">
      <c r="A49" s="162"/>
      <c r="B49" s="163"/>
      <c r="C49" s="163"/>
      <c r="D49" s="171" t="s">
        <v>128</v>
      </c>
      <c r="E49" s="172"/>
      <c r="F49" s="173"/>
      <c r="G49" s="16"/>
      <c r="H49" s="19"/>
      <c r="I49" s="171">
        <v>841</v>
      </c>
      <c r="J49" s="172"/>
      <c r="K49" s="173"/>
      <c r="L49" s="177">
        <v>841</v>
      </c>
      <c r="M49" s="173"/>
      <c r="N49" s="168">
        <f t="shared" si="10"/>
        <v>841</v>
      </c>
      <c r="O49" s="169"/>
      <c r="P49" s="169"/>
      <c r="Q49" s="169"/>
      <c r="R49" s="169"/>
      <c r="S49" s="169"/>
      <c r="T49" s="169"/>
      <c r="U49" s="169"/>
      <c r="V49" s="169"/>
      <c r="W49" s="169"/>
      <c r="X49" s="170"/>
    </row>
    <row r="50" spans="1:24" s="18" customFormat="1" ht="43.5" customHeight="1" thickBot="1" x14ac:dyDescent="0.25">
      <c r="A50" s="162"/>
      <c r="B50" s="163"/>
      <c r="C50" s="163"/>
      <c r="D50" s="171" t="s">
        <v>129</v>
      </c>
      <c r="E50" s="172"/>
      <c r="F50" s="173"/>
      <c r="G50" s="16"/>
      <c r="H50" s="19"/>
      <c r="I50" s="171">
        <v>1492</v>
      </c>
      <c r="J50" s="172"/>
      <c r="K50" s="173"/>
      <c r="L50" s="177">
        <v>1492</v>
      </c>
      <c r="M50" s="173"/>
      <c r="N50" s="168">
        <f t="shared" si="10"/>
        <v>1492</v>
      </c>
      <c r="O50" s="169"/>
      <c r="P50" s="169"/>
      <c r="Q50" s="169"/>
      <c r="R50" s="169"/>
      <c r="S50" s="169"/>
      <c r="T50" s="169"/>
      <c r="U50" s="169"/>
      <c r="V50" s="169"/>
      <c r="W50" s="169"/>
      <c r="X50" s="170"/>
    </row>
    <row r="51" spans="1:24" s="18" customFormat="1" ht="43.5" customHeight="1" thickBot="1" x14ac:dyDescent="0.25">
      <c r="A51" s="162"/>
      <c r="B51" s="163"/>
      <c r="C51" s="163"/>
      <c r="D51" s="165" t="s">
        <v>187</v>
      </c>
      <c r="E51" s="166"/>
      <c r="F51" s="166"/>
      <c r="G51" s="166"/>
      <c r="H51" s="166"/>
      <c r="I51" s="166"/>
      <c r="J51" s="166"/>
      <c r="K51" s="166"/>
      <c r="L51" s="166"/>
      <c r="M51" s="167"/>
      <c r="N51" s="168">
        <f>N44+N47+N48+N49+N50</f>
        <v>679650.72161500005</v>
      </c>
      <c r="O51" s="169"/>
      <c r="P51" s="169"/>
      <c r="Q51" s="169"/>
      <c r="R51" s="169"/>
      <c r="S51" s="169"/>
      <c r="T51" s="169"/>
      <c r="U51" s="169"/>
      <c r="V51" s="169"/>
      <c r="W51" s="169"/>
      <c r="X51" s="170"/>
    </row>
    <row r="52" spans="1:24" s="18" customFormat="1" ht="43.5" customHeight="1" thickBot="1" x14ac:dyDescent="0.25">
      <c r="A52" s="162"/>
      <c r="B52" s="163"/>
      <c r="C52" s="163"/>
      <c r="D52" s="171" t="s">
        <v>188</v>
      </c>
      <c r="E52" s="172"/>
      <c r="F52" s="172"/>
      <c r="G52" s="172"/>
      <c r="H52" s="172"/>
      <c r="I52" s="172"/>
      <c r="J52" s="172"/>
      <c r="K52" s="172"/>
      <c r="L52" s="172"/>
      <c r="M52" s="173"/>
      <c r="N52" s="174">
        <f>N51/O41</f>
        <v>1.0817761094540113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6"/>
    </row>
    <row r="53" spans="1:24" s="23" customFormat="1" ht="32.25" customHeight="1" thickBot="1" x14ac:dyDescent="0.25">
      <c r="A53" s="223" t="s">
        <v>39</v>
      </c>
      <c r="B53" s="224"/>
      <c r="C53" s="224"/>
      <c r="D53" s="224"/>
      <c r="E53" s="224"/>
      <c r="F53" s="225"/>
      <c r="G53" s="21"/>
      <c r="H53" s="22">
        <v>11.4</v>
      </c>
      <c r="I53" s="223">
        <f>F41</f>
        <v>5235.8999999999942</v>
      </c>
      <c r="J53" s="224"/>
      <c r="K53" s="225"/>
      <c r="L53" s="226">
        <f>I53*H53</f>
        <v>59689.259999999937</v>
      </c>
      <c r="M53" s="227"/>
      <c r="N53" s="186">
        <f>L53</f>
        <v>59689.259999999937</v>
      </c>
      <c r="O53" s="187"/>
      <c r="P53" s="187"/>
      <c r="Q53" s="187"/>
      <c r="R53" s="187"/>
      <c r="S53" s="187"/>
      <c r="T53" s="187"/>
      <c r="U53" s="187"/>
      <c r="V53" s="187"/>
      <c r="W53" s="187"/>
      <c r="X53" s="188"/>
    </row>
    <row r="54" spans="1:24" s="23" customFormat="1" ht="36.75" customHeight="1" x14ac:dyDescent="0.2">
      <c r="A54" s="201" t="s">
        <v>40</v>
      </c>
      <c r="B54" s="202"/>
      <c r="C54" s="202"/>
      <c r="D54" s="202"/>
      <c r="E54" s="202"/>
      <c r="F54" s="203"/>
      <c r="G54" s="24"/>
      <c r="H54" s="25">
        <v>12.84</v>
      </c>
      <c r="I54" s="204">
        <f>V41</f>
        <v>6623.8364699999984</v>
      </c>
      <c r="J54" s="205"/>
      <c r="K54" s="206"/>
      <c r="L54" s="204">
        <f>I54*H54</f>
        <v>85050.06027479998</v>
      </c>
      <c r="M54" s="206"/>
      <c r="N54" s="183">
        <f>L54</f>
        <v>85050.06027479998</v>
      </c>
      <c r="O54" s="184"/>
      <c r="P54" s="184"/>
      <c r="Q54" s="184"/>
      <c r="R54" s="184"/>
      <c r="S54" s="184"/>
      <c r="T54" s="184"/>
      <c r="U54" s="184"/>
      <c r="V54" s="184"/>
      <c r="W54" s="184"/>
      <c r="X54" s="185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/>
    <row r="60" spans="1:24" ht="39" customHeight="1" x14ac:dyDescent="0.2"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</row>
  </sheetData>
  <mergeCells count="92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L46:M46"/>
    <mergeCell ref="H41:J41"/>
    <mergeCell ref="H30:J30"/>
    <mergeCell ref="D47:F47"/>
    <mergeCell ref="I47:J47"/>
    <mergeCell ref="L47:M47"/>
    <mergeCell ref="N47:X47"/>
    <mergeCell ref="D48:F48"/>
    <mergeCell ref="I48:K48"/>
    <mergeCell ref="L48:M48"/>
    <mergeCell ref="N48:X48"/>
    <mergeCell ref="D51:M51"/>
    <mergeCell ref="N51:X51"/>
    <mergeCell ref="D52:M52"/>
    <mergeCell ref="N52:X52"/>
    <mergeCell ref="D49:F49"/>
    <mergeCell ref="I49:K49"/>
    <mergeCell ref="L49:M49"/>
    <mergeCell ref="N49:X49"/>
    <mergeCell ref="D50:F50"/>
    <mergeCell ref="I50:K50"/>
    <mergeCell ref="L50:M50"/>
    <mergeCell ref="N50:X5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7"/>
      <c r="B1" s="278"/>
      <c r="C1" s="278"/>
      <c r="D1" s="279"/>
      <c r="E1" s="260" t="s">
        <v>41</v>
      </c>
      <c r="F1" s="261"/>
      <c r="G1" s="261"/>
      <c r="H1" s="261"/>
      <c r="I1" s="262"/>
      <c r="J1" s="269" t="s">
        <v>42</v>
      </c>
      <c r="K1" s="270"/>
      <c r="L1" s="49"/>
    </row>
    <row r="2" spans="1:12" ht="16.5" customHeight="1" x14ac:dyDescent="0.2">
      <c r="A2" s="280"/>
      <c r="B2" s="281"/>
      <c r="C2" s="281"/>
      <c r="D2" s="282"/>
      <c r="E2" s="263"/>
      <c r="F2" s="264"/>
      <c r="G2" s="264"/>
      <c r="H2" s="264"/>
      <c r="I2" s="265"/>
      <c r="J2" s="271"/>
      <c r="K2" s="272"/>
      <c r="L2" s="49"/>
    </row>
    <row r="3" spans="1:12" ht="48" customHeight="1" x14ac:dyDescent="0.2">
      <c r="A3" s="283"/>
      <c r="B3" s="284"/>
      <c r="C3" s="284"/>
      <c r="D3" s="285"/>
      <c r="E3" s="266"/>
      <c r="F3" s="267"/>
      <c r="G3" s="267"/>
      <c r="H3" s="267"/>
      <c r="I3" s="268"/>
      <c r="J3" s="273"/>
      <c r="K3" s="274"/>
      <c r="L3" s="49"/>
    </row>
    <row r="6" spans="1:12" ht="10.5" customHeight="1" x14ac:dyDescent="0.25"/>
    <row r="7" spans="1:12" ht="16.5" customHeight="1" x14ac:dyDescent="0.2">
      <c r="A7" s="258" t="s">
        <v>43</v>
      </c>
      <c r="B7" s="286" t="s">
        <v>44</v>
      </c>
      <c r="C7" s="287"/>
      <c r="D7" s="275" t="s">
        <v>45</v>
      </c>
      <c r="E7" s="275"/>
      <c r="F7" s="276" t="s">
        <v>46</v>
      </c>
      <c r="G7" s="276"/>
      <c r="H7" s="276"/>
      <c r="I7" s="276"/>
      <c r="J7" s="276"/>
      <c r="K7" s="276"/>
    </row>
    <row r="8" spans="1:12" s="29" customFormat="1" ht="28.5" customHeight="1" x14ac:dyDescent="0.2">
      <c r="A8" s="259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 x14ac:dyDescent="0.3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 x14ac:dyDescent="0.3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 t="shared" ref="E11:E40" si="0">D11-D10</f>
        <v>181</v>
      </c>
      <c r="F11" s="51">
        <v>12160348</v>
      </c>
      <c r="G11" s="50">
        <f t="shared" ref="G11:G40" si="1">F11-F10</f>
        <v>4890</v>
      </c>
      <c r="H11" s="51">
        <v>20772172</v>
      </c>
      <c r="I11" s="50">
        <f t="shared" ref="I11:I40" si="2">H11-H10</f>
        <v>12487</v>
      </c>
      <c r="J11" s="51">
        <v>9092599</v>
      </c>
      <c r="K11" s="50">
        <f t="shared" ref="K11:K40" si="3">J11-J10</f>
        <v>4562</v>
      </c>
    </row>
    <row r="12" spans="1:12" ht="19.5" x14ac:dyDescent="0.3">
      <c r="A12" s="59">
        <v>44777</v>
      </c>
      <c r="B12" s="116">
        <v>2560</v>
      </c>
      <c r="C12" s="115">
        <f t="shared" ref="C12:C30" si="4">B12-B11</f>
        <v>0</v>
      </c>
      <c r="D12" s="57">
        <v>159087</v>
      </c>
      <c r="E12" s="50">
        <f t="shared" si="0"/>
        <v>155</v>
      </c>
      <c r="F12" s="51">
        <v>12166599</v>
      </c>
      <c r="G12" s="50">
        <f t="shared" si="1"/>
        <v>6251</v>
      </c>
      <c r="H12" s="51">
        <v>20784020</v>
      </c>
      <c r="I12" s="50">
        <f t="shared" si="2"/>
        <v>11848</v>
      </c>
      <c r="J12" s="51">
        <v>9097096</v>
      </c>
      <c r="K12" s="50">
        <f t="shared" si="3"/>
        <v>4497</v>
      </c>
    </row>
    <row r="13" spans="1:12" ht="19.5" x14ac:dyDescent="0.3">
      <c r="A13" s="59">
        <v>44778</v>
      </c>
      <c r="B13" s="116">
        <v>2560</v>
      </c>
      <c r="C13" s="115">
        <f t="shared" si="4"/>
        <v>0</v>
      </c>
      <c r="D13" s="57">
        <v>159256</v>
      </c>
      <c r="E13" s="50">
        <f t="shared" si="0"/>
        <v>169</v>
      </c>
      <c r="F13" s="51">
        <v>12171877</v>
      </c>
      <c r="G13" s="50">
        <f t="shared" si="1"/>
        <v>5278</v>
      </c>
      <c r="H13" s="51">
        <v>20795470</v>
      </c>
      <c r="I13" s="50">
        <f t="shared" si="2"/>
        <v>11450</v>
      </c>
      <c r="J13" s="51">
        <v>9102036</v>
      </c>
      <c r="K13" s="50">
        <f t="shared" si="3"/>
        <v>4940</v>
      </c>
    </row>
    <row r="14" spans="1:12" ht="19.5" x14ac:dyDescent="0.3">
      <c r="A14" s="59">
        <v>44779</v>
      </c>
      <c r="B14" s="116">
        <v>2560</v>
      </c>
      <c r="C14" s="115">
        <f t="shared" si="4"/>
        <v>0</v>
      </c>
      <c r="D14" s="57">
        <v>159432</v>
      </c>
      <c r="E14" s="50">
        <f t="shared" si="0"/>
        <v>176</v>
      </c>
      <c r="F14" s="51">
        <v>12176932</v>
      </c>
      <c r="G14" s="50">
        <f t="shared" si="1"/>
        <v>5055</v>
      </c>
      <c r="H14" s="51">
        <v>20807009</v>
      </c>
      <c r="I14" s="50">
        <f t="shared" si="2"/>
        <v>11539</v>
      </c>
      <c r="J14" s="51">
        <v>9106968</v>
      </c>
      <c r="K14" s="50">
        <f t="shared" si="3"/>
        <v>4932</v>
      </c>
    </row>
    <row r="15" spans="1:12" ht="19.5" x14ac:dyDescent="0.3">
      <c r="A15" s="59">
        <v>44780</v>
      </c>
      <c r="B15" s="116">
        <v>2560</v>
      </c>
      <c r="C15" s="115">
        <f t="shared" si="4"/>
        <v>0</v>
      </c>
      <c r="D15" s="57">
        <v>159627.1</v>
      </c>
      <c r="E15" s="50">
        <f t="shared" si="0"/>
        <v>195.10000000000582</v>
      </c>
      <c r="F15" s="51">
        <v>12181499</v>
      </c>
      <c r="G15" s="50">
        <f t="shared" si="1"/>
        <v>4567</v>
      </c>
      <c r="H15" s="51">
        <v>20817516</v>
      </c>
      <c r="I15" s="50">
        <f t="shared" si="2"/>
        <v>10507</v>
      </c>
      <c r="J15" s="51">
        <v>9111406</v>
      </c>
      <c r="K15" s="50">
        <f t="shared" si="3"/>
        <v>4438</v>
      </c>
    </row>
    <row r="16" spans="1:12" ht="19.5" x14ac:dyDescent="0.3">
      <c r="A16" s="59">
        <v>44781</v>
      </c>
      <c r="B16" s="116">
        <v>2560</v>
      </c>
      <c r="C16" s="115">
        <f t="shared" si="4"/>
        <v>0</v>
      </c>
      <c r="D16" s="57">
        <v>159795.20000000001</v>
      </c>
      <c r="E16" s="50">
        <f t="shared" si="0"/>
        <v>168.10000000000582</v>
      </c>
      <c r="F16" s="51">
        <v>12186433</v>
      </c>
      <c r="G16" s="50">
        <f t="shared" si="1"/>
        <v>4934</v>
      </c>
      <c r="H16" s="51">
        <v>20827828</v>
      </c>
      <c r="I16" s="50">
        <f t="shared" si="2"/>
        <v>10312</v>
      </c>
      <c r="J16" s="51">
        <v>9115766</v>
      </c>
      <c r="K16" s="50">
        <f t="shared" si="3"/>
        <v>4360</v>
      </c>
    </row>
    <row r="17" spans="1:29" ht="19.5" x14ac:dyDescent="0.3">
      <c r="A17" s="59">
        <v>44782</v>
      </c>
      <c r="B17" s="116">
        <v>2560</v>
      </c>
      <c r="C17" s="115">
        <f t="shared" si="4"/>
        <v>0</v>
      </c>
      <c r="D17" s="57">
        <v>160015.1</v>
      </c>
      <c r="E17" s="50">
        <f t="shared" si="0"/>
        <v>219.89999999999418</v>
      </c>
      <c r="F17" s="51">
        <v>12191196</v>
      </c>
      <c r="G17" s="50">
        <f t="shared" si="1"/>
        <v>4763</v>
      </c>
      <c r="H17" s="51">
        <v>20838250</v>
      </c>
      <c r="I17" s="50">
        <f t="shared" si="2"/>
        <v>10422</v>
      </c>
      <c r="J17" s="51">
        <v>9120260</v>
      </c>
      <c r="K17" s="50">
        <f t="shared" si="3"/>
        <v>4494</v>
      </c>
    </row>
    <row r="18" spans="1:29" ht="19.5" x14ac:dyDescent="0.3">
      <c r="A18" s="59">
        <v>44783</v>
      </c>
      <c r="B18" s="116">
        <v>2560</v>
      </c>
      <c r="C18" s="115">
        <f t="shared" si="4"/>
        <v>0</v>
      </c>
      <c r="D18" s="57">
        <v>160183.4</v>
      </c>
      <c r="E18" s="50">
        <f t="shared" si="0"/>
        <v>168.29999999998836</v>
      </c>
      <c r="F18" s="51">
        <v>12196798</v>
      </c>
      <c r="G18" s="50">
        <f t="shared" si="1"/>
        <v>5602</v>
      </c>
      <c r="H18" s="51">
        <v>20848484</v>
      </c>
      <c r="I18" s="50">
        <f t="shared" si="2"/>
        <v>10234</v>
      </c>
      <c r="J18" s="51">
        <v>9124769</v>
      </c>
      <c r="K18" s="50">
        <f t="shared" si="3"/>
        <v>4509</v>
      </c>
    </row>
    <row r="19" spans="1:29" ht="19.5" x14ac:dyDescent="0.3">
      <c r="A19" s="59">
        <v>44784</v>
      </c>
      <c r="B19" s="116">
        <v>2560</v>
      </c>
      <c r="C19" s="115">
        <f t="shared" si="4"/>
        <v>0</v>
      </c>
      <c r="D19" s="57">
        <v>160386.1</v>
      </c>
      <c r="E19" s="50">
        <f t="shared" si="0"/>
        <v>202.70000000001164</v>
      </c>
      <c r="F19" s="51">
        <v>12202500</v>
      </c>
      <c r="G19" s="50">
        <f t="shared" si="1"/>
        <v>5702</v>
      </c>
      <c r="H19" s="51">
        <v>20858740</v>
      </c>
      <c r="I19" s="50">
        <f t="shared" si="2"/>
        <v>10256</v>
      </c>
      <c r="J19" s="51">
        <v>9129073</v>
      </c>
      <c r="K19" s="50">
        <f t="shared" si="3"/>
        <v>4304</v>
      </c>
    </row>
    <row r="20" spans="1:29" ht="25.5" x14ac:dyDescent="0.35">
      <c r="A20" s="59">
        <v>44785</v>
      </c>
      <c r="B20" s="116">
        <v>2560</v>
      </c>
      <c r="C20" s="115">
        <f t="shared" si="4"/>
        <v>0</v>
      </c>
      <c r="D20" s="57">
        <v>160583</v>
      </c>
      <c r="E20" s="50">
        <f t="shared" si="0"/>
        <v>196.89999999999418</v>
      </c>
      <c r="F20" s="51">
        <v>12208263</v>
      </c>
      <c r="G20" s="50">
        <f t="shared" si="1"/>
        <v>5763</v>
      </c>
      <c r="H20" s="51">
        <v>20868619</v>
      </c>
      <c r="I20" s="50">
        <f t="shared" si="2"/>
        <v>9879</v>
      </c>
      <c r="J20" s="51">
        <v>9133451</v>
      </c>
      <c r="K20" s="50">
        <f t="shared" si="3"/>
        <v>4378</v>
      </c>
      <c r="L20" s="117" t="s">
        <v>18</v>
      </c>
      <c r="AC20" t="s">
        <v>56</v>
      </c>
    </row>
    <row r="21" spans="1:29" ht="19.5" x14ac:dyDescent="0.3">
      <c r="A21" s="59">
        <v>44786</v>
      </c>
      <c r="B21" s="116">
        <v>2560</v>
      </c>
      <c r="C21" s="115">
        <f t="shared" si="4"/>
        <v>0</v>
      </c>
      <c r="D21" s="57">
        <v>160743.4</v>
      </c>
      <c r="E21" s="50">
        <f t="shared" si="0"/>
        <v>160.39999999999418</v>
      </c>
      <c r="F21" s="51">
        <v>12214990</v>
      </c>
      <c r="G21" s="50">
        <f t="shared" si="1"/>
        <v>6727</v>
      </c>
      <c r="H21" s="51">
        <v>20879177</v>
      </c>
      <c r="I21" s="50">
        <f t="shared" si="2"/>
        <v>10558</v>
      </c>
      <c r="J21" s="51">
        <v>9138111</v>
      </c>
      <c r="K21" s="50">
        <f t="shared" si="3"/>
        <v>4660</v>
      </c>
    </row>
    <row r="22" spans="1:29" ht="19.5" x14ac:dyDescent="0.3">
      <c r="A22" s="59">
        <v>44787</v>
      </c>
      <c r="B22" s="116">
        <v>2560</v>
      </c>
      <c r="C22" s="115">
        <f t="shared" si="4"/>
        <v>0</v>
      </c>
      <c r="D22" s="57">
        <v>160942.29999999999</v>
      </c>
      <c r="E22" s="50">
        <f t="shared" si="0"/>
        <v>198.89999999999418</v>
      </c>
      <c r="F22" s="51">
        <v>12221208</v>
      </c>
      <c r="G22" s="50">
        <f t="shared" si="1"/>
        <v>6218</v>
      </c>
      <c r="H22" s="51">
        <v>20889418</v>
      </c>
      <c r="I22" s="50">
        <f t="shared" si="2"/>
        <v>10241</v>
      </c>
      <c r="J22" s="51">
        <v>9142490</v>
      </c>
      <c r="K22" s="50">
        <f t="shared" si="3"/>
        <v>4379</v>
      </c>
    </row>
    <row r="23" spans="1:29" ht="19.5" x14ac:dyDescent="0.3">
      <c r="A23" s="59">
        <v>44788</v>
      </c>
      <c r="B23" s="116">
        <v>2560</v>
      </c>
      <c r="C23" s="115">
        <f t="shared" si="4"/>
        <v>0</v>
      </c>
      <c r="D23" s="57">
        <v>161095.20000000001</v>
      </c>
      <c r="E23" s="50">
        <f t="shared" si="0"/>
        <v>152.90000000002328</v>
      </c>
      <c r="F23" s="51">
        <v>12226766</v>
      </c>
      <c r="G23" s="50">
        <f t="shared" si="1"/>
        <v>5558</v>
      </c>
      <c r="H23" s="51">
        <v>20899869</v>
      </c>
      <c r="I23" s="50">
        <f t="shared" si="2"/>
        <v>10451</v>
      </c>
      <c r="J23" s="51">
        <v>9146711</v>
      </c>
      <c r="K23" s="50">
        <f t="shared" si="3"/>
        <v>4221</v>
      </c>
    </row>
    <row r="24" spans="1:29" ht="19.5" x14ac:dyDescent="0.3">
      <c r="A24" s="59">
        <v>44789</v>
      </c>
      <c r="B24" s="116">
        <v>2560</v>
      </c>
      <c r="C24" s="115">
        <f t="shared" si="4"/>
        <v>0</v>
      </c>
      <c r="D24" s="57">
        <v>161260.9</v>
      </c>
      <c r="E24" s="50">
        <f t="shared" si="0"/>
        <v>165.69999999998254</v>
      </c>
      <c r="F24" s="51">
        <v>12232471</v>
      </c>
      <c r="G24" s="50">
        <f t="shared" si="1"/>
        <v>5705</v>
      </c>
      <c r="H24" s="51">
        <v>20909961</v>
      </c>
      <c r="I24" s="50">
        <f t="shared" si="2"/>
        <v>10092</v>
      </c>
      <c r="J24" s="51">
        <v>9151133</v>
      </c>
      <c r="K24" s="50">
        <f t="shared" si="3"/>
        <v>4422</v>
      </c>
    </row>
    <row r="25" spans="1:29" ht="19.5" x14ac:dyDescent="0.3">
      <c r="A25" s="59">
        <v>44790</v>
      </c>
      <c r="B25" s="116">
        <v>2560</v>
      </c>
      <c r="C25" s="115">
        <f t="shared" si="4"/>
        <v>0</v>
      </c>
      <c r="D25" s="57">
        <v>161421.29999999999</v>
      </c>
      <c r="E25" s="50">
        <f t="shared" si="0"/>
        <v>160.39999999999418</v>
      </c>
      <c r="F25" s="51">
        <v>12237864</v>
      </c>
      <c r="G25" s="50">
        <f t="shared" si="1"/>
        <v>5393</v>
      </c>
      <c r="H25" s="51">
        <v>20920243</v>
      </c>
      <c r="I25" s="50">
        <f t="shared" si="2"/>
        <v>10282</v>
      </c>
      <c r="J25" s="51">
        <v>9155509</v>
      </c>
      <c r="K25" s="50">
        <f t="shared" si="3"/>
        <v>4376</v>
      </c>
    </row>
    <row r="26" spans="1:29" ht="19.5" x14ac:dyDescent="0.3">
      <c r="A26" s="59">
        <v>44791</v>
      </c>
      <c r="B26" s="116">
        <v>2560</v>
      </c>
      <c r="C26" s="115">
        <f t="shared" si="4"/>
        <v>0</v>
      </c>
      <c r="D26" s="57">
        <v>161587.9</v>
      </c>
      <c r="E26" s="50">
        <f t="shared" si="0"/>
        <v>166.60000000000582</v>
      </c>
      <c r="F26" s="51">
        <v>12242456</v>
      </c>
      <c r="G26" s="50">
        <f t="shared" si="1"/>
        <v>4592</v>
      </c>
      <c r="H26" s="51">
        <v>20930579</v>
      </c>
      <c r="I26" s="50">
        <f t="shared" si="2"/>
        <v>10336</v>
      </c>
      <c r="J26" s="51">
        <v>9159421</v>
      </c>
      <c r="K26" s="50">
        <f t="shared" si="3"/>
        <v>3912</v>
      </c>
    </row>
    <row r="27" spans="1:29" ht="19.5" x14ac:dyDescent="0.3">
      <c r="A27" s="59">
        <v>44792</v>
      </c>
      <c r="B27" s="116">
        <v>2560</v>
      </c>
      <c r="C27" s="115">
        <f t="shared" si="4"/>
        <v>0</v>
      </c>
      <c r="D27" s="57">
        <v>161739.70000000001</v>
      </c>
      <c r="E27" s="50">
        <f t="shared" si="0"/>
        <v>151.80000000001746</v>
      </c>
      <c r="F27" s="51">
        <v>12247451</v>
      </c>
      <c r="G27" s="50">
        <f t="shared" si="1"/>
        <v>4995</v>
      </c>
      <c r="H27" s="51">
        <v>20939360</v>
      </c>
      <c r="I27" s="50">
        <f t="shared" si="2"/>
        <v>8781</v>
      </c>
      <c r="J27" s="51">
        <v>9163313</v>
      </c>
      <c r="K27" s="50">
        <f t="shared" si="3"/>
        <v>3892</v>
      </c>
    </row>
    <row r="28" spans="1:29" ht="19.5" x14ac:dyDescent="0.3">
      <c r="A28" s="59">
        <v>44793</v>
      </c>
      <c r="B28" s="116">
        <v>2560</v>
      </c>
      <c r="C28" s="115">
        <f t="shared" si="4"/>
        <v>0</v>
      </c>
      <c r="D28" s="57">
        <v>161903.70000000001</v>
      </c>
      <c r="E28" s="50">
        <f t="shared" si="0"/>
        <v>164</v>
      </c>
      <c r="F28" s="51">
        <v>12252704</v>
      </c>
      <c r="G28" s="50">
        <f t="shared" si="1"/>
        <v>5253</v>
      </c>
      <c r="H28" s="51">
        <v>20948799</v>
      </c>
      <c r="I28" s="50">
        <f t="shared" si="2"/>
        <v>9439</v>
      </c>
      <c r="J28" s="51">
        <v>9167462</v>
      </c>
      <c r="K28" s="50">
        <f t="shared" si="3"/>
        <v>4149</v>
      </c>
    </row>
    <row r="29" spans="1:29" ht="19.5" x14ac:dyDescent="0.3">
      <c r="A29" s="59">
        <v>44794</v>
      </c>
      <c r="B29" s="116">
        <v>2560</v>
      </c>
      <c r="C29" s="115">
        <f t="shared" si="4"/>
        <v>0</v>
      </c>
      <c r="D29" s="57">
        <v>162092</v>
      </c>
      <c r="E29" s="50">
        <f t="shared" si="0"/>
        <v>188.29999999998836</v>
      </c>
      <c r="F29" s="51">
        <v>12259991</v>
      </c>
      <c r="G29" s="50">
        <f t="shared" si="1"/>
        <v>7287</v>
      </c>
      <c r="H29" s="51">
        <v>20960792</v>
      </c>
      <c r="I29" s="50">
        <f t="shared" si="2"/>
        <v>11993</v>
      </c>
      <c r="J29" s="51">
        <v>9172842</v>
      </c>
      <c r="K29" s="50">
        <f t="shared" si="3"/>
        <v>5380</v>
      </c>
    </row>
    <row r="30" spans="1:29" ht="19.5" x14ac:dyDescent="0.3">
      <c r="A30" s="59">
        <v>44795</v>
      </c>
      <c r="B30" s="116">
        <v>2560</v>
      </c>
      <c r="C30" s="115">
        <f t="shared" si="4"/>
        <v>0</v>
      </c>
      <c r="D30" s="57">
        <v>162264.20000000001</v>
      </c>
      <c r="E30" s="50">
        <f t="shared" si="0"/>
        <v>172.20000000001164</v>
      </c>
      <c r="F30" s="51">
        <v>12267185</v>
      </c>
      <c r="G30" s="50">
        <f t="shared" si="1"/>
        <v>7194</v>
      </c>
      <c r="H30" s="51">
        <v>20971508</v>
      </c>
      <c r="I30" s="50">
        <f t="shared" si="2"/>
        <v>10716</v>
      </c>
      <c r="J30" s="51">
        <v>9177596</v>
      </c>
      <c r="K30" s="50">
        <f t="shared" si="3"/>
        <v>4754</v>
      </c>
    </row>
    <row r="31" spans="1:29" ht="19.5" x14ac:dyDescent="0.3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0"/>
        <v>160.5</v>
      </c>
      <c r="F31" s="51">
        <v>12272744</v>
      </c>
      <c r="G31" s="50">
        <f t="shared" si="1"/>
        <v>5559</v>
      </c>
      <c r="H31" s="51">
        <v>20982257</v>
      </c>
      <c r="I31" s="50">
        <f t="shared" si="2"/>
        <v>10749</v>
      </c>
      <c r="J31" s="51">
        <v>9182128</v>
      </c>
      <c r="K31" s="50">
        <f t="shared" si="3"/>
        <v>4532</v>
      </c>
    </row>
    <row r="32" spans="1:29" ht="19.5" x14ac:dyDescent="0.3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0"/>
        <v>152.79999999998836</v>
      </c>
      <c r="F32" s="51">
        <v>12278327</v>
      </c>
      <c r="G32" s="50">
        <f t="shared" si="1"/>
        <v>5583</v>
      </c>
      <c r="H32" s="51">
        <v>20993019</v>
      </c>
      <c r="I32" s="50">
        <f t="shared" si="2"/>
        <v>10762</v>
      </c>
      <c r="J32" s="51">
        <v>9186837</v>
      </c>
      <c r="K32" s="50">
        <f t="shared" si="3"/>
        <v>4709</v>
      </c>
    </row>
    <row r="33" spans="1:11" ht="19.5" x14ac:dyDescent="0.3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0"/>
        <v>134.5</v>
      </c>
      <c r="F33" s="51">
        <v>12283700</v>
      </c>
      <c r="G33" s="50">
        <f t="shared" si="1"/>
        <v>5373</v>
      </c>
      <c r="H33" s="51">
        <v>21003308</v>
      </c>
      <c r="I33" s="50">
        <f t="shared" si="2"/>
        <v>10289</v>
      </c>
      <c r="J33" s="51">
        <v>9191542</v>
      </c>
      <c r="K33" s="50">
        <f t="shared" si="3"/>
        <v>4705</v>
      </c>
    </row>
    <row r="34" spans="1:11" ht="19.5" x14ac:dyDescent="0.3">
      <c r="A34" s="59">
        <v>44799</v>
      </c>
      <c r="B34" s="116">
        <v>2560</v>
      </c>
      <c r="C34" s="115">
        <f>B34-B33</f>
        <v>0</v>
      </c>
      <c r="D34" s="57">
        <v>162902</v>
      </c>
      <c r="E34" s="50">
        <f t="shared" si="0"/>
        <v>190</v>
      </c>
      <c r="F34" s="51">
        <v>12289555</v>
      </c>
      <c r="G34" s="50">
        <f t="shared" si="1"/>
        <v>5855</v>
      </c>
      <c r="H34" s="51">
        <v>21012913</v>
      </c>
      <c r="I34" s="50">
        <f t="shared" si="2"/>
        <v>9605</v>
      </c>
      <c r="J34" s="51">
        <v>9195338</v>
      </c>
      <c r="K34" s="50">
        <f t="shared" si="3"/>
        <v>3796</v>
      </c>
    </row>
    <row r="35" spans="1:11" ht="19.5" x14ac:dyDescent="0.3">
      <c r="A35" s="59">
        <v>44800</v>
      </c>
      <c r="B35" s="116">
        <v>2560</v>
      </c>
      <c r="C35" s="115">
        <f t="shared" ref="C35:C40" si="5">B35-B34</f>
        <v>0</v>
      </c>
      <c r="D35" s="57">
        <v>163053</v>
      </c>
      <c r="E35" s="50">
        <f t="shared" si="0"/>
        <v>151</v>
      </c>
      <c r="F35" s="51">
        <v>12294187</v>
      </c>
      <c r="G35" s="50">
        <f t="shared" si="1"/>
        <v>4632</v>
      </c>
      <c r="H35" s="51">
        <v>21022678</v>
      </c>
      <c r="I35" s="50">
        <f t="shared" si="2"/>
        <v>9765</v>
      </c>
      <c r="J35" s="51">
        <v>9199226</v>
      </c>
      <c r="K35" s="50">
        <f t="shared" si="3"/>
        <v>3888</v>
      </c>
    </row>
    <row r="36" spans="1:11" ht="19.5" x14ac:dyDescent="0.3">
      <c r="A36" s="59">
        <v>44801</v>
      </c>
      <c r="B36" s="116">
        <v>2560</v>
      </c>
      <c r="C36" s="115">
        <f t="shared" si="5"/>
        <v>0</v>
      </c>
      <c r="D36" s="57">
        <v>163211</v>
      </c>
      <c r="E36" s="50">
        <f t="shared" si="0"/>
        <v>158</v>
      </c>
      <c r="F36" s="51">
        <v>12298930</v>
      </c>
      <c r="G36" s="50">
        <f t="shared" si="1"/>
        <v>4743</v>
      </c>
      <c r="H36" s="51">
        <v>21031425</v>
      </c>
      <c r="I36" s="50">
        <f t="shared" si="2"/>
        <v>8747</v>
      </c>
      <c r="J36" s="51">
        <v>9202867</v>
      </c>
      <c r="K36" s="50">
        <f t="shared" si="3"/>
        <v>3641</v>
      </c>
    </row>
    <row r="37" spans="1:11" ht="19.5" x14ac:dyDescent="0.3">
      <c r="A37" s="59">
        <v>44802</v>
      </c>
      <c r="B37" s="116">
        <v>2560</v>
      </c>
      <c r="C37" s="115">
        <f t="shared" si="5"/>
        <v>0</v>
      </c>
      <c r="D37" s="57">
        <v>163362</v>
      </c>
      <c r="E37" s="50">
        <f t="shared" si="0"/>
        <v>151</v>
      </c>
      <c r="F37" s="51">
        <v>12303447</v>
      </c>
      <c r="G37" s="50">
        <f t="shared" si="1"/>
        <v>4517</v>
      </c>
      <c r="H37" s="51">
        <v>21040257</v>
      </c>
      <c r="I37" s="50">
        <f t="shared" si="2"/>
        <v>8832</v>
      </c>
      <c r="J37" s="51">
        <v>9206422</v>
      </c>
      <c r="K37" s="50">
        <f t="shared" si="3"/>
        <v>3555</v>
      </c>
    </row>
    <row r="38" spans="1:11" ht="19.5" x14ac:dyDescent="0.3">
      <c r="A38" s="59">
        <v>44803</v>
      </c>
      <c r="B38" s="116">
        <v>2560</v>
      </c>
      <c r="C38" s="115">
        <f t="shared" si="5"/>
        <v>0</v>
      </c>
      <c r="D38" s="57">
        <v>163519</v>
      </c>
      <c r="E38" s="50">
        <f t="shared" si="0"/>
        <v>157</v>
      </c>
      <c r="F38" s="51">
        <v>12308470</v>
      </c>
      <c r="G38" s="50">
        <f t="shared" si="1"/>
        <v>5023</v>
      </c>
      <c r="H38" s="51">
        <v>21050706</v>
      </c>
      <c r="I38" s="50">
        <f t="shared" si="2"/>
        <v>10449</v>
      </c>
      <c r="J38" s="51">
        <v>9210773</v>
      </c>
      <c r="K38" s="50">
        <f t="shared" si="3"/>
        <v>4351</v>
      </c>
    </row>
    <row r="39" spans="1:11" ht="19.5" x14ac:dyDescent="0.3">
      <c r="A39" s="59">
        <v>44804</v>
      </c>
      <c r="B39" s="116">
        <v>2560</v>
      </c>
      <c r="C39" s="115">
        <f t="shared" si="5"/>
        <v>0</v>
      </c>
      <c r="D39" s="57">
        <v>163654.9</v>
      </c>
      <c r="E39" s="50">
        <f t="shared" si="0"/>
        <v>135.89999999999418</v>
      </c>
      <c r="F39" s="51">
        <v>12312661</v>
      </c>
      <c r="G39" s="50">
        <f t="shared" si="1"/>
        <v>4191</v>
      </c>
      <c r="H39" s="51">
        <v>21060910</v>
      </c>
      <c r="I39" s="50">
        <f t="shared" si="2"/>
        <v>10204</v>
      </c>
      <c r="J39" s="51">
        <v>9214823</v>
      </c>
      <c r="K39" s="50">
        <f t="shared" si="3"/>
        <v>4050</v>
      </c>
    </row>
    <row r="40" spans="1:11" ht="19.5" x14ac:dyDescent="0.3">
      <c r="A40" s="59">
        <v>44805</v>
      </c>
      <c r="B40" s="116">
        <v>2560</v>
      </c>
      <c r="C40" s="115">
        <f t="shared" si="5"/>
        <v>0</v>
      </c>
      <c r="D40" s="57">
        <v>163792.4</v>
      </c>
      <c r="E40" s="50">
        <f t="shared" si="0"/>
        <v>137.5</v>
      </c>
      <c r="F40" s="51">
        <v>12318161</v>
      </c>
      <c r="G40" s="50">
        <f t="shared" si="1"/>
        <v>5500</v>
      </c>
      <c r="H40" s="51">
        <v>21070927</v>
      </c>
      <c r="I40" s="50">
        <f t="shared" si="2"/>
        <v>10017</v>
      </c>
      <c r="J40" s="51">
        <v>9218960</v>
      </c>
      <c r="K40" s="50">
        <f t="shared" si="3"/>
        <v>4137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1" t="s">
        <v>57</v>
      </c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</row>
    <row r="2" spans="1:31" ht="41.25" customHeight="1" thickBot="1" x14ac:dyDescent="0.4">
      <c r="Q2" s="296">
        <v>803</v>
      </c>
      <c r="R2" s="297"/>
      <c r="S2" s="298"/>
      <c r="T2" s="299">
        <v>519</v>
      </c>
      <c r="U2" s="297"/>
      <c r="V2" s="298"/>
      <c r="W2" s="299">
        <v>800</v>
      </c>
      <c r="X2" s="297"/>
      <c r="Y2" s="298"/>
      <c r="Z2" s="299">
        <v>802</v>
      </c>
      <c r="AA2" s="297"/>
      <c r="AB2" s="300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8">
        <f t="shared" ref="M4:M7" si="3">6049*4</f>
        <v>24196</v>
      </c>
      <c r="N4" s="39">
        <f>L4*M4/100</f>
        <v>302.45</v>
      </c>
      <c r="O4" s="160">
        <f>N4*0.529</f>
        <v>159.99605</v>
      </c>
      <c r="P4" s="42">
        <f>O4*12.84</f>
        <v>2054.3492820000001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44775</v>
      </c>
      <c r="B5" s="41">
        <v>70</v>
      </c>
      <c r="C5" s="39">
        <f t="shared" ref="C5:C35" si="7">IF(AC5&gt;0,((B5-R5)+(S5-B6)),IF(B6=0, ,(B5-B6)))</f>
        <v>0</v>
      </c>
      <c r="D5" s="41">
        <v>70</v>
      </c>
      <c r="E5" s="39">
        <f t="shared" ref="E5:E35" si="8">IF(AC5&gt;0,((D5-U5)+(V5-D6)),IF(D6=0, ,(D5-D6)))</f>
        <v>2</v>
      </c>
      <c r="F5" s="41">
        <v>71</v>
      </c>
      <c r="G5" s="39">
        <f t="shared" ref="G5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8">
        <f t="shared" si="3"/>
        <v>24196</v>
      </c>
      <c r="N5" s="39">
        <f>L5*M5/100</f>
        <v>241.96</v>
      </c>
      <c r="O5" s="160">
        <f t="shared" ref="O5:O34" si="10">N5*0.529</f>
        <v>127.99684000000001</v>
      </c>
      <c r="P5" s="42">
        <f t="shared" ref="P5:P34" si="11">O5*12.84</f>
        <v>1643.4794256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2">IF(AC6&gt;0,((H6-AA6)+(AB6-H7)),IF(H7=0, ,(H6-H7)))</f>
        <v>0</v>
      </c>
      <c r="J6" s="39">
        <f t="shared" ref="J6:J42" si="13">B6+D6+F6+H6</f>
        <v>277</v>
      </c>
      <c r="K6" s="39">
        <f t="shared" ref="K6:K42" si="14">J6/4</f>
        <v>69.25</v>
      </c>
      <c r="L6" s="39">
        <f t="shared" ref="L6:L19" si="15">IF(AC6&gt;0,((K6-AD6)+(AE6-K7)),IF(K7=0, ,(K6-K7)))</f>
        <v>1</v>
      </c>
      <c r="M6" s="148">
        <f t="shared" si="3"/>
        <v>24196</v>
      </c>
      <c r="N6" s="39">
        <f t="shared" ref="N6:N42" si="16">L6*M6/100</f>
        <v>241.96</v>
      </c>
      <c r="O6" s="160">
        <f t="shared" si="10"/>
        <v>127.99684000000001</v>
      </c>
      <c r="P6" s="42">
        <f t="shared" si="11"/>
        <v>1643.4794256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2"/>
        <v>1</v>
      </c>
      <c r="J7" s="39">
        <f t="shared" si="13"/>
        <v>273</v>
      </c>
      <c r="K7" s="39">
        <f t="shared" si="14"/>
        <v>68.25</v>
      </c>
      <c r="L7" s="39">
        <f t="shared" si="15"/>
        <v>1.75</v>
      </c>
      <c r="M7" s="148">
        <f t="shared" si="3"/>
        <v>24196</v>
      </c>
      <c r="N7" s="39">
        <f t="shared" si="16"/>
        <v>423.43</v>
      </c>
      <c r="O7" s="160">
        <f t="shared" si="10"/>
        <v>223.99447000000001</v>
      </c>
      <c r="P7" s="42">
        <f t="shared" si="11"/>
        <v>2876.0889947999999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2"/>
        <v>2</v>
      </c>
      <c r="J8" s="39">
        <f t="shared" si="13"/>
        <v>266</v>
      </c>
      <c r="K8" s="39">
        <f t="shared" si="14"/>
        <v>66.5</v>
      </c>
      <c r="L8" s="39">
        <f t="shared" si="15"/>
        <v>2.25</v>
      </c>
      <c r="M8" s="148">
        <f>6049*4</f>
        <v>24196</v>
      </c>
      <c r="N8" s="39">
        <f t="shared" si="16"/>
        <v>544.41</v>
      </c>
      <c r="O8" s="160">
        <f t="shared" si="10"/>
        <v>287.99288999999999</v>
      </c>
      <c r="P8" s="42">
        <f t="shared" si="11"/>
        <v>3697.8287075999997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2"/>
        <v>1</v>
      </c>
      <c r="J9" s="39">
        <f t="shared" si="13"/>
        <v>257</v>
      </c>
      <c r="K9" s="39">
        <f t="shared" si="14"/>
        <v>64.25</v>
      </c>
      <c r="L9" s="39">
        <f t="shared" si="15"/>
        <v>1.25</v>
      </c>
      <c r="M9" s="148">
        <f t="shared" ref="M9:M42" si="17">6049*4</f>
        <v>24196</v>
      </c>
      <c r="N9" s="39">
        <f t="shared" si="16"/>
        <v>302.45</v>
      </c>
      <c r="O9" s="160">
        <f t="shared" si="10"/>
        <v>159.99605</v>
      </c>
      <c r="P9" s="42">
        <f t="shared" si="11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2"/>
        <v>4</v>
      </c>
      <c r="J10" s="39">
        <f t="shared" si="13"/>
        <v>252</v>
      </c>
      <c r="K10" s="39">
        <f t="shared" si="14"/>
        <v>63</v>
      </c>
      <c r="L10" s="39">
        <f t="shared" si="15"/>
        <v>2.25</v>
      </c>
      <c r="M10" s="148">
        <f t="shared" si="17"/>
        <v>24196</v>
      </c>
      <c r="N10" s="39">
        <f t="shared" si="16"/>
        <v>544.41</v>
      </c>
      <c r="O10" s="160">
        <f t="shared" si="10"/>
        <v>287.99288999999999</v>
      </c>
      <c r="P10" s="42">
        <f t="shared" si="11"/>
        <v>3697.8287075999997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2"/>
        <v>1</v>
      </c>
      <c r="J11" s="39">
        <f t="shared" si="13"/>
        <v>243</v>
      </c>
      <c r="K11" s="39">
        <f t="shared" si="14"/>
        <v>60.75</v>
      </c>
      <c r="L11" s="39">
        <f t="shared" si="15"/>
        <v>1</v>
      </c>
      <c r="M11" s="148">
        <f t="shared" si="17"/>
        <v>24196</v>
      </c>
      <c r="N11" s="39">
        <f t="shared" si="16"/>
        <v>241.96</v>
      </c>
      <c r="O11" s="160">
        <f t="shared" si="10"/>
        <v>127.99684000000001</v>
      </c>
      <c r="P11" s="42">
        <f t="shared" si="11"/>
        <v>1643.4794256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2"/>
        <v>0</v>
      </c>
      <c r="J12" s="39">
        <f t="shared" si="13"/>
        <v>239</v>
      </c>
      <c r="K12" s="39">
        <f t="shared" si="14"/>
        <v>59.75</v>
      </c>
      <c r="L12" s="39">
        <f t="shared" si="15"/>
        <v>1.5</v>
      </c>
      <c r="M12" s="148">
        <f t="shared" si="17"/>
        <v>24196</v>
      </c>
      <c r="N12" s="39">
        <f t="shared" si="16"/>
        <v>362.94</v>
      </c>
      <c r="O12" s="160">
        <f t="shared" si="10"/>
        <v>191.99526</v>
      </c>
      <c r="P12" s="42">
        <f t="shared" si="11"/>
        <v>2465.2191383999998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2"/>
        <v>0</v>
      </c>
      <c r="J13" s="39">
        <f t="shared" si="13"/>
        <v>233</v>
      </c>
      <c r="K13" s="39">
        <f t="shared" si="14"/>
        <v>58.25</v>
      </c>
      <c r="L13" s="39">
        <f t="shared" si="15"/>
        <v>0.75</v>
      </c>
      <c r="M13" s="148">
        <f t="shared" si="17"/>
        <v>24196</v>
      </c>
      <c r="N13" s="39">
        <f t="shared" si="16"/>
        <v>181.47</v>
      </c>
      <c r="O13" s="160">
        <f t="shared" si="10"/>
        <v>95.997630000000001</v>
      </c>
      <c r="P13" s="42">
        <f t="shared" si="11"/>
        <v>1232.6095691999999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 x14ac:dyDescent="0.3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3"/>
        <v>340</v>
      </c>
      <c r="K14" s="39">
        <f t="shared" si="14"/>
        <v>85</v>
      </c>
      <c r="L14" s="39">
        <f t="shared" si="15"/>
        <v>1.25</v>
      </c>
      <c r="M14" s="148">
        <f t="shared" si="17"/>
        <v>24196</v>
      </c>
      <c r="N14" s="39">
        <f t="shared" si="16"/>
        <v>302.45</v>
      </c>
      <c r="O14" s="160">
        <f t="shared" si="10"/>
        <v>159.99605</v>
      </c>
      <c r="P14" s="42">
        <f t="shared" si="11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3"/>
        <v>335</v>
      </c>
      <c r="K15" s="39">
        <f t="shared" si="14"/>
        <v>83.75</v>
      </c>
      <c r="L15" s="39">
        <f t="shared" si="15"/>
        <v>2.75</v>
      </c>
      <c r="M15" s="148">
        <f t="shared" si="17"/>
        <v>24196</v>
      </c>
      <c r="N15" s="39">
        <f t="shared" si="16"/>
        <v>665.39</v>
      </c>
      <c r="O15" s="160">
        <f t="shared" si="10"/>
        <v>351.99131</v>
      </c>
      <c r="P15" s="42">
        <f t="shared" si="11"/>
        <v>4519.5684203999999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2"/>
        <v>1</v>
      </c>
      <c r="J16" s="39">
        <f t="shared" si="13"/>
        <v>324</v>
      </c>
      <c r="K16" s="39">
        <f t="shared" si="14"/>
        <v>81</v>
      </c>
      <c r="L16" s="39">
        <f t="shared" si="15"/>
        <v>0.75</v>
      </c>
      <c r="M16" s="148">
        <f t="shared" si="17"/>
        <v>24196</v>
      </c>
      <c r="N16" s="39">
        <f t="shared" si="16"/>
        <v>181.47</v>
      </c>
      <c r="O16" s="160">
        <f t="shared" si="10"/>
        <v>95.997630000000001</v>
      </c>
      <c r="P16" s="42">
        <f t="shared" si="11"/>
        <v>1232.6095691999999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2"/>
        <v>1</v>
      </c>
      <c r="J17" s="39">
        <f t="shared" si="13"/>
        <v>321</v>
      </c>
      <c r="K17" s="39">
        <f t="shared" si="14"/>
        <v>80.25</v>
      </c>
      <c r="L17" s="39">
        <f t="shared" si="15"/>
        <v>0.5</v>
      </c>
      <c r="M17" s="148">
        <f t="shared" si="17"/>
        <v>24196</v>
      </c>
      <c r="N17" s="39">
        <f t="shared" si="16"/>
        <v>120.98</v>
      </c>
      <c r="O17" s="160">
        <f t="shared" si="10"/>
        <v>63.998420000000003</v>
      </c>
      <c r="P17" s="42">
        <f t="shared" si="11"/>
        <v>821.73971280000001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2"/>
        <v>2</v>
      </c>
      <c r="J18" s="39">
        <f t="shared" si="13"/>
        <v>319</v>
      </c>
      <c r="K18" s="39">
        <f t="shared" si="14"/>
        <v>79.75</v>
      </c>
      <c r="L18" s="39">
        <f t="shared" si="15"/>
        <v>1.25</v>
      </c>
      <c r="M18" s="148">
        <f t="shared" si="17"/>
        <v>24196</v>
      </c>
      <c r="N18" s="39">
        <f t="shared" si="16"/>
        <v>302.45</v>
      </c>
      <c r="O18" s="160">
        <f t="shared" si="10"/>
        <v>159.99605</v>
      </c>
      <c r="P18" s="42">
        <f t="shared" si="11"/>
        <v>2054.3492820000001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2"/>
        <v>2</v>
      </c>
      <c r="J19" s="39">
        <f t="shared" si="13"/>
        <v>314</v>
      </c>
      <c r="K19" s="39">
        <f t="shared" si="14"/>
        <v>78.5</v>
      </c>
      <c r="L19" s="39">
        <f t="shared" si="15"/>
        <v>3</v>
      </c>
      <c r="M19" s="148">
        <f t="shared" si="17"/>
        <v>24196</v>
      </c>
      <c r="N19" s="39">
        <f t="shared" si="16"/>
        <v>725.88</v>
      </c>
      <c r="O19" s="160">
        <f t="shared" si="10"/>
        <v>383.99052</v>
      </c>
      <c r="P19" s="42">
        <f t="shared" si="11"/>
        <v>4930.4382767999996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2"/>
        <v>0</v>
      </c>
      <c r="J20" s="39">
        <f t="shared" si="13"/>
        <v>302</v>
      </c>
      <c r="K20" s="39">
        <f t="shared" si="14"/>
        <v>75.5</v>
      </c>
      <c r="L20" s="39">
        <f t="shared" ref="L20:L42" si="18">IF(AC20&gt;0,((K20-AD20)+(AE20-K21)),IF(K21=0, ,(K20-K21)))</f>
        <v>0.75</v>
      </c>
      <c r="M20" s="148">
        <f t="shared" si="17"/>
        <v>24196</v>
      </c>
      <c r="N20" s="39">
        <f t="shared" si="16"/>
        <v>181.47</v>
      </c>
      <c r="O20" s="160">
        <f t="shared" si="10"/>
        <v>95.997630000000001</v>
      </c>
      <c r="P20" s="42">
        <f t="shared" si="11"/>
        <v>1232.6095691999999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2"/>
        <v>2</v>
      </c>
      <c r="J21" s="39">
        <f t="shared" si="13"/>
        <v>299</v>
      </c>
      <c r="K21" s="39">
        <f t="shared" si="14"/>
        <v>74.75</v>
      </c>
      <c r="L21" s="39">
        <f>IF(AC21&gt;0,((K21-AD21)+(AE21-K22)),IF(K22=0, ,(K21-K22)))</f>
        <v>2.25</v>
      </c>
      <c r="M21" s="148">
        <f t="shared" si="17"/>
        <v>24196</v>
      </c>
      <c r="N21" s="39">
        <f t="shared" si="16"/>
        <v>544.41</v>
      </c>
      <c r="O21" s="160">
        <f t="shared" si="10"/>
        <v>287.99288999999999</v>
      </c>
      <c r="P21" s="42">
        <f t="shared" si="11"/>
        <v>3697.8287075999997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2"/>
        <v>4</v>
      </c>
      <c r="J22" s="39">
        <f t="shared" si="13"/>
        <v>290</v>
      </c>
      <c r="K22" s="39">
        <f t="shared" si="14"/>
        <v>72.5</v>
      </c>
      <c r="L22" s="39">
        <f>IF(AC22&gt;0,((K22-AD22)+(AE22-K23)),IF(K23=0, ,(K22-K23)))</f>
        <v>2.25</v>
      </c>
      <c r="M22" s="148">
        <f t="shared" si="17"/>
        <v>24196</v>
      </c>
      <c r="N22" s="39">
        <f t="shared" si="16"/>
        <v>544.41</v>
      </c>
      <c r="O22" s="160">
        <f t="shared" si="10"/>
        <v>287.99288999999999</v>
      </c>
      <c r="P22" s="42">
        <f t="shared" si="11"/>
        <v>3697.8287075999997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2"/>
        <v>1</v>
      </c>
      <c r="J23" s="39">
        <f t="shared" si="13"/>
        <v>281</v>
      </c>
      <c r="K23" s="39">
        <f t="shared" si="14"/>
        <v>70.25</v>
      </c>
      <c r="L23" s="39">
        <f t="shared" si="18"/>
        <v>1.75</v>
      </c>
      <c r="M23" s="148">
        <f t="shared" si="17"/>
        <v>24196</v>
      </c>
      <c r="N23" s="39">
        <f t="shared" si="16"/>
        <v>423.43</v>
      </c>
      <c r="O23" s="160">
        <f t="shared" si="10"/>
        <v>223.99447000000001</v>
      </c>
      <c r="P23" s="42">
        <f t="shared" si="11"/>
        <v>2876.0889947999999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2"/>
        <v>2</v>
      </c>
      <c r="J24" s="39">
        <f t="shared" si="13"/>
        <v>274</v>
      </c>
      <c r="K24" s="39">
        <f t="shared" si="14"/>
        <v>68.5</v>
      </c>
      <c r="L24" s="39">
        <f t="shared" si="18"/>
        <v>1.75</v>
      </c>
      <c r="M24" s="148">
        <f t="shared" si="17"/>
        <v>24196</v>
      </c>
      <c r="N24" s="39">
        <f t="shared" si="16"/>
        <v>423.43</v>
      </c>
      <c r="O24" s="160">
        <f t="shared" si="10"/>
        <v>223.99447000000001</v>
      </c>
      <c r="P24" s="42">
        <f t="shared" si="11"/>
        <v>2876.0889947999999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2"/>
        <v>1</v>
      </c>
      <c r="J25" s="39">
        <f t="shared" si="13"/>
        <v>267</v>
      </c>
      <c r="K25" s="39">
        <f t="shared" si="14"/>
        <v>66.75</v>
      </c>
      <c r="L25" s="39">
        <f t="shared" si="18"/>
        <v>1.5</v>
      </c>
      <c r="M25" s="148">
        <f t="shared" si="17"/>
        <v>24196</v>
      </c>
      <c r="N25" s="39">
        <f t="shared" si="16"/>
        <v>362.94</v>
      </c>
      <c r="O25" s="160">
        <f t="shared" si="10"/>
        <v>191.99526</v>
      </c>
      <c r="P25" s="42">
        <f t="shared" si="11"/>
        <v>2465.2191383999998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2"/>
        <v>1</v>
      </c>
      <c r="J26" s="39">
        <f t="shared" si="13"/>
        <v>261</v>
      </c>
      <c r="K26" s="39">
        <f t="shared" si="14"/>
        <v>65.25</v>
      </c>
      <c r="L26" s="39">
        <f t="shared" si="18"/>
        <v>1.75</v>
      </c>
      <c r="M26" s="148">
        <f t="shared" si="17"/>
        <v>24196</v>
      </c>
      <c r="N26" s="39">
        <f t="shared" si="16"/>
        <v>423.43</v>
      </c>
      <c r="O26" s="160">
        <f t="shared" si="10"/>
        <v>223.99447000000001</v>
      </c>
      <c r="P26" s="42">
        <f t="shared" si="11"/>
        <v>2876.0889947999999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2"/>
        <v>1</v>
      </c>
      <c r="J27" s="39">
        <f t="shared" si="13"/>
        <v>254</v>
      </c>
      <c r="K27" s="39">
        <f t="shared" si="14"/>
        <v>63.5</v>
      </c>
      <c r="L27" s="39">
        <f t="shared" si="18"/>
        <v>2.25</v>
      </c>
      <c r="M27" s="148">
        <f t="shared" si="17"/>
        <v>24196</v>
      </c>
      <c r="N27" s="39">
        <f t="shared" si="16"/>
        <v>544.41</v>
      </c>
      <c r="O27" s="160">
        <f t="shared" si="10"/>
        <v>287.99288999999999</v>
      </c>
      <c r="P27" s="42">
        <f t="shared" si="11"/>
        <v>3697.8287075999997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44798</v>
      </c>
      <c r="B28" s="41">
        <v>60</v>
      </c>
      <c r="C28" s="39">
        <f t="shared" si="7"/>
        <v>1</v>
      </c>
      <c r="D28" s="41">
        <v>60</v>
      </c>
      <c r="E28" s="39">
        <f t="shared" si="8"/>
        <v>1</v>
      </c>
      <c r="F28" s="41">
        <v>61</v>
      </c>
      <c r="G28" s="39">
        <f t="shared" si="9"/>
        <v>1</v>
      </c>
      <c r="H28" s="41">
        <v>64</v>
      </c>
      <c r="I28" s="39">
        <f>IF(AC28&gt;0,((H28-AA28)+(AB28-H29)),IF(H29=0, ,(H28-H29)))</f>
        <v>2</v>
      </c>
      <c r="J28" s="39">
        <f t="shared" si="13"/>
        <v>245</v>
      </c>
      <c r="K28" s="39">
        <f t="shared" si="14"/>
        <v>61.25</v>
      </c>
      <c r="L28" s="39">
        <f t="shared" si="18"/>
        <v>1.25</v>
      </c>
      <c r="M28" s="148">
        <f t="shared" si="17"/>
        <v>24196</v>
      </c>
      <c r="N28" s="39">
        <f t="shared" si="16"/>
        <v>302.45</v>
      </c>
      <c r="O28" s="160">
        <f t="shared" si="10"/>
        <v>159.99605</v>
      </c>
      <c r="P28" s="42">
        <f t="shared" si="11"/>
        <v>2054.3492820000001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44799</v>
      </c>
      <c r="B29" s="41">
        <v>59</v>
      </c>
      <c r="C29" s="39">
        <f t="shared" si="7"/>
        <v>5</v>
      </c>
      <c r="D29" s="41">
        <v>59</v>
      </c>
      <c r="E29" s="39">
        <f t="shared" si="8"/>
        <v>3</v>
      </c>
      <c r="F29" s="41">
        <v>60</v>
      </c>
      <c r="G29" s="39">
        <f t="shared" si="9"/>
        <v>3</v>
      </c>
      <c r="H29" s="41">
        <v>62</v>
      </c>
      <c r="I29" s="39">
        <f t="shared" si="12"/>
        <v>2</v>
      </c>
      <c r="J29" s="39">
        <f t="shared" si="13"/>
        <v>240</v>
      </c>
      <c r="K29" s="39">
        <f t="shared" si="14"/>
        <v>60</v>
      </c>
      <c r="L29" s="39">
        <f t="shared" si="18"/>
        <v>3.25</v>
      </c>
      <c r="M29" s="148">
        <f t="shared" si="17"/>
        <v>24196</v>
      </c>
      <c r="N29" s="39">
        <f t="shared" si="16"/>
        <v>786.37</v>
      </c>
      <c r="O29" s="160">
        <f t="shared" si="10"/>
        <v>415.98973000000001</v>
      </c>
      <c r="P29" s="42">
        <f t="shared" si="11"/>
        <v>5341.3081332000002</v>
      </c>
      <c r="Q29" s="39">
        <v>2049</v>
      </c>
      <c r="R29" s="39">
        <v>55</v>
      </c>
      <c r="S29" s="39">
        <v>85</v>
      </c>
      <c r="T29" s="39">
        <v>2012</v>
      </c>
      <c r="U29" s="39">
        <v>57</v>
      </c>
      <c r="V29" s="39">
        <v>85</v>
      </c>
      <c r="W29" s="39">
        <v>2012</v>
      </c>
      <c r="X29" s="39">
        <v>57</v>
      </c>
      <c r="Y29" s="39">
        <v>85</v>
      </c>
      <c r="Z29" s="39">
        <v>2012</v>
      </c>
      <c r="AA29" s="39">
        <v>60</v>
      </c>
      <c r="AB29" s="39">
        <v>85</v>
      </c>
      <c r="AC29" s="39">
        <f>Q29+T29+W29+Z29</f>
        <v>8085</v>
      </c>
      <c r="AD29" s="38">
        <f t="shared" si="19"/>
        <v>57.25</v>
      </c>
      <c r="AE29" s="38">
        <f>(S29+V29+Y29+AB29)/4</f>
        <v>85</v>
      </c>
    </row>
    <row r="30" spans="1:31" ht="32.25" customHeight="1" x14ac:dyDescent="0.3">
      <c r="A30" s="40">
        <v>44800</v>
      </c>
      <c r="B30" s="41">
        <v>84</v>
      </c>
      <c r="C30" s="39">
        <f t="shared" si="7"/>
        <v>3</v>
      </c>
      <c r="D30" s="41">
        <v>84</v>
      </c>
      <c r="E30" s="39">
        <f t="shared" si="8"/>
        <v>3</v>
      </c>
      <c r="F30" s="41">
        <v>85</v>
      </c>
      <c r="G30" s="39">
        <f t="shared" si="9"/>
        <v>1</v>
      </c>
      <c r="H30" s="41">
        <v>85</v>
      </c>
      <c r="I30" s="39">
        <f t="shared" si="12"/>
        <v>1</v>
      </c>
      <c r="J30" s="39">
        <f t="shared" si="13"/>
        <v>338</v>
      </c>
      <c r="K30" s="39">
        <f t="shared" si="14"/>
        <v>84.5</v>
      </c>
      <c r="L30" s="39">
        <f t="shared" si="18"/>
        <v>2</v>
      </c>
      <c r="M30" s="148">
        <f t="shared" si="17"/>
        <v>24196</v>
      </c>
      <c r="N30" s="39">
        <f t="shared" si="16"/>
        <v>483.92</v>
      </c>
      <c r="O30" s="160">
        <f t="shared" si="10"/>
        <v>255.99368000000001</v>
      </c>
      <c r="P30" s="42">
        <f t="shared" si="11"/>
        <v>3286.9588512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44801</v>
      </c>
      <c r="B31" s="41">
        <v>81</v>
      </c>
      <c r="C31" s="39">
        <f t="shared" si="7"/>
        <v>1</v>
      </c>
      <c r="D31" s="41">
        <v>81</v>
      </c>
      <c r="E31" s="39">
        <f t="shared" si="8"/>
        <v>2</v>
      </c>
      <c r="F31" s="41">
        <v>84</v>
      </c>
      <c r="G31" s="39">
        <f t="shared" si="9"/>
        <v>4</v>
      </c>
      <c r="H31" s="41">
        <v>84</v>
      </c>
      <c r="I31" s="39">
        <f t="shared" si="12"/>
        <v>4</v>
      </c>
      <c r="J31" s="39">
        <f t="shared" si="13"/>
        <v>330</v>
      </c>
      <c r="K31" s="39">
        <f t="shared" si="14"/>
        <v>82.5</v>
      </c>
      <c r="L31" s="39">
        <f t="shared" si="18"/>
        <v>2.75</v>
      </c>
      <c r="M31" s="148">
        <f t="shared" si="17"/>
        <v>24196</v>
      </c>
      <c r="N31" s="39">
        <f t="shared" si="16"/>
        <v>665.39</v>
      </c>
      <c r="O31" s="160">
        <f t="shared" si="10"/>
        <v>351.99131</v>
      </c>
      <c r="P31" s="42">
        <f t="shared" si="11"/>
        <v>4519.5684203999999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44802</v>
      </c>
      <c r="B32" s="41">
        <v>80</v>
      </c>
      <c r="C32" s="39">
        <f t="shared" si="7"/>
        <v>2</v>
      </c>
      <c r="D32" s="41">
        <v>79</v>
      </c>
      <c r="E32" s="39">
        <f t="shared" si="8"/>
        <v>3</v>
      </c>
      <c r="F32" s="41">
        <v>80</v>
      </c>
      <c r="G32" s="39">
        <f t="shared" si="9"/>
        <v>0</v>
      </c>
      <c r="H32" s="41">
        <v>80</v>
      </c>
      <c r="I32" s="39">
        <f t="shared" si="12"/>
        <v>0</v>
      </c>
      <c r="J32" s="39">
        <f t="shared" si="13"/>
        <v>319</v>
      </c>
      <c r="K32" s="39">
        <f t="shared" si="14"/>
        <v>79.75</v>
      </c>
      <c r="L32" s="39">
        <f t="shared" si="18"/>
        <v>1.25</v>
      </c>
      <c r="M32" s="148">
        <f t="shared" si="17"/>
        <v>24196</v>
      </c>
      <c r="N32" s="39">
        <f t="shared" si="16"/>
        <v>302.45</v>
      </c>
      <c r="O32" s="160">
        <f t="shared" si="10"/>
        <v>159.99605</v>
      </c>
      <c r="P32" s="42">
        <f t="shared" si="11"/>
        <v>2054.3492820000001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44803</v>
      </c>
      <c r="B33" s="41">
        <v>78</v>
      </c>
      <c r="C33" s="39">
        <f t="shared" si="7"/>
        <v>3</v>
      </c>
      <c r="D33" s="41">
        <v>76</v>
      </c>
      <c r="E33" s="39">
        <f t="shared" si="8"/>
        <v>1</v>
      </c>
      <c r="F33" s="41">
        <v>80</v>
      </c>
      <c r="G33" s="39">
        <f t="shared" si="9"/>
        <v>3</v>
      </c>
      <c r="H33" s="41">
        <v>80</v>
      </c>
      <c r="I33" s="39">
        <f t="shared" si="12"/>
        <v>2</v>
      </c>
      <c r="J33" s="39">
        <f t="shared" si="13"/>
        <v>314</v>
      </c>
      <c r="K33" s="39">
        <f t="shared" si="14"/>
        <v>78.5</v>
      </c>
      <c r="L33" s="39">
        <f t="shared" si="18"/>
        <v>2.25</v>
      </c>
      <c r="M33" s="148">
        <f t="shared" si="17"/>
        <v>24196</v>
      </c>
      <c r="N33" s="39">
        <f t="shared" si="16"/>
        <v>544.41</v>
      </c>
      <c r="O33" s="160">
        <f t="shared" si="10"/>
        <v>287.99288999999999</v>
      </c>
      <c r="P33" s="42">
        <f t="shared" si="11"/>
        <v>3697.8287075999997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44804</v>
      </c>
      <c r="B34" s="41">
        <v>75</v>
      </c>
      <c r="C34" s="39">
        <f t="shared" si="7"/>
        <v>2</v>
      </c>
      <c r="D34" s="41">
        <v>75</v>
      </c>
      <c r="E34" s="39">
        <f t="shared" si="8"/>
        <v>1</v>
      </c>
      <c r="F34" s="41">
        <v>77</v>
      </c>
      <c r="G34" s="39">
        <f t="shared" si="9"/>
        <v>1</v>
      </c>
      <c r="H34" s="41">
        <v>78</v>
      </c>
      <c r="I34" s="39">
        <f t="shared" si="12"/>
        <v>1</v>
      </c>
      <c r="J34" s="39">
        <f>B34+D34+F34+H34</f>
        <v>305</v>
      </c>
      <c r="K34" s="39">
        <f>J34/4</f>
        <v>76.25</v>
      </c>
      <c r="L34" s="39">
        <f>IF(AC34&gt;0,((K34-AD34)+(AE34-K35)),IF(K35=0, ,(K34-K35)))</f>
        <v>1.25</v>
      </c>
      <c r="M34" s="148">
        <f t="shared" si="17"/>
        <v>24196</v>
      </c>
      <c r="N34" s="39">
        <f>L34*M34/100</f>
        <v>302.45</v>
      </c>
      <c r="O34" s="160">
        <f t="shared" si="10"/>
        <v>159.99605</v>
      </c>
      <c r="P34" s="42">
        <f t="shared" si="11"/>
        <v>2054.3492820000001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44805</v>
      </c>
      <c r="B35" s="41">
        <v>73</v>
      </c>
      <c r="C35" s="39">
        <f t="shared" si="7"/>
        <v>0</v>
      </c>
      <c r="D35" s="41">
        <v>74</v>
      </c>
      <c r="E35" s="39">
        <f t="shared" si="8"/>
        <v>0</v>
      </c>
      <c r="F35" s="41">
        <v>76</v>
      </c>
      <c r="G35" s="39">
        <f t="shared" si="9"/>
        <v>0</v>
      </c>
      <c r="H35" s="41">
        <v>77</v>
      </c>
      <c r="I35" s="39">
        <f t="shared" si="12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ref="P35:P39" si="26">O35*12.84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si="2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2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6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12521.430000000002</v>
      </c>
      <c r="O43" s="39">
        <f>N43*0.529</f>
        <v>6623.8364700000011</v>
      </c>
      <c r="P43" s="42">
        <f>O43*12.84</f>
        <v>85050.060274800009</v>
      </c>
      <c r="Q43" s="292">
        <f>SUM(Q4:Q42)</f>
        <v>4483</v>
      </c>
      <c r="R43" s="293"/>
      <c r="S43" s="294"/>
      <c r="T43" s="295">
        <f>SUM(T4:T42)</f>
        <v>4430</v>
      </c>
      <c r="U43" s="293"/>
      <c r="V43" s="294"/>
      <c r="W43" s="295">
        <f>SUM(W4:W42)</f>
        <v>4204</v>
      </c>
      <c r="X43" s="293"/>
      <c r="Y43" s="294"/>
      <c r="Z43" s="295">
        <f>SUM(Z4:Z42)</f>
        <v>4287</v>
      </c>
      <c r="AA43" s="293"/>
      <c r="AB43" s="294"/>
      <c r="AC43" s="39">
        <f t="shared" si="20"/>
        <v>17404</v>
      </c>
    </row>
    <row r="44" spans="1:31" ht="35.25" customHeight="1" thickBot="1" x14ac:dyDescent="0.35">
      <c r="B44" s="301"/>
      <c r="C44" s="302"/>
      <c r="D44" s="302"/>
      <c r="E44" s="302"/>
      <c r="F44" s="302"/>
      <c r="G44" s="302"/>
      <c r="H44" s="302"/>
      <c r="I44" s="303"/>
      <c r="J44" s="37"/>
      <c r="K44" s="37"/>
      <c r="L44" s="37"/>
      <c r="M44" s="37"/>
      <c r="N44" s="37"/>
      <c r="O44" s="37"/>
      <c r="P44" s="37"/>
      <c r="Q44" s="304">
        <f>Q43+T43+W43+Z43</f>
        <v>17404</v>
      </c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6"/>
      <c r="AC44" s="39">
        <f>Q44+T44+W44+Z44</f>
        <v>17404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8" t="s">
        <v>85</v>
      </c>
      <c r="I47" s="289"/>
      <c r="J47" s="290"/>
      <c r="K47" s="45">
        <f>N43</f>
        <v>12521.430000000002</v>
      </c>
      <c r="L47" s="46">
        <f>O43</f>
        <v>6623.8364700000011</v>
      </c>
      <c r="M47" s="46">
        <f>P43</f>
        <v>85050.060274800009</v>
      </c>
    </row>
    <row r="48" spans="1:31" ht="54.75" customHeight="1" thickBot="1" x14ac:dyDescent="0.35">
      <c r="H48" s="288" t="s">
        <v>86</v>
      </c>
      <c r="I48" s="289"/>
      <c r="J48" s="290"/>
      <c r="K48" s="43">
        <f>AC44</f>
        <v>17404</v>
      </c>
      <c r="L48" s="44">
        <f>K48*0.529</f>
        <v>9206.7160000000003</v>
      </c>
      <c r="M48" s="44">
        <f>L48*12.84</f>
        <v>118214.23344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9"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7"/>
      <c r="B1" s="279"/>
      <c r="C1" s="307" t="s">
        <v>87</v>
      </c>
      <c r="D1" s="308"/>
      <c r="E1" s="308"/>
      <c r="F1" s="308"/>
      <c r="G1" s="308"/>
      <c r="H1" s="313" t="s">
        <v>88</v>
      </c>
      <c r="I1" s="314"/>
      <c r="J1" s="315"/>
    </row>
    <row r="2" spans="1:10" ht="16.5" customHeight="1" thickBot="1" x14ac:dyDescent="0.25">
      <c r="A2" s="280"/>
      <c r="B2" s="282"/>
      <c r="C2" s="309"/>
      <c r="D2" s="310"/>
      <c r="E2" s="310"/>
      <c r="F2" s="310"/>
      <c r="G2" s="310"/>
      <c r="H2" s="316"/>
      <c r="I2" s="317"/>
      <c r="J2" s="318"/>
    </row>
    <row r="3" spans="1:10" ht="15" customHeight="1" x14ac:dyDescent="0.2">
      <c r="A3" s="280"/>
      <c r="B3" s="282"/>
      <c r="C3" s="309"/>
      <c r="D3" s="310"/>
      <c r="E3" s="310"/>
      <c r="F3" s="310"/>
      <c r="G3" s="310"/>
      <c r="H3" s="319" t="s">
        <v>89</v>
      </c>
      <c r="I3" s="320"/>
      <c r="J3" s="321"/>
    </row>
    <row r="4" spans="1:10" ht="15.75" customHeight="1" thickBot="1" x14ac:dyDescent="0.25">
      <c r="A4" s="283"/>
      <c r="B4" s="285"/>
      <c r="C4" s="311"/>
      <c r="D4" s="312"/>
      <c r="E4" s="312"/>
      <c r="F4" s="312"/>
      <c r="G4" s="312"/>
      <c r="H4" s="322"/>
      <c r="I4" s="323"/>
      <c r="J4" s="324"/>
    </row>
    <row r="6" spans="1:10" ht="33" customHeight="1" thickBot="1" x14ac:dyDescent="0.25"/>
    <row r="7" spans="1:10" ht="36.75" thickTop="1" x14ac:dyDescent="0.2">
      <c r="A7" s="325" t="s">
        <v>90</v>
      </c>
      <c r="B7" s="325"/>
      <c r="C7" s="326" t="s">
        <v>91</v>
      </c>
      <c r="D7" s="327"/>
      <c r="E7" s="61" t="s">
        <v>92</v>
      </c>
      <c r="F7" s="61" t="s">
        <v>93</v>
      </c>
      <c r="G7" s="61" t="s">
        <v>94</v>
      </c>
      <c r="H7" s="61" t="s">
        <v>95</v>
      </c>
      <c r="I7" s="328" t="s">
        <v>96</v>
      </c>
      <c r="J7" s="329"/>
    </row>
    <row r="8" spans="1:10" x14ac:dyDescent="0.2">
      <c r="A8" s="332">
        <v>95670781</v>
      </c>
      <c r="B8" s="332"/>
      <c r="C8" s="333">
        <v>44599</v>
      </c>
      <c r="D8" s="334"/>
      <c r="E8" s="113">
        <v>44627</v>
      </c>
      <c r="F8" s="156" t="s">
        <v>97</v>
      </c>
      <c r="G8" s="62"/>
      <c r="H8" s="62"/>
      <c r="I8" s="335"/>
      <c r="J8" s="336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 x14ac:dyDescent="0.2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1">
        <v>1356</v>
      </c>
      <c r="H12" s="341"/>
      <c r="I12" s="342"/>
      <c r="J12" s="342"/>
    </row>
    <row r="13" spans="1:10" x14ac:dyDescent="0.2">
      <c r="A13" s="330"/>
      <c r="B13" s="331"/>
      <c r="C13" s="331"/>
      <c r="D13" s="331"/>
      <c r="E13" s="331"/>
      <c r="F13" s="331"/>
      <c r="G13" s="331"/>
      <c r="H13" s="331"/>
      <c r="I13" s="331"/>
      <c r="J13" s="331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46" t="s">
        <v>110</v>
      </c>
      <c r="B17" s="347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8"/>
      <c r="H17" s="349"/>
      <c r="I17" s="348">
        <f>+E17</f>
        <v>9841</v>
      </c>
      <c r="J17" s="349"/>
    </row>
    <row r="18" spans="1:10" x14ac:dyDescent="0.2">
      <c r="A18" s="346" t="s">
        <v>111</v>
      </c>
      <c r="B18" s="347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8"/>
      <c r="H18" s="349"/>
      <c r="I18" s="348">
        <f>+E18</f>
        <v>6834</v>
      </c>
      <c r="J18" s="349"/>
    </row>
    <row r="19" spans="1:10" x14ac:dyDescent="0.2">
      <c r="A19" s="346" t="s">
        <v>112</v>
      </c>
      <c r="B19" s="347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8"/>
      <c r="H19" s="349"/>
      <c r="I19" s="348">
        <f>+E19</f>
        <v>4802</v>
      </c>
      <c r="J19" s="349"/>
    </row>
    <row r="20" spans="1:10" ht="15" x14ac:dyDescent="0.25">
      <c r="A20" s="368" t="s">
        <v>113</v>
      </c>
      <c r="B20" s="369"/>
      <c r="C20" s="68"/>
      <c r="D20" s="69"/>
      <c r="E20" s="68">
        <f>SUM(E17:E19)</f>
        <v>21477</v>
      </c>
      <c r="F20" s="70"/>
      <c r="G20" s="370"/>
      <c r="H20" s="371"/>
      <c r="I20" s="370"/>
      <c r="J20" s="371"/>
    </row>
    <row r="21" spans="1:10" x14ac:dyDescent="0.2">
      <c r="C21" s="110" t="s">
        <v>18</v>
      </c>
      <c r="D21" t="s">
        <v>114</v>
      </c>
      <c r="G21" s="372"/>
      <c r="H21" s="372"/>
    </row>
    <row r="22" spans="1:10" ht="13.5" thickBot="1" x14ac:dyDescent="0.25">
      <c r="G22" s="373"/>
      <c r="H22" s="373"/>
    </row>
    <row r="23" spans="1:10" ht="13.5" thickTop="1" x14ac:dyDescent="0.2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74" t="s">
        <v>120</v>
      </c>
      <c r="J23" s="374"/>
    </row>
    <row r="24" spans="1:10" x14ac:dyDescent="0.2">
      <c r="A24" s="361"/>
      <c r="B24" s="362"/>
      <c r="C24" s="363"/>
      <c r="D24" s="364"/>
      <c r="E24" s="364"/>
      <c r="F24" s="366"/>
      <c r="G24" s="157" t="s">
        <v>121</v>
      </c>
      <c r="H24" s="71" t="s">
        <v>122</v>
      </c>
      <c r="I24" s="374"/>
      <c r="J24" s="374"/>
    </row>
    <row r="25" spans="1:10" ht="15" x14ac:dyDescent="0.25">
      <c r="A25" s="350" t="s">
        <v>123</v>
      </c>
      <c r="B25" s="351"/>
      <c r="C25" s="352"/>
      <c r="D25" s="67">
        <f>+E17</f>
        <v>9841</v>
      </c>
      <c r="E25" s="72">
        <v>0.95140000000000002</v>
      </c>
      <c r="F25" s="73">
        <f>PRODUCT(D25*E25)</f>
        <v>9362.7273999999998</v>
      </c>
      <c r="G25" s="150">
        <v>14</v>
      </c>
      <c r="H25" s="65">
        <f>PRODUCT(0.14,F25)</f>
        <v>1310.7818360000001</v>
      </c>
      <c r="I25" s="353">
        <f>SUM(H25,F25)</f>
        <v>10673.509236</v>
      </c>
      <c r="J25" s="354"/>
    </row>
    <row r="26" spans="1:10" ht="15" x14ac:dyDescent="0.25">
      <c r="A26" s="355" t="s">
        <v>124</v>
      </c>
      <c r="B26" s="356"/>
      <c r="C26" s="357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53">
        <f t="shared" ref="I26:I31" si="0">SUM(H26,F26)</f>
        <v>5441.8458600000004</v>
      </c>
      <c r="J26" s="354"/>
    </row>
    <row r="27" spans="1:10" ht="15" x14ac:dyDescent="0.25">
      <c r="A27" s="355" t="s">
        <v>125</v>
      </c>
      <c r="B27" s="356"/>
      <c r="C27" s="357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53">
        <f>SUM(H27,F27)</f>
        <v>7282.9821119999997</v>
      </c>
      <c r="J27" s="354"/>
    </row>
    <row r="28" spans="1:10" ht="15" x14ac:dyDescent="0.25">
      <c r="A28" s="355" t="s">
        <v>126</v>
      </c>
      <c r="B28" s="356"/>
      <c r="C28" s="35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3">
        <f t="shared" si="0"/>
        <v>50025.103799999997</v>
      </c>
      <c r="J28" s="354"/>
    </row>
    <row r="29" spans="1:10" ht="15" x14ac:dyDescent="0.25">
      <c r="A29" s="383" t="s">
        <v>127</v>
      </c>
      <c r="B29" s="384"/>
      <c r="C29" s="38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6">
        <f t="shared" si="0"/>
        <v>0</v>
      </c>
      <c r="J29" s="387"/>
    </row>
    <row r="30" spans="1:10" ht="15" x14ac:dyDescent="0.25">
      <c r="A30" s="355" t="s">
        <v>128</v>
      </c>
      <c r="B30" s="356"/>
      <c r="C30" s="35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3">
        <f>SUM(H30,F30)</f>
        <v>1009.2</v>
      </c>
      <c r="J30" s="354"/>
    </row>
    <row r="31" spans="1:10" ht="15.75" thickBot="1" x14ac:dyDescent="0.3">
      <c r="A31" s="375" t="s">
        <v>129</v>
      </c>
      <c r="B31" s="376"/>
      <c r="C31" s="37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3">
        <f t="shared" si="0"/>
        <v>1596.44</v>
      </c>
      <c r="J31" s="354"/>
    </row>
    <row r="32" spans="1:10" ht="21" x14ac:dyDescent="0.2">
      <c r="A32" s="378" t="s">
        <v>130</v>
      </c>
      <c r="B32" s="379"/>
      <c r="C32" s="379"/>
      <c r="D32" s="379"/>
      <c r="E32" s="379"/>
      <c r="F32" s="84">
        <f>SUM(F25:F31)</f>
        <v>66739.527199999997</v>
      </c>
      <c r="G32" s="85"/>
      <c r="H32" s="86"/>
      <c r="I32" s="382">
        <f>SUM(I25:J31)</f>
        <v>76029.081007999994</v>
      </c>
      <c r="J32" s="382"/>
    </row>
    <row r="33" spans="1:10" ht="21.75" thickBot="1" x14ac:dyDescent="0.25">
      <c r="A33" s="380"/>
      <c r="B33" s="381"/>
      <c r="C33" s="381"/>
      <c r="D33" s="381"/>
      <c r="E33" s="381"/>
      <c r="F33" s="87"/>
      <c r="G33" s="88"/>
      <c r="H33" s="89"/>
      <c r="I33" s="382"/>
      <c r="J33" s="38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7"/>
      <c r="B1" s="279"/>
      <c r="C1" s="307" t="s">
        <v>131</v>
      </c>
      <c r="D1" s="308"/>
      <c r="E1" s="308"/>
      <c r="F1" s="308"/>
      <c r="G1" s="308"/>
      <c r="H1" s="313" t="s">
        <v>88</v>
      </c>
      <c r="I1" s="314"/>
      <c r="J1" s="315"/>
    </row>
    <row r="2" spans="1:10" ht="16.5" customHeight="1" thickBot="1" x14ac:dyDescent="0.25">
      <c r="A2" s="280"/>
      <c r="B2" s="282"/>
      <c r="C2" s="309"/>
      <c r="D2" s="310"/>
      <c r="E2" s="310"/>
      <c r="F2" s="310"/>
      <c r="G2" s="310"/>
      <c r="H2" s="316"/>
      <c r="I2" s="317"/>
      <c r="J2" s="318"/>
    </row>
    <row r="3" spans="1:10" ht="15" customHeight="1" x14ac:dyDescent="0.2">
      <c r="A3" s="280"/>
      <c r="B3" s="282"/>
      <c r="C3" s="309"/>
      <c r="D3" s="310"/>
      <c r="E3" s="310"/>
      <c r="F3" s="310"/>
      <c r="G3" s="310"/>
      <c r="H3" s="319" t="s">
        <v>89</v>
      </c>
      <c r="I3" s="320"/>
      <c r="J3" s="321"/>
    </row>
    <row r="4" spans="1:10" ht="15.75" customHeight="1" thickBot="1" x14ac:dyDescent="0.25">
      <c r="A4" s="283"/>
      <c r="B4" s="285"/>
      <c r="C4" s="311"/>
      <c r="D4" s="312"/>
      <c r="E4" s="312"/>
      <c r="F4" s="312"/>
      <c r="G4" s="312"/>
      <c r="H4" s="322"/>
      <c r="I4" s="323"/>
      <c r="J4" s="324"/>
    </row>
    <row r="6" spans="1:10" ht="33" customHeight="1" thickBot="1" x14ac:dyDescent="0.25"/>
    <row r="7" spans="1:10" ht="36.75" thickTop="1" x14ac:dyDescent="0.2">
      <c r="A7" s="325" t="s">
        <v>90</v>
      </c>
      <c r="B7" s="325"/>
      <c r="C7" s="326" t="s">
        <v>91</v>
      </c>
      <c r="D7" s="327"/>
      <c r="E7" s="61" t="s">
        <v>92</v>
      </c>
      <c r="F7" s="61" t="s">
        <v>93</v>
      </c>
      <c r="G7" s="61" t="s">
        <v>94</v>
      </c>
      <c r="H7" s="61" t="s">
        <v>95</v>
      </c>
      <c r="I7" s="328" t="s">
        <v>96</v>
      </c>
      <c r="J7" s="329"/>
    </row>
    <row r="8" spans="1:10" x14ac:dyDescent="0.2">
      <c r="A8" s="332">
        <v>95670781</v>
      </c>
      <c r="B8" s="332"/>
      <c r="C8" s="333">
        <v>44405</v>
      </c>
      <c r="D8" s="334"/>
      <c r="E8" s="113">
        <v>44801</v>
      </c>
      <c r="F8" s="156" t="s">
        <v>132</v>
      </c>
      <c r="G8" s="62"/>
      <c r="H8" s="62"/>
      <c r="I8" s="335"/>
      <c r="J8" s="336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 x14ac:dyDescent="0.2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1">
        <v>1400</v>
      </c>
      <c r="H12" s="341"/>
      <c r="I12" s="342"/>
      <c r="J12" s="342"/>
    </row>
    <row r="13" spans="1:10" x14ac:dyDescent="0.2">
      <c r="A13" s="330"/>
      <c r="B13" s="331"/>
      <c r="C13" s="331"/>
      <c r="D13" s="331"/>
      <c r="E13" s="331"/>
      <c r="F13" s="331"/>
      <c r="G13" s="331"/>
      <c r="H13" s="331"/>
      <c r="I13" s="331"/>
      <c r="J13" s="331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 x14ac:dyDescent="0.2">
      <c r="A17" s="346" t="s">
        <v>110</v>
      </c>
      <c r="B17" s="347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8"/>
      <c r="H17" s="349"/>
      <c r="I17" s="348">
        <f>+E17</f>
        <v>329853</v>
      </c>
      <c r="J17" s="349"/>
    </row>
    <row r="18" spans="1:10" x14ac:dyDescent="0.2">
      <c r="A18" s="346" t="s">
        <v>111</v>
      </c>
      <c r="B18" s="347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8"/>
      <c r="H18" s="349"/>
      <c r="I18" s="348">
        <f>+E18</f>
        <v>171013</v>
      </c>
      <c r="J18" s="349"/>
    </row>
    <row r="19" spans="1:10" x14ac:dyDescent="0.2">
      <c r="A19" s="346" t="s">
        <v>112</v>
      </c>
      <c r="B19" s="347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8"/>
      <c r="H19" s="349"/>
      <c r="I19" s="348">
        <f>+E19</f>
        <v>138178</v>
      </c>
      <c r="J19" s="349"/>
    </row>
    <row r="20" spans="1:10" ht="15" x14ac:dyDescent="0.25">
      <c r="A20" s="368" t="s">
        <v>113</v>
      </c>
      <c r="B20" s="369"/>
      <c r="C20" s="68"/>
      <c r="D20" s="69"/>
      <c r="E20" s="68">
        <f>SUM(E17:E19)</f>
        <v>639044</v>
      </c>
      <c r="F20" s="70"/>
      <c r="G20" s="370"/>
      <c r="H20" s="371"/>
      <c r="I20" s="370"/>
      <c r="J20" s="371"/>
    </row>
    <row r="21" spans="1:10" x14ac:dyDescent="0.2">
      <c r="C21" s="110" t="s">
        <v>18</v>
      </c>
      <c r="D21" t="s">
        <v>114</v>
      </c>
      <c r="G21" s="372"/>
      <c r="H21" s="372"/>
    </row>
    <row r="22" spans="1:10" ht="13.5" thickBot="1" x14ac:dyDescent="0.25">
      <c r="G22" s="373"/>
      <c r="H22" s="373"/>
    </row>
    <row r="23" spans="1:10" ht="13.5" thickTop="1" x14ac:dyDescent="0.2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74" t="s">
        <v>120</v>
      </c>
      <c r="J23" s="374"/>
    </row>
    <row r="24" spans="1:10" x14ac:dyDescent="0.2">
      <c r="A24" s="361"/>
      <c r="B24" s="362"/>
      <c r="C24" s="363"/>
      <c r="D24" s="364"/>
      <c r="E24" s="364"/>
      <c r="F24" s="366"/>
      <c r="G24" s="157" t="s">
        <v>121</v>
      </c>
      <c r="H24" s="71" t="s">
        <v>122</v>
      </c>
      <c r="I24" s="374"/>
      <c r="J24" s="374"/>
    </row>
    <row r="25" spans="1:10" ht="15" x14ac:dyDescent="0.25">
      <c r="A25" s="350" t="s">
        <v>123</v>
      </c>
      <c r="B25" s="351"/>
      <c r="C25" s="352"/>
      <c r="D25" s="67">
        <f>+E17</f>
        <v>329853</v>
      </c>
      <c r="E25" s="72">
        <v>0.95140000000000002</v>
      </c>
      <c r="F25" s="73">
        <f>PRODUCT(D25*E25)</f>
        <v>313822.14419999998</v>
      </c>
      <c r="G25" s="150">
        <v>14</v>
      </c>
      <c r="H25" s="65">
        <f>PRODUCT(0.14,F25)</f>
        <v>43935.100188000004</v>
      </c>
      <c r="I25" s="353">
        <f>SUM(H25,F25)</f>
        <v>357757.24438799999</v>
      </c>
      <c r="J25" s="354"/>
    </row>
    <row r="26" spans="1:10" ht="15" x14ac:dyDescent="0.25">
      <c r="A26" s="355" t="s">
        <v>124</v>
      </c>
      <c r="B26" s="356"/>
      <c r="C26" s="357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53">
        <f t="shared" ref="I26:I31" si="0">SUM(H26,F26)</f>
        <v>136175.94177</v>
      </c>
      <c r="J26" s="354"/>
    </row>
    <row r="27" spans="1:10" ht="15" x14ac:dyDescent="0.25">
      <c r="A27" s="355" t="s">
        <v>125</v>
      </c>
      <c r="B27" s="356"/>
      <c r="C27" s="357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53">
        <f>SUM(H27,F27)</f>
        <v>209568.492768</v>
      </c>
      <c r="J27" s="354"/>
    </row>
    <row r="28" spans="1:10" ht="15" x14ac:dyDescent="0.25">
      <c r="A28" s="355" t="s">
        <v>126</v>
      </c>
      <c r="B28" s="356"/>
      <c r="C28" s="357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3">
        <f t="shared" si="0"/>
        <v>50025.103799999997</v>
      </c>
      <c r="J28" s="354"/>
    </row>
    <row r="29" spans="1:10" ht="15" x14ac:dyDescent="0.25">
      <c r="A29" s="383" t="s">
        <v>127</v>
      </c>
      <c r="B29" s="384"/>
      <c r="C29" s="385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86">
        <f t="shared" si="0"/>
        <v>30015.062280000006</v>
      </c>
      <c r="J29" s="387"/>
    </row>
    <row r="30" spans="1:10" ht="15" x14ac:dyDescent="0.25">
      <c r="A30" s="355" t="s">
        <v>128</v>
      </c>
      <c r="B30" s="356"/>
      <c r="C30" s="357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3">
        <f>SUM(H30,F30)</f>
        <v>1009.2</v>
      </c>
      <c r="J30" s="354"/>
    </row>
    <row r="31" spans="1:10" ht="15.75" thickBot="1" x14ac:dyDescent="0.3">
      <c r="A31" s="375" t="s">
        <v>129</v>
      </c>
      <c r="B31" s="376"/>
      <c r="C31" s="37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3">
        <f t="shared" si="0"/>
        <v>1596.44</v>
      </c>
      <c r="J31" s="354"/>
    </row>
    <row r="32" spans="1:10" ht="21" x14ac:dyDescent="0.2">
      <c r="A32" s="378" t="s">
        <v>130</v>
      </c>
      <c r="B32" s="379"/>
      <c r="C32" s="379"/>
      <c r="D32" s="379"/>
      <c r="E32" s="379"/>
      <c r="F32" s="84">
        <f>SUM(F25:F31)</f>
        <v>689650.40789999999</v>
      </c>
      <c r="G32" s="85"/>
      <c r="H32" s="86"/>
      <c r="I32" s="382">
        <f>SUM(I25:J31)</f>
        <v>786147.48500599992</v>
      </c>
      <c r="J32" s="382"/>
    </row>
    <row r="33" spans="1:10" ht="21.75" thickBot="1" x14ac:dyDescent="0.25">
      <c r="A33" s="380"/>
      <c r="B33" s="381"/>
      <c r="C33" s="381"/>
      <c r="D33" s="381"/>
      <c r="E33" s="381"/>
      <c r="F33" s="87"/>
      <c r="G33" s="88"/>
      <c r="H33" s="89"/>
      <c r="I33" s="382"/>
      <c r="J33" s="38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1"/>
      <c r="B1" s="307" t="s">
        <v>133</v>
      </c>
      <c r="C1" s="308"/>
      <c r="D1" s="308"/>
      <c r="E1" s="308"/>
      <c r="F1" s="414" t="s">
        <v>88</v>
      </c>
      <c r="G1" s="415"/>
      <c r="H1" s="416"/>
    </row>
    <row r="2" spans="1:8" ht="15.75" customHeight="1" thickBot="1" x14ac:dyDescent="0.25">
      <c r="A2" s="412"/>
      <c r="B2" s="309"/>
      <c r="C2" s="310"/>
      <c r="D2" s="310"/>
      <c r="E2" s="310"/>
      <c r="F2" s="417"/>
      <c r="G2" s="418"/>
      <c r="H2" s="419"/>
    </row>
    <row r="3" spans="1:8" ht="15" customHeight="1" x14ac:dyDescent="0.2">
      <c r="A3" s="412"/>
      <c r="B3" s="309"/>
      <c r="C3" s="310"/>
      <c r="D3" s="310"/>
      <c r="E3" s="310"/>
      <c r="F3" s="414" t="s">
        <v>89</v>
      </c>
      <c r="G3" s="415"/>
      <c r="H3" s="416"/>
    </row>
    <row r="4" spans="1:8" ht="15.75" customHeight="1" thickBot="1" x14ac:dyDescent="0.25">
      <c r="A4" s="413"/>
      <c r="B4" s="311"/>
      <c r="C4" s="312"/>
      <c r="D4" s="312"/>
      <c r="E4" s="312"/>
      <c r="F4" s="420"/>
      <c r="G4" s="421"/>
      <c r="H4" s="42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02" t="s">
        <v>143</v>
      </c>
      <c r="B13" s="403">
        <f>G8</f>
        <v>5198.3999999999942</v>
      </c>
      <c r="C13" s="403"/>
      <c r="D13" s="403">
        <v>8.7899999999999991</v>
      </c>
      <c r="E13" s="403"/>
      <c r="F13" s="410">
        <f>PRODUCT(D13,B13)</f>
        <v>45693.935999999943</v>
      </c>
      <c r="G13" s="410"/>
      <c r="H13" s="410"/>
    </row>
    <row r="14" spans="1:8" ht="45" customHeight="1" x14ac:dyDescent="0.2">
      <c r="A14" s="407" t="s">
        <v>144</v>
      </c>
      <c r="B14" s="407"/>
      <c r="C14" s="407"/>
      <c r="D14" s="407"/>
      <c r="E14" s="407"/>
      <c r="F14" s="407"/>
      <c r="G14" s="407"/>
      <c r="H14" s="407"/>
    </row>
    <row r="15" spans="1:8" x14ac:dyDescent="0.2">
      <c r="A15" s="408"/>
      <c r="B15" s="408"/>
      <c r="C15" s="408"/>
      <c r="D15" s="408"/>
      <c r="E15" s="408"/>
      <c r="F15" s="408"/>
      <c r="G15" s="408"/>
      <c r="H15" s="408"/>
    </row>
    <row r="16" spans="1:8" ht="15" x14ac:dyDescent="0.2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148</v>
      </c>
      <c r="B19" s="403">
        <f>G8</f>
        <v>5198.3999999999942</v>
      </c>
      <c r="C19" s="403"/>
      <c r="D19" s="403">
        <v>2.61</v>
      </c>
      <c r="E19" s="403"/>
      <c r="F19" s="403">
        <f>PRODUCT(D19,B19)</f>
        <v>13567.823999999984</v>
      </c>
      <c r="G19" s="403"/>
      <c r="H19" s="403"/>
    </row>
    <row r="20" spans="1:8" ht="18.75" x14ac:dyDescent="0.3">
      <c r="A20" s="399" t="s">
        <v>149</v>
      </c>
      <c r="B20" s="400"/>
      <c r="C20" s="400"/>
      <c r="D20" s="400"/>
      <c r="E20" s="401"/>
      <c r="F20" s="402">
        <f>SUM(F11+F13+F16+F17+F18+F19)</f>
        <v>59284.759999999929</v>
      </c>
      <c r="G20" s="402"/>
      <c r="H20" s="402"/>
    </row>
    <row r="21" spans="1:8" ht="15" x14ac:dyDescent="0.25">
      <c r="A21" s="388" t="s">
        <v>150</v>
      </c>
      <c r="B21" s="389"/>
      <c r="C21" s="389"/>
      <c r="D21" s="389"/>
      <c r="E21" s="390"/>
      <c r="F21" s="403">
        <f>PRODUCT(F20,0.07)</f>
        <v>4149.9331999999958</v>
      </c>
      <c r="G21" s="403"/>
      <c r="H21" s="403"/>
    </row>
    <row r="22" spans="1:8" ht="15" x14ac:dyDescent="0.25">
      <c r="A22" s="404" t="s">
        <v>151</v>
      </c>
      <c r="B22" s="405"/>
      <c r="C22" s="405"/>
      <c r="D22" s="405"/>
      <c r="E22" s="406"/>
      <c r="F22" s="403">
        <v>208.26</v>
      </c>
      <c r="G22" s="403"/>
      <c r="H22" s="403"/>
    </row>
    <row r="23" spans="1:8" ht="15.75" x14ac:dyDescent="0.25">
      <c r="A23" s="388" t="s">
        <v>152</v>
      </c>
      <c r="B23" s="389"/>
      <c r="C23" s="389"/>
      <c r="D23" s="389"/>
      <c r="E23" s="390"/>
      <c r="F23" s="391">
        <f>SUM(F21:H22)</f>
        <v>4358.1931999999961</v>
      </c>
      <c r="G23" s="391"/>
      <c r="H23" s="391"/>
    </row>
    <row r="24" spans="1:8" x14ac:dyDescent="0.2">
      <c r="A24" s="392" t="s">
        <v>153</v>
      </c>
      <c r="B24" s="393"/>
      <c r="C24" s="393"/>
      <c r="D24" s="393"/>
      <c r="E24" s="394"/>
      <c r="F24" s="398">
        <f>SUM(F20,F23)</f>
        <v>63642.953199999924</v>
      </c>
      <c r="G24" s="398"/>
      <c r="H24" s="398"/>
    </row>
    <row r="25" spans="1:8" x14ac:dyDescent="0.2">
      <c r="A25" s="395"/>
      <c r="B25" s="396"/>
      <c r="C25" s="396"/>
      <c r="D25" s="396"/>
      <c r="E25" s="397"/>
      <c r="F25" s="398"/>
      <c r="G25" s="398"/>
      <c r="H25" s="398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1"/>
      <c r="B1" s="307" t="s">
        <v>133</v>
      </c>
      <c r="C1" s="308"/>
      <c r="D1" s="308"/>
      <c r="E1" s="308"/>
      <c r="F1" s="414" t="s">
        <v>88</v>
      </c>
      <c r="G1" s="415"/>
      <c r="H1" s="416"/>
    </row>
    <row r="2" spans="1:8" ht="15.75" customHeight="1" thickBot="1" x14ac:dyDescent="0.25">
      <c r="A2" s="412"/>
      <c r="B2" s="309"/>
      <c r="C2" s="310"/>
      <c r="D2" s="310"/>
      <c r="E2" s="310"/>
      <c r="F2" s="417"/>
      <c r="G2" s="418"/>
      <c r="H2" s="419"/>
    </row>
    <row r="3" spans="1:8" ht="15" customHeight="1" x14ac:dyDescent="0.2">
      <c r="A3" s="412"/>
      <c r="B3" s="309"/>
      <c r="C3" s="310"/>
      <c r="D3" s="310"/>
      <c r="E3" s="310"/>
      <c r="F3" s="414" t="s">
        <v>89</v>
      </c>
      <c r="G3" s="415"/>
      <c r="H3" s="416"/>
    </row>
    <row r="4" spans="1:8" ht="15.75" customHeight="1" thickBot="1" x14ac:dyDescent="0.25">
      <c r="A4" s="413"/>
      <c r="B4" s="311"/>
      <c r="C4" s="312"/>
      <c r="D4" s="312"/>
      <c r="E4" s="312"/>
      <c r="F4" s="420"/>
      <c r="G4" s="421"/>
      <c r="H4" s="42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02" t="s">
        <v>143</v>
      </c>
      <c r="B13" s="403">
        <f>G8</f>
        <v>199</v>
      </c>
      <c r="C13" s="403"/>
      <c r="D13" s="403">
        <v>8.5</v>
      </c>
      <c r="E13" s="403"/>
      <c r="F13" s="410">
        <f>PRODUCT(D13,B13)</f>
        <v>1691.5</v>
      </c>
      <c r="G13" s="410"/>
      <c r="H13" s="410"/>
    </row>
    <row r="14" spans="1:8" ht="45" customHeight="1" x14ac:dyDescent="0.2">
      <c r="A14" s="407" t="s">
        <v>144</v>
      </c>
      <c r="B14" s="407"/>
      <c r="C14" s="407"/>
      <c r="D14" s="407"/>
      <c r="E14" s="407"/>
      <c r="F14" s="407"/>
      <c r="G14" s="407"/>
      <c r="H14" s="407"/>
    </row>
    <row r="15" spans="1:8" x14ac:dyDescent="0.2">
      <c r="A15" s="408"/>
      <c r="B15" s="408"/>
      <c r="C15" s="408"/>
      <c r="D15" s="408"/>
      <c r="E15" s="408"/>
      <c r="F15" s="408"/>
      <c r="G15" s="408"/>
      <c r="H15" s="408"/>
    </row>
    <row r="16" spans="1:8" ht="15" x14ac:dyDescent="0.2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148</v>
      </c>
      <c r="B19" s="403">
        <v>0</v>
      </c>
      <c r="C19" s="403"/>
      <c r="D19" s="427">
        <v>0</v>
      </c>
      <c r="E19" s="428"/>
      <c r="F19" s="427">
        <v>0</v>
      </c>
      <c r="G19" s="428"/>
      <c r="H19" s="158"/>
    </row>
    <row r="20" spans="1:8" ht="15" x14ac:dyDescent="0.25">
      <c r="A20" s="103" t="s">
        <v>154</v>
      </c>
      <c r="B20" s="403">
        <f>G8</f>
        <v>199</v>
      </c>
      <c r="C20" s="403"/>
      <c r="D20" s="403">
        <v>2.54</v>
      </c>
      <c r="E20" s="403"/>
      <c r="F20" s="403">
        <f>PRODUCT(D20,B20)</f>
        <v>505.46</v>
      </c>
      <c r="G20" s="403"/>
      <c r="H20" s="403"/>
    </row>
    <row r="21" spans="1:8" ht="18.75" x14ac:dyDescent="0.3">
      <c r="A21" s="399" t="s">
        <v>149</v>
      </c>
      <c r="B21" s="400"/>
      <c r="C21" s="400"/>
      <c r="D21" s="400"/>
      <c r="E21" s="401"/>
      <c r="F21" s="402">
        <f>SUM(F11+F13+F16+F17+F18+F20)</f>
        <v>2219.96</v>
      </c>
      <c r="G21" s="402"/>
      <c r="H21" s="402"/>
    </row>
    <row r="22" spans="1:8" ht="15" x14ac:dyDescent="0.25">
      <c r="A22" s="388" t="s">
        <v>150</v>
      </c>
      <c r="B22" s="389"/>
      <c r="C22" s="389"/>
      <c r="D22" s="389"/>
      <c r="E22" s="390"/>
      <c r="F22" s="403">
        <f>PRODUCT(F21,0.07)</f>
        <v>155.39720000000003</v>
      </c>
      <c r="G22" s="403"/>
      <c r="H22" s="403"/>
    </row>
    <row r="23" spans="1:8" ht="15" x14ac:dyDescent="0.25">
      <c r="A23" s="404" t="s">
        <v>151</v>
      </c>
      <c r="B23" s="405"/>
      <c r="C23" s="405"/>
      <c r="D23" s="405"/>
      <c r="E23" s="406"/>
      <c r="F23" s="403">
        <v>208.26</v>
      </c>
      <c r="G23" s="403"/>
      <c r="H23" s="403"/>
    </row>
    <row r="24" spans="1:8" ht="15.75" x14ac:dyDescent="0.25">
      <c r="A24" s="388" t="s">
        <v>152</v>
      </c>
      <c r="B24" s="389"/>
      <c r="C24" s="389"/>
      <c r="D24" s="389"/>
      <c r="E24" s="390"/>
      <c r="F24" s="391">
        <f>SUM(F22:H23)</f>
        <v>363.65719999999999</v>
      </c>
      <c r="G24" s="391"/>
      <c r="H24" s="391"/>
    </row>
    <row r="25" spans="1:8" x14ac:dyDescent="0.2">
      <c r="A25" s="392" t="s">
        <v>153</v>
      </c>
      <c r="B25" s="393"/>
      <c r="C25" s="393"/>
      <c r="D25" s="393"/>
      <c r="E25" s="394"/>
      <c r="F25" s="398">
        <f>SUM(F21,F24)</f>
        <v>2583.6172000000001</v>
      </c>
      <c r="G25" s="398"/>
      <c r="H25" s="398"/>
    </row>
    <row r="26" spans="1:8" x14ac:dyDescent="0.2">
      <c r="A26" s="395"/>
      <c r="B26" s="396"/>
      <c r="C26" s="396"/>
      <c r="D26" s="396"/>
      <c r="E26" s="397"/>
      <c r="F26" s="398"/>
      <c r="G26" s="398"/>
      <c r="H26" s="398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11"/>
      <c r="B1" s="307" t="s">
        <v>155</v>
      </c>
      <c r="C1" s="308"/>
      <c r="D1" s="308"/>
      <c r="E1" s="308"/>
      <c r="F1" s="414" t="s">
        <v>88</v>
      </c>
      <c r="G1" s="415"/>
      <c r="H1" s="416"/>
    </row>
    <row r="2" spans="1:8" ht="15.75" customHeight="1" thickBot="1" x14ac:dyDescent="0.25">
      <c r="A2" s="412"/>
      <c r="B2" s="309"/>
      <c r="C2" s="310"/>
      <c r="D2" s="310"/>
      <c r="E2" s="310"/>
      <c r="F2" s="417"/>
      <c r="G2" s="418"/>
      <c r="H2" s="419"/>
    </row>
    <row r="3" spans="1:8" ht="15" customHeight="1" x14ac:dyDescent="0.2">
      <c r="A3" s="412"/>
      <c r="B3" s="309"/>
      <c r="C3" s="310"/>
      <c r="D3" s="310"/>
      <c r="E3" s="310"/>
      <c r="F3" s="414" t="s">
        <v>89</v>
      </c>
      <c r="G3" s="415"/>
      <c r="H3" s="416"/>
    </row>
    <row r="4" spans="1:8" ht="15.75" customHeight="1" thickBot="1" x14ac:dyDescent="0.25">
      <c r="A4" s="413"/>
      <c r="B4" s="311"/>
      <c r="C4" s="312"/>
      <c r="D4" s="312"/>
      <c r="E4" s="312"/>
      <c r="F4" s="420"/>
      <c r="G4" s="421"/>
      <c r="H4" s="422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15</v>
      </c>
      <c r="G11" s="403"/>
      <c r="H11" s="403"/>
    </row>
    <row r="12" spans="1:8" ht="21" x14ac:dyDescent="0.35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 x14ac:dyDescent="0.25">
      <c r="A13" s="102" t="s">
        <v>156</v>
      </c>
      <c r="B13" s="403">
        <f>G8</f>
        <v>0</v>
      </c>
      <c r="C13" s="403"/>
      <c r="D13" s="403">
        <v>16.48</v>
      </c>
      <c r="E13" s="403"/>
      <c r="F13" s="410">
        <f>PRODUCT(D13,B13)</f>
        <v>0</v>
      </c>
      <c r="G13" s="410"/>
      <c r="H13" s="410"/>
    </row>
    <row r="14" spans="1:8" ht="15" x14ac:dyDescent="0.25">
      <c r="A14" s="102" t="s">
        <v>157</v>
      </c>
      <c r="B14" s="427"/>
      <c r="C14" s="428"/>
      <c r="D14" s="427"/>
      <c r="E14" s="428"/>
      <c r="F14" s="427"/>
      <c r="G14" s="428"/>
      <c r="H14" s="111"/>
    </row>
    <row r="15" spans="1:8" ht="15" x14ac:dyDescent="0.25">
      <c r="A15" s="102" t="s">
        <v>158</v>
      </c>
      <c r="B15" s="427"/>
      <c r="C15" s="428"/>
      <c r="D15" s="427"/>
      <c r="E15" s="428"/>
      <c r="F15" s="427"/>
      <c r="G15" s="428"/>
      <c r="H15" s="111"/>
    </row>
    <row r="16" spans="1:8" ht="15" x14ac:dyDescent="0.25">
      <c r="A16" s="102" t="s">
        <v>159</v>
      </c>
      <c r="B16" s="427"/>
      <c r="C16" s="428"/>
      <c r="D16" s="427"/>
      <c r="E16" s="428"/>
      <c r="F16" s="427"/>
      <c r="G16" s="428"/>
      <c r="H16" s="111"/>
    </row>
    <row r="17" spans="1:8" ht="15" x14ac:dyDescent="0.25">
      <c r="A17" s="102" t="s">
        <v>160</v>
      </c>
      <c r="B17" s="427"/>
      <c r="C17" s="428"/>
      <c r="D17" s="427"/>
      <c r="E17" s="428"/>
      <c r="F17" s="427"/>
      <c r="G17" s="428"/>
      <c r="H17" s="111"/>
    </row>
    <row r="18" spans="1:8" ht="45" customHeight="1" x14ac:dyDescent="0.2">
      <c r="A18" s="407" t="s">
        <v>144</v>
      </c>
      <c r="B18" s="407"/>
      <c r="C18" s="407"/>
      <c r="D18" s="407"/>
      <c r="E18" s="407"/>
      <c r="F18" s="407"/>
      <c r="G18" s="407"/>
      <c r="H18" s="407"/>
    </row>
    <row r="19" spans="1:8" x14ac:dyDescent="0.2">
      <c r="A19" s="408"/>
      <c r="B19" s="408"/>
      <c r="C19" s="408"/>
      <c r="D19" s="408"/>
      <c r="E19" s="408"/>
      <c r="F19" s="408"/>
      <c r="G19" s="408"/>
      <c r="H19" s="408"/>
    </row>
    <row r="20" spans="1:8" ht="15" x14ac:dyDescent="0.25">
      <c r="A20" s="103" t="s">
        <v>145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 x14ac:dyDescent="0.25">
      <c r="A21" s="103" t="s">
        <v>146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 x14ac:dyDescent="0.25">
      <c r="A22" s="103" t="s">
        <v>147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 x14ac:dyDescent="0.25">
      <c r="A23" s="103" t="s">
        <v>148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 x14ac:dyDescent="0.25">
      <c r="A24" s="103" t="s">
        <v>154</v>
      </c>
      <c r="B24" s="427">
        <v>0</v>
      </c>
      <c r="C24" s="428"/>
      <c r="D24" s="427">
        <v>2.54</v>
      </c>
      <c r="E24" s="428"/>
      <c r="F24" s="427">
        <f>B24*D24</f>
        <v>0</v>
      </c>
      <c r="G24" s="428"/>
      <c r="H24" s="158"/>
    </row>
    <row r="25" spans="1:8" ht="18.75" x14ac:dyDescent="0.3">
      <c r="A25" s="399" t="s">
        <v>149</v>
      </c>
      <c r="B25" s="400"/>
      <c r="C25" s="400"/>
      <c r="D25" s="400"/>
      <c r="E25" s="401"/>
      <c r="F25" s="429">
        <f>SUM(F11+F13+F20+F21+F22+F23)</f>
        <v>15</v>
      </c>
      <c r="G25" s="402"/>
      <c r="H25" s="402"/>
    </row>
    <row r="26" spans="1:8" ht="15" x14ac:dyDescent="0.25">
      <c r="A26" s="388" t="s">
        <v>150</v>
      </c>
      <c r="B26" s="389"/>
      <c r="C26" s="389"/>
      <c r="D26" s="389"/>
      <c r="E26" s="390"/>
      <c r="F26" s="403">
        <v>63.63</v>
      </c>
      <c r="G26" s="403"/>
      <c r="H26" s="403"/>
    </row>
    <row r="27" spans="1:8" ht="15" x14ac:dyDescent="0.25">
      <c r="A27" s="404" t="s">
        <v>151</v>
      </c>
      <c r="B27" s="405"/>
      <c r="C27" s="405"/>
      <c r="D27" s="405"/>
      <c r="E27" s="406"/>
      <c r="F27" s="403">
        <v>2.4300000000000002</v>
      </c>
      <c r="G27" s="403"/>
      <c r="H27" s="403"/>
    </row>
    <row r="28" spans="1:8" ht="15.75" x14ac:dyDescent="0.25">
      <c r="A28" s="388" t="s">
        <v>152</v>
      </c>
      <c r="B28" s="389"/>
      <c r="C28" s="389"/>
      <c r="D28" s="389"/>
      <c r="E28" s="390"/>
      <c r="F28" s="391">
        <f>SUM(F26:H27)</f>
        <v>66.06</v>
      </c>
      <c r="G28" s="391"/>
      <c r="H28" s="391"/>
    </row>
    <row r="29" spans="1:8" x14ac:dyDescent="0.2">
      <c r="A29" s="392" t="s">
        <v>153</v>
      </c>
      <c r="B29" s="393"/>
      <c r="C29" s="393"/>
      <c r="D29" s="393"/>
      <c r="E29" s="394"/>
      <c r="F29" s="398">
        <f>SUM(F25,F28)</f>
        <v>81.06</v>
      </c>
      <c r="G29" s="398"/>
      <c r="H29" s="398"/>
    </row>
    <row r="30" spans="1:8" x14ac:dyDescent="0.2">
      <c r="A30" s="395"/>
      <c r="B30" s="396"/>
      <c r="C30" s="396"/>
      <c r="D30" s="396"/>
      <c r="E30" s="397"/>
      <c r="F30" s="398"/>
      <c r="G30" s="398"/>
      <c r="H30" s="398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30" t="s">
        <v>161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59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 x14ac:dyDescent="0.35">
      <c r="C16" s="433" t="s">
        <v>182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6"/>
      <c r="D19" s="437"/>
      <c r="E19" s="437"/>
      <c r="F19" s="437"/>
      <c r="G19" s="437"/>
      <c r="H19" s="437"/>
      <c r="I19" s="437"/>
      <c r="J19" s="437"/>
      <c r="K19" s="43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59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0" t="s">
        <v>183</v>
      </c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59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 x14ac:dyDescent="0.35">
      <c r="C16" s="433" t="s">
        <v>184</v>
      </c>
      <c r="D16" s="441"/>
      <c r="E16" s="441"/>
      <c r="F16" s="441"/>
      <c r="G16" s="441"/>
      <c r="H16" s="441"/>
      <c r="I16" s="441"/>
      <c r="J16" s="441"/>
      <c r="K16" s="441"/>
      <c r="L16" s="441"/>
      <c r="M16" s="441"/>
      <c r="N16" s="442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6"/>
      <c r="D19" s="437"/>
      <c r="E19" s="437"/>
      <c r="F19" s="437"/>
      <c r="G19" s="437"/>
      <c r="H19" s="437"/>
      <c r="I19" s="437"/>
      <c r="J19" s="437"/>
      <c r="K19" s="438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59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30" t="s">
        <v>185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59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 x14ac:dyDescent="0.35">
      <c r="C16" s="433" t="s">
        <v>186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6"/>
      <c r="D19" s="437"/>
      <c r="E19" s="437"/>
      <c r="F19" s="437"/>
      <c r="G19" s="437"/>
      <c r="H19" s="437"/>
      <c r="I19" s="437"/>
      <c r="J19" s="437"/>
      <c r="K19" s="438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59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2023-02-23T13:43:05Z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