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50" windowHeight="12080" tabRatio="581" firstSheet="7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9" i="76"/>
  <c r="D31" i="73"/>
  <c r="A25" i="3"/>
  <c r="C25"/>
  <c r="F25" s="1"/>
  <c r="E25"/>
  <c r="H25"/>
  <c r="I25"/>
  <c r="J25"/>
  <c r="Q25" s="1"/>
  <c r="L25"/>
  <c r="M25"/>
  <c r="P25"/>
  <c r="Y25"/>
  <c r="X25"/>
  <c r="AD25"/>
  <c r="AI25" s="1"/>
  <c r="AJ25"/>
  <c r="S25" l="1"/>
  <c r="U25" s="1"/>
  <c r="K25"/>
  <c r="N25" s="1"/>
  <c r="AB25" s="1"/>
  <c r="AA25" l="1"/>
  <c r="T25"/>
  <c r="Z25"/>
  <c r="AC25" l="1"/>
  <c r="AH25" s="1"/>
  <c r="AK25"/>
  <c r="AE25"/>
  <c r="AF25" s="1"/>
  <c r="AG25" s="1"/>
  <c r="T23" l="1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H23" s="1"/>
  <c r="AK23"/>
  <c r="AE23"/>
  <c r="AF23" s="1"/>
  <c r="AG23" s="1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30"/>
  <c r="J31" s="1"/>
  <c r="F30"/>
  <c r="F31" s="1"/>
  <c r="B30"/>
  <c r="B31" s="1"/>
  <c r="C3"/>
  <c r="D3"/>
  <c r="F3"/>
  <c r="G3"/>
  <c r="H3"/>
  <c r="I3"/>
  <c r="J3"/>
  <c r="K3"/>
  <c r="L3"/>
  <c r="M3"/>
  <c r="N3"/>
  <c r="Q3"/>
  <c r="S3"/>
  <c r="B3"/>
  <c r="R27" i="3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32" s="1"/>
  <c r="AX33" s="1"/>
  <c r="AX34" s="1"/>
  <c r="AV18"/>
  <c r="AV20" s="1"/>
  <c r="AV32" s="1"/>
  <c r="AV33" s="1"/>
  <c r="AV34" s="1"/>
  <c r="AT8"/>
  <c r="AT10" s="1"/>
  <c r="AT11" s="1"/>
  <c r="AT12" s="1"/>
  <c r="AT13" s="1"/>
  <c r="AT18" s="1"/>
  <c r="AT19" s="1"/>
  <c r="AT20" s="1"/>
  <c r="AT22" s="1"/>
  <c r="AT28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8" s="1"/>
  <c r="G30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8" s="1"/>
  <c r="X30" s="1"/>
  <c r="X32" s="1"/>
  <c r="X33" s="1"/>
  <c r="X34" s="1"/>
  <c r="Y5"/>
  <c r="Z16"/>
  <c r="Z17" s="1"/>
  <c r="Z18" s="1"/>
  <c r="Z19" s="1"/>
  <c r="Z20" s="1"/>
  <c r="Z21" s="1"/>
  <c r="Z22" s="1"/>
  <c r="Z26" s="1"/>
  <c r="Z28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4" s="1"/>
  <c r="P27" s="1"/>
  <c r="P30" s="1"/>
  <c r="P31" s="1"/>
  <c r="P32" s="1"/>
  <c r="P33" s="1"/>
  <c r="Q6"/>
  <c r="Q11"/>
  <c r="Q15" s="1"/>
  <c r="Q18" s="1"/>
  <c r="Q21" s="1"/>
  <c r="Q24" s="1"/>
  <c r="Q27" s="1"/>
  <c r="Q30" s="1"/>
  <c r="Q31" s="1"/>
  <c r="Q32" s="1"/>
  <c r="Q33" s="1"/>
  <c r="H7"/>
  <c r="H13" s="1"/>
  <c r="H16" s="1"/>
  <c r="H19" s="1"/>
  <c r="H22" s="1"/>
  <c r="H25" s="1"/>
  <c r="H28" s="1"/>
  <c r="H31" s="1"/>
  <c r="H32" s="1"/>
  <c r="H33" s="1"/>
  <c r="F7"/>
  <c r="F10" s="1"/>
  <c r="F13" s="1"/>
  <c r="F16" s="1"/>
  <c r="F19" s="1"/>
  <c r="F22" s="1"/>
  <c r="F25" s="1"/>
  <c r="F28" s="1"/>
  <c r="F31" s="1"/>
  <c r="F32" s="1"/>
  <c r="F33" s="1"/>
  <c r="B31"/>
  <c r="B32" s="1"/>
  <c r="B33" s="1"/>
  <c r="B34" s="1"/>
  <c r="B35" s="1"/>
  <c r="C3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9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29" i="2"/>
  <c r="AC30" s="1"/>
  <c r="AC31" s="1"/>
  <c r="AA29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29"/>
  <c r="P30" s="1"/>
  <c r="P31" s="1"/>
  <c r="O31"/>
  <c r="O32"/>
  <c r="O33"/>
  <c r="L29"/>
  <c r="L30" s="1"/>
  <c r="L31" s="1"/>
  <c r="L32" s="1"/>
  <c r="L33" s="1"/>
  <c r="M33" s="1"/>
  <c r="E32" i="82" s="1"/>
  <c r="J29" i="2"/>
  <c r="J30" s="1"/>
  <c r="J31" s="1"/>
  <c r="H29"/>
  <c r="H30" s="1"/>
  <c r="H31" s="1"/>
  <c r="F29"/>
  <c r="F30" s="1"/>
  <c r="F31" s="1"/>
  <c r="D29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30"/>
  <c r="H31" s="1"/>
  <c r="G31"/>
  <c r="F32"/>
  <c r="C31"/>
  <c r="B32"/>
  <c r="R32" i="3"/>
  <c r="S31"/>
  <c r="V31" s="1"/>
  <c r="U31" s="1"/>
  <c r="D32"/>
  <c r="E31"/>
  <c r="B32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K35" l="1"/>
  <c r="L35" s="1"/>
  <c r="AK35" s="1"/>
  <c r="H36" i="79"/>
  <c r="K36" i="5" s="1"/>
  <c r="V32" i="2"/>
  <c r="AF32" s="1"/>
  <c r="W33" i="76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L36" l="1"/>
  <c r="AK36" s="1"/>
  <c r="I36" i="79"/>
  <c r="AG33" i="2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9" s="1"/>
  <c r="M31" s="1"/>
  <c r="M32" s="1"/>
  <c r="M33" s="1"/>
  <c r="D24" i="73"/>
  <c r="AP24" i="5"/>
  <c r="AN24"/>
  <c r="AM24"/>
  <c r="K24"/>
  <c r="H32" i="3" l="1"/>
  <c r="I31"/>
  <c r="N33" i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AY8" i="7" l="1"/>
  <c r="BJ8"/>
  <c r="Q12" i="76"/>
  <c r="BJ14" i="7"/>
  <c r="Q11" i="76"/>
  <c r="BJ13" i="7"/>
  <c r="Q13" i="76"/>
  <c r="BJ15" i="7"/>
  <c r="Q7" i="76"/>
  <c r="BJ9" i="7"/>
  <c r="AY11"/>
  <c r="BJ11"/>
  <c r="Q8" i="76"/>
  <c r="BJ10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K24" i="3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Z24"/>
  <c r="N24"/>
  <c r="AT26" i="1"/>
  <c r="AU26" s="1"/>
  <c r="I23" i="81" s="1"/>
  <c r="AT27" i="1" l="1"/>
  <c r="AU27" s="1"/>
  <c r="I24" i="81" s="1"/>
  <c r="AN29" i="1"/>
  <c r="AO28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F25" i="63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M28" i="5" l="1"/>
  <c r="N27"/>
  <c r="O28"/>
  <c r="P27"/>
  <c r="J25"/>
  <c r="L21" i="81" s="1"/>
  <c r="K21"/>
  <c r="L26" i="3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D37"/>
  <c r="D39"/>
  <c r="C38"/>
  <c r="B6" i="77"/>
  <c r="M36" i="5"/>
  <c r="N36" s="1"/>
  <c r="N35"/>
  <c r="I37"/>
  <c r="J33"/>
  <c r="L29" i="81" s="1"/>
  <c r="K29"/>
  <c r="Q34" i="5"/>
  <c r="M30" i="81" s="1"/>
  <c r="O38" i="5" l="1"/>
  <c r="G6" i="77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AB24"/>
  <c r="U24"/>
  <c r="AA24" s="1"/>
  <c r="AC24" s="1"/>
  <c r="AH24" s="1"/>
  <c r="T24" l="1"/>
  <c r="T26" s="1"/>
  <c r="T27" s="1"/>
  <c r="T28"/>
  <c r="T29" s="1"/>
  <c r="T30" s="1"/>
  <c r="T31" s="1"/>
  <c r="T32" s="1"/>
  <c r="T33" s="1"/>
  <c r="AA28"/>
  <c r="AC28" s="1"/>
  <c r="AH28" s="1"/>
  <c r="AB28"/>
  <c r="U28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<sst xmlns="http://schemas.openxmlformats.org/spreadsheetml/2006/main" count="652" uniqueCount="417">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</sst>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5996160"/>
        <c:axId val="95997952"/>
      </c:lineChart>
      <c:catAx>
        <c:axId val="9599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7952"/>
        <c:crosses val="autoZero"/>
        <c:auto val="1"/>
        <c:lblAlgn val="ctr"/>
        <c:lblOffset val="100"/>
      </c:catAx>
      <c:valAx>
        <c:axId val="95997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6005504"/>
        <c:axId val="95224960"/>
      </c:lineChart>
      <c:catAx>
        <c:axId val="9600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24960"/>
        <c:crosses val="autoZero"/>
        <c:auto val="1"/>
        <c:lblAlgn val="ctr"/>
        <c:lblOffset val="100"/>
      </c:catAx>
      <c:valAx>
        <c:axId val="9522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75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257344"/>
        <c:axId val="95258880"/>
      </c:lineChart>
      <c:catAx>
        <c:axId val="9525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58880"/>
        <c:crosses val="autoZero"/>
        <c:auto val="1"/>
        <c:lblAlgn val="ctr"/>
        <c:lblOffset val="100"/>
      </c:catAx>
      <c:valAx>
        <c:axId val="95258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15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287168"/>
        <c:axId val="95288704"/>
      </c:lineChart>
      <c:catAx>
        <c:axId val="9528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88704"/>
        <c:crosses val="autoZero"/>
        <c:auto val="1"/>
        <c:lblAlgn val="ctr"/>
        <c:lblOffset val="100"/>
      </c:catAx>
      <c:valAx>
        <c:axId val="95288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8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9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168960"/>
        <c:axId val="96187136"/>
      </c:lineChart>
      <c:catAx>
        <c:axId val="961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7136"/>
        <c:crosses val="autoZero"/>
        <c:auto val="1"/>
        <c:lblAlgn val="ctr"/>
        <c:lblOffset val="100"/>
      </c:catAx>
      <c:valAx>
        <c:axId val="96187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10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723392"/>
        <c:axId val="103724928"/>
      </c:lineChart>
      <c:catAx>
        <c:axId val="1037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24928"/>
        <c:crosses val="autoZero"/>
        <c:auto val="1"/>
        <c:lblAlgn val="ctr"/>
        <c:lblOffset val="100"/>
      </c:catAx>
      <c:valAx>
        <c:axId val="10372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9296768"/>
        <c:axId val="99298304"/>
      </c:lineChart>
      <c:catAx>
        <c:axId val="9929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8304"/>
        <c:crosses val="autoZero"/>
        <c:auto val="1"/>
        <c:lblAlgn val="ctr"/>
        <c:lblOffset val="100"/>
      </c:catAx>
      <c:valAx>
        <c:axId val="99298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9334784"/>
        <c:axId val="99340672"/>
      </c:lineChart>
      <c:catAx>
        <c:axId val="9933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0672"/>
        <c:crosses val="autoZero"/>
        <c:auto val="1"/>
        <c:lblAlgn val="ctr"/>
        <c:lblOffset val="100"/>
      </c:catAx>
      <c:valAx>
        <c:axId val="9934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3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817216"/>
        <c:axId val="103818752"/>
      </c:lineChart>
      <c:catAx>
        <c:axId val="1038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8752"/>
        <c:crosses val="autoZero"/>
        <c:auto val="1"/>
        <c:lblAlgn val="ctr"/>
        <c:lblOffset val="100"/>
      </c:catAx>
      <c:valAx>
        <c:axId val="103818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594"/>
          <c:w val="0.127240331517740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834752"/>
        <c:axId val="103836288"/>
      </c:lineChart>
      <c:catAx>
        <c:axId val="10383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36288"/>
        <c:crosses val="autoZero"/>
        <c:auto val="1"/>
        <c:lblAlgn val="ctr"/>
        <c:lblOffset val="100"/>
      </c:catAx>
      <c:valAx>
        <c:axId val="10383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3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339</c:v>
                </c:pt>
                <c:pt idx="23">
                  <c:v>339</c:v>
                </c:pt>
                <c:pt idx="24">
                  <c:v>458</c:v>
                </c:pt>
                <c:pt idx="25">
                  <c:v>448</c:v>
                </c:pt>
                <c:pt idx="26">
                  <c:v>425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3868672"/>
        <c:axId val="103899136"/>
      </c:lineChart>
      <c:catAx>
        <c:axId val="1038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99136"/>
        <c:crosses val="autoZero"/>
        <c:auto val="1"/>
        <c:lblAlgn val="ctr"/>
        <c:lblOffset val="100"/>
      </c:catAx>
      <c:valAx>
        <c:axId val="10389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594"/>
          <c:w val="0.135416885389357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923072"/>
        <c:axId val="103744640"/>
      </c:lineChart>
      <c:catAx>
        <c:axId val="1039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44640"/>
        <c:crosses val="autoZero"/>
        <c:auto val="1"/>
        <c:lblAlgn val="ctr"/>
        <c:lblOffset val="100"/>
      </c:catAx>
      <c:valAx>
        <c:axId val="103744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59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3769216"/>
        <c:axId val="103770752"/>
      </c:lineChart>
      <c:catAx>
        <c:axId val="1037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70752"/>
        <c:crosses val="autoZero"/>
        <c:auto val="1"/>
        <c:lblAlgn val="ctr"/>
        <c:lblOffset val="100"/>
      </c:catAx>
      <c:valAx>
        <c:axId val="103770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3786752"/>
        <c:axId val="103796736"/>
      </c:lineChart>
      <c:catAx>
        <c:axId val="1037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96736"/>
        <c:crosses val="autoZero"/>
        <c:auto val="1"/>
        <c:lblAlgn val="ctr"/>
        <c:lblOffset val="100"/>
      </c:catAx>
      <c:valAx>
        <c:axId val="10379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594"/>
          <c:w val="0.135416885389357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029568"/>
        <c:axId val="104035456"/>
      </c:lineChart>
      <c:catAx>
        <c:axId val="10402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35456"/>
        <c:crosses val="autoZero"/>
        <c:auto val="1"/>
        <c:lblAlgn val="ctr"/>
        <c:lblOffset val="100"/>
      </c:catAx>
      <c:valAx>
        <c:axId val="104035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2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667"/>
          <c:y val="0.54325368498487869"/>
          <c:w val="0.11458355205599259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-2760.096774193531</c:v>
                </c:pt>
                <c:pt idx="22">
                  <c:v>-3066.7741935483937</c:v>
                </c:pt>
                <c:pt idx="23">
                  <c:v>-2996.7741935483937</c:v>
                </c:pt>
                <c:pt idx="24">
                  <c:v>-3066.7741935483646</c:v>
                </c:pt>
                <c:pt idx="25">
                  <c:v>-2983.4354838709842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072320"/>
        <c:axId val="104073856"/>
      </c:lineChart>
      <c:catAx>
        <c:axId val="10407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73856"/>
        <c:crosses val="autoZero"/>
        <c:auto val="1"/>
        <c:lblAlgn val="ctr"/>
        <c:lblOffset val="100"/>
      </c:catAx>
      <c:valAx>
        <c:axId val="104073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7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7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110720"/>
        <c:axId val="104112512"/>
      </c:lineChart>
      <c:catAx>
        <c:axId val="1041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2512"/>
        <c:crosses val="autoZero"/>
        <c:auto val="1"/>
        <c:lblAlgn val="ctr"/>
        <c:lblOffset val="100"/>
      </c:catAx>
      <c:valAx>
        <c:axId val="10411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2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136704"/>
        <c:axId val="104138240"/>
      </c:lineChart>
      <c:catAx>
        <c:axId val="10413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8240"/>
        <c:crosses val="autoZero"/>
        <c:auto val="1"/>
        <c:lblAlgn val="ctr"/>
        <c:lblOffset val="100"/>
      </c:catAx>
      <c:valAx>
        <c:axId val="1041382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0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166528"/>
        <c:axId val="104168064"/>
      </c:lineChart>
      <c:catAx>
        <c:axId val="10416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68064"/>
        <c:crosses val="autoZero"/>
        <c:auto val="1"/>
        <c:lblAlgn val="ctr"/>
        <c:lblOffset val="100"/>
      </c:catAx>
      <c:valAx>
        <c:axId val="104168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6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196352"/>
        <c:axId val="104198144"/>
      </c:lineChart>
      <c:catAx>
        <c:axId val="1041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98144"/>
        <c:crosses val="autoZero"/>
        <c:auto val="1"/>
        <c:lblAlgn val="ctr"/>
        <c:lblOffset val="100"/>
      </c:catAx>
      <c:valAx>
        <c:axId val="10419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40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222080"/>
        <c:axId val="104248448"/>
      </c:lineChart>
      <c:catAx>
        <c:axId val="10422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48448"/>
        <c:crosses val="autoZero"/>
        <c:auto val="1"/>
        <c:lblAlgn val="ctr"/>
        <c:lblOffset val="100"/>
      </c:catAx>
      <c:valAx>
        <c:axId val="10424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2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59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268544"/>
        <c:axId val="104270080"/>
      </c:lineChart>
      <c:catAx>
        <c:axId val="10426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70080"/>
        <c:crosses val="autoZero"/>
        <c:auto val="1"/>
        <c:lblAlgn val="ctr"/>
        <c:lblOffset val="100"/>
      </c:catAx>
      <c:valAx>
        <c:axId val="10427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94"/>
          <c:w val="0.123431181980932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4303232"/>
        <c:axId val="104325504"/>
      </c:lineChart>
      <c:catAx>
        <c:axId val="104303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25504"/>
        <c:crosses val="autoZero"/>
        <c:auto val="1"/>
        <c:lblAlgn val="ctr"/>
        <c:lblOffset val="100"/>
      </c:catAx>
      <c:valAx>
        <c:axId val="1043255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443"/>
          <c:w val="0.1569039853282219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340864"/>
        <c:axId val="104363136"/>
      </c:lineChart>
      <c:catAx>
        <c:axId val="1043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63136"/>
        <c:crosses val="autoZero"/>
        <c:auto val="1"/>
        <c:lblAlgn val="ctr"/>
        <c:lblOffset val="100"/>
      </c:catAx>
      <c:valAx>
        <c:axId val="104363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461440"/>
        <c:axId val="104462976"/>
      </c:lineChart>
      <c:catAx>
        <c:axId val="10446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2976"/>
        <c:crosses val="autoZero"/>
        <c:auto val="1"/>
        <c:lblAlgn val="ctr"/>
        <c:lblOffset val="100"/>
      </c:catAx>
      <c:valAx>
        <c:axId val="10446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06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232640"/>
        <c:axId val="104800256"/>
      </c:lineChart>
      <c:catAx>
        <c:axId val="10523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00256"/>
        <c:crosses val="autoZero"/>
        <c:auto val="1"/>
        <c:lblAlgn val="ctr"/>
        <c:lblOffset val="100"/>
      </c:catAx>
      <c:valAx>
        <c:axId val="104800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5336832"/>
        <c:axId val="105338368"/>
      </c:lineChart>
      <c:catAx>
        <c:axId val="1053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8368"/>
        <c:crosses val="autoZero"/>
        <c:auto val="1"/>
        <c:lblAlgn val="ctr"/>
        <c:lblOffset val="100"/>
      </c:catAx>
      <c:valAx>
        <c:axId val="10533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13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5494784"/>
        <c:axId val="105385984"/>
      </c:lineChart>
      <c:catAx>
        <c:axId val="1054947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85984"/>
        <c:crosses val="autoZero"/>
        <c:auto val="1"/>
        <c:lblAlgn val="ctr"/>
        <c:lblOffset val="100"/>
      </c:catAx>
      <c:valAx>
        <c:axId val="1053859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9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4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0.33701192233275434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0.22217213385335469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0.21554175826218688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0.21144678789053381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7.2471368212188053E-2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0.21554459804561468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0.14311013018673729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0.18156214434981216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0.12363595896204918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0.18704704556277008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0.15354258349527466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0.14023774416465148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0.15343034584060164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0.17349458181667499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0.14318351435971685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0.10278332480733621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0.19451413498108405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0.22615203956095403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-0.22077820504384624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0.12901989493169083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0.21577951106107296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9779</v>
      </c>
      <c r="F23" s="330">
        <f>SUM('EDl log'!T25)</f>
        <v>0.23897577852178356</v>
      </c>
      <c r="G23" s="203">
        <f>-tanks!AW27</f>
        <v>339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372</v>
      </c>
      <c r="L23" s="331">
        <f>SUM(WATER!J27)</f>
        <v>0.65036420395421435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10356</v>
      </c>
      <c r="F24" s="330">
        <f>SUM('EDl log'!T26)</f>
        <v>0.24972085947362013</v>
      </c>
      <c r="G24" s="203">
        <f>-tanks!AW28</f>
        <v>339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8509</v>
      </c>
      <c r="F25" s="330">
        <f>SUM('EDl log'!T27)</f>
        <v>0.28081184629744532</v>
      </c>
      <c r="G25" s="203">
        <f>-tanks!AW29</f>
        <v>458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290</v>
      </c>
      <c r="L25" s="331">
        <f>SUM(WATER!J29)</f>
        <v>0.83426028921023365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10240</v>
      </c>
      <c r="F26" s="330">
        <f>SUM('EDl log'!T28)</f>
        <v>0.2411082290512602</v>
      </c>
      <c r="G26" s="203">
        <f>-tanks!AW30</f>
        <v>448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9202</v>
      </c>
      <c r="F27" s="330">
        <f>SUM('EDl log'!T29)</f>
        <v>0.26031056838179617</v>
      </c>
      <c r="G27" s="203">
        <f>-tanks!AW31</f>
        <v>425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249</v>
      </c>
      <c r="L27" s="331">
        <f>SUM(WATER!J31)</f>
        <v>0.97162844928099501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0.97299999999999998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0.97299999999999998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0.97299999999999998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2066</v>
      </c>
      <c r="F23" s="203">
        <f>ELEC!K24</f>
        <v>1436</v>
      </c>
      <c r="G23" s="203">
        <f>ELEC!I24</f>
        <v>964</v>
      </c>
      <c r="H23" s="203">
        <f>ELEC!E24</f>
        <v>4706</v>
      </c>
      <c r="I23" s="203">
        <f>ELEC!G24</f>
        <v>607</v>
      </c>
      <c r="J23" s="203">
        <f>WATER!Y27</f>
        <v>113</v>
      </c>
      <c r="K23" s="203">
        <f>WATER!AJ27</f>
        <v>25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2248</v>
      </c>
      <c r="F24" s="203">
        <f>ELEC!K25</f>
        <v>1544</v>
      </c>
      <c r="G24" s="203">
        <f>ELEC!I25</f>
        <v>942</v>
      </c>
      <c r="H24" s="203">
        <f>ELEC!E25</f>
        <v>4928</v>
      </c>
      <c r="I24" s="203">
        <f>ELEC!G25</f>
        <v>694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2526</v>
      </c>
      <c r="F25" s="203">
        <f>ELEC!K26</f>
        <v>1308</v>
      </c>
      <c r="G25" s="203">
        <f>ELEC!I26</f>
        <v>882</v>
      </c>
      <c r="H25" s="203">
        <f>ELEC!E26</f>
        <v>3076</v>
      </c>
      <c r="I25" s="203">
        <f>ELEC!G26</f>
        <v>717</v>
      </c>
      <c r="J25" s="203">
        <f>WATER!Y29</f>
        <v>232</v>
      </c>
      <c r="K25" s="203">
        <f>WATER!AJ29</f>
        <v>7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3568</v>
      </c>
      <c r="F26" s="203">
        <f>ELEC!K27</f>
        <v>1632</v>
      </c>
      <c r="G26" s="203">
        <f>ELEC!I27</f>
        <v>992</v>
      </c>
      <c r="H26" s="203">
        <f>ELEC!E27</f>
        <v>3240</v>
      </c>
      <c r="I26" s="203">
        <f>ELEC!G27</f>
        <v>808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2964</v>
      </c>
      <c r="F27" s="203">
        <f>ELEC!K28</f>
        <v>1560</v>
      </c>
      <c r="G27" s="203">
        <f>ELEC!I28</f>
        <v>898</v>
      </c>
      <c r="H27" s="203">
        <f>ELEC!E28</f>
        <v>3196</v>
      </c>
      <c r="I27" s="203">
        <f>ELEC!G28</f>
        <v>584</v>
      </c>
      <c r="J27" s="203">
        <f>WATER!Y31</f>
        <v>63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13" activePane="bottomLeft" state="frozen"/>
      <selection activeCell="C1" sqref="C1"/>
      <selection pane="bottomLeft" activeCell="AJ28" sqref="AJ28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v>32705098</v>
      </c>
      <c r="E24" s="311">
        <f t="shared" si="13"/>
        <v>4706</v>
      </c>
      <c r="F24" s="445">
        <v>3984929</v>
      </c>
      <c r="G24" s="312">
        <f t="shared" si="0"/>
        <v>607</v>
      </c>
      <c r="H24" s="445">
        <v>17822578</v>
      </c>
      <c r="I24" s="312">
        <f t="shared" si="14"/>
        <v>964</v>
      </c>
      <c r="J24" s="445">
        <v>28944910</v>
      </c>
      <c r="K24" s="312">
        <f t="shared" si="15"/>
        <v>1436</v>
      </c>
      <c r="L24" s="445">
        <v>24096144</v>
      </c>
      <c r="M24" s="312">
        <f t="shared" si="16"/>
        <v>2066</v>
      </c>
      <c r="N24" s="310">
        <f t="shared" si="17"/>
        <v>9779</v>
      </c>
      <c r="O24" s="467">
        <f t="shared" si="24"/>
        <v>0</v>
      </c>
      <c r="P24" s="591">
        <v>16764.032999999999</v>
      </c>
      <c r="Q24" s="449">
        <f t="shared" si="27"/>
        <v>7474.9999999985448</v>
      </c>
      <c r="R24" s="449">
        <f t="shared" si="28"/>
        <v>2304.0000000014552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v>35777</v>
      </c>
      <c r="AB24" s="449">
        <f t="shared" si="19"/>
        <v>8</v>
      </c>
      <c r="AC24" s="445">
        <v>930469</v>
      </c>
      <c r="AD24" s="449">
        <f t="shared" si="29"/>
        <v>1611</v>
      </c>
      <c r="AE24" s="472">
        <f t="shared" si="11"/>
        <v>8</v>
      </c>
      <c r="AF24" s="473">
        <f t="shared" si="12"/>
        <v>1611</v>
      </c>
      <c r="AG24" s="465">
        <f t="shared" si="25"/>
        <v>201.375</v>
      </c>
      <c r="AI24" s="466">
        <f>R24-'EDl log'!B22</f>
        <v>-940105.9999999986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v>32710026</v>
      </c>
      <c r="E25" s="311">
        <f t="shared" si="13"/>
        <v>4928</v>
      </c>
      <c r="F25" s="602">
        <v>3985623</v>
      </c>
      <c r="G25" s="312">
        <f t="shared" si="0"/>
        <v>694</v>
      </c>
      <c r="H25" s="445">
        <v>17823520</v>
      </c>
      <c r="I25" s="312">
        <f t="shared" si="14"/>
        <v>942</v>
      </c>
      <c r="J25" s="602">
        <v>28946454</v>
      </c>
      <c r="K25" s="312">
        <f t="shared" si="15"/>
        <v>1544</v>
      </c>
      <c r="L25" s="445">
        <v>24098392</v>
      </c>
      <c r="M25" s="312">
        <f t="shared" si="16"/>
        <v>2248</v>
      </c>
      <c r="N25" s="310">
        <f t="shared" si="17"/>
        <v>10356</v>
      </c>
      <c r="O25" s="467">
        <f t="shared" si="24"/>
        <v>0</v>
      </c>
      <c r="P25" s="603">
        <v>16772.291000000001</v>
      </c>
      <c r="Q25" s="449">
        <f t="shared" si="27"/>
        <v>8258.0000000016298</v>
      </c>
      <c r="R25" s="449">
        <f t="shared" si="28"/>
        <v>2097.9999999983702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v>35786</v>
      </c>
      <c r="AB25" s="449">
        <f t="shared" si="19"/>
        <v>9</v>
      </c>
      <c r="AC25" s="602">
        <v>932154</v>
      </c>
      <c r="AD25" s="449">
        <f t="shared" si="29"/>
        <v>1685</v>
      </c>
      <c r="AE25" s="472">
        <f t="shared" si="11"/>
        <v>9</v>
      </c>
      <c r="AF25" s="473">
        <f t="shared" si="12"/>
        <v>1685</v>
      </c>
      <c r="AG25" s="465">
        <f t="shared" si="25"/>
        <v>187.22222222222223</v>
      </c>
      <c r="AI25" s="466">
        <f>R25-'EDl log'!B23</f>
        <v>-942446.00000000163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v>32713102</v>
      </c>
      <c r="E26" s="311">
        <f t="shared" si="13"/>
        <v>3076</v>
      </c>
      <c r="F26" s="445">
        <v>3986340</v>
      </c>
      <c r="G26" s="312">
        <f t="shared" si="0"/>
        <v>717</v>
      </c>
      <c r="H26" s="445">
        <v>17824402</v>
      </c>
      <c r="I26" s="312">
        <f t="shared" si="14"/>
        <v>882</v>
      </c>
      <c r="J26" s="445">
        <v>28947762</v>
      </c>
      <c r="K26" s="312">
        <f t="shared" si="15"/>
        <v>1308</v>
      </c>
      <c r="L26" s="445">
        <v>24100918</v>
      </c>
      <c r="M26" s="312">
        <f t="shared" si="16"/>
        <v>2526</v>
      </c>
      <c r="N26" s="310">
        <f t="shared" si="17"/>
        <v>8509</v>
      </c>
      <c r="O26" s="467">
        <f t="shared" si="24"/>
        <v>0</v>
      </c>
      <c r="P26" s="591">
        <v>16778.688999999998</v>
      </c>
      <c r="Q26" s="449">
        <f t="shared" si="27"/>
        <v>6397.9999999974098</v>
      </c>
      <c r="R26" s="449">
        <f t="shared" si="28"/>
        <v>2111.0000000025902</v>
      </c>
      <c r="S26" s="445">
        <v>10135</v>
      </c>
      <c r="T26" s="469">
        <f t="shared" si="3"/>
        <v>2</v>
      </c>
      <c r="U26" s="445">
        <v>423605</v>
      </c>
      <c r="V26" s="449">
        <f t="shared" si="18"/>
        <v>417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v>35789</v>
      </c>
      <c r="AB26" s="449">
        <f t="shared" si="19"/>
        <v>3</v>
      </c>
      <c r="AC26" s="445">
        <v>932619</v>
      </c>
      <c r="AD26" s="449">
        <f t="shared" si="29"/>
        <v>465</v>
      </c>
      <c r="AE26" s="472">
        <f t="shared" si="11"/>
        <v>5</v>
      </c>
      <c r="AF26" s="473">
        <f t="shared" si="12"/>
        <v>882</v>
      </c>
      <c r="AG26" s="465">
        <f t="shared" si="25"/>
        <v>176.4</v>
      </c>
      <c r="AI26" s="466">
        <f>R26-'EDl log'!B24</f>
        <v>-944311.99999999744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v>32716342</v>
      </c>
      <c r="E27" s="311">
        <f t="shared" si="13"/>
        <v>3240</v>
      </c>
      <c r="F27" s="445">
        <v>3987148</v>
      </c>
      <c r="G27" s="312">
        <f>F27-F26</f>
        <v>808</v>
      </c>
      <c r="H27" s="445">
        <v>17825394</v>
      </c>
      <c r="I27" s="312">
        <f t="shared" si="14"/>
        <v>992</v>
      </c>
      <c r="J27" s="445">
        <v>28949394</v>
      </c>
      <c r="K27" s="312">
        <f t="shared" si="15"/>
        <v>1632</v>
      </c>
      <c r="L27" s="445">
        <v>24104486</v>
      </c>
      <c r="M27" s="312">
        <f t="shared" si="16"/>
        <v>3568</v>
      </c>
      <c r="N27" s="310">
        <f t="shared" si="17"/>
        <v>10240</v>
      </c>
      <c r="O27" s="467">
        <f t="shared" si="24"/>
        <v>0</v>
      </c>
      <c r="P27" s="591">
        <v>16787.054</v>
      </c>
      <c r="Q27" s="449">
        <f t="shared" si="27"/>
        <v>8365.0000000016007</v>
      </c>
      <c r="R27" s="449">
        <f t="shared" si="28"/>
        <v>1874.9999999983993</v>
      </c>
      <c r="S27" s="445">
        <v>10143</v>
      </c>
      <c r="T27" s="469">
        <f t="shared" si="3"/>
        <v>8</v>
      </c>
      <c r="U27" s="445">
        <v>424702</v>
      </c>
      <c r="V27" s="449">
        <f t="shared" si="18"/>
        <v>1097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v>35790</v>
      </c>
      <c r="AB27" s="449">
        <f t="shared" si="19"/>
        <v>1</v>
      </c>
      <c r="AC27" s="445">
        <v>932780</v>
      </c>
      <c r="AD27" s="449">
        <f t="shared" si="29"/>
        <v>161</v>
      </c>
      <c r="AE27" s="472">
        <f t="shared" si="11"/>
        <v>9</v>
      </c>
      <c r="AF27" s="473">
        <f t="shared" si="12"/>
        <v>1258</v>
      </c>
      <c r="AG27" s="465">
        <f t="shared" si="25"/>
        <v>139.77777777777777</v>
      </c>
      <c r="AI27" s="466">
        <f>R27-'EDl log'!B25</f>
        <v>-945986.00000000163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v>32719538</v>
      </c>
      <c r="E28" s="311">
        <f t="shared" si="13"/>
        <v>3196</v>
      </c>
      <c r="F28" s="445">
        <v>3987732</v>
      </c>
      <c r="G28" s="312">
        <f t="shared" si="0"/>
        <v>584</v>
      </c>
      <c r="H28" s="445">
        <v>17826292</v>
      </c>
      <c r="I28" s="312">
        <f t="shared" si="14"/>
        <v>898</v>
      </c>
      <c r="J28" s="445">
        <v>28950954</v>
      </c>
      <c r="K28" s="312">
        <f t="shared" si="15"/>
        <v>1560</v>
      </c>
      <c r="L28" s="445">
        <v>24107450</v>
      </c>
      <c r="M28" s="312">
        <f t="shared" si="16"/>
        <v>2964</v>
      </c>
      <c r="N28" s="310">
        <f t="shared" si="17"/>
        <v>9202</v>
      </c>
      <c r="O28" s="467">
        <f t="shared" si="24"/>
        <v>0</v>
      </c>
      <c r="P28" s="591">
        <v>16795.579000000002</v>
      </c>
      <c r="Q28" s="449">
        <f t="shared" si="27"/>
        <v>8525.0000000014552</v>
      </c>
      <c r="R28" s="449">
        <f t="shared" si="28"/>
        <v>676.99999999854481</v>
      </c>
      <c r="S28" s="445">
        <v>10150</v>
      </c>
      <c r="T28" s="469">
        <f t="shared" si="3"/>
        <v>7</v>
      </c>
      <c r="U28" s="445">
        <v>425508</v>
      </c>
      <c r="V28" s="449">
        <f t="shared" si="18"/>
        <v>806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v>35793</v>
      </c>
      <c r="AB28" s="449">
        <f t="shared" si="19"/>
        <v>3</v>
      </c>
      <c r="AC28" s="445">
        <v>933207</v>
      </c>
      <c r="AD28" s="449">
        <f t="shared" si="29"/>
        <v>427</v>
      </c>
      <c r="AE28" s="472">
        <f t="shared" si="11"/>
        <v>10</v>
      </c>
      <c r="AF28" s="473">
        <f t="shared" si="12"/>
        <v>1233</v>
      </c>
      <c r="AG28" s="465">
        <f t="shared" si="25"/>
        <v>123.3</v>
      </c>
      <c r="AI28" s="466">
        <f>R28-'EDl log'!B26</f>
        <v>-948245.0000000014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ref="D29:D33" si="30">D28</f>
        <v>32719538</v>
      </c>
      <c r="E29" s="311">
        <f t="shared" si="13"/>
        <v>0</v>
      </c>
      <c r="F29" s="445">
        <f t="shared" ref="F29:F33" si="31">F28</f>
        <v>3987732</v>
      </c>
      <c r="G29" s="312">
        <f t="shared" si="0"/>
        <v>0</v>
      </c>
      <c r="H29" s="445">
        <f t="shared" ref="H29:H33" si="32">H28</f>
        <v>17826292</v>
      </c>
      <c r="I29" s="312">
        <f t="shared" si="14"/>
        <v>0</v>
      </c>
      <c r="J29" s="445">
        <f t="shared" ref="J29:J33" si="33">J28</f>
        <v>28950954</v>
      </c>
      <c r="K29" s="312">
        <f t="shared" si="15"/>
        <v>0</v>
      </c>
      <c r="L29" s="445">
        <f t="shared" ref="L29:L33" si="34">L28</f>
        <v>24107450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ref="P29:P33" si="35">P28</f>
        <v>16795.579000000002</v>
      </c>
      <c r="Q29" s="449">
        <f t="shared" si="27"/>
        <v>0</v>
      </c>
      <c r="R29" s="449">
        <f t="shared" si="28"/>
        <v>0</v>
      </c>
      <c r="S29" s="445">
        <f t="shared" si="7"/>
        <v>10150</v>
      </c>
      <c r="T29" s="469">
        <f t="shared" si="3"/>
        <v>0</v>
      </c>
      <c r="U29" s="445">
        <f t="shared" si="8"/>
        <v>425508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ref="AA29:AA33" si="36">AA28</f>
        <v>35793</v>
      </c>
      <c r="AB29" s="449">
        <f t="shared" si="19"/>
        <v>0</v>
      </c>
      <c r="AC29" s="445">
        <f t="shared" ref="AC29:AC33" si="37">AC28</f>
        <v>933207</v>
      </c>
      <c r="AD29" s="449">
        <f t="shared" si="29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-950117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30"/>
        <v>32719538</v>
      </c>
      <c r="E30" s="311">
        <f t="shared" si="13"/>
        <v>0</v>
      </c>
      <c r="F30" s="445">
        <f t="shared" si="31"/>
        <v>3987732</v>
      </c>
      <c r="G30" s="312">
        <f t="shared" si="0"/>
        <v>0</v>
      </c>
      <c r="H30" s="445">
        <f t="shared" si="32"/>
        <v>17826292</v>
      </c>
      <c r="I30" s="312">
        <f t="shared" si="14"/>
        <v>0</v>
      </c>
      <c r="J30" s="445">
        <f t="shared" si="33"/>
        <v>28950954</v>
      </c>
      <c r="K30" s="312">
        <f t="shared" si="15"/>
        <v>0</v>
      </c>
      <c r="L30" s="445">
        <f t="shared" si="34"/>
        <v>24107450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5"/>
        <v>16795.579000000002</v>
      </c>
      <c r="Q30" s="449">
        <f t="shared" si="27"/>
        <v>0</v>
      </c>
      <c r="R30" s="449">
        <f t="shared" si="28"/>
        <v>0</v>
      </c>
      <c r="S30" s="445">
        <f t="shared" si="7"/>
        <v>10150</v>
      </c>
      <c r="T30" s="469">
        <f t="shared" si="3"/>
        <v>0</v>
      </c>
      <c r="U30" s="445">
        <f t="shared" si="8"/>
        <v>425508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6"/>
        <v>35793</v>
      </c>
      <c r="AB30" s="449">
        <f t="shared" si="19"/>
        <v>0</v>
      </c>
      <c r="AC30" s="445">
        <f t="shared" si="37"/>
        <v>933207</v>
      </c>
      <c r="AD30" s="449">
        <f t="shared" si="29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-951218</v>
      </c>
    </row>
    <row r="31" spans="1:35">
      <c r="A31" s="457"/>
      <c r="B31" s="451"/>
      <c r="C31" s="458">
        <v>44284</v>
      </c>
      <c r="D31" s="445">
        <f t="shared" si="30"/>
        <v>32719538</v>
      </c>
      <c r="E31" s="311">
        <f t="shared" si="13"/>
        <v>0</v>
      </c>
      <c r="F31" s="445">
        <f t="shared" si="31"/>
        <v>3987732</v>
      </c>
      <c r="G31" s="312">
        <f t="shared" si="0"/>
        <v>0</v>
      </c>
      <c r="H31" s="445">
        <f t="shared" si="32"/>
        <v>17826292</v>
      </c>
      <c r="I31" s="312">
        <f t="shared" si="14"/>
        <v>0</v>
      </c>
      <c r="J31" s="445">
        <f t="shared" si="33"/>
        <v>28950954</v>
      </c>
      <c r="K31" s="312">
        <f t="shared" si="15"/>
        <v>0</v>
      </c>
      <c r="L31" s="445">
        <f t="shared" si="34"/>
        <v>24107450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5"/>
        <v>16795.579000000002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10150</v>
      </c>
      <c r="T31" s="469">
        <f t="shared" ref="T31:T33" si="42">S31-S30</f>
        <v>0</v>
      </c>
      <c r="U31" s="445">
        <f t="shared" si="8"/>
        <v>425508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6"/>
        <v>35793</v>
      </c>
      <c r="AB31" s="449">
        <f t="shared" ref="AB31:AB33" si="46">AA31-AA30</f>
        <v>0</v>
      </c>
      <c r="AC31" s="445">
        <f t="shared" si="37"/>
        <v>933207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-952109</v>
      </c>
    </row>
    <row r="32" spans="1:35">
      <c r="A32" s="457"/>
      <c r="B32" s="451"/>
      <c r="C32" s="458">
        <v>44285</v>
      </c>
      <c r="D32" s="445">
        <f t="shared" si="30"/>
        <v>32719538</v>
      </c>
      <c r="E32" s="311">
        <f t="shared" si="13"/>
        <v>0</v>
      </c>
      <c r="F32" s="445">
        <f t="shared" si="31"/>
        <v>3987732</v>
      </c>
      <c r="G32" s="312">
        <f t="shared" si="0"/>
        <v>0</v>
      </c>
      <c r="H32" s="445">
        <f t="shared" si="32"/>
        <v>17826292</v>
      </c>
      <c r="I32" s="312">
        <f t="shared" si="14"/>
        <v>0</v>
      </c>
      <c r="J32" s="445">
        <f t="shared" si="33"/>
        <v>28950954</v>
      </c>
      <c r="K32" s="312">
        <f t="shared" si="15"/>
        <v>0</v>
      </c>
      <c r="L32" s="445">
        <f t="shared" si="34"/>
        <v>24107450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5"/>
        <v>16795.579000000002</v>
      </c>
      <c r="Q32" s="449">
        <f t="shared" si="40"/>
        <v>0</v>
      </c>
      <c r="R32" s="449">
        <f t="shared" si="41"/>
        <v>0</v>
      </c>
      <c r="S32" s="445">
        <f t="shared" si="7"/>
        <v>10150</v>
      </c>
      <c r="T32" s="469">
        <f t="shared" si="42"/>
        <v>0</v>
      </c>
      <c r="U32" s="445">
        <f t="shared" si="8"/>
        <v>425508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6"/>
        <v>35793</v>
      </c>
      <c r="AB32" s="449">
        <f t="shared" si="46"/>
        <v>0</v>
      </c>
      <c r="AC32" s="445">
        <f t="shared" si="37"/>
        <v>933207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-952109</v>
      </c>
    </row>
    <row r="33" spans="1:35">
      <c r="A33" s="457"/>
      <c r="B33" s="451"/>
      <c r="C33" s="458">
        <v>44286</v>
      </c>
      <c r="D33" s="445">
        <f t="shared" si="30"/>
        <v>32719538</v>
      </c>
      <c r="E33" s="311">
        <f t="shared" si="13"/>
        <v>0</v>
      </c>
      <c r="F33" s="445">
        <f t="shared" si="31"/>
        <v>3987732</v>
      </c>
      <c r="G33" s="312">
        <f t="shared" si="0"/>
        <v>0</v>
      </c>
      <c r="H33" s="445">
        <f t="shared" si="32"/>
        <v>17826292</v>
      </c>
      <c r="I33" s="312">
        <f t="shared" si="14"/>
        <v>0</v>
      </c>
      <c r="J33" s="445">
        <f t="shared" si="33"/>
        <v>28950954</v>
      </c>
      <c r="K33" s="312">
        <f t="shared" si="15"/>
        <v>0</v>
      </c>
      <c r="L33" s="445">
        <f t="shared" si="34"/>
        <v>24107450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5"/>
        <v>16795.579000000002</v>
      </c>
      <c r="Q33" s="449">
        <f t="shared" si="40"/>
        <v>0</v>
      </c>
      <c r="R33" s="449">
        <f t="shared" si="41"/>
        <v>0</v>
      </c>
      <c r="S33" s="445">
        <f t="shared" si="7"/>
        <v>10150</v>
      </c>
      <c r="T33" s="469">
        <f t="shared" si="42"/>
        <v>0</v>
      </c>
      <c r="U33" s="445">
        <f t="shared" si="8"/>
        <v>425508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6"/>
        <v>35793</v>
      </c>
      <c r="AB33" s="449">
        <f t="shared" si="46"/>
        <v>0</v>
      </c>
      <c r="AC33" s="445">
        <f t="shared" si="37"/>
        <v>933207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-952109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AK1" zoomScale="90" zoomScaleNormal="90" workbookViewId="0">
      <pane ySplit="1" topLeftCell="A14" activePane="bottomLeft" state="frozen"/>
      <selection activeCell="K1" sqref="K1"/>
      <selection pane="bottomLeft" activeCell="AN36" sqref="AN36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27" t="s">
        <v>2</v>
      </c>
      <c r="G1" s="628"/>
      <c r="H1" s="628"/>
      <c r="I1" s="629"/>
      <c r="J1" s="282">
        <f>J37</f>
        <v>70.075925925925915</v>
      </c>
      <c r="K1" s="630" t="s">
        <v>4</v>
      </c>
      <c r="L1" s="631"/>
      <c r="M1" s="631"/>
      <c r="N1" s="631"/>
      <c r="O1" s="632"/>
      <c r="P1" s="621" t="s">
        <v>6</v>
      </c>
      <c r="Q1" s="622"/>
      <c r="R1" s="622"/>
      <c r="S1" s="622"/>
      <c r="T1" s="623"/>
      <c r="U1" s="397"/>
      <c r="V1" s="27" t="s">
        <v>104</v>
      </c>
      <c r="W1" s="398"/>
      <c r="X1" s="621" t="s">
        <v>8</v>
      </c>
      <c r="Y1" s="622"/>
      <c r="Z1" s="622"/>
      <c r="AA1" s="622"/>
      <c r="AB1" s="622"/>
      <c r="AC1" s="624" t="s">
        <v>10</v>
      </c>
      <c r="AD1" s="625"/>
      <c r="AE1" s="625"/>
      <c r="AF1" s="62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9"/>
      <c r="R2" s="62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v>227</v>
      </c>
      <c r="C26" s="64">
        <v>233</v>
      </c>
      <c r="D26" s="45">
        <f t="shared" si="73"/>
        <v>9</v>
      </c>
      <c r="E26" s="45">
        <f t="shared" si="8"/>
        <v>75.42</v>
      </c>
      <c r="F26" s="584">
        <v>1781</v>
      </c>
      <c r="G26" s="52">
        <f t="shared" si="0"/>
        <v>3</v>
      </c>
      <c r="H26" s="584">
        <v>8828</v>
      </c>
      <c r="I26" s="396">
        <f t="shared" si="1"/>
        <v>216</v>
      </c>
      <c r="J26" s="66">
        <f t="shared" si="9"/>
        <v>72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v>2028</v>
      </c>
      <c r="Q26" s="584">
        <v>171035</v>
      </c>
      <c r="R26" s="395">
        <f t="shared" si="50"/>
        <v>123</v>
      </c>
      <c r="S26" s="52">
        <f t="shared" si="4"/>
        <v>2</v>
      </c>
      <c r="T26" s="67">
        <f t="shared" si="30"/>
        <v>0</v>
      </c>
      <c r="U26" s="402">
        <f t="shared" si="12"/>
        <v>5</v>
      </c>
      <c r="V26" s="62">
        <f t="shared" si="13"/>
        <v>339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339</v>
      </c>
      <c r="AJ26" s="318">
        <f>-tanks!AW27</f>
        <v>339</v>
      </c>
      <c r="AK26" s="318">
        <f t="shared" si="20"/>
        <v>0</v>
      </c>
      <c r="AL26" s="318">
        <f t="shared" si="7"/>
        <v>5</v>
      </c>
      <c r="AM26" s="318">
        <f t="shared" si="21"/>
        <v>0</v>
      </c>
      <c r="AN26" s="584">
        <f t="shared" ref="AN26:AP26" si="91">AN25</f>
        <v>67</v>
      </c>
      <c r="AO26" s="320">
        <f t="shared" si="23"/>
        <v>2010.0000000000002</v>
      </c>
      <c r="AP26" s="584">
        <f t="shared" si="91"/>
        <v>55</v>
      </c>
      <c r="AQ26" s="320">
        <f t="shared" si="89"/>
        <v>1650.0000000000002</v>
      </c>
      <c r="AR26" s="584">
        <f t="shared" ref="AR26" si="92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v>217</v>
      </c>
      <c r="C27" s="64">
        <v>223</v>
      </c>
      <c r="D27" s="45">
        <f t="shared" si="73"/>
        <v>10</v>
      </c>
      <c r="E27" s="45">
        <f t="shared" si="8"/>
        <v>83.800000000000011</v>
      </c>
      <c r="F27" s="584">
        <v>1783</v>
      </c>
      <c r="G27" s="52">
        <f t="shared" si="0"/>
        <v>2</v>
      </c>
      <c r="H27" s="584">
        <v>8970</v>
      </c>
      <c r="I27" s="396">
        <f t="shared" si="1"/>
        <v>142</v>
      </c>
      <c r="J27" s="66">
        <f t="shared" si="9"/>
        <v>71</v>
      </c>
      <c r="K27" s="584">
        <v>2274</v>
      </c>
      <c r="L27" s="52">
        <f t="shared" si="10"/>
        <v>3</v>
      </c>
      <c r="M27" s="584">
        <v>167378</v>
      </c>
      <c r="N27" s="396">
        <f t="shared" si="2"/>
        <v>197</v>
      </c>
      <c r="O27" s="64">
        <f t="shared" si="11"/>
        <v>1869</v>
      </c>
      <c r="P27" s="584">
        <f t="shared" si="65"/>
        <v>2028</v>
      </c>
      <c r="Q27" s="584">
        <f t="shared" si="49"/>
        <v>171035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5</v>
      </c>
      <c r="V27" s="62">
        <f t="shared" si="13"/>
        <v>339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339</v>
      </c>
      <c r="AJ27" s="318">
        <f>-tanks!AW28</f>
        <v>339</v>
      </c>
      <c r="AK27" s="318">
        <f t="shared" si="20"/>
        <v>0</v>
      </c>
      <c r="AL27" s="318">
        <f t="shared" si="7"/>
        <v>5</v>
      </c>
      <c r="AM27" s="318">
        <f t="shared" si="21"/>
        <v>0</v>
      </c>
      <c r="AN27" s="584">
        <f t="shared" ref="AN27:AP27" si="93">AN26</f>
        <v>67</v>
      </c>
      <c r="AO27" s="320">
        <f>(AN27/100)*3000</f>
        <v>2010.0000000000002</v>
      </c>
      <c r="AP27" s="584">
        <f t="shared" si="93"/>
        <v>55</v>
      </c>
      <c r="AQ27" s="320">
        <f t="shared" si="89"/>
        <v>1650.0000000000002</v>
      </c>
      <c r="AR27" s="584">
        <f t="shared" ref="AR27" si="94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v>207</v>
      </c>
      <c r="C28" s="64">
        <v>214</v>
      </c>
      <c r="D28" s="45">
        <f t="shared" si="73"/>
        <v>9</v>
      </c>
      <c r="E28" s="45">
        <f t="shared" si="8"/>
        <v>75.42</v>
      </c>
      <c r="F28" s="584">
        <f t="shared" si="28"/>
        <v>1783</v>
      </c>
      <c r="G28" s="52">
        <f t="shared" si="0"/>
        <v>0</v>
      </c>
      <c r="H28" s="584">
        <f t="shared" si="29"/>
        <v>8970</v>
      </c>
      <c r="I28" s="396">
        <f t="shared" si="1"/>
        <v>0</v>
      </c>
      <c r="J28" s="66">
        <f t="shared" si="9"/>
        <v>0</v>
      </c>
      <c r="K28" s="584">
        <v>2275</v>
      </c>
      <c r="L28" s="52">
        <f t="shared" si="10"/>
        <v>1</v>
      </c>
      <c r="M28" s="584">
        <v>167497</v>
      </c>
      <c r="N28" s="396">
        <f t="shared" si="2"/>
        <v>119</v>
      </c>
      <c r="O28" s="64">
        <f t="shared" si="11"/>
        <v>1869</v>
      </c>
      <c r="P28" s="584">
        <v>2032</v>
      </c>
      <c r="Q28" s="584">
        <v>171374</v>
      </c>
      <c r="R28" s="395">
        <f t="shared" si="50"/>
        <v>339</v>
      </c>
      <c r="S28" s="52">
        <f t="shared" si="4"/>
        <v>4</v>
      </c>
      <c r="T28" s="67">
        <f t="shared" si="30"/>
        <v>0</v>
      </c>
      <c r="U28" s="402">
        <f t="shared" si="12"/>
        <v>5</v>
      </c>
      <c r="V28" s="62">
        <f t="shared" si="13"/>
        <v>458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458</v>
      </c>
      <c r="AJ28" s="318">
        <f>-tanks!AW29</f>
        <v>458</v>
      </c>
      <c r="AK28" s="318">
        <f t="shared" si="20"/>
        <v>0</v>
      </c>
      <c r="AL28" s="318">
        <f t="shared" si="7"/>
        <v>5</v>
      </c>
      <c r="AM28" s="318">
        <f t="shared" si="21"/>
        <v>0</v>
      </c>
      <c r="AN28" s="584">
        <f t="shared" ref="AN28:AP28" si="95">AN27</f>
        <v>67</v>
      </c>
      <c r="AO28" s="320">
        <f t="shared" ref="AO28:AO32" si="96">(AN28/100)*3000</f>
        <v>2010.0000000000002</v>
      </c>
      <c r="AP28" s="584">
        <f t="shared" si="95"/>
        <v>55</v>
      </c>
      <c r="AQ28" s="320">
        <f t="shared" si="89"/>
        <v>1650.0000000000002</v>
      </c>
      <c r="AR28" s="584">
        <f t="shared" ref="AR28" si="97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v>197</v>
      </c>
      <c r="C29" s="64">
        <v>204</v>
      </c>
      <c r="D29" s="45">
        <f t="shared" si="73"/>
        <v>10</v>
      </c>
      <c r="E29" s="45">
        <f t="shared" si="8"/>
        <v>83.800000000000011</v>
      </c>
      <c r="F29" s="584">
        <v>1786</v>
      </c>
      <c r="G29" s="52">
        <f t="shared" si="0"/>
        <v>3</v>
      </c>
      <c r="H29" s="584">
        <v>9238</v>
      </c>
      <c r="I29" s="396">
        <f t="shared" si="1"/>
        <v>268</v>
      </c>
      <c r="J29" s="66">
        <f t="shared" si="9"/>
        <v>89.333333333333329</v>
      </c>
      <c r="K29" s="584">
        <f t="shared" si="41"/>
        <v>2275</v>
      </c>
      <c r="L29" s="52">
        <f t="shared" si="10"/>
        <v>0</v>
      </c>
      <c r="M29" s="584">
        <f t="shared" si="42"/>
        <v>167497</v>
      </c>
      <c r="N29" s="396">
        <f t="shared" si="2"/>
        <v>0</v>
      </c>
      <c r="O29" s="64">
        <f t="shared" si="11"/>
        <v>1869</v>
      </c>
      <c r="P29" s="584">
        <v>2035</v>
      </c>
      <c r="Q29" s="584">
        <v>171554</v>
      </c>
      <c r="R29" s="395">
        <f t="shared" si="50"/>
        <v>180</v>
      </c>
      <c r="S29" s="52">
        <f t="shared" si="4"/>
        <v>3</v>
      </c>
      <c r="T29" s="67">
        <f t="shared" si="30"/>
        <v>0</v>
      </c>
      <c r="U29" s="402">
        <f t="shared" si="12"/>
        <v>6</v>
      </c>
      <c r="V29" s="62">
        <f t="shared" si="13"/>
        <v>448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448</v>
      </c>
      <c r="AJ29" s="318">
        <f>-tanks!AW30</f>
        <v>448</v>
      </c>
      <c r="AK29" s="318">
        <f t="shared" si="20"/>
        <v>0</v>
      </c>
      <c r="AL29" s="318">
        <f t="shared" si="7"/>
        <v>6</v>
      </c>
      <c r="AM29" s="318">
        <f t="shared" si="21"/>
        <v>0</v>
      </c>
      <c r="AN29" s="584">
        <f t="shared" ref="AN29:AP29" si="98">AN28</f>
        <v>67</v>
      </c>
      <c r="AO29" s="320">
        <f t="shared" si="96"/>
        <v>2010.0000000000002</v>
      </c>
      <c r="AP29" s="584">
        <f t="shared" si="98"/>
        <v>55</v>
      </c>
      <c r="AQ29" s="320">
        <f t="shared" si="89"/>
        <v>1650.0000000000002</v>
      </c>
      <c r="AR29" s="584">
        <f t="shared" ref="AR29" si="99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v>187.5</v>
      </c>
      <c r="C30" s="64">
        <v>193.5</v>
      </c>
      <c r="D30" s="45">
        <f t="shared" si="73"/>
        <v>10.5</v>
      </c>
      <c r="E30" s="45">
        <f t="shared" si="8"/>
        <v>87.990000000000009</v>
      </c>
      <c r="F30" s="584">
        <v>1788</v>
      </c>
      <c r="G30" s="52">
        <f t="shared" si="0"/>
        <v>2</v>
      </c>
      <c r="H30" s="584">
        <v>9368</v>
      </c>
      <c r="I30" s="396">
        <f t="shared" si="1"/>
        <v>130</v>
      </c>
      <c r="J30" s="66">
        <f t="shared" si="9"/>
        <v>65</v>
      </c>
      <c r="K30" s="584">
        <v>2279</v>
      </c>
      <c r="L30" s="52">
        <f t="shared" si="10"/>
        <v>4</v>
      </c>
      <c r="M30" s="584">
        <v>167792</v>
      </c>
      <c r="N30" s="396">
        <f t="shared" si="2"/>
        <v>295</v>
      </c>
      <c r="O30" s="64">
        <f t="shared" si="11"/>
        <v>1869</v>
      </c>
      <c r="P30" s="584">
        <f t="shared" si="65"/>
        <v>2035</v>
      </c>
      <c r="Q30" s="584">
        <f t="shared" si="49"/>
        <v>171554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6</v>
      </c>
      <c r="V30" s="62">
        <f t="shared" si="13"/>
        <v>425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425</v>
      </c>
      <c r="AJ30" s="318">
        <f>-tanks!AW31</f>
        <v>425</v>
      </c>
      <c r="AK30" s="318">
        <f t="shared" si="20"/>
        <v>0</v>
      </c>
      <c r="AL30" s="318">
        <f t="shared" si="7"/>
        <v>6</v>
      </c>
      <c r="AM30" s="318">
        <f t="shared" si="21"/>
        <v>0</v>
      </c>
      <c r="AN30" s="584">
        <f t="shared" ref="AN30:AP30" si="100">AN29</f>
        <v>67</v>
      </c>
      <c r="AO30" s="320">
        <f t="shared" si="96"/>
        <v>2010.0000000000002</v>
      </c>
      <c r="AP30" s="584">
        <f t="shared" si="100"/>
        <v>55</v>
      </c>
      <c r="AQ30" s="320">
        <f t="shared" si="89"/>
        <v>1650.0000000000002</v>
      </c>
      <c r="AR30" s="584">
        <f t="shared" ref="AR30" si="101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ref="B31:B35" si="102">B30</f>
        <v>187.5</v>
      </c>
      <c r="C31" s="64">
        <f t="shared" ref="C31:C35" si="103">C30</f>
        <v>193.5</v>
      </c>
      <c r="D31" s="45">
        <f t="shared" si="73"/>
        <v>0</v>
      </c>
      <c r="E31" s="45">
        <f t="shared" si="8"/>
        <v>0</v>
      </c>
      <c r="F31" s="584">
        <f t="shared" si="28"/>
        <v>1788</v>
      </c>
      <c r="G31" s="52">
        <f t="shared" si="0"/>
        <v>0</v>
      </c>
      <c r="H31" s="584">
        <f t="shared" si="29"/>
        <v>9368</v>
      </c>
      <c r="I31" s="396">
        <f t="shared" si="1"/>
        <v>0</v>
      </c>
      <c r="J31" s="66">
        <f t="shared" si="9"/>
        <v>0</v>
      </c>
      <c r="K31" s="584">
        <f t="shared" si="41"/>
        <v>2279</v>
      </c>
      <c r="L31" s="52">
        <f t="shared" si="10"/>
        <v>0</v>
      </c>
      <c r="M31" s="584">
        <f t="shared" si="42"/>
        <v>167792</v>
      </c>
      <c r="N31" s="396">
        <f t="shared" si="2"/>
        <v>0</v>
      </c>
      <c r="O31" s="64">
        <f t="shared" si="11"/>
        <v>1869</v>
      </c>
      <c r="P31" s="584">
        <f t="shared" si="65"/>
        <v>2035</v>
      </c>
      <c r="Q31" s="584">
        <f t="shared" si="49"/>
        <v>171554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6"/>
        <v>2010.0000000000002</v>
      </c>
      <c r="AP31" s="584">
        <f t="shared" si="104"/>
        <v>55</v>
      </c>
      <c r="AQ31" s="320">
        <f t="shared" si="89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102"/>
        <v>187.5</v>
      </c>
      <c r="C32" s="64">
        <f t="shared" si="103"/>
        <v>193.5</v>
      </c>
      <c r="D32" s="45">
        <f t="shared" si="27"/>
        <v>0</v>
      </c>
      <c r="E32" s="45">
        <f t="shared" ref="E32" si="106">D32*8.38</f>
        <v>0</v>
      </c>
      <c r="F32" s="584">
        <f t="shared" si="28"/>
        <v>1788</v>
      </c>
      <c r="G32" s="52">
        <f t="shared" si="0"/>
        <v>0</v>
      </c>
      <c r="H32" s="584">
        <f t="shared" si="29"/>
        <v>9368</v>
      </c>
      <c r="I32" s="396">
        <f t="shared" si="1"/>
        <v>0</v>
      </c>
      <c r="J32" s="66">
        <f t="shared" si="9"/>
        <v>0</v>
      </c>
      <c r="K32" s="584">
        <f t="shared" si="41"/>
        <v>2279</v>
      </c>
      <c r="L32" s="52">
        <f t="shared" si="10"/>
        <v>0</v>
      </c>
      <c r="M32" s="584">
        <f t="shared" si="42"/>
        <v>167792</v>
      </c>
      <c r="N32" s="396">
        <f t="shared" si="2"/>
        <v>0</v>
      </c>
      <c r="O32" s="64">
        <f t="shared" si="11"/>
        <v>1869</v>
      </c>
      <c r="P32" s="584">
        <f t="shared" si="65"/>
        <v>2035</v>
      </c>
      <c r="Q32" s="584">
        <f t="shared" si="49"/>
        <v>171554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6"/>
        <v>2010.0000000000002</v>
      </c>
      <c r="AP32" s="584">
        <f t="shared" si="107"/>
        <v>55</v>
      </c>
      <c r="AQ32" s="320">
        <f t="shared" si="89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102"/>
        <v>187.5</v>
      </c>
      <c r="C33" s="64">
        <f t="shared" si="103"/>
        <v>193.5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1788</v>
      </c>
      <c r="G33" s="52">
        <f t="shared" ref="G33:G35" si="111">F33-F32</f>
        <v>0</v>
      </c>
      <c r="H33" s="584">
        <f t="shared" si="29"/>
        <v>9368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2279</v>
      </c>
      <c r="L33" s="52">
        <f t="shared" ref="L33:L35" si="114">K33-K32</f>
        <v>0</v>
      </c>
      <c r="M33" s="584">
        <f t="shared" si="42"/>
        <v>167792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2035</v>
      </c>
      <c r="Q33" s="584">
        <f t="shared" si="49"/>
        <v>171554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102"/>
        <v>187.5</v>
      </c>
      <c r="C34" s="64">
        <f t="shared" si="103"/>
        <v>193.5</v>
      </c>
      <c r="D34" s="45">
        <f t="shared" si="109"/>
        <v>0</v>
      </c>
      <c r="E34" s="45">
        <f t="shared" si="110"/>
        <v>0</v>
      </c>
      <c r="F34" s="584">
        <f t="shared" si="28"/>
        <v>1788</v>
      </c>
      <c r="G34" s="52">
        <f t="shared" si="111"/>
        <v>0</v>
      </c>
      <c r="H34" s="584">
        <f t="shared" si="29"/>
        <v>9368</v>
      </c>
      <c r="I34" s="396">
        <f t="shared" si="112"/>
        <v>0</v>
      </c>
      <c r="J34" s="66">
        <f t="shared" si="113"/>
        <v>0</v>
      </c>
      <c r="K34" s="584">
        <f t="shared" si="41"/>
        <v>2279</v>
      </c>
      <c r="L34" s="52">
        <f t="shared" si="114"/>
        <v>0</v>
      </c>
      <c r="M34" s="584">
        <f t="shared" si="42"/>
        <v>167792</v>
      </c>
      <c r="N34" s="396">
        <f t="shared" si="115"/>
        <v>0</v>
      </c>
      <c r="O34" s="64">
        <f t="shared" ref="O34" si="141">O33</f>
        <v>1869</v>
      </c>
      <c r="P34" s="584">
        <f t="shared" si="65"/>
        <v>2035</v>
      </c>
      <c r="Q34" s="584">
        <f t="shared" si="49"/>
        <v>171554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102"/>
        <v>187.5</v>
      </c>
      <c r="C35" s="64">
        <f t="shared" si="103"/>
        <v>193.5</v>
      </c>
      <c r="D35" s="45">
        <f t="shared" si="109"/>
        <v>0</v>
      </c>
      <c r="E35" s="45">
        <f t="shared" si="110"/>
        <v>0</v>
      </c>
      <c r="F35" s="584">
        <f t="shared" si="28"/>
        <v>1788</v>
      </c>
      <c r="G35" s="52">
        <f t="shared" si="111"/>
        <v>0</v>
      </c>
      <c r="H35" s="584">
        <f t="shared" si="29"/>
        <v>9368</v>
      </c>
      <c r="I35" s="396">
        <f t="shared" si="112"/>
        <v>0</v>
      </c>
      <c r="J35" s="66">
        <f t="shared" si="113"/>
        <v>0</v>
      </c>
      <c r="K35" s="584">
        <f t="shared" si="41"/>
        <v>2279</v>
      </c>
      <c r="L35" s="52">
        <f t="shared" si="114"/>
        <v>0</v>
      </c>
      <c r="M35" s="584">
        <f t="shared" si="42"/>
        <v>167792</v>
      </c>
      <c r="N35" s="396">
        <f t="shared" si="115"/>
        <v>0</v>
      </c>
      <c r="O35" s="64">
        <f t="shared" ref="O35" si="144">O34</f>
        <v>1869</v>
      </c>
      <c r="P35" s="584">
        <f t="shared" si="65"/>
        <v>2035</v>
      </c>
      <c r="Q35" s="584">
        <f t="shared" si="49"/>
        <v>171554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70.075925925925915</v>
      </c>
      <c r="V37" s="62">
        <f>SUM(V5:V32)</f>
        <v>8025</v>
      </c>
      <c r="AE37" s="71" t="s">
        <v>383</v>
      </c>
      <c r="AG37" s="344"/>
      <c r="AH37" s="62">
        <f>SUM(AH5:AH32)</f>
        <v>443</v>
      </c>
      <c r="AL37" s="62">
        <f>SUM(AL5:AL32)</f>
        <v>106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8468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Y1" zoomScaleNormal="100" workbookViewId="0">
      <pane ySplit="3" topLeftCell="A25" activePane="bottomLeft" state="frozen"/>
      <selection pane="bottomLeft" activeCell="AO31" sqref="AO31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8022945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6" t="s">
        <v>95</v>
      </c>
      <c r="AS2" s="637"/>
      <c r="AT2" s="637"/>
      <c r="AU2" s="637"/>
      <c r="AV2" s="638"/>
      <c r="AW2" s="636" t="s">
        <v>96</v>
      </c>
      <c r="AX2" s="637"/>
      <c r="AY2" s="638"/>
      <c r="AZ2" s="636" t="s">
        <v>98</v>
      </c>
      <c r="BA2" s="637"/>
      <c r="BB2" s="63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3" t="s">
        <v>126</v>
      </c>
      <c r="AO3" s="634"/>
      <c r="AP3" s="63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v>617242</v>
      </c>
      <c r="H27" s="5">
        <f t="shared" si="14"/>
        <v>372</v>
      </c>
      <c r="I27" s="5">
        <f t="shared" si="0"/>
        <v>372</v>
      </c>
      <c r="J27" s="334">
        <f t="shared" si="1"/>
        <v>0.65036420395421435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v>150808</v>
      </c>
      <c r="Y27" s="324">
        <f>SUM(X27-X26)</f>
        <v>113</v>
      </c>
      <c r="Z27" s="5">
        <v>98640</v>
      </c>
      <c r="AA27" s="83">
        <f t="shared" si="21"/>
        <v>25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25</v>
      </c>
      <c r="AK27" s="327">
        <f t="shared" si="38"/>
        <v>113</v>
      </c>
      <c r="AL27" s="327">
        <f t="shared" si="30"/>
        <v>25</v>
      </c>
      <c r="AM27" s="327">
        <f>'General information '!D27</f>
        <v>20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v>107</v>
      </c>
      <c r="AU27" s="425">
        <f t="shared" si="41"/>
        <v>1.1000000000000001</v>
      </c>
      <c r="AV27" s="201">
        <v>177</v>
      </c>
      <c r="AW27" s="5">
        <v>2.9</v>
      </c>
      <c r="AX27" s="201">
        <v>145</v>
      </c>
      <c r="AY27" s="426">
        <f t="shared" si="7"/>
        <v>96.3</v>
      </c>
      <c r="AZ27" s="426">
        <f t="shared" si="32"/>
        <v>194.70000000000002</v>
      </c>
      <c r="BA27" s="426">
        <f t="shared" si="33"/>
        <v>420.5</v>
      </c>
      <c r="BB27" s="21">
        <f t="shared" si="34"/>
        <v>27</v>
      </c>
      <c r="BC27" s="21">
        <f t="shared" si="34"/>
        <v>11</v>
      </c>
      <c r="BD27" s="21">
        <f t="shared" si="34"/>
        <v>49.300000000000011</v>
      </c>
      <c r="BE27" s="24">
        <f t="shared" si="36"/>
        <v>87.300000000000011</v>
      </c>
      <c r="BF27" s="96">
        <f t="shared" si="8"/>
        <v>284.7</v>
      </c>
      <c r="BG27" s="82">
        <f t="shared" si="9"/>
        <v>87.300000000000011</v>
      </c>
    </row>
    <row r="28" spans="1:61" ht="1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617242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150808</v>
      </c>
      <c r="Y28" s="324">
        <f t="shared" si="40"/>
        <v>0</v>
      </c>
      <c r="Z28" s="5">
        <f t="shared" si="46"/>
        <v>98640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25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107</v>
      </c>
      <c r="AU28" s="425">
        <f t="shared" si="41"/>
        <v>1.1000000000000001</v>
      </c>
      <c r="AV28" s="201">
        <v>172</v>
      </c>
      <c r="AW28" s="5">
        <v>2.9</v>
      </c>
      <c r="AX28" s="201">
        <v>135</v>
      </c>
      <c r="AY28" s="426">
        <f t="shared" si="7"/>
        <v>96.3</v>
      </c>
      <c r="AZ28" s="426">
        <f t="shared" si="32"/>
        <v>189.20000000000002</v>
      </c>
      <c r="BA28" s="426">
        <f t="shared" si="33"/>
        <v>391.5</v>
      </c>
      <c r="BB28" s="21">
        <f t="shared" si="34"/>
        <v>0</v>
      </c>
      <c r="BC28" s="21">
        <f t="shared" si="34"/>
        <v>-5.5</v>
      </c>
      <c r="BD28" s="21">
        <f t="shared" si="34"/>
        <v>-29</v>
      </c>
      <c r="BE28" s="24">
        <f t="shared" si="36"/>
        <v>-34.5</v>
      </c>
      <c r="BF28" s="96">
        <f t="shared" si="8"/>
        <v>34.5</v>
      </c>
      <c r="BG28" s="82">
        <f t="shared" si="9"/>
        <v>-34.5</v>
      </c>
    </row>
    <row r="29" spans="1:61" ht="1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v>617532</v>
      </c>
      <c r="H29" s="5">
        <f t="shared" si="14"/>
        <v>290</v>
      </c>
      <c r="I29" s="5">
        <f t="shared" si="0"/>
        <v>290</v>
      </c>
      <c r="J29" s="334">
        <f t="shared" si="1"/>
        <v>0.83426028921023365</v>
      </c>
      <c r="K29" s="5">
        <f>'Swimming Pool quality check '!H29</f>
        <v>6732</v>
      </c>
      <c r="L29" s="274">
        <f t="shared" si="39"/>
        <v>1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v>151040</v>
      </c>
      <c r="Y29" s="324">
        <f t="shared" si="40"/>
        <v>232</v>
      </c>
      <c r="Z29" s="5">
        <v>98647</v>
      </c>
      <c r="AA29" s="83">
        <f t="shared" si="21"/>
        <v>7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7</v>
      </c>
      <c r="AK29" s="327">
        <f t="shared" si="38"/>
        <v>231</v>
      </c>
      <c r="AL29" s="327">
        <f t="shared" si="30"/>
        <v>7</v>
      </c>
      <c r="AM29" s="327">
        <f>'General information '!D29</f>
        <v>13.5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v>56</v>
      </c>
      <c r="AU29" s="425">
        <f t="shared" si="41"/>
        <v>1.1000000000000001</v>
      </c>
      <c r="AV29" s="201">
        <v>174</v>
      </c>
      <c r="AW29" s="5">
        <v>2.9</v>
      </c>
      <c r="AX29" s="201">
        <v>187</v>
      </c>
      <c r="AY29" s="426">
        <f t="shared" si="7"/>
        <v>50.4</v>
      </c>
      <c r="AZ29" s="426">
        <f t="shared" si="32"/>
        <v>191.4</v>
      </c>
      <c r="BA29" s="426">
        <f t="shared" si="33"/>
        <v>542.29999999999995</v>
      </c>
      <c r="BB29" s="21">
        <f t="shared" si="34"/>
        <v>-45.9</v>
      </c>
      <c r="BC29" s="21">
        <f t="shared" si="34"/>
        <v>2.1999999999999886</v>
      </c>
      <c r="BD29" s="21">
        <f t="shared" si="34"/>
        <v>150.79999999999995</v>
      </c>
      <c r="BE29" s="24">
        <f t="shared" si="36"/>
        <v>107.09999999999994</v>
      </c>
      <c r="BF29" s="96">
        <f t="shared" si="8"/>
        <v>182.90000000000006</v>
      </c>
      <c r="BG29" s="82">
        <f t="shared" si="9"/>
        <v>107.09999999999994</v>
      </c>
    </row>
    <row r="30" spans="1:61" ht="1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617532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6733</v>
      </c>
      <c r="L30" s="274">
        <f t="shared" si="39"/>
        <v>1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151040</v>
      </c>
      <c r="Y30" s="324">
        <f t="shared" si="40"/>
        <v>0</v>
      </c>
      <c r="Z30" s="5">
        <f t="shared" si="46"/>
        <v>98647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-1</v>
      </c>
      <c r="AL30" s="327">
        <f t="shared" si="30"/>
        <v>0</v>
      </c>
      <c r="AM30" s="327">
        <f>'General information '!D30</f>
        <v>13.5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v>56</v>
      </c>
      <c r="AU30" s="425">
        <f t="shared" si="41"/>
        <v>1.1000000000000001</v>
      </c>
      <c r="AV30" s="201">
        <v>170</v>
      </c>
      <c r="AW30" s="5">
        <v>2.9</v>
      </c>
      <c r="AX30" s="201">
        <v>174</v>
      </c>
      <c r="AY30" s="426">
        <f t="shared" si="7"/>
        <v>50.4</v>
      </c>
      <c r="AZ30" s="426">
        <f t="shared" si="32"/>
        <v>187.00000000000003</v>
      </c>
      <c r="BA30" s="426">
        <f t="shared" si="33"/>
        <v>504.59999999999997</v>
      </c>
      <c r="BB30" s="21">
        <f t="shared" si="34"/>
        <v>0</v>
      </c>
      <c r="BC30" s="21">
        <f t="shared" si="34"/>
        <v>-4.3999999999999773</v>
      </c>
      <c r="BD30" s="21">
        <f t="shared" si="34"/>
        <v>-37.699999999999989</v>
      </c>
      <c r="BE30" s="24">
        <f t="shared" si="36"/>
        <v>-42.099999999999966</v>
      </c>
      <c r="BF30" s="96">
        <f t="shared" si="8"/>
        <v>42.099999999999966</v>
      </c>
      <c r="BG30" s="82">
        <f t="shared" si="9"/>
        <v>-42.099999999999966</v>
      </c>
    </row>
    <row r="31" spans="1:61" ht="1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v>617781</v>
      </c>
      <c r="H31" s="5">
        <f t="shared" si="14"/>
        <v>249</v>
      </c>
      <c r="I31" s="5">
        <f t="shared" si="0"/>
        <v>249</v>
      </c>
      <c r="J31" s="334">
        <f t="shared" si="1"/>
        <v>0.97162844928099501</v>
      </c>
      <c r="K31" s="5">
        <f>'Swimming Pool quality check '!H31</f>
        <v>6733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v>469</v>
      </c>
      <c r="W31" s="324">
        <f t="shared" si="19"/>
        <v>8</v>
      </c>
      <c r="X31" s="5">
        <v>151103</v>
      </c>
      <c r="Y31" s="324">
        <f t="shared" si="40"/>
        <v>63</v>
      </c>
      <c r="Z31" s="5">
        <f t="shared" si="46"/>
        <v>98647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63</v>
      </c>
      <c r="AL31" s="327">
        <f t="shared" si="30"/>
        <v>-8</v>
      </c>
      <c r="AM31" s="327">
        <f>'General information '!D31</f>
        <v>13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v>149</v>
      </c>
      <c r="AU31" s="425">
        <f t="shared" si="41"/>
        <v>1.1000000000000001</v>
      </c>
      <c r="AV31" s="201">
        <v>169</v>
      </c>
      <c r="AW31" s="5">
        <v>2.9</v>
      </c>
      <c r="AX31" s="201">
        <v>186</v>
      </c>
      <c r="AY31" s="426">
        <f t="shared" si="7"/>
        <v>134.1</v>
      </c>
      <c r="AZ31" s="426">
        <f t="shared" si="32"/>
        <v>185.9</v>
      </c>
      <c r="BA31" s="426">
        <f t="shared" si="33"/>
        <v>539.4</v>
      </c>
      <c r="BB31" s="21">
        <f t="shared" si="34"/>
        <v>83.699999999999989</v>
      </c>
      <c r="BC31" s="21">
        <f t="shared" si="34"/>
        <v>-1.1000000000000227</v>
      </c>
      <c r="BD31" s="21">
        <f t="shared" si="34"/>
        <v>34.800000000000011</v>
      </c>
      <c r="BE31" s="24">
        <f t="shared" si="36"/>
        <v>117.39999999999998</v>
      </c>
      <c r="BF31" s="96">
        <f t="shared" si="8"/>
        <v>131.60000000000002</v>
      </c>
      <c r="BG31" s="82">
        <f t="shared" si="9"/>
        <v>117.39999999999998</v>
      </c>
    </row>
    <row r="32" spans="1:61" ht="1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617781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6733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469</v>
      </c>
      <c r="W32" s="324">
        <f t="shared" si="19"/>
        <v>0</v>
      </c>
      <c r="X32" s="5">
        <f t="shared" si="20"/>
        <v>151103</v>
      </c>
      <c r="Y32" s="324">
        <f t="shared" si="40"/>
        <v>0</v>
      </c>
      <c r="Z32" s="5">
        <f t="shared" si="46"/>
        <v>98647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149</v>
      </c>
      <c r="AU32" s="425">
        <f t="shared" si="41"/>
        <v>1.1000000000000001</v>
      </c>
      <c r="AV32" s="201">
        <f t="shared" si="47"/>
        <v>169</v>
      </c>
      <c r="AW32" s="5">
        <v>2.9</v>
      </c>
      <c r="AX32" s="201">
        <f t="shared" si="42"/>
        <v>186</v>
      </c>
      <c r="AY32" s="426">
        <f t="shared" si="7"/>
        <v>134.1</v>
      </c>
      <c r="AZ32" s="426">
        <f t="shared" si="32"/>
        <v>185.9</v>
      </c>
      <c r="BA32" s="426">
        <f t="shared" si="33"/>
        <v>539.4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617781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6733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469</v>
      </c>
      <c r="W33" s="324">
        <f t="shared" si="19"/>
        <v>0</v>
      </c>
      <c r="X33" s="5">
        <f t="shared" si="20"/>
        <v>151103</v>
      </c>
      <c r="Y33" s="324">
        <f t="shared" si="40"/>
        <v>0</v>
      </c>
      <c r="Z33" s="5">
        <f t="shared" si="46"/>
        <v>98647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149</v>
      </c>
      <c r="AU33" s="425">
        <f t="shared" si="41"/>
        <v>1.1000000000000001</v>
      </c>
      <c r="AV33" s="201">
        <f t="shared" si="47"/>
        <v>169</v>
      </c>
      <c r="AW33" s="5">
        <v>2.9</v>
      </c>
      <c r="AX33" s="201">
        <f t="shared" si="42"/>
        <v>186</v>
      </c>
      <c r="AY33" s="426">
        <f t="shared" si="7"/>
        <v>134.1</v>
      </c>
      <c r="AZ33" s="426">
        <f t="shared" si="32"/>
        <v>185.9</v>
      </c>
      <c r="BA33" s="426">
        <f t="shared" si="33"/>
        <v>539.4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617781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6733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5170</v>
      </c>
      <c r="U34" s="5">
        <f t="shared" ref="U34:U36" si="65">SUM(T34-T33)</f>
        <v>0</v>
      </c>
      <c r="V34" s="5">
        <f t="shared" si="18"/>
        <v>469</v>
      </c>
      <c r="W34" s="324">
        <f t="shared" ref="W34:W36" si="66">+V34-V33</f>
        <v>0</v>
      </c>
      <c r="X34" s="5">
        <f t="shared" si="20"/>
        <v>151103</v>
      </c>
      <c r="Y34" s="324">
        <f t="shared" ref="Y34:Y36" si="67">SUM(X34-X33)</f>
        <v>0</v>
      </c>
      <c r="Z34" s="5">
        <f t="shared" si="46"/>
        <v>98647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149</v>
      </c>
      <c r="AU34" s="425">
        <f t="shared" ref="AU34" si="78">AU33</f>
        <v>1.1000000000000001</v>
      </c>
      <c r="AV34" s="201">
        <f t="shared" si="47"/>
        <v>169</v>
      </c>
      <c r="AW34" s="5">
        <v>2.9</v>
      </c>
      <c r="AX34" s="201">
        <f t="shared" si="42"/>
        <v>186</v>
      </c>
      <c r="AY34" s="426">
        <f t="shared" ref="AY34:AY36" si="79">AS34*AT34</f>
        <v>134.1</v>
      </c>
      <c r="AZ34" s="426">
        <f t="shared" ref="AZ34:AZ36" si="80">AU34*AV34</f>
        <v>185.9</v>
      </c>
      <c r="BA34" s="426">
        <f t="shared" ref="BA34:BA36" si="81">AW34*AX34</f>
        <v>539.4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617781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6733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5170</v>
      </c>
      <c r="U35" s="5">
        <f t="shared" si="65"/>
        <v>0</v>
      </c>
      <c r="V35" s="5">
        <f t="shared" si="18"/>
        <v>469</v>
      </c>
      <c r="W35" s="324">
        <f t="shared" si="66"/>
        <v>0</v>
      </c>
      <c r="X35" s="5">
        <f t="shared" si="20"/>
        <v>151103</v>
      </c>
      <c r="Y35" s="324">
        <f t="shared" si="67"/>
        <v>0</v>
      </c>
      <c r="Z35" s="5">
        <f t="shared" si="46"/>
        <v>98647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149</v>
      </c>
      <c r="AU35" s="425">
        <f t="shared" ref="AU35" si="89">AU34</f>
        <v>1.1000000000000001</v>
      </c>
      <c r="AV35" s="201">
        <f t="shared" si="47"/>
        <v>169</v>
      </c>
      <c r="AW35" s="5">
        <v>2.9</v>
      </c>
      <c r="AX35" s="201">
        <f t="shared" si="42"/>
        <v>186</v>
      </c>
      <c r="AY35" s="426">
        <f t="shared" si="79"/>
        <v>134.1</v>
      </c>
      <c r="AZ35" s="426">
        <f t="shared" si="80"/>
        <v>185.9</v>
      </c>
      <c r="BA35" s="426">
        <f t="shared" si="81"/>
        <v>539.4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617781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6733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5170</v>
      </c>
      <c r="U36" s="5">
        <f t="shared" si="65"/>
        <v>0</v>
      </c>
      <c r="V36" s="5">
        <f t="shared" si="18"/>
        <v>469</v>
      </c>
      <c r="W36" s="324">
        <f t="shared" si="66"/>
        <v>0</v>
      </c>
      <c r="X36" s="5">
        <f t="shared" si="20"/>
        <v>151103</v>
      </c>
      <c r="Y36" s="324">
        <f t="shared" si="67"/>
        <v>0</v>
      </c>
      <c r="Z36" s="5">
        <f t="shared" si="46"/>
        <v>98647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149</v>
      </c>
      <c r="AU36" s="425">
        <f t="shared" ref="AU36" si="91">AU35</f>
        <v>1.1000000000000001</v>
      </c>
      <c r="AV36" s="201">
        <f t="shared" si="47"/>
        <v>169</v>
      </c>
      <c r="AW36" s="5">
        <v>2.9</v>
      </c>
      <c r="AX36" s="201">
        <f t="shared" si="42"/>
        <v>186</v>
      </c>
      <c r="AY36" s="426">
        <f t="shared" si="79"/>
        <v>134.1</v>
      </c>
      <c r="AZ36" s="426">
        <f t="shared" si="80"/>
        <v>185.9</v>
      </c>
      <c r="BA36" s="426">
        <f t="shared" si="81"/>
        <v>539.4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1629</v>
      </c>
      <c r="I37" s="412">
        <f>SUM(I6:I33)</f>
        <v>1629</v>
      </c>
      <c r="L37" s="268">
        <f>SUM(L7:L33)</f>
        <v>12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166</v>
      </c>
      <c r="AK37" s="327" t="e">
        <f>SUM(Y37-L37)</f>
        <v>#REF!</v>
      </c>
      <c r="AL37" s="322">
        <f>SUM(AL6:AL33)</f>
        <v>158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1629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1629</v>
      </c>
      <c r="H39" s="1">
        <f>SUM(H38+C38)</f>
        <v>7500</v>
      </c>
      <c r="K39" s="1">
        <f>SUM(H39/G39)</f>
        <v>4.6040515653775325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7" activePane="bottomLeft" state="frozen"/>
      <selection pane="bottomLeft" activeCell="I31" sqref="I31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39" t="s">
        <v>193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1"/>
    </row>
    <row r="2" spans="1:15" ht="15.75" customHeight="1" thickBot="1">
      <c r="A2" s="642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4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>
        <v>26</v>
      </c>
      <c r="C27" s="37">
        <v>14</v>
      </c>
      <c r="D27" s="26">
        <f t="shared" si="3"/>
        <v>20</v>
      </c>
      <c r="E27" s="340">
        <v>0.65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>
        <v>33</v>
      </c>
      <c r="C28" s="37">
        <v>17</v>
      </c>
      <c r="D28" s="26">
        <f t="shared" si="3"/>
        <v>25</v>
      </c>
      <c r="E28" s="394">
        <v>0.61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>
        <v>15</v>
      </c>
      <c r="C29" s="37">
        <v>12</v>
      </c>
      <c r="D29" s="26">
        <f t="shared" si="3"/>
        <v>13.5</v>
      </c>
      <c r="E29" s="340">
        <v>0.59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>
        <v>15</v>
      </c>
      <c r="C30" s="37">
        <v>12</v>
      </c>
      <c r="D30" s="26">
        <f t="shared" si="3"/>
        <v>13.5</v>
      </c>
      <c r="E30" s="340">
        <v>0.78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>
        <v>16</v>
      </c>
      <c r="C31" s="37">
        <v>10</v>
      </c>
      <c r="D31" s="26">
        <f t="shared" si="3"/>
        <v>13</v>
      </c>
      <c r="E31" s="341">
        <v>0.5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16.846153846153847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P1" activePane="topRight" state="frozen"/>
      <selection pane="topRight" activeCell="BJ24" sqref="BJ24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233</v>
      </c>
      <c r="AT3" s="645" t="s">
        <v>301</v>
      </c>
      <c r="AU3" s="646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1923.9451476789504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17"/>
        <v>16310</v>
      </c>
      <c r="AQ27" s="223">
        <f t="shared" si="37"/>
        <v>0.7533158459024244</v>
      </c>
      <c r="AR27" s="38">
        <f t="shared" si="42"/>
        <v>70035.774193548394</v>
      </c>
      <c r="AS27" s="197">
        <f t="shared" si="38"/>
        <v>-2760.096774193531</v>
      </c>
      <c r="AT27" s="271"/>
      <c r="AU27" s="436"/>
      <c r="AV27" s="518">
        <f t="shared" si="43"/>
        <v>0.97299999999999998</v>
      </c>
      <c r="AW27" s="290">
        <f>-SUM('B5'!AI26)</f>
        <v>-339</v>
      </c>
      <c r="AX27" s="290">
        <f t="shared" si="39"/>
        <v>-2421.096774193531</v>
      </c>
      <c r="AY27" s="37">
        <f t="shared" si="40"/>
        <v>-2760.096774193531</v>
      </c>
      <c r="AZ27" s="100">
        <f>ELEC!A24</f>
        <v>0</v>
      </c>
      <c r="BA27" s="118">
        <f>'General information '!D27</f>
        <v>20</v>
      </c>
      <c r="BB27" s="394">
        <f>SUM('General information '!E27)</f>
        <v>0.65</v>
      </c>
      <c r="BC27" s="3">
        <f t="shared" si="44"/>
        <v>0</v>
      </c>
      <c r="BD27" s="102">
        <v>19222</v>
      </c>
      <c r="BE27" s="14">
        <f>(305/1185)*ELEC!Q25</f>
        <v>2125.4767932493646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7"/>
        <v>0.72032913843175217</v>
      </c>
      <c r="AR28" s="38">
        <f t="shared" si="42"/>
        <v>66969</v>
      </c>
      <c r="AS28" s="197">
        <f t="shared" si="38"/>
        <v>-3066.7741935483937</v>
      </c>
      <c r="AT28" s="355"/>
      <c r="AU28" s="436"/>
      <c r="AV28" s="518">
        <f t="shared" si="43"/>
        <v>0.97299999999999998</v>
      </c>
      <c r="AW28" s="290">
        <f>-SUM('B5'!AI27)</f>
        <v>-339</v>
      </c>
      <c r="AX28" s="290">
        <f t="shared" si="39"/>
        <v>-2727.7741935483937</v>
      </c>
      <c r="AY28" s="37">
        <f t="shared" si="40"/>
        <v>-3066.7741935483937</v>
      </c>
      <c r="AZ28" s="100">
        <f>ELEC!A25</f>
        <v>0</v>
      </c>
      <c r="BA28" s="118">
        <f>'General information '!D28</f>
        <v>25</v>
      </c>
      <c r="BB28" s="394">
        <f>SUM('General information '!E28)</f>
        <v>0.61</v>
      </c>
      <c r="BC28" s="3">
        <f t="shared" si="44"/>
        <v>0</v>
      </c>
      <c r="BD28" s="102">
        <v>19222</v>
      </c>
      <c r="BE28" s="14">
        <f>(305/1185)*ELEC!Q26</f>
        <v>1646.7426160330888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214</v>
      </c>
      <c r="AA29" s="203">
        <f t="shared" si="30"/>
        <v>2140</v>
      </c>
      <c r="AB29" s="203">
        <f t="shared" si="31"/>
        <v>214</v>
      </c>
      <c r="AC29" s="203">
        <f t="shared" si="30"/>
        <v>2140</v>
      </c>
      <c r="AD29" s="203">
        <f t="shared" si="32"/>
        <v>214</v>
      </c>
      <c r="AE29" s="203">
        <f t="shared" si="11"/>
        <v>2140</v>
      </c>
      <c r="AF29" s="203">
        <f t="shared" si="33"/>
        <v>214</v>
      </c>
      <c r="AG29" s="203">
        <f t="shared" si="12"/>
        <v>2140</v>
      </c>
      <c r="AH29" s="203">
        <f t="shared" si="34"/>
        <v>214</v>
      </c>
      <c r="AI29" s="203">
        <f t="shared" si="13"/>
        <v>2140</v>
      </c>
      <c r="AJ29" s="203">
        <f t="shared" si="35"/>
        <v>214</v>
      </c>
      <c r="AK29" s="203">
        <f t="shared" si="14"/>
        <v>2140</v>
      </c>
      <c r="AL29" s="203">
        <f t="shared" si="36"/>
        <v>214</v>
      </c>
      <c r="AM29" s="203">
        <f t="shared" si="15"/>
        <v>2140</v>
      </c>
      <c r="AN29" s="35">
        <f t="shared" si="16"/>
        <v>0.76428571428571423</v>
      </c>
      <c r="AO29" s="36">
        <f t="shared" si="17"/>
        <v>14980</v>
      </c>
      <c r="AQ29" s="223">
        <f t="shared" si="37"/>
        <v>0.68809536201410781</v>
      </c>
      <c r="AR29" s="38">
        <f t="shared" si="42"/>
        <v>63972.225806451606</v>
      </c>
      <c r="AS29" s="197">
        <f t="shared" si="38"/>
        <v>-2996.7741935483937</v>
      </c>
      <c r="AT29" s="355"/>
      <c r="AU29" s="436"/>
      <c r="AV29" s="518">
        <f t="shared" si="43"/>
        <v>0.97299999999999998</v>
      </c>
      <c r="AW29" s="290">
        <f>-SUM('B5'!AI28)</f>
        <v>-458</v>
      </c>
      <c r="AX29" s="290">
        <f>-SUM(AW29-AS29)</f>
        <v>-2538.7741935483937</v>
      </c>
      <c r="AY29" s="37">
        <f t="shared" si="40"/>
        <v>-2996.7741935483937</v>
      </c>
      <c r="AZ29" s="100">
        <f>ELEC!A26</f>
        <v>0</v>
      </c>
      <c r="BA29" s="118">
        <f>'General information '!D29</f>
        <v>13.5</v>
      </c>
      <c r="BB29" s="394">
        <f>SUM('General information '!E29)</f>
        <v>0.59</v>
      </c>
      <c r="BC29" s="3">
        <f t="shared" si="44"/>
        <v>0</v>
      </c>
      <c r="BD29" s="102">
        <v>19222</v>
      </c>
      <c r="BE29" s="14">
        <f>(305/1185)*ELEC!Q27</f>
        <v>2153.0168776375431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197</v>
      </c>
      <c r="C30" s="203">
        <f t="shared" si="18"/>
        <v>4238.677419354839</v>
      </c>
      <c r="D30">
        <f t="shared" ref="D30:D33" si="45">SUM(B30)</f>
        <v>197</v>
      </c>
      <c r="E30" s="203">
        <f t="shared" si="18"/>
        <v>4238.677419354839</v>
      </c>
      <c r="F30">
        <f t="shared" ref="F30:F33" si="46">SUM(D30)</f>
        <v>197</v>
      </c>
      <c r="G30" s="203">
        <f t="shared" si="1"/>
        <v>4238.677419354839</v>
      </c>
      <c r="H30" s="203">
        <f t="shared" ref="H30:H33" si="47">SUM(F30)</f>
        <v>197</v>
      </c>
      <c r="I30" s="203">
        <f t="shared" si="2"/>
        <v>4238.677419354839</v>
      </c>
      <c r="J30" s="203">
        <f t="shared" ref="J30:J33" si="48">SUM(H30)</f>
        <v>197</v>
      </c>
      <c r="K30" s="203">
        <f t="shared" si="3"/>
        <v>4238.677419354839</v>
      </c>
      <c r="L30" s="203">
        <f t="shared" ref="L30:L33" si="49">SUM(J30)</f>
        <v>197</v>
      </c>
      <c r="M30" s="203">
        <f t="shared" si="4"/>
        <v>4238.677419354839</v>
      </c>
      <c r="N30" s="203">
        <f t="shared" ref="N30:N33" si="50">SUM(L30)</f>
        <v>197</v>
      </c>
      <c r="O30" s="203">
        <f t="shared" si="5"/>
        <v>4238.677419354839</v>
      </c>
      <c r="P30" s="203">
        <f t="shared" ref="P30:P33" si="51">SUM(N30)</f>
        <v>197</v>
      </c>
      <c r="Q30" s="203">
        <f t="shared" si="6"/>
        <v>4238.677419354839</v>
      </c>
      <c r="R30" s="203">
        <f t="shared" ref="R30:R33" si="52">SUM(P30)</f>
        <v>197</v>
      </c>
      <c r="S30" s="203">
        <f t="shared" si="7"/>
        <v>4238.677419354839</v>
      </c>
      <c r="T30" s="203">
        <f t="shared" ref="T30:T33" si="53">SUM(R30)</f>
        <v>197</v>
      </c>
      <c r="U30" s="203">
        <f t="shared" si="8"/>
        <v>4238.677419354839</v>
      </c>
      <c r="V30" s="203">
        <f t="shared" ref="V30:V33" si="54">SUM(T30)</f>
        <v>197</v>
      </c>
      <c r="W30" s="203">
        <f t="shared" si="9"/>
        <v>4238.677419354839</v>
      </c>
      <c r="X30" s="35">
        <f t="shared" ref="X30:X33" si="55">SUM(Y30/73370)</f>
        <v>0.63548387096774217</v>
      </c>
      <c r="Y30" s="36">
        <f t="shared" ref="Y30:Y33" si="56">SUM(C30+E30+G30+I30+K30+M30+O30+Q30+S30+U30+W30)</f>
        <v>46625.451612903242</v>
      </c>
      <c r="Z30" s="203">
        <f>'B5'!C29</f>
        <v>204</v>
      </c>
      <c r="AA30" s="203">
        <f t="shared" si="30"/>
        <v>2040</v>
      </c>
      <c r="AB30" s="203">
        <f t="shared" ref="AB30:AB33" si="57">SUM(Z30)</f>
        <v>204</v>
      </c>
      <c r="AC30" s="203">
        <f t="shared" si="30"/>
        <v>2040</v>
      </c>
      <c r="AD30" s="203">
        <f t="shared" ref="AD30:AD33" si="58">SUM(AB30)</f>
        <v>204</v>
      </c>
      <c r="AE30" s="203">
        <f t="shared" si="11"/>
        <v>2040</v>
      </c>
      <c r="AF30" s="203">
        <f t="shared" ref="AF30:AF33" si="59">SUM(AD30)</f>
        <v>204</v>
      </c>
      <c r="AG30" s="203">
        <f t="shared" si="12"/>
        <v>2040</v>
      </c>
      <c r="AH30" s="203">
        <f t="shared" ref="AH30:AH33" si="60">SUM(AF30)</f>
        <v>204</v>
      </c>
      <c r="AI30" s="203">
        <f t="shared" si="13"/>
        <v>2040</v>
      </c>
      <c r="AJ30" s="203">
        <f t="shared" ref="AJ30:AJ33" si="61">SUM(AH30)</f>
        <v>204</v>
      </c>
      <c r="AK30" s="203">
        <f t="shared" si="14"/>
        <v>2040</v>
      </c>
      <c r="AL30" s="203">
        <f t="shared" ref="AL30:AL33" si="62">SUM(AJ30)</f>
        <v>204</v>
      </c>
      <c r="AM30" s="203">
        <f t="shared" si="15"/>
        <v>2040</v>
      </c>
      <c r="AN30" s="35">
        <f t="shared" ref="AN30:AN33" si="63">SUM(AO30/19600)</f>
        <v>0.72857142857142854</v>
      </c>
      <c r="AO30" s="36">
        <f t="shared" ref="AO30:AO33" si="64">SUM(AA30+AC30+AE30+AG30+AI30+AK30+AM30)</f>
        <v>14280</v>
      </c>
      <c r="AQ30" s="223">
        <f t="shared" si="37"/>
        <v>0.65510865454343592</v>
      </c>
      <c r="AR30" s="38">
        <f t="shared" si="42"/>
        <v>60905.451612903242</v>
      </c>
      <c r="AS30" s="197">
        <f t="shared" si="38"/>
        <v>-3066.7741935483646</v>
      </c>
      <c r="AT30" s="355"/>
      <c r="AU30" s="436"/>
      <c r="AV30" s="518">
        <f t="shared" si="43"/>
        <v>0.97299999999999998</v>
      </c>
      <c r="AW30" s="290">
        <f>-SUM('B5'!AI29)</f>
        <v>-448</v>
      </c>
      <c r="AX30" s="290">
        <f>-SUM(AW30-AS30)</f>
        <v>-2618.7741935483646</v>
      </c>
      <c r="AY30" s="37">
        <f t="shared" si="40"/>
        <v>-3066.7741935483646</v>
      </c>
      <c r="AZ30" s="100">
        <f>ELEC!A27</f>
        <v>0</v>
      </c>
      <c r="BA30" s="118">
        <f>'General information '!D30</f>
        <v>13.5</v>
      </c>
      <c r="BB30" s="394">
        <f>SUM('General information '!E30)</f>
        <v>0.78</v>
      </c>
      <c r="BC30" s="3">
        <f t="shared" si="44"/>
        <v>0</v>
      </c>
      <c r="BD30" s="102">
        <v>19222</v>
      </c>
      <c r="BE30" s="14">
        <f>(305/1185)*ELEC!Q28</f>
        <v>2194.1983122366614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187.5</v>
      </c>
      <c r="C31" s="203">
        <f t="shared" si="18"/>
        <v>4034.2741935483868</v>
      </c>
      <c r="D31">
        <f t="shared" si="45"/>
        <v>187.5</v>
      </c>
      <c r="E31" s="203">
        <f t="shared" si="18"/>
        <v>4034.2741935483868</v>
      </c>
      <c r="F31">
        <f t="shared" si="46"/>
        <v>187.5</v>
      </c>
      <c r="G31" s="203">
        <f t="shared" si="1"/>
        <v>4034.2741935483868</v>
      </c>
      <c r="H31" s="203">
        <f t="shared" si="47"/>
        <v>187.5</v>
      </c>
      <c r="I31" s="203">
        <f t="shared" si="2"/>
        <v>4034.2741935483868</v>
      </c>
      <c r="J31" s="203">
        <f t="shared" si="48"/>
        <v>187.5</v>
      </c>
      <c r="K31" s="203">
        <f t="shared" si="3"/>
        <v>4034.2741935483868</v>
      </c>
      <c r="L31" s="203">
        <f t="shared" si="49"/>
        <v>187.5</v>
      </c>
      <c r="M31" s="203">
        <f t="shared" si="4"/>
        <v>4034.2741935483868</v>
      </c>
      <c r="N31" s="203">
        <f t="shared" si="50"/>
        <v>187.5</v>
      </c>
      <c r="O31" s="203">
        <f t="shared" si="5"/>
        <v>4034.2741935483868</v>
      </c>
      <c r="P31" s="203">
        <f t="shared" si="51"/>
        <v>187.5</v>
      </c>
      <c r="Q31" s="203">
        <f t="shared" si="6"/>
        <v>4034.2741935483868</v>
      </c>
      <c r="R31" s="203">
        <f t="shared" si="52"/>
        <v>187.5</v>
      </c>
      <c r="S31" s="203">
        <f t="shared" si="7"/>
        <v>4034.2741935483868</v>
      </c>
      <c r="T31" s="203">
        <f t="shared" si="53"/>
        <v>187.5</v>
      </c>
      <c r="U31" s="203">
        <f t="shared" si="8"/>
        <v>4034.2741935483868</v>
      </c>
      <c r="V31" s="203">
        <f t="shared" si="54"/>
        <v>187.5</v>
      </c>
      <c r="W31" s="203">
        <f t="shared" si="9"/>
        <v>4034.2741935483868</v>
      </c>
      <c r="X31" s="35">
        <f t="shared" si="55"/>
        <v>0.60483870967741937</v>
      </c>
      <c r="Y31" s="36">
        <f t="shared" si="56"/>
        <v>44377.016129032258</v>
      </c>
      <c r="Z31" s="203">
        <f>'B5'!C30</f>
        <v>193.5</v>
      </c>
      <c r="AA31" s="203">
        <f t="shared" si="30"/>
        <v>1935</v>
      </c>
      <c r="AB31" s="203">
        <f t="shared" si="57"/>
        <v>193.5</v>
      </c>
      <c r="AC31" s="203">
        <f t="shared" si="30"/>
        <v>1935</v>
      </c>
      <c r="AD31" s="203">
        <f t="shared" si="58"/>
        <v>193.5</v>
      </c>
      <c r="AE31" s="203">
        <f t="shared" si="11"/>
        <v>1935</v>
      </c>
      <c r="AF31" s="203">
        <f t="shared" si="59"/>
        <v>193.5</v>
      </c>
      <c r="AG31" s="203">
        <f t="shared" si="12"/>
        <v>1935</v>
      </c>
      <c r="AH31" s="203">
        <f t="shared" si="60"/>
        <v>193.5</v>
      </c>
      <c r="AI31" s="203">
        <f t="shared" si="13"/>
        <v>1935</v>
      </c>
      <c r="AJ31" s="203">
        <f t="shared" si="61"/>
        <v>193.5</v>
      </c>
      <c r="AK31" s="203">
        <f t="shared" si="14"/>
        <v>1935</v>
      </c>
      <c r="AL31" s="203">
        <f t="shared" si="62"/>
        <v>193.5</v>
      </c>
      <c r="AM31" s="203">
        <f t="shared" si="15"/>
        <v>1935</v>
      </c>
      <c r="AN31" s="35">
        <f t="shared" si="63"/>
        <v>0.69107142857142856</v>
      </c>
      <c r="AO31" s="36">
        <f t="shared" si="64"/>
        <v>13545</v>
      </c>
      <c r="AQ31" s="223">
        <f t="shared" si="37"/>
        <v>0.62301835139326944</v>
      </c>
      <c r="AR31" s="38">
        <f t="shared" si="42"/>
        <v>57922.016129032258</v>
      </c>
      <c r="AS31" s="197">
        <f>SUM(AR31-AR30-AT31)</f>
        <v>-2983.4354838709842</v>
      </c>
      <c r="AT31" s="355"/>
      <c r="AU31" s="436"/>
      <c r="AV31" s="518">
        <f t="shared" si="43"/>
        <v>0.97299999999999998</v>
      </c>
      <c r="AW31" s="290">
        <f>-SUM('B5'!AI30)</f>
        <v>-425</v>
      </c>
      <c r="AX31" s="290">
        <f t="shared" si="39"/>
        <v>-2558.4354838709842</v>
      </c>
      <c r="AY31" s="37">
        <f t="shared" si="40"/>
        <v>-2983.4354838709842</v>
      </c>
      <c r="AZ31" s="100">
        <f>ELEC!A28</f>
        <v>0</v>
      </c>
      <c r="BA31" s="118">
        <f>'General information '!D31</f>
        <v>13</v>
      </c>
      <c r="BB31" s="394">
        <f>SUM('General information '!E31)</f>
        <v>0.5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187.5</v>
      </c>
      <c r="C32" s="203">
        <f t="shared" si="18"/>
        <v>4034.2741935483868</v>
      </c>
      <c r="D32">
        <f t="shared" si="45"/>
        <v>187.5</v>
      </c>
      <c r="E32" s="203">
        <f t="shared" si="18"/>
        <v>4034.2741935483868</v>
      </c>
      <c r="F32">
        <f t="shared" si="46"/>
        <v>187.5</v>
      </c>
      <c r="G32" s="203">
        <f t="shared" si="1"/>
        <v>4034.2741935483868</v>
      </c>
      <c r="H32" s="203">
        <f t="shared" si="47"/>
        <v>187.5</v>
      </c>
      <c r="I32" s="203">
        <f t="shared" si="2"/>
        <v>4034.2741935483868</v>
      </c>
      <c r="J32" s="203">
        <f t="shared" si="48"/>
        <v>187.5</v>
      </c>
      <c r="K32" s="203">
        <f t="shared" si="3"/>
        <v>4034.2741935483868</v>
      </c>
      <c r="L32" s="203">
        <f t="shared" si="49"/>
        <v>187.5</v>
      </c>
      <c r="M32" s="203">
        <f t="shared" si="4"/>
        <v>4034.2741935483868</v>
      </c>
      <c r="N32" s="203">
        <f t="shared" si="50"/>
        <v>187.5</v>
      </c>
      <c r="O32" s="203">
        <f t="shared" si="5"/>
        <v>4034.2741935483868</v>
      </c>
      <c r="P32" s="203">
        <f t="shared" si="51"/>
        <v>187.5</v>
      </c>
      <c r="Q32" s="203">
        <f t="shared" si="6"/>
        <v>4034.2741935483868</v>
      </c>
      <c r="R32" s="203">
        <f t="shared" si="52"/>
        <v>187.5</v>
      </c>
      <c r="S32" s="203">
        <f t="shared" si="7"/>
        <v>4034.2741935483868</v>
      </c>
      <c r="T32" s="203">
        <f t="shared" si="53"/>
        <v>187.5</v>
      </c>
      <c r="U32" s="203">
        <f t="shared" si="8"/>
        <v>4034.2741935483868</v>
      </c>
      <c r="V32" s="203">
        <f t="shared" si="54"/>
        <v>187.5</v>
      </c>
      <c r="W32" s="203">
        <f t="shared" si="9"/>
        <v>4034.2741935483868</v>
      </c>
      <c r="X32" s="35">
        <f t="shared" si="55"/>
        <v>0.60483870967741937</v>
      </c>
      <c r="Y32" s="36">
        <f t="shared" si="56"/>
        <v>44377.016129032258</v>
      </c>
      <c r="Z32" s="203">
        <f>'B5'!C31</f>
        <v>193.5</v>
      </c>
      <c r="AA32" s="203">
        <f t="shared" si="30"/>
        <v>1935</v>
      </c>
      <c r="AB32" s="203">
        <f t="shared" si="57"/>
        <v>193.5</v>
      </c>
      <c r="AC32" s="203">
        <f t="shared" si="30"/>
        <v>1935</v>
      </c>
      <c r="AD32" s="203">
        <f t="shared" si="58"/>
        <v>193.5</v>
      </c>
      <c r="AE32" s="203">
        <f t="shared" si="11"/>
        <v>1935</v>
      </c>
      <c r="AF32" s="203">
        <f t="shared" si="59"/>
        <v>193.5</v>
      </c>
      <c r="AG32" s="203">
        <f t="shared" si="12"/>
        <v>1935</v>
      </c>
      <c r="AH32" s="203">
        <f t="shared" si="60"/>
        <v>193.5</v>
      </c>
      <c r="AI32" s="203">
        <f t="shared" si="13"/>
        <v>1935</v>
      </c>
      <c r="AJ32" s="203">
        <f t="shared" si="61"/>
        <v>193.5</v>
      </c>
      <c r="AK32" s="203">
        <f t="shared" si="14"/>
        <v>1935</v>
      </c>
      <c r="AL32" s="203">
        <f t="shared" si="62"/>
        <v>193.5</v>
      </c>
      <c r="AM32" s="203">
        <f t="shared" si="15"/>
        <v>1935</v>
      </c>
      <c r="AN32" s="35">
        <f t="shared" si="63"/>
        <v>0.69107142857142856</v>
      </c>
      <c r="AO32" s="36">
        <f t="shared" si="64"/>
        <v>13545</v>
      </c>
      <c r="AQ32" s="223">
        <f t="shared" si="37"/>
        <v>0.62301835139326944</v>
      </c>
      <c r="AR32" s="38">
        <f t="shared" si="42"/>
        <v>57922.016129032258</v>
      </c>
      <c r="AS32" s="197">
        <f t="shared" si="38"/>
        <v>0</v>
      </c>
      <c r="AT32" s="355"/>
      <c r="AU32" s="436"/>
      <c r="AV32" s="518">
        <f>IF(AT32&gt;0,AU32,AV31)</f>
        <v>0.97299999999999998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187.5</v>
      </c>
      <c r="C33" s="203">
        <f t="shared" si="18"/>
        <v>4034.2741935483868</v>
      </c>
      <c r="D33">
        <f t="shared" si="45"/>
        <v>187.5</v>
      </c>
      <c r="E33" s="203">
        <f t="shared" si="18"/>
        <v>4034.2741935483868</v>
      </c>
      <c r="F33">
        <f t="shared" si="46"/>
        <v>187.5</v>
      </c>
      <c r="G33" s="203">
        <f t="shared" si="1"/>
        <v>4034.2741935483868</v>
      </c>
      <c r="H33" s="203">
        <f t="shared" si="47"/>
        <v>187.5</v>
      </c>
      <c r="I33" s="203">
        <f t="shared" si="2"/>
        <v>4034.2741935483868</v>
      </c>
      <c r="J33" s="203">
        <f t="shared" si="48"/>
        <v>187.5</v>
      </c>
      <c r="K33" s="203">
        <f t="shared" si="3"/>
        <v>4034.2741935483868</v>
      </c>
      <c r="L33" s="203">
        <f t="shared" si="49"/>
        <v>187.5</v>
      </c>
      <c r="M33" s="203">
        <f t="shared" si="4"/>
        <v>4034.2741935483868</v>
      </c>
      <c r="N33" s="203">
        <f t="shared" si="50"/>
        <v>187.5</v>
      </c>
      <c r="O33" s="203">
        <f t="shared" si="5"/>
        <v>4034.2741935483868</v>
      </c>
      <c r="P33" s="203">
        <f t="shared" si="51"/>
        <v>187.5</v>
      </c>
      <c r="Q33" s="203">
        <f t="shared" si="6"/>
        <v>4034.2741935483868</v>
      </c>
      <c r="R33" s="203">
        <f t="shared" si="52"/>
        <v>187.5</v>
      </c>
      <c r="S33" s="203">
        <f t="shared" si="7"/>
        <v>4034.2741935483868</v>
      </c>
      <c r="T33" s="203">
        <f t="shared" si="53"/>
        <v>187.5</v>
      </c>
      <c r="U33" s="203">
        <f t="shared" si="8"/>
        <v>4034.2741935483868</v>
      </c>
      <c r="V33" s="203">
        <f t="shared" si="54"/>
        <v>187.5</v>
      </c>
      <c r="W33" s="203">
        <f t="shared" si="9"/>
        <v>4034.2741935483868</v>
      </c>
      <c r="X33" s="35">
        <f t="shared" si="55"/>
        <v>0.60483870967741937</v>
      </c>
      <c r="Y33" s="36">
        <f t="shared" si="56"/>
        <v>44377.016129032258</v>
      </c>
      <c r="Z33" s="203">
        <f>'B5'!C32</f>
        <v>193.5</v>
      </c>
      <c r="AA33" s="203">
        <f t="shared" si="30"/>
        <v>1935</v>
      </c>
      <c r="AB33" s="203">
        <f t="shared" si="57"/>
        <v>193.5</v>
      </c>
      <c r="AC33" s="203">
        <f t="shared" si="30"/>
        <v>1935</v>
      </c>
      <c r="AD33" s="203">
        <f t="shared" si="58"/>
        <v>193.5</v>
      </c>
      <c r="AE33" s="203">
        <f t="shared" si="11"/>
        <v>1935</v>
      </c>
      <c r="AF33" s="203">
        <f t="shared" si="59"/>
        <v>193.5</v>
      </c>
      <c r="AG33" s="203">
        <f t="shared" si="12"/>
        <v>1935</v>
      </c>
      <c r="AH33" s="203">
        <f t="shared" si="60"/>
        <v>193.5</v>
      </c>
      <c r="AI33" s="203">
        <f t="shared" si="13"/>
        <v>1935</v>
      </c>
      <c r="AJ33" s="203">
        <f t="shared" si="61"/>
        <v>193.5</v>
      </c>
      <c r="AK33" s="203">
        <f t="shared" si="14"/>
        <v>1935</v>
      </c>
      <c r="AL33" s="203">
        <f t="shared" si="62"/>
        <v>193.5</v>
      </c>
      <c r="AM33" s="203">
        <f t="shared" si="15"/>
        <v>1935</v>
      </c>
      <c r="AN33" s="35">
        <f t="shared" si="63"/>
        <v>0.69107142857142856</v>
      </c>
      <c r="AO33" s="36">
        <f t="shared" si="64"/>
        <v>13545</v>
      </c>
      <c r="AQ33" s="223">
        <f t="shared" si="37"/>
        <v>0.62301835139326944</v>
      </c>
      <c r="AR33" s="38">
        <f t="shared" si="42"/>
        <v>57922.016129032258</v>
      </c>
      <c r="AS33" s="197">
        <f t="shared" si="38"/>
        <v>0</v>
      </c>
      <c r="AT33" s="355"/>
      <c r="AU33" s="436"/>
      <c r="AV33" s="518">
        <f>IF(AT33&gt;0,AU33,AV32)</f>
        <v>0.97299999999999998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187.5</v>
      </c>
      <c r="C34" s="203">
        <f t="shared" ref="C34:C36" si="65">B34*$B$4</f>
        <v>4034.2741935483868</v>
      </c>
      <c r="D34">
        <f t="shared" ref="D34:D36" si="66">SUM(B34)</f>
        <v>187.5</v>
      </c>
      <c r="E34" s="203">
        <f t="shared" ref="E34:E36" si="67">D34*$B$4</f>
        <v>4034.2741935483868</v>
      </c>
      <c r="F34">
        <f t="shared" ref="F34:F36" si="68">SUM(D34)</f>
        <v>187.5</v>
      </c>
      <c r="G34" s="203">
        <f t="shared" ref="G34:G36" si="69">F34*$B$4</f>
        <v>4034.2741935483868</v>
      </c>
      <c r="H34" s="203">
        <f t="shared" ref="H34:H36" si="70">SUM(F34)</f>
        <v>187.5</v>
      </c>
      <c r="I34" s="203">
        <f t="shared" ref="I34:I36" si="71">H34*$B$4</f>
        <v>4034.2741935483868</v>
      </c>
      <c r="J34" s="203">
        <f t="shared" ref="J34:J36" si="72">SUM(H34)</f>
        <v>187.5</v>
      </c>
      <c r="K34" s="203">
        <f t="shared" ref="K34:K36" si="73">J34*$B$4</f>
        <v>4034.2741935483868</v>
      </c>
      <c r="L34" s="203">
        <f t="shared" ref="L34:L36" si="74">SUM(J34)</f>
        <v>187.5</v>
      </c>
      <c r="M34" s="203">
        <f t="shared" ref="M34:M36" si="75">L34*$B$4</f>
        <v>4034.2741935483868</v>
      </c>
      <c r="N34" s="203">
        <f t="shared" ref="N34:N36" si="76">SUM(L34)</f>
        <v>187.5</v>
      </c>
      <c r="O34" s="203">
        <f t="shared" ref="O34:O36" si="77">N34*$B$4</f>
        <v>4034.2741935483868</v>
      </c>
      <c r="P34" s="203">
        <f t="shared" ref="P34:P36" si="78">SUM(N34)</f>
        <v>187.5</v>
      </c>
      <c r="Q34" s="203">
        <f t="shared" ref="Q34:Q36" si="79">P34*$B$4</f>
        <v>4034.2741935483868</v>
      </c>
      <c r="R34" s="203">
        <f t="shared" ref="R34:R36" si="80">SUM(P34)</f>
        <v>187.5</v>
      </c>
      <c r="S34" s="203">
        <f t="shared" ref="S34:S36" si="81">R34*$B$4</f>
        <v>4034.2741935483868</v>
      </c>
      <c r="T34" s="203">
        <f t="shared" ref="T34:T36" si="82">SUM(R34)</f>
        <v>187.5</v>
      </c>
      <c r="U34" s="203">
        <f t="shared" ref="U34:U36" si="83">T34*$B$4</f>
        <v>4034.2741935483868</v>
      </c>
      <c r="V34" s="203">
        <f t="shared" ref="V34:V36" si="84">SUM(T34)</f>
        <v>187.5</v>
      </c>
      <c r="W34" s="203">
        <f t="shared" ref="W34:W36" si="85">V34*$B$4</f>
        <v>4034.2741935483868</v>
      </c>
      <c r="X34" s="35">
        <f t="shared" ref="X34:X36" si="86">SUM(Y34/73370)</f>
        <v>0.60483870967741937</v>
      </c>
      <c r="Y34" s="36">
        <f t="shared" ref="Y34:Y36" si="87">SUM(C34+E34+G34+I34+K34+M34+O34+Q34+S34+U34+W34)</f>
        <v>44377.016129032258</v>
      </c>
      <c r="Z34" s="203">
        <f>'B5'!C33</f>
        <v>193.5</v>
      </c>
      <c r="AA34" s="203">
        <f t="shared" ref="AA34:AA36" si="88">SUM(Z34*$Z$4)</f>
        <v>1935</v>
      </c>
      <c r="AB34" s="203">
        <f t="shared" ref="AB34:AB36" si="89">SUM(Z34)</f>
        <v>193.5</v>
      </c>
      <c r="AC34" s="203">
        <f t="shared" ref="AC34:AC36" si="90">SUM(AB34*$Z$4)</f>
        <v>1935</v>
      </c>
      <c r="AD34" s="203">
        <f t="shared" ref="AD34:AD36" si="91">SUM(AB34)</f>
        <v>193.5</v>
      </c>
      <c r="AE34" s="203">
        <f t="shared" ref="AE34:AE36" si="92">SUM(AD34*$Z$4)</f>
        <v>1935</v>
      </c>
      <c r="AF34" s="203">
        <f t="shared" ref="AF34:AF36" si="93">SUM(AD34)</f>
        <v>193.5</v>
      </c>
      <c r="AG34" s="203">
        <f t="shared" ref="AG34:AG36" si="94">SUM(AF34*$Z$4)</f>
        <v>1935</v>
      </c>
      <c r="AH34" s="203">
        <f t="shared" ref="AH34:AH36" si="95">SUM(AF34)</f>
        <v>193.5</v>
      </c>
      <c r="AI34" s="203">
        <f t="shared" ref="AI34:AI36" si="96">SUM(AH34*$Z$4)</f>
        <v>1935</v>
      </c>
      <c r="AJ34" s="203">
        <f t="shared" ref="AJ34:AJ36" si="97">SUM(AH34)</f>
        <v>193.5</v>
      </c>
      <c r="AK34" s="203">
        <f t="shared" ref="AK34:AK36" si="98">SUM(AJ34*$Z$4)</f>
        <v>1935</v>
      </c>
      <c r="AL34" s="203">
        <f t="shared" ref="AL34:AL36" si="99">SUM(AJ34)</f>
        <v>193.5</v>
      </c>
      <c r="AM34" s="203">
        <f t="shared" ref="AM34:AM36" si="100">SUM(AL34*$Z$4)</f>
        <v>1935</v>
      </c>
      <c r="AN34" s="35">
        <f t="shared" ref="AN34:AN36" si="101">SUM(AO34/19600)</f>
        <v>0.69107142857142856</v>
      </c>
      <c r="AO34" s="36">
        <f t="shared" ref="AO34:AO36" si="102">SUM(AA34+AC34+AE34+AG34+AI34+AK34+AM34)</f>
        <v>13545</v>
      </c>
      <c r="AQ34" s="223">
        <f t="shared" ref="AQ34:AQ36" si="103">SUM(AR34/92970)</f>
        <v>0.62301835139326944</v>
      </c>
      <c r="AR34" s="38">
        <f t="shared" si="42"/>
        <v>57922.016129032258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0.97299999999999998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187.5</v>
      </c>
      <c r="C35" s="203">
        <f t="shared" si="65"/>
        <v>4034.2741935483868</v>
      </c>
      <c r="D35">
        <f t="shared" si="66"/>
        <v>187.5</v>
      </c>
      <c r="E35" s="203">
        <f t="shared" si="67"/>
        <v>4034.2741935483868</v>
      </c>
      <c r="F35">
        <f t="shared" si="68"/>
        <v>187.5</v>
      </c>
      <c r="G35" s="203">
        <f t="shared" si="69"/>
        <v>4034.2741935483868</v>
      </c>
      <c r="H35" s="203">
        <f t="shared" si="70"/>
        <v>187.5</v>
      </c>
      <c r="I35" s="203">
        <f t="shared" si="71"/>
        <v>4034.2741935483868</v>
      </c>
      <c r="J35" s="203">
        <f t="shared" si="72"/>
        <v>187.5</v>
      </c>
      <c r="K35" s="203">
        <f t="shared" si="73"/>
        <v>4034.2741935483868</v>
      </c>
      <c r="L35" s="203">
        <f t="shared" si="74"/>
        <v>187.5</v>
      </c>
      <c r="M35" s="203">
        <f t="shared" si="75"/>
        <v>4034.2741935483868</v>
      </c>
      <c r="N35" s="203">
        <f t="shared" si="76"/>
        <v>187.5</v>
      </c>
      <c r="O35" s="203">
        <f t="shared" si="77"/>
        <v>4034.2741935483868</v>
      </c>
      <c r="P35" s="203">
        <f t="shared" si="78"/>
        <v>187.5</v>
      </c>
      <c r="Q35" s="203">
        <f t="shared" si="79"/>
        <v>4034.2741935483868</v>
      </c>
      <c r="R35" s="203">
        <f t="shared" si="80"/>
        <v>187.5</v>
      </c>
      <c r="S35" s="203">
        <f t="shared" si="81"/>
        <v>4034.2741935483868</v>
      </c>
      <c r="T35" s="203">
        <f t="shared" si="82"/>
        <v>187.5</v>
      </c>
      <c r="U35" s="203">
        <f t="shared" si="83"/>
        <v>4034.2741935483868</v>
      </c>
      <c r="V35" s="203">
        <f t="shared" si="84"/>
        <v>187.5</v>
      </c>
      <c r="W35" s="203">
        <f t="shared" si="85"/>
        <v>4034.2741935483868</v>
      </c>
      <c r="X35" s="35">
        <f t="shared" si="86"/>
        <v>0.60483870967741937</v>
      </c>
      <c r="Y35" s="36">
        <f t="shared" si="87"/>
        <v>44377.016129032258</v>
      </c>
      <c r="Z35" s="203">
        <f>'B5'!C34</f>
        <v>193.5</v>
      </c>
      <c r="AA35" s="203">
        <f t="shared" si="88"/>
        <v>1935</v>
      </c>
      <c r="AB35" s="203">
        <f t="shared" si="89"/>
        <v>193.5</v>
      </c>
      <c r="AC35" s="203">
        <f t="shared" si="90"/>
        <v>1935</v>
      </c>
      <c r="AD35" s="203">
        <f t="shared" si="91"/>
        <v>193.5</v>
      </c>
      <c r="AE35" s="203">
        <f t="shared" si="92"/>
        <v>1935</v>
      </c>
      <c r="AF35" s="203">
        <f t="shared" si="93"/>
        <v>193.5</v>
      </c>
      <c r="AG35" s="203">
        <f t="shared" si="94"/>
        <v>1935</v>
      </c>
      <c r="AH35" s="203">
        <f t="shared" si="95"/>
        <v>193.5</v>
      </c>
      <c r="AI35" s="203">
        <f t="shared" si="96"/>
        <v>1935</v>
      </c>
      <c r="AJ35" s="203">
        <f t="shared" si="97"/>
        <v>193.5</v>
      </c>
      <c r="AK35" s="203">
        <f t="shared" si="98"/>
        <v>1935</v>
      </c>
      <c r="AL35" s="203">
        <f t="shared" si="99"/>
        <v>193.5</v>
      </c>
      <c r="AM35" s="203">
        <f t="shared" si="100"/>
        <v>1935</v>
      </c>
      <c r="AN35" s="35">
        <f t="shared" si="101"/>
        <v>0.69107142857142856</v>
      </c>
      <c r="AO35" s="36">
        <f t="shared" si="102"/>
        <v>13545</v>
      </c>
      <c r="AQ35" s="223">
        <f t="shared" si="103"/>
        <v>0.62301835139326944</v>
      </c>
      <c r="AR35" s="38">
        <f t="shared" si="42"/>
        <v>57922.016129032258</v>
      </c>
      <c r="AS35" s="197">
        <f t="shared" si="104"/>
        <v>0</v>
      </c>
      <c r="AT35" s="355"/>
      <c r="AU35" s="436"/>
      <c r="AV35" s="518">
        <f t="shared" si="105"/>
        <v>0.97299999999999998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187.5</v>
      </c>
      <c r="C36" s="203">
        <f t="shared" si="65"/>
        <v>4034.2741935483868</v>
      </c>
      <c r="D36">
        <f t="shared" si="66"/>
        <v>187.5</v>
      </c>
      <c r="E36" s="203">
        <f t="shared" si="67"/>
        <v>4034.2741935483868</v>
      </c>
      <c r="F36">
        <f t="shared" si="68"/>
        <v>187.5</v>
      </c>
      <c r="G36" s="203">
        <f t="shared" si="69"/>
        <v>4034.2741935483868</v>
      </c>
      <c r="H36" s="203">
        <f t="shared" si="70"/>
        <v>187.5</v>
      </c>
      <c r="I36" s="203">
        <f t="shared" si="71"/>
        <v>4034.2741935483868</v>
      </c>
      <c r="J36" s="203">
        <f t="shared" si="72"/>
        <v>187.5</v>
      </c>
      <c r="K36" s="203">
        <f t="shared" si="73"/>
        <v>4034.2741935483868</v>
      </c>
      <c r="L36" s="203">
        <f t="shared" si="74"/>
        <v>187.5</v>
      </c>
      <c r="M36" s="203">
        <f t="shared" si="75"/>
        <v>4034.2741935483868</v>
      </c>
      <c r="N36" s="203">
        <f t="shared" si="76"/>
        <v>187.5</v>
      </c>
      <c r="O36" s="203">
        <f t="shared" si="77"/>
        <v>4034.2741935483868</v>
      </c>
      <c r="P36" s="203">
        <f t="shared" si="78"/>
        <v>187.5</v>
      </c>
      <c r="Q36" s="203">
        <f t="shared" si="79"/>
        <v>4034.2741935483868</v>
      </c>
      <c r="R36" s="203">
        <f t="shared" si="80"/>
        <v>187.5</v>
      </c>
      <c r="S36" s="203">
        <f t="shared" si="81"/>
        <v>4034.2741935483868</v>
      </c>
      <c r="T36" s="203">
        <f t="shared" si="82"/>
        <v>187.5</v>
      </c>
      <c r="U36" s="203">
        <f t="shared" si="83"/>
        <v>4034.2741935483868</v>
      </c>
      <c r="V36" s="203">
        <f t="shared" si="84"/>
        <v>187.5</v>
      </c>
      <c r="W36" s="203">
        <f t="shared" si="85"/>
        <v>4034.2741935483868</v>
      </c>
      <c r="X36" s="35">
        <f t="shared" si="86"/>
        <v>0.60483870967741937</v>
      </c>
      <c r="Y36" s="36">
        <f t="shared" si="87"/>
        <v>44377.016129032258</v>
      </c>
      <c r="Z36" s="203">
        <f>'B5'!C35</f>
        <v>193.5</v>
      </c>
      <c r="AA36" s="203">
        <f t="shared" si="88"/>
        <v>1935</v>
      </c>
      <c r="AB36" s="203">
        <f t="shared" si="89"/>
        <v>193.5</v>
      </c>
      <c r="AC36" s="203">
        <f t="shared" si="90"/>
        <v>1935</v>
      </c>
      <c r="AD36" s="203">
        <f t="shared" si="91"/>
        <v>193.5</v>
      </c>
      <c r="AE36" s="203">
        <f t="shared" si="92"/>
        <v>1935</v>
      </c>
      <c r="AF36" s="203">
        <f t="shared" si="93"/>
        <v>193.5</v>
      </c>
      <c r="AG36" s="203">
        <f t="shared" si="94"/>
        <v>1935</v>
      </c>
      <c r="AH36" s="203">
        <f t="shared" si="95"/>
        <v>193.5</v>
      </c>
      <c r="AI36" s="203">
        <f t="shared" si="96"/>
        <v>1935</v>
      </c>
      <c r="AJ36" s="203">
        <f t="shared" si="97"/>
        <v>193.5</v>
      </c>
      <c r="AK36" s="203">
        <f t="shared" si="98"/>
        <v>1935</v>
      </c>
      <c r="AL36" s="203">
        <f t="shared" si="99"/>
        <v>193.5</v>
      </c>
      <c r="AM36" s="203">
        <f t="shared" si="100"/>
        <v>1935</v>
      </c>
      <c r="AN36" s="35">
        <f t="shared" si="101"/>
        <v>0.69107142857142856</v>
      </c>
      <c r="AO36" s="36">
        <f t="shared" si="102"/>
        <v>13545</v>
      </c>
      <c r="AQ36" s="223">
        <f t="shared" si="103"/>
        <v>0.62301835139326944</v>
      </c>
      <c r="AR36" s="38">
        <f t="shared" si="42"/>
        <v>57922.016129032258</v>
      </c>
      <c r="AS36" s="197">
        <f t="shared" si="104"/>
        <v>0</v>
      </c>
      <c r="AT36" s="355"/>
      <c r="AU36" s="436"/>
      <c r="AV36" s="518">
        <f t="shared" si="105"/>
        <v>0.97299999999999998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-34531.661290322576</v>
      </c>
      <c r="AY37" s="203">
        <f>SUM(AY6:AY33)</f>
        <v>-42999.661290322576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-1653.8331265508682</v>
      </c>
      <c r="AT40" s="203"/>
    </row>
    <row r="41" spans="1:60">
      <c r="AX41">
        <v>43309</v>
      </c>
    </row>
    <row r="42" spans="1:60">
      <c r="AR42" s="203"/>
      <c r="AX42">
        <f>AX37/AX41</f>
        <v>-0.79733222402555071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269.00000000145519</v>
      </c>
      <c r="E6" s="3">
        <f>ELEC!Q24</f>
        <v>7474.9999999985448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8</v>
      </c>
      <c r="B23" s="3">
        <f>ELEC!AF24</f>
        <v>1611</v>
      </c>
      <c r="C23" s="3">
        <f>ELEC!N24</f>
        <v>9779</v>
      </c>
      <c r="D23" s="3">
        <f t="shared" si="0"/>
        <v>2304.0000000014552</v>
      </c>
      <c r="E23" s="3">
        <f>ELEC!Q24</f>
        <v>7474.9999999985448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118.5</v>
      </c>
      <c r="J23" s="9">
        <f>'B5'!A25</f>
        <v>44276</v>
      </c>
    </row>
    <row r="24" spans="1:10">
      <c r="A24" s="3">
        <f>ELEC!T25+ELEC!X25+ELEC!AB25</f>
        <v>9</v>
      </c>
      <c r="B24" s="3">
        <f>ELEC!AF25</f>
        <v>1685</v>
      </c>
      <c r="C24" s="3">
        <f>ELEC!N25</f>
        <v>10356</v>
      </c>
      <c r="D24" s="3">
        <f t="shared" si="0"/>
        <v>2097.9999999983702</v>
      </c>
      <c r="E24" s="3">
        <f>ELEC!Q25</f>
        <v>8258.0000000016298</v>
      </c>
      <c r="F24" s="3">
        <f>GEN!Z24</f>
        <v>12</v>
      </c>
      <c r="G24" s="3">
        <f>WATER!C27+WATER!H27</f>
        <v>372</v>
      </c>
      <c r="H24" s="3">
        <f>WATER!L27</f>
        <v>0</v>
      </c>
      <c r="I24" s="15">
        <f>WATER!BC27+WATER!BD27+WATER!BE28-Sheet1!G24</f>
        <v>-346.2</v>
      </c>
      <c r="J24" s="9">
        <f>'B5'!A26</f>
        <v>44277</v>
      </c>
    </row>
    <row r="25" spans="1:10">
      <c r="A25" s="3">
        <f>ELEC!T26+ELEC!X26+ELEC!AB26</f>
        <v>5</v>
      </c>
      <c r="B25" s="3">
        <f>ELEC!AF26</f>
        <v>882</v>
      </c>
      <c r="C25" s="3">
        <f>ELEC!N26</f>
        <v>8509</v>
      </c>
      <c r="D25" s="3">
        <f t="shared" si="0"/>
        <v>2111.0000000025902</v>
      </c>
      <c r="E25" s="3">
        <f>ELEC!Q26</f>
        <v>6397.9999999974098</v>
      </c>
      <c r="F25" s="3">
        <f>GEN!Z25</f>
        <v>14</v>
      </c>
      <c r="G25" s="3">
        <f>WATER!C28+WATER!H28</f>
        <v>0</v>
      </c>
      <c r="H25" s="3">
        <f>WATER!L28</f>
        <v>0</v>
      </c>
      <c r="I25" s="15">
        <f>WATER!BC28+WATER!BD28+WATER!BE29-Sheet1!G25</f>
        <v>72.599999999999937</v>
      </c>
      <c r="J25" s="9">
        <f>'B5'!A27</f>
        <v>44278</v>
      </c>
    </row>
    <row r="26" spans="1:10">
      <c r="A26" s="3">
        <f>ELEC!T27+ELEC!X27+ELEC!AB27</f>
        <v>9</v>
      </c>
      <c r="B26" s="3">
        <f>ELEC!AF27</f>
        <v>1258</v>
      </c>
      <c r="C26" s="3">
        <f>ELEC!N27</f>
        <v>10240</v>
      </c>
      <c r="D26" s="3">
        <f t="shared" si="0"/>
        <v>1874.9999999983993</v>
      </c>
      <c r="E26" s="3">
        <f>ELEC!Q27</f>
        <v>8365.0000000016007</v>
      </c>
      <c r="F26" s="3">
        <f>GEN!Z26</f>
        <v>13</v>
      </c>
      <c r="G26" s="3">
        <f>WATER!C29+WATER!H29</f>
        <v>290</v>
      </c>
      <c r="H26" s="3">
        <f>WATER!L29</f>
        <v>1</v>
      </c>
      <c r="I26" s="15">
        <f>WATER!BC29+WATER!BD29+WATER!BE30-Sheet1!G26</f>
        <v>-179.10000000000002</v>
      </c>
      <c r="J26" s="9">
        <f>'B5'!A28</f>
        <v>44279</v>
      </c>
    </row>
    <row r="27" spans="1:10">
      <c r="A27" s="3">
        <f>ELEC!T28+ELEC!X28+ELEC!AB28</f>
        <v>10</v>
      </c>
      <c r="B27" s="3">
        <f>ELEC!AF28</f>
        <v>1233</v>
      </c>
      <c r="C27" s="3">
        <f>ELEC!N28</f>
        <v>9202</v>
      </c>
      <c r="D27" s="3">
        <f t="shared" si="0"/>
        <v>676.99999999854481</v>
      </c>
      <c r="E27" s="3">
        <f>ELEC!Q28</f>
        <v>8525.0000000014552</v>
      </c>
      <c r="F27" s="3">
        <f>GEN!Z27</f>
        <v>15</v>
      </c>
      <c r="G27" s="3">
        <f>WATER!C30+WATER!H30</f>
        <v>0</v>
      </c>
      <c r="H27" s="3">
        <f>WATER!L30</f>
        <v>1</v>
      </c>
      <c r="I27" s="15">
        <f>WATER!BC30+WATER!BD30+WATER!BE31-Sheet1!G27</f>
        <v>75.300000000000011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16</v>
      </c>
      <c r="G28" s="3">
        <f>WATER!C31+WATER!H31</f>
        <v>249</v>
      </c>
      <c r="H28" s="3">
        <f>WATER!L31</f>
        <v>0</v>
      </c>
      <c r="I28" s="15">
        <f>WATER!BC31+WATER!BD31+WATER!BE32-Sheet1!G28</f>
        <v>-215.3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55"/>
      <c r="B1" s="653" t="s">
        <v>119</v>
      </c>
      <c r="C1" s="653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50" t="s">
        <v>115</v>
      </c>
      <c r="I1" s="651" t="s">
        <v>116</v>
      </c>
      <c r="J1" s="650" t="s">
        <v>117</v>
      </c>
      <c r="K1" s="649" t="s">
        <v>121</v>
      </c>
      <c r="L1" s="649" t="s">
        <v>122</v>
      </c>
      <c r="M1" s="649" t="s">
        <v>123</v>
      </c>
      <c r="N1" s="649" t="s">
        <v>124</v>
      </c>
    </row>
    <row r="2" spans="1:14">
      <c r="A2" s="656"/>
      <c r="B2" s="654"/>
      <c r="C2" s="654"/>
      <c r="D2" s="657"/>
      <c r="E2" s="657"/>
      <c r="F2" s="658"/>
      <c r="G2" s="659"/>
      <c r="H2" s="650"/>
      <c r="I2" s="652"/>
      <c r="J2" s="650"/>
      <c r="K2" s="649"/>
      <c r="L2" s="649"/>
      <c r="M2" s="649"/>
      <c r="N2" s="64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339</v>
      </c>
      <c r="C26" s="76">
        <f>'B5'!AH26</f>
        <v>0</v>
      </c>
      <c r="D26" s="76">
        <f>GEN!AI24</f>
        <v>1923.9451476789504</v>
      </c>
      <c r="E26" s="242">
        <f t="shared" si="0"/>
        <v>2262.9451476789504</v>
      </c>
      <c r="F26" s="75">
        <f>WATER!L26</f>
        <v>0</v>
      </c>
      <c r="G26" s="78">
        <f>WATER!BG26</f>
        <v>-49.800000000000026</v>
      </c>
      <c r="H26" s="79">
        <f>ELEC!AF24</f>
        <v>1611</v>
      </c>
      <c r="I26" s="79">
        <f>ELEC!Q24</f>
        <v>7474.9999999985448</v>
      </c>
      <c r="J26" s="79">
        <f>ELEC!R24</f>
        <v>2304.0000000014552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339</v>
      </c>
      <c r="C27" s="76">
        <f>'B5'!AH27</f>
        <v>0</v>
      </c>
      <c r="D27" s="76">
        <f>GEN!AI25</f>
        <v>2125.4767932493646</v>
      </c>
      <c r="E27" s="242">
        <f t="shared" si="0"/>
        <v>2464.4767932493646</v>
      </c>
      <c r="F27" s="75">
        <f>WATER!L27</f>
        <v>0</v>
      </c>
      <c r="G27" s="78">
        <f>WATER!BG27</f>
        <v>87.300000000000011</v>
      </c>
      <c r="H27" s="79">
        <f>ELEC!AF25</f>
        <v>1685</v>
      </c>
      <c r="I27" s="79">
        <f>ELEC!Q25</f>
        <v>8258.0000000016298</v>
      </c>
      <c r="J27" s="79">
        <f>ELEC!R25</f>
        <v>2097.9999999983702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458</v>
      </c>
      <c r="C28" s="76">
        <f>'B5'!AH28</f>
        <v>0</v>
      </c>
      <c r="D28" s="76">
        <f>GEN!AI26</f>
        <v>1646.7426160330888</v>
      </c>
      <c r="E28" s="242">
        <f t="shared" si="0"/>
        <v>2104.7426160330888</v>
      </c>
      <c r="F28" s="75">
        <f>WATER!L28</f>
        <v>0</v>
      </c>
      <c r="G28" s="78">
        <f>WATER!BG28</f>
        <v>-34.5</v>
      </c>
      <c r="H28" s="79">
        <f>ELEC!AF26</f>
        <v>882</v>
      </c>
      <c r="I28" s="79">
        <f>ELEC!Q26</f>
        <v>6397.9999999974098</v>
      </c>
      <c r="J28" s="79">
        <f>ELEC!R26</f>
        <v>2111.0000000025902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448</v>
      </c>
      <c r="C29" s="76">
        <f>'B5'!AH29</f>
        <v>0</v>
      </c>
      <c r="D29" s="76">
        <f>GEN!AI27</f>
        <v>2153.0168776375431</v>
      </c>
      <c r="E29" s="77">
        <f t="shared" si="0"/>
        <v>2601.0168776375431</v>
      </c>
      <c r="F29" s="75">
        <f>WATER!L29</f>
        <v>1</v>
      </c>
      <c r="G29" s="78">
        <f>WATER!BG29</f>
        <v>107.09999999999994</v>
      </c>
      <c r="H29" s="79">
        <f>ELEC!AF27</f>
        <v>1258</v>
      </c>
      <c r="I29" s="79">
        <f>ELEC!Q27</f>
        <v>8365.0000000016007</v>
      </c>
      <c r="J29" s="79">
        <f>ELEC!R27</f>
        <v>1874.9999999983993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425</v>
      </c>
      <c r="C30" s="76">
        <f>'B5'!AH30</f>
        <v>0</v>
      </c>
      <c r="D30" s="76">
        <f>GEN!AI28</f>
        <v>2194.1983122366614</v>
      </c>
      <c r="E30" s="77">
        <f t="shared" si="0"/>
        <v>2619.1983122366614</v>
      </c>
      <c r="F30" s="75">
        <f>WATER!L30</f>
        <v>1</v>
      </c>
      <c r="G30" s="78">
        <f>WATER!BG30</f>
        <v>-42.099999999999966</v>
      </c>
      <c r="H30" s="79">
        <f>ELEC!AF28</f>
        <v>1233</v>
      </c>
      <c r="I30" s="79">
        <f>ELEC!Q28</f>
        <v>8525.0000000014552</v>
      </c>
      <c r="J30" s="79">
        <f>ELEC!R28</f>
        <v>676.99999999854481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117.39999999999998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0" t="s">
        <v>151</v>
      </c>
      <c r="U3" s="660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5</v>
      </c>
      <c r="E29">
        <f t="shared" si="0"/>
        <v>450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6</v>
      </c>
      <c r="E30">
        <f t="shared" si="0"/>
        <v>540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6</v>
      </c>
      <c r="E31">
        <f t="shared" si="0"/>
        <v>540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I1" zoomScale="112" zoomScaleNormal="112" workbookViewId="0">
      <pane ySplit="1" topLeftCell="A29" activePane="bottomLeft" state="frozen"/>
      <selection pane="bottomLeft" activeCell="W28" sqref="W28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" thickBot="1">
      <c r="A24" s="4">
        <f>ELEC!C24</f>
        <v>44277</v>
      </c>
      <c r="B24" s="617">
        <v>9662</v>
      </c>
      <c r="C24" s="287">
        <f t="shared" si="10"/>
        <v>5</v>
      </c>
      <c r="D24" s="618">
        <v>336857</v>
      </c>
      <c r="E24" s="287">
        <f t="shared" si="12"/>
        <v>1653</v>
      </c>
      <c r="F24" s="287">
        <f t="shared" si="0"/>
        <v>330.6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v>12010</v>
      </c>
      <c r="S24" s="287">
        <f t="shared" si="4"/>
        <v>7</v>
      </c>
      <c r="T24" s="541">
        <f t="shared" si="29"/>
        <v>428663</v>
      </c>
      <c r="U24" s="287">
        <f t="shared" si="19"/>
        <v>1750</v>
      </c>
      <c r="V24" s="287">
        <v>250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12</v>
      </c>
      <c r="AA24" s="287">
        <f t="shared" si="21"/>
        <v>3403</v>
      </c>
      <c r="AB24" s="287">
        <f t="shared" si="22"/>
        <v>580.6</v>
      </c>
      <c r="AC24" s="287">
        <f t="shared" si="23"/>
        <v>283.58333333333331</v>
      </c>
      <c r="AD24" s="73">
        <f>ELEC!Q24</f>
        <v>7474.9999999985448</v>
      </c>
      <c r="AE24" s="73">
        <f t="shared" si="25"/>
        <v>622.91666666654544</v>
      </c>
      <c r="AF24" s="403">
        <f t="shared" si="26"/>
        <v>0.38932291666659091</v>
      </c>
      <c r="AG24" s="404">
        <f t="shared" si="27"/>
        <v>124.5833333333091</v>
      </c>
      <c r="AH24" s="404">
        <f t="shared" si="24"/>
        <v>159.00000000002422</v>
      </c>
      <c r="AI24" s="73">
        <f t="shared" si="28"/>
        <v>1923.9451476789504</v>
      </c>
      <c r="AJ24" s="289">
        <f t="shared" si="7"/>
        <v>0.25738396624472576</v>
      </c>
      <c r="AK24" s="289">
        <f t="shared" si="32"/>
        <v>160.32876230657919</v>
      </c>
    </row>
    <row r="25" spans="1:37" ht="15" thickBot="1">
      <c r="A25" s="4">
        <f>ELEC!C25</f>
        <v>44278</v>
      </c>
      <c r="B25" s="617">
        <v>9672</v>
      </c>
      <c r="C25" s="287">
        <f t="shared" si="10"/>
        <v>10</v>
      </c>
      <c r="D25" s="618">
        <v>338187</v>
      </c>
      <c r="E25" s="287">
        <f t="shared" si="12"/>
        <v>1330</v>
      </c>
      <c r="F25" s="287">
        <f t="shared" si="0"/>
        <v>133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606">
        <v>12014</v>
      </c>
      <c r="S25" s="287">
        <f t="shared" si="4"/>
        <v>4</v>
      </c>
      <c r="T25" s="541">
        <f t="shared" si="29"/>
        <v>429663</v>
      </c>
      <c r="U25" s="287">
        <f t="shared" si="19"/>
        <v>1000</v>
      </c>
      <c r="V25" s="287">
        <v>250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14</v>
      </c>
      <c r="AA25" s="287">
        <f t="shared" si="21"/>
        <v>2330</v>
      </c>
      <c r="AB25" s="287">
        <f t="shared" si="22"/>
        <v>383</v>
      </c>
      <c r="AC25" s="287">
        <f t="shared" si="23"/>
        <v>166.42857142857142</v>
      </c>
      <c r="AD25" s="73">
        <f>ELEC!Q25</f>
        <v>8258.0000000016298</v>
      </c>
      <c r="AE25" s="73">
        <f t="shared" si="25"/>
        <v>589.8571428572593</v>
      </c>
      <c r="AF25" s="403">
        <f t="shared" si="26"/>
        <v>0.36866071428578706</v>
      </c>
      <c r="AG25" s="404">
        <f t="shared" si="27"/>
        <v>117.97142857145187</v>
      </c>
      <c r="AH25" s="404">
        <f t="shared" si="24"/>
        <v>48.45714285711955</v>
      </c>
      <c r="AI25" s="73">
        <f t="shared" si="28"/>
        <v>2125.4767932493646</v>
      </c>
      <c r="AJ25" s="289">
        <f t="shared" si="7"/>
        <v>0.25738396624472576</v>
      </c>
      <c r="AK25" s="289">
        <f t="shared" si="32"/>
        <v>151.81977094638319</v>
      </c>
    </row>
    <row r="26" spans="1:37" ht="15" thickBot="1">
      <c r="A26" s="4">
        <f>ELEC!C26</f>
        <v>44279</v>
      </c>
      <c r="B26" s="540">
        <v>9681</v>
      </c>
      <c r="C26" s="287">
        <f t="shared" si="10"/>
        <v>9</v>
      </c>
      <c r="D26" s="541">
        <v>341268</v>
      </c>
      <c r="E26" s="287">
        <f t="shared" si="12"/>
        <v>3081</v>
      </c>
      <c r="F26" s="287">
        <f t="shared" si="0"/>
        <v>342.33333333333331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v>12018</v>
      </c>
      <c r="S26" s="287">
        <f t="shared" si="4"/>
        <v>4</v>
      </c>
      <c r="T26" s="541">
        <f t="shared" si="29"/>
        <v>430663</v>
      </c>
      <c r="U26" s="287">
        <f t="shared" si="19"/>
        <v>1000</v>
      </c>
      <c r="V26" s="287">
        <v>250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13</v>
      </c>
      <c r="AA26" s="287">
        <f t="shared" si="21"/>
        <v>4081</v>
      </c>
      <c r="AB26" s="287">
        <f t="shared" si="22"/>
        <v>592.33333333333326</v>
      </c>
      <c r="AC26" s="287">
        <f t="shared" si="23"/>
        <v>313.92307692307691</v>
      </c>
      <c r="AD26" s="73">
        <f>ELEC!Q26</f>
        <v>6397.9999999974098</v>
      </c>
      <c r="AE26" s="73">
        <f t="shared" si="25"/>
        <v>492.1538461536469</v>
      </c>
      <c r="AF26" s="403">
        <f t="shared" si="26"/>
        <v>0.30759615384602929</v>
      </c>
      <c r="AG26" s="404">
        <f t="shared" si="27"/>
        <v>98.430769230729368</v>
      </c>
      <c r="AH26" s="404">
        <f t="shared" si="24"/>
        <v>215.49230769234754</v>
      </c>
      <c r="AI26" s="73">
        <f t="shared" si="28"/>
        <v>1646.7426160330888</v>
      </c>
      <c r="AJ26" s="289">
        <f t="shared" si="7"/>
        <v>0.25738396624472576</v>
      </c>
      <c r="AK26" s="289">
        <f t="shared" si="32"/>
        <v>126.67250892562221</v>
      </c>
    </row>
    <row r="27" spans="1:37" ht="15" thickBot="1">
      <c r="A27" s="4">
        <f>ELEC!C27</f>
        <v>44280</v>
      </c>
      <c r="B27" s="540">
        <v>9696</v>
      </c>
      <c r="C27" s="287">
        <f t="shared" si="10"/>
        <v>15</v>
      </c>
      <c r="D27" s="541">
        <v>344144</v>
      </c>
      <c r="E27" s="287">
        <f t="shared" si="12"/>
        <v>2876</v>
      </c>
      <c r="F27" s="287">
        <f t="shared" si="0"/>
        <v>191.73333333333332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ref="R27:R33" si="36">R26</f>
        <v>12018</v>
      </c>
      <c r="S27" s="287">
        <f t="shared" si="4"/>
        <v>0</v>
      </c>
      <c r="T27" s="541">
        <f t="shared" si="29"/>
        <v>430663</v>
      </c>
      <c r="U27" s="287">
        <f t="shared" si="19"/>
        <v>0</v>
      </c>
      <c r="V27" s="287">
        <v>250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15</v>
      </c>
      <c r="AA27" s="287">
        <f t="shared" si="21"/>
        <v>2876</v>
      </c>
      <c r="AB27" s="287">
        <f t="shared" si="22"/>
        <v>441.73333333333335</v>
      </c>
      <c r="AC27" s="287">
        <f t="shared" si="23"/>
        <v>191.73333333333332</v>
      </c>
      <c r="AD27" s="73">
        <f>ELEC!Q27</f>
        <v>8365.0000000016007</v>
      </c>
      <c r="AE27" s="73">
        <f t="shared" si="25"/>
        <v>557.66666666677338</v>
      </c>
      <c r="AF27" s="403">
        <f t="shared" si="26"/>
        <v>0.34854166666673336</v>
      </c>
      <c r="AG27" s="404">
        <f t="shared" si="27"/>
        <v>111.53333333335468</v>
      </c>
      <c r="AH27" s="404">
        <f t="shared" si="24"/>
        <v>80.199999999978644</v>
      </c>
      <c r="AI27" s="73">
        <f t="shared" si="28"/>
        <v>2153.0168776375431</v>
      </c>
      <c r="AJ27" s="289">
        <f t="shared" si="7"/>
        <v>0.25738396624472576</v>
      </c>
      <c r="AK27" s="289">
        <f t="shared" si="32"/>
        <v>143.53445850916953</v>
      </c>
    </row>
    <row r="28" spans="1:37" ht="15" thickBot="1">
      <c r="A28" s="4">
        <f>ELEC!C28</f>
        <v>44281</v>
      </c>
      <c r="B28" s="540">
        <v>9711</v>
      </c>
      <c r="C28" s="287">
        <f t="shared" si="10"/>
        <v>15</v>
      </c>
      <c r="D28" s="541">
        <v>347589</v>
      </c>
      <c r="E28" s="287">
        <f t="shared" si="12"/>
        <v>3445</v>
      </c>
      <c r="F28" s="287">
        <f t="shared" si="0"/>
        <v>229.66666666666666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v>12019</v>
      </c>
      <c r="S28" s="287">
        <f t="shared" si="4"/>
        <v>1</v>
      </c>
      <c r="T28" s="541">
        <f t="shared" si="29"/>
        <v>430913</v>
      </c>
      <c r="U28" s="287">
        <f t="shared" si="19"/>
        <v>250</v>
      </c>
      <c r="V28" s="287">
        <v>250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16</v>
      </c>
      <c r="AA28" s="287">
        <f t="shared" si="21"/>
        <v>3695</v>
      </c>
      <c r="AB28" s="287">
        <f t="shared" si="22"/>
        <v>479.66666666666663</v>
      </c>
      <c r="AC28" s="287">
        <f t="shared" si="23"/>
        <v>230.9375</v>
      </c>
      <c r="AD28" s="73">
        <f>ELEC!Q28</f>
        <v>8525.0000000014552</v>
      </c>
      <c r="AE28" s="73">
        <f t="shared" si="25"/>
        <v>532.81250000009095</v>
      </c>
      <c r="AF28" s="403">
        <f t="shared" si="26"/>
        <v>0.33300781250005684</v>
      </c>
      <c r="AG28" s="404">
        <f t="shared" si="27"/>
        <v>106.56250000001819</v>
      </c>
      <c r="AH28" s="404">
        <f t="shared" si="24"/>
        <v>124.37499999998181</v>
      </c>
      <c r="AI28" s="73">
        <f t="shared" si="28"/>
        <v>2194.1983122366614</v>
      </c>
      <c r="AJ28" s="289">
        <f t="shared" si="7"/>
        <v>0.25738396624472576</v>
      </c>
      <c r="AK28" s="289">
        <f t="shared" si="32"/>
        <v>137.13739451479134</v>
      </c>
    </row>
    <row r="29" spans="1:37" ht="15" thickBot="1">
      <c r="A29" s="4">
        <f>ELEC!C29</f>
        <v>44282</v>
      </c>
      <c r="B29" s="540">
        <f t="shared" si="9"/>
        <v>9711</v>
      </c>
      <c r="C29" s="287">
        <f t="shared" si="10"/>
        <v>0</v>
      </c>
      <c r="D29" s="541">
        <f t="shared" si="11"/>
        <v>347589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12019</v>
      </c>
      <c r="S29" s="287">
        <f t="shared" si="4"/>
        <v>0</v>
      </c>
      <c r="T29" s="541">
        <f t="shared" si="29"/>
        <v>430913</v>
      </c>
      <c r="U29" s="287">
        <f t="shared" si="19"/>
        <v>0</v>
      </c>
      <c r="V29" s="287">
        <f t="shared" ref="V29:V32" si="37">IF(S29&gt;0,U29/S29,0)</f>
        <v>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2"/>
        <v>0</v>
      </c>
    </row>
    <row r="30" spans="1:37" ht="15" thickBot="1">
      <c r="A30" s="4">
        <f>ELEC!C30</f>
        <v>44283</v>
      </c>
      <c r="B30" s="540">
        <f t="shared" si="9"/>
        <v>9711</v>
      </c>
      <c r="C30" s="287">
        <f t="shared" si="10"/>
        <v>0</v>
      </c>
      <c r="D30" s="541">
        <f t="shared" si="11"/>
        <v>347589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12019</v>
      </c>
      <c r="S30" s="287">
        <f t="shared" si="4"/>
        <v>0</v>
      </c>
      <c r="T30" s="541">
        <f t="shared" si="29"/>
        <v>430913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2"/>
        <v>0</v>
      </c>
    </row>
    <row r="31" spans="1:37" ht="15" thickBot="1">
      <c r="A31" s="4">
        <f>ELEC!C31</f>
        <v>44284</v>
      </c>
      <c r="B31" s="540">
        <f t="shared" si="9"/>
        <v>9711</v>
      </c>
      <c r="C31" s="287">
        <f t="shared" ref="C31:C33" si="38">B31-B30</f>
        <v>0</v>
      </c>
      <c r="D31" s="541">
        <f t="shared" si="11"/>
        <v>347589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ok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6"/>
        <v>12019</v>
      </c>
      <c r="S31" s="287">
        <f t="shared" ref="S31:S33" si="47">R31-R30</f>
        <v>0</v>
      </c>
      <c r="T31" s="541">
        <f t="shared" si="29"/>
        <v>430913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" thickBot="1">
      <c r="A32" s="4">
        <f>ELEC!C32</f>
        <v>44285</v>
      </c>
      <c r="B32" s="540">
        <f t="shared" si="9"/>
        <v>9711</v>
      </c>
      <c r="C32" s="287">
        <f t="shared" si="38"/>
        <v>0</v>
      </c>
      <c r="D32" s="541">
        <f t="shared" si="11"/>
        <v>347589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ok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6"/>
        <v>12019</v>
      </c>
      <c r="S32" s="287">
        <f t="shared" si="47"/>
        <v>0</v>
      </c>
      <c r="T32" s="541">
        <f t="shared" si="29"/>
        <v>430913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9711</v>
      </c>
      <c r="C33" s="287">
        <f t="shared" si="38"/>
        <v>0</v>
      </c>
      <c r="D33" s="541">
        <f t="shared" si="11"/>
        <v>347589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ok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6"/>
        <v>12019</v>
      </c>
      <c r="S33" s="287">
        <f t="shared" si="47"/>
        <v>0</v>
      </c>
      <c r="T33" s="541">
        <f t="shared" si="29"/>
        <v>430913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205</v>
      </c>
      <c r="V34" s="40"/>
      <c r="X34">
        <v>341</v>
      </c>
      <c r="Z34" s="421">
        <f>SUM(Z3:Z30)</f>
        <v>205</v>
      </c>
    </row>
    <row r="35" spans="1:37">
      <c r="C35" s="40">
        <f>SUM(C3:C30)</f>
        <v>62</v>
      </c>
      <c r="K35" s="40">
        <f>SUM(K3:K30)</f>
        <v>0</v>
      </c>
      <c r="S35" s="40">
        <f>SUM(S3:S30)</f>
        <v>143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F52" zoomScale="40" zoomScaleNormal="40" workbookViewId="0">
      <selection activeCell="AB16" sqref="AB16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129.83480654307374</v>
      </c>
      <c r="P4" s="297">
        <f>SUM(L4:O4)</f>
        <v>215.23182146844687</v>
      </c>
      <c r="Q4" s="297">
        <f>SUM(-tanks!AX6*tanks!$AU$37)</f>
        <v>2618.3644215053514</v>
      </c>
      <c r="R4" s="297">
        <f>SUM(P4:Q4)</f>
        <v>2833.5962429737983</v>
      </c>
      <c r="S4" s="299">
        <f>SUM(ELEC!N3)</f>
        <v>8408</v>
      </c>
      <c r="T4" s="336">
        <f>IF(S4&gt;0,R4/S4,0)</f>
        <v>0.33701192233275434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1"/>
      <c r="AC4" s="672"/>
    </row>
    <row r="5" spans="1:32" ht="1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129.83480654307374</v>
      </c>
      <c r="P5" s="297">
        <f t="shared" ref="P5:P30" si="9">SUM(L5:O5)</f>
        <v>212.11142345849663</v>
      </c>
      <c r="Q5" s="297">
        <f>SUM(-tanks!AX7*tanks!$AU$37)</f>
        <v>1796.5468387096832</v>
      </c>
      <c r="R5" s="297">
        <f t="shared" ref="R5:R30" si="10">SUM(P5:Q5)</f>
        <v>2008.6582621681798</v>
      </c>
      <c r="S5" s="299">
        <f>SUM(ELEC!N4)</f>
        <v>9041</v>
      </c>
      <c r="T5" s="336">
        <f>IF(S5&gt;0,R5/S5,0)</f>
        <v>0.22217213385335469</v>
      </c>
      <c r="U5" s="250"/>
      <c r="V5" s="665"/>
      <c r="W5" s="666"/>
      <c r="X5" s="666"/>
      <c r="Y5" s="667"/>
      <c r="Z5" s="26" t="s">
        <v>203</v>
      </c>
      <c r="AA5" s="264">
        <f>'[7]EDl log'!AA22</f>
        <v>5000</v>
      </c>
      <c r="AB5" s="673"/>
      <c r="AC5" s="674"/>
    </row>
    <row r="6" spans="1:32" ht="1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129.83480654307374</v>
      </c>
      <c r="P6" s="297">
        <f t="shared" si="9"/>
        <v>264.04376176695433</v>
      </c>
      <c r="Q6" s="297">
        <f>SUM(-tanks!AX8*tanks!$AU$37)</f>
        <v>1398.8609032258175</v>
      </c>
      <c r="R6" s="297">
        <f t="shared" si="10"/>
        <v>1662.9046649927718</v>
      </c>
      <c r="S6" s="299">
        <f>SUM(ELEC!N5)</f>
        <v>7715</v>
      </c>
      <c r="T6" s="336">
        <f t="shared" ref="T6:T30" si="12">IF(S6&gt;0,R6/S6,0)</f>
        <v>0.21554175826218688</v>
      </c>
      <c r="V6" s="668"/>
      <c r="W6" s="669"/>
      <c r="X6" s="669"/>
      <c r="Y6" s="670"/>
      <c r="Z6" s="3"/>
      <c r="AA6" s="3"/>
      <c r="AB6" s="673"/>
      <c r="AC6" s="674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129.83480654307374</v>
      </c>
      <c r="P7" s="297">
        <f t="shared" si="9"/>
        <v>309.88389443693774</v>
      </c>
      <c r="Q7" s="297">
        <f>SUM(-tanks!AX9*tanks!$AU$37)</f>
        <v>1255.8795698924653</v>
      </c>
      <c r="R7" s="297">
        <f t="shared" si="10"/>
        <v>1565.763464329403</v>
      </c>
      <c r="S7" s="299">
        <f>SUM(ELEC!N6)</f>
        <v>7405</v>
      </c>
      <c r="T7" s="336">
        <f t="shared" si="12"/>
        <v>0.21144678789053381</v>
      </c>
      <c r="V7" s="661" t="s">
        <v>204</v>
      </c>
      <c r="W7" s="662"/>
      <c r="X7" s="663" t="s">
        <v>205</v>
      </c>
      <c r="Y7" s="664"/>
      <c r="Z7" s="662"/>
      <c r="AA7" s="26"/>
      <c r="AB7" s="675"/>
      <c r="AC7" s="676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129.83480654307374</v>
      </c>
      <c r="P8" s="297">
        <f t="shared" si="9"/>
        <v>265.975436725495</v>
      </c>
      <c r="Q8" s="297">
        <f>SUM(-tanks!AX10*tanks!$AU$37)</f>
        <v>295.24283870968935</v>
      </c>
      <c r="R8" s="297">
        <f t="shared" si="10"/>
        <v>561.2182754351843</v>
      </c>
      <c r="S8" s="299">
        <f>SUM(ELEC!N7)</f>
        <v>7744</v>
      </c>
      <c r="T8" s="336">
        <f>IF(S8&gt;0,R8/S8,0)</f>
        <v>7.2471368212188053E-2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129.83480654307374</v>
      </c>
      <c r="P9" s="297">
        <f t="shared" si="9"/>
        <v>253.49384468569397</v>
      </c>
      <c r="Q9" s="297">
        <f>SUM(-tanks!AX11*tanks!$AU$37)</f>
        <v>1388.5249032257987</v>
      </c>
      <c r="R9" s="297">
        <f>SUM(P9:Q9)</f>
        <v>1642.0187479114927</v>
      </c>
      <c r="S9" s="299">
        <f>SUM(ELEC!N8)</f>
        <v>7618</v>
      </c>
      <c r="T9" s="336">
        <f t="shared" si="12"/>
        <v>0.21554459804561468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129.83480654307374</v>
      </c>
      <c r="P10" s="297">
        <f t="shared" si="9"/>
        <v>315.68953291123296</v>
      </c>
      <c r="Q10" s="297">
        <f>SUM(-tanks!AX12*tanks!$AU$37)</f>
        <v>594.34778494622958</v>
      </c>
      <c r="R10" s="297">
        <f t="shared" si="10"/>
        <v>910.03731785746254</v>
      </c>
      <c r="S10" s="299">
        <f>SUM(ELEC!N9)</f>
        <v>6359</v>
      </c>
      <c r="T10" s="336">
        <f t="shared" si="12"/>
        <v>0.14311013018673729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129.83480654307374</v>
      </c>
      <c r="P11" s="297">
        <f t="shared" si="9"/>
        <v>331.68422611189629</v>
      </c>
      <c r="Q11" s="297">
        <f>SUM(-tanks!AX13*tanks!$AU$37)</f>
        <v>908.74834408602032</v>
      </c>
      <c r="R11" s="297">
        <f t="shared" si="10"/>
        <v>1240.4325701979167</v>
      </c>
      <c r="S11" s="299">
        <f>SUM(ELEC!N10)</f>
        <v>6832</v>
      </c>
      <c r="T11" s="336">
        <f t="shared" si="12"/>
        <v>0.18156214434981216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129.83480654307374</v>
      </c>
      <c r="P12" s="297">
        <f t="shared" si="9"/>
        <v>339.1774267752462</v>
      </c>
      <c r="Q12" s="297">
        <f>SUM(-tanks!AX14*tanks!$AU$37)</f>
        <v>470.8853763441</v>
      </c>
      <c r="R12" s="297">
        <f t="shared" si="10"/>
        <v>810.0628031193462</v>
      </c>
      <c r="S12" s="299">
        <f>SUM(ELEC!N11)</f>
        <v>6552</v>
      </c>
      <c r="T12" s="336">
        <f t="shared" si="12"/>
        <v>0.12363595896204918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129.83480654307374</v>
      </c>
      <c r="P13" s="297">
        <f t="shared" si="9"/>
        <v>297.21125762101735</v>
      </c>
      <c r="Q13" s="297">
        <f>SUM(-tanks!AX15*tanks!$AU$37)</f>
        <v>950.9536774193474</v>
      </c>
      <c r="R13" s="297">
        <f t="shared" si="10"/>
        <v>1248.1649350403648</v>
      </c>
      <c r="S13" s="299">
        <f>SUM(ELEC!N12)</f>
        <v>6673</v>
      </c>
      <c r="T13" s="336">
        <f>IF(S13&gt;0,R13/S13,0)</f>
        <v>0.18704704556277008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129.83480654307374</v>
      </c>
      <c r="P14" s="297">
        <f t="shared" ref="P14:P17" si="17">SUM(L14:O14)</f>
        <v>332.91540355799913</v>
      </c>
      <c r="Q14" s="297">
        <f>SUM(-tanks!AX16*tanks!$AU$37)</f>
        <v>716.08752688171739</v>
      </c>
      <c r="R14" s="297">
        <f t="shared" ref="R14:R17" si="18">SUM(P14:Q14)</f>
        <v>1049.0029304397165</v>
      </c>
      <c r="S14" s="299">
        <f>SUM(ELEC!N13)</f>
        <v>6832</v>
      </c>
      <c r="T14" s="336">
        <f t="shared" ref="T14:T17" si="19">IF(S14&gt;0,R14/S14,0)</f>
        <v>0.15354258349527466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129.83480654307374</v>
      </c>
      <c r="P15" s="297">
        <f t="shared" si="17"/>
        <v>374.53132395600909</v>
      </c>
      <c r="Q15" s="297">
        <f>SUM(-tanks!AX17*tanks!$AU$37)</f>
        <v>571.09178494623575</v>
      </c>
      <c r="R15" s="297">
        <f t="shared" si="18"/>
        <v>945.62310890224489</v>
      </c>
      <c r="S15" s="299">
        <f>SUM(ELEC!N14)</f>
        <v>6743</v>
      </c>
      <c r="T15" s="336">
        <f t="shared" si="19"/>
        <v>0.14023774416465148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129.83480654307374</v>
      </c>
      <c r="P16" s="297">
        <f t="shared" si="17"/>
        <v>360.04376176695433</v>
      </c>
      <c r="Q16" s="297">
        <f>SUM(-tanks!AX18*tanks!$AU$37)</f>
        <v>621.91045161289617</v>
      </c>
      <c r="R16" s="297">
        <f t="shared" si="18"/>
        <v>981.95421337985044</v>
      </c>
      <c r="S16" s="299">
        <f>SUM(ELEC!N15)</f>
        <v>6400</v>
      </c>
      <c r="T16" s="336">
        <f t="shared" si="19"/>
        <v>0.15343034584060164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129.83480654307374</v>
      </c>
      <c r="P17" s="297">
        <f t="shared" si="17"/>
        <v>339.10313158453312</v>
      </c>
      <c r="Q17" s="297">
        <f>SUM(-tanks!AX19*tanks!$AU$37)</f>
        <v>854.19260215055749</v>
      </c>
      <c r="R17" s="297">
        <f t="shared" si="18"/>
        <v>1193.2957337350906</v>
      </c>
      <c r="S17" s="299">
        <f>SUM(ELEC!N16)</f>
        <v>6878</v>
      </c>
      <c r="T17" s="336">
        <f t="shared" si="19"/>
        <v>0.17349458181667499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129.83480654307374</v>
      </c>
      <c r="P18" s="297">
        <f t="shared" si="9"/>
        <v>332.04508846678846</v>
      </c>
      <c r="Q18" s="297">
        <f>SUM(-tanks!AX20*tanks!$AU$37)</f>
        <v>596.07045161289625</v>
      </c>
      <c r="R18" s="297">
        <f t="shared" si="10"/>
        <v>928.11554007968471</v>
      </c>
      <c r="S18" s="299">
        <f>SUM(ELEC!N17)</f>
        <v>6482</v>
      </c>
      <c r="T18" s="336">
        <f t="shared" si="12"/>
        <v>0.14318351435971685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129.83480654307374</v>
      </c>
      <c r="P19" s="297">
        <f t="shared" si="9"/>
        <v>261.58140687474872</v>
      </c>
      <c r="Q19" s="297">
        <f>SUM(-tanks!AX21*tanks!$AU$37)</f>
        <v>582.37247311828889</v>
      </c>
      <c r="R19" s="297">
        <f t="shared" si="10"/>
        <v>843.95387999303762</v>
      </c>
      <c r="S19" s="299">
        <f>SUM(ELEC!N18)</f>
        <v>8211</v>
      </c>
      <c r="T19" s="336">
        <f t="shared" si="12"/>
        <v>0.10278332480733621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129.83480654307374</v>
      </c>
      <c r="P20" s="297">
        <f t="shared" si="9"/>
        <v>276.39799062267571</v>
      </c>
      <c r="Q20" s="297">
        <f>SUM(-tanks!AX22*tanks!$AU$37)</f>
        <v>1374.6379870967658</v>
      </c>
      <c r="R20" s="297">
        <f t="shared" si="10"/>
        <v>1651.0359777194415</v>
      </c>
      <c r="S20" s="299">
        <f>SUM(ELEC!N19)</f>
        <v>8488</v>
      </c>
      <c r="T20" s="336">
        <f t="shared" si="12"/>
        <v>0.19451413498108405</v>
      </c>
      <c r="V20" t="s">
        <v>412</v>
      </c>
      <c r="AB20" s="570"/>
    </row>
    <row r="21" spans="1:32" ht="1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129.83480654307374</v>
      </c>
      <c r="P21" s="297">
        <f t="shared" si="9"/>
        <v>260.530660606092</v>
      </c>
      <c r="Q21" s="297">
        <f>SUM(-tanks!AX23*tanks!$AU$37)</f>
        <v>1772.123870967763</v>
      </c>
      <c r="R21" s="297">
        <f t="shared" si="10"/>
        <v>2032.6545315738549</v>
      </c>
      <c r="S21" s="299">
        <f>SUM(ELEC!N20)</f>
        <v>8988</v>
      </c>
      <c r="T21" s="336">
        <f t="shared" si="12"/>
        <v>0.22615203956095403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1"/>
      <c r="AC21" s="672"/>
    </row>
    <row r="22" spans="1:32" ht="1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129.83480654307374</v>
      </c>
      <c r="P22" s="297">
        <f t="shared" si="9"/>
        <v>289.41026259614171</v>
      </c>
      <c r="Q22" s="297">
        <f>SUM(-tanks!AX24*tanks!$AU$37)</f>
        <v>-1866.8705376344233</v>
      </c>
      <c r="R22" s="297">
        <f t="shared" si="10"/>
        <v>-1577.4602750382815</v>
      </c>
      <c r="S22" s="299">
        <f>SUM(ELEC!N21)</f>
        <v>7145</v>
      </c>
      <c r="T22" s="336">
        <f t="shared" si="12"/>
        <v>-0.22077820504384624</v>
      </c>
      <c r="V22" s="677"/>
      <c r="W22" s="678"/>
      <c r="X22" s="678"/>
      <c r="Y22" s="679"/>
      <c r="Z22" s="26" t="s">
        <v>203</v>
      </c>
      <c r="AA22" s="26">
        <v>5000</v>
      </c>
      <c r="AB22" s="673"/>
      <c r="AC22" s="674"/>
    </row>
    <row r="23" spans="1:32" ht="1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129.83480654307374</v>
      </c>
      <c r="P23" s="297">
        <f t="shared" si="9"/>
        <v>329.06266723959118</v>
      </c>
      <c r="Q23" s="297">
        <f>SUM(-tanks!AX25*tanks!$AU$37)</f>
        <v>490.98778494623576</v>
      </c>
      <c r="R23" s="297">
        <f t="shared" si="10"/>
        <v>820.050452185827</v>
      </c>
      <c r="S23" s="299">
        <f>SUM(ELEC!N22)</f>
        <v>6356</v>
      </c>
      <c r="T23" s="336">
        <f t="shared" si="12"/>
        <v>0.12901989493169083</v>
      </c>
      <c r="V23" s="680"/>
      <c r="W23" s="681"/>
      <c r="X23" s="681"/>
      <c r="Y23" s="682"/>
      <c r="Z23" s="683"/>
      <c r="AA23" s="684"/>
      <c r="AB23" s="673"/>
      <c r="AC23" s="674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129.83480654307374</v>
      </c>
      <c r="P24" s="297">
        <f t="shared" si="9"/>
        <v>285.89716143527937</v>
      </c>
      <c r="Q24" s="297">
        <f>SUM(-tanks!AX26*tanks!$AU$37)</f>
        <v>1271.383569892484</v>
      </c>
      <c r="R24" s="297">
        <f t="shared" si="10"/>
        <v>1557.2807313277635</v>
      </c>
      <c r="S24" s="299">
        <f>SUM(ELEC!N23)</f>
        <v>7217</v>
      </c>
      <c r="T24" s="336">
        <f t="shared" si="12"/>
        <v>0.21577951106107296</v>
      </c>
      <c r="V24" s="685" t="s">
        <v>204</v>
      </c>
      <c r="W24" s="686"/>
      <c r="X24" s="687" t="s">
        <v>205</v>
      </c>
      <c r="Y24" s="688"/>
      <c r="Z24" s="689"/>
      <c r="AA24" s="170"/>
      <c r="AB24" s="675"/>
      <c r="AC24" s="676"/>
    </row>
    <row r="25" spans="1:32" ht="17.25" customHeight="1" thickBot="1">
      <c r="A25" s="163">
        <f>ELEC!C24</f>
        <v>44277</v>
      </c>
      <c r="B25" s="539">
        <v>947861</v>
      </c>
      <c r="C25" s="264">
        <f t="shared" si="0"/>
        <v>1438</v>
      </c>
      <c r="D25" s="308">
        <f t="shared" si="8"/>
        <v>1437</v>
      </c>
      <c r="E25" s="308">
        <f t="shared" si="11"/>
        <v>947860</v>
      </c>
      <c r="F25" s="539">
        <v>143370</v>
      </c>
      <c r="G25" s="160">
        <f t="shared" si="1"/>
        <v>239</v>
      </c>
      <c r="H25" s="539">
        <v>464186</v>
      </c>
      <c r="I25" s="161">
        <f t="shared" si="2"/>
        <v>350</v>
      </c>
      <c r="J25" s="539">
        <v>340304</v>
      </c>
      <c r="K25" s="162">
        <f t="shared" si="3"/>
        <v>848</v>
      </c>
      <c r="L25" s="296">
        <f t="shared" si="20"/>
        <v>50.733001658374796</v>
      </c>
      <c r="M25" s="296">
        <f t="shared" si="21"/>
        <v>26.003316749585405</v>
      </c>
      <c r="N25" s="296">
        <f t="shared" si="22"/>
        <v>45.001658374792704</v>
      </c>
      <c r="O25" s="296">
        <f t="shared" si="7"/>
        <v>129.83480654307374</v>
      </c>
      <c r="P25" s="297">
        <f t="shared" si="9"/>
        <v>251.57278332582663</v>
      </c>
      <c r="Q25" s="297">
        <f>SUM(-tanks!AX27*tanks!$AU$37)</f>
        <v>2085.371354838695</v>
      </c>
      <c r="R25" s="297">
        <f t="shared" si="10"/>
        <v>2336.9441381645215</v>
      </c>
      <c r="S25" s="299">
        <f>SUM(ELEC!N24)</f>
        <v>9779</v>
      </c>
      <c r="T25" s="336">
        <f t="shared" si="12"/>
        <v>0.23897577852178356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44278</v>
      </c>
      <c r="B26" s="539">
        <v>948922</v>
      </c>
      <c r="C26" s="264">
        <f t="shared" si="0"/>
        <v>1061</v>
      </c>
      <c r="D26" s="308">
        <f t="shared" si="8"/>
        <v>1061</v>
      </c>
      <c r="E26" s="308">
        <f t="shared" si="11"/>
        <v>948922</v>
      </c>
      <c r="F26" s="539">
        <v>143619</v>
      </c>
      <c r="G26" s="160">
        <f t="shared" si="1"/>
        <v>249</v>
      </c>
      <c r="H26" s="539">
        <v>464695</v>
      </c>
      <c r="I26" s="161">
        <f t="shared" si="2"/>
        <v>509</v>
      </c>
      <c r="J26" s="539">
        <v>340607</v>
      </c>
      <c r="K26" s="162">
        <f t="shared" si="3"/>
        <v>303</v>
      </c>
      <c r="L26" s="296">
        <f t="shared" si="20"/>
        <v>52.855721393034827</v>
      </c>
      <c r="M26" s="296">
        <f t="shared" si="21"/>
        <v>37.816252072968489</v>
      </c>
      <c r="N26" s="296">
        <f t="shared" si="22"/>
        <v>16.079601990049753</v>
      </c>
      <c r="O26" s="296">
        <f t="shared" si="7"/>
        <v>129.83480654307374</v>
      </c>
      <c r="P26" s="297">
        <f t="shared" si="9"/>
        <v>236.58638199912681</v>
      </c>
      <c r="Q26" s="297">
        <f>SUM(-tanks!AX28*tanks!$AU$37)</f>
        <v>2349.5228387096831</v>
      </c>
      <c r="R26" s="297">
        <f t="shared" si="10"/>
        <v>2586.10922070881</v>
      </c>
      <c r="S26" s="299">
        <f>SUM(ELEC!N25)</f>
        <v>10356</v>
      </c>
      <c r="T26" s="336">
        <f t="shared" si="12"/>
        <v>0.24972085947362013</v>
      </c>
      <c r="V26" s="254">
        <f>W9</f>
        <v>321050</v>
      </c>
      <c r="W26" s="170">
        <f>J34</f>
        <v>342362</v>
      </c>
      <c r="X26" s="172" t="s">
        <v>199</v>
      </c>
      <c r="Y26" s="172">
        <v>80</v>
      </c>
      <c r="Z26" s="172">
        <v>1</v>
      </c>
      <c r="AA26" s="338">
        <f>(W26-V26)*Z26</f>
        <v>21312</v>
      </c>
      <c r="AB26" s="338">
        <f>AA26*Y26</f>
        <v>1704960</v>
      </c>
      <c r="AC26" s="249">
        <f>AC9</f>
        <v>1033333</v>
      </c>
      <c r="AD26" s="212">
        <f>SUM(K36)</f>
        <v>0.45218645901848042</v>
      </c>
    </row>
    <row r="27" spans="1:32" ht="15" thickBot="1">
      <c r="A27" s="163">
        <f>ELEC!C26</f>
        <v>44279</v>
      </c>
      <c r="B27" s="539">
        <v>950117</v>
      </c>
      <c r="C27" s="264">
        <f t="shared" si="0"/>
        <v>1195</v>
      </c>
      <c r="D27" s="308">
        <f t="shared" si="8"/>
        <v>1195</v>
      </c>
      <c r="E27" s="308">
        <f t="shared" si="11"/>
        <v>950117</v>
      </c>
      <c r="F27" s="539">
        <v>143619</v>
      </c>
      <c r="G27" s="160">
        <f t="shared" si="1"/>
        <v>0</v>
      </c>
      <c r="H27" s="539">
        <v>465140</v>
      </c>
      <c r="I27" s="161">
        <f t="shared" si="2"/>
        <v>445</v>
      </c>
      <c r="J27" s="539">
        <v>341357</v>
      </c>
      <c r="K27" s="162">
        <f t="shared" si="3"/>
        <v>750</v>
      </c>
      <c r="L27" s="296">
        <f t="shared" si="20"/>
        <v>0</v>
      </c>
      <c r="M27" s="296">
        <f t="shared" si="21"/>
        <v>33.061359867330019</v>
      </c>
      <c r="N27" s="296">
        <f t="shared" si="22"/>
        <v>39.800995024875618</v>
      </c>
      <c r="O27" s="296">
        <f t="shared" si="7"/>
        <v>129.83480654307374</v>
      </c>
      <c r="P27" s="297">
        <f t="shared" si="9"/>
        <v>202.69716143527938</v>
      </c>
      <c r="Q27" s="297">
        <f>SUM(-tanks!AX29*tanks!$AU$37)</f>
        <v>2186.7308387096832</v>
      </c>
      <c r="R27" s="297">
        <f t="shared" si="10"/>
        <v>2389.4280001449624</v>
      </c>
      <c r="S27" s="299">
        <f>SUM(ELEC!N26)</f>
        <v>8509</v>
      </c>
      <c r="T27" s="336">
        <f t="shared" si="12"/>
        <v>0.28081184629744532</v>
      </c>
      <c r="V27" s="254">
        <f t="shared" ref="V27:V28" si="23">W10</f>
        <v>446820</v>
      </c>
      <c r="W27" s="170">
        <f>H34</f>
        <v>465990</v>
      </c>
      <c r="X27" s="172" t="s">
        <v>213</v>
      </c>
      <c r="Y27" s="172">
        <v>112</v>
      </c>
      <c r="Z27" s="172">
        <v>1</v>
      </c>
      <c r="AA27" s="338">
        <f>(W27-V27)*Z27</f>
        <v>19170</v>
      </c>
      <c r="AB27" s="338">
        <f>SUM(AA27*Y27)</f>
        <v>2147040</v>
      </c>
      <c r="AC27" s="249">
        <f>AC10</f>
        <v>6200000</v>
      </c>
      <c r="AD27" s="212">
        <f>SUM(I36)</f>
        <v>0.40673866457321078</v>
      </c>
    </row>
    <row r="28" spans="1:32" ht="15" thickBot="1">
      <c r="A28" s="163">
        <f>ELEC!C27</f>
        <v>44280</v>
      </c>
      <c r="B28" s="539">
        <v>951218</v>
      </c>
      <c r="C28" s="264">
        <f t="shared" si="0"/>
        <v>1101</v>
      </c>
      <c r="D28" s="308">
        <f t="shared" si="8"/>
        <v>1102</v>
      </c>
      <c r="E28" s="308">
        <f t="shared" si="11"/>
        <v>951219</v>
      </c>
      <c r="F28" s="539">
        <v>143698</v>
      </c>
      <c r="G28" s="160">
        <f t="shared" si="1"/>
        <v>79</v>
      </c>
      <c r="H28" s="539">
        <v>465725</v>
      </c>
      <c r="I28" s="161">
        <f t="shared" si="2"/>
        <v>585</v>
      </c>
      <c r="J28" s="539">
        <v>341795</v>
      </c>
      <c r="K28" s="162">
        <f t="shared" si="3"/>
        <v>438</v>
      </c>
      <c r="L28" s="296">
        <f t="shared" si="20"/>
        <v>16.76948590381426</v>
      </c>
      <c r="M28" s="296">
        <f t="shared" si="21"/>
        <v>43.462686567164177</v>
      </c>
      <c r="N28" s="296">
        <f t="shared" si="22"/>
        <v>23.243781094527364</v>
      </c>
      <c r="O28" s="296">
        <f t="shared" si="7"/>
        <v>129.83480654307374</v>
      </c>
      <c r="P28" s="297">
        <f t="shared" si="9"/>
        <v>213.31076010857953</v>
      </c>
      <c r="Q28" s="297">
        <f>SUM(-tanks!AX30*tanks!$AU$37)</f>
        <v>2255.637505376325</v>
      </c>
      <c r="R28" s="297">
        <f t="shared" si="10"/>
        <v>2468.9482654849044</v>
      </c>
      <c r="S28" s="299">
        <f>SUM(ELEC!N27)</f>
        <v>10240</v>
      </c>
      <c r="T28" s="336">
        <f t="shared" si="12"/>
        <v>0.2411082290512602</v>
      </c>
      <c r="V28" s="254">
        <f t="shared" si="23"/>
        <v>137108</v>
      </c>
      <c r="W28" s="170">
        <f>F34</f>
        <v>143755</v>
      </c>
      <c r="X28" s="172" t="s">
        <v>197</v>
      </c>
      <c r="Y28" s="172">
        <v>320</v>
      </c>
      <c r="Z28" s="172">
        <v>1</v>
      </c>
      <c r="AA28" s="338">
        <f>(W28-V28)*Z28</f>
        <v>6647</v>
      </c>
      <c r="AB28" s="338">
        <f>SUM(AA28*Y28)</f>
        <v>2127040</v>
      </c>
      <c r="AC28" s="249">
        <f>AC11</f>
        <v>1000</v>
      </c>
      <c r="AD28" s="212">
        <f>SUM(G36)</f>
        <v>0.14103244149286032</v>
      </c>
      <c r="AE28" s="40">
        <f>SUM(AB28*5%)</f>
        <v>106352</v>
      </c>
      <c r="AF28" s="82">
        <f>SUM(AE28/7)*31</f>
        <v>470987.42857142858</v>
      </c>
    </row>
    <row r="29" spans="1:32" ht="15" thickBot="1">
      <c r="A29" s="163">
        <f>ELEC!C28</f>
        <v>44281</v>
      </c>
      <c r="B29" s="539">
        <v>952109</v>
      </c>
      <c r="C29" s="264">
        <f t="shared" si="0"/>
        <v>891</v>
      </c>
      <c r="D29" s="308">
        <f t="shared" si="8"/>
        <v>889</v>
      </c>
      <c r="E29" s="308">
        <f t="shared" si="11"/>
        <v>952107</v>
      </c>
      <c r="F29" s="539">
        <v>143755</v>
      </c>
      <c r="G29" s="160">
        <f t="shared" si="1"/>
        <v>57</v>
      </c>
      <c r="H29" s="539">
        <v>465990</v>
      </c>
      <c r="I29" s="161">
        <f t="shared" si="2"/>
        <v>265</v>
      </c>
      <c r="J29" s="539">
        <v>342362</v>
      </c>
      <c r="K29" s="162">
        <f t="shared" si="3"/>
        <v>567</v>
      </c>
      <c r="L29" s="296">
        <f t="shared" si="20"/>
        <v>12.099502487562189</v>
      </c>
      <c r="M29" s="296">
        <f t="shared" si="21"/>
        <v>19.688225538971807</v>
      </c>
      <c r="N29" s="296">
        <f t="shared" si="22"/>
        <v>30.089552238805972</v>
      </c>
      <c r="O29" s="296">
        <f t="shared" si="7"/>
        <v>129.83480654307374</v>
      </c>
      <c r="P29" s="297">
        <f t="shared" si="9"/>
        <v>191.71208680841372</v>
      </c>
      <c r="Q29" s="297">
        <f>SUM(-tanks!AX31*tanks!$AU$37)</f>
        <v>2203.6657634408743</v>
      </c>
      <c r="R29" s="297">
        <f t="shared" si="10"/>
        <v>2395.3778502492883</v>
      </c>
      <c r="S29" s="299">
        <f>SUM(ELEC!N28)</f>
        <v>9202</v>
      </c>
      <c r="T29" s="336">
        <f t="shared" si="12"/>
        <v>0.26031056838179617</v>
      </c>
      <c r="V29" s="213"/>
      <c r="W29" s="214"/>
      <c r="X29" s="214"/>
      <c r="Y29" s="215"/>
      <c r="Z29" s="3"/>
      <c r="AA29" s="338">
        <f>SUM(AA26:AA28)</f>
        <v>47129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ref="B30:B34" si="24">B29</f>
        <v>952109</v>
      </c>
      <c r="C30" s="264">
        <f t="shared" si="0"/>
        <v>0</v>
      </c>
      <c r="D30" s="308">
        <f t="shared" si="8"/>
        <v>0</v>
      </c>
      <c r="E30" s="308">
        <f t="shared" si="11"/>
        <v>952109</v>
      </c>
      <c r="F30" s="539">
        <f t="shared" ref="F30:F34" si="25">F29</f>
        <v>143755</v>
      </c>
      <c r="G30" s="160">
        <f t="shared" si="1"/>
        <v>0</v>
      </c>
      <c r="H30" s="539">
        <f t="shared" ref="H30:H34" si="26">H29</f>
        <v>465990</v>
      </c>
      <c r="I30" s="161">
        <f t="shared" si="2"/>
        <v>0</v>
      </c>
      <c r="J30" s="539">
        <f t="shared" ref="J30:J34" si="27">J29</f>
        <v>342362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129.83480654307374</v>
      </c>
      <c r="P30" s="297">
        <f t="shared" si="9"/>
        <v>129.83480654307374</v>
      </c>
      <c r="Q30" s="297">
        <f>SUM(-tanks!AX32*tanks!$AU$37)</f>
        <v>0</v>
      </c>
      <c r="R30" s="297">
        <f t="shared" si="10"/>
        <v>129.83480654307374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5979040</v>
      </c>
      <c r="AC30" s="249">
        <f>SUM(AC26:AC29)/A37*A35</f>
        <v>6067505.0967741935</v>
      </c>
    </row>
    <row r="31" spans="1:32" ht="14.25" customHeight="1" thickBot="1">
      <c r="A31" s="163">
        <f>ELEC!C30</f>
        <v>44283</v>
      </c>
      <c r="B31" s="539">
        <f t="shared" si="24"/>
        <v>952109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952109</v>
      </c>
      <c r="F31" s="539">
        <f t="shared" si="25"/>
        <v>143755</v>
      </c>
      <c r="G31" s="160">
        <f t="shared" ref="G31:G34" si="31">F31-F30</f>
        <v>0</v>
      </c>
      <c r="H31" s="539">
        <f t="shared" si="26"/>
        <v>465990</v>
      </c>
      <c r="I31" s="161">
        <f t="shared" ref="I31:I34" si="32">H31-H30</f>
        <v>0</v>
      </c>
      <c r="J31" s="539">
        <f t="shared" si="27"/>
        <v>342362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129.83480654307374</v>
      </c>
      <c r="P31" s="297">
        <f t="shared" ref="P31:P34" si="37">SUM(L31:O31)</f>
        <v>129.83480654307374</v>
      </c>
      <c r="Q31" s="297">
        <f>SUM(-tanks!AX33*tanks!$AU$37)</f>
        <v>0</v>
      </c>
      <c r="R31" s="297">
        <f t="shared" ref="R31:R34" si="38">SUM(P31:Q31)</f>
        <v>129.83480654307374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4"/>
        <v>952109</v>
      </c>
      <c r="C32" s="264">
        <f t="shared" si="28"/>
        <v>0</v>
      </c>
      <c r="D32" s="308">
        <f t="shared" si="29"/>
        <v>0</v>
      </c>
      <c r="E32" s="308">
        <f t="shared" si="30"/>
        <v>952109</v>
      </c>
      <c r="F32" s="539">
        <f t="shared" si="25"/>
        <v>143755</v>
      </c>
      <c r="G32" s="160">
        <f t="shared" si="31"/>
        <v>0</v>
      </c>
      <c r="H32" s="539">
        <f t="shared" si="26"/>
        <v>465990</v>
      </c>
      <c r="I32" s="161">
        <f t="shared" si="32"/>
        <v>0</v>
      </c>
      <c r="J32" s="539">
        <f t="shared" si="27"/>
        <v>342362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129.83480654307374</v>
      </c>
      <c r="P32" s="297">
        <f t="shared" si="37"/>
        <v>129.83480654307374</v>
      </c>
      <c r="Q32" s="297">
        <f>SUM(-tanks!AX34*tanks!$AU$37)</f>
        <v>0</v>
      </c>
      <c r="R32" s="297">
        <f t="shared" si="38"/>
        <v>129.83480654307374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" thickBot="1">
      <c r="A33" s="163">
        <f>ELEC!C32</f>
        <v>44285</v>
      </c>
      <c r="B33" s="539">
        <f t="shared" si="24"/>
        <v>952109</v>
      </c>
      <c r="C33" s="264">
        <f t="shared" si="28"/>
        <v>0</v>
      </c>
      <c r="D33" s="308">
        <f t="shared" si="29"/>
        <v>0</v>
      </c>
      <c r="E33" s="308">
        <f t="shared" si="30"/>
        <v>952109</v>
      </c>
      <c r="F33" s="539">
        <f t="shared" si="25"/>
        <v>143755</v>
      </c>
      <c r="G33" s="160">
        <f t="shared" si="31"/>
        <v>0</v>
      </c>
      <c r="H33" s="539">
        <f t="shared" si="26"/>
        <v>465990</v>
      </c>
      <c r="I33" s="161">
        <f t="shared" si="32"/>
        <v>0</v>
      </c>
      <c r="J33" s="539">
        <f t="shared" si="27"/>
        <v>342362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129.83480654307374</v>
      </c>
      <c r="P33" s="297">
        <f t="shared" si="37"/>
        <v>129.83480654307374</v>
      </c>
      <c r="Q33" s="297">
        <f>SUM(-tanks!AX35*tanks!$AU$37)</f>
        <v>0</v>
      </c>
      <c r="R33" s="297">
        <f t="shared" si="38"/>
        <v>129.83480654307374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4"/>
        <v>952109</v>
      </c>
      <c r="C34" s="264">
        <f t="shared" si="28"/>
        <v>0</v>
      </c>
      <c r="D34" s="308">
        <f t="shared" si="29"/>
        <v>0</v>
      </c>
      <c r="E34" s="308">
        <f t="shared" si="30"/>
        <v>952109</v>
      </c>
      <c r="F34" s="539">
        <f t="shared" si="25"/>
        <v>143755</v>
      </c>
      <c r="G34" s="160">
        <f t="shared" si="31"/>
        <v>0</v>
      </c>
      <c r="H34" s="539">
        <f t="shared" si="26"/>
        <v>465990</v>
      </c>
      <c r="I34" s="161">
        <f t="shared" si="32"/>
        <v>0</v>
      </c>
      <c r="J34" s="539">
        <f t="shared" si="27"/>
        <v>342362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129.83480654307374</v>
      </c>
      <c r="P34" s="297">
        <f t="shared" si="37"/>
        <v>129.83480654307374</v>
      </c>
      <c r="Q34" s="297">
        <f>SUM(-tanks!AX36*tanks!$AU$37)</f>
        <v>0</v>
      </c>
      <c r="R34" s="297">
        <f t="shared" si="38"/>
        <v>129.83480654307374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205</v>
      </c>
      <c r="X34" s="222">
        <f>SUM(W34/A35)</f>
        <v>7.884615384615385</v>
      </c>
      <c r="Y34" s="260">
        <f>SUM(X34/2)</f>
        <v>3.9423076923076925</v>
      </c>
      <c r="Z34" s="3"/>
      <c r="AA34" s="3"/>
      <c r="AB34" s="542">
        <f>SUM(AB30+AC34)</f>
        <v>12046545.096774194</v>
      </c>
      <c r="AC34" s="249">
        <f>SUM(AC30)</f>
        <v>6067505.0967741935</v>
      </c>
    </row>
    <row r="35" spans="1:32" ht="15" thickBot="1">
      <c r="A35" s="538">
        <f>A37-COUNTIF(C4:C34,0)</f>
        <v>26</v>
      </c>
      <c r="C35" s="173">
        <f>SUM(C4:C34)/A35</f>
        <v>1812.7307692307693</v>
      </c>
      <c r="D35" s="173"/>
      <c r="E35" s="173"/>
      <c r="G35" s="173">
        <f>SUM(G4:G34)/A35</f>
        <v>255.65384615384616</v>
      </c>
      <c r="I35" s="173">
        <f>SUM(I4:I34)/A35</f>
        <v>737.30769230769226</v>
      </c>
      <c r="K35" s="173">
        <f>SUM(K4:K34)/A35</f>
        <v>819.69230769230774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195725.97086368367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" thickBot="1">
      <c r="A36" s="210"/>
      <c r="C36" s="212">
        <f>SUM(G36:K36)</f>
        <v>0.99995756508455147</v>
      </c>
      <c r="G36" s="225">
        <f>IF(C35&gt;0,G35/C35,0)</f>
        <v>0.14103244149286032</v>
      </c>
      <c r="H36" s="212"/>
      <c r="I36" s="225">
        <f>SUM(I35/C35)</f>
        <v>0.40673866457321078</v>
      </c>
      <c r="J36" s="212"/>
      <c r="K36" s="225">
        <f>SUM(K35/C35)</f>
        <v>0.45218645901848042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7991.0746910608259</v>
      </c>
      <c r="AC36" s="578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4024.879002835286</v>
      </c>
      <c r="Z38" s="40"/>
      <c r="AA38" s="292" t="s">
        <v>215</v>
      </c>
      <c r="AB38" s="293">
        <f>SUM(AB36)</f>
        <v>7991.0746910608259</v>
      </c>
    </row>
    <row r="39" spans="1:32">
      <c r="V39" s="217"/>
      <c r="W39" s="82">
        <f>(AB30+AB54)/1507.5</f>
        <v>3966.195688225539</v>
      </c>
      <c r="X39" s="543"/>
      <c r="Z39" s="294">
        <f>SUM(AB38)</f>
        <v>7991.0746910608259</v>
      </c>
      <c r="AA39" s="293"/>
      <c r="AB39" s="293"/>
    </row>
    <row r="40" spans="1:32">
      <c r="V40" s="17"/>
      <c r="W40" s="82">
        <f>SUM(W38:W39)</f>
        <v>7991.074691060825</v>
      </c>
      <c r="X40" s="543"/>
      <c r="Y40" s="82"/>
      <c r="Z40" s="294">
        <f>SUM(-tanks!AX37)*tanks!AU37</f>
        <v>29743.27092473118</v>
      </c>
      <c r="AA40" s="101">
        <f>SUM(AB34/A35)</f>
        <v>463328.65756823827</v>
      </c>
      <c r="AB40" s="348">
        <f>SUM(AA40*A37)</f>
        <v>14363188.384615386</v>
      </c>
    </row>
    <row r="41" spans="1:32" ht="18.5">
      <c r="W41" s="82">
        <f>(AB30+AB54)/1507.5</f>
        <v>3966.195688225539</v>
      </c>
      <c r="Z41" s="276">
        <f>SUM(Z39:Z40)</f>
        <v>37734.345615792008</v>
      </c>
      <c r="AA41" s="293">
        <f>SUM(AA40/1507.5)</f>
        <v>307.34902657926256</v>
      </c>
      <c r="AB41" s="347">
        <f>SUM(AB40/1507.5)</f>
        <v>9527.8198239571375</v>
      </c>
    </row>
    <row r="42" spans="1:32">
      <c r="D42" s="519"/>
      <c r="E42" s="519"/>
      <c r="F42" s="519"/>
      <c r="W42" s="82">
        <f>SUM(W40:W41)</f>
        <v>11957.270379286365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90"/>
      <c r="AC45" s="690"/>
      <c r="AD45" s="17"/>
      <c r="AE45" s="17"/>
      <c r="AF45" s="17"/>
    </row>
    <row r="46" spans="1:32">
      <c r="V46" s="690"/>
      <c r="W46" s="690"/>
      <c r="X46" s="690"/>
      <c r="Y46" s="690"/>
      <c r="Z46" s="547"/>
      <c r="AA46" s="547"/>
      <c r="AB46" s="690"/>
      <c r="AC46" s="690"/>
      <c r="AD46" s="17"/>
      <c r="AE46" s="17"/>
      <c r="AF46" s="17"/>
    </row>
    <row r="47" spans="1:32">
      <c r="V47" s="690"/>
      <c r="W47" s="690"/>
      <c r="X47" s="690"/>
      <c r="Y47" s="690"/>
      <c r="Z47" s="690"/>
      <c r="AA47" s="690"/>
      <c r="AB47" s="690"/>
      <c r="AC47" s="690"/>
      <c r="AD47" s="17"/>
      <c r="AE47" s="17"/>
      <c r="AF47" s="17"/>
    </row>
    <row r="48" spans="1:32">
      <c r="V48" s="691"/>
      <c r="W48" s="691"/>
      <c r="X48" s="692"/>
      <c r="Y48" s="692"/>
      <c r="Z48" s="692"/>
      <c r="AA48" s="548"/>
      <c r="AB48" s="690"/>
      <c r="AC48" s="690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8" activePane="bottomLeft" state="frozen"/>
      <selection pane="bottomLeft" activeCell="I31" sqref="I31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93" t="s">
        <v>51</v>
      </c>
      <c r="B1" s="705" t="s">
        <v>318</v>
      </c>
      <c r="C1" s="706"/>
      <c r="D1" s="708"/>
      <c r="E1" s="705" t="s">
        <v>319</v>
      </c>
      <c r="F1" s="706"/>
      <c r="G1" s="707"/>
      <c r="H1" s="702" t="s">
        <v>324</v>
      </c>
      <c r="I1" s="699" t="s">
        <v>325</v>
      </c>
      <c r="J1" s="696" t="s">
        <v>43</v>
      </c>
    </row>
    <row r="2" spans="1:18" ht="37.5" thickBot="1">
      <c r="A2" s="69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3"/>
      <c r="I2" s="700"/>
      <c r="J2" s="697"/>
    </row>
    <row r="3" spans="1:18" ht="24" customHeight="1" thickBot="1">
      <c r="A3" s="69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4"/>
      <c r="I3" s="701"/>
      <c r="J3" s="698"/>
    </row>
    <row r="4" spans="1:18" ht="19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44277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44278</v>
      </c>
      <c r="B28" s="254">
        <v>1.5</v>
      </c>
      <c r="C28" s="616">
        <v>7.8</v>
      </c>
      <c r="D28" s="170"/>
      <c r="E28" s="537">
        <v>1</v>
      </c>
      <c r="F28" s="616">
        <v>8</v>
      </c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44279</v>
      </c>
      <c r="B29" s="537">
        <v>1.3</v>
      </c>
      <c r="C29" s="537">
        <v>7.8</v>
      </c>
      <c r="D29" s="537"/>
      <c r="E29" s="170">
        <v>1</v>
      </c>
      <c r="F29" s="170">
        <v>8</v>
      </c>
      <c r="G29" s="537"/>
      <c r="H29" s="587">
        <v>6732</v>
      </c>
      <c r="I29" s="509">
        <f t="shared" si="3"/>
        <v>1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44280</v>
      </c>
      <c r="B30" s="170">
        <v>1.5</v>
      </c>
      <c r="C30" s="170">
        <v>7.8</v>
      </c>
      <c r="D30" s="170"/>
      <c r="E30" s="170">
        <v>1</v>
      </c>
      <c r="F30" s="170">
        <v>8</v>
      </c>
      <c r="G30" s="170"/>
      <c r="H30" s="587">
        <v>6733</v>
      </c>
      <c r="I30" s="509">
        <f t="shared" si="3"/>
        <v>1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44281</v>
      </c>
      <c r="B31" s="254">
        <v>1.5</v>
      </c>
      <c r="C31" s="609">
        <v>7.8</v>
      </c>
      <c r="D31" s="170"/>
      <c r="E31" s="170">
        <v>0.8</v>
      </c>
      <c r="F31" s="170">
        <v>8</v>
      </c>
      <c r="G31" s="170"/>
      <c r="H31" s="587">
        <f t="shared" si="2"/>
        <v>6733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6733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6733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6733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6733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6733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20" t="s">
        <v>161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</row>
    <row r="2" spans="1:28" ht="19.5">
      <c r="A2" s="721"/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</row>
    <row r="3" spans="1:28" ht="19.5">
      <c r="A3" s="721" t="s">
        <v>162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1" t="s">
        <v>409</v>
      </c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1"/>
      <c r="Q5" s="721"/>
      <c r="R5" s="721"/>
      <c r="S5" s="721"/>
      <c r="T5" s="721"/>
      <c r="U5" s="721"/>
      <c r="V5" s="721"/>
      <c r="W5" s="721"/>
      <c r="X5" s="721"/>
    </row>
    <row r="6" spans="1:28" ht="15" thickBot="1">
      <c r="A6" s="722"/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2"/>
      <c r="S6" s="722"/>
      <c r="T6" s="722"/>
      <c r="U6" s="722"/>
      <c r="V6" s="722"/>
      <c r="W6" s="722"/>
      <c r="X6" s="722"/>
    </row>
    <row r="7" spans="1:28" ht="1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26</v>
      </c>
      <c r="K31" s="272">
        <f>'General information '!C27</f>
        <v>14</v>
      </c>
      <c r="L31" s="272">
        <f t="shared" si="1"/>
        <v>1.6999999999999993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33</v>
      </c>
      <c r="K32" s="272">
        <f>'General information '!C28</f>
        <v>17</v>
      </c>
      <c r="L32" s="272">
        <f t="shared" si="1"/>
        <v>6.6999999999999993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15</v>
      </c>
      <c r="K33" s="272">
        <f>'General information '!C29</f>
        <v>12</v>
      </c>
      <c r="L33" s="272">
        <f t="shared" si="1"/>
        <v>-4.8000000000000007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15</v>
      </c>
      <c r="K34" s="272">
        <f>'General information '!C30</f>
        <v>12</v>
      </c>
      <c r="L34" s="272">
        <f t="shared" si="1"/>
        <v>-4.8000000000000007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16</v>
      </c>
      <c r="K35" s="272">
        <f>'General information '!C31</f>
        <v>10</v>
      </c>
      <c r="L35" s="272">
        <f t="shared" si="1"/>
        <v>-5.3000000000000007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-85.899999999999991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-5158.8000000000011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abSelected="1" topLeftCell="A10" workbookViewId="0">
      <pane xSplit="1" topLeftCell="B1" activePane="topRight" state="frozen"/>
      <selection pane="topRight" activeCell="D5" sqref="D5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26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1629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6877.4193548387093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1112.3126153846154</v>
      </c>
      <c r="F8" s="192">
        <f>SUM(E8*F4)</f>
        <v>28920.128000000001</v>
      </c>
      <c r="G8" s="510">
        <f>E8*$F$4</f>
        <v>28920.128000000001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12046545.096774194</v>
      </c>
      <c r="E10" s="182">
        <f>SUM(D10/D4/F4)</f>
        <v>307.34902657926256</v>
      </c>
      <c r="F10" s="182">
        <f>SUM(E10*F4)</f>
        <v>7991.0746910608268</v>
      </c>
      <c r="G10" s="510">
        <f>E10*$G$4</f>
        <v>9527.8198239571393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1684.1777709961359</v>
      </c>
      <c r="F12" s="180">
        <f>SUM(F6:F10)</f>
        <v>43788.622045899538</v>
      </c>
      <c r="G12" s="179">
        <f>SUM(G6:G10)</f>
        <v>46647.947823957133</v>
      </c>
      <c r="H12" s="179">
        <f>SUM(H6:H11)</f>
        <v>47221</v>
      </c>
      <c r="I12" s="221">
        <f>SUM(I6:I11)</f>
        <v>47221.203249462371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-573.05217604286736</v>
      </c>
      <c r="I14" s="423">
        <f>SUM(G12-I12)</f>
        <v>-573.25542550523824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16.846153846153847</v>
      </c>
      <c r="C16" s="433">
        <f>'[14]Utility Cost '!B16</f>
        <v>14.293103448275861</v>
      </c>
      <c r="D16" s="432"/>
      <c r="E16" s="433">
        <f t="shared" si="0"/>
        <v>2.5530503978779855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205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89.579999999999927</v>
      </c>
      <c r="F18" s="528">
        <f>B18-D18</f>
        <v>32.26114669513413</v>
      </c>
    </row>
    <row r="19" spans="1:10">
      <c r="A19" s="522" t="s">
        <v>411</v>
      </c>
      <c r="B19" s="520">
        <f>SUM(B18/$F$4)</f>
        <v>7.884615384615385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2021-03-27T08:23:24Z</dcterms:modified>
</cp:coreProperties>
</file>