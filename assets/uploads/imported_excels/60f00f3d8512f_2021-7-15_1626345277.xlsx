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" i="3" l="1"/>
  <c r="J31" i="2" s="1"/>
  <c r="P38" i="3"/>
  <c r="I31" i="2" s="1"/>
  <c r="N38" i="3"/>
  <c r="H31" i="2" s="1"/>
  <c r="H38" i="3"/>
  <c r="G31" i="2" s="1"/>
  <c r="F38" i="3"/>
  <c r="F31" i="2" s="1"/>
  <c r="D38" i="3"/>
  <c r="E31" i="2" s="1"/>
  <c r="K31" i="1"/>
  <c r="K27" i="2"/>
  <c r="K28" i="2"/>
  <c r="K29" i="2"/>
  <c r="K30" i="2"/>
  <c r="K31" i="2"/>
  <c r="V38" i="3" l="1"/>
  <c r="R38" i="3"/>
  <c r="Q38" i="3"/>
  <c r="I38" i="3"/>
  <c r="K38" i="3" s="1"/>
  <c r="Y39" i="3"/>
  <c r="X38" i="3" l="1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Q30" i="3"/>
  <c r="R34" i="3"/>
  <c r="R37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39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39" i="3"/>
  <c r="R10" i="3"/>
  <c r="R16" i="3"/>
  <c r="I9" i="3"/>
  <c r="K9" i="3" s="1"/>
  <c r="V9" i="3"/>
  <c r="T39" i="3"/>
  <c r="C39" i="3"/>
  <c r="R11" i="3"/>
  <c r="R13" i="3"/>
  <c r="X13" i="3" s="1"/>
  <c r="Z13" i="3" s="1"/>
  <c r="R15" i="3"/>
  <c r="I17" i="3"/>
  <c r="K17" i="3" s="1"/>
  <c r="R17" i="3"/>
  <c r="I23" i="3"/>
  <c r="K23" i="3" s="1"/>
  <c r="E39" i="3"/>
  <c r="Q6" i="3"/>
  <c r="R6" i="3" s="1"/>
  <c r="X6" i="3" s="1"/>
  <c r="Z6" i="3" s="1"/>
  <c r="G39" i="3"/>
  <c r="I19" i="3"/>
  <c r="K19" i="3" s="1"/>
  <c r="R19" i="3"/>
  <c r="I21" i="3"/>
  <c r="K21" i="3" s="1"/>
  <c r="R21" i="3"/>
  <c r="R9" i="3"/>
  <c r="X32" i="3" l="1"/>
  <c r="Z32" i="3" s="1"/>
  <c r="X10" i="3"/>
  <c r="Z10" i="3" s="1"/>
  <c r="V39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39" i="3"/>
  <c r="Q39" i="3"/>
  <c r="K39" i="3"/>
  <c r="X9" i="3"/>
  <c r="X21" i="3"/>
  <c r="Z21" i="3" s="1"/>
  <c r="I39" i="3"/>
  <c r="X39" i="3" l="1"/>
  <c r="Z9" i="3"/>
  <c r="Z39" i="3" s="1"/>
</calcChain>
</file>

<file path=xl/sharedStrings.xml><?xml version="1.0" encoding="utf-8"?>
<sst xmlns="http://schemas.openxmlformats.org/spreadsheetml/2006/main" count="309" uniqueCount="125">
  <si>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</si>
  <si>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</si>
  <si>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</si>
  <si>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</si>
  <si>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</si>
  <si>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</si>
  <si>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</si>
  <si>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</si>
  <si>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</si>
  <si>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</si>
  <si>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</si>
  <si>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</si>
  <si>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</si>
  <si>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</si>
  <si>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</si>
  <si>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</si>
  <si>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</si>
  <si>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</si>
  <si>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</si>
  <si>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</si>
  <si>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</si>
  <si>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</si>
  <si>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</si>
  <si>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</si>
  <si>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</si>
  <si>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</si>
  <si>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</si>
  <si>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</si>
  <si>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</si>
  <si>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</si>
  <si>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</si>
  <si>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</si>
  <si>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</si>
  <si>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</si>
  <si>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</si>
  <si>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</si>
  <si>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</si>
  <si>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</si>
  <si>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</si>
  <si>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</si>
  <si>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</si>
  <si>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</si>
  <si>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</si>
  <si>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</si>
  <si>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</si>
  <si>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</si>
  <si>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</si>
  <si>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</si>
  <si>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</si>
  <si>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</si>
  <si>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</si>
  <si>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</si>
  <si>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</si>
  <si>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</si>
  <si>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</si>
  <si>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</si>
  <si>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</si>
  <si>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</si>
  <si>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</si>
  <si>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</si>
  <si>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</si>
  <si>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</si>
  <si>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</si>
  <si>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</si>
  <si>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</si>
  <si>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</si>
  <si>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</si>
  <si>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</si>
  <si>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</si>
  <si>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</si>
  <si>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</si>
  <si>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</si>
  <si>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</si>
  <si>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</si>
  <si>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</si>
  <si>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</si>
  <si>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</si>
  <si>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</si>
  <si>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</si>
  <si>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</si>
  <si>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</si>
  <si>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</si>
  <si>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</si>
  <si>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</si>
  <si>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</si>
  <si>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</si>
  <si>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</si>
  <si>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</si>
  <si>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</si>
  <si>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</si>
  <si>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</si>
  <si>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</si>
  <si>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</si>
  <si>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</si>
  <si>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</si>
  <si>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</si>
  <si>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</si>
  <si>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</si>
  <si>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</si>
  <si>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</si>
  <si>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</si>
  <si>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</si>
  <si>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</si>
  <si>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</si>
  <si>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</si>
  <si>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</si>
  <si>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</si>
  <si>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</si>
  <si>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</si>
  <si>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</si>
  <si>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</si>
  <si>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</si>
  <si>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</si>
  <si>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</si>
  <si>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</si>
  <si>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</si>
  <si>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</si>
  <si>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</si>
  <si>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</si>
  <si>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</si>
  <si>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</si>
  <si>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</si>
  <si>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Jun</t>
  </si>
  <si>
    <t>74152</t>
  </si>
  <si>
    <t>74227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</si>
</sst>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J41" sqref="J4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6</v>
      </c>
      <c r="D2" s="6">
        <v>2021</v>
      </c>
      <c r="E2" s="8">
        <f>Submetring!E2+Submetring!F2+Submetring!G2</f>
        <v>10778</v>
      </c>
      <c r="F2" s="6">
        <v>0.251</v>
      </c>
      <c r="G2" s="8">
        <f>Submetring!H2+Submetring!I2</f>
        <v>1009</v>
      </c>
      <c r="H2" s="6">
        <v>0.56711199999999995</v>
      </c>
      <c r="I2" s="8">
        <f>Submetring!J2</f>
        <v>271</v>
      </c>
      <c r="J2" s="6">
        <v>3.03</v>
      </c>
      <c r="K2" s="8">
        <f>Hotel!Y9</f>
        <v>66</v>
      </c>
    </row>
    <row r="3" spans="1:11" x14ac:dyDescent="0.25">
      <c r="A3" s="6" t="s">
        <v>11</v>
      </c>
      <c r="B3" s="9">
        <f>B2+1</f>
        <v>2</v>
      </c>
      <c r="C3" s="7">
        <v>6</v>
      </c>
      <c r="D3" s="6">
        <v>2021</v>
      </c>
      <c r="E3" s="8">
        <f>Submetring!E3+Submetring!F3+Submetring!G3</f>
        <v>10403</v>
      </c>
      <c r="F3" s="6">
        <v>0.251</v>
      </c>
      <c r="G3" s="8">
        <f>Submetring!H3+Submetring!I3</f>
        <v>979</v>
      </c>
      <c r="H3" s="6">
        <v>0.56711199999999995</v>
      </c>
      <c r="I3" s="8">
        <f>Submetring!J3</f>
        <v>255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1" si="0">B3+1</f>
        <v>3</v>
      </c>
      <c r="C4" s="7">
        <v>6</v>
      </c>
      <c r="D4" s="6">
        <v>2021</v>
      </c>
      <c r="E4" s="8">
        <f>Submetring!E4+Submetring!F4+Submetring!G4</f>
        <v>11501</v>
      </c>
      <c r="F4" s="6">
        <v>0.251</v>
      </c>
      <c r="G4" s="8">
        <f>Submetring!H4+Submetring!I4</f>
        <v>965</v>
      </c>
      <c r="H4" s="6">
        <v>0.56711199999999995</v>
      </c>
      <c r="I4" s="8">
        <f>Submetring!J4</f>
        <v>263</v>
      </c>
      <c r="J4" s="6">
        <v>3.03</v>
      </c>
      <c r="K4" s="8">
        <f>Hotel!Y11</f>
        <v>125</v>
      </c>
    </row>
    <row r="5" spans="1:11" x14ac:dyDescent="0.25">
      <c r="A5" s="6" t="s">
        <v>11</v>
      </c>
      <c r="B5" s="9">
        <f t="shared" si="0"/>
        <v>4</v>
      </c>
      <c r="C5" s="7">
        <v>6</v>
      </c>
      <c r="D5" s="6">
        <v>2021</v>
      </c>
      <c r="E5" s="8">
        <f>Submetring!E5+Submetring!F5+Submetring!G5</f>
        <v>11458</v>
      </c>
      <c r="F5" s="6">
        <v>0.251</v>
      </c>
      <c r="G5" s="8">
        <f>Submetring!H5+Submetring!I5</f>
        <v>1003</v>
      </c>
      <c r="H5" s="6">
        <v>0.56711199999999995</v>
      </c>
      <c r="I5" s="8">
        <f>Submetring!J5</f>
        <v>209</v>
      </c>
      <c r="J5" s="6">
        <v>3.03</v>
      </c>
      <c r="K5" s="8">
        <f>Hotel!Y12</f>
        <v>68</v>
      </c>
    </row>
    <row r="6" spans="1:11" x14ac:dyDescent="0.25">
      <c r="A6" s="6" t="s">
        <v>11</v>
      </c>
      <c r="B6" s="9">
        <f t="shared" si="0"/>
        <v>5</v>
      </c>
      <c r="C6" s="7">
        <v>6</v>
      </c>
      <c r="D6" s="6">
        <v>2021</v>
      </c>
      <c r="E6" s="8">
        <f>Submetring!E6+Submetring!F6+Submetring!G6</f>
        <v>12338</v>
      </c>
      <c r="F6" s="6">
        <v>0.251</v>
      </c>
      <c r="G6" s="8">
        <f>Submetring!H6+Submetring!I6</f>
        <v>957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51</v>
      </c>
    </row>
    <row r="7" spans="1:11" x14ac:dyDescent="0.25">
      <c r="A7" s="6" t="s">
        <v>11</v>
      </c>
      <c r="B7" s="9">
        <f t="shared" si="0"/>
        <v>6</v>
      </c>
      <c r="C7" s="7">
        <v>6</v>
      </c>
      <c r="D7" s="6">
        <v>2021</v>
      </c>
      <c r="E7" s="8">
        <f>Submetring!E7+Submetring!F7+Submetring!G7</f>
        <v>11904</v>
      </c>
      <c r="F7" s="6">
        <v>0.251</v>
      </c>
      <c r="G7" s="8">
        <f>Submetring!H7+Submetring!I7</f>
        <v>971</v>
      </c>
      <c r="H7" s="6">
        <v>0.56711199999999995</v>
      </c>
      <c r="I7" s="8">
        <f>Submetring!J7</f>
        <v>260</v>
      </c>
      <c r="J7" s="6">
        <v>3.03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6</v>
      </c>
      <c r="D8" s="6">
        <v>2021</v>
      </c>
      <c r="E8" s="8">
        <f>Submetring!E8+Submetring!F8+Submetring!G8</f>
        <v>12241</v>
      </c>
      <c r="F8" s="6">
        <v>0.251</v>
      </c>
      <c r="G8" s="8">
        <f>Submetring!H8+Submetring!I8</f>
        <v>1178</v>
      </c>
      <c r="H8" s="6">
        <v>0.56711199999999995</v>
      </c>
      <c r="I8" s="8">
        <f>Submetring!J8</f>
        <v>278</v>
      </c>
      <c r="J8" s="6">
        <v>3.03</v>
      </c>
      <c r="K8" s="8">
        <f>Hotel!Y15</f>
        <v>69</v>
      </c>
    </row>
    <row r="9" spans="1:11" x14ac:dyDescent="0.25">
      <c r="A9" s="6" t="s">
        <v>11</v>
      </c>
      <c r="B9" s="9">
        <f t="shared" si="0"/>
        <v>8</v>
      </c>
      <c r="C9" s="7">
        <v>6</v>
      </c>
      <c r="D9" s="6">
        <v>2021</v>
      </c>
      <c r="E9" s="8">
        <f>Submetring!E9+Submetring!F9+Submetring!G9</f>
        <v>11569</v>
      </c>
      <c r="F9" s="6">
        <v>0.251</v>
      </c>
      <c r="G9" s="8">
        <f>Submetring!H9+Submetring!I9</f>
        <v>802</v>
      </c>
      <c r="H9" s="6">
        <v>0.56711199999999995</v>
      </c>
      <c r="I9" s="8">
        <f>Submetring!J9</f>
        <v>298</v>
      </c>
      <c r="J9" s="6">
        <v>3.03</v>
      </c>
      <c r="K9" s="8">
        <f>Hotel!Y16</f>
        <v>60</v>
      </c>
    </row>
    <row r="10" spans="1:11" x14ac:dyDescent="0.25">
      <c r="A10" s="6" t="s">
        <v>11</v>
      </c>
      <c r="B10" s="9">
        <f t="shared" si="0"/>
        <v>9</v>
      </c>
      <c r="C10" s="7">
        <v>6</v>
      </c>
      <c r="D10" s="6">
        <v>2021</v>
      </c>
      <c r="E10" s="8">
        <f>Submetring!E10+Submetring!F10+Submetring!G10</f>
        <v>11080</v>
      </c>
      <c r="F10" s="6">
        <v>0.251</v>
      </c>
      <c r="G10" s="8">
        <f>Submetring!H10+Submetring!I10</f>
        <v>867</v>
      </c>
      <c r="H10" s="6">
        <v>0.56711199999999995</v>
      </c>
      <c r="I10" s="8">
        <f>Submetring!J10</f>
        <v>220</v>
      </c>
      <c r="J10" s="6">
        <v>3.03</v>
      </c>
      <c r="K10" s="8">
        <f>Hotel!Y17</f>
        <v>56</v>
      </c>
    </row>
    <row r="11" spans="1:11" x14ac:dyDescent="0.25">
      <c r="A11" s="6" t="s">
        <v>11</v>
      </c>
      <c r="B11" s="9">
        <f t="shared" si="0"/>
        <v>10</v>
      </c>
      <c r="C11" s="7">
        <v>6</v>
      </c>
      <c r="D11" s="6">
        <v>2021</v>
      </c>
      <c r="E11" s="8">
        <f>Submetring!E11+Submetring!F11+Submetring!G11</f>
        <v>11271</v>
      </c>
      <c r="F11" s="6">
        <v>0.251</v>
      </c>
      <c r="G11" s="8">
        <f>Submetring!H11+Submetring!I11</f>
        <v>914</v>
      </c>
      <c r="H11" s="6">
        <v>0.56711199999999995</v>
      </c>
      <c r="I11" s="8">
        <f>Submetring!J11</f>
        <v>362</v>
      </c>
      <c r="J11" s="6">
        <v>3.03</v>
      </c>
      <c r="K11" s="8">
        <f>Hotel!Y18</f>
        <v>59</v>
      </c>
    </row>
    <row r="12" spans="1:11" x14ac:dyDescent="0.25">
      <c r="A12" s="6" t="s">
        <v>11</v>
      </c>
      <c r="B12" s="9">
        <f t="shared" si="0"/>
        <v>11</v>
      </c>
      <c r="C12" s="7">
        <v>6</v>
      </c>
      <c r="D12" s="6">
        <v>2021</v>
      </c>
      <c r="E12" s="8">
        <f>Submetring!E12+Submetring!F12+Submetring!G12</f>
        <v>11284</v>
      </c>
      <c r="F12" s="6">
        <v>0.251</v>
      </c>
      <c r="G12" s="8">
        <f>Submetring!H12+Submetring!I12</f>
        <v>1007</v>
      </c>
      <c r="H12" s="6">
        <v>0.56711199999999995</v>
      </c>
      <c r="I12" s="8">
        <f>Submetring!J12</f>
        <v>223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6</v>
      </c>
      <c r="D13" s="6">
        <v>2021</v>
      </c>
      <c r="E13" s="8">
        <f>Submetring!E13+Submetring!F13+Submetring!G13</f>
        <v>11947</v>
      </c>
      <c r="F13" s="6">
        <v>0.251</v>
      </c>
      <c r="G13" s="8">
        <f>Submetring!H13+Submetring!I13</f>
        <v>966</v>
      </c>
      <c r="H13" s="6">
        <v>0.56711199999999995</v>
      </c>
      <c r="I13" s="8">
        <f>Submetring!J13</f>
        <v>180</v>
      </c>
      <c r="J13" s="6">
        <v>3.03</v>
      </c>
      <c r="K13" s="8">
        <f>Hotel!Y20</f>
        <v>108</v>
      </c>
    </row>
    <row r="14" spans="1:11" x14ac:dyDescent="0.25">
      <c r="A14" s="6" t="s">
        <v>11</v>
      </c>
      <c r="B14" s="9">
        <f t="shared" si="0"/>
        <v>13</v>
      </c>
      <c r="C14" s="7">
        <v>6</v>
      </c>
      <c r="D14" s="6">
        <v>2021</v>
      </c>
      <c r="E14" s="8">
        <f>Submetring!E14+Submetring!F14+Submetring!G14</f>
        <v>12212</v>
      </c>
      <c r="F14" s="6">
        <v>0.251</v>
      </c>
      <c r="G14" s="8">
        <f>Submetring!H14+Submetring!I14</f>
        <v>983</v>
      </c>
      <c r="H14" s="6">
        <v>0.56711199999999995</v>
      </c>
      <c r="I14" s="8">
        <f>Submetring!J14</f>
        <v>211</v>
      </c>
      <c r="J14" s="6">
        <v>3.03</v>
      </c>
      <c r="K14" s="8">
        <f>Hotel!Y21</f>
        <v>110</v>
      </c>
    </row>
    <row r="15" spans="1:11" x14ac:dyDescent="0.25">
      <c r="A15" s="6" t="s">
        <v>11</v>
      </c>
      <c r="B15" s="9">
        <f t="shared" si="0"/>
        <v>14</v>
      </c>
      <c r="C15" s="7">
        <v>6</v>
      </c>
      <c r="D15" s="6">
        <v>2021</v>
      </c>
      <c r="E15" s="8">
        <f>Submetring!E15+Submetring!F15+Submetring!G15</f>
        <v>12602</v>
      </c>
      <c r="F15" s="6">
        <v>0.251</v>
      </c>
      <c r="G15" s="8">
        <f>Submetring!H15+Submetring!I15</f>
        <v>964</v>
      </c>
      <c r="H15" s="6">
        <v>0.56711199999999995</v>
      </c>
      <c r="I15" s="8">
        <f>Submetring!J15</f>
        <v>184</v>
      </c>
      <c r="J15" s="6">
        <v>3.03</v>
      </c>
      <c r="K15" s="8">
        <f>Hotel!Y22</f>
        <v>106</v>
      </c>
    </row>
    <row r="16" spans="1:11" x14ac:dyDescent="0.25">
      <c r="A16" s="6" t="s">
        <v>11</v>
      </c>
      <c r="B16" s="9">
        <f t="shared" si="0"/>
        <v>15</v>
      </c>
      <c r="C16" s="7">
        <v>6</v>
      </c>
      <c r="D16" s="6">
        <v>2021</v>
      </c>
      <c r="E16" s="8">
        <f>Submetring!E16+Submetring!F16+Submetring!G16</f>
        <v>11875</v>
      </c>
      <c r="F16" s="6">
        <v>0.251</v>
      </c>
      <c r="G16" s="8">
        <f>Submetring!H16+Submetring!I16</f>
        <v>894</v>
      </c>
      <c r="H16" s="6">
        <v>0.56711199999999995</v>
      </c>
      <c r="I16" s="8">
        <f>Submetring!J16</f>
        <v>120</v>
      </c>
      <c r="J16" s="6">
        <v>3.03</v>
      </c>
      <c r="K16" s="8">
        <f>Hotel!Y23</f>
        <v>70</v>
      </c>
    </row>
    <row r="17" spans="1:11" x14ac:dyDescent="0.25">
      <c r="A17" s="6" t="s">
        <v>11</v>
      </c>
      <c r="B17" s="9">
        <f t="shared" si="0"/>
        <v>16</v>
      </c>
      <c r="C17" s="7">
        <v>6</v>
      </c>
      <c r="D17" s="6">
        <v>2021</v>
      </c>
      <c r="E17" s="8">
        <f>Submetring!E17+Submetring!F17+Submetring!G17</f>
        <v>12283</v>
      </c>
      <c r="F17" s="6">
        <v>0.251</v>
      </c>
      <c r="G17" s="8">
        <f>Submetring!H17+Submetring!I17</f>
        <v>934</v>
      </c>
      <c r="H17" s="6">
        <v>0.56711199999999995</v>
      </c>
      <c r="I17" s="8">
        <f>Submetring!J17</f>
        <v>394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6</v>
      </c>
      <c r="D18" s="6">
        <v>2021</v>
      </c>
      <c r="E18" s="8">
        <f>Submetring!E18+Submetring!F18+Submetring!G18</f>
        <v>13758</v>
      </c>
      <c r="F18" s="6">
        <v>0.251</v>
      </c>
      <c r="G18" s="8">
        <f>Submetring!H18+Submetring!I18</f>
        <v>979</v>
      </c>
      <c r="H18" s="6">
        <v>0.56711199999999995</v>
      </c>
      <c r="I18" s="8">
        <f>Submetring!J18</f>
        <v>323</v>
      </c>
      <c r="J18" s="6">
        <v>3.03</v>
      </c>
      <c r="K18" s="8">
        <f>Hotel!Y25</f>
        <v>95</v>
      </c>
    </row>
    <row r="19" spans="1:11" x14ac:dyDescent="0.25">
      <c r="A19" s="6" t="s">
        <v>11</v>
      </c>
      <c r="B19" s="9">
        <f t="shared" si="0"/>
        <v>18</v>
      </c>
      <c r="C19" s="7">
        <v>6</v>
      </c>
      <c r="D19" s="6">
        <v>2021</v>
      </c>
      <c r="E19" s="8">
        <f>Submetring!E19+Submetring!F19+Submetring!G19</f>
        <v>15412</v>
      </c>
      <c r="F19" s="6">
        <v>0.251</v>
      </c>
      <c r="G19" s="8">
        <f>Submetring!H19+Submetring!I19</f>
        <v>984</v>
      </c>
      <c r="H19" s="6">
        <v>0.56711199999999995</v>
      </c>
      <c r="I19" s="8">
        <f>Submetring!J19</f>
        <v>155</v>
      </c>
      <c r="J19" s="6">
        <v>3.03</v>
      </c>
      <c r="K19" s="8">
        <f>Hotel!Y26</f>
        <v>105</v>
      </c>
    </row>
    <row r="20" spans="1:11" x14ac:dyDescent="0.25">
      <c r="A20" s="6" t="s">
        <v>11</v>
      </c>
      <c r="B20" s="9">
        <f t="shared" si="0"/>
        <v>19</v>
      </c>
      <c r="C20" s="7">
        <v>6</v>
      </c>
      <c r="D20" s="6">
        <v>2021</v>
      </c>
      <c r="E20" s="8">
        <f>Submetring!E20+Submetring!F20+Submetring!G20</f>
        <v>13989</v>
      </c>
      <c r="F20" s="6">
        <v>0.251</v>
      </c>
      <c r="G20" s="8">
        <f>Submetring!H20+Submetring!I20</f>
        <v>957</v>
      </c>
      <c r="H20" s="6">
        <v>0.56711199999999995</v>
      </c>
      <c r="I20" s="8">
        <f>Submetring!J20</f>
        <v>324</v>
      </c>
      <c r="J20" s="6">
        <v>3.03</v>
      </c>
      <c r="K20" s="8">
        <f>Hotel!Y27</f>
        <v>99</v>
      </c>
    </row>
    <row r="21" spans="1:11" x14ac:dyDescent="0.25">
      <c r="A21" s="6" t="s">
        <v>11</v>
      </c>
      <c r="B21" s="9">
        <f t="shared" si="0"/>
        <v>20</v>
      </c>
      <c r="C21" s="7">
        <v>6</v>
      </c>
      <c r="D21" s="6">
        <v>2021</v>
      </c>
      <c r="E21" s="8">
        <f>Submetring!E21+Submetring!F21+Submetring!G21</f>
        <v>14516</v>
      </c>
      <c r="F21" s="6">
        <v>0.251</v>
      </c>
      <c r="G21" s="8">
        <f>Submetring!H21+Submetring!I21</f>
        <v>915</v>
      </c>
      <c r="H21" s="6">
        <v>0.56711199999999995</v>
      </c>
      <c r="I21" s="8">
        <f>Submetring!J21</f>
        <v>358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6</v>
      </c>
      <c r="D22" s="6">
        <v>2021</v>
      </c>
      <c r="E22" s="8">
        <f>Submetring!E22+Submetring!F22+Submetring!G22</f>
        <v>14957</v>
      </c>
      <c r="F22" s="6">
        <v>0.251</v>
      </c>
      <c r="G22" s="8">
        <f>Submetring!H22+Submetring!I22</f>
        <v>842</v>
      </c>
      <c r="H22" s="6">
        <v>0.56711199999999995</v>
      </c>
      <c r="I22" s="8">
        <f>Submetring!J22</f>
        <v>327</v>
      </c>
      <c r="J22" s="6">
        <v>3.03</v>
      </c>
      <c r="K22" s="8">
        <f>Hotel!Y29</f>
        <v>105</v>
      </c>
    </row>
    <row r="23" spans="1:11" x14ac:dyDescent="0.25">
      <c r="A23" s="6" t="s">
        <v>11</v>
      </c>
      <c r="B23" s="9">
        <f t="shared" si="0"/>
        <v>22</v>
      </c>
      <c r="C23" s="7">
        <v>6</v>
      </c>
      <c r="D23" s="6">
        <v>2021</v>
      </c>
      <c r="E23" s="8">
        <f>Submetring!E23+Submetring!F23+Submetring!G23</f>
        <v>13563</v>
      </c>
      <c r="F23" s="6">
        <v>0.251</v>
      </c>
      <c r="G23" s="8">
        <f>Submetring!H23+Submetring!I23</f>
        <v>1022</v>
      </c>
      <c r="H23" s="6">
        <v>0.56711199999999995</v>
      </c>
      <c r="I23" s="8">
        <f>Submetring!J23</f>
        <v>379</v>
      </c>
      <c r="J23" s="6">
        <v>3.03</v>
      </c>
      <c r="K23" s="8">
        <f>Hotel!Y30</f>
        <v>92</v>
      </c>
    </row>
    <row r="24" spans="1:11" x14ac:dyDescent="0.25">
      <c r="A24" s="6" t="s">
        <v>11</v>
      </c>
      <c r="B24" s="9">
        <f t="shared" si="0"/>
        <v>23</v>
      </c>
      <c r="C24" s="7">
        <v>6</v>
      </c>
      <c r="D24" s="6">
        <v>2021</v>
      </c>
      <c r="E24" s="8">
        <f>Submetring!E24+Submetring!F24+Submetring!G24</f>
        <v>13310</v>
      </c>
      <c r="F24" s="6">
        <v>0.251</v>
      </c>
      <c r="G24" s="8">
        <f>Submetring!H24+Submetring!I24</f>
        <v>973</v>
      </c>
      <c r="H24" s="6">
        <v>0.56711199999999995</v>
      </c>
      <c r="I24" s="8">
        <f>Submetring!J24</f>
        <v>429</v>
      </c>
      <c r="J24" s="6">
        <v>3.03</v>
      </c>
      <c r="K24" s="8">
        <f>Hotel!Y31</f>
        <v>78</v>
      </c>
    </row>
    <row r="25" spans="1:11" x14ac:dyDescent="0.25">
      <c r="A25" s="6" t="s">
        <v>11</v>
      </c>
      <c r="B25" s="9">
        <f t="shared" si="0"/>
        <v>24</v>
      </c>
      <c r="C25" s="7">
        <v>6</v>
      </c>
      <c r="D25" s="6">
        <v>2021</v>
      </c>
      <c r="E25" s="8">
        <f>Submetring!E25+Submetring!F25+Submetring!G25</f>
        <v>13896</v>
      </c>
      <c r="F25" s="6">
        <v>0.251</v>
      </c>
      <c r="G25" s="8">
        <f>Submetring!H25+Submetring!I25</f>
        <v>941</v>
      </c>
      <c r="H25" s="6">
        <v>0.56711199999999995</v>
      </c>
      <c r="I25" s="8">
        <f>Submetring!J25</f>
        <v>435</v>
      </c>
      <c r="J25" s="6">
        <v>3.03</v>
      </c>
      <c r="K25" s="8">
        <f>Hotel!Y32</f>
        <v>71</v>
      </c>
    </row>
    <row r="26" spans="1:11" x14ac:dyDescent="0.25">
      <c r="A26" s="6" t="s">
        <v>11</v>
      </c>
      <c r="B26" s="9">
        <f>B25+1</f>
        <v>25</v>
      </c>
      <c r="C26" s="7">
        <v>6</v>
      </c>
      <c r="D26" s="6">
        <v>2021</v>
      </c>
      <c r="E26" s="8">
        <f>Submetring!E26+Submetring!F26+Submetring!G26</f>
        <v>14546</v>
      </c>
      <c r="F26" s="6">
        <v>0.251</v>
      </c>
      <c r="G26" s="8">
        <f>Submetring!H26+Submetring!I26</f>
        <v>911</v>
      </c>
      <c r="H26" s="6">
        <v>0.56711199999999995</v>
      </c>
      <c r="I26" s="8">
        <f>Submetring!J26</f>
        <v>371</v>
      </c>
      <c r="J26" s="6">
        <v>3.03</v>
      </c>
      <c r="K26" s="8">
        <f>Hotel!Y33</f>
        <v>75</v>
      </c>
    </row>
    <row r="27" spans="1:11" x14ac:dyDescent="0.25">
      <c r="A27" s="6" t="s">
        <v>11</v>
      </c>
      <c r="B27" s="9">
        <f t="shared" si="0"/>
        <v>26</v>
      </c>
      <c r="C27" s="7">
        <v>6</v>
      </c>
      <c r="D27" s="6">
        <v>2021</v>
      </c>
      <c r="E27" s="8">
        <f>Submetring!E27+Submetring!F27+Submetring!G27</f>
        <v>14875</v>
      </c>
      <c r="F27" s="6">
        <v>0.251</v>
      </c>
      <c r="G27" s="8">
        <f>Submetring!H27+Submetring!I27</f>
        <v>917</v>
      </c>
      <c r="H27" s="6">
        <v>0.56711199999999995</v>
      </c>
      <c r="I27" s="8">
        <f>Submetring!J27</f>
        <v>367</v>
      </c>
      <c r="J27" s="6">
        <v>3.03</v>
      </c>
      <c r="K27" s="8">
        <f>Hotel!Y34</f>
        <v>84</v>
      </c>
    </row>
    <row r="28" spans="1:11" x14ac:dyDescent="0.25">
      <c r="A28" s="6" t="s">
        <v>11</v>
      </c>
      <c r="B28" s="9">
        <f t="shared" si="0"/>
        <v>27</v>
      </c>
      <c r="C28" s="7">
        <v>6</v>
      </c>
      <c r="D28" s="6">
        <v>2021</v>
      </c>
      <c r="E28" s="8">
        <f>Submetring!E28+Submetring!F28+Submetring!G28</f>
        <v>15250</v>
      </c>
      <c r="F28" s="6">
        <v>0.251</v>
      </c>
      <c r="G28" s="8">
        <f>Submetring!H28+Submetring!I28</f>
        <v>955</v>
      </c>
      <c r="H28" s="6">
        <v>0.56711199999999995</v>
      </c>
      <c r="I28" s="8">
        <f>Submetring!J28</f>
        <v>207</v>
      </c>
      <c r="J28" s="6">
        <v>3.03</v>
      </c>
      <c r="K28" s="8">
        <f>Hotel!Y35</f>
        <v>99</v>
      </c>
    </row>
    <row r="29" spans="1:11" x14ac:dyDescent="0.25">
      <c r="A29" s="6" t="s">
        <v>11</v>
      </c>
      <c r="B29" s="9">
        <f t="shared" si="0"/>
        <v>28</v>
      </c>
      <c r="C29" s="7">
        <v>6</v>
      </c>
      <c r="D29" s="6">
        <v>2021</v>
      </c>
      <c r="E29" s="8">
        <f>Submetring!E29+Submetring!F29+Submetring!G29</f>
        <v>15358</v>
      </c>
      <c r="F29" s="6">
        <v>0.251</v>
      </c>
      <c r="G29" s="8">
        <f>Submetring!H29+Submetring!I29</f>
        <v>971</v>
      </c>
      <c r="H29" s="6">
        <v>0.56711199999999995</v>
      </c>
      <c r="I29" s="8">
        <f>Submetring!J29</f>
        <v>409</v>
      </c>
      <c r="J29" s="6">
        <v>3.03</v>
      </c>
      <c r="K29" s="8">
        <f>Hotel!Y36</f>
        <v>77</v>
      </c>
    </row>
    <row r="30" spans="1:11" x14ac:dyDescent="0.25">
      <c r="A30" s="6" t="s">
        <v>11</v>
      </c>
      <c r="B30" s="9">
        <f t="shared" si="0"/>
        <v>29</v>
      </c>
      <c r="C30" s="7">
        <v>6</v>
      </c>
      <c r="D30" s="6">
        <v>2021</v>
      </c>
      <c r="E30" s="8">
        <f>Submetring!E30+Submetring!F30+Submetring!G30</f>
        <v>14132</v>
      </c>
      <c r="F30" s="6">
        <v>0.251</v>
      </c>
      <c r="G30" s="8">
        <f>Submetring!H30+Submetring!I30</f>
        <v>944</v>
      </c>
      <c r="H30" s="6">
        <v>0.56711199999999995</v>
      </c>
      <c r="I30" s="8">
        <f>Submetring!J30</f>
        <v>391</v>
      </c>
      <c r="J30" s="6">
        <v>3.03</v>
      </c>
      <c r="K30" s="8">
        <f>Hotel!Y37</f>
        <v>71</v>
      </c>
    </row>
    <row r="31" spans="1:11" x14ac:dyDescent="0.25">
      <c r="A31" s="6" t="s">
        <v>11</v>
      </c>
      <c r="B31" s="9">
        <f t="shared" si="0"/>
        <v>30</v>
      </c>
      <c r="C31" s="7">
        <v>6</v>
      </c>
      <c r="D31" s="6">
        <v>2021</v>
      </c>
      <c r="E31" s="8">
        <f>Submetring!E31+Submetring!F31+Submetring!G31</f>
        <v>14313</v>
      </c>
      <c r="F31" s="6">
        <v>0.251</v>
      </c>
      <c r="G31" s="8">
        <f>Submetring!H31+Submetring!I31</f>
        <v>850</v>
      </c>
      <c r="H31" s="6">
        <v>0.56711199999999995</v>
      </c>
      <c r="I31" s="8">
        <f>Submetring!J31</f>
        <v>212</v>
      </c>
      <c r="J31" s="6">
        <v>3.03</v>
      </c>
      <c r="K31" s="8">
        <f>Hotel!Y38</f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1"/>
  <sheetViews>
    <sheetView topLeftCell="A2" workbookViewId="0">
      <selection activeCell="A32" sqref="A32:XFD32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6</v>
      </c>
      <c r="D2" s="10">
        <v>2021</v>
      </c>
      <c r="E2" s="11">
        <f>Hotel!D9</f>
        <v>3669</v>
      </c>
      <c r="F2" s="11">
        <f>Hotel!F9</f>
        <v>3699</v>
      </c>
      <c r="G2" s="11">
        <f>Hotel!H9</f>
        <v>3410</v>
      </c>
      <c r="H2" s="11">
        <f>Hotel!N9</f>
        <v>85</v>
      </c>
      <c r="I2" s="11">
        <f>Hotel!P9</f>
        <v>924</v>
      </c>
      <c r="J2" s="11">
        <f>Hotel!U9</f>
        <v>271</v>
      </c>
      <c r="K2" s="11">
        <f>Hotel!Y9</f>
        <v>66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6</v>
      </c>
      <c r="D3" s="10">
        <v>2021</v>
      </c>
      <c r="E3" s="11">
        <f>Hotel!D10</f>
        <v>3524</v>
      </c>
      <c r="F3" s="11">
        <f>Hotel!F10</f>
        <v>3578</v>
      </c>
      <c r="G3" s="11">
        <f>Hotel!H10</f>
        <v>3301</v>
      </c>
      <c r="H3" s="11">
        <f>Hotel!N10</f>
        <v>117</v>
      </c>
      <c r="I3" s="11">
        <f>Hotel!P10</f>
        <v>862</v>
      </c>
      <c r="J3" s="11">
        <f>Hotel!U10</f>
        <v>255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1" si="0">B3+1</f>
        <v>3</v>
      </c>
      <c r="C4" s="10">
        <v>6</v>
      </c>
      <c r="D4" s="10">
        <v>2021</v>
      </c>
      <c r="E4" s="11">
        <f>Hotel!D11</f>
        <v>3907</v>
      </c>
      <c r="F4" s="11">
        <f>Hotel!F11</f>
        <v>3948</v>
      </c>
      <c r="G4" s="11">
        <f>Hotel!H11</f>
        <v>3646</v>
      </c>
      <c r="H4" s="11">
        <f>Hotel!N11</f>
        <v>131</v>
      </c>
      <c r="I4" s="11">
        <f>Hotel!P11</f>
        <v>834</v>
      </c>
      <c r="J4" s="11">
        <f>Hotel!U11</f>
        <v>263</v>
      </c>
      <c r="K4" s="11">
        <f>Hotel!Y11</f>
        <v>125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6</v>
      </c>
      <c r="D5" s="10">
        <v>2021</v>
      </c>
      <c r="E5" s="11">
        <f>Hotel!D12</f>
        <v>3886</v>
      </c>
      <c r="F5" s="11">
        <f>Hotel!F12</f>
        <v>3925</v>
      </c>
      <c r="G5" s="11">
        <f>Hotel!H12</f>
        <v>3647</v>
      </c>
      <c r="H5" s="11">
        <f>Hotel!N12</f>
        <v>114</v>
      </c>
      <c r="I5" s="11">
        <f>Hotel!P12</f>
        <v>889</v>
      </c>
      <c r="J5" s="11">
        <f>Hotel!U12</f>
        <v>209</v>
      </c>
      <c r="K5" s="11">
        <f>Hotel!Y12</f>
        <v>68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6</v>
      </c>
      <c r="D6" s="10">
        <v>2021</v>
      </c>
      <c r="E6" s="11">
        <f>Hotel!D13</f>
        <v>4185</v>
      </c>
      <c r="F6" s="11">
        <f>Hotel!F13</f>
        <v>4219</v>
      </c>
      <c r="G6" s="11">
        <f>Hotel!H13</f>
        <v>3934</v>
      </c>
      <c r="H6" s="11">
        <f>Hotel!N13</f>
        <v>145</v>
      </c>
      <c r="I6" s="11">
        <f>Hotel!P13</f>
        <v>812</v>
      </c>
      <c r="J6" s="11">
        <f>Hotel!U13</f>
        <v>251</v>
      </c>
      <c r="K6" s="11">
        <f>Hotel!Y13</f>
        <v>51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6</v>
      </c>
      <c r="D7" s="10">
        <v>2021</v>
      </c>
      <c r="E7" s="11">
        <f>Hotel!D14</f>
        <v>4047</v>
      </c>
      <c r="F7" s="11">
        <f>Hotel!F14</f>
        <v>4071</v>
      </c>
      <c r="G7" s="11">
        <f>Hotel!H14</f>
        <v>3786</v>
      </c>
      <c r="H7" s="11">
        <f>Hotel!N14</f>
        <v>121</v>
      </c>
      <c r="I7" s="11">
        <f>Hotel!P14</f>
        <v>850</v>
      </c>
      <c r="J7" s="11">
        <f>Hotel!U14</f>
        <v>260</v>
      </c>
      <c r="K7" s="11">
        <f>Hotel!Y14</f>
        <v>53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6</v>
      </c>
      <c r="D8" s="10">
        <v>2021</v>
      </c>
      <c r="E8" s="11">
        <f>Hotel!D15</f>
        <v>4163</v>
      </c>
      <c r="F8" s="11">
        <f>Hotel!F15</f>
        <v>4180</v>
      </c>
      <c r="G8" s="11">
        <f>Hotel!H15</f>
        <v>3898</v>
      </c>
      <c r="H8" s="11">
        <f>Hotel!N15</f>
        <v>153</v>
      </c>
      <c r="I8" s="11">
        <f>Hotel!P15</f>
        <v>1025</v>
      </c>
      <c r="J8" s="11">
        <f>Hotel!U15</f>
        <v>278</v>
      </c>
      <c r="K8" s="11">
        <f>Hotel!Y15</f>
        <v>69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6</v>
      </c>
      <c r="D9" s="10">
        <v>2021</v>
      </c>
      <c r="E9" s="11">
        <f>Hotel!D16</f>
        <v>3942</v>
      </c>
      <c r="F9" s="11">
        <f>Hotel!F16</f>
        <v>3948</v>
      </c>
      <c r="G9" s="11">
        <f>Hotel!H16</f>
        <v>3679</v>
      </c>
      <c r="H9" s="11">
        <f>Hotel!N16</f>
        <v>89</v>
      </c>
      <c r="I9" s="11">
        <f>Hotel!P16</f>
        <v>713</v>
      </c>
      <c r="J9" s="11">
        <f>Hotel!U16</f>
        <v>298</v>
      </c>
      <c r="K9" s="11">
        <f>Hotel!Y16</f>
        <v>60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6</v>
      </c>
      <c r="D10" s="10">
        <v>2021</v>
      </c>
      <c r="E10" s="11">
        <f>Hotel!D17</f>
        <v>3852</v>
      </c>
      <c r="F10" s="11">
        <f>Hotel!F17</f>
        <v>3865</v>
      </c>
      <c r="G10" s="11">
        <f>Hotel!H17</f>
        <v>3363</v>
      </c>
      <c r="H10" s="11">
        <f>Hotel!N17</f>
        <v>130</v>
      </c>
      <c r="I10" s="11">
        <f>Hotel!P17</f>
        <v>737</v>
      </c>
      <c r="J10" s="11">
        <f>Hotel!U17</f>
        <v>220</v>
      </c>
      <c r="K10" s="11">
        <f>Hotel!Y17</f>
        <v>56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6</v>
      </c>
      <c r="D11" s="10">
        <v>2021</v>
      </c>
      <c r="E11" s="11">
        <f>Hotel!D18</f>
        <v>3739</v>
      </c>
      <c r="F11" s="11">
        <f>Hotel!F18</f>
        <v>3783</v>
      </c>
      <c r="G11" s="11">
        <f>Hotel!H18</f>
        <v>3749</v>
      </c>
      <c r="H11" s="11">
        <f>Hotel!N18</f>
        <v>124</v>
      </c>
      <c r="I11" s="11">
        <f>Hotel!P18</f>
        <v>790</v>
      </c>
      <c r="J11" s="11">
        <f>Hotel!U18</f>
        <v>362</v>
      </c>
      <c r="K11" s="11">
        <f>Hotel!Y18</f>
        <v>59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6</v>
      </c>
      <c r="D12" s="10">
        <v>2021</v>
      </c>
      <c r="E12" s="11">
        <f>Hotel!D19</f>
        <v>3825</v>
      </c>
      <c r="F12" s="11">
        <f>Hotel!F19</f>
        <v>3866</v>
      </c>
      <c r="G12" s="11">
        <f>Hotel!H19</f>
        <v>3593</v>
      </c>
      <c r="H12" s="11">
        <f>Hotel!N19</f>
        <v>132</v>
      </c>
      <c r="I12" s="11">
        <f>Hotel!P19</f>
        <v>875</v>
      </c>
      <c r="J12" s="11">
        <f>Hotel!U19</f>
        <v>223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6</v>
      </c>
      <c r="D13" s="10">
        <v>2021</v>
      </c>
      <c r="E13" s="11">
        <f>Hotel!D20</f>
        <v>4068</v>
      </c>
      <c r="F13" s="11">
        <f>Hotel!F20</f>
        <v>4091</v>
      </c>
      <c r="G13" s="11">
        <f>Hotel!H20</f>
        <v>3788</v>
      </c>
      <c r="H13" s="11">
        <f>Hotel!N20</f>
        <v>144</v>
      </c>
      <c r="I13" s="11">
        <f>Hotel!P20</f>
        <v>822</v>
      </c>
      <c r="J13" s="11">
        <f>Hotel!U20</f>
        <v>180</v>
      </c>
      <c r="K13" s="11">
        <f>Hotel!Y20</f>
        <v>108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6</v>
      </c>
      <c r="D14" s="10">
        <v>2021</v>
      </c>
      <c r="E14" s="11">
        <f>Hotel!D21</f>
        <v>4164</v>
      </c>
      <c r="F14" s="11">
        <f>Hotel!F21</f>
        <v>4179</v>
      </c>
      <c r="G14" s="11">
        <f>Hotel!H21</f>
        <v>3869</v>
      </c>
      <c r="H14" s="11">
        <f>Hotel!N21</f>
        <v>136</v>
      </c>
      <c r="I14" s="11">
        <f>Hotel!P21</f>
        <v>847</v>
      </c>
      <c r="J14" s="11">
        <f>Hotel!U21</f>
        <v>211</v>
      </c>
      <c r="K14" s="11">
        <f>Hotel!Y21</f>
        <v>110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6</v>
      </c>
      <c r="D15" s="10">
        <v>2021</v>
      </c>
      <c r="E15" s="11">
        <f>Hotel!D22</f>
        <v>4296</v>
      </c>
      <c r="F15" s="11">
        <f>Hotel!F22</f>
        <v>4317</v>
      </c>
      <c r="G15" s="11">
        <f>Hotel!H22</f>
        <v>3989</v>
      </c>
      <c r="H15" s="11">
        <f>Hotel!N22</f>
        <v>141</v>
      </c>
      <c r="I15" s="11">
        <f>Hotel!P22</f>
        <v>823</v>
      </c>
      <c r="J15" s="11">
        <f>Hotel!U22</f>
        <v>184</v>
      </c>
      <c r="K15" s="11">
        <f>Hotel!Y22</f>
        <v>106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6</v>
      </c>
      <c r="D16" s="10">
        <v>2021</v>
      </c>
      <c r="E16" s="11">
        <f>Hotel!D23</f>
        <v>4057</v>
      </c>
      <c r="F16" s="11">
        <f>Hotel!F23</f>
        <v>4053</v>
      </c>
      <c r="G16" s="11">
        <f>Hotel!H23</f>
        <v>3765</v>
      </c>
      <c r="H16" s="11">
        <f>Hotel!N23</f>
        <v>102</v>
      </c>
      <c r="I16" s="11">
        <f>Hotel!P23</f>
        <v>792</v>
      </c>
      <c r="J16" s="11">
        <f>Hotel!U23</f>
        <v>120</v>
      </c>
      <c r="K16" s="11">
        <f>Hotel!Y23</f>
        <v>70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6</v>
      </c>
      <c r="D17" s="10">
        <v>2021</v>
      </c>
      <c r="E17" s="11">
        <f>Hotel!D24</f>
        <v>4187</v>
      </c>
      <c r="F17" s="11">
        <f>Hotel!F24</f>
        <v>4190</v>
      </c>
      <c r="G17" s="11">
        <f>Hotel!H24</f>
        <v>3906</v>
      </c>
      <c r="H17" s="11">
        <f>Hotel!N24</f>
        <v>113</v>
      </c>
      <c r="I17" s="11">
        <f>Hotel!P24</f>
        <v>821</v>
      </c>
      <c r="J17" s="11">
        <f>Hotel!U24</f>
        <v>394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6</v>
      </c>
      <c r="D18" s="10">
        <v>2021</v>
      </c>
      <c r="E18" s="11">
        <f>Hotel!D25</f>
        <v>4686</v>
      </c>
      <c r="F18" s="11">
        <f>Hotel!F25</f>
        <v>4677</v>
      </c>
      <c r="G18" s="11">
        <f>Hotel!H25</f>
        <v>4395</v>
      </c>
      <c r="H18" s="11">
        <f>Hotel!N25</f>
        <v>136</v>
      </c>
      <c r="I18" s="11">
        <f>Hotel!P25</f>
        <v>843</v>
      </c>
      <c r="J18" s="11">
        <f>Hotel!U25</f>
        <v>323</v>
      </c>
      <c r="K18" s="11">
        <f>Hotel!Y25</f>
        <v>95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6</v>
      </c>
      <c r="D19" s="10">
        <v>2021</v>
      </c>
      <c r="E19" s="11">
        <f>Hotel!D26</f>
        <v>5248</v>
      </c>
      <c r="F19" s="11">
        <f>Hotel!F26</f>
        <v>5235</v>
      </c>
      <c r="G19" s="11">
        <f>Hotel!H26</f>
        <v>4929</v>
      </c>
      <c r="H19" s="11">
        <f>Hotel!N26</f>
        <v>140</v>
      </c>
      <c r="I19" s="11">
        <f>Hotel!P26</f>
        <v>844</v>
      </c>
      <c r="J19" s="11">
        <f>Hotel!U26</f>
        <v>155</v>
      </c>
      <c r="K19" s="11">
        <f>Hotel!Y26</f>
        <v>105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6</v>
      </c>
      <c r="D20" s="10">
        <v>2021</v>
      </c>
      <c r="E20" s="11">
        <f>Hotel!D27</f>
        <v>4792</v>
      </c>
      <c r="F20" s="11">
        <f>Hotel!F27</f>
        <v>4821</v>
      </c>
      <c r="G20" s="11">
        <f>Hotel!H27</f>
        <v>4376</v>
      </c>
      <c r="H20" s="11">
        <f>Hotel!N27</f>
        <v>135</v>
      </c>
      <c r="I20" s="11">
        <f>Hotel!P27</f>
        <v>822</v>
      </c>
      <c r="J20" s="11">
        <f>Hotel!U27</f>
        <v>324</v>
      </c>
      <c r="K20" s="11">
        <f>Hotel!Y27</f>
        <v>99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6</v>
      </c>
      <c r="D21" s="10">
        <v>2021</v>
      </c>
      <c r="E21" s="11">
        <f>Hotel!D28</f>
        <v>4915</v>
      </c>
      <c r="F21" s="11">
        <f>Hotel!F28</f>
        <v>4920</v>
      </c>
      <c r="G21" s="11">
        <f>Hotel!H28</f>
        <v>4681</v>
      </c>
      <c r="H21" s="11">
        <f>Hotel!N28</f>
        <v>136</v>
      </c>
      <c r="I21" s="11">
        <f>Hotel!P28</f>
        <v>779</v>
      </c>
      <c r="J21" s="11">
        <f>Hotel!U28</f>
        <v>358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6</v>
      </c>
      <c r="D22" s="10">
        <v>2021</v>
      </c>
      <c r="E22" s="11">
        <f>Hotel!D29</f>
        <v>5173</v>
      </c>
      <c r="F22" s="11">
        <f>Hotel!F29</f>
        <v>5377</v>
      </c>
      <c r="G22" s="11">
        <f>Hotel!H29</f>
        <v>4407</v>
      </c>
      <c r="H22" s="11">
        <f>Hotel!N29</f>
        <v>130</v>
      </c>
      <c r="I22" s="11">
        <f>Hotel!P29</f>
        <v>712</v>
      </c>
      <c r="J22" s="11">
        <f>Hotel!U29</f>
        <v>327</v>
      </c>
      <c r="K22" s="11">
        <f>Hotel!Y29</f>
        <v>105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6</v>
      </c>
      <c r="D23" s="10">
        <v>2021</v>
      </c>
      <c r="E23" s="11">
        <f>Hotel!D30</f>
        <v>4540</v>
      </c>
      <c r="F23" s="11">
        <f>Hotel!F30</f>
        <v>4306</v>
      </c>
      <c r="G23" s="11">
        <f>Hotel!H30</f>
        <v>4717</v>
      </c>
      <c r="H23" s="11">
        <f>Hotel!N30</f>
        <v>133</v>
      </c>
      <c r="I23" s="11">
        <f>Hotel!P30</f>
        <v>889</v>
      </c>
      <c r="J23" s="11">
        <f>Hotel!U30</f>
        <v>379</v>
      </c>
      <c r="K23" s="11">
        <f>Hotel!Y30</f>
        <v>92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6</v>
      </c>
      <c r="D24" s="10">
        <v>2021</v>
      </c>
      <c r="E24" s="11">
        <f>Hotel!D31</f>
        <v>4528</v>
      </c>
      <c r="F24" s="11">
        <f>Hotel!F31</f>
        <v>4511</v>
      </c>
      <c r="G24" s="11">
        <f>Hotel!H31</f>
        <v>4271</v>
      </c>
      <c r="H24" s="11">
        <f>Hotel!N31</f>
        <v>126</v>
      </c>
      <c r="I24" s="11">
        <f>Hotel!P31</f>
        <v>847</v>
      </c>
      <c r="J24" s="11">
        <f>Hotel!U31</f>
        <v>429</v>
      </c>
      <c r="K24" s="11">
        <f>Hotel!Y31</f>
        <v>78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6</v>
      </c>
      <c r="D25" s="10">
        <v>2021</v>
      </c>
      <c r="E25" s="11">
        <f>Hotel!D32</f>
        <v>4747</v>
      </c>
      <c r="F25" s="11">
        <f>Hotel!F32</f>
        <v>4701</v>
      </c>
      <c r="G25" s="11">
        <f>Hotel!H32</f>
        <v>4448</v>
      </c>
      <c r="H25" s="11">
        <f>Hotel!N32</f>
        <v>115</v>
      </c>
      <c r="I25" s="11">
        <f>Hotel!P32</f>
        <v>826</v>
      </c>
      <c r="J25" s="11">
        <f>Hotel!U32</f>
        <v>435</v>
      </c>
      <c r="K25" s="11">
        <f>Hotel!Y32</f>
        <v>71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6</v>
      </c>
      <c r="D26" s="10">
        <v>2021</v>
      </c>
      <c r="E26" s="11">
        <f>Hotel!D33</f>
        <v>4961</v>
      </c>
      <c r="F26" s="11">
        <f>Hotel!F33</f>
        <v>4912</v>
      </c>
      <c r="G26" s="11">
        <f>Hotel!H33</f>
        <v>4673</v>
      </c>
      <c r="H26" s="11">
        <f>Hotel!N33</f>
        <v>132</v>
      </c>
      <c r="I26" s="11">
        <f>Hotel!P33</f>
        <v>779</v>
      </c>
      <c r="J26" s="11">
        <f>Hotel!U33</f>
        <v>371</v>
      </c>
      <c r="K26" s="11">
        <f>Hotel!Y33</f>
        <v>75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6</v>
      </c>
      <c r="D27" s="10">
        <v>2021</v>
      </c>
      <c r="E27" s="11">
        <f>Hotel!D34</f>
        <v>5071</v>
      </c>
      <c r="F27" s="11">
        <f>Hotel!F34</f>
        <v>5028</v>
      </c>
      <c r="G27" s="11">
        <f>Hotel!H34</f>
        <v>4776</v>
      </c>
      <c r="H27" s="11">
        <f>Hotel!N34</f>
        <v>138</v>
      </c>
      <c r="I27" s="11">
        <f>Hotel!P34</f>
        <v>779</v>
      </c>
      <c r="J27" s="11">
        <f>Hotel!U34</f>
        <v>367</v>
      </c>
      <c r="K27" s="11">
        <f>Hotel!Y34</f>
        <v>84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6</v>
      </c>
      <c r="D28" s="10">
        <v>2021</v>
      </c>
      <c r="E28" s="11">
        <f>Hotel!D35</f>
        <v>5183</v>
      </c>
      <c r="F28" s="11">
        <f>Hotel!F35</f>
        <v>5182</v>
      </c>
      <c r="G28" s="11">
        <f>Hotel!H35</f>
        <v>4885</v>
      </c>
      <c r="H28" s="11">
        <f>Hotel!N35</f>
        <v>127</v>
      </c>
      <c r="I28" s="11">
        <f>Hotel!P35</f>
        <v>828</v>
      </c>
      <c r="J28" s="11">
        <f>Hotel!U35</f>
        <v>207</v>
      </c>
      <c r="K28" s="11">
        <f>Hotel!Y35</f>
        <v>99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6</v>
      </c>
      <c r="D29" s="10">
        <v>2021</v>
      </c>
      <c r="E29" s="11">
        <f>Hotel!D36</f>
        <v>5233</v>
      </c>
      <c r="F29" s="11">
        <f>Hotel!F36</f>
        <v>5238</v>
      </c>
      <c r="G29" s="11">
        <f>Hotel!H36</f>
        <v>4887</v>
      </c>
      <c r="H29" s="11">
        <f>Hotel!N36</f>
        <v>163</v>
      </c>
      <c r="I29" s="11">
        <f>Hotel!P36</f>
        <v>808</v>
      </c>
      <c r="J29" s="11">
        <f>Hotel!U36</f>
        <v>409</v>
      </c>
      <c r="K29" s="11">
        <f>Hotel!Y36</f>
        <v>77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6</v>
      </c>
      <c r="D30" s="10">
        <v>2021</v>
      </c>
      <c r="E30" s="11">
        <f>Hotel!D37</f>
        <v>4821</v>
      </c>
      <c r="F30" s="11">
        <f>Hotel!F37</f>
        <v>4810</v>
      </c>
      <c r="G30" s="11">
        <f>Hotel!H37</f>
        <v>4501</v>
      </c>
      <c r="H30" s="11">
        <f>Hotel!N37</f>
        <v>87</v>
      </c>
      <c r="I30" s="11">
        <f>Hotel!P37</f>
        <v>857</v>
      </c>
      <c r="J30" s="11">
        <f>Hotel!U37</f>
        <v>391</v>
      </c>
      <c r="K30" s="11">
        <f>Hotel!Y37</f>
        <v>71</v>
      </c>
    </row>
    <row r="31" spans="1:93" x14ac:dyDescent="0.25">
      <c r="A31" t="s">
        <v>11</v>
      </c>
      <c r="B31" s="10">
        <f t="shared" si="0"/>
        <v>30</v>
      </c>
      <c r="C31" s="10">
        <v>6</v>
      </c>
      <c r="D31" s="10">
        <v>2021</v>
      </c>
      <c r="E31" s="11">
        <f>Hotel!D38</f>
        <v>4863</v>
      </c>
      <c r="F31" s="11">
        <f>Hotel!F38</f>
        <v>4865</v>
      </c>
      <c r="G31" s="11">
        <f>Hotel!H38</f>
        <v>4585</v>
      </c>
      <c r="H31" s="11">
        <f>Hotel!N38</f>
        <v>127</v>
      </c>
      <c r="I31" s="11">
        <f>Hotel!P38</f>
        <v>723</v>
      </c>
      <c r="J31" s="11">
        <f>Hotel!U38</f>
        <v>212</v>
      </c>
      <c r="K31" s="11">
        <f>Hotel!Y38</f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opLeftCell="A7" zoomScale="106" zoomScaleNormal="106" workbookViewId="0">
      <selection activeCell="A39" sqref="A39:XFD39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5380546</v>
      </c>
      <c r="D6" s="28"/>
      <c r="E6" s="29">
        <v>5333312</v>
      </c>
      <c r="F6" s="30"/>
      <c r="G6" s="132">
        <v>5040577</v>
      </c>
      <c r="H6" s="31">
        <f>G6-G5</f>
        <v>5040577</v>
      </c>
      <c r="I6" s="32"/>
      <c r="J6" s="33">
        <f>D6+F6+H6</f>
        <v>5040577</v>
      </c>
      <c r="K6" s="33" t="e">
        <f>D6*0.152+F6*0.238+H6*0.115+#REF!*0.218</f>
        <v>#REF!</v>
      </c>
      <c r="L6" s="34"/>
      <c r="M6" s="35">
        <v>141396</v>
      </c>
      <c r="N6" s="31" t="e">
        <f>M6-#REF!</f>
        <v>#REF!</v>
      </c>
      <c r="O6" s="36">
        <v>2229455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262736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117</v>
      </c>
      <c r="B9" s="59">
        <v>1</v>
      </c>
      <c r="C9" s="60">
        <v>5384215</v>
      </c>
      <c r="D9" s="61">
        <f>IF((C9-C6&lt;0), "0",C9-C6)</f>
        <v>3669</v>
      </c>
      <c r="E9" s="62">
        <v>5337011</v>
      </c>
      <c r="F9" s="61">
        <f>IF((E9-E6&lt;0), "0",E9-E6)</f>
        <v>3699</v>
      </c>
      <c r="G9" s="63">
        <v>5043987</v>
      </c>
      <c r="H9" s="61">
        <f>IF((G9-G6&lt;0), "0",G9-G6)</f>
        <v>3410</v>
      </c>
      <c r="I9" s="60">
        <f>H9+F9+D9</f>
        <v>10778</v>
      </c>
      <c r="J9" s="64">
        <v>0.99</v>
      </c>
      <c r="K9" s="65">
        <f>I9*0.251</f>
        <v>2705.2779999999998</v>
      </c>
      <c r="L9" s="66"/>
      <c r="M9" s="60">
        <v>141481</v>
      </c>
      <c r="N9" s="61">
        <f>IF((M9-M6&lt;0), "0",M9-M6)</f>
        <v>85</v>
      </c>
      <c r="O9" s="60">
        <v>2230379</v>
      </c>
      <c r="P9" s="61">
        <f>IF((O9-O6&lt;0), "0",O9-O6)</f>
        <v>924</v>
      </c>
      <c r="Q9" s="67">
        <f t="shared" ref="Q9:Q38" si="0">N9+P9</f>
        <v>1009</v>
      </c>
      <c r="R9" s="68">
        <f>(P9+N9*1.2285)*0.056*10.127</f>
        <v>583.23074082000005</v>
      </c>
      <c r="S9" s="69"/>
      <c r="T9" s="70">
        <v>263007</v>
      </c>
      <c r="U9" s="61">
        <f>IF((T9-T6&lt;0), "0",T9-T6)</f>
        <v>271</v>
      </c>
      <c r="V9" s="71">
        <f>U9*(1.315+1.54)</f>
        <v>773.70500000000004</v>
      </c>
      <c r="W9" s="72"/>
      <c r="X9" s="73">
        <f t="shared" ref="X9:X38" si="1">K9+R9+V9</f>
        <v>4062.2137408199997</v>
      </c>
      <c r="Y9" s="74">
        <v>66</v>
      </c>
      <c r="Z9" s="75">
        <f>X9/Y9</f>
        <v>61.548693042727265</v>
      </c>
    </row>
    <row r="10" spans="1:27" x14ac:dyDescent="0.25">
      <c r="A10" s="10" t="s">
        <v>118</v>
      </c>
      <c r="B10" s="59">
        <f>B9+1</f>
        <v>2</v>
      </c>
      <c r="C10" s="76">
        <v>5387739</v>
      </c>
      <c r="D10" s="61">
        <f t="shared" ref="D10:D38" si="2">IF((C10-C9&lt;0), "0",C10-C9)</f>
        <v>3524</v>
      </c>
      <c r="E10" s="77">
        <v>5340589</v>
      </c>
      <c r="F10" s="61">
        <f>IF((E10-E9&lt;0), "0",E10-E9)</f>
        <v>3578</v>
      </c>
      <c r="G10" s="77">
        <v>5047288</v>
      </c>
      <c r="H10" s="61">
        <f t="shared" ref="H10:H38" si="3">IF((G10-G9&lt;0), "0",G10-G9)</f>
        <v>3301</v>
      </c>
      <c r="I10" s="60">
        <f t="shared" ref="I10:I38" si="4">H10+F10+D10</f>
        <v>10403</v>
      </c>
      <c r="J10" s="64">
        <v>0.99</v>
      </c>
      <c r="K10" s="65">
        <f t="shared" ref="K10:K38" si="5">I10*0.251</f>
        <v>2611.1529999999998</v>
      </c>
      <c r="L10" s="66"/>
      <c r="M10" s="77">
        <v>141598</v>
      </c>
      <c r="N10" s="61">
        <f>IF((M10-M9&lt;0), "0",M10-M9)</f>
        <v>117</v>
      </c>
      <c r="O10" s="77">
        <v>2231241</v>
      </c>
      <c r="P10" s="61">
        <f>IF((O10-O9&lt;0), "0",O10-O9)</f>
        <v>862</v>
      </c>
      <c r="Q10" s="67">
        <f t="shared" si="0"/>
        <v>979</v>
      </c>
      <c r="R10" s="68">
        <f t="shared" ref="R10:R38" si="6">(P10+N10*1.2285)*0.056*10.127</f>
        <v>570.36410376400011</v>
      </c>
      <c r="S10" s="69"/>
      <c r="T10" s="78">
        <v>263262</v>
      </c>
      <c r="U10" s="61">
        <f>IF((T10-T9&lt;0), "0",T10-T9)</f>
        <v>255</v>
      </c>
      <c r="V10" s="71">
        <f t="shared" ref="V10:V38" si="7">U10*(1.315+1.54)</f>
        <v>728.02499999999998</v>
      </c>
      <c r="W10" s="72"/>
      <c r="X10" s="79">
        <f t="shared" si="1"/>
        <v>3909.5421037639999</v>
      </c>
      <c r="Y10" s="80">
        <v>62</v>
      </c>
      <c r="Z10" s="81">
        <f t="shared" ref="Z10:Z38" si="8">X10/Y10</f>
        <v>63.057130705870968</v>
      </c>
    </row>
    <row r="11" spans="1:27" x14ac:dyDescent="0.25">
      <c r="A11" s="10" t="s">
        <v>119</v>
      </c>
      <c r="B11" s="59">
        <f t="shared" ref="B11:B38" si="9">B10+1</f>
        <v>3</v>
      </c>
      <c r="C11" s="76">
        <v>5391646</v>
      </c>
      <c r="D11" s="61">
        <f t="shared" si="2"/>
        <v>3907</v>
      </c>
      <c r="E11" s="76">
        <v>5344537</v>
      </c>
      <c r="F11" s="61">
        <f t="shared" ref="F11:F38" si="10">IF((E11-E10&lt;0), "0",E11-E10)</f>
        <v>3948</v>
      </c>
      <c r="G11" s="77">
        <v>5050934</v>
      </c>
      <c r="H11" s="61">
        <f t="shared" si="3"/>
        <v>3646</v>
      </c>
      <c r="I11" s="60">
        <f t="shared" si="4"/>
        <v>11501</v>
      </c>
      <c r="J11" s="64">
        <v>0.98</v>
      </c>
      <c r="K11" s="65">
        <f t="shared" si="5"/>
        <v>2886.7510000000002</v>
      </c>
      <c r="L11" s="66"/>
      <c r="M11" s="77">
        <v>141729</v>
      </c>
      <c r="N11" s="61">
        <f t="shared" ref="N11:N38" si="11">IF((M11-M10&lt;0), "0",M11-M10)</f>
        <v>131</v>
      </c>
      <c r="O11" s="77">
        <v>2232075</v>
      </c>
      <c r="P11" s="61">
        <f t="shared" ref="P11:P38" si="12">IF((O11-O10&lt;0), "0",O11-O10)</f>
        <v>834</v>
      </c>
      <c r="Q11" s="67">
        <f t="shared" si="0"/>
        <v>965</v>
      </c>
      <c r="R11" s="68">
        <f t="shared" si="6"/>
        <v>564.23872705200006</v>
      </c>
      <c r="S11" s="69"/>
      <c r="T11" s="82">
        <v>263525</v>
      </c>
      <c r="U11" s="61">
        <f t="shared" ref="U11:U38" si="13">IF((T11-T10&lt;0), "0",T11-T10)</f>
        <v>263</v>
      </c>
      <c r="V11" s="71">
        <f t="shared" si="7"/>
        <v>750.86500000000001</v>
      </c>
      <c r="W11" s="72"/>
      <c r="X11" s="79">
        <f t="shared" si="1"/>
        <v>4201.8547270520003</v>
      </c>
      <c r="Y11" s="80">
        <v>125</v>
      </c>
      <c r="Z11" s="81">
        <f t="shared" si="8"/>
        <v>33.614837816415999</v>
      </c>
    </row>
    <row r="12" spans="1:27" x14ac:dyDescent="0.25">
      <c r="A12" s="10" t="s">
        <v>120</v>
      </c>
      <c r="B12" s="59">
        <f t="shared" si="9"/>
        <v>4</v>
      </c>
      <c r="C12" s="76">
        <v>5395532</v>
      </c>
      <c r="D12" s="61">
        <f t="shared" si="2"/>
        <v>3886</v>
      </c>
      <c r="E12" s="76">
        <v>5348462</v>
      </c>
      <c r="F12" s="61">
        <f t="shared" si="10"/>
        <v>3925</v>
      </c>
      <c r="G12" s="77">
        <v>5054581</v>
      </c>
      <c r="H12" s="61">
        <f t="shared" si="3"/>
        <v>3647</v>
      </c>
      <c r="I12" s="60">
        <f t="shared" si="4"/>
        <v>11458</v>
      </c>
      <c r="J12" s="64">
        <v>0.99</v>
      </c>
      <c r="K12" s="65">
        <f t="shared" si="5"/>
        <v>2875.9580000000001</v>
      </c>
      <c r="L12" s="66"/>
      <c r="M12" s="77">
        <v>141843</v>
      </c>
      <c r="N12" s="61">
        <f t="shared" si="11"/>
        <v>114</v>
      </c>
      <c r="O12" s="77">
        <v>2232964</v>
      </c>
      <c r="P12" s="61">
        <f t="shared" si="12"/>
        <v>889</v>
      </c>
      <c r="Q12" s="67">
        <f t="shared" si="0"/>
        <v>1003</v>
      </c>
      <c r="R12" s="68">
        <f t="shared" si="6"/>
        <v>583.5860364880001</v>
      </c>
      <c r="S12" s="69"/>
      <c r="T12" s="78">
        <v>263734</v>
      </c>
      <c r="U12" s="61">
        <f t="shared" si="13"/>
        <v>209</v>
      </c>
      <c r="V12" s="71">
        <f t="shared" si="7"/>
        <v>596.69500000000005</v>
      </c>
      <c r="W12" s="72"/>
      <c r="X12" s="79">
        <f t="shared" si="1"/>
        <v>4056.2390364880002</v>
      </c>
      <c r="Y12" s="80">
        <v>68</v>
      </c>
      <c r="Z12" s="81">
        <f t="shared" si="8"/>
        <v>59.650574066000004</v>
      </c>
    </row>
    <row r="13" spans="1:27" x14ac:dyDescent="0.25">
      <c r="A13" s="10" t="s">
        <v>121</v>
      </c>
      <c r="B13" s="59">
        <f t="shared" si="9"/>
        <v>5</v>
      </c>
      <c r="C13" s="63">
        <v>5399717</v>
      </c>
      <c r="D13" s="61">
        <f t="shared" si="2"/>
        <v>4185</v>
      </c>
      <c r="E13" s="76">
        <v>5352681</v>
      </c>
      <c r="F13" s="61">
        <f t="shared" si="10"/>
        <v>4219</v>
      </c>
      <c r="G13" s="63">
        <v>5058515</v>
      </c>
      <c r="H13" s="61">
        <f t="shared" si="3"/>
        <v>3934</v>
      </c>
      <c r="I13" s="60">
        <f t="shared" si="4"/>
        <v>12338</v>
      </c>
      <c r="J13" s="64">
        <v>0.99</v>
      </c>
      <c r="K13" s="65">
        <f t="shared" si="5"/>
        <v>3096.8380000000002</v>
      </c>
      <c r="L13" s="66"/>
      <c r="M13" s="77">
        <v>141988</v>
      </c>
      <c r="N13" s="61">
        <f t="shared" si="11"/>
        <v>145</v>
      </c>
      <c r="O13" s="76">
        <v>2233776</v>
      </c>
      <c r="P13" s="61">
        <f t="shared" si="12"/>
        <v>812</v>
      </c>
      <c r="Q13" s="67">
        <f t="shared" si="0"/>
        <v>957</v>
      </c>
      <c r="R13" s="68">
        <f t="shared" si="6"/>
        <v>561.51602234000006</v>
      </c>
      <c r="S13" s="69"/>
      <c r="T13" s="83">
        <v>263985</v>
      </c>
      <c r="U13" s="61">
        <f t="shared" si="13"/>
        <v>251</v>
      </c>
      <c r="V13" s="71">
        <f t="shared" si="7"/>
        <v>716.60500000000002</v>
      </c>
      <c r="W13" s="72"/>
      <c r="X13" s="79">
        <f t="shared" si="1"/>
        <v>4374.959022340001</v>
      </c>
      <c r="Y13" s="80">
        <v>51</v>
      </c>
      <c r="Z13" s="81">
        <f t="shared" si="8"/>
        <v>85.783510241960798</v>
      </c>
    </row>
    <row r="14" spans="1:27" x14ac:dyDescent="0.25">
      <c r="A14" s="10" t="s">
        <v>96</v>
      </c>
      <c r="B14" s="59">
        <f t="shared" si="9"/>
        <v>6</v>
      </c>
      <c r="C14" s="76">
        <v>5403764</v>
      </c>
      <c r="D14" s="61">
        <f t="shared" si="2"/>
        <v>4047</v>
      </c>
      <c r="E14" s="76">
        <v>5356752</v>
      </c>
      <c r="F14" s="61">
        <f t="shared" si="10"/>
        <v>4071</v>
      </c>
      <c r="G14" s="63">
        <v>5062301</v>
      </c>
      <c r="H14" s="61">
        <f t="shared" si="3"/>
        <v>3786</v>
      </c>
      <c r="I14" s="60">
        <f t="shared" si="4"/>
        <v>11904</v>
      </c>
      <c r="J14" s="64">
        <v>0.99</v>
      </c>
      <c r="K14" s="65">
        <f t="shared" si="5"/>
        <v>2987.904</v>
      </c>
      <c r="L14" s="66"/>
      <c r="M14" s="77">
        <v>142109</v>
      </c>
      <c r="N14" s="61">
        <f t="shared" si="11"/>
        <v>121</v>
      </c>
      <c r="O14" s="76">
        <v>2234626</v>
      </c>
      <c r="P14" s="61">
        <f t="shared" si="12"/>
        <v>850</v>
      </c>
      <c r="Q14" s="67">
        <f t="shared" si="0"/>
        <v>971</v>
      </c>
      <c r="R14" s="68">
        <f t="shared" si="6"/>
        <v>566.34554813200009</v>
      </c>
      <c r="S14" s="69"/>
      <c r="T14" s="83">
        <v>264245</v>
      </c>
      <c r="U14" s="61">
        <f t="shared" si="13"/>
        <v>260</v>
      </c>
      <c r="V14" s="71">
        <f t="shared" si="7"/>
        <v>742.3</v>
      </c>
      <c r="W14" s="72"/>
      <c r="X14" s="79">
        <f t="shared" si="1"/>
        <v>4296.5495481320004</v>
      </c>
      <c r="Y14" s="80">
        <v>53</v>
      </c>
      <c r="Z14" s="81">
        <f t="shared" si="8"/>
        <v>81.066972606264159</v>
      </c>
    </row>
    <row r="15" spans="1:27" x14ac:dyDescent="0.25">
      <c r="A15" s="10" t="s">
        <v>116</v>
      </c>
      <c r="B15" s="59">
        <f t="shared" si="9"/>
        <v>7</v>
      </c>
      <c r="C15" s="76">
        <v>5407927</v>
      </c>
      <c r="D15" s="61">
        <f t="shared" si="2"/>
        <v>4163</v>
      </c>
      <c r="E15" s="76">
        <v>5360932</v>
      </c>
      <c r="F15" s="61">
        <f t="shared" si="10"/>
        <v>4180</v>
      </c>
      <c r="G15" s="76">
        <v>5066199</v>
      </c>
      <c r="H15" s="61">
        <f t="shared" si="3"/>
        <v>3898</v>
      </c>
      <c r="I15" s="60">
        <f t="shared" si="4"/>
        <v>12241</v>
      </c>
      <c r="J15" s="64">
        <v>0.99</v>
      </c>
      <c r="K15" s="65">
        <f t="shared" si="5"/>
        <v>3072.491</v>
      </c>
      <c r="L15" s="66"/>
      <c r="M15" s="77">
        <v>142262</v>
      </c>
      <c r="N15" s="61">
        <f t="shared" si="11"/>
        <v>153</v>
      </c>
      <c r="O15" s="76">
        <v>2235651</v>
      </c>
      <c r="P15" s="61">
        <f t="shared" si="12"/>
        <v>1025</v>
      </c>
      <c r="Q15" s="67">
        <f t="shared" si="0"/>
        <v>1178</v>
      </c>
      <c r="R15" s="68">
        <f t="shared" si="6"/>
        <v>687.88445507599999</v>
      </c>
      <c r="S15" s="69"/>
      <c r="T15" s="83">
        <v>264523</v>
      </c>
      <c r="U15" s="61">
        <f t="shared" si="13"/>
        <v>278</v>
      </c>
      <c r="V15" s="71">
        <f t="shared" si="7"/>
        <v>793.68999999999994</v>
      </c>
      <c r="W15" s="72"/>
      <c r="X15" s="79">
        <f t="shared" si="1"/>
        <v>4554.065455076</v>
      </c>
      <c r="Y15" s="80">
        <v>69</v>
      </c>
      <c r="Z15" s="81">
        <f t="shared" si="8"/>
        <v>66.000948624289862</v>
      </c>
    </row>
    <row r="16" spans="1:27" x14ac:dyDescent="0.25">
      <c r="A16" s="10" t="s">
        <v>117</v>
      </c>
      <c r="B16" s="59">
        <f t="shared" si="9"/>
        <v>8</v>
      </c>
      <c r="C16" s="76">
        <v>5411869</v>
      </c>
      <c r="D16" s="61">
        <f t="shared" si="2"/>
        <v>3942</v>
      </c>
      <c r="E16" s="76">
        <v>5364880</v>
      </c>
      <c r="F16" s="61">
        <f t="shared" si="10"/>
        <v>3948</v>
      </c>
      <c r="G16" s="76">
        <v>5069878</v>
      </c>
      <c r="H16" s="61">
        <f t="shared" si="3"/>
        <v>3679</v>
      </c>
      <c r="I16" s="60">
        <f t="shared" si="4"/>
        <v>11569</v>
      </c>
      <c r="J16" s="64">
        <v>0.99</v>
      </c>
      <c r="K16" s="65">
        <f t="shared" si="5"/>
        <v>2903.819</v>
      </c>
      <c r="L16" s="66"/>
      <c r="M16" s="77">
        <v>142351</v>
      </c>
      <c r="N16" s="61">
        <f t="shared" si="11"/>
        <v>89</v>
      </c>
      <c r="O16" s="76">
        <v>2236364</v>
      </c>
      <c r="P16" s="61">
        <f t="shared" si="12"/>
        <v>713</v>
      </c>
      <c r="Q16" s="67">
        <f t="shared" si="0"/>
        <v>802</v>
      </c>
      <c r="R16" s="68">
        <f t="shared" si="6"/>
        <v>466.356897188</v>
      </c>
      <c r="S16" s="69"/>
      <c r="T16" s="83">
        <v>264821</v>
      </c>
      <c r="U16" s="61">
        <f t="shared" si="13"/>
        <v>298</v>
      </c>
      <c r="V16" s="71">
        <f t="shared" si="7"/>
        <v>850.79</v>
      </c>
      <c r="W16" s="72"/>
      <c r="X16" s="79">
        <f t="shared" si="1"/>
        <v>4220.9658971879999</v>
      </c>
      <c r="Y16" s="80">
        <v>60</v>
      </c>
      <c r="Z16" s="81">
        <f t="shared" si="8"/>
        <v>70.349431619800001</v>
      </c>
    </row>
    <row r="17" spans="1:26" x14ac:dyDescent="0.25">
      <c r="A17" s="10" t="s">
        <v>118</v>
      </c>
      <c r="B17" s="59">
        <v>9</v>
      </c>
      <c r="C17" s="84">
        <v>5415721</v>
      </c>
      <c r="D17" s="61">
        <f t="shared" si="2"/>
        <v>3852</v>
      </c>
      <c r="E17" s="84">
        <v>5368745</v>
      </c>
      <c r="F17" s="61">
        <f t="shared" si="10"/>
        <v>3865</v>
      </c>
      <c r="G17" s="84">
        <v>5073241</v>
      </c>
      <c r="H17" s="61">
        <f t="shared" si="3"/>
        <v>3363</v>
      </c>
      <c r="I17" s="60">
        <f t="shared" si="4"/>
        <v>11080</v>
      </c>
      <c r="J17" s="64">
        <v>0.99</v>
      </c>
      <c r="K17" s="65">
        <f t="shared" si="5"/>
        <v>2781.08</v>
      </c>
      <c r="L17" s="66"/>
      <c r="M17" s="84">
        <v>142481</v>
      </c>
      <c r="N17" s="61">
        <f t="shared" si="11"/>
        <v>130</v>
      </c>
      <c r="O17" s="84">
        <v>2237101</v>
      </c>
      <c r="P17" s="61">
        <f t="shared" si="12"/>
        <v>737</v>
      </c>
      <c r="Q17" s="67">
        <f t="shared" si="0"/>
        <v>867</v>
      </c>
      <c r="R17" s="68">
        <f t="shared" si="6"/>
        <v>508.53216596000004</v>
      </c>
      <c r="S17" s="69"/>
      <c r="T17" s="85">
        <v>265041</v>
      </c>
      <c r="U17" s="61">
        <f t="shared" si="13"/>
        <v>220</v>
      </c>
      <c r="V17" s="71">
        <f t="shared" si="7"/>
        <v>628.1</v>
      </c>
      <c r="W17" s="72"/>
      <c r="X17" s="79">
        <f t="shared" si="1"/>
        <v>3917.7121659599998</v>
      </c>
      <c r="Y17" s="80">
        <v>56</v>
      </c>
      <c r="Z17" s="81">
        <f t="shared" si="8"/>
        <v>69.959145820714284</v>
      </c>
    </row>
    <row r="18" spans="1:26" x14ac:dyDescent="0.25">
      <c r="A18" s="10" t="s">
        <v>119</v>
      </c>
      <c r="B18" s="86">
        <f t="shared" si="9"/>
        <v>10</v>
      </c>
      <c r="C18" s="84">
        <v>5419460</v>
      </c>
      <c r="D18" s="61">
        <f t="shared" si="2"/>
        <v>3739</v>
      </c>
      <c r="E18" s="76">
        <v>5372528</v>
      </c>
      <c r="F18" s="61">
        <f t="shared" si="10"/>
        <v>3783</v>
      </c>
      <c r="G18" s="76">
        <v>5076990</v>
      </c>
      <c r="H18" s="61">
        <f t="shared" si="3"/>
        <v>3749</v>
      </c>
      <c r="I18" s="60">
        <f t="shared" si="4"/>
        <v>11271</v>
      </c>
      <c r="J18" s="64">
        <v>0.99</v>
      </c>
      <c r="K18" s="65">
        <f t="shared" si="5"/>
        <v>2829.0210000000002</v>
      </c>
      <c r="L18" s="87"/>
      <c r="M18" s="77">
        <v>142605</v>
      </c>
      <c r="N18" s="61">
        <f t="shared" si="11"/>
        <v>124</v>
      </c>
      <c r="O18" s="76">
        <v>2237891</v>
      </c>
      <c r="P18" s="61">
        <f t="shared" si="12"/>
        <v>790</v>
      </c>
      <c r="Q18" s="67">
        <f t="shared" si="0"/>
        <v>914</v>
      </c>
      <c r="R18" s="68">
        <f t="shared" si="6"/>
        <v>534.40891940800009</v>
      </c>
      <c r="S18" s="88"/>
      <c r="T18" s="83">
        <v>265403</v>
      </c>
      <c r="U18" s="61">
        <f t="shared" si="13"/>
        <v>362</v>
      </c>
      <c r="V18" s="71">
        <f t="shared" si="7"/>
        <v>1033.51</v>
      </c>
      <c r="W18" s="72"/>
      <c r="X18" s="79">
        <f t="shared" si="1"/>
        <v>4396.9399194080006</v>
      </c>
      <c r="Y18" s="80">
        <v>59</v>
      </c>
      <c r="Z18" s="89">
        <f t="shared" si="8"/>
        <v>74.524405413694922</v>
      </c>
    </row>
    <row r="19" spans="1:26" x14ac:dyDescent="0.25">
      <c r="A19" s="10" t="s">
        <v>120</v>
      </c>
      <c r="B19" s="90">
        <f t="shared" si="9"/>
        <v>11</v>
      </c>
      <c r="C19" s="76">
        <v>5423285</v>
      </c>
      <c r="D19" s="61">
        <f t="shared" si="2"/>
        <v>3825</v>
      </c>
      <c r="E19" s="76">
        <v>5376394</v>
      </c>
      <c r="F19" s="61">
        <f t="shared" si="10"/>
        <v>3866</v>
      </c>
      <c r="G19" s="76">
        <v>5080583</v>
      </c>
      <c r="H19" s="61">
        <f t="shared" si="3"/>
        <v>3593</v>
      </c>
      <c r="I19" s="60">
        <f t="shared" si="4"/>
        <v>11284</v>
      </c>
      <c r="J19" s="64">
        <v>0.99</v>
      </c>
      <c r="K19" s="65">
        <f t="shared" si="5"/>
        <v>2832.2840000000001</v>
      </c>
      <c r="L19" s="66"/>
      <c r="M19" s="77">
        <v>142737</v>
      </c>
      <c r="N19" s="61">
        <f t="shared" si="11"/>
        <v>132</v>
      </c>
      <c r="O19" s="91">
        <v>2238766</v>
      </c>
      <c r="P19" s="61">
        <f t="shared" si="12"/>
        <v>875</v>
      </c>
      <c r="Q19" s="67">
        <f t="shared" si="0"/>
        <v>1007</v>
      </c>
      <c r="R19" s="68">
        <f t="shared" si="6"/>
        <v>588.18701614400015</v>
      </c>
      <c r="S19" s="69"/>
      <c r="T19" s="92">
        <v>265626</v>
      </c>
      <c r="U19" s="61">
        <f t="shared" si="13"/>
        <v>223</v>
      </c>
      <c r="V19" s="71">
        <f t="shared" si="7"/>
        <v>636.66499999999996</v>
      </c>
      <c r="W19" s="72"/>
      <c r="X19" s="79">
        <f t="shared" si="1"/>
        <v>4057.1360161440002</v>
      </c>
      <c r="Y19" s="80">
        <v>100</v>
      </c>
      <c r="Z19" s="75">
        <f t="shared" si="8"/>
        <v>40.571360161440005</v>
      </c>
    </row>
    <row r="20" spans="1:26" x14ac:dyDescent="0.25">
      <c r="A20" s="10" t="s">
        <v>121</v>
      </c>
      <c r="B20" s="59">
        <f t="shared" si="9"/>
        <v>12</v>
      </c>
      <c r="C20" s="76">
        <v>5427353</v>
      </c>
      <c r="D20" s="61">
        <f t="shared" si="2"/>
        <v>4068</v>
      </c>
      <c r="E20" s="76">
        <v>5380485</v>
      </c>
      <c r="F20" s="61">
        <f t="shared" si="10"/>
        <v>4091</v>
      </c>
      <c r="G20" s="76">
        <v>5084371</v>
      </c>
      <c r="H20" s="61">
        <f t="shared" si="3"/>
        <v>3788</v>
      </c>
      <c r="I20" s="60">
        <f t="shared" si="4"/>
        <v>11947</v>
      </c>
      <c r="J20" s="64">
        <v>0.99</v>
      </c>
      <c r="K20" s="65">
        <f t="shared" si="5"/>
        <v>2998.6970000000001</v>
      </c>
      <c r="L20" s="66"/>
      <c r="M20" s="77">
        <v>142881</v>
      </c>
      <c r="N20" s="61">
        <f t="shared" si="11"/>
        <v>144</v>
      </c>
      <c r="O20" s="76">
        <v>2239588</v>
      </c>
      <c r="P20" s="61">
        <f t="shared" si="12"/>
        <v>822</v>
      </c>
      <c r="Q20" s="67">
        <f t="shared" si="0"/>
        <v>966</v>
      </c>
      <c r="R20" s="68">
        <f t="shared" si="6"/>
        <v>566.49044524800013</v>
      </c>
      <c r="S20" s="69"/>
      <c r="T20" s="83">
        <v>265806</v>
      </c>
      <c r="U20" s="61">
        <f t="shared" si="13"/>
        <v>180</v>
      </c>
      <c r="V20" s="71">
        <f t="shared" si="7"/>
        <v>513.9</v>
      </c>
      <c r="W20" s="72"/>
      <c r="X20" s="79">
        <f t="shared" si="1"/>
        <v>4079.0874452480002</v>
      </c>
      <c r="Y20" s="80">
        <v>108</v>
      </c>
      <c r="Z20" s="81">
        <f t="shared" si="8"/>
        <v>37.769328196740744</v>
      </c>
    </row>
    <row r="21" spans="1:26" x14ac:dyDescent="0.25">
      <c r="A21" s="10" t="s">
        <v>96</v>
      </c>
      <c r="B21" s="59">
        <f t="shared" si="9"/>
        <v>13</v>
      </c>
      <c r="C21" s="84">
        <v>5431517</v>
      </c>
      <c r="D21" s="61">
        <f t="shared" si="2"/>
        <v>4164</v>
      </c>
      <c r="E21" s="76">
        <v>5384664</v>
      </c>
      <c r="F21" s="61">
        <f t="shared" si="10"/>
        <v>4179</v>
      </c>
      <c r="G21" s="76">
        <v>5088240</v>
      </c>
      <c r="H21" s="61">
        <f t="shared" si="3"/>
        <v>3869</v>
      </c>
      <c r="I21" s="60">
        <f t="shared" si="4"/>
        <v>12212</v>
      </c>
      <c r="J21" s="64">
        <v>0.99</v>
      </c>
      <c r="K21" s="65">
        <f t="shared" si="5"/>
        <v>3065.212</v>
      </c>
      <c r="L21" s="66"/>
      <c r="M21" s="77">
        <v>143017</v>
      </c>
      <c r="N21" s="61">
        <f t="shared" si="11"/>
        <v>136</v>
      </c>
      <c r="O21" s="76">
        <v>2240435</v>
      </c>
      <c r="P21" s="61">
        <f t="shared" si="12"/>
        <v>847</v>
      </c>
      <c r="Q21" s="67">
        <f t="shared" si="0"/>
        <v>983</v>
      </c>
      <c r="R21" s="68">
        <f t="shared" si="6"/>
        <v>575.09466851200011</v>
      </c>
      <c r="S21" s="69"/>
      <c r="T21" s="83">
        <v>266017</v>
      </c>
      <c r="U21" s="61">
        <f t="shared" si="13"/>
        <v>211</v>
      </c>
      <c r="V21" s="71">
        <f t="shared" si="7"/>
        <v>602.40499999999997</v>
      </c>
      <c r="W21" s="72"/>
      <c r="X21" s="79">
        <f t="shared" si="1"/>
        <v>4242.711668512</v>
      </c>
      <c r="Y21" s="80">
        <v>110</v>
      </c>
      <c r="Z21" s="81">
        <f t="shared" si="8"/>
        <v>38.570106077381816</v>
      </c>
    </row>
    <row r="22" spans="1:26" x14ac:dyDescent="0.25">
      <c r="A22" s="10" t="s">
        <v>116</v>
      </c>
      <c r="B22" s="59">
        <f t="shared" si="9"/>
        <v>14</v>
      </c>
      <c r="C22" s="84">
        <v>5435813</v>
      </c>
      <c r="D22" s="61">
        <f t="shared" si="2"/>
        <v>4296</v>
      </c>
      <c r="E22" s="76">
        <v>5388981</v>
      </c>
      <c r="F22" s="61">
        <f t="shared" si="10"/>
        <v>4317</v>
      </c>
      <c r="G22" s="76">
        <v>5092229</v>
      </c>
      <c r="H22" s="61">
        <f t="shared" si="3"/>
        <v>3989</v>
      </c>
      <c r="I22" s="60">
        <f t="shared" si="4"/>
        <v>12602</v>
      </c>
      <c r="J22" s="64">
        <v>0.99</v>
      </c>
      <c r="K22" s="65">
        <f t="shared" si="5"/>
        <v>3163.1019999999999</v>
      </c>
      <c r="L22" s="66"/>
      <c r="M22" s="77">
        <v>143158</v>
      </c>
      <c r="N22" s="61">
        <f t="shared" si="11"/>
        <v>141</v>
      </c>
      <c r="O22" s="76">
        <v>2241258</v>
      </c>
      <c r="P22" s="61">
        <f t="shared" si="12"/>
        <v>823</v>
      </c>
      <c r="Q22" s="67">
        <f t="shared" si="0"/>
        <v>964</v>
      </c>
      <c r="R22" s="68">
        <f t="shared" si="6"/>
        <v>564.96746597200001</v>
      </c>
      <c r="S22" s="69"/>
      <c r="T22" s="83">
        <v>266201</v>
      </c>
      <c r="U22" s="61">
        <f t="shared" si="13"/>
        <v>184</v>
      </c>
      <c r="V22" s="71">
        <f t="shared" si="7"/>
        <v>525.32000000000005</v>
      </c>
      <c r="W22" s="72"/>
      <c r="X22" s="79">
        <f t="shared" si="1"/>
        <v>4253.3894659719999</v>
      </c>
      <c r="Y22" s="80">
        <v>106</v>
      </c>
      <c r="Z22" s="81">
        <f t="shared" si="8"/>
        <v>40.126315716716981</v>
      </c>
    </row>
    <row r="23" spans="1:26" x14ac:dyDescent="0.25">
      <c r="A23" s="10" t="s">
        <v>117</v>
      </c>
      <c r="B23" s="59">
        <f t="shared" si="9"/>
        <v>15</v>
      </c>
      <c r="C23" s="76">
        <v>5439870</v>
      </c>
      <c r="D23" s="61">
        <f t="shared" si="2"/>
        <v>4057</v>
      </c>
      <c r="E23" s="76">
        <v>5393034</v>
      </c>
      <c r="F23" s="61">
        <f t="shared" si="10"/>
        <v>4053</v>
      </c>
      <c r="G23" s="76">
        <v>5095994</v>
      </c>
      <c r="H23" s="61">
        <f t="shared" si="3"/>
        <v>3765</v>
      </c>
      <c r="I23" s="60">
        <f t="shared" si="4"/>
        <v>11875</v>
      </c>
      <c r="J23" s="64">
        <v>0.99</v>
      </c>
      <c r="K23" s="65">
        <f t="shared" si="5"/>
        <v>2980.625</v>
      </c>
      <c r="L23" s="66"/>
      <c r="M23" s="77">
        <v>143260</v>
      </c>
      <c r="N23" s="61">
        <f t="shared" si="11"/>
        <v>102</v>
      </c>
      <c r="O23" s="76">
        <v>2242050</v>
      </c>
      <c r="P23" s="61">
        <f t="shared" si="12"/>
        <v>792</v>
      </c>
      <c r="Q23" s="67">
        <f t="shared" si="0"/>
        <v>894</v>
      </c>
      <c r="R23" s="68">
        <f t="shared" si="6"/>
        <v>520.21580738400007</v>
      </c>
      <c r="S23" s="69"/>
      <c r="T23" s="83">
        <v>266321</v>
      </c>
      <c r="U23" s="61">
        <f t="shared" si="13"/>
        <v>120</v>
      </c>
      <c r="V23" s="71">
        <f t="shared" si="7"/>
        <v>342.6</v>
      </c>
      <c r="W23" s="72"/>
      <c r="X23" s="79">
        <f t="shared" si="1"/>
        <v>3843.440807384</v>
      </c>
      <c r="Y23" s="80">
        <v>70</v>
      </c>
      <c r="Z23" s="81">
        <f t="shared" si="8"/>
        <v>54.90629724834286</v>
      </c>
    </row>
    <row r="24" spans="1:26" x14ac:dyDescent="0.25">
      <c r="A24" s="10" t="s">
        <v>118</v>
      </c>
      <c r="B24" s="59">
        <f t="shared" si="9"/>
        <v>16</v>
      </c>
      <c r="C24" s="76">
        <v>5444057</v>
      </c>
      <c r="D24" s="61">
        <f t="shared" si="2"/>
        <v>4187</v>
      </c>
      <c r="E24" s="76">
        <v>5397224</v>
      </c>
      <c r="F24" s="61">
        <f t="shared" si="10"/>
        <v>4190</v>
      </c>
      <c r="G24" s="76">
        <v>5099900</v>
      </c>
      <c r="H24" s="61">
        <f t="shared" si="3"/>
        <v>3906</v>
      </c>
      <c r="I24" s="60">
        <f t="shared" si="4"/>
        <v>12283</v>
      </c>
      <c r="J24" s="64">
        <v>0.99</v>
      </c>
      <c r="K24" s="65">
        <f t="shared" si="5"/>
        <v>3083.0329999999999</v>
      </c>
      <c r="L24" s="66"/>
      <c r="M24" s="77">
        <v>143373</v>
      </c>
      <c r="N24" s="61">
        <f t="shared" si="11"/>
        <v>113</v>
      </c>
      <c r="O24" s="76">
        <v>2242871</v>
      </c>
      <c r="P24" s="61">
        <f t="shared" si="12"/>
        <v>821</v>
      </c>
      <c r="Q24" s="67">
        <f t="shared" si="0"/>
        <v>934</v>
      </c>
      <c r="R24" s="68">
        <f t="shared" si="6"/>
        <v>544.32572339600006</v>
      </c>
      <c r="S24" s="69"/>
      <c r="T24" s="83">
        <v>266715</v>
      </c>
      <c r="U24" s="61">
        <f t="shared" si="13"/>
        <v>394</v>
      </c>
      <c r="V24" s="71">
        <f t="shared" si="7"/>
        <v>1124.8699999999999</v>
      </c>
      <c r="W24" s="72"/>
      <c r="X24" s="79">
        <f t="shared" si="1"/>
        <v>4752.2287233959996</v>
      </c>
      <c r="Y24" s="80">
        <v>104</v>
      </c>
      <c r="Z24" s="81">
        <f t="shared" si="8"/>
        <v>45.694506955730766</v>
      </c>
    </row>
    <row r="25" spans="1:26" x14ac:dyDescent="0.25">
      <c r="A25" s="10" t="s">
        <v>119</v>
      </c>
      <c r="B25" s="59">
        <f t="shared" si="9"/>
        <v>17</v>
      </c>
      <c r="C25" s="76">
        <v>5448743</v>
      </c>
      <c r="D25" s="61">
        <f t="shared" si="2"/>
        <v>4686</v>
      </c>
      <c r="E25" s="76">
        <v>5401901</v>
      </c>
      <c r="F25" s="61">
        <f t="shared" si="10"/>
        <v>4677</v>
      </c>
      <c r="G25" s="76">
        <v>5104295</v>
      </c>
      <c r="H25" s="61">
        <f t="shared" si="3"/>
        <v>4395</v>
      </c>
      <c r="I25" s="60">
        <f t="shared" si="4"/>
        <v>13758</v>
      </c>
      <c r="J25" s="64">
        <v>0.99</v>
      </c>
      <c r="K25" s="65">
        <f t="shared" si="5"/>
        <v>3453.2579999999998</v>
      </c>
      <c r="L25" s="66"/>
      <c r="M25" s="77">
        <v>143509</v>
      </c>
      <c r="N25" s="61">
        <f t="shared" si="11"/>
        <v>136</v>
      </c>
      <c r="O25" s="76">
        <v>2243714</v>
      </c>
      <c r="P25" s="61">
        <f t="shared" si="12"/>
        <v>843</v>
      </c>
      <c r="Q25" s="67">
        <f t="shared" si="0"/>
        <v>979</v>
      </c>
      <c r="R25" s="68">
        <f t="shared" si="6"/>
        <v>572.82622051200008</v>
      </c>
      <c r="S25" s="69"/>
      <c r="T25" s="83">
        <v>267038</v>
      </c>
      <c r="U25" s="61">
        <f t="shared" si="13"/>
        <v>323</v>
      </c>
      <c r="V25" s="71">
        <f t="shared" si="7"/>
        <v>922.16499999999996</v>
      </c>
      <c r="W25" s="72"/>
      <c r="X25" s="79">
        <f t="shared" si="1"/>
        <v>4948.2492205119997</v>
      </c>
      <c r="Y25" s="80">
        <v>95</v>
      </c>
      <c r="Z25" s="81">
        <f t="shared" si="8"/>
        <v>52.086833900126315</v>
      </c>
    </row>
    <row r="26" spans="1:26" x14ac:dyDescent="0.25">
      <c r="A26" s="10" t="s">
        <v>120</v>
      </c>
      <c r="B26" s="59">
        <f t="shared" si="9"/>
        <v>18</v>
      </c>
      <c r="C26" s="76">
        <v>5453991</v>
      </c>
      <c r="D26" s="61">
        <f t="shared" si="2"/>
        <v>5248</v>
      </c>
      <c r="E26" s="76">
        <v>5407136</v>
      </c>
      <c r="F26" s="61">
        <f t="shared" si="10"/>
        <v>5235</v>
      </c>
      <c r="G26" s="76">
        <v>5109224</v>
      </c>
      <c r="H26" s="61">
        <f t="shared" si="3"/>
        <v>4929</v>
      </c>
      <c r="I26" s="60">
        <f t="shared" si="4"/>
        <v>15412</v>
      </c>
      <c r="J26" s="64">
        <v>0.99</v>
      </c>
      <c r="K26" s="65">
        <f t="shared" si="5"/>
        <v>3868.4119999999998</v>
      </c>
      <c r="L26" s="66"/>
      <c r="M26" s="77">
        <v>143649</v>
      </c>
      <c r="N26" s="61">
        <f t="shared" si="11"/>
        <v>140</v>
      </c>
      <c r="O26" s="76">
        <v>2244558</v>
      </c>
      <c r="P26" s="61">
        <f t="shared" si="12"/>
        <v>844</v>
      </c>
      <c r="Q26" s="67">
        <f t="shared" si="0"/>
        <v>984</v>
      </c>
      <c r="R26" s="68">
        <f t="shared" si="6"/>
        <v>576.18012088</v>
      </c>
      <c r="S26" s="69"/>
      <c r="T26" s="83">
        <v>267193</v>
      </c>
      <c r="U26" s="61">
        <f t="shared" si="13"/>
        <v>155</v>
      </c>
      <c r="V26" s="71">
        <f t="shared" si="7"/>
        <v>442.52499999999998</v>
      </c>
      <c r="W26" s="72"/>
      <c r="X26" s="79">
        <f t="shared" si="1"/>
        <v>4887.1171208799997</v>
      </c>
      <c r="Y26" s="80">
        <v>105</v>
      </c>
      <c r="Z26" s="81">
        <f t="shared" si="8"/>
        <v>46.54397257980952</v>
      </c>
    </row>
    <row r="27" spans="1:26" x14ac:dyDescent="0.25">
      <c r="A27" s="10" t="s">
        <v>121</v>
      </c>
      <c r="B27" s="59">
        <f t="shared" si="9"/>
        <v>19</v>
      </c>
      <c r="C27" s="76">
        <v>5458783</v>
      </c>
      <c r="D27" s="61">
        <f t="shared" si="2"/>
        <v>4792</v>
      </c>
      <c r="E27" s="76">
        <v>5411957</v>
      </c>
      <c r="F27" s="61">
        <f t="shared" si="10"/>
        <v>4821</v>
      </c>
      <c r="G27" s="76">
        <v>5113600</v>
      </c>
      <c r="H27" s="61">
        <f t="shared" si="3"/>
        <v>4376</v>
      </c>
      <c r="I27" s="60">
        <f t="shared" si="4"/>
        <v>13989</v>
      </c>
      <c r="J27" s="64">
        <v>0.99</v>
      </c>
      <c r="K27" s="65">
        <f t="shared" si="5"/>
        <v>3511.239</v>
      </c>
      <c r="L27" s="93"/>
      <c r="M27" s="77">
        <v>143784</v>
      </c>
      <c r="N27" s="61">
        <f t="shared" si="11"/>
        <v>135</v>
      </c>
      <c r="O27" s="76">
        <v>2245380</v>
      </c>
      <c r="P27" s="61">
        <f t="shared" si="12"/>
        <v>822</v>
      </c>
      <c r="Q27" s="67">
        <f t="shared" si="0"/>
        <v>957</v>
      </c>
      <c r="R27" s="68">
        <f t="shared" si="6"/>
        <v>560.22017142000004</v>
      </c>
      <c r="S27" s="69"/>
      <c r="T27" s="83">
        <v>267517</v>
      </c>
      <c r="U27" s="61">
        <f t="shared" si="13"/>
        <v>324</v>
      </c>
      <c r="V27" s="71">
        <f t="shared" si="7"/>
        <v>925.02</v>
      </c>
      <c r="W27" s="72"/>
      <c r="X27" s="79">
        <f t="shared" si="1"/>
        <v>4996.4791714200001</v>
      </c>
      <c r="Y27" s="80">
        <v>99</v>
      </c>
      <c r="Z27" s="81">
        <f t="shared" si="8"/>
        <v>50.469486580000002</v>
      </c>
    </row>
    <row r="28" spans="1:26" x14ac:dyDescent="0.25">
      <c r="A28" s="10" t="s">
        <v>96</v>
      </c>
      <c r="B28" s="86">
        <f t="shared" si="9"/>
        <v>20</v>
      </c>
      <c r="C28" s="84">
        <v>5463698</v>
      </c>
      <c r="D28" s="61">
        <f t="shared" si="2"/>
        <v>4915</v>
      </c>
      <c r="E28" s="84">
        <v>5416877</v>
      </c>
      <c r="F28" s="61">
        <f t="shared" si="10"/>
        <v>4920</v>
      </c>
      <c r="G28" s="84">
        <v>5118281</v>
      </c>
      <c r="H28" s="61">
        <f t="shared" si="3"/>
        <v>4681</v>
      </c>
      <c r="I28" s="60">
        <f t="shared" si="4"/>
        <v>14516</v>
      </c>
      <c r="J28" s="64">
        <v>0.99</v>
      </c>
      <c r="K28" s="65">
        <f t="shared" si="5"/>
        <v>3643.5160000000001</v>
      </c>
      <c r="L28" s="94"/>
      <c r="M28" s="77">
        <v>143920</v>
      </c>
      <c r="N28" s="61">
        <f t="shared" si="11"/>
        <v>136</v>
      </c>
      <c r="O28" s="76">
        <v>2246159</v>
      </c>
      <c r="P28" s="61">
        <f t="shared" si="12"/>
        <v>779</v>
      </c>
      <c r="Q28" s="67">
        <f t="shared" si="0"/>
        <v>915</v>
      </c>
      <c r="R28" s="68">
        <f t="shared" si="6"/>
        <v>536.53105251200009</v>
      </c>
      <c r="S28" s="76"/>
      <c r="T28" s="83">
        <v>267875</v>
      </c>
      <c r="U28" s="61">
        <f t="shared" si="13"/>
        <v>358</v>
      </c>
      <c r="V28" s="71">
        <f t="shared" si="7"/>
        <v>1022.09</v>
      </c>
      <c r="W28" s="72"/>
      <c r="X28" s="95">
        <f t="shared" si="1"/>
        <v>5202.1370525120001</v>
      </c>
      <c r="Y28" s="80">
        <v>118</v>
      </c>
      <c r="Z28" s="89">
        <f t="shared" si="8"/>
        <v>44.085907224677968</v>
      </c>
    </row>
    <row r="29" spans="1:26" x14ac:dyDescent="0.25">
      <c r="A29" s="10" t="s">
        <v>116</v>
      </c>
      <c r="B29" s="90">
        <f t="shared" si="9"/>
        <v>21</v>
      </c>
      <c r="C29" s="76">
        <v>5468871</v>
      </c>
      <c r="D29" s="61">
        <f t="shared" si="2"/>
        <v>5173</v>
      </c>
      <c r="E29" s="76">
        <v>5422254</v>
      </c>
      <c r="F29" s="61">
        <f t="shared" si="10"/>
        <v>5377</v>
      </c>
      <c r="G29" s="76">
        <v>5122688</v>
      </c>
      <c r="H29" s="61">
        <f t="shared" si="3"/>
        <v>4407</v>
      </c>
      <c r="I29" s="60">
        <f t="shared" si="4"/>
        <v>14957</v>
      </c>
      <c r="J29" s="64">
        <v>0.99</v>
      </c>
      <c r="K29" s="65">
        <f t="shared" si="5"/>
        <v>3754.2069999999999</v>
      </c>
      <c r="L29" s="66"/>
      <c r="M29" s="77">
        <v>144050</v>
      </c>
      <c r="N29" s="61">
        <f t="shared" si="11"/>
        <v>130</v>
      </c>
      <c r="O29" s="76">
        <v>2246871</v>
      </c>
      <c r="P29" s="61">
        <f t="shared" si="12"/>
        <v>712</v>
      </c>
      <c r="Q29" s="67">
        <f t="shared" si="0"/>
        <v>842</v>
      </c>
      <c r="R29" s="68">
        <f t="shared" si="6"/>
        <v>494.35436596</v>
      </c>
      <c r="S29" s="69"/>
      <c r="T29" s="83">
        <v>268202</v>
      </c>
      <c r="U29" s="61">
        <f t="shared" si="13"/>
        <v>327</v>
      </c>
      <c r="V29" s="71">
        <f t="shared" si="7"/>
        <v>933.58500000000004</v>
      </c>
      <c r="W29" s="72"/>
      <c r="X29" s="73">
        <f t="shared" si="1"/>
        <v>5182.1463659600004</v>
      </c>
      <c r="Y29" s="80">
        <v>105</v>
      </c>
      <c r="Z29" s="75">
        <f t="shared" si="8"/>
        <v>49.353774913904765</v>
      </c>
    </row>
    <row r="30" spans="1:26" x14ac:dyDescent="0.25">
      <c r="A30" s="10" t="s">
        <v>117</v>
      </c>
      <c r="B30" s="59">
        <f t="shared" si="9"/>
        <v>22</v>
      </c>
      <c r="C30" s="76">
        <v>5473411</v>
      </c>
      <c r="D30" s="61">
        <f t="shared" si="2"/>
        <v>4540</v>
      </c>
      <c r="E30" s="76">
        <v>5426560</v>
      </c>
      <c r="F30" s="61">
        <f t="shared" si="10"/>
        <v>4306</v>
      </c>
      <c r="G30" s="76">
        <v>5127405</v>
      </c>
      <c r="H30" s="61">
        <f t="shared" si="3"/>
        <v>4717</v>
      </c>
      <c r="I30" s="60">
        <f t="shared" si="4"/>
        <v>13563</v>
      </c>
      <c r="J30" s="64">
        <v>0.99</v>
      </c>
      <c r="K30" s="65">
        <f t="shared" si="5"/>
        <v>3404.3130000000001</v>
      </c>
      <c r="L30" s="66"/>
      <c r="M30" s="77">
        <v>144183</v>
      </c>
      <c r="N30" s="61">
        <f t="shared" si="11"/>
        <v>133</v>
      </c>
      <c r="O30" s="76">
        <v>2247760</v>
      </c>
      <c r="P30" s="61">
        <f t="shared" si="12"/>
        <v>889</v>
      </c>
      <c r="Q30" s="67">
        <f t="shared" si="0"/>
        <v>1022</v>
      </c>
      <c r="R30" s="68">
        <f t="shared" si="6"/>
        <v>596.82328123599996</v>
      </c>
      <c r="S30" s="69"/>
      <c r="T30" s="83">
        <v>268581</v>
      </c>
      <c r="U30" s="61">
        <f t="shared" si="13"/>
        <v>379</v>
      </c>
      <c r="V30" s="71">
        <f t="shared" si="7"/>
        <v>1082.0450000000001</v>
      </c>
      <c r="W30" s="72"/>
      <c r="X30" s="79">
        <f t="shared" si="1"/>
        <v>5083.1812812360004</v>
      </c>
      <c r="Y30" s="80">
        <v>92</v>
      </c>
      <c r="Z30" s="81">
        <f t="shared" si="8"/>
        <v>55.251970448217392</v>
      </c>
    </row>
    <row r="31" spans="1:26" x14ac:dyDescent="0.25">
      <c r="A31" s="10" t="s">
        <v>118</v>
      </c>
      <c r="B31" s="59">
        <f t="shared" si="9"/>
        <v>23</v>
      </c>
      <c r="C31" s="76">
        <v>5477939</v>
      </c>
      <c r="D31" s="61">
        <f t="shared" si="2"/>
        <v>4528</v>
      </c>
      <c r="E31" s="76">
        <v>5431071</v>
      </c>
      <c r="F31" s="61">
        <f t="shared" si="10"/>
        <v>4511</v>
      </c>
      <c r="G31" s="76">
        <v>5131676</v>
      </c>
      <c r="H31" s="61">
        <f t="shared" si="3"/>
        <v>4271</v>
      </c>
      <c r="I31" s="60">
        <f t="shared" si="4"/>
        <v>13310</v>
      </c>
      <c r="J31" s="64">
        <v>0.99</v>
      </c>
      <c r="K31" s="65">
        <f t="shared" si="5"/>
        <v>3340.81</v>
      </c>
      <c r="L31" s="66"/>
      <c r="M31" s="77">
        <v>144309</v>
      </c>
      <c r="N31" s="61">
        <f t="shared" si="11"/>
        <v>126</v>
      </c>
      <c r="O31" s="76">
        <v>2248607</v>
      </c>
      <c r="P31" s="61">
        <f t="shared" si="12"/>
        <v>847</v>
      </c>
      <c r="Q31" s="67">
        <f t="shared" si="0"/>
        <v>973</v>
      </c>
      <c r="R31" s="68">
        <f t="shared" si="6"/>
        <v>568.127697592</v>
      </c>
      <c r="S31" s="69"/>
      <c r="T31" s="83">
        <v>269010</v>
      </c>
      <c r="U31" s="61">
        <f t="shared" si="13"/>
        <v>429</v>
      </c>
      <c r="V31" s="71">
        <f t="shared" si="7"/>
        <v>1224.7950000000001</v>
      </c>
      <c r="W31" s="72"/>
      <c r="X31" s="96">
        <f t="shared" si="1"/>
        <v>5133.7326975920005</v>
      </c>
      <c r="Y31" s="80">
        <v>78</v>
      </c>
      <c r="Z31" s="81">
        <f t="shared" si="8"/>
        <v>65.817085866564113</v>
      </c>
    </row>
    <row r="32" spans="1:26" x14ac:dyDescent="0.25">
      <c r="A32" s="10" t="s">
        <v>119</v>
      </c>
      <c r="B32" s="59">
        <f t="shared" si="9"/>
        <v>24</v>
      </c>
      <c r="C32" s="76">
        <v>5482686</v>
      </c>
      <c r="D32" s="61">
        <f t="shared" si="2"/>
        <v>4747</v>
      </c>
      <c r="E32" s="76">
        <v>5435772</v>
      </c>
      <c r="F32" s="61">
        <f t="shared" si="10"/>
        <v>4701</v>
      </c>
      <c r="G32" s="76">
        <v>5136124</v>
      </c>
      <c r="H32" s="61">
        <f t="shared" si="3"/>
        <v>4448</v>
      </c>
      <c r="I32" s="60">
        <f t="shared" si="4"/>
        <v>13896</v>
      </c>
      <c r="J32" s="64">
        <v>0.99</v>
      </c>
      <c r="K32" s="65">
        <f t="shared" si="5"/>
        <v>3487.8960000000002</v>
      </c>
      <c r="L32" s="66"/>
      <c r="M32" s="77">
        <v>144424</v>
      </c>
      <c r="N32" s="61">
        <f t="shared" si="11"/>
        <v>115</v>
      </c>
      <c r="O32" s="76">
        <v>2249433</v>
      </c>
      <c r="P32" s="61">
        <f t="shared" si="12"/>
        <v>826</v>
      </c>
      <c r="Q32" s="67">
        <f t="shared" si="0"/>
        <v>941</v>
      </c>
      <c r="R32" s="68">
        <f t="shared" si="6"/>
        <v>548.55467758000009</v>
      </c>
      <c r="S32" s="69"/>
      <c r="T32" s="83">
        <v>269445</v>
      </c>
      <c r="U32" s="61">
        <f t="shared" si="13"/>
        <v>435</v>
      </c>
      <c r="V32" s="71">
        <f t="shared" si="7"/>
        <v>1241.925</v>
      </c>
      <c r="W32" s="72"/>
      <c r="X32" s="96">
        <f t="shared" si="1"/>
        <v>5278.3756775800002</v>
      </c>
      <c r="Y32" s="80">
        <v>71</v>
      </c>
      <c r="Z32" s="81">
        <f t="shared" si="8"/>
        <v>74.343319402535215</v>
      </c>
    </row>
    <row r="33" spans="1:26" x14ac:dyDescent="0.25">
      <c r="A33" s="10" t="s">
        <v>120</v>
      </c>
      <c r="B33" s="59">
        <f t="shared" si="9"/>
        <v>25</v>
      </c>
      <c r="C33" s="76">
        <v>5487647</v>
      </c>
      <c r="D33" s="61">
        <f t="shared" si="2"/>
        <v>4961</v>
      </c>
      <c r="E33" s="76">
        <v>5440684</v>
      </c>
      <c r="F33" s="61">
        <f t="shared" si="10"/>
        <v>4912</v>
      </c>
      <c r="G33" s="76">
        <v>5140797</v>
      </c>
      <c r="H33" s="61">
        <f t="shared" si="3"/>
        <v>4673</v>
      </c>
      <c r="I33" s="60">
        <f t="shared" si="4"/>
        <v>14546</v>
      </c>
      <c r="J33" s="64">
        <v>0.99</v>
      </c>
      <c r="K33" s="65">
        <f t="shared" si="5"/>
        <v>3651.0459999999998</v>
      </c>
      <c r="L33" s="66"/>
      <c r="M33" s="77">
        <v>144556</v>
      </c>
      <c r="N33" s="61">
        <f t="shared" si="11"/>
        <v>132</v>
      </c>
      <c r="O33" s="76">
        <v>2250212</v>
      </c>
      <c r="P33" s="61">
        <f t="shared" si="12"/>
        <v>779</v>
      </c>
      <c r="Q33" s="67">
        <f t="shared" si="0"/>
        <v>911</v>
      </c>
      <c r="R33" s="68">
        <f t="shared" si="6"/>
        <v>533.744264144</v>
      </c>
      <c r="S33" s="69"/>
      <c r="T33" s="83">
        <v>269816</v>
      </c>
      <c r="U33" s="61">
        <f t="shared" si="13"/>
        <v>371</v>
      </c>
      <c r="V33" s="71">
        <f t="shared" si="7"/>
        <v>1059.2049999999999</v>
      </c>
      <c r="W33" s="72"/>
      <c r="X33" s="96">
        <f t="shared" si="1"/>
        <v>5243.9952641439995</v>
      </c>
      <c r="Y33" s="80">
        <v>75</v>
      </c>
      <c r="Z33" s="81">
        <f t="shared" si="8"/>
        <v>69.919936855253326</v>
      </c>
    </row>
    <row r="34" spans="1:26" x14ac:dyDescent="0.25">
      <c r="A34" s="10" t="s">
        <v>121</v>
      </c>
      <c r="B34" s="59">
        <f t="shared" si="9"/>
        <v>26</v>
      </c>
      <c r="C34" s="84">
        <v>5492718</v>
      </c>
      <c r="D34" s="61">
        <f t="shared" si="2"/>
        <v>5071</v>
      </c>
      <c r="E34" s="76">
        <v>5445712</v>
      </c>
      <c r="F34" s="61">
        <f t="shared" si="10"/>
        <v>5028</v>
      </c>
      <c r="G34" s="76">
        <v>5145573</v>
      </c>
      <c r="H34" s="61">
        <f t="shared" si="3"/>
        <v>4776</v>
      </c>
      <c r="I34" s="60">
        <f t="shared" si="4"/>
        <v>14875</v>
      </c>
      <c r="J34" s="64">
        <v>0.99</v>
      </c>
      <c r="K34" s="65">
        <f t="shared" si="5"/>
        <v>3733.625</v>
      </c>
      <c r="L34" s="66"/>
      <c r="M34" s="77">
        <v>144694</v>
      </c>
      <c r="N34" s="61">
        <f t="shared" si="11"/>
        <v>138</v>
      </c>
      <c r="O34" s="76">
        <v>2250991</v>
      </c>
      <c r="P34" s="61">
        <f t="shared" si="12"/>
        <v>779</v>
      </c>
      <c r="Q34" s="67">
        <f t="shared" si="0"/>
        <v>917</v>
      </c>
      <c r="R34" s="68">
        <f t="shared" si="6"/>
        <v>537.92444669600002</v>
      </c>
      <c r="S34" s="69"/>
      <c r="T34" s="83">
        <v>270183</v>
      </c>
      <c r="U34" s="61">
        <f t="shared" si="13"/>
        <v>367</v>
      </c>
      <c r="V34" s="71">
        <f t="shared" si="7"/>
        <v>1047.7850000000001</v>
      </c>
      <c r="W34" s="72"/>
      <c r="X34" s="96">
        <f t="shared" si="1"/>
        <v>5319.3344466959998</v>
      </c>
      <c r="Y34" s="80">
        <v>84</v>
      </c>
      <c r="Z34" s="81">
        <f t="shared" si="8"/>
        <v>63.325410079714281</v>
      </c>
    </row>
    <row r="35" spans="1:26" x14ac:dyDescent="0.25">
      <c r="A35" s="10" t="s">
        <v>96</v>
      </c>
      <c r="B35" s="59">
        <f t="shared" si="9"/>
        <v>27</v>
      </c>
      <c r="C35" s="84">
        <v>5497901</v>
      </c>
      <c r="D35" s="61">
        <f t="shared" si="2"/>
        <v>5183</v>
      </c>
      <c r="E35" s="76">
        <v>5450894</v>
      </c>
      <c r="F35" s="61">
        <f t="shared" si="10"/>
        <v>5182</v>
      </c>
      <c r="G35" s="76">
        <v>5150458</v>
      </c>
      <c r="H35" s="61">
        <f t="shared" si="3"/>
        <v>4885</v>
      </c>
      <c r="I35" s="60">
        <f t="shared" si="4"/>
        <v>15250</v>
      </c>
      <c r="J35" s="64">
        <v>0.99</v>
      </c>
      <c r="K35" s="65">
        <f t="shared" si="5"/>
        <v>3827.75</v>
      </c>
      <c r="L35" s="66"/>
      <c r="M35" s="77">
        <v>144821</v>
      </c>
      <c r="N35" s="61">
        <f t="shared" si="11"/>
        <v>127</v>
      </c>
      <c r="O35" s="76">
        <v>2251819</v>
      </c>
      <c r="P35" s="61">
        <f t="shared" si="12"/>
        <v>828</v>
      </c>
      <c r="Q35" s="67">
        <f t="shared" si="0"/>
        <v>955</v>
      </c>
      <c r="R35" s="68">
        <f t="shared" si="6"/>
        <v>558.04926668400003</v>
      </c>
      <c r="S35" s="69"/>
      <c r="T35" s="83">
        <v>270390</v>
      </c>
      <c r="U35" s="61">
        <f t="shared" si="13"/>
        <v>207</v>
      </c>
      <c r="V35" s="71">
        <f t="shared" si="7"/>
        <v>590.98500000000001</v>
      </c>
      <c r="W35" s="72"/>
      <c r="X35" s="96">
        <f t="shared" si="1"/>
        <v>4976.7842666839997</v>
      </c>
      <c r="Y35" s="80">
        <v>99</v>
      </c>
      <c r="Z35" s="81">
        <f t="shared" si="8"/>
        <v>50.270548148323229</v>
      </c>
    </row>
    <row r="36" spans="1:26" x14ac:dyDescent="0.25">
      <c r="A36" s="10" t="s">
        <v>116</v>
      </c>
      <c r="B36" s="59">
        <f t="shared" si="9"/>
        <v>28</v>
      </c>
      <c r="C36" s="84">
        <v>5503134</v>
      </c>
      <c r="D36" s="61">
        <f t="shared" si="2"/>
        <v>5233</v>
      </c>
      <c r="E36" s="76">
        <v>5456132</v>
      </c>
      <c r="F36" s="61">
        <f t="shared" si="10"/>
        <v>5238</v>
      </c>
      <c r="G36" s="76">
        <v>5155345</v>
      </c>
      <c r="H36" s="61">
        <f t="shared" si="3"/>
        <v>4887</v>
      </c>
      <c r="I36" s="60">
        <f t="shared" si="4"/>
        <v>15358</v>
      </c>
      <c r="J36" s="64">
        <v>0.99</v>
      </c>
      <c r="K36" s="65">
        <f t="shared" si="5"/>
        <v>3854.8580000000002</v>
      </c>
      <c r="L36" s="66"/>
      <c r="M36" s="77">
        <v>144984</v>
      </c>
      <c r="N36" s="61">
        <f t="shared" si="11"/>
        <v>163</v>
      </c>
      <c r="O36" s="76">
        <v>2252627</v>
      </c>
      <c r="P36" s="61">
        <f t="shared" si="12"/>
        <v>808</v>
      </c>
      <c r="Q36" s="67">
        <f t="shared" si="0"/>
        <v>971</v>
      </c>
      <c r="R36" s="68">
        <f t="shared" si="6"/>
        <v>571.78812199600009</v>
      </c>
      <c r="S36" s="69"/>
      <c r="T36" s="76">
        <v>270799</v>
      </c>
      <c r="U36" s="61">
        <f t="shared" si="13"/>
        <v>409</v>
      </c>
      <c r="V36" s="71">
        <f t="shared" si="7"/>
        <v>1167.6949999999999</v>
      </c>
      <c r="W36" s="72"/>
      <c r="X36" s="96">
        <f t="shared" si="1"/>
        <v>5594.3411219959999</v>
      </c>
      <c r="Y36" s="80">
        <v>77</v>
      </c>
      <c r="Z36" s="81">
        <f t="shared" si="8"/>
        <v>72.653780805142858</v>
      </c>
    </row>
    <row r="37" spans="1:26" x14ac:dyDescent="0.25">
      <c r="A37" s="10" t="s">
        <v>117</v>
      </c>
      <c r="B37" s="59">
        <f t="shared" si="9"/>
        <v>29</v>
      </c>
      <c r="C37" s="63">
        <v>5507955</v>
      </c>
      <c r="D37" s="61">
        <f t="shared" si="2"/>
        <v>4821</v>
      </c>
      <c r="E37" s="109">
        <v>5460942</v>
      </c>
      <c r="F37" s="61">
        <f t="shared" si="10"/>
        <v>4810</v>
      </c>
      <c r="G37" s="60">
        <v>5159846</v>
      </c>
      <c r="H37" s="61">
        <f t="shared" si="3"/>
        <v>4501</v>
      </c>
      <c r="I37" s="60">
        <f t="shared" si="4"/>
        <v>14132</v>
      </c>
      <c r="J37" s="64">
        <v>0.99</v>
      </c>
      <c r="K37" s="65">
        <f t="shared" si="5"/>
        <v>3547.1320000000001</v>
      </c>
      <c r="L37" s="66"/>
      <c r="M37" s="60">
        <v>145071</v>
      </c>
      <c r="N37" s="61">
        <f t="shared" si="11"/>
        <v>87</v>
      </c>
      <c r="O37" s="60">
        <v>2253484</v>
      </c>
      <c r="P37" s="61">
        <f t="shared" si="12"/>
        <v>857</v>
      </c>
      <c r="Q37" s="67">
        <f t="shared" si="0"/>
        <v>944</v>
      </c>
      <c r="R37" s="68">
        <f t="shared" si="6"/>
        <v>546.62763100400002</v>
      </c>
      <c r="S37" s="69"/>
      <c r="T37" s="60">
        <v>271190</v>
      </c>
      <c r="U37" s="61">
        <f t="shared" si="13"/>
        <v>391</v>
      </c>
      <c r="V37" s="71">
        <f t="shared" si="7"/>
        <v>1116.3050000000001</v>
      </c>
      <c r="W37" s="72"/>
      <c r="X37" s="96">
        <f t="shared" si="1"/>
        <v>5210.0646310040001</v>
      </c>
      <c r="Y37" s="110">
        <v>71</v>
      </c>
      <c r="Z37" s="81">
        <f t="shared" si="8"/>
        <v>73.381191985971839</v>
      </c>
    </row>
    <row r="38" spans="1:26" x14ac:dyDescent="0.25">
      <c r="A38" s="10" t="s">
        <v>118</v>
      </c>
      <c r="B38" s="59">
        <f t="shared" si="9"/>
        <v>30</v>
      </c>
      <c r="C38" s="63">
        <v>5512818</v>
      </c>
      <c r="D38" s="61">
        <f t="shared" si="2"/>
        <v>4863</v>
      </c>
      <c r="E38" s="109">
        <v>5465807</v>
      </c>
      <c r="F38" s="61">
        <f t="shared" si="10"/>
        <v>4865</v>
      </c>
      <c r="G38" s="60">
        <v>5164431</v>
      </c>
      <c r="H38" s="61">
        <f t="shared" si="3"/>
        <v>4585</v>
      </c>
      <c r="I38" s="60">
        <f t="shared" si="4"/>
        <v>14313</v>
      </c>
      <c r="J38" s="64">
        <v>0.99</v>
      </c>
      <c r="K38" s="65">
        <f t="shared" si="5"/>
        <v>3592.5630000000001</v>
      </c>
      <c r="L38" s="66"/>
      <c r="M38" s="60">
        <v>145198</v>
      </c>
      <c r="N38" s="61">
        <f t="shared" si="11"/>
        <v>127</v>
      </c>
      <c r="O38" s="60">
        <v>2254207</v>
      </c>
      <c r="P38" s="61">
        <f t="shared" si="12"/>
        <v>723</v>
      </c>
      <c r="Q38" s="67">
        <f t="shared" si="0"/>
        <v>850</v>
      </c>
      <c r="R38" s="68">
        <f t="shared" si="6"/>
        <v>498.50250668400008</v>
      </c>
      <c r="S38" s="69"/>
      <c r="T38" s="60">
        <v>271402</v>
      </c>
      <c r="U38" s="61">
        <f t="shared" si="13"/>
        <v>212</v>
      </c>
      <c r="V38" s="71">
        <f t="shared" si="7"/>
        <v>605.26</v>
      </c>
      <c r="W38" s="72"/>
      <c r="X38" s="96">
        <f t="shared" si="1"/>
        <v>4696.3255066840002</v>
      </c>
      <c r="Y38" s="110">
        <v>84</v>
      </c>
      <c r="Z38" s="81">
        <f t="shared" si="8"/>
        <v>55.908636984333334</v>
      </c>
    </row>
    <row r="39" spans="1:26" x14ac:dyDescent="0.25">
      <c r="A39" s="10"/>
      <c r="B39" s="97"/>
      <c r="C39" s="98">
        <f>SUMIF(D9:D36,"&gt;0")</f>
        <v>122588</v>
      </c>
      <c r="D39" s="99"/>
      <c r="E39" s="134">
        <f>SUMIF(F9:F36,"&gt;0")</f>
        <v>122820</v>
      </c>
      <c r="F39" s="135"/>
      <c r="G39" s="136">
        <f>SUMIF(H9:H36,"&gt;0")</f>
        <v>114768</v>
      </c>
      <c r="H39" s="135"/>
      <c r="I39" s="100">
        <f>SUMIF(I9:I36,"&gt;0")</f>
        <v>360176</v>
      </c>
      <c r="J39" s="101"/>
      <c r="K39" s="102">
        <f>SUMIF(K9:K36,"&gt;0")</f>
        <v>90404.176000000007</v>
      </c>
      <c r="L39" s="100"/>
      <c r="M39" s="136">
        <f>SUMIF(N9:N36,"&gt;0")</f>
        <v>3588</v>
      </c>
      <c r="N39" s="135"/>
      <c r="O39" s="136">
        <f>SUMIF(P9:P36,"&gt;0")</f>
        <v>23172</v>
      </c>
      <c r="P39" s="135"/>
      <c r="Q39" s="101">
        <f>SUMIF(Q9:Q36,"&gt;0")</f>
        <v>26760</v>
      </c>
      <c r="R39" s="102">
        <f>SUMIF(R9:R36,"&gt;0")</f>
        <v>15640.868430096005</v>
      </c>
      <c r="S39" s="103"/>
      <c r="T39" s="137">
        <f>SUMIF(U9:U36,"&gt;0")</f>
        <v>8063</v>
      </c>
      <c r="U39" s="137"/>
      <c r="V39" s="104">
        <f>SUMIF(V9:V36,"&gt;0")</f>
        <v>23019.865000000002</v>
      </c>
      <c r="W39" s="105"/>
      <c r="X39" s="106">
        <f>SUMIF(X9:X36,"&gt;0")</f>
        <v>129064.90943009598</v>
      </c>
      <c r="Y39" s="107">
        <f>SUM(Y9:Y38)</f>
        <v>2520</v>
      </c>
      <c r="Z39" s="108">
        <f>(SUMIF(Z9:Z36,"&gt;0")/31)</f>
        <v>52.171470681237437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39:F39"/>
    <mergeCell ref="G39:H39"/>
    <mergeCell ref="M39:N39"/>
    <mergeCell ref="O39:P39"/>
    <mergeCell ref="T39:U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topLeftCell="A7" zoomScale="90" zoomScaleNormal="90" workbookViewId="0">
      <selection activeCell="A38" sqref="A38:XFD38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73634</v>
      </c>
      <c r="C8" s="122">
        <v>99389</v>
      </c>
      <c r="D8" s="122">
        <v>18963</v>
      </c>
      <c r="E8" s="122">
        <v>20563</v>
      </c>
      <c r="F8" s="122">
        <v>262679</v>
      </c>
      <c r="G8" s="122">
        <v>4747</v>
      </c>
      <c r="H8" s="122">
        <v>8385</v>
      </c>
      <c r="I8" s="122">
        <v>516769</v>
      </c>
      <c r="J8" s="122">
        <v>88657</v>
      </c>
      <c r="K8" s="122">
        <v>8035</v>
      </c>
      <c r="L8" s="122">
        <v>38272</v>
      </c>
      <c r="M8" s="122">
        <v>60130</v>
      </c>
      <c r="N8" s="122">
        <v>53433</v>
      </c>
      <c r="O8" s="122">
        <v>257683</v>
      </c>
      <c r="P8" s="122">
        <v>527925</v>
      </c>
      <c r="Q8" s="122">
        <v>4722</v>
      </c>
      <c r="R8" s="122">
        <v>25786</v>
      </c>
      <c r="S8" s="122">
        <v>25503</v>
      </c>
      <c r="T8" s="122">
        <v>362640</v>
      </c>
      <c r="U8" s="122">
        <v>514554</v>
      </c>
      <c r="V8" s="122">
        <v>56721</v>
      </c>
      <c r="W8" s="122">
        <v>7245</v>
      </c>
      <c r="X8" s="122">
        <v>20923</v>
      </c>
      <c r="Y8" s="122">
        <v>119779</v>
      </c>
      <c r="Z8" s="122">
        <v>1201</v>
      </c>
      <c r="AA8" s="122">
        <v>227603</v>
      </c>
      <c r="AB8" s="122">
        <v>11256</v>
      </c>
      <c r="AC8" s="122">
        <v>2639</v>
      </c>
      <c r="AD8" s="122">
        <v>23949</v>
      </c>
      <c r="AE8" s="122">
        <v>116133</v>
      </c>
      <c r="AF8" s="122">
        <v>295347</v>
      </c>
      <c r="AG8" s="122">
        <v>1457291</v>
      </c>
      <c r="AH8" s="122">
        <v>13404</v>
      </c>
      <c r="AI8" s="122">
        <v>491400</v>
      </c>
      <c r="AJ8" s="122">
        <v>867274</v>
      </c>
      <c r="AK8" s="122">
        <v>13698</v>
      </c>
      <c r="AL8" s="123">
        <v>43667</v>
      </c>
      <c r="AM8" s="122">
        <v>44434</v>
      </c>
      <c r="AN8" s="124">
        <v>801866</v>
      </c>
      <c r="AO8" s="124">
        <v>5681</v>
      </c>
      <c r="AP8" s="124">
        <v>0</v>
      </c>
      <c r="AQ8" s="122">
        <v>144503</v>
      </c>
      <c r="AR8" s="122">
        <v>288286</v>
      </c>
      <c r="AS8" s="122">
        <v>81975</v>
      </c>
      <c r="AT8" s="122">
        <v>827</v>
      </c>
      <c r="AU8" s="122">
        <v>153189</v>
      </c>
      <c r="AV8" s="122">
        <v>58702</v>
      </c>
      <c r="AW8" s="122">
        <v>49071</v>
      </c>
      <c r="AX8" s="122">
        <v>244871</v>
      </c>
      <c r="AY8" s="125">
        <v>66066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73716</v>
      </c>
      <c r="C9" s="112">
        <v>99535</v>
      </c>
      <c r="D9" s="112">
        <v>18967</v>
      </c>
      <c r="E9" s="112">
        <v>20574</v>
      </c>
      <c r="F9" s="112">
        <v>262883</v>
      </c>
      <c r="G9" s="112">
        <v>4749</v>
      </c>
      <c r="H9" s="112">
        <v>8409</v>
      </c>
      <c r="I9" s="112">
        <v>517172</v>
      </c>
      <c r="J9" s="112">
        <v>88689</v>
      </c>
      <c r="K9" s="112">
        <v>8036</v>
      </c>
      <c r="L9" s="112">
        <v>38292</v>
      </c>
      <c r="M9" s="112">
        <v>60146</v>
      </c>
      <c r="N9" s="112">
        <v>53474</v>
      </c>
      <c r="O9" s="112">
        <v>257894</v>
      </c>
      <c r="P9" s="112">
        <v>528422</v>
      </c>
      <c r="Q9" s="112">
        <v>4726</v>
      </c>
      <c r="R9" s="112">
        <v>25800</v>
      </c>
      <c r="S9" s="112">
        <v>25503</v>
      </c>
      <c r="T9" s="112">
        <v>362808</v>
      </c>
      <c r="U9" s="112">
        <v>514893</v>
      </c>
      <c r="V9" s="112">
        <v>56765</v>
      </c>
      <c r="W9" s="112">
        <v>7245</v>
      </c>
      <c r="X9" s="112">
        <v>20946</v>
      </c>
      <c r="Y9" s="112">
        <v>119877</v>
      </c>
      <c r="Z9" s="112">
        <v>1201</v>
      </c>
      <c r="AA9" s="112">
        <v>227743</v>
      </c>
      <c r="AB9" s="112">
        <v>11265</v>
      </c>
      <c r="AC9" s="112">
        <v>2641</v>
      </c>
      <c r="AD9" s="112">
        <v>23955</v>
      </c>
      <c r="AE9" s="112">
        <v>116223</v>
      </c>
      <c r="AF9" s="112">
        <v>295603</v>
      </c>
      <c r="AG9" s="112">
        <v>1458054</v>
      </c>
      <c r="AH9" s="112">
        <v>13412</v>
      </c>
      <c r="AI9" s="112">
        <v>492112</v>
      </c>
      <c r="AJ9" s="112">
        <v>868027</v>
      </c>
      <c r="AK9" s="112">
        <v>13709</v>
      </c>
      <c r="AL9" s="127">
        <v>43715</v>
      </c>
      <c r="AM9" s="112">
        <v>44448</v>
      </c>
      <c r="AN9" s="116">
        <v>802704</v>
      </c>
      <c r="AO9" s="116">
        <v>5682</v>
      </c>
      <c r="AP9" s="116">
        <v>0</v>
      </c>
      <c r="AQ9" s="112">
        <v>144625</v>
      </c>
      <c r="AR9" s="112">
        <v>288520</v>
      </c>
      <c r="AS9" s="112">
        <v>82056</v>
      </c>
      <c r="AT9" s="112">
        <v>828</v>
      </c>
      <c r="AU9" s="112">
        <v>153328</v>
      </c>
      <c r="AV9" s="112">
        <v>58744</v>
      </c>
      <c r="AW9" s="112">
        <v>49113</v>
      </c>
      <c r="AX9" s="112">
        <v>245136</v>
      </c>
      <c r="AY9" s="112">
        <v>66118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73790</v>
      </c>
      <c r="C10" s="112">
        <v>99754</v>
      </c>
      <c r="D10" s="112">
        <v>18971</v>
      </c>
      <c r="E10" s="112">
        <v>20591</v>
      </c>
      <c r="F10" s="112">
        <v>263068</v>
      </c>
      <c r="G10" s="112">
        <v>4751</v>
      </c>
      <c r="H10" s="112">
        <v>8433</v>
      </c>
      <c r="I10" s="112">
        <v>517571</v>
      </c>
      <c r="J10" s="112">
        <v>88736</v>
      </c>
      <c r="K10" s="112">
        <v>8037</v>
      </c>
      <c r="L10" s="112">
        <v>38314</v>
      </c>
      <c r="M10" s="112">
        <v>60161</v>
      </c>
      <c r="N10" s="112">
        <v>53511</v>
      </c>
      <c r="O10" s="112">
        <v>258095</v>
      </c>
      <c r="P10" s="112">
        <v>528958</v>
      </c>
      <c r="Q10" s="112">
        <v>4731</v>
      </c>
      <c r="R10" s="112">
        <v>25816</v>
      </c>
      <c r="S10" s="112">
        <v>25503</v>
      </c>
      <c r="T10" s="112">
        <v>362997</v>
      </c>
      <c r="U10" s="112">
        <v>515224</v>
      </c>
      <c r="V10" s="112">
        <v>56804</v>
      </c>
      <c r="W10" s="112">
        <v>7245</v>
      </c>
      <c r="X10" s="112">
        <v>20972</v>
      </c>
      <c r="Y10" s="112">
        <v>119948</v>
      </c>
      <c r="Z10" s="112">
        <v>1204</v>
      </c>
      <c r="AA10" s="112">
        <v>227882</v>
      </c>
      <c r="AB10" s="112">
        <v>11267</v>
      </c>
      <c r="AC10" s="112">
        <v>2644</v>
      </c>
      <c r="AD10" s="112">
        <v>23964</v>
      </c>
      <c r="AE10" s="112">
        <v>116322</v>
      </c>
      <c r="AF10" s="112">
        <v>295862</v>
      </c>
      <c r="AG10" s="112">
        <v>1458900</v>
      </c>
      <c r="AH10" s="112">
        <v>13412</v>
      </c>
      <c r="AI10" s="112">
        <v>492631</v>
      </c>
      <c r="AJ10" s="112">
        <v>868760</v>
      </c>
      <c r="AK10" s="112">
        <v>13721</v>
      </c>
      <c r="AL10" s="127">
        <v>43817</v>
      </c>
      <c r="AM10" s="112">
        <v>44460</v>
      </c>
      <c r="AN10" s="116">
        <v>803416</v>
      </c>
      <c r="AO10" s="116">
        <v>5682</v>
      </c>
      <c r="AP10" s="116">
        <v>0</v>
      </c>
      <c r="AQ10" s="112">
        <v>144754</v>
      </c>
      <c r="AR10" s="112">
        <v>288746</v>
      </c>
      <c r="AS10" s="112">
        <v>82136</v>
      </c>
      <c r="AT10" s="112">
        <v>828</v>
      </c>
      <c r="AU10" s="112">
        <v>153477</v>
      </c>
      <c r="AV10" s="112">
        <v>58784</v>
      </c>
      <c r="AW10" s="112">
        <v>49150</v>
      </c>
      <c r="AX10" s="112">
        <v>245400</v>
      </c>
      <c r="AY10" s="112">
        <v>66163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73865</v>
      </c>
      <c r="C11" s="112">
        <v>99970</v>
      </c>
      <c r="D11" s="112">
        <v>18981</v>
      </c>
      <c r="E11" s="112">
        <v>20602</v>
      </c>
      <c r="F11" s="112">
        <v>263262</v>
      </c>
      <c r="G11" s="112">
        <v>4754</v>
      </c>
      <c r="H11" s="112">
        <v>8463</v>
      </c>
      <c r="I11" s="112">
        <v>517971</v>
      </c>
      <c r="J11" s="112">
        <v>88777</v>
      </c>
      <c r="K11" s="112">
        <v>8038</v>
      </c>
      <c r="L11" s="112">
        <v>38337</v>
      </c>
      <c r="M11" s="112">
        <v>60177</v>
      </c>
      <c r="N11" s="112">
        <v>53549</v>
      </c>
      <c r="O11" s="112">
        <v>258299</v>
      </c>
      <c r="P11" s="112">
        <v>529464</v>
      </c>
      <c r="Q11" s="112">
        <v>4735</v>
      </c>
      <c r="R11" s="112">
        <v>25836</v>
      </c>
      <c r="S11" s="112">
        <v>25503</v>
      </c>
      <c r="T11" s="112">
        <v>363199</v>
      </c>
      <c r="U11" s="112">
        <v>515563</v>
      </c>
      <c r="V11" s="112">
        <v>56845</v>
      </c>
      <c r="W11" s="112">
        <v>7248</v>
      </c>
      <c r="X11" s="112">
        <v>20994</v>
      </c>
      <c r="Y11" s="112">
        <v>120020</v>
      </c>
      <c r="Z11" s="112">
        <v>1211</v>
      </c>
      <c r="AA11" s="112">
        <v>228021</v>
      </c>
      <c r="AB11" s="112">
        <v>11268</v>
      </c>
      <c r="AC11" s="112">
        <v>2647</v>
      </c>
      <c r="AD11" s="112">
        <v>23971</v>
      </c>
      <c r="AE11" s="112">
        <v>116407</v>
      </c>
      <c r="AF11" s="112">
        <v>296155</v>
      </c>
      <c r="AG11" s="112">
        <v>1460012</v>
      </c>
      <c r="AH11" s="112">
        <v>13420</v>
      </c>
      <c r="AI11" s="112">
        <v>492990</v>
      </c>
      <c r="AJ11" s="112">
        <v>869499</v>
      </c>
      <c r="AK11" s="112">
        <v>13733</v>
      </c>
      <c r="AL11" s="127">
        <v>43954</v>
      </c>
      <c r="AM11" s="112">
        <v>44478</v>
      </c>
      <c r="AN11" s="116">
        <v>804240</v>
      </c>
      <c r="AO11" s="116">
        <v>5683</v>
      </c>
      <c r="AP11" s="116">
        <v>0</v>
      </c>
      <c r="AQ11" s="112">
        <v>144879</v>
      </c>
      <c r="AR11" s="112">
        <v>288988</v>
      </c>
      <c r="AS11" s="112">
        <v>82216</v>
      </c>
      <c r="AT11" s="112">
        <v>829</v>
      </c>
      <c r="AU11" s="112">
        <v>153624</v>
      </c>
      <c r="AV11" s="112">
        <v>58824</v>
      </c>
      <c r="AW11" s="112">
        <v>49189</v>
      </c>
      <c r="AX11" s="112">
        <v>245660</v>
      </c>
      <c r="AY11" s="112">
        <v>66210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73942</v>
      </c>
      <c r="C12" s="112">
        <v>100163</v>
      </c>
      <c r="D12" s="112">
        <v>18982</v>
      </c>
      <c r="E12" s="112">
        <v>20618</v>
      </c>
      <c r="F12" s="112">
        <v>263471</v>
      </c>
      <c r="G12" s="112">
        <v>4757</v>
      </c>
      <c r="H12" s="112">
        <v>8488</v>
      </c>
      <c r="I12" s="112">
        <v>518355</v>
      </c>
      <c r="J12" s="112">
        <v>88819</v>
      </c>
      <c r="K12" s="112">
        <v>8039</v>
      </c>
      <c r="L12" s="112">
        <v>38354</v>
      </c>
      <c r="M12" s="112">
        <v>60193</v>
      </c>
      <c r="N12" s="112">
        <v>53588</v>
      </c>
      <c r="O12" s="112">
        <v>258498</v>
      </c>
      <c r="P12" s="112">
        <v>529947</v>
      </c>
      <c r="Q12" s="112">
        <v>4740</v>
      </c>
      <c r="R12" s="112">
        <v>25850</v>
      </c>
      <c r="S12" s="112">
        <v>25503</v>
      </c>
      <c r="T12" s="112">
        <v>363347</v>
      </c>
      <c r="U12" s="112">
        <v>515912</v>
      </c>
      <c r="V12" s="112">
        <v>56882</v>
      </c>
      <c r="W12" s="112">
        <v>7254</v>
      </c>
      <c r="X12" s="112">
        <v>21016</v>
      </c>
      <c r="Y12" s="112">
        <v>120075</v>
      </c>
      <c r="Z12" s="112">
        <v>1218</v>
      </c>
      <c r="AA12" s="112">
        <v>228158</v>
      </c>
      <c r="AB12" s="112">
        <v>11269</v>
      </c>
      <c r="AC12" s="112">
        <v>2649</v>
      </c>
      <c r="AD12" s="112">
        <v>23978</v>
      </c>
      <c r="AE12" s="112">
        <v>116492</v>
      </c>
      <c r="AF12" s="112">
        <v>296431</v>
      </c>
      <c r="AG12" s="112">
        <v>1460874</v>
      </c>
      <c r="AH12" s="112">
        <v>13420</v>
      </c>
      <c r="AI12" s="112">
        <v>493008</v>
      </c>
      <c r="AJ12" s="112">
        <v>870320</v>
      </c>
      <c r="AK12" s="112">
        <v>13747</v>
      </c>
      <c r="AL12" s="112">
        <v>44116</v>
      </c>
      <c r="AM12" s="112">
        <v>44495</v>
      </c>
      <c r="AN12" s="112">
        <v>805047</v>
      </c>
      <c r="AO12" s="112">
        <v>5684</v>
      </c>
      <c r="AP12" s="112">
        <v>0</v>
      </c>
      <c r="AQ12" s="112">
        <v>145004</v>
      </c>
      <c r="AR12" s="112">
        <v>289247</v>
      </c>
      <c r="AS12" s="112">
        <v>82283</v>
      </c>
      <c r="AT12" s="112">
        <v>829</v>
      </c>
      <c r="AU12" s="112">
        <v>153771</v>
      </c>
      <c r="AV12" s="112">
        <v>58866</v>
      </c>
      <c r="AW12" s="112">
        <v>49223</v>
      </c>
      <c r="AX12" s="112">
        <v>245909</v>
      </c>
      <c r="AY12" s="112">
        <v>66252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74018</v>
      </c>
      <c r="C13" s="112">
        <v>100370</v>
      </c>
      <c r="D13" s="112">
        <v>18982</v>
      </c>
      <c r="E13" s="112">
        <v>20635</v>
      </c>
      <c r="F13" s="112">
        <v>263648</v>
      </c>
      <c r="G13" s="112">
        <v>4759</v>
      </c>
      <c r="H13" s="112">
        <v>8515</v>
      </c>
      <c r="I13" s="112">
        <v>518744</v>
      </c>
      <c r="J13" s="112">
        <v>88857</v>
      </c>
      <c r="K13" s="112">
        <v>8041</v>
      </c>
      <c r="L13" s="112">
        <v>38373</v>
      </c>
      <c r="M13" s="112">
        <v>60208</v>
      </c>
      <c r="N13" s="112">
        <v>53629</v>
      </c>
      <c r="O13" s="112">
        <v>258701</v>
      </c>
      <c r="P13" s="112">
        <v>530475</v>
      </c>
      <c r="Q13" s="112">
        <v>4746</v>
      </c>
      <c r="R13" s="112">
        <v>25864</v>
      </c>
      <c r="S13" s="112">
        <v>25503</v>
      </c>
      <c r="T13" s="112">
        <v>363522</v>
      </c>
      <c r="U13" s="112">
        <v>516275</v>
      </c>
      <c r="V13" s="112">
        <v>56919</v>
      </c>
      <c r="W13" s="112">
        <v>7256</v>
      </c>
      <c r="X13" s="112">
        <v>21037</v>
      </c>
      <c r="Y13" s="112">
        <v>120141</v>
      </c>
      <c r="Z13" s="112">
        <v>1225</v>
      </c>
      <c r="AA13" s="112">
        <v>228336</v>
      </c>
      <c r="AB13" s="112">
        <v>11274</v>
      </c>
      <c r="AC13" s="112">
        <v>2651</v>
      </c>
      <c r="AD13" s="112">
        <v>23984</v>
      </c>
      <c r="AE13" s="112">
        <v>116577</v>
      </c>
      <c r="AF13" s="112">
        <v>296710</v>
      </c>
      <c r="AG13" s="112">
        <v>1461744</v>
      </c>
      <c r="AH13" s="112">
        <v>13425</v>
      </c>
      <c r="AI13" s="112">
        <v>493027</v>
      </c>
      <c r="AJ13" s="112">
        <v>871109</v>
      </c>
      <c r="AK13" s="112">
        <v>13767</v>
      </c>
      <c r="AL13" s="127">
        <v>44285</v>
      </c>
      <c r="AM13" s="112">
        <v>44512</v>
      </c>
      <c r="AN13" s="116">
        <v>805865</v>
      </c>
      <c r="AO13" s="116">
        <v>5685</v>
      </c>
      <c r="AP13" s="116">
        <v>0</v>
      </c>
      <c r="AQ13" s="112">
        <v>145130</v>
      </c>
      <c r="AR13" s="112">
        <v>289505</v>
      </c>
      <c r="AS13" s="112">
        <v>82354</v>
      </c>
      <c r="AT13" s="112">
        <v>830</v>
      </c>
      <c r="AU13" s="112">
        <v>153922</v>
      </c>
      <c r="AV13" s="112">
        <v>58918</v>
      </c>
      <c r="AW13" s="112">
        <v>49261</v>
      </c>
      <c r="AX13" s="112">
        <v>246164</v>
      </c>
      <c r="AY13" s="112">
        <v>66292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ht="15.75" thickBot="1" x14ac:dyDescent="0.3">
      <c r="A14">
        <v>7</v>
      </c>
      <c r="B14" s="112">
        <v>74084</v>
      </c>
      <c r="C14" s="112">
        <v>100574</v>
      </c>
      <c r="D14" s="112">
        <v>18984</v>
      </c>
      <c r="E14" s="112">
        <v>20657</v>
      </c>
      <c r="F14" s="112">
        <v>263845</v>
      </c>
      <c r="G14" s="112">
        <v>4762</v>
      </c>
      <c r="H14" s="112">
        <v>8543</v>
      </c>
      <c r="I14" s="112">
        <v>519134</v>
      </c>
      <c r="J14" s="112">
        <v>88897</v>
      </c>
      <c r="K14" s="112">
        <v>8042</v>
      </c>
      <c r="L14" s="112">
        <v>38393</v>
      </c>
      <c r="M14" s="112">
        <v>60223</v>
      </c>
      <c r="N14" s="112">
        <v>53664</v>
      </c>
      <c r="O14" s="112">
        <v>258904</v>
      </c>
      <c r="P14" s="112">
        <v>531031</v>
      </c>
      <c r="Q14" s="112">
        <v>4749</v>
      </c>
      <c r="R14" s="112">
        <v>25879</v>
      </c>
      <c r="S14" s="112">
        <v>25503</v>
      </c>
      <c r="T14" s="112">
        <v>363703</v>
      </c>
      <c r="U14" s="112">
        <v>516609</v>
      </c>
      <c r="V14" s="112">
        <v>56956</v>
      </c>
      <c r="W14" s="112">
        <v>7261</v>
      </c>
      <c r="X14" s="112">
        <v>21051</v>
      </c>
      <c r="Y14" s="112">
        <v>120214</v>
      </c>
      <c r="Z14" s="112">
        <v>1232</v>
      </c>
      <c r="AA14" s="112">
        <v>228480</v>
      </c>
      <c r="AB14" s="112">
        <v>11276</v>
      </c>
      <c r="AC14" s="112">
        <v>2653</v>
      </c>
      <c r="AD14" s="112">
        <v>23991</v>
      </c>
      <c r="AE14" s="112">
        <v>116658</v>
      </c>
      <c r="AF14" s="112">
        <v>297001</v>
      </c>
      <c r="AG14" s="112">
        <v>1462572</v>
      </c>
      <c r="AH14" s="112">
        <v>13429</v>
      </c>
      <c r="AI14" s="112">
        <v>493045</v>
      </c>
      <c r="AJ14" s="112">
        <v>871872</v>
      </c>
      <c r="AK14" s="112">
        <v>13776</v>
      </c>
      <c r="AL14" s="127">
        <v>44446</v>
      </c>
      <c r="AM14" s="112">
        <v>44529</v>
      </c>
      <c r="AN14" s="116">
        <v>806673</v>
      </c>
      <c r="AO14" s="116">
        <v>5687</v>
      </c>
      <c r="AP14" s="116">
        <v>0</v>
      </c>
      <c r="AQ14" s="112">
        <v>145253</v>
      </c>
      <c r="AR14" s="112">
        <v>289749</v>
      </c>
      <c r="AS14" s="112">
        <v>82431</v>
      </c>
      <c r="AT14" s="112">
        <v>831</v>
      </c>
      <c r="AU14" s="112">
        <v>154058</v>
      </c>
      <c r="AV14" s="112">
        <v>58968</v>
      </c>
      <c r="AW14" s="112">
        <v>49311</v>
      </c>
      <c r="AX14" s="112">
        <v>246418</v>
      </c>
      <c r="AY14" s="112">
        <v>66331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ht="15.75" thickBot="1" x14ac:dyDescent="0.3">
      <c r="A15">
        <v>8</v>
      </c>
      <c r="B15" s="133" t="s">
        <v>123</v>
      </c>
      <c r="C15" s="112">
        <v>100771</v>
      </c>
      <c r="D15" s="112">
        <v>18991</v>
      </c>
      <c r="E15" s="112">
        <v>20678</v>
      </c>
      <c r="F15" s="112">
        <v>264024</v>
      </c>
      <c r="G15" s="112">
        <v>4765</v>
      </c>
      <c r="H15" s="112">
        <v>8569</v>
      </c>
      <c r="I15" s="112">
        <v>519530</v>
      </c>
      <c r="J15" s="112">
        <v>88934</v>
      </c>
      <c r="K15" s="112">
        <v>8042</v>
      </c>
      <c r="L15" s="112">
        <v>38415</v>
      </c>
      <c r="M15" s="112">
        <v>60255</v>
      </c>
      <c r="N15" s="112">
        <v>53703</v>
      </c>
      <c r="O15" s="112">
        <v>259100</v>
      </c>
      <c r="P15" s="112">
        <v>531489</v>
      </c>
      <c r="Q15" s="112">
        <v>4754</v>
      </c>
      <c r="R15" s="112">
        <v>25894</v>
      </c>
      <c r="S15" s="112">
        <v>25503</v>
      </c>
      <c r="T15" s="112">
        <v>363894</v>
      </c>
      <c r="U15" s="112">
        <v>516969</v>
      </c>
      <c r="V15" s="112">
        <v>56993</v>
      </c>
      <c r="W15" s="112">
        <v>7262</v>
      </c>
      <c r="X15" s="112">
        <v>21070</v>
      </c>
      <c r="Y15" s="112">
        <v>120288</v>
      </c>
      <c r="Z15" s="112">
        <v>1238</v>
      </c>
      <c r="AA15" s="112">
        <v>228622</v>
      </c>
      <c r="AB15" s="112">
        <v>11276</v>
      </c>
      <c r="AC15" s="112">
        <v>2654</v>
      </c>
      <c r="AD15" s="112">
        <v>23998</v>
      </c>
      <c r="AE15" s="112">
        <v>116741</v>
      </c>
      <c r="AF15" s="112">
        <v>297287</v>
      </c>
      <c r="AG15" s="112">
        <v>1463404</v>
      </c>
      <c r="AH15" s="112">
        <v>13434</v>
      </c>
      <c r="AI15" s="112">
        <v>493094</v>
      </c>
      <c r="AJ15" s="112">
        <v>872646</v>
      </c>
      <c r="AK15" s="112">
        <v>13787</v>
      </c>
      <c r="AL15" s="127">
        <v>44604</v>
      </c>
      <c r="AM15" s="112">
        <v>44546</v>
      </c>
      <c r="AN15" s="116">
        <v>807486</v>
      </c>
      <c r="AO15" s="116">
        <v>5688</v>
      </c>
      <c r="AP15" s="116">
        <v>0</v>
      </c>
      <c r="AQ15" s="112">
        <v>145382</v>
      </c>
      <c r="AR15" s="112">
        <v>289985</v>
      </c>
      <c r="AS15" s="112">
        <v>82501</v>
      </c>
      <c r="AT15" s="112">
        <v>831</v>
      </c>
      <c r="AU15" s="112">
        <v>154207</v>
      </c>
      <c r="AV15" s="112">
        <v>59008</v>
      </c>
      <c r="AW15" s="112">
        <v>49345</v>
      </c>
      <c r="AX15" s="112">
        <v>246674</v>
      </c>
      <c r="AY15" s="112">
        <v>66369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ht="15.75" thickBot="1" x14ac:dyDescent="0.3">
      <c r="A16">
        <v>9</v>
      </c>
      <c r="B16" s="133" t="s">
        <v>124</v>
      </c>
      <c r="C16" s="112">
        <v>100935</v>
      </c>
      <c r="D16" s="112">
        <v>18997</v>
      </c>
      <c r="E16" s="112">
        <v>20703</v>
      </c>
      <c r="F16" s="112">
        <v>264197</v>
      </c>
      <c r="G16" s="112">
        <v>4767</v>
      </c>
      <c r="H16" s="112">
        <v>8599</v>
      </c>
      <c r="I16" s="112">
        <v>519932</v>
      </c>
      <c r="J16" s="112">
        <v>88966</v>
      </c>
      <c r="K16" s="112">
        <v>8043</v>
      </c>
      <c r="L16" s="112">
        <v>38436</v>
      </c>
      <c r="M16" s="112">
        <v>60270</v>
      </c>
      <c r="N16" s="112">
        <v>53742</v>
      </c>
      <c r="O16" s="112">
        <v>259309</v>
      </c>
      <c r="P16" s="112">
        <v>532014</v>
      </c>
      <c r="Q16" s="112">
        <v>4760</v>
      </c>
      <c r="R16" s="112">
        <v>25909</v>
      </c>
      <c r="S16" s="112">
        <v>25503</v>
      </c>
      <c r="T16" s="112">
        <v>364071</v>
      </c>
      <c r="U16" s="112">
        <v>517325</v>
      </c>
      <c r="V16" s="112">
        <v>57031</v>
      </c>
      <c r="W16" s="112">
        <v>7274</v>
      </c>
      <c r="X16" s="112">
        <v>21090</v>
      </c>
      <c r="Y16" s="112">
        <v>120357</v>
      </c>
      <c r="Z16" s="112">
        <v>1244</v>
      </c>
      <c r="AA16" s="112">
        <v>228762</v>
      </c>
      <c r="AB16" s="112">
        <v>11278</v>
      </c>
      <c r="AC16" s="112">
        <v>2657</v>
      </c>
      <c r="AD16" s="112">
        <v>24006</v>
      </c>
      <c r="AE16" s="112">
        <v>116819</v>
      </c>
      <c r="AF16" s="112">
        <v>297565</v>
      </c>
      <c r="AG16" s="112">
        <v>1464319</v>
      </c>
      <c r="AH16" s="112">
        <v>13437</v>
      </c>
      <c r="AI16" s="112">
        <v>493082</v>
      </c>
      <c r="AJ16" s="112">
        <v>873445</v>
      </c>
      <c r="AK16" s="112">
        <v>13795</v>
      </c>
      <c r="AL16" s="127">
        <v>44741</v>
      </c>
      <c r="AM16" s="112">
        <v>44563</v>
      </c>
      <c r="AN16" s="116">
        <v>808319</v>
      </c>
      <c r="AO16" s="116">
        <v>5689</v>
      </c>
      <c r="AP16" s="116">
        <v>0</v>
      </c>
      <c r="AQ16" s="112">
        <v>145522</v>
      </c>
      <c r="AR16" s="112">
        <v>290216</v>
      </c>
      <c r="AS16" s="112">
        <v>82578</v>
      </c>
      <c r="AT16" s="112">
        <v>832</v>
      </c>
      <c r="AU16" s="112">
        <v>154356</v>
      </c>
      <c r="AV16" s="112">
        <v>59050</v>
      </c>
      <c r="AW16" s="112">
        <v>49384</v>
      </c>
      <c r="AX16" s="112">
        <v>246934</v>
      </c>
      <c r="AY16" s="112">
        <v>66401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74294</v>
      </c>
      <c r="C17" s="112">
        <v>101096</v>
      </c>
      <c r="D17" s="112">
        <v>19004</v>
      </c>
      <c r="E17" s="112">
        <v>20719</v>
      </c>
      <c r="F17" s="112">
        <v>264383</v>
      </c>
      <c r="G17" s="112">
        <v>4770</v>
      </c>
      <c r="H17" s="112">
        <v>8627</v>
      </c>
      <c r="I17" s="112">
        <v>520337</v>
      </c>
      <c r="J17" s="112">
        <v>89010</v>
      </c>
      <c r="K17" s="112">
        <v>8044</v>
      </c>
      <c r="L17" s="112">
        <v>38456</v>
      </c>
      <c r="M17" s="112">
        <v>60297</v>
      </c>
      <c r="N17" s="112">
        <v>53781</v>
      </c>
      <c r="O17" s="112">
        <v>259504</v>
      </c>
      <c r="P17" s="112">
        <v>532536</v>
      </c>
      <c r="Q17" s="112">
        <v>4766</v>
      </c>
      <c r="R17" s="112">
        <v>25923</v>
      </c>
      <c r="S17" s="112">
        <v>25503</v>
      </c>
      <c r="T17" s="112">
        <v>364224</v>
      </c>
      <c r="U17" s="112">
        <v>517684</v>
      </c>
      <c r="V17" s="112">
        <v>57069</v>
      </c>
      <c r="W17" s="112">
        <v>7284</v>
      </c>
      <c r="X17" s="112">
        <v>21108</v>
      </c>
      <c r="Y17" s="112">
        <v>120424</v>
      </c>
      <c r="Z17" s="112">
        <v>1250</v>
      </c>
      <c r="AA17" s="112">
        <v>228900</v>
      </c>
      <c r="AB17" s="112">
        <v>11284</v>
      </c>
      <c r="AC17" s="112">
        <v>2661</v>
      </c>
      <c r="AD17" s="112">
        <v>24015</v>
      </c>
      <c r="AE17" s="112">
        <v>116897</v>
      </c>
      <c r="AF17" s="112">
        <v>297848</v>
      </c>
      <c r="AG17" s="112">
        <v>1465269</v>
      </c>
      <c r="AH17" s="112">
        <v>13441</v>
      </c>
      <c r="AI17" s="112">
        <v>493101</v>
      </c>
      <c r="AJ17" s="112">
        <v>874200</v>
      </c>
      <c r="AK17" s="112">
        <v>13806</v>
      </c>
      <c r="AL17" s="127">
        <v>44885</v>
      </c>
      <c r="AM17" s="112">
        <v>44579</v>
      </c>
      <c r="AN17" s="116">
        <v>809004</v>
      </c>
      <c r="AO17" s="116">
        <v>5691</v>
      </c>
      <c r="AP17" s="116">
        <v>0</v>
      </c>
      <c r="AQ17" s="112">
        <v>145652</v>
      </c>
      <c r="AR17" s="112">
        <v>290448</v>
      </c>
      <c r="AS17" s="112">
        <v>82653</v>
      </c>
      <c r="AT17" s="112">
        <v>833</v>
      </c>
      <c r="AU17" s="112">
        <v>154511</v>
      </c>
      <c r="AV17" s="112">
        <v>59090</v>
      </c>
      <c r="AW17" s="112">
        <v>49419</v>
      </c>
      <c r="AX17" s="112">
        <v>247181</v>
      </c>
      <c r="AY17" s="112">
        <v>66451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74369</v>
      </c>
      <c r="C18" s="112">
        <v>101255</v>
      </c>
      <c r="D18" s="112">
        <v>19005</v>
      </c>
      <c r="E18" s="112">
        <v>20740</v>
      </c>
      <c r="F18" s="112">
        <v>264560</v>
      </c>
      <c r="G18" s="112">
        <v>4772</v>
      </c>
      <c r="H18" s="112">
        <v>8650</v>
      </c>
      <c r="I18" s="112">
        <v>520742</v>
      </c>
      <c r="J18" s="112">
        <v>89061</v>
      </c>
      <c r="K18" s="112">
        <v>8044</v>
      </c>
      <c r="L18" s="112">
        <v>38480</v>
      </c>
      <c r="M18" s="112">
        <v>60314</v>
      </c>
      <c r="N18" s="112">
        <v>53820</v>
      </c>
      <c r="O18" s="112">
        <v>259703</v>
      </c>
      <c r="P18" s="112">
        <v>533086</v>
      </c>
      <c r="Q18" s="112">
        <v>4771</v>
      </c>
      <c r="R18" s="112">
        <v>25941</v>
      </c>
      <c r="S18" s="112">
        <v>25503</v>
      </c>
      <c r="T18" s="112">
        <v>364442</v>
      </c>
      <c r="U18" s="112">
        <v>518047</v>
      </c>
      <c r="V18" s="112">
        <v>57110</v>
      </c>
      <c r="W18" s="112">
        <v>7291</v>
      </c>
      <c r="X18" s="112">
        <v>21127</v>
      </c>
      <c r="Y18" s="112">
        <v>120496</v>
      </c>
      <c r="Z18" s="112">
        <v>1257</v>
      </c>
      <c r="AA18" s="112">
        <v>229038</v>
      </c>
      <c r="AB18" s="112">
        <v>11285</v>
      </c>
      <c r="AC18" s="112">
        <v>2664</v>
      </c>
      <c r="AD18" s="112">
        <v>24025</v>
      </c>
      <c r="AE18" s="112">
        <v>116979</v>
      </c>
      <c r="AF18" s="112">
        <v>298137</v>
      </c>
      <c r="AG18" s="112">
        <v>1466233</v>
      </c>
      <c r="AH18" s="112">
        <v>13446</v>
      </c>
      <c r="AI18" s="112">
        <v>493119</v>
      </c>
      <c r="AJ18" s="112">
        <v>875057</v>
      </c>
      <c r="AK18" s="112">
        <v>13819</v>
      </c>
      <c r="AL18" s="127">
        <v>45040</v>
      </c>
      <c r="AM18" s="112">
        <v>44596</v>
      </c>
      <c r="AN18" s="116">
        <v>809752</v>
      </c>
      <c r="AO18" s="116">
        <v>5692</v>
      </c>
      <c r="AP18" s="116">
        <v>0</v>
      </c>
      <c r="AQ18" s="112">
        <v>145779</v>
      </c>
      <c r="AR18" s="112">
        <v>290675</v>
      </c>
      <c r="AS18" s="112">
        <v>82728</v>
      </c>
      <c r="AT18" s="112">
        <v>833</v>
      </c>
      <c r="AU18" s="112">
        <v>154661</v>
      </c>
      <c r="AV18" s="112">
        <v>59132</v>
      </c>
      <c r="AW18" s="112">
        <v>49455</v>
      </c>
      <c r="AX18" s="112">
        <v>247443</v>
      </c>
      <c r="AY18" s="112">
        <v>66493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74443</v>
      </c>
      <c r="C19" s="112">
        <v>101416</v>
      </c>
      <c r="D19" s="112">
        <v>19006</v>
      </c>
      <c r="E19" s="112">
        <v>20762</v>
      </c>
      <c r="F19" s="112">
        <v>264738</v>
      </c>
      <c r="G19" s="112">
        <v>4775</v>
      </c>
      <c r="H19" s="112">
        <v>8672</v>
      </c>
      <c r="I19" s="112">
        <v>521141</v>
      </c>
      <c r="J19" s="112">
        <v>89096</v>
      </c>
      <c r="K19" s="112">
        <v>8045</v>
      </c>
      <c r="L19" s="112">
        <v>38507</v>
      </c>
      <c r="M19" s="112">
        <v>60331</v>
      </c>
      <c r="N19" s="112">
        <v>53859</v>
      </c>
      <c r="O19" s="112">
        <v>259900</v>
      </c>
      <c r="P19" s="112">
        <v>533532</v>
      </c>
      <c r="Q19" s="112">
        <v>4776</v>
      </c>
      <c r="R19" s="112">
        <v>25956</v>
      </c>
      <c r="S19" s="112">
        <v>25503</v>
      </c>
      <c r="T19" s="112">
        <v>364647</v>
      </c>
      <c r="U19" s="112">
        <v>518431</v>
      </c>
      <c r="V19" s="112">
        <v>57153</v>
      </c>
      <c r="W19" s="112">
        <v>7299</v>
      </c>
      <c r="X19" s="112">
        <v>21142</v>
      </c>
      <c r="Y19" s="112">
        <v>120551</v>
      </c>
      <c r="Z19" s="112">
        <v>1258</v>
      </c>
      <c r="AA19" s="112">
        <v>229180</v>
      </c>
      <c r="AB19" s="112">
        <v>11286</v>
      </c>
      <c r="AC19" s="112">
        <v>2666</v>
      </c>
      <c r="AD19" s="112">
        <v>24035</v>
      </c>
      <c r="AE19" s="112">
        <v>117062</v>
      </c>
      <c r="AF19" s="112">
        <v>298412</v>
      </c>
      <c r="AG19" s="112">
        <v>1467285</v>
      </c>
      <c r="AH19" s="112">
        <v>13452</v>
      </c>
      <c r="AI19" s="112">
        <v>493137</v>
      </c>
      <c r="AJ19" s="112">
        <v>875937</v>
      </c>
      <c r="AK19" s="112">
        <v>13837</v>
      </c>
      <c r="AL19" s="127">
        <v>45209</v>
      </c>
      <c r="AM19" s="112">
        <v>44613</v>
      </c>
      <c r="AN19" s="116">
        <v>810517</v>
      </c>
      <c r="AO19" s="116">
        <v>5694</v>
      </c>
      <c r="AP19" s="116">
        <v>0</v>
      </c>
      <c r="AQ19" s="112">
        <v>145897</v>
      </c>
      <c r="AR19" s="112">
        <v>290905</v>
      </c>
      <c r="AS19" s="112">
        <v>82797</v>
      </c>
      <c r="AT19" s="112">
        <v>834</v>
      </c>
      <c r="AU19" s="112">
        <v>154812</v>
      </c>
      <c r="AV19" s="112">
        <v>59176</v>
      </c>
      <c r="AW19" s="112">
        <v>49488</v>
      </c>
      <c r="AX19" s="112">
        <v>247692</v>
      </c>
      <c r="AY19" s="112">
        <v>66542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74512</v>
      </c>
      <c r="C20" s="112">
        <v>101584</v>
      </c>
      <c r="D20" s="112">
        <v>19006</v>
      </c>
      <c r="E20" s="112">
        <v>20787</v>
      </c>
      <c r="F20" s="112">
        <v>264916</v>
      </c>
      <c r="G20" s="112">
        <v>4779</v>
      </c>
      <c r="H20" s="112">
        <v>8692</v>
      </c>
      <c r="I20" s="112">
        <v>521547</v>
      </c>
      <c r="J20" s="112">
        <v>89136</v>
      </c>
      <c r="K20" s="112">
        <v>8046</v>
      </c>
      <c r="L20" s="112">
        <v>38531</v>
      </c>
      <c r="M20" s="112">
        <v>60348</v>
      </c>
      <c r="N20" s="112">
        <v>53895</v>
      </c>
      <c r="O20" s="112">
        <v>260096</v>
      </c>
      <c r="P20" s="112">
        <v>534065</v>
      </c>
      <c r="Q20" s="112">
        <v>4781</v>
      </c>
      <c r="R20" s="112">
        <v>25969</v>
      </c>
      <c r="S20" s="112">
        <v>25503</v>
      </c>
      <c r="T20" s="112">
        <v>364869</v>
      </c>
      <c r="U20" s="112">
        <v>518818</v>
      </c>
      <c r="V20" s="112">
        <v>57195</v>
      </c>
      <c r="W20" s="112">
        <v>7301</v>
      </c>
      <c r="X20" s="112">
        <v>21162</v>
      </c>
      <c r="Y20" s="112">
        <v>120604</v>
      </c>
      <c r="Z20" s="112">
        <v>1261</v>
      </c>
      <c r="AA20" s="112">
        <v>229322</v>
      </c>
      <c r="AB20" s="112">
        <v>11286</v>
      </c>
      <c r="AC20" s="112">
        <v>2668</v>
      </c>
      <c r="AD20" s="112">
        <v>24045</v>
      </c>
      <c r="AE20" s="112">
        <v>117150</v>
      </c>
      <c r="AF20" s="112">
        <v>298674</v>
      </c>
      <c r="AG20" s="112">
        <v>1468318</v>
      </c>
      <c r="AH20" s="112">
        <v>13467</v>
      </c>
      <c r="AI20" s="112">
        <v>493155</v>
      </c>
      <c r="AJ20" s="116">
        <v>876829</v>
      </c>
      <c r="AK20" s="116">
        <v>13848</v>
      </c>
      <c r="AL20" s="127">
        <v>45389</v>
      </c>
      <c r="AM20" s="116">
        <v>44630</v>
      </c>
      <c r="AN20" s="116">
        <v>811284</v>
      </c>
      <c r="AO20" s="116">
        <v>5695</v>
      </c>
      <c r="AP20" s="116">
        <v>0</v>
      </c>
      <c r="AQ20" s="116">
        <v>146015</v>
      </c>
      <c r="AR20" s="116">
        <v>291127</v>
      </c>
      <c r="AS20" s="116">
        <v>82859</v>
      </c>
      <c r="AT20" s="116">
        <v>834</v>
      </c>
      <c r="AU20" s="116">
        <v>154967</v>
      </c>
      <c r="AV20" s="116">
        <v>59220</v>
      </c>
      <c r="AW20" s="116">
        <v>49531</v>
      </c>
      <c r="AX20" s="116">
        <v>247943</v>
      </c>
      <c r="AY20" s="116">
        <v>66591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74588</v>
      </c>
      <c r="C21" s="112">
        <v>101731</v>
      </c>
      <c r="D21" s="112">
        <v>19009</v>
      </c>
      <c r="E21" s="112">
        <v>20802</v>
      </c>
      <c r="F21" s="112">
        <v>265094</v>
      </c>
      <c r="G21" s="112">
        <v>4780</v>
      </c>
      <c r="H21" s="112">
        <v>8716</v>
      </c>
      <c r="I21" s="112">
        <v>521942</v>
      </c>
      <c r="J21" s="112">
        <v>89169</v>
      </c>
      <c r="K21" s="112">
        <v>8047</v>
      </c>
      <c r="L21" s="112">
        <v>38554</v>
      </c>
      <c r="M21" s="112">
        <v>60360</v>
      </c>
      <c r="N21" s="112">
        <v>53929</v>
      </c>
      <c r="O21" s="112">
        <v>260290</v>
      </c>
      <c r="P21" s="112">
        <v>534535</v>
      </c>
      <c r="Q21" s="112">
        <v>4787</v>
      </c>
      <c r="R21" s="112">
        <v>25981</v>
      </c>
      <c r="S21" s="112">
        <v>25503</v>
      </c>
      <c r="T21" s="112">
        <v>365071</v>
      </c>
      <c r="U21" s="112">
        <v>519163</v>
      </c>
      <c r="V21" s="112">
        <v>57239</v>
      </c>
      <c r="W21" s="112">
        <v>7303</v>
      </c>
      <c r="X21" s="112">
        <v>21182</v>
      </c>
      <c r="Y21" s="112">
        <v>120677</v>
      </c>
      <c r="Z21" s="112">
        <v>1266</v>
      </c>
      <c r="AA21" s="112">
        <v>229458</v>
      </c>
      <c r="AB21" s="112">
        <v>11288</v>
      </c>
      <c r="AC21" s="112">
        <v>2669</v>
      </c>
      <c r="AD21" s="112">
        <v>24055</v>
      </c>
      <c r="AE21" s="112">
        <v>117239</v>
      </c>
      <c r="AF21" s="112">
        <v>298886</v>
      </c>
      <c r="AG21" s="112">
        <v>1469226</v>
      </c>
      <c r="AH21" s="112">
        <v>13481</v>
      </c>
      <c r="AI21" s="112">
        <v>493171</v>
      </c>
      <c r="AJ21" s="116">
        <v>877582</v>
      </c>
      <c r="AK21" s="116">
        <v>13862</v>
      </c>
      <c r="AL21" s="127">
        <v>45546</v>
      </c>
      <c r="AM21" s="116">
        <v>44647</v>
      </c>
      <c r="AN21" s="116">
        <v>811920</v>
      </c>
      <c r="AO21" s="116">
        <v>5696</v>
      </c>
      <c r="AP21" s="116">
        <v>0</v>
      </c>
      <c r="AQ21" s="116">
        <v>146135</v>
      </c>
      <c r="AR21" s="116">
        <v>291348</v>
      </c>
      <c r="AS21" s="116">
        <v>82926</v>
      </c>
      <c r="AT21" s="116">
        <v>835</v>
      </c>
      <c r="AU21" s="116">
        <v>155109</v>
      </c>
      <c r="AV21" s="116">
        <v>59261</v>
      </c>
      <c r="AW21" s="116">
        <v>49567</v>
      </c>
      <c r="AX21" s="116">
        <v>248192</v>
      </c>
      <c r="AY21" s="116">
        <v>66641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74668</v>
      </c>
      <c r="C22" s="112">
        <v>101891</v>
      </c>
      <c r="D22" s="112">
        <v>19018</v>
      </c>
      <c r="E22" s="112">
        <v>20821</v>
      </c>
      <c r="F22" s="112">
        <v>265263</v>
      </c>
      <c r="G22" s="112">
        <v>4783</v>
      </c>
      <c r="H22" s="112">
        <v>8748</v>
      </c>
      <c r="I22" s="112">
        <v>522316</v>
      </c>
      <c r="J22" s="112">
        <v>89208</v>
      </c>
      <c r="K22" s="112">
        <v>8047</v>
      </c>
      <c r="L22" s="112">
        <v>38576</v>
      </c>
      <c r="M22" s="112">
        <v>60373</v>
      </c>
      <c r="N22" s="112">
        <v>53968</v>
      </c>
      <c r="O22" s="112">
        <v>260485</v>
      </c>
      <c r="P22" s="112">
        <v>535010</v>
      </c>
      <c r="Q22" s="112">
        <v>4792</v>
      </c>
      <c r="R22" s="112">
        <v>25994</v>
      </c>
      <c r="S22" s="112">
        <v>25503</v>
      </c>
      <c r="T22" s="112">
        <v>365255</v>
      </c>
      <c r="U22" s="112">
        <v>519504</v>
      </c>
      <c r="V22" s="112">
        <v>57280</v>
      </c>
      <c r="W22" s="112">
        <v>7306</v>
      </c>
      <c r="X22" s="112">
        <v>21200</v>
      </c>
      <c r="Y22" s="112">
        <v>120757</v>
      </c>
      <c r="Z22" s="112">
        <v>1269</v>
      </c>
      <c r="AA22" s="112">
        <v>229596</v>
      </c>
      <c r="AB22" s="112">
        <v>11288</v>
      </c>
      <c r="AC22" s="112">
        <v>2671</v>
      </c>
      <c r="AD22" s="112">
        <v>24063</v>
      </c>
      <c r="AE22" s="112">
        <v>117317</v>
      </c>
      <c r="AF22" s="112">
        <v>299148</v>
      </c>
      <c r="AG22" s="112">
        <v>1470163</v>
      </c>
      <c r="AH22" s="112">
        <v>13488</v>
      </c>
      <c r="AI22" s="112">
        <v>493191</v>
      </c>
      <c r="AJ22" s="116">
        <v>878348</v>
      </c>
      <c r="AK22" s="116">
        <v>13874</v>
      </c>
      <c r="AL22" s="127">
        <v>45713</v>
      </c>
      <c r="AM22" s="116">
        <v>44663</v>
      </c>
      <c r="AN22" s="116">
        <v>812708</v>
      </c>
      <c r="AO22" s="116">
        <v>5698</v>
      </c>
      <c r="AP22" s="116">
        <v>0</v>
      </c>
      <c r="AQ22" s="116">
        <v>146254</v>
      </c>
      <c r="AR22" s="116">
        <v>291593</v>
      </c>
      <c r="AS22" s="116">
        <v>82994</v>
      </c>
      <c r="AT22" s="116">
        <v>836</v>
      </c>
      <c r="AU22" s="116">
        <v>155264</v>
      </c>
      <c r="AV22" s="116">
        <v>59303</v>
      </c>
      <c r="AW22" s="116">
        <v>49606</v>
      </c>
      <c r="AX22" s="116">
        <v>248440</v>
      </c>
      <c r="AY22" s="116">
        <v>66696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74763</v>
      </c>
      <c r="C23" s="112">
        <v>102074</v>
      </c>
      <c r="D23" s="112">
        <v>19033</v>
      </c>
      <c r="E23" s="112">
        <v>20843</v>
      </c>
      <c r="F23" s="112">
        <v>265436</v>
      </c>
      <c r="G23" s="112">
        <v>4786</v>
      </c>
      <c r="H23" s="112">
        <v>8783</v>
      </c>
      <c r="I23" s="112">
        <v>522688</v>
      </c>
      <c r="J23" s="112">
        <v>89256</v>
      </c>
      <c r="K23" s="112">
        <v>8048</v>
      </c>
      <c r="L23" s="112">
        <v>38599</v>
      </c>
      <c r="M23" s="112">
        <v>60391</v>
      </c>
      <c r="N23" s="112">
        <v>54010</v>
      </c>
      <c r="O23" s="112">
        <v>260688</v>
      </c>
      <c r="P23" s="112">
        <v>535560</v>
      </c>
      <c r="Q23" s="112">
        <v>4798</v>
      </c>
      <c r="R23" s="112">
        <v>26007</v>
      </c>
      <c r="S23" s="112">
        <v>25503</v>
      </c>
      <c r="T23" s="112">
        <v>365472</v>
      </c>
      <c r="U23" s="112">
        <v>519901</v>
      </c>
      <c r="V23" s="112">
        <v>57325</v>
      </c>
      <c r="W23" s="112">
        <v>7306</v>
      </c>
      <c r="X23" s="112">
        <v>21218</v>
      </c>
      <c r="Y23" s="112">
        <v>120835</v>
      </c>
      <c r="Z23" s="112">
        <v>1273</v>
      </c>
      <c r="AA23" s="112">
        <v>229739</v>
      </c>
      <c r="AB23" s="112">
        <v>11288</v>
      </c>
      <c r="AC23" s="112">
        <v>2673</v>
      </c>
      <c r="AD23" s="112">
        <v>24071</v>
      </c>
      <c r="AE23" s="112">
        <v>117394</v>
      </c>
      <c r="AF23" s="112">
        <v>299412</v>
      </c>
      <c r="AG23" s="112">
        <v>1471175</v>
      </c>
      <c r="AH23" s="112">
        <v>13498</v>
      </c>
      <c r="AI23" s="112">
        <v>493209</v>
      </c>
      <c r="AJ23" s="112">
        <v>879346</v>
      </c>
      <c r="AK23" s="112">
        <v>13885</v>
      </c>
      <c r="AL23" s="127">
        <v>45899</v>
      </c>
      <c r="AM23" s="112">
        <v>44680</v>
      </c>
      <c r="AN23" s="116">
        <v>813300</v>
      </c>
      <c r="AO23" s="116">
        <v>5699</v>
      </c>
      <c r="AP23" s="116">
        <v>0</v>
      </c>
      <c r="AQ23" s="112">
        <v>146375</v>
      </c>
      <c r="AR23" s="112">
        <v>291841</v>
      </c>
      <c r="AS23" s="112">
        <v>83067</v>
      </c>
      <c r="AT23" s="112">
        <v>836</v>
      </c>
      <c r="AU23" s="112">
        <v>155409</v>
      </c>
      <c r="AV23" s="112">
        <v>59346</v>
      </c>
      <c r="AW23" s="112">
        <v>49640</v>
      </c>
      <c r="AX23" s="112">
        <v>248688</v>
      </c>
      <c r="AY23" s="112">
        <v>66751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74853</v>
      </c>
      <c r="C24" s="112">
        <v>102256</v>
      </c>
      <c r="D24" s="112">
        <v>19055</v>
      </c>
      <c r="E24" s="112">
        <v>20863</v>
      </c>
      <c r="F24" s="112">
        <v>265627</v>
      </c>
      <c r="G24" s="112">
        <v>4789</v>
      </c>
      <c r="H24" s="112">
        <v>8818</v>
      </c>
      <c r="I24" s="112">
        <v>523070</v>
      </c>
      <c r="J24" s="112">
        <v>89298</v>
      </c>
      <c r="K24" s="112">
        <v>8049</v>
      </c>
      <c r="L24" s="112">
        <v>38626</v>
      </c>
      <c r="M24" s="112">
        <v>60411</v>
      </c>
      <c r="N24" s="112">
        <v>54051</v>
      </c>
      <c r="O24" s="112">
        <v>260892</v>
      </c>
      <c r="P24" s="112">
        <v>536077</v>
      </c>
      <c r="Q24" s="112">
        <v>4805</v>
      </c>
      <c r="R24" s="112">
        <v>26019</v>
      </c>
      <c r="S24" s="112">
        <v>25503</v>
      </c>
      <c r="T24" s="112">
        <v>365740</v>
      </c>
      <c r="U24" s="112">
        <v>520292</v>
      </c>
      <c r="V24" s="112">
        <v>57368</v>
      </c>
      <c r="W24" s="112">
        <v>7309</v>
      </c>
      <c r="X24" s="112">
        <v>21240</v>
      </c>
      <c r="Y24" s="112">
        <v>120913</v>
      </c>
      <c r="Z24" s="112">
        <v>1276</v>
      </c>
      <c r="AA24" s="112">
        <v>229875</v>
      </c>
      <c r="AB24" s="112">
        <v>11288</v>
      </c>
      <c r="AC24" s="112">
        <v>2675</v>
      </c>
      <c r="AD24" s="112">
        <v>24080</v>
      </c>
      <c r="AE24" s="112">
        <v>117478</v>
      </c>
      <c r="AF24" s="112">
        <v>299666</v>
      </c>
      <c r="AG24" s="112">
        <v>1473266</v>
      </c>
      <c r="AH24" s="112">
        <v>13514</v>
      </c>
      <c r="AI24" s="112">
        <v>493227</v>
      </c>
      <c r="AJ24" s="112">
        <v>880329</v>
      </c>
      <c r="AK24" s="112">
        <v>13905</v>
      </c>
      <c r="AL24" s="127">
        <v>46051</v>
      </c>
      <c r="AM24" s="112">
        <v>44741</v>
      </c>
      <c r="AN24" s="116">
        <v>813896</v>
      </c>
      <c r="AO24" s="116">
        <v>5700</v>
      </c>
      <c r="AP24" s="116">
        <v>0</v>
      </c>
      <c r="AQ24" s="112">
        <v>146492</v>
      </c>
      <c r="AR24" s="112">
        <v>292106</v>
      </c>
      <c r="AS24" s="112">
        <v>83141</v>
      </c>
      <c r="AT24" s="112">
        <v>837</v>
      </c>
      <c r="AU24" s="112">
        <v>155556</v>
      </c>
      <c r="AV24" s="112">
        <v>59385</v>
      </c>
      <c r="AW24" s="112">
        <v>49671</v>
      </c>
      <c r="AX24" s="112">
        <v>248948</v>
      </c>
      <c r="AY24" s="112">
        <v>66801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74938</v>
      </c>
      <c r="C25" s="112">
        <v>102441</v>
      </c>
      <c r="D25" s="112">
        <v>19074</v>
      </c>
      <c r="E25" s="112">
        <v>20873</v>
      </c>
      <c r="F25" s="112">
        <v>265813</v>
      </c>
      <c r="G25" s="112">
        <v>4792</v>
      </c>
      <c r="H25" s="112">
        <v>8853</v>
      </c>
      <c r="I25" s="112">
        <v>523444</v>
      </c>
      <c r="J25" s="112">
        <v>89331</v>
      </c>
      <c r="K25" s="112">
        <v>8050</v>
      </c>
      <c r="L25" s="112">
        <v>38651</v>
      </c>
      <c r="M25" s="112">
        <v>60432</v>
      </c>
      <c r="N25" s="112">
        <v>54091</v>
      </c>
      <c r="O25" s="112">
        <v>261097</v>
      </c>
      <c r="P25" s="112">
        <v>536768</v>
      </c>
      <c r="Q25" s="112">
        <v>4810</v>
      </c>
      <c r="R25" s="112">
        <v>26033</v>
      </c>
      <c r="S25" s="112">
        <v>25503</v>
      </c>
      <c r="T25" s="112">
        <v>365957</v>
      </c>
      <c r="U25" s="112">
        <v>520656</v>
      </c>
      <c r="V25" s="112">
        <v>57412</v>
      </c>
      <c r="W25" s="112">
        <v>7311</v>
      </c>
      <c r="X25" s="112">
        <v>21263</v>
      </c>
      <c r="Y25" s="112">
        <v>120989</v>
      </c>
      <c r="Z25" s="112">
        <v>1280</v>
      </c>
      <c r="AA25" s="112">
        <v>230007</v>
      </c>
      <c r="AB25" s="112">
        <v>11292</v>
      </c>
      <c r="AC25" s="112">
        <v>2676</v>
      </c>
      <c r="AD25" s="112">
        <v>24087</v>
      </c>
      <c r="AE25" s="112">
        <v>117560</v>
      </c>
      <c r="AF25" s="112">
        <v>299905</v>
      </c>
      <c r="AG25" s="112">
        <v>1474902</v>
      </c>
      <c r="AH25" s="112">
        <v>13531</v>
      </c>
      <c r="AI25" s="112">
        <v>493246</v>
      </c>
      <c r="AJ25" s="112">
        <v>881254</v>
      </c>
      <c r="AK25" s="112">
        <v>13924</v>
      </c>
      <c r="AL25" s="127">
        <v>46186</v>
      </c>
      <c r="AM25" s="112">
        <v>44819</v>
      </c>
      <c r="AN25" s="116">
        <v>814507</v>
      </c>
      <c r="AO25" s="116">
        <v>5701</v>
      </c>
      <c r="AP25" s="116">
        <v>0</v>
      </c>
      <c r="AQ25" s="112">
        <v>146606</v>
      </c>
      <c r="AR25" s="112">
        <v>292356</v>
      </c>
      <c r="AS25" s="112">
        <v>83216</v>
      </c>
      <c r="AT25" s="112">
        <v>838</v>
      </c>
      <c r="AU25" s="112">
        <v>155709</v>
      </c>
      <c r="AV25" s="112">
        <v>59417</v>
      </c>
      <c r="AW25" s="112">
        <v>49703</v>
      </c>
      <c r="AX25" s="112">
        <v>249201</v>
      </c>
      <c r="AY25" s="112">
        <v>66863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75033</v>
      </c>
      <c r="C26" s="112">
        <v>102608</v>
      </c>
      <c r="D26" s="112">
        <v>19085</v>
      </c>
      <c r="E26" s="112">
        <v>20891</v>
      </c>
      <c r="F26" s="112">
        <v>265986</v>
      </c>
      <c r="G26" s="112">
        <v>4794</v>
      </c>
      <c r="H26" s="112">
        <v>8889</v>
      </c>
      <c r="I26" s="112">
        <v>523809</v>
      </c>
      <c r="J26" s="112">
        <v>89364</v>
      </c>
      <c r="K26" s="112">
        <v>8051</v>
      </c>
      <c r="L26" s="112">
        <v>38675</v>
      </c>
      <c r="M26" s="112">
        <v>60445</v>
      </c>
      <c r="N26" s="112">
        <v>54129</v>
      </c>
      <c r="O26" s="112">
        <v>261298</v>
      </c>
      <c r="P26" s="112">
        <v>537576</v>
      </c>
      <c r="Q26" s="112">
        <v>4816</v>
      </c>
      <c r="R26" s="112">
        <v>26047</v>
      </c>
      <c r="S26" s="112">
        <v>25503</v>
      </c>
      <c r="T26" s="112">
        <v>366145</v>
      </c>
      <c r="U26" s="112">
        <v>521014</v>
      </c>
      <c r="V26" s="112">
        <v>57460</v>
      </c>
      <c r="W26" s="112">
        <v>7315</v>
      </c>
      <c r="X26" s="112">
        <v>21289</v>
      </c>
      <c r="Y26" s="112">
        <v>121055</v>
      </c>
      <c r="Z26" s="112">
        <v>1281</v>
      </c>
      <c r="AA26" s="112">
        <v>230152</v>
      </c>
      <c r="AB26" s="112">
        <v>11294</v>
      </c>
      <c r="AC26" s="112">
        <v>2678</v>
      </c>
      <c r="AD26" s="112">
        <v>24105</v>
      </c>
      <c r="AE26" s="112">
        <v>117643</v>
      </c>
      <c r="AF26" s="112">
        <v>300165</v>
      </c>
      <c r="AG26" s="112">
        <v>1476335</v>
      </c>
      <c r="AH26" s="112">
        <v>13549</v>
      </c>
      <c r="AI26" s="112">
        <v>493264</v>
      </c>
      <c r="AJ26" s="112">
        <v>882115</v>
      </c>
      <c r="AK26" s="112">
        <v>13940</v>
      </c>
      <c r="AL26" s="127">
        <v>46326</v>
      </c>
      <c r="AM26" s="112">
        <v>44901</v>
      </c>
      <c r="AN26" s="116">
        <v>815524</v>
      </c>
      <c r="AO26" s="116">
        <v>5702</v>
      </c>
      <c r="AP26" s="116">
        <v>0</v>
      </c>
      <c r="AQ26" s="112">
        <v>146736</v>
      </c>
      <c r="AR26" s="112">
        <v>292621</v>
      </c>
      <c r="AS26" s="112">
        <v>83287</v>
      </c>
      <c r="AT26" s="112">
        <v>838</v>
      </c>
      <c r="AU26" s="112">
        <v>155869</v>
      </c>
      <c r="AV26" s="112">
        <v>59458</v>
      </c>
      <c r="AW26" s="112">
        <v>49739</v>
      </c>
      <c r="AX26" s="112">
        <v>249453</v>
      </c>
      <c r="AY26" s="112">
        <v>66922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75119</v>
      </c>
      <c r="C27" s="112">
        <v>102796</v>
      </c>
      <c r="D27" s="112">
        <v>19100</v>
      </c>
      <c r="E27" s="112">
        <v>20908</v>
      </c>
      <c r="F27" s="112">
        <v>266161</v>
      </c>
      <c r="G27" s="112">
        <v>4797</v>
      </c>
      <c r="H27" s="112">
        <v>8925</v>
      </c>
      <c r="I27" s="112">
        <v>524184</v>
      </c>
      <c r="J27" s="112">
        <v>89397</v>
      </c>
      <c r="K27" s="112">
        <v>8052</v>
      </c>
      <c r="L27" s="112">
        <v>38701</v>
      </c>
      <c r="M27" s="112">
        <v>60469</v>
      </c>
      <c r="N27" s="112">
        <v>54168</v>
      </c>
      <c r="O27" s="112">
        <v>261501</v>
      </c>
      <c r="P27" s="112">
        <v>538262</v>
      </c>
      <c r="Q27" s="112">
        <v>4822</v>
      </c>
      <c r="R27" s="112">
        <v>26060</v>
      </c>
      <c r="S27" s="112">
        <v>25503</v>
      </c>
      <c r="T27" s="112">
        <v>366336</v>
      </c>
      <c r="U27" s="112">
        <v>521353</v>
      </c>
      <c r="V27" s="112">
        <v>57505</v>
      </c>
      <c r="W27" s="112">
        <v>7321</v>
      </c>
      <c r="X27" s="112">
        <v>21316</v>
      </c>
      <c r="Y27" s="112">
        <v>121120</v>
      </c>
      <c r="Z27" s="112">
        <v>1281</v>
      </c>
      <c r="AA27" s="112">
        <v>230294</v>
      </c>
      <c r="AB27" s="112">
        <v>11299</v>
      </c>
      <c r="AC27" s="112">
        <v>2680</v>
      </c>
      <c r="AD27" s="112">
        <v>24121</v>
      </c>
      <c r="AE27" s="112">
        <v>117725</v>
      </c>
      <c r="AF27" s="112">
        <v>300428</v>
      </c>
      <c r="AG27" s="112">
        <v>1477843</v>
      </c>
      <c r="AH27" s="112">
        <v>13563</v>
      </c>
      <c r="AI27" s="112">
        <v>493282</v>
      </c>
      <c r="AJ27" s="112">
        <v>882996</v>
      </c>
      <c r="AK27" s="112">
        <v>13951</v>
      </c>
      <c r="AL27" s="127">
        <v>46468</v>
      </c>
      <c r="AM27" s="112">
        <v>44986</v>
      </c>
      <c r="AN27" s="116">
        <v>816283</v>
      </c>
      <c r="AO27" s="116">
        <v>5703</v>
      </c>
      <c r="AP27" s="116">
        <v>0</v>
      </c>
      <c r="AQ27" s="112">
        <v>146866</v>
      </c>
      <c r="AR27" s="112">
        <v>292879</v>
      </c>
      <c r="AS27" s="112">
        <v>83363</v>
      </c>
      <c r="AT27" s="112">
        <v>839</v>
      </c>
      <c r="AU27" s="112">
        <v>156038</v>
      </c>
      <c r="AV27" s="112">
        <v>59502</v>
      </c>
      <c r="AW27" s="112">
        <v>49776</v>
      </c>
      <c r="AX27" s="112">
        <v>249706</v>
      </c>
      <c r="AY27" s="112">
        <v>66981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75200</v>
      </c>
      <c r="C28" s="112">
        <v>102968</v>
      </c>
      <c r="D28" s="112">
        <v>19120</v>
      </c>
      <c r="E28" s="112">
        <v>20927</v>
      </c>
      <c r="F28" s="112">
        <v>266341</v>
      </c>
      <c r="G28" s="112">
        <v>4800</v>
      </c>
      <c r="H28" s="112">
        <v>8965</v>
      </c>
      <c r="I28" s="112">
        <v>524547</v>
      </c>
      <c r="J28" s="112">
        <v>89437</v>
      </c>
      <c r="K28" s="112">
        <v>8053</v>
      </c>
      <c r="L28" s="112">
        <v>38731</v>
      </c>
      <c r="M28" s="112">
        <v>60484</v>
      </c>
      <c r="N28" s="112">
        <v>54200</v>
      </c>
      <c r="O28" s="112">
        <v>261704</v>
      </c>
      <c r="P28" s="112">
        <v>538870</v>
      </c>
      <c r="Q28" s="112">
        <v>4827</v>
      </c>
      <c r="R28" s="112">
        <v>26073</v>
      </c>
      <c r="S28" s="112">
        <v>25503</v>
      </c>
      <c r="T28" s="112">
        <v>366553</v>
      </c>
      <c r="U28" s="112">
        <v>521721</v>
      </c>
      <c r="V28" s="112">
        <v>57549</v>
      </c>
      <c r="W28" s="112">
        <v>7328</v>
      </c>
      <c r="X28" s="112">
        <v>21357</v>
      </c>
      <c r="Y28" s="112">
        <v>121192</v>
      </c>
      <c r="Z28" s="112">
        <v>1281</v>
      </c>
      <c r="AA28" s="112">
        <v>230428</v>
      </c>
      <c r="AB28" s="112">
        <v>11303</v>
      </c>
      <c r="AC28" s="112">
        <v>2681</v>
      </c>
      <c r="AD28" s="112">
        <v>24133</v>
      </c>
      <c r="AE28" s="112">
        <v>117803</v>
      </c>
      <c r="AF28" s="112">
        <v>300692</v>
      </c>
      <c r="AG28" s="112">
        <v>1479146</v>
      </c>
      <c r="AH28" s="112">
        <v>13574</v>
      </c>
      <c r="AI28" s="112">
        <v>493300</v>
      </c>
      <c r="AJ28" s="112">
        <v>883810</v>
      </c>
      <c r="AK28" s="112">
        <v>13963</v>
      </c>
      <c r="AL28" s="127">
        <v>46604</v>
      </c>
      <c r="AM28" s="112">
        <v>45061</v>
      </c>
      <c r="AN28" s="116">
        <v>817096</v>
      </c>
      <c r="AO28" s="116">
        <v>5704</v>
      </c>
      <c r="AP28" s="116">
        <v>0</v>
      </c>
      <c r="AQ28" s="112">
        <v>146996</v>
      </c>
      <c r="AR28" s="112">
        <v>293136</v>
      </c>
      <c r="AS28" s="112">
        <v>83433</v>
      </c>
      <c r="AT28" s="112">
        <v>840</v>
      </c>
      <c r="AU28" s="112">
        <v>156190</v>
      </c>
      <c r="AV28" s="112">
        <v>59544</v>
      </c>
      <c r="AW28" s="112">
        <v>49807</v>
      </c>
      <c r="AX28" s="112">
        <v>249956</v>
      </c>
      <c r="AY28" s="112">
        <v>67043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75275</v>
      </c>
      <c r="C29" s="112">
        <v>103125</v>
      </c>
      <c r="D29" s="112">
        <v>19138</v>
      </c>
      <c r="E29" s="112">
        <v>20937</v>
      </c>
      <c r="F29" s="112">
        <v>266517</v>
      </c>
      <c r="G29" s="112">
        <v>4802</v>
      </c>
      <c r="H29" s="112">
        <v>9001</v>
      </c>
      <c r="I29" s="112">
        <v>524914</v>
      </c>
      <c r="J29" s="112">
        <v>89474</v>
      </c>
      <c r="K29" s="112">
        <v>8053</v>
      </c>
      <c r="L29" s="112">
        <v>38759</v>
      </c>
      <c r="M29" s="112">
        <v>60510</v>
      </c>
      <c r="N29" s="112">
        <v>54235</v>
      </c>
      <c r="O29" s="112">
        <v>261901</v>
      </c>
      <c r="P29" s="112">
        <v>539420</v>
      </c>
      <c r="Q29" s="112">
        <v>4832</v>
      </c>
      <c r="R29" s="112">
        <v>26085</v>
      </c>
      <c r="S29" s="112">
        <v>25503</v>
      </c>
      <c r="T29" s="112">
        <v>366761</v>
      </c>
      <c r="U29" s="112">
        <v>522085</v>
      </c>
      <c r="V29" s="112">
        <v>57590</v>
      </c>
      <c r="W29" s="112">
        <v>7334</v>
      </c>
      <c r="X29" s="112">
        <v>21376</v>
      </c>
      <c r="Y29" s="112">
        <v>121262</v>
      </c>
      <c r="Z29" s="112">
        <v>1281</v>
      </c>
      <c r="AA29" s="112">
        <v>230561</v>
      </c>
      <c r="AB29" s="112">
        <v>11303</v>
      </c>
      <c r="AC29" s="112">
        <v>2683</v>
      </c>
      <c r="AD29" s="112">
        <v>24140</v>
      </c>
      <c r="AE29" s="112">
        <v>117879</v>
      </c>
      <c r="AF29" s="112">
        <v>300952</v>
      </c>
      <c r="AG29" s="112">
        <v>1480319</v>
      </c>
      <c r="AH29" s="112">
        <v>13576</v>
      </c>
      <c r="AI29" s="112">
        <v>493318</v>
      </c>
      <c r="AJ29" s="112">
        <v>884477</v>
      </c>
      <c r="AK29" s="112">
        <v>13978</v>
      </c>
      <c r="AL29" s="127">
        <v>46744</v>
      </c>
      <c r="AM29" s="112">
        <v>45141</v>
      </c>
      <c r="AN29" s="116">
        <v>817873</v>
      </c>
      <c r="AO29" s="116">
        <v>5704</v>
      </c>
      <c r="AP29" s="116">
        <v>0</v>
      </c>
      <c r="AQ29" s="112">
        <v>147121</v>
      </c>
      <c r="AR29" s="112">
        <v>293367</v>
      </c>
      <c r="AS29" s="112">
        <v>83499</v>
      </c>
      <c r="AT29" s="112">
        <v>840</v>
      </c>
      <c r="AU29" s="112">
        <v>156351</v>
      </c>
      <c r="AV29" s="112">
        <v>59588</v>
      </c>
      <c r="AW29" s="112">
        <v>49846</v>
      </c>
      <c r="AX29" s="112">
        <v>250181</v>
      </c>
      <c r="AY29" s="112">
        <v>67101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75356</v>
      </c>
      <c r="C30" s="112">
        <v>103271</v>
      </c>
      <c r="D30" s="112">
        <v>19155</v>
      </c>
      <c r="E30" s="112">
        <v>20963</v>
      </c>
      <c r="F30" s="112">
        <v>266708</v>
      </c>
      <c r="G30" s="112">
        <v>4805</v>
      </c>
      <c r="H30" s="112">
        <v>9037</v>
      </c>
      <c r="I30" s="112">
        <v>525287</v>
      </c>
      <c r="J30" s="112">
        <v>89508</v>
      </c>
      <c r="K30" s="112">
        <v>8054</v>
      </c>
      <c r="L30" s="112">
        <v>38786</v>
      </c>
      <c r="M30" s="112">
        <v>60525</v>
      </c>
      <c r="N30" s="112">
        <v>54273</v>
      </c>
      <c r="O30" s="112">
        <v>262106</v>
      </c>
      <c r="P30" s="112">
        <v>539869</v>
      </c>
      <c r="Q30" s="112">
        <v>4835</v>
      </c>
      <c r="R30" s="112">
        <v>26100</v>
      </c>
      <c r="S30" s="112">
        <v>25503</v>
      </c>
      <c r="T30" s="112">
        <v>366965</v>
      </c>
      <c r="U30" s="112">
        <v>522465</v>
      </c>
      <c r="V30" s="112">
        <v>57633</v>
      </c>
      <c r="W30" s="112">
        <v>7342</v>
      </c>
      <c r="X30" s="112">
        <v>21400</v>
      </c>
      <c r="Y30" s="112">
        <v>121328</v>
      </c>
      <c r="Z30" s="112">
        <v>1281</v>
      </c>
      <c r="AA30" s="112">
        <v>230695</v>
      </c>
      <c r="AB30" s="112">
        <v>11303</v>
      </c>
      <c r="AC30" s="112">
        <v>2685</v>
      </c>
      <c r="AD30" s="112">
        <v>24151</v>
      </c>
      <c r="AE30" s="112">
        <v>117956</v>
      </c>
      <c r="AF30" s="112">
        <v>301215</v>
      </c>
      <c r="AG30" s="112">
        <v>1481568</v>
      </c>
      <c r="AH30" s="112">
        <v>13579</v>
      </c>
      <c r="AI30" s="112">
        <v>493336</v>
      </c>
      <c r="AJ30" s="112">
        <v>885167</v>
      </c>
      <c r="AK30" s="112">
        <v>13988</v>
      </c>
      <c r="AL30" s="127">
        <v>46903</v>
      </c>
      <c r="AM30" s="112">
        <v>45228</v>
      </c>
      <c r="AN30" s="116">
        <v>818497</v>
      </c>
      <c r="AO30" s="116">
        <v>5705</v>
      </c>
      <c r="AP30" s="116">
        <v>0</v>
      </c>
      <c r="AQ30" s="112">
        <v>147241</v>
      </c>
      <c r="AR30" s="116">
        <v>293598</v>
      </c>
      <c r="AS30" s="112">
        <v>83567</v>
      </c>
      <c r="AT30" s="112">
        <v>841</v>
      </c>
      <c r="AU30" s="112">
        <v>156517</v>
      </c>
      <c r="AV30" s="112">
        <v>59635</v>
      </c>
      <c r="AW30" s="112">
        <v>49886</v>
      </c>
      <c r="AX30" s="112">
        <v>250411</v>
      </c>
      <c r="AY30" s="112">
        <v>67162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75426</v>
      </c>
      <c r="C31" s="112">
        <v>103422</v>
      </c>
      <c r="D31" s="112">
        <v>19169</v>
      </c>
      <c r="E31" s="112">
        <v>20999</v>
      </c>
      <c r="F31" s="112">
        <v>266900</v>
      </c>
      <c r="G31" s="112">
        <v>4808</v>
      </c>
      <c r="H31" s="112">
        <v>9075</v>
      </c>
      <c r="I31" s="112">
        <v>525664</v>
      </c>
      <c r="J31" s="112">
        <v>89542</v>
      </c>
      <c r="K31" s="112">
        <v>8054</v>
      </c>
      <c r="L31" s="112">
        <v>38813</v>
      </c>
      <c r="M31" s="112">
        <v>60544</v>
      </c>
      <c r="N31" s="112">
        <v>54312</v>
      </c>
      <c r="O31" s="112">
        <v>262305</v>
      </c>
      <c r="P31" s="112">
        <v>540482</v>
      </c>
      <c r="Q31" s="112">
        <v>4839</v>
      </c>
      <c r="R31" s="112">
        <v>26113</v>
      </c>
      <c r="S31" s="112">
        <v>25503</v>
      </c>
      <c r="T31" s="112">
        <v>367187</v>
      </c>
      <c r="U31" s="112">
        <v>522822</v>
      </c>
      <c r="V31" s="112">
        <v>57675</v>
      </c>
      <c r="W31" s="112">
        <v>7351</v>
      </c>
      <c r="X31" s="112">
        <v>21422</v>
      </c>
      <c r="Y31" s="112">
        <v>121392</v>
      </c>
      <c r="Z31" s="112">
        <v>1281</v>
      </c>
      <c r="AA31" s="112">
        <v>230838</v>
      </c>
      <c r="AB31" s="112">
        <v>11303</v>
      </c>
      <c r="AC31" s="112">
        <v>2687</v>
      </c>
      <c r="AD31" s="112">
        <v>24159</v>
      </c>
      <c r="AE31" s="112">
        <v>118043</v>
      </c>
      <c r="AF31" s="112">
        <v>301466</v>
      </c>
      <c r="AG31" s="112">
        <v>1483002</v>
      </c>
      <c r="AH31" s="112">
        <v>13582</v>
      </c>
      <c r="AI31" s="112">
        <v>493353</v>
      </c>
      <c r="AJ31" s="112">
        <v>885842</v>
      </c>
      <c r="AK31" s="112">
        <v>14001</v>
      </c>
      <c r="AL31" s="127">
        <v>47074</v>
      </c>
      <c r="AM31" s="112">
        <v>45305</v>
      </c>
      <c r="AN31" s="116">
        <v>819271</v>
      </c>
      <c r="AO31" s="116">
        <v>5706</v>
      </c>
      <c r="AP31" s="116">
        <v>0</v>
      </c>
      <c r="AQ31" s="112">
        <v>147360</v>
      </c>
      <c r="AR31" s="112">
        <v>293830</v>
      </c>
      <c r="AS31" s="112">
        <v>83634</v>
      </c>
      <c r="AT31" s="112">
        <v>841</v>
      </c>
      <c r="AU31" s="112">
        <v>156685</v>
      </c>
      <c r="AV31" s="112">
        <v>59680</v>
      </c>
      <c r="AW31" s="112">
        <v>49926</v>
      </c>
      <c r="AX31" s="112">
        <v>250671</v>
      </c>
      <c r="AY31" s="112">
        <v>67222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75507</v>
      </c>
      <c r="C32" s="112">
        <v>103582</v>
      </c>
      <c r="D32" s="112">
        <v>19192</v>
      </c>
      <c r="E32" s="112">
        <v>21014</v>
      </c>
      <c r="F32" s="112">
        <v>267088</v>
      </c>
      <c r="G32" s="112">
        <v>4811</v>
      </c>
      <c r="H32" s="112">
        <v>9110</v>
      </c>
      <c r="I32" s="112">
        <v>526054</v>
      </c>
      <c r="J32" s="112">
        <v>89576</v>
      </c>
      <c r="K32" s="112">
        <v>8055</v>
      </c>
      <c r="L32" s="112">
        <v>38838</v>
      </c>
      <c r="M32" s="112">
        <v>60558</v>
      </c>
      <c r="N32" s="112">
        <v>54351</v>
      </c>
      <c r="O32" s="112">
        <v>262507</v>
      </c>
      <c r="P32" s="112">
        <v>541061</v>
      </c>
      <c r="Q32" s="112">
        <v>4844</v>
      </c>
      <c r="R32" s="112">
        <v>26130</v>
      </c>
      <c r="S32" s="112">
        <v>25503</v>
      </c>
      <c r="T32" s="112">
        <v>367407</v>
      </c>
      <c r="U32" s="112">
        <v>523181</v>
      </c>
      <c r="V32" s="112">
        <v>57720</v>
      </c>
      <c r="W32" s="112">
        <v>7358</v>
      </c>
      <c r="X32" s="112">
        <v>21444</v>
      </c>
      <c r="Y32" s="112">
        <v>121451</v>
      </c>
      <c r="Z32" s="112">
        <v>1281</v>
      </c>
      <c r="AA32" s="112">
        <v>230973</v>
      </c>
      <c r="AB32" s="112">
        <v>11306</v>
      </c>
      <c r="AC32" s="112">
        <v>2690</v>
      </c>
      <c r="AD32" s="112">
        <v>24171</v>
      </c>
      <c r="AE32" s="112">
        <v>118128</v>
      </c>
      <c r="AF32" s="112">
        <v>301728</v>
      </c>
      <c r="AG32" s="112">
        <v>1484325</v>
      </c>
      <c r="AH32" s="112">
        <v>13586</v>
      </c>
      <c r="AI32" s="112">
        <v>493371</v>
      </c>
      <c r="AJ32" s="112">
        <v>886526</v>
      </c>
      <c r="AK32" s="112">
        <v>14015</v>
      </c>
      <c r="AL32" s="127">
        <v>47264</v>
      </c>
      <c r="AM32" s="112">
        <v>45378</v>
      </c>
      <c r="AN32" s="116">
        <v>819963</v>
      </c>
      <c r="AO32" s="116">
        <v>5707</v>
      </c>
      <c r="AP32" s="116">
        <v>0</v>
      </c>
      <c r="AQ32" s="112">
        <v>147483</v>
      </c>
      <c r="AR32" s="112">
        <v>294087</v>
      </c>
      <c r="AS32" s="112">
        <v>83703</v>
      </c>
      <c r="AT32" s="112">
        <v>842</v>
      </c>
      <c r="AU32" s="112">
        <v>156860</v>
      </c>
      <c r="AV32" s="112">
        <v>59725</v>
      </c>
      <c r="AW32" s="112">
        <v>49962</v>
      </c>
      <c r="AX32" s="112">
        <v>250843</v>
      </c>
      <c r="AY32" s="112">
        <v>67283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75593</v>
      </c>
      <c r="C33" s="112">
        <v>103732</v>
      </c>
      <c r="D33" s="112">
        <v>19205</v>
      </c>
      <c r="E33" s="112">
        <v>21036</v>
      </c>
      <c r="F33" s="112">
        <v>267262</v>
      </c>
      <c r="G33" s="112">
        <v>4814</v>
      </c>
      <c r="H33" s="112">
        <v>9148</v>
      </c>
      <c r="I33" s="112">
        <v>526431</v>
      </c>
      <c r="J33" s="112">
        <v>89616</v>
      </c>
      <c r="K33" s="112">
        <v>8056</v>
      </c>
      <c r="L33" s="112">
        <v>38867</v>
      </c>
      <c r="M33" s="112">
        <v>60582</v>
      </c>
      <c r="N33" s="112">
        <v>54389</v>
      </c>
      <c r="O33" s="112">
        <v>262706</v>
      </c>
      <c r="P33" s="112">
        <v>541658</v>
      </c>
      <c r="Q33" s="112">
        <v>4850</v>
      </c>
      <c r="R33" s="112">
        <v>26144</v>
      </c>
      <c r="S33" s="112">
        <v>25503</v>
      </c>
      <c r="T33" s="112">
        <v>367613</v>
      </c>
      <c r="U33" s="112">
        <v>523529</v>
      </c>
      <c r="V33" s="112">
        <v>57765</v>
      </c>
      <c r="W33" s="112">
        <v>7364</v>
      </c>
      <c r="X33" s="112">
        <v>21467</v>
      </c>
      <c r="Y33" s="112">
        <v>121509</v>
      </c>
      <c r="Z33" s="112">
        <v>1281</v>
      </c>
      <c r="AA33" s="112">
        <v>231107</v>
      </c>
      <c r="AB33" s="112">
        <v>11307</v>
      </c>
      <c r="AC33" s="112">
        <v>2692</v>
      </c>
      <c r="AD33" s="112">
        <v>24190</v>
      </c>
      <c r="AE33" s="112">
        <v>118219</v>
      </c>
      <c r="AF33" s="112">
        <v>301985</v>
      </c>
      <c r="AG33" s="112">
        <v>1486035</v>
      </c>
      <c r="AH33" s="112">
        <v>13595</v>
      </c>
      <c r="AI33" s="112">
        <v>493389</v>
      </c>
      <c r="AJ33" s="112">
        <v>887218</v>
      </c>
      <c r="AK33" s="112">
        <v>14030</v>
      </c>
      <c r="AL33" s="127">
        <v>47447</v>
      </c>
      <c r="AM33" s="112">
        <v>45438</v>
      </c>
      <c r="AN33" s="116">
        <v>820723</v>
      </c>
      <c r="AO33" s="116">
        <v>5708</v>
      </c>
      <c r="AP33" s="116">
        <v>0</v>
      </c>
      <c r="AQ33" s="112">
        <v>147622</v>
      </c>
      <c r="AR33" s="112">
        <v>294338</v>
      </c>
      <c r="AS33" s="112">
        <v>83768</v>
      </c>
      <c r="AT33" s="112">
        <v>843</v>
      </c>
      <c r="AU33" s="112">
        <v>157029</v>
      </c>
      <c r="AV33" s="112">
        <v>59769</v>
      </c>
      <c r="AW33" s="112">
        <v>50000</v>
      </c>
      <c r="AX33" s="112">
        <v>251062</v>
      </c>
      <c r="AY33" s="112">
        <v>67341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>
        <v>75678</v>
      </c>
      <c r="C34" s="112">
        <v>103880</v>
      </c>
      <c r="D34" s="112">
        <v>19208</v>
      </c>
      <c r="E34" s="112">
        <v>21061</v>
      </c>
      <c r="F34" s="112">
        <v>267439</v>
      </c>
      <c r="G34" s="112">
        <v>4817</v>
      </c>
      <c r="H34" s="112">
        <v>9192</v>
      </c>
      <c r="I34" s="112">
        <v>526813</v>
      </c>
      <c r="J34" s="112">
        <v>89651</v>
      </c>
      <c r="K34" s="112">
        <v>8057</v>
      </c>
      <c r="L34" s="112">
        <v>38895</v>
      </c>
      <c r="M34" s="112">
        <v>60603</v>
      </c>
      <c r="N34" s="112">
        <v>54426</v>
      </c>
      <c r="O34" s="112">
        <v>262912</v>
      </c>
      <c r="P34" s="112">
        <v>542336</v>
      </c>
      <c r="Q34" s="112">
        <v>4858</v>
      </c>
      <c r="R34" s="112">
        <v>26157</v>
      </c>
      <c r="S34" s="112">
        <v>25503</v>
      </c>
      <c r="T34" s="112">
        <v>367822</v>
      </c>
      <c r="U34" s="112">
        <v>523896</v>
      </c>
      <c r="V34" s="112">
        <v>57809</v>
      </c>
      <c r="W34" s="112">
        <v>7371</v>
      </c>
      <c r="X34" s="112">
        <v>21495</v>
      </c>
      <c r="Y34" s="112">
        <v>121561</v>
      </c>
      <c r="Z34" s="112">
        <v>1281</v>
      </c>
      <c r="AA34" s="112">
        <v>231247</v>
      </c>
      <c r="AB34" s="112">
        <v>11307</v>
      </c>
      <c r="AC34" s="112">
        <v>2694</v>
      </c>
      <c r="AD34" s="112">
        <v>24213</v>
      </c>
      <c r="AE34" s="112">
        <v>118310</v>
      </c>
      <c r="AF34" s="112">
        <v>302270</v>
      </c>
      <c r="AG34" s="112">
        <v>1487521</v>
      </c>
      <c r="AH34" s="112">
        <v>13611</v>
      </c>
      <c r="AI34" s="112">
        <v>493407</v>
      </c>
      <c r="AJ34" s="112">
        <v>887991</v>
      </c>
      <c r="AK34" s="112">
        <v>14052</v>
      </c>
      <c r="AL34" s="127">
        <v>47631</v>
      </c>
      <c r="AM34" s="112">
        <v>45499</v>
      </c>
      <c r="AN34" s="116">
        <v>821564</v>
      </c>
      <c r="AO34" s="116">
        <v>5709</v>
      </c>
      <c r="AP34" s="116">
        <v>0</v>
      </c>
      <c r="AQ34" s="112">
        <v>147762</v>
      </c>
      <c r="AR34" s="112">
        <v>294568</v>
      </c>
      <c r="AS34" s="112">
        <v>83839</v>
      </c>
      <c r="AT34" s="112">
        <v>843</v>
      </c>
      <c r="AU34" s="112">
        <v>157170</v>
      </c>
      <c r="AV34" s="112">
        <v>59815</v>
      </c>
      <c r="AW34" s="112">
        <v>50035</v>
      </c>
      <c r="AX34" s="112">
        <v>251297</v>
      </c>
      <c r="AY34" s="112">
        <v>67396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>
        <v>75760</v>
      </c>
      <c r="C35" s="112">
        <v>104023</v>
      </c>
      <c r="D35" s="112">
        <v>19229</v>
      </c>
      <c r="E35" s="112">
        <v>21083</v>
      </c>
      <c r="F35" s="112">
        <v>267609</v>
      </c>
      <c r="G35" s="112">
        <v>4819</v>
      </c>
      <c r="H35" s="112">
        <v>9228</v>
      </c>
      <c r="I35" s="112">
        <v>527179</v>
      </c>
      <c r="J35" s="112">
        <v>89685</v>
      </c>
      <c r="K35" s="112">
        <v>8058</v>
      </c>
      <c r="L35" s="112">
        <v>38927</v>
      </c>
      <c r="M35" s="112">
        <v>60621</v>
      </c>
      <c r="N35" s="112">
        <v>54457</v>
      </c>
      <c r="O35" s="112">
        <v>263111</v>
      </c>
      <c r="P35" s="112">
        <v>542836</v>
      </c>
      <c r="Q35" s="112">
        <v>4865</v>
      </c>
      <c r="R35" s="112">
        <v>26173</v>
      </c>
      <c r="S35" s="112">
        <v>25503</v>
      </c>
      <c r="T35" s="112">
        <v>368020</v>
      </c>
      <c r="U35" s="112">
        <v>524230</v>
      </c>
      <c r="V35" s="112">
        <v>57853</v>
      </c>
      <c r="W35" s="112">
        <v>7377</v>
      </c>
      <c r="X35" s="112">
        <v>21508</v>
      </c>
      <c r="Y35" s="112">
        <v>121624</v>
      </c>
      <c r="Z35" s="112">
        <v>1281</v>
      </c>
      <c r="AA35" s="112">
        <v>231380</v>
      </c>
      <c r="AB35" s="112">
        <v>11307</v>
      </c>
      <c r="AC35" s="112">
        <v>2696</v>
      </c>
      <c r="AD35" s="112">
        <v>24225</v>
      </c>
      <c r="AE35" s="112">
        <v>118401</v>
      </c>
      <c r="AF35" s="112">
        <v>302509</v>
      </c>
      <c r="AG35" s="112">
        <v>1488535</v>
      </c>
      <c r="AH35" s="112">
        <v>13624</v>
      </c>
      <c r="AI35" s="112">
        <v>493425</v>
      </c>
      <c r="AJ35" s="112">
        <v>888683</v>
      </c>
      <c r="AK35" s="112">
        <v>14062</v>
      </c>
      <c r="AL35" s="127">
        <v>47802</v>
      </c>
      <c r="AM35" s="112">
        <v>45562</v>
      </c>
      <c r="AN35" s="116">
        <v>822379</v>
      </c>
      <c r="AO35" s="116">
        <v>5710</v>
      </c>
      <c r="AP35" s="116">
        <v>0</v>
      </c>
      <c r="AQ35" s="112">
        <v>147898</v>
      </c>
      <c r="AR35" s="112">
        <v>294794</v>
      </c>
      <c r="AS35" s="112">
        <v>83907</v>
      </c>
      <c r="AT35" s="112">
        <v>844</v>
      </c>
      <c r="AU35" s="112">
        <v>157313</v>
      </c>
      <c r="AV35" s="112">
        <v>59861</v>
      </c>
      <c r="AW35" s="112">
        <v>50068</v>
      </c>
      <c r="AX35" s="112">
        <v>251477</v>
      </c>
      <c r="AY35" s="112">
        <v>67451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>
        <v>75841</v>
      </c>
      <c r="C36" s="112">
        <v>104178</v>
      </c>
      <c r="D36" s="112">
        <v>19251</v>
      </c>
      <c r="E36" s="112">
        <v>21105</v>
      </c>
      <c r="F36" s="112">
        <v>267781</v>
      </c>
      <c r="G36" s="112">
        <v>4822</v>
      </c>
      <c r="H36" s="112">
        <v>9267</v>
      </c>
      <c r="I36" s="112">
        <v>527552</v>
      </c>
      <c r="J36" s="112">
        <v>89715</v>
      </c>
      <c r="K36" s="112">
        <v>8058</v>
      </c>
      <c r="L36" s="112">
        <v>38954</v>
      </c>
      <c r="M36" s="112">
        <v>60651</v>
      </c>
      <c r="N36" s="112">
        <v>54495</v>
      </c>
      <c r="O36" s="112">
        <v>263314</v>
      </c>
      <c r="P36" s="112">
        <v>543369</v>
      </c>
      <c r="Q36" s="112">
        <v>4871</v>
      </c>
      <c r="R36" s="112">
        <v>26188</v>
      </c>
      <c r="S36" s="112">
        <v>25503</v>
      </c>
      <c r="T36" s="112">
        <v>368219</v>
      </c>
      <c r="U36" s="112">
        <v>524582</v>
      </c>
      <c r="V36" s="112">
        <v>57897</v>
      </c>
      <c r="W36" s="112">
        <v>7380</v>
      </c>
      <c r="X36" s="112">
        <v>21528</v>
      </c>
      <c r="Y36" s="112">
        <v>121698</v>
      </c>
      <c r="Z36" s="112">
        <v>1281</v>
      </c>
      <c r="AA36" s="112">
        <v>231512</v>
      </c>
      <c r="AB36" s="112">
        <v>11309</v>
      </c>
      <c r="AC36" s="112">
        <v>2697</v>
      </c>
      <c r="AD36" s="112">
        <v>24237</v>
      </c>
      <c r="AE36" s="112">
        <v>118499</v>
      </c>
      <c r="AF36" s="112">
        <v>302716</v>
      </c>
      <c r="AG36" s="112">
        <v>1489964</v>
      </c>
      <c r="AH36" s="112">
        <v>13633</v>
      </c>
      <c r="AI36" s="112">
        <v>493442</v>
      </c>
      <c r="AJ36" s="112">
        <v>889314</v>
      </c>
      <c r="AK36" s="112">
        <v>14083</v>
      </c>
      <c r="AL36" s="127">
        <v>47842</v>
      </c>
      <c r="AM36" s="112">
        <v>45639</v>
      </c>
      <c r="AN36" s="116">
        <v>823165</v>
      </c>
      <c r="AO36" s="116">
        <v>5710</v>
      </c>
      <c r="AP36" s="116">
        <v>0</v>
      </c>
      <c r="AQ36" s="112">
        <v>148034</v>
      </c>
      <c r="AR36" s="112">
        <v>295035</v>
      </c>
      <c r="AS36" s="112">
        <v>83983</v>
      </c>
      <c r="AT36" s="112">
        <v>845</v>
      </c>
      <c r="AU36" s="112">
        <v>157480</v>
      </c>
      <c r="AV36" s="112">
        <v>59907</v>
      </c>
      <c r="AW36" s="112">
        <v>50111</v>
      </c>
      <c r="AX36" s="112">
        <v>251643</v>
      </c>
      <c r="AY36" s="112">
        <v>67506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75921</v>
      </c>
      <c r="C37" s="112">
        <v>104338</v>
      </c>
      <c r="D37" s="112">
        <v>19273</v>
      </c>
      <c r="E37" s="112">
        <v>21115</v>
      </c>
      <c r="F37" s="112">
        <v>267967</v>
      </c>
      <c r="G37" s="112">
        <v>4824</v>
      </c>
      <c r="H37" s="112">
        <v>9300</v>
      </c>
      <c r="I37" s="112">
        <v>527919</v>
      </c>
      <c r="J37" s="112">
        <v>89746</v>
      </c>
      <c r="K37" s="112">
        <v>8059</v>
      </c>
      <c r="L37" s="112">
        <v>38986</v>
      </c>
      <c r="M37" s="112">
        <v>60681</v>
      </c>
      <c r="N37" s="112">
        <v>54533</v>
      </c>
      <c r="O37" s="112">
        <v>263529</v>
      </c>
      <c r="P37" s="112">
        <v>544008</v>
      </c>
      <c r="Q37" s="112">
        <v>4878</v>
      </c>
      <c r="R37" s="112">
        <v>26202</v>
      </c>
      <c r="S37" s="112">
        <v>25503</v>
      </c>
      <c r="T37" s="112">
        <v>368428</v>
      </c>
      <c r="U37" s="112">
        <v>524936</v>
      </c>
      <c r="V37" s="112">
        <v>57944</v>
      </c>
      <c r="W37" s="112">
        <v>7380</v>
      </c>
      <c r="X37" s="112">
        <v>21542</v>
      </c>
      <c r="Y37" s="112">
        <v>121780</v>
      </c>
      <c r="Z37" s="112">
        <v>1281</v>
      </c>
      <c r="AA37" s="112">
        <v>231649</v>
      </c>
      <c r="AB37" s="112">
        <v>11310</v>
      </c>
      <c r="AC37" s="112">
        <v>2699</v>
      </c>
      <c r="AD37" s="112">
        <v>24253</v>
      </c>
      <c r="AE37" s="112">
        <v>118602</v>
      </c>
      <c r="AF37" s="112">
        <v>302926</v>
      </c>
      <c r="AG37" s="112">
        <v>1491570</v>
      </c>
      <c r="AH37" s="112">
        <v>13644</v>
      </c>
      <c r="AI37" s="112">
        <v>493459</v>
      </c>
      <c r="AJ37" s="112">
        <v>889946</v>
      </c>
      <c r="AK37" s="112">
        <v>14106</v>
      </c>
      <c r="AL37" s="127">
        <v>47857</v>
      </c>
      <c r="AM37" s="112">
        <v>45716</v>
      </c>
      <c r="AN37" s="116">
        <v>823809</v>
      </c>
      <c r="AO37" s="116">
        <v>5710</v>
      </c>
      <c r="AP37" s="116">
        <v>0</v>
      </c>
      <c r="AQ37" s="112">
        <v>148167</v>
      </c>
      <c r="AR37" s="112">
        <v>295284</v>
      </c>
      <c r="AS37" s="112">
        <v>84064</v>
      </c>
      <c r="AT37" s="112">
        <v>845</v>
      </c>
      <c r="AU37" s="112">
        <v>157644</v>
      </c>
      <c r="AV37" s="112">
        <v>59953</v>
      </c>
      <c r="AW37" s="112">
        <v>50158</v>
      </c>
      <c r="AX37" s="112">
        <v>251816</v>
      </c>
      <c r="AY37" s="129">
        <v>67563</v>
      </c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x14ac:dyDescent="0.25">
      <c r="D38" s="131"/>
      <c r="E38" s="23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2021-07-14T08:14:12Z</dcterms:modified>
</cp:coreProperties>
</file>