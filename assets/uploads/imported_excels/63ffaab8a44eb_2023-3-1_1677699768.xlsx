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shr-my.sharepoint.com/personal/roxanne_gunnells_fourseasons_com/Documents/Energy/HEP tracking/HEP Daily 2023/"/>
    </mc:Choice>
  </mc:AlternateContent>
  <bookViews>
    <workbookView xWindow="0" yWindow="0" windowWidth="21570" windowHeight="7485"/>
  </bookViews>
  <sheets>
    <sheet name="TOTAL" sheetId="5" r:id="rId1"/>
    <sheet name="Submetering " sheetId="4" r:id="rId2"/>
    <sheet name="DAILY" sheetId="6" r:id="rId3"/>
  </sheets>
  <calcPr calcId="162913"/>
  <fileRecoveryPr autoRecover="0"/>
</workbook>
</file>

<file path=xl/calcChain.xml><?xml version="1.0" encoding="utf-8"?>
<calcChain xmlns="http://schemas.openxmlformats.org/spreadsheetml/2006/main">
  <c r="Q3" i="4" l="1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Q4" i="4"/>
  <c r="P3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N3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I4" i="5" s="1"/>
  <c r="N4" i="4"/>
  <c r="M3" i="4"/>
  <c r="G2" i="5" s="1"/>
  <c r="M30" i="4"/>
  <c r="G29" i="5" s="1"/>
  <c r="M29" i="4"/>
  <c r="G28" i="5" s="1"/>
  <c r="M28" i="4"/>
  <c r="G27" i="5" s="1"/>
  <c r="M27" i="4"/>
  <c r="G26" i="5" s="1"/>
  <c r="M26" i="4"/>
  <c r="G25" i="5" s="1"/>
  <c r="M25" i="4"/>
  <c r="G24" i="5" s="1"/>
  <c r="M24" i="4"/>
  <c r="G23" i="5" s="1"/>
  <c r="M23" i="4"/>
  <c r="G22" i="5" s="1"/>
  <c r="M22" i="4"/>
  <c r="G21" i="5" s="1"/>
  <c r="M21" i="4"/>
  <c r="G20" i="5" s="1"/>
  <c r="M20" i="4"/>
  <c r="G19" i="5" s="1"/>
  <c r="M19" i="4"/>
  <c r="G18" i="5" s="1"/>
  <c r="M18" i="4"/>
  <c r="G17" i="5" s="1"/>
  <c r="M17" i="4"/>
  <c r="G16" i="5" s="1"/>
  <c r="M16" i="4"/>
  <c r="G15" i="5" s="1"/>
  <c r="M15" i="4"/>
  <c r="G14" i="5" s="1"/>
  <c r="M14" i="4"/>
  <c r="G13" i="5" s="1"/>
  <c r="M13" i="4"/>
  <c r="G12" i="5" s="1"/>
  <c r="M12" i="4"/>
  <c r="G11" i="5" s="1"/>
  <c r="M11" i="4"/>
  <c r="G10" i="5" s="1"/>
  <c r="M10" i="4"/>
  <c r="G9" i="5" s="1"/>
  <c r="M9" i="4"/>
  <c r="G8" i="5" s="1"/>
  <c r="M8" i="4"/>
  <c r="G7" i="5" s="1"/>
  <c r="M7" i="4"/>
  <c r="G6" i="5" s="1"/>
  <c r="M6" i="4"/>
  <c r="G5" i="5" s="1"/>
  <c r="M5" i="4"/>
  <c r="G4" i="5" s="1"/>
  <c r="M4" i="4"/>
  <c r="G3" i="5" s="1"/>
  <c r="L3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K3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J3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I3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3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4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3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K2" i="5" l="1"/>
  <c r="E5" i="5"/>
  <c r="E13" i="5"/>
  <c r="E21" i="5"/>
  <c r="I7" i="5"/>
  <c r="I15" i="5"/>
  <c r="I23" i="5"/>
  <c r="K9" i="5"/>
  <c r="K17" i="5"/>
  <c r="K25" i="5"/>
  <c r="K10" i="5"/>
  <c r="K18" i="5"/>
  <c r="E29" i="5"/>
  <c r="I6" i="5"/>
  <c r="I14" i="5"/>
  <c r="I22" i="5"/>
  <c r="K8" i="5"/>
  <c r="K16" i="5"/>
  <c r="K24" i="5"/>
  <c r="I8" i="5"/>
  <c r="I10" i="5"/>
  <c r="I18" i="5"/>
  <c r="K4" i="5"/>
  <c r="K12" i="5"/>
  <c r="K20" i="5"/>
  <c r="I3" i="5"/>
  <c r="I11" i="5"/>
  <c r="I19" i="5"/>
  <c r="I27" i="5"/>
  <c r="K5" i="5"/>
  <c r="K13" i="5"/>
  <c r="K21" i="5"/>
  <c r="K29" i="5"/>
  <c r="I16" i="5"/>
  <c r="I12" i="5"/>
  <c r="I20" i="5"/>
  <c r="I28" i="5"/>
  <c r="K6" i="5"/>
  <c r="K14" i="5"/>
  <c r="K22" i="5"/>
  <c r="I24" i="5"/>
  <c r="I26" i="5"/>
  <c r="K28" i="5"/>
  <c r="K26" i="5"/>
  <c r="E7" i="5"/>
  <c r="E15" i="5"/>
  <c r="E23" i="5"/>
  <c r="I9" i="5"/>
  <c r="I17" i="5"/>
  <c r="I25" i="5"/>
  <c r="I2" i="5"/>
  <c r="K3" i="5"/>
  <c r="K11" i="5"/>
  <c r="K19" i="5"/>
  <c r="K27" i="5"/>
  <c r="E8" i="5"/>
  <c r="E16" i="5"/>
  <c r="E24" i="5"/>
  <c r="E14" i="5"/>
  <c r="E17" i="5"/>
  <c r="E25" i="5"/>
  <c r="E6" i="5"/>
  <c r="E9" i="5"/>
  <c r="E18" i="5"/>
  <c r="E2" i="5"/>
  <c r="E10" i="5"/>
  <c r="E26" i="5"/>
  <c r="E3" i="5"/>
  <c r="E11" i="5"/>
  <c r="E19" i="5"/>
  <c r="E27" i="5"/>
  <c r="I5" i="5"/>
  <c r="I13" i="5"/>
  <c r="I21" i="5"/>
  <c r="I29" i="5"/>
  <c r="K7" i="5"/>
  <c r="K15" i="5"/>
  <c r="K23" i="5"/>
  <c r="E22" i="5"/>
  <c r="E4" i="5"/>
  <c r="E12" i="5"/>
  <c r="E20" i="5"/>
  <c r="E28" i="5"/>
  <c r="D3" i="6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B4" i="4" l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</calcChain>
</file>

<file path=xl/sharedStrings.xml><?xml version="1.0" encoding="utf-8"?>
<sst xmlns="http://schemas.openxmlformats.org/spreadsheetml/2006/main" count="480" uniqueCount="354">
  <si>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</si>
  <si>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</si>
  <si>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</si>
  <si>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</si>
  <si>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</si>
  <si>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</si>
  <si>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</si>
  <si>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</si>
  <si>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</si>
  <si>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Electricity Tariff ($/Kwh)</t>
  </si>
  <si>
    <t>Natural Gas $/m3</t>
  </si>
  <si>
    <t>Water Utility Supply (m3) $/m3</t>
  </si>
  <si>
    <t>Seattle</t>
  </si>
  <si>
    <t>July Meter Readings</t>
  </si>
  <si>
    <t>Location/Meter</t>
  </si>
  <si>
    <t>Readings</t>
  </si>
  <si>
    <t>C Level Meter 768867</t>
  </si>
  <si>
    <t>C Level Meter 768898</t>
  </si>
  <si>
    <t>C Level Meter 789059</t>
  </si>
  <si>
    <t>C Level 796579</t>
  </si>
  <si>
    <t>C Level 796593</t>
  </si>
  <si>
    <t>D Level 789073</t>
  </si>
  <si>
    <t>16th FL N 788970</t>
  </si>
  <si>
    <t>19th FL S 798644</t>
  </si>
  <si>
    <t>Gas meter</t>
  </si>
  <si>
    <t>Domestic Water South</t>
  </si>
  <si>
    <t>Domestic Water North</t>
  </si>
  <si>
    <t>Condensate 1 (Steam 103-G)</t>
  </si>
  <si>
    <t>Condensate 2 (Steam 7034-G)</t>
  </si>
  <si>
    <t>District Energy Heating Kwh</t>
  </si>
  <si>
    <t>District Energy Heating $/Kwh</t>
  </si>
  <si>
    <t>98237</t>
  </si>
  <si>
    <t>98253</t>
  </si>
  <si>
    <t>98269</t>
  </si>
  <si>
    <t>98285</t>
  </si>
  <si>
    <t>98301</t>
  </si>
  <si>
    <t>98317</t>
  </si>
  <si>
    <t>98332</t>
  </si>
  <si>
    <t>98348</t>
  </si>
  <si>
    <t>98363</t>
  </si>
  <si>
    <t>98379</t>
  </si>
  <si>
    <t>98395</t>
  </si>
  <si>
    <t>98412</t>
  </si>
  <si>
    <t>98428</t>
  </si>
  <si>
    <t>98444</t>
  </si>
  <si>
    <t>98459</t>
  </si>
  <si>
    <t>98476</t>
  </si>
  <si>
    <t>98492</t>
  </si>
  <si>
    <t>98510</t>
  </si>
  <si>
    <t>98527</t>
  </si>
  <si>
    <t>98543</t>
  </si>
  <si>
    <t>98559</t>
  </si>
  <si>
    <t>98575</t>
  </si>
  <si>
    <t>98593</t>
  </si>
  <si>
    <t>98610</t>
  </si>
  <si>
    <t>98628</t>
  </si>
  <si>
    <t>98648</t>
  </si>
  <si>
    <t>98666</t>
  </si>
  <si>
    <t>98684</t>
  </si>
  <si>
    <t>131435</t>
  </si>
  <si>
    <t>131456</t>
  </si>
  <si>
    <t>131478</t>
  </si>
  <si>
    <t>131501</t>
  </si>
  <si>
    <t>131524</t>
  </si>
  <si>
    <t>131546</t>
  </si>
  <si>
    <t>131570</t>
  </si>
  <si>
    <t>131590</t>
  </si>
  <si>
    <t>131613</t>
  </si>
  <si>
    <t>131635</t>
  </si>
  <si>
    <t>131658</t>
  </si>
  <si>
    <t>131680</t>
  </si>
  <si>
    <t>131701</t>
  </si>
  <si>
    <t>131722</t>
  </si>
  <si>
    <t>131743</t>
  </si>
  <si>
    <t>131763</t>
  </si>
  <si>
    <t>131785</t>
  </si>
  <si>
    <t>131807</t>
  </si>
  <si>
    <t>131829</t>
  </si>
  <si>
    <t>131852</t>
  </si>
  <si>
    <t>131873</t>
  </si>
  <si>
    <t>131893</t>
  </si>
  <si>
    <t>131915</t>
  </si>
  <si>
    <t>131935</t>
  </si>
  <si>
    <t>131955</t>
  </si>
  <si>
    <t>131978</t>
  </si>
  <si>
    <t>131999</t>
  </si>
  <si>
    <t>132019</t>
  </si>
  <si>
    <t>58416</t>
  </si>
  <si>
    <t>58425</t>
  </si>
  <si>
    <t>58435</t>
  </si>
  <si>
    <t>58444</t>
  </si>
  <si>
    <t>58453</t>
  </si>
  <si>
    <t>58462</t>
  </si>
  <si>
    <t>58471</t>
  </si>
  <si>
    <t>58479</t>
  </si>
  <si>
    <t>58488</t>
  </si>
  <si>
    <t>58498</t>
  </si>
  <si>
    <t>58508</t>
  </si>
  <si>
    <t>58517</t>
  </si>
  <si>
    <t>58526</t>
  </si>
  <si>
    <t>58535</t>
  </si>
  <si>
    <t>58544</t>
  </si>
  <si>
    <t>58554</t>
  </si>
  <si>
    <t>58564</t>
  </si>
  <si>
    <t>58574</t>
  </si>
  <si>
    <t>58584</t>
  </si>
  <si>
    <t>58594</t>
  </si>
  <si>
    <t>58604</t>
  </si>
  <si>
    <t>58613</t>
  </si>
  <si>
    <t>58623</t>
  </si>
  <si>
    <t>58632</t>
  </si>
  <si>
    <t>58641</t>
  </si>
  <si>
    <t>58651</t>
  </si>
  <si>
    <t>58661</t>
  </si>
  <si>
    <t>58671</t>
  </si>
  <si>
    <t>371733</t>
  </si>
  <si>
    <t>371777</t>
  </si>
  <si>
    <t>371822</t>
  </si>
  <si>
    <t>371866</t>
  </si>
  <si>
    <t>371912</t>
  </si>
  <si>
    <t>371956</t>
  </si>
  <si>
    <t>372001</t>
  </si>
  <si>
    <t>372045</t>
  </si>
  <si>
    <t>372080</t>
  </si>
  <si>
    <t>372134</t>
  </si>
  <si>
    <t>372178</t>
  </si>
  <si>
    <t>372226</t>
  </si>
  <si>
    <t>372272</t>
  </si>
  <si>
    <t>372318</t>
  </si>
  <si>
    <t>372362</t>
  </si>
  <si>
    <t>372407</t>
  </si>
  <si>
    <t>372453</t>
  </si>
  <si>
    <t>372498</t>
  </si>
  <si>
    <t>372544</t>
  </si>
  <si>
    <t>372590</t>
  </si>
  <si>
    <t>372636</t>
  </si>
  <si>
    <t>372680</t>
  </si>
  <si>
    <t>372727</t>
  </si>
  <si>
    <t>372773</t>
  </si>
  <si>
    <t>372819</t>
  </si>
  <si>
    <t>372868</t>
  </si>
  <si>
    <t>372915</t>
  </si>
  <si>
    <t>372962</t>
  </si>
  <si>
    <t>52251</t>
  </si>
  <si>
    <t>52262</t>
  </si>
  <si>
    <t>52275</t>
  </si>
  <si>
    <t>52287</t>
  </si>
  <si>
    <t>52301</t>
  </si>
  <si>
    <t>52313</t>
  </si>
  <si>
    <t>52326</t>
  </si>
  <si>
    <t>52338</t>
  </si>
  <si>
    <t>52351</t>
  </si>
  <si>
    <t>52365</t>
  </si>
  <si>
    <t>52377</t>
  </si>
  <si>
    <t>52390</t>
  </si>
  <si>
    <t>52403</t>
  </si>
  <si>
    <t>52417</t>
  </si>
  <si>
    <t>52430</t>
  </si>
  <si>
    <t>52443</t>
  </si>
  <si>
    <t>52456</t>
  </si>
  <si>
    <t>52469</t>
  </si>
  <si>
    <t>52481</t>
  </si>
  <si>
    <t>52493</t>
  </si>
  <si>
    <t>52506</t>
  </si>
  <si>
    <t>52518</t>
  </si>
  <si>
    <t>52530</t>
  </si>
  <si>
    <t>52543</t>
  </si>
  <si>
    <t>52555</t>
  </si>
  <si>
    <t>52569</t>
  </si>
  <si>
    <t>52580</t>
  </si>
  <si>
    <t>52592</t>
  </si>
  <si>
    <t>0142</t>
  </si>
  <si>
    <t>0143</t>
  </si>
  <si>
    <t>90996</t>
  </si>
  <si>
    <t>91001</t>
  </si>
  <si>
    <t>91006</t>
  </si>
  <si>
    <t>91011</t>
  </si>
  <si>
    <t>91017</t>
  </si>
  <si>
    <t>91022</t>
  </si>
  <si>
    <t>91027</t>
  </si>
  <si>
    <t>91033</t>
  </si>
  <si>
    <t>91038</t>
  </si>
  <si>
    <t>91043</t>
  </si>
  <si>
    <t>91049</t>
  </si>
  <si>
    <t>91054</t>
  </si>
  <si>
    <t>91059</t>
  </si>
  <si>
    <t>91064</t>
  </si>
  <si>
    <t>91070</t>
  </si>
  <si>
    <t>91075</t>
  </si>
  <si>
    <t>91081</t>
  </si>
  <si>
    <t>91086</t>
  </si>
  <si>
    <t>91091</t>
  </si>
  <si>
    <t>91096</t>
  </si>
  <si>
    <t>91102</t>
  </si>
  <si>
    <t>91107</t>
  </si>
  <si>
    <t>91112</t>
  </si>
  <si>
    <t>91118</t>
  </si>
  <si>
    <t>91123</t>
  </si>
  <si>
    <t>91128</t>
  </si>
  <si>
    <t>91134</t>
  </si>
  <si>
    <t>91139</t>
  </si>
  <si>
    <t>66413</t>
  </si>
  <si>
    <t>66510</t>
  </si>
  <si>
    <t>66610</t>
  </si>
  <si>
    <t>66706</t>
  </si>
  <si>
    <t>66802</t>
  </si>
  <si>
    <t>66897</t>
  </si>
  <si>
    <t>66993</t>
  </si>
  <si>
    <t>67089</t>
  </si>
  <si>
    <t>67183</t>
  </si>
  <si>
    <t>67283</t>
  </si>
  <si>
    <t>67380</t>
  </si>
  <si>
    <t>67472</t>
  </si>
  <si>
    <t>67565</t>
  </si>
  <si>
    <t>67652</t>
  </si>
  <si>
    <t>67742</t>
  </si>
  <si>
    <t>67828</t>
  </si>
  <si>
    <t>67922</t>
  </si>
  <si>
    <t>68017</t>
  </si>
  <si>
    <t>68094</t>
  </si>
  <si>
    <t>68182</t>
  </si>
  <si>
    <t>68272</t>
  </si>
  <si>
    <t>68362</t>
  </si>
  <si>
    <t>68451</t>
  </si>
  <si>
    <t>68545</t>
  </si>
  <si>
    <t>68630</t>
  </si>
  <si>
    <t>68716</t>
  </si>
  <si>
    <t>68803</t>
  </si>
  <si>
    <t>68892</t>
  </si>
  <si>
    <t>497570</t>
  </si>
  <si>
    <t>497966</t>
  </si>
  <si>
    <t>498369</t>
  </si>
  <si>
    <t>498786</t>
  </si>
  <si>
    <t>499205</t>
  </si>
  <si>
    <t>499606</t>
  </si>
  <si>
    <t>500005</t>
  </si>
  <si>
    <t>500397</t>
  </si>
  <si>
    <t>500802</t>
  </si>
  <si>
    <t>501206</t>
  </si>
  <si>
    <t>501610</t>
  </si>
  <si>
    <t>502038</t>
  </si>
  <si>
    <t>502447</t>
  </si>
  <si>
    <t>502843</t>
  </si>
  <si>
    <t>503157</t>
  </si>
  <si>
    <t>503574</t>
  </si>
  <si>
    <t>503996</t>
  </si>
  <si>
    <t>504442</t>
  </si>
  <si>
    <t>504871</t>
  </si>
  <si>
    <t>505284</t>
  </si>
  <si>
    <t>505704</t>
  </si>
  <si>
    <t>506123</t>
  </si>
  <si>
    <t>506540</t>
  </si>
  <si>
    <t>506950</t>
  </si>
  <si>
    <t>507376</t>
  </si>
  <si>
    <t>507835</t>
  </si>
  <si>
    <t>508254</t>
  </si>
  <si>
    <t>508664</t>
  </si>
  <si>
    <t>85718.98</t>
  </si>
  <si>
    <t>85776.12</t>
  </si>
  <si>
    <t>85837.97</t>
  </si>
  <si>
    <t>85889.42</t>
  </si>
  <si>
    <t>85959.85</t>
  </si>
  <si>
    <t>86031.04</t>
  </si>
  <si>
    <t>86088.88</t>
  </si>
  <si>
    <t>86132.45</t>
  </si>
  <si>
    <t>86246.11</t>
  </si>
  <si>
    <t>86314.68</t>
  </si>
  <si>
    <t>86376.24</t>
  </si>
  <si>
    <t>86441.98</t>
  </si>
  <si>
    <t>86518.88</t>
  </si>
  <si>
    <t>86583.52</t>
  </si>
  <si>
    <t>86650.24</t>
  </si>
  <si>
    <t>86702.23</t>
  </si>
  <si>
    <t>86777.52</t>
  </si>
  <si>
    <t>86828.67</t>
  </si>
  <si>
    <t>86888.95</t>
  </si>
  <si>
    <t>86988.16</t>
  </si>
  <si>
    <t>87048.89</t>
  </si>
  <si>
    <t>87098.88</t>
  </si>
  <si>
    <t>87176.49</t>
  </si>
  <si>
    <t>87215.78</t>
  </si>
  <si>
    <t>87272.26</t>
  </si>
  <si>
    <t>87312.41</t>
  </si>
  <si>
    <t>87431.67</t>
  </si>
  <si>
    <t>87492.98</t>
  </si>
  <si>
    <t>8660</t>
  </si>
  <si>
    <t>8661</t>
  </si>
  <si>
    <t>147487.92</t>
  </si>
  <si>
    <t>147535.02</t>
  </si>
  <si>
    <t>147582.84</t>
  </si>
  <si>
    <t>147628.74</t>
  </si>
  <si>
    <t>147677.38</t>
  </si>
  <si>
    <t>147726.06</t>
  </si>
  <si>
    <t>147775.70</t>
  </si>
  <si>
    <t>147822.66</t>
  </si>
  <si>
    <t>147870.74</t>
  </si>
  <si>
    <t>147917.88</t>
  </si>
  <si>
    <t>147967.58</t>
  </si>
  <si>
    <t>148021.48</t>
  </si>
  <si>
    <t>148073.72</t>
  </si>
  <si>
    <t>148130.28</t>
  </si>
  <si>
    <t>148183.08</t>
  </si>
  <si>
    <t>148237.28</t>
  </si>
  <si>
    <t>148290.28</t>
  </si>
  <si>
    <t>148344.16</t>
  </si>
  <si>
    <t>148400.06</t>
  </si>
  <si>
    <t>148452.52</t>
  </si>
  <si>
    <t>148507.00</t>
  </si>
  <si>
    <t>148564.92</t>
  </si>
  <si>
    <t>148626.38</t>
  </si>
  <si>
    <t>148686.32</t>
  </si>
  <si>
    <t>148744.02</t>
  </si>
  <si>
    <t>148802.58</t>
  </si>
  <si>
    <t>148858.82</t>
  </si>
  <si>
    <t>148914.92</t>
  </si>
  <si>
    <t>51700.55</t>
  </si>
  <si>
    <t>51719.83</t>
  </si>
  <si>
    <t>51739.33</t>
  </si>
  <si>
    <t>51757.93</t>
  </si>
  <si>
    <t>51777.53</t>
  </si>
  <si>
    <t>51797.81</t>
  </si>
  <si>
    <t>51818.81</t>
  </si>
  <si>
    <t>51838.43</t>
  </si>
  <si>
    <t>51858.43</t>
  </si>
  <si>
    <t>51877.61</t>
  </si>
  <si>
    <t>51898.23</t>
  </si>
  <si>
    <t>51921.09</t>
  </si>
  <si>
    <t>51943.75</t>
  </si>
  <si>
    <t>51968.67</t>
  </si>
  <si>
    <t>51992.09</t>
  </si>
  <si>
    <t>52015.67</t>
  </si>
  <si>
    <t>52038.63</t>
  </si>
  <si>
    <t>52061.99</t>
  </si>
  <si>
    <t>52085.99</t>
  </si>
  <si>
    <t>52108.47</t>
  </si>
  <si>
    <t>52132.07</t>
  </si>
  <si>
    <t>52158.51</t>
  </si>
  <si>
    <t>52187.11</t>
  </si>
  <si>
    <t>52216.11</t>
  </si>
  <si>
    <t>52242.87</t>
  </si>
  <si>
    <t>52269.13</t>
  </si>
  <si>
    <t>52294.51</t>
  </si>
  <si>
    <t>52319.23</t>
  </si>
  <si>
    <t>98222</t>
  </si>
  <si>
    <t>131414</t>
  </si>
  <si>
    <t>58408</t>
  </si>
  <si>
    <t>371692</t>
  </si>
  <si>
    <t>52240</t>
  </si>
  <si>
    <t>90990</t>
  </si>
  <si>
    <t>66319</t>
  </si>
  <si>
    <t>497176</t>
  </si>
  <si>
    <t>85659.28</t>
  </si>
  <si>
    <t>147441.48</t>
  </si>
  <si>
    <t>51680.97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</si>
</sst>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6">
    <xf numFmtId="0" fontId="0" fillId="0" borderId="0" xfId="0"/>
    <xf numFmtId="1" fontId="0" fillId="0" borderId="0" xfId="0" applyNumberFormat="1"/>
    <xf numFmtId="1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1" fontId="3" fillId="0" borderId="0" xfId="0" applyNumberFormat="1" applyFont="1"/>
    <xf numFmtId="1" fontId="2" fillId="0" borderId="0" xfId="0" applyNumberFormat="1" applyFont="1"/>
    <xf numFmtId="49" fontId="7" fillId="0" borderId="0" xfId="0" applyNumberFormat="1" applyFont="1"/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0" xfId="0" applyNumberFormat="1" applyFont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49" fontId="0" fillId="0" borderId="0" xfId="0" applyNumberFormat="1"/>
    <xf numFmtId="2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2" fontId="8" fillId="0" borderId="1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wrapText="1"/>
    </xf>
    <xf numFmtId="49" fontId="8" fillId="0" borderId="3" xfId="0" applyNumberFormat="1" applyFont="1" applyBorder="1" applyAlignment="1">
      <alignment horizontal="center" wrapText="1"/>
    </xf>
    <xf numFmtId="49" fontId="0" fillId="0" borderId="3" xfId="0" applyNumberForma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130" zoomScaleNormal="130" workbookViewId="0">
      <selection activeCell="I16" sqref="I16"/>
    </sheetView>
  </sheetViews>
  <sheetFormatPr defaultColWidth="11.5703125" defaultRowHeight="15" x14ac:dyDescent="0.25"/>
  <cols>
    <col min="2" max="4" width="9.7109375" style="32" customWidth="1"/>
    <col min="5" max="5" width="13" style="9" customWidth="1"/>
    <col min="6" max="6" width="12.5703125" customWidth="1"/>
    <col min="7" max="7" width="13" style="1" customWidth="1"/>
    <col min="11" max="11" width="13.28515625" bestFit="1" customWidth="1"/>
    <col min="13" max="13" width="7.7109375" style="32" customWidth="1"/>
    <col min="14" max="14" width="8.28515625" style="32" customWidth="1"/>
  </cols>
  <sheetData>
    <row r="1" spans="1:14" s="5" customFormat="1" ht="60" x14ac:dyDescent="0.25">
      <c r="A1" s="5" t="s">
        <v>0</v>
      </c>
      <c r="B1" s="38" t="s">
        <v>1</v>
      </c>
      <c r="C1" s="38" t="s">
        <v>2</v>
      </c>
      <c r="D1" s="38" t="s">
        <v>3</v>
      </c>
      <c r="E1" s="23" t="s">
        <v>4</v>
      </c>
      <c r="F1" s="24" t="s">
        <v>9</v>
      </c>
      <c r="G1" s="23" t="s">
        <v>5</v>
      </c>
      <c r="H1" s="24" t="s">
        <v>10</v>
      </c>
      <c r="I1" s="23" t="s">
        <v>6</v>
      </c>
      <c r="J1" s="24" t="s">
        <v>11</v>
      </c>
      <c r="K1" s="23" t="s">
        <v>29</v>
      </c>
      <c r="L1" s="24" t="s">
        <v>30</v>
      </c>
      <c r="M1" s="30" t="s">
        <v>7</v>
      </c>
      <c r="N1" s="30" t="s">
        <v>8</v>
      </c>
    </row>
    <row r="2" spans="1:14" s="6" customFormat="1" ht="12.75" x14ac:dyDescent="0.2">
      <c r="A2" s="6" t="s">
        <v>12</v>
      </c>
      <c r="B2" s="31">
        <v>1</v>
      </c>
      <c r="C2" s="39">
        <v>2</v>
      </c>
      <c r="D2" s="31">
        <v>2023</v>
      </c>
      <c r="E2" s="22">
        <f>IF('Submetering '!E3+'Submetering '!F3+'Submetering '!G3+'Submetering '!H3+'Submetering '!I3+'Submetering '!J3+'Submetering '!K3+'Submetering '!L3&gt;0,'Submetering '!E3+'Submetering '!F3+'Submetering '!G3+'Submetering '!H3+'Submetering '!I3+'Submetering '!J3+'Submetering '!K3+'Submetering '!L3,0)</f>
        <v>196</v>
      </c>
      <c r="F2" s="37">
        <v>4.5050149863477863E-2</v>
      </c>
      <c r="G2" s="22">
        <f>IF(('Submetering '!M3)*2.8&gt;0,('Submetering '!M3)*2.8,0)</f>
        <v>1103.1999999999998</v>
      </c>
      <c r="H2" s="37">
        <v>0.22818170343021241</v>
      </c>
      <c r="I2" s="22">
        <f>IF(('Submetering '!N3+'Submetering '!O3)*2.83&gt;0,('Submetering '!N3+'Submetering '!O3)*2.83,0)</f>
        <v>168.95099999999178</v>
      </c>
      <c r="J2" s="37">
        <v>7.48821478712554</v>
      </c>
      <c r="K2" s="22">
        <f>IF(('Submetering '!P3+'Submetering '!Q3)*346.26&gt;0,('Submetering '!P3+'Submetering '!Q3)*346.26,0)</f>
        <v>22860.085200001409</v>
      </c>
      <c r="L2" s="37">
        <v>8.940263259482413E-2</v>
      </c>
      <c r="M2" s="31">
        <v>71</v>
      </c>
      <c r="N2" s="31">
        <v>93</v>
      </c>
    </row>
    <row r="3" spans="1:14" s="7" customFormat="1" x14ac:dyDescent="0.25">
      <c r="A3" s="6" t="s">
        <v>12</v>
      </c>
      <c r="B3" s="40">
        <f>B2+1</f>
        <v>2</v>
      </c>
      <c r="C3" s="39">
        <v>2</v>
      </c>
      <c r="D3" s="31">
        <v>2023</v>
      </c>
      <c r="E3" s="22">
        <f>IF('Submetering '!E4+'Submetering '!F4+'Submetering '!G4+'Submetering '!H4+'Submetering '!I4+'Submetering '!J4+'Submetering '!K4+'Submetering '!L4&gt;0,'Submetering '!E4+'Submetering '!F4+'Submetering '!G4+'Submetering '!H4+'Submetering '!I4+'Submetering '!J4+'Submetering '!K4+'Submetering '!L4,0)</f>
        <v>204</v>
      </c>
      <c r="F3" s="37">
        <v>4.5050149863477863E-2</v>
      </c>
      <c r="G3" s="22">
        <f>IF(('Submetering '!M4)*2.8&gt;0,('Submetering '!M4)*2.8,0)</f>
        <v>1108.8</v>
      </c>
      <c r="H3" s="37">
        <v>0.22818170343021241</v>
      </c>
      <c r="I3" s="22">
        <f>IF(('Submetering '!N4+'Submetering '!O4)*2.83&gt;0,('Submetering '!N4+'Submetering '!O4)*2.83,0)</f>
        <v>161.70619999999835</v>
      </c>
      <c r="J3" s="37">
        <v>7.48821478712554</v>
      </c>
      <c r="K3" s="22">
        <f>IF(('Submetering '!P4+'Submetering '!Q4)*346.26&gt;0,('Submetering '!P4+'Submetering '!Q4)*346.26,0)</f>
        <v>22984.738799991534</v>
      </c>
      <c r="L3" s="37">
        <v>8.940263259482413E-2</v>
      </c>
      <c r="M3" s="31">
        <v>49</v>
      </c>
      <c r="N3" s="31">
        <v>70</v>
      </c>
    </row>
    <row r="4" spans="1:14" s="7" customFormat="1" x14ac:dyDescent="0.25">
      <c r="A4" s="6" t="s">
        <v>12</v>
      </c>
      <c r="B4" s="40">
        <f t="shared" ref="B4:B29" si="0">B3+1</f>
        <v>3</v>
      </c>
      <c r="C4" s="39">
        <v>2</v>
      </c>
      <c r="D4" s="31">
        <v>2023</v>
      </c>
      <c r="E4" s="22">
        <f>IF('Submetering '!E5+'Submetering '!F5+'Submetering '!G5+'Submetering '!H5+'Submetering '!I5+'Submetering '!J5+'Submetering '!K5+'Submetering '!L5&gt;0,'Submetering '!E5+'Submetering '!F5+'Submetering '!G5+'Submetering '!H5+'Submetering '!I5+'Submetering '!J5+'Submetering '!K5+'Submetering '!L5,0)</f>
        <v>211</v>
      </c>
      <c r="F4" s="37">
        <v>4.5050149863477863E-2</v>
      </c>
      <c r="G4" s="22">
        <f>IF(('Submetering '!M5)*2.8&gt;0,('Submetering '!M5)*2.8,0)</f>
        <v>1128.3999999999999</v>
      </c>
      <c r="H4" s="37">
        <v>0.22818170343021241</v>
      </c>
      <c r="I4" s="22">
        <f>IF(('Submetering '!N5+'Submetering '!O5)*2.83&gt;0,('Submetering '!N5+'Submetering '!O5)*2.83,0)</f>
        <v>175.03550000001647</v>
      </c>
      <c r="J4" s="37">
        <v>7.48821478712554</v>
      </c>
      <c r="K4" s="22">
        <f>IF(('Submetering '!P5+'Submetering '!Q5)*346.26&gt;0,('Submetering '!P5+'Submetering '!Q5)*346.26,0)</f>
        <v>23310.22320000242</v>
      </c>
      <c r="L4" s="37">
        <v>8.940263259482413E-2</v>
      </c>
      <c r="M4" s="31">
        <v>46</v>
      </c>
      <c r="N4" s="31">
        <v>75</v>
      </c>
    </row>
    <row r="5" spans="1:14" s="7" customFormat="1" x14ac:dyDescent="0.25">
      <c r="A5" s="6" t="s">
        <v>12</v>
      </c>
      <c r="B5" s="40">
        <f t="shared" si="0"/>
        <v>4</v>
      </c>
      <c r="C5" s="39">
        <v>2</v>
      </c>
      <c r="D5" s="31">
        <v>2023</v>
      </c>
      <c r="E5" s="22">
        <f>IF('Submetering '!E6+'Submetering '!F6+'Submetering '!G6+'Submetering '!H6+'Submetering '!I6+'Submetering '!J6+'Submetering '!K6+'Submetering '!L6&gt;0,'Submetering '!E6+'Submetering '!F6+'Submetering '!G6+'Submetering '!H6+'Submetering '!I6+'Submetering '!J6+'Submetering '!K6+'Submetering '!L6,0)</f>
        <v>205</v>
      </c>
      <c r="F5" s="37">
        <v>4.5050149863477863E-2</v>
      </c>
      <c r="G5" s="22">
        <f>IF(('Submetering '!M6)*2.8&gt;0,('Submetering '!M6)*2.8,0)</f>
        <v>1167.5999999999999</v>
      </c>
      <c r="H5" s="37">
        <v>0.22818170343021241</v>
      </c>
      <c r="I5" s="22">
        <f>IF(('Submetering '!N6+'Submetering '!O6)*2.83&gt;0,('Submetering '!N6+'Submetering '!O6)*2.83,0)</f>
        <v>145.60349999999175</v>
      </c>
      <c r="J5" s="37">
        <v>7.48821478712554</v>
      </c>
      <c r="K5" s="22">
        <f>IF(('Submetering '!P6+'Submetering '!Q6)*346.26&gt;0,('Submetering '!P6+'Submetering '!Q6)*346.26,0)</f>
        <v>22333.769999997479</v>
      </c>
      <c r="L5" s="37">
        <v>8.940263259482413E-2</v>
      </c>
      <c r="M5" s="31">
        <v>39</v>
      </c>
      <c r="N5" s="31">
        <v>62</v>
      </c>
    </row>
    <row r="6" spans="1:14" s="7" customFormat="1" x14ac:dyDescent="0.25">
      <c r="A6" s="6" t="s">
        <v>12</v>
      </c>
      <c r="B6" s="40">
        <f t="shared" si="0"/>
        <v>5</v>
      </c>
      <c r="C6" s="39">
        <v>2</v>
      </c>
      <c r="D6" s="31">
        <v>2023</v>
      </c>
      <c r="E6" s="22">
        <f>IF('Submetering '!E7+'Submetering '!F7+'Submetering '!G7+'Submetering '!H7+'Submetering '!I7+'Submetering '!J7+'Submetering '!K7+'Submetering '!L7&gt;0,'Submetering '!E7+'Submetering '!F7+'Submetering '!G7+'Submetering '!H7+'Submetering '!I7+'Submetering '!J7+'Submetering '!K7+'Submetering '!L7,0)</f>
        <v>210</v>
      </c>
      <c r="F6" s="37">
        <v>4.5050149863477863E-2</v>
      </c>
      <c r="G6" s="22">
        <f>IF(('Submetering '!M7)*2.8&gt;0,('Submetering '!M7)*2.8,0)</f>
        <v>1173.1999999999998</v>
      </c>
      <c r="H6" s="37">
        <v>0.22818170343021241</v>
      </c>
      <c r="I6" s="22">
        <f>IF(('Submetering '!N7+'Submetering '!O7)*2.83&gt;0,('Submetering '!N7+'Submetering '!O7)*2.83,0)</f>
        <v>199.31690000002141</v>
      </c>
      <c r="J6" s="37">
        <v>7.48821478712554</v>
      </c>
      <c r="K6" s="22">
        <f>IF(('Submetering '!P7+'Submetering '!Q7)*346.26&gt;0,('Submetering '!P7+'Submetering '!Q7)*346.26,0)</f>
        <v>23628.782400004333</v>
      </c>
      <c r="L6" s="37">
        <v>8.940263259482413E-2</v>
      </c>
      <c r="M6" s="31">
        <v>51</v>
      </c>
      <c r="N6" s="31">
        <v>69</v>
      </c>
    </row>
    <row r="7" spans="1:14" s="7" customFormat="1" x14ac:dyDescent="0.25">
      <c r="A7" s="6" t="s">
        <v>12</v>
      </c>
      <c r="B7" s="40">
        <f t="shared" si="0"/>
        <v>6</v>
      </c>
      <c r="C7" s="39">
        <v>2</v>
      </c>
      <c r="D7" s="31">
        <v>2023</v>
      </c>
      <c r="E7" s="22">
        <f>IF('Submetering '!E8+'Submetering '!F8+'Submetering '!G8+'Submetering '!H8+'Submetering '!I8+'Submetering '!J8+'Submetering '!K8+'Submetering '!L8&gt;0,'Submetering '!E8+'Submetering '!F8+'Submetering '!G8+'Submetering '!H8+'Submetering '!I8+'Submetering '!J8+'Submetering '!K8+'Submetering '!L8,0)</f>
        <v>203</v>
      </c>
      <c r="F7" s="37">
        <v>4.5050149863477863E-2</v>
      </c>
      <c r="G7" s="22">
        <f>IF(('Submetering '!M8)*2.8&gt;0,('Submetering '!M8)*2.8,0)</f>
        <v>1122.8</v>
      </c>
      <c r="H7" s="37">
        <v>0.22818170343021241</v>
      </c>
      <c r="I7" s="22">
        <f>IF(('Submetering '!N8+'Submetering '!O8)*2.83&gt;0,('Submetering '!N8+'Submetering '!O8)*2.83,0)</f>
        <v>201.46769999996542</v>
      </c>
      <c r="J7" s="37">
        <v>7.48821478712554</v>
      </c>
      <c r="K7" s="22">
        <f>IF(('Submetering '!P8+'Submetering '!Q8)*346.26&gt;0,('Submetering '!P8+'Submetering '!Q8)*346.26,0)</f>
        <v>23878.089599997176</v>
      </c>
      <c r="L7" s="37">
        <v>8.940263259482413E-2</v>
      </c>
      <c r="M7" s="31">
        <v>102</v>
      </c>
      <c r="N7" s="31">
        <v>123</v>
      </c>
    </row>
    <row r="8" spans="1:14" s="7" customFormat="1" x14ac:dyDescent="0.25">
      <c r="A8" s="6" t="s">
        <v>12</v>
      </c>
      <c r="B8" s="40">
        <f t="shared" si="0"/>
        <v>7</v>
      </c>
      <c r="C8" s="39">
        <v>2</v>
      </c>
      <c r="D8" s="31">
        <v>2023</v>
      </c>
      <c r="E8" s="22">
        <f>IF('Submetering '!E9+'Submetering '!F9+'Submetering '!G9+'Submetering '!H9+'Submetering '!I9+'Submetering '!J9+'Submetering '!K9+'Submetering '!L9&gt;0,'Submetering '!E9+'Submetering '!F9+'Submetering '!G9+'Submetering '!H9+'Submetering '!I9+'Submetering '!J9+'Submetering '!K9+'Submetering '!L9,0)</f>
        <v>207</v>
      </c>
      <c r="F8" s="37">
        <v>4.5050149863477863E-2</v>
      </c>
      <c r="G8" s="22">
        <f>IF(('Submetering '!M9)*2.8&gt;0,('Submetering '!M9)*2.8,0)</f>
        <v>1117.1999999999998</v>
      </c>
      <c r="H8" s="37">
        <v>0.22818170343021241</v>
      </c>
      <c r="I8" s="22">
        <f>IF(('Submetering '!N9+'Submetering '!O9)*2.83&gt;0,('Submetering '!N9+'Submetering '!O9)*2.83,0)</f>
        <v>163.68720000003131</v>
      </c>
      <c r="J8" s="37">
        <v>7.48821478712554</v>
      </c>
      <c r="K8" s="22">
        <f>IF(('Submetering '!P9+'Submetering '!Q9)*346.26&gt;0,('Submetering '!P9+'Submetering '!Q9)*346.26,0)</f>
        <v>24459.806400004836</v>
      </c>
      <c r="L8" s="37">
        <v>8.940263259482413E-2</v>
      </c>
      <c r="M8" s="31">
        <v>98</v>
      </c>
      <c r="N8" s="31">
        <v>121</v>
      </c>
    </row>
    <row r="9" spans="1:14" s="7" customFormat="1" x14ac:dyDescent="0.25">
      <c r="A9" s="6" t="s">
        <v>12</v>
      </c>
      <c r="B9" s="40">
        <f t="shared" si="0"/>
        <v>8</v>
      </c>
      <c r="C9" s="39">
        <v>2</v>
      </c>
      <c r="D9" s="31">
        <v>2023</v>
      </c>
      <c r="E9" s="22">
        <f>IF('Submetering '!E10+'Submetering '!F10+'Submetering '!G10+'Submetering '!H10+'Submetering '!I10+'Submetering '!J10+'Submetering '!K10+'Submetering '!L10&gt;0,'Submetering '!E10+'Submetering '!F10+'Submetering '!G10+'Submetering '!H10+'Submetering '!I10+'Submetering '!J10+'Submetering '!K10+'Submetering '!L10,0)</f>
        <v>202</v>
      </c>
      <c r="F9" s="37">
        <v>4.5050149863477863E-2</v>
      </c>
      <c r="G9" s="22">
        <f>IF(('Submetering '!M10)*2.8&gt;0,('Submetering '!M10)*2.8,0)</f>
        <v>1097.5999999999999</v>
      </c>
      <c r="H9" s="37">
        <v>0.22818170343021241</v>
      </c>
      <c r="I9" s="22">
        <f>IF(('Submetering '!N10+'Submetering '!O10)*2.83&gt;0,('Submetering '!N10+'Submetering '!O10)*2.83,0)</f>
        <v>123.30309999997858</v>
      </c>
      <c r="J9" s="37">
        <v>7.48821478712554</v>
      </c>
      <c r="K9" s="22">
        <f>IF(('Submetering '!P10+'Submetering '!Q10)*346.26&gt;0,('Submetering '!P10+'Submetering '!Q10)*346.26,0)</f>
        <v>23053.990799998086</v>
      </c>
      <c r="L9" s="37">
        <v>8.940263259482413E-2</v>
      </c>
      <c r="M9" s="31">
        <v>119</v>
      </c>
      <c r="N9" s="31">
        <v>146</v>
      </c>
    </row>
    <row r="10" spans="1:14" s="7" customFormat="1" x14ac:dyDescent="0.25">
      <c r="A10" s="6" t="s">
        <v>12</v>
      </c>
      <c r="B10" s="40">
        <f t="shared" si="0"/>
        <v>9</v>
      </c>
      <c r="C10" s="39">
        <v>2</v>
      </c>
      <c r="D10" s="31">
        <v>2023</v>
      </c>
      <c r="E10" s="22">
        <f>IF('Submetering '!E11+'Submetering '!F11+'Submetering '!G11+'Submetering '!H11+'Submetering '!I11+'Submetering '!J11+'Submetering '!K11+'Submetering '!L11&gt;0,'Submetering '!E11+'Submetering '!F11+'Submetering '!G11+'Submetering '!H11+'Submetering '!I11+'Submetering '!J11+'Submetering '!K11+'Submetering '!L11,0)</f>
        <v>194</v>
      </c>
      <c r="F10" s="37">
        <v>4.5050149863477863E-2</v>
      </c>
      <c r="G10" s="22">
        <f>IF(('Submetering '!M11)*2.8&gt;0,('Submetering '!M11)*2.8,0)</f>
        <v>1134</v>
      </c>
      <c r="H10" s="37">
        <v>0.22818170343021241</v>
      </c>
      <c r="I10" s="22">
        <f>IF(('Submetering '!N11+'Submetering '!O11)*2.83&gt;0,('Submetering '!N11+'Submetering '!O11)*2.83,0)</f>
        <v>321.6578000000099</v>
      </c>
      <c r="J10" s="37">
        <v>7.48821478712554</v>
      </c>
      <c r="K10" s="22">
        <f>IF(('Submetering '!P11+'Submetering '!Q11)*346.26&gt;0,('Submetering '!P11+'Submetering '!Q11)*346.26,0)</f>
        <v>23573.380799995564</v>
      </c>
      <c r="L10" s="37">
        <v>8.940263259482413E-2</v>
      </c>
      <c r="M10" s="31">
        <v>74</v>
      </c>
      <c r="N10" s="31">
        <v>99</v>
      </c>
    </row>
    <row r="11" spans="1:14" s="7" customFormat="1" x14ac:dyDescent="0.25">
      <c r="A11" s="6" t="s">
        <v>12</v>
      </c>
      <c r="B11" s="40">
        <f t="shared" si="0"/>
        <v>10</v>
      </c>
      <c r="C11" s="39">
        <v>2</v>
      </c>
      <c r="D11" s="31">
        <v>2023</v>
      </c>
      <c r="E11" s="22">
        <f>IF('Submetering '!E12+'Submetering '!F12+'Submetering '!G12+'Submetering '!H12+'Submetering '!I12+'Submetering '!J12+'Submetering '!K12+'Submetering '!L12&gt;0,'Submetering '!E12+'Submetering '!F12+'Submetering '!G12+'Submetering '!H12+'Submetering '!I12+'Submetering '!J12+'Submetering '!K12+'Submetering '!L12,0)</f>
        <v>221</v>
      </c>
      <c r="F11" s="37">
        <v>4.5050149863477863E-2</v>
      </c>
      <c r="G11" s="22">
        <f>IF(('Submetering '!M12)*2.8&gt;0,('Submetering '!M12)*2.8,0)</f>
        <v>1131.1999999999998</v>
      </c>
      <c r="H11" s="37">
        <v>0.22818170343021241</v>
      </c>
      <c r="I11" s="22">
        <f>IF(('Submetering '!N12+'Submetering '!O12)*2.83&gt;0,('Submetering '!N12+'Submetering '!O12)*2.83,0)</f>
        <v>194.0530999999786</v>
      </c>
      <c r="J11" s="37">
        <v>7.48821478712554</v>
      </c>
      <c r="K11" s="22">
        <f>IF(('Submetering '!P12+'Submetering '!Q12)*346.26&gt;0,('Submetering '!P12+'Submetering '!Q12)*346.26,0)</f>
        <v>22963.963200004939</v>
      </c>
      <c r="L11" s="37">
        <v>8.940263259482413E-2</v>
      </c>
      <c r="M11" s="31">
        <v>52</v>
      </c>
      <c r="N11" s="31">
        <v>95</v>
      </c>
    </row>
    <row r="12" spans="1:14" s="7" customFormat="1" x14ac:dyDescent="0.25">
      <c r="A12" s="6" t="s">
        <v>12</v>
      </c>
      <c r="B12" s="40">
        <f t="shared" si="0"/>
        <v>11</v>
      </c>
      <c r="C12" s="39">
        <v>2</v>
      </c>
      <c r="D12" s="31">
        <v>2023</v>
      </c>
      <c r="E12" s="22">
        <f>IF('Submetering '!E13+'Submetering '!F13+'Submetering '!G13+'Submetering '!H13+'Submetering '!I13+'Submetering '!J13+'Submetering '!K13+'Submetering '!L13&gt;0,'Submetering '!E13+'Submetering '!F13+'Submetering '!G13+'Submetering '!H13+'Submetering '!I13+'Submetering '!J13+'Submetering '!K13+'Submetering '!L13,0)</f>
        <v>208</v>
      </c>
      <c r="F12" s="37">
        <v>4.5050149863477863E-2</v>
      </c>
      <c r="G12" s="22">
        <f>IF(('Submetering '!M13)*2.8&gt;0,('Submetering '!M13)*2.8,0)</f>
        <v>1131.1999999999998</v>
      </c>
      <c r="H12" s="37">
        <v>0.22818170343021241</v>
      </c>
      <c r="I12" s="22">
        <f>IF(('Submetering '!N13+'Submetering '!O13)*2.83&gt;0,('Submetering '!N13+'Submetering '!O13)*2.83,0)</f>
        <v>174.21480000003459</v>
      </c>
      <c r="J12" s="37">
        <v>7.48821478712554</v>
      </c>
      <c r="K12" s="22">
        <f>IF(('Submetering '!P13+'Submetering '!Q13)*346.26&gt;0,('Submetering '!P13+'Submetering '!Q13)*346.26,0)</f>
        <v>24349.003199994859</v>
      </c>
      <c r="L12" s="37">
        <v>8.940263259482413E-2</v>
      </c>
      <c r="M12" s="31">
        <v>55</v>
      </c>
      <c r="N12" s="31">
        <v>101</v>
      </c>
    </row>
    <row r="13" spans="1:14" s="7" customFormat="1" x14ac:dyDescent="0.25">
      <c r="A13" s="6" t="s">
        <v>12</v>
      </c>
      <c r="B13" s="40">
        <f t="shared" si="0"/>
        <v>12</v>
      </c>
      <c r="C13" s="39">
        <v>2</v>
      </c>
      <c r="D13" s="31">
        <v>2023</v>
      </c>
      <c r="E13" s="22">
        <f>IF('Submetering '!E14+'Submetering '!F14+'Submetering '!G14+'Submetering '!H14+'Submetering '!I14+'Submetering '!J14+'Submetering '!K14+'Submetering '!L14&gt;0,'Submetering '!E14+'Submetering '!F14+'Submetering '!G14+'Submetering '!H14+'Submetering '!I14+'Submetering '!J14+'Submetering '!K14+'Submetering '!L14,0)</f>
        <v>206</v>
      </c>
      <c r="F13" s="37">
        <v>4.5050149863477863E-2</v>
      </c>
      <c r="G13" s="22">
        <f>IF(('Submetering '!M14)*2.8&gt;0,('Submetering '!M14)*2.8,0)</f>
        <v>1198.3999999999999</v>
      </c>
      <c r="H13" s="37">
        <v>0.22818170343021241</v>
      </c>
      <c r="I13" s="22">
        <f>IF(('Submetering '!N14+'Submetering '!O14)*2.83&gt;0,('Submetering '!N14+'Submetering '!O14)*2.83,0)</f>
        <v>186.04419999997364</v>
      </c>
      <c r="J13" s="37">
        <v>7.48821478712554</v>
      </c>
      <c r="K13" s="22">
        <f>IF(('Submetering '!P14+'Submetering '!Q14)*346.26&gt;0,('Submetering '!P14+'Submetering '!Q14)*346.26,0)</f>
        <v>26578.917600005745</v>
      </c>
      <c r="L13" s="37">
        <v>8.940263259482413E-2</v>
      </c>
      <c r="M13" s="31">
        <v>46</v>
      </c>
      <c r="N13" s="31">
        <v>69</v>
      </c>
    </row>
    <row r="14" spans="1:14" s="7" customFormat="1" x14ac:dyDescent="0.25">
      <c r="A14" s="6" t="s">
        <v>12</v>
      </c>
      <c r="B14" s="40">
        <f t="shared" si="0"/>
        <v>13</v>
      </c>
      <c r="C14" s="39">
        <v>2</v>
      </c>
      <c r="D14" s="31">
        <v>2023</v>
      </c>
      <c r="E14" s="22">
        <f>IF('Submetering '!E15+'Submetering '!F15+'Submetering '!G15+'Submetering '!H15+'Submetering '!I15+'Submetering '!J15+'Submetering '!K15+'Submetering '!L15&gt;0,'Submetering '!E15+'Submetering '!F15+'Submetering '!G15+'Submetering '!H15+'Submetering '!I15+'Submetering '!J15+'Submetering '!K15+'Submetering '!L15,0)</f>
        <v>203</v>
      </c>
      <c r="F14" s="37">
        <v>4.5050149863477863E-2</v>
      </c>
      <c r="G14" s="22">
        <f>IF(('Submetering '!M15)*2.8&gt;0,('Submetering '!M15)*2.8,0)</f>
        <v>1145.1999999999998</v>
      </c>
      <c r="H14" s="37">
        <v>0.22818170343021241</v>
      </c>
      <c r="I14" s="22">
        <f>IF(('Submetering '!N15+'Submetering '!O15)*2.83&gt;0,('Submetering '!N15+'Submetering '!O15)*2.83,0)</f>
        <v>217.62700000002471</v>
      </c>
      <c r="J14" s="37">
        <v>7.48821478712554</v>
      </c>
      <c r="K14" s="22">
        <f>IF(('Submetering '!P15+'Submetering '!Q15)*346.26&gt;0,('Submetering '!P15+'Submetering '!Q15)*346.26,0)</f>
        <v>25934.873999997984</v>
      </c>
      <c r="L14" s="37">
        <v>8.940263259482413E-2</v>
      </c>
      <c r="M14" s="31">
        <v>66</v>
      </c>
      <c r="N14" s="31">
        <v>90</v>
      </c>
    </row>
    <row r="15" spans="1:14" s="7" customFormat="1" x14ac:dyDescent="0.25">
      <c r="A15" s="6" t="s">
        <v>12</v>
      </c>
      <c r="B15" s="40">
        <f t="shared" si="0"/>
        <v>14</v>
      </c>
      <c r="C15" s="39">
        <v>2</v>
      </c>
      <c r="D15" s="31">
        <v>2023</v>
      </c>
      <c r="E15" s="22">
        <f>IF('Submetering '!E16+'Submetering '!F16+'Submetering '!G16+'Submetering '!H16+'Submetering '!I16+'Submetering '!J16+'Submetering '!K16+'Submetering '!L16&gt;0,'Submetering '!E16+'Submetering '!F16+'Submetering '!G16+'Submetering '!H16+'Submetering '!I16+'Submetering '!J16+'Submetering '!K16+'Submetering '!L16,0)</f>
        <v>198</v>
      </c>
      <c r="F15" s="37">
        <v>4.5050149863477863E-2</v>
      </c>
      <c r="G15" s="22">
        <f>IF(('Submetering '!M16)*2.8&gt;0,('Submetering '!M16)*2.8,0)</f>
        <v>1108.8</v>
      </c>
      <c r="H15" s="37">
        <v>0.22818170343021241</v>
      </c>
      <c r="I15" s="22">
        <f>IF(('Submetering '!N16+'Submetering '!O16)*2.83&gt;0,('Submetering '!N16+'Submetering '!O16)*2.83,0)</f>
        <v>182.93119999999837</v>
      </c>
      <c r="J15" s="37">
        <v>7.48821478712554</v>
      </c>
      <c r="K15" s="22">
        <f>IF(('Submetering '!P16+'Submetering '!Q16)*346.26&gt;0,('Submetering '!P16+'Submetering '!Q16)*346.26,0)</f>
        <v>28213.264799998589</v>
      </c>
      <c r="L15" s="37">
        <v>8.940263259482413E-2</v>
      </c>
      <c r="M15" s="31">
        <v>121</v>
      </c>
      <c r="N15" s="31">
        <v>155</v>
      </c>
    </row>
    <row r="16" spans="1:14" s="7" customFormat="1" x14ac:dyDescent="0.25">
      <c r="A16" s="6" t="s">
        <v>12</v>
      </c>
      <c r="B16" s="40">
        <f t="shared" si="0"/>
        <v>15</v>
      </c>
      <c r="C16" s="39">
        <v>2</v>
      </c>
      <c r="D16" s="31">
        <v>2023</v>
      </c>
      <c r="E16" s="22">
        <f>IF('Submetering '!E17+'Submetering '!F17+'Submetering '!G17+'Submetering '!H17+'Submetering '!I17+'Submetering '!J17+'Submetering '!K17+'Submetering '!L17&gt;0,'Submetering '!E17+'Submetering '!F17+'Submetering '!G17+'Submetering '!H17+'Submetering '!I17+'Submetering '!J17+'Submetering '!K17+'Submetering '!L17,0)</f>
        <v>198</v>
      </c>
      <c r="F16" s="37">
        <v>4.5050149863477863E-2</v>
      </c>
      <c r="G16" s="22">
        <f>IF(('Submetering '!M17)*2.8&gt;0,('Submetering '!M17)*2.8,0)</f>
        <v>879.19999999999993</v>
      </c>
      <c r="H16" s="37">
        <v>0.22818170343021241</v>
      </c>
      <c r="I16" s="22">
        <f>IF(('Submetering '!N17+'Submetering '!O17)*2.83&gt;0,('Submetering '!N17+'Submetering '!O17)*2.83,0)</f>
        <v>188.8176000000033</v>
      </c>
      <c r="J16" s="37">
        <v>7.48821478712554</v>
      </c>
      <c r="K16" s="22">
        <f>IF(('Submetering '!P17+'Submetering '!Q17)*346.26&gt;0,('Submetering '!P17+'Submetering '!Q17)*346.26,0)</f>
        <v>26391.937199995362</v>
      </c>
      <c r="L16" s="37">
        <v>8.940263259482413E-2</v>
      </c>
      <c r="M16" s="31">
        <v>102</v>
      </c>
      <c r="N16" s="31">
        <v>122</v>
      </c>
    </row>
    <row r="17" spans="1:14" s="7" customFormat="1" x14ac:dyDescent="0.25">
      <c r="A17" s="6" t="s">
        <v>12</v>
      </c>
      <c r="B17" s="40">
        <f t="shared" si="0"/>
        <v>16</v>
      </c>
      <c r="C17" s="39">
        <v>2</v>
      </c>
      <c r="D17" s="31">
        <v>2023</v>
      </c>
      <c r="E17" s="22">
        <f>IF('Submetering '!E18+'Submetering '!F18+'Submetering '!G18+'Submetering '!H18+'Submetering '!I18+'Submetering '!J18+'Submetering '!K18+'Submetering '!L18&gt;0,'Submetering '!E18+'Submetering '!F18+'Submetering '!G18+'Submetering '!H18+'Submetering '!I18+'Submetering '!J18+'Submetering '!K18+'Submetering '!L18,0)</f>
        <v>196</v>
      </c>
      <c r="F17" s="37">
        <v>4.5050149863477863E-2</v>
      </c>
      <c r="G17" s="22">
        <f>IF(('Submetering '!M18)*2.8&gt;0,('Submetering '!M18)*2.8,0)</f>
        <v>1167.5999999999999</v>
      </c>
      <c r="H17" s="37">
        <v>0.22818170343021241</v>
      </c>
      <c r="I17" s="22">
        <f>IF(('Submetering '!N18+'Submetering '!O18)*2.83&gt;0,('Submetering '!N18+'Submetering '!O18)*2.83,0)</f>
        <v>147.13169999997365</v>
      </c>
      <c r="J17" s="37">
        <v>7.48821478712554</v>
      </c>
      <c r="K17" s="22">
        <f>IF(('Submetering '!P18+'Submetering '!Q18)*346.26&gt;0,('Submetering '!P18+'Submetering '!Q18)*346.26,0)</f>
        <v>26932.102800004635</v>
      </c>
      <c r="L17" s="37">
        <v>8.940263259482413E-2</v>
      </c>
      <c r="M17" s="31">
        <v>104</v>
      </c>
      <c r="N17" s="31">
        <v>190</v>
      </c>
    </row>
    <row r="18" spans="1:14" s="7" customFormat="1" x14ac:dyDescent="0.25">
      <c r="A18" s="6" t="s">
        <v>12</v>
      </c>
      <c r="B18" s="40">
        <f t="shared" si="0"/>
        <v>17</v>
      </c>
      <c r="C18" s="39">
        <v>2</v>
      </c>
      <c r="D18" s="31">
        <v>2023</v>
      </c>
      <c r="E18" s="22">
        <f>IF('Submetering '!E19+'Submetering '!F19+'Submetering '!G19+'Submetering '!H19+'Submetering '!I19+'Submetering '!J19+'Submetering '!K19+'Submetering '!L19&gt;0,'Submetering '!E19+'Submetering '!F19+'Submetering '!G19+'Submetering '!H19+'Submetering '!I19+'Submetering '!J19+'Submetering '!K19+'Submetering '!L19,0)</f>
        <v>207</v>
      </c>
      <c r="F18" s="37">
        <v>4.5050149863477863E-2</v>
      </c>
      <c r="G18" s="22">
        <f>IF(('Submetering '!M19)*2.8&gt;0,('Submetering '!M19)*2.8,0)</f>
        <v>1181.5999999999999</v>
      </c>
      <c r="H18" s="37">
        <v>0.22818170343021241</v>
      </c>
      <c r="I18" s="22">
        <f>IF(('Submetering '!N19+'Submetering '!O19)*2.83&gt;0,('Submetering '!N19+'Submetering '!O19)*2.83,0)</f>
        <v>213.07070000002307</v>
      </c>
      <c r="J18" s="37">
        <v>7.48821478712554</v>
      </c>
      <c r="K18" s="22">
        <f>IF(('Submetering '!P19+'Submetering '!Q19)*346.26&gt;0,('Submetering '!P19+'Submetering '!Q19)*346.26,0)</f>
        <v>26301.909599999697</v>
      </c>
      <c r="L18" s="37">
        <v>8.940263259482413E-2</v>
      </c>
      <c r="M18" s="31">
        <v>135</v>
      </c>
      <c r="N18" s="31">
        <v>256</v>
      </c>
    </row>
    <row r="19" spans="1:14" s="7" customFormat="1" x14ac:dyDescent="0.25">
      <c r="A19" s="6" t="s">
        <v>12</v>
      </c>
      <c r="B19" s="40">
        <f t="shared" si="0"/>
        <v>18</v>
      </c>
      <c r="C19" s="39">
        <v>2</v>
      </c>
      <c r="D19" s="31">
        <v>2023</v>
      </c>
      <c r="E19" s="22">
        <f>IF('Submetering '!E20+'Submetering '!F20+'Submetering '!G20+'Submetering '!H20+'Submetering '!I20+'Submetering '!J20+'Submetering '!K20+'Submetering '!L20&gt;0,'Submetering '!E20+'Submetering '!F20+'Submetering '!G20+'Submetering '!H20+'Submetering '!I20+'Submetering '!J20+'Submetering '!K20+'Submetering '!L20,0)</f>
        <v>208</v>
      </c>
      <c r="F19" s="37">
        <v>4.5050149863477863E-2</v>
      </c>
      <c r="G19" s="22">
        <f>IF(('Submetering '!M20)*2.8&gt;0,('Submetering '!M20)*2.8,0)</f>
        <v>1248.8</v>
      </c>
      <c r="H19" s="37">
        <v>0.22818170343021241</v>
      </c>
      <c r="I19" s="22">
        <f>IF(('Submetering '!N20+'Submetering '!O20)*2.83&gt;0,('Submetering '!N20+'Submetering '!O20)*2.83,0)</f>
        <v>144.75449999998352</v>
      </c>
      <c r="J19" s="37">
        <v>7.48821478712554</v>
      </c>
      <c r="K19" s="22">
        <f>IF(('Submetering '!P20+'Submetering '!Q20)*346.26&gt;0,('Submetering '!P20+'Submetering '!Q20)*346.26,0)</f>
        <v>26745.122400001812</v>
      </c>
      <c r="L19" s="37">
        <v>8.940263259482413E-2</v>
      </c>
      <c r="M19" s="31">
        <v>145</v>
      </c>
      <c r="N19" s="31">
        <v>276</v>
      </c>
    </row>
    <row r="20" spans="1:14" s="7" customFormat="1" x14ac:dyDescent="0.25">
      <c r="A20" s="6" t="s">
        <v>12</v>
      </c>
      <c r="B20" s="40">
        <f t="shared" si="0"/>
        <v>19</v>
      </c>
      <c r="C20" s="39">
        <v>2</v>
      </c>
      <c r="D20" s="31">
        <v>2023</v>
      </c>
      <c r="E20" s="22">
        <f>IF('Submetering '!E21+'Submetering '!F21+'Submetering '!G21+'Submetering '!H21+'Submetering '!I21+'Submetering '!J21+'Submetering '!K21+'Submetering '!L21&gt;0,'Submetering '!E21+'Submetering '!F21+'Submetering '!G21+'Submetering '!H21+'Submetering '!I21+'Submetering '!J21+'Submetering '!K21+'Submetering '!L21,0)</f>
        <v>189</v>
      </c>
      <c r="F20" s="37">
        <v>4.5050149863477863E-2</v>
      </c>
      <c r="G20" s="22">
        <f>IF(('Submetering '!M21)*2.8&gt;0,('Submetering '!M21)*2.8,0)</f>
        <v>1201.1999999999998</v>
      </c>
      <c r="H20" s="37">
        <v>0.22818170343021241</v>
      </c>
      <c r="I20" s="22">
        <f>IF(('Submetering '!N21+'Submetering '!O21)*2.83&gt;0,('Submetering '!N21+'Submetering '!O21)*2.83,0)</f>
        <v>170.5923999999967</v>
      </c>
      <c r="J20" s="37">
        <v>7.48821478712554</v>
      </c>
      <c r="K20" s="22">
        <f>IF(('Submetering '!P21+'Submetering '!Q21)*346.26&gt;0,('Submetering '!P21+'Submetering '!Q21)*346.26,0)</f>
        <v>27666.173999997984</v>
      </c>
      <c r="L20" s="37">
        <v>8.940263259482413E-2</v>
      </c>
      <c r="M20" s="31">
        <v>45</v>
      </c>
      <c r="N20" s="31">
        <v>88</v>
      </c>
    </row>
    <row r="21" spans="1:14" s="7" customFormat="1" x14ac:dyDescent="0.25">
      <c r="A21" s="6" t="s">
        <v>12</v>
      </c>
      <c r="B21" s="40">
        <f t="shared" si="0"/>
        <v>20</v>
      </c>
      <c r="C21" s="39">
        <v>2</v>
      </c>
      <c r="D21" s="31">
        <v>2023</v>
      </c>
      <c r="E21" s="22">
        <f>IF('Submetering '!E22+'Submetering '!F22+'Submetering '!G22+'Submetering '!H22+'Submetering '!I22+'Submetering '!J22+'Submetering '!K22+'Submetering '!L22&gt;0,'Submetering '!E22+'Submetering '!F22+'Submetering '!G22+'Submetering '!H22+'Submetering '!I22+'Submetering '!J22+'Submetering '!K22+'Submetering '!L22,0)</f>
        <v>200</v>
      </c>
      <c r="F21" s="37">
        <v>4.5050149863477863E-2</v>
      </c>
      <c r="G21" s="22">
        <f>IF(('Submetering '!M22)*2.8&gt;0,('Submetering '!M22)*2.8,0)</f>
        <v>1156.3999999999999</v>
      </c>
      <c r="H21" s="37">
        <v>0.22818170343021241</v>
      </c>
      <c r="I21" s="22">
        <f>IF(('Submetering '!N22+'Submetering '!O22)*2.83&gt;0,('Submetering '!N22+'Submetering '!O22)*2.83,0)</f>
        <v>280.76430000001812</v>
      </c>
      <c r="J21" s="37">
        <v>7.48821478712554</v>
      </c>
      <c r="K21" s="22">
        <f>IF(('Submetering '!P22+'Submetering '!Q22)*346.26&gt;0,('Submetering '!P22+'Submetering '!Q22)*346.26,0)</f>
        <v>25948.724399998286</v>
      </c>
      <c r="L21" s="37">
        <v>8.940263259482413E-2</v>
      </c>
      <c r="M21" s="31">
        <v>36</v>
      </c>
      <c r="N21" s="31">
        <v>58</v>
      </c>
    </row>
    <row r="22" spans="1:14" s="7" customFormat="1" x14ac:dyDescent="0.25">
      <c r="A22" s="6" t="s">
        <v>12</v>
      </c>
      <c r="B22" s="40">
        <f t="shared" si="0"/>
        <v>21</v>
      </c>
      <c r="C22" s="39">
        <v>2</v>
      </c>
      <c r="D22" s="31">
        <v>2023</v>
      </c>
      <c r="E22" s="22">
        <f>IF('Submetering '!E23+'Submetering '!F23+'Submetering '!G23+'Submetering '!H23+'Submetering '!I23+'Submetering '!J23+'Submetering '!K23+'Submetering '!L23&gt;0,'Submetering '!E23+'Submetering '!F23+'Submetering '!G23+'Submetering '!H23+'Submetering '!I23+'Submetering '!J23+'Submetering '!K23+'Submetering '!L23,0)</f>
        <v>202</v>
      </c>
      <c r="F22" s="37">
        <v>4.5050149863477863E-2</v>
      </c>
      <c r="G22" s="22">
        <f>IF(('Submetering '!M23)*2.8&gt;0,('Submetering '!M23)*2.8,0)</f>
        <v>1176</v>
      </c>
      <c r="H22" s="37">
        <v>0.22818170343021241</v>
      </c>
      <c r="I22" s="22">
        <f>IF(('Submetering '!N23+'Submetering '!O23)*2.83&gt;0,('Submetering '!N23+'Submetering '!O23)*2.83,0)</f>
        <v>171.86589999998847</v>
      </c>
      <c r="J22" s="37">
        <v>7.48821478712554</v>
      </c>
      <c r="K22" s="22">
        <f>IF(('Submetering '!P23+'Submetering '!Q23)*346.26&gt;0,('Submetering '!P23+'Submetering '!Q23)*346.26,0)</f>
        <v>27035.980800003123</v>
      </c>
      <c r="L22" s="37">
        <v>8.940263259482413E-2</v>
      </c>
      <c r="M22" s="31">
        <v>110</v>
      </c>
      <c r="N22" s="31">
        <v>123</v>
      </c>
    </row>
    <row r="23" spans="1:14" s="7" customFormat="1" x14ac:dyDescent="0.25">
      <c r="A23" s="6" t="s">
        <v>12</v>
      </c>
      <c r="B23" s="40">
        <f t="shared" si="0"/>
        <v>22</v>
      </c>
      <c r="C23" s="39">
        <v>2</v>
      </c>
      <c r="D23" s="31">
        <v>2023</v>
      </c>
      <c r="E23" s="22">
        <f>IF('Submetering '!E24+'Submetering '!F24+'Submetering '!G24+'Submetering '!H24+'Submetering '!I24+'Submetering '!J24+'Submetering '!K24+'Submetering '!L24&gt;0,'Submetering '!E24+'Submetering '!F24+'Submetering '!G24+'Submetering '!H24+'Submetering '!I24+'Submetering '!J24+'Submetering '!K24+'Submetering '!L24,0)</f>
        <v>196</v>
      </c>
      <c r="F23" s="37">
        <v>4.5050149863477863E-2</v>
      </c>
      <c r="G23" s="22">
        <f>IF(('Submetering '!M24)*2.8&gt;0,('Submetering '!M24)*2.8,0)</f>
        <v>1173.1999999999998</v>
      </c>
      <c r="H23" s="37">
        <v>0.22818170343021241</v>
      </c>
      <c r="I23" s="22">
        <f>IF(('Submetering '!N24+'Submetering '!O24)*2.83&gt;0,('Submetering '!N24+'Submetering '!O24)*2.83,0)</f>
        <v>141.47170000001483</v>
      </c>
      <c r="J23" s="37">
        <v>7.48821478712554</v>
      </c>
      <c r="K23" s="22">
        <f>IF(('Submetering '!P24+'Submetering '!Q24)*346.26&gt;0,('Submetering '!P24+'Submetering '!Q24)*346.26,0)</f>
        <v>29210.49360000524</v>
      </c>
      <c r="L23" s="37">
        <v>8.940263259482413E-2</v>
      </c>
      <c r="M23" s="31">
        <v>107</v>
      </c>
      <c r="N23" s="31">
        <v>119</v>
      </c>
    </row>
    <row r="24" spans="1:14" s="7" customFormat="1" x14ac:dyDescent="0.25">
      <c r="A24" s="6" t="s">
        <v>12</v>
      </c>
      <c r="B24" s="40">
        <f t="shared" si="0"/>
        <v>23</v>
      </c>
      <c r="C24" s="39">
        <v>2</v>
      </c>
      <c r="D24" s="31">
        <v>2023</v>
      </c>
      <c r="E24" s="22">
        <f>IF('Submetering '!E25+'Submetering '!F25+'Submetering '!G25+'Submetering '!H25+'Submetering '!I25+'Submetering '!J25+'Submetering '!K25+'Submetering '!L25&gt;0,'Submetering '!E25+'Submetering '!F25+'Submetering '!G25+'Submetering '!H25+'Submetering '!I25+'Submetering '!J25+'Submetering '!K25+'Submetering '!L25,0)</f>
        <v>203</v>
      </c>
      <c r="F24" s="37">
        <v>4.5050149863477863E-2</v>
      </c>
      <c r="G24" s="22">
        <f>IF(('Submetering '!M25)*2.8&gt;0,('Submetering '!M25)*2.8,0)</f>
        <v>1167.5999999999999</v>
      </c>
      <c r="H24" s="37">
        <v>0.22818170343021241</v>
      </c>
      <c r="I24" s="22">
        <f>IF(('Submetering '!N25+'Submetering '!O25)*2.83&gt;0,('Submetering '!N25+'Submetering '!O25)*2.83,0)</f>
        <v>222.46630000000167</v>
      </c>
      <c r="J24" s="37">
        <v>7.48821478712554</v>
      </c>
      <c r="K24" s="22">
        <f>IF(('Submetering '!P25+'Submetering '!Q25)*346.26&gt;0,('Submetering '!P25+'Submetering '!Q25)*346.26,0)</f>
        <v>31184.175599996674</v>
      </c>
      <c r="L24" s="37">
        <v>8.940263259482413E-2</v>
      </c>
      <c r="M24" s="31">
        <v>77</v>
      </c>
      <c r="N24" s="31">
        <v>101</v>
      </c>
    </row>
    <row r="25" spans="1:14" s="7" customFormat="1" x14ac:dyDescent="0.25">
      <c r="A25" s="6" t="s">
        <v>12</v>
      </c>
      <c r="B25" s="40">
        <f t="shared" si="0"/>
        <v>24</v>
      </c>
      <c r="C25" s="39">
        <v>2</v>
      </c>
      <c r="D25" s="31">
        <v>2023</v>
      </c>
      <c r="E25" s="22">
        <f>IF('Submetering '!E26+'Submetering '!F26+'Submetering '!G26+'Submetering '!H26+'Submetering '!I26+'Submetering '!J26+'Submetering '!K26+'Submetering '!L26&gt;0,'Submetering '!E26+'Submetering '!F26+'Submetering '!G26+'Submetering '!H26+'Submetering '!I26+'Submetering '!J26+'Submetering '!K26+'Submetering '!L26,0)</f>
        <v>205</v>
      </c>
      <c r="F25" s="37">
        <v>4.5050149863477863E-2</v>
      </c>
      <c r="G25" s="22">
        <f>IF(('Submetering '!M26)*2.8&gt;0,('Submetering '!M26)*2.8,0)</f>
        <v>1148</v>
      </c>
      <c r="H25" s="37">
        <v>0.22818170343021241</v>
      </c>
      <c r="I25" s="22">
        <f>IF(('Submetering '!N26+'Submetering '!O26)*2.83&gt;0,('Submetering '!N26+'Submetering '!O26)*2.83,0)</f>
        <v>111.19069999998189</v>
      </c>
      <c r="J25" s="37">
        <v>7.48821478712554</v>
      </c>
      <c r="K25" s="22">
        <f>IF(('Submetering '!P26+'Submetering '!Q26)*346.26&gt;0,('Submetering '!P26+'Submetering '!Q26)*346.26,0)</f>
        <v>30796.364400000806</v>
      </c>
      <c r="L25" s="37">
        <v>8.940263259482413E-2</v>
      </c>
      <c r="M25" s="31">
        <v>76</v>
      </c>
      <c r="N25" s="31">
        <v>103</v>
      </c>
    </row>
    <row r="26" spans="1:14" s="7" customFormat="1" x14ac:dyDescent="0.25">
      <c r="A26" s="6" t="s">
        <v>12</v>
      </c>
      <c r="B26" s="40">
        <f>B25+1</f>
        <v>25</v>
      </c>
      <c r="C26" s="39">
        <v>2</v>
      </c>
      <c r="D26" s="31">
        <v>2023</v>
      </c>
      <c r="E26" s="22">
        <f>IF('Submetering '!E27+'Submetering '!F27+'Submetering '!G27+'Submetering '!H27+'Submetering '!I27+'Submetering '!J27+'Submetering '!K27+'Submetering '!L27&gt;0,'Submetering '!E27+'Submetering '!F27+'Submetering '!G27+'Submetering '!H27+'Submetering '!I27+'Submetering '!J27+'Submetering '!K27+'Submetering '!L27,0)</f>
        <v>195</v>
      </c>
      <c r="F26" s="37">
        <v>4.5050149863477863E-2</v>
      </c>
      <c r="G26" s="22">
        <f>IF(('Submetering '!M27)*2.8&gt;0,('Submetering '!M27)*2.8,0)</f>
        <v>1192.8</v>
      </c>
      <c r="H26" s="37">
        <v>0.22818170343021241</v>
      </c>
      <c r="I26" s="22">
        <f>IF(('Submetering '!N27+'Submetering '!O27)*2.83&gt;0,('Submetering '!N27+'Submetering '!O27)*2.83,0)</f>
        <v>159.83839999998847</v>
      </c>
      <c r="J26" s="37">
        <v>7.48821478712554</v>
      </c>
      <c r="K26" s="22">
        <f>IF(('Submetering '!P27+'Submetering '!Q27)*346.26&gt;0,('Submetering '!P27+'Submetering '!Q27)*346.26,0)</f>
        <v>29245.119599994658</v>
      </c>
      <c r="L26" s="37">
        <v>8.940263259482413E-2</v>
      </c>
      <c r="M26" s="31">
        <v>136</v>
      </c>
      <c r="N26" s="31">
        <v>166</v>
      </c>
    </row>
    <row r="27" spans="1:14" s="7" customFormat="1" x14ac:dyDescent="0.25">
      <c r="A27" s="6" t="s">
        <v>12</v>
      </c>
      <c r="B27" s="40">
        <f t="shared" si="0"/>
        <v>26</v>
      </c>
      <c r="C27" s="39">
        <v>2</v>
      </c>
      <c r="D27" s="31">
        <v>2023</v>
      </c>
      <c r="E27" s="22">
        <f>IF('Submetering '!E28+'Submetering '!F28+'Submetering '!G28+'Submetering '!H28+'Submetering '!I28+'Submetering '!J28+'Submetering '!K28+'Submetering '!L28&gt;0,'Submetering '!E28+'Submetering '!F28+'Submetering '!G28+'Submetering '!H28+'Submetering '!I28+'Submetering '!J28+'Submetering '!K28+'Submetering '!L28,0)</f>
        <v>207</v>
      </c>
      <c r="F27" s="37">
        <v>4.5050149863477863E-2</v>
      </c>
      <c r="G27" s="22">
        <f>IF(('Submetering '!M28)*2.8&gt;0,('Submetering '!M28)*2.8,0)</f>
        <v>1285.1999999999998</v>
      </c>
      <c r="H27" s="37">
        <v>0.22818170343021241</v>
      </c>
      <c r="I27" s="22">
        <f>IF(('Submetering '!N28+'Submetering '!O28)*2.83&gt;0,('Submetering '!N28+'Submetering '!O28)*2.83,0)</f>
        <v>113.62450000002471</v>
      </c>
      <c r="J27" s="37">
        <v>7.48821478712554</v>
      </c>
      <c r="K27" s="22">
        <f>IF(('Submetering '!P28+'Submetering '!Q28)*346.26&gt;0,('Submetering '!P28+'Submetering '!Q28)*346.26,0)</f>
        <v>29369.77319999738</v>
      </c>
      <c r="L27" s="37">
        <v>8.940263259482413E-2</v>
      </c>
      <c r="M27" s="31">
        <v>133</v>
      </c>
      <c r="N27" s="31">
        <v>149</v>
      </c>
    </row>
    <row r="28" spans="1:14" s="7" customFormat="1" x14ac:dyDescent="0.25">
      <c r="A28" s="6" t="s">
        <v>12</v>
      </c>
      <c r="B28" s="40">
        <f t="shared" si="0"/>
        <v>27</v>
      </c>
      <c r="C28" s="39">
        <v>2</v>
      </c>
      <c r="D28" s="31">
        <v>2023</v>
      </c>
      <c r="E28" s="22">
        <f>IF('Submetering '!E29+'Submetering '!F29+'Submetering '!G29+'Submetering '!H29+'Submetering '!I29+'Submetering '!J29+'Submetering '!K29+'Submetering '!L29&gt;0,'Submetering '!E29+'Submetering '!F29+'Submetering '!G29+'Submetering '!H29+'Submetering '!I29+'Submetering '!J29+'Submetering '!K29+'Submetering '!L29,0)</f>
        <v>200</v>
      </c>
      <c r="F28" s="37">
        <v>4.5050149863477863E-2</v>
      </c>
      <c r="G28" s="22">
        <f>IF(('Submetering '!M29)*2.8&gt;0,('Submetering '!M29)*2.8,0)</f>
        <v>1173.1999999999998</v>
      </c>
      <c r="H28" s="37">
        <v>0.22818170343021241</v>
      </c>
      <c r="I28" s="22">
        <f>IF(('Submetering '!N29+'Submetering '!O29)*2.83&gt;0,('Submetering '!N29+'Submetering '!O29)*2.83,0)</f>
        <v>337.50579999998519</v>
      </c>
      <c r="J28" s="37">
        <v>7.48821478712554</v>
      </c>
      <c r="K28" s="22">
        <f>IF(('Submetering '!P29+'Submetering '!Q29)*346.26&gt;0,('Submetering '!P29+'Submetering '!Q29)*346.26,0)</f>
        <v>28261.741200008466</v>
      </c>
      <c r="L28" s="37">
        <v>8.940263259482413E-2</v>
      </c>
      <c r="M28" s="31">
        <v>143</v>
      </c>
      <c r="N28" s="31">
        <v>169</v>
      </c>
    </row>
    <row r="29" spans="1:14" s="7" customFormat="1" x14ac:dyDescent="0.25">
      <c r="A29" s="6" t="s">
        <v>12</v>
      </c>
      <c r="B29" s="40">
        <f t="shared" si="0"/>
        <v>28</v>
      </c>
      <c r="C29" s="39">
        <v>2</v>
      </c>
      <c r="D29" s="31">
        <v>2023</v>
      </c>
      <c r="E29" s="22">
        <f>IF('Submetering '!E30+'Submetering '!F30+'Submetering '!G30+'Submetering '!H30+'Submetering '!I30+'Submetering '!J30+'Submetering '!K30+'Submetering '!L30&gt;0,'Submetering '!E30+'Submetering '!F30+'Submetering '!G30+'Submetering '!H30+'Submetering '!I30+'Submetering '!J30+'Submetering '!K30+'Submetering '!L30,0)</f>
        <v>201</v>
      </c>
      <c r="F29" s="37">
        <v>4.5050149863477863E-2</v>
      </c>
      <c r="G29" s="22">
        <f>IF(('Submetering '!M30)*2.8&gt;0,('Submetering '!M30)*2.8,0)</f>
        <v>1148</v>
      </c>
      <c r="H29" s="37">
        <v>0.22818170343021241</v>
      </c>
      <c r="I29" s="22">
        <f>IF(('Submetering '!N30+'Submetering '!O30)*2.83&gt;0,('Submetering '!N30+'Submetering '!O30)*2.83,0)</f>
        <v>173.50729999999342</v>
      </c>
      <c r="J29" s="37">
        <v>7.48821478712554</v>
      </c>
      <c r="K29" s="22">
        <f>IF(('Submetering '!P30+'Submetering '!Q30)*346.26&gt;0,('Submetering '!P30+'Submetering '!Q30)*346.26,0)</f>
        <v>27984.733200002418</v>
      </c>
      <c r="L29" s="37">
        <v>8.940263259482413E-2</v>
      </c>
      <c r="M29" s="31">
        <v>61</v>
      </c>
      <c r="N29" s="31">
        <v>75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workbookViewId="0">
      <selection activeCell="D11" sqref="D11"/>
    </sheetView>
  </sheetViews>
  <sheetFormatPr defaultColWidth="11.5703125" defaultRowHeight="15" x14ac:dyDescent="0.25"/>
  <cols>
    <col min="2" max="4" width="10.140625" style="32" customWidth="1"/>
    <col min="5" max="5" width="13" style="1" customWidth="1"/>
    <col min="6" max="6" width="12.5703125" customWidth="1"/>
    <col min="7" max="7" width="13" style="1" customWidth="1"/>
    <col min="12" max="12" width="11.5703125" style="1"/>
    <col min="15" max="15" width="14" customWidth="1"/>
  </cols>
  <sheetData>
    <row r="1" spans="1:20" s="5" customFormat="1" ht="45" x14ac:dyDescent="0.25">
      <c r="A1" s="5" t="s">
        <v>0</v>
      </c>
      <c r="B1" s="38" t="s">
        <v>1</v>
      </c>
      <c r="C1" s="38" t="s">
        <v>2</v>
      </c>
      <c r="D1" s="38" t="s">
        <v>3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/>
    </row>
    <row r="2" spans="1:20" s="5" customFormat="1" x14ac:dyDescent="0.25">
      <c r="B2" s="38"/>
      <c r="C2" s="38"/>
      <c r="D2" s="38"/>
      <c r="E2" s="2"/>
      <c r="F2" s="8"/>
      <c r="G2" s="2"/>
      <c r="H2" s="3"/>
      <c r="I2" s="3"/>
      <c r="J2" s="3"/>
      <c r="K2" s="3"/>
      <c r="L2" s="2"/>
      <c r="M2" s="3"/>
      <c r="N2" s="3"/>
      <c r="O2" s="4"/>
      <c r="P2" s="4"/>
    </row>
    <row r="3" spans="1:20" s="6" customFormat="1" ht="12.75" x14ac:dyDescent="0.2">
      <c r="A3" s="6" t="s">
        <v>12</v>
      </c>
      <c r="B3" s="31">
        <v>1</v>
      </c>
      <c r="C3" s="39">
        <v>2</v>
      </c>
      <c r="D3" s="31">
        <v>2023</v>
      </c>
      <c r="E3" s="8">
        <f>DAILY!C4-DAILY!B4</f>
        <v>15</v>
      </c>
      <c r="F3" s="8">
        <f>DAILY!$C$5-DAILY!$B$5</f>
        <v>21</v>
      </c>
      <c r="G3" s="8">
        <f>DAILY!$C$6-DAILY!$B$6</f>
        <v>8</v>
      </c>
      <c r="H3" s="8">
        <f>DAILY!$C$7-DAILY!$B$7</f>
        <v>41</v>
      </c>
      <c r="I3" s="8">
        <f>DAILY!$C$8-DAILY!$B$8</f>
        <v>11</v>
      </c>
      <c r="J3" s="8">
        <f>DAILY!$C$9-DAILY!$B$9</f>
        <v>0</v>
      </c>
      <c r="K3" s="8">
        <f>DAILY!$C$10-DAILY!$B$10</f>
        <v>6</v>
      </c>
      <c r="L3" s="8">
        <f>DAILY!$C$11-DAILY!$B$11</f>
        <v>94</v>
      </c>
      <c r="M3" s="8">
        <f>DAILY!$C$12-DAILY!$B$12</f>
        <v>394</v>
      </c>
      <c r="N3" s="8">
        <f>DAILY!$C$13-DAILY!$B$13</f>
        <v>59.69999999999709</v>
      </c>
      <c r="O3" s="8">
        <f>DAILY!$C$14-DAILY!$B$14</f>
        <v>0</v>
      </c>
      <c r="P3" s="8">
        <f>DAILY!$C$15-DAILY!$B$15</f>
        <v>46.440000000002328</v>
      </c>
      <c r="Q3" s="8">
        <f>DAILY!$C$16-DAILY!$B$16</f>
        <v>19.580000000001746</v>
      </c>
      <c r="R3" s="8"/>
      <c r="S3" s="8"/>
      <c r="T3" s="8"/>
    </row>
    <row r="4" spans="1:20" s="7" customFormat="1" x14ac:dyDescent="0.25">
      <c r="A4" s="6" t="s">
        <v>12</v>
      </c>
      <c r="B4" s="40">
        <f>B3+1</f>
        <v>2</v>
      </c>
      <c r="C4" s="39">
        <v>2</v>
      </c>
      <c r="D4" s="31">
        <v>2023</v>
      </c>
      <c r="E4" s="8">
        <f>DAILY!D4-DAILY!C4</f>
        <v>16</v>
      </c>
      <c r="F4" s="8">
        <f>DAILY!$D$5-DAILY!$C$5</f>
        <v>21</v>
      </c>
      <c r="G4" s="8">
        <f>DAILY!$D$6-DAILY!$C$6</f>
        <v>9</v>
      </c>
      <c r="H4" s="8">
        <f>DAILY!$D$7-DAILY!$C$7</f>
        <v>44</v>
      </c>
      <c r="I4" s="8">
        <f>DAILY!$D$8-DAILY!$C$8</f>
        <v>11</v>
      </c>
      <c r="J4" s="8">
        <f>DAILY!$D$9-DAILY!$C$9</f>
        <v>1</v>
      </c>
      <c r="K4" s="8">
        <f>DAILY!$D$10-DAILY!$C$10</f>
        <v>5</v>
      </c>
      <c r="L4" s="8">
        <f>DAILY!$D$11-DAILY!$C$11</f>
        <v>97</v>
      </c>
      <c r="M4" s="8">
        <f>DAILY!$D$12-DAILY!$C$12</f>
        <v>396</v>
      </c>
      <c r="N4" s="8">
        <f>DAILY!$D$13-DAILY!$C$13</f>
        <v>57.139999999999418</v>
      </c>
      <c r="O4" s="8">
        <f>DAILY!$D$14-DAILY!$C$14</f>
        <v>0</v>
      </c>
      <c r="P4" s="8">
        <f>DAILY!$D$15-DAILY!$C$15</f>
        <v>47.099999999976717</v>
      </c>
      <c r="Q4" s="8">
        <f>DAILY!$D$16-DAILY!$C$16</f>
        <v>19.279999999998836</v>
      </c>
    </row>
    <row r="5" spans="1:20" s="7" customFormat="1" x14ac:dyDescent="0.25">
      <c r="A5" s="6" t="s">
        <v>12</v>
      </c>
      <c r="B5" s="40">
        <f t="shared" ref="B5:B30" si="0">B4+1</f>
        <v>3</v>
      </c>
      <c r="C5" s="39">
        <v>2</v>
      </c>
      <c r="D5" s="31">
        <v>2023</v>
      </c>
      <c r="E5" s="8">
        <f>DAILY!E4-DAILY!D4</f>
        <v>16</v>
      </c>
      <c r="F5" s="8">
        <f>DAILY!$E$5-DAILY!$D$5</f>
        <v>22</v>
      </c>
      <c r="G5" s="8">
        <f>DAILY!$E$6-DAILY!$D$6</f>
        <v>10</v>
      </c>
      <c r="H5" s="8">
        <f>DAILY!$E$7-DAILY!$D$7</f>
        <v>45</v>
      </c>
      <c r="I5" s="8">
        <f>DAILY!$E$8-DAILY!$D$8</f>
        <v>13</v>
      </c>
      <c r="J5" s="8">
        <f>DAILY!$E$9-DAILY!$D$9</f>
        <v>0</v>
      </c>
      <c r="K5" s="8">
        <f>DAILY!$E$10-DAILY!$D$10</f>
        <v>5</v>
      </c>
      <c r="L5" s="8">
        <f>DAILY!$E$11-DAILY!$D$11</f>
        <v>100</v>
      </c>
      <c r="M5" s="8">
        <f>DAILY!$E$12-DAILY!$D$12</f>
        <v>403</v>
      </c>
      <c r="N5" s="8">
        <f>DAILY!$E$13-DAILY!$D$13</f>
        <v>61.850000000005821</v>
      </c>
      <c r="O5" s="8">
        <f>DAILY!$E$14-DAILY!$D$14</f>
        <v>0</v>
      </c>
      <c r="P5" s="8">
        <f>DAILY!$E$15-DAILY!$D$15</f>
        <v>47.820000000006985</v>
      </c>
      <c r="Q5" s="8">
        <f>DAILY!$E$16-DAILY!$D$16</f>
        <v>19.5</v>
      </c>
    </row>
    <row r="6" spans="1:20" s="7" customFormat="1" x14ac:dyDescent="0.25">
      <c r="A6" s="6" t="s">
        <v>12</v>
      </c>
      <c r="B6" s="40">
        <f t="shared" si="0"/>
        <v>4</v>
      </c>
      <c r="C6" s="39">
        <v>2</v>
      </c>
      <c r="D6" s="31">
        <v>2023</v>
      </c>
      <c r="E6" s="8">
        <f>DAILY!F4-DAILY!E4</f>
        <v>16</v>
      </c>
      <c r="F6" s="8">
        <f>DAILY!$F$5-DAILY!$E$5</f>
        <v>23</v>
      </c>
      <c r="G6" s="8">
        <f>DAILY!$F$6-DAILY!$E$6</f>
        <v>9</v>
      </c>
      <c r="H6" s="8">
        <f>DAILY!$F$7-DAILY!$E$7</f>
        <v>44</v>
      </c>
      <c r="I6" s="8">
        <f>DAILY!$F$8-DAILY!$E$8</f>
        <v>12</v>
      </c>
      <c r="J6" s="8">
        <f>DAILY!$F$9-DAILY!$E$9</f>
        <v>0</v>
      </c>
      <c r="K6" s="8">
        <f>DAILY!$F$10-DAILY!$E$10</f>
        <v>5</v>
      </c>
      <c r="L6" s="8">
        <f>DAILY!$F$11-DAILY!$E$11</f>
        <v>96</v>
      </c>
      <c r="M6" s="8">
        <f>DAILY!$F$12-DAILY!$E$12</f>
        <v>417</v>
      </c>
      <c r="N6" s="8">
        <f>DAILY!$F$13-DAILY!$E$13</f>
        <v>51.44999999999709</v>
      </c>
      <c r="O6" s="8">
        <f>DAILY!$F$14-DAILY!$E$14</f>
        <v>0</v>
      </c>
      <c r="P6" s="8">
        <f>DAILY!$F$15-DAILY!$E$15</f>
        <v>45.899999999994179</v>
      </c>
      <c r="Q6" s="8">
        <f>DAILY!$F$16-DAILY!$E$16</f>
        <v>18.599999999998545</v>
      </c>
    </row>
    <row r="7" spans="1:20" s="7" customFormat="1" x14ac:dyDescent="0.25">
      <c r="A7" s="6" t="s">
        <v>12</v>
      </c>
      <c r="B7" s="40">
        <f t="shared" si="0"/>
        <v>5</v>
      </c>
      <c r="C7" s="39">
        <v>2</v>
      </c>
      <c r="D7" s="31">
        <v>2023</v>
      </c>
      <c r="E7" s="8">
        <f>DAILY!G4-DAILY!F4</f>
        <v>16</v>
      </c>
      <c r="F7" s="8">
        <f>DAILY!$G$5-DAILY!$F$5</f>
        <v>23</v>
      </c>
      <c r="G7" s="8">
        <f>DAILY!$G$6-DAILY!$F$6</f>
        <v>9</v>
      </c>
      <c r="H7" s="8">
        <f>DAILY!$G$7-DAILY!$F$7</f>
        <v>46</v>
      </c>
      <c r="I7" s="8">
        <f>DAILY!$G$8-DAILY!$F$8</f>
        <v>14</v>
      </c>
      <c r="J7" s="8">
        <f>DAILY!$G$9-DAILY!$F$9</f>
        <v>0</v>
      </c>
      <c r="K7" s="8">
        <f>DAILY!$G$10-DAILY!$F$10</f>
        <v>6</v>
      </c>
      <c r="L7" s="8">
        <f>DAILY!$G$11-DAILY!$F$11</f>
        <v>96</v>
      </c>
      <c r="M7" s="8">
        <f>DAILY!$G$12-DAILY!$F$12</f>
        <v>419</v>
      </c>
      <c r="N7" s="8">
        <f>DAILY!$G$13-DAILY!$F$13</f>
        <v>70.430000000007567</v>
      </c>
      <c r="O7" s="8">
        <f>DAILY!$G$14-DAILY!$F$14</f>
        <v>0</v>
      </c>
      <c r="P7" s="8">
        <f>DAILY!$G$15-DAILY!$F$15</f>
        <v>48.64000000001397</v>
      </c>
      <c r="Q7" s="8">
        <f>DAILY!$G$16-DAILY!$F$16</f>
        <v>19.599999999998545</v>
      </c>
    </row>
    <row r="8" spans="1:20" s="7" customFormat="1" x14ac:dyDescent="0.25">
      <c r="A8" s="6" t="s">
        <v>12</v>
      </c>
      <c r="B8" s="40">
        <f t="shared" si="0"/>
        <v>6</v>
      </c>
      <c r="C8" s="39">
        <v>2</v>
      </c>
      <c r="D8" s="31">
        <v>2023</v>
      </c>
      <c r="E8" s="8">
        <f>DAILY!H4-DAILY!G4</f>
        <v>16</v>
      </c>
      <c r="F8" s="8">
        <f>DAILY!$H$5-DAILY!$G$5</f>
        <v>22</v>
      </c>
      <c r="G8" s="8">
        <f>DAILY!$H$6-DAILY!$G$6</f>
        <v>9</v>
      </c>
      <c r="H8" s="8">
        <f>DAILY!$H$7-DAILY!$G$7</f>
        <v>44</v>
      </c>
      <c r="I8" s="8">
        <f>DAILY!$H$8-DAILY!$G$8</f>
        <v>12</v>
      </c>
      <c r="J8" s="8">
        <f>DAILY!$H$9-DAILY!$G$9</f>
        <v>0</v>
      </c>
      <c r="K8" s="8">
        <f>DAILY!$H$10-DAILY!$G$10</f>
        <v>5</v>
      </c>
      <c r="L8" s="8">
        <f>DAILY!$H$11-DAILY!$G$11</f>
        <v>95</v>
      </c>
      <c r="M8" s="8">
        <f>DAILY!$H$12-DAILY!$G$12</f>
        <v>401</v>
      </c>
      <c r="N8" s="8">
        <f>DAILY!$H$13-DAILY!$G$13</f>
        <v>71.189999999987776</v>
      </c>
      <c r="O8" s="8">
        <f>DAILY!$H$14-DAILY!$G$14</f>
        <v>0</v>
      </c>
      <c r="P8" s="8">
        <f>DAILY!$H$15-DAILY!$G$15</f>
        <v>48.679999999993015</v>
      </c>
      <c r="Q8" s="8">
        <f>DAILY!$H$16-DAILY!$G$16</f>
        <v>20.279999999998836</v>
      </c>
    </row>
    <row r="9" spans="1:20" s="7" customFormat="1" x14ac:dyDescent="0.25">
      <c r="A9" s="6" t="s">
        <v>12</v>
      </c>
      <c r="B9" s="40">
        <f t="shared" si="0"/>
        <v>7</v>
      </c>
      <c r="C9" s="39">
        <v>2</v>
      </c>
      <c r="D9" s="31">
        <v>2023</v>
      </c>
      <c r="E9" s="8">
        <f>DAILY!I4-DAILY!H4</f>
        <v>15</v>
      </c>
      <c r="F9" s="8">
        <f>DAILY!$I$5-DAILY!$H$5</f>
        <v>24</v>
      </c>
      <c r="G9" s="8">
        <f>DAILY!$I$6-DAILY!$H$6</f>
        <v>9</v>
      </c>
      <c r="H9" s="8">
        <f>DAILY!$I$7-DAILY!$H$7</f>
        <v>45</v>
      </c>
      <c r="I9" s="8">
        <f>DAILY!$I$8-DAILY!$H$8</f>
        <v>13</v>
      </c>
      <c r="J9" s="8">
        <f>DAILY!$I$9-DAILY!$H$9</f>
        <v>0</v>
      </c>
      <c r="K9" s="8">
        <f>DAILY!$I$10-DAILY!$H$10</f>
        <v>5</v>
      </c>
      <c r="L9" s="8">
        <f>DAILY!$I$11-DAILY!$H$11</f>
        <v>96</v>
      </c>
      <c r="M9" s="8">
        <f>DAILY!$I$12-DAILY!$H$12</f>
        <v>399</v>
      </c>
      <c r="N9" s="8">
        <f>DAILY!$I$13-DAILY!$H$13</f>
        <v>57.840000000011059</v>
      </c>
      <c r="O9" s="8">
        <f>DAILY!$I$14-DAILY!$H$14</f>
        <v>0</v>
      </c>
      <c r="P9" s="8">
        <f>DAILY!$I$15-DAILY!$H$15</f>
        <v>49.64000000001397</v>
      </c>
      <c r="Q9" s="8">
        <f>DAILY!$I$16-DAILY!$H$16</f>
        <v>21</v>
      </c>
    </row>
    <row r="10" spans="1:20" s="7" customFormat="1" x14ac:dyDescent="0.25">
      <c r="A10" s="6" t="s">
        <v>12</v>
      </c>
      <c r="B10" s="40">
        <f t="shared" si="0"/>
        <v>8</v>
      </c>
      <c r="C10" s="39">
        <v>2</v>
      </c>
      <c r="D10" s="31">
        <v>2023</v>
      </c>
      <c r="E10" s="8">
        <f>DAILY!J4-DAILY!I4</f>
        <v>16</v>
      </c>
      <c r="F10" s="8">
        <f>DAILY!$J$5-DAILY!$I$5</f>
        <v>20</v>
      </c>
      <c r="G10" s="8">
        <f>DAILY!$J$6-DAILY!$I$6</f>
        <v>8</v>
      </c>
      <c r="H10" s="8">
        <f>DAILY!$J$7-DAILY!$I$7</f>
        <v>44</v>
      </c>
      <c r="I10" s="8">
        <f>DAILY!$J$8-DAILY!$I$8</f>
        <v>12</v>
      </c>
      <c r="J10" s="8">
        <f>DAILY!$J$9-DAILY!$I$9</f>
        <v>0</v>
      </c>
      <c r="K10" s="8">
        <f>DAILY!$J$10-DAILY!$I$10</f>
        <v>6</v>
      </c>
      <c r="L10" s="8">
        <f>DAILY!$J$11-DAILY!$I$11</f>
        <v>96</v>
      </c>
      <c r="M10" s="8">
        <f>DAILY!$J$12-DAILY!$I$12</f>
        <v>392</v>
      </c>
      <c r="N10" s="8">
        <f>DAILY!$J$13-DAILY!$I$13</f>
        <v>43.569999999992433</v>
      </c>
      <c r="O10" s="8">
        <f>DAILY!$J$14-DAILY!$I$14</f>
        <v>0</v>
      </c>
      <c r="P10" s="8">
        <f>DAILY!$J$15-DAILY!$I$15</f>
        <v>46.959999999991851</v>
      </c>
      <c r="Q10" s="8">
        <f>DAILY!$J$16-DAILY!$I$16</f>
        <v>19.620000000002619</v>
      </c>
    </row>
    <row r="11" spans="1:20" s="7" customFormat="1" x14ac:dyDescent="0.25">
      <c r="A11" s="6" t="s">
        <v>12</v>
      </c>
      <c r="B11" s="40">
        <f t="shared" si="0"/>
        <v>9</v>
      </c>
      <c r="C11" s="39">
        <v>2</v>
      </c>
      <c r="D11" s="31">
        <v>2023</v>
      </c>
      <c r="E11" s="8">
        <f>DAILY!K4-DAILY!J4</f>
        <v>15</v>
      </c>
      <c r="F11" s="8">
        <f>DAILY!$K$5-DAILY!$J$5</f>
        <v>23</v>
      </c>
      <c r="G11" s="8">
        <f>DAILY!$K$6-DAILY!$J$6</f>
        <v>9</v>
      </c>
      <c r="H11" s="8">
        <f>DAILY!$K$7-DAILY!$J$7</f>
        <v>35</v>
      </c>
      <c r="I11" s="8">
        <f>DAILY!$K$8-DAILY!$J$8</f>
        <v>13</v>
      </c>
      <c r="J11" s="8">
        <f>DAILY!$K$9-DAILY!$J$9</f>
        <v>0</v>
      </c>
      <c r="K11" s="8">
        <f>DAILY!$K$10-DAILY!$J$10</f>
        <v>5</v>
      </c>
      <c r="L11" s="8">
        <f>DAILY!$K$11-DAILY!$J$11</f>
        <v>94</v>
      </c>
      <c r="M11" s="8">
        <f>DAILY!$K$12-DAILY!$J$12</f>
        <v>405</v>
      </c>
      <c r="N11" s="8">
        <f>DAILY!$K$13-DAILY!$J$13</f>
        <v>113.66000000000349</v>
      </c>
      <c r="O11" s="8">
        <f>DAILY!$K$14-DAILY!$J$14</f>
        <v>0</v>
      </c>
      <c r="P11" s="8">
        <f>DAILY!$K$15-DAILY!$J$15</f>
        <v>48.079999999987194</v>
      </c>
      <c r="Q11" s="8">
        <f>DAILY!$K$16-DAILY!$J$16</f>
        <v>20</v>
      </c>
    </row>
    <row r="12" spans="1:20" s="7" customFormat="1" x14ac:dyDescent="0.25">
      <c r="A12" s="6" t="s">
        <v>12</v>
      </c>
      <c r="B12" s="40">
        <f t="shared" si="0"/>
        <v>10</v>
      </c>
      <c r="C12" s="39">
        <v>2</v>
      </c>
      <c r="D12" s="31">
        <v>2023</v>
      </c>
      <c r="E12" s="8">
        <f>DAILY!L4-DAILY!K4</f>
        <v>16</v>
      </c>
      <c r="F12" s="8">
        <f>DAILY!$L$5-DAILY!$K$5</f>
        <v>22</v>
      </c>
      <c r="G12" s="8">
        <f>DAILY!$L$6-DAILY!$K$6</f>
        <v>10</v>
      </c>
      <c r="H12" s="8">
        <f>DAILY!$L$7-DAILY!$K$7</f>
        <v>54</v>
      </c>
      <c r="I12" s="8">
        <f>DAILY!$L$8-DAILY!$K$8</f>
        <v>14</v>
      </c>
      <c r="J12" s="8">
        <f>DAILY!$L$9-DAILY!$K$9</f>
        <v>0</v>
      </c>
      <c r="K12" s="8">
        <f>DAILY!$L$10-DAILY!$K$10</f>
        <v>5</v>
      </c>
      <c r="L12" s="8">
        <f>DAILY!$L$11-DAILY!$K$11</f>
        <v>100</v>
      </c>
      <c r="M12" s="8">
        <f>DAILY!$L$12-DAILY!$K$12</f>
        <v>404</v>
      </c>
      <c r="N12" s="8">
        <f>DAILY!$L$13-DAILY!$K$13</f>
        <v>68.569999999992433</v>
      </c>
      <c r="O12" s="8">
        <f>DAILY!$L$14-DAILY!$K$14</f>
        <v>0</v>
      </c>
      <c r="P12" s="8">
        <f>DAILY!$L$15-DAILY!$K$15</f>
        <v>47.14000000001397</v>
      </c>
      <c r="Q12" s="8">
        <f>DAILY!$L$16-DAILY!$K$16</f>
        <v>19.180000000000291</v>
      </c>
    </row>
    <row r="13" spans="1:20" s="7" customFormat="1" x14ac:dyDescent="0.25">
      <c r="A13" s="6" t="s">
        <v>12</v>
      </c>
      <c r="B13" s="40">
        <f t="shared" si="0"/>
        <v>11</v>
      </c>
      <c r="C13" s="39">
        <v>2</v>
      </c>
      <c r="D13" s="31">
        <v>2023</v>
      </c>
      <c r="E13" s="8">
        <f>DAILY!M4-DAILY!L4</f>
        <v>16</v>
      </c>
      <c r="F13" s="8">
        <f>DAILY!$M$5-DAILY!$L$5</f>
        <v>23</v>
      </c>
      <c r="G13" s="8">
        <f>DAILY!$M$6-DAILY!$L$6</f>
        <v>10</v>
      </c>
      <c r="H13" s="8">
        <f>DAILY!$M$7-DAILY!$L$7</f>
        <v>44</v>
      </c>
      <c r="I13" s="8">
        <f>DAILY!$M$8-DAILY!$L$8</f>
        <v>12</v>
      </c>
      <c r="J13" s="8">
        <f>DAILY!$M$9-DAILY!$L$9</f>
        <v>0</v>
      </c>
      <c r="K13" s="8">
        <f>DAILY!$M$10-DAILY!$L$10</f>
        <v>6</v>
      </c>
      <c r="L13" s="8">
        <f>DAILY!$M$11-DAILY!$L$11</f>
        <v>97</v>
      </c>
      <c r="M13" s="8">
        <f>DAILY!$M$12-DAILY!$L$12</f>
        <v>404</v>
      </c>
      <c r="N13" s="8">
        <f>DAILY!$M$13-DAILY!$L$13</f>
        <v>61.560000000012224</v>
      </c>
      <c r="O13" s="8">
        <f>DAILY!$M$14-DAILY!$L$14</f>
        <v>0</v>
      </c>
      <c r="P13" s="8">
        <f>DAILY!$M$15-DAILY!$L$15</f>
        <v>49.699999999982538</v>
      </c>
      <c r="Q13" s="8">
        <f>DAILY!$M$16-DAILY!$L$16</f>
        <v>20.620000000002619</v>
      </c>
    </row>
    <row r="14" spans="1:20" s="7" customFormat="1" x14ac:dyDescent="0.25">
      <c r="A14" s="6" t="s">
        <v>12</v>
      </c>
      <c r="B14" s="40">
        <f t="shared" si="0"/>
        <v>12</v>
      </c>
      <c r="C14" s="39">
        <v>2</v>
      </c>
      <c r="D14" s="31">
        <v>2023</v>
      </c>
      <c r="E14" s="8">
        <f>DAILY!N4-DAILY!M4</f>
        <v>17</v>
      </c>
      <c r="F14" s="8">
        <f>DAILY!$N$5-DAILY!$M$5</f>
        <v>22</v>
      </c>
      <c r="G14" s="8">
        <f>DAILY!$N$6-DAILY!$M$6</f>
        <v>9</v>
      </c>
      <c r="H14" s="8">
        <f>DAILY!$N$7-DAILY!$M$7</f>
        <v>48</v>
      </c>
      <c r="I14" s="8">
        <f>DAILY!$N$8-DAILY!$M$8</f>
        <v>13</v>
      </c>
      <c r="J14" s="8">
        <f>DAILY!$N$9-DAILY!$M$9</f>
        <v>0</v>
      </c>
      <c r="K14" s="8">
        <f>DAILY!$N$10-DAILY!$M$10</f>
        <v>5</v>
      </c>
      <c r="L14" s="8">
        <f>DAILY!$N$11-DAILY!$M$11</f>
        <v>92</v>
      </c>
      <c r="M14" s="8">
        <f>DAILY!$N$12-DAILY!$M$12</f>
        <v>428</v>
      </c>
      <c r="N14" s="8">
        <f>DAILY!$N$13-DAILY!$M$13</f>
        <v>65.739999999990687</v>
      </c>
      <c r="O14" s="8">
        <f>DAILY!$N$14-DAILY!$M$14</f>
        <v>0</v>
      </c>
      <c r="P14" s="8">
        <f>DAILY!$N$15-DAILY!$M$15</f>
        <v>53.900000000023283</v>
      </c>
      <c r="Q14" s="8">
        <f>DAILY!$N$16-DAILY!$M$16</f>
        <v>22.859999999993306</v>
      </c>
    </row>
    <row r="15" spans="1:20" s="7" customFormat="1" x14ac:dyDescent="0.25">
      <c r="A15" s="6" t="s">
        <v>12</v>
      </c>
      <c r="B15" s="40">
        <f t="shared" si="0"/>
        <v>13</v>
      </c>
      <c r="C15" s="39">
        <v>2</v>
      </c>
      <c r="D15" s="31">
        <v>2023</v>
      </c>
      <c r="E15" s="8">
        <f>DAILY!O4-DAILY!N4</f>
        <v>16</v>
      </c>
      <c r="F15" s="8">
        <f>DAILY!$O$5-DAILY!$N$5</f>
        <v>21</v>
      </c>
      <c r="G15" s="8">
        <f>DAILY!$O$6-DAILY!$N$6</f>
        <v>9</v>
      </c>
      <c r="H15" s="8">
        <f>DAILY!$O$7-DAILY!$N$7</f>
        <v>46</v>
      </c>
      <c r="I15" s="8">
        <f>DAILY!$O$8-DAILY!$N$8</f>
        <v>13</v>
      </c>
      <c r="J15" s="8">
        <f>DAILY!$O$9-DAILY!$N$9</f>
        <v>0</v>
      </c>
      <c r="K15" s="8">
        <f>DAILY!$O$10-DAILY!$N$10</f>
        <v>5</v>
      </c>
      <c r="L15" s="8">
        <f>DAILY!$O$11-DAILY!$N$11</f>
        <v>93</v>
      </c>
      <c r="M15" s="8">
        <f>DAILY!$O$12-DAILY!$N$12</f>
        <v>409</v>
      </c>
      <c r="N15" s="8">
        <f>DAILY!$O$13-DAILY!$N$13</f>
        <v>76.900000000008731</v>
      </c>
      <c r="O15" s="8">
        <f>DAILY!$O$14-DAILY!$N$14</f>
        <v>0</v>
      </c>
      <c r="P15" s="8">
        <f>DAILY!$O$15-DAILY!$N$15</f>
        <v>52.239999999990687</v>
      </c>
      <c r="Q15" s="8">
        <f>DAILY!$O$16-DAILY!$N$16</f>
        <v>22.660000000003492</v>
      </c>
    </row>
    <row r="16" spans="1:20" s="7" customFormat="1" x14ac:dyDescent="0.25">
      <c r="A16" s="6" t="s">
        <v>12</v>
      </c>
      <c r="B16" s="40">
        <f t="shared" si="0"/>
        <v>14</v>
      </c>
      <c r="C16" s="39">
        <v>2</v>
      </c>
      <c r="D16" s="31">
        <v>2023</v>
      </c>
      <c r="E16" s="8">
        <f>DAILY!P4-DAILY!O4</f>
        <v>16</v>
      </c>
      <c r="F16" s="8">
        <f>DAILY!$P$5-DAILY!$O$5</f>
        <v>21</v>
      </c>
      <c r="G16" s="8">
        <f>DAILY!$P$6-DAILY!$O$6</f>
        <v>9</v>
      </c>
      <c r="H16" s="8">
        <f>DAILY!$P$7-DAILY!$O$7</f>
        <v>46</v>
      </c>
      <c r="I16" s="8">
        <f>DAILY!$P$8-DAILY!$O$8</f>
        <v>14</v>
      </c>
      <c r="J16" s="8">
        <f>DAILY!$P$9-DAILY!$O$9</f>
        <v>0</v>
      </c>
      <c r="K16" s="8">
        <f>DAILY!$P$10-DAILY!$O$10</f>
        <v>5</v>
      </c>
      <c r="L16" s="8">
        <f>DAILY!$P$11-DAILY!$O$11</f>
        <v>87</v>
      </c>
      <c r="M16" s="8">
        <f>DAILY!$P$12-DAILY!$O$12</f>
        <v>396</v>
      </c>
      <c r="N16" s="8">
        <f>DAILY!$P$13-DAILY!$O$13</f>
        <v>64.639999999999418</v>
      </c>
      <c r="O16" s="8">
        <f>DAILY!$P$14-DAILY!$O$14</f>
        <v>0</v>
      </c>
      <c r="P16" s="8">
        <f>DAILY!$P$15-DAILY!$O$15</f>
        <v>56.559999999997672</v>
      </c>
      <c r="Q16" s="8">
        <f>DAILY!$P$16-DAILY!$O$16</f>
        <v>24.919999999998254</v>
      </c>
    </row>
    <row r="17" spans="1:17" s="7" customFormat="1" x14ac:dyDescent="0.25">
      <c r="A17" s="6" t="s">
        <v>12</v>
      </c>
      <c r="B17" s="40">
        <f t="shared" si="0"/>
        <v>15</v>
      </c>
      <c r="C17" s="39">
        <v>2</v>
      </c>
      <c r="D17" s="31">
        <v>2023</v>
      </c>
      <c r="E17" s="8">
        <f>DAILY!Q4-DAILY!P4</f>
        <v>15</v>
      </c>
      <c r="F17" s="8">
        <f>DAILY!$Q$5-DAILY!$P$5</f>
        <v>21</v>
      </c>
      <c r="G17" s="8">
        <f>DAILY!$Q$6-DAILY!$P$6</f>
        <v>9</v>
      </c>
      <c r="H17" s="8">
        <f>DAILY!$Q$7-DAILY!$P$7</f>
        <v>44</v>
      </c>
      <c r="I17" s="8">
        <f>DAILY!$Q$8-DAILY!$P$8</f>
        <v>13</v>
      </c>
      <c r="J17" s="8">
        <f>DAILY!$Q$9-DAILY!$P$9</f>
        <v>0</v>
      </c>
      <c r="K17" s="8">
        <f>DAILY!$Q$10-DAILY!$P$10</f>
        <v>6</v>
      </c>
      <c r="L17" s="8">
        <f>DAILY!$Q$11-DAILY!$P$11</f>
        <v>90</v>
      </c>
      <c r="M17" s="8">
        <f>DAILY!$Q$12-DAILY!$P$12</f>
        <v>314</v>
      </c>
      <c r="N17" s="8">
        <f>DAILY!$Q$13-DAILY!$P$13</f>
        <v>66.720000000001164</v>
      </c>
      <c r="O17" s="8">
        <f>DAILY!$Q$14-DAILY!$P$14</f>
        <v>0</v>
      </c>
      <c r="P17" s="8">
        <f>DAILY!$Q$15-DAILY!$P$15</f>
        <v>52.799999999988358</v>
      </c>
      <c r="Q17" s="8">
        <f>DAILY!$Q$16-DAILY!$P$16</f>
        <v>23.419999999998254</v>
      </c>
    </row>
    <row r="18" spans="1:17" s="7" customFormat="1" x14ac:dyDescent="0.25">
      <c r="A18" s="6" t="s">
        <v>12</v>
      </c>
      <c r="B18" s="40">
        <f t="shared" si="0"/>
        <v>16</v>
      </c>
      <c r="C18" s="39">
        <v>2</v>
      </c>
      <c r="D18" s="31">
        <v>2023</v>
      </c>
      <c r="E18" s="8">
        <f>DAILY!R4-DAILY!Q4</f>
        <v>17</v>
      </c>
      <c r="F18" s="8">
        <f>DAILY!$R$5-DAILY!$Q$5</f>
        <v>20</v>
      </c>
      <c r="G18" s="8">
        <f>DAILY!$R$6-DAILY!$Q$6</f>
        <v>10</v>
      </c>
      <c r="H18" s="8">
        <f>DAILY!$R$7-DAILY!$Q$7</f>
        <v>45</v>
      </c>
      <c r="I18" s="8">
        <f>DAILY!$R$8-DAILY!$Q$8</f>
        <v>13</v>
      </c>
      <c r="J18" s="8">
        <f>DAILY!$R$9-DAILY!$Q$9</f>
        <v>0</v>
      </c>
      <c r="K18" s="8">
        <f>DAILY!$R$10-DAILY!$Q$10</f>
        <v>5</v>
      </c>
      <c r="L18" s="8">
        <f>DAILY!$R$11-DAILY!$Q$11</f>
        <v>86</v>
      </c>
      <c r="M18" s="8">
        <f>DAILY!$R$12-DAILY!$Q$12</f>
        <v>417</v>
      </c>
      <c r="N18" s="8">
        <f>DAILY!$R$13-DAILY!$Q$13</f>
        <v>51.989999999990687</v>
      </c>
      <c r="O18" s="8">
        <f>DAILY!$R$14-DAILY!$Q$14</f>
        <v>0</v>
      </c>
      <c r="P18" s="8">
        <f>DAILY!$R$15-DAILY!$Q$15</f>
        <v>54.200000000011642</v>
      </c>
      <c r="Q18" s="8">
        <f>DAILY!$R$16-DAILY!$Q$16</f>
        <v>23.580000000001746</v>
      </c>
    </row>
    <row r="19" spans="1:17" s="7" customFormat="1" x14ac:dyDescent="0.25">
      <c r="A19" s="6" t="s">
        <v>12</v>
      </c>
      <c r="B19" s="40">
        <f t="shared" si="0"/>
        <v>17</v>
      </c>
      <c r="C19" s="39">
        <v>2</v>
      </c>
      <c r="D19" s="31">
        <v>2023</v>
      </c>
      <c r="E19" s="8">
        <f>DAILY!S4-DAILY!R4</f>
        <v>16</v>
      </c>
      <c r="F19" s="8">
        <f>DAILY!$S$5-DAILY!$R$5</f>
        <v>22</v>
      </c>
      <c r="G19" s="8">
        <f>DAILY!$S$6-DAILY!$R$6</f>
        <v>10</v>
      </c>
      <c r="H19" s="8">
        <f>DAILY!$S$7-DAILY!$R$7</f>
        <v>46</v>
      </c>
      <c r="I19" s="8">
        <f>DAILY!$S$8-DAILY!$R$8</f>
        <v>13</v>
      </c>
      <c r="J19" s="8">
        <f>DAILY!$S$9-DAILY!$R$9</f>
        <v>0</v>
      </c>
      <c r="K19" s="8">
        <f>DAILY!$S$10-DAILY!$R$10</f>
        <v>6</v>
      </c>
      <c r="L19" s="8">
        <f>DAILY!$S$11-DAILY!$R$11</f>
        <v>94</v>
      </c>
      <c r="M19" s="8">
        <f>DAILY!$S$12-DAILY!$R$12</f>
        <v>422</v>
      </c>
      <c r="N19" s="8">
        <f>DAILY!$S$13-DAILY!$R$13</f>
        <v>75.290000000008149</v>
      </c>
      <c r="O19" s="8">
        <f>DAILY!$S$14-DAILY!$R$14</f>
        <v>0</v>
      </c>
      <c r="P19" s="8">
        <f>DAILY!$S$15-DAILY!$R$15</f>
        <v>53</v>
      </c>
      <c r="Q19" s="8">
        <f>DAILY!$S$16-DAILY!$R$16</f>
        <v>22.959999999999127</v>
      </c>
    </row>
    <row r="20" spans="1:17" s="7" customFormat="1" x14ac:dyDescent="0.25">
      <c r="A20" s="6" t="s">
        <v>12</v>
      </c>
      <c r="B20" s="40">
        <f t="shared" si="0"/>
        <v>18</v>
      </c>
      <c r="C20" s="39">
        <v>2</v>
      </c>
      <c r="D20" s="31">
        <v>2023</v>
      </c>
      <c r="E20" s="8">
        <f>DAILY!T4-DAILY!S4</f>
        <v>18</v>
      </c>
      <c r="F20" s="8">
        <f>DAILY!$T$5-DAILY!$S$5</f>
        <v>22</v>
      </c>
      <c r="G20" s="8">
        <f>DAILY!$T$6-DAILY!$S$6</f>
        <v>10</v>
      </c>
      <c r="H20" s="8">
        <f>DAILY!$T$7-DAILY!$S$7</f>
        <v>45</v>
      </c>
      <c r="I20" s="8">
        <f>DAILY!$T$8-DAILY!$S$8</f>
        <v>13</v>
      </c>
      <c r="J20" s="8">
        <f>DAILY!$T$9-DAILY!$S$9</f>
        <v>0</v>
      </c>
      <c r="K20" s="8">
        <f>DAILY!$T$10-DAILY!$S$10</f>
        <v>5</v>
      </c>
      <c r="L20" s="8">
        <f>DAILY!$T$11-DAILY!$S$11</f>
        <v>95</v>
      </c>
      <c r="M20" s="8">
        <f>DAILY!$T$12-DAILY!$S$12</f>
        <v>446</v>
      </c>
      <c r="N20" s="8">
        <f>DAILY!$T$13-DAILY!$S$13</f>
        <v>51.149999999994179</v>
      </c>
      <c r="O20" s="8">
        <f>DAILY!$T$14-DAILY!$S$14</f>
        <v>0</v>
      </c>
      <c r="P20" s="8">
        <f>DAILY!$T$15-DAILY!$S$15</f>
        <v>53.880000000004657</v>
      </c>
      <c r="Q20" s="8">
        <f>DAILY!$T$16-DAILY!$S$16</f>
        <v>23.360000000000582</v>
      </c>
    </row>
    <row r="21" spans="1:17" s="7" customFormat="1" x14ac:dyDescent="0.25">
      <c r="A21" s="6" t="s">
        <v>12</v>
      </c>
      <c r="B21" s="40">
        <f t="shared" si="0"/>
        <v>19</v>
      </c>
      <c r="C21" s="39">
        <v>2</v>
      </c>
      <c r="D21" s="31">
        <v>2023</v>
      </c>
      <c r="E21" s="8">
        <f>DAILY!U4-DAILY!T4</f>
        <v>17</v>
      </c>
      <c r="F21" s="8">
        <f>DAILY!$U$5-DAILY!$T$5</f>
        <v>22</v>
      </c>
      <c r="G21" s="8">
        <f>DAILY!$U$6-DAILY!$T$6</f>
        <v>10</v>
      </c>
      <c r="H21" s="8">
        <f>DAILY!$U$7-DAILY!$T$7</f>
        <v>46</v>
      </c>
      <c r="I21" s="8">
        <f>DAILY!$U$8-DAILY!$T$8</f>
        <v>12</v>
      </c>
      <c r="J21" s="8">
        <f>DAILY!$U$9-DAILY!$T$9</f>
        <v>0</v>
      </c>
      <c r="K21" s="8">
        <f>DAILY!$U$10-DAILY!$T$10</f>
        <v>5</v>
      </c>
      <c r="L21" s="8">
        <f>DAILY!$U$11-DAILY!$T$11</f>
        <v>77</v>
      </c>
      <c r="M21" s="8">
        <f>DAILY!$U$12-DAILY!$T$12</f>
        <v>429</v>
      </c>
      <c r="N21" s="8">
        <f>DAILY!$U$13-DAILY!$T$13</f>
        <v>60.279999999998836</v>
      </c>
      <c r="O21" s="8">
        <f>DAILY!$U$14-DAILY!$T$14</f>
        <v>0</v>
      </c>
      <c r="P21" s="8">
        <f>DAILY!$U$15-DAILY!$T$15</f>
        <v>55.899999999994179</v>
      </c>
      <c r="Q21" s="8">
        <f>DAILY!$U$16-DAILY!$T$16</f>
        <v>24</v>
      </c>
    </row>
    <row r="22" spans="1:17" s="7" customFormat="1" x14ac:dyDescent="0.25">
      <c r="A22" s="6" t="s">
        <v>12</v>
      </c>
      <c r="B22" s="40">
        <f t="shared" si="0"/>
        <v>20</v>
      </c>
      <c r="C22" s="39">
        <v>2</v>
      </c>
      <c r="D22" s="31">
        <v>2023</v>
      </c>
      <c r="E22" s="8">
        <f>DAILY!V4-DAILY!U4</f>
        <v>16</v>
      </c>
      <c r="F22" s="8">
        <f>DAILY!$V$5-DAILY!$U$5</f>
        <v>23</v>
      </c>
      <c r="G22" s="8">
        <f>DAILY!$V$6-DAILY!$U$6</f>
        <v>10</v>
      </c>
      <c r="H22" s="8">
        <f>DAILY!$V$7-DAILY!$U$7</f>
        <v>46</v>
      </c>
      <c r="I22" s="8">
        <f>DAILY!$V$8-DAILY!$U$8</f>
        <v>12</v>
      </c>
      <c r="J22" s="8">
        <f>DAILY!$V$9-DAILY!$U$9</f>
        <v>0</v>
      </c>
      <c r="K22" s="8">
        <f>DAILY!$V$10-DAILY!$U$10</f>
        <v>5</v>
      </c>
      <c r="L22" s="8">
        <f>DAILY!$V$11-DAILY!$U$11</f>
        <v>88</v>
      </c>
      <c r="M22" s="8">
        <f>DAILY!$V$12-DAILY!$U$12</f>
        <v>413</v>
      </c>
      <c r="N22" s="8">
        <f>DAILY!$V$13-DAILY!$U$13</f>
        <v>99.210000000006403</v>
      </c>
      <c r="O22" s="8">
        <f>DAILY!$V$14-DAILY!$U$14</f>
        <v>0</v>
      </c>
      <c r="P22" s="8">
        <f>DAILY!$V$15-DAILY!$U$15</f>
        <v>52.459999999991851</v>
      </c>
      <c r="Q22" s="8">
        <f>DAILY!$V$16-DAILY!$U$16</f>
        <v>22.480000000003201</v>
      </c>
    </row>
    <row r="23" spans="1:17" s="7" customFormat="1" x14ac:dyDescent="0.25">
      <c r="A23" s="6" t="s">
        <v>12</v>
      </c>
      <c r="B23" s="40">
        <f t="shared" si="0"/>
        <v>21</v>
      </c>
      <c r="C23" s="39">
        <v>2</v>
      </c>
      <c r="D23" s="31">
        <v>2023</v>
      </c>
      <c r="E23" s="8">
        <f>DAILY!W4-DAILY!V4</f>
        <v>16</v>
      </c>
      <c r="F23" s="8">
        <f>DAILY!$W$5-DAILY!$V$5</f>
        <v>21</v>
      </c>
      <c r="G23" s="8">
        <f>DAILY!$W$6-DAILY!$V$6</f>
        <v>10</v>
      </c>
      <c r="H23" s="8">
        <f>DAILY!$W$7-DAILY!$V$7</f>
        <v>46</v>
      </c>
      <c r="I23" s="8">
        <f>DAILY!$W$8-DAILY!$V$8</f>
        <v>13</v>
      </c>
      <c r="J23" s="8">
        <f>DAILY!$W$9-DAILY!$V$9</f>
        <v>0</v>
      </c>
      <c r="K23" s="8">
        <f>DAILY!$W$10-DAILY!$V$10</f>
        <v>6</v>
      </c>
      <c r="L23" s="8">
        <f>DAILY!$W$11-DAILY!$V$11</f>
        <v>90</v>
      </c>
      <c r="M23" s="8">
        <f>DAILY!$W$12-DAILY!$V$12</f>
        <v>420</v>
      </c>
      <c r="N23" s="8">
        <f>DAILY!$W$13-DAILY!$V$13</f>
        <v>60.729999999995925</v>
      </c>
      <c r="O23" s="8">
        <f>DAILY!$W$14-DAILY!$V$14</f>
        <v>0</v>
      </c>
      <c r="P23" s="8">
        <f>DAILY!$W$15-DAILY!$V$15</f>
        <v>54.480000000010477</v>
      </c>
      <c r="Q23" s="8">
        <f>DAILY!$W$16-DAILY!$V$16</f>
        <v>23.599999999998545</v>
      </c>
    </row>
    <row r="24" spans="1:17" s="7" customFormat="1" x14ac:dyDescent="0.25">
      <c r="A24" s="6" t="s">
        <v>12</v>
      </c>
      <c r="B24" s="40">
        <f t="shared" si="0"/>
        <v>22</v>
      </c>
      <c r="C24" s="39">
        <v>2</v>
      </c>
      <c r="D24" s="31">
        <v>2023</v>
      </c>
      <c r="E24" s="8">
        <f>DAILY!X4-DAILY!W4</f>
        <v>16</v>
      </c>
      <c r="F24" s="8">
        <f>DAILY!$X$5-DAILY!$W$5</f>
        <v>20</v>
      </c>
      <c r="G24" s="8">
        <f>DAILY!$X$6-DAILY!$W$6</f>
        <v>9</v>
      </c>
      <c r="H24" s="8">
        <f>DAILY!$X$7-DAILY!$W$7</f>
        <v>44</v>
      </c>
      <c r="I24" s="8">
        <f>DAILY!$X$8-DAILY!$W$8</f>
        <v>12</v>
      </c>
      <c r="J24" s="8">
        <f>DAILY!$X$9-DAILY!$W$9</f>
        <v>0</v>
      </c>
      <c r="K24" s="8">
        <f>DAILY!$X$10-DAILY!$W$10</f>
        <v>5</v>
      </c>
      <c r="L24" s="8">
        <f>DAILY!$X$11-DAILY!$W$11</f>
        <v>90</v>
      </c>
      <c r="M24" s="8">
        <f>DAILY!$X$12-DAILY!$W$12</f>
        <v>419</v>
      </c>
      <c r="N24" s="8">
        <f>DAILY!$X$13-DAILY!$W$13</f>
        <v>49.990000000005239</v>
      </c>
      <c r="O24" s="8">
        <f>DAILY!$X$14-DAILY!$W$14</f>
        <v>0</v>
      </c>
      <c r="P24" s="8">
        <f>DAILY!$X$15-DAILY!$W$15</f>
        <v>57.920000000012806</v>
      </c>
      <c r="Q24" s="8">
        <f>DAILY!$X$16-DAILY!$W$16</f>
        <v>26.440000000002328</v>
      </c>
    </row>
    <row r="25" spans="1:17" s="7" customFormat="1" x14ac:dyDescent="0.25">
      <c r="A25" s="6" t="s">
        <v>12</v>
      </c>
      <c r="B25" s="40">
        <f t="shared" si="0"/>
        <v>23</v>
      </c>
      <c r="C25" s="39">
        <v>2</v>
      </c>
      <c r="D25" s="31">
        <v>2023</v>
      </c>
      <c r="E25" s="8">
        <f>DAILY!Y4-DAILY!X4</f>
        <v>18</v>
      </c>
      <c r="F25" s="8">
        <f>DAILY!$Y$5-DAILY!$X$5</f>
        <v>22</v>
      </c>
      <c r="G25" s="8">
        <f>DAILY!$Y$6-DAILY!$X$6</f>
        <v>10</v>
      </c>
      <c r="H25" s="8">
        <f>DAILY!$Y$7-DAILY!$X$7</f>
        <v>47</v>
      </c>
      <c r="I25" s="8">
        <f>DAILY!$Y$8-DAILY!$X$8</f>
        <v>12</v>
      </c>
      <c r="J25" s="8">
        <f>DAILY!$Y$9-DAILY!$X$9</f>
        <v>0</v>
      </c>
      <c r="K25" s="8">
        <f>DAILY!$Y$10-DAILY!$X$10</f>
        <v>5</v>
      </c>
      <c r="L25" s="8">
        <f>DAILY!$Y$11-DAILY!$X$11</f>
        <v>89</v>
      </c>
      <c r="M25" s="8">
        <f>DAILY!$Y$12-DAILY!$X$12</f>
        <v>417</v>
      </c>
      <c r="N25" s="8">
        <f>DAILY!$Y$13-DAILY!$X$13</f>
        <v>77.610000000000582</v>
      </c>
      <c r="O25" s="8">
        <f>DAILY!$Y$14-DAILY!$X$14</f>
        <v>1</v>
      </c>
      <c r="P25" s="8">
        <f>DAILY!$Y$15-DAILY!$X$15</f>
        <v>61.459999999991851</v>
      </c>
      <c r="Q25" s="8">
        <f>DAILY!$Y$16-DAILY!$X$16</f>
        <v>28.599999999998545</v>
      </c>
    </row>
    <row r="26" spans="1:17" s="7" customFormat="1" x14ac:dyDescent="0.25">
      <c r="A26" s="6" t="s">
        <v>12</v>
      </c>
      <c r="B26" s="40">
        <f t="shared" si="0"/>
        <v>24</v>
      </c>
      <c r="C26" s="39">
        <v>2</v>
      </c>
      <c r="D26" s="31">
        <v>2023</v>
      </c>
      <c r="E26" s="8">
        <f>DAILY!Z4-DAILY!Y4</f>
        <v>17</v>
      </c>
      <c r="F26" s="8">
        <f>DAILY!$Z$5-DAILY!$Y$5</f>
        <v>20</v>
      </c>
      <c r="G26" s="8">
        <f>DAILY!$Z$6-DAILY!$Y$6</f>
        <v>9</v>
      </c>
      <c r="H26" s="8">
        <f>DAILY!$Z$7-DAILY!$Y$7</f>
        <v>46</v>
      </c>
      <c r="I26" s="8">
        <f>DAILY!$Z$8-DAILY!$Y$8</f>
        <v>13</v>
      </c>
      <c r="J26" s="8">
        <f>DAILY!$Z$9-DAILY!$Y$9</f>
        <v>0</v>
      </c>
      <c r="K26" s="8">
        <f>DAILY!$Z$10-DAILY!$Y$10</f>
        <v>6</v>
      </c>
      <c r="L26" s="8">
        <f>DAILY!$Z$11-DAILY!$Y$11</f>
        <v>94</v>
      </c>
      <c r="M26" s="8">
        <f>DAILY!$Z$12-DAILY!$Y$12</f>
        <v>410</v>
      </c>
      <c r="N26" s="8">
        <f>DAILY!$Z$13-DAILY!$Y$13</f>
        <v>39.289999999993597</v>
      </c>
      <c r="O26" s="8">
        <f>DAILY!$Z$14-DAILY!$Y$14</f>
        <v>0</v>
      </c>
      <c r="P26" s="8">
        <f>DAILY!$Z$15-DAILY!$Y$15</f>
        <v>59.940000000002328</v>
      </c>
      <c r="Q26" s="8">
        <f>DAILY!$Z$16-DAILY!$Y$16</f>
        <v>29</v>
      </c>
    </row>
    <row r="27" spans="1:17" s="7" customFormat="1" x14ac:dyDescent="0.25">
      <c r="A27" s="6" t="s">
        <v>12</v>
      </c>
      <c r="B27" s="40">
        <f>B26+1</f>
        <v>25</v>
      </c>
      <c r="C27" s="39">
        <v>2</v>
      </c>
      <c r="D27" s="31">
        <v>2023</v>
      </c>
      <c r="E27" s="8">
        <f>DAILY!AA4-DAILY!Z4</f>
        <v>18</v>
      </c>
      <c r="F27" s="8">
        <f>DAILY!$AA$5-DAILY!$Z$5</f>
        <v>20</v>
      </c>
      <c r="G27" s="8">
        <f>DAILY!$AA$6-DAILY!$Z$6</f>
        <v>9</v>
      </c>
      <c r="H27" s="8">
        <f>DAILY!$AA$7-DAILY!$Z$7</f>
        <v>46</v>
      </c>
      <c r="I27" s="8">
        <f>DAILY!$AA$8-DAILY!$Z$8</f>
        <v>12</v>
      </c>
      <c r="J27" s="8">
        <f>DAILY!$AA$9-DAILY!$Z$9</f>
        <v>0</v>
      </c>
      <c r="K27" s="8">
        <f>DAILY!$AA$10-DAILY!$Z$10</f>
        <v>5</v>
      </c>
      <c r="L27" s="8">
        <f>DAILY!$AA$11-DAILY!$Z$11</f>
        <v>85</v>
      </c>
      <c r="M27" s="8">
        <f>DAILY!$AA$12-DAILY!$Z$12</f>
        <v>426</v>
      </c>
      <c r="N27" s="8">
        <f>DAILY!$AA$13-DAILY!$Z$13</f>
        <v>56.479999999995925</v>
      </c>
      <c r="O27" s="8">
        <f>DAILY!$AA$14-DAILY!$Z$14</f>
        <v>0</v>
      </c>
      <c r="P27" s="8">
        <f>DAILY!$AA$15-DAILY!$Z$15</f>
        <v>57.699999999982538</v>
      </c>
      <c r="Q27" s="8">
        <f>DAILY!$AA$16-DAILY!$Z$16</f>
        <v>26.760000000002037</v>
      </c>
    </row>
    <row r="28" spans="1:17" s="7" customFormat="1" x14ac:dyDescent="0.25">
      <c r="A28" s="6" t="s">
        <v>12</v>
      </c>
      <c r="B28" s="40">
        <f t="shared" si="0"/>
        <v>26</v>
      </c>
      <c r="C28" s="39">
        <v>2</v>
      </c>
      <c r="D28" s="31">
        <v>2023</v>
      </c>
      <c r="E28" s="8">
        <f>DAILY!AB4-DAILY!AA4</f>
        <v>20</v>
      </c>
      <c r="F28" s="8">
        <f>DAILY!$AB$5-DAILY!$AA$5</f>
        <v>23</v>
      </c>
      <c r="G28" s="8">
        <f>DAILY!$AB$6-DAILY!$AA$6</f>
        <v>10</v>
      </c>
      <c r="H28" s="8">
        <f>DAILY!$AB$7-DAILY!$AA$7</f>
        <v>49</v>
      </c>
      <c r="I28" s="8">
        <f>DAILY!$AB$8-DAILY!$AA$8</f>
        <v>14</v>
      </c>
      <c r="J28" s="8">
        <f>DAILY!$AB$9-DAILY!$AA$9</f>
        <v>0</v>
      </c>
      <c r="K28" s="8">
        <f>DAILY!$AB$10-DAILY!$AA$10</f>
        <v>5</v>
      </c>
      <c r="L28" s="8">
        <f>DAILY!$AB$11-DAILY!$AA$11</f>
        <v>86</v>
      </c>
      <c r="M28" s="8">
        <f>DAILY!$AB$12-DAILY!$AA$12</f>
        <v>459</v>
      </c>
      <c r="N28" s="8">
        <f>DAILY!$AB$13-DAILY!$AA$13</f>
        <v>40.150000000008731</v>
      </c>
      <c r="O28" s="8">
        <f>DAILY!$AB$14-DAILY!$AA$14</f>
        <v>0</v>
      </c>
      <c r="P28" s="8">
        <f>DAILY!$AB$15-DAILY!$AA$15</f>
        <v>58.559999999997672</v>
      </c>
      <c r="Q28" s="8">
        <f>DAILY!$AB$16-DAILY!$AA$16</f>
        <v>26.259999999994761</v>
      </c>
    </row>
    <row r="29" spans="1:17" s="7" customFormat="1" x14ac:dyDescent="0.25">
      <c r="A29" s="6" t="s">
        <v>12</v>
      </c>
      <c r="B29" s="40">
        <f t="shared" si="0"/>
        <v>27</v>
      </c>
      <c r="C29" s="39">
        <v>2</v>
      </c>
      <c r="D29" s="31">
        <v>2023</v>
      </c>
      <c r="E29" s="8">
        <f>DAILY!AC4-DAILY!AB4</f>
        <v>18</v>
      </c>
      <c r="F29" s="8">
        <f>DAILY!$AC$5-DAILY!$AB$5</f>
        <v>21</v>
      </c>
      <c r="G29" s="8">
        <f>DAILY!$AC$6-DAILY!$AB$6</f>
        <v>10</v>
      </c>
      <c r="H29" s="8">
        <f>DAILY!$AC$7-DAILY!$AB$7</f>
        <v>47</v>
      </c>
      <c r="I29" s="8">
        <f>DAILY!$AC$8-DAILY!$AB$8</f>
        <v>11</v>
      </c>
      <c r="J29" s="8">
        <f>DAILY!$AC$9-DAILY!$AB$9</f>
        <v>0</v>
      </c>
      <c r="K29" s="8">
        <f>DAILY!$AC$10-DAILY!$AB$10</f>
        <v>6</v>
      </c>
      <c r="L29" s="8">
        <f>DAILY!$AC$11-DAILY!$AB$11</f>
        <v>87</v>
      </c>
      <c r="M29" s="8">
        <f>DAILY!$AC$12-DAILY!$AB$12</f>
        <v>419</v>
      </c>
      <c r="N29" s="8">
        <f>DAILY!$AC$13-DAILY!$AB$13</f>
        <v>119.25999999999476</v>
      </c>
      <c r="O29" s="8">
        <f>DAILY!$AC$14-DAILY!$AB$14</f>
        <v>0</v>
      </c>
      <c r="P29" s="8">
        <f>DAILY!$AC$15-DAILY!$AB$15</f>
        <v>56.240000000019791</v>
      </c>
      <c r="Q29" s="8">
        <f>DAILY!$AC$16-DAILY!$AB$16</f>
        <v>25.380000000004657</v>
      </c>
    </row>
    <row r="30" spans="1:17" s="7" customFormat="1" x14ac:dyDescent="0.25">
      <c r="A30" s="6" t="s">
        <v>12</v>
      </c>
      <c r="B30" s="40">
        <f t="shared" si="0"/>
        <v>28</v>
      </c>
      <c r="C30" s="39">
        <v>2</v>
      </c>
      <c r="D30" s="31">
        <v>2023</v>
      </c>
      <c r="E30" s="8">
        <f>DAILY!AD4-DAILY!AC4</f>
        <v>18</v>
      </c>
      <c r="F30" s="8">
        <f>DAILY!$AD$5-DAILY!$AC$5</f>
        <v>20</v>
      </c>
      <c r="G30" s="8">
        <f>DAILY!$AD$6-DAILY!$AC$6</f>
        <v>10</v>
      </c>
      <c r="H30" s="8">
        <f>DAILY!$AD$7-DAILY!$AC$7</f>
        <v>47</v>
      </c>
      <c r="I30" s="8">
        <f>DAILY!$AD$8-DAILY!$AC$8</f>
        <v>12</v>
      </c>
      <c r="J30" s="8">
        <f>DAILY!$AD$9-DAILY!$AC$9</f>
        <v>0</v>
      </c>
      <c r="K30" s="8">
        <f>DAILY!$AD$10-DAILY!$AC$10</f>
        <v>5</v>
      </c>
      <c r="L30" s="8">
        <f>DAILY!$AD$11-DAILY!$AC$11</f>
        <v>89</v>
      </c>
      <c r="M30" s="8">
        <f>DAILY!$AD$12-DAILY!$AC$12</f>
        <v>410</v>
      </c>
      <c r="N30" s="8">
        <f>DAILY!$AD$13-DAILY!$AC$13</f>
        <v>61.309999999997672</v>
      </c>
      <c r="O30" s="8">
        <f>DAILY!$AD$14-DAILY!$AC$14</f>
        <v>0</v>
      </c>
      <c r="P30" s="8">
        <f>DAILY!$AD$15-DAILY!$AC$15</f>
        <v>56.100000000005821</v>
      </c>
      <c r="Q30" s="8">
        <f>DAILY!$AD$16-DAILY!$AC$16</f>
        <v>24.720000000001164</v>
      </c>
    </row>
    <row r="35" spans="4:22" x14ac:dyDescent="0.25">
      <c r="D35" s="41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workbookViewId="0">
      <selection activeCell="D17" sqref="D17"/>
    </sheetView>
  </sheetViews>
  <sheetFormatPr defaultColWidth="8.85546875" defaultRowHeight="15.75" x14ac:dyDescent="0.25"/>
  <cols>
    <col min="1" max="1" width="30.28515625" style="14" customWidth="1"/>
    <col min="2" max="2" width="20.140625" style="14" customWidth="1"/>
    <col min="3" max="3" width="11.28515625" style="12" customWidth="1"/>
    <col min="4" max="4" width="10.28515625" style="12" customWidth="1"/>
    <col min="5" max="5" width="10.140625" style="12" customWidth="1"/>
    <col min="6" max="6" width="9.7109375" style="12" customWidth="1"/>
    <col min="7" max="7" width="10.28515625" style="13" customWidth="1"/>
    <col min="8" max="8" width="10.28515625" style="12" customWidth="1"/>
    <col min="9" max="10" width="9.7109375" style="12" customWidth="1"/>
    <col min="11" max="14" width="9.85546875" style="12" customWidth="1"/>
    <col min="15" max="22" width="9.7109375" style="12" customWidth="1"/>
    <col min="23" max="23" width="11.42578125" style="12" bestFit="1" customWidth="1"/>
    <col min="24" max="30" width="9.7109375" style="12" customWidth="1"/>
    <col min="31" max="16384" width="8.85546875" style="14"/>
  </cols>
  <sheetData>
    <row r="1" spans="1:30" x14ac:dyDescent="0.25">
      <c r="A1" s="10" t="s">
        <v>13</v>
      </c>
      <c r="B1" s="10"/>
      <c r="C1" s="11"/>
    </row>
    <row r="2" spans="1:30" x14ac:dyDescent="0.25">
      <c r="A2" s="42" t="s">
        <v>14</v>
      </c>
      <c r="B2" s="20"/>
      <c r="C2" s="43" t="s">
        <v>15</v>
      </c>
      <c r="D2" s="44"/>
      <c r="E2" s="44"/>
      <c r="F2" s="44"/>
      <c r="G2" s="44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</row>
    <row r="3" spans="1:30" x14ac:dyDescent="0.25">
      <c r="A3" s="42"/>
      <c r="B3" s="21">
        <v>44957</v>
      </c>
      <c r="C3" s="15">
        <v>44958</v>
      </c>
      <c r="D3" s="15">
        <f>SUM(C3+1)</f>
        <v>44959</v>
      </c>
      <c r="E3" s="15">
        <f t="shared" ref="E3:AD3" si="0">SUM(D3+1)</f>
        <v>44960</v>
      </c>
      <c r="F3" s="15">
        <f t="shared" si="0"/>
        <v>44961</v>
      </c>
      <c r="G3" s="16">
        <f t="shared" si="0"/>
        <v>44962</v>
      </c>
      <c r="H3" s="15">
        <f t="shared" si="0"/>
        <v>44963</v>
      </c>
      <c r="I3" s="15">
        <f t="shared" si="0"/>
        <v>44964</v>
      </c>
      <c r="J3" s="15">
        <f t="shared" si="0"/>
        <v>44965</v>
      </c>
      <c r="K3" s="15">
        <f t="shared" si="0"/>
        <v>44966</v>
      </c>
      <c r="L3" s="15">
        <f t="shared" si="0"/>
        <v>44967</v>
      </c>
      <c r="M3" s="15">
        <f t="shared" si="0"/>
        <v>44968</v>
      </c>
      <c r="N3" s="15">
        <f t="shared" si="0"/>
        <v>44969</v>
      </c>
      <c r="O3" s="15">
        <f t="shared" si="0"/>
        <v>44970</v>
      </c>
      <c r="P3" s="15">
        <f t="shared" si="0"/>
        <v>44971</v>
      </c>
      <c r="Q3" s="15">
        <f t="shared" si="0"/>
        <v>44972</v>
      </c>
      <c r="R3" s="15">
        <f t="shared" si="0"/>
        <v>44973</v>
      </c>
      <c r="S3" s="15">
        <f t="shared" si="0"/>
        <v>44974</v>
      </c>
      <c r="T3" s="15">
        <f t="shared" si="0"/>
        <v>44975</v>
      </c>
      <c r="U3" s="15">
        <f t="shared" si="0"/>
        <v>44976</v>
      </c>
      <c r="V3" s="15">
        <f t="shared" si="0"/>
        <v>44977</v>
      </c>
      <c r="W3" s="15">
        <f t="shared" si="0"/>
        <v>44978</v>
      </c>
      <c r="X3" s="15">
        <f t="shared" si="0"/>
        <v>44979</v>
      </c>
      <c r="Y3" s="15">
        <f t="shared" si="0"/>
        <v>44980</v>
      </c>
      <c r="Z3" s="15">
        <f t="shared" si="0"/>
        <v>44981</v>
      </c>
      <c r="AA3" s="15">
        <f t="shared" si="0"/>
        <v>44982</v>
      </c>
      <c r="AB3" s="15">
        <f t="shared" si="0"/>
        <v>44983</v>
      </c>
      <c r="AC3" s="15">
        <f t="shared" si="0"/>
        <v>44984</v>
      </c>
      <c r="AD3" s="15">
        <f t="shared" si="0"/>
        <v>44985</v>
      </c>
    </row>
    <row r="4" spans="1:30" x14ac:dyDescent="0.25">
      <c r="A4" s="17" t="s">
        <v>16</v>
      </c>
      <c r="B4" s="26" t="s">
        <v>343</v>
      </c>
      <c r="C4" s="35" t="s">
        <v>31</v>
      </c>
      <c r="D4" s="35" t="s">
        <v>32</v>
      </c>
      <c r="E4" s="34" t="s">
        <v>33</v>
      </c>
      <c r="F4" s="34" t="s">
        <v>34</v>
      </c>
      <c r="G4" s="34" t="s">
        <v>35</v>
      </c>
      <c r="H4" s="34" t="s">
        <v>36</v>
      </c>
      <c r="I4" s="34" t="s">
        <v>37</v>
      </c>
      <c r="J4" s="34" t="s">
        <v>38</v>
      </c>
      <c r="K4" s="34" t="s">
        <v>39</v>
      </c>
      <c r="L4" s="34" t="s">
        <v>40</v>
      </c>
      <c r="M4" s="34" t="s">
        <v>41</v>
      </c>
      <c r="N4" s="34" t="s">
        <v>42</v>
      </c>
      <c r="O4" s="34" t="s">
        <v>43</v>
      </c>
      <c r="P4" s="34" t="s">
        <v>44</v>
      </c>
      <c r="Q4" s="34" t="s">
        <v>45</v>
      </c>
      <c r="R4" s="34" t="s">
        <v>46</v>
      </c>
      <c r="S4" s="34" t="s">
        <v>47</v>
      </c>
      <c r="T4" s="34" t="s">
        <v>48</v>
      </c>
      <c r="U4" s="34" t="s">
        <v>49</v>
      </c>
      <c r="V4" s="34" t="s">
        <v>50</v>
      </c>
      <c r="W4" s="34" t="s">
        <v>51</v>
      </c>
      <c r="X4" s="34" t="s">
        <v>52</v>
      </c>
      <c r="Y4" s="34" t="s">
        <v>53</v>
      </c>
      <c r="Z4" s="34" t="s">
        <v>54</v>
      </c>
      <c r="AA4" s="34" t="s">
        <v>55</v>
      </c>
      <c r="AB4" s="34" t="s">
        <v>56</v>
      </c>
      <c r="AC4" s="34" t="s">
        <v>57</v>
      </c>
      <c r="AD4" s="34" t="s">
        <v>58</v>
      </c>
    </row>
    <row r="5" spans="1:30" x14ac:dyDescent="0.25">
      <c r="A5" s="17" t="s">
        <v>17</v>
      </c>
      <c r="B5" s="26" t="s">
        <v>344</v>
      </c>
      <c r="C5" s="35" t="s">
        <v>59</v>
      </c>
      <c r="D5" s="35" t="s">
        <v>60</v>
      </c>
      <c r="E5" s="34" t="s">
        <v>61</v>
      </c>
      <c r="F5" s="34" t="s">
        <v>62</v>
      </c>
      <c r="G5" s="34" t="s">
        <v>63</v>
      </c>
      <c r="H5" s="34" t="s">
        <v>64</v>
      </c>
      <c r="I5" s="34" t="s">
        <v>65</v>
      </c>
      <c r="J5" s="34" t="s">
        <v>66</v>
      </c>
      <c r="K5" s="34" t="s">
        <v>67</v>
      </c>
      <c r="L5" s="34" t="s">
        <v>68</v>
      </c>
      <c r="M5" s="34" t="s">
        <v>69</v>
      </c>
      <c r="N5" s="34" t="s">
        <v>70</v>
      </c>
      <c r="O5" s="34" t="s">
        <v>71</v>
      </c>
      <c r="P5" s="34" t="s">
        <v>72</v>
      </c>
      <c r="Q5" s="34" t="s">
        <v>73</v>
      </c>
      <c r="R5" s="34" t="s">
        <v>74</v>
      </c>
      <c r="S5" s="34" t="s">
        <v>75</v>
      </c>
      <c r="T5" s="34" t="s">
        <v>76</v>
      </c>
      <c r="U5" s="34" t="s">
        <v>77</v>
      </c>
      <c r="V5" s="34" t="s">
        <v>78</v>
      </c>
      <c r="W5" s="34" t="s">
        <v>79</v>
      </c>
      <c r="X5" s="34" t="s">
        <v>80</v>
      </c>
      <c r="Y5" s="34" t="s">
        <v>81</v>
      </c>
      <c r="Z5" s="34" t="s">
        <v>82</v>
      </c>
      <c r="AA5" s="34" t="s">
        <v>83</v>
      </c>
      <c r="AB5" s="34" t="s">
        <v>84</v>
      </c>
      <c r="AC5" s="34" t="s">
        <v>85</v>
      </c>
      <c r="AD5" s="34" t="s">
        <v>86</v>
      </c>
    </row>
    <row r="6" spans="1:30" x14ac:dyDescent="0.25">
      <c r="A6" s="17" t="s">
        <v>18</v>
      </c>
      <c r="B6" s="26" t="s">
        <v>345</v>
      </c>
      <c r="C6" s="35" t="s">
        <v>87</v>
      </c>
      <c r="D6" s="35" t="s">
        <v>88</v>
      </c>
      <c r="E6" s="34" t="s">
        <v>89</v>
      </c>
      <c r="F6" s="34" t="s">
        <v>90</v>
      </c>
      <c r="G6" s="34" t="s">
        <v>91</v>
      </c>
      <c r="H6" s="34" t="s">
        <v>92</v>
      </c>
      <c r="I6" s="34" t="s">
        <v>93</v>
      </c>
      <c r="J6" s="34" t="s">
        <v>94</v>
      </c>
      <c r="K6" s="34" t="s">
        <v>95</v>
      </c>
      <c r="L6" s="34" t="s">
        <v>96</v>
      </c>
      <c r="M6" s="34" t="s">
        <v>97</v>
      </c>
      <c r="N6" s="34" t="s">
        <v>98</v>
      </c>
      <c r="O6" s="34" t="s">
        <v>99</v>
      </c>
      <c r="P6" s="34" t="s">
        <v>100</v>
      </c>
      <c r="Q6" s="34" t="s">
        <v>101</v>
      </c>
      <c r="R6" s="34" t="s">
        <v>102</v>
      </c>
      <c r="S6" s="34" t="s">
        <v>103</v>
      </c>
      <c r="T6" s="34" t="s">
        <v>104</v>
      </c>
      <c r="U6" s="34" t="s">
        <v>105</v>
      </c>
      <c r="V6" s="34" t="s">
        <v>106</v>
      </c>
      <c r="W6" s="34" t="s">
        <v>107</v>
      </c>
      <c r="X6" s="34" t="s">
        <v>108</v>
      </c>
      <c r="Y6" s="34" t="s">
        <v>109</v>
      </c>
      <c r="Z6" s="34" t="s">
        <v>110</v>
      </c>
      <c r="AA6" s="34" t="s">
        <v>111</v>
      </c>
      <c r="AB6" s="34" t="s">
        <v>112</v>
      </c>
      <c r="AC6" s="34" t="s">
        <v>113</v>
      </c>
      <c r="AD6" s="34" t="s">
        <v>114</v>
      </c>
    </row>
    <row r="7" spans="1:30" x14ac:dyDescent="0.25">
      <c r="A7" s="17" t="s">
        <v>19</v>
      </c>
      <c r="B7" s="26" t="s">
        <v>346</v>
      </c>
      <c r="C7" s="35" t="s">
        <v>115</v>
      </c>
      <c r="D7" s="35" t="s">
        <v>116</v>
      </c>
      <c r="E7" s="34" t="s">
        <v>117</v>
      </c>
      <c r="F7" s="34" t="s">
        <v>118</v>
      </c>
      <c r="G7" s="34" t="s">
        <v>119</v>
      </c>
      <c r="H7" s="34" t="s">
        <v>120</v>
      </c>
      <c r="I7" s="34" t="s">
        <v>121</v>
      </c>
      <c r="J7" s="34" t="s">
        <v>122</v>
      </c>
      <c r="K7" s="34" t="s">
        <v>123</v>
      </c>
      <c r="L7" s="34" t="s">
        <v>124</v>
      </c>
      <c r="M7" s="34" t="s">
        <v>125</v>
      </c>
      <c r="N7" s="34" t="s">
        <v>126</v>
      </c>
      <c r="O7" s="34" t="s">
        <v>127</v>
      </c>
      <c r="P7" s="34" t="s">
        <v>128</v>
      </c>
      <c r="Q7" s="34" t="s">
        <v>129</v>
      </c>
      <c r="R7" s="34" t="s">
        <v>130</v>
      </c>
      <c r="S7" s="34" t="s">
        <v>131</v>
      </c>
      <c r="T7" s="34" t="s">
        <v>132</v>
      </c>
      <c r="U7" s="34" t="s">
        <v>133</v>
      </c>
      <c r="V7" s="34" t="s">
        <v>134</v>
      </c>
      <c r="W7" s="34" t="s">
        <v>135</v>
      </c>
      <c r="X7" s="34" t="s">
        <v>136</v>
      </c>
      <c r="Y7" s="34" t="s">
        <v>137</v>
      </c>
      <c r="Z7" s="34" t="s">
        <v>138</v>
      </c>
      <c r="AA7" s="34" t="s">
        <v>139</v>
      </c>
      <c r="AB7" s="34" t="s">
        <v>140</v>
      </c>
      <c r="AC7" s="34" t="s">
        <v>141</v>
      </c>
      <c r="AD7" s="34" t="s">
        <v>142</v>
      </c>
    </row>
    <row r="8" spans="1:30" x14ac:dyDescent="0.25">
      <c r="A8" s="17" t="s">
        <v>20</v>
      </c>
      <c r="B8" s="26" t="s">
        <v>347</v>
      </c>
      <c r="C8" s="35" t="s">
        <v>143</v>
      </c>
      <c r="D8" s="35" t="s">
        <v>144</v>
      </c>
      <c r="E8" s="34" t="s">
        <v>145</v>
      </c>
      <c r="F8" s="34" t="s">
        <v>146</v>
      </c>
      <c r="G8" s="34" t="s">
        <v>147</v>
      </c>
      <c r="H8" s="34" t="s">
        <v>148</v>
      </c>
      <c r="I8" s="34" t="s">
        <v>149</v>
      </c>
      <c r="J8" s="34" t="s">
        <v>150</v>
      </c>
      <c r="K8" s="34" t="s">
        <v>151</v>
      </c>
      <c r="L8" s="34" t="s">
        <v>152</v>
      </c>
      <c r="M8" s="34" t="s">
        <v>153</v>
      </c>
      <c r="N8" s="34" t="s">
        <v>154</v>
      </c>
      <c r="O8" s="34" t="s">
        <v>155</v>
      </c>
      <c r="P8" s="34" t="s">
        <v>156</v>
      </c>
      <c r="Q8" s="34" t="s">
        <v>157</v>
      </c>
      <c r="R8" s="34" t="s">
        <v>158</v>
      </c>
      <c r="S8" s="34" t="s">
        <v>159</v>
      </c>
      <c r="T8" s="34" t="s">
        <v>160</v>
      </c>
      <c r="U8" s="34" t="s">
        <v>161</v>
      </c>
      <c r="V8" s="34" t="s">
        <v>162</v>
      </c>
      <c r="W8" s="34" t="s">
        <v>163</v>
      </c>
      <c r="X8" s="34" t="s">
        <v>164</v>
      </c>
      <c r="Y8" s="34" t="s">
        <v>165</v>
      </c>
      <c r="Z8" s="34" t="s">
        <v>166</v>
      </c>
      <c r="AA8" s="34" t="s">
        <v>167</v>
      </c>
      <c r="AB8" s="34" t="s">
        <v>168</v>
      </c>
      <c r="AC8" s="34" t="s">
        <v>169</v>
      </c>
      <c r="AD8" s="34" t="s">
        <v>170</v>
      </c>
    </row>
    <row r="9" spans="1:30" x14ac:dyDescent="0.25">
      <c r="A9" s="17" t="s">
        <v>21</v>
      </c>
      <c r="B9" s="26" t="s">
        <v>171</v>
      </c>
      <c r="C9" s="35" t="s">
        <v>171</v>
      </c>
      <c r="D9" s="35" t="s">
        <v>172</v>
      </c>
      <c r="E9" s="35" t="s">
        <v>172</v>
      </c>
      <c r="F9" s="35" t="s">
        <v>172</v>
      </c>
      <c r="G9" s="35" t="s">
        <v>172</v>
      </c>
      <c r="H9" s="35" t="s">
        <v>172</v>
      </c>
      <c r="I9" s="35" t="s">
        <v>172</v>
      </c>
      <c r="J9" s="35" t="s">
        <v>172</v>
      </c>
      <c r="K9" s="35" t="s">
        <v>172</v>
      </c>
      <c r="L9" s="35" t="s">
        <v>172</v>
      </c>
      <c r="M9" s="35" t="s">
        <v>172</v>
      </c>
      <c r="N9" s="35" t="s">
        <v>172</v>
      </c>
      <c r="O9" s="35" t="s">
        <v>172</v>
      </c>
      <c r="P9" s="35" t="s">
        <v>172</v>
      </c>
      <c r="Q9" s="35" t="s">
        <v>172</v>
      </c>
      <c r="R9" s="35" t="s">
        <v>172</v>
      </c>
      <c r="S9" s="35" t="s">
        <v>172</v>
      </c>
      <c r="T9" s="35" t="s">
        <v>172</v>
      </c>
      <c r="U9" s="35" t="s">
        <v>172</v>
      </c>
      <c r="V9" s="35" t="s">
        <v>172</v>
      </c>
      <c r="W9" s="35" t="s">
        <v>172</v>
      </c>
      <c r="X9" s="35" t="s">
        <v>172</v>
      </c>
      <c r="Y9" s="35" t="s">
        <v>172</v>
      </c>
      <c r="Z9" s="35" t="s">
        <v>172</v>
      </c>
      <c r="AA9" s="35" t="s">
        <v>172</v>
      </c>
      <c r="AB9" s="35" t="s">
        <v>172</v>
      </c>
      <c r="AC9" s="35" t="s">
        <v>172</v>
      </c>
      <c r="AD9" s="35" t="s">
        <v>172</v>
      </c>
    </row>
    <row r="10" spans="1:30" x14ac:dyDescent="0.25">
      <c r="A10" s="17" t="s">
        <v>22</v>
      </c>
      <c r="B10" s="26" t="s">
        <v>348</v>
      </c>
      <c r="C10" s="35" t="s">
        <v>173</v>
      </c>
      <c r="D10" s="35" t="s">
        <v>174</v>
      </c>
      <c r="E10" s="34" t="s">
        <v>175</v>
      </c>
      <c r="F10" s="34" t="s">
        <v>176</v>
      </c>
      <c r="G10" s="34" t="s">
        <v>177</v>
      </c>
      <c r="H10" s="34" t="s">
        <v>178</v>
      </c>
      <c r="I10" s="34" t="s">
        <v>179</v>
      </c>
      <c r="J10" s="34" t="s">
        <v>180</v>
      </c>
      <c r="K10" s="34" t="s">
        <v>181</v>
      </c>
      <c r="L10" s="34" t="s">
        <v>182</v>
      </c>
      <c r="M10" s="34" t="s">
        <v>183</v>
      </c>
      <c r="N10" s="34" t="s">
        <v>184</v>
      </c>
      <c r="O10" s="34" t="s">
        <v>185</v>
      </c>
      <c r="P10" s="34" t="s">
        <v>186</v>
      </c>
      <c r="Q10" s="34" t="s">
        <v>187</v>
      </c>
      <c r="R10" s="34" t="s">
        <v>188</v>
      </c>
      <c r="S10" s="34" t="s">
        <v>189</v>
      </c>
      <c r="T10" s="34" t="s">
        <v>190</v>
      </c>
      <c r="U10" s="34" t="s">
        <v>191</v>
      </c>
      <c r="V10" s="34" t="s">
        <v>192</v>
      </c>
      <c r="W10" s="34" t="s">
        <v>193</v>
      </c>
      <c r="X10" s="34" t="s">
        <v>194</v>
      </c>
      <c r="Y10" s="34" t="s">
        <v>195</v>
      </c>
      <c r="Z10" s="34" t="s">
        <v>196</v>
      </c>
      <c r="AA10" s="34" t="s">
        <v>197</v>
      </c>
      <c r="AB10" s="34" t="s">
        <v>198</v>
      </c>
      <c r="AC10" s="34" t="s">
        <v>199</v>
      </c>
      <c r="AD10" s="34" t="s">
        <v>200</v>
      </c>
    </row>
    <row r="11" spans="1:30" x14ac:dyDescent="0.25">
      <c r="A11" s="17" t="s">
        <v>23</v>
      </c>
      <c r="B11" s="26" t="s">
        <v>349</v>
      </c>
      <c r="C11" s="35" t="s">
        <v>201</v>
      </c>
      <c r="D11" s="35" t="s">
        <v>202</v>
      </c>
      <c r="E11" s="34" t="s">
        <v>203</v>
      </c>
      <c r="F11" s="34" t="s">
        <v>204</v>
      </c>
      <c r="G11" s="34" t="s">
        <v>205</v>
      </c>
      <c r="H11" s="34" t="s">
        <v>206</v>
      </c>
      <c r="I11" s="34" t="s">
        <v>207</v>
      </c>
      <c r="J11" s="34" t="s">
        <v>208</v>
      </c>
      <c r="K11" s="34" t="s">
        <v>209</v>
      </c>
      <c r="L11" s="34" t="s">
        <v>210</v>
      </c>
      <c r="M11" s="34" t="s">
        <v>211</v>
      </c>
      <c r="N11" s="34" t="s">
        <v>212</v>
      </c>
      <c r="O11" s="34" t="s">
        <v>213</v>
      </c>
      <c r="P11" s="34" t="s">
        <v>214</v>
      </c>
      <c r="Q11" s="34" t="s">
        <v>215</v>
      </c>
      <c r="R11" s="34" t="s">
        <v>216</v>
      </c>
      <c r="S11" s="34" t="s">
        <v>217</v>
      </c>
      <c r="T11" s="34" t="s">
        <v>218</v>
      </c>
      <c r="U11" s="34" t="s">
        <v>219</v>
      </c>
      <c r="V11" s="34" t="s">
        <v>220</v>
      </c>
      <c r="W11" s="34" t="s">
        <v>221</v>
      </c>
      <c r="X11" s="34" t="s">
        <v>222</v>
      </c>
      <c r="Y11" s="34" t="s">
        <v>223</v>
      </c>
      <c r="Z11" s="34" t="s">
        <v>224</v>
      </c>
      <c r="AA11" s="34" t="s">
        <v>225</v>
      </c>
      <c r="AB11" s="34" t="s">
        <v>226</v>
      </c>
      <c r="AC11" s="34" t="s">
        <v>227</v>
      </c>
      <c r="AD11" s="34" t="s">
        <v>228</v>
      </c>
    </row>
    <row r="12" spans="1:30" x14ac:dyDescent="0.25">
      <c r="A12" s="18" t="s">
        <v>24</v>
      </c>
      <c r="B12" s="28" t="s">
        <v>350</v>
      </c>
      <c r="C12" s="36" t="s">
        <v>229</v>
      </c>
      <c r="D12" s="34" t="s">
        <v>230</v>
      </c>
      <c r="E12" s="34" t="s">
        <v>231</v>
      </c>
      <c r="F12" s="34" t="s">
        <v>232</v>
      </c>
      <c r="G12" s="34" t="s">
        <v>233</v>
      </c>
      <c r="H12" s="34" t="s">
        <v>234</v>
      </c>
      <c r="I12" s="34" t="s">
        <v>235</v>
      </c>
      <c r="J12" s="34" t="s">
        <v>236</v>
      </c>
      <c r="K12" s="34" t="s">
        <v>237</v>
      </c>
      <c r="L12" s="34" t="s">
        <v>238</v>
      </c>
      <c r="M12" s="34" t="s">
        <v>239</v>
      </c>
      <c r="N12" s="34" t="s">
        <v>240</v>
      </c>
      <c r="O12" s="34" t="s">
        <v>241</v>
      </c>
      <c r="P12" s="34" t="s">
        <v>242</v>
      </c>
      <c r="Q12" s="34" t="s">
        <v>243</v>
      </c>
      <c r="R12" s="34" t="s">
        <v>244</v>
      </c>
      <c r="S12" s="34" t="s">
        <v>245</v>
      </c>
      <c r="T12" s="34" t="s">
        <v>246</v>
      </c>
      <c r="U12" s="34" t="s">
        <v>247</v>
      </c>
      <c r="V12" s="34" t="s">
        <v>248</v>
      </c>
      <c r="W12" s="34" t="s">
        <v>249</v>
      </c>
      <c r="X12" s="34" t="s">
        <v>250</v>
      </c>
      <c r="Y12" s="34" t="s">
        <v>251</v>
      </c>
      <c r="Z12" s="34" t="s">
        <v>252</v>
      </c>
      <c r="AA12" s="34" t="s">
        <v>253</v>
      </c>
      <c r="AB12" s="34" t="s">
        <v>254</v>
      </c>
      <c r="AC12" s="34" t="s">
        <v>255</v>
      </c>
      <c r="AD12" s="34" t="s">
        <v>256</v>
      </c>
    </row>
    <row r="13" spans="1:30" ht="16.149999999999999" customHeight="1" x14ac:dyDescent="0.25">
      <c r="A13" s="19" t="s">
        <v>25</v>
      </c>
      <c r="B13" s="27" t="s">
        <v>351</v>
      </c>
      <c r="C13" s="33" t="s">
        <v>257</v>
      </c>
      <c r="D13" s="35" t="s">
        <v>258</v>
      </c>
      <c r="E13" s="34" t="s">
        <v>259</v>
      </c>
      <c r="F13" s="34" t="s">
        <v>260</v>
      </c>
      <c r="G13" s="34" t="s">
        <v>261</v>
      </c>
      <c r="H13" s="34" t="s">
        <v>262</v>
      </c>
      <c r="I13" s="34" t="s">
        <v>263</v>
      </c>
      <c r="J13" s="34" t="s">
        <v>264</v>
      </c>
      <c r="K13" s="34" t="s">
        <v>265</v>
      </c>
      <c r="L13" s="34" t="s">
        <v>266</v>
      </c>
      <c r="M13" s="34" t="s">
        <v>267</v>
      </c>
      <c r="N13" s="34" t="s">
        <v>268</v>
      </c>
      <c r="O13" s="34" t="s">
        <v>269</v>
      </c>
      <c r="P13" s="34" t="s">
        <v>270</v>
      </c>
      <c r="Q13" s="34" t="s">
        <v>271</v>
      </c>
      <c r="R13" s="34" t="s">
        <v>272</v>
      </c>
      <c r="S13" s="34" t="s">
        <v>273</v>
      </c>
      <c r="T13" s="34" t="s">
        <v>274</v>
      </c>
      <c r="U13" s="34" t="s">
        <v>275</v>
      </c>
      <c r="V13" s="34" t="s">
        <v>276</v>
      </c>
      <c r="W13" s="34" t="s">
        <v>277</v>
      </c>
      <c r="X13" s="34" t="s">
        <v>278</v>
      </c>
      <c r="Y13" s="34" t="s">
        <v>279</v>
      </c>
      <c r="Z13" s="34" t="s">
        <v>280</v>
      </c>
      <c r="AA13" s="34" t="s">
        <v>281</v>
      </c>
      <c r="AB13" s="34" t="s">
        <v>282</v>
      </c>
      <c r="AC13" s="34" t="s">
        <v>283</v>
      </c>
      <c r="AD13" s="34" t="s">
        <v>284</v>
      </c>
    </row>
    <row r="14" spans="1:30" ht="16.149999999999999" customHeight="1" x14ac:dyDescent="0.25">
      <c r="A14" s="19" t="s">
        <v>26</v>
      </c>
      <c r="B14" s="27" t="s">
        <v>285</v>
      </c>
      <c r="C14" s="33" t="s">
        <v>285</v>
      </c>
      <c r="D14" s="35" t="s">
        <v>285</v>
      </c>
      <c r="E14" s="34" t="s">
        <v>285</v>
      </c>
      <c r="F14" s="34" t="s">
        <v>285</v>
      </c>
      <c r="G14" s="34" t="s">
        <v>285</v>
      </c>
      <c r="H14" s="34" t="s">
        <v>285</v>
      </c>
      <c r="I14" s="34" t="s">
        <v>285</v>
      </c>
      <c r="J14" s="34" t="s">
        <v>285</v>
      </c>
      <c r="K14" s="34" t="s">
        <v>285</v>
      </c>
      <c r="L14" s="34" t="s">
        <v>285</v>
      </c>
      <c r="M14" s="34" t="s">
        <v>285</v>
      </c>
      <c r="N14" s="34" t="s">
        <v>285</v>
      </c>
      <c r="O14" s="34" t="s">
        <v>285</v>
      </c>
      <c r="P14" s="34" t="s">
        <v>285</v>
      </c>
      <c r="Q14" s="34" t="s">
        <v>285</v>
      </c>
      <c r="R14" s="34" t="s">
        <v>285</v>
      </c>
      <c r="S14" s="34" t="s">
        <v>285</v>
      </c>
      <c r="T14" s="34" t="s">
        <v>285</v>
      </c>
      <c r="U14" s="34" t="s">
        <v>285</v>
      </c>
      <c r="V14" s="34" t="s">
        <v>285</v>
      </c>
      <c r="W14" s="34" t="s">
        <v>285</v>
      </c>
      <c r="X14" s="34" t="s">
        <v>285</v>
      </c>
      <c r="Y14" s="34" t="s">
        <v>286</v>
      </c>
      <c r="Z14" s="34" t="s">
        <v>286</v>
      </c>
      <c r="AA14" s="34" t="s">
        <v>286</v>
      </c>
      <c r="AB14" s="34" t="s">
        <v>286</v>
      </c>
      <c r="AC14" s="34" t="s">
        <v>286</v>
      </c>
      <c r="AD14" s="34" t="s">
        <v>286</v>
      </c>
    </row>
    <row r="15" spans="1:30" ht="16.149999999999999" customHeight="1" x14ac:dyDescent="0.25">
      <c r="A15" s="19" t="s">
        <v>27</v>
      </c>
      <c r="B15" s="29" t="s">
        <v>352</v>
      </c>
      <c r="C15" s="33" t="s">
        <v>287</v>
      </c>
      <c r="D15" s="35" t="s">
        <v>288</v>
      </c>
      <c r="E15" s="34" t="s">
        <v>289</v>
      </c>
      <c r="F15" s="34" t="s">
        <v>290</v>
      </c>
      <c r="G15" s="34" t="s">
        <v>291</v>
      </c>
      <c r="H15" s="34" t="s">
        <v>292</v>
      </c>
      <c r="I15" s="34" t="s">
        <v>293</v>
      </c>
      <c r="J15" s="34" t="s">
        <v>294</v>
      </c>
      <c r="K15" s="34" t="s">
        <v>295</v>
      </c>
      <c r="L15" s="34" t="s">
        <v>296</v>
      </c>
      <c r="M15" s="34" t="s">
        <v>297</v>
      </c>
      <c r="N15" s="34" t="s">
        <v>298</v>
      </c>
      <c r="O15" s="34" t="s">
        <v>299</v>
      </c>
      <c r="P15" s="34" t="s">
        <v>300</v>
      </c>
      <c r="Q15" s="34" t="s">
        <v>301</v>
      </c>
      <c r="R15" s="34" t="s">
        <v>302</v>
      </c>
      <c r="S15" s="34" t="s">
        <v>303</v>
      </c>
      <c r="T15" s="34" t="s">
        <v>304</v>
      </c>
      <c r="U15" s="34" t="s">
        <v>305</v>
      </c>
      <c r="V15" s="34" t="s">
        <v>306</v>
      </c>
      <c r="W15" s="34" t="s">
        <v>307</v>
      </c>
      <c r="X15" s="34" t="s">
        <v>308</v>
      </c>
      <c r="Y15" s="34" t="s">
        <v>309</v>
      </c>
      <c r="Z15" s="34" t="s">
        <v>310</v>
      </c>
      <c r="AA15" s="34" t="s">
        <v>311</v>
      </c>
      <c r="AB15" s="34" t="s">
        <v>312</v>
      </c>
      <c r="AC15" s="34" t="s">
        <v>313</v>
      </c>
      <c r="AD15" s="34" t="s">
        <v>314</v>
      </c>
    </row>
    <row r="16" spans="1:30" ht="16.149999999999999" customHeight="1" x14ac:dyDescent="0.25">
      <c r="A16" s="19" t="s">
        <v>28</v>
      </c>
      <c r="B16" s="29" t="s">
        <v>353</v>
      </c>
      <c r="C16" s="33" t="s">
        <v>315</v>
      </c>
      <c r="D16" s="35" t="s">
        <v>316</v>
      </c>
      <c r="E16" s="34" t="s">
        <v>317</v>
      </c>
      <c r="F16" s="34" t="s">
        <v>318</v>
      </c>
      <c r="G16" s="34" t="s">
        <v>319</v>
      </c>
      <c r="H16" s="34" t="s">
        <v>320</v>
      </c>
      <c r="I16" s="34" t="s">
        <v>321</v>
      </c>
      <c r="J16" s="34" t="s">
        <v>322</v>
      </c>
      <c r="K16" s="34" t="s">
        <v>323</v>
      </c>
      <c r="L16" s="34" t="s">
        <v>324</v>
      </c>
      <c r="M16" s="34" t="s">
        <v>325</v>
      </c>
      <c r="N16" s="34" t="s">
        <v>326</v>
      </c>
      <c r="O16" s="34" t="s">
        <v>327</v>
      </c>
      <c r="P16" s="34" t="s">
        <v>328</v>
      </c>
      <c r="Q16" s="34" t="s">
        <v>329</v>
      </c>
      <c r="R16" s="34" t="s">
        <v>330</v>
      </c>
      <c r="S16" s="34" t="s">
        <v>331</v>
      </c>
      <c r="T16" s="34" t="s">
        <v>332</v>
      </c>
      <c r="U16" s="34" t="s">
        <v>333</v>
      </c>
      <c r="V16" s="34" t="s">
        <v>334</v>
      </c>
      <c r="W16" s="34" t="s">
        <v>335</v>
      </c>
      <c r="X16" s="34" t="s">
        <v>336</v>
      </c>
      <c r="Y16" s="34" t="s">
        <v>337</v>
      </c>
      <c r="Z16" s="34" t="s">
        <v>338</v>
      </c>
      <c r="AA16" s="34" t="s">
        <v>339</v>
      </c>
      <c r="AB16" s="34" t="s">
        <v>340</v>
      </c>
      <c r="AC16" s="34" t="s">
        <v>341</v>
      </c>
      <c r="AD16" s="34" t="s">
        <v>342</v>
      </c>
    </row>
  </sheetData>
  <mergeCells count="2">
    <mergeCell ref="A2:A3"/>
    <mergeCell ref="C2:AD2"/>
  </mergeCells>
  <printOptions horizontalCentered="1" verticalCentered="1"/>
  <pageMargins left="0" right="0" top="0" bottom="0" header="0.3" footer="0.3"/>
  <pageSetup orientation="portrait" r:id="rId1"/>
  <ignoredErrors>
    <ignoredError sqref="C4:AD16 B4:B1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D59EC64306354BA687D59C138B7A21" ma:contentTypeVersion="13" ma:contentTypeDescription="Create a new document." ma:contentTypeScope="" ma:versionID="b99de5479c3127526ffa82b70a142328">
  <xsd:schema xmlns:xsd="http://www.w3.org/2001/XMLSchema" xmlns:xs="http://www.w3.org/2001/XMLSchema" xmlns:p="http://schemas.microsoft.com/office/2006/metadata/properties" xmlns:ns3="46605db2-ae1a-4359-8243-80c27031b0fd" xmlns:ns4="96bf61ac-9dfb-48b2-9b3e-8c28bf3505bd" targetNamespace="http://schemas.microsoft.com/office/2006/metadata/properties" ma:root="true" ma:fieldsID="a4820ed39ed6627b9a404574ec71aaf5" ns3:_="" ns4:_="">
    <xsd:import namespace="46605db2-ae1a-4359-8243-80c27031b0fd"/>
    <xsd:import namespace="96bf61ac-9dfb-48b2-9b3e-8c28bf3505b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605db2-ae1a-4359-8243-80c27031b0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f61ac-9dfb-48b2-9b3e-8c28bf3505b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605db2-ae1a-4359-8243-80c27031b0fd" xsi:nil="true"/>
  </documentManagement>
</p:properties>
</file>

<file path=customXml/itemProps1.xml><?xml version="1.0" encoding="utf-8"?>
<ds:datastoreItem xmlns:ds="http://schemas.openxmlformats.org/officeDocument/2006/customXml" ds:itemID="{639997D1-BDBC-4DFE-88B7-3E360396B4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605db2-ae1a-4359-8243-80c27031b0fd"/>
    <ds:schemaRef ds:uri="96bf61ac-9dfb-48b2-9b3e-8c28bf3505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97BAA6-A59E-43B6-9D57-E7FD3BC1C7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EA142E-F59B-40DF-9986-828A6E121FC9}">
  <ds:schemaRefs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6605db2-ae1a-4359-8243-80c27031b0fd"/>
    <ds:schemaRef ds:uri="http://schemas.microsoft.com/office/2006/documentManagement/types"/>
    <ds:schemaRef ds:uri="96bf61ac-9dfb-48b2-9b3e-8c28bf3505bd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Roxanne Gunnells</cp:lastModifiedBy>
  <dcterms:created xsi:type="dcterms:W3CDTF">2017-05-22T13:08:25Z</dcterms:created>
  <dcterms:modified xsi:type="dcterms:W3CDTF">2023-03-01T19:40:37Z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0x0101004CD59EC64306354BA687D59C138B7A21</vt:lpwstr>
  </property>
</Properties>
</file>