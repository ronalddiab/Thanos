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tasha.govinden\Downloads\"/>
    </mc:Choice>
  </mc:AlternateContent>
  <bookViews>
    <workbookView xWindow="-120" yWindow="-120" windowWidth="20730" windowHeight="11160" tabRatio="434" firstSheet="2" activeTab="2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91028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9" i="3" l="1"/>
  <c r="T29" i="3"/>
  <c r="R29" i="3"/>
  <c r="P29" i="3"/>
  <c r="J29" i="3"/>
  <c r="E29" i="3"/>
  <c r="C29" i="3"/>
  <c r="V28" i="3"/>
  <c r="T28" i="3"/>
  <c r="R28" i="3"/>
  <c r="P28" i="3"/>
  <c r="N28" i="3"/>
  <c r="J28" i="3"/>
  <c r="E28" i="3"/>
  <c r="C28" i="3"/>
  <c r="V27" i="3"/>
  <c r="T27" i="3"/>
  <c r="R27" i="3"/>
  <c r="P27" i="3"/>
  <c r="N27" i="3"/>
  <c r="J27" i="3"/>
  <c r="E27" i="3"/>
  <c r="C27" i="3"/>
  <c r="ED26" i="3"/>
  <c r="EB26" i="3"/>
  <c r="DZ26" i="3"/>
  <c r="DX26" i="3"/>
  <c r="DU26" i="3"/>
  <c r="DV26" i="3" s="1"/>
  <c r="DR26" i="3"/>
  <c r="DO26" i="3"/>
  <c r="DL26" i="3"/>
  <c r="DM26" i="3" s="1"/>
  <c r="DI26" i="3"/>
  <c r="DF26" i="3"/>
  <c r="DC26" i="3"/>
  <c r="CZ26" i="3"/>
  <c r="DA26" i="3" s="1"/>
  <c r="CW26" i="3"/>
  <c r="CX26" i="3" s="1"/>
  <c r="CT26" i="3"/>
  <c r="CU26" i="3" s="1"/>
  <c r="CQ26" i="3"/>
  <c r="CR26" i="3" s="1"/>
  <c r="CN26" i="3"/>
  <c r="CO26" i="3" s="1"/>
  <c r="CI26" i="3"/>
  <c r="CG26" i="3"/>
  <c r="CE26" i="3"/>
  <c r="CJ26" i="3" s="1"/>
  <c r="CB26" i="3"/>
  <c r="CC26" i="3" s="1"/>
  <c r="BZ26" i="3"/>
  <c r="BX26" i="3"/>
  <c r="BS26" i="3"/>
  <c r="BQ26" i="3"/>
  <c r="BO26" i="3"/>
  <c r="BM26" i="3"/>
  <c r="BU26" i="3" s="1"/>
  <c r="BI26" i="3"/>
  <c r="BG26" i="3"/>
  <c r="BE26" i="3"/>
  <c r="BC26" i="3"/>
  <c r="BA26" i="3"/>
  <c r="AW26" i="3"/>
  <c r="AU26" i="3"/>
  <c r="AS26" i="3"/>
  <c r="AO26" i="3"/>
  <c r="AM26" i="3"/>
  <c r="BV26" i="3" s="1"/>
  <c r="AK26" i="3"/>
  <c r="AI26" i="3"/>
  <c r="AE26" i="3"/>
  <c r="AC26" i="3"/>
  <c r="AA26" i="3"/>
  <c r="ED25" i="3"/>
  <c r="EB25" i="3"/>
  <c r="DZ25" i="3"/>
  <c r="DX25" i="3"/>
  <c r="DU25" i="3"/>
  <c r="DV25" i="3" s="1"/>
  <c r="DR25" i="3"/>
  <c r="DO25" i="3"/>
  <c r="DI25" i="3"/>
  <c r="DF25" i="3"/>
  <c r="DC25" i="3"/>
  <c r="CZ25" i="3"/>
  <c r="DA25" i="3" s="1"/>
  <c r="CW25" i="3"/>
  <c r="CX25" i="3" s="1"/>
  <c r="CT25" i="3"/>
  <c r="CU25" i="3" s="1"/>
  <c r="CR25" i="3"/>
  <c r="CN25" i="3"/>
  <c r="CO25" i="3" s="1"/>
  <c r="CI25" i="3"/>
  <c r="CG25" i="3"/>
  <c r="CE25" i="3"/>
  <c r="CJ25" i="3" s="1"/>
  <c r="CB25" i="3"/>
  <c r="CC25" i="3" s="1"/>
  <c r="BZ25" i="3"/>
  <c r="BX25" i="3"/>
  <c r="BS25" i="3"/>
  <c r="BQ25" i="3"/>
  <c r="BO25" i="3"/>
  <c r="BM25" i="3"/>
  <c r="BU25" i="3" s="1"/>
  <c r="BI25" i="3"/>
  <c r="BG25" i="3"/>
  <c r="BE25" i="3"/>
  <c r="BC25" i="3"/>
  <c r="BA25" i="3"/>
  <c r="AW25" i="3"/>
  <c r="AU25" i="3"/>
  <c r="AS25" i="3"/>
  <c r="AO25" i="3"/>
  <c r="AM25" i="3"/>
  <c r="BV25" i="3" s="1"/>
  <c r="AK25" i="3"/>
  <c r="AI25" i="3"/>
  <c r="AE25" i="3"/>
  <c r="AC25" i="3"/>
  <c r="AA25" i="3"/>
  <c r="V26" i="3"/>
  <c r="T26" i="3"/>
  <c r="R26" i="3"/>
  <c r="P26" i="3"/>
  <c r="N26" i="3"/>
  <c r="L26" i="3"/>
  <c r="J26" i="3"/>
  <c r="E26" i="3"/>
  <c r="C26" i="3"/>
  <c r="V25" i="3"/>
  <c r="T25" i="3"/>
  <c r="R25" i="3"/>
  <c r="P25" i="3"/>
  <c r="N25" i="3"/>
  <c r="L25" i="3"/>
  <c r="J25" i="3"/>
  <c r="E25" i="3"/>
  <c r="C25" i="3"/>
  <c r="V24" i="3"/>
  <c r="E24" i="3"/>
  <c r="E23" i="3"/>
  <c r="ED24" i="3"/>
  <c r="EB24" i="3"/>
  <c r="DZ24" i="3"/>
  <c r="DX24" i="3"/>
  <c r="DU24" i="3"/>
  <c r="DV24" i="3" s="1"/>
  <c r="DR24" i="3"/>
  <c r="DO24" i="3"/>
  <c r="DL24" i="3"/>
  <c r="DM25" i="3" s="1"/>
  <c r="DI24" i="3"/>
  <c r="DF24" i="3"/>
  <c r="DC24" i="3"/>
  <c r="CZ24" i="3"/>
  <c r="DA24" i="3" s="1"/>
  <c r="CW24" i="3"/>
  <c r="CX24" i="3" s="1"/>
  <c r="CT24" i="3"/>
  <c r="CU24" i="3" s="1"/>
  <c r="CQ24" i="3"/>
  <c r="CR24" i="3" s="1"/>
  <c r="CN24" i="3"/>
  <c r="CO24" i="3" s="1"/>
  <c r="CI24" i="3"/>
  <c r="CG24" i="3"/>
  <c r="CE24" i="3"/>
  <c r="CJ24" i="3" s="1"/>
  <c r="CB24" i="3"/>
  <c r="CC24" i="3" s="1"/>
  <c r="BZ24" i="3"/>
  <c r="BX24" i="3"/>
  <c r="BS24" i="3"/>
  <c r="BQ24" i="3"/>
  <c r="BO24" i="3"/>
  <c r="BM24" i="3"/>
  <c r="BU24" i="3" s="1"/>
  <c r="BI24" i="3"/>
  <c r="BG24" i="3"/>
  <c r="BE24" i="3"/>
  <c r="BC24" i="3"/>
  <c r="BA24" i="3"/>
  <c r="AY24" i="3"/>
  <c r="AW24" i="3"/>
  <c r="AU24" i="3"/>
  <c r="AS24" i="3"/>
  <c r="AQ24" i="3"/>
  <c r="AO24" i="3"/>
  <c r="AM24" i="3"/>
  <c r="BV24" i="3" s="1"/>
  <c r="AK24" i="3"/>
  <c r="AI24" i="3"/>
  <c r="AE24" i="3"/>
  <c r="AC24" i="3"/>
  <c r="AA24" i="3"/>
  <c r="T24" i="3"/>
  <c r="R24" i="3"/>
  <c r="P24" i="3"/>
  <c r="N24" i="3"/>
  <c r="L24" i="3"/>
  <c r="J24" i="3"/>
  <c r="C24" i="3"/>
  <c r="ED23" i="3"/>
  <c r="EB23" i="3"/>
  <c r="DZ23" i="3"/>
  <c r="DX23" i="3"/>
  <c r="DU23" i="3"/>
  <c r="DV23" i="3" s="1"/>
  <c r="DR23" i="3"/>
  <c r="DO23" i="3"/>
  <c r="DL23" i="3"/>
  <c r="DI23" i="3"/>
  <c r="DF23" i="3"/>
  <c r="DC23" i="3"/>
  <c r="CZ23" i="3"/>
  <c r="DA23" i="3" s="1"/>
  <c r="CW23" i="3"/>
  <c r="CX23" i="3" s="1"/>
  <c r="CT23" i="3"/>
  <c r="CU23" i="3" s="1"/>
  <c r="CQ23" i="3"/>
  <c r="CR23" i="3" s="1"/>
  <c r="CN23" i="3"/>
  <c r="CO23" i="3" s="1"/>
  <c r="CI23" i="3"/>
  <c r="CG23" i="3"/>
  <c r="CE23" i="3"/>
  <c r="CJ23" i="3" s="1"/>
  <c r="CB23" i="3"/>
  <c r="CC23" i="3" s="1"/>
  <c r="BZ23" i="3"/>
  <c r="BX23" i="3"/>
  <c r="BS23" i="3"/>
  <c r="BQ23" i="3"/>
  <c r="BO23" i="3"/>
  <c r="BM23" i="3"/>
  <c r="BU23" i="3" s="1"/>
  <c r="BI23" i="3"/>
  <c r="BG23" i="3"/>
  <c r="BE23" i="3"/>
  <c r="BC23" i="3"/>
  <c r="BA23" i="3"/>
  <c r="AY23" i="3"/>
  <c r="AW23" i="3"/>
  <c r="AU23" i="3"/>
  <c r="AS23" i="3"/>
  <c r="AQ23" i="3"/>
  <c r="AO23" i="3"/>
  <c r="AM23" i="3"/>
  <c r="BV23" i="3" s="1"/>
  <c r="AK23" i="3"/>
  <c r="AI23" i="3"/>
  <c r="AE23" i="3"/>
  <c r="AC23" i="3"/>
  <c r="AA23" i="3"/>
  <c r="ED22" i="3"/>
  <c r="EB22" i="3"/>
  <c r="DZ22" i="3"/>
  <c r="DX22" i="3"/>
  <c r="DU22" i="3"/>
  <c r="DV22" i="3" s="1"/>
  <c r="DR22" i="3"/>
  <c r="DO22" i="3"/>
  <c r="DL22" i="3"/>
  <c r="DI22" i="3"/>
  <c r="DF22" i="3"/>
  <c r="DC22" i="3"/>
  <c r="CZ22" i="3"/>
  <c r="DA22" i="3" s="1"/>
  <c r="CW22" i="3"/>
  <c r="CX22" i="3" s="1"/>
  <c r="CT22" i="3"/>
  <c r="CU22" i="3" s="1"/>
  <c r="CQ22" i="3"/>
  <c r="CR22" i="3" s="1"/>
  <c r="CN22" i="3"/>
  <c r="CO22" i="3" s="1"/>
  <c r="CI22" i="3"/>
  <c r="CG22" i="3"/>
  <c r="CE22" i="3"/>
  <c r="CJ22" i="3" s="1"/>
  <c r="CB22" i="3"/>
  <c r="CC22" i="3" s="1"/>
  <c r="BZ22" i="3"/>
  <c r="BX22" i="3"/>
  <c r="BS22" i="3"/>
  <c r="BQ22" i="3"/>
  <c r="BO22" i="3"/>
  <c r="BM22" i="3"/>
  <c r="BU22" i="3" s="1"/>
  <c r="BI22" i="3"/>
  <c r="BG22" i="3"/>
  <c r="BE22" i="3"/>
  <c r="BC22" i="3"/>
  <c r="BA22" i="3"/>
  <c r="AY22" i="3"/>
  <c r="AW22" i="3"/>
  <c r="AU22" i="3"/>
  <c r="AS22" i="3"/>
  <c r="AQ22" i="3"/>
  <c r="AO22" i="3"/>
  <c r="AM22" i="3"/>
  <c r="BV22" i="3" s="1"/>
  <c r="AK22" i="3"/>
  <c r="AI22" i="3"/>
  <c r="AE22" i="3"/>
  <c r="AC22" i="3"/>
  <c r="AA22" i="3"/>
  <c r="V23" i="3"/>
  <c r="T23" i="3"/>
  <c r="R23" i="3"/>
  <c r="P23" i="3"/>
  <c r="N23" i="3"/>
  <c r="L23" i="3"/>
  <c r="J23" i="3"/>
  <c r="C23" i="3"/>
  <c r="V22" i="3"/>
  <c r="T22" i="3"/>
  <c r="R22" i="3"/>
  <c r="P22" i="3"/>
  <c r="N22" i="3"/>
  <c r="L22" i="3"/>
  <c r="J22" i="3"/>
  <c r="E22" i="3"/>
  <c r="C22" i="3"/>
  <c r="ED21" i="3"/>
  <c r="EB21" i="3"/>
  <c r="DZ21" i="3"/>
  <c r="DX21" i="3"/>
  <c r="DU21" i="3"/>
  <c r="DV21" i="3" s="1"/>
  <c r="DR21" i="3"/>
  <c r="DO21" i="3"/>
  <c r="DL21" i="3"/>
  <c r="DI21" i="3"/>
  <c r="DF21" i="3"/>
  <c r="DC21" i="3"/>
  <c r="CZ21" i="3"/>
  <c r="DA21" i="3" s="1"/>
  <c r="CW21" i="3"/>
  <c r="CX21" i="3" s="1"/>
  <c r="CT21" i="3"/>
  <c r="CU21" i="3" s="1"/>
  <c r="CQ21" i="3"/>
  <c r="CR21" i="3" s="1"/>
  <c r="CN21" i="3"/>
  <c r="CO21" i="3" s="1"/>
  <c r="CI21" i="3"/>
  <c r="CG21" i="3"/>
  <c r="CE21" i="3"/>
  <c r="CJ21" i="3" s="1"/>
  <c r="CB21" i="3"/>
  <c r="CC21" i="3" s="1"/>
  <c r="BZ21" i="3"/>
  <c r="BX21" i="3"/>
  <c r="BS21" i="3"/>
  <c r="BQ21" i="3"/>
  <c r="BO21" i="3"/>
  <c r="BM21" i="3"/>
  <c r="BU21" i="3" s="1"/>
  <c r="BI21" i="3"/>
  <c r="BG21" i="3"/>
  <c r="BE21" i="3"/>
  <c r="BC21" i="3"/>
  <c r="BA21" i="3"/>
  <c r="AY21" i="3"/>
  <c r="AW21" i="3"/>
  <c r="AU21" i="3"/>
  <c r="AS21" i="3"/>
  <c r="AQ21" i="3"/>
  <c r="AO21" i="3"/>
  <c r="AM21" i="3"/>
  <c r="BV21" i="3" s="1"/>
  <c r="AK21" i="3"/>
  <c r="AI21" i="3"/>
  <c r="AE21" i="3"/>
  <c r="AC21" i="3"/>
  <c r="AA21" i="3"/>
  <c r="ED20" i="3"/>
  <c r="EB20" i="3"/>
  <c r="DZ20" i="3"/>
  <c r="DX20" i="3"/>
  <c r="DU20" i="3"/>
  <c r="DV20" i="3" s="1"/>
  <c r="DR20" i="3"/>
  <c r="DO20" i="3"/>
  <c r="DL20" i="3"/>
  <c r="DI20" i="3"/>
  <c r="DF20" i="3"/>
  <c r="DC20" i="3"/>
  <c r="CZ20" i="3"/>
  <c r="DA20" i="3" s="1"/>
  <c r="CW20" i="3"/>
  <c r="CX20" i="3" s="1"/>
  <c r="CT20" i="3"/>
  <c r="CU20" i="3" s="1"/>
  <c r="CQ20" i="3"/>
  <c r="CR20" i="3" s="1"/>
  <c r="CN20" i="3"/>
  <c r="CO20" i="3" s="1"/>
  <c r="CI20" i="3"/>
  <c r="CG20" i="3"/>
  <c r="CE20" i="3"/>
  <c r="CJ20" i="3" s="1"/>
  <c r="CB20" i="3"/>
  <c r="CC20" i="3" s="1"/>
  <c r="BZ20" i="3"/>
  <c r="BX20" i="3"/>
  <c r="BS20" i="3"/>
  <c r="BQ20" i="3"/>
  <c r="BO20" i="3"/>
  <c r="BM20" i="3"/>
  <c r="BU20" i="3" s="1"/>
  <c r="BI20" i="3"/>
  <c r="BG20" i="3"/>
  <c r="BE20" i="3"/>
  <c r="BC20" i="3"/>
  <c r="BA20" i="3"/>
  <c r="AY20" i="3"/>
  <c r="AW20" i="3"/>
  <c r="AU20" i="3"/>
  <c r="AS20" i="3"/>
  <c r="AQ20" i="3"/>
  <c r="AO20" i="3"/>
  <c r="AM20" i="3"/>
  <c r="BV20" i="3" s="1"/>
  <c r="AK20" i="3"/>
  <c r="AI20" i="3"/>
  <c r="AE20" i="3"/>
  <c r="AC20" i="3"/>
  <c r="AA20" i="3"/>
  <c r="V21" i="3"/>
  <c r="T21" i="3"/>
  <c r="R21" i="3"/>
  <c r="P21" i="3"/>
  <c r="N21" i="3"/>
  <c r="L21" i="3"/>
  <c r="J21" i="3"/>
  <c r="E21" i="3"/>
  <c r="C21" i="3"/>
  <c r="V20" i="3"/>
  <c r="T20" i="3"/>
  <c r="R20" i="3"/>
  <c r="P20" i="3"/>
  <c r="N20" i="3"/>
  <c r="L20" i="3"/>
  <c r="J20" i="3"/>
  <c r="E20" i="3"/>
  <c r="C20" i="3"/>
  <c r="V19" i="3"/>
  <c r="T19" i="3"/>
  <c r="R19" i="3"/>
  <c r="P19" i="3"/>
  <c r="N19" i="3"/>
  <c r="L19" i="3"/>
  <c r="J19" i="3"/>
  <c r="E19" i="3"/>
  <c r="C19" i="3"/>
  <c r="ED19" i="3"/>
  <c r="EB19" i="3"/>
  <c r="DZ19" i="3"/>
  <c r="DX19" i="3"/>
  <c r="DU19" i="3"/>
  <c r="DV19" i="3" s="1"/>
  <c r="DR19" i="3"/>
  <c r="DO19" i="3"/>
  <c r="DL19" i="3"/>
  <c r="DI19" i="3"/>
  <c r="DF19" i="3"/>
  <c r="DC19" i="3"/>
  <c r="CZ19" i="3"/>
  <c r="DA19" i="3" s="1"/>
  <c r="CW19" i="3"/>
  <c r="CX19" i="3" s="1"/>
  <c r="CT19" i="3"/>
  <c r="CU19" i="3" s="1"/>
  <c r="CQ19" i="3"/>
  <c r="CR19" i="3" s="1"/>
  <c r="CN19" i="3"/>
  <c r="CO19" i="3" s="1"/>
  <c r="CI19" i="3"/>
  <c r="CG19" i="3"/>
  <c r="CE19" i="3"/>
  <c r="CJ19" i="3" s="1"/>
  <c r="CB19" i="3"/>
  <c r="CC19" i="3" s="1"/>
  <c r="BZ19" i="3"/>
  <c r="BX19" i="3"/>
  <c r="BS19" i="3"/>
  <c r="BQ19" i="3"/>
  <c r="BO19" i="3"/>
  <c r="BM19" i="3"/>
  <c r="BU19" i="3" s="1"/>
  <c r="BI19" i="3"/>
  <c r="BG19" i="3"/>
  <c r="BE19" i="3"/>
  <c r="BC19" i="3"/>
  <c r="BA19" i="3"/>
  <c r="AY19" i="3"/>
  <c r="AW19" i="3"/>
  <c r="AU19" i="3"/>
  <c r="AS19" i="3"/>
  <c r="AQ19" i="3"/>
  <c r="AO19" i="3"/>
  <c r="AM19" i="3"/>
  <c r="BV19" i="3" s="1"/>
  <c r="AK19" i="3"/>
  <c r="AI19" i="3"/>
  <c r="AE19" i="3"/>
  <c r="AC19" i="3"/>
  <c r="AA19" i="3"/>
  <c r="ED18" i="3"/>
  <c r="EB18" i="3"/>
  <c r="DZ18" i="3"/>
  <c r="DX18" i="3"/>
  <c r="DU18" i="3"/>
  <c r="DV18" i="3" s="1"/>
  <c r="DR18" i="3"/>
  <c r="DO18" i="3"/>
  <c r="DL18" i="3"/>
  <c r="DI18" i="3"/>
  <c r="DF18" i="3"/>
  <c r="DC18" i="3"/>
  <c r="CZ18" i="3"/>
  <c r="DA18" i="3" s="1"/>
  <c r="CW18" i="3"/>
  <c r="CX18" i="3" s="1"/>
  <c r="CT18" i="3"/>
  <c r="CU18" i="3" s="1"/>
  <c r="CQ18" i="3"/>
  <c r="CR18" i="3" s="1"/>
  <c r="CN18" i="3"/>
  <c r="CO18" i="3" s="1"/>
  <c r="CI18" i="3"/>
  <c r="CG18" i="3"/>
  <c r="CE18" i="3"/>
  <c r="CJ18" i="3" s="1"/>
  <c r="CB18" i="3"/>
  <c r="CC18" i="3" s="1"/>
  <c r="BZ18" i="3"/>
  <c r="BX18" i="3"/>
  <c r="BS18" i="3"/>
  <c r="BQ18" i="3"/>
  <c r="BO18" i="3"/>
  <c r="BM18" i="3"/>
  <c r="BU18" i="3" s="1"/>
  <c r="BI18" i="3"/>
  <c r="BG18" i="3"/>
  <c r="BE18" i="3"/>
  <c r="BC18" i="3"/>
  <c r="BA18" i="3"/>
  <c r="AY18" i="3"/>
  <c r="AW18" i="3"/>
  <c r="AU18" i="3"/>
  <c r="AS18" i="3"/>
  <c r="AQ18" i="3"/>
  <c r="AO18" i="3"/>
  <c r="AM18" i="3"/>
  <c r="BV18" i="3" s="1"/>
  <c r="AK18" i="3"/>
  <c r="AI18" i="3"/>
  <c r="AE18" i="3"/>
  <c r="AA18" i="3"/>
  <c r="ED17" i="3"/>
  <c r="EB17" i="3"/>
  <c r="DZ17" i="3"/>
  <c r="DX17" i="3"/>
  <c r="DU17" i="3"/>
  <c r="DV17" i="3" s="1"/>
  <c r="DR17" i="3"/>
  <c r="DO17" i="3"/>
  <c r="DL17" i="3"/>
  <c r="DI17" i="3"/>
  <c r="DF17" i="3"/>
  <c r="DC17" i="3"/>
  <c r="CZ17" i="3"/>
  <c r="DA17" i="3" s="1"/>
  <c r="CW17" i="3"/>
  <c r="CX17" i="3" s="1"/>
  <c r="CT17" i="3"/>
  <c r="CU17" i="3" s="1"/>
  <c r="CQ17" i="3"/>
  <c r="CR17" i="3" s="1"/>
  <c r="CN17" i="3"/>
  <c r="CO17" i="3" s="1"/>
  <c r="CI17" i="3"/>
  <c r="CG17" i="3"/>
  <c r="CE17" i="3"/>
  <c r="CJ17" i="3" s="1"/>
  <c r="CB17" i="3"/>
  <c r="CC17" i="3" s="1"/>
  <c r="BZ17" i="3"/>
  <c r="BX17" i="3"/>
  <c r="BS17" i="3"/>
  <c r="BQ17" i="3"/>
  <c r="BO17" i="3"/>
  <c r="BM17" i="3"/>
  <c r="BU17" i="3" s="1"/>
  <c r="BI17" i="3"/>
  <c r="BG17" i="3"/>
  <c r="BE17" i="3"/>
  <c r="BC17" i="3"/>
  <c r="BA17" i="3"/>
  <c r="AY17" i="3"/>
  <c r="AW17" i="3"/>
  <c r="AU17" i="3"/>
  <c r="AS17" i="3"/>
  <c r="AQ17" i="3"/>
  <c r="AO17" i="3"/>
  <c r="AM17" i="3"/>
  <c r="BV17" i="3" s="1"/>
  <c r="AK17" i="3"/>
  <c r="AI17" i="3"/>
  <c r="AE17" i="3"/>
  <c r="AC17" i="3"/>
  <c r="AA17" i="3"/>
  <c r="V18" i="3"/>
  <c r="T18" i="3"/>
  <c r="R18" i="3"/>
  <c r="P18" i="3"/>
  <c r="N18" i="3"/>
  <c r="L18" i="3"/>
  <c r="J18" i="3"/>
  <c r="E18" i="3"/>
  <c r="C18" i="3"/>
  <c r="V17" i="3"/>
  <c r="T17" i="3"/>
  <c r="R17" i="3"/>
  <c r="P17" i="3"/>
  <c r="N17" i="3"/>
  <c r="L17" i="3"/>
  <c r="J17" i="3"/>
  <c r="E17" i="3"/>
  <c r="C17" i="3"/>
  <c r="ED16" i="3"/>
  <c r="EB16" i="3"/>
  <c r="DZ16" i="3"/>
  <c r="DX16" i="3"/>
  <c r="DU16" i="3"/>
  <c r="DV16" i="3" s="1"/>
  <c r="DR16" i="3"/>
  <c r="DS16" i="3" s="1"/>
  <c r="DO16" i="3"/>
  <c r="DP16" i="3" s="1"/>
  <c r="DL16" i="3"/>
  <c r="DM16" i="3" s="1"/>
  <c r="DI16" i="3"/>
  <c r="DJ16" i="3" s="1"/>
  <c r="DF16" i="3"/>
  <c r="DG16" i="3" s="1"/>
  <c r="DC16" i="3"/>
  <c r="DD16" i="3" s="1"/>
  <c r="CZ16" i="3"/>
  <c r="DA16" i="3" s="1"/>
  <c r="CW16" i="3"/>
  <c r="CX16" i="3" s="1"/>
  <c r="CT16" i="3"/>
  <c r="CU16" i="3" s="1"/>
  <c r="CQ16" i="3"/>
  <c r="CR16" i="3" s="1"/>
  <c r="CN16" i="3"/>
  <c r="CO16" i="3" s="1"/>
  <c r="CI16" i="3"/>
  <c r="CG16" i="3"/>
  <c r="CE16" i="3"/>
  <c r="CJ16" i="3" s="1"/>
  <c r="CK16" i="3" s="1"/>
  <c r="CB16" i="3"/>
  <c r="CC16" i="3" s="1"/>
  <c r="BZ16" i="3"/>
  <c r="BX16" i="3"/>
  <c r="BS16" i="3"/>
  <c r="BQ16" i="3"/>
  <c r="BO16" i="3"/>
  <c r="BM16" i="3"/>
  <c r="BU16" i="3" s="1"/>
  <c r="BI16" i="3"/>
  <c r="BG16" i="3"/>
  <c r="BE16" i="3"/>
  <c r="BC16" i="3"/>
  <c r="BA16" i="3"/>
  <c r="AY16" i="3"/>
  <c r="AW16" i="3"/>
  <c r="AU16" i="3"/>
  <c r="AS16" i="3"/>
  <c r="AQ16" i="3"/>
  <c r="AO16" i="3"/>
  <c r="AM16" i="3"/>
  <c r="BV16" i="3" s="1"/>
  <c r="AK16" i="3"/>
  <c r="AI16" i="3"/>
  <c r="AE16" i="3"/>
  <c r="AC16" i="3"/>
  <c r="AA16" i="3"/>
  <c r="V16" i="3"/>
  <c r="T16" i="3"/>
  <c r="R16" i="3"/>
  <c r="P16" i="3"/>
  <c r="N16" i="3"/>
  <c r="L16" i="3"/>
  <c r="J16" i="3"/>
  <c r="E16" i="3"/>
  <c r="C16" i="3"/>
  <c r="ED10" i="3"/>
  <c r="EB10" i="3"/>
  <c r="DZ10" i="3"/>
  <c r="DX10" i="3"/>
  <c r="DU10" i="3"/>
  <c r="DV10" i="3" s="1"/>
  <c r="DR10" i="3"/>
  <c r="DO10" i="3"/>
  <c r="DL10" i="3"/>
  <c r="DI10" i="3"/>
  <c r="DF10" i="3"/>
  <c r="DC10" i="3"/>
  <c r="CZ10" i="3"/>
  <c r="DA10" i="3" s="1"/>
  <c r="CW10" i="3"/>
  <c r="CX10" i="3" s="1"/>
  <c r="CT10" i="3"/>
  <c r="CU10" i="3" s="1"/>
  <c r="CQ10" i="3"/>
  <c r="CR10" i="3" s="1"/>
  <c r="CN10" i="3"/>
  <c r="CO10" i="3" s="1"/>
  <c r="CI10" i="3"/>
  <c r="CG10" i="3"/>
  <c r="CE10" i="3"/>
  <c r="CJ10" i="3" s="1"/>
  <c r="CB10" i="3"/>
  <c r="CC10" i="3" s="1"/>
  <c r="BZ10" i="3"/>
  <c r="BX10" i="3"/>
  <c r="BS10" i="3"/>
  <c r="BQ10" i="3"/>
  <c r="BO10" i="3"/>
  <c r="BM10" i="3"/>
  <c r="BU10" i="3" s="1"/>
  <c r="BI10" i="3"/>
  <c r="BG10" i="3"/>
  <c r="BE10" i="3"/>
  <c r="BC10" i="3"/>
  <c r="BA10" i="3"/>
  <c r="AY10" i="3"/>
  <c r="AW10" i="3"/>
  <c r="AU10" i="3"/>
  <c r="AS10" i="3"/>
  <c r="AQ10" i="3"/>
  <c r="AO10" i="3"/>
  <c r="AM10" i="3"/>
  <c r="BV10" i="3" s="1"/>
  <c r="AK10" i="3"/>
  <c r="AI10" i="3"/>
  <c r="AE10" i="3"/>
  <c r="AC10" i="3"/>
  <c r="AA10" i="3"/>
  <c r="ED9" i="3"/>
  <c r="EB9" i="3"/>
  <c r="DZ9" i="3"/>
  <c r="DX9" i="3"/>
  <c r="DU9" i="3"/>
  <c r="DV9" i="3" s="1"/>
  <c r="DR9" i="3"/>
  <c r="DO9" i="3"/>
  <c r="DL9" i="3"/>
  <c r="DI9" i="3"/>
  <c r="DF9" i="3"/>
  <c r="DC9" i="3"/>
  <c r="CZ9" i="3"/>
  <c r="DA9" i="3" s="1"/>
  <c r="CW9" i="3"/>
  <c r="CX9" i="3" s="1"/>
  <c r="CT9" i="3"/>
  <c r="CU9" i="3" s="1"/>
  <c r="CQ9" i="3"/>
  <c r="CR9" i="3" s="1"/>
  <c r="CN9" i="3"/>
  <c r="CO9" i="3" s="1"/>
  <c r="CI9" i="3"/>
  <c r="CG9" i="3"/>
  <c r="CE9" i="3"/>
  <c r="CJ9" i="3" s="1"/>
  <c r="CK10" i="3" s="1"/>
  <c r="CB9" i="3"/>
  <c r="CC9" i="3" s="1"/>
  <c r="BZ9" i="3"/>
  <c r="BX9" i="3"/>
  <c r="BS9" i="3"/>
  <c r="BQ9" i="3"/>
  <c r="BO9" i="3"/>
  <c r="BM9" i="3"/>
  <c r="BU9" i="3" s="1"/>
  <c r="BI9" i="3"/>
  <c r="BG9" i="3"/>
  <c r="BE9" i="3"/>
  <c r="BC9" i="3"/>
  <c r="BA9" i="3"/>
  <c r="AY9" i="3"/>
  <c r="AW9" i="3"/>
  <c r="AU9" i="3"/>
  <c r="AS9" i="3"/>
  <c r="AQ9" i="3"/>
  <c r="AO9" i="3"/>
  <c r="AM9" i="3"/>
  <c r="BV9" i="3" s="1"/>
  <c r="AK9" i="3"/>
  <c r="AI9" i="3"/>
  <c r="AE9" i="3"/>
  <c r="AC9" i="3"/>
  <c r="AA9" i="3"/>
  <c r="ED8" i="3"/>
  <c r="EB8" i="3"/>
  <c r="DZ8" i="3"/>
  <c r="DX8" i="3"/>
  <c r="DU8" i="3"/>
  <c r="DV8" i="3" s="1"/>
  <c r="DR8" i="3"/>
  <c r="DO8" i="3"/>
  <c r="DL8" i="3"/>
  <c r="DI8" i="3"/>
  <c r="DF8" i="3"/>
  <c r="DC8" i="3"/>
  <c r="CZ8" i="3"/>
  <c r="DA8" i="3" s="1"/>
  <c r="CW8" i="3"/>
  <c r="CX8" i="3" s="1"/>
  <c r="CU8" i="3"/>
  <c r="CQ8" i="3"/>
  <c r="CR8" i="3" s="1"/>
  <c r="CN8" i="3"/>
  <c r="CO8" i="3" s="1"/>
  <c r="CI8" i="3"/>
  <c r="CG8" i="3"/>
  <c r="CE8" i="3"/>
  <c r="CJ8" i="3" s="1"/>
  <c r="CK9" i="3" s="1"/>
  <c r="CB8" i="3"/>
  <c r="CC8" i="3" s="1"/>
  <c r="BZ8" i="3"/>
  <c r="BX8" i="3"/>
  <c r="BS8" i="3"/>
  <c r="BQ8" i="3"/>
  <c r="BO8" i="3"/>
  <c r="BM8" i="3"/>
  <c r="BU8" i="3" s="1"/>
  <c r="BI8" i="3"/>
  <c r="BG8" i="3"/>
  <c r="BE8" i="3"/>
  <c r="BC8" i="3"/>
  <c r="AY8" i="3"/>
  <c r="AW8" i="3"/>
  <c r="AU8" i="3"/>
  <c r="AS8" i="3"/>
  <c r="AQ8" i="3"/>
  <c r="AO8" i="3"/>
  <c r="AM8" i="3"/>
  <c r="BV8" i="3" s="1"/>
  <c r="AK8" i="3"/>
  <c r="AI8" i="3"/>
  <c r="AE8" i="3"/>
  <c r="AC8" i="3"/>
  <c r="AA8" i="3"/>
  <c r="ED7" i="3"/>
  <c r="EB7" i="3"/>
  <c r="DZ7" i="3"/>
  <c r="DX7" i="3"/>
  <c r="DU7" i="3"/>
  <c r="DV7" i="3" s="1"/>
  <c r="DR7" i="3"/>
  <c r="DO7" i="3"/>
  <c r="DL7" i="3"/>
  <c r="DI7" i="3"/>
  <c r="DF7" i="3"/>
  <c r="DC7" i="3"/>
  <c r="CZ7" i="3"/>
  <c r="DA7" i="3" s="1"/>
  <c r="CW7" i="3"/>
  <c r="CX7" i="3" s="1"/>
  <c r="CU7" i="3"/>
  <c r="CQ7" i="3"/>
  <c r="CR7" i="3" s="1"/>
  <c r="CN7" i="3"/>
  <c r="CO7" i="3" s="1"/>
  <c r="CI7" i="3"/>
  <c r="CG7" i="3"/>
  <c r="CE7" i="3"/>
  <c r="CJ7" i="3" s="1"/>
  <c r="CK8" i="3" s="1"/>
  <c r="CB7" i="3"/>
  <c r="CC7" i="3" s="1"/>
  <c r="BZ7" i="3"/>
  <c r="BX7" i="3"/>
  <c r="BS7" i="3"/>
  <c r="BQ7" i="3"/>
  <c r="BO7" i="3"/>
  <c r="BM7" i="3"/>
  <c r="BU7" i="3" s="1"/>
  <c r="BI7" i="3"/>
  <c r="BG7" i="3"/>
  <c r="BE7" i="3"/>
  <c r="BC7" i="3"/>
  <c r="AY7" i="3"/>
  <c r="AW7" i="3"/>
  <c r="AU7" i="3"/>
  <c r="AS7" i="3"/>
  <c r="AQ7" i="3"/>
  <c r="AM7" i="3"/>
  <c r="BV7" i="3" s="1"/>
  <c r="AK7" i="3"/>
  <c r="AI7" i="3"/>
  <c r="AE7" i="3"/>
  <c r="AC7" i="3"/>
  <c r="AA7" i="3"/>
  <c r="ED6" i="3"/>
  <c r="EB6" i="3"/>
  <c r="DZ6" i="3"/>
  <c r="DX6" i="3"/>
  <c r="DU6" i="3"/>
  <c r="DV6" i="3" s="1"/>
  <c r="DR6" i="3"/>
  <c r="DO6" i="3"/>
  <c r="DL6" i="3"/>
  <c r="DI6" i="3"/>
  <c r="DF6" i="3"/>
  <c r="DC6" i="3"/>
  <c r="CZ6" i="3"/>
  <c r="DA6" i="3" s="1"/>
  <c r="CW6" i="3"/>
  <c r="CX6" i="3" s="1"/>
  <c r="CU6" i="3"/>
  <c r="CQ6" i="3"/>
  <c r="CR6" i="3" s="1"/>
  <c r="CN6" i="3"/>
  <c r="CO6" i="3" s="1"/>
  <c r="CI6" i="3"/>
  <c r="CG6" i="3"/>
  <c r="CE6" i="3"/>
  <c r="CJ6" i="3" s="1"/>
  <c r="CK7" i="3" s="1"/>
  <c r="CB6" i="3"/>
  <c r="CC6" i="3" s="1"/>
  <c r="BZ6" i="3"/>
  <c r="BX6" i="3"/>
  <c r="BS6" i="3"/>
  <c r="BQ6" i="3"/>
  <c r="BO6" i="3"/>
  <c r="BM6" i="3"/>
  <c r="BU6" i="3" s="1"/>
  <c r="BI6" i="3"/>
  <c r="BG6" i="3"/>
  <c r="BE6" i="3"/>
  <c r="BC6" i="3"/>
  <c r="AY6" i="3"/>
  <c r="AW6" i="3"/>
  <c r="AU6" i="3"/>
  <c r="AS6" i="3"/>
  <c r="AQ6" i="3"/>
  <c r="AM6" i="3"/>
  <c r="BV6" i="3" s="1"/>
  <c r="AK6" i="3"/>
  <c r="AI6" i="3"/>
  <c r="AE6" i="3"/>
  <c r="AC6" i="3"/>
  <c r="AA6" i="3"/>
  <c r="ED5" i="3"/>
  <c r="EB5" i="3"/>
  <c r="DZ5" i="3"/>
  <c r="DX5" i="3"/>
  <c r="DU5" i="3"/>
  <c r="DV5" i="3" s="1"/>
  <c r="DR5" i="3"/>
  <c r="DO5" i="3"/>
  <c r="DL5" i="3"/>
  <c r="DI5" i="3"/>
  <c r="DF5" i="3"/>
  <c r="DC5" i="3"/>
  <c r="CZ5" i="3"/>
  <c r="DA5" i="3" s="1"/>
  <c r="CW5" i="3"/>
  <c r="CX5" i="3" s="1"/>
  <c r="CU5" i="3"/>
  <c r="CQ5" i="3"/>
  <c r="CR5" i="3" s="1"/>
  <c r="CN5" i="3"/>
  <c r="CO5" i="3" s="1"/>
  <c r="CI5" i="3"/>
  <c r="CG5" i="3"/>
  <c r="CE5" i="3"/>
  <c r="CJ5" i="3" s="1"/>
  <c r="CK6" i="3" s="1"/>
  <c r="CB5" i="3"/>
  <c r="CC5" i="3" s="1"/>
  <c r="BZ5" i="3"/>
  <c r="BX5" i="3"/>
  <c r="BS5" i="3"/>
  <c r="BQ5" i="3"/>
  <c r="BO5" i="3"/>
  <c r="BM5" i="3"/>
  <c r="BU5" i="3" s="1"/>
  <c r="BI5" i="3"/>
  <c r="BG5" i="3"/>
  <c r="BE5" i="3"/>
  <c r="BC5" i="3"/>
  <c r="AY5" i="3"/>
  <c r="AW5" i="3"/>
  <c r="AU5" i="3"/>
  <c r="AS5" i="3"/>
  <c r="AQ5" i="3"/>
  <c r="AM5" i="3"/>
  <c r="BV5" i="3" s="1"/>
  <c r="AK5" i="3"/>
  <c r="AI5" i="3"/>
  <c r="AE5" i="3"/>
  <c r="AC5" i="3"/>
  <c r="AA5" i="3"/>
  <c r="ED4" i="3"/>
  <c r="EB4" i="3"/>
  <c r="DZ4" i="3"/>
  <c r="DX4" i="3"/>
  <c r="DU4" i="3"/>
  <c r="DV4" i="3" s="1"/>
  <c r="DR4" i="3"/>
  <c r="DS4" i="3" s="1"/>
  <c r="DO4" i="3"/>
  <c r="DP4" i="3" s="1"/>
  <c r="DL4" i="3"/>
  <c r="DM4" i="3" s="1"/>
  <c r="DI4" i="3"/>
  <c r="DJ4" i="3" s="1"/>
  <c r="DF4" i="3"/>
  <c r="DG4" i="3" s="1"/>
  <c r="DC4" i="3"/>
  <c r="DD4" i="3" s="1"/>
  <c r="CZ4" i="3"/>
  <c r="DA4" i="3" s="1"/>
  <c r="CW4" i="3"/>
  <c r="CX4" i="3" s="1"/>
  <c r="CU4" i="3"/>
  <c r="CQ4" i="3"/>
  <c r="CR4" i="3" s="1"/>
  <c r="CN4" i="3"/>
  <c r="CO4" i="3" s="1"/>
  <c r="CI4" i="3"/>
  <c r="CG4" i="3"/>
  <c r="CE4" i="3"/>
  <c r="CJ4" i="3" s="1"/>
  <c r="CB4" i="3"/>
  <c r="CC4" i="3" s="1"/>
  <c r="BZ4" i="3"/>
  <c r="BX4" i="3"/>
  <c r="BS4" i="3"/>
  <c r="BQ4" i="3"/>
  <c r="BO4" i="3"/>
  <c r="BM4" i="3"/>
  <c r="BU4" i="3" s="1"/>
  <c r="BG4" i="3"/>
  <c r="BE4" i="3"/>
  <c r="BC4" i="3"/>
  <c r="AY4" i="3"/>
  <c r="AW4" i="3"/>
  <c r="AU4" i="3"/>
  <c r="AS4" i="3"/>
  <c r="AQ4" i="3"/>
  <c r="AM4" i="3"/>
  <c r="BV4" i="3" s="1"/>
  <c r="AK4" i="3"/>
  <c r="AI4" i="3"/>
  <c r="AE4" i="3"/>
  <c r="AA4" i="3"/>
  <c r="V10" i="3"/>
  <c r="T10" i="3"/>
  <c r="R10" i="3"/>
  <c r="P10" i="3"/>
  <c r="N10" i="3"/>
  <c r="J10" i="3"/>
  <c r="E10" i="3"/>
  <c r="C10" i="3"/>
  <c r="V9" i="3"/>
  <c r="T9" i="3"/>
  <c r="R9" i="3"/>
  <c r="P9" i="3"/>
  <c r="N9" i="3"/>
  <c r="J9" i="3"/>
  <c r="E9" i="3"/>
  <c r="C9" i="3"/>
  <c r="V8" i="3"/>
  <c r="T8" i="3"/>
  <c r="R8" i="3"/>
  <c r="P8" i="3"/>
  <c r="N8" i="3"/>
  <c r="J8" i="3"/>
  <c r="E8" i="3"/>
  <c r="C8" i="3"/>
  <c r="V7" i="3"/>
  <c r="T7" i="3"/>
  <c r="R7" i="3"/>
  <c r="P7" i="3"/>
  <c r="N7" i="3"/>
  <c r="J7" i="3"/>
  <c r="E7" i="3"/>
  <c r="C7" i="3"/>
  <c r="V6" i="3"/>
  <c r="T6" i="3"/>
  <c r="R6" i="3"/>
  <c r="P6" i="3"/>
  <c r="N6" i="3"/>
  <c r="L6" i="3"/>
  <c r="J6" i="3"/>
  <c r="E6" i="3"/>
  <c r="C6" i="3"/>
  <c r="V5" i="3"/>
  <c r="T5" i="3"/>
  <c r="R5" i="3"/>
  <c r="P5" i="3"/>
  <c r="N5" i="3"/>
  <c r="L5" i="3"/>
  <c r="J5" i="3"/>
  <c r="E5" i="3"/>
  <c r="C5" i="3"/>
  <c r="V4" i="3"/>
  <c r="T4" i="3"/>
  <c r="R4" i="3"/>
  <c r="P4" i="3"/>
  <c r="N4" i="3"/>
  <c r="L4" i="3"/>
  <c r="J4" i="3"/>
  <c r="E4" i="3"/>
  <c r="C4" i="3"/>
  <c r="Y35" i="3"/>
  <c r="AC35" i="3"/>
  <c r="AI35" i="3"/>
  <c r="AK35" i="3"/>
  <c r="EB35" i="3"/>
  <c r="DX35" i="3"/>
  <c r="DA35" i="3"/>
  <c r="CX35" i="3"/>
  <c r="CU35" i="3"/>
  <c r="CR35" i="3"/>
  <c r="CO35" i="3"/>
  <c r="BZ35" i="3"/>
  <c r="BS35" i="3"/>
  <c r="BU35" i="3"/>
  <c r="BG35" i="3"/>
  <c r="BO35" i="3"/>
  <c r="BE35" i="3"/>
  <c r="BQ35" i="3"/>
  <c r="BI35" i="3"/>
  <c r="C35" i="3"/>
  <c r="V35" i="3"/>
  <c r="R35" i="3"/>
  <c r="EE35" i="3"/>
  <c r="EF35" i="3"/>
  <c r="DZ35" i="3"/>
  <c r="ED35" i="3"/>
  <c r="CQ35" i="3"/>
  <c r="CT35" i="3"/>
  <c r="CW35" i="3"/>
  <c r="CB35" i="3"/>
  <c r="CC35" i="3"/>
  <c r="AM35" i="3"/>
  <c r="AO35" i="3"/>
  <c r="AQ35" i="3"/>
  <c r="AS35" i="3"/>
  <c r="AU35" i="3"/>
  <c r="AW35" i="3"/>
  <c r="AY35" i="3"/>
  <c r="BA35" i="3"/>
  <c r="T35" i="3"/>
  <c r="E35" i="3"/>
  <c r="DD25" i="3" l="1"/>
  <c r="DG25" i="3"/>
  <c r="DJ25" i="3"/>
  <c r="DP25" i="3"/>
  <c r="DS25" i="3"/>
  <c r="F27" i="3"/>
  <c r="F28" i="3"/>
  <c r="F29" i="3"/>
  <c r="BJ25" i="3"/>
  <c r="BK25" i="3" s="1"/>
  <c r="BT25" i="3"/>
  <c r="CK26" i="3"/>
  <c r="CK25" i="3"/>
  <c r="BJ26" i="3"/>
  <c r="BK26" i="3" s="1"/>
  <c r="BT26" i="3"/>
  <c r="DD26" i="3"/>
  <c r="DG26" i="3"/>
  <c r="DJ26" i="3"/>
  <c r="DP26" i="3"/>
  <c r="DS26" i="3"/>
  <c r="DD22" i="3"/>
  <c r="DG22" i="3"/>
  <c r="DJ22" i="3"/>
  <c r="DM22" i="3"/>
  <c r="DP22" i="3"/>
  <c r="DS22" i="3"/>
  <c r="CK24" i="3"/>
  <c r="DD24" i="3"/>
  <c r="DG24" i="3"/>
  <c r="DJ24" i="3"/>
  <c r="DM24" i="3"/>
  <c r="DP24" i="3"/>
  <c r="DS24" i="3"/>
  <c r="F25" i="3"/>
  <c r="F26" i="3"/>
  <c r="BJ24" i="3"/>
  <c r="BK24" i="3" s="1"/>
  <c r="BT24" i="3"/>
  <c r="F24" i="3"/>
  <c r="BJ22" i="3"/>
  <c r="BK22" i="3" s="1"/>
  <c r="BT22" i="3"/>
  <c r="CK23" i="3"/>
  <c r="CK22" i="3"/>
  <c r="BJ23" i="3"/>
  <c r="BK23" i="3" s="1"/>
  <c r="BT23" i="3"/>
  <c r="DD23" i="3"/>
  <c r="DG23" i="3"/>
  <c r="DJ23" i="3"/>
  <c r="DM23" i="3"/>
  <c r="DP23" i="3"/>
  <c r="DS23" i="3"/>
  <c r="DD20" i="3"/>
  <c r="DG20" i="3"/>
  <c r="DJ20" i="3"/>
  <c r="DM20" i="3"/>
  <c r="DP20" i="3"/>
  <c r="DS20" i="3"/>
  <c r="F22" i="3"/>
  <c r="F23" i="3"/>
  <c r="BJ20" i="3"/>
  <c r="BK20" i="3" s="1"/>
  <c r="BT20" i="3"/>
  <c r="CK21" i="3"/>
  <c r="CK20" i="3"/>
  <c r="BJ21" i="3"/>
  <c r="BK21" i="3" s="1"/>
  <c r="BT21" i="3"/>
  <c r="DD21" i="3"/>
  <c r="DG21" i="3"/>
  <c r="DJ21" i="3"/>
  <c r="DM21" i="3"/>
  <c r="DP21" i="3"/>
  <c r="DS21" i="3"/>
  <c r="DD17" i="3"/>
  <c r="DG17" i="3"/>
  <c r="DJ17" i="3"/>
  <c r="DM17" i="3"/>
  <c r="DP17" i="3"/>
  <c r="DS17" i="3"/>
  <c r="CK19" i="3"/>
  <c r="DD19" i="3"/>
  <c r="DG19" i="3"/>
  <c r="DJ19" i="3"/>
  <c r="DM19" i="3"/>
  <c r="DP19" i="3"/>
  <c r="DS19" i="3"/>
  <c r="F20" i="3"/>
  <c r="F21" i="3"/>
  <c r="F19" i="3"/>
  <c r="BJ19" i="3"/>
  <c r="BK19" i="3" s="1"/>
  <c r="BT19" i="3"/>
  <c r="BJ17" i="3"/>
  <c r="BK17" i="3" s="1"/>
  <c r="BT17" i="3"/>
  <c r="CK18" i="3"/>
  <c r="CK17" i="3"/>
  <c r="BJ18" i="3"/>
  <c r="BK18" i="3" s="1"/>
  <c r="BT18" i="3"/>
  <c r="DD18" i="3"/>
  <c r="DG18" i="3"/>
  <c r="DJ18" i="3"/>
  <c r="DM18" i="3"/>
  <c r="DP18" i="3"/>
  <c r="DS18" i="3"/>
  <c r="F17" i="3"/>
  <c r="F18" i="3"/>
  <c r="BJ16" i="3"/>
  <c r="BK16" i="3" s="1"/>
  <c r="BT16" i="3"/>
  <c r="BM35" i="3"/>
  <c r="F16" i="3"/>
  <c r="BJ4" i="3"/>
  <c r="BK4" i="3" s="1"/>
  <c r="BT4" i="3"/>
  <c r="CK5" i="3"/>
  <c r="CK4" i="3"/>
  <c r="BJ5" i="3"/>
  <c r="BK5" i="3" s="1"/>
  <c r="BT5" i="3"/>
  <c r="DD5" i="3"/>
  <c r="DG5" i="3"/>
  <c r="DJ5" i="3"/>
  <c r="DM5" i="3"/>
  <c r="DP5" i="3"/>
  <c r="DS5" i="3"/>
  <c r="BJ6" i="3"/>
  <c r="BK6" i="3" s="1"/>
  <c r="BT6" i="3"/>
  <c r="DD6" i="3"/>
  <c r="DG6" i="3"/>
  <c r="DJ6" i="3"/>
  <c r="DM6" i="3"/>
  <c r="DP6" i="3"/>
  <c r="DS6" i="3"/>
  <c r="BJ7" i="3"/>
  <c r="BK7" i="3" s="1"/>
  <c r="BT7" i="3"/>
  <c r="DD7" i="3"/>
  <c r="DG7" i="3"/>
  <c r="DJ7" i="3"/>
  <c r="DM7" i="3"/>
  <c r="DP7" i="3"/>
  <c r="DS7" i="3"/>
  <c r="BJ8" i="3"/>
  <c r="BK8" i="3" s="1"/>
  <c r="BT8" i="3"/>
  <c r="DD8" i="3"/>
  <c r="DG8" i="3"/>
  <c r="DJ8" i="3"/>
  <c r="DM8" i="3"/>
  <c r="DP8" i="3"/>
  <c r="DS8" i="3"/>
  <c r="BJ9" i="3"/>
  <c r="BK9" i="3" s="1"/>
  <c r="BT9" i="3"/>
  <c r="DD9" i="3"/>
  <c r="DG9" i="3"/>
  <c r="DJ9" i="3"/>
  <c r="DM9" i="3"/>
  <c r="DP9" i="3"/>
  <c r="DS9" i="3"/>
  <c r="BJ10" i="3"/>
  <c r="BK10" i="3" s="1"/>
  <c r="BT10" i="3"/>
  <c r="DD10" i="3"/>
  <c r="DG10" i="3"/>
  <c r="DJ10" i="3"/>
  <c r="DM10" i="3"/>
  <c r="DP10" i="3"/>
  <c r="DS10" i="3"/>
  <c r="F4" i="3"/>
  <c r="F5" i="3"/>
  <c r="F6" i="3"/>
  <c r="F7" i="3"/>
  <c r="F8" i="3"/>
  <c r="F9" i="3"/>
  <c r="F10" i="3"/>
  <c r="BV35" i="3"/>
  <c r="BT35" i="3"/>
  <c r="BC35" i="3"/>
  <c r="DU35" i="3"/>
  <c r="DR35" i="3"/>
  <c r="DO35" i="3"/>
  <c r="DL35" i="3"/>
  <c r="DI35" i="3"/>
  <c r="DF35" i="3"/>
  <c r="DC35" i="3"/>
  <c r="CZ35" i="3"/>
  <c r="CK35" i="3"/>
  <c r="CN35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DV35" i="3" l="1"/>
  <c r="DS35" i="3"/>
  <c r="DP35" i="3"/>
  <c r="DM35" i="3"/>
  <c r="DJ35" i="3"/>
  <c r="DG35" i="3"/>
  <c r="DD35" i="3"/>
  <c r="R32" i="1"/>
  <c r="K32" i="1"/>
  <c r="I32" i="1"/>
  <c r="E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L30" i="4" s="1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18" i="4" l="1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<sst xmlns="http://schemas.openxmlformats.org/spreadsheetml/2006/main" count="267" uniqueCount="128">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</sst>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;@"/>
    <numFmt numFmtId="165" formatCode="0.0%"/>
  </numFmts>
  <fonts count="10" x14ac:knownFonts="1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9" fillId="10" borderId="0" applyNumberFormat="0" applyBorder="0" applyAlignment="0" applyProtection="0"/>
  </cellStyleXfs>
  <cellXfs count="13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5" fillId="0" borderId="0" xfId="0" applyFont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Border="1" applyAlignment="1" applyProtection="1">
      <alignment horizontal="center"/>
      <protection locked="0"/>
    </xf>
    <xf numFmtId="0" fontId="6" fillId="0" borderId="8" xfId="2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2" applyFont="1" applyBorder="1" applyProtection="1">
      <protection locked="0"/>
    </xf>
    <xf numFmtId="0" fontId="5" fillId="0" borderId="0" xfId="2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4" xfId="2" applyFont="1" applyBorder="1" applyAlignment="1" applyProtection="1">
      <alignment horizontal="center"/>
      <protection locked="0"/>
    </xf>
    <xf numFmtId="0" fontId="0" fillId="0" borderId="10" xfId="0" applyBorder="1"/>
    <xf numFmtId="0" fontId="0" fillId="0" borderId="18" xfId="0" applyBorder="1"/>
    <xf numFmtId="1" fontId="0" fillId="0" borderId="6" xfId="0" applyNumberFormat="1" applyBorder="1"/>
    <xf numFmtId="0" fontId="0" fillId="0" borderId="6" xfId="0" applyBorder="1"/>
    <xf numFmtId="1" fontId="0" fillId="2" borderId="6" xfId="0" applyNumberFormat="1" applyFill="1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6" xfId="0" applyBorder="1" applyProtection="1">
      <protection locked="0"/>
    </xf>
    <xf numFmtId="0" fontId="0" fillId="0" borderId="13" xfId="0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ill="1" applyBorder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ill="1" applyBorder="1"/>
    <xf numFmtId="0" fontId="0" fillId="0" borderId="15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9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9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1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9" borderId="9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0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4" fillId="0" borderId="0" xfId="2" applyAlignment="1" applyProtection="1">
      <alignment horizontal="center" vertical="center"/>
      <protection locked="0"/>
    </xf>
    <xf numFmtId="0" fontId="0" fillId="9" borderId="23" xfId="0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4" fillId="0" borderId="3" xfId="2" applyBorder="1" applyAlignment="1" applyProtection="1">
      <alignment horizontal="center" vertical="center"/>
      <protection locked="0"/>
    </xf>
    <xf numFmtId="0" fontId="4" fillId="0" borderId="2" xfId="2" applyBorder="1" applyAlignment="1" applyProtection="1">
      <alignment horizontal="center" vertical="center"/>
      <protection locked="0"/>
    </xf>
    <xf numFmtId="1" fontId="0" fillId="3" borderId="2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1" fontId="0" fillId="3" borderId="24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0" fillId="3" borderId="7" xfId="0" applyFill="1" applyBorder="1" applyAlignment="1">
      <alignment horizontal="center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9" fillId="10" borderId="0" xfId="3" applyAlignment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3" borderId="0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4" fillId="0" borderId="8" xfId="1" applyBorder="1" applyAlignment="1" applyProtection="1">
      <alignment horizontal="center" vertic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</cellXfs>
  <cellStyles count="4">
    <cellStyle name="Good" xfId="3" builtinId="26"/>
    <cellStyle name="Normal" xfId="0" builtinId="0"/>
    <cellStyle name="Normal 11" xfId="1"/>
    <cellStyle name="Normal 2" xfId="2"/>
  </cellStyles>
  <dxfs count="105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zoomScaleNormal="100" workbookViewId="0">
      <pane xSplit="4" ySplit="13" topLeftCell="E19" activePane="bottomRight" state="frozen"/>
      <selection pane="topRight" activeCell="E1" sqref="E1"/>
      <selection pane="bottomLeft" activeCell="A14" sqref="A14"/>
      <selection pane="bottomRight" activeCell="C2" sqref="C2"/>
    </sheetView>
  </sheetViews>
  <sheetFormatPr defaultColWidth="11.5703125" defaultRowHeight="12.75" x14ac:dyDescent="0.2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 x14ac:dyDescent="0.2">
      <c r="A1" s="3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7"/>
      <c r="M1" s="15"/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6" t="s">
        <v>16</v>
      </c>
      <c r="T1" s="6" t="s">
        <v>17</v>
      </c>
      <c r="U1" s="6" t="s">
        <v>18</v>
      </c>
    </row>
    <row r="2" spans="1:21" x14ac:dyDescent="0.2">
      <c r="A2" s="2" t="s">
        <v>19</v>
      </c>
      <c r="B2" s="7">
        <v>1</v>
      </c>
      <c r="C2" s="7">
        <v>5</v>
      </c>
      <c r="D2" s="7">
        <v>2021</v>
      </c>
      <c r="E2" s="8">
        <f>HOTEL!E4</f>
        <v>4816</v>
      </c>
      <c r="F2" s="16">
        <v>6.21</v>
      </c>
      <c r="G2" s="8">
        <f>HOTEL!CK4</f>
        <v>107.75</v>
      </c>
      <c r="H2" s="16">
        <v>57.45</v>
      </c>
      <c r="I2" s="8">
        <f>HOTEL!V4+HOTEL!Y4</f>
        <v>81</v>
      </c>
      <c r="J2" s="16">
        <f>P2</f>
        <v>99.998596603970626</v>
      </c>
      <c r="K2" s="7">
        <f>HOTEL!EE4</f>
        <v>2</v>
      </c>
      <c r="L2" s="18"/>
      <c r="N2" s="7">
        <f>HOTEL!X12</f>
        <v>152370</v>
      </c>
      <c r="O2" s="7">
        <f t="shared" ref="O2:O19" si="0">N2*2500</f>
        <v>380925000</v>
      </c>
      <c r="P2" s="8">
        <f>IFERROR(((((HOTEL!V4*34))+(N2*2500))/(I2+N2*25)),0)</f>
        <v>99.998596603970626</v>
      </c>
      <c r="Q2" s="7">
        <v>6.21</v>
      </c>
      <c r="R2" s="16">
        <f>H2</f>
        <v>57.45</v>
      </c>
      <c r="S2" s="7">
        <v>33.880000000000003</v>
      </c>
      <c r="T2" s="8">
        <f>G2*H2</f>
        <v>6190.2375000000002</v>
      </c>
      <c r="U2" s="8">
        <f>I2*P2</f>
        <v>8099.8863249216211</v>
      </c>
    </row>
    <row r="3" spans="1:21" x14ac:dyDescent="0.2">
      <c r="A3" s="2" t="s">
        <v>19</v>
      </c>
      <c r="B3" s="7">
        <f>B2+1</f>
        <v>2</v>
      </c>
      <c r="C3" s="7">
        <v>5</v>
      </c>
      <c r="D3" s="7">
        <v>2021</v>
      </c>
      <c r="E3" s="8">
        <f>HOTEL!E5</f>
        <v>5136</v>
      </c>
      <c r="F3" s="16">
        <v>6.21</v>
      </c>
      <c r="G3" s="8">
        <f>HOTEL!CK5</f>
        <v>0</v>
      </c>
      <c r="H3" s="16">
        <v>57.45</v>
      </c>
      <c r="I3" s="8">
        <f>HOTEL!V5+HOTEL!Y5</f>
        <v>91</v>
      </c>
      <c r="J3" s="16">
        <f t="shared" ref="J3:J31" si="1">P3</f>
        <v>99.99842334934047</v>
      </c>
      <c r="K3" s="7">
        <f>HOTEL!EE5</f>
        <v>2</v>
      </c>
      <c r="L3" s="18"/>
      <c r="N3" s="7">
        <f>HOTEL!X13</f>
        <v>152370</v>
      </c>
      <c r="O3" s="7">
        <f t="shared" si="0"/>
        <v>380925000</v>
      </c>
      <c r="P3" s="8">
        <f>IFERROR(((((HOTEL!V5*34))+(N3*2500))/(I3+N3*25)),0)</f>
        <v>99.99842334934047</v>
      </c>
      <c r="Q3" s="7">
        <v>6.21</v>
      </c>
      <c r="R3" s="16">
        <f t="shared" ref="R3:R31" si="2">H3</f>
        <v>57.45</v>
      </c>
      <c r="S3" s="7">
        <v>33.880000000000003</v>
      </c>
      <c r="T3" s="8">
        <f t="shared" ref="T3:T19" si="3">G3*H3</f>
        <v>0</v>
      </c>
      <c r="U3" s="8">
        <f t="shared" ref="U3:U31" si="4">I3*P3</f>
        <v>9099.8565247899824</v>
      </c>
    </row>
    <row r="4" spans="1:21" x14ac:dyDescent="0.2">
      <c r="A4" s="2" t="s">
        <v>19</v>
      </c>
      <c r="B4" s="7">
        <f t="shared" ref="B4:B30" si="5">B3+1</f>
        <v>3</v>
      </c>
      <c r="C4" s="7">
        <v>5</v>
      </c>
      <c r="D4" s="7">
        <v>2021</v>
      </c>
      <c r="E4" s="8">
        <f>HOTEL!E6</f>
        <v>4907</v>
      </c>
      <c r="F4" s="16">
        <v>6.21</v>
      </c>
      <c r="G4" s="8">
        <f>HOTEL!CK6</f>
        <v>0</v>
      </c>
      <c r="H4" s="16">
        <v>57.45</v>
      </c>
      <c r="I4" s="8">
        <f>HOTEL!V6+HOTEL!Y6</f>
        <v>74</v>
      </c>
      <c r="J4" s="16">
        <f t="shared" si="1"/>
        <v>99.998717882752956</v>
      </c>
      <c r="K4" s="7">
        <f>HOTEL!EE6</f>
        <v>2</v>
      </c>
      <c r="L4" s="18"/>
      <c r="N4" s="7">
        <f>HOTEL!X14</f>
        <v>152370</v>
      </c>
      <c r="O4" s="7">
        <f t="shared" si="0"/>
        <v>380925000</v>
      </c>
      <c r="P4" s="8">
        <f>IFERROR(((((HOTEL!V6*34))+(N4*2500))/(I4+N4*25)),0)</f>
        <v>99.998717882752956</v>
      </c>
      <c r="Q4" s="7">
        <v>6.21</v>
      </c>
      <c r="R4" s="16">
        <f t="shared" si="2"/>
        <v>57.45</v>
      </c>
      <c r="S4" s="7">
        <v>33.880000000000003</v>
      </c>
      <c r="T4" s="8">
        <f t="shared" si="3"/>
        <v>0</v>
      </c>
      <c r="U4" s="8">
        <f t="shared" si="4"/>
        <v>7399.9051233237187</v>
      </c>
    </row>
    <row r="5" spans="1:21" x14ac:dyDescent="0.2">
      <c r="A5" s="2" t="s">
        <v>19</v>
      </c>
      <c r="B5" s="7">
        <f t="shared" si="5"/>
        <v>4</v>
      </c>
      <c r="C5" s="7">
        <v>5</v>
      </c>
      <c r="D5" s="7">
        <v>2021</v>
      </c>
      <c r="E5" s="8">
        <f>HOTEL!E7</f>
        <v>4378</v>
      </c>
      <c r="F5" s="16">
        <v>6.21</v>
      </c>
      <c r="G5" s="8">
        <f>HOTEL!CK7</f>
        <v>0</v>
      </c>
      <c r="H5" s="16">
        <v>57.45</v>
      </c>
      <c r="I5" s="8">
        <f>HOTEL!V7+HOTEL!Y7</f>
        <v>64</v>
      </c>
      <c r="J5" s="16">
        <f t="shared" si="1"/>
        <v>99.99889113892948</v>
      </c>
      <c r="K5" s="7">
        <f>HOTEL!EE7</f>
        <v>2</v>
      </c>
      <c r="L5" s="18"/>
      <c r="N5" s="7">
        <f>HOTEL!X15</f>
        <v>152370</v>
      </c>
      <c r="O5" s="7">
        <f t="shared" si="0"/>
        <v>380925000</v>
      </c>
      <c r="P5" s="8">
        <f>IFERROR(((((HOTEL!V7*34))+(N5*2500))/(I5+N5*25)),0)</f>
        <v>99.99889113892948</v>
      </c>
      <c r="Q5" s="7">
        <v>6.21</v>
      </c>
      <c r="R5" s="16">
        <f t="shared" si="2"/>
        <v>57.45</v>
      </c>
      <c r="S5" s="7">
        <v>33.880000000000003</v>
      </c>
      <c r="T5" s="8">
        <f t="shared" si="3"/>
        <v>0</v>
      </c>
      <c r="U5" s="8">
        <f t="shared" si="4"/>
        <v>6399.9290328914867</v>
      </c>
    </row>
    <row r="6" spans="1:21" x14ac:dyDescent="0.2">
      <c r="A6" s="2" t="s">
        <v>19</v>
      </c>
      <c r="B6" s="7">
        <f t="shared" si="5"/>
        <v>5</v>
      </c>
      <c r="C6" s="7">
        <v>5</v>
      </c>
      <c r="D6" s="7">
        <v>2021</v>
      </c>
      <c r="E6" s="8">
        <f>HOTEL!E8</f>
        <v>5139</v>
      </c>
      <c r="F6" s="16">
        <v>6.21</v>
      </c>
      <c r="G6" s="8">
        <f>HOTEL!CK8</f>
        <v>107.75</v>
      </c>
      <c r="H6" s="16">
        <v>57.45</v>
      </c>
      <c r="I6" s="8">
        <f>HOTEL!V8+HOTEL!Y8</f>
        <v>85</v>
      </c>
      <c r="J6" s="16">
        <f t="shared" si="1"/>
        <v>99.998527302009407</v>
      </c>
      <c r="K6" s="7">
        <f>HOTEL!EE8</f>
        <v>2</v>
      </c>
      <c r="L6" s="18"/>
      <c r="N6" s="7">
        <f>HOTEL!X16</f>
        <v>152370</v>
      </c>
      <c r="O6" s="7">
        <f t="shared" si="0"/>
        <v>380925000</v>
      </c>
      <c r="P6" s="8">
        <f>IFERROR(((((HOTEL!V8*34))+(N6*2500))/(I6+N6*25)),0)</f>
        <v>99.998527302009407</v>
      </c>
      <c r="Q6" s="7">
        <v>6.21</v>
      </c>
      <c r="R6" s="16">
        <f t="shared" si="2"/>
        <v>57.45</v>
      </c>
      <c r="S6" s="7">
        <v>33.880000000000003</v>
      </c>
      <c r="T6" s="8">
        <f t="shared" si="3"/>
        <v>6190.2375000000002</v>
      </c>
      <c r="U6" s="8">
        <f t="shared" si="4"/>
        <v>8499.8748206707987</v>
      </c>
    </row>
    <row r="7" spans="1:21" x14ac:dyDescent="0.2">
      <c r="A7" s="2" t="s">
        <v>19</v>
      </c>
      <c r="B7" s="7">
        <f t="shared" si="5"/>
        <v>6</v>
      </c>
      <c r="C7" s="7">
        <v>5</v>
      </c>
      <c r="D7" s="7">
        <v>2021</v>
      </c>
      <c r="E7" s="8">
        <f>HOTEL!E9</f>
        <v>5248</v>
      </c>
      <c r="F7" s="16">
        <v>6.21</v>
      </c>
      <c r="G7" s="8">
        <f>HOTEL!CK9</f>
        <v>0</v>
      </c>
      <c r="H7" s="16">
        <v>57.45</v>
      </c>
      <c r="I7" s="8">
        <f>HOTEL!V9+HOTEL!Y9</f>
        <v>89</v>
      </c>
      <c r="J7" s="16">
        <f t="shared" si="1"/>
        <v>99.998458000193736</v>
      </c>
      <c r="K7" s="7">
        <f>HOTEL!EE9</f>
        <v>2</v>
      </c>
      <c r="L7" s="18"/>
      <c r="N7" s="7">
        <f>HOTEL!X17</f>
        <v>152370</v>
      </c>
      <c r="O7" s="7">
        <f t="shared" si="0"/>
        <v>380925000</v>
      </c>
      <c r="P7" s="8">
        <f>IFERROR(((((HOTEL!V9*34))+(N7*2500))/(I7+N7*25)),0)</f>
        <v>99.998458000193736</v>
      </c>
      <c r="Q7" s="7">
        <v>6.21</v>
      </c>
      <c r="R7" s="16">
        <f t="shared" si="2"/>
        <v>57.45</v>
      </c>
      <c r="S7" s="7">
        <v>33.880000000000003</v>
      </c>
      <c r="T7" s="8">
        <f t="shared" si="3"/>
        <v>0</v>
      </c>
      <c r="U7" s="8">
        <f t="shared" si="4"/>
        <v>8899.8627620172429</v>
      </c>
    </row>
    <row r="8" spans="1:21" x14ac:dyDescent="0.2">
      <c r="A8" s="2" t="s">
        <v>19</v>
      </c>
      <c r="B8" s="7">
        <f t="shared" si="5"/>
        <v>7</v>
      </c>
      <c r="C8" s="7">
        <v>5</v>
      </c>
      <c r="D8" s="7">
        <v>2021</v>
      </c>
      <c r="E8" s="8">
        <f>HOTEL!E10</f>
        <v>5226</v>
      </c>
      <c r="F8" s="16">
        <v>6.21</v>
      </c>
      <c r="G8" s="8">
        <f>HOTEL!CK10</f>
        <v>107.75</v>
      </c>
      <c r="H8" s="16">
        <v>57.45</v>
      </c>
      <c r="I8" s="8">
        <f>HOTEL!V10+HOTEL!Y10</f>
        <v>94</v>
      </c>
      <c r="J8" s="16">
        <f t="shared" si="1"/>
        <v>99.998371373128805</v>
      </c>
      <c r="K8" s="7">
        <f>HOTEL!EE10</f>
        <v>2</v>
      </c>
      <c r="L8" s="18"/>
      <c r="N8" s="7">
        <f>HOTEL!X18</f>
        <v>152370</v>
      </c>
      <c r="O8" s="7">
        <f t="shared" si="0"/>
        <v>380925000</v>
      </c>
      <c r="P8" s="8">
        <f>IFERROR(((((HOTEL!V10*34))+(N8*2500))/(I8+N8*25)),0)</f>
        <v>99.998371373128805</v>
      </c>
      <c r="Q8" s="7">
        <v>6.21</v>
      </c>
      <c r="R8" s="16">
        <f t="shared" si="2"/>
        <v>57.45</v>
      </c>
      <c r="S8" s="7">
        <v>33.880000000000003</v>
      </c>
      <c r="T8" s="8">
        <f t="shared" si="3"/>
        <v>6190.2375000000002</v>
      </c>
      <c r="U8" s="8">
        <f t="shared" si="4"/>
        <v>9399.8469090741073</v>
      </c>
    </row>
    <row r="9" spans="1:21" x14ac:dyDescent="0.2">
      <c r="A9" s="2" t="s">
        <v>19</v>
      </c>
      <c r="B9" s="7">
        <f t="shared" si="5"/>
        <v>8</v>
      </c>
      <c r="C9" s="7">
        <v>5</v>
      </c>
      <c r="D9" s="7">
        <v>2021</v>
      </c>
      <c r="E9" s="8">
        <f>HOTEL!E11</f>
        <v>5198</v>
      </c>
      <c r="F9" s="16">
        <v>6.21</v>
      </c>
      <c r="G9" s="8">
        <f>HOTEL!CK11</f>
        <v>0</v>
      </c>
      <c r="H9" s="16">
        <v>57.45</v>
      </c>
      <c r="I9" s="8">
        <f>HOTEL!V11+HOTEL!Y11</f>
        <v>92</v>
      </c>
      <c r="J9" s="16">
        <f t="shared" si="1"/>
        <v>99.998406023927487</v>
      </c>
      <c r="K9" s="7">
        <f>HOTEL!EE11</f>
        <v>2</v>
      </c>
      <c r="L9" s="18"/>
      <c r="N9" s="7">
        <f>HOTEL!X19</f>
        <v>152370</v>
      </c>
      <c r="O9" s="7">
        <f>N9*2500</f>
        <v>380925000</v>
      </c>
      <c r="P9" s="8">
        <f>IFERROR(((((HOTEL!V11*34))+(N9*2500))/(I9+N9*25)),0)</f>
        <v>99.998406023927487</v>
      </c>
      <c r="Q9" s="7">
        <v>6.21</v>
      </c>
      <c r="R9" s="16">
        <f t="shared" si="2"/>
        <v>57.45</v>
      </c>
      <c r="S9" s="7">
        <v>33.880000000000003</v>
      </c>
      <c r="T9" s="8">
        <f>G9*H9</f>
        <v>0</v>
      </c>
      <c r="U9" s="8">
        <f t="shared" si="4"/>
        <v>9199.8533542013283</v>
      </c>
    </row>
    <row r="10" spans="1:21" x14ac:dyDescent="0.2">
      <c r="A10" s="2" t="s">
        <v>19</v>
      </c>
      <c r="B10" s="7">
        <f t="shared" si="5"/>
        <v>9</v>
      </c>
      <c r="C10" s="7">
        <v>5</v>
      </c>
      <c r="D10" s="7">
        <v>2021</v>
      </c>
      <c r="E10" s="8">
        <f>HOTEL!E12</f>
        <v>5453</v>
      </c>
      <c r="F10" s="16">
        <v>6.21</v>
      </c>
      <c r="G10" s="8">
        <f>HOTEL!CK12</f>
        <v>0</v>
      </c>
      <c r="H10" s="16">
        <v>57.45</v>
      </c>
      <c r="I10" s="8">
        <f>HOTEL!V12+HOTEL!Y12</f>
        <v>76</v>
      </c>
      <c r="J10" s="16">
        <f t="shared" si="1"/>
        <v>98.052795031055894</v>
      </c>
      <c r="K10" s="7">
        <f>HOTEL!EE12</f>
        <v>2</v>
      </c>
      <c r="L10" s="18"/>
      <c r="N10" s="7">
        <f>HOTEL!W20</f>
        <v>100</v>
      </c>
      <c r="O10" s="7">
        <f t="shared" si="0"/>
        <v>250000</v>
      </c>
      <c r="P10" s="8">
        <f>IFERROR(((((HOTEL!V12*34))+(N10*2500))/(I10+N10*25)),0)</f>
        <v>98.052795031055894</v>
      </c>
      <c r="Q10" s="7">
        <v>6.21</v>
      </c>
      <c r="R10" s="16">
        <f t="shared" si="2"/>
        <v>57.45</v>
      </c>
      <c r="S10" s="7">
        <v>33.93</v>
      </c>
      <c r="T10" s="8">
        <f t="shared" si="3"/>
        <v>0</v>
      </c>
      <c r="U10" s="8">
        <f t="shared" si="4"/>
        <v>7452.0124223602479</v>
      </c>
    </row>
    <row r="11" spans="1:21" x14ac:dyDescent="0.2">
      <c r="A11" s="2" t="s">
        <v>19</v>
      </c>
      <c r="B11" s="7">
        <f t="shared" si="5"/>
        <v>10</v>
      </c>
      <c r="C11" s="7">
        <v>5</v>
      </c>
      <c r="D11" s="7">
        <v>2021</v>
      </c>
      <c r="E11" s="8">
        <f>HOTEL!E13</f>
        <v>5205</v>
      </c>
      <c r="F11" s="16">
        <v>6.21</v>
      </c>
      <c r="G11" s="8">
        <f>HOTEL!CK13</f>
        <v>0</v>
      </c>
      <c r="H11" s="16">
        <v>57.45</v>
      </c>
      <c r="I11" s="8">
        <f>HOTEL!V13+HOTEL!Y13</f>
        <v>75</v>
      </c>
      <c r="J11" s="16">
        <f t="shared" si="1"/>
        <v>98.077669902912618</v>
      </c>
      <c r="K11" s="7">
        <f>HOTEL!EE13</f>
        <v>2</v>
      </c>
      <c r="L11" s="18"/>
      <c r="N11" s="7">
        <f>HOTEL!W21</f>
        <v>100</v>
      </c>
      <c r="O11" s="7">
        <f>N11*2500</f>
        <v>250000</v>
      </c>
      <c r="P11" s="8">
        <f>IFERROR(((((HOTEL!V13*34))+(N11*2500))/(I11+N11*25)),0)</f>
        <v>98.077669902912618</v>
      </c>
      <c r="Q11" s="7">
        <v>6.21</v>
      </c>
      <c r="R11" s="16">
        <f t="shared" si="2"/>
        <v>57.45</v>
      </c>
      <c r="S11" s="7">
        <v>33.93</v>
      </c>
      <c r="T11" s="8">
        <f>G11*H11</f>
        <v>0</v>
      </c>
      <c r="U11" s="8">
        <f t="shared" si="4"/>
        <v>7355.8252427184461</v>
      </c>
    </row>
    <row r="12" spans="1:21" x14ac:dyDescent="0.2">
      <c r="A12" s="2" t="s">
        <v>19</v>
      </c>
      <c r="B12" s="7">
        <f t="shared" si="5"/>
        <v>11</v>
      </c>
      <c r="C12" s="7">
        <v>5</v>
      </c>
      <c r="D12" s="7">
        <v>2021</v>
      </c>
      <c r="E12" s="8">
        <f>HOTEL!E14</f>
        <v>4814</v>
      </c>
      <c r="F12" s="16">
        <v>6.21</v>
      </c>
      <c r="G12" s="8">
        <f>HOTEL!CK14</f>
        <v>0</v>
      </c>
      <c r="H12" s="16">
        <v>57.45</v>
      </c>
      <c r="I12" s="8">
        <f>HOTEL!V14+HOTEL!Y14</f>
        <v>48</v>
      </c>
      <c r="J12" s="16">
        <f t="shared" si="1"/>
        <v>98.756671899529039</v>
      </c>
      <c r="K12" s="7">
        <f>HOTEL!EE14</f>
        <v>2</v>
      </c>
      <c r="L12" s="18"/>
      <c r="N12" s="7">
        <f>HOTEL!W22</f>
        <v>100</v>
      </c>
      <c r="O12" s="7">
        <f>N12*2500</f>
        <v>250000</v>
      </c>
      <c r="P12" s="8">
        <f>IFERROR(((((HOTEL!V14*34))+(N12*2500))/(I12+N12*25)),0)</f>
        <v>98.756671899529039</v>
      </c>
      <c r="Q12" s="7">
        <v>6.21</v>
      </c>
      <c r="R12" s="16">
        <f t="shared" si="2"/>
        <v>57.45</v>
      </c>
      <c r="S12" s="7">
        <v>33.93</v>
      </c>
      <c r="T12" s="8">
        <f>G12*H12</f>
        <v>0</v>
      </c>
      <c r="U12" s="8">
        <f t="shared" si="4"/>
        <v>4740.3202511773943</v>
      </c>
    </row>
    <row r="13" spans="1:21" x14ac:dyDescent="0.2">
      <c r="A13" s="2" t="s">
        <v>19</v>
      </c>
      <c r="B13" s="7">
        <f t="shared" si="5"/>
        <v>12</v>
      </c>
      <c r="C13" s="7">
        <v>5</v>
      </c>
      <c r="D13" s="7">
        <v>2021</v>
      </c>
      <c r="E13" s="8">
        <f>HOTEL!E15</f>
        <v>5063</v>
      </c>
      <c r="F13" s="16">
        <v>6.21</v>
      </c>
      <c r="G13" s="8">
        <f>HOTEL!CK15</f>
        <v>215.5</v>
      </c>
      <c r="H13" s="16">
        <v>57.45</v>
      </c>
      <c r="I13" s="8">
        <f>HOTEL!V15+HOTEL!Y15</f>
        <v>116</v>
      </c>
      <c r="J13" s="16">
        <f t="shared" si="1"/>
        <v>97.073394495412842</v>
      </c>
      <c r="K13" s="7">
        <f>HOTEL!EE15</f>
        <v>2</v>
      </c>
      <c r="L13" s="18"/>
      <c r="N13" s="7">
        <f>HOTEL!W23</f>
        <v>100</v>
      </c>
      <c r="O13" s="7">
        <f t="shared" si="0"/>
        <v>250000</v>
      </c>
      <c r="P13" s="8">
        <f>IFERROR(((((HOTEL!V15*34))+(N13*2500))/(I13+N13*25)),0)</f>
        <v>97.073394495412842</v>
      </c>
      <c r="Q13" s="7">
        <v>6.21</v>
      </c>
      <c r="R13" s="16">
        <f t="shared" si="2"/>
        <v>57.45</v>
      </c>
      <c r="S13" s="7">
        <v>33.93</v>
      </c>
      <c r="T13" s="8">
        <f t="shared" si="3"/>
        <v>12380.475</v>
      </c>
      <c r="U13" s="8">
        <f t="shared" si="4"/>
        <v>11260.51376146789</v>
      </c>
    </row>
    <row r="14" spans="1:21" x14ac:dyDescent="0.2">
      <c r="A14" s="2" t="s">
        <v>19</v>
      </c>
      <c r="B14" s="7">
        <f t="shared" si="5"/>
        <v>13</v>
      </c>
      <c r="C14" s="7">
        <v>5</v>
      </c>
      <c r="D14" s="7">
        <v>2021</v>
      </c>
      <c r="E14" s="8">
        <f>HOTEL!E16</f>
        <v>5433</v>
      </c>
      <c r="F14" s="16">
        <v>6.21</v>
      </c>
      <c r="G14" s="8">
        <f>HOTEL!CK16</f>
        <v>107.75</v>
      </c>
      <c r="H14" s="16">
        <v>57.45</v>
      </c>
      <c r="I14" s="8">
        <f>HOTEL!V16+HOTEL!Y16</f>
        <v>75</v>
      </c>
      <c r="J14" s="16">
        <f t="shared" si="1"/>
        <v>99.99870055718533</v>
      </c>
      <c r="K14" s="7">
        <f>HOTEL!EE16</f>
        <v>2</v>
      </c>
      <c r="L14" s="18"/>
      <c r="N14" s="7">
        <f>HOTEL!X24</f>
        <v>152370</v>
      </c>
      <c r="O14" s="7">
        <f t="shared" si="0"/>
        <v>380925000</v>
      </c>
      <c r="P14" s="8">
        <f>IFERROR(((((HOTEL!V16*34))+(N14*2500))/(I14+N14*25)),0)</f>
        <v>99.99870055718533</v>
      </c>
      <c r="Q14" s="7">
        <v>6.21</v>
      </c>
      <c r="R14" s="16">
        <f t="shared" si="2"/>
        <v>57.45</v>
      </c>
      <c r="S14" s="7">
        <v>33.93</v>
      </c>
      <c r="T14" s="8">
        <f t="shared" si="3"/>
        <v>6190.2375000000002</v>
      </c>
      <c r="U14" s="8">
        <f t="shared" si="4"/>
        <v>7499.9025417888997</v>
      </c>
    </row>
    <row r="15" spans="1:21" x14ac:dyDescent="0.2">
      <c r="A15" s="2" t="s">
        <v>19</v>
      </c>
      <c r="B15" s="7">
        <f t="shared" si="5"/>
        <v>14</v>
      </c>
      <c r="C15" s="7">
        <v>5</v>
      </c>
      <c r="D15" s="7">
        <v>2021</v>
      </c>
      <c r="E15" s="8">
        <f>HOTEL!E17</f>
        <v>4992</v>
      </c>
      <c r="F15" s="16">
        <v>6.21</v>
      </c>
      <c r="G15" s="8">
        <f>HOTEL!CK17</f>
        <v>107.75</v>
      </c>
      <c r="H15" s="16">
        <v>57.45</v>
      </c>
      <c r="I15" s="8">
        <f>HOTEL!V17+HOTEL!Y17</f>
        <v>94</v>
      </c>
      <c r="J15" s="16">
        <f t="shared" si="1"/>
        <v>97.608326908249808</v>
      </c>
      <c r="K15" s="7">
        <f>HOTEL!EE17</f>
        <v>2</v>
      </c>
      <c r="L15" s="18"/>
      <c r="N15" s="7">
        <f>HOTEL!W25</f>
        <v>100</v>
      </c>
      <c r="O15" s="7">
        <f t="shared" si="0"/>
        <v>250000</v>
      </c>
      <c r="P15" s="8">
        <f>IFERROR(((((HOTEL!V17*34))+(N15*2500))/(I15+N15*25)),0)</f>
        <v>97.608326908249808</v>
      </c>
      <c r="Q15" s="7">
        <v>6.21</v>
      </c>
      <c r="R15" s="16">
        <f t="shared" si="2"/>
        <v>57.45</v>
      </c>
      <c r="S15" s="7">
        <v>33.93</v>
      </c>
      <c r="T15" s="8">
        <f t="shared" si="3"/>
        <v>6190.2375000000002</v>
      </c>
      <c r="U15" s="8">
        <f t="shared" si="4"/>
        <v>9175.1827293754814</v>
      </c>
    </row>
    <row r="16" spans="1:21" x14ac:dyDescent="0.2">
      <c r="A16" s="2" t="s">
        <v>19</v>
      </c>
      <c r="B16" s="7">
        <f t="shared" si="5"/>
        <v>15</v>
      </c>
      <c r="C16" s="7">
        <v>5</v>
      </c>
      <c r="D16" s="7">
        <v>2021</v>
      </c>
      <c r="E16" s="8">
        <f>HOTEL!E18</f>
        <v>5330</v>
      </c>
      <c r="F16" s="16">
        <v>6.21</v>
      </c>
      <c r="G16" s="8">
        <f>HOTEL!CK18</f>
        <v>323.25</v>
      </c>
      <c r="H16" s="16">
        <v>57.45</v>
      </c>
      <c r="I16" s="8">
        <f>HOTEL!V18+HOTEL!Y18</f>
        <v>77</v>
      </c>
      <c r="J16" s="16">
        <f t="shared" si="1"/>
        <v>98.027939464493599</v>
      </c>
      <c r="K16" s="7">
        <f>HOTEL!EE18</f>
        <v>2</v>
      </c>
      <c r="L16" s="18"/>
      <c r="N16" s="7">
        <f>HOTEL!W26</f>
        <v>100</v>
      </c>
      <c r="O16" s="7">
        <f t="shared" si="0"/>
        <v>250000</v>
      </c>
      <c r="P16" s="8">
        <f>IFERROR(((((HOTEL!V18*34))+(N16*2500))/(I16+N16*25)),0)</f>
        <v>98.027939464493599</v>
      </c>
      <c r="Q16" s="7">
        <v>6.21</v>
      </c>
      <c r="R16" s="16">
        <f t="shared" si="2"/>
        <v>57.45</v>
      </c>
      <c r="S16" s="7">
        <v>33.93</v>
      </c>
      <c r="T16" s="8">
        <f t="shared" si="3"/>
        <v>18570.712500000001</v>
      </c>
      <c r="U16" s="8">
        <f t="shared" si="4"/>
        <v>7548.151338766007</v>
      </c>
    </row>
    <row r="17" spans="1:21" x14ac:dyDescent="0.2">
      <c r="A17" s="2" t="s">
        <v>19</v>
      </c>
      <c r="B17" s="7">
        <f t="shared" si="5"/>
        <v>16</v>
      </c>
      <c r="C17" s="7">
        <v>5</v>
      </c>
      <c r="D17" s="7">
        <v>2021</v>
      </c>
      <c r="E17" s="8">
        <f>HOTEL!E19</f>
        <v>5563</v>
      </c>
      <c r="F17" s="16">
        <v>6.21</v>
      </c>
      <c r="G17" s="8">
        <f>HOTEL!CK19</f>
        <v>215.5</v>
      </c>
      <c r="H17" s="16">
        <v>57.45</v>
      </c>
      <c r="I17" s="8">
        <f>HOTEL!V19+HOTEL!Y19</f>
        <v>93</v>
      </c>
      <c r="J17" s="16">
        <f t="shared" si="1"/>
        <v>99.998388698523598</v>
      </c>
      <c r="K17" s="7">
        <f>HOTEL!EE19</f>
        <v>2</v>
      </c>
      <c r="L17" s="18"/>
      <c r="N17" s="7">
        <f>HOTEL!X27</f>
        <v>152370</v>
      </c>
      <c r="O17" s="7">
        <f t="shared" si="0"/>
        <v>380925000</v>
      </c>
      <c r="P17" s="8">
        <f>IFERROR(((((HOTEL!V19*34))+(N17*2500))/(I17+N17*25)),0)</f>
        <v>99.998388698523598</v>
      </c>
      <c r="Q17" s="7">
        <v>6.21</v>
      </c>
      <c r="R17" s="16">
        <f t="shared" si="2"/>
        <v>57.45</v>
      </c>
      <c r="S17" s="7">
        <v>33.93</v>
      </c>
      <c r="T17" s="8">
        <f t="shared" si="3"/>
        <v>12380.475</v>
      </c>
      <c r="U17" s="8">
        <f t="shared" si="4"/>
        <v>9299.8501489626942</v>
      </c>
    </row>
    <row r="18" spans="1:21" x14ac:dyDescent="0.2">
      <c r="A18" s="2" t="s">
        <v>19</v>
      </c>
      <c r="B18" s="7">
        <f t="shared" si="5"/>
        <v>17</v>
      </c>
      <c r="C18" s="7">
        <v>5</v>
      </c>
      <c r="D18" s="7">
        <v>2021</v>
      </c>
      <c r="E18" s="8">
        <f>HOTEL!E20</f>
        <v>5315</v>
      </c>
      <c r="F18" s="16">
        <v>6.21</v>
      </c>
      <c r="G18" s="8">
        <f>HOTEL!CK20</f>
        <v>0</v>
      </c>
      <c r="H18" s="16">
        <v>57.45</v>
      </c>
      <c r="I18" s="8">
        <f>HOTEL!V20+HOTEL!Y20</f>
        <v>58</v>
      </c>
      <c r="J18" s="16">
        <f t="shared" si="1"/>
        <v>99.998995093072025</v>
      </c>
      <c r="K18" s="7">
        <f>HOTEL!EE20</f>
        <v>2</v>
      </c>
      <c r="L18" s="18"/>
      <c r="N18" s="7">
        <f>HOTEL!X28</f>
        <v>152370</v>
      </c>
      <c r="O18" s="7">
        <f t="shared" si="0"/>
        <v>380925000</v>
      </c>
      <c r="P18" s="8">
        <f>IFERROR(((((HOTEL!V20*34))+(N18*2500))/(I18+N18*25)),0)</f>
        <v>99.998995093072025</v>
      </c>
      <c r="Q18" s="7">
        <v>6.21</v>
      </c>
      <c r="R18" s="16">
        <f t="shared" si="2"/>
        <v>57.45</v>
      </c>
      <c r="S18" s="7">
        <v>33.93</v>
      </c>
      <c r="T18" s="8">
        <f t="shared" si="3"/>
        <v>0</v>
      </c>
      <c r="U18" s="8">
        <f t="shared" si="4"/>
        <v>5799.9417153981776</v>
      </c>
    </row>
    <row r="19" spans="1:21" x14ac:dyDescent="0.2">
      <c r="A19" s="2" t="s">
        <v>19</v>
      </c>
      <c r="B19" s="7">
        <f t="shared" si="5"/>
        <v>18</v>
      </c>
      <c r="C19" s="7">
        <v>5</v>
      </c>
      <c r="D19" s="7">
        <v>2021</v>
      </c>
      <c r="E19" s="8">
        <f>HOTEL!E21</f>
        <v>5119</v>
      </c>
      <c r="F19" s="16">
        <v>6.21</v>
      </c>
      <c r="G19" s="8">
        <f>HOTEL!CK21</f>
        <v>107.75</v>
      </c>
      <c r="H19" s="16">
        <v>57.45</v>
      </c>
      <c r="I19" s="8">
        <f>HOTEL!V21+HOTEL!Y21</f>
        <v>48</v>
      </c>
      <c r="J19" s="16">
        <f t="shared" si="1"/>
        <v>99.999168350703982</v>
      </c>
      <c r="K19" s="7">
        <f>HOTEL!EE21</f>
        <v>2</v>
      </c>
      <c r="L19" s="18"/>
      <c r="N19" s="7">
        <f>HOTEL!X29</f>
        <v>152370</v>
      </c>
      <c r="O19" s="7">
        <f t="shared" si="0"/>
        <v>380925000</v>
      </c>
      <c r="P19" s="8">
        <f>IFERROR(((((HOTEL!V21*34))+(N19*2500))/(I19+N19*25)),0)</f>
        <v>99.999168350703982</v>
      </c>
      <c r="Q19" s="7">
        <v>6.21</v>
      </c>
      <c r="R19" s="16">
        <f t="shared" si="2"/>
        <v>57.45</v>
      </c>
      <c r="S19" s="7">
        <v>33.93</v>
      </c>
      <c r="T19" s="8">
        <f t="shared" si="3"/>
        <v>6190.2375000000002</v>
      </c>
      <c r="U19" s="8">
        <f t="shared" si="4"/>
        <v>4799.9600808337909</v>
      </c>
    </row>
    <row r="20" spans="1:21" x14ac:dyDescent="0.2">
      <c r="A20" s="2" t="s">
        <v>19</v>
      </c>
      <c r="B20" s="7">
        <f t="shared" si="5"/>
        <v>19</v>
      </c>
      <c r="C20" s="7">
        <v>5</v>
      </c>
      <c r="D20" s="7">
        <v>2021</v>
      </c>
      <c r="E20" s="8">
        <f>HOTEL!E22</f>
        <v>5542</v>
      </c>
      <c r="F20" s="16">
        <v>6.21</v>
      </c>
      <c r="G20" s="8">
        <f>HOTEL!CK22</f>
        <v>107.75</v>
      </c>
      <c r="H20" s="16">
        <v>57.45</v>
      </c>
      <c r="I20" s="8">
        <f>HOTEL!V22+HOTEL!Y22</f>
        <v>96</v>
      </c>
      <c r="J20" s="16">
        <f t="shared" si="1"/>
        <v>34</v>
      </c>
      <c r="K20" s="7">
        <f>HOTEL!EE22</f>
        <v>2</v>
      </c>
      <c r="L20" s="18"/>
      <c r="N20" s="7">
        <f>HOTEL!X30</f>
        <v>0</v>
      </c>
      <c r="O20" s="7">
        <f>N20*2500</f>
        <v>0</v>
      </c>
      <c r="P20" s="8">
        <f>IFERROR(((((HOTEL!V22*34))+(N20*2500))/(I20+N20*25)),0)</f>
        <v>34</v>
      </c>
      <c r="Q20" s="7">
        <v>6.21</v>
      </c>
      <c r="R20" s="16">
        <f t="shared" si="2"/>
        <v>57.45</v>
      </c>
      <c r="S20" s="7">
        <v>33.93</v>
      </c>
      <c r="T20" s="8">
        <f>G20*H20</f>
        <v>6190.2375000000002</v>
      </c>
      <c r="U20" s="8">
        <f t="shared" si="4"/>
        <v>3264</v>
      </c>
    </row>
    <row r="21" spans="1:21" x14ac:dyDescent="0.2">
      <c r="A21" s="2" t="s">
        <v>19</v>
      </c>
      <c r="B21" s="7">
        <f t="shared" si="5"/>
        <v>20</v>
      </c>
      <c r="C21" s="7">
        <v>5</v>
      </c>
      <c r="D21" s="7">
        <v>2021</v>
      </c>
      <c r="E21" s="8">
        <f>HOTEL!E23</f>
        <v>5760</v>
      </c>
      <c r="F21" s="16">
        <v>6.21</v>
      </c>
      <c r="G21" s="8">
        <f>HOTEL!CK23</f>
        <v>0</v>
      </c>
      <c r="H21" s="16">
        <v>57.45</v>
      </c>
      <c r="I21" s="8">
        <f>HOTEL!V23+HOTEL!Y23</f>
        <v>60</v>
      </c>
      <c r="J21" s="16">
        <f t="shared" si="1"/>
        <v>34</v>
      </c>
      <c r="K21" s="7">
        <f>HOTEL!EE23</f>
        <v>2</v>
      </c>
      <c r="L21" s="18"/>
      <c r="N21" s="7">
        <f>HOTEL!X31</f>
        <v>0</v>
      </c>
      <c r="O21" s="7">
        <f>N21*2500</f>
        <v>0</v>
      </c>
      <c r="P21" s="8">
        <f>IFERROR(((((HOTEL!V23*34))+(N21*2500))/(I21+N21*25)),0)</f>
        <v>34</v>
      </c>
      <c r="Q21" s="7">
        <v>6.21</v>
      </c>
      <c r="R21" s="16">
        <f t="shared" si="2"/>
        <v>57.45</v>
      </c>
      <c r="S21" s="7">
        <v>33.93</v>
      </c>
      <c r="T21" s="8">
        <f>G21*H21</f>
        <v>0</v>
      </c>
      <c r="U21" s="8">
        <f t="shared" si="4"/>
        <v>2040</v>
      </c>
    </row>
    <row r="22" spans="1:21" x14ac:dyDescent="0.2">
      <c r="A22" s="2" t="s">
        <v>19</v>
      </c>
      <c r="B22" s="7">
        <f t="shared" si="5"/>
        <v>21</v>
      </c>
      <c r="C22" s="7">
        <v>5</v>
      </c>
      <c r="D22" s="7">
        <v>2021</v>
      </c>
      <c r="E22" s="8">
        <f>HOTEL!E24</f>
        <v>5306</v>
      </c>
      <c r="F22" s="16">
        <v>6.21</v>
      </c>
      <c r="G22" s="8">
        <f>HOTEL!CK24</f>
        <v>107.75</v>
      </c>
      <c r="H22" s="16">
        <v>57.45</v>
      </c>
      <c r="I22" s="8">
        <f>HOTEL!V24+HOTEL!Y24</f>
        <v>66</v>
      </c>
      <c r="J22" s="16">
        <f t="shared" si="1"/>
        <v>34</v>
      </c>
      <c r="K22" s="7">
        <f>HOTEL!EE24</f>
        <v>2</v>
      </c>
      <c r="L22" s="18"/>
      <c r="N22" s="7">
        <f>HOTEL!X32</f>
        <v>0</v>
      </c>
      <c r="O22" s="7">
        <f t="shared" ref="O22:O31" si="6">N22*2500</f>
        <v>0</v>
      </c>
      <c r="P22" s="8">
        <f>IFERROR(((((HOTEL!V24*34))+(N22*2500))/(I22+N22*25)),0)</f>
        <v>34</v>
      </c>
      <c r="Q22" s="7">
        <v>6.21</v>
      </c>
      <c r="R22" s="16">
        <f t="shared" si="2"/>
        <v>57.45</v>
      </c>
      <c r="S22" s="7">
        <v>33.93</v>
      </c>
      <c r="T22" s="8">
        <f t="shared" ref="T22:T31" si="7">G22*H22</f>
        <v>6190.2375000000002</v>
      </c>
      <c r="U22" s="8">
        <f t="shared" si="4"/>
        <v>2244</v>
      </c>
    </row>
    <row r="23" spans="1:21" x14ac:dyDescent="0.2">
      <c r="A23" s="2" t="s">
        <v>19</v>
      </c>
      <c r="B23" s="7">
        <f t="shared" si="5"/>
        <v>22</v>
      </c>
      <c r="C23" s="7">
        <v>5</v>
      </c>
      <c r="D23" s="7">
        <v>2021</v>
      </c>
      <c r="E23" s="8">
        <f>HOTEL!E25</f>
        <v>5705</v>
      </c>
      <c r="F23" s="16">
        <v>6.21</v>
      </c>
      <c r="G23" s="8">
        <f>HOTEL!CK25</f>
        <v>0</v>
      </c>
      <c r="H23" s="16">
        <v>57.45</v>
      </c>
      <c r="I23" s="8">
        <f>HOTEL!V25+HOTEL!Y25</f>
        <v>94</v>
      </c>
      <c r="J23" s="16">
        <f t="shared" si="1"/>
        <v>34</v>
      </c>
      <c r="K23" s="7">
        <f>HOTEL!EE25</f>
        <v>2</v>
      </c>
      <c r="L23" s="18"/>
      <c r="N23" s="7">
        <f>HOTEL!X33</f>
        <v>0</v>
      </c>
      <c r="O23" s="7">
        <f t="shared" si="6"/>
        <v>0</v>
      </c>
      <c r="P23" s="8">
        <f>IFERROR(((((HOTEL!V25*34))+(N23*2500))/(I23+N23*25)),0)</f>
        <v>34</v>
      </c>
      <c r="Q23" s="7">
        <v>6.21</v>
      </c>
      <c r="R23" s="16">
        <f t="shared" si="2"/>
        <v>57.45</v>
      </c>
      <c r="S23" s="7">
        <v>33.93</v>
      </c>
      <c r="T23" s="8">
        <f t="shared" si="7"/>
        <v>0</v>
      </c>
      <c r="U23" s="8">
        <f t="shared" si="4"/>
        <v>3196</v>
      </c>
    </row>
    <row r="24" spans="1:21" x14ac:dyDescent="0.2">
      <c r="A24" s="2" t="s">
        <v>19</v>
      </c>
      <c r="B24" s="7">
        <f t="shared" si="5"/>
        <v>23</v>
      </c>
      <c r="C24" s="7">
        <v>5</v>
      </c>
      <c r="D24" s="7">
        <v>2021</v>
      </c>
      <c r="E24" s="8">
        <f>HOTEL!E26</f>
        <v>5443</v>
      </c>
      <c r="F24" s="16">
        <v>6.21</v>
      </c>
      <c r="G24" s="8">
        <f>HOTEL!CK26</f>
        <v>215.5</v>
      </c>
      <c r="H24" s="16">
        <v>57.45</v>
      </c>
      <c r="I24" s="8">
        <f>HOTEL!V26+HOTEL!Y26</f>
        <v>81</v>
      </c>
      <c r="J24" s="16">
        <f t="shared" si="1"/>
        <v>34</v>
      </c>
      <c r="K24" s="7">
        <f>HOTEL!EE26</f>
        <v>2</v>
      </c>
      <c r="L24" s="18"/>
      <c r="N24" s="7">
        <f>HOTEL!X34</f>
        <v>0</v>
      </c>
      <c r="O24" s="7">
        <f t="shared" si="6"/>
        <v>0</v>
      </c>
      <c r="P24" s="8">
        <f>IFERROR(((((HOTEL!V26*34))+(N24*2500))/(I24+N24*25)),0)</f>
        <v>34</v>
      </c>
      <c r="Q24" s="7">
        <v>6.21</v>
      </c>
      <c r="R24" s="16">
        <f t="shared" si="2"/>
        <v>57.45</v>
      </c>
      <c r="S24" s="7">
        <v>33.93</v>
      </c>
      <c r="T24" s="8">
        <f t="shared" si="7"/>
        <v>12380.475</v>
      </c>
      <c r="U24" s="8">
        <f t="shared" si="4"/>
        <v>2754</v>
      </c>
    </row>
    <row r="25" spans="1:21" x14ac:dyDescent="0.2">
      <c r="A25" s="2" t="s">
        <v>19</v>
      </c>
      <c r="B25" s="7">
        <f t="shared" si="5"/>
        <v>24</v>
      </c>
      <c r="C25" s="7">
        <v>5</v>
      </c>
      <c r="D25" s="7">
        <v>2021</v>
      </c>
      <c r="E25" s="8">
        <f>HOTEL!E27</f>
        <v>5333</v>
      </c>
      <c r="F25" s="16">
        <v>6.21</v>
      </c>
      <c r="G25" s="8">
        <f>HOTEL!CK27</f>
        <v>0</v>
      </c>
      <c r="H25" s="16">
        <v>57.45</v>
      </c>
      <c r="I25" s="8">
        <f>HOTEL!V27+HOTEL!Y27</f>
        <v>65</v>
      </c>
      <c r="J25" s="16">
        <f t="shared" si="1"/>
        <v>34</v>
      </c>
      <c r="K25" s="7">
        <f>HOTEL!EE27</f>
        <v>2</v>
      </c>
      <c r="L25" s="18"/>
      <c r="N25" s="7">
        <f>HOTEL!X35</f>
        <v>0</v>
      </c>
      <c r="O25" s="7">
        <f t="shared" si="6"/>
        <v>0</v>
      </c>
      <c r="P25" s="8">
        <f>IFERROR(((((HOTEL!V27*34))+(N25*2500))/(I25+N25*25)),0)</f>
        <v>34</v>
      </c>
      <c r="Q25" s="7">
        <v>6.21</v>
      </c>
      <c r="R25" s="16">
        <f t="shared" si="2"/>
        <v>57.45</v>
      </c>
      <c r="S25" s="7">
        <v>33.93</v>
      </c>
      <c r="T25" s="8">
        <f t="shared" si="7"/>
        <v>0</v>
      </c>
      <c r="U25" s="8">
        <f t="shared" si="4"/>
        <v>2210</v>
      </c>
    </row>
    <row r="26" spans="1:21" x14ac:dyDescent="0.2">
      <c r="A26" s="2" t="s">
        <v>19</v>
      </c>
      <c r="B26" s="7">
        <f>B25+1</f>
        <v>25</v>
      </c>
      <c r="C26" s="7">
        <v>5</v>
      </c>
      <c r="D26" s="7">
        <v>2021</v>
      </c>
      <c r="E26" s="8">
        <f>HOTEL!E28</f>
        <v>5209</v>
      </c>
      <c r="F26" s="16">
        <v>6.21</v>
      </c>
      <c r="G26" s="8">
        <f>HOTEL!CK28</f>
        <v>0</v>
      </c>
      <c r="H26" s="16">
        <v>57.45</v>
      </c>
      <c r="I26" s="8">
        <f>HOTEL!V28+HOTEL!Y28</f>
        <v>77</v>
      </c>
      <c r="J26" s="16">
        <f t="shared" si="1"/>
        <v>34</v>
      </c>
      <c r="K26" s="7">
        <f>HOTEL!EE28</f>
        <v>2</v>
      </c>
      <c r="L26" s="18"/>
      <c r="N26" s="7">
        <f>HOTEL!X36</f>
        <v>0</v>
      </c>
      <c r="O26" s="7">
        <f t="shared" si="6"/>
        <v>0</v>
      </c>
      <c r="P26" s="8">
        <f>IFERROR(((((HOTEL!V28*34))+(N26*2500))/(I26+N26*25)),0)</f>
        <v>34</v>
      </c>
      <c r="Q26" s="7">
        <v>6.21</v>
      </c>
      <c r="R26" s="16">
        <f t="shared" si="2"/>
        <v>57.45</v>
      </c>
      <c r="S26" s="7">
        <v>33.93</v>
      </c>
      <c r="T26" s="8">
        <f t="shared" si="7"/>
        <v>0</v>
      </c>
      <c r="U26" s="8">
        <f t="shared" si="4"/>
        <v>2618</v>
      </c>
    </row>
    <row r="27" spans="1:21" x14ac:dyDescent="0.2">
      <c r="A27" s="2" t="s">
        <v>19</v>
      </c>
      <c r="B27" s="7">
        <f t="shared" si="5"/>
        <v>26</v>
      </c>
      <c r="C27" s="7">
        <v>5</v>
      </c>
      <c r="D27" s="7">
        <v>2021</v>
      </c>
      <c r="E27" s="8">
        <f>HOTEL!E29</f>
        <v>5753</v>
      </c>
      <c r="F27" s="16">
        <v>6.21</v>
      </c>
      <c r="G27" s="8">
        <f>HOTEL!CK29</f>
        <v>215.5</v>
      </c>
      <c r="H27" s="16">
        <v>57.45</v>
      </c>
      <c r="I27" s="8">
        <f>HOTEL!V29+HOTEL!Y29</f>
        <v>74</v>
      </c>
      <c r="J27" s="16">
        <f t="shared" si="1"/>
        <v>34</v>
      </c>
      <c r="K27" s="7">
        <f>HOTEL!EE29</f>
        <v>2</v>
      </c>
      <c r="L27" s="18"/>
      <c r="N27" s="7">
        <f>HOTEL!X37</f>
        <v>0</v>
      </c>
      <c r="O27" s="7">
        <f t="shared" si="6"/>
        <v>0</v>
      </c>
      <c r="P27" s="8">
        <f>IFERROR(((((HOTEL!V29*34))+(N27*2500))/(I27+N27*25)),0)</f>
        <v>34</v>
      </c>
      <c r="Q27" s="7">
        <v>6.21</v>
      </c>
      <c r="R27" s="16">
        <f t="shared" si="2"/>
        <v>57.45</v>
      </c>
      <c r="S27" s="7">
        <v>33.93</v>
      </c>
      <c r="T27" s="8">
        <f t="shared" si="7"/>
        <v>12380.475</v>
      </c>
      <c r="U27" s="8">
        <f t="shared" si="4"/>
        <v>2516</v>
      </c>
    </row>
    <row r="28" spans="1:21" x14ac:dyDescent="0.2">
      <c r="A28" s="2" t="s">
        <v>19</v>
      </c>
      <c r="B28" s="7">
        <f t="shared" si="5"/>
        <v>27</v>
      </c>
      <c r="C28" s="7">
        <v>5</v>
      </c>
      <c r="D28" s="7">
        <v>2021</v>
      </c>
      <c r="E28" s="8">
        <f>HOTEL!E30</f>
        <v>0</v>
      </c>
      <c r="F28" s="16">
        <v>6.21</v>
      </c>
      <c r="G28" s="8">
        <f>HOTEL!CK30</f>
        <v>0</v>
      </c>
      <c r="H28" s="16">
        <v>57.45</v>
      </c>
      <c r="I28" s="8">
        <f>HOTEL!V30+HOTEL!Y30</f>
        <v>0</v>
      </c>
      <c r="J28" s="16">
        <f t="shared" si="1"/>
        <v>0</v>
      </c>
      <c r="K28" s="7">
        <f>HOTEL!EE30</f>
        <v>0</v>
      </c>
      <c r="L28" s="18"/>
      <c r="N28" s="7">
        <f>HOTEL!X38</f>
        <v>0</v>
      </c>
      <c r="O28" s="7">
        <f t="shared" si="6"/>
        <v>0</v>
      </c>
      <c r="P28" s="8">
        <f>IFERROR(((((HOTEL!V30*34))+(N28*2500))/(I28+N28*25)),0)</f>
        <v>0</v>
      </c>
      <c r="Q28" s="7">
        <v>6.21</v>
      </c>
      <c r="R28" s="16">
        <f t="shared" si="2"/>
        <v>57.45</v>
      </c>
      <c r="S28" s="7">
        <v>33.93</v>
      </c>
      <c r="T28" s="8">
        <f t="shared" si="7"/>
        <v>0</v>
      </c>
      <c r="U28" s="8">
        <f t="shared" si="4"/>
        <v>0</v>
      </c>
    </row>
    <row r="29" spans="1:21" x14ac:dyDescent="0.2">
      <c r="A29" s="2" t="s">
        <v>19</v>
      </c>
      <c r="B29" s="7">
        <f t="shared" si="5"/>
        <v>28</v>
      </c>
      <c r="C29" s="7">
        <v>5</v>
      </c>
      <c r="D29" s="7">
        <v>2021</v>
      </c>
      <c r="E29" s="8">
        <f>HOTEL!E31</f>
        <v>0</v>
      </c>
      <c r="F29" s="16">
        <v>6.21</v>
      </c>
      <c r="G29" s="8">
        <f>HOTEL!CK31</f>
        <v>0</v>
      </c>
      <c r="H29" s="16">
        <v>57.45</v>
      </c>
      <c r="I29" s="8">
        <f>HOTEL!V31+HOTEL!Y31</f>
        <v>0</v>
      </c>
      <c r="J29" s="16">
        <f t="shared" si="1"/>
        <v>0</v>
      </c>
      <c r="K29" s="7">
        <f>HOTEL!EE31</f>
        <v>0</v>
      </c>
      <c r="L29" s="18"/>
      <c r="N29" s="7">
        <f>HOTEL!X39</f>
        <v>0</v>
      </c>
      <c r="O29" s="7">
        <f t="shared" si="6"/>
        <v>0</v>
      </c>
      <c r="P29" s="8">
        <f>IFERROR(((((HOTEL!V31*34))+(N29*2500))/(I29+N29*25)),0)</f>
        <v>0</v>
      </c>
      <c r="Q29" s="7">
        <v>6.21</v>
      </c>
      <c r="R29" s="16">
        <f t="shared" si="2"/>
        <v>57.45</v>
      </c>
      <c r="S29" s="7">
        <v>33.93</v>
      </c>
      <c r="T29" s="8">
        <f t="shared" si="7"/>
        <v>0</v>
      </c>
      <c r="U29" s="8">
        <f t="shared" si="4"/>
        <v>0</v>
      </c>
    </row>
    <row r="30" spans="1:21" x14ac:dyDescent="0.2">
      <c r="A30" s="2" t="s">
        <v>19</v>
      </c>
      <c r="B30" s="7">
        <f t="shared" si="5"/>
        <v>29</v>
      </c>
      <c r="C30" s="7">
        <v>5</v>
      </c>
      <c r="D30" s="7">
        <v>2021</v>
      </c>
      <c r="E30" s="8">
        <f>HOTEL!E32</f>
        <v>0</v>
      </c>
      <c r="F30" s="16">
        <v>6.21</v>
      </c>
      <c r="G30" s="8">
        <f>HOTEL!CK32</f>
        <v>0</v>
      </c>
      <c r="H30" s="16">
        <v>57.45</v>
      </c>
      <c r="I30" s="8">
        <f>HOTEL!V32+HOTEL!Y32</f>
        <v>0</v>
      </c>
      <c r="J30" s="16">
        <f t="shared" si="1"/>
        <v>0</v>
      </c>
      <c r="K30" s="7">
        <f>HOTEL!EE32</f>
        <v>0</v>
      </c>
      <c r="L30" s="18"/>
      <c r="N30" s="7">
        <f>HOTEL!X40</f>
        <v>0</v>
      </c>
      <c r="O30" s="7">
        <f t="shared" si="6"/>
        <v>0</v>
      </c>
      <c r="P30" s="8">
        <f>IFERROR(((((HOTEL!V32*34))+(N30*2500))/(I30+N30*25)),0)</f>
        <v>0</v>
      </c>
      <c r="Q30" s="7">
        <v>6.21</v>
      </c>
      <c r="R30" s="16">
        <f t="shared" si="2"/>
        <v>57.45</v>
      </c>
      <c r="T30" s="8">
        <f t="shared" si="7"/>
        <v>0</v>
      </c>
      <c r="U30" s="8">
        <f t="shared" si="4"/>
        <v>0</v>
      </c>
    </row>
    <row r="31" spans="1:21" x14ac:dyDescent="0.2">
      <c r="A31" s="2" t="s">
        <v>19</v>
      </c>
      <c r="B31" s="7">
        <f>B30+1</f>
        <v>30</v>
      </c>
      <c r="C31" s="7">
        <v>5</v>
      </c>
      <c r="D31" s="7">
        <v>2021</v>
      </c>
      <c r="E31" s="8">
        <f>HOTEL!E33</f>
        <v>0</v>
      </c>
      <c r="F31" s="16">
        <v>6.21</v>
      </c>
      <c r="G31" s="8">
        <f>HOTEL!CK33</f>
        <v>0</v>
      </c>
      <c r="H31" s="16">
        <v>57.45</v>
      </c>
      <c r="I31" s="8">
        <f>HOTEL!V33+HOTEL!Y33</f>
        <v>0</v>
      </c>
      <c r="J31" s="16">
        <f t="shared" si="1"/>
        <v>0</v>
      </c>
      <c r="K31" s="7">
        <f>HOTEL!EE33</f>
        <v>0</v>
      </c>
      <c r="L31" s="18"/>
      <c r="N31" s="7">
        <f>HOTEL!X41</f>
        <v>0</v>
      </c>
      <c r="O31" s="7">
        <f t="shared" si="6"/>
        <v>0</v>
      </c>
      <c r="P31" s="8">
        <f>IFERROR(((((HOTEL!V33*34))+(N31*2500))/(I31+N31*25)),0)</f>
        <v>0</v>
      </c>
      <c r="Q31" s="7">
        <v>6.21</v>
      </c>
      <c r="R31" s="16">
        <f t="shared" si="2"/>
        <v>57.45</v>
      </c>
      <c r="T31" s="8">
        <f t="shared" si="7"/>
        <v>0</v>
      </c>
      <c r="U31" s="8">
        <f t="shared" si="4"/>
        <v>0</v>
      </c>
    </row>
    <row r="32" spans="1:21" x14ac:dyDescent="0.2">
      <c r="A32" s="2" t="s">
        <v>19</v>
      </c>
      <c r="B32" s="7">
        <f>B31+1</f>
        <v>31</v>
      </c>
      <c r="C32" s="7">
        <v>5</v>
      </c>
      <c r="D32" s="7">
        <v>2021</v>
      </c>
      <c r="E32" s="8">
        <f>HOTEL!E34</f>
        <v>0</v>
      </c>
      <c r="F32" s="16">
        <v>6.21</v>
      </c>
      <c r="G32" s="8">
        <f>HOTEL!CK34</f>
        <v>0</v>
      </c>
      <c r="H32" s="16">
        <v>57.45</v>
      </c>
      <c r="I32" s="8">
        <f>HOTEL!V34+HOTEL!Y34</f>
        <v>0</v>
      </c>
      <c r="J32" s="16">
        <f t="shared" ref="J32" si="8">P32</f>
        <v>0</v>
      </c>
      <c r="K32" s="7">
        <f>HOTEL!EE34</f>
        <v>0</v>
      </c>
      <c r="L32" s="18"/>
      <c r="N32" s="7">
        <f>HOTEL!X42</f>
        <v>0</v>
      </c>
      <c r="O32" s="7">
        <f t="shared" ref="O32" si="9">N32*2500</f>
        <v>0</v>
      </c>
      <c r="P32" s="8">
        <f>IFERROR(((((HOTEL!V34*34))+(N32*2500))/(I32+N32*25)),0)</f>
        <v>0</v>
      </c>
      <c r="Q32" s="7">
        <v>6.21</v>
      </c>
      <c r="R32" s="16">
        <f t="shared" ref="R32" si="10">H32</f>
        <v>57.45</v>
      </c>
      <c r="T32" s="8">
        <f t="shared" ref="T32" si="11">G32*H32</f>
        <v>0</v>
      </c>
      <c r="U32" s="8">
        <f t="shared" ref="U32" si="12">I32*P32</f>
        <v>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opLeftCell="A13" workbookViewId="0">
      <selection activeCell="C3" sqref="C3:C32"/>
    </sheetView>
  </sheetViews>
  <sheetFormatPr defaultRowHeight="12.75" x14ac:dyDescent="0.2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 x14ac:dyDescent="0.2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ht="15" x14ac:dyDescent="0.25">
      <c r="A2" s="2" t="s">
        <v>19</v>
      </c>
      <c r="B2" s="7">
        <v>1</v>
      </c>
      <c r="C2" s="113">
        <v>7</v>
      </c>
      <c r="D2" s="7">
        <v>2021</v>
      </c>
      <c r="E2" s="7">
        <f>TOTAL!E2</f>
        <v>4816</v>
      </c>
      <c r="F2" s="7">
        <f>HOTEL!R4</f>
        <v>138</v>
      </c>
      <c r="G2" s="7">
        <f>HOTEL!T4</f>
        <v>1</v>
      </c>
      <c r="H2" s="8">
        <f>HOTEL!DX4</f>
        <v>0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100</v>
      </c>
      <c r="M2" s="7">
        <f>HOTEL!AE4</f>
        <v>0</v>
      </c>
      <c r="N2" s="7">
        <f>HOTEL!AI4</f>
        <v>30</v>
      </c>
      <c r="O2" s="7">
        <f>HOTEL!AM4</f>
        <v>1</v>
      </c>
      <c r="P2" s="7">
        <f>HOTEL!AO4</f>
        <v>0</v>
      </c>
      <c r="Q2" s="7">
        <f>HOTEL!AQ4</f>
        <v>0</v>
      </c>
      <c r="R2" s="7">
        <f>HOTEL!AS4</f>
        <v>0</v>
      </c>
      <c r="S2" s="7">
        <f>HOTEL!AU4</f>
        <v>0</v>
      </c>
      <c r="T2" s="7">
        <f>HOTEL!AW4</f>
        <v>0</v>
      </c>
      <c r="U2" s="7">
        <f>HOTEL!AY4</f>
        <v>0</v>
      </c>
      <c r="V2" s="7">
        <f>HOTEL!BA4</f>
        <v>0</v>
      </c>
      <c r="W2" s="7">
        <f>HOTEL!BM4</f>
        <v>40</v>
      </c>
      <c r="X2" s="7">
        <f>HOTEL!BT4</f>
        <v>30</v>
      </c>
      <c r="Y2" s="7">
        <f>HOTEL!CO4</f>
        <v>8.0520000000071015</v>
      </c>
      <c r="Z2" s="7">
        <f>HOTEL!CR3</f>
        <v>0</v>
      </c>
      <c r="AA2" s="7">
        <f>HOTEL!CU4</f>
        <v>0</v>
      </c>
      <c r="AB2" s="8">
        <f>HOTEL!CX4</f>
        <v>0</v>
      </c>
      <c r="AC2" s="7">
        <f>HOTEL!DA4</f>
        <v>0</v>
      </c>
      <c r="AD2" s="8">
        <f>HOTEL!DD4</f>
        <v>0</v>
      </c>
      <c r="AE2" s="7">
        <f>HOTEL!DG4</f>
        <v>4.9000000000000909</v>
      </c>
      <c r="AF2" s="7">
        <f>HOTEL!DJ4</f>
        <v>0</v>
      </c>
      <c r="AG2" s="7">
        <f>HOTEL!DM4</f>
        <v>0</v>
      </c>
      <c r="AH2" s="7">
        <f>HOTEL!DP4</f>
        <v>0</v>
      </c>
      <c r="AI2" s="7">
        <f>HOTEL!DS4</f>
        <v>0</v>
      </c>
      <c r="AJ2" s="7">
        <f>HOTEL!DV4</f>
        <v>0</v>
      </c>
      <c r="AK2" s="7">
        <f>TOTAL!K2</f>
        <v>2</v>
      </c>
    </row>
    <row r="3" spans="1:38" ht="15" x14ac:dyDescent="0.25">
      <c r="A3" s="2" t="s">
        <v>19</v>
      </c>
      <c r="B3" s="7">
        <f>B2+1</f>
        <v>2</v>
      </c>
      <c r="C3" s="113">
        <v>7</v>
      </c>
      <c r="D3" s="7">
        <v>2021</v>
      </c>
      <c r="E3" s="7">
        <f>TOTAL!E3</f>
        <v>5136</v>
      </c>
      <c r="F3" s="7">
        <f>HOTEL!R5</f>
        <v>87</v>
      </c>
      <c r="G3" s="7">
        <f>HOTEL!T5</f>
        <v>1</v>
      </c>
      <c r="H3" s="8">
        <f>HOTEL!DX5</f>
        <v>0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80</v>
      </c>
      <c r="M3" s="7">
        <f>HOTEL!AE5</f>
        <v>0</v>
      </c>
      <c r="N3" s="7">
        <f>HOTEL!AI5</f>
        <v>50</v>
      </c>
      <c r="O3" s="7">
        <f>HOTEL!AM5</f>
        <v>2</v>
      </c>
      <c r="P3" s="7">
        <f>HOTEL!AO5</f>
        <v>0</v>
      </c>
      <c r="Q3" s="7">
        <f>HOTEL!AQ5</f>
        <v>1</v>
      </c>
      <c r="R3" s="7">
        <f>HOTEL!AS5</f>
        <v>4</v>
      </c>
      <c r="S3" s="7">
        <f>HOTEL!AU5</f>
        <v>0</v>
      </c>
      <c r="T3" s="7">
        <f>HOTEL!AW5</f>
        <v>0</v>
      </c>
      <c r="U3" s="7">
        <f>HOTEL!AY5</f>
        <v>0</v>
      </c>
      <c r="V3" s="7">
        <f>HOTEL!BA5</f>
        <v>0</v>
      </c>
      <c r="W3" s="7">
        <f>HOTEL!BM5</f>
        <v>20</v>
      </c>
      <c r="X3" s="7">
        <f>HOTEL!BT5</f>
        <v>10</v>
      </c>
      <c r="Y3" s="7">
        <f>HOTEL!CO5</f>
        <v>7.32</v>
      </c>
      <c r="Z3" s="7">
        <f>HOTEL!CR4</f>
        <v>0</v>
      </c>
      <c r="AA3" s="7">
        <f>HOTEL!CU5</f>
        <v>0</v>
      </c>
      <c r="AB3" s="8">
        <f>HOTEL!CX5</f>
        <v>0</v>
      </c>
      <c r="AC3" s="7">
        <f>HOTEL!DA5</f>
        <v>10.277000000000434</v>
      </c>
      <c r="AD3" s="8">
        <f>HOTEL!DD5</f>
        <v>0</v>
      </c>
      <c r="AE3" s="7" t="str">
        <f>HOTEL!DG5</f>
        <v>0</v>
      </c>
      <c r="AF3" s="7">
        <f>HOTEL!DJ5</f>
        <v>0</v>
      </c>
      <c r="AG3" s="7">
        <f>HOTEL!DM5</f>
        <v>0</v>
      </c>
      <c r="AH3" s="7">
        <f>HOTEL!DP5</f>
        <v>0</v>
      </c>
      <c r="AI3" s="7">
        <f>HOTEL!DS5</f>
        <v>0</v>
      </c>
      <c r="AJ3" s="7">
        <f>HOTEL!DV5</f>
        <v>0</v>
      </c>
      <c r="AK3" s="7">
        <f>TOTAL!K3</f>
        <v>2</v>
      </c>
    </row>
    <row r="4" spans="1:38" ht="15" x14ac:dyDescent="0.25">
      <c r="A4" s="2" t="s">
        <v>19</v>
      </c>
      <c r="B4" s="7">
        <f t="shared" ref="B4:B32" si="1">B3+1</f>
        <v>3</v>
      </c>
      <c r="C4" s="113">
        <v>7</v>
      </c>
      <c r="D4" s="7">
        <v>2021</v>
      </c>
      <c r="E4" s="7">
        <f>TOTAL!E4</f>
        <v>4907</v>
      </c>
      <c r="F4" s="7">
        <f>HOTEL!R6</f>
        <v>128</v>
      </c>
      <c r="G4" s="7">
        <f>HOTEL!T6</f>
        <v>0</v>
      </c>
      <c r="H4" s="8">
        <f>HOTEL!DX6</f>
        <v>0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100</v>
      </c>
      <c r="M4" s="7">
        <f>HOTEL!AE6</f>
        <v>0</v>
      </c>
      <c r="N4" s="7">
        <f>HOTEL!AI6</f>
        <v>20</v>
      </c>
      <c r="O4" s="7">
        <f>HOTEL!AM6</f>
        <v>2</v>
      </c>
      <c r="P4" s="7">
        <f>HOTEL!AO6</f>
        <v>0</v>
      </c>
      <c r="Q4" s="7">
        <f>HOTEL!AQ6</f>
        <v>0</v>
      </c>
      <c r="R4" s="7">
        <f>HOTEL!AS6</f>
        <v>0</v>
      </c>
      <c r="S4" s="7">
        <f>HOTEL!AU6</f>
        <v>0</v>
      </c>
      <c r="T4" s="7">
        <f>HOTEL!AW6</f>
        <v>0</v>
      </c>
      <c r="U4" s="7">
        <f>HOTEL!AY6</f>
        <v>0</v>
      </c>
      <c r="V4" s="7">
        <f>HOTEL!BA6</f>
        <v>0</v>
      </c>
      <c r="W4" s="7">
        <f>HOTEL!BM6</f>
        <v>30</v>
      </c>
      <c r="X4" s="7">
        <f>HOTEL!BT6</f>
        <v>50</v>
      </c>
      <c r="Y4" s="7">
        <f>HOTEL!CO6</f>
        <v>7.32</v>
      </c>
      <c r="Z4" s="7">
        <f>HOTEL!CR5</f>
        <v>0</v>
      </c>
      <c r="AA4" s="7">
        <f>HOTEL!CU6</f>
        <v>0</v>
      </c>
      <c r="AB4" s="8">
        <f>HOTEL!CX6</f>
        <v>0</v>
      </c>
      <c r="AC4" s="7">
        <f>HOTEL!DA6</f>
        <v>0</v>
      </c>
      <c r="AD4" s="8">
        <f>HOTEL!DD6</f>
        <v>0</v>
      </c>
      <c r="AE4" s="7">
        <f>HOTEL!DG6</f>
        <v>1.0999999999999091</v>
      </c>
      <c r="AF4" s="7">
        <f>HOTEL!DJ6</f>
        <v>0</v>
      </c>
      <c r="AG4" s="7">
        <f>HOTEL!DM6</f>
        <v>0</v>
      </c>
      <c r="AH4" s="7">
        <f>HOTEL!DP6</f>
        <v>0</v>
      </c>
      <c r="AI4" s="7">
        <f>HOTEL!DS6</f>
        <v>0</v>
      </c>
      <c r="AJ4" s="7">
        <f>HOTEL!DV6</f>
        <v>0</v>
      </c>
      <c r="AK4" s="7">
        <f>TOTAL!K4</f>
        <v>2</v>
      </c>
    </row>
    <row r="5" spans="1:38" ht="15" x14ac:dyDescent="0.25">
      <c r="A5" s="2" t="s">
        <v>19</v>
      </c>
      <c r="B5" s="7">
        <f t="shared" si="1"/>
        <v>4</v>
      </c>
      <c r="C5" s="113">
        <v>7</v>
      </c>
      <c r="D5" s="7">
        <v>2021</v>
      </c>
      <c r="E5" s="7">
        <f>TOTAL!E5</f>
        <v>4378</v>
      </c>
      <c r="F5" s="7">
        <f>HOTEL!R7</f>
        <v>14</v>
      </c>
      <c r="G5" s="7">
        <f>HOTEL!T7</f>
        <v>0</v>
      </c>
      <c r="H5" s="8">
        <f>HOTEL!DX7</f>
        <v>0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50</v>
      </c>
      <c r="M5" s="7">
        <f>HOTEL!AE7</f>
        <v>0</v>
      </c>
      <c r="N5" s="7">
        <f>HOTEL!AI7</f>
        <v>20</v>
      </c>
      <c r="O5" s="7">
        <f>HOTEL!AM7</f>
        <v>0</v>
      </c>
      <c r="P5" s="7">
        <f>HOTEL!AO7</f>
        <v>0</v>
      </c>
      <c r="Q5" s="7">
        <f>HOTEL!AQ7</f>
        <v>0</v>
      </c>
      <c r="R5" s="7">
        <f>HOTEL!AS7</f>
        <v>0</v>
      </c>
      <c r="S5" s="7">
        <f>HOTEL!AU7</f>
        <v>0</v>
      </c>
      <c r="T5" s="7">
        <f>HOTEL!AW7</f>
        <v>0</v>
      </c>
      <c r="U5" s="7">
        <f>HOTEL!AY7</f>
        <v>0</v>
      </c>
      <c r="V5" s="7">
        <f>HOTEL!BA7</f>
        <v>0</v>
      </c>
      <c r="W5" s="7">
        <f>HOTEL!BM7</f>
        <v>10</v>
      </c>
      <c r="X5" s="7">
        <f>HOTEL!BT7</f>
        <v>20</v>
      </c>
      <c r="Y5" s="7">
        <f>HOTEL!CO7</f>
        <v>1.7079999999928985</v>
      </c>
      <c r="Z5" s="7">
        <f>HOTEL!CR6</f>
        <v>0</v>
      </c>
      <c r="AA5" s="7">
        <f>HOTEL!CU7</f>
        <v>0</v>
      </c>
      <c r="AB5" s="8">
        <f>HOTEL!CX7</f>
        <v>0</v>
      </c>
      <c r="AC5" s="7">
        <f>HOTEL!DA7</f>
        <v>5.7359999999991311</v>
      </c>
      <c r="AD5" s="8">
        <f>HOTEL!DD7</f>
        <v>0</v>
      </c>
      <c r="AE5" s="7" t="str">
        <f>HOTEL!DG7</f>
        <v>0</v>
      </c>
      <c r="AF5" s="7">
        <f>HOTEL!DJ7</f>
        <v>0</v>
      </c>
      <c r="AG5" s="7">
        <f>HOTEL!DM7</f>
        <v>0</v>
      </c>
      <c r="AH5" s="7">
        <f>HOTEL!DP7</f>
        <v>0</v>
      </c>
      <c r="AI5" s="7">
        <f>HOTEL!DS7</f>
        <v>0</v>
      </c>
      <c r="AJ5" s="7">
        <f>HOTEL!DV7</f>
        <v>0</v>
      </c>
      <c r="AK5" s="7">
        <f>TOTAL!K5</f>
        <v>2</v>
      </c>
    </row>
    <row r="6" spans="1:38" ht="15" x14ac:dyDescent="0.25">
      <c r="A6" s="2" t="s">
        <v>19</v>
      </c>
      <c r="B6" s="7">
        <f t="shared" si="1"/>
        <v>5</v>
      </c>
      <c r="C6" s="113">
        <v>7</v>
      </c>
      <c r="D6" s="7">
        <v>2021</v>
      </c>
      <c r="E6" s="7">
        <f>TOTAL!E6</f>
        <v>5139</v>
      </c>
      <c r="F6" s="7">
        <f>HOTEL!R8</f>
        <v>174</v>
      </c>
      <c r="G6" s="7">
        <f>HOTEL!T8</f>
        <v>2</v>
      </c>
      <c r="H6" s="8">
        <f>HOTEL!DX8</f>
        <v>0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90</v>
      </c>
      <c r="M6" s="7">
        <f>HOTEL!AE8</f>
        <v>0</v>
      </c>
      <c r="N6" s="7">
        <f>HOTEL!AI8</f>
        <v>30</v>
      </c>
      <c r="O6" s="7">
        <f>HOTEL!AM8</f>
        <v>2</v>
      </c>
      <c r="P6" s="7">
        <f>HOTEL!AO8</f>
        <v>0</v>
      </c>
      <c r="Q6" s="7">
        <f>HOTEL!AQ8</f>
        <v>0</v>
      </c>
      <c r="R6" s="7">
        <f>HOTEL!AS8</f>
        <v>0</v>
      </c>
      <c r="S6" s="7">
        <f>HOTEL!AU8</f>
        <v>0</v>
      </c>
      <c r="T6" s="7">
        <f>HOTEL!AW8</f>
        <v>0</v>
      </c>
      <c r="U6" s="7">
        <f>HOTEL!AY8</f>
        <v>0</v>
      </c>
      <c r="V6" s="7">
        <f>HOTEL!BA8</f>
        <v>0</v>
      </c>
      <c r="W6" s="7">
        <f>HOTEL!BM8</f>
        <v>40</v>
      </c>
      <c r="X6" s="7">
        <f>HOTEL!BT8</f>
        <v>20</v>
      </c>
      <c r="Y6" s="7">
        <f>HOTEL!CO8</f>
        <v>5.3680000000106523</v>
      </c>
      <c r="Z6" s="7">
        <f>HOTEL!CR7</f>
        <v>0</v>
      </c>
      <c r="AA6" s="7">
        <f>HOTEL!CU8</f>
        <v>0</v>
      </c>
      <c r="AB6" s="8">
        <f>HOTEL!CX8</f>
        <v>0</v>
      </c>
      <c r="AC6" s="7">
        <f>HOTEL!DA8</f>
        <v>4.78</v>
      </c>
      <c r="AD6" s="8">
        <f>HOTEL!DD8</f>
        <v>0</v>
      </c>
      <c r="AE6" s="7">
        <f>HOTEL!DG8</f>
        <v>1</v>
      </c>
      <c r="AF6" s="7">
        <f>HOTEL!DJ8</f>
        <v>0</v>
      </c>
      <c r="AG6" s="7">
        <f>HOTEL!DM8</f>
        <v>0</v>
      </c>
      <c r="AH6" s="7">
        <f>HOTEL!DP8</f>
        <v>0</v>
      </c>
      <c r="AI6" s="7">
        <f>HOTEL!DS8</f>
        <v>0</v>
      </c>
      <c r="AJ6" s="7">
        <f>HOTEL!DV8</f>
        <v>0</v>
      </c>
      <c r="AK6" s="7">
        <f>TOTAL!K6</f>
        <v>2</v>
      </c>
    </row>
    <row r="7" spans="1:38" ht="15" x14ac:dyDescent="0.25">
      <c r="A7" s="2" t="s">
        <v>19</v>
      </c>
      <c r="B7" s="7">
        <f t="shared" si="1"/>
        <v>6</v>
      </c>
      <c r="C7" s="113">
        <v>7</v>
      </c>
      <c r="D7" s="7">
        <v>2021</v>
      </c>
      <c r="E7" s="7">
        <f>TOTAL!E7</f>
        <v>5248</v>
      </c>
      <c r="F7" s="7">
        <f>HOTEL!R9</f>
        <v>148</v>
      </c>
      <c r="G7" s="7">
        <f>HOTEL!T9</f>
        <v>1</v>
      </c>
      <c r="H7" s="8">
        <f>HOTEL!DX9</f>
        <v>0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100</v>
      </c>
      <c r="M7" s="7">
        <f>HOTEL!AE9</f>
        <v>0</v>
      </c>
      <c r="N7" s="7">
        <f>HOTEL!AI9</f>
        <v>30</v>
      </c>
      <c r="O7" s="7">
        <f>HOTEL!AM9</f>
        <v>2</v>
      </c>
      <c r="P7" s="7">
        <f>HOTEL!AO9</f>
        <v>0</v>
      </c>
      <c r="Q7" s="7">
        <f>HOTEL!AQ9</f>
        <v>0</v>
      </c>
      <c r="R7" s="7">
        <f>HOTEL!AS9</f>
        <v>0</v>
      </c>
      <c r="S7" s="7">
        <f>HOTEL!AU9</f>
        <v>0</v>
      </c>
      <c r="T7" s="7">
        <f>HOTEL!AW9</f>
        <v>0</v>
      </c>
      <c r="U7" s="7">
        <f>HOTEL!AY9</f>
        <v>0</v>
      </c>
      <c r="V7" s="7">
        <f>HOTEL!BA9</f>
        <v>0</v>
      </c>
      <c r="W7" s="7">
        <f>HOTEL!BM9</f>
        <v>30</v>
      </c>
      <c r="X7" s="7">
        <f>HOTEL!BT9</f>
        <v>40</v>
      </c>
      <c r="Y7" s="7">
        <f>HOTEL!CO9</f>
        <v>16.10399999999645</v>
      </c>
      <c r="Z7" s="7">
        <f>HOTEL!CR8</f>
        <v>0</v>
      </c>
      <c r="AA7" s="7">
        <f>HOTEL!CU9</f>
        <v>0</v>
      </c>
      <c r="AB7" s="8">
        <f>HOTEL!CX9</f>
        <v>0</v>
      </c>
      <c r="AC7" s="7">
        <f>HOTEL!DA9</f>
        <v>6.6920000000004354</v>
      </c>
      <c r="AD7" s="8">
        <f>HOTEL!DD9</f>
        <v>0</v>
      </c>
      <c r="AE7" s="7">
        <f>HOTEL!DG9</f>
        <v>1.3999999999996362</v>
      </c>
      <c r="AF7" s="7">
        <f>HOTEL!DJ9</f>
        <v>0</v>
      </c>
      <c r="AG7" s="7">
        <f>HOTEL!DM9</f>
        <v>0</v>
      </c>
      <c r="AH7" s="7">
        <f>HOTEL!DP9</f>
        <v>0</v>
      </c>
      <c r="AI7" s="7">
        <f>HOTEL!DS9</f>
        <v>0</v>
      </c>
      <c r="AJ7" s="7">
        <f>HOTEL!DV9</f>
        <v>0</v>
      </c>
      <c r="AK7" s="7">
        <f>TOTAL!K7</f>
        <v>2</v>
      </c>
    </row>
    <row r="8" spans="1:38" ht="15" x14ac:dyDescent="0.25">
      <c r="A8" s="2" t="s">
        <v>19</v>
      </c>
      <c r="B8" s="7">
        <f t="shared" si="1"/>
        <v>7</v>
      </c>
      <c r="C8" s="113">
        <v>7</v>
      </c>
      <c r="D8" s="7">
        <v>2021</v>
      </c>
      <c r="E8" s="7">
        <f>TOTAL!E8</f>
        <v>5226</v>
      </c>
      <c r="F8" s="7">
        <f>HOTEL!R10</f>
        <v>110</v>
      </c>
      <c r="G8" s="7">
        <f>HOTEL!T10</f>
        <v>1</v>
      </c>
      <c r="H8" s="8">
        <f>HOTEL!DX10</f>
        <v>0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100</v>
      </c>
      <c r="M8" s="7">
        <f>HOTEL!AE10</f>
        <v>0</v>
      </c>
      <c r="N8" s="7">
        <f>HOTEL!AI10</f>
        <v>50</v>
      </c>
      <c r="O8" s="7">
        <f>HOTEL!AM10</f>
        <v>1</v>
      </c>
      <c r="P8" s="7">
        <f>HOTEL!AO10</f>
        <v>0</v>
      </c>
      <c r="Q8" s="7">
        <f>HOTEL!AQ10</f>
        <v>0</v>
      </c>
      <c r="R8" s="7">
        <f>HOTEL!AS10</f>
        <v>1</v>
      </c>
      <c r="S8" s="7">
        <f>HOTEL!AU10</f>
        <v>0</v>
      </c>
      <c r="T8" s="7">
        <f>HOTEL!AW10</f>
        <v>0</v>
      </c>
      <c r="U8" s="7">
        <f>HOTEL!AY10</f>
        <v>0</v>
      </c>
      <c r="V8" s="7">
        <f>HOTEL!BA10</f>
        <v>0</v>
      </c>
      <c r="W8" s="7">
        <f>HOTEL!BM10</f>
        <v>30</v>
      </c>
      <c r="X8" s="7">
        <f>HOTEL!BT10</f>
        <v>20</v>
      </c>
      <c r="Y8" s="7">
        <f>HOTEL!CO10</f>
        <v>9.2720000000071003</v>
      </c>
      <c r="Z8" s="7">
        <f>HOTEL!CR9</f>
        <v>0</v>
      </c>
      <c r="AA8" s="7">
        <f>HOTEL!CU10</f>
        <v>0</v>
      </c>
      <c r="AB8" s="8">
        <f>HOTEL!CX10</f>
        <v>0</v>
      </c>
      <c r="AC8" s="7">
        <f>HOTEL!DA10</f>
        <v>5.4970000000004351</v>
      </c>
      <c r="AD8" s="8">
        <f>HOTEL!DD10</f>
        <v>0</v>
      </c>
      <c r="AE8" s="7">
        <f>HOTEL!DG10</f>
        <v>9.0949470177292824E-13</v>
      </c>
      <c r="AF8" s="7">
        <f>HOTEL!DJ10</f>
        <v>0</v>
      </c>
      <c r="AG8" s="7">
        <f>HOTEL!DM10</f>
        <v>0</v>
      </c>
      <c r="AH8" s="7">
        <f>HOTEL!DP10</f>
        <v>0</v>
      </c>
      <c r="AI8" s="7">
        <f>HOTEL!DS10</f>
        <v>0</v>
      </c>
      <c r="AJ8" s="7">
        <f>HOTEL!DV10</f>
        <v>0</v>
      </c>
      <c r="AK8" s="7">
        <f>TOTAL!K8</f>
        <v>2</v>
      </c>
    </row>
    <row r="9" spans="1:38" ht="15" x14ac:dyDescent="0.25">
      <c r="A9" s="2" t="s">
        <v>19</v>
      </c>
      <c r="B9" s="7">
        <f t="shared" si="1"/>
        <v>8</v>
      </c>
      <c r="C9" s="113">
        <v>7</v>
      </c>
      <c r="D9" s="7">
        <v>2021</v>
      </c>
      <c r="E9" s="7">
        <f>TOTAL!E9</f>
        <v>5198</v>
      </c>
      <c r="F9" s="7">
        <f>HOTEL!R11</f>
        <v>133</v>
      </c>
      <c r="G9" s="7">
        <f>HOTEL!T11</f>
        <v>0</v>
      </c>
      <c r="H9" s="8">
        <f>HOTEL!DX11</f>
        <v>0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110</v>
      </c>
      <c r="M9" s="7">
        <f>HOTEL!AE11</f>
        <v>0</v>
      </c>
      <c r="N9" s="7">
        <f>HOTEL!AI11</f>
        <v>30</v>
      </c>
      <c r="O9" s="7">
        <f>HOTEL!AM11</f>
        <v>2</v>
      </c>
      <c r="P9" s="7">
        <f>HOTEL!AO11</f>
        <v>0</v>
      </c>
      <c r="Q9" s="7">
        <f>HOTEL!AQ11</f>
        <v>0</v>
      </c>
      <c r="R9" s="7">
        <f>HOTEL!AS11</f>
        <v>0</v>
      </c>
      <c r="S9" s="7">
        <f>HOTEL!AU11</f>
        <v>0</v>
      </c>
      <c r="T9" s="7">
        <f>HOTEL!AW11</f>
        <v>0</v>
      </c>
      <c r="U9" s="7">
        <f>HOTEL!AY11</f>
        <v>0</v>
      </c>
      <c r="V9" s="7">
        <f>HOTEL!BA11</f>
        <v>0</v>
      </c>
      <c r="W9" s="7">
        <f>HOTEL!BM11</f>
        <v>40</v>
      </c>
      <c r="X9" s="7">
        <f>HOTEL!BT11</f>
        <v>40</v>
      </c>
      <c r="Y9" s="7">
        <f>HOTEL!CO11</f>
        <v>6.5879999999928982</v>
      </c>
      <c r="Z9" s="7">
        <f>HOTEL!CR10</f>
        <v>0</v>
      </c>
      <c r="AA9" s="7">
        <f>HOTEL!CU11</f>
        <v>0</v>
      </c>
      <c r="AB9" s="8">
        <f>HOTEL!CX11</f>
        <v>0</v>
      </c>
      <c r="AC9" s="7">
        <f>HOTEL!DA11</f>
        <v>4.3019999999982614</v>
      </c>
      <c r="AD9" s="8">
        <f>HOTEL!DD11</f>
        <v>0</v>
      </c>
      <c r="AE9" s="7" t="str">
        <f>HOTEL!DG11</f>
        <v>0</v>
      </c>
      <c r="AF9" s="7">
        <f>HOTEL!DJ11</f>
        <v>0</v>
      </c>
      <c r="AG9" s="7">
        <f>HOTEL!DM11</f>
        <v>0</v>
      </c>
      <c r="AH9" s="7">
        <f>HOTEL!DP11</f>
        <v>0</v>
      </c>
      <c r="AI9" s="7">
        <f>HOTEL!DS11</f>
        <v>0</v>
      </c>
      <c r="AJ9" s="7">
        <f>HOTEL!DV11</f>
        <v>0</v>
      </c>
      <c r="AK9" s="7">
        <f>TOTAL!K9</f>
        <v>2</v>
      </c>
    </row>
    <row r="10" spans="1:38" ht="15" x14ac:dyDescent="0.25">
      <c r="A10" s="2" t="s">
        <v>19</v>
      </c>
      <c r="B10" s="7">
        <f t="shared" si="1"/>
        <v>9</v>
      </c>
      <c r="C10" s="113">
        <v>7</v>
      </c>
      <c r="D10" s="7">
        <v>2021</v>
      </c>
      <c r="E10" s="7">
        <f>TOTAL!E10</f>
        <v>5453</v>
      </c>
      <c r="F10" s="7">
        <f>HOTEL!R12</f>
        <v>121</v>
      </c>
      <c r="G10" s="7">
        <f>HOTEL!T12</f>
        <v>0</v>
      </c>
      <c r="H10" s="8">
        <f>HOTEL!DX12</f>
        <v>0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84</v>
      </c>
      <c r="M10" s="7">
        <f>HOTEL!AE12</f>
        <v>0</v>
      </c>
      <c r="N10" s="7">
        <f>HOTEL!AI12</f>
        <v>30</v>
      </c>
      <c r="O10" s="7">
        <f>HOTEL!AM12</f>
        <v>2</v>
      </c>
      <c r="P10" s="7">
        <f>HOTEL!AO12</f>
        <v>0</v>
      </c>
      <c r="Q10" s="7">
        <f>HOTEL!AQ12</f>
        <v>1</v>
      </c>
      <c r="R10" s="7">
        <f>HOTEL!AS12</f>
        <v>0</v>
      </c>
      <c r="S10" s="7">
        <f>HOTEL!AU12</f>
        <v>0</v>
      </c>
      <c r="T10" s="7">
        <f>HOTEL!AW12</f>
        <v>2</v>
      </c>
      <c r="U10" s="7">
        <f>HOTEL!AY12</f>
        <v>0</v>
      </c>
      <c r="V10" s="7">
        <f>HOTEL!BA12</f>
        <v>0</v>
      </c>
      <c r="W10" s="7">
        <f>HOTEL!BM12</f>
        <v>30</v>
      </c>
      <c r="X10" s="7">
        <f>HOTEL!BT12</f>
        <v>24</v>
      </c>
      <c r="Y10" s="7">
        <f>HOTEL!CO12</f>
        <v>12.687999999992899</v>
      </c>
      <c r="Z10" s="7">
        <f>HOTEL!CR11</f>
        <v>0</v>
      </c>
      <c r="AA10" s="7">
        <f>HOTEL!CU12</f>
        <v>0</v>
      </c>
      <c r="AB10" s="8">
        <f>HOTEL!CX12</f>
        <v>0</v>
      </c>
      <c r="AC10" s="7">
        <f>HOTEL!DA12</f>
        <v>5.7360000000013045</v>
      </c>
      <c r="AD10" s="8">
        <f>HOTEL!DD12</f>
        <v>0</v>
      </c>
      <c r="AE10" s="7">
        <f>HOTEL!DG12</f>
        <v>2.8999999999996362</v>
      </c>
      <c r="AF10" s="7">
        <f>HOTEL!DJ12</f>
        <v>0</v>
      </c>
      <c r="AG10" s="7">
        <f>HOTEL!DM12</f>
        <v>0</v>
      </c>
      <c r="AH10" s="7">
        <f>HOTEL!DP12</f>
        <v>0</v>
      </c>
      <c r="AI10" s="7">
        <f>HOTEL!DS12</f>
        <v>0</v>
      </c>
      <c r="AJ10" s="7">
        <f>HOTEL!DV12</f>
        <v>0</v>
      </c>
      <c r="AK10" s="7">
        <f>TOTAL!K10</f>
        <v>2</v>
      </c>
    </row>
    <row r="11" spans="1:38" ht="15" x14ac:dyDescent="0.25">
      <c r="A11" s="2" t="s">
        <v>19</v>
      </c>
      <c r="B11" s="7">
        <f t="shared" si="1"/>
        <v>10</v>
      </c>
      <c r="C11" s="113">
        <v>7</v>
      </c>
      <c r="D11" s="7">
        <v>2021</v>
      </c>
      <c r="E11" s="7">
        <f>TOTAL!E11</f>
        <v>5205</v>
      </c>
      <c r="F11" s="7">
        <f>HOTEL!R13</f>
        <v>110</v>
      </c>
      <c r="G11" s="7">
        <f>HOTEL!T13</f>
        <v>1</v>
      </c>
      <c r="H11" s="8">
        <f>HOTEL!DX13</f>
        <v>0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2">N11+W11+X11</f>
        <v>66</v>
      </c>
      <c r="M11" s="7">
        <f>HOTEL!AE13</f>
        <v>0</v>
      </c>
      <c r="N11" s="7">
        <f>HOTEL!AI13</f>
        <v>20</v>
      </c>
      <c r="O11" s="7">
        <f>HOTEL!AM13</f>
        <v>2</v>
      </c>
      <c r="P11" s="7">
        <f>HOTEL!AO13</f>
        <v>0</v>
      </c>
      <c r="Q11" s="7">
        <f>HOTEL!AQ13</f>
        <v>0</v>
      </c>
      <c r="R11" s="7">
        <f>HOTEL!AS13</f>
        <v>0</v>
      </c>
      <c r="S11" s="7">
        <f>HOTEL!AU13</f>
        <v>0</v>
      </c>
      <c r="T11" s="7">
        <f>HOTEL!AW13</f>
        <v>1</v>
      </c>
      <c r="U11" s="7">
        <f>HOTEL!AY13</f>
        <v>0</v>
      </c>
      <c r="V11" s="7">
        <f>HOTEL!BA13</f>
        <v>0</v>
      </c>
      <c r="W11" s="7">
        <f>HOTEL!BM13</f>
        <v>20</v>
      </c>
      <c r="X11" s="7">
        <f>HOTEL!BT13</f>
        <v>26</v>
      </c>
      <c r="Y11" s="7">
        <f>HOTEL!CO13</f>
        <v>7.0760000000035506</v>
      </c>
      <c r="Z11" s="7">
        <f>HOTEL!CR12</f>
        <v>0</v>
      </c>
      <c r="AA11" s="7">
        <f>HOTEL!CU13</f>
        <v>0</v>
      </c>
      <c r="AB11" s="8">
        <f>HOTEL!CX13</f>
        <v>0</v>
      </c>
      <c r="AC11" s="7">
        <f>HOTEL!DA13</f>
        <v>4.0629999999995654</v>
      </c>
      <c r="AD11" s="8">
        <f>HOTEL!DD13</f>
        <v>0</v>
      </c>
      <c r="AE11" s="7" t="str">
        <f>HOTEL!DG13</f>
        <v>0</v>
      </c>
      <c r="AF11" s="7">
        <f>HOTEL!DJ13</f>
        <v>0</v>
      </c>
      <c r="AG11" s="7">
        <f>HOTEL!DM13</f>
        <v>0</v>
      </c>
      <c r="AH11" s="7">
        <f>HOTEL!DP13</f>
        <v>0</v>
      </c>
      <c r="AI11" s="7">
        <f>HOTEL!DS13</f>
        <v>0</v>
      </c>
      <c r="AJ11" s="7">
        <f>HOTEL!DV13</f>
        <v>0</v>
      </c>
      <c r="AK11" s="7">
        <f>TOTAL!K11</f>
        <v>2</v>
      </c>
    </row>
    <row r="12" spans="1:38" ht="15" x14ac:dyDescent="0.25">
      <c r="A12" s="2" t="s">
        <v>19</v>
      </c>
      <c r="B12" s="7">
        <f t="shared" si="1"/>
        <v>11</v>
      </c>
      <c r="C12" s="113">
        <v>7</v>
      </c>
      <c r="D12" s="7">
        <v>2021</v>
      </c>
      <c r="E12" s="7">
        <f>TOTAL!E12</f>
        <v>4814</v>
      </c>
      <c r="F12" s="7">
        <f>HOTEL!R14</f>
        <v>31</v>
      </c>
      <c r="G12" s="7">
        <f>HOTEL!T14</f>
        <v>0</v>
      </c>
      <c r="H12" s="8">
        <f>HOTEL!DX14</f>
        <v>0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2"/>
        <v>53</v>
      </c>
      <c r="M12" s="7">
        <f>HOTEL!AE14</f>
        <v>0</v>
      </c>
      <c r="N12" s="7">
        <f>HOTEL!AI14</f>
        <v>10</v>
      </c>
      <c r="O12" s="7">
        <f>HOTEL!AM14</f>
        <v>1</v>
      </c>
      <c r="P12" s="7">
        <f>HOTEL!AO14</f>
        <v>0</v>
      </c>
      <c r="Q12" s="7">
        <f>HOTEL!AQ14</f>
        <v>0</v>
      </c>
      <c r="R12" s="7">
        <f>HOTEL!AS14</f>
        <v>0</v>
      </c>
      <c r="S12" s="7">
        <f>HOTEL!AU14</f>
        <v>0</v>
      </c>
      <c r="T12" s="7">
        <f>HOTEL!AW14</f>
        <v>0</v>
      </c>
      <c r="U12" s="7">
        <f>HOTEL!AY14</f>
        <v>0</v>
      </c>
      <c r="V12" s="7">
        <f>HOTEL!BA14</f>
        <v>0</v>
      </c>
      <c r="W12" s="7">
        <f>HOTEL!BM14</f>
        <v>23</v>
      </c>
      <c r="X12" s="7">
        <f>HOTEL!BT14</f>
        <v>20</v>
      </c>
      <c r="Y12" s="7">
        <f>HOTEL!CO14</f>
        <v>0.97600000000355069</v>
      </c>
      <c r="Z12" s="7">
        <f>HOTEL!CR13</f>
        <v>0</v>
      </c>
      <c r="AA12" s="7">
        <f>HOTEL!CU14</f>
        <v>0</v>
      </c>
      <c r="AB12" s="8">
        <f>HOTEL!CX14</f>
        <v>0</v>
      </c>
      <c r="AC12" s="7">
        <f>HOTEL!DA14</f>
        <v>3.3459999999991306</v>
      </c>
      <c r="AD12" s="8">
        <f>HOTEL!DD14</f>
        <v>0</v>
      </c>
      <c r="AE12" s="7">
        <f>HOTEL!DG14</f>
        <v>0.8999999999996362</v>
      </c>
      <c r="AF12" s="7">
        <f>HOTEL!DJ14</f>
        <v>0</v>
      </c>
      <c r="AG12" s="7">
        <f>HOTEL!DM14</f>
        <v>0</v>
      </c>
      <c r="AH12" s="7">
        <f>HOTEL!DP14</f>
        <v>0</v>
      </c>
      <c r="AI12" s="7">
        <f>HOTEL!DS14</f>
        <v>0</v>
      </c>
      <c r="AJ12" s="7">
        <f>HOTEL!DV14</f>
        <v>0</v>
      </c>
      <c r="AK12" s="7">
        <f>TOTAL!K12</f>
        <v>2</v>
      </c>
    </row>
    <row r="13" spans="1:38" ht="15" x14ac:dyDescent="0.25">
      <c r="A13" s="2" t="s">
        <v>19</v>
      </c>
      <c r="B13" s="7">
        <f t="shared" si="1"/>
        <v>12</v>
      </c>
      <c r="C13" s="113">
        <v>7</v>
      </c>
      <c r="D13" s="7">
        <v>2021</v>
      </c>
      <c r="E13" s="7">
        <f>TOTAL!E13</f>
        <v>5063</v>
      </c>
      <c r="F13" s="7">
        <f>HOTEL!R15</f>
        <v>136</v>
      </c>
      <c r="G13" s="7">
        <f>HOTEL!T15</f>
        <v>2</v>
      </c>
      <c r="H13" s="8">
        <f>HOTEL!DX15</f>
        <v>0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2"/>
        <v>137</v>
      </c>
      <c r="M13" s="7">
        <f>HOTEL!AE15</f>
        <v>0</v>
      </c>
      <c r="N13" s="7">
        <f>HOTEL!AI15</f>
        <v>30</v>
      </c>
      <c r="O13" s="7">
        <f>HOTEL!AM15</f>
        <v>2</v>
      </c>
      <c r="P13" s="7">
        <f>HOTEL!AO15</f>
        <v>0</v>
      </c>
      <c r="Q13" s="7">
        <f>HOTEL!AQ15</f>
        <v>1</v>
      </c>
      <c r="R13" s="7">
        <f>HOTEL!AS15</f>
        <v>1</v>
      </c>
      <c r="S13" s="7">
        <f>HOTEL!AU15</f>
        <v>0</v>
      </c>
      <c r="T13" s="7">
        <f>HOTEL!AW15</f>
        <v>0</v>
      </c>
      <c r="U13" s="7" t="str">
        <f>HOTEL!AY15</f>
        <v>0</v>
      </c>
      <c r="V13" s="7">
        <f>HOTEL!BA15</f>
        <v>0</v>
      </c>
      <c r="W13" s="7">
        <f>HOTEL!BM15</f>
        <v>37</v>
      </c>
      <c r="X13" s="7">
        <f>HOTEL!BT15</f>
        <v>70</v>
      </c>
      <c r="Y13" s="7">
        <f>HOTEL!CO15</f>
        <v>8.2960000000035503</v>
      </c>
      <c r="Z13" s="7">
        <f>HOTEL!CR14</f>
        <v>0</v>
      </c>
      <c r="AA13" s="7">
        <f>HOTEL!CU15</f>
        <v>0</v>
      </c>
      <c r="AB13" s="8">
        <f>HOTEL!CX15</f>
        <v>0</v>
      </c>
      <c r="AC13" s="7">
        <f>HOTEL!DA15</f>
        <v>5.7360000000013045</v>
      </c>
      <c r="AD13" s="8">
        <f>HOTEL!DD15</f>
        <v>0</v>
      </c>
      <c r="AE13" s="7">
        <f>HOTEL!DG15</f>
        <v>2.6000000000003638</v>
      </c>
      <c r="AF13" s="7">
        <f>HOTEL!DJ15</f>
        <v>0</v>
      </c>
      <c r="AG13" s="7">
        <f>HOTEL!DM15</f>
        <v>0</v>
      </c>
      <c r="AH13" s="7">
        <f>HOTEL!DP15</f>
        <v>0</v>
      </c>
      <c r="AI13" s="7">
        <f>HOTEL!DS15</f>
        <v>0</v>
      </c>
      <c r="AJ13" s="7">
        <f>HOTEL!DV15</f>
        <v>0</v>
      </c>
      <c r="AK13" s="7">
        <f>TOTAL!K13</f>
        <v>2</v>
      </c>
    </row>
    <row r="14" spans="1:38" ht="15" x14ac:dyDescent="0.25">
      <c r="A14" s="2" t="s">
        <v>19</v>
      </c>
      <c r="B14" s="7">
        <f t="shared" si="1"/>
        <v>13</v>
      </c>
      <c r="C14" s="113">
        <v>7</v>
      </c>
      <c r="D14" s="7">
        <v>2021</v>
      </c>
      <c r="E14" s="7">
        <f>TOTAL!E14</f>
        <v>5433</v>
      </c>
      <c r="F14" s="7">
        <f>HOTEL!R16</f>
        <v>116</v>
      </c>
      <c r="G14" s="7">
        <f>HOTEL!T16</f>
        <v>2</v>
      </c>
      <c r="H14" s="8">
        <f>HOTEL!DX16</f>
        <v>0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2"/>
        <v>60</v>
      </c>
      <c r="M14" s="7">
        <f>HOTEL!AE16</f>
        <v>0</v>
      </c>
      <c r="N14" s="7">
        <f>HOTEL!AI16</f>
        <v>30</v>
      </c>
      <c r="O14" s="7">
        <f>HOTEL!AM16</f>
        <v>3</v>
      </c>
      <c r="P14" s="7">
        <f>HOTEL!AO16</f>
        <v>0</v>
      </c>
      <c r="Q14" s="7">
        <f>HOTEL!AQ16</f>
        <v>0</v>
      </c>
      <c r="R14" s="7">
        <f>HOTEL!AS16</f>
        <v>0</v>
      </c>
      <c r="S14" s="7">
        <f>HOTEL!AU16</f>
        <v>0</v>
      </c>
      <c r="T14" s="7">
        <f>HOTEL!AW16</f>
        <v>0</v>
      </c>
      <c r="U14" s="7">
        <f>HOTEL!AY16</f>
        <v>0</v>
      </c>
      <c r="V14" s="7">
        <f>HOTEL!BA16</f>
        <v>0</v>
      </c>
      <c r="W14" s="7">
        <f>HOTEL!BM16</f>
        <v>20</v>
      </c>
      <c r="X14" s="7">
        <f>HOTEL!BT16</f>
        <v>10</v>
      </c>
      <c r="Y14" s="7">
        <f>HOTEL!CO16</f>
        <v>11.467999999992898</v>
      </c>
      <c r="Z14" s="7">
        <f>HOTEL!CR15</f>
        <v>0</v>
      </c>
      <c r="AA14" s="7">
        <f>HOTEL!CU16</f>
        <v>0</v>
      </c>
      <c r="AB14" s="8">
        <f>HOTEL!CX16</f>
        <v>0</v>
      </c>
      <c r="AC14" s="7">
        <f>HOTEL!DA16</f>
        <v>6.2139999999986957</v>
      </c>
      <c r="AD14" s="8">
        <f>HOTEL!DD16</f>
        <v>0</v>
      </c>
      <c r="AE14" s="7" t="str">
        <f>HOTEL!DG16</f>
        <v>0</v>
      </c>
      <c r="AF14" s="7">
        <f>HOTEL!DJ16</f>
        <v>0</v>
      </c>
      <c r="AG14" s="7">
        <f>HOTEL!DM16</f>
        <v>0</v>
      </c>
      <c r="AH14" s="7">
        <f>HOTEL!DP16</f>
        <v>0</v>
      </c>
      <c r="AI14" s="7">
        <f>HOTEL!DS16</f>
        <v>0</v>
      </c>
      <c r="AJ14" s="7">
        <f>HOTEL!DV16</f>
        <v>0</v>
      </c>
      <c r="AK14" s="7">
        <f>TOTAL!K14</f>
        <v>2</v>
      </c>
    </row>
    <row r="15" spans="1:38" ht="15" x14ac:dyDescent="0.25">
      <c r="A15" s="2" t="s">
        <v>19</v>
      </c>
      <c r="B15" s="7">
        <f t="shared" si="1"/>
        <v>14</v>
      </c>
      <c r="C15" s="113">
        <v>7</v>
      </c>
      <c r="D15" s="7">
        <v>2021</v>
      </c>
      <c r="E15" s="8">
        <f>TOTAL!E15</f>
        <v>4992</v>
      </c>
      <c r="F15" s="7">
        <f>HOTEL!R17</f>
        <v>124</v>
      </c>
      <c r="G15" s="7">
        <f>HOTEL!T17</f>
        <v>5</v>
      </c>
      <c r="H15" s="8">
        <f>HOTEL!DX17</f>
        <v>0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2"/>
        <v>156</v>
      </c>
      <c r="M15" s="7">
        <f>HOTEL!AE17</f>
        <v>0</v>
      </c>
      <c r="N15" s="7">
        <f>HOTEL!AI17</f>
        <v>38</v>
      </c>
      <c r="O15" s="7">
        <f>HOTEL!AM17</f>
        <v>2</v>
      </c>
      <c r="P15" s="7">
        <f>HOTEL!AO17</f>
        <v>1</v>
      </c>
      <c r="Q15" s="7">
        <f>HOTEL!AQ17</f>
        <v>0</v>
      </c>
      <c r="R15" s="7">
        <f>HOTEL!AS17</f>
        <v>1</v>
      </c>
      <c r="S15" s="7">
        <f>HOTEL!AU17</f>
        <v>0</v>
      </c>
      <c r="T15" s="7">
        <f>HOTEL!AW17</f>
        <v>0</v>
      </c>
      <c r="U15" s="7">
        <f>HOTEL!AY17</f>
        <v>0</v>
      </c>
      <c r="V15" s="7">
        <f>HOTEL!BA17</f>
        <v>0</v>
      </c>
      <c r="W15" s="7">
        <f>HOTEL!BM17</f>
        <v>50</v>
      </c>
      <c r="X15" s="7">
        <f>HOTEL!BT17</f>
        <v>68</v>
      </c>
      <c r="Y15" s="7">
        <f>HOTEL!CO17</f>
        <v>0</v>
      </c>
      <c r="Z15" s="7">
        <f>HOTEL!CR16</f>
        <v>0</v>
      </c>
      <c r="AA15" s="7">
        <f>HOTEL!CU17</f>
        <v>0</v>
      </c>
      <c r="AB15" s="8">
        <f>HOTEL!CX17</f>
        <v>0</v>
      </c>
      <c r="AC15" s="7">
        <f>HOTEL!DA17</f>
        <v>5.7360000000013045</v>
      </c>
      <c r="AD15" s="8">
        <f>HOTEL!DD17</f>
        <v>0</v>
      </c>
      <c r="AE15" s="7">
        <f>HOTEL!DG17</f>
        <v>2</v>
      </c>
      <c r="AF15" s="7">
        <f>HOTEL!DJ17</f>
        <v>0</v>
      </c>
      <c r="AG15" s="7">
        <f>HOTEL!DM17</f>
        <v>0</v>
      </c>
      <c r="AH15" s="7">
        <f>HOTEL!DP17</f>
        <v>0</v>
      </c>
      <c r="AI15" s="7">
        <f>HOTEL!DS17</f>
        <v>0</v>
      </c>
      <c r="AJ15" s="7">
        <f>HOTEL!DV17</f>
        <v>0</v>
      </c>
      <c r="AK15" s="7">
        <f>TOTAL!K15</f>
        <v>2</v>
      </c>
    </row>
    <row r="16" spans="1:38" ht="15" x14ac:dyDescent="0.25">
      <c r="A16" s="2" t="s">
        <v>19</v>
      </c>
      <c r="B16" s="7">
        <f t="shared" si="1"/>
        <v>15</v>
      </c>
      <c r="C16" s="113">
        <v>7</v>
      </c>
      <c r="D16" s="7">
        <v>2021</v>
      </c>
      <c r="E16" s="7">
        <f>TOTAL!E16</f>
        <v>5330</v>
      </c>
      <c r="F16" s="7">
        <f>HOTEL!R18</f>
        <v>126</v>
      </c>
      <c r="G16" s="7">
        <f>HOTEL!T18</f>
        <v>102</v>
      </c>
      <c r="H16" s="8">
        <f>HOTEL!DX18</f>
        <v>0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2"/>
        <v>174</v>
      </c>
      <c r="M16" s="7">
        <f>HOTEL!AE18</f>
        <v>0</v>
      </c>
      <c r="N16" s="7">
        <f>HOTEL!AI18</f>
        <v>62</v>
      </c>
      <c r="O16" s="7">
        <f>HOTEL!AM18</f>
        <v>12</v>
      </c>
      <c r="P16" s="7">
        <f>HOTEL!AO18</f>
        <v>0</v>
      </c>
      <c r="Q16" s="7">
        <f>HOTEL!AQ18</f>
        <v>0</v>
      </c>
      <c r="R16" s="7">
        <f>HOTEL!AS18</f>
        <v>0</v>
      </c>
      <c r="S16" s="7">
        <f>HOTEL!AU18</f>
        <v>0</v>
      </c>
      <c r="T16" s="7">
        <f>HOTEL!AW18</f>
        <v>0</v>
      </c>
      <c r="U16" s="7">
        <f>HOTEL!AY18</f>
        <v>0</v>
      </c>
      <c r="V16" s="7">
        <f>HOTEL!BA18</f>
        <v>0</v>
      </c>
      <c r="W16" s="7">
        <f>HOTEL!BM18</f>
        <v>50</v>
      </c>
      <c r="X16" s="7">
        <f>HOTEL!BT18</f>
        <v>62</v>
      </c>
      <c r="Y16" s="7">
        <f>HOTEL!CO18</f>
        <v>16.10399999999645</v>
      </c>
      <c r="Z16" s="7">
        <f>HOTEL!CR17</f>
        <v>0</v>
      </c>
      <c r="AA16" s="7">
        <f>HOTEL!CU18</f>
        <v>0</v>
      </c>
      <c r="AB16" s="8">
        <f>HOTEL!CX18</f>
        <v>83.692000000113623</v>
      </c>
      <c r="AC16" s="7">
        <f>HOTEL!DA18</f>
        <v>9.56</v>
      </c>
      <c r="AD16" s="8">
        <f>HOTEL!DD18</f>
        <v>0</v>
      </c>
      <c r="AE16" s="7">
        <f>HOTEL!DG18</f>
        <v>1.6000000000003638</v>
      </c>
      <c r="AF16" s="7">
        <f>HOTEL!DJ18</f>
        <v>0</v>
      </c>
      <c r="AG16" s="7">
        <f>HOTEL!DM18</f>
        <v>0</v>
      </c>
      <c r="AH16" s="7">
        <f>HOTEL!DP18</f>
        <v>0</v>
      </c>
      <c r="AI16" s="7">
        <f>HOTEL!DS18</f>
        <v>0</v>
      </c>
      <c r="AJ16" s="7">
        <f>HOTEL!DV18</f>
        <v>0</v>
      </c>
      <c r="AK16" s="7">
        <f>TOTAL!K16</f>
        <v>2</v>
      </c>
    </row>
    <row r="17" spans="1:37" ht="15" x14ac:dyDescent="0.25">
      <c r="A17" s="2" t="s">
        <v>19</v>
      </c>
      <c r="B17" s="7">
        <f t="shared" si="1"/>
        <v>16</v>
      </c>
      <c r="C17" s="113">
        <v>7</v>
      </c>
      <c r="D17" s="7">
        <v>2021</v>
      </c>
      <c r="E17" s="7">
        <f>TOTAL!E17</f>
        <v>5563</v>
      </c>
      <c r="F17" s="7">
        <f>HOTEL!R19</f>
        <v>134</v>
      </c>
      <c r="G17" s="7">
        <f>HOTEL!T19</f>
        <v>128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2"/>
        <v>125</v>
      </c>
      <c r="M17" s="7">
        <f>HOTEL!AE19</f>
        <v>0</v>
      </c>
      <c r="N17" s="7">
        <f>HOTEL!AI19</f>
        <v>50</v>
      </c>
      <c r="O17" s="7">
        <f>HOTEL!AM19</f>
        <v>15</v>
      </c>
      <c r="P17" s="7">
        <f>HOTEL!AO19</f>
        <v>0</v>
      </c>
      <c r="Q17" s="7">
        <f>HOTEL!AQ19</f>
        <v>0</v>
      </c>
      <c r="R17" s="7">
        <f>HOTEL!AS19</f>
        <v>0</v>
      </c>
      <c r="S17" s="7">
        <f>HOTEL!AU19</f>
        <v>0</v>
      </c>
      <c r="T17" s="7">
        <f>HOTEL!AW19</f>
        <v>0</v>
      </c>
      <c r="U17" s="7">
        <f>HOTEL!AY19</f>
        <v>0</v>
      </c>
      <c r="V17" s="7">
        <f>HOTEL!BA19</f>
        <v>0</v>
      </c>
      <c r="W17" s="7">
        <f>HOTEL!BM19</f>
        <v>45</v>
      </c>
      <c r="X17" s="7">
        <f>HOTEL!BT19</f>
        <v>30</v>
      </c>
      <c r="Y17" s="7">
        <f>HOTEL!CO19</f>
        <v>17.812000000007099</v>
      </c>
      <c r="Z17" s="7">
        <f>HOTEL!CR18</f>
        <v>0</v>
      </c>
      <c r="AA17" s="7">
        <f>HOTEL!CU19</f>
        <v>317.2</v>
      </c>
      <c r="AB17" s="8">
        <f>HOTEL!CX19</f>
        <v>76.12799999988637</v>
      </c>
      <c r="AC17" s="7">
        <f>HOTEL!DA19</f>
        <v>10.755000000000001</v>
      </c>
      <c r="AD17" s="8">
        <f>HOTEL!DD19</f>
        <v>0</v>
      </c>
      <c r="AE17" s="7" t="str">
        <f>HOTEL!DG19</f>
        <v>0</v>
      </c>
      <c r="AF17" s="7">
        <f>HOTEL!DJ19</f>
        <v>0</v>
      </c>
      <c r="AG17" s="7">
        <f>HOTEL!DM19</f>
        <v>0</v>
      </c>
      <c r="AH17" s="7">
        <f>HOTEL!DP19</f>
        <v>0</v>
      </c>
      <c r="AI17" s="7">
        <f>HOTEL!DS19</f>
        <v>0</v>
      </c>
      <c r="AJ17" s="7">
        <f>HOTEL!DV19</f>
        <v>0</v>
      </c>
      <c r="AK17" s="7">
        <f>TOTAL!K17</f>
        <v>2</v>
      </c>
    </row>
    <row r="18" spans="1:37" ht="15" x14ac:dyDescent="0.25">
      <c r="A18" s="2" t="s">
        <v>19</v>
      </c>
      <c r="B18" s="7">
        <f t="shared" si="1"/>
        <v>17</v>
      </c>
      <c r="C18" s="113">
        <v>7</v>
      </c>
      <c r="D18" s="7">
        <v>2021</v>
      </c>
      <c r="E18" s="7">
        <f>TOTAL!E18</f>
        <v>5315</v>
      </c>
      <c r="F18" s="7">
        <f>HOTEL!R20</f>
        <v>124</v>
      </c>
      <c r="G18" s="7">
        <f>HOTEL!T20</f>
        <v>2</v>
      </c>
      <c r="H18" s="8">
        <f>HOTEL!DX20</f>
        <v>0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2"/>
        <v>55</v>
      </c>
      <c r="M18" s="7">
        <f>HOTEL!AE20</f>
        <v>0</v>
      </c>
      <c r="N18" s="7">
        <f>HOTEL!AI20</f>
        <v>30</v>
      </c>
      <c r="O18" s="7">
        <f>HOTEL!AM20</f>
        <v>2</v>
      </c>
      <c r="P18" s="7">
        <f>HOTEL!AO20</f>
        <v>0</v>
      </c>
      <c r="Q18" s="7">
        <f>HOTEL!AQ20</f>
        <v>1</v>
      </c>
      <c r="R18" s="7">
        <f>HOTEL!AS20</f>
        <v>0</v>
      </c>
      <c r="S18" s="7">
        <f>HOTEL!AU20</f>
        <v>0</v>
      </c>
      <c r="T18" s="7">
        <f>HOTEL!AW20</f>
        <v>0</v>
      </c>
      <c r="U18" s="7">
        <f>HOTEL!AY20</f>
        <v>0</v>
      </c>
      <c r="V18" s="7">
        <f>HOTEL!BA20</f>
        <v>0</v>
      </c>
      <c r="W18" s="7">
        <f>HOTEL!BM20</f>
        <v>25</v>
      </c>
      <c r="X18" s="7">
        <f>HOTEL!BT20</f>
        <v>0</v>
      </c>
      <c r="Y18" s="7">
        <f>HOTEL!CO20</f>
        <v>9.76</v>
      </c>
      <c r="Z18" s="7">
        <f>HOTEL!CR19</f>
        <v>0</v>
      </c>
      <c r="AA18" s="7">
        <f>HOTEL!CU20</f>
        <v>0</v>
      </c>
      <c r="AB18" s="8">
        <f>HOTEL!CX20</f>
        <v>0</v>
      </c>
      <c r="AC18" s="7">
        <f>HOTEL!DA20</f>
        <v>7.6479999999995654</v>
      </c>
      <c r="AD18" s="8">
        <f>HOTEL!DD20</f>
        <v>0</v>
      </c>
      <c r="AE18" s="7">
        <f>HOTEL!DG20</f>
        <v>1.2000000000007276</v>
      </c>
      <c r="AF18" s="7">
        <f>HOTEL!DJ20</f>
        <v>0</v>
      </c>
      <c r="AG18" s="7">
        <f>HOTEL!DM20</f>
        <v>0</v>
      </c>
      <c r="AH18" s="7">
        <f>HOTEL!DP20</f>
        <v>0</v>
      </c>
      <c r="AI18" s="7">
        <f>HOTEL!DS20</f>
        <v>0</v>
      </c>
      <c r="AJ18" s="7">
        <f>HOTEL!DV20</f>
        <v>0</v>
      </c>
      <c r="AK18" s="7">
        <f>TOTAL!K18</f>
        <v>2</v>
      </c>
    </row>
    <row r="19" spans="1:37" ht="15" x14ac:dyDescent="0.25">
      <c r="A19" s="2" t="s">
        <v>19</v>
      </c>
      <c r="B19" s="7">
        <f t="shared" si="1"/>
        <v>18</v>
      </c>
      <c r="C19" s="113">
        <v>7</v>
      </c>
      <c r="D19" s="7">
        <v>2021</v>
      </c>
      <c r="E19" s="7">
        <f>TOTAL!E19</f>
        <v>5119</v>
      </c>
      <c r="F19" s="7">
        <f>HOTEL!R21</f>
        <v>84</v>
      </c>
      <c r="G19" s="7">
        <f>HOTEL!T21</f>
        <v>3</v>
      </c>
      <c r="H19" s="8">
        <f>HOTEL!DX21</f>
        <v>0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2"/>
        <v>42</v>
      </c>
      <c r="M19" s="7">
        <f>HOTEL!AE21</f>
        <v>0</v>
      </c>
      <c r="N19" s="7">
        <f>HOTEL!AI21</f>
        <v>20</v>
      </c>
      <c r="O19" s="7">
        <f>HOTEL!AM21</f>
        <v>0</v>
      </c>
      <c r="P19" s="7">
        <f>HOTEL!AO21</f>
        <v>0</v>
      </c>
      <c r="Q19" s="7">
        <f>HOTEL!AQ21</f>
        <v>0</v>
      </c>
      <c r="R19" s="7">
        <f>HOTEL!AS21</f>
        <v>2</v>
      </c>
      <c r="S19" s="7">
        <f>HOTEL!AU21</f>
        <v>0</v>
      </c>
      <c r="T19" s="7">
        <f>HOTEL!AW21</f>
        <v>0</v>
      </c>
      <c r="U19" s="7">
        <f>HOTEL!AY21</f>
        <v>0</v>
      </c>
      <c r="V19" s="7">
        <f>HOTEL!BA21</f>
        <v>0</v>
      </c>
      <c r="W19" s="7">
        <f>HOTEL!BM21</f>
        <v>20</v>
      </c>
      <c r="X19" s="7">
        <f>HOTEL!BT21</f>
        <v>2</v>
      </c>
      <c r="Y19" s="7">
        <f>HOTEL!CO21</f>
        <v>2.9279999999928985</v>
      </c>
      <c r="Z19" s="7">
        <f>HOTEL!CR20</f>
        <v>0</v>
      </c>
      <c r="AA19" s="7">
        <f>HOTEL!CU21</f>
        <v>0</v>
      </c>
      <c r="AB19" s="8">
        <f>HOTEL!CX21</f>
        <v>0</v>
      </c>
      <c r="AC19" s="7">
        <f>HOTEL!DA21</f>
        <v>0.23900000000086949</v>
      </c>
      <c r="AD19" s="8">
        <f>HOTEL!DD21</f>
        <v>0</v>
      </c>
      <c r="AE19" s="7">
        <f>HOTEL!DG21</f>
        <v>0.6999999999998181</v>
      </c>
      <c r="AF19" s="7">
        <f>HOTEL!DJ21</f>
        <v>0</v>
      </c>
      <c r="AG19" s="7">
        <f>HOTEL!DM21</f>
        <v>0</v>
      </c>
      <c r="AH19" s="7">
        <f>HOTEL!DP21</f>
        <v>0</v>
      </c>
      <c r="AI19" s="7">
        <f>HOTEL!DS21</f>
        <v>0</v>
      </c>
      <c r="AJ19" s="7">
        <f>HOTEL!DV21</f>
        <v>0</v>
      </c>
      <c r="AK19" s="7">
        <f>TOTAL!K19</f>
        <v>2</v>
      </c>
    </row>
    <row r="20" spans="1:37" ht="15" x14ac:dyDescent="0.25">
      <c r="A20" s="2" t="s">
        <v>19</v>
      </c>
      <c r="B20" s="7">
        <f t="shared" si="1"/>
        <v>19</v>
      </c>
      <c r="C20" s="113">
        <v>7</v>
      </c>
      <c r="D20" s="7">
        <v>2021</v>
      </c>
      <c r="E20" s="7">
        <f>TOTAL!E20</f>
        <v>5542</v>
      </c>
      <c r="F20" s="7">
        <f>HOTEL!R22</f>
        <v>121</v>
      </c>
      <c r="G20" s="7">
        <f>HOTEL!T22</f>
        <v>109</v>
      </c>
      <c r="H20" s="8">
        <f>HOTEL!DX22</f>
        <v>0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2"/>
        <v>98</v>
      </c>
      <c r="M20" s="7">
        <f>HOTEL!AE22</f>
        <v>0</v>
      </c>
      <c r="N20" s="7">
        <f>HOTEL!AI22</f>
        <v>40</v>
      </c>
      <c r="O20" s="7">
        <f>HOTEL!AM22</f>
        <v>14</v>
      </c>
      <c r="P20" s="7">
        <f>HOTEL!AO22</f>
        <v>0</v>
      </c>
      <c r="Q20" s="7">
        <f>HOTEL!AQ22</f>
        <v>0</v>
      </c>
      <c r="R20" s="7">
        <f>HOTEL!AS22</f>
        <v>2</v>
      </c>
      <c r="S20" s="7">
        <f>HOTEL!AU22</f>
        <v>0</v>
      </c>
      <c r="T20" s="7">
        <f>HOTEL!AW22</f>
        <v>0</v>
      </c>
      <c r="U20" s="7">
        <f>HOTEL!AY22</f>
        <v>0</v>
      </c>
      <c r="V20" s="7">
        <f>HOTEL!BA22</f>
        <v>0</v>
      </c>
      <c r="W20" s="7">
        <f>HOTEL!BM22</f>
        <v>50</v>
      </c>
      <c r="X20" s="7">
        <f>HOTEL!BT22</f>
        <v>8</v>
      </c>
      <c r="Y20" s="7">
        <f>HOTEL!CO22</f>
        <v>3.9040000000142028</v>
      </c>
      <c r="Z20" s="7">
        <f>HOTEL!CR21</f>
        <v>0</v>
      </c>
      <c r="AA20" s="7">
        <f>HOTEL!CU22</f>
        <v>0</v>
      </c>
      <c r="AB20" s="8">
        <f>HOTEL!CX22</f>
        <v>102.48</v>
      </c>
      <c r="AC20" s="7">
        <f>HOTEL!DA22</f>
        <v>10.755000000000001</v>
      </c>
      <c r="AD20" s="8">
        <f>HOTEL!DD22</f>
        <v>0</v>
      </c>
      <c r="AE20" s="7" t="str">
        <f>HOTEL!DG22</f>
        <v>0</v>
      </c>
      <c r="AF20" s="7">
        <f>HOTEL!DJ22</f>
        <v>0</v>
      </c>
      <c r="AG20" s="7">
        <f>HOTEL!DM22</f>
        <v>0</v>
      </c>
      <c r="AH20" s="7">
        <f>HOTEL!DP22</f>
        <v>0</v>
      </c>
      <c r="AI20" s="7">
        <f>HOTEL!DS22</f>
        <v>0</v>
      </c>
      <c r="AJ20" s="7">
        <f>HOTEL!DV22</f>
        <v>0</v>
      </c>
      <c r="AK20" s="7">
        <f>TOTAL!K20</f>
        <v>2</v>
      </c>
    </row>
    <row r="21" spans="1:37" ht="15" x14ac:dyDescent="0.25">
      <c r="A21" s="2" t="s">
        <v>19</v>
      </c>
      <c r="B21" s="7">
        <f t="shared" si="1"/>
        <v>20</v>
      </c>
      <c r="C21" s="113">
        <v>7</v>
      </c>
      <c r="D21" s="7">
        <v>2021</v>
      </c>
      <c r="E21" s="7">
        <f>TOTAL!E21</f>
        <v>5760</v>
      </c>
      <c r="F21" s="7">
        <f>HOTEL!R23</f>
        <v>150</v>
      </c>
      <c r="G21" s="7">
        <f>HOTEL!T23</f>
        <v>33</v>
      </c>
      <c r="H21" s="8">
        <f>HOTEL!DX23</f>
        <v>0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2"/>
        <v>60</v>
      </c>
      <c r="M21" s="7">
        <f>HOTEL!AE23</f>
        <v>0</v>
      </c>
      <c r="N21" s="7">
        <f>HOTEL!AI23</f>
        <v>10</v>
      </c>
      <c r="O21" s="7">
        <f>HOTEL!AM23</f>
        <v>2</v>
      </c>
      <c r="P21" s="7">
        <f>HOTEL!AO23</f>
        <v>1</v>
      </c>
      <c r="Q21" s="7">
        <f>HOTEL!AQ23</f>
        <v>0</v>
      </c>
      <c r="R21" s="7">
        <f>HOTEL!AS23</f>
        <v>1</v>
      </c>
      <c r="S21" s="7">
        <f>HOTEL!AU23</f>
        <v>0</v>
      </c>
      <c r="T21" s="7">
        <f>HOTEL!AW23</f>
        <v>0</v>
      </c>
      <c r="U21" s="7">
        <f>HOTEL!AY23</f>
        <v>0</v>
      </c>
      <c r="V21" s="7">
        <f>HOTEL!BA23</f>
        <v>0</v>
      </c>
      <c r="W21" s="7">
        <f>HOTEL!BM23</f>
        <v>20</v>
      </c>
      <c r="X21" s="7">
        <f>HOTEL!BT23</f>
        <v>30</v>
      </c>
      <c r="Y21" s="7">
        <f>HOTEL!CO23</f>
        <v>8.5399999999999991</v>
      </c>
      <c r="Z21" s="7">
        <f>HOTEL!CR22</f>
        <v>0</v>
      </c>
      <c r="AA21" s="7">
        <f>HOTEL!CU23</f>
        <v>0</v>
      </c>
      <c r="AB21" s="8">
        <f>HOTEL!CX23</f>
        <v>0</v>
      </c>
      <c r="AC21" s="7">
        <f>HOTEL!DA23</f>
        <v>5.7359999999991311</v>
      </c>
      <c r="AD21" s="8">
        <f>HOTEL!DD23</f>
        <v>0</v>
      </c>
      <c r="AE21" s="7">
        <f>HOTEL!DG23</f>
        <v>0</v>
      </c>
      <c r="AF21" s="7">
        <f>HOTEL!DJ23</f>
        <v>0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0</v>
      </c>
      <c r="AK21" s="7">
        <f>TOTAL!K21</f>
        <v>2</v>
      </c>
    </row>
    <row r="22" spans="1:37" ht="15" x14ac:dyDescent="0.25">
      <c r="A22" s="2" t="s">
        <v>19</v>
      </c>
      <c r="B22" s="7">
        <f t="shared" si="1"/>
        <v>21</v>
      </c>
      <c r="C22" s="113">
        <v>7</v>
      </c>
      <c r="D22" s="7">
        <v>2021</v>
      </c>
      <c r="E22" s="7">
        <f>TOTAL!E22</f>
        <v>5306</v>
      </c>
      <c r="F22" s="7">
        <f>HOTEL!R24</f>
        <v>148</v>
      </c>
      <c r="G22" s="7">
        <f>HOTEL!T24</f>
        <v>4</v>
      </c>
      <c r="H22" s="8">
        <f>HOTEL!DX24</f>
        <v>0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2"/>
        <v>90</v>
      </c>
      <c r="M22" s="7">
        <f>HOTEL!AE24</f>
        <v>0</v>
      </c>
      <c r="N22" s="7">
        <f>HOTEL!AI24</f>
        <v>30</v>
      </c>
      <c r="O22" s="7">
        <f>HOTEL!AM24</f>
        <v>4</v>
      </c>
      <c r="P22" s="7">
        <f>HOTEL!AO24</f>
        <v>0</v>
      </c>
      <c r="Q22" s="7">
        <f>HOTEL!AQ24</f>
        <v>0</v>
      </c>
      <c r="R22" s="7">
        <f>HOTEL!AS24</f>
        <v>3</v>
      </c>
      <c r="S22" s="7">
        <f>HOTEL!AU24</f>
        <v>0</v>
      </c>
      <c r="T22" s="7">
        <f>HOTEL!AW24</f>
        <v>0</v>
      </c>
      <c r="U22" s="7">
        <f>HOTEL!AY24</f>
        <v>0</v>
      </c>
      <c r="V22" s="7">
        <f>HOTEL!BA24</f>
        <v>0</v>
      </c>
      <c r="W22" s="7">
        <f>HOTEL!BM24</f>
        <v>40</v>
      </c>
      <c r="X22" s="7">
        <f>HOTEL!BT24</f>
        <v>20</v>
      </c>
      <c r="Y22" s="7">
        <f>HOTEL!CO24</f>
        <v>15.86</v>
      </c>
      <c r="Z22" s="7">
        <f>HOTEL!CR23</f>
        <v>0</v>
      </c>
      <c r="AA22" s="7">
        <f>HOTEL!CU24</f>
        <v>0</v>
      </c>
      <c r="AB22" s="8">
        <f>HOTEL!CX24</f>
        <v>0</v>
      </c>
      <c r="AC22" s="7">
        <f>HOTEL!DA24</f>
        <v>6.6920000000004354</v>
      </c>
      <c r="AD22" s="8">
        <f>HOTEL!DD24</f>
        <v>0</v>
      </c>
      <c r="AE22" s="7">
        <f>HOTEL!DG24</f>
        <v>0.1999999999998181</v>
      </c>
      <c r="AF22" s="7">
        <f>HOTEL!DJ24</f>
        <v>0</v>
      </c>
      <c r="AG22" s="7">
        <f>HOTEL!DM24</f>
        <v>0</v>
      </c>
      <c r="AH22" s="7">
        <f>HOTEL!DP24</f>
        <v>0</v>
      </c>
      <c r="AI22" s="7">
        <f>HOTEL!DS24</f>
        <v>0</v>
      </c>
      <c r="AJ22" s="7">
        <f>HOTEL!DV24</f>
        <v>0</v>
      </c>
      <c r="AK22" s="7">
        <f>TOTAL!K22</f>
        <v>2</v>
      </c>
    </row>
    <row r="23" spans="1:37" ht="15" x14ac:dyDescent="0.25">
      <c r="A23" s="2" t="s">
        <v>19</v>
      </c>
      <c r="B23" s="7">
        <f t="shared" si="1"/>
        <v>22</v>
      </c>
      <c r="C23" s="113">
        <v>7</v>
      </c>
      <c r="D23" s="7">
        <v>2021</v>
      </c>
      <c r="E23" s="7">
        <f>TOTAL!E23</f>
        <v>5705</v>
      </c>
      <c r="F23" s="7">
        <f>HOTEL!R25</f>
        <v>135</v>
      </c>
      <c r="G23" s="7">
        <f>HOTEL!T25</f>
        <v>5</v>
      </c>
      <c r="H23" s="8">
        <f>HOTEL!DX25</f>
        <v>0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2"/>
        <v>70</v>
      </c>
      <c r="M23" s="7">
        <f>HOTEL!AE25</f>
        <v>0</v>
      </c>
      <c r="N23" s="7">
        <f>HOTEL!AI25</f>
        <v>20</v>
      </c>
      <c r="O23" s="7">
        <f>HOTEL!AM25</f>
        <v>2</v>
      </c>
      <c r="P23" s="7">
        <f>HOTEL!AO25</f>
        <v>0</v>
      </c>
      <c r="Q23" s="7">
        <f>HOTEL!AQ25</f>
        <v>0</v>
      </c>
      <c r="R23" s="7">
        <f>HOTEL!AS25</f>
        <v>0</v>
      </c>
      <c r="S23" s="7">
        <f>HOTEL!AU25</f>
        <v>0</v>
      </c>
      <c r="T23" s="7">
        <f>HOTEL!AW25</f>
        <v>0</v>
      </c>
      <c r="U23" s="7">
        <f>HOTEL!AY25</f>
        <v>0</v>
      </c>
      <c r="V23" s="7">
        <f>HOTEL!BA25</f>
        <v>0</v>
      </c>
      <c r="W23" s="7">
        <f>HOTEL!BM25</f>
        <v>30</v>
      </c>
      <c r="X23" s="7">
        <f>HOTEL!BT25</f>
        <v>20</v>
      </c>
      <c r="Y23" s="7">
        <f>HOTEL!CO25</f>
        <v>0</v>
      </c>
      <c r="Z23" s="7">
        <f>HOTEL!CR24</f>
        <v>0</v>
      </c>
      <c r="AA23" s="7">
        <f>HOTEL!CU25</f>
        <v>0</v>
      </c>
      <c r="AB23" s="8">
        <f>HOTEL!CX25</f>
        <v>0</v>
      </c>
      <c r="AC23" s="7">
        <f>HOTEL!DA25</f>
        <v>5.4970000000004351</v>
      </c>
      <c r="AD23" s="8">
        <f>HOTEL!DD25</f>
        <v>0</v>
      </c>
      <c r="AE23" s="7">
        <f>HOTEL!DG25</f>
        <v>0.6000000000003638</v>
      </c>
      <c r="AF23" s="7">
        <f>HOTEL!DJ25</f>
        <v>0</v>
      </c>
      <c r="AG23" s="7">
        <f>HOTEL!DM25</f>
        <v>0</v>
      </c>
      <c r="AH23" s="7">
        <f>HOTEL!DP25</f>
        <v>0</v>
      </c>
      <c r="AI23" s="7">
        <f>HOTEL!DS25</f>
        <v>0</v>
      </c>
      <c r="AJ23" s="7">
        <f>HOTEL!DV25</f>
        <v>0</v>
      </c>
      <c r="AK23" s="7">
        <f>TOTAL!K23</f>
        <v>2</v>
      </c>
    </row>
    <row r="24" spans="1:37" ht="15" x14ac:dyDescent="0.25">
      <c r="A24" s="2" t="s">
        <v>19</v>
      </c>
      <c r="B24" s="7">
        <f t="shared" si="1"/>
        <v>23</v>
      </c>
      <c r="C24" s="113">
        <v>7</v>
      </c>
      <c r="D24" s="7">
        <v>2021</v>
      </c>
      <c r="E24" s="7">
        <f>TOTAL!E24</f>
        <v>5443</v>
      </c>
      <c r="F24" s="7">
        <f>HOTEL!R26</f>
        <v>161</v>
      </c>
      <c r="G24" s="7">
        <f>HOTEL!T26</f>
        <v>3</v>
      </c>
      <c r="H24" s="8">
        <f>HOTEL!DX26</f>
        <v>0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2"/>
        <v>80</v>
      </c>
      <c r="M24" s="7">
        <f>HOTEL!AE26</f>
        <v>0</v>
      </c>
      <c r="N24" s="7">
        <f>HOTEL!AI26</f>
        <v>27</v>
      </c>
      <c r="O24" s="7">
        <f>HOTEL!AM26</f>
        <v>4</v>
      </c>
      <c r="P24" s="7">
        <f>HOTEL!AO26</f>
        <v>0</v>
      </c>
      <c r="Q24" s="7">
        <f>HOTEL!AQ26</f>
        <v>0</v>
      </c>
      <c r="R24" s="7">
        <f>HOTEL!AS26</f>
        <v>0</v>
      </c>
      <c r="S24" s="7">
        <f>HOTEL!AU26</f>
        <v>0</v>
      </c>
      <c r="T24" s="7">
        <f>HOTEL!AW26</f>
        <v>0</v>
      </c>
      <c r="U24" s="7">
        <f>HOTEL!AY26</f>
        <v>0</v>
      </c>
      <c r="V24" s="7">
        <f>HOTEL!BA26</f>
        <v>0</v>
      </c>
      <c r="W24" s="7">
        <f>HOTEL!BM26</f>
        <v>40</v>
      </c>
      <c r="X24" s="7">
        <f>HOTEL!BT26</f>
        <v>13</v>
      </c>
      <c r="Y24" s="7">
        <f>HOTEL!CO26</f>
        <v>23.18</v>
      </c>
      <c r="Z24" s="7">
        <f>HOTEL!CR25</f>
        <v>0</v>
      </c>
      <c r="AA24" s="7">
        <f>HOTEL!CU26</f>
        <v>0</v>
      </c>
      <c r="AB24" s="8">
        <f>HOTEL!CX26</f>
        <v>0</v>
      </c>
      <c r="AC24" s="7">
        <f>HOTEL!DA26</f>
        <v>7.408999999998696</v>
      </c>
      <c r="AD24" s="8">
        <f>HOTEL!DD26</f>
        <v>0</v>
      </c>
      <c r="AE24" s="7" t="str">
        <f>HOTEL!DG26</f>
        <v>0</v>
      </c>
      <c r="AF24" s="7">
        <f>HOTEL!DJ26</f>
        <v>0</v>
      </c>
      <c r="AG24" s="7">
        <f>HOTEL!DM26</f>
        <v>0</v>
      </c>
      <c r="AH24" s="7">
        <f>HOTEL!DP26</f>
        <v>0</v>
      </c>
      <c r="AI24" s="7">
        <f>HOTEL!DS26</f>
        <v>0</v>
      </c>
      <c r="AJ24" s="7">
        <f>HOTEL!DV26</f>
        <v>0</v>
      </c>
      <c r="AK24" s="7">
        <f>TOTAL!K24</f>
        <v>2</v>
      </c>
    </row>
    <row r="25" spans="1:37" ht="15" x14ac:dyDescent="0.25">
      <c r="A25" s="2" t="s">
        <v>19</v>
      </c>
      <c r="B25" s="7">
        <f t="shared" si="1"/>
        <v>24</v>
      </c>
      <c r="C25" s="113">
        <v>7</v>
      </c>
      <c r="D25" s="7">
        <v>2021</v>
      </c>
      <c r="E25" s="7">
        <f>TOTAL!E25</f>
        <v>5333</v>
      </c>
      <c r="F25" s="7">
        <f>HOTEL!R27</f>
        <v>195</v>
      </c>
      <c r="G25" s="7">
        <f>HOTEL!T27</f>
        <v>1</v>
      </c>
      <c r="H25" s="8">
        <f>HOTEL!DX27</f>
        <v>0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2"/>
        <v>80</v>
      </c>
      <c r="M25" s="7">
        <f>HOTEL!AE27</f>
        <v>0</v>
      </c>
      <c r="N25" s="7">
        <f>HOTEL!AI27</f>
        <v>23</v>
      </c>
      <c r="O25" s="7">
        <f>HOTEL!AM27</f>
        <v>3</v>
      </c>
      <c r="P25" s="7">
        <f>HOTEL!AO27</f>
        <v>0</v>
      </c>
      <c r="Q25" s="7">
        <f>HOTEL!AQ27</f>
        <v>0</v>
      </c>
      <c r="R25" s="7">
        <f>HOTEL!AS27</f>
        <v>2</v>
      </c>
      <c r="S25" s="7">
        <f>HOTEL!AU27</f>
        <v>0</v>
      </c>
      <c r="T25" s="7">
        <f>HOTEL!AW27</f>
        <v>0</v>
      </c>
      <c r="U25" s="7">
        <f>HOTEL!AY27</f>
        <v>0</v>
      </c>
      <c r="V25" s="7">
        <f>HOTEL!BA27</f>
        <v>0</v>
      </c>
      <c r="W25" s="7">
        <f>HOTEL!BM27</f>
        <v>40</v>
      </c>
      <c r="X25" s="7">
        <f>HOTEL!BT27</f>
        <v>17</v>
      </c>
      <c r="Y25" s="7">
        <f>HOTEL!CO27</f>
        <v>8.2959999999857974</v>
      </c>
      <c r="Z25" s="7">
        <f>HOTEL!CR26</f>
        <v>0</v>
      </c>
      <c r="AA25" s="7">
        <f>HOTEL!CU27</f>
        <v>0</v>
      </c>
      <c r="AB25" s="8">
        <f>HOTEL!CX27</f>
        <v>0</v>
      </c>
      <c r="AC25" s="7">
        <f>HOTEL!DA27</f>
        <v>6.6920000000004354</v>
      </c>
      <c r="AD25" s="8">
        <f>HOTEL!DD27</f>
        <v>0</v>
      </c>
      <c r="AE25" s="7">
        <f>HOTEL!DG27</f>
        <v>40</v>
      </c>
      <c r="AF25" s="7">
        <f>HOTEL!DJ27</f>
        <v>0</v>
      </c>
      <c r="AG25" s="7">
        <f>HOTEL!DM27</f>
        <v>0</v>
      </c>
      <c r="AH25" s="7">
        <f>HOTEL!DP27</f>
        <v>0</v>
      </c>
      <c r="AI25" s="7">
        <f>HOTEL!DS27</f>
        <v>0</v>
      </c>
      <c r="AJ25" s="7">
        <f>HOTEL!DV27</f>
        <v>0</v>
      </c>
      <c r="AK25" s="7">
        <f>TOTAL!K25</f>
        <v>2</v>
      </c>
    </row>
    <row r="26" spans="1:37" ht="15" x14ac:dyDescent="0.25">
      <c r="A26" s="2" t="s">
        <v>19</v>
      </c>
      <c r="B26" s="7">
        <f>B25+1</f>
        <v>25</v>
      </c>
      <c r="C26" s="113">
        <v>7</v>
      </c>
      <c r="D26" s="7">
        <v>2021</v>
      </c>
      <c r="E26" s="7">
        <f>TOTAL!E26</f>
        <v>5209</v>
      </c>
      <c r="F26" s="7">
        <f>HOTEL!R28</f>
        <v>29</v>
      </c>
      <c r="G26" s="7">
        <f>HOTEL!T28</f>
        <v>4</v>
      </c>
      <c r="H26" s="8">
        <f>HOTEL!DX28</f>
        <v>0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2"/>
        <v>70</v>
      </c>
      <c r="M26" s="7">
        <f>HOTEL!AE28</f>
        <v>0</v>
      </c>
      <c r="N26" s="7">
        <f>HOTEL!AI28</f>
        <v>10</v>
      </c>
      <c r="O26" s="7">
        <f>HOTEL!AM28</f>
        <v>0</v>
      </c>
      <c r="P26" s="7">
        <f>HOTEL!AO28</f>
        <v>0</v>
      </c>
      <c r="Q26" s="7">
        <f>HOTEL!AQ28</f>
        <v>0</v>
      </c>
      <c r="R26" s="7">
        <f>HOTEL!AS28</f>
        <v>0</v>
      </c>
      <c r="S26" s="7">
        <f>HOTEL!AU28</f>
        <v>0</v>
      </c>
      <c r="T26" s="7">
        <f>HOTEL!AW28</f>
        <v>0</v>
      </c>
      <c r="U26" s="7">
        <f>HOTEL!AY28</f>
        <v>0</v>
      </c>
      <c r="V26" s="7">
        <f>HOTEL!BA28</f>
        <v>0</v>
      </c>
      <c r="W26" s="7">
        <f>HOTEL!BM28</f>
        <v>50</v>
      </c>
      <c r="X26" s="7">
        <f>HOTEL!BT28</f>
        <v>10</v>
      </c>
      <c r="Y26" s="7">
        <f>HOTEL!CO28</f>
        <v>0.7320000000071013</v>
      </c>
      <c r="Z26" s="7">
        <f>HOTEL!CR27</f>
        <v>0</v>
      </c>
      <c r="AA26" s="7">
        <f>HOTEL!CU28</f>
        <v>0</v>
      </c>
      <c r="AB26" s="8">
        <f>HOTEL!CX28</f>
        <v>0</v>
      </c>
      <c r="AC26" s="7">
        <f>HOTEL!DA28</f>
        <v>1.1950000000000001</v>
      </c>
      <c r="AD26" s="8">
        <f>HOTEL!DD28</f>
        <v>0</v>
      </c>
      <c r="AE26" s="7" t="str">
        <f>HOTEL!DG28</f>
        <v>0</v>
      </c>
      <c r="AF26" s="7">
        <f>HOTEL!DJ28</f>
        <v>0</v>
      </c>
      <c r="AG26" s="7">
        <f>HOTEL!DM28</f>
        <v>0</v>
      </c>
      <c r="AH26" s="7">
        <f>HOTEL!DP28</f>
        <v>0</v>
      </c>
      <c r="AI26" s="7">
        <f>HOTEL!DS28</f>
        <v>0</v>
      </c>
      <c r="AJ26" s="7">
        <f>HOTEL!DV28</f>
        <v>0</v>
      </c>
      <c r="AK26" s="7">
        <f>TOTAL!K26</f>
        <v>2</v>
      </c>
    </row>
    <row r="27" spans="1:37" ht="15" x14ac:dyDescent="0.25">
      <c r="A27" s="2" t="s">
        <v>19</v>
      </c>
      <c r="B27" s="7">
        <f t="shared" si="1"/>
        <v>26</v>
      </c>
      <c r="C27" s="113">
        <v>7</v>
      </c>
      <c r="D27" s="7">
        <v>2021</v>
      </c>
      <c r="E27" s="7">
        <f>TOTAL!E27</f>
        <v>5753</v>
      </c>
      <c r="F27" s="7">
        <f>HOTEL!R29</f>
        <v>148</v>
      </c>
      <c r="G27" s="7">
        <f>HOTEL!T29</f>
        <v>2</v>
      </c>
      <c r="H27" s="8">
        <f>HOTEL!DX29</f>
        <v>0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>N27+W27+X27</f>
        <v>95</v>
      </c>
      <c r="M27" s="7">
        <f>HOTEL!AE29</f>
        <v>0</v>
      </c>
      <c r="N27" s="7">
        <f>HOTEL!AI29</f>
        <v>40</v>
      </c>
      <c r="O27" s="7">
        <f>HOTEL!AM29</f>
        <v>4</v>
      </c>
      <c r="P27" s="7">
        <f>HOTEL!AO29</f>
        <v>0</v>
      </c>
      <c r="Q27" s="7">
        <f>HOTEL!AQ29</f>
        <v>0</v>
      </c>
      <c r="R27" s="7">
        <f>HOTEL!AS29</f>
        <v>0</v>
      </c>
      <c r="S27" s="7">
        <f>HOTEL!AU29</f>
        <v>0</v>
      </c>
      <c r="T27" s="7">
        <f>HOTEL!AW29</f>
        <v>0</v>
      </c>
      <c r="U27" s="7">
        <f>HOTEL!AY29</f>
        <v>0</v>
      </c>
      <c r="V27" s="7">
        <f>HOTEL!BA29</f>
        <v>0</v>
      </c>
      <c r="W27" s="7">
        <f>HOTEL!BM29</f>
        <v>35</v>
      </c>
      <c r="X27" s="7">
        <f>HOTEL!BT29</f>
        <v>20</v>
      </c>
      <c r="Y27" s="7">
        <f>HOTEL!CO29</f>
        <v>14.152000000007101</v>
      </c>
      <c r="Z27" s="7">
        <f>HOTEL!CR28</f>
        <v>0</v>
      </c>
      <c r="AA27" s="7">
        <f>HOTEL!CU29</f>
        <v>0</v>
      </c>
      <c r="AB27" s="8">
        <f>HOTEL!CX29</f>
        <v>0</v>
      </c>
      <c r="AC27" s="7">
        <f>HOTEL!DA29</f>
        <v>6.6920000000004354</v>
      </c>
      <c r="AD27" s="8">
        <f>HOTEL!DD29</f>
        <v>0</v>
      </c>
      <c r="AE27" s="7">
        <f>HOTEL!DG29</f>
        <v>3.1999999999998181</v>
      </c>
      <c r="AF27" s="7">
        <f>HOTEL!DJ29</f>
        <v>0</v>
      </c>
      <c r="AG27" s="7">
        <f>HOTEL!DM29</f>
        <v>0</v>
      </c>
      <c r="AH27" s="7">
        <f>HOTEL!DP29</f>
        <v>0</v>
      </c>
      <c r="AI27" s="7">
        <f>HOTEL!DS29</f>
        <v>0</v>
      </c>
      <c r="AJ27" s="7">
        <f>HOTEL!DV29</f>
        <v>0</v>
      </c>
      <c r="AK27" s="7">
        <f>TOTAL!K27</f>
        <v>2</v>
      </c>
    </row>
    <row r="28" spans="1:37" ht="15" x14ac:dyDescent="0.25">
      <c r="A28" s="2" t="s">
        <v>19</v>
      </c>
      <c r="B28" s="7">
        <f t="shared" si="1"/>
        <v>27</v>
      </c>
      <c r="C28" s="113">
        <v>7</v>
      </c>
      <c r="D28" s="7">
        <v>2021</v>
      </c>
      <c r="E28" s="7">
        <f>TOTAL!E28</f>
        <v>0</v>
      </c>
      <c r="F28" s="7">
        <f>HOTEL!R30</f>
        <v>0</v>
      </c>
      <c r="G28" s="7">
        <f>HOTEL!T30</f>
        <v>0</v>
      </c>
      <c r="H28" s="8">
        <f>HOTEL!DX30</f>
        <v>0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2"/>
        <v>0</v>
      </c>
      <c r="M28" s="7">
        <f>HOTEL!AE30</f>
        <v>0</v>
      </c>
      <c r="N28" s="7">
        <f>HOTEL!AI30</f>
        <v>0</v>
      </c>
      <c r="O28" s="7">
        <f>HOTEL!AM30</f>
        <v>0</v>
      </c>
      <c r="P28" s="7">
        <f>HOTEL!AO30</f>
        <v>0</v>
      </c>
      <c r="Q28" s="7">
        <f>HOTEL!AQ30</f>
        <v>0</v>
      </c>
      <c r="R28" s="7">
        <f>HOTEL!AS30</f>
        <v>0</v>
      </c>
      <c r="S28" s="7">
        <f>HOTEL!AU30</f>
        <v>0</v>
      </c>
      <c r="T28" s="7">
        <f>HOTEL!AW30</f>
        <v>0</v>
      </c>
      <c r="U28" s="7">
        <f>HOTEL!AY30</f>
        <v>0</v>
      </c>
      <c r="V28" s="7">
        <f>HOTEL!BA30</f>
        <v>0</v>
      </c>
      <c r="W28" s="7">
        <f>HOTEL!BM30</f>
        <v>0</v>
      </c>
      <c r="X28" s="7">
        <f>HOTEL!BT30</f>
        <v>0</v>
      </c>
      <c r="Y28" s="7">
        <f>HOTEL!CO30</f>
        <v>0</v>
      </c>
      <c r="Z28" s="7">
        <f>HOTEL!CR29</f>
        <v>0</v>
      </c>
      <c r="AA28" s="7">
        <f>HOTEL!CU30</f>
        <v>0</v>
      </c>
      <c r="AB28" s="8">
        <f>HOTEL!CX30</f>
        <v>0</v>
      </c>
      <c r="AC28" s="7">
        <f>HOTEL!DA30</f>
        <v>0</v>
      </c>
      <c r="AD28" s="8">
        <f>HOTEL!DD30</f>
        <v>0</v>
      </c>
      <c r="AE28" s="7">
        <f>HOTEL!DG30</f>
        <v>0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</v>
      </c>
      <c r="AJ28" s="7">
        <f>HOTEL!DV30</f>
        <v>0</v>
      </c>
      <c r="AK28" s="7">
        <f>TOTAL!K28</f>
        <v>0</v>
      </c>
    </row>
    <row r="29" spans="1:37" ht="15" x14ac:dyDescent="0.25">
      <c r="A29" s="2" t="s">
        <v>19</v>
      </c>
      <c r="B29" s="7">
        <f t="shared" si="1"/>
        <v>28</v>
      </c>
      <c r="C29" s="113">
        <v>7</v>
      </c>
      <c r="D29" s="7">
        <v>2021</v>
      </c>
      <c r="E29" s="7">
        <f>TOTAL!E29</f>
        <v>0</v>
      </c>
      <c r="F29" s="7">
        <f>HOTEL!R31</f>
        <v>0</v>
      </c>
      <c r="G29" s="7">
        <f>HOTEL!T31</f>
        <v>0</v>
      </c>
      <c r="H29" s="8">
        <f>HOTEL!DX31</f>
        <v>0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2"/>
        <v>0</v>
      </c>
      <c r="M29" s="7">
        <f>HOTEL!AE31</f>
        <v>0</v>
      </c>
      <c r="N29" s="7">
        <f>HOTEL!AI31</f>
        <v>0</v>
      </c>
      <c r="O29" s="7">
        <f>HOTEL!AM31</f>
        <v>0</v>
      </c>
      <c r="P29" s="7">
        <f>HOTEL!AO31</f>
        <v>0</v>
      </c>
      <c r="Q29" s="7">
        <f>HOTEL!AQ31</f>
        <v>0</v>
      </c>
      <c r="R29" s="7">
        <f>HOTEL!AS31</f>
        <v>0</v>
      </c>
      <c r="S29" s="7">
        <f>HOTEL!AU31</f>
        <v>0</v>
      </c>
      <c r="T29" s="7">
        <f>HOTEL!AW31</f>
        <v>0</v>
      </c>
      <c r="U29" s="7">
        <f>HOTEL!AY31</f>
        <v>0</v>
      </c>
      <c r="V29" s="7">
        <f>HOTEL!BA31</f>
        <v>0</v>
      </c>
      <c r="W29" s="7">
        <f>HOTEL!BM31</f>
        <v>0</v>
      </c>
      <c r="X29" s="7">
        <f>HOTEL!BT31</f>
        <v>0</v>
      </c>
      <c r="Y29" s="7">
        <f>HOTEL!CO31</f>
        <v>0</v>
      </c>
      <c r="Z29" s="7">
        <f>HOTEL!CR30</f>
        <v>0</v>
      </c>
      <c r="AA29" s="7">
        <f>HOTEL!CU31</f>
        <v>0</v>
      </c>
      <c r="AB29" s="8">
        <f>HOTEL!CX31</f>
        <v>0</v>
      </c>
      <c r="AC29" s="7">
        <f>HOTEL!DA31</f>
        <v>0</v>
      </c>
      <c r="AD29" s="8">
        <f>HOTEL!DD31</f>
        <v>0</v>
      </c>
      <c r="AE29" s="7">
        <f>HOTEL!DG31</f>
        <v>0</v>
      </c>
      <c r="AF29" s="7">
        <f>HOTEL!DJ31</f>
        <v>0</v>
      </c>
      <c r="AG29" s="7">
        <f>HOTEL!DM31</f>
        <v>0</v>
      </c>
      <c r="AH29" s="7">
        <f>HOTEL!DP31</f>
        <v>0</v>
      </c>
      <c r="AI29" s="7">
        <f>HOTEL!DS31</f>
        <v>0</v>
      </c>
      <c r="AJ29" s="7">
        <f>HOTEL!DV31</f>
        <v>0</v>
      </c>
      <c r="AK29" s="7">
        <f>TOTAL!K29</f>
        <v>0</v>
      </c>
    </row>
    <row r="30" spans="1:37" ht="15" x14ac:dyDescent="0.25">
      <c r="A30" s="2" t="s">
        <v>19</v>
      </c>
      <c r="B30" s="7">
        <f t="shared" si="1"/>
        <v>29</v>
      </c>
      <c r="C30" s="113">
        <v>7</v>
      </c>
      <c r="D30" s="7">
        <v>2021</v>
      </c>
      <c r="E30" s="7">
        <f>TOTAL!E30</f>
        <v>0</v>
      </c>
      <c r="F30" s="7">
        <f>HOTEL!R32</f>
        <v>0</v>
      </c>
      <c r="G30" s="7">
        <f>HOTEL!T32</f>
        <v>0</v>
      </c>
      <c r="H30" s="8">
        <f>HOTEL!DX32</f>
        <v>0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>N30+W30+X30</f>
        <v>0</v>
      </c>
      <c r="M30" s="7">
        <f>HOTEL!AE32</f>
        <v>0</v>
      </c>
      <c r="N30" s="7">
        <f>HOTEL!AI32</f>
        <v>0</v>
      </c>
      <c r="O30" s="7">
        <f>HOTEL!AM32</f>
        <v>0</v>
      </c>
      <c r="P30" s="7">
        <f>HOTEL!AO32</f>
        <v>0</v>
      </c>
      <c r="Q30" s="7">
        <f>HOTEL!AQ32</f>
        <v>0</v>
      </c>
      <c r="R30" s="7">
        <f>HOTEL!AS32</f>
        <v>0</v>
      </c>
      <c r="S30" s="7">
        <f>HOTEL!AU32</f>
        <v>0</v>
      </c>
      <c r="T30" s="7">
        <f>HOTEL!AW32</f>
        <v>0</v>
      </c>
      <c r="U30" s="7">
        <f>HOTEL!AY32</f>
        <v>0</v>
      </c>
      <c r="V30" s="7">
        <f>HOTEL!BA32</f>
        <v>0</v>
      </c>
      <c r="W30" s="7">
        <f>HOTEL!BM32</f>
        <v>0</v>
      </c>
      <c r="X30" s="7">
        <f>HOTEL!BT32</f>
        <v>0</v>
      </c>
      <c r="Y30" s="7">
        <f>HOTEL!CO32</f>
        <v>0</v>
      </c>
      <c r="Z30" s="7">
        <f>HOTEL!CR31</f>
        <v>0</v>
      </c>
      <c r="AA30" s="7">
        <f>HOTEL!CU32</f>
        <v>0</v>
      </c>
      <c r="AB30" s="8">
        <f>HOTEL!CX32</f>
        <v>0</v>
      </c>
      <c r="AC30" s="7">
        <f>HOTEL!DA32</f>
        <v>0</v>
      </c>
      <c r="AD30" s="8">
        <f>HOTEL!DD32</f>
        <v>0</v>
      </c>
      <c r="AE30" s="7">
        <f>HOTEL!DG32</f>
        <v>0</v>
      </c>
      <c r="AF30" s="7">
        <f>HOTEL!DJ32</f>
        <v>0</v>
      </c>
      <c r="AG30" s="7">
        <f>HOTEL!DM32</f>
        <v>0</v>
      </c>
      <c r="AH30" s="7">
        <f>HOTEL!DP32</f>
        <v>0</v>
      </c>
      <c r="AI30" s="7">
        <f>HOTEL!DS32</f>
        <v>0</v>
      </c>
      <c r="AJ30" s="7">
        <f>HOTEL!DV32</f>
        <v>0</v>
      </c>
      <c r="AK30" s="7">
        <f>TOTAL!K30</f>
        <v>0</v>
      </c>
    </row>
    <row r="31" spans="1:37" ht="15" x14ac:dyDescent="0.25">
      <c r="A31" s="2" t="s">
        <v>19</v>
      </c>
      <c r="B31" s="7">
        <f t="shared" si="1"/>
        <v>30</v>
      </c>
      <c r="C31" s="113">
        <v>7</v>
      </c>
      <c r="D31" s="7">
        <v>2021</v>
      </c>
      <c r="E31" s="7">
        <f>TOTAL!E31</f>
        <v>0</v>
      </c>
      <c r="F31" s="7">
        <f>HOTEL!R33</f>
        <v>0</v>
      </c>
      <c r="G31" s="7">
        <f>HOTEL!T33</f>
        <v>0</v>
      </c>
      <c r="H31" s="8">
        <f>HOTEL!DX33</f>
        <v>0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2"/>
        <v>0</v>
      </c>
      <c r="M31" s="7">
        <f>HOTEL!AE33</f>
        <v>0</v>
      </c>
      <c r="N31" s="7">
        <f>HOTEL!AI33</f>
        <v>0</v>
      </c>
      <c r="O31" s="7">
        <f>HOTEL!AM33</f>
        <v>0</v>
      </c>
      <c r="P31" s="7">
        <f>HOTEL!AO33</f>
        <v>0</v>
      </c>
      <c r="Q31" s="7">
        <f>HOTEL!AQ33</f>
        <v>0</v>
      </c>
      <c r="R31" s="7">
        <f>HOTEL!AS33</f>
        <v>0</v>
      </c>
      <c r="S31" s="7">
        <f>HOTEL!AU33</f>
        <v>0</v>
      </c>
      <c r="T31" s="7">
        <f>HOTEL!AW33</f>
        <v>0</v>
      </c>
      <c r="U31" s="7">
        <f>HOTEL!AY33</f>
        <v>0</v>
      </c>
      <c r="V31" s="7">
        <f>HOTEL!BA33</f>
        <v>0</v>
      </c>
      <c r="W31" s="7">
        <f>HOTEL!BM33</f>
        <v>0</v>
      </c>
      <c r="X31" s="7">
        <f>HOTEL!BT33</f>
        <v>0</v>
      </c>
      <c r="Y31" s="7">
        <f>HOTEL!CO33</f>
        <v>0</v>
      </c>
      <c r="Z31" s="7">
        <f>HOTEL!CR32</f>
        <v>0</v>
      </c>
      <c r="AA31" s="7">
        <f>HOTEL!CU33</f>
        <v>0</v>
      </c>
      <c r="AB31" s="8">
        <f>HOTEL!CX33</f>
        <v>0</v>
      </c>
      <c r="AC31" s="7">
        <f>HOTEL!DA33</f>
        <v>0</v>
      </c>
      <c r="AD31" s="8">
        <f>HOTEL!DD33</f>
        <v>0</v>
      </c>
      <c r="AE31" s="7">
        <f>HOTEL!DG33</f>
        <v>0</v>
      </c>
      <c r="AF31" s="7">
        <f>HOTEL!DJ33</f>
        <v>0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0</v>
      </c>
      <c r="AK31" s="7">
        <f>TOTAL!K31</f>
        <v>0</v>
      </c>
    </row>
    <row r="32" spans="1:37" ht="15" x14ac:dyDescent="0.25">
      <c r="A32" s="2" t="s">
        <v>19</v>
      </c>
      <c r="B32" s="7">
        <f t="shared" si="1"/>
        <v>31</v>
      </c>
      <c r="C32" s="113">
        <v>7</v>
      </c>
      <c r="D32" s="7">
        <v>2021</v>
      </c>
      <c r="E32" s="7">
        <f>TOTAL!E32</f>
        <v>0</v>
      </c>
      <c r="F32" s="7">
        <f>HOTEL!R34</f>
        <v>0</v>
      </c>
      <c r="G32" s="7">
        <f>HOTEL!T34</f>
        <v>0</v>
      </c>
      <c r="H32" s="8">
        <f>HOTEL!DX34</f>
        <v>0</v>
      </c>
      <c r="I32" s="8">
        <f>HOTEL!DZ34</f>
        <v>0</v>
      </c>
      <c r="J32" s="8">
        <f>HOTEL!EB34</f>
        <v>0</v>
      </c>
      <c r="K32" s="8">
        <f>HOTEL!ED34</f>
        <v>0</v>
      </c>
      <c r="L32" s="7">
        <f t="shared" ref="L32" si="3">N32+W32+X32</f>
        <v>0</v>
      </c>
      <c r="M32" s="7">
        <f>HOTEL!AE34</f>
        <v>0</v>
      </c>
      <c r="N32" s="7">
        <f>HOTEL!AI34</f>
        <v>0</v>
      </c>
      <c r="O32" s="7">
        <f>HOTEL!AM34</f>
        <v>0</v>
      </c>
      <c r="P32" s="7">
        <f>HOTEL!AO34</f>
        <v>0</v>
      </c>
      <c r="Q32" s="7">
        <f>HOTEL!AQ34</f>
        <v>0</v>
      </c>
      <c r="R32" s="7">
        <f>HOTEL!AS34</f>
        <v>0</v>
      </c>
      <c r="S32" s="7">
        <f>HOTEL!AU34</f>
        <v>0</v>
      </c>
      <c r="T32" s="7">
        <f>HOTEL!AW34</f>
        <v>0</v>
      </c>
      <c r="U32" s="7">
        <f>HOTEL!AY34</f>
        <v>0</v>
      </c>
      <c r="V32" s="7">
        <f>HOTEL!BA34</f>
        <v>0</v>
      </c>
      <c r="W32" s="7">
        <f>HOTEL!BM34</f>
        <v>0</v>
      </c>
      <c r="X32" s="7">
        <f>HOTEL!BT34</f>
        <v>0</v>
      </c>
      <c r="Y32" s="7">
        <f>HOTEL!CO34</f>
        <v>0</v>
      </c>
      <c r="Z32" s="7">
        <f>HOTEL!CR33</f>
        <v>0</v>
      </c>
      <c r="AA32" s="7">
        <f>HOTEL!CU34</f>
        <v>0</v>
      </c>
      <c r="AB32" s="8">
        <f>HOTEL!CX34</f>
        <v>0</v>
      </c>
      <c r="AC32" s="7">
        <f>HOTEL!DA34</f>
        <v>0</v>
      </c>
      <c r="AD32" s="8">
        <f>HOTEL!DD34</f>
        <v>0</v>
      </c>
      <c r="AE32" s="7">
        <f>HOTEL!DG34</f>
        <v>0</v>
      </c>
      <c r="AF32" s="7">
        <f>HOTEL!DJ34</f>
        <v>0</v>
      </c>
      <c r="AG32" s="7">
        <f>HOTEL!DM34</f>
        <v>0</v>
      </c>
      <c r="AH32" s="7">
        <f>HOTEL!DP34</f>
        <v>0</v>
      </c>
      <c r="AI32" s="7">
        <f>HOTEL!DS34</f>
        <v>0</v>
      </c>
      <c r="AJ32" s="7">
        <f>HOTEL!DV34</f>
        <v>0</v>
      </c>
      <c r="AK32" s="7">
        <f>TOTAL!K32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Q55"/>
  <sheetViews>
    <sheetView tabSelected="1" zoomScale="85" zoomScaleNormal="85" workbookViewId="0">
      <pane xSplit="1" ySplit="2" topLeftCell="CY20" activePane="bottomRight" state="frozen"/>
      <selection pane="topRight" activeCell="B1" sqref="B1"/>
      <selection pane="bottomLeft" activeCell="A3" sqref="A3"/>
      <selection pane="bottomRight" activeCell="DA27" sqref="DA27:DP29"/>
    </sheetView>
  </sheetViews>
  <sheetFormatPr defaultRowHeight="12.75" x14ac:dyDescent="0.2"/>
  <cols>
    <col min="1" max="1" width="8.85546875" style="7" customWidth="1"/>
    <col min="2" max="2" width="11" style="20" customWidth="1"/>
    <col min="3" max="3" width="10.5703125" style="11" bestFit="1" customWidth="1"/>
    <col min="4" max="4" width="11.140625" style="7" bestFit="1" customWidth="1"/>
    <col min="5" max="5" width="11" style="11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2" customWidth="1"/>
    <col min="11" max="11" width="8.85546875" style="7" customWidth="1"/>
    <col min="12" max="12" width="8.85546875" style="12" customWidth="1"/>
    <col min="13" max="13" width="8.85546875" style="7" customWidth="1"/>
    <col min="14" max="14" width="8.85546875" style="12" customWidth="1"/>
    <col min="15" max="15" width="8.85546875" style="7" customWidth="1"/>
    <col min="16" max="16" width="8.85546875" style="12" customWidth="1"/>
    <col min="17" max="17" width="11.7109375" style="7" customWidth="1"/>
    <col min="18" max="18" width="9.85546875" style="12" bestFit="1" customWidth="1"/>
    <col min="19" max="19" width="15" style="7" customWidth="1"/>
    <col min="20" max="20" width="13.28515625" style="12" customWidth="1"/>
    <col min="21" max="21" width="8.85546875" style="7" customWidth="1"/>
    <col min="22" max="22" width="8.85546875" style="12" customWidth="1"/>
    <col min="23" max="23" width="8.85546875" style="7" customWidth="1"/>
    <col min="24" max="24" width="12" style="7" bestFit="1" customWidth="1"/>
    <col min="25" max="25" width="8.85546875" style="12" customWidth="1"/>
    <col min="26" max="26" width="8.85546875" style="7" customWidth="1"/>
    <col min="27" max="27" width="8.85546875" style="12" bestFit="1" customWidth="1"/>
    <col min="28" max="28" width="8.85546875" style="7" customWidth="1"/>
    <col min="29" max="29" width="8.85546875" style="12" bestFit="1" customWidth="1"/>
    <col min="30" max="30" width="13.7109375" style="7" bestFit="1" customWidth="1"/>
    <col min="31" max="31" width="8.85546875" style="12" customWidth="1"/>
    <col min="32" max="33" width="0" style="7" hidden="1" customWidth="1"/>
    <col min="34" max="34" width="8.85546875" style="7" customWidth="1"/>
    <col min="35" max="35" width="9.7109375" style="12" bestFit="1" customWidth="1"/>
    <col min="36" max="36" width="8.85546875" style="7" customWidth="1"/>
    <col min="37" max="37" width="9.7109375" style="12" bestFit="1" customWidth="1"/>
    <col min="38" max="38" width="8.85546875" style="7" customWidth="1"/>
    <col min="39" max="39" width="8.85546875" style="12" customWidth="1"/>
    <col min="40" max="40" width="8.85546875" style="7" customWidth="1"/>
    <col min="41" max="41" width="8.85546875" style="12" customWidth="1"/>
    <col min="42" max="42" width="8.85546875" style="7" customWidth="1"/>
    <col min="43" max="43" width="8.85546875" style="12" customWidth="1"/>
    <col min="44" max="44" width="8.85546875" style="7" customWidth="1"/>
    <col min="45" max="45" width="8.85546875" style="12" customWidth="1"/>
    <col min="46" max="46" width="8.85546875" style="7" customWidth="1"/>
    <col min="47" max="47" width="8.85546875" style="12" customWidth="1"/>
    <col min="48" max="48" width="8.85546875" style="7" customWidth="1"/>
    <col min="49" max="49" width="8.85546875" style="12" customWidth="1"/>
    <col min="50" max="50" width="8.85546875" style="7" customWidth="1"/>
    <col min="51" max="51" width="8.85546875" style="12" customWidth="1"/>
    <col min="52" max="52" width="8.85546875" style="7" customWidth="1"/>
    <col min="53" max="53" width="8.85546875" style="12" customWidth="1"/>
    <col min="54" max="54" width="12.85546875" style="7" bestFit="1" customWidth="1"/>
    <col min="55" max="55" width="8.5703125" style="12" bestFit="1" customWidth="1"/>
    <col min="56" max="56" width="13.140625" style="7" bestFit="1" customWidth="1"/>
    <col min="57" max="57" width="8.42578125" style="12" bestFit="1" customWidth="1"/>
    <col min="58" max="58" width="15.42578125" style="7" customWidth="1"/>
    <col min="59" max="59" width="8.85546875" style="12" customWidth="1"/>
    <col min="60" max="60" width="17.28515625" style="7" bestFit="1" customWidth="1"/>
    <col min="61" max="61" width="8.85546875" style="12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7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7" s="25" customFormat="1" ht="39.75" customHeight="1" x14ac:dyDescent="0.25">
      <c r="B1" s="128" t="s">
        <v>52</v>
      </c>
      <c r="C1" s="130"/>
      <c r="D1" s="130"/>
      <c r="E1" s="130"/>
      <c r="F1" s="130"/>
      <c r="G1" s="130"/>
      <c r="H1" s="130"/>
      <c r="I1" s="131" t="s">
        <v>53</v>
      </c>
      <c r="J1" s="131"/>
      <c r="K1" s="131"/>
      <c r="L1" s="131"/>
      <c r="M1" s="131" t="s">
        <v>54</v>
      </c>
      <c r="N1" s="131"/>
      <c r="O1" s="131"/>
      <c r="P1" s="131"/>
      <c r="Q1" s="26" t="s">
        <v>55</v>
      </c>
      <c r="R1" s="120" t="s">
        <v>56</v>
      </c>
      <c r="S1" s="27" t="s">
        <v>22</v>
      </c>
      <c r="T1" s="28" t="s">
        <v>56</v>
      </c>
      <c r="U1" s="128" t="s">
        <v>57</v>
      </c>
      <c r="V1" s="129"/>
      <c r="W1" s="29" t="s">
        <v>58</v>
      </c>
      <c r="X1" s="29"/>
      <c r="Y1" s="29"/>
      <c r="Z1" s="30"/>
      <c r="AA1" s="30"/>
      <c r="AB1" s="132" t="s">
        <v>59</v>
      </c>
      <c r="AC1" s="132"/>
      <c r="AD1" s="121" t="s">
        <v>60</v>
      </c>
      <c r="AE1" s="121"/>
      <c r="AF1" s="29" t="s">
        <v>61</v>
      </c>
      <c r="AG1" s="121" t="s">
        <v>56</v>
      </c>
      <c r="AH1" s="126" t="s">
        <v>62</v>
      </c>
      <c r="AI1" s="127"/>
      <c r="AJ1" s="126" t="s">
        <v>63</v>
      </c>
      <c r="AK1" s="127"/>
      <c r="AL1" s="128" t="s">
        <v>64</v>
      </c>
      <c r="AM1" s="129"/>
      <c r="AN1" s="128" t="s">
        <v>65</v>
      </c>
      <c r="AO1" s="129"/>
      <c r="AP1" s="128" t="s">
        <v>66</v>
      </c>
      <c r="AQ1" s="129"/>
      <c r="AR1" s="128" t="s">
        <v>67</v>
      </c>
      <c r="AS1" s="129"/>
      <c r="AT1" s="128" t="s">
        <v>68</v>
      </c>
      <c r="AU1" s="129"/>
      <c r="AV1" s="128" t="s">
        <v>69</v>
      </c>
      <c r="AW1" s="129"/>
      <c r="AX1" s="128" t="s">
        <v>70</v>
      </c>
      <c r="AY1" s="129"/>
      <c r="AZ1" s="128" t="s">
        <v>71</v>
      </c>
      <c r="BA1" s="129"/>
      <c r="BB1" s="31"/>
      <c r="BC1" s="31"/>
      <c r="BD1" s="31"/>
      <c r="BE1" s="31"/>
      <c r="BF1" s="31"/>
      <c r="BG1" s="31"/>
      <c r="BH1" s="121"/>
      <c r="BI1" s="121"/>
      <c r="BJ1" s="121"/>
      <c r="BK1" s="121"/>
      <c r="BL1" s="126" t="s">
        <v>72</v>
      </c>
      <c r="BM1" s="127"/>
      <c r="BN1" s="126" t="s">
        <v>73</v>
      </c>
      <c r="BO1" s="127"/>
      <c r="BP1" s="128" t="s">
        <v>74</v>
      </c>
      <c r="BQ1" s="129"/>
      <c r="BR1" s="126" t="s">
        <v>75</v>
      </c>
      <c r="BS1" s="127"/>
      <c r="BT1" s="30"/>
      <c r="BU1" s="30"/>
      <c r="BV1" s="30"/>
      <c r="BW1" s="32" t="s">
        <v>76</v>
      </c>
      <c r="BX1" s="33"/>
      <c r="BY1" s="33"/>
      <c r="BZ1" s="33"/>
      <c r="CA1" s="34" t="s">
        <v>77</v>
      </c>
      <c r="CB1" s="35"/>
      <c r="CV1" s="123" t="s">
        <v>78</v>
      </c>
      <c r="CW1" s="124"/>
      <c r="CX1" s="125"/>
      <c r="CY1" s="128" t="s">
        <v>64</v>
      </c>
      <c r="CZ1" s="130"/>
      <c r="DA1" s="129"/>
      <c r="DB1" s="123" t="s">
        <v>65</v>
      </c>
      <c r="DC1" s="124"/>
      <c r="DD1" s="125"/>
      <c r="DE1" s="123" t="s">
        <v>66</v>
      </c>
      <c r="DF1" s="124"/>
      <c r="DG1" s="125"/>
      <c r="DH1" s="123" t="s">
        <v>67</v>
      </c>
      <c r="DI1" s="124"/>
      <c r="DJ1" s="125"/>
      <c r="DK1" s="123" t="s">
        <v>68</v>
      </c>
      <c r="DL1" s="124"/>
      <c r="DM1" s="125"/>
      <c r="DN1" s="123" t="s">
        <v>69</v>
      </c>
      <c r="DO1" s="124"/>
      <c r="DP1" s="125"/>
      <c r="DQ1" s="123" t="s">
        <v>70</v>
      </c>
      <c r="DR1" s="124"/>
      <c r="DS1" s="125"/>
      <c r="DT1" s="123" t="s">
        <v>71</v>
      </c>
      <c r="DU1" s="124"/>
      <c r="DV1" s="125"/>
      <c r="DW1" s="36"/>
      <c r="DX1" s="36"/>
      <c r="DY1" s="36"/>
      <c r="DZ1" s="36"/>
      <c r="EH1" s="133" t="s">
        <v>79</v>
      </c>
      <c r="EI1" s="133"/>
      <c r="EJ1" s="133"/>
    </row>
    <row r="2" spans="1:147" customFormat="1" ht="38.25" x14ac:dyDescent="0.2">
      <c r="A2" s="37" t="s">
        <v>80</v>
      </c>
      <c r="B2" s="38" t="s">
        <v>81</v>
      </c>
      <c r="C2" s="39" t="s">
        <v>56</v>
      </c>
      <c r="D2" s="40" t="s">
        <v>82</v>
      </c>
      <c r="E2" s="41" t="s">
        <v>56</v>
      </c>
      <c r="F2" s="40" t="s">
        <v>83</v>
      </c>
      <c r="G2" s="42" t="s">
        <v>84</v>
      </c>
      <c r="H2" s="43" t="s">
        <v>85</v>
      </c>
      <c r="K2" s="44"/>
      <c r="L2" s="40"/>
      <c r="M2" s="45"/>
      <c r="N2" s="40"/>
      <c r="O2" s="40"/>
      <c r="P2" s="40"/>
      <c r="Q2" s="40"/>
      <c r="R2" s="40"/>
      <c r="S2" s="46"/>
      <c r="T2" s="47"/>
      <c r="U2" s="40" t="s">
        <v>86</v>
      </c>
      <c r="V2" s="48" t="s">
        <v>56</v>
      </c>
      <c r="W2" s="49"/>
      <c r="X2" s="49" t="s">
        <v>87</v>
      </c>
      <c r="Y2" s="49" t="s">
        <v>88</v>
      </c>
      <c r="Z2" s="50" t="s">
        <v>89</v>
      </c>
      <c r="AA2" s="50"/>
      <c r="AB2" s="49" t="s">
        <v>90</v>
      </c>
      <c r="AC2" s="49" t="s">
        <v>56</v>
      </c>
      <c r="AD2" s="49"/>
      <c r="AE2" s="49" t="s">
        <v>56</v>
      </c>
      <c r="AF2" s="49"/>
      <c r="AG2" s="49"/>
      <c r="AH2" s="40" t="s">
        <v>91</v>
      </c>
      <c r="AI2" s="40" t="s">
        <v>92</v>
      </c>
      <c r="AJ2" s="40"/>
      <c r="AK2" s="40"/>
      <c r="AL2" s="40" t="s">
        <v>93</v>
      </c>
      <c r="AM2" s="40" t="s">
        <v>88</v>
      </c>
      <c r="AN2" s="40" t="s">
        <v>65</v>
      </c>
      <c r="AO2" s="40" t="s">
        <v>88</v>
      </c>
      <c r="AP2" s="40" t="s">
        <v>66</v>
      </c>
      <c r="AQ2" s="40" t="s">
        <v>88</v>
      </c>
      <c r="AR2" s="40" t="s">
        <v>67</v>
      </c>
      <c r="AS2" s="40" t="s">
        <v>92</v>
      </c>
      <c r="AT2" s="40" t="s">
        <v>68</v>
      </c>
      <c r="AU2" s="40" t="s">
        <v>92</v>
      </c>
      <c r="AV2" s="40" t="s">
        <v>69</v>
      </c>
      <c r="AW2" s="40" t="s">
        <v>92</v>
      </c>
      <c r="AX2" s="40" t="s">
        <v>70</v>
      </c>
      <c r="AY2" s="40" t="s">
        <v>88</v>
      </c>
      <c r="AZ2" s="40" t="s">
        <v>71</v>
      </c>
      <c r="BA2" s="40" t="s">
        <v>88</v>
      </c>
      <c r="BB2" s="40" t="s">
        <v>94</v>
      </c>
      <c r="BC2" s="40" t="s">
        <v>88</v>
      </c>
      <c r="BD2" s="40" t="s">
        <v>95</v>
      </c>
      <c r="BE2" s="40" t="s">
        <v>88</v>
      </c>
      <c r="BF2" s="40" t="s">
        <v>96</v>
      </c>
      <c r="BG2" s="40" t="s">
        <v>88</v>
      </c>
      <c r="BH2" s="49" t="s">
        <v>97</v>
      </c>
      <c r="BI2" s="49" t="s">
        <v>92</v>
      </c>
      <c r="BJ2" s="49" t="s">
        <v>98</v>
      </c>
      <c r="BK2" s="49" t="s">
        <v>99</v>
      </c>
      <c r="BL2" s="40" t="s">
        <v>100</v>
      </c>
      <c r="BM2" s="40" t="s">
        <v>92</v>
      </c>
      <c r="BN2" s="40"/>
      <c r="BO2" s="40"/>
      <c r="BP2" s="40" t="s">
        <v>101</v>
      </c>
      <c r="BQ2" s="40" t="s">
        <v>92</v>
      </c>
      <c r="BR2" s="40"/>
      <c r="BS2" s="40"/>
      <c r="BT2" s="49" t="s">
        <v>101</v>
      </c>
      <c r="BU2" s="50" t="s">
        <v>102</v>
      </c>
      <c r="BV2" s="50" t="s">
        <v>103</v>
      </c>
      <c r="BW2" s="51" t="s">
        <v>104</v>
      </c>
      <c r="BX2" s="52" t="s">
        <v>105</v>
      </c>
      <c r="BY2" s="52" t="s">
        <v>106</v>
      </c>
      <c r="BZ2" s="52" t="s">
        <v>56</v>
      </c>
      <c r="CA2" s="40" t="s">
        <v>107</v>
      </c>
      <c r="CB2" s="40" t="s">
        <v>92</v>
      </c>
      <c r="CC2" s="49" t="s">
        <v>108</v>
      </c>
      <c r="CD2" s="49" t="s">
        <v>109</v>
      </c>
      <c r="CE2" s="49" t="s">
        <v>105</v>
      </c>
      <c r="CF2" s="49" t="s">
        <v>110</v>
      </c>
      <c r="CG2" s="53" t="s">
        <v>105</v>
      </c>
      <c r="CH2" s="49" t="s">
        <v>111</v>
      </c>
      <c r="CI2" s="49" t="s">
        <v>105</v>
      </c>
      <c r="CJ2" s="49" t="s">
        <v>112</v>
      </c>
      <c r="CK2" s="54" t="s">
        <v>92</v>
      </c>
      <c r="CL2" s="54" t="s">
        <v>113</v>
      </c>
      <c r="CM2" s="54" t="s">
        <v>114</v>
      </c>
      <c r="CN2" s="54" t="s">
        <v>115</v>
      </c>
      <c r="CO2" s="54" t="s">
        <v>116</v>
      </c>
      <c r="CP2" s="54" t="s">
        <v>117</v>
      </c>
      <c r="CQ2" s="54" t="s">
        <v>115</v>
      </c>
      <c r="CR2" s="54" t="s">
        <v>116</v>
      </c>
      <c r="CS2" s="54" t="s">
        <v>118</v>
      </c>
      <c r="CT2" s="54" t="s">
        <v>115</v>
      </c>
      <c r="CU2" s="54" t="s">
        <v>116</v>
      </c>
      <c r="CV2" s="40"/>
      <c r="CW2" s="54" t="s">
        <v>115</v>
      </c>
      <c r="CX2" s="54" t="s">
        <v>116</v>
      </c>
      <c r="CY2" s="40"/>
      <c r="CZ2" s="54" t="s">
        <v>115</v>
      </c>
      <c r="DA2" s="54" t="s">
        <v>116</v>
      </c>
      <c r="DB2" s="40"/>
      <c r="DC2" s="54" t="s">
        <v>115</v>
      </c>
      <c r="DD2" s="54" t="s">
        <v>116</v>
      </c>
      <c r="DE2" s="40"/>
      <c r="DF2" s="54" t="s">
        <v>115</v>
      </c>
      <c r="DG2" s="54" t="s">
        <v>116</v>
      </c>
      <c r="DH2" s="40"/>
      <c r="DI2" s="54" t="s">
        <v>115</v>
      </c>
      <c r="DJ2" s="54" t="s">
        <v>116</v>
      </c>
      <c r="DK2" s="40"/>
      <c r="DL2" s="54" t="s">
        <v>115</v>
      </c>
      <c r="DM2" s="54" t="s">
        <v>116</v>
      </c>
      <c r="DN2" s="40"/>
      <c r="DO2" s="54" t="s">
        <v>115</v>
      </c>
      <c r="DP2" s="54" t="s">
        <v>116</v>
      </c>
      <c r="DQ2" s="40"/>
      <c r="DR2" s="54" t="s">
        <v>115</v>
      </c>
      <c r="DS2" s="54" t="s">
        <v>116</v>
      </c>
      <c r="DT2" s="40"/>
      <c r="DU2" s="54" t="s">
        <v>115</v>
      </c>
      <c r="DV2" s="54" t="s">
        <v>116</v>
      </c>
      <c r="DW2" s="55">
        <v>145</v>
      </c>
      <c r="DX2" s="22" t="s">
        <v>56</v>
      </c>
      <c r="DY2" s="55">
        <v>146</v>
      </c>
      <c r="DZ2" s="56" t="s">
        <v>56</v>
      </c>
      <c r="EA2" s="56" t="s">
        <v>119</v>
      </c>
      <c r="EB2" s="56" t="s">
        <v>56</v>
      </c>
      <c r="EC2" s="56" t="s">
        <v>120</v>
      </c>
      <c r="ED2" s="56" t="s">
        <v>56</v>
      </c>
      <c r="EE2" s="9" t="s">
        <v>121</v>
      </c>
      <c r="EF2" s="9" t="s">
        <v>122</v>
      </c>
      <c r="EG2" s="57" t="s">
        <v>123</v>
      </c>
      <c r="EH2" s="56" t="s">
        <v>124</v>
      </c>
      <c r="EI2" s="56" t="s">
        <v>125</v>
      </c>
      <c r="EJ2" s="22" t="s">
        <v>126</v>
      </c>
    </row>
    <row r="3" spans="1:147" s="20" customFormat="1" ht="15" x14ac:dyDescent="0.2">
      <c r="A3" s="71">
        <v>44377</v>
      </c>
      <c r="B3" s="78">
        <v>7201041</v>
      </c>
      <c r="C3" s="73">
        <v>4723</v>
      </c>
      <c r="D3" s="78">
        <v>6416753</v>
      </c>
      <c r="E3" s="73">
        <v>4542</v>
      </c>
      <c r="F3" s="22">
        <v>0.96167690027524877</v>
      </c>
      <c r="G3" s="74">
        <v>306</v>
      </c>
      <c r="H3" s="74">
        <v>400</v>
      </c>
      <c r="I3" s="75">
        <v>288060</v>
      </c>
      <c r="J3" s="76">
        <v>0</v>
      </c>
      <c r="K3" s="77">
        <v>775</v>
      </c>
      <c r="L3" s="73">
        <v>0</v>
      </c>
      <c r="M3" s="78">
        <v>633950</v>
      </c>
      <c r="N3" s="73">
        <v>0</v>
      </c>
      <c r="O3" s="78">
        <v>992</v>
      </c>
      <c r="P3" s="76">
        <v>0</v>
      </c>
      <c r="Q3" s="78">
        <v>2554969</v>
      </c>
      <c r="R3" s="76">
        <v>131</v>
      </c>
      <c r="S3" s="78">
        <v>2192079</v>
      </c>
      <c r="T3" s="76">
        <v>1</v>
      </c>
      <c r="U3" s="78">
        <v>115180</v>
      </c>
      <c r="V3" s="76">
        <v>83</v>
      </c>
      <c r="W3" s="86">
        <v>100</v>
      </c>
      <c r="X3" s="78">
        <v>152370</v>
      </c>
      <c r="Y3" s="76">
        <v>0</v>
      </c>
      <c r="Z3" s="78">
        <v>40233</v>
      </c>
      <c r="AA3" s="81">
        <v>10</v>
      </c>
      <c r="AB3" s="78">
        <v>1128</v>
      </c>
      <c r="AC3" s="82">
        <v>1</v>
      </c>
      <c r="AD3" s="78">
        <v>4605</v>
      </c>
      <c r="AE3" s="76">
        <v>0</v>
      </c>
      <c r="AF3" s="19"/>
      <c r="AG3" s="19"/>
      <c r="AH3" s="78">
        <v>582660</v>
      </c>
      <c r="AI3" s="76">
        <v>30</v>
      </c>
      <c r="AJ3" s="90">
        <v>721</v>
      </c>
      <c r="AK3" s="73">
        <v>3</v>
      </c>
      <c r="AL3" s="78">
        <v>52324</v>
      </c>
      <c r="AM3" s="87">
        <v>2</v>
      </c>
      <c r="AN3" s="78">
        <v>8926</v>
      </c>
      <c r="AO3" s="73">
        <v>0</v>
      </c>
      <c r="AP3" s="78">
        <v>10578</v>
      </c>
      <c r="AQ3" s="76">
        <v>0</v>
      </c>
      <c r="AR3" s="78">
        <v>14607</v>
      </c>
      <c r="AS3" s="73">
        <v>5</v>
      </c>
      <c r="AT3" s="78">
        <v>19369</v>
      </c>
      <c r="AU3" s="76">
        <v>0</v>
      </c>
      <c r="AV3" s="78">
        <v>20677</v>
      </c>
      <c r="AW3" s="81">
        <v>0</v>
      </c>
      <c r="AX3" s="78">
        <v>13871</v>
      </c>
      <c r="AY3" s="91">
        <v>0</v>
      </c>
      <c r="AZ3" s="78">
        <v>6225</v>
      </c>
      <c r="BA3" s="73">
        <v>0</v>
      </c>
      <c r="BB3" s="78">
        <v>26542</v>
      </c>
      <c r="BC3" s="73">
        <v>1</v>
      </c>
      <c r="BD3" s="78">
        <v>1115</v>
      </c>
      <c r="BE3" s="73">
        <v>0</v>
      </c>
      <c r="BF3" s="78">
        <v>4378</v>
      </c>
      <c r="BG3" s="73">
        <v>0</v>
      </c>
      <c r="BH3" s="78">
        <v>3636</v>
      </c>
      <c r="BI3" s="73">
        <v>0</v>
      </c>
      <c r="BJ3" s="81">
        <v>5</v>
      </c>
      <c r="BK3" s="81">
        <v>25</v>
      </c>
      <c r="BL3" s="78">
        <v>602980</v>
      </c>
      <c r="BM3" s="81">
        <v>60</v>
      </c>
      <c r="BN3" s="92">
        <v>747</v>
      </c>
      <c r="BO3" s="73">
        <v>0</v>
      </c>
      <c r="BP3" s="78">
        <v>782490</v>
      </c>
      <c r="BQ3" s="81">
        <v>60</v>
      </c>
      <c r="BR3" s="92">
        <v>7497</v>
      </c>
      <c r="BS3" s="81">
        <v>0</v>
      </c>
      <c r="BT3" s="91">
        <v>30</v>
      </c>
      <c r="BU3" s="81">
        <v>120</v>
      </c>
      <c r="BV3" s="93">
        <v>7</v>
      </c>
      <c r="BW3" s="78">
        <v>124</v>
      </c>
      <c r="BX3" s="94">
        <v>15439.411265508745</v>
      </c>
      <c r="BY3" s="99"/>
      <c r="BZ3" s="96">
        <v>0</v>
      </c>
      <c r="CA3" s="74">
        <v>206736.3</v>
      </c>
      <c r="CB3" s="81">
        <v>4</v>
      </c>
      <c r="CC3" s="91">
        <v>22.84</v>
      </c>
      <c r="CD3" s="74">
        <v>60</v>
      </c>
      <c r="CE3" s="100">
        <v>6465</v>
      </c>
      <c r="CF3" s="74">
        <v>59</v>
      </c>
      <c r="CG3" s="101">
        <v>6357.25</v>
      </c>
      <c r="CH3" s="74">
        <v>60</v>
      </c>
      <c r="CI3" s="102">
        <v>6465</v>
      </c>
      <c r="CJ3" s="103">
        <v>19287.25</v>
      </c>
      <c r="CK3" s="104">
        <v>107.75</v>
      </c>
      <c r="CL3" s="78"/>
      <c r="CM3" s="78">
        <v>34639.699999999997</v>
      </c>
      <c r="CN3" s="81">
        <v>3.6999999999970896</v>
      </c>
      <c r="CO3" s="91">
        <v>9.0279999999928986</v>
      </c>
      <c r="CP3" s="78">
        <v>34300</v>
      </c>
      <c r="CQ3" s="81">
        <v>0</v>
      </c>
      <c r="CR3" s="91">
        <v>0</v>
      </c>
      <c r="CS3" s="78">
        <v>10235.6</v>
      </c>
      <c r="CT3" s="81">
        <v>0</v>
      </c>
      <c r="CU3" s="91">
        <v>0</v>
      </c>
      <c r="CV3" s="78">
        <v>832172.5</v>
      </c>
      <c r="CW3" s="81">
        <v>0</v>
      </c>
      <c r="CX3" s="91">
        <v>0</v>
      </c>
      <c r="CY3" s="78">
        <v>6084.3</v>
      </c>
      <c r="CZ3" s="81">
        <v>2.1999999999998181</v>
      </c>
      <c r="DA3" s="91">
        <v>5.2579999999995657</v>
      </c>
      <c r="DB3" s="78">
        <v>7420</v>
      </c>
      <c r="DC3" s="81">
        <v>0</v>
      </c>
      <c r="DD3" s="81">
        <v>0</v>
      </c>
      <c r="DE3" s="78">
        <v>4067</v>
      </c>
      <c r="DF3" s="81">
        <v>0</v>
      </c>
      <c r="DG3" s="81">
        <v>1</v>
      </c>
      <c r="DH3" s="78">
        <v>1855.9</v>
      </c>
      <c r="DI3" s="81">
        <v>0</v>
      </c>
      <c r="DJ3" s="81">
        <v>0</v>
      </c>
      <c r="DK3" s="78">
        <v>5081.7</v>
      </c>
      <c r="DL3" s="81">
        <v>0</v>
      </c>
      <c r="DM3" s="81">
        <v>0</v>
      </c>
      <c r="DN3" s="78">
        <v>4454.7</v>
      </c>
      <c r="DO3" s="81">
        <v>0</v>
      </c>
      <c r="DP3" s="81">
        <v>0</v>
      </c>
      <c r="DQ3" s="78">
        <v>5089.6000000000004</v>
      </c>
      <c r="DR3" s="81">
        <v>0</v>
      </c>
      <c r="DS3" s="81">
        <v>0</v>
      </c>
      <c r="DT3" s="78">
        <v>5109.1000000000004</v>
      </c>
      <c r="DU3" s="81">
        <v>0</v>
      </c>
      <c r="DV3" s="91">
        <v>0</v>
      </c>
      <c r="DW3" s="98">
        <v>12871</v>
      </c>
      <c r="DX3" s="91">
        <v>0</v>
      </c>
      <c r="DY3" s="98">
        <v>62789</v>
      </c>
      <c r="DZ3" s="91">
        <v>0</v>
      </c>
      <c r="EA3" s="109">
        <v>15588</v>
      </c>
      <c r="EB3" s="91">
        <v>0</v>
      </c>
      <c r="EC3" s="109">
        <v>24679</v>
      </c>
      <c r="ED3" s="91">
        <v>0</v>
      </c>
      <c r="EE3" s="109">
        <v>2</v>
      </c>
      <c r="EF3" s="110">
        <v>6</v>
      </c>
      <c r="EG3" s="108">
        <v>1.4999999999999999E-2</v>
      </c>
      <c r="EH3" s="112"/>
      <c r="EI3" s="58"/>
      <c r="EJ3" s="58"/>
      <c r="EK3"/>
      <c r="EL3"/>
      <c r="EM3"/>
    </row>
    <row r="4" spans="1:147" ht="15" x14ac:dyDescent="0.25">
      <c r="A4" s="71">
        <v>44378</v>
      </c>
      <c r="B4" s="79">
        <v>7206024</v>
      </c>
      <c r="C4" s="73">
        <f t="shared" ref="C4:C10" si="0">IF((B4-B3)&lt;0,"0",(B4-B3))</f>
        <v>4983</v>
      </c>
      <c r="D4" s="78">
        <v>6421569</v>
      </c>
      <c r="E4" s="73">
        <f t="shared" ref="E4:E10" si="1">IF((D4-D3)&lt;0,"0",(D4-D3))</f>
        <v>4816</v>
      </c>
      <c r="F4" s="22">
        <f t="shared" ref="F4:F10" si="2">E4/C4</f>
        <v>0.96648605257876785</v>
      </c>
      <c r="G4" s="74">
        <v>266</v>
      </c>
      <c r="H4" s="74">
        <v>300</v>
      </c>
      <c r="I4" s="75">
        <v>288060</v>
      </c>
      <c r="J4" s="76">
        <f t="shared" ref="J4:J10" si="3">IF((I4-I3)&lt;0,"0",(I4-I3))</f>
        <v>0</v>
      </c>
      <c r="K4" s="77">
        <v>775</v>
      </c>
      <c r="L4" s="76">
        <f t="shared" ref="L4:L6" si="4">IF((K4-K3)&lt;0,"0",(K4-K3))</f>
        <v>0</v>
      </c>
      <c r="M4" s="78">
        <v>633950</v>
      </c>
      <c r="N4" s="76">
        <f t="shared" ref="N4:N10" si="5">IF((M4-M3)&lt;0,"0",(M4-M3))</f>
        <v>0</v>
      </c>
      <c r="O4" s="78">
        <v>992</v>
      </c>
      <c r="P4" s="76">
        <f t="shared" ref="P4:P10" si="6">IF((O4-O3)&lt;0,"0",(O4-O3))</f>
        <v>0</v>
      </c>
      <c r="Q4" s="78">
        <v>2555107</v>
      </c>
      <c r="R4" s="76">
        <f t="shared" ref="R4:V10" si="7">(Q4-Q3)</f>
        <v>138</v>
      </c>
      <c r="S4" s="78">
        <v>2192080</v>
      </c>
      <c r="T4" s="76">
        <f t="shared" si="7"/>
        <v>1</v>
      </c>
      <c r="U4" s="74">
        <v>115261</v>
      </c>
      <c r="V4" s="76">
        <f t="shared" si="7"/>
        <v>81</v>
      </c>
      <c r="W4" s="86">
        <v>100</v>
      </c>
      <c r="X4" s="78">
        <v>152370</v>
      </c>
      <c r="Y4" s="73">
        <v>0</v>
      </c>
      <c r="Z4" s="78">
        <v>40243</v>
      </c>
      <c r="AA4" s="81">
        <f t="shared" ref="AA4:AC10" si="8">IF((Z4-Z3)&lt;0,"0",(Z4-Z3))</f>
        <v>10</v>
      </c>
      <c r="AB4" s="84">
        <v>1128</v>
      </c>
      <c r="AC4" s="82">
        <v>0</v>
      </c>
      <c r="AD4" s="77">
        <v>4605</v>
      </c>
      <c r="AE4" s="83">
        <f>(AD4-AD3)</f>
        <v>0</v>
      </c>
      <c r="AF4" s="22"/>
      <c r="AG4" s="22"/>
      <c r="AH4" s="78">
        <v>582690</v>
      </c>
      <c r="AI4" s="76">
        <f t="shared" ref="AI4:AI10" si="9">IF((AH4-AH3)&lt;0,"0",(AH4-AH3))</f>
        <v>30</v>
      </c>
      <c r="AJ4" s="88">
        <v>721</v>
      </c>
      <c r="AK4" s="73">
        <f t="shared" ref="AK4:AK10" si="10">(AJ4-AJ3)</f>
        <v>0</v>
      </c>
      <c r="AL4" s="86">
        <v>52325</v>
      </c>
      <c r="AM4" s="87">
        <f t="shared" ref="AM4:AM10" si="11">(AL4-AL3)</f>
        <v>1</v>
      </c>
      <c r="AN4" s="77">
        <v>8926</v>
      </c>
      <c r="AO4" s="73">
        <v>0</v>
      </c>
      <c r="AP4" s="78">
        <v>10578</v>
      </c>
      <c r="AQ4" s="73">
        <f t="shared" ref="AO4:AU10" si="12">(AP4-AP3)</f>
        <v>0</v>
      </c>
      <c r="AR4" s="78">
        <v>14607</v>
      </c>
      <c r="AS4" s="73">
        <f t="shared" si="12"/>
        <v>0</v>
      </c>
      <c r="AT4" s="78">
        <v>19369</v>
      </c>
      <c r="AU4" s="73">
        <f t="shared" si="12"/>
        <v>0</v>
      </c>
      <c r="AV4" s="78">
        <v>20677</v>
      </c>
      <c r="AW4" s="81">
        <f t="shared" ref="AW4:AW10" si="13">IF((AV4-AV3)&lt;0,"0",(AV4-AV3))</f>
        <v>0</v>
      </c>
      <c r="AX4" s="72">
        <v>13871</v>
      </c>
      <c r="AY4" s="81">
        <f t="shared" ref="AY4:AY10" si="14">IF((AX5-AX3)&lt;0,"0",(AX5-AX3))</f>
        <v>0</v>
      </c>
      <c r="AZ4" s="78">
        <v>6225</v>
      </c>
      <c r="BA4" s="83">
        <v>0</v>
      </c>
      <c r="BB4" s="78">
        <v>26543</v>
      </c>
      <c r="BC4" s="73">
        <f t="shared" ref="BC4:BC10" si="15">(BB4-BB3)</f>
        <v>1</v>
      </c>
      <c r="BD4" s="78">
        <v>1115</v>
      </c>
      <c r="BE4" s="73">
        <f t="shared" ref="BE4:BE10" si="16">(BD4-BD3)</f>
        <v>0</v>
      </c>
      <c r="BF4" s="78">
        <v>4378</v>
      </c>
      <c r="BG4" s="73">
        <f t="shared" ref="BG4:BG10" si="17">(BF4-BF3)</f>
        <v>0</v>
      </c>
      <c r="BH4" s="78">
        <v>3636</v>
      </c>
      <c r="BI4" s="73">
        <v>0</v>
      </c>
      <c r="BJ4" s="81">
        <f t="shared" ref="BJ4:BJ10" si="18">AY4+AW4+AS4</f>
        <v>0</v>
      </c>
      <c r="BK4" s="81">
        <f t="shared" ref="BK4:BK10" si="19">AI4-BJ4</f>
        <v>30</v>
      </c>
      <c r="BL4" s="78">
        <v>603020</v>
      </c>
      <c r="BM4" s="81">
        <f t="shared" ref="BM4:BM10" si="20">IF((BL4-BL3)&lt;0,"0",(BL4-BL3))</f>
        <v>40</v>
      </c>
      <c r="BN4" s="92">
        <v>747</v>
      </c>
      <c r="BO4" s="73">
        <f t="shared" ref="BO4:BO10" si="21">(BN4-BN3)</f>
        <v>0</v>
      </c>
      <c r="BP4" s="78">
        <v>782550</v>
      </c>
      <c r="BQ4" s="81">
        <f t="shared" ref="BQ4:BQ10" si="22">IF((BP4-BP3)&lt;0,"0",(BP4-BP3))</f>
        <v>60</v>
      </c>
      <c r="BR4" s="92">
        <v>7498</v>
      </c>
      <c r="BS4" s="81">
        <f t="shared" ref="BS4:BS10" si="23">IF((BR4-BR3)&lt;0,"0",(BR4-BR3))</f>
        <v>1</v>
      </c>
      <c r="BT4" s="91">
        <f t="shared" ref="BT4:BT10" si="24">BQ4-AI4</f>
        <v>30</v>
      </c>
      <c r="BU4" s="81">
        <f t="shared" ref="BU4:BU10" si="25">SUM(BM4, BQ4)</f>
        <v>100</v>
      </c>
      <c r="BV4" s="93">
        <f t="shared" ref="BV4:BV10" si="26" xml:space="preserve"> SUM(AM4,AO4,AQ4,AS4,AU4,AW4,AY4,BA4,BE4)</f>
        <v>1</v>
      </c>
      <c r="BW4" s="78">
        <v>124</v>
      </c>
      <c r="BX4" s="94">
        <f t="shared" ref="BX4:BX10" si="27">(IF(BW4&lt;=116.4,((116.4*116.4*ACOS((116.4-BW4)/116.4))-((116.4-BW4)*SQRT(2*116.4*BW4-BW4*BW4)))*669.8,((3.1416*116.4*116.4)-((116.4*116.4*ACOS((116.4-(2*116.4-BW4))/116.4))-((116.4-(2*116.4-BW4))*SQRT(2*116.4*(2*116.4-BW4)-((2*116.4-BW4)*(2*116.4-BW4))))))*669.8))/1000</f>
        <v>15439.411265508745</v>
      </c>
      <c r="BY4" s="98"/>
      <c r="BZ4" s="96">
        <f t="shared" ref="BZ4:BZ10" si="28">(BY4-BY3)</f>
        <v>0</v>
      </c>
      <c r="CA4" s="75">
        <v>206740.3</v>
      </c>
      <c r="CB4" s="81">
        <f t="shared" ref="CB4:CB10" si="29">IF((CA4-CA3)&lt;0,"0",(CA4-CA3))</f>
        <v>4</v>
      </c>
      <c r="CC4" s="91">
        <f t="shared" ref="CC4:CC10" si="30">CB4*5.71</f>
        <v>22.84</v>
      </c>
      <c r="CD4" s="84">
        <v>60</v>
      </c>
      <c r="CE4" s="100">
        <f t="shared" ref="CE4:CE10" si="31">(CD4*10775)/100</f>
        <v>6465</v>
      </c>
      <c r="CF4" s="75">
        <v>59</v>
      </c>
      <c r="CG4" s="101">
        <f t="shared" ref="CG4:CG10" si="32">(CF4*10775)/100</f>
        <v>6357.25</v>
      </c>
      <c r="CH4" s="84">
        <v>59</v>
      </c>
      <c r="CI4" s="102">
        <f t="shared" ref="CI4:CI10" si="33">(CH4*10775)/100</f>
        <v>6357.25</v>
      </c>
      <c r="CJ4" s="103">
        <f t="shared" ref="CJ4:CJ10" si="34">CE4+CG4+CI4</f>
        <v>19179.5</v>
      </c>
      <c r="CK4" s="104">
        <f t="shared" ref="CK4:CK10" si="35">IF((CJ3-CJ4+CL3)=CJ3,"0",(CJ3-CJ4+CL3))</f>
        <v>107.75</v>
      </c>
      <c r="CL4" s="78"/>
      <c r="CM4" s="78">
        <v>34643</v>
      </c>
      <c r="CN4" s="81">
        <f t="shared" ref="CN4:CN10" si="36">IF((CM4-CM3)&lt;0,"0",(CM4-CM3))</f>
        <v>3.3000000000029104</v>
      </c>
      <c r="CO4" s="91">
        <f t="shared" ref="CO4:CO10" si="37">CN4*2.44</f>
        <v>8.0520000000071015</v>
      </c>
      <c r="CP4" s="72">
        <v>34300</v>
      </c>
      <c r="CQ4" s="81">
        <f t="shared" ref="CQ4:CQ10" si="38">IF((CP4-CP3)&lt;0,"0",(CP4-CP3))</f>
        <v>0</v>
      </c>
      <c r="CR4" s="91">
        <f t="shared" ref="CR4:CR10" si="39">CQ4*2.44</f>
        <v>0</v>
      </c>
      <c r="CS4" s="78">
        <v>10235.6</v>
      </c>
      <c r="CT4" s="81">
        <v>0</v>
      </c>
      <c r="CU4" s="91">
        <f t="shared" ref="CU4:CU10" si="40">CT4*2.44</f>
        <v>0</v>
      </c>
      <c r="CV4" s="78">
        <v>832172.5</v>
      </c>
      <c r="CW4" s="81">
        <f t="shared" ref="CW4:CW10" si="41">IF((CV4-CV3)&lt;0,"0",(CV4-CV3))</f>
        <v>0</v>
      </c>
      <c r="CX4" s="91">
        <f t="shared" ref="CX4:CX10" si="42">CW4*2.44</f>
        <v>0</v>
      </c>
      <c r="CY4" s="77">
        <v>6084.3</v>
      </c>
      <c r="CZ4" s="81">
        <f t="shared" ref="CZ4:CZ10" si="43">IF((CY4-CY3)&lt;0,"0",(CY4-CY3))</f>
        <v>0</v>
      </c>
      <c r="DA4" s="91">
        <f t="shared" ref="DA4:DA10" si="44">CZ4*2.39</f>
        <v>0</v>
      </c>
      <c r="DB4" s="78">
        <v>7420</v>
      </c>
      <c r="DC4" s="81">
        <f t="shared" ref="DC4:DD10" si="45">IF((DB4-DB3)&lt;0,"0",(DB4-DB3))</f>
        <v>0</v>
      </c>
      <c r="DD4" s="81">
        <f t="shared" si="45"/>
        <v>0</v>
      </c>
      <c r="DE4" s="78">
        <v>4071.9</v>
      </c>
      <c r="DF4" s="81">
        <f t="shared" ref="DF4:DS10" si="46">IF((DE4-DE3)&lt;0,"0",(DE4-DE3))</f>
        <v>4.9000000000000909</v>
      </c>
      <c r="DG4" s="81">
        <f t="shared" si="46"/>
        <v>4.9000000000000909</v>
      </c>
      <c r="DH4" s="78">
        <v>1855.9</v>
      </c>
      <c r="DI4" s="81">
        <f t="shared" si="46"/>
        <v>0</v>
      </c>
      <c r="DJ4" s="81">
        <f t="shared" si="46"/>
        <v>0</v>
      </c>
      <c r="DK4" s="78">
        <v>5081.7</v>
      </c>
      <c r="DL4" s="81">
        <f t="shared" si="46"/>
        <v>0</v>
      </c>
      <c r="DM4" s="81">
        <f t="shared" si="46"/>
        <v>0</v>
      </c>
      <c r="DN4" s="78">
        <v>4454.7</v>
      </c>
      <c r="DO4" s="81">
        <f t="shared" si="46"/>
        <v>0</v>
      </c>
      <c r="DP4" s="81">
        <f t="shared" si="46"/>
        <v>0</v>
      </c>
      <c r="DQ4" s="78">
        <v>5089.6000000000004</v>
      </c>
      <c r="DR4" s="81">
        <f t="shared" si="46"/>
        <v>0</v>
      </c>
      <c r="DS4" s="81">
        <f t="shared" si="46"/>
        <v>0</v>
      </c>
      <c r="DT4" s="78">
        <v>5109.1000000000004</v>
      </c>
      <c r="DU4" s="81">
        <f t="shared" ref="DU4:DU10" si="47">IF((DT4-DT3)&lt;0,"0",(DT4-DT3))</f>
        <v>0</v>
      </c>
      <c r="DV4" s="91">
        <f t="shared" ref="DV4:DV10" si="48">DU4*2.39</f>
        <v>0</v>
      </c>
      <c r="DW4" s="98">
        <v>12871</v>
      </c>
      <c r="DX4" s="91">
        <f>(DW4-DW3)</f>
        <v>0</v>
      </c>
      <c r="DY4" s="98">
        <v>62789</v>
      </c>
      <c r="DZ4" s="91">
        <f t="shared" ref="DZ4:EB10" si="49">(DY4-DY3)</f>
        <v>0</v>
      </c>
      <c r="EA4" s="109">
        <v>15588</v>
      </c>
      <c r="EB4" s="91">
        <f t="shared" si="49"/>
        <v>0</v>
      </c>
      <c r="EC4" s="72">
        <v>24679</v>
      </c>
      <c r="ED4" s="91">
        <f t="shared" ref="ED4:ED10" si="50">(EC4-EC3)</f>
        <v>0</v>
      </c>
      <c r="EE4" s="109">
        <v>2</v>
      </c>
      <c r="EF4" s="110">
        <v>6</v>
      </c>
      <c r="EG4" s="108">
        <v>1.4999999999999999E-2</v>
      </c>
      <c r="EH4" s="68"/>
      <c r="EI4" s="58"/>
      <c r="EJ4" s="58"/>
      <c r="EK4"/>
      <c r="EL4"/>
      <c r="EM4"/>
    </row>
    <row r="5" spans="1:147" ht="15" x14ac:dyDescent="0.25">
      <c r="A5" s="71">
        <v>44379</v>
      </c>
      <c r="B5" s="74">
        <v>7211318</v>
      </c>
      <c r="C5" s="73">
        <f t="shared" si="0"/>
        <v>5294</v>
      </c>
      <c r="D5" s="74">
        <v>6426705</v>
      </c>
      <c r="E5" s="73">
        <f t="shared" si="1"/>
        <v>5136</v>
      </c>
      <c r="F5" s="22">
        <f t="shared" si="2"/>
        <v>0.97015489233094065</v>
      </c>
      <c r="G5" s="74">
        <v>288</v>
      </c>
      <c r="H5" s="74">
        <v>306</v>
      </c>
      <c r="I5" s="75">
        <v>288060</v>
      </c>
      <c r="J5" s="76">
        <f t="shared" si="3"/>
        <v>0</v>
      </c>
      <c r="K5" s="77">
        <v>775</v>
      </c>
      <c r="L5" s="76">
        <f t="shared" si="4"/>
        <v>0</v>
      </c>
      <c r="M5" s="78">
        <v>633950</v>
      </c>
      <c r="N5" s="76">
        <f t="shared" si="5"/>
        <v>0</v>
      </c>
      <c r="O5" s="78">
        <v>992</v>
      </c>
      <c r="P5" s="76">
        <f t="shared" si="6"/>
        <v>0</v>
      </c>
      <c r="Q5" s="78">
        <v>2555194</v>
      </c>
      <c r="R5" s="76">
        <f t="shared" si="7"/>
        <v>87</v>
      </c>
      <c r="S5" s="78">
        <v>2192081</v>
      </c>
      <c r="T5" s="76">
        <f t="shared" si="7"/>
        <v>1</v>
      </c>
      <c r="U5" s="78">
        <v>115352</v>
      </c>
      <c r="V5" s="76">
        <f t="shared" si="7"/>
        <v>91</v>
      </c>
      <c r="W5" s="86">
        <v>100</v>
      </c>
      <c r="X5" s="78">
        <v>152370</v>
      </c>
      <c r="Y5" s="73">
        <v>0</v>
      </c>
      <c r="Z5" s="85">
        <v>40252</v>
      </c>
      <c r="AA5" s="81">
        <f t="shared" si="8"/>
        <v>9</v>
      </c>
      <c r="AB5" s="86">
        <v>1128</v>
      </c>
      <c r="AC5" s="82">
        <f t="shared" si="8"/>
        <v>0</v>
      </c>
      <c r="AD5" s="75">
        <v>4605</v>
      </c>
      <c r="AE5" s="83">
        <f>(AD5-AD4)</f>
        <v>0</v>
      </c>
      <c r="AF5" s="22"/>
      <c r="AG5" s="22"/>
      <c r="AH5" s="74">
        <v>582740</v>
      </c>
      <c r="AI5" s="76">
        <f t="shared" si="9"/>
        <v>50</v>
      </c>
      <c r="AJ5" s="88">
        <v>734</v>
      </c>
      <c r="AK5" s="73">
        <f t="shared" si="10"/>
        <v>13</v>
      </c>
      <c r="AL5" s="84">
        <v>52327</v>
      </c>
      <c r="AM5" s="87">
        <f t="shared" si="11"/>
        <v>2</v>
      </c>
      <c r="AN5" s="75">
        <v>8928</v>
      </c>
      <c r="AO5" s="73">
        <v>0</v>
      </c>
      <c r="AP5" s="74">
        <v>10579</v>
      </c>
      <c r="AQ5" s="73">
        <f t="shared" si="12"/>
        <v>1</v>
      </c>
      <c r="AR5" s="74">
        <v>14611</v>
      </c>
      <c r="AS5" s="73">
        <f t="shared" si="12"/>
        <v>4</v>
      </c>
      <c r="AT5" s="78">
        <v>19369</v>
      </c>
      <c r="AU5" s="73">
        <f t="shared" si="12"/>
        <v>0</v>
      </c>
      <c r="AV5" s="78">
        <v>20677</v>
      </c>
      <c r="AW5" s="81">
        <f t="shared" si="13"/>
        <v>0</v>
      </c>
      <c r="AX5" s="78">
        <v>13871</v>
      </c>
      <c r="AY5" s="81">
        <f t="shared" si="14"/>
        <v>0</v>
      </c>
      <c r="AZ5" s="78">
        <v>6225</v>
      </c>
      <c r="BA5" s="83">
        <v>0</v>
      </c>
      <c r="BB5" s="74">
        <v>26545</v>
      </c>
      <c r="BC5" s="73">
        <f t="shared" si="15"/>
        <v>2</v>
      </c>
      <c r="BD5" s="74">
        <v>1115</v>
      </c>
      <c r="BE5" s="73">
        <f t="shared" si="16"/>
        <v>0</v>
      </c>
      <c r="BF5" s="74">
        <v>4378</v>
      </c>
      <c r="BG5" s="73">
        <f t="shared" si="17"/>
        <v>0</v>
      </c>
      <c r="BH5" s="78">
        <v>3636</v>
      </c>
      <c r="BI5" s="73">
        <f t="shared" ref="BI5:BI10" si="51">(BH5-BH4)</f>
        <v>0</v>
      </c>
      <c r="BJ5" s="81">
        <f t="shared" si="18"/>
        <v>4</v>
      </c>
      <c r="BK5" s="81">
        <f t="shared" si="19"/>
        <v>46</v>
      </c>
      <c r="BL5" s="74">
        <v>603040</v>
      </c>
      <c r="BM5" s="81">
        <f t="shared" si="20"/>
        <v>20</v>
      </c>
      <c r="BN5" s="88">
        <v>747</v>
      </c>
      <c r="BO5" s="73">
        <f t="shared" si="21"/>
        <v>0</v>
      </c>
      <c r="BP5" s="78">
        <v>782610</v>
      </c>
      <c r="BQ5" s="81">
        <f t="shared" si="22"/>
        <v>60</v>
      </c>
      <c r="BR5" s="88">
        <v>7503</v>
      </c>
      <c r="BS5" s="81">
        <f t="shared" si="23"/>
        <v>5</v>
      </c>
      <c r="BT5" s="91">
        <f t="shared" si="24"/>
        <v>10</v>
      </c>
      <c r="BU5" s="81">
        <f t="shared" si="25"/>
        <v>80</v>
      </c>
      <c r="BV5" s="93">
        <f t="shared" si="26"/>
        <v>7</v>
      </c>
      <c r="BW5" s="78">
        <v>124</v>
      </c>
      <c r="BX5" s="94">
        <f t="shared" si="27"/>
        <v>15439.411265508745</v>
      </c>
      <c r="BY5" s="99"/>
      <c r="BZ5" s="96">
        <f t="shared" si="28"/>
        <v>0</v>
      </c>
      <c r="CA5" s="74">
        <v>206744.3</v>
      </c>
      <c r="CB5" s="81">
        <f t="shared" si="29"/>
        <v>4</v>
      </c>
      <c r="CC5" s="91">
        <f t="shared" si="30"/>
        <v>22.84</v>
      </c>
      <c r="CD5" s="84">
        <v>60</v>
      </c>
      <c r="CE5" s="100">
        <f t="shared" si="31"/>
        <v>6465</v>
      </c>
      <c r="CF5" s="75">
        <v>59</v>
      </c>
      <c r="CG5" s="101">
        <f t="shared" si="32"/>
        <v>6357.25</v>
      </c>
      <c r="CH5" s="84">
        <v>59</v>
      </c>
      <c r="CI5" s="102">
        <f t="shared" si="33"/>
        <v>6357.25</v>
      </c>
      <c r="CJ5" s="103">
        <f t="shared" si="34"/>
        <v>19179.5</v>
      </c>
      <c r="CK5" s="104">
        <f t="shared" si="35"/>
        <v>0</v>
      </c>
      <c r="CL5" s="78"/>
      <c r="CM5" s="74">
        <v>34646</v>
      </c>
      <c r="CN5" s="81">
        <f t="shared" si="36"/>
        <v>3</v>
      </c>
      <c r="CO5" s="91">
        <f t="shared" si="37"/>
        <v>7.32</v>
      </c>
      <c r="CP5" s="78">
        <v>34300</v>
      </c>
      <c r="CQ5" s="81">
        <f t="shared" si="38"/>
        <v>0</v>
      </c>
      <c r="CR5" s="91">
        <f t="shared" si="39"/>
        <v>0</v>
      </c>
      <c r="CS5" s="78">
        <v>10235.6</v>
      </c>
      <c r="CT5" s="81">
        <v>0</v>
      </c>
      <c r="CU5" s="91">
        <f t="shared" si="40"/>
        <v>0</v>
      </c>
      <c r="CV5" s="78">
        <v>832172.5</v>
      </c>
      <c r="CW5" s="81">
        <f t="shared" si="41"/>
        <v>0</v>
      </c>
      <c r="CX5" s="91">
        <f t="shared" si="42"/>
        <v>0</v>
      </c>
      <c r="CY5" s="78">
        <v>6088.6</v>
      </c>
      <c r="CZ5" s="81">
        <f t="shared" si="43"/>
        <v>4.3000000000001819</v>
      </c>
      <c r="DA5" s="91">
        <f t="shared" si="44"/>
        <v>10.277000000000434</v>
      </c>
      <c r="DB5" s="74">
        <v>7420</v>
      </c>
      <c r="DC5" s="81">
        <f t="shared" si="45"/>
        <v>0</v>
      </c>
      <c r="DD5" s="81">
        <f t="shared" si="45"/>
        <v>0</v>
      </c>
      <c r="DE5" s="74">
        <v>4075.9</v>
      </c>
      <c r="DF5" s="81">
        <f t="shared" si="46"/>
        <v>4</v>
      </c>
      <c r="DG5" s="81" t="str">
        <f t="shared" si="46"/>
        <v>0</v>
      </c>
      <c r="DH5" s="78">
        <v>1855.9</v>
      </c>
      <c r="DI5" s="81">
        <f t="shared" si="46"/>
        <v>0</v>
      </c>
      <c r="DJ5" s="81">
        <f t="shared" si="46"/>
        <v>0</v>
      </c>
      <c r="DK5" s="78">
        <v>5081.7</v>
      </c>
      <c r="DL5" s="81">
        <f t="shared" si="46"/>
        <v>0</v>
      </c>
      <c r="DM5" s="81">
        <f t="shared" si="46"/>
        <v>0</v>
      </c>
      <c r="DN5" s="78">
        <v>4454.7</v>
      </c>
      <c r="DO5" s="81">
        <f t="shared" si="46"/>
        <v>0</v>
      </c>
      <c r="DP5" s="81">
        <f t="shared" si="46"/>
        <v>0</v>
      </c>
      <c r="DQ5" s="78">
        <v>5089.6000000000004</v>
      </c>
      <c r="DR5" s="81">
        <f t="shared" si="46"/>
        <v>0</v>
      </c>
      <c r="DS5" s="81">
        <f t="shared" si="46"/>
        <v>0</v>
      </c>
      <c r="DT5" s="78">
        <v>5109.1000000000004</v>
      </c>
      <c r="DU5" s="81">
        <f t="shared" si="47"/>
        <v>0</v>
      </c>
      <c r="DV5" s="91">
        <f t="shared" si="48"/>
        <v>0</v>
      </c>
      <c r="DW5" s="98">
        <v>12871</v>
      </c>
      <c r="DX5" s="91">
        <f t="shared" ref="DX5:DX10" si="52">(DW5-DW4)</f>
        <v>0</v>
      </c>
      <c r="DY5" s="98">
        <v>62789</v>
      </c>
      <c r="DZ5" s="91">
        <f t="shared" si="49"/>
        <v>0</v>
      </c>
      <c r="EA5" s="109">
        <v>15588</v>
      </c>
      <c r="EB5" s="91">
        <f t="shared" si="49"/>
        <v>0</v>
      </c>
      <c r="EC5" s="72">
        <v>24679</v>
      </c>
      <c r="ED5" s="91">
        <f t="shared" si="50"/>
        <v>0</v>
      </c>
      <c r="EE5" s="109">
        <v>2</v>
      </c>
      <c r="EF5" s="110">
        <v>6</v>
      </c>
      <c r="EG5" s="108">
        <v>1.4999999999999999E-2</v>
      </c>
      <c r="EH5" s="68"/>
      <c r="EI5" s="58"/>
      <c r="EJ5" s="58"/>
      <c r="EK5"/>
      <c r="EL5"/>
      <c r="EM5"/>
    </row>
    <row r="6" spans="1:147" s="20" customFormat="1" ht="15" x14ac:dyDescent="0.2">
      <c r="A6" s="71">
        <v>44380</v>
      </c>
      <c r="B6" s="74">
        <v>7216377</v>
      </c>
      <c r="C6" s="73">
        <f t="shared" si="0"/>
        <v>5059</v>
      </c>
      <c r="D6" s="74">
        <v>6431612</v>
      </c>
      <c r="E6" s="73">
        <f t="shared" si="1"/>
        <v>4907</v>
      </c>
      <c r="F6" s="22">
        <f t="shared" si="2"/>
        <v>0.96995453646965801</v>
      </c>
      <c r="G6" s="74">
        <v>288</v>
      </c>
      <c r="H6" s="77">
        <v>306</v>
      </c>
      <c r="I6" s="77">
        <v>288062</v>
      </c>
      <c r="J6" s="76">
        <f t="shared" si="3"/>
        <v>2</v>
      </c>
      <c r="K6" s="77">
        <v>775</v>
      </c>
      <c r="L6" s="76">
        <f t="shared" si="4"/>
        <v>0</v>
      </c>
      <c r="M6" s="78">
        <v>633950</v>
      </c>
      <c r="N6" s="76">
        <f t="shared" si="5"/>
        <v>0</v>
      </c>
      <c r="O6" s="78">
        <v>993</v>
      </c>
      <c r="P6" s="76">
        <f t="shared" si="6"/>
        <v>1</v>
      </c>
      <c r="Q6" s="78">
        <v>2555322</v>
      </c>
      <c r="R6" s="76">
        <f t="shared" si="7"/>
        <v>128</v>
      </c>
      <c r="S6" s="78">
        <v>2192081</v>
      </c>
      <c r="T6" s="76">
        <f t="shared" si="7"/>
        <v>0</v>
      </c>
      <c r="U6" s="78">
        <v>115426</v>
      </c>
      <c r="V6" s="76">
        <f t="shared" si="7"/>
        <v>74</v>
      </c>
      <c r="W6" s="84">
        <v>100</v>
      </c>
      <c r="X6" s="78">
        <v>152370</v>
      </c>
      <c r="Y6" s="73">
        <v>0</v>
      </c>
      <c r="Z6" s="85">
        <v>40262</v>
      </c>
      <c r="AA6" s="81">
        <f t="shared" si="8"/>
        <v>10</v>
      </c>
      <c r="AB6" s="86">
        <v>1128</v>
      </c>
      <c r="AC6" s="82">
        <f t="shared" si="8"/>
        <v>0</v>
      </c>
      <c r="AD6" s="75">
        <v>4605</v>
      </c>
      <c r="AE6" s="83">
        <f t="shared" ref="AE6:AE10" si="53">(AD6-AD5)</f>
        <v>0</v>
      </c>
      <c r="AF6" s="22"/>
      <c r="AG6" s="22"/>
      <c r="AH6" s="74">
        <v>582760</v>
      </c>
      <c r="AI6" s="76">
        <f t="shared" si="9"/>
        <v>20</v>
      </c>
      <c r="AJ6" s="88">
        <v>734</v>
      </c>
      <c r="AK6" s="73">
        <f t="shared" si="10"/>
        <v>0</v>
      </c>
      <c r="AL6" s="74">
        <v>52329</v>
      </c>
      <c r="AM6" s="87">
        <f t="shared" si="11"/>
        <v>2</v>
      </c>
      <c r="AN6" s="74">
        <v>8928</v>
      </c>
      <c r="AO6" s="73">
        <v>0</v>
      </c>
      <c r="AP6" s="74">
        <v>10579</v>
      </c>
      <c r="AQ6" s="73">
        <f t="shared" si="12"/>
        <v>0</v>
      </c>
      <c r="AR6" s="74">
        <v>14611</v>
      </c>
      <c r="AS6" s="73">
        <f t="shared" si="12"/>
        <v>0</v>
      </c>
      <c r="AT6" s="78">
        <v>19369</v>
      </c>
      <c r="AU6" s="73">
        <f t="shared" si="12"/>
        <v>0</v>
      </c>
      <c r="AV6" s="78">
        <v>20677</v>
      </c>
      <c r="AW6" s="81">
        <f t="shared" si="13"/>
        <v>0</v>
      </c>
      <c r="AX6" s="78">
        <v>13871</v>
      </c>
      <c r="AY6" s="81">
        <f t="shared" si="14"/>
        <v>0</v>
      </c>
      <c r="AZ6" s="78">
        <v>6225</v>
      </c>
      <c r="BA6" s="83">
        <v>0</v>
      </c>
      <c r="BB6" s="74">
        <v>26546</v>
      </c>
      <c r="BC6" s="73">
        <f t="shared" si="15"/>
        <v>1</v>
      </c>
      <c r="BD6" s="74">
        <v>1115</v>
      </c>
      <c r="BE6" s="73">
        <f t="shared" si="16"/>
        <v>0</v>
      </c>
      <c r="BF6" s="74">
        <v>4378</v>
      </c>
      <c r="BG6" s="73">
        <f t="shared" si="17"/>
        <v>0</v>
      </c>
      <c r="BH6" s="78">
        <v>3636</v>
      </c>
      <c r="BI6" s="73">
        <f t="shared" si="51"/>
        <v>0</v>
      </c>
      <c r="BJ6" s="81">
        <f t="shared" si="18"/>
        <v>0</v>
      </c>
      <c r="BK6" s="81">
        <f t="shared" si="19"/>
        <v>20</v>
      </c>
      <c r="BL6" s="74">
        <v>603070</v>
      </c>
      <c r="BM6" s="81">
        <f t="shared" si="20"/>
        <v>30</v>
      </c>
      <c r="BN6" s="88">
        <v>747</v>
      </c>
      <c r="BO6" s="73">
        <f t="shared" si="21"/>
        <v>0</v>
      </c>
      <c r="BP6" s="78">
        <v>782680</v>
      </c>
      <c r="BQ6" s="81">
        <f t="shared" si="22"/>
        <v>70</v>
      </c>
      <c r="BR6" s="88">
        <v>7504</v>
      </c>
      <c r="BS6" s="81">
        <f t="shared" si="23"/>
        <v>1</v>
      </c>
      <c r="BT6" s="91">
        <f>BQ6-AI6</f>
        <v>50</v>
      </c>
      <c r="BU6" s="81">
        <f t="shared" si="25"/>
        <v>100</v>
      </c>
      <c r="BV6" s="93">
        <f t="shared" si="26"/>
        <v>2</v>
      </c>
      <c r="BW6" s="78">
        <v>124</v>
      </c>
      <c r="BX6" s="94">
        <f t="shared" si="27"/>
        <v>15439.411265508745</v>
      </c>
      <c r="BY6" s="99"/>
      <c r="BZ6" s="96">
        <f t="shared" si="28"/>
        <v>0</v>
      </c>
      <c r="CA6" s="74">
        <v>206754</v>
      </c>
      <c r="CB6" s="81">
        <f t="shared" si="29"/>
        <v>9.7000000000116415</v>
      </c>
      <c r="CC6" s="91">
        <f t="shared" si="30"/>
        <v>55.387000000066472</v>
      </c>
      <c r="CD6" s="84">
        <v>60</v>
      </c>
      <c r="CE6" s="100">
        <f t="shared" si="31"/>
        <v>6465</v>
      </c>
      <c r="CF6" s="75">
        <v>59</v>
      </c>
      <c r="CG6" s="101">
        <f t="shared" si="32"/>
        <v>6357.25</v>
      </c>
      <c r="CH6" s="84">
        <v>59</v>
      </c>
      <c r="CI6" s="102">
        <f t="shared" si="33"/>
        <v>6357.25</v>
      </c>
      <c r="CJ6" s="103">
        <f t="shared" si="34"/>
        <v>19179.5</v>
      </c>
      <c r="CK6" s="104">
        <f t="shared" si="35"/>
        <v>0</v>
      </c>
      <c r="CL6" s="78"/>
      <c r="CM6" s="74">
        <v>34649</v>
      </c>
      <c r="CN6" s="81">
        <f t="shared" si="36"/>
        <v>3</v>
      </c>
      <c r="CO6" s="91">
        <f t="shared" si="37"/>
        <v>7.32</v>
      </c>
      <c r="CP6" s="78">
        <v>34300</v>
      </c>
      <c r="CQ6" s="81">
        <f t="shared" si="38"/>
        <v>0</v>
      </c>
      <c r="CR6" s="91">
        <f t="shared" si="39"/>
        <v>0</v>
      </c>
      <c r="CS6" s="78">
        <v>10235.6</v>
      </c>
      <c r="CT6" s="81">
        <v>0</v>
      </c>
      <c r="CU6" s="91">
        <f t="shared" si="40"/>
        <v>0</v>
      </c>
      <c r="CV6" s="78">
        <v>832172.5</v>
      </c>
      <c r="CW6" s="81">
        <f t="shared" si="41"/>
        <v>0</v>
      </c>
      <c r="CX6" s="91">
        <f t="shared" si="42"/>
        <v>0</v>
      </c>
      <c r="CY6" s="78">
        <v>6088.6</v>
      </c>
      <c r="CZ6" s="81">
        <f t="shared" si="43"/>
        <v>0</v>
      </c>
      <c r="DA6" s="91">
        <f t="shared" si="44"/>
        <v>0</v>
      </c>
      <c r="DB6" s="74">
        <v>7420</v>
      </c>
      <c r="DC6" s="81">
        <f t="shared" si="45"/>
        <v>0</v>
      </c>
      <c r="DD6" s="81">
        <f t="shared" si="45"/>
        <v>0</v>
      </c>
      <c r="DE6" s="74">
        <v>4081</v>
      </c>
      <c r="DF6" s="81">
        <f t="shared" si="46"/>
        <v>5.0999999999999091</v>
      </c>
      <c r="DG6" s="81">
        <f t="shared" si="46"/>
        <v>1.0999999999999091</v>
      </c>
      <c r="DH6" s="78">
        <v>1855.9</v>
      </c>
      <c r="DI6" s="81">
        <f t="shared" si="46"/>
        <v>0</v>
      </c>
      <c r="DJ6" s="81">
        <f t="shared" si="46"/>
        <v>0</v>
      </c>
      <c r="DK6" s="78">
        <v>5081.7</v>
      </c>
      <c r="DL6" s="81">
        <f t="shared" si="46"/>
        <v>0</v>
      </c>
      <c r="DM6" s="81">
        <f t="shared" si="46"/>
        <v>0</v>
      </c>
      <c r="DN6" s="78">
        <v>4454.7</v>
      </c>
      <c r="DO6" s="81">
        <f t="shared" si="46"/>
        <v>0</v>
      </c>
      <c r="DP6" s="81">
        <f t="shared" si="46"/>
        <v>0</v>
      </c>
      <c r="DQ6" s="78">
        <v>5089.6000000000004</v>
      </c>
      <c r="DR6" s="81">
        <f t="shared" si="46"/>
        <v>0</v>
      </c>
      <c r="DS6" s="81">
        <f t="shared" si="46"/>
        <v>0</v>
      </c>
      <c r="DT6" s="78">
        <v>5109.1000000000004</v>
      </c>
      <c r="DU6" s="81">
        <f t="shared" si="47"/>
        <v>0</v>
      </c>
      <c r="DV6" s="91">
        <f t="shared" si="48"/>
        <v>0</v>
      </c>
      <c r="DW6" s="98">
        <v>12871</v>
      </c>
      <c r="DX6" s="91">
        <f t="shared" si="52"/>
        <v>0</v>
      </c>
      <c r="DY6" s="98">
        <v>62789</v>
      </c>
      <c r="DZ6" s="91">
        <f t="shared" si="49"/>
        <v>0</v>
      </c>
      <c r="EA6" s="109">
        <v>15588</v>
      </c>
      <c r="EB6" s="91">
        <f t="shared" si="49"/>
        <v>0</v>
      </c>
      <c r="EC6" s="109">
        <v>24679</v>
      </c>
      <c r="ED6" s="91">
        <f t="shared" si="50"/>
        <v>0</v>
      </c>
      <c r="EE6" s="109">
        <v>2</v>
      </c>
      <c r="EF6" s="110">
        <v>6</v>
      </c>
      <c r="EG6" s="108">
        <v>1.4999999999999999E-2</v>
      </c>
      <c r="EH6" s="69"/>
      <c r="EI6" s="58"/>
      <c r="EJ6" s="58"/>
      <c r="EK6"/>
      <c r="EL6"/>
      <c r="EM6"/>
    </row>
    <row r="7" spans="1:147" s="20" customFormat="1" ht="15" x14ac:dyDescent="0.2">
      <c r="A7" s="71">
        <v>44381</v>
      </c>
      <c r="B7" s="78">
        <v>7220915</v>
      </c>
      <c r="C7" s="73">
        <f t="shared" si="0"/>
        <v>4538</v>
      </c>
      <c r="D7" s="78">
        <v>6435990</v>
      </c>
      <c r="E7" s="73">
        <f t="shared" si="1"/>
        <v>4378</v>
      </c>
      <c r="F7" s="22">
        <f t="shared" si="2"/>
        <v>0.96474217717055977</v>
      </c>
      <c r="G7" s="74">
        <v>288</v>
      </c>
      <c r="H7" s="74">
        <v>306</v>
      </c>
      <c r="I7" s="77">
        <v>288062</v>
      </c>
      <c r="J7" s="76">
        <f t="shared" si="3"/>
        <v>0</v>
      </c>
      <c r="K7" s="77">
        <v>775</v>
      </c>
      <c r="L7" s="73">
        <v>0</v>
      </c>
      <c r="M7" s="78">
        <v>633950</v>
      </c>
      <c r="N7" s="76">
        <f t="shared" si="5"/>
        <v>0</v>
      </c>
      <c r="O7" s="78">
        <v>993</v>
      </c>
      <c r="P7" s="76">
        <f t="shared" si="6"/>
        <v>0</v>
      </c>
      <c r="Q7" s="78">
        <v>2555336</v>
      </c>
      <c r="R7" s="76">
        <f t="shared" si="7"/>
        <v>14</v>
      </c>
      <c r="S7" s="78">
        <v>2192081</v>
      </c>
      <c r="T7" s="76">
        <f t="shared" si="7"/>
        <v>0</v>
      </c>
      <c r="U7" s="78">
        <v>115490</v>
      </c>
      <c r="V7" s="76">
        <f t="shared" si="7"/>
        <v>64</v>
      </c>
      <c r="W7" s="84">
        <v>100</v>
      </c>
      <c r="X7" s="78">
        <v>152370</v>
      </c>
      <c r="Y7" s="73">
        <v>0</v>
      </c>
      <c r="Z7" s="85">
        <v>40268</v>
      </c>
      <c r="AA7" s="81">
        <f t="shared" si="8"/>
        <v>6</v>
      </c>
      <c r="AB7" s="78">
        <v>1128</v>
      </c>
      <c r="AC7" s="82">
        <f t="shared" si="8"/>
        <v>0</v>
      </c>
      <c r="AD7" s="74">
        <v>4605</v>
      </c>
      <c r="AE7" s="83">
        <f t="shared" si="53"/>
        <v>0</v>
      </c>
      <c r="AF7" s="19"/>
      <c r="AG7" s="19"/>
      <c r="AH7" s="74">
        <v>582780</v>
      </c>
      <c r="AI7" s="76">
        <f t="shared" si="9"/>
        <v>20</v>
      </c>
      <c r="AJ7" s="88">
        <v>734</v>
      </c>
      <c r="AK7" s="73">
        <f t="shared" si="10"/>
        <v>0</v>
      </c>
      <c r="AL7" s="74">
        <v>52329</v>
      </c>
      <c r="AM7" s="87">
        <f t="shared" si="11"/>
        <v>0</v>
      </c>
      <c r="AN7" s="78">
        <v>8928</v>
      </c>
      <c r="AO7" s="73">
        <v>0</v>
      </c>
      <c r="AP7" s="78">
        <v>10579</v>
      </c>
      <c r="AQ7" s="73">
        <f t="shared" si="12"/>
        <v>0</v>
      </c>
      <c r="AR7" s="74">
        <v>14611</v>
      </c>
      <c r="AS7" s="73">
        <f t="shared" si="12"/>
        <v>0</v>
      </c>
      <c r="AT7" s="78">
        <v>19369</v>
      </c>
      <c r="AU7" s="73">
        <f t="shared" si="12"/>
        <v>0</v>
      </c>
      <c r="AV7" s="78">
        <v>20677</v>
      </c>
      <c r="AW7" s="81">
        <f t="shared" si="13"/>
        <v>0</v>
      </c>
      <c r="AX7" s="78">
        <v>13871</v>
      </c>
      <c r="AY7" s="81">
        <f t="shared" si="14"/>
        <v>0</v>
      </c>
      <c r="AZ7" s="78">
        <v>6225</v>
      </c>
      <c r="BA7" s="83">
        <v>0</v>
      </c>
      <c r="BB7" s="74">
        <v>26546</v>
      </c>
      <c r="BC7" s="73">
        <f t="shared" si="15"/>
        <v>0</v>
      </c>
      <c r="BD7" s="74">
        <v>1115</v>
      </c>
      <c r="BE7" s="73">
        <f t="shared" si="16"/>
        <v>0</v>
      </c>
      <c r="BF7" s="74">
        <v>4378</v>
      </c>
      <c r="BG7" s="73">
        <f t="shared" si="17"/>
        <v>0</v>
      </c>
      <c r="BH7" s="78">
        <v>3636</v>
      </c>
      <c r="BI7" s="73">
        <f t="shared" si="51"/>
        <v>0</v>
      </c>
      <c r="BJ7" s="81">
        <f t="shared" si="18"/>
        <v>0</v>
      </c>
      <c r="BK7" s="81">
        <f t="shared" si="19"/>
        <v>20</v>
      </c>
      <c r="BL7" s="74">
        <v>603080</v>
      </c>
      <c r="BM7" s="81">
        <f t="shared" si="20"/>
        <v>10</v>
      </c>
      <c r="BN7" s="88">
        <v>747</v>
      </c>
      <c r="BO7" s="73">
        <f t="shared" si="21"/>
        <v>0</v>
      </c>
      <c r="BP7" s="78">
        <v>782720</v>
      </c>
      <c r="BQ7" s="81">
        <f t="shared" si="22"/>
        <v>40</v>
      </c>
      <c r="BR7" s="88">
        <v>7505</v>
      </c>
      <c r="BS7" s="81">
        <f t="shared" si="23"/>
        <v>1</v>
      </c>
      <c r="BT7" s="91">
        <f t="shared" si="24"/>
        <v>20</v>
      </c>
      <c r="BU7" s="81">
        <f t="shared" si="25"/>
        <v>50</v>
      </c>
      <c r="BV7" s="93">
        <f t="shared" si="26"/>
        <v>0</v>
      </c>
      <c r="BW7" s="78">
        <v>124</v>
      </c>
      <c r="BX7" s="94">
        <f t="shared" si="27"/>
        <v>15439.411265508745</v>
      </c>
      <c r="BY7" s="78"/>
      <c r="BZ7" s="96">
        <f t="shared" si="28"/>
        <v>0</v>
      </c>
      <c r="CA7" s="74">
        <v>206756.9</v>
      </c>
      <c r="CB7" s="81">
        <f t="shared" si="29"/>
        <v>2.8999999999941792</v>
      </c>
      <c r="CC7" s="91">
        <f t="shared" si="30"/>
        <v>16.558999999966762</v>
      </c>
      <c r="CD7" s="74">
        <v>60</v>
      </c>
      <c r="CE7" s="100">
        <f t="shared" si="31"/>
        <v>6465</v>
      </c>
      <c r="CF7" s="74">
        <v>59</v>
      </c>
      <c r="CG7" s="101">
        <f t="shared" si="32"/>
        <v>6357.25</v>
      </c>
      <c r="CH7" s="78">
        <v>59</v>
      </c>
      <c r="CI7" s="102">
        <f t="shared" si="33"/>
        <v>6357.25</v>
      </c>
      <c r="CJ7" s="103">
        <f t="shared" si="34"/>
        <v>19179.5</v>
      </c>
      <c r="CK7" s="104">
        <f t="shared" si="35"/>
        <v>0</v>
      </c>
      <c r="CL7" s="78"/>
      <c r="CM7" s="78">
        <v>34649.699999999997</v>
      </c>
      <c r="CN7" s="81">
        <f t="shared" si="36"/>
        <v>0.69999999999708962</v>
      </c>
      <c r="CO7" s="91">
        <f t="shared" si="37"/>
        <v>1.7079999999928985</v>
      </c>
      <c r="CP7" s="78">
        <v>34300</v>
      </c>
      <c r="CQ7" s="81">
        <f t="shared" si="38"/>
        <v>0</v>
      </c>
      <c r="CR7" s="91">
        <f t="shared" si="39"/>
        <v>0</v>
      </c>
      <c r="CS7" s="78">
        <v>10235.6</v>
      </c>
      <c r="CT7" s="81">
        <v>0</v>
      </c>
      <c r="CU7" s="91">
        <f t="shared" si="40"/>
        <v>0</v>
      </c>
      <c r="CV7" s="78">
        <v>832172.5</v>
      </c>
      <c r="CW7" s="81">
        <f t="shared" si="41"/>
        <v>0</v>
      </c>
      <c r="CX7" s="91">
        <f t="shared" si="42"/>
        <v>0</v>
      </c>
      <c r="CY7" s="78">
        <v>6091</v>
      </c>
      <c r="CZ7" s="81">
        <f t="shared" si="43"/>
        <v>2.3999999999996362</v>
      </c>
      <c r="DA7" s="91">
        <f t="shared" si="44"/>
        <v>5.7359999999991311</v>
      </c>
      <c r="DB7" s="78">
        <v>7420</v>
      </c>
      <c r="DC7" s="81">
        <f t="shared" si="45"/>
        <v>0</v>
      </c>
      <c r="DD7" s="81">
        <f t="shared" si="45"/>
        <v>0</v>
      </c>
      <c r="DE7" s="74">
        <v>4085</v>
      </c>
      <c r="DF7" s="81">
        <f t="shared" si="46"/>
        <v>4</v>
      </c>
      <c r="DG7" s="81" t="str">
        <f t="shared" si="46"/>
        <v>0</v>
      </c>
      <c r="DH7" s="78">
        <v>1855.9</v>
      </c>
      <c r="DI7" s="81">
        <f t="shared" si="46"/>
        <v>0</v>
      </c>
      <c r="DJ7" s="81">
        <f t="shared" si="46"/>
        <v>0</v>
      </c>
      <c r="DK7" s="78">
        <v>5081.7</v>
      </c>
      <c r="DL7" s="81">
        <f t="shared" si="46"/>
        <v>0</v>
      </c>
      <c r="DM7" s="81">
        <f t="shared" si="46"/>
        <v>0</v>
      </c>
      <c r="DN7" s="78">
        <v>4454.7</v>
      </c>
      <c r="DO7" s="81">
        <f t="shared" si="46"/>
        <v>0</v>
      </c>
      <c r="DP7" s="81">
        <f t="shared" si="46"/>
        <v>0</v>
      </c>
      <c r="DQ7" s="78">
        <v>5089.6000000000004</v>
      </c>
      <c r="DR7" s="81">
        <f t="shared" si="46"/>
        <v>0</v>
      </c>
      <c r="DS7" s="81">
        <f t="shared" si="46"/>
        <v>0</v>
      </c>
      <c r="DT7" s="78">
        <v>5109.1000000000004</v>
      </c>
      <c r="DU7" s="81">
        <f t="shared" si="47"/>
        <v>0</v>
      </c>
      <c r="DV7" s="91">
        <f t="shared" si="48"/>
        <v>0</v>
      </c>
      <c r="DW7" s="98">
        <v>12871</v>
      </c>
      <c r="DX7" s="91">
        <f t="shared" si="52"/>
        <v>0</v>
      </c>
      <c r="DY7" s="98">
        <v>62789</v>
      </c>
      <c r="DZ7" s="91">
        <f t="shared" si="49"/>
        <v>0</v>
      </c>
      <c r="EA7" s="109">
        <v>15588</v>
      </c>
      <c r="EB7" s="91">
        <f t="shared" si="49"/>
        <v>0</v>
      </c>
      <c r="EC7" s="109">
        <v>24679</v>
      </c>
      <c r="ED7" s="91">
        <f t="shared" si="50"/>
        <v>0</v>
      </c>
      <c r="EE7" s="109">
        <v>2</v>
      </c>
      <c r="EF7" s="110">
        <v>6</v>
      </c>
      <c r="EG7" s="108">
        <v>1.4999999999999999E-2</v>
      </c>
      <c r="EH7" s="69"/>
      <c r="EI7" s="58"/>
      <c r="EJ7" s="58"/>
      <c r="EK7"/>
      <c r="EL7"/>
      <c r="EM7"/>
    </row>
    <row r="8" spans="1:147" s="20" customFormat="1" ht="15" x14ac:dyDescent="0.2">
      <c r="A8" s="71">
        <v>44382</v>
      </c>
      <c r="B8" s="78">
        <v>7226208</v>
      </c>
      <c r="C8" s="73">
        <f t="shared" si="0"/>
        <v>5293</v>
      </c>
      <c r="D8" s="78">
        <v>6441129</v>
      </c>
      <c r="E8" s="73">
        <f t="shared" si="1"/>
        <v>5139</v>
      </c>
      <c r="F8" s="22">
        <f t="shared" si="2"/>
        <v>0.97090496882675237</v>
      </c>
      <c r="G8" s="74">
        <v>290</v>
      </c>
      <c r="H8" s="74">
        <v>306</v>
      </c>
      <c r="I8" s="75">
        <v>288062</v>
      </c>
      <c r="J8" s="76">
        <f t="shared" si="3"/>
        <v>0</v>
      </c>
      <c r="K8" s="77">
        <v>775</v>
      </c>
      <c r="L8" s="73">
        <v>0</v>
      </c>
      <c r="M8" s="78">
        <v>633950</v>
      </c>
      <c r="N8" s="76">
        <f t="shared" si="5"/>
        <v>0</v>
      </c>
      <c r="O8" s="78">
        <v>993</v>
      </c>
      <c r="P8" s="76">
        <f t="shared" si="6"/>
        <v>0</v>
      </c>
      <c r="Q8" s="78">
        <v>2555510</v>
      </c>
      <c r="R8" s="76">
        <f t="shared" si="7"/>
        <v>174</v>
      </c>
      <c r="S8" s="78">
        <v>2192083</v>
      </c>
      <c r="T8" s="76">
        <f t="shared" si="7"/>
        <v>2</v>
      </c>
      <c r="U8" s="78">
        <v>115575</v>
      </c>
      <c r="V8" s="76">
        <f t="shared" si="7"/>
        <v>85</v>
      </c>
      <c r="W8" s="84">
        <v>100</v>
      </c>
      <c r="X8" s="78">
        <v>152370</v>
      </c>
      <c r="Y8" s="73">
        <v>0</v>
      </c>
      <c r="Z8" s="85">
        <v>40276</v>
      </c>
      <c r="AA8" s="81">
        <f t="shared" si="8"/>
        <v>8</v>
      </c>
      <c r="AB8" s="78">
        <v>1128</v>
      </c>
      <c r="AC8" s="82">
        <f t="shared" si="8"/>
        <v>0</v>
      </c>
      <c r="AD8" s="74">
        <v>4605</v>
      </c>
      <c r="AE8" s="83">
        <f t="shared" si="53"/>
        <v>0</v>
      </c>
      <c r="AF8" s="19"/>
      <c r="AG8" s="19"/>
      <c r="AH8" s="74">
        <v>582810</v>
      </c>
      <c r="AI8" s="76">
        <f t="shared" si="9"/>
        <v>30</v>
      </c>
      <c r="AJ8" s="88">
        <v>741</v>
      </c>
      <c r="AK8" s="73">
        <f t="shared" si="10"/>
        <v>7</v>
      </c>
      <c r="AL8" s="78">
        <v>52331</v>
      </c>
      <c r="AM8" s="87">
        <f t="shared" si="11"/>
        <v>2</v>
      </c>
      <c r="AN8" s="78">
        <v>8928</v>
      </c>
      <c r="AO8" s="73">
        <f t="shared" si="12"/>
        <v>0</v>
      </c>
      <c r="AP8" s="78">
        <v>10579</v>
      </c>
      <c r="AQ8" s="73">
        <f t="shared" si="12"/>
        <v>0</v>
      </c>
      <c r="AR8" s="74">
        <v>14611</v>
      </c>
      <c r="AS8" s="73">
        <f t="shared" si="12"/>
        <v>0</v>
      </c>
      <c r="AT8" s="78">
        <v>19369</v>
      </c>
      <c r="AU8" s="73">
        <f t="shared" si="12"/>
        <v>0</v>
      </c>
      <c r="AV8" s="78">
        <v>20677</v>
      </c>
      <c r="AW8" s="81">
        <f t="shared" si="13"/>
        <v>0</v>
      </c>
      <c r="AX8" s="78">
        <v>13871</v>
      </c>
      <c r="AY8" s="81">
        <f t="shared" si="14"/>
        <v>0</v>
      </c>
      <c r="AZ8" s="78">
        <v>6225</v>
      </c>
      <c r="BA8" s="83">
        <v>0</v>
      </c>
      <c r="BB8" s="78">
        <v>26547</v>
      </c>
      <c r="BC8" s="73">
        <f t="shared" si="15"/>
        <v>1</v>
      </c>
      <c r="BD8" s="74">
        <v>1115</v>
      </c>
      <c r="BE8" s="73">
        <f t="shared" si="16"/>
        <v>0</v>
      </c>
      <c r="BF8" s="74">
        <v>4378</v>
      </c>
      <c r="BG8" s="73">
        <f t="shared" si="17"/>
        <v>0</v>
      </c>
      <c r="BH8" s="78">
        <v>3636</v>
      </c>
      <c r="BI8" s="73">
        <f t="shared" si="51"/>
        <v>0</v>
      </c>
      <c r="BJ8" s="81">
        <f t="shared" si="18"/>
        <v>0</v>
      </c>
      <c r="BK8" s="81">
        <f t="shared" si="19"/>
        <v>30</v>
      </c>
      <c r="BL8" s="74">
        <v>603120</v>
      </c>
      <c r="BM8" s="81">
        <f t="shared" si="20"/>
        <v>40</v>
      </c>
      <c r="BN8" s="88">
        <v>747</v>
      </c>
      <c r="BO8" s="73">
        <f t="shared" si="21"/>
        <v>0</v>
      </c>
      <c r="BP8" s="78">
        <v>782770</v>
      </c>
      <c r="BQ8" s="81">
        <f t="shared" si="22"/>
        <v>50</v>
      </c>
      <c r="BR8" s="88">
        <v>7507</v>
      </c>
      <c r="BS8" s="81">
        <f t="shared" si="23"/>
        <v>2</v>
      </c>
      <c r="BT8" s="91">
        <f t="shared" si="24"/>
        <v>20</v>
      </c>
      <c r="BU8" s="81">
        <f t="shared" si="25"/>
        <v>90</v>
      </c>
      <c r="BV8" s="93">
        <f t="shared" si="26"/>
        <v>2</v>
      </c>
      <c r="BW8" s="78">
        <v>124</v>
      </c>
      <c r="BX8" s="94">
        <f t="shared" si="27"/>
        <v>15439.411265508745</v>
      </c>
      <c r="BY8" s="78"/>
      <c r="BZ8" s="96">
        <f t="shared" si="28"/>
        <v>0</v>
      </c>
      <c r="CA8" s="78">
        <v>206760.8</v>
      </c>
      <c r="CB8" s="81">
        <f t="shared" si="29"/>
        <v>3.8999999999941792</v>
      </c>
      <c r="CC8" s="91">
        <f t="shared" si="30"/>
        <v>22.268999999966763</v>
      </c>
      <c r="CD8" s="74">
        <v>59</v>
      </c>
      <c r="CE8" s="100">
        <f t="shared" si="31"/>
        <v>6357.25</v>
      </c>
      <c r="CF8" s="78">
        <v>59</v>
      </c>
      <c r="CG8" s="101">
        <f t="shared" si="32"/>
        <v>6357.25</v>
      </c>
      <c r="CH8" s="78">
        <v>59</v>
      </c>
      <c r="CI8" s="102">
        <f t="shared" si="33"/>
        <v>6357.25</v>
      </c>
      <c r="CJ8" s="103">
        <f t="shared" si="34"/>
        <v>19071.75</v>
      </c>
      <c r="CK8" s="104">
        <f t="shared" si="35"/>
        <v>107.75</v>
      </c>
      <c r="CL8" s="78"/>
      <c r="CM8" s="78">
        <v>34651.9</v>
      </c>
      <c r="CN8" s="81">
        <f t="shared" si="36"/>
        <v>2.2000000000043656</v>
      </c>
      <c r="CO8" s="91">
        <f t="shared" si="37"/>
        <v>5.3680000000106523</v>
      </c>
      <c r="CP8" s="78">
        <v>34300</v>
      </c>
      <c r="CQ8" s="81">
        <f t="shared" si="38"/>
        <v>0</v>
      </c>
      <c r="CR8" s="91">
        <f t="shared" si="39"/>
        <v>0</v>
      </c>
      <c r="CS8" s="78">
        <v>10235.6</v>
      </c>
      <c r="CT8" s="81">
        <v>0</v>
      </c>
      <c r="CU8" s="91">
        <f t="shared" si="40"/>
        <v>0</v>
      </c>
      <c r="CV8" s="78">
        <v>832172.5</v>
      </c>
      <c r="CW8" s="81">
        <f t="shared" si="41"/>
        <v>0</v>
      </c>
      <c r="CX8" s="91">
        <f t="shared" si="42"/>
        <v>0</v>
      </c>
      <c r="CY8" s="78">
        <v>6093</v>
      </c>
      <c r="CZ8" s="81">
        <f t="shared" si="43"/>
        <v>2</v>
      </c>
      <c r="DA8" s="91">
        <f t="shared" si="44"/>
        <v>4.78</v>
      </c>
      <c r="DB8" s="78">
        <v>7420</v>
      </c>
      <c r="DC8" s="81">
        <f t="shared" si="45"/>
        <v>0</v>
      </c>
      <c r="DD8" s="81">
        <f t="shared" si="45"/>
        <v>0</v>
      </c>
      <c r="DE8" s="78">
        <v>4090</v>
      </c>
      <c r="DF8" s="81">
        <f t="shared" si="46"/>
        <v>5</v>
      </c>
      <c r="DG8" s="81">
        <f t="shared" si="46"/>
        <v>1</v>
      </c>
      <c r="DH8" s="78">
        <v>1855.9</v>
      </c>
      <c r="DI8" s="81">
        <f t="shared" si="46"/>
        <v>0</v>
      </c>
      <c r="DJ8" s="81">
        <f t="shared" si="46"/>
        <v>0</v>
      </c>
      <c r="DK8" s="78">
        <v>5081.7</v>
      </c>
      <c r="DL8" s="81">
        <f t="shared" si="46"/>
        <v>0</v>
      </c>
      <c r="DM8" s="81">
        <f t="shared" si="46"/>
        <v>0</v>
      </c>
      <c r="DN8" s="78">
        <v>4454.7</v>
      </c>
      <c r="DO8" s="81">
        <f t="shared" si="46"/>
        <v>0</v>
      </c>
      <c r="DP8" s="81">
        <f t="shared" si="46"/>
        <v>0</v>
      </c>
      <c r="DQ8" s="78">
        <v>5089.6000000000004</v>
      </c>
      <c r="DR8" s="81">
        <f t="shared" si="46"/>
        <v>0</v>
      </c>
      <c r="DS8" s="81">
        <f t="shared" si="46"/>
        <v>0</v>
      </c>
      <c r="DT8" s="78">
        <v>5109.1000000000004</v>
      </c>
      <c r="DU8" s="81">
        <f t="shared" si="47"/>
        <v>0</v>
      </c>
      <c r="DV8" s="91">
        <f t="shared" si="48"/>
        <v>0</v>
      </c>
      <c r="DW8" s="98">
        <v>12871</v>
      </c>
      <c r="DX8" s="91">
        <f t="shared" si="52"/>
        <v>0</v>
      </c>
      <c r="DY8" s="98">
        <v>62789</v>
      </c>
      <c r="DZ8" s="91">
        <f t="shared" si="49"/>
        <v>0</v>
      </c>
      <c r="EA8" s="109">
        <v>15588</v>
      </c>
      <c r="EB8" s="91">
        <f t="shared" si="49"/>
        <v>0</v>
      </c>
      <c r="EC8" s="109">
        <v>24679</v>
      </c>
      <c r="ED8" s="91">
        <f t="shared" si="50"/>
        <v>0</v>
      </c>
      <c r="EE8" s="109">
        <v>2</v>
      </c>
      <c r="EF8" s="110">
        <v>6</v>
      </c>
      <c r="EG8" s="108">
        <v>1.4999999999999999E-2</v>
      </c>
      <c r="EH8" s="112"/>
      <c r="EI8" s="58"/>
      <c r="EJ8" s="58"/>
      <c r="EK8"/>
      <c r="EL8"/>
      <c r="EM8"/>
    </row>
    <row r="9" spans="1:147" s="20" customFormat="1" ht="15" x14ac:dyDescent="0.2">
      <c r="A9" s="71">
        <v>44383</v>
      </c>
      <c r="B9" s="78">
        <v>7231587</v>
      </c>
      <c r="C9" s="73">
        <f t="shared" si="0"/>
        <v>5379</v>
      </c>
      <c r="D9" s="78">
        <v>6446377</v>
      </c>
      <c r="E9" s="73">
        <f t="shared" si="1"/>
        <v>5248</v>
      </c>
      <c r="F9" s="22">
        <f t="shared" si="2"/>
        <v>0.97564603086075474</v>
      </c>
      <c r="G9" s="74">
        <v>290</v>
      </c>
      <c r="H9" s="74">
        <v>306</v>
      </c>
      <c r="I9" s="75">
        <v>288062</v>
      </c>
      <c r="J9" s="76">
        <f t="shared" si="3"/>
        <v>0</v>
      </c>
      <c r="K9" s="77">
        <v>775</v>
      </c>
      <c r="L9" s="73">
        <v>0</v>
      </c>
      <c r="M9" s="78">
        <v>633950</v>
      </c>
      <c r="N9" s="76">
        <f t="shared" si="5"/>
        <v>0</v>
      </c>
      <c r="O9" s="78">
        <v>993</v>
      </c>
      <c r="P9" s="76">
        <f t="shared" si="6"/>
        <v>0</v>
      </c>
      <c r="Q9" s="78">
        <v>2555658</v>
      </c>
      <c r="R9" s="76">
        <f t="shared" si="7"/>
        <v>148</v>
      </c>
      <c r="S9" s="78">
        <v>2192084</v>
      </c>
      <c r="T9" s="76">
        <f t="shared" si="7"/>
        <v>1</v>
      </c>
      <c r="U9" s="78">
        <v>115664</v>
      </c>
      <c r="V9" s="76">
        <f t="shared" si="7"/>
        <v>89</v>
      </c>
      <c r="W9" s="84">
        <v>100</v>
      </c>
      <c r="X9" s="78">
        <v>152370</v>
      </c>
      <c r="Y9" s="73">
        <v>0</v>
      </c>
      <c r="Z9" s="85">
        <v>40287</v>
      </c>
      <c r="AA9" s="81">
        <f t="shared" si="8"/>
        <v>11</v>
      </c>
      <c r="AB9" s="78">
        <v>1128</v>
      </c>
      <c r="AC9" s="82">
        <f t="shared" si="8"/>
        <v>0</v>
      </c>
      <c r="AD9" s="74">
        <v>4605</v>
      </c>
      <c r="AE9" s="83">
        <f t="shared" si="53"/>
        <v>0</v>
      </c>
      <c r="AF9" s="19"/>
      <c r="AG9" s="19"/>
      <c r="AH9" s="74">
        <v>582840</v>
      </c>
      <c r="AI9" s="76">
        <f t="shared" si="9"/>
        <v>30</v>
      </c>
      <c r="AJ9" s="88">
        <v>748</v>
      </c>
      <c r="AK9" s="73">
        <f t="shared" si="10"/>
        <v>7</v>
      </c>
      <c r="AL9" s="74">
        <v>52333</v>
      </c>
      <c r="AM9" s="87">
        <f t="shared" si="11"/>
        <v>2</v>
      </c>
      <c r="AN9" s="78">
        <v>8928</v>
      </c>
      <c r="AO9" s="73">
        <f t="shared" si="12"/>
        <v>0</v>
      </c>
      <c r="AP9" s="78">
        <v>10579</v>
      </c>
      <c r="AQ9" s="73">
        <f t="shared" si="12"/>
        <v>0</v>
      </c>
      <c r="AR9" s="74">
        <v>14611</v>
      </c>
      <c r="AS9" s="73">
        <f t="shared" si="12"/>
        <v>0</v>
      </c>
      <c r="AT9" s="78">
        <v>19369</v>
      </c>
      <c r="AU9" s="73">
        <f t="shared" si="12"/>
        <v>0</v>
      </c>
      <c r="AV9" s="78">
        <v>20677</v>
      </c>
      <c r="AW9" s="81">
        <f t="shared" si="13"/>
        <v>0</v>
      </c>
      <c r="AX9" s="78">
        <v>13871</v>
      </c>
      <c r="AY9" s="81">
        <f t="shared" si="14"/>
        <v>0</v>
      </c>
      <c r="AZ9" s="78">
        <v>6225</v>
      </c>
      <c r="BA9" s="73">
        <f t="shared" ref="BA9:BA10" si="54">(AZ9-AZ8)</f>
        <v>0</v>
      </c>
      <c r="BB9" s="74">
        <v>26549</v>
      </c>
      <c r="BC9" s="73">
        <f t="shared" si="15"/>
        <v>2</v>
      </c>
      <c r="BD9" s="74">
        <v>1115</v>
      </c>
      <c r="BE9" s="73">
        <f t="shared" si="16"/>
        <v>0</v>
      </c>
      <c r="BF9" s="74">
        <v>4378</v>
      </c>
      <c r="BG9" s="73">
        <f t="shared" si="17"/>
        <v>0</v>
      </c>
      <c r="BH9" s="78">
        <v>3636</v>
      </c>
      <c r="BI9" s="73">
        <f t="shared" si="51"/>
        <v>0</v>
      </c>
      <c r="BJ9" s="81">
        <f t="shared" si="18"/>
        <v>0</v>
      </c>
      <c r="BK9" s="81">
        <f t="shared" si="19"/>
        <v>30</v>
      </c>
      <c r="BL9" s="74">
        <v>603150</v>
      </c>
      <c r="BM9" s="81">
        <f t="shared" si="20"/>
        <v>30</v>
      </c>
      <c r="BN9" s="88">
        <v>747</v>
      </c>
      <c r="BO9" s="73">
        <f t="shared" si="21"/>
        <v>0</v>
      </c>
      <c r="BP9" s="78">
        <v>782840</v>
      </c>
      <c r="BQ9" s="81">
        <f t="shared" si="22"/>
        <v>70</v>
      </c>
      <c r="BR9" s="88">
        <v>7507</v>
      </c>
      <c r="BS9" s="81">
        <f t="shared" si="23"/>
        <v>0</v>
      </c>
      <c r="BT9" s="91">
        <f t="shared" si="24"/>
        <v>40</v>
      </c>
      <c r="BU9" s="81">
        <f t="shared" si="25"/>
        <v>100</v>
      </c>
      <c r="BV9" s="93">
        <f t="shared" si="26"/>
        <v>2</v>
      </c>
      <c r="BW9" s="78">
        <v>123</v>
      </c>
      <c r="BX9" s="94">
        <f t="shared" si="27"/>
        <v>15283.772652075271</v>
      </c>
      <c r="BY9" s="78"/>
      <c r="BZ9" s="96">
        <f t="shared" si="28"/>
        <v>0</v>
      </c>
      <c r="CA9" s="78">
        <v>206766.9</v>
      </c>
      <c r="CB9" s="81">
        <f t="shared" si="29"/>
        <v>6.1000000000058208</v>
      </c>
      <c r="CC9" s="91">
        <f t="shared" si="30"/>
        <v>34.831000000033235</v>
      </c>
      <c r="CD9" s="78">
        <v>59</v>
      </c>
      <c r="CE9" s="100">
        <f t="shared" si="31"/>
        <v>6357.25</v>
      </c>
      <c r="CF9" s="78">
        <v>59</v>
      </c>
      <c r="CG9" s="101">
        <f t="shared" si="32"/>
        <v>6357.25</v>
      </c>
      <c r="CH9" s="78">
        <v>59</v>
      </c>
      <c r="CI9" s="102">
        <f t="shared" si="33"/>
        <v>6357.25</v>
      </c>
      <c r="CJ9" s="103">
        <f t="shared" si="34"/>
        <v>19071.75</v>
      </c>
      <c r="CK9" s="104">
        <f t="shared" si="35"/>
        <v>0</v>
      </c>
      <c r="CL9" s="78"/>
      <c r="CM9" s="78">
        <v>34658.5</v>
      </c>
      <c r="CN9" s="81">
        <f t="shared" si="36"/>
        <v>6.5999999999985448</v>
      </c>
      <c r="CO9" s="91">
        <f t="shared" si="37"/>
        <v>16.10399999999645</v>
      </c>
      <c r="CP9" s="78">
        <v>34300</v>
      </c>
      <c r="CQ9" s="81">
        <f t="shared" si="38"/>
        <v>0</v>
      </c>
      <c r="CR9" s="91">
        <f t="shared" si="39"/>
        <v>0</v>
      </c>
      <c r="CS9" s="74">
        <v>10235.6</v>
      </c>
      <c r="CT9" s="81">
        <f t="shared" ref="CT9:CT10" si="55">IF((CS9-CS8)&lt;0,"0",(CS9-CS8))</f>
        <v>0</v>
      </c>
      <c r="CU9" s="91">
        <f t="shared" si="40"/>
        <v>0</v>
      </c>
      <c r="CV9" s="78">
        <v>832172.5</v>
      </c>
      <c r="CW9" s="81">
        <f t="shared" si="41"/>
        <v>0</v>
      </c>
      <c r="CX9" s="91">
        <f t="shared" si="42"/>
        <v>0</v>
      </c>
      <c r="CY9" s="78">
        <v>6095.8</v>
      </c>
      <c r="CZ9" s="81">
        <f t="shared" si="43"/>
        <v>2.8000000000001819</v>
      </c>
      <c r="DA9" s="91">
        <f t="shared" si="44"/>
        <v>6.6920000000004354</v>
      </c>
      <c r="DB9" s="78">
        <v>7420</v>
      </c>
      <c r="DC9" s="81">
        <f t="shared" si="45"/>
        <v>0</v>
      </c>
      <c r="DD9" s="81">
        <f t="shared" si="45"/>
        <v>0</v>
      </c>
      <c r="DE9" s="78">
        <v>4096.3999999999996</v>
      </c>
      <c r="DF9" s="81">
        <f t="shared" si="46"/>
        <v>6.3999999999996362</v>
      </c>
      <c r="DG9" s="81">
        <f t="shared" si="46"/>
        <v>1.3999999999996362</v>
      </c>
      <c r="DH9" s="78">
        <v>1855.9</v>
      </c>
      <c r="DI9" s="81">
        <f t="shared" si="46"/>
        <v>0</v>
      </c>
      <c r="DJ9" s="81">
        <f t="shared" si="46"/>
        <v>0</v>
      </c>
      <c r="DK9" s="78">
        <v>5081.7</v>
      </c>
      <c r="DL9" s="81">
        <f t="shared" si="46"/>
        <v>0</v>
      </c>
      <c r="DM9" s="81">
        <f t="shared" si="46"/>
        <v>0</v>
      </c>
      <c r="DN9" s="78">
        <v>4454.7</v>
      </c>
      <c r="DO9" s="81">
        <f t="shared" si="46"/>
        <v>0</v>
      </c>
      <c r="DP9" s="81">
        <f t="shared" si="46"/>
        <v>0</v>
      </c>
      <c r="DQ9" s="78">
        <v>5089.6000000000004</v>
      </c>
      <c r="DR9" s="81">
        <f t="shared" si="46"/>
        <v>0</v>
      </c>
      <c r="DS9" s="81">
        <f t="shared" si="46"/>
        <v>0</v>
      </c>
      <c r="DT9" s="78">
        <v>5109.1000000000004</v>
      </c>
      <c r="DU9" s="81">
        <f t="shared" si="47"/>
        <v>0</v>
      </c>
      <c r="DV9" s="91">
        <f t="shared" si="48"/>
        <v>0</v>
      </c>
      <c r="DW9" s="98">
        <v>12871</v>
      </c>
      <c r="DX9" s="91">
        <f t="shared" si="52"/>
        <v>0</v>
      </c>
      <c r="DY9" s="98">
        <v>62789</v>
      </c>
      <c r="DZ9" s="91">
        <f t="shared" si="49"/>
        <v>0</v>
      </c>
      <c r="EA9" s="109">
        <v>15588</v>
      </c>
      <c r="EB9" s="91">
        <f t="shared" si="49"/>
        <v>0</v>
      </c>
      <c r="EC9" s="109">
        <v>24679</v>
      </c>
      <c r="ED9" s="91">
        <f t="shared" si="50"/>
        <v>0</v>
      </c>
      <c r="EE9" s="109">
        <v>2</v>
      </c>
      <c r="EF9" s="110">
        <v>6</v>
      </c>
      <c r="EG9" s="108">
        <v>1.4999999999999999E-2</v>
      </c>
      <c r="EH9" s="112"/>
      <c r="EI9" s="58"/>
      <c r="EJ9" s="58"/>
      <c r="EK9"/>
      <c r="EL9"/>
      <c r="EM9"/>
    </row>
    <row r="10" spans="1:147" s="20" customFormat="1" ht="15" x14ac:dyDescent="0.2">
      <c r="A10" s="71">
        <v>44384</v>
      </c>
      <c r="B10" s="78">
        <v>7236968</v>
      </c>
      <c r="C10" s="73">
        <f t="shared" si="0"/>
        <v>5381</v>
      </c>
      <c r="D10" s="78">
        <v>6451603</v>
      </c>
      <c r="E10" s="73">
        <f t="shared" si="1"/>
        <v>5226</v>
      </c>
      <c r="F10" s="22">
        <f t="shared" si="2"/>
        <v>0.97119494517747629</v>
      </c>
      <c r="G10" s="74">
        <v>290</v>
      </c>
      <c r="H10" s="74">
        <v>306</v>
      </c>
      <c r="I10" s="75">
        <v>288062</v>
      </c>
      <c r="J10" s="76">
        <f t="shared" si="3"/>
        <v>0</v>
      </c>
      <c r="K10" s="77">
        <v>775</v>
      </c>
      <c r="L10" s="73">
        <v>0</v>
      </c>
      <c r="M10" s="78">
        <v>633950</v>
      </c>
      <c r="N10" s="76">
        <f t="shared" si="5"/>
        <v>0</v>
      </c>
      <c r="O10" s="78">
        <v>993</v>
      </c>
      <c r="P10" s="76">
        <f t="shared" si="6"/>
        <v>0</v>
      </c>
      <c r="Q10" s="78">
        <v>2555768</v>
      </c>
      <c r="R10" s="76">
        <f t="shared" si="7"/>
        <v>110</v>
      </c>
      <c r="S10" s="78">
        <v>2192085</v>
      </c>
      <c r="T10" s="76">
        <f t="shared" si="7"/>
        <v>1</v>
      </c>
      <c r="U10" s="78">
        <v>115758</v>
      </c>
      <c r="V10" s="76">
        <f t="shared" si="7"/>
        <v>94</v>
      </c>
      <c r="W10" s="84">
        <v>100</v>
      </c>
      <c r="X10" s="78">
        <v>152370</v>
      </c>
      <c r="Y10" s="73">
        <v>0</v>
      </c>
      <c r="Z10" s="85">
        <v>40296</v>
      </c>
      <c r="AA10" s="81">
        <f t="shared" si="8"/>
        <v>9</v>
      </c>
      <c r="AB10" s="78">
        <v>1128</v>
      </c>
      <c r="AC10" s="82">
        <f t="shared" si="8"/>
        <v>0</v>
      </c>
      <c r="AD10" s="74">
        <v>4605</v>
      </c>
      <c r="AE10" s="83">
        <f t="shared" si="53"/>
        <v>0</v>
      </c>
      <c r="AF10" s="19"/>
      <c r="AG10" s="19"/>
      <c r="AH10" s="74">
        <v>582890</v>
      </c>
      <c r="AI10" s="76">
        <f t="shared" si="9"/>
        <v>50</v>
      </c>
      <c r="AJ10" s="88">
        <v>763</v>
      </c>
      <c r="AK10" s="73">
        <f t="shared" si="10"/>
        <v>15</v>
      </c>
      <c r="AL10" s="74">
        <v>52334</v>
      </c>
      <c r="AM10" s="87">
        <f t="shared" si="11"/>
        <v>1</v>
      </c>
      <c r="AN10" s="78">
        <v>8928</v>
      </c>
      <c r="AO10" s="73">
        <f t="shared" si="12"/>
        <v>0</v>
      </c>
      <c r="AP10" s="78">
        <v>10579</v>
      </c>
      <c r="AQ10" s="73">
        <f t="shared" si="12"/>
        <v>0</v>
      </c>
      <c r="AR10" s="74">
        <v>14612</v>
      </c>
      <c r="AS10" s="73">
        <f t="shared" si="12"/>
        <v>1</v>
      </c>
      <c r="AT10" s="78">
        <v>19369</v>
      </c>
      <c r="AU10" s="73">
        <f t="shared" si="12"/>
        <v>0</v>
      </c>
      <c r="AV10" s="78">
        <v>20677</v>
      </c>
      <c r="AW10" s="81">
        <f t="shared" si="13"/>
        <v>0</v>
      </c>
      <c r="AX10" s="78">
        <v>13871</v>
      </c>
      <c r="AY10" s="81">
        <f t="shared" si="14"/>
        <v>0</v>
      </c>
      <c r="AZ10" s="78">
        <v>6225</v>
      </c>
      <c r="BA10" s="73">
        <f t="shared" si="54"/>
        <v>0</v>
      </c>
      <c r="BB10" s="74">
        <v>26551</v>
      </c>
      <c r="BC10" s="73">
        <f t="shared" si="15"/>
        <v>2</v>
      </c>
      <c r="BD10" s="74">
        <v>1115</v>
      </c>
      <c r="BE10" s="73">
        <f t="shared" si="16"/>
        <v>0</v>
      </c>
      <c r="BF10" s="74">
        <v>4378</v>
      </c>
      <c r="BG10" s="73">
        <f t="shared" si="17"/>
        <v>0</v>
      </c>
      <c r="BH10" s="78">
        <v>3636</v>
      </c>
      <c r="BI10" s="73">
        <f t="shared" si="51"/>
        <v>0</v>
      </c>
      <c r="BJ10" s="81">
        <f t="shared" si="18"/>
        <v>1</v>
      </c>
      <c r="BK10" s="81">
        <f t="shared" si="19"/>
        <v>49</v>
      </c>
      <c r="BL10" s="74">
        <v>603180</v>
      </c>
      <c r="BM10" s="81">
        <f t="shared" si="20"/>
        <v>30</v>
      </c>
      <c r="BN10" s="88">
        <v>747</v>
      </c>
      <c r="BO10" s="73">
        <f t="shared" si="21"/>
        <v>0</v>
      </c>
      <c r="BP10" s="74">
        <v>782910</v>
      </c>
      <c r="BQ10" s="81">
        <f t="shared" si="22"/>
        <v>70</v>
      </c>
      <c r="BR10" s="88">
        <v>7519</v>
      </c>
      <c r="BS10" s="81">
        <f t="shared" si="23"/>
        <v>12</v>
      </c>
      <c r="BT10" s="91">
        <f t="shared" si="24"/>
        <v>20</v>
      </c>
      <c r="BU10" s="81">
        <f t="shared" si="25"/>
        <v>100</v>
      </c>
      <c r="BV10" s="93">
        <f t="shared" si="26"/>
        <v>2</v>
      </c>
      <c r="BW10" s="78">
        <v>122</v>
      </c>
      <c r="BX10" s="94">
        <f t="shared" si="27"/>
        <v>15128.057958131996</v>
      </c>
      <c r="BY10" s="78"/>
      <c r="BZ10" s="96">
        <f t="shared" si="28"/>
        <v>0</v>
      </c>
      <c r="CA10" s="78">
        <v>206772.1</v>
      </c>
      <c r="CB10" s="81">
        <f t="shared" si="29"/>
        <v>5.2000000000116415</v>
      </c>
      <c r="CC10" s="91">
        <f t="shared" si="30"/>
        <v>29.692000000066471</v>
      </c>
      <c r="CD10" s="78">
        <v>59</v>
      </c>
      <c r="CE10" s="100">
        <f t="shared" si="31"/>
        <v>6357.25</v>
      </c>
      <c r="CF10" s="78">
        <v>58</v>
      </c>
      <c r="CG10" s="101">
        <f t="shared" si="32"/>
        <v>6249.5</v>
      </c>
      <c r="CH10" s="78">
        <v>59</v>
      </c>
      <c r="CI10" s="102">
        <f t="shared" si="33"/>
        <v>6357.25</v>
      </c>
      <c r="CJ10" s="103">
        <f t="shared" si="34"/>
        <v>18964</v>
      </c>
      <c r="CK10" s="104">
        <f t="shared" si="35"/>
        <v>107.75</v>
      </c>
      <c r="CL10" s="78"/>
      <c r="CM10" s="78">
        <v>34662.300000000003</v>
      </c>
      <c r="CN10" s="81">
        <f t="shared" si="36"/>
        <v>3.8000000000029104</v>
      </c>
      <c r="CO10" s="91">
        <f t="shared" si="37"/>
        <v>9.2720000000071003</v>
      </c>
      <c r="CP10" s="78">
        <v>34300</v>
      </c>
      <c r="CQ10" s="81">
        <f t="shared" si="38"/>
        <v>0</v>
      </c>
      <c r="CR10" s="91">
        <f t="shared" si="39"/>
        <v>0</v>
      </c>
      <c r="CS10" s="78">
        <v>10235.6</v>
      </c>
      <c r="CT10" s="81">
        <f t="shared" si="55"/>
        <v>0</v>
      </c>
      <c r="CU10" s="91">
        <f t="shared" si="40"/>
        <v>0</v>
      </c>
      <c r="CV10" s="78">
        <v>832172.5</v>
      </c>
      <c r="CW10" s="81">
        <f t="shared" si="41"/>
        <v>0</v>
      </c>
      <c r="CX10" s="91">
        <f t="shared" si="42"/>
        <v>0</v>
      </c>
      <c r="CY10" s="78">
        <v>6098.1</v>
      </c>
      <c r="CZ10" s="81">
        <f t="shared" si="43"/>
        <v>2.3000000000001819</v>
      </c>
      <c r="DA10" s="91">
        <f t="shared" si="44"/>
        <v>5.4970000000004351</v>
      </c>
      <c r="DB10" s="78">
        <v>7420</v>
      </c>
      <c r="DC10" s="81">
        <f t="shared" si="45"/>
        <v>0</v>
      </c>
      <c r="DD10" s="81">
        <f t="shared" si="45"/>
        <v>0</v>
      </c>
      <c r="DE10" s="78">
        <v>4102.8</v>
      </c>
      <c r="DF10" s="81">
        <f t="shared" si="46"/>
        <v>6.4000000000005457</v>
      </c>
      <c r="DG10" s="81">
        <f>IF((DF10-DF9)&lt;0,"0",(DF10-DF9))</f>
        <v>9.0949470177292824E-13</v>
      </c>
      <c r="DH10" s="78">
        <v>1855.9</v>
      </c>
      <c r="DI10" s="81">
        <f t="shared" si="46"/>
        <v>0</v>
      </c>
      <c r="DJ10" s="81">
        <f t="shared" si="46"/>
        <v>0</v>
      </c>
      <c r="DK10" s="78">
        <v>5081.7</v>
      </c>
      <c r="DL10" s="81">
        <f t="shared" si="46"/>
        <v>0</v>
      </c>
      <c r="DM10" s="81">
        <f t="shared" si="46"/>
        <v>0</v>
      </c>
      <c r="DN10" s="78">
        <v>4454.7</v>
      </c>
      <c r="DO10" s="81">
        <f t="shared" si="46"/>
        <v>0</v>
      </c>
      <c r="DP10" s="81">
        <f t="shared" si="46"/>
        <v>0</v>
      </c>
      <c r="DQ10" s="78">
        <v>5089.6000000000004</v>
      </c>
      <c r="DR10" s="81">
        <f t="shared" si="46"/>
        <v>0</v>
      </c>
      <c r="DS10" s="81">
        <f t="shared" si="46"/>
        <v>0</v>
      </c>
      <c r="DT10" s="78">
        <v>5109.1000000000004</v>
      </c>
      <c r="DU10" s="81">
        <f t="shared" si="47"/>
        <v>0</v>
      </c>
      <c r="DV10" s="91">
        <f t="shared" si="48"/>
        <v>0</v>
      </c>
      <c r="DW10" s="98">
        <v>12871</v>
      </c>
      <c r="DX10" s="91">
        <f t="shared" si="52"/>
        <v>0</v>
      </c>
      <c r="DY10" s="98">
        <v>62789</v>
      </c>
      <c r="DZ10" s="91">
        <f t="shared" si="49"/>
        <v>0</v>
      </c>
      <c r="EA10" s="109">
        <v>15588</v>
      </c>
      <c r="EB10" s="91">
        <f t="shared" si="49"/>
        <v>0</v>
      </c>
      <c r="EC10" s="109">
        <v>24679</v>
      </c>
      <c r="ED10" s="91">
        <f t="shared" si="50"/>
        <v>0</v>
      </c>
      <c r="EE10" s="109">
        <v>2</v>
      </c>
      <c r="EF10" s="110">
        <v>6</v>
      </c>
      <c r="EG10" s="108">
        <v>1.4999999999999999E-2</v>
      </c>
      <c r="EH10" s="112"/>
      <c r="EI10" s="58"/>
      <c r="EJ10" s="58"/>
      <c r="EK10"/>
      <c r="EL10"/>
      <c r="EM10"/>
    </row>
    <row r="11" spans="1:147" s="20" customFormat="1" ht="15" x14ac:dyDescent="0.2">
      <c r="A11" s="71">
        <v>44385</v>
      </c>
      <c r="B11" s="78">
        <v>7242990</v>
      </c>
      <c r="C11" s="73">
        <v>6022</v>
      </c>
      <c r="D11" s="78">
        <v>6456801</v>
      </c>
      <c r="E11" s="73">
        <v>5198</v>
      </c>
      <c r="F11" s="22">
        <v>0.86316838259714379</v>
      </c>
      <c r="G11" s="74">
        <v>324</v>
      </c>
      <c r="H11" s="74">
        <v>306</v>
      </c>
      <c r="I11" s="75">
        <v>288064</v>
      </c>
      <c r="J11" s="76">
        <v>2</v>
      </c>
      <c r="K11" s="77">
        <v>776</v>
      </c>
      <c r="L11" s="73">
        <v>0</v>
      </c>
      <c r="M11" s="78">
        <v>633954</v>
      </c>
      <c r="N11" s="76">
        <v>4</v>
      </c>
      <c r="O11" s="78">
        <v>993</v>
      </c>
      <c r="P11" s="76">
        <v>0</v>
      </c>
      <c r="Q11" s="78">
        <v>2555901</v>
      </c>
      <c r="R11" s="76">
        <v>133</v>
      </c>
      <c r="S11" s="78">
        <v>2192085</v>
      </c>
      <c r="T11" s="76">
        <v>0</v>
      </c>
      <c r="U11" s="78">
        <v>115850</v>
      </c>
      <c r="V11" s="76">
        <v>92</v>
      </c>
      <c r="W11" s="78">
        <v>100</v>
      </c>
      <c r="X11" s="78">
        <v>152370</v>
      </c>
      <c r="Y11" s="73">
        <v>0</v>
      </c>
      <c r="Z11" s="85">
        <v>40307</v>
      </c>
      <c r="AA11" s="81">
        <v>11</v>
      </c>
      <c r="AB11" s="78">
        <v>1128</v>
      </c>
      <c r="AC11" s="82">
        <v>0</v>
      </c>
      <c r="AD11" s="74">
        <v>4605</v>
      </c>
      <c r="AE11" s="83">
        <v>0</v>
      </c>
      <c r="AF11" s="19"/>
      <c r="AG11" s="19"/>
      <c r="AH11" s="74">
        <v>582920</v>
      </c>
      <c r="AI11" s="76">
        <v>30</v>
      </c>
      <c r="AJ11" s="88">
        <v>765</v>
      </c>
      <c r="AK11" s="73">
        <v>2</v>
      </c>
      <c r="AL11" s="74">
        <v>52336</v>
      </c>
      <c r="AM11" s="87">
        <v>2</v>
      </c>
      <c r="AN11" s="78">
        <v>8928</v>
      </c>
      <c r="AO11" s="73">
        <v>0</v>
      </c>
      <c r="AP11" s="78">
        <v>10579</v>
      </c>
      <c r="AQ11" s="73">
        <v>0</v>
      </c>
      <c r="AR11" s="74">
        <v>14612</v>
      </c>
      <c r="AS11" s="73">
        <v>0</v>
      </c>
      <c r="AT11" s="78">
        <v>19369</v>
      </c>
      <c r="AU11" s="73">
        <v>0</v>
      </c>
      <c r="AV11" s="78">
        <v>20677</v>
      </c>
      <c r="AW11" s="81">
        <v>0</v>
      </c>
      <c r="AX11" s="78">
        <v>13871</v>
      </c>
      <c r="AY11" s="81">
        <v>0</v>
      </c>
      <c r="AZ11" s="78">
        <v>6225</v>
      </c>
      <c r="BA11" s="73">
        <v>0</v>
      </c>
      <c r="BB11" s="74">
        <v>26553</v>
      </c>
      <c r="BC11" s="73">
        <v>2</v>
      </c>
      <c r="BD11" s="74">
        <v>1115</v>
      </c>
      <c r="BE11" s="73">
        <v>0</v>
      </c>
      <c r="BF11" s="74">
        <v>4378</v>
      </c>
      <c r="BG11" s="73">
        <v>0</v>
      </c>
      <c r="BH11" s="78">
        <v>3636</v>
      </c>
      <c r="BI11" s="73">
        <v>0</v>
      </c>
      <c r="BJ11" s="81">
        <v>0</v>
      </c>
      <c r="BK11" s="81">
        <v>30</v>
      </c>
      <c r="BL11" s="74">
        <v>603220</v>
      </c>
      <c r="BM11" s="81">
        <v>40</v>
      </c>
      <c r="BN11" s="88">
        <v>747</v>
      </c>
      <c r="BO11" s="73">
        <v>0</v>
      </c>
      <c r="BP11" s="74">
        <v>782980</v>
      </c>
      <c r="BQ11" s="81">
        <v>70</v>
      </c>
      <c r="BR11" s="88">
        <v>7521</v>
      </c>
      <c r="BS11" s="81">
        <v>2</v>
      </c>
      <c r="BT11" s="91">
        <v>40</v>
      </c>
      <c r="BU11" s="81">
        <v>110</v>
      </c>
      <c r="BV11" s="93">
        <v>2</v>
      </c>
      <c r="BW11" s="78">
        <v>122</v>
      </c>
      <c r="BX11" s="94">
        <v>15128.057958131996</v>
      </c>
      <c r="BY11" s="78"/>
      <c r="BZ11" s="96">
        <v>0</v>
      </c>
      <c r="CA11" s="78">
        <v>206777.9</v>
      </c>
      <c r="CB11" s="81">
        <v>5.7999999999883585</v>
      </c>
      <c r="CC11" s="91">
        <v>33.117999999933524</v>
      </c>
      <c r="CD11" s="78">
        <v>59</v>
      </c>
      <c r="CE11" s="100">
        <v>6357.25</v>
      </c>
      <c r="CF11" s="78">
        <v>58</v>
      </c>
      <c r="CG11" s="101">
        <v>6249.5</v>
      </c>
      <c r="CH11" s="78">
        <v>59</v>
      </c>
      <c r="CI11" s="102">
        <v>6357.25</v>
      </c>
      <c r="CJ11" s="103">
        <v>18964</v>
      </c>
      <c r="CK11" s="104">
        <v>0</v>
      </c>
      <c r="CL11" s="78"/>
      <c r="CM11" s="78">
        <v>34665</v>
      </c>
      <c r="CN11" s="81">
        <v>2.6999999999970896</v>
      </c>
      <c r="CO11" s="91">
        <v>6.5879999999928982</v>
      </c>
      <c r="CP11" s="78">
        <v>34300</v>
      </c>
      <c r="CQ11" s="81">
        <v>0</v>
      </c>
      <c r="CR11" s="91">
        <v>0</v>
      </c>
      <c r="CS11" s="78">
        <v>10235.6</v>
      </c>
      <c r="CT11" s="81">
        <v>0</v>
      </c>
      <c r="CU11" s="91">
        <v>0</v>
      </c>
      <c r="CV11" s="78">
        <v>832172.5</v>
      </c>
      <c r="CW11" s="81">
        <v>0</v>
      </c>
      <c r="CX11" s="91">
        <v>0</v>
      </c>
      <c r="CY11" s="78">
        <v>6099.9</v>
      </c>
      <c r="CZ11" s="81">
        <v>1.7999999999992724</v>
      </c>
      <c r="DA11" s="91">
        <v>4.3019999999982614</v>
      </c>
      <c r="DB11" s="78">
        <v>7420</v>
      </c>
      <c r="DC11" s="81">
        <v>0</v>
      </c>
      <c r="DD11" s="81">
        <v>0</v>
      </c>
      <c r="DE11" s="78">
        <v>4104.8</v>
      </c>
      <c r="DF11" s="81">
        <v>2</v>
      </c>
      <c r="DG11" s="81" t="s">
        <v>127</v>
      </c>
      <c r="DH11" s="78">
        <v>1855.9</v>
      </c>
      <c r="DI11" s="81">
        <v>0</v>
      </c>
      <c r="DJ11" s="81">
        <v>0</v>
      </c>
      <c r="DK11" s="78">
        <v>5081.7</v>
      </c>
      <c r="DL11" s="81">
        <v>0</v>
      </c>
      <c r="DM11" s="81">
        <v>0</v>
      </c>
      <c r="DN11" s="78">
        <v>4454.7</v>
      </c>
      <c r="DO11" s="81">
        <v>0</v>
      </c>
      <c r="DP11" s="81">
        <v>0</v>
      </c>
      <c r="DQ11" s="78">
        <v>5089.6000000000004</v>
      </c>
      <c r="DR11" s="81">
        <v>0</v>
      </c>
      <c r="DS11" s="81">
        <v>0</v>
      </c>
      <c r="DT11" s="78">
        <v>5109.1000000000004</v>
      </c>
      <c r="DU11" s="81">
        <v>0</v>
      </c>
      <c r="DV11" s="91">
        <v>0</v>
      </c>
      <c r="DW11" s="98">
        <v>12871</v>
      </c>
      <c r="DX11" s="91">
        <v>0</v>
      </c>
      <c r="DY11" s="98">
        <v>62789</v>
      </c>
      <c r="DZ11" s="91">
        <v>0</v>
      </c>
      <c r="EA11" s="109">
        <v>15588</v>
      </c>
      <c r="EB11" s="91">
        <v>0</v>
      </c>
      <c r="EC11" s="109">
        <v>24679</v>
      </c>
      <c r="ED11" s="91">
        <v>0</v>
      </c>
      <c r="EE11" s="109">
        <v>2</v>
      </c>
      <c r="EF11" s="110">
        <v>6</v>
      </c>
      <c r="EG11" s="108">
        <v>1.4999999999999999E-2</v>
      </c>
      <c r="EH11" s="69"/>
      <c r="EI11" s="58"/>
      <c r="EJ11" s="58"/>
      <c r="EK11"/>
      <c r="EL11"/>
      <c r="EM11"/>
    </row>
    <row r="12" spans="1:147" s="20" customFormat="1" ht="15" x14ac:dyDescent="0.2">
      <c r="A12" s="71">
        <v>44386</v>
      </c>
      <c r="B12" s="78">
        <v>7249489</v>
      </c>
      <c r="C12" s="73">
        <v>6499</v>
      </c>
      <c r="D12" s="78">
        <v>6462254</v>
      </c>
      <c r="E12" s="73">
        <v>5453</v>
      </c>
      <c r="F12" s="22">
        <v>0.83905216187105713</v>
      </c>
      <c r="G12" s="74">
        <v>324</v>
      </c>
      <c r="H12" s="74">
        <v>306</v>
      </c>
      <c r="I12" s="75">
        <v>288064</v>
      </c>
      <c r="J12" s="76">
        <v>0</v>
      </c>
      <c r="K12" s="77">
        <v>776</v>
      </c>
      <c r="L12" s="73">
        <v>0</v>
      </c>
      <c r="M12" s="78">
        <v>633954</v>
      </c>
      <c r="N12" s="76">
        <v>0</v>
      </c>
      <c r="O12" s="78">
        <v>993</v>
      </c>
      <c r="P12" s="76">
        <v>0</v>
      </c>
      <c r="Q12" s="78">
        <v>2556022</v>
      </c>
      <c r="R12" s="76">
        <v>121</v>
      </c>
      <c r="S12" s="78">
        <v>2192085</v>
      </c>
      <c r="T12" s="76">
        <v>0</v>
      </c>
      <c r="U12" s="78">
        <v>115926</v>
      </c>
      <c r="V12" s="76">
        <v>76</v>
      </c>
      <c r="W12" s="78">
        <v>100</v>
      </c>
      <c r="X12" s="78">
        <v>152370</v>
      </c>
      <c r="Y12" s="73">
        <v>0</v>
      </c>
      <c r="Z12" s="85">
        <v>40316</v>
      </c>
      <c r="AA12" s="81">
        <v>9</v>
      </c>
      <c r="AB12" s="78">
        <v>1128</v>
      </c>
      <c r="AC12" s="82">
        <v>0</v>
      </c>
      <c r="AD12" s="74">
        <v>4605</v>
      </c>
      <c r="AE12" s="83">
        <v>0</v>
      </c>
      <c r="AF12" s="19"/>
      <c r="AG12" s="19"/>
      <c r="AH12" s="74">
        <v>582950</v>
      </c>
      <c r="AI12" s="76">
        <v>30</v>
      </c>
      <c r="AJ12" s="88">
        <v>765</v>
      </c>
      <c r="AK12" s="73">
        <v>0</v>
      </c>
      <c r="AL12" s="74">
        <v>52338</v>
      </c>
      <c r="AM12" s="87">
        <v>2</v>
      </c>
      <c r="AN12" s="78">
        <v>8928</v>
      </c>
      <c r="AO12" s="73">
        <v>0</v>
      </c>
      <c r="AP12" s="78">
        <v>10580</v>
      </c>
      <c r="AQ12" s="73">
        <v>1</v>
      </c>
      <c r="AR12" s="74">
        <v>14612</v>
      </c>
      <c r="AS12" s="73">
        <v>0</v>
      </c>
      <c r="AT12" s="78">
        <v>19369</v>
      </c>
      <c r="AU12" s="73">
        <v>0</v>
      </c>
      <c r="AV12" s="78">
        <v>20679</v>
      </c>
      <c r="AW12" s="81">
        <v>2</v>
      </c>
      <c r="AX12" s="78">
        <v>13871</v>
      </c>
      <c r="AY12" s="81">
        <v>0</v>
      </c>
      <c r="AZ12" s="78">
        <v>6225</v>
      </c>
      <c r="BA12" s="73">
        <v>0</v>
      </c>
      <c r="BB12" s="74">
        <v>26554</v>
      </c>
      <c r="BC12" s="73">
        <v>1</v>
      </c>
      <c r="BD12" s="74">
        <v>1115</v>
      </c>
      <c r="BE12" s="73">
        <v>0</v>
      </c>
      <c r="BF12" s="74">
        <v>4378</v>
      </c>
      <c r="BG12" s="73">
        <v>0</v>
      </c>
      <c r="BH12" s="78">
        <v>3636</v>
      </c>
      <c r="BI12" s="73">
        <v>0</v>
      </c>
      <c r="BJ12" s="81">
        <v>2</v>
      </c>
      <c r="BK12" s="81">
        <v>28</v>
      </c>
      <c r="BL12" s="78">
        <v>603250</v>
      </c>
      <c r="BM12" s="81">
        <v>30</v>
      </c>
      <c r="BN12" s="88">
        <v>747</v>
      </c>
      <c r="BO12" s="73">
        <v>0</v>
      </c>
      <c r="BP12" s="74">
        <v>783034</v>
      </c>
      <c r="BQ12" s="81">
        <v>54</v>
      </c>
      <c r="BR12" s="88">
        <v>7523</v>
      </c>
      <c r="BS12" s="81">
        <v>2</v>
      </c>
      <c r="BT12" s="91">
        <v>24</v>
      </c>
      <c r="BU12" s="81">
        <v>84</v>
      </c>
      <c r="BV12" s="93">
        <v>5</v>
      </c>
      <c r="BW12" s="78">
        <v>122</v>
      </c>
      <c r="BX12" s="94">
        <v>15128.057958131996</v>
      </c>
      <c r="BY12" s="78"/>
      <c r="BZ12" s="96">
        <v>0</v>
      </c>
      <c r="CA12" s="78">
        <v>206783.1</v>
      </c>
      <c r="CB12" s="81">
        <v>5.2000000000116415</v>
      </c>
      <c r="CC12" s="91">
        <v>29.692000000066471</v>
      </c>
      <c r="CD12" s="78">
        <v>59</v>
      </c>
      <c r="CE12" s="100">
        <v>6357.25</v>
      </c>
      <c r="CF12" s="78">
        <v>58</v>
      </c>
      <c r="CG12" s="101">
        <v>6249.5</v>
      </c>
      <c r="CH12" s="78">
        <v>59</v>
      </c>
      <c r="CI12" s="102">
        <v>6357.25</v>
      </c>
      <c r="CJ12" s="103">
        <v>18964</v>
      </c>
      <c r="CK12" s="104">
        <v>0</v>
      </c>
      <c r="CL12" s="78"/>
      <c r="CM12" s="78">
        <v>34670.199999999997</v>
      </c>
      <c r="CN12" s="81">
        <v>5.1999999999970896</v>
      </c>
      <c r="CO12" s="91">
        <v>12.687999999992899</v>
      </c>
      <c r="CP12" s="78">
        <v>34300</v>
      </c>
      <c r="CQ12" s="81">
        <v>0</v>
      </c>
      <c r="CR12" s="91">
        <v>0</v>
      </c>
      <c r="CS12" s="78">
        <v>10235.6</v>
      </c>
      <c r="CT12" s="81">
        <v>0</v>
      </c>
      <c r="CU12" s="91">
        <v>0</v>
      </c>
      <c r="CV12" s="78">
        <v>832172.5</v>
      </c>
      <c r="CW12" s="81">
        <v>0</v>
      </c>
      <c r="CX12" s="91">
        <v>0</v>
      </c>
      <c r="CY12" s="78">
        <v>6102.3</v>
      </c>
      <c r="CZ12" s="81">
        <v>2.4000000000005457</v>
      </c>
      <c r="DA12" s="91">
        <v>5.7360000000013045</v>
      </c>
      <c r="DB12" s="78">
        <v>7420</v>
      </c>
      <c r="DC12" s="81">
        <v>0</v>
      </c>
      <c r="DD12" s="81">
        <v>0</v>
      </c>
      <c r="DE12" s="78">
        <v>4109.7</v>
      </c>
      <c r="DF12" s="81">
        <v>4.8999999999996362</v>
      </c>
      <c r="DG12" s="81">
        <v>2.8999999999996362</v>
      </c>
      <c r="DH12" s="78">
        <v>1855.9</v>
      </c>
      <c r="DI12" s="81">
        <v>0</v>
      </c>
      <c r="DJ12" s="81">
        <v>0</v>
      </c>
      <c r="DK12" s="78">
        <v>5081.7</v>
      </c>
      <c r="DL12" s="81">
        <v>0</v>
      </c>
      <c r="DM12" s="81">
        <v>0</v>
      </c>
      <c r="DN12" s="78">
        <v>4454.7</v>
      </c>
      <c r="DO12" s="81">
        <v>0</v>
      </c>
      <c r="DP12" s="81">
        <v>0</v>
      </c>
      <c r="DQ12" s="78">
        <v>5089.6000000000004</v>
      </c>
      <c r="DR12" s="81">
        <v>0</v>
      </c>
      <c r="DS12" s="81">
        <v>0</v>
      </c>
      <c r="DT12" s="78">
        <v>5109.1000000000004</v>
      </c>
      <c r="DU12" s="81">
        <v>0</v>
      </c>
      <c r="DV12" s="91">
        <v>0</v>
      </c>
      <c r="DW12" s="98">
        <v>12871</v>
      </c>
      <c r="DX12" s="91">
        <v>0</v>
      </c>
      <c r="DY12" s="98">
        <v>62789</v>
      </c>
      <c r="DZ12" s="91">
        <v>0</v>
      </c>
      <c r="EA12" s="109">
        <v>15588</v>
      </c>
      <c r="EB12" s="91">
        <v>0</v>
      </c>
      <c r="EC12" s="109">
        <v>24679</v>
      </c>
      <c r="ED12" s="91">
        <v>0</v>
      </c>
      <c r="EE12" s="109">
        <v>2</v>
      </c>
      <c r="EF12" s="110">
        <v>6</v>
      </c>
      <c r="EG12" s="108">
        <v>1.4999999999999999E-2</v>
      </c>
      <c r="EH12" s="69"/>
      <c r="EI12" s="58"/>
      <c r="EJ12" s="58"/>
      <c r="EK12"/>
      <c r="EL12"/>
      <c r="EM12"/>
    </row>
    <row r="13" spans="1:147" s="20" customFormat="1" ht="15" x14ac:dyDescent="0.2">
      <c r="A13" s="71">
        <v>44387</v>
      </c>
      <c r="B13" s="78">
        <v>7255715</v>
      </c>
      <c r="C13" s="73">
        <v>6226</v>
      </c>
      <c r="D13" s="78">
        <v>6467459</v>
      </c>
      <c r="E13" s="73">
        <v>5205</v>
      </c>
      <c r="F13" s="22">
        <v>0.83601027947317696</v>
      </c>
      <c r="G13" s="74">
        <v>324</v>
      </c>
      <c r="H13" s="74">
        <v>306</v>
      </c>
      <c r="I13" s="75">
        <v>288064</v>
      </c>
      <c r="J13" s="76">
        <v>0</v>
      </c>
      <c r="K13" s="77">
        <v>776</v>
      </c>
      <c r="L13" s="73">
        <v>0</v>
      </c>
      <c r="M13" s="78">
        <v>633954</v>
      </c>
      <c r="N13" s="76">
        <v>0</v>
      </c>
      <c r="O13" s="78">
        <v>993</v>
      </c>
      <c r="P13" s="76">
        <v>0</v>
      </c>
      <c r="Q13" s="78">
        <v>2556132</v>
      </c>
      <c r="R13" s="76">
        <v>110</v>
      </c>
      <c r="S13" s="78">
        <v>2192086</v>
      </c>
      <c r="T13" s="76">
        <v>1</v>
      </c>
      <c r="U13" s="78">
        <v>116001</v>
      </c>
      <c r="V13" s="76">
        <v>75</v>
      </c>
      <c r="W13" s="78">
        <v>100</v>
      </c>
      <c r="X13" s="78">
        <v>152370</v>
      </c>
      <c r="Y13" s="73">
        <v>0</v>
      </c>
      <c r="Z13" s="74">
        <v>40324</v>
      </c>
      <c r="AA13" s="81">
        <v>8</v>
      </c>
      <c r="AB13" s="78">
        <v>1128</v>
      </c>
      <c r="AC13" s="82">
        <v>0</v>
      </c>
      <c r="AD13" s="74">
        <v>4605</v>
      </c>
      <c r="AE13" s="83">
        <v>0</v>
      </c>
      <c r="AF13" s="19"/>
      <c r="AG13" s="19"/>
      <c r="AH13" s="74">
        <v>582970</v>
      </c>
      <c r="AI13" s="76">
        <v>20</v>
      </c>
      <c r="AJ13" s="88">
        <v>776</v>
      </c>
      <c r="AK13" s="73">
        <v>11</v>
      </c>
      <c r="AL13" s="74">
        <v>52340</v>
      </c>
      <c r="AM13" s="87">
        <v>2</v>
      </c>
      <c r="AN13" s="78">
        <v>8928</v>
      </c>
      <c r="AO13" s="73">
        <v>0</v>
      </c>
      <c r="AP13" s="78">
        <v>10580</v>
      </c>
      <c r="AQ13" s="73">
        <v>0</v>
      </c>
      <c r="AR13" s="74">
        <v>14612</v>
      </c>
      <c r="AS13" s="73">
        <v>0</v>
      </c>
      <c r="AT13" s="78">
        <v>19369</v>
      </c>
      <c r="AU13" s="73">
        <v>0</v>
      </c>
      <c r="AV13" s="78">
        <v>20680</v>
      </c>
      <c r="AW13" s="81">
        <v>1</v>
      </c>
      <c r="AX13" s="78">
        <v>13871</v>
      </c>
      <c r="AY13" s="81">
        <v>0</v>
      </c>
      <c r="AZ13" s="78">
        <v>6225</v>
      </c>
      <c r="BA13" s="73">
        <v>0</v>
      </c>
      <c r="BB13" s="78">
        <v>26556</v>
      </c>
      <c r="BC13" s="73">
        <v>2</v>
      </c>
      <c r="BD13" s="74">
        <v>1115</v>
      </c>
      <c r="BE13" s="73">
        <v>0</v>
      </c>
      <c r="BF13" s="74">
        <v>4378</v>
      </c>
      <c r="BG13" s="73">
        <v>0</v>
      </c>
      <c r="BH13" s="78">
        <v>3636</v>
      </c>
      <c r="BI13" s="73">
        <v>0</v>
      </c>
      <c r="BJ13" s="81">
        <v>1</v>
      </c>
      <c r="BK13" s="81">
        <v>19</v>
      </c>
      <c r="BL13" s="78">
        <v>603270</v>
      </c>
      <c r="BM13" s="81">
        <v>20</v>
      </c>
      <c r="BN13" s="88">
        <v>747</v>
      </c>
      <c r="BO13" s="73">
        <v>0</v>
      </c>
      <c r="BP13" s="74">
        <v>783080</v>
      </c>
      <c r="BQ13" s="81">
        <v>46</v>
      </c>
      <c r="BR13" s="88">
        <v>7524</v>
      </c>
      <c r="BS13" s="81">
        <v>1</v>
      </c>
      <c r="BT13" s="91">
        <v>26</v>
      </c>
      <c r="BU13" s="81">
        <v>66</v>
      </c>
      <c r="BV13" s="93">
        <v>3</v>
      </c>
      <c r="BW13" s="78">
        <v>122</v>
      </c>
      <c r="BX13" s="94">
        <v>15128.057958131996</v>
      </c>
      <c r="BY13" s="99"/>
      <c r="BZ13" s="96">
        <v>0</v>
      </c>
      <c r="CA13" s="78">
        <v>206787.1</v>
      </c>
      <c r="CB13" s="81">
        <v>4</v>
      </c>
      <c r="CC13" s="91">
        <v>22.84</v>
      </c>
      <c r="CD13" s="78">
        <v>59</v>
      </c>
      <c r="CE13" s="100">
        <v>6357.25</v>
      </c>
      <c r="CF13" s="78">
        <v>58</v>
      </c>
      <c r="CG13" s="101">
        <v>6249.5</v>
      </c>
      <c r="CH13" s="78">
        <v>59</v>
      </c>
      <c r="CI13" s="102">
        <v>6357.25</v>
      </c>
      <c r="CJ13" s="103">
        <v>18964</v>
      </c>
      <c r="CK13" s="104">
        <v>0</v>
      </c>
      <c r="CL13" s="78"/>
      <c r="CM13" s="78">
        <v>34673.1</v>
      </c>
      <c r="CN13" s="81">
        <v>2.9000000000014552</v>
      </c>
      <c r="CO13" s="91">
        <v>7.0760000000035506</v>
      </c>
      <c r="CP13" s="78">
        <v>34300</v>
      </c>
      <c r="CQ13" s="81">
        <v>0</v>
      </c>
      <c r="CR13" s="91">
        <v>0</v>
      </c>
      <c r="CS13" s="78">
        <v>10235.6</v>
      </c>
      <c r="CT13" s="81">
        <v>0</v>
      </c>
      <c r="CU13" s="91">
        <v>0</v>
      </c>
      <c r="CV13" s="78">
        <v>832172.5</v>
      </c>
      <c r="CW13" s="81">
        <v>0</v>
      </c>
      <c r="CX13" s="91">
        <v>0</v>
      </c>
      <c r="CY13" s="78">
        <v>6104</v>
      </c>
      <c r="CZ13" s="81">
        <v>1.6999999999998181</v>
      </c>
      <c r="DA13" s="91">
        <v>4.0629999999995654</v>
      </c>
      <c r="DB13" s="78">
        <v>7420</v>
      </c>
      <c r="DC13" s="81">
        <v>0</v>
      </c>
      <c r="DD13" s="81">
        <v>0</v>
      </c>
      <c r="DE13" s="78">
        <v>4114</v>
      </c>
      <c r="DF13" s="81">
        <v>4.3000000000001819</v>
      </c>
      <c r="DG13" s="81" t="s">
        <v>127</v>
      </c>
      <c r="DH13" s="78">
        <v>1855.9</v>
      </c>
      <c r="DI13" s="81">
        <v>0</v>
      </c>
      <c r="DJ13" s="81">
        <v>0</v>
      </c>
      <c r="DK13" s="78">
        <v>5081.7</v>
      </c>
      <c r="DL13" s="81">
        <v>0</v>
      </c>
      <c r="DM13" s="81">
        <v>0</v>
      </c>
      <c r="DN13" s="78">
        <v>4454.7</v>
      </c>
      <c r="DO13" s="81">
        <v>0</v>
      </c>
      <c r="DP13" s="81">
        <v>0</v>
      </c>
      <c r="DQ13" s="78">
        <v>5089.6000000000004</v>
      </c>
      <c r="DR13" s="81">
        <v>0</v>
      </c>
      <c r="DS13" s="81">
        <v>0</v>
      </c>
      <c r="DT13" s="78">
        <v>5109.1000000000004</v>
      </c>
      <c r="DU13" s="81">
        <v>0</v>
      </c>
      <c r="DV13" s="91">
        <v>0</v>
      </c>
      <c r="DW13" s="98">
        <v>12871</v>
      </c>
      <c r="DX13" s="91">
        <v>0</v>
      </c>
      <c r="DY13" s="98">
        <v>62789</v>
      </c>
      <c r="DZ13" s="91">
        <v>0</v>
      </c>
      <c r="EA13" s="109">
        <v>15588</v>
      </c>
      <c r="EB13" s="91">
        <v>0</v>
      </c>
      <c r="EC13" s="109">
        <v>24679</v>
      </c>
      <c r="ED13" s="91">
        <v>0</v>
      </c>
      <c r="EE13" s="109">
        <v>2</v>
      </c>
      <c r="EF13" s="110">
        <v>6</v>
      </c>
      <c r="EG13" s="108">
        <v>1.4999999999999999E-2</v>
      </c>
      <c r="EH13" s="69"/>
      <c r="EI13" s="58"/>
      <c r="EJ13" s="58"/>
      <c r="EK13"/>
      <c r="EL13"/>
      <c r="EM13"/>
    </row>
    <row r="14" spans="1:147" s="20" customFormat="1" ht="15" x14ac:dyDescent="0.2">
      <c r="A14" s="71">
        <v>44388</v>
      </c>
      <c r="B14" s="78">
        <v>7261464</v>
      </c>
      <c r="C14" s="73">
        <v>5749</v>
      </c>
      <c r="D14" s="78">
        <v>6472273</v>
      </c>
      <c r="E14" s="73">
        <v>4814</v>
      </c>
      <c r="F14" s="22">
        <v>0.83736301965559223</v>
      </c>
      <c r="G14" s="74">
        <v>324</v>
      </c>
      <c r="H14" s="74">
        <v>306</v>
      </c>
      <c r="I14" s="75">
        <v>288064</v>
      </c>
      <c r="J14" s="76">
        <v>0</v>
      </c>
      <c r="K14" s="77">
        <v>776</v>
      </c>
      <c r="L14" s="73">
        <v>0</v>
      </c>
      <c r="M14" s="78">
        <v>633954</v>
      </c>
      <c r="N14" s="76">
        <v>0</v>
      </c>
      <c r="O14" s="78">
        <v>993</v>
      </c>
      <c r="P14" s="76">
        <v>0</v>
      </c>
      <c r="Q14" s="78">
        <v>2556163</v>
      </c>
      <c r="R14" s="76">
        <v>31</v>
      </c>
      <c r="S14" s="78">
        <v>2192086</v>
      </c>
      <c r="T14" s="76">
        <v>0</v>
      </c>
      <c r="U14" s="78">
        <v>116049</v>
      </c>
      <c r="V14" s="76">
        <v>48</v>
      </c>
      <c r="W14" s="78">
        <v>100</v>
      </c>
      <c r="X14" s="78">
        <v>152370</v>
      </c>
      <c r="Y14" s="73">
        <v>0</v>
      </c>
      <c r="Z14" s="74">
        <v>40329</v>
      </c>
      <c r="AA14" s="81">
        <v>5</v>
      </c>
      <c r="AB14" s="78">
        <v>1128</v>
      </c>
      <c r="AC14" s="82">
        <v>0</v>
      </c>
      <c r="AD14" s="74">
        <v>4605</v>
      </c>
      <c r="AE14" s="83">
        <v>0</v>
      </c>
      <c r="AF14" s="19"/>
      <c r="AG14" s="19"/>
      <c r="AH14" s="74">
        <v>582980</v>
      </c>
      <c r="AI14" s="76">
        <v>10</v>
      </c>
      <c r="AJ14" s="88">
        <v>777</v>
      </c>
      <c r="AK14" s="73">
        <v>1</v>
      </c>
      <c r="AL14" s="74">
        <v>52341</v>
      </c>
      <c r="AM14" s="87">
        <v>1</v>
      </c>
      <c r="AN14" s="78">
        <v>8928</v>
      </c>
      <c r="AO14" s="73">
        <v>0</v>
      </c>
      <c r="AP14" s="78">
        <v>10580</v>
      </c>
      <c r="AQ14" s="73">
        <v>0</v>
      </c>
      <c r="AR14" s="74">
        <v>14612</v>
      </c>
      <c r="AS14" s="73">
        <v>0</v>
      </c>
      <c r="AT14" s="78">
        <v>19369</v>
      </c>
      <c r="AU14" s="73">
        <v>0</v>
      </c>
      <c r="AV14" s="78">
        <v>20680</v>
      </c>
      <c r="AW14" s="81">
        <v>0</v>
      </c>
      <c r="AX14" s="78">
        <v>13871</v>
      </c>
      <c r="AY14" s="81">
        <v>0</v>
      </c>
      <c r="AZ14" s="78">
        <v>6225</v>
      </c>
      <c r="BA14" s="73">
        <v>0</v>
      </c>
      <c r="BB14" s="78">
        <v>26556</v>
      </c>
      <c r="BC14" s="73">
        <v>0</v>
      </c>
      <c r="BD14" s="74">
        <v>1115</v>
      </c>
      <c r="BE14" s="73">
        <v>0</v>
      </c>
      <c r="BF14" s="74">
        <v>4378</v>
      </c>
      <c r="BG14" s="73">
        <v>0</v>
      </c>
      <c r="BH14" s="78">
        <v>3636</v>
      </c>
      <c r="BI14" s="73">
        <v>0</v>
      </c>
      <c r="BJ14" s="81">
        <v>0</v>
      </c>
      <c r="BK14" s="81">
        <v>10</v>
      </c>
      <c r="BL14" s="78">
        <v>603293</v>
      </c>
      <c r="BM14" s="81">
        <v>23</v>
      </c>
      <c r="BN14" s="88">
        <v>747</v>
      </c>
      <c r="BO14" s="73">
        <v>0</v>
      </c>
      <c r="BP14" s="74">
        <v>783110</v>
      </c>
      <c r="BQ14" s="81">
        <v>30</v>
      </c>
      <c r="BR14" s="88">
        <v>7525</v>
      </c>
      <c r="BS14" s="81">
        <v>1</v>
      </c>
      <c r="BT14" s="91">
        <v>20</v>
      </c>
      <c r="BU14" s="81">
        <v>53</v>
      </c>
      <c r="BV14" s="93">
        <v>1</v>
      </c>
      <c r="BW14" s="78">
        <v>122</v>
      </c>
      <c r="BX14" s="94">
        <v>15128.057958131996</v>
      </c>
      <c r="BY14" s="78"/>
      <c r="BZ14" s="96">
        <v>0</v>
      </c>
      <c r="CA14" s="78">
        <v>206788.1</v>
      </c>
      <c r="CB14" s="81">
        <v>1</v>
      </c>
      <c r="CC14" s="91">
        <v>5.71</v>
      </c>
      <c r="CD14" s="78">
        <v>59</v>
      </c>
      <c r="CE14" s="100">
        <v>6357.25</v>
      </c>
      <c r="CF14" s="78">
        <v>58</v>
      </c>
      <c r="CG14" s="101">
        <v>6249.5</v>
      </c>
      <c r="CH14" s="78">
        <v>59</v>
      </c>
      <c r="CI14" s="102">
        <v>6357.25</v>
      </c>
      <c r="CJ14" s="103">
        <v>18964</v>
      </c>
      <c r="CK14" s="104">
        <v>0</v>
      </c>
      <c r="CL14" s="78"/>
      <c r="CM14" s="78">
        <v>34673.5</v>
      </c>
      <c r="CN14" s="81">
        <v>0.40000000000145519</v>
      </c>
      <c r="CO14" s="91">
        <v>0.97600000000355069</v>
      </c>
      <c r="CP14" s="78">
        <v>34300</v>
      </c>
      <c r="CQ14" s="81">
        <v>0</v>
      </c>
      <c r="CR14" s="91">
        <v>0</v>
      </c>
      <c r="CS14" s="78">
        <v>10235.6</v>
      </c>
      <c r="CT14" s="81">
        <v>0</v>
      </c>
      <c r="CU14" s="91">
        <v>0</v>
      </c>
      <c r="CV14" s="78">
        <v>832172.5</v>
      </c>
      <c r="CW14" s="81">
        <v>0</v>
      </c>
      <c r="CX14" s="91">
        <v>0</v>
      </c>
      <c r="CY14" s="78">
        <v>6105.4</v>
      </c>
      <c r="CZ14" s="81">
        <v>1.3999999999996362</v>
      </c>
      <c r="DA14" s="91">
        <v>3.3459999999991306</v>
      </c>
      <c r="DB14" s="78">
        <v>7420</v>
      </c>
      <c r="DC14" s="81">
        <v>0</v>
      </c>
      <c r="DD14" s="81">
        <v>0</v>
      </c>
      <c r="DE14" s="78">
        <v>4119.2</v>
      </c>
      <c r="DF14" s="81">
        <v>5.1999999999998181</v>
      </c>
      <c r="DG14" s="81">
        <v>0.8999999999996362</v>
      </c>
      <c r="DH14" s="78">
        <v>1855.9</v>
      </c>
      <c r="DI14" s="81">
        <v>0</v>
      </c>
      <c r="DJ14" s="81">
        <v>0</v>
      </c>
      <c r="DK14" s="78">
        <v>5081.7</v>
      </c>
      <c r="DL14" s="81">
        <v>0</v>
      </c>
      <c r="DM14" s="81">
        <v>0</v>
      </c>
      <c r="DN14" s="78">
        <v>4454.7</v>
      </c>
      <c r="DO14" s="81">
        <v>0</v>
      </c>
      <c r="DP14" s="81">
        <v>0</v>
      </c>
      <c r="DQ14" s="78">
        <v>5089.6000000000004</v>
      </c>
      <c r="DR14" s="81">
        <v>0</v>
      </c>
      <c r="DS14" s="81">
        <v>0</v>
      </c>
      <c r="DT14" s="78">
        <v>5109.1000000000004</v>
      </c>
      <c r="DU14" s="81">
        <v>0</v>
      </c>
      <c r="DV14" s="91">
        <v>0</v>
      </c>
      <c r="DW14" s="98">
        <v>12871</v>
      </c>
      <c r="DX14" s="91">
        <v>0</v>
      </c>
      <c r="DY14" s="98">
        <v>62789</v>
      </c>
      <c r="DZ14" s="91">
        <v>0</v>
      </c>
      <c r="EA14" s="109">
        <v>15588</v>
      </c>
      <c r="EB14" s="91">
        <v>0</v>
      </c>
      <c r="EC14" s="109">
        <v>24679</v>
      </c>
      <c r="ED14" s="91">
        <v>0</v>
      </c>
      <c r="EE14" s="109">
        <v>2</v>
      </c>
      <c r="EF14" s="110">
        <v>6</v>
      </c>
      <c r="EG14" s="108">
        <v>1.4999999999999999E-2</v>
      </c>
      <c r="EH14" s="69"/>
      <c r="EI14" s="58"/>
      <c r="EJ14" s="58"/>
      <c r="EK14"/>
      <c r="EL14"/>
      <c r="EM14"/>
    </row>
    <row r="15" spans="1:147" s="20" customFormat="1" ht="15" x14ac:dyDescent="0.2">
      <c r="A15" s="71">
        <v>44389</v>
      </c>
      <c r="B15" s="78">
        <v>7267480</v>
      </c>
      <c r="C15" s="73">
        <v>6016</v>
      </c>
      <c r="D15" s="78">
        <v>6477336</v>
      </c>
      <c r="E15" s="73">
        <v>5063</v>
      </c>
      <c r="F15" s="22">
        <v>0.84158909574468088</v>
      </c>
      <c r="G15" s="74">
        <v>340</v>
      </c>
      <c r="H15" s="74">
        <v>306</v>
      </c>
      <c r="I15" s="75">
        <v>288064</v>
      </c>
      <c r="J15" s="76">
        <v>0</v>
      </c>
      <c r="K15" s="77">
        <v>776</v>
      </c>
      <c r="L15" s="73">
        <v>0</v>
      </c>
      <c r="M15" s="78">
        <v>633954</v>
      </c>
      <c r="N15" s="76">
        <v>0</v>
      </c>
      <c r="O15" s="78">
        <v>993</v>
      </c>
      <c r="P15" s="76">
        <v>0</v>
      </c>
      <c r="Q15" s="78">
        <v>2556299</v>
      </c>
      <c r="R15" s="76">
        <v>136</v>
      </c>
      <c r="S15" s="78">
        <v>2192088</v>
      </c>
      <c r="T15" s="76">
        <v>2</v>
      </c>
      <c r="U15" s="78">
        <v>116165</v>
      </c>
      <c r="V15" s="76">
        <v>116</v>
      </c>
      <c r="W15" s="78">
        <v>100</v>
      </c>
      <c r="X15" s="78">
        <v>152370</v>
      </c>
      <c r="Y15" s="73">
        <v>0</v>
      </c>
      <c r="Z15" s="74">
        <v>40329</v>
      </c>
      <c r="AA15" s="81">
        <v>0</v>
      </c>
      <c r="AB15" s="78">
        <v>1129</v>
      </c>
      <c r="AC15" s="82">
        <v>1</v>
      </c>
      <c r="AD15" s="78">
        <v>4605</v>
      </c>
      <c r="AE15" s="83">
        <v>0</v>
      </c>
      <c r="AF15" s="19"/>
      <c r="AG15" s="19"/>
      <c r="AH15" s="78">
        <v>583010</v>
      </c>
      <c r="AI15" s="76">
        <v>30</v>
      </c>
      <c r="AJ15" s="88">
        <v>783</v>
      </c>
      <c r="AK15" s="73">
        <v>6</v>
      </c>
      <c r="AL15" s="74">
        <v>52343</v>
      </c>
      <c r="AM15" s="87">
        <v>2</v>
      </c>
      <c r="AN15" s="78">
        <v>8928</v>
      </c>
      <c r="AO15" s="73">
        <v>0</v>
      </c>
      <c r="AP15" s="78">
        <v>10581</v>
      </c>
      <c r="AQ15" s="73">
        <v>1</v>
      </c>
      <c r="AR15" s="74">
        <v>14613</v>
      </c>
      <c r="AS15" s="73">
        <v>1</v>
      </c>
      <c r="AT15" s="78">
        <v>19369</v>
      </c>
      <c r="AU15" s="73">
        <v>0</v>
      </c>
      <c r="AV15" s="78">
        <v>20680</v>
      </c>
      <c r="AW15" s="81">
        <v>0</v>
      </c>
      <c r="AX15" s="78">
        <v>13871</v>
      </c>
      <c r="AY15" s="81" t="s">
        <v>127</v>
      </c>
      <c r="AZ15" s="78">
        <v>6225</v>
      </c>
      <c r="BA15" s="73">
        <v>0</v>
      </c>
      <c r="BB15" s="78">
        <v>26558</v>
      </c>
      <c r="BC15" s="73">
        <v>2</v>
      </c>
      <c r="BD15" s="74">
        <v>1115</v>
      </c>
      <c r="BE15" s="73">
        <v>0</v>
      </c>
      <c r="BF15" s="74">
        <v>4378</v>
      </c>
      <c r="BG15" s="73">
        <v>0</v>
      </c>
      <c r="BH15" s="78">
        <v>3636</v>
      </c>
      <c r="BI15" s="73">
        <v>0</v>
      </c>
      <c r="BJ15" s="81">
        <v>1</v>
      </c>
      <c r="BK15" s="81">
        <v>29</v>
      </c>
      <c r="BL15" s="78">
        <v>603330</v>
      </c>
      <c r="BM15" s="81">
        <v>37</v>
      </c>
      <c r="BN15" s="88">
        <v>747</v>
      </c>
      <c r="BO15" s="73">
        <v>0</v>
      </c>
      <c r="BP15" s="74">
        <v>783210</v>
      </c>
      <c r="BQ15" s="81">
        <v>100</v>
      </c>
      <c r="BR15" s="88">
        <v>7575</v>
      </c>
      <c r="BS15" s="81">
        <v>50</v>
      </c>
      <c r="BT15" s="91">
        <v>70</v>
      </c>
      <c r="BU15" s="81">
        <v>137</v>
      </c>
      <c r="BV15" s="93">
        <v>4</v>
      </c>
      <c r="BW15" s="78">
        <v>122</v>
      </c>
      <c r="BX15" s="94">
        <v>15128.057958131996</v>
      </c>
      <c r="BY15" s="78"/>
      <c r="BZ15" s="96">
        <v>0</v>
      </c>
      <c r="CA15" s="78">
        <v>206792.8</v>
      </c>
      <c r="CB15" s="81">
        <v>4.6999999999825377</v>
      </c>
      <c r="CC15" s="91">
        <v>26.836999999900289</v>
      </c>
      <c r="CD15" s="78">
        <v>58</v>
      </c>
      <c r="CE15" s="100">
        <v>6249.5</v>
      </c>
      <c r="CF15" s="78">
        <v>57</v>
      </c>
      <c r="CG15" s="101">
        <v>6141.75</v>
      </c>
      <c r="CH15" s="78">
        <v>59</v>
      </c>
      <c r="CI15" s="102">
        <v>6357.25</v>
      </c>
      <c r="CJ15" s="103">
        <v>18748.5</v>
      </c>
      <c r="CK15" s="104">
        <v>215.5</v>
      </c>
      <c r="CL15" s="106"/>
      <c r="CM15" s="78">
        <v>34676.9</v>
      </c>
      <c r="CN15" s="81">
        <v>3.4000000000014552</v>
      </c>
      <c r="CO15" s="91">
        <v>8.2960000000035503</v>
      </c>
      <c r="CP15" s="78">
        <v>34300</v>
      </c>
      <c r="CQ15" s="81">
        <v>0</v>
      </c>
      <c r="CR15" s="91">
        <v>0</v>
      </c>
      <c r="CS15" s="78">
        <v>10235.6</v>
      </c>
      <c r="CT15" s="81">
        <v>0</v>
      </c>
      <c r="CU15" s="91">
        <v>0</v>
      </c>
      <c r="CV15" s="78">
        <v>832172.5</v>
      </c>
      <c r="CW15" s="81">
        <v>0</v>
      </c>
      <c r="CX15" s="91">
        <v>0</v>
      </c>
      <c r="CY15" s="78">
        <v>6107.8</v>
      </c>
      <c r="CZ15" s="81">
        <v>2.4000000000005457</v>
      </c>
      <c r="DA15" s="91">
        <v>5.7360000000013045</v>
      </c>
      <c r="DB15" s="78">
        <v>7420</v>
      </c>
      <c r="DC15" s="81">
        <v>0</v>
      </c>
      <c r="DD15" s="81">
        <v>0</v>
      </c>
      <c r="DE15" s="78">
        <v>4127</v>
      </c>
      <c r="DF15" s="81">
        <v>7.8000000000001819</v>
      </c>
      <c r="DG15" s="81">
        <v>2.6000000000003638</v>
      </c>
      <c r="DH15" s="78">
        <v>1855.9</v>
      </c>
      <c r="DI15" s="81">
        <v>0</v>
      </c>
      <c r="DJ15" s="81">
        <v>0</v>
      </c>
      <c r="DK15" s="78">
        <v>5081.7</v>
      </c>
      <c r="DL15" s="81">
        <v>0</v>
      </c>
      <c r="DM15" s="81">
        <v>0</v>
      </c>
      <c r="DN15" s="78">
        <v>4454.7</v>
      </c>
      <c r="DO15" s="81">
        <v>0</v>
      </c>
      <c r="DP15" s="81">
        <v>0</v>
      </c>
      <c r="DQ15" s="78">
        <v>5089.6000000000004</v>
      </c>
      <c r="DR15" s="81">
        <v>0</v>
      </c>
      <c r="DS15" s="81">
        <v>0</v>
      </c>
      <c r="DT15" s="78">
        <v>5109.1000000000004</v>
      </c>
      <c r="DU15" s="81">
        <v>0</v>
      </c>
      <c r="DV15" s="91">
        <v>0</v>
      </c>
      <c r="DW15" s="98">
        <v>12871</v>
      </c>
      <c r="DX15" s="91">
        <v>0</v>
      </c>
      <c r="DY15" s="98">
        <v>62789</v>
      </c>
      <c r="DZ15" s="91">
        <v>0</v>
      </c>
      <c r="EA15" s="109">
        <v>15588</v>
      </c>
      <c r="EB15" s="91">
        <v>0</v>
      </c>
      <c r="EC15" s="109">
        <v>24679</v>
      </c>
      <c r="ED15" s="91">
        <v>0</v>
      </c>
      <c r="EE15" s="109">
        <v>2</v>
      </c>
      <c r="EF15" s="110">
        <v>6</v>
      </c>
      <c r="EG15" s="108">
        <v>1.4999999999999999E-2</v>
      </c>
      <c r="EH15" s="69"/>
      <c r="EI15" s="58"/>
      <c r="EJ15" s="58"/>
      <c r="EK15"/>
      <c r="EL15"/>
      <c r="EM15"/>
    </row>
    <row r="16" spans="1:147" s="20" customFormat="1" ht="15" x14ac:dyDescent="0.2">
      <c r="A16" s="71">
        <v>44390</v>
      </c>
      <c r="B16" s="78">
        <v>7274003</v>
      </c>
      <c r="C16" s="73">
        <f t="shared" ref="C16:C29" si="56">IF((B16-B15)&lt;0,"0",(B16-B15))</f>
        <v>6523</v>
      </c>
      <c r="D16" s="78">
        <v>6482769</v>
      </c>
      <c r="E16" s="73">
        <f t="shared" ref="E16:E29" si="57">IF((D16-D15)&lt;0,"0",(D16-D15))</f>
        <v>5433</v>
      </c>
      <c r="F16" s="22">
        <f t="shared" ref="F16:F29" si="58">E16/C16</f>
        <v>0.83289897286524606</v>
      </c>
      <c r="G16" s="74">
        <v>340</v>
      </c>
      <c r="H16" s="74">
        <v>306</v>
      </c>
      <c r="I16" s="75">
        <v>288064</v>
      </c>
      <c r="J16" s="76">
        <f t="shared" ref="J16:N29" si="59">IF((I16-I15)&lt;0,"0",(I16-I15))</f>
        <v>0</v>
      </c>
      <c r="K16" s="77">
        <v>776</v>
      </c>
      <c r="L16" s="73">
        <f t="shared" ref="L16:L26" si="60">IF((K16-K15)&lt;0,"0",(K16-K15))</f>
        <v>0</v>
      </c>
      <c r="M16" s="78">
        <v>633954</v>
      </c>
      <c r="N16" s="76">
        <f t="shared" ref="N16:N23" si="61">IF((M16-M15)&lt;0,"0",(M16-M15))</f>
        <v>0</v>
      </c>
      <c r="O16" s="78">
        <v>1000</v>
      </c>
      <c r="P16" s="76">
        <f t="shared" ref="P16:P29" si="62">IF((O16-O15)&lt;0,"0",(O16-O15))</f>
        <v>7</v>
      </c>
      <c r="Q16" s="78">
        <v>2556415</v>
      </c>
      <c r="R16" s="76">
        <f t="shared" ref="R16:V29" si="63">(Q16-Q15)</f>
        <v>116</v>
      </c>
      <c r="S16" s="78">
        <v>2192090</v>
      </c>
      <c r="T16" s="76">
        <f t="shared" si="63"/>
        <v>2</v>
      </c>
      <c r="U16" s="78">
        <v>116240</v>
      </c>
      <c r="V16" s="76">
        <f t="shared" si="63"/>
        <v>75</v>
      </c>
      <c r="W16" s="114">
        <v>85</v>
      </c>
      <c r="X16" s="78">
        <v>152370</v>
      </c>
      <c r="Y16" s="73">
        <v>0</v>
      </c>
      <c r="Z16" s="74">
        <v>40355</v>
      </c>
      <c r="AA16" s="81">
        <f t="shared" ref="AA16:AC26" si="64">IF((Z16-Z15)&lt;0,"0",(Z16-Z15))</f>
        <v>26</v>
      </c>
      <c r="AB16" s="78">
        <v>1129</v>
      </c>
      <c r="AC16" s="82">
        <f t="shared" ref="AC16" si="65">IF((AB16-AB15)&lt;0,"0",(AB16-AB15))</f>
        <v>0</v>
      </c>
      <c r="AD16" s="78">
        <v>4605</v>
      </c>
      <c r="AE16" s="83">
        <f t="shared" ref="AE16:AE26" si="66">(AD16-AD15)</f>
        <v>0</v>
      </c>
      <c r="AF16" s="19"/>
      <c r="AG16" s="19"/>
      <c r="AH16" s="78">
        <v>583040</v>
      </c>
      <c r="AI16" s="76">
        <f t="shared" ref="AI16:AI26" si="67">IF((AH16-AH15)&lt;0,"0",(AH16-AH15))</f>
        <v>30</v>
      </c>
      <c r="AJ16" s="89">
        <v>790</v>
      </c>
      <c r="AK16" s="73">
        <f t="shared" ref="AK16:AK26" si="68">(AJ16-AJ15)</f>
        <v>7</v>
      </c>
      <c r="AL16" s="74">
        <v>52346</v>
      </c>
      <c r="AM16" s="87">
        <f t="shared" ref="AM16:AM19" si="69">(AL16-AL15)</f>
        <v>3</v>
      </c>
      <c r="AN16" s="78">
        <v>8928</v>
      </c>
      <c r="AO16" s="73">
        <f t="shared" ref="AO16:AU26" si="70">(AN16-AN15)</f>
        <v>0</v>
      </c>
      <c r="AP16" s="78">
        <v>10581</v>
      </c>
      <c r="AQ16" s="73">
        <f t="shared" ref="AQ16" si="71">(AP16-AP15)</f>
        <v>0</v>
      </c>
      <c r="AR16" s="74">
        <v>14613</v>
      </c>
      <c r="AS16" s="73">
        <f t="shared" ref="AS16" si="72">(AR16-AR15)</f>
        <v>0</v>
      </c>
      <c r="AT16" s="78">
        <v>19369</v>
      </c>
      <c r="AU16" s="73">
        <f t="shared" ref="AU16" si="73">(AT16-AT15)</f>
        <v>0</v>
      </c>
      <c r="AV16" s="78">
        <v>20680</v>
      </c>
      <c r="AW16" s="81">
        <f t="shared" ref="AW16:AW26" si="74">IF((AV16-AV15)&lt;0,"0",(AV16-AV15))</f>
        <v>0</v>
      </c>
      <c r="AX16" s="78">
        <v>13871</v>
      </c>
      <c r="AY16" s="81">
        <f t="shared" ref="AY16:AY24" si="75">IF((AX17-AX15)&lt;0,"0",(AX17-AX15))</f>
        <v>0</v>
      </c>
      <c r="AZ16" s="78">
        <v>6225</v>
      </c>
      <c r="BA16" s="73">
        <f t="shared" ref="BA16:BA26" si="76">(AZ16-AZ15)</f>
        <v>0</v>
      </c>
      <c r="BB16" s="78">
        <v>26559</v>
      </c>
      <c r="BC16" s="73">
        <f t="shared" ref="BC16:BC26" si="77">(BB16-BB15)</f>
        <v>1</v>
      </c>
      <c r="BD16" s="74">
        <v>1115</v>
      </c>
      <c r="BE16" s="73">
        <f t="shared" ref="BE16:BE26" si="78">(BD16-BD15)</f>
        <v>0</v>
      </c>
      <c r="BF16" s="74">
        <v>4378</v>
      </c>
      <c r="BG16" s="73">
        <f t="shared" ref="BG16:BG26" si="79">(BF16-BF15)</f>
        <v>0</v>
      </c>
      <c r="BH16" s="78">
        <v>3636</v>
      </c>
      <c r="BI16" s="73">
        <f t="shared" ref="BI16:BI25" si="80">(BH16-BH15)</f>
        <v>0</v>
      </c>
      <c r="BJ16" s="81">
        <f t="shared" ref="BJ16:BJ26" si="81">AY16+AW16+AS16</f>
        <v>0</v>
      </c>
      <c r="BK16" s="81">
        <f t="shared" ref="BK16:BK26" si="82">AI16-BJ16</f>
        <v>30</v>
      </c>
      <c r="BL16" s="78">
        <v>603350</v>
      </c>
      <c r="BM16" s="81">
        <f t="shared" ref="BM16:BM26" si="83">IF((BL16-BL15)&lt;0,"0",(BL16-BL15))</f>
        <v>20</v>
      </c>
      <c r="BN16" s="88">
        <v>747</v>
      </c>
      <c r="BO16" s="73">
        <f t="shared" ref="BO16:BO26" si="84">(BN16-BN15)</f>
        <v>0</v>
      </c>
      <c r="BP16" s="78">
        <v>783250</v>
      </c>
      <c r="BQ16" s="81">
        <f t="shared" ref="BQ16:BQ26" si="85">IF((BP16-BP15)&lt;0,"0",(BP16-BP15))</f>
        <v>40</v>
      </c>
      <c r="BR16" s="88">
        <v>7600</v>
      </c>
      <c r="BS16" s="81">
        <f t="shared" ref="BS16" si="86">IF((BR16-BR15)&lt;0,"0",(BR16-BR15))</f>
        <v>25</v>
      </c>
      <c r="BT16" s="91">
        <f t="shared" ref="BT16:BT23" si="87">BQ16-AI16</f>
        <v>10</v>
      </c>
      <c r="BU16" s="81">
        <f t="shared" ref="BU16:BU26" si="88">SUM(BM16, BQ16)</f>
        <v>60</v>
      </c>
      <c r="BV16" s="93">
        <f t="shared" ref="BV16:BV26" si="89" xml:space="preserve"> SUM(AM16,AO16,AQ16,AS16,AU16,AW16,AY16,BA16,BE16)</f>
        <v>3</v>
      </c>
      <c r="BW16" s="78">
        <v>122</v>
      </c>
      <c r="BX16" s="94">
        <f t="shared" ref="BX16:BX26" si="90">(IF(BW16&lt;=116.4,((116.4*116.4*ACOS((116.4-BW16)/116.4))-((116.4-BW16)*SQRT(2*116.4*BW16-BW16*BW16)))*669.8,((3.1416*116.4*116.4)-((116.4*116.4*ACOS((116.4-(2*116.4-BW16))/116.4))-((116.4-(2*116.4-BW16))*SQRT(2*116.4*(2*116.4-BW16)-((2*116.4-BW16)*(2*116.4-BW16))))))*669.8))/1000</f>
        <v>15128.057958131996</v>
      </c>
      <c r="BY16" s="78"/>
      <c r="BZ16" s="96">
        <f t="shared" ref="BZ16:BZ26" si="91">(BY16-BY15)</f>
        <v>0</v>
      </c>
      <c r="CA16" s="78">
        <v>206798.1</v>
      </c>
      <c r="CB16" s="81">
        <f t="shared" ref="CB16:CB26" si="92">IF((CA16-CA15)&lt;0,"0",(CA16-CA15))</f>
        <v>5.3000000000174623</v>
      </c>
      <c r="CC16" s="91">
        <f t="shared" ref="CC16:CC26" si="93">CB16*5.71</f>
        <v>30.263000000099709</v>
      </c>
      <c r="CD16" s="78">
        <v>58</v>
      </c>
      <c r="CE16" s="100">
        <f t="shared" ref="CE16:CE26" si="94">(CD16*10775)/100</f>
        <v>6249.5</v>
      </c>
      <c r="CF16" s="78">
        <v>56</v>
      </c>
      <c r="CG16" s="101">
        <f t="shared" ref="CG16:CG26" si="95">(CF16*10775)/100</f>
        <v>6034</v>
      </c>
      <c r="CH16" s="78">
        <v>59</v>
      </c>
      <c r="CI16" s="102">
        <f t="shared" ref="CI16:CI26" si="96">(CH16*10775)/100</f>
        <v>6357.25</v>
      </c>
      <c r="CJ16" s="103">
        <f t="shared" ref="CJ16:CJ26" si="97">CE16+CG16+CI16</f>
        <v>18640.75</v>
      </c>
      <c r="CK16" s="104">
        <f t="shared" ref="CK16:CK26" si="98">IF((CJ15-CJ16+CL15)=CJ15,"0",(CJ15-CJ16+CL15))</f>
        <v>107.75</v>
      </c>
      <c r="CL16" s="78"/>
      <c r="CM16" s="78">
        <v>34681.599999999999</v>
      </c>
      <c r="CN16" s="81">
        <f t="shared" ref="CN16:CN26" si="99">IF((CM16-CM15)&lt;0,"0",(CM16-CM15))</f>
        <v>4.6999999999970896</v>
      </c>
      <c r="CO16" s="91">
        <f t="shared" ref="CO16:CO26" si="100">CN16*2.44</f>
        <v>11.467999999992898</v>
      </c>
      <c r="CP16" s="78">
        <v>34300</v>
      </c>
      <c r="CQ16" s="81">
        <f t="shared" ref="CQ16:CQ24" si="101">IF((CP16-CP15)&lt;0,"0",(CP16-CP15))</f>
        <v>0</v>
      </c>
      <c r="CR16" s="91">
        <f t="shared" ref="CR16:CR26" si="102">CQ16*2.44</f>
        <v>0</v>
      </c>
      <c r="CS16" s="78">
        <v>10235.6</v>
      </c>
      <c r="CT16" s="81">
        <f t="shared" ref="CT16:CT26" si="103">IF((CS16-CS15)&lt;0,"0",(CS16-CS15))</f>
        <v>0</v>
      </c>
      <c r="CU16" s="91">
        <f t="shared" ref="CU16:CU26" si="104">CT16*2.44</f>
        <v>0</v>
      </c>
      <c r="CV16" s="78">
        <v>832172.5</v>
      </c>
      <c r="CW16" s="81">
        <f t="shared" ref="CW16:CW26" si="105">IF((CV16-CV15)&lt;0,"0",(CV16-CV15))</f>
        <v>0</v>
      </c>
      <c r="CX16" s="91">
        <f t="shared" ref="CX16:CX26" si="106">CW16*2.44</f>
        <v>0</v>
      </c>
      <c r="CY16" s="78">
        <v>6110.4</v>
      </c>
      <c r="CZ16" s="81">
        <f t="shared" ref="CZ16:CZ26" si="107">IF((CY16-CY15)&lt;0,"0",(CY16-CY15))</f>
        <v>2.5999999999994543</v>
      </c>
      <c r="DA16" s="91">
        <f t="shared" ref="DA16:DA26" si="108">CZ16*2.39</f>
        <v>6.2139999999986957</v>
      </c>
      <c r="DB16" s="78">
        <v>7420</v>
      </c>
      <c r="DC16" s="81">
        <f t="shared" ref="DC16:DD26" si="109">IF((DB16-DB15)&lt;0,"0",(DB16-DB15))</f>
        <v>0</v>
      </c>
      <c r="DD16" s="81">
        <f t="shared" ref="DD16" si="110">IF((DC16-DC15)&lt;0,"0",(DC16-DC15))</f>
        <v>0</v>
      </c>
      <c r="DE16" s="78">
        <v>4129</v>
      </c>
      <c r="DF16" s="81">
        <f t="shared" ref="DF16:DG26" si="111">IF((DE16-DE15)&lt;0,"0",(DE16-DE15))</f>
        <v>2</v>
      </c>
      <c r="DG16" s="81" t="str">
        <f t="shared" ref="DG16" si="112">IF((DF16-DF15)&lt;0,"0",(DF16-DF15))</f>
        <v>0</v>
      </c>
      <c r="DH16" s="78">
        <v>1855.9</v>
      </c>
      <c r="DI16" s="81">
        <f t="shared" ref="DI16:DJ26" si="113">IF((DH16-DH15)&lt;0,"0",(DH16-DH15))</f>
        <v>0</v>
      </c>
      <c r="DJ16" s="81">
        <f t="shared" ref="DJ16" si="114">IF((DI16-DI15)&lt;0,"0",(DI16-DI15))</f>
        <v>0</v>
      </c>
      <c r="DK16" s="78">
        <v>5081.7</v>
      </c>
      <c r="DL16" s="81">
        <f t="shared" ref="DL16:DM26" si="115">IF((DK16-DK15)&lt;0,"0",(DK16-DK15))</f>
        <v>0</v>
      </c>
      <c r="DM16" s="81">
        <f t="shared" ref="DM16" si="116">IF((DL16-DL15)&lt;0,"0",(DL16-DL15))</f>
        <v>0</v>
      </c>
      <c r="DN16" s="78">
        <v>4454.7</v>
      </c>
      <c r="DO16" s="81">
        <f t="shared" ref="DO16:DP26" si="117">IF((DN16-DN15)&lt;0,"0",(DN16-DN15))</f>
        <v>0</v>
      </c>
      <c r="DP16" s="81">
        <f t="shared" ref="DP16" si="118">IF((DO16-DO15)&lt;0,"0",(DO16-DO15))</f>
        <v>0</v>
      </c>
      <c r="DQ16" s="78">
        <v>5089.6000000000004</v>
      </c>
      <c r="DR16" s="81">
        <f t="shared" ref="DR16:DS26" si="119">IF((DQ16-DQ15)&lt;0,"0",(DQ16-DQ15))</f>
        <v>0</v>
      </c>
      <c r="DS16" s="81">
        <f t="shared" ref="DS16" si="120">IF((DR16-DR15)&lt;0,"0",(DR16-DR15))</f>
        <v>0</v>
      </c>
      <c r="DT16" s="78">
        <v>5109.1000000000004</v>
      </c>
      <c r="DU16" s="81">
        <f t="shared" ref="DU16:DU26" si="121">IF((DT16-DT15)&lt;0,"0",(DT16-DT15))</f>
        <v>0</v>
      </c>
      <c r="DV16" s="91">
        <f t="shared" ref="DV16:DV26" si="122">DU16*2.39</f>
        <v>0</v>
      </c>
      <c r="DW16" s="98">
        <v>12871</v>
      </c>
      <c r="DX16" s="91">
        <f t="shared" ref="DX16:DX26" si="123">(DW16-DW15)</f>
        <v>0</v>
      </c>
      <c r="DY16" s="98">
        <v>62789</v>
      </c>
      <c r="DZ16" s="91">
        <f t="shared" ref="DZ16:DZ26" si="124">(DY16-DY15)</f>
        <v>0</v>
      </c>
      <c r="EA16" s="109">
        <v>15588</v>
      </c>
      <c r="EB16" s="91">
        <f t="shared" ref="EB16:EB26" si="125">(EA16-EA15)</f>
        <v>0</v>
      </c>
      <c r="EC16" s="109">
        <v>24679</v>
      </c>
      <c r="ED16" s="91">
        <f t="shared" ref="ED16:ED26" si="126">(EC16-EC15)</f>
        <v>0</v>
      </c>
      <c r="EE16" s="109">
        <v>2</v>
      </c>
      <c r="EF16" s="110">
        <v>6</v>
      </c>
      <c r="EG16" s="108">
        <v>1.4999999999999999E-2</v>
      </c>
      <c r="EH16" s="91"/>
      <c r="EI16" s="98"/>
      <c r="EJ16" s="118"/>
      <c r="EK16" s="115"/>
      <c r="EL16" s="116"/>
      <c r="EM16" s="115"/>
      <c r="EN16" s="116"/>
      <c r="EO16" s="115"/>
      <c r="EP16" s="115"/>
      <c r="EQ16" s="117"/>
    </row>
    <row r="17" spans="1:144" s="24" customFormat="1" ht="15" x14ac:dyDescent="0.2">
      <c r="A17" s="71">
        <v>44391</v>
      </c>
      <c r="B17" s="78">
        <v>7279542</v>
      </c>
      <c r="C17" s="73">
        <f t="shared" si="56"/>
        <v>5539</v>
      </c>
      <c r="D17" s="78">
        <v>6487761</v>
      </c>
      <c r="E17" s="73">
        <f t="shared" si="57"/>
        <v>4992</v>
      </c>
      <c r="F17" s="22">
        <f t="shared" si="58"/>
        <v>0.90124571222242278</v>
      </c>
      <c r="G17" s="74">
        <v>340</v>
      </c>
      <c r="H17" s="74">
        <v>306</v>
      </c>
      <c r="I17" s="75">
        <v>288064</v>
      </c>
      <c r="J17" s="76">
        <f t="shared" si="59"/>
        <v>0</v>
      </c>
      <c r="K17" s="77">
        <v>776</v>
      </c>
      <c r="L17" s="73">
        <f t="shared" si="60"/>
        <v>0</v>
      </c>
      <c r="M17" s="78">
        <v>633954</v>
      </c>
      <c r="N17" s="76">
        <f t="shared" si="61"/>
        <v>0</v>
      </c>
      <c r="O17" s="78">
        <v>993</v>
      </c>
      <c r="P17" s="76" t="str">
        <f t="shared" si="62"/>
        <v>0</v>
      </c>
      <c r="Q17" s="78">
        <v>2556539</v>
      </c>
      <c r="R17" s="76">
        <f t="shared" si="63"/>
        <v>124</v>
      </c>
      <c r="S17" s="78">
        <v>2192095</v>
      </c>
      <c r="T17" s="76">
        <f t="shared" si="63"/>
        <v>5</v>
      </c>
      <c r="U17" s="78">
        <v>116334</v>
      </c>
      <c r="V17" s="76">
        <f t="shared" si="63"/>
        <v>94</v>
      </c>
      <c r="W17" s="114">
        <v>100</v>
      </c>
      <c r="X17" s="78">
        <v>152370</v>
      </c>
      <c r="Y17" s="73">
        <v>0</v>
      </c>
      <c r="Z17" s="74">
        <v>40364</v>
      </c>
      <c r="AA17" s="81">
        <f t="shared" si="64"/>
        <v>9</v>
      </c>
      <c r="AB17" s="78">
        <v>1129</v>
      </c>
      <c r="AC17" s="82">
        <f t="shared" si="64"/>
        <v>0</v>
      </c>
      <c r="AD17" s="78">
        <v>4605</v>
      </c>
      <c r="AE17" s="83">
        <f t="shared" si="66"/>
        <v>0</v>
      </c>
      <c r="AF17" s="19"/>
      <c r="AG17" s="19"/>
      <c r="AH17" s="78">
        <v>583078</v>
      </c>
      <c r="AI17" s="76">
        <f t="shared" si="67"/>
        <v>38</v>
      </c>
      <c r="AJ17" s="89">
        <v>796</v>
      </c>
      <c r="AK17" s="73">
        <f t="shared" si="68"/>
        <v>6</v>
      </c>
      <c r="AL17" s="74">
        <v>52348</v>
      </c>
      <c r="AM17" s="87">
        <f t="shared" si="69"/>
        <v>2</v>
      </c>
      <c r="AN17" s="78">
        <v>8929</v>
      </c>
      <c r="AO17" s="73">
        <f t="shared" si="70"/>
        <v>1</v>
      </c>
      <c r="AP17" s="78">
        <v>10581</v>
      </c>
      <c r="AQ17" s="73">
        <f t="shared" si="70"/>
        <v>0</v>
      </c>
      <c r="AR17" s="74">
        <v>14614</v>
      </c>
      <c r="AS17" s="73">
        <f t="shared" si="70"/>
        <v>1</v>
      </c>
      <c r="AT17" s="78">
        <v>19369</v>
      </c>
      <c r="AU17" s="73">
        <f t="shared" si="70"/>
        <v>0</v>
      </c>
      <c r="AV17" s="78">
        <v>20680</v>
      </c>
      <c r="AW17" s="81">
        <f t="shared" si="74"/>
        <v>0</v>
      </c>
      <c r="AX17" s="78">
        <v>13871</v>
      </c>
      <c r="AY17" s="81">
        <f t="shared" si="75"/>
        <v>0</v>
      </c>
      <c r="AZ17" s="78">
        <v>6225</v>
      </c>
      <c r="BA17" s="73">
        <f t="shared" si="76"/>
        <v>0</v>
      </c>
      <c r="BB17" s="78">
        <v>26560</v>
      </c>
      <c r="BC17" s="73">
        <f t="shared" si="77"/>
        <v>1</v>
      </c>
      <c r="BD17" s="74">
        <v>1115</v>
      </c>
      <c r="BE17" s="73">
        <f t="shared" si="78"/>
        <v>0</v>
      </c>
      <c r="BF17" s="74">
        <v>4378</v>
      </c>
      <c r="BG17" s="73">
        <f t="shared" si="79"/>
        <v>0</v>
      </c>
      <c r="BH17" s="78">
        <v>3636</v>
      </c>
      <c r="BI17" s="73">
        <f t="shared" si="80"/>
        <v>0</v>
      </c>
      <c r="BJ17" s="81">
        <f t="shared" si="81"/>
        <v>1</v>
      </c>
      <c r="BK17" s="81">
        <f t="shared" si="82"/>
        <v>37</v>
      </c>
      <c r="BL17" s="78">
        <v>603400</v>
      </c>
      <c r="BM17" s="81">
        <f t="shared" si="83"/>
        <v>50</v>
      </c>
      <c r="BN17" s="88">
        <v>747</v>
      </c>
      <c r="BO17" s="73">
        <f t="shared" si="84"/>
        <v>0</v>
      </c>
      <c r="BP17" s="78">
        <v>783356</v>
      </c>
      <c r="BQ17" s="81">
        <f t="shared" si="85"/>
        <v>106</v>
      </c>
      <c r="BR17" s="88">
        <v>7605</v>
      </c>
      <c r="BS17" s="81">
        <f>IF((BR17-BR16)&lt;0,"0",(BR17-BR16))</f>
        <v>5</v>
      </c>
      <c r="BT17" s="91">
        <f t="shared" si="87"/>
        <v>68</v>
      </c>
      <c r="BU17" s="81">
        <f t="shared" si="88"/>
        <v>156</v>
      </c>
      <c r="BV17" s="93">
        <f t="shared" si="89"/>
        <v>4</v>
      </c>
      <c r="BW17" s="78">
        <v>122</v>
      </c>
      <c r="BX17" s="94">
        <f t="shared" si="90"/>
        <v>15128.057958131996</v>
      </c>
      <c r="BY17" s="78"/>
      <c r="BZ17" s="96">
        <f t="shared" si="91"/>
        <v>0</v>
      </c>
      <c r="CA17" s="78">
        <v>206806.1</v>
      </c>
      <c r="CB17" s="81">
        <f t="shared" si="92"/>
        <v>8</v>
      </c>
      <c r="CC17" s="91">
        <f t="shared" si="93"/>
        <v>45.68</v>
      </c>
      <c r="CD17" s="78">
        <v>57</v>
      </c>
      <c r="CE17" s="100">
        <f t="shared" si="94"/>
        <v>6141.75</v>
      </c>
      <c r="CF17" s="78">
        <v>56</v>
      </c>
      <c r="CG17" s="101">
        <f t="shared" si="95"/>
        <v>6034</v>
      </c>
      <c r="CH17" s="78">
        <v>59</v>
      </c>
      <c r="CI17" s="102">
        <f t="shared" si="96"/>
        <v>6357.25</v>
      </c>
      <c r="CJ17" s="103">
        <f t="shared" si="97"/>
        <v>18533</v>
      </c>
      <c r="CK17" s="104">
        <f t="shared" si="98"/>
        <v>107.75</v>
      </c>
      <c r="CL17" s="78"/>
      <c r="CM17" s="78">
        <v>34681.599999999999</v>
      </c>
      <c r="CN17" s="81">
        <f t="shared" si="99"/>
        <v>0</v>
      </c>
      <c r="CO17" s="91">
        <f t="shared" si="100"/>
        <v>0</v>
      </c>
      <c r="CP17" s="78">
        <v>34300</v>
      </c>
      <c r="CQ17" s="81">
        <f t="shared" si="101"/>
        <v>0</v>
      </c>
      <c r="CR17" s="91">
        <f t="shared" si="102"/>
        <v>0</v>
      </c>
      <c r="CS17" s="78">
        <v>10235.6</v>
      </c>
      <c r="CT17" s="81">
        <f t="shared" si="103"/>
        <v>0</v>
      </c>
      <c r="CU17" s="91">
        <f t="shared" si="104"/>
        <v>0</v>
      </c>
      <c r="CV17" s="78">
        <v>832172.5</v>
      </c>
      <c r="CW17" s="81">
        <f t="shared" si="105"/>
        <v>0</v>
      </c>
      <c r="CX17" s="91">
        <f t="shared" si="106"/>
        <v>0</v>
      </c>
      <c r="CY17" s="78">
        <v>6112.8</v>
      </c>
      <c r="CZ17" s="81">
        <f t="shared" si="107"/>
        <v>2.4000000000005457</v>
      </c>
      <c r="DA17" s="91">
        <f t="shared" si="108"/>
        <v>5.7360000000013045</v>
      </c>
      <c r="DB17" s="78">
        <v>7420</v>
      </c>
      <c r="DC17" s="81">
        <f t="shared" si="109"/>
        <v>0</v>
      </c>
      <c r="DD17" s="81">
        <f t="shared" si="109"/>
        <v>0</v>
      </c>
      <c r="DE17" s="78">
        <v>4133</v>
      </c>
      <c r="DF17" s="81">
        <f t="shared" si="111"/>
        <v>4</v>
      </c>
      <c r="DG17" s="81">
        <f t="shared" si="111"/>
        <v>2</v>
      </c>
      <c r="DH17" s="78">
        <v>1855.9</v>
      </c>
      <c r="DI17" s="81">
        <f t="shared" si="113"/>
        <v>0</v>
      </c>
      <c r="DJ17" s="81">
        <f t="shared" si="113"/>
        <v>0</v>
      </c>
      <c r="DK17" s="78">
        <v>5081.7</v>
      </c>
      <c r="DL17" s="81">
        <f t="shared" si="115"/>
        <v>0</v>
      </c>
      <c r="DM17" s="81">
        <f t="shared" si="115"/>
        <v>0</v>
      </c>
      <c r="DN17" s="78">
        <v>4454.7</v>
      </c>
      <c r="DO17" s="81">
        <f t="shared" si="117"/>
        <v>0</v>
      </c>
      <c r="DP17" s="81">
        <f t="shared" si="117"/>
        <v>0</v>
      </c>
      <c r="DQ17" s="78">
        <v>5089.6000000000004</v>
      </c>
      <c r="DR17" s="81">
        <f t="shared" si="119"/>
        <v>0</v>
      </c>
      <c r="DS17" s="81">
        <f t="shared" si="119"/>
        <v>0</v>
      </c>
      <c r="DT17" s="78">
        <v>5109.1000000000004</v>
      </c>
      <c r="DU17" s="81">
        <f t="shared" si="121"/>
        <v>0</v>
      </c>
      <c r="DV17" s="91">
        <f t="shared" si="122"/>
        <v>0</v>
      </c>
      <c r="DW17" s="98">
        <v>12871</v>
      </c>
      <c r="DX17" s="91">
        <f t="shared" si="123"/>
        <v>0</v>
      </c>
      <c r="DY17" s="98">
        <v>62789</v>
      </c>
      <c r="DZ17" s="91">
        <f t="shared" si="124"/>
        <v>0</v>
      </c>
      <c r="EA17" s="109">
        <v>15588</v>
      </c>
      <c r="EB17" s="91">
        <f t="shared" si="125"/>
        <v>0</v>
      </c>
      <c r="EC17" s="109">
        <v>24679</v>
      </c>
      <c r="ED17" s="91">
        <f t="shared" si="126"/>
        <v>0</v>
      </c>
      <c r="EE17" s="109">
        <v>2</v>
      </c>
      <c r="EF17" s="110">
        <v>6</v>
      </c>
      <c r="EG17" s="108">
        <v>1.4999999999999999E-2</v>
      </c>
      <c r="EH17" s="70"/>
      <c r="EI17" s="58"/>
      <c r="EJ17" s="58"/>
      <c r="EK17"/>
      <c r="EL17"/>
      <c r="EM17"/>
    </row>
    <row r="18" spans="1:144" s="20" customFormat="1" ht="15" x14ac:dyDescent="0.2">
      <c r="A18" s="71">
        <v>44392</v>
      </c>
      <c r="B18" s="78">
        <v>7285390</v>
      </c>
      <c r="C18" s="73">
        <f t="shared" si="56"/>
        <v>5848</v>
      </c>
      <c r="D18" s="78">
        <v>6493091</v>
      </c>
      <c r="E18" s="73">
        <f t="shared" si="57"/>
        <v>5330</v>
      </c>
      <c r="F18" s="22">
        <f t="shared" si="58"/>
        <v>0.91142270861833108</v>
      </c>
      <c r="G18" s="74">
        <v>348</v>
      </c>
      <c r="H18" s="74">
        <v>306</v>
      </c>
      <c r="I18" s="75">
        <v>288064</v>
      </c>
      <c r="J18" s="76">
        <f t="shared" si="59"/>
        <v>0</v>
      </c>
      <c r="K18" s="77">
        <v>776</v>
      </c>
      <c r="L18" s="73">
        <f t="shared" si="60"/>
        <v>0</v>
      </c>
      <c r="M18" s="78">
        <v>633954</v>
      </c>
      <c r="N18" s="76">
        <f t="shared" si="61"/>
        <v>0</v>
      </c>
      <c r="O18" s="78">
        <v>993</v>
      </c>
      <c r="P18" s="76">
        <f t="shared" si="62"/>
        <v>0</v>
      </c>
      <c r="Q18" s="78">
        <v>2556665</v>
      </c>
      <c r="R18" s="76">
        <f t="shared" si="63"/>
        <v>126</v>
      </c>
      <c r="S18" s="78">
        <v>2192197</v>
      </c>
      <c r="T18" s="76">
        <f t="shared" si="63"/>
        <v>102</v>
      </c>
      <c r="U18" s="78">
        <v>116411</v>
      </c>
      <c r="V18" s="76">
        <f t="shared" si="63"/>
        <v>77</v>
      </c>
      <c r="W18" s="114">
        <v>100</v>
      </c>
      <c r="X18" s="78">
        <v>152370</v>
      </c>
      <c r="Y18" s="73">
        <v>0</v>
      </c>
      <c r="Z18" s="74">
        <v>40383</v>
      </c>
      <c r="AA18" s="81">
        <f t="shared" si="64"/>
        <v>19</v>
      </c>
      <c r="AB18" s="78">
        <v>1129</v>
      </c>
      <c r="AC18" s="82">
        <v>0</v>
      </c>
      <c r="AD18" s="78">
        <v>4605</v>
      </c>
      <c r="AE18" s="83">
        <f t="shared" si="66"/>
        <v>0</v>
      </c>
      <c r="AF18" s="19"/>
      <c r="AG18" s="19"/>
      <c r="AH18" s="78">
        <v>583140</v>
      </c>
      <c r="AI18" s="76">
        <f t="shared" si="67"/>
        <v>62</v>
      </c>
      <c r="AJ18" s="89">
        <v>802</v>
      </c>
      <c r="AK18" s="73">
        <f t="shared" si="68"/>
        <v>6</v>
      </c>
      <c r="AL18" s="74">
        <v>52360</v>
      </c>
      <c r="AM18" s="87">
        <f t="shared" si="69"/>
        <v>12</v>
      </c>
      <c r="AN18" s="78">
        <v>8929</v>
      </c>
      <c r="AO18" s="73">
        <f t="shared" si="70"/>
        <v>0</v>
      </c>
      <c r="AP18" s="78">
        <v>10581</v>
      </c>
      <c r="AQ18" s="73">
        <f t="shared" si="70"/>
        <v>0</v>
      </c>
      <c r="AR18" s="74">
        <v>14614</v>
      </c>
      <c r="AS18" s="73">
        <f t="shared" si="70"/>
        <v>0</v>
      </c>
      <c r="AT18" s="78">
        <v>19369</v>
      </c>
      <c r="AU18" s="73">
        <f t="shared" si="70"/>
        <v>0</v>
      </c>
      <c r="AV18" s="78">
        <v>20680</v>
      </c>
      <c r="AW18" s="81">
        <f t="shared" si="74"/>
        <v>0</v>
      </c>
      <c r="AX18" s="78">
        <v>13871</v>
      </c>
      <c r="AY18" s="81">
        <f t="shared" si="75"/>
        <v>0</v>
      </c>
      <c r="AZ18" s="78">
        <v>6225</v>
      </c>
      <c r="BA18" s="73">
        <f t="shared" si="76"/>
        <v>0</v>
      </c>
      <c r="BB18" s="78">
        <v>26562</v>
      </c>
      <c r="BC18" s="73">
        <f t="shared" si="77"/>
        <v>2</v>
      </c>
      <c r="BD18" s="74">
        <v>1115</v>
      </c>
      <c r="BE18" s="73">
        <f t="shared" si="78"/>
        <v>0</v>
      </c>
      <c r="BF18" s="74">
        <v>4378</v>
      </c>
      <c r="BG18" s="73">
        <f t="shared" si="79"/>
        <v>0</v>
      </c>
      <c r="BH18" s="78">
        <v>3636</v>
      </c>
      <c r="BI18" s="73">
        <f t="shared" si="80"/>
        <v>0</v>
      </c>
      <c r="BJ18" s="81">
        <f t="shared" si="81"/>
        <v>0</v>
      </c>
      <c r="BK18" s="81">
        <f t="shared" si="82"/>
        <v>62</v>
      </c>
      <c r="BL18" s="78">
        <v>603450</v>
      </c>
      <c r="BM18" s="81">
        <f t="shared" si="83"/>
        <v>50</v>
      </c>
      <c r="BN18" s="88">
        <v>747</v>
      </c>
      <c r="BO18" s="73">
        <f t="shared" si="84"/>
        <v>0</v>
      </c>
      <c r="BP18" s="78">
        <v>783480</v>
      </c>
      <c r="BQ18" s="81">
        <f t="shared" si="85"/>
        <v>124</v>
      </c>
      <c r="BR18" s="88">
        <v>7605</v>
      </c>
      <c r="BS18" s="81">
        <f t="shared" ref="BS18:BS26" si="127">IF((BR18-BR17)&lt;0,"0",(BR18-BR17))</f>
        <v>0</v>
      </c>
      <c r="BT18" s="91">
        <f t="shared" si="87"/>
        <v>62</v>
      </c>
      <c r="BU18" s="81">
        <f t="shared" si="88"/>
        <v>174</v>
      </c>
      <c r="BV18" s="93">
        <f t="shared" si="89"/>
        <v>12</v>
      </c>
      <c r="BW18" s="78">
        <v>122</v>
      </c>
      <c r="BX18" s="94">
        <f t="shared" si="90"/>
        <v>15128.057958131996</v>
      </c>
      <c r="BY18" s="78"/>
      <c r="BZ18" s="96">
        <f t="shared" si="91"/>
        <v>0</v>
      </c>
      <c r="CA18" s="78">
        <v>206841</v>
      </c>
      <c r="CB18" s="81">
        <f t="shared" si="92"/>
        <v>34.899999999994179</v>
      </c>
      <c r="CC18" s="91">
        <f t="shared" si="93"/>
        <v>199.27899999996677</v>
      </c>
      <c r="CD18" s="78">
        <v>55</v>
      </c>
      <c r="CE18" s="100">
        <f t="shared" si="94"/>
        <v>5926.25</v>
      </c>
      <c r="CF18" s="78">
        <v>55</v>
      </c>
      <c r="CG18" s="101">
        <f t="shared" si="95"/>
        <v>5926.25</v>
      </c>
      <c r="CH18" s="78">
        <v>59</v>
      </c>
      <c r="CI18" s="102">
        <f t="shared" si="96"/>
        <v>6357.25</v>
      </c>
      <c r="CJ18" s="103">
        <f t="shared" si="97"/>
        <v>18209.75</v>
      </c>
      <c r="CK18" s="104">
        <f t="shared" si="98"/>
        <v>323.25</v>
      </c>
      <c r="CL18" s="78"/>
      <c r="CM18" s="78">
        <v>34688.199999999997</v>
      </c>
      <c r="CN18" s="81">
        <f t="shared" si="99"/>
        <v>6.5999999999985448</v>
      </c>
      <c r="CO18" s="91">
        <f t="shared" si="100"/>
        <v>16.10399999999645</v>
      </c>
      <c r="CP18" s="78">
        <v>34300</v>
      </c>
      <c r="CQ18" s="81">
        <f t="shared" si="101"/>
        <v>0</v>
      </c>
      <c r="CR18" s="91">
        <f t="shared" si="102"/>
        <v>0</v>
      </c>
      <c r="CS18" s="78">
        <v>10235.6</v>
      </c>
      <c r="CT18" s="81">
        <f t="shared" si="103"/>
        <v>0</v>
      </c>
      <c r="CU18" s="91">
        <f t="shared" si="104"/>
        <v>0</v>
      </c>
      <c r="CV18" s="78">
        <v>832206.8</v>
      </c>
      <c r="CW18" s="81">
        <f t="shared" si="105"/>
        <v>34.300000000046566</v>
      </c>
      <c r="CX18" s="91">
        <f t="shared" si="106"/>
        <v>83.692000000113623</v>
      </c>
      <c r="CY18" s="78">
        <v>6116.8</v>
      </c>
      <c r="CZ18" s="81">
        <f t="shared" si="107"/>
        <v>4</v>
      </c>
      <c r="DA18" s="91">
        <f t="shared" si="108"/>
        <v>9.56</v>
      </c>
      <c r="DB18" s="78">
        <v>7420</v>
      </c>
      <c r="DC18" s="81">
        <f t="shared" si="109"/>
        <v>0</v>
      </c>
      <c r="DD18" s="81">
        <f t="shared" si="109"/>
        <v>0</v>
      </c>
      <c r="DE18" s="78">
        <v>4138.6000000000004</v>
      </c>
      <c r="DF18" s="81">
        <f t="shared" si="111"/>
        <v>5.6000000000003638</v>
      </c>
      <c r="DG18" s="81">
        <f t="shared" si="111"/>
        <v>1.6000000000003638</v>
      </c>
      <c r="DH18" s="78">
        <v>1855.9</v>
      </c>
      <c r="DI18" s="81">
        <f t="shared" si="113"/>
        <v>0</v>
      </c>
      <c r="DJ18" s="81">
        <f t="shared" si="113"/>
        <v>0</v>
      </c>
      <c r="DK18" s="78">
        <v>5081.7</v>
      </c>
      <c r="DL18" s="81">
        <f t="shared" si="115"/>
        <v>0</v>
      </c>
      <c r="DM18" s="81">
        <f t="shared" si="115"/>
        <v>0</v>
      </c>
      <c r="DN18" s="78">
        <v>4454.7</v>
      </c>
      <c r="DO18" s="81">
        <f t="shared" si="117"/>
        <v>0</v>
      </c>
      <c r="DP18" s="81">
        <f t="shared" si="117"/>
        <v>0</v>
      </c>
      <c r="DQ18" s="78">
        <v>5089.6000000000004</v>
      </c>
      <c r="DR18" s="81">
        <f t="shared" si="119"/>
        <v>0</v>
      </c>
      <c r="DS18" s="81">
        <f t="shared" si="119"/>
        <v>0</v>
      </c>
      <c r="DT18" s="78">
        <v>5109.1000000000004</v>
      </c>
      <c r="DU18" s="81">
        <f t="shared" si="121"/>
        <v>0</v>
      </c>
      <c r="DV18" s="91">
        <f t="shared" si="122"/>
        <v>0</v>
      </c>
      <c r="DW18" s="98">
        <v>12871</v>
      </c>
      <c r="DX18" s="91">
        <f t="shared" si="123"/>
        <v>0</v>
      </c>
      <c r="DY18" s="98">
        <v>62789</v>
      </c>
      <c r="DZ18" s="91">
        <f t="shared" si="124"/>
        <v>0</v>
      </c>
      <c r="EA18" s="109">
        <v>15588</v>
      </c>
      <c r="EB18" s="91">
        <f t="shared" si="125"/>
        <v>0</v>
      </c>
      <c r="EC18" s="109">
        <v>24679</v>
      </c>
      <c r="ED18" s="91">
        <f t="shared" si="126"/>
        <v>0</v>
      </c>
      <c r="EE18" s="109">
        <v>2</v>
      </c>
      <c r="EF18" s="110">
        <v>6</v>
      </c>
      <c r="EG18" s="108">
        <v>1.4999999999999999E-2</v>
      </c>
      <c r="EH18" s="69"/>
      <c r="EI18" s="58"/>
      <c r="EJ18" s="58"/>
      <c r="EK18"/>
      <c r="EL18"/>
      <c r="EM18"/>
      <c r="EN18"/>
    </row>
    <row r="19" spans="1:144" s="20" customFormat="1" ht="15" x14ac:dyDescent="0.2">
      <c r="A19" s="71">
        <v>44393</v>
      </c>
      <c r="B19" s="78">
        <v>7291552</v>
      </c>
      <c r="C19" s="73">
        <f t="shared" si="56"/>
        <v>6162</v>
      </c>
      <c r="D19" s="78">
        <v>6498654</v>
      </c>
      <c r="E19" s="73">
        <f t="shared" si="57"/>
        <v>5563</v>
      </c>
      <c r="F19" s="22">
        <f t="shared" si="58"/>
        <v>0.90279130152547871</v>
      </c>
      <c r="G19" s="74">
        <v>360</v>
      </c>
      <c r="H19" s="74">
        <v>306</v>
      </c>
      <c r="I19" s="75">
        <v>288064</v>
      </c>
      <c r="J19" s="76">
        <f t="shared" si="59"/>
        <v>0</v>
      </c>
      <c r="K19" s="77">
        <v>776</v>
      </c>
      <c r="L19" s="73">
        <f t="shared" si="60"/>
        <v>0</v>
      </c>
      <c r="M19" s="78">
        <v>633954</v>
      </c>
      <c r="N19" s="76">
        <f t="shared" si="61"/>
        <v>0</v>
      </c>
      <c r="O19" s="78">
        <v>993</v>
      </c>
      <c r="P19" s="76">
        <f t="shared" si="62"/>
        <v>0</v>
      </c>
      <c r="Q19" s="78">
        <v>2556799</v>
      </c>
      <c r="R19" s="76">
        <f t="shared" si="63"/>
        <v>134</v>
      </c>
      <c r="S19" s="78">
        <v>2192325</v>
      </c>
      <c r="T19" s="76">
        <f t="shared" si="63"/>
        <v>128</v>
      </c>
      <c r="U19" s="78">
        <v>116504</v>
      </c>
      <c r="V19" s="76">
        <f t="shared" si="63"/>
        <v>93</v>
      </c>
      <c r="W19" s="114">
        <v>100</v>
      </c>
      <c r="X19" s="78">
        <v>152370</v>
      </c>
      <c r="Y19" s="73">
        <v>0</v>
      </c>
      <c r="Z19" s="74">
        <v>40398</v>
      </c>
      <c r="AA19" s="81">
        <f t="shared" si="64"/>
        <v>15</v>
      </c>
      <c r="AB19" s="78">
        <v>1129</v>
      </c>
      <c r="AC19" s="82">
        <f t="shared" ref="AC19:AC26" si="128">IF((AB19-AB18)&lt;0,"0",(AB19-AB18))</f>
        <v>0</v>
      </c>
      <c r="AD19" s="78">
        <v>4605</v>
      </c>
      <c r="AE19" s="83">
        <f t="shared" si="66"/>
        <v>0</v>
      </c>
      <c r="AF19" s="19"/>
      <c r="AG19" s="19"/>
      <c r="AH19" s="78">
        <v>583190</v>
      </c>
      <c r="AI19" s="76">
        <f t="shared" si="67"/>
        <v>50</v>
      </c>
      <c r="AJ19" s="90">
        <v>808</v>
      </c>
      <c r="AK19" s="73">
        <f t="shared" si="68"/>
        <v>6</v>
      </c>
      <c r="AL19" s="78">
        <v>52375</v>
      </c>
      <c r="AM19" s="87">
        <f t="shared" si="69"/>
        <v>15</v>
      </c>
      <c r="AN19" s="78">
        <v>8929</v>
      </c>
      <c r="AO19" s="73">
        <f t="shared" si="70"/>
        <v>0</v>
      </c>
      <c r="AP19" s="78">
        <v>10581</v>
      </c>
      <c r="AQ19" s="73">
        <f t="shared" si="70"/>
        <v>0</v>
      </c>
      <c r="AR19" s="74">
        <v>14614</v>
      </c>
      <c r="AS19" s="73">
        <f t="shared" si="70"/>
        <v>0</v>
      </c>
      <c r="AT19" s="78">
        <v>19369</v>
      </c>
      <c r="AU19" s="73">
        <f t="shared" si="70"/>
        <v>0</v>
      </c>
      <c r="AV19" s="78">
        <v>20680</v>
      </c>
      <c r="AW19" s="81">
        <f t="shared" si="74"/>
        <v>0</v>
      </c>
      <c r="AX19" s="78">
        <v>13871</v>
      </c>
      <c r="AY19" s="81">
        <f t="shared" si="75"/>
        <v>0</v>
      </c>
      <c r="AZ19" s="78">
        <v>6225</v>
      </c>
      <c r="BA19" s="73">
        <f t="shared" si="76"/>
        <v>0</v>
      </c>
      <c r="BB19" s="78">
        <v>26564</v>
      </c>
      <c r="BC19" s="73">
        <f t="shared" si="77"/>
        <v>2</v>
      </c>
      <c r="BD19" s="78">
        <v>1115</v>
      </c>
      <c r="BE19" s="73">
        <f t="shared" si="78"/>
        <v>0</v>
      </c>
      <c r="BF19" s="78">
        <v>4378</v>
      </c>
      <c r="BG19" s="73">
        <f t="shared" si="79"/>
        <v>0</v>
      </c>
      <c r="BH19" s="78">
        <v>3636</v>
      </c>
      <c r="BI19" s="73">
        <f t="shared" si="80"/>
        <v>0</v>
      </c>
      <c r="BJ19" s="81">
        <f t="shared" si="81"/>
        <v>0</v>
      </c>
      <c r="BK19" s="81">
        <f t="shared" si="82"/>
        <v>50</v>
      </c>
      <c r="BL19" s="78">
        <v>603495</v>
      </c>
      <c r="BM19" s="81">
        <f t="shared" si="83"/>
        <v>45</v>
      </c>
      <c r="BN19" s="88">
        <v>747</v>
      </c>
      <c r="BO19" s="73">
        <f t="shared" si="84"/>
        <v>0</v>
      </c>
      <c r="BP19" s="78">
        <v>783560</v>
      </c>
      <c r="BQ19" s="81">
        <f t="shared" si="85"/>
        <v>80</v>
      </c>
      <c r="BR19" s="88">
        <v>7682</v>
      </c>
      <c r="BS19" s="81">
        <f t="shared" si="127"/>
        <v>77</v>
      </c>
      <c r="BT19" s="91">
        <f t="shared" si="87"/>
        <v>30</v>
      </c>
      <c r="BU19" s="81">
        <f t="shared" si="88"/>
        <v>125</v>
      </c>
      <c r="BV19" s="93">
        <f t="shared" si="89"/>
        <v>15</v>
      </c>
      <c r="BW19" s="78">
        <v>122</v>
      </c>
      <c r="BX19" s="94">
        <f t="shared" si="90"/>
        <v>15128.057958131996</v>
      </c>
      <c r="BY19" s="78"/>
      <c r="BZ19" s="96">
        <f t="shared" si="91"/>
        <v>0</v>
      </c>
      <c r="CA19" s="78">
        <v>206879</v>
      </c>
      <c r="CB19" s="81">
        <f t="shared" si="92"/>
        <v>38</v>
      </c>
      <c r="CC19" s="91">
        <f t="shared" si="93"/>
        <v>216.98</v>
      </c>
      <c r="CD19" s="78">
        <v>55</v>
      </c>
      <c r="CE19" s="100">
        <f t="shared" si="94"/>
        <v>5926.25</v>
      </c>
      <c r="CF19" s="78">
        <v>55</v>
      </c>
      <c r="CG19" s="101">
        <f t="shared" si="95"/>
        <v>5926.25</v>
      </c>
      <c r="CH19" s="78">
        <v>57</v>
      </c>
      <c r="CI19" s="102">
        <f t="shared" si="96"/>
        <v>6141.75</v>
      </c>
      <c r="CJ19" s="103">
        <f t="shared" si="97"/>
        <v>17994.25</v>
      </c>
      <c r="CK19" s="104">
        <f t="shared" si="98"/>
        <v>215.5</v>
      </c>
      <c r="CL19" s="78"/>
      <c r="CM19" s="78">
        <v>34695.5</v>
      </c>
      <c r="CN19" s="81">
        <f t="shared" si="99"/>
        <v>7.3000000000029104</v>
      </c>
      <c r="CO19" s="91">
        <f t="shared" si="100"/>
        <v>17.812000000007099</v>
      </c>
      <c r="CP19" s="78">
        <v>34300</v>
      </c>
      <c r="CQ19" s="81">
        <f t="shared" si="101"/>
        <v>0</v>
      </c>
      <c r="CR19" s="91">
        <f t="shared" si="102"/>
        <v>0</v>
      </c>
      <c r="CS19" s="78">
        <v>10365.6</v>
      </c>
      <c r="CT19" s="81">
        <f t="shared" si="103"/>
        <v>130</v>
      </c>
      <c r="CU19" s="91">
        <f t="shared" si="104"/>
        <v>317.2</v>
      </c>
      <c r="CV19" s="78">
        <v>832238</v>
      </c>
      <c r="CW19" s="81">
        <f t="shared" si="105"/>
        <v>31.199999999953434</v>
      </c>
      <c r="CX19" s="91">
        <f t="shared" si="106"/>
        <v>76.12799999988637</v>
      </c>
      <c r="CY19" s="78">
        <v>6121.3</v>
      </c>
      <c r="CZ19" s="81">
        <f t="shared" si="107"/>
        <v>4.5</v>
      </c>
      <c r="DA19" s="91">
        <f t="shared" si="108"/>
        <v>10.755000000000001</v>
      </c>
      <c r="DB19" s="78">
        <v>7420</v>
      </c>
      <c r="DC19" s="81">
        <f t="shared" si="109"/>
        <v>0</v>
      </c>
      <c r="DD19" s="81">
        <f t="shared" si="109"/>
        <v>0</v>
      </c>
      <c r="DE19" s="78">
        <v>4142.7</v>
      </c>
      <c r="DF19" s="81">
        <f t="shared" si="111"/>
        <v>4.0999999999994543</v>
      </c>
      <c r="DG19" s="81" t="str">
        <f t="shared" si="111"/>
        <v>0</v>
      </c>
      <c r="DH19" s="78">
        <v>1855.9</v>
      </c>
      <c r="DI19" s="81">
        <f t="shared" si="113"/>
        <v>0</v>
      </c>
      <c r="DJ19" s="81">
        <f t="shared" si="113"/>
        <v>0</v>
      </c>
      <c r="DK19" s="78">
        <v>5081.7</v>
      </c>
      <c r="DL19" s="81">
        <f t="shared" si="115"/>
        <v>0</v>
      </c>
      <c r="DM19" s="81">
        <f t="shared" si="115"/>
        <v>0</v>
      </c>
      <c r="DN19" s="78">
        <v>4454.7</v>
      </c>
      <c r="DO19" s="81">
        <f t="shared" si="117"/>
        <v>0</v>
      </c>
      <c r="DP19" s="81">
        <f t="shared" si="117"/>
        <v>0</v>
      </c>
      <c r="DQ19" s="78">
        <v>5089.6000000000004</v>
      </c>
      <c r="DR19" s="81">
        <f t="shared" si="119"/>
        <v>0</v>
      </c>
      <c r="DS19" s="81">
        <f t="shared" si="119"/>
        <v>0</v>
      </c>
      <c r="DT19" s="78">
        <v>5109.1000000000004</v>
      </c>
      <c r="DU19" s="81">
        <f t="shared" si="121"/>
        <v>0</v>
      </c>
      <c r="DV19" s="91">
        <f t="shared" si="122"/>
        <v>0</v>
      </c>
      <c r="DW19" s="98">
        <v>12871</v>
      </c>
      <c r="DX19" s="91">
        <f t="shared" si="123"/>
        <v>0</v>
      </c>
      <c r="DY19" s="98">
        <v>62789</v>
      </c>
      <c r="DZ19" s="91">
        <f t="shared" si="124"/>
        <v>0</v>
      </c>
      <c r="EA19" s="109">
        <v>15588</v>
      </c>
      <c r="EB19" s="91">
        <f t="shared" si="125"/>
        <v>0</v>
      </c>
      <c r="EC19" s="109">
        <v>24679</v>
      </c>
      <c r="ED19" s="91">
        <f t="shared" si="126"/>
        <v>0</v>
      </c>
      <c r="EE19" s="109">
        <v>2</v>
      </c>
      <c r="EF19" s="110">
        <v>6</v>
      </c>
      <c r="EG19" s="108">
        <v>1.4999999999999999E-2</v>
      </c>
      <c r="EH19" s="112"/>
      <c r="EI19" s="109"/>
      <c r="EJ19" s="110"/>
      <c r="EK19" s="119">
        <v>12.4</v>
      </c>
      <c r="EL19" s="119">
        <v>12.9</v>
      </c>
      <c r="EM19" s="119">
        <v>13.1</v>
      </c>
    </row>
    <row r="20" spans="1:144" s="20" customFormat="1" ht="15" x14ac:dyDescent="0.2">
      <c r="A20" s="71">
        <v>44394</v>
      </c>
      <c r="B20" s="78">
        <v>7297366</v>
      </c>
      <c r="C20" s="73">
        <f t="shared" si="56"/>
        <v>5814</v>
      </c>
      <c r="D20" s="78">
        <v>6503969</v>
      </c>
      <c r="E20" s="73">
        <f t="shared" si="57"/>
        <v>5315</v>
      </c>
      <c r="F20" s="22">
        <f t="shared" si="58"/>
        <v>0.91417268661850704</v>
      </c>
      <c r="G20" s="74">
        <v>360</v>
      </c>
      <c r="H20" s="74">
        <v>306</v>
      </c>
      <c r="I20" s="75">
        <v>288064</v>
      </c>
      <c r="J20" s="76">
        <f t="shared" si="59"/>
        <v>0</v>
      </c>
      <c r="K20" s="77">
        <v>776</v>
      </c>
      <c r="L20" s="73">
        <f t="shared" si="60"/>
        <v>0</v>
      </c>
      <c r="M20" s="78">
        <v>633954</v>
      </c>
      <c r="N20" s="76">
        <f t="shared" si="61"/>
        <v>0</v>
      </c>
      <c r="O20" s="78">
        <v>993</v>
      </c>
      <c r="P20" s="76">
        <f t="shared" si="62"/>
        <v>0</v>
      </c>
      <c r="Q20" s="78">
        <v>2556923</v>
      </c>
      <c r="R20" s="76">
        <f t="shared" si="63"/>
        <v>124</v>
      </c>
      <c r="S20" s="78">
        <v>2192327</v>
      </c>
      <c r="T20" s="76">
        <f t="shared" si="63"/>
        <v>2</v>
      </c>
      <c r="U20" s="78">
        <v>116562</v>
      </c>
      <c r="V20" s="76">
        <f t="shared" si="63"/>
        <v>58</v>
      </c>
      <c r="W20" s="114">
        <v>100</v>
      </c>
      <c r="X20" s="78">
        <v>152370</v>
      </c>
      <c r="Y20" s="73">
        <v>0</v>
      </c>
      <c r="Z20" s="74">
        <v>40404</v>
      </c>
      <c r="AA20" s="81">
        <f t="shared" si="64"/>
        <v>6</v>
      </c>
      <c r="AB20" s="78">
        <v>1129</v>
      </c>
      <c r="AC20" s="82">
        <f t="shared" si="128"/>
        <v>0</v>
      </c>
      <c r="AD20" s="78">
        <v>4605</v>
      </c>
      <c r="AE20" s="83">
        <f t="shared" si="66"/>
        <v>0</v>
      </c>
      <c r="AF20" s="19"/>
      <c r="AG20" s="19"/>
      <c r="AH20" s="78">
        <v>583220</v>
      </c>
      <c r="AI20" s="76">
        <f t="shared" si="67"/>
        <v>30</v>
      </c>
      <c r="AJ20" s="90">
        <v>814</v>
      </c>
      <c r="AK20" s="73">
        <f t="shared" si="68"/>
        <v>6</v>
      </c>
      <c r="AL20" s="78">
        <v>52377</v>
      </c>
      <c r="AM20" s="87">
        <f>(AL20-AL19)</f>
        <v>2</v>
      </c>
      <c r="AN20" s="78">
        <v>8929</v>
      </c>
      <c r="AO20" s="73">
        <f t="shared" si="70"/>
        <v>0</v>
      </c>
      <c r="AP20" s="78">
        <v>10582</v>
      </c>
      <c r="AQ20" s="73">
        <f t="shared" si="70"/>
        <v>1</v>
      </c>
      <c r="AR20" s="78">
        <v>14614</v>
      </c>
      <c r="AS20" s="73">
        <f t="shared" si="70"/>
        <v>0</v>
      </c>
      <c r="AT20" s="78">
        <v>19369</v>
      </c>
      <c r="AU20" s="73">
        <f t="shared" si="70"/>
        <v>0</v>
      </c>
      <c r="AV20" s="78">
        <v>20680</v>
      </c>
      <c r="AW20" s="81">
        <f t="shared" si="74"/>
        <v>0</v>
      </c>
      <c r="AX20" s="78">
        <v>13871</v>
      </c>
      <c r="AY20" s="81">
        <f t="shared" si="75"/>
        <v>0</v>
      </c>
      <c r="AZ20" s="78">
        <v>6225</v>
      </c>
      <c r="BA20" s="73">
        <f t="shared" si="76"/>
        <v>0</v>
      </c>
      <c r="BB20" s="78">
        <v>26565</v>
      </c>
      <c r="BC20" s="73">
        <f t="shared" si="77"/>
        <v>1</v>
      </c>
      <c r="BD20" s="78">
        <v>1115</v>
      </c>
      <c r="BE20" s="73">
        <f t="shared" si="78"/>
        <v>0</v>
      </c>
      <c r="BF20" s="78">
        <v>4378</v>
      </c>
      <c r="BG20" s="73">
        <f t="shared" si="79"/>
        <v>0</v>
      </c>
      <c r="BH20" s="78">
        <v>3636</v>
      </c>
      <c r="BI20" s="73">
        <f t="shared" si="80"/>
        <v>0</v>
      </c>
      <c r="BJ20" s="81">
        <f t="shared" si="81"/>
        <v>0</v>
      </c>
      <c r="BK20" s="81">
        <f t="shared" si="82"/>
        <v>30</v>
      </c>
      <c r="BL20" s="78">
        <v>603520</v>
      </c>
      <c r="BM20" s="81">
        <f t="shared" si="83"/>
        <v>25</v>
      </c>
      <c r="BN20" s="88">
        <v>747</v>
      </c>
      <c r="BO20" s="73">
        <f t="shared" si="84"/>
        <v>0</v>
      </c>
      <c r="BP20" s="78">
        <v>783590</v>
      </c>
      <c r="BQ20" s="81">
        <f t="shared" si="85"/>
        <v>30</v>
      </c>
      <c r="BR20" s="92">
        <v>7684</v>
      </c>
      <c r="BS20" s="81">
        <f t="shared" si="127"/>
        <v>2</v>
      </c>
      <c r="BT20" s="91">
        <f t="shared" si="87"/>
        <v>0</v>
      </c>
      <c r="BU20" s="81">
        <f t="shared" si="88"/>
        <v>55</v>
      </c>
      <c r="BV20" s="93">
        <f t="shared" si="89"/>
        <v>3</v>
      </c>
      <c r="BW20" s="78">
        <v>122</v>
      </c>
      <c r="BX20" s="94">
        <f t="shared" si="90"/>
        <v>15128.057958131996</v>
      </c>
      <c r="BY20" s="99"/>
      <c r="BZ20" s="96">
        <f t="shared" si="91"/>
        <v>0</v>
      </c>
      <c r="CA20" s="78">
        <v>206883</v>
      </c>
      <c r="CB20" s="81">
        <f t="shared" si="92"/>
        <v>4</v>
      </c>
      <c r="CC20" s="91">
        <f t="shared" si="93"/>
        <v>22.84</v>
      </c>
      <c r="CD20" s="78">
        <v>55</v>
      </c>
      <c r="CE20" s="100">
        <f t="shared" si="94"/>
        <v>5926.25</v>
      </c>
      <c r="CF20" s="78">
        <v>55</v>
      </c>
      <c r="CG20" s="101">
        <f t="shared" si="95"/>
        <v>5926.25</v>
      </c>
      <c r="CH20" s="78">
        <v>57</v>
      </c>
      <c r="CI20" s="102">
        <f t="shared" si="96"/>
        <v>6141.75</v>
      </c>
      <c r="CJ20" s="103">
        <f t="shared" si="97"/>
        <v>17994.25</v>
      </c>
      <c r="CK20" s="104">
        <f t="shared" si="98"/>
        <v>0</v>
      </c>
      <c r="CL20" s="78"/>
      <c r="CM20" s="78">
        <v>34699.5</v>
      </c>
      <c r="CN20" s="81">
        <f t="shared" si="99"/>
        <v>4</v>
      </c>
      <c r="CO20" s="91">
        <f t="shared" si="100"/>
        <v>9.76</v>
      </c>
      <c r="CP20" s="78">
        <v>34300</v>
      </c>
      <c r="CQ20" s="81">
        <f t="shared" si="101"/>
        <v>0</v>
      </c>
      <c r="CR20" s="91">
        <f t="shared" si="102"/>
        <v>0</v>
      </c>
      <c r="CS20" s="78">
        <v>10235.6</v>
      </c>
      <c r="CT20" s="81" t="str">
        <f t="shared" si="103"/>
        <v>0</v>
      </c>
      <c r="CU20" s="91">
        <f t="shared" si="104"/>
        <v>0</v>
      </c>
      <c r="CV20" s="78">
        <v>832238</v>
      </c>
      <c r="CW20" s="81">
        <f t="shared" si="105"/>
        <v>0</v>
      </c>
      <c r="CX20" s="91">
        <f t="shared" si="106"/>
        <v>0</v>
      </c>
      <c r="CY20" s="78">
        <v>6124.5</v>
      </c>
      <c r="CZ20" s="81">
        <f t="shared" si="107"/>
        <v>3.1999999999998181</v>
      </c>
      <c r="DA20" s="91">
        <f t="shared" si="108"/>
        <v>7.6479999999995654</v>
      </c>
      <c r="DB20" s="78">
        <v>7420</v>
      </c>
      <c r="DC20" s="81">
        <f t="shared" si="109"/>
        <v>0</v>
      </c>
      <c r="DD20" s="81">
        <f t="shared" si="109"/>
        <v>0</v>
      </c>
      <c r="DE20" s="78">
        <v>4148</v>
      </c>
      <c r="DF20" s="81">
        <f t="shared" si="111"/>
        <v>5.3000000000001819</v>
      </c>
      <c r="DG20" s="81">
        <f t="shared" si="111"/>
        <v>1.2000000000007276</v>
      </c>
      <c r="DH20" s="78">
        <v>1855.9</v>
      </c>
      <c r="DI20" s="81">
        <f t="shared" si="113"/>
        <v>0</v>
      </c>
      <c r="DJ20" s="81">
        <f t="shared" si="113"/>
        <v>0</v>
      </c>
      <c r="DK20" s="78">
        <v>5081.7</v>
      </c>
      <c r="DL20" s="81">
        <f t="shared" si="115"/>
        <v>0</v>
      </c>
      <c r="DM20" s="81">
        <f t="shared" si="115"/>
        <v>0</v>
      </c>
      <c r="DN20" s="78">
        <v>4454.7</v>
      </c>
      <c r="DO20" s="81">
        <f t="shared" si="117"/>
        <v>0</v>
      </c>
      <c r="DP20" s="81">
        <f t="shared" si="117"/>
        <v>0</v>
      </c>
      <c r="DQ20" s="78">
        <v>5089.6000000000004</v>
      </c>
      <c r="DR20" s="81">
        <f t="shared" si="119"/>
        <v>0</v>
      </c>
      <c r="DS20" s="81">
        <f t="shared" si="119"/>
        <v>0</v>
      </c>
      <c r="DT20" s="78">
        <v>5109.1000000000004</v>
      </c>
      <c r="DU20" s="81">
        <f t="shared" si="121"/>
        <v>0</v>
      </c>
      <c r="DV20" s="91">
        <f t="shared" si="122"/>
        <v>0</v>
      </c>
      <c r="DW20" s="98">
        <v>12871</v>
      </c>
      <c r="DX20" s="91">
        <f t="shared" si="123"/>
        <v>0</v>
      </c>
      <c r="DY20" s="98">
        <v>62789</v>
      </c>
      <c r="DZ20" s="91">
        <f t="shared" si="124"/>
        <v>0</v>
      </c>
      <c r="EA20" s="109">
        <v>15588</v>
      </c>
      <c r="EB20" s="91">
        <f t="shared" si="125"/>
        <v>0</v>
      </c>
      <c r="EC20" s="109">
        <v>24679</v>
      </c>
      <c r="ED20" s="91">
        <f t="shared" si="126"/>
        <v>0</v>
      </c>
      <c r="EE20" s="109">
        <v>2</v>
      </c>
      <c r="EF20" s="110">
        <v>6</v>
      </c>
      <c r="EG20" s="108">
        <v>1.4999999999999999E-2</v>
      </c>
      <c r="EH20" s="69"/>
      <c r="EI20" s="58"/>
      <c r="EJ20" s="58"/>
      <c r="EK20"/>
      <c r="EL20"/>
      <c r="EM20"/>
    </row>
    <row r="21" spans="1:144" s="20" customFormat="1" ht="15" x14ac:dyDescent="0.2">
      <c r="A21" s="71">
        <v>44395</v>
      </c>
      <c r="B21" s="78">
        <v>7302977</v>
      </c>
      <c r="C21" s="73">
        <f t="shared" si="56"/>
        <v>5611</v>
      </c>
      <c r="D21" s="78">
        <v>6509088</v>
      </c>
      <c r="E21" s="73">
        <f t="shared" si="57"/>
        <v>5119</v>
      </c>
      <c r="F21" s="22">
        <f t="shared" si="58"/>
        <v>0.9123150953484227</v>
      </c>
      <c r="G21" s="74">
        <v>360</v>
      </c>
      <c r="H21" s="74">
        <v>306</v>
      </c>
      <c r="I21" s="75">
        <v>288064</v>
      </c>
      <c r="J21" s="76">
        <f t="shared" si="59"/>
        <v>0</v>
      </c>
      <c r="K21" s="77">
        <v>776</v>
      </c>
      <c r="L21" s="73">
        <f t="shared" si="60"/>
        <v>0</v>
      </c>
      <c r="M21" s="78">
        <v>633954</v>
      </c>
      <c r="N21" s="76">
        <f t="shared" si="61"/>
        <v>0</v>
      </c>
      <c r="O21" s="78">
        <v>993</v>
      </c>
      <c r="P21" s="76">
        <f t="shared" si="62"/>
        <v>0</v>
      </c>
      <c r="Q21" s="78">
        <v>2557007</v>
      </c>
      <c r="R21" s="76">
        <f t="shared" si="63"/>
        <v>84</v>
      </c>
      <c r="S21" s="78">
        <v>2192330</v>
      </c>
      <c r="T21" s="76">
        <f t="shared" si="63"/>
        <v>3</v>
      </c>
      <c r="U21" s="78">
        <v>116610</v>
      </c>
      <c r="V21" s="76">
        <f t="shared" si="63"/>
        <v>48</v>
      </c>
      <c r="W21" s="114">
        <v>100</v>
      </c>
      <c r="X21" s="78">
        <v>152370</v>
      </c>
      <c r="Y21" s="73">
        <v>0</v>
      </c>
      <c r="Z21" s="74">
        <v>40410</v>
      </c>
      <c r="AA21" s="81">
        <f t="shared" si="64"/>
        <v>6</v>
      </c>
      <c r="AB21" s="78">
        <v>1129</v>
      </c>
      <c r="AC21" s="82">
        <f t="shared" si="128"/>
        <v>0</v>
      </c>
      <c r="AD21" s="78">
        <v>4605</v>
      </c>
      <c r="AE21" s="83">
        <f t="shared" si="66"/>
        <v>0</v>
      </c>
      <c r="AF21" s="19"/>
      <c r="AG21" s="19"/>
      <c r="AH21" s="78">
        <v>583240</v>
      </c>
      <c r="AI21" s="76">
        <f t="shared" si="67"/>
        <v>20</v>
      </c>
      <c r="AJ21" s="90">
        <v>814</v>
      </c>
      <c r="AK21" s="73">
        <f t="shared" si="68"/>
        <v>0</v>
      </c>
      <c r="AL21" s="78">
        <v>52377</v>
      </c>
      <c r="AM21" s="87">
        <f t="shared" ref="AM21:AM26" si="129">(AL21-AL20)</f>
        <v>0</v>
      </c>
      <c r="AN21" s="78">
        <v>8929</v>
      </c>
      <c r="AO21" s="73">
        <f t="shared" si="70"/>
        <v>0</v>
      </c>
      <c r="AP21" s="78">
        <v>10582</v>
      </c>
      <c r="AQ21" s="73">
        <f t="shared" si="70"/>
        <v>0</v>
      </c>
      <c r="AR21" s="78">
        <v>14616</v>
      </c>
      <c r="AS21" s="73">
        <f t="shared" si="70"/>
        <v>2</v>
      </c>
      <c r="AT21" s="78">
        <v>19369</v>
      </c>
      <c r="AU21" s="73">
        <f t="shared" si="70"/>
        <v>0</v>
      </c>
      <c r="AV21" s="78">
        <v>20680</v>
      </c>
      <c r="AW21" s="81">
        <f t="shared" si="74"/>
        <v>0</v>
      </c>
      <c r="AX21" s="78">
        <v>13871</v>
      </c>
      <c r="AY21" s="81">
        <f t="shared" si="75"/>
        <v>0</v>
      </c>
      <c r="AZ21" s="78">
        <v>6225</v>
      </c>
      <c r="BA21" s="73">
        <f t="shared" si="76"/>
        <v>0</v>
      </c>
      <c r="BB21" s="78">
        <v>26565</v>
      </c>
      <c r="BC21" s="73">
        <f t="shared" si="77"/>
        <v>0</v>
      </c>
      <c r="BD21" s="78">
        <v>1115</v>
      </c>
      <c r="BE21" s="73">
        <f t="shared" si="78"/>
        <v>0</v>
      </c>
      <c r="BF21" s="78">
        <v>4378</v>
      </c>
      <c r="BG21" s="73">
        <f t="shared" si="79"/>
        <v>0</v>
      </c>
      <c r="BH21" s="78">
        <v>3636</v>
      </c>
      <c r="BI21" s="73">
        <f t="shared" si="80"/>
        <v>0</v>
      </c>
      <c r="BJ21" s="81">
        <f t="shared" si="81"/>
        <v>2</v>
      </c>
      <c r="BK21" s="81">
        <f t="shared" si="82"/>
        <v>18</v>
      </c>
      <c r="BL21" s="78">
        <v>603540</v>
      </c>
      <c r="BM21" s="81">
        <f t="shared" si="83"/>
        <v>20</v>
      </c>
      <c r="BN21" s="88">
        <v>747</v>
      </c>
      <c r="BO21" s="73">
        <f t="shared" si="84"/>
        <v>0</v>
      </c>
      <c r="BP21" s="78">
        <v>783612</v>
      </c>
      <c r="BQ21" s="81">
        <f t="shared" si="85"/>
        <v>22</v>
      </c>
      <c r="BR21" s="92">
        <v>7686</v>
      </c>
      <c r="BS21" s="81">
        <f t="shared" si="127"/>
        <v>2</v>
      </c>
      <c r="BT21" s="91">
        <f t="shared" si="87"/>
        <v>2</v>
      </c>
      <c r="BU21" s="81">
        <f t="shared" si="88"/>
        <v>42</v>
      </c>
      <c r="BV21" s="93">
        <f t="shared" si="89"/>
        <v>2</v>
      </c>
      <c r="BW21" s="78">
        <v>122</v>
      </c>
      <c r="BX21" s="94">
        <f t="shared" si="90"/>
        <v>15128.057958131996</v>
      </c>
      <c r="BY21" s="99"/>
      <c r="BZ21" s="96">
        <f t="shared" si="91"/>
        <v>0</v>
      </c>
      <c r="CA21" s="78">
        <v>206884</v>
      </c>
      <c r="CB21" s="81">
        <f t="shared" si="92"/>
        <v>1</v>
      </c>
      <c r="CC21" s="91">
        <f t="shared" si="93"/>
        <v>5.71</v>
      </c>
      <c r="CD21" s="78">
        <v>55</v>
      </c>
      <c r="CE21" s="100">
        <f t="shared" si="94"/>
        <v>5926.25</v>
      </c>
      <c r="CF21" s="78">
        <v>55</v>
      </c>
      <c r="CG21" s="101">
        <f t="shared" si="95"/>
        <v>5926.25</v>
      </c>
      <c r="CH21" s="78">
        <v>56</v>
      </c>
      <c r="CI21" s="102">
        <f t="shared" si="96"/>
        <v>6034</v>
      </c>
      <c r="CJ21" s="103">
        <f t="shared" si="97"/>
        <v>17886.5</v>
      </c>
      <c r="CK21" s="104">
        <f t="shared" si="98"/>
        <v>107.75</v>
      </c>
      <c r="CL21" s="78"/>
      <c r="CM21" s="78">
        <v>34700.699999999997</v>
      </c>
      <c r="CN21" s="81">
        <f t="shared" si="99"/>
        <v>1.1999999999970896</v>
      </c>
      <c r="CO21" s="91">
        <f t="shared" si="100"/>
        <v>2.9279999999928985</v>
      </c>
      <c r="CP21" s="78">
        <v>34300</v>
      </c>
      <c r="CQ21" s="81">
        <f t="shared" si="101"/>
        <v>0</v>
      </c>
      <c r="CR21" s="91">
        <f t="shared" si="102"/>
        <v>0</v>
      </c>
      <c r="CS21" s="78">
        <v>10235.6</v>
      </c>
      <c r="CT21" s="81">
        <f t="shared" si="103"/>
        <v>0</v>
      </c>
      <c r="CU21" s="91">
        <f t="shared" si="104"/>
        <v>0</v>
      </c>
      <c r="CV21" s="78">
        <v>832238</v>
      </c>
      <c r="CW21" s="81">
        <f t="shared" si="105"/>
        <v>0</v>
      </c>
      <c r="CX21" s="91">
        <f t="shared" si="106"/>
        <v>0</v>
      </c>
      <c r="CY21" s="78">
        <v>6124.6</v>
      </c>
      <c r="CZ21" s="81">
        <f t="shared" si="107"/>
        <v>0.1000000000003638</v>
      </c>
      <c r="DA21" s="91">
        <f t="shared" si="108"/>
        <v>0.23900000000086949</v>
      </c>
      <c r="DB21" s="78">
        <v>7420</v>
      </c>
      <c r="DC21" s="81">
        <f t="shared" si="109"/>
        <v>0</v>
      </c>
      <c r="DD21" s="81">
        <f t="shared" si="109"/>
        <v>0</v>
      </c>
      <c r="DE21" s="78">
        <v>4154</v>
      </c>
      <c r="DF21" s="81">
        <f t="shared" si="111"/>
        <v>6</v>
      </c>
      <c r="DG21" s="81">
        <f t="shared" si="111"/>
        <v>0.6999999999998181</v>
      </c>
      <c r="DH21" s="78">
        <v>1855.9</v>
      </c>
      <c r="DI21" s="81">
        <f t="shared" si="113"/>
        <v>0</v>
      </c>
      <c r="DJ21" s="81">
        <f t="shared" si="113"/>
        <v>0</v>
      </c>
      <c r="DK21" s="78">
        <v>5081.7</v>
      </c>
      <c r="DL21" s="81">
        <f t="shared" si="115"/>
        <v>0</v>
      </c>
      <c r="DM21" s="81">
        <f t="shared" si="115"/>
        <v>0</v>
      </c>
      <c r="DN21" s="78">
        <v>4454.7</v>
      </c>
      <c r="DO21" s="81">
        <f t="shared" si="117"/>
        <v>0</v>
      </c>
      <c r="DP21" s="81">
        <f t="shared" si="117"/>
        <v>0</v>
      </c>
      <c r="DQ21" s="78">
        <v>5089.6000000000004</v>
      </c>
      <c r="DR21" s="81">
        <f t="shared" si="119"/>
        <v>0</v>
      </c>
      <c r="DS21" s="81">
        <f t="shared" si="119"/>
        <v>0</v>
      </c>
      <c r="DT21" s="78">
        <v>5109.1000000000004</v>
      </c>
      <c r="DU21" s="81">
        <f t="shared" si="121"/>
        <v>0</v>
      </c>
      <c r="DV21" s="91">
        <f t="shared" si="122"/>
        <v>0</v>
      </c>
      <c r="DW21" s="98">
        <v>12871</v>
      </c>
      <c r="DX21" s="91">
        <f t="shared" si="123"/>
        <v>0</v>
      </c>
      <c r="DY21" s="98">
        <v>62789</v>
      </c>
      <c r="DZ21" s="91">
        <f t="shared" si="124"/>
        <v>0</v>
      </c>
      <c r="EA21" s="109">
        <v>15588</v>
      </c>
      <c r="EB21" s="91">
        <f t="shared" si="125"/>
        <v>0</v>
      </c>
      <c r="EC21" s="109">
        <v>24679</v>
      </c>
      <c r="ED21" s="91">
        <f t="shared" si="126"/>
        <v>0</v>
      </c>
      <c r="EE21" s="109">
        <v>2</v>
      </c>
      <c r="EF21" s="110">
        <v>6</v>
      </c>
      <c r="EG21" s="108">
        <v>1.4999999999999999E-2</v>
      </c>
      <c r="EH21" s="69"/>
      <c r="EI21" s="58"/>
      <c r="EJ21" s="58"/>
      <c r="EK21"/>
      <c r="EL21"/>
      <c r="EM21"/>
    </row>
    <row r="22" spans="1:144" s="20" customFormat="1" ht="15" x14ac:dyDescent="0.2">
      <c r="A22" s="71">
        <v>44396</v>
      </c>
      <c r="B22" s="78">
        <v>7309059</v>
      </c>
      <c r="C22" s="73">
        <f t="shared" si="56"/>
        <v>6082</v>
      </c>
      <c r="D22" s="78">
        <v>6514630</v>
      </c>
      <c r="E22" s="73">
        <f t="shared" si="57"/>
        <v>5542</v>
      </c>
      <c r="F22" s="22">
        <f t="shared" si="58"/>
        <v>0.91121341663926336</v>
      </c>
      <c r="G22" s="74">
        <v>360</v>
      </c>
      <c r="H22" s="74">
        <v>306</v>
      </c>
      <c r="I22" s="75">
        <v>288064</v>
      </c>
      <c r="J22" s="76">
        <f t="shared" si="59"/>
        <v>0</v>
      </c>
      <c r="K22" s="77">
        <v>776</v>
      </c>
      <c r="L22" s="73">
        <f t="shared" si="60"/>
        <v>0</v>
      </c>
      <c r="M22" s="78">
        <v>633954</v>
      </c>
      <c r="N22" s="76">
        <f t="shared" si="61"/>
        <v>0</v>
      </c>
      <c r="O22" s="78">
        <v>993</v>
      </c>
      <c r="P22" s="76">
        <f t="shared" si="62"/>
        <v>0</v>
      </c>
      <c r="Q22" s="78">
        <v>2557128</v>
      </c>
      <c r="R22" s="76">
        <f t="shared" si="63"/>
        <v>121</v>
      </c>
      <c r="S22" s="78">
        <v>2192439</v>
      </c>
      <c r="T22" s="76">
        <f t="shared" si="63"/>
        <v>109</v>
      </c>
      <c r="U22" s="78">
        <v>116706</v>
      </c>
      <c r="V22" s="76">
        <f t="shared" si="63"/>
        <v>96</v>
      </c>
      <c r="W22" s="86">
        <v>100</v>
      </c>
      <c r="X22" s="78">
        <v>152370</v>
      </c>
      <c r="Y22" s="76">
        <v>0</v>
      </c>
      <c r="Z22" s="74">
        <v>40419</v>
      </c>
      <c r="AA22" s="81">
        <f t="shared" si="64"/>
        <v>9</v>
      </c>
      <c r="AB22" s="78">
        <v>1131</v>
      </c>
      <c r="AC22" s="82">
        <f t="shared" si="128"/>
        <v>2</v>
      </c>
      <c r="AD22" s="78">
        <v>4605</v>
      </c>
      <c r="AE22" s="83">
        <f t="shared" si="66"/>
        <v>0</v>
      </c>
      <c r="AF22" s="19"/>
      <c r="AG22" s="19"/>
      <c r="AH22" s="78">
        <v>583280</v>
      </c>
      <c r="AI22" s="76">
        <f t="shared" si="67"/>
        <v>40</v>
      </c>
      <c r="AJ22" s="90">
        <v>815</v>
      </c>
      <c r="AK22" s="73">
        <f t="shared" si="68"/>
        <v>1</v>
      </c>
      <c r="AL22" s="78">
        <v>52391</v>
      </c>
      <c r="AM22" s="87">
        <f t="shared" si="129"/>
        <v>14</v>
      </c>
      <c r="AN22" s="78">
        <v>8929</v>
      </c>
      <c r="AO22" s="73">
        <f t="shared" si="70"/>
        <v>0</v>
      </c>
      <c r="AP22" s="78">
        <v>10582</v>
      </c>
      <c r="AQ22" s="73">
        <f t="shared" si="70"/>
        <v>0</v>
      </c>
      <c r="AR22" s="78">
        <v>14618</v>
      </c>
      <c r="AS22" s="73">
        <f t="shared" si="70"/>
        <v>2</v>
      </c>
      <c r="AT22" s="78">
        <v>19369</v>
      </c>
      <c r="AU22" s="73">
        <f t="shared" si="70"/>
        <v>0</v>
      </c>
      <c r="AV22" s="78">
        <v>20680</v>
      </c>
      <c r="AW22" s="81">
        <f t="shared" si="74"/>
        <v>0</v>
      </c>
      <c r="AX22" s="78">
        <v>13871</v>
      </c>
      <c r="AY22" s="81">
        <f t="shared" si="75"/>
        <v>0</v>
      </c>
      <c r="AZ22" s="78">
        <v>6225</v>
      </c>
      <c r="BA22" s="73">
        <f t="shared" si="76"/>
        <v>0</v>
      </c>
      <c r="BB22" s="78">
        <v>26567</v>
      </c>
      <c r="BC22" s="73">
        <f t="shared" si="77"/>
        <v>2</v>
      </c>
      <c r="BD22" s="78">
        <v>1115</v>
      </c>
      <c r="BE22" s="73">
        <f t="shared" si="78"/>
        <v>0</v>
      </c>
      <c r="BF22" s="78">
        <v>4378</v>
      </c>
      <c r="BG22" s="73">
        <f t="shared" si="79"/>
        <v>0</v>
      </c>
      <c r="BH22" s="78">
        <v>3636</v>
      </c>
      <c r="BI22" s="73">
        <f t="shared" si="80"/>
        <v>0</v>
      </c>
      <c r="BJ22" s="81">
        <f t="shared" si="81"/>
        <v>2</v>
      </c>
      <c r="BK22" s="81">
        <f t="shared" si="82"/>
        <v>38</v>
      </c>
      <c r="BL22" s="78">
        <v>603590</v>
      </c>
      <c r="BM22" s="81">
        <f t="shared" si="83"/>
        <v>50</v>
      </c>
      <c r="BN22" s="88">
        <v>747</v>
      </c>
      <c r="BO22" s="73">
        <f t="shared" si="84"/>
        <v>0</v>
      </c>
      <c r="BP22" s="78">
        <v>783660</v>
      </c>
      <c r="BQ22" s="81">
        <f t="shared" si="85"/>
        <v>48</v>
      </c>
      <c r="BR22" s="92">
        <v>7693</v>
      </c>
      <c r="BS22" s="81">
        <f t="shared" si="127"/>
        <v>7</v>
      </c>
      <c r="BT22" s="91">
        <f t="shared" si="87"/>
        <v>8</v>
      </c>
      <c r="BU22" s="81">
        <f t="shared" si="88"/>
        <v>98</v>
      </c>
      <c r="BV22" s="93">
        <f t="shared" si="89"/>
        <v>16</v>
      </c>
      <c r="BW22" s="78">
        <v>122</v>
      </c>
      <c r="BX22" s="94">
        <f t="shared" si="90"/>
        <v>15128.057958131996</v>
      </c>
      <c r="BY22" s="99"/>
      <c r="BZ22" s="96">
        <f t="shared" si="91"/>
        <v>0</v>
      </c>
      <c r="CA22" s="78">
        <v>206933</v>
      </c>
      <c r="CB22" s="81">
        <f t="shared" si="92"/>
        <v>49</v>
      </c>
      <c r="CC22" s="91">
        <f t="shared" si="93"/>
        <v>279.79000000000002</v>
      </c>
      <c r="CD22" s="78">
        <v>55</v>
      </c>
      <c r="CE22" s="100">
        <f t="shared" si="94"/>
        <v>5926.25</v>
      </c>
      <c r="CF22" s="78">
        <v>54</v>
      </c>
      <c r="CG22" s="101">
        <f t="shared" si="95"/>
        <v>5818.5</v>
      </c>
      <c r="CH22" s="78">
        <v>56</v>
      </c>
      <c r="CI22" s="102">
        <f t="shared" si="96"/>
        <v>6034</v>
      </c>
      <c r="CJ22" s="103">
        <f t="shared" si="97"/>
        <v>17778.75</v>
      </c>
      <c r="CK22" s="104">
        <f t="shared" si="98"/>
        <v>107.75</v>
      </c>
      <c r="CL22" s="78"/>
      <c r="CM22" s="78">
        <v>34702.300000000003</v>
      </c>
      <c r="CN22" s="81">
        <f t="shared" si="99"/>
        <v>1.6000000000058208</v>
      </c>
      <c r="CO22" s="91">
        <f t="shared" si="100"/>
        <v>3.9040000000142028</v>
      </c>
      <c r="CP22" s="78">
        <v>34300</v>
      </c>
      <c r="CQ22" s="81">
        <f t="shared" si="101"/>
        <v>0</v>
      </c>
      <c r="CR22" s="91">
        <f t="shared" si="102"/>
        <v>0</v>
      </c>
      <c r="CS22" s="78">
        <v>10235.6</v>
      </c>
      <c r="CT22" s="81">
        <f t="shared" si="103"/>
        <v>0</v>
      </c>
      <c r="CU22" s="91">
        <f t="shared" si="104"/>
        <v>0</v>
      </c>
      <c r="CV22" s="78">
        <v>832280</v>
      </c>
      <c r="CW22" s="81">
        <f t="shared" si="105"/>
        <v>42</v>
      </c>
      <c r="CX22" s="91">
        <f t="shared" si="106"/>
        <v>102.48</v>
      </c>
      <c r="CY22" s="78">
        <v>6129.1</v>
      </c>
      <c r="CZ22" s="81">
        <f t="shared" si="107"/>
        <v>4.5</v>
      </c>
      <c r="DA22" s="91">
        <f t="shared" si="108"/>
        <v>10.755000000000001</v>
      </c>
      <c r="DB22" s="78">
        <v>7420</v>
      </c>
      <c r="DC22" s="81">
        <f t="shared" si="109"/>
        <v>0</v>
      </c>
      <c r="DD22" s="81">
        <f t="shared" si="109"/>
        <v>0</v>
      </c>
      <c r="DE22" s="78">
        <v>4158</v>
      </c>
      <c r="DF22" s="81">
        <f t="shared" si="111"/>
        <v>4</v>
      </c>
      <c r="DG22" s="81" t="str">
        <f t="shared" si="111"/>
        <v>0</v>
      </c>
      <c r="DH22" s="78">
        <v>1855.9</v>
      </c>
      <c r="DI22" s="81">
        <f t="shared" si="113"/>
        <v>0</v>
      </c>
      <c r="DJ22" s="81">
        <f t="shared" si="113"/>
        <v>0</v>
      </c>
      <c r="DK22" s="78">
        <v>5081.7</v>
      </c>
      <c r="DL22" s="81">
        <f t="shared" si="115"/>
        <v>0</v>
      </c>
      <c r="DM22" s="81">
        <f t="shared" si="115"/>
        <v>0</v>
      </c>
      <c r="DN22" s="78">
        <v>4454.7</v>
      </c>
      <c r="DO22" s="81">
        <f t="shared" si="117"/>
        <v>0</v>
      </c>
      <c r="DP22" s="81">
        <f t="shared" si="117"/>
        <v>0</v>
      </c>
      <c r="DQ22" s="78">
        <v>5089.6000000000004</v>
      </c>
      <c r="DR22" s="81">
        <f t="shared" si="119"/>
        <v>0</v>
      </c>
      <c r="DS22" s="81">
        <f t="shared" si="119"/>
        <v>0</v>
      </c>
      <c r="DT22" s="78">
        <v>5109.1000000000004</v>
      </c>
      <c r="DU22" s="81">
        <f t="shared" si="121"/>
        <v>0</v>
      </c>
      <c r="DV22" s="91">
        <f t="shared" si="122"/>
        <v>0</v>
      </c>
      <c r="DW22" s="98">
        <v>12871</v>
      </c>
      <c r="DX22" s="91">
        <f t="shared" si="123"/>
        <v>0</v>
      </c>
      <c r="DY22" s="98">
        <v>62789</v>
      </c>
      <c r="DZ22" s="91">
        <f t="shared" si="124"/>
        <v>0</v>
      </c>
      <c r="EA22" s="109">
        <v>15588</v>
      </c>
      <c r="EB22" s="91">
        <f t="shared" si="125"/>
        <v>0</v>
      </c>
      <c r="EC22" s="109">
        <v>24679</v>
      </c>
      <c r="ED22" s="91">
        <f t="shared" si="126"/>
        <v>0</v>
      </c>
      <c r="EE22" s="109">
        <v>2</v>
      </c>
      <c r="EF22" s="110">
        <v>6</v>
      </c>
      <c r="EG22" s="108">
        <v>1.4999999999999999E-2</v>
      </c>
      <c r="EH22" s="69"/>
      <c r="EI22" s="58"/>
      <c r="EJ22" s="58"/>
      <c r="EK22"/>
      <c r="EL22"/>
      <c r="EM22"/>
    </row>
    <row r="23" spans="1:144" s="20" customFormat="1" ht="15" x14ac:dyDescent="0.2">
      <c r="A23" s="71">
        <v>44397</v>
      </c>
      <c r="B23" s="78">
        <v>7315465</v>
      </c>
      <c r="C23" s="73">
        <f t="shared" si="56"/>
        <v>6406</v>
      </c>
      <c r="D23" s="78">
        <v>6520390</v>
      </c>
      <c r="E23" s="73">
        <f t="shared" si="57"/>
        <v>5760</v>
      </c>
      <c r="F23" s="22">
        <f t="shared" si="58"/>
        <v>0.89915704027474241</v>
      </c>
      <c r="G23" s="74">
        <v>360</v>
      </c>
      <c r="H23" s="74">
        <v>306</v>
      </c>
      <c r="I23" s="75">
        <v>288064</v>
      </c>
      <c r="J23" s="76">
        <f t="shared" si="59"/>
        <v>0</v>
      </c>
      <c r="K23" s="77">
        <v>776</v>
      </c>
      <c r="L23" s="73">
        <f t="shared" si="60"/>
        <v>0</v>
      </c>
      <c r="M23" s="78">
        <v>633954</v>
      </c>
      <c r="N23" s="76">
        <f t="shared" si="61"/>
        <v>0</v>
      </c>
      <c r="O23" s="78">
        <v>993</v>
      </c>
      <c r="P23" s="76">
        <f t="shared" si="62"/>
        <v>0</v>
      </c>
      <c r="Q23" s="78">
        <v>2557278</v>
      </c>
      <c r="R23" s="76">
        <f t="shared" si="63"/>
        <v>150</v>
      </c>
      <c r="S23" s="78">
        <v>2192472</v>
      </c>
      <c r="T23" s="76">
        <f t="shared" si="63"/>
        <v>33</v>
      </c>
      <c r="U23" s="78">
        <v>116766</v>
      </c>
      <c r="V23" s="76">
        <f t="shared" si="63"/>
        <v>60</v>
      </c>
      <c r="W23" s="86">
        <v>100</v>
      </c>
      <c r="X23" s="78">
        <v>152370</v>
      </c>
      <c r="Y23" s="76">
        <v>0</v>
      </c>
      <c r="Z23" s="74">
        <v>40426</v>
      </c>
      <c r="AA23" s="81">
        <f t="shared" si="64"/>
        <v>7</v>
      </c>
      <c r="AB23" s="78">
        <v>1131</v>
      </c>
      <c r="AC23" s="82">
        <f t="shared" si="128"/>
        <v>0</v>
      </c>
      <c r="AD23" s="78">
        <v>4605</v>
      </c>
      <c r="AE23" s="83">
        <f t="shared" si="66"/>
        <v>0</v>
      </c>
      <c r="AF23" s="19"/>
      <c r="AG23" s="19"/>
      <c r="AH23" s="78">
        <v>583290</v>
      </c>
      <c r="AI23" s="76">
        <f t="shared" si="67"/>
        <v>10</v>
      </c>
      <c r="AJ23" s="90">
        <v>817</v>
      </c>
      <c r="AK23" s="73">
        <f t="shared" si="68"/>
        <v>2</v>
      </c>
      <c r="AL23" s="78">
        <v>52393</v>
      </c>
      <c r="AM23" s="87">
        <f t="shared" si="129"/>
        <v>2</v>
      </c>
      <c r="AN23" s="78">
        <v>8930</v>
      </c>
      <c r="AO23" s="73">
        <f t="shared" si="70"/>
        <v>1</v>
      </c>
      <c r="AP23" s="78">
        <v>10582</v>
      </c>
      <c r="AQ23" s="73">
        <f t="shared" si="70"/>
        <v>0</v>
      </c>
      <c r="AR23" s="78">
        <v>14619</v>
      </c>
      <c r="AS23" s="73">
        <f t="shared" si="70"/>
        <v>1</v>
      </c>
      <c r="AT23" s="78">
        <v>19369</v>
      </c>
      <c r="AU23" s="73">
        <f t="shared" si="70"/>
        <v>0</v>
      </c>
      <c r="AV23" s="78">
        <v>20680</v>
      </c>
      <c r="AW23" s="81">
        <f t="shared" si="74"/>
        <v>0</v>
      </c>
      <c r="AX23" s="78">
        <v>13871</v>
      </c>
      <c r="AY23" s="81">
        <f t="shared" si="75"/>
        <v>0</v>
      </c>
      <c r="AZ23" s="78">
        <v>6225</v>
      </c>
      <c r="BA23" s="73">
        <f t="shared" si="76"/>
        <v>0</v>
      </c>
      <c r="BB23" s="78">
        <v>26569</v>
      </c>
      <c r="BC23" s="73">
        <f t="shared" si="77"/>
        <v>2</v>
      </c>
      <c r="BD23" s="78">
        <v>1115</v>
      </c>
      <c r="BE23" s="73">
        <f t="shared" si="78"/>
        <v>0</v>
      </c>
      <c r="BF23" s="78">
        <v>4378</v>
      </c>
      <c r="BG23" s="73">
        <f t="shared" si="79"/>
        <v>0</v>
      </c>
      <c r="BH23" s="78">
        <v>3636</v>
      </c>
      <c r="BI23" s="73">
        <f t="shared" si="80"/>
        <v>0</v>
      </c>
      <c r="BJ23" s="81">
        <f t="shared" si="81"/>
        <v>1</v>
      </c>
      <c r="BK23" s="81">
        <f t="shared" si="82"/>
        <v>9</v>
      </c>
      <c r="BL23" s="78">
        <v>603610</v>
      </c>
      <c r="BM23" s="81">
        <f t="shared" si="83"/>
        <v>20</v>
      </c>
      <c r="BN23" s="88">
        <v>747</v>
      </c>
      <c r="BO23" s="73">
        <f t="shared" si="84"/>
        <v>0</v>
      </c>
      <c r="BP23" s="78">
        <v>783700</v>
      </c>
      <c r="BQ23" s="81">
        <f t="shared" si="85"/>
        <v>40</v>
      </c>
      <c r="BR23" s="92">
        <v>7706</v>
      </c>
      <c r="BS23" s="81">
        <f t="shared" si="127"/>
        <v>13</v>
      </c>
      <c r="BT23" s="91">
        <f t="shared" si="87"/>
        <v>30</v>
      </c>
      <c r="BU23" s="81">
        <f t="shared" si="88"/>
        <v>60</v>
      </c>
      <c r="BV23" s="93">
        <f t="shared" si="89"/>
        <v>4</v>
      </c>
      <c r="BW23" s="78">
        <v>122</v>
      </c>
      <c r="BX23" s="94">
        <f t="shared" si="90"/>
        <v>15128.057958131996</v>
      </c>
      <c r="BY23" s="99"/>
      <c r="BZ23" s="96">
        <f t="shared" si="91"/>
        <v>0</v>
      </c>
      <c r="CA23" s="78">
        <v>206938</v>
      </c>
      <c r="CB23" s="81">
        <f t="shared" si="92"/>
        <v>5</v>
      </c>
      <c r="CC23" s="91">
        <f t="shared" si="93"/>
        <v>28.55</v>
      </c>
      <c r="CD23" s="78">
        <v>55</v>
      </c>
      <c r="CE23" s="100">
        <f t="shared" si="94"/>
        <v>5926.25</v>
      </c>
      <c r="CF23" s="78">
        <v>54</v>
      </c>
      <c r="CG23" s="101">
        <f t="shared" si="95"/>
        <v>5818.5</v>
      </c>
      <c r="CH23" s="78">
        <v>56</v>
      </c>
      <c r="CI23" s="102">
        <f t="shared" si="96"/>
        <v>6034</v>
      </c>
      <c r="CJ23" s="103">
        <f t="shared" si="97"/>
        <v>17778.75</v>
      </c>
      <c r="CK23" s="104">
        <f t="shared" si="98"/>
        <v>0</v>
      </c>
      <c r="CL23" s="78"/>
      <c r="CM23" s="78">
        <v>34705.800000000003</v>
      </c>
      <c r="CN23" s="81">
        <f t="shared" si="99"/>
        <v>3.5</v>
      </c>
      <c r="CO23" s="91">
        <f t="shared" si="100"/>
        <v>8.5399999999999991</v>
      </c>
      <c r="CP23" s="78">
        <v>34300</v>
      </c>
      <c r="CQ23" s="81">
        <f t="shared" si="101"/>
        <v>0</v>
      </c>
      <c r="CR23" s="91">
        <f t="shared" si="102"/>
        <v>0</v>
      </c>
      <c r="CS23" s="78">
        <v>10235.6</v>
      </c>
      <c r="CT23" s="81">
        <f t="shared" si="103"/>
        <v>0</v>
      </c>
      <c r="CU23" s="91">
        <f t="shared" si="104"/>
        <v>0</v>
      </c>
      <c r="CV23" s="78">
        <v>832280</v>
      </c>
      <c r="CW23" s="81">
        <f t="shared" si="105"/>
        <v>0</v>
      </c>
      <c r="CX23" s="91">
        <f t="shared" si="106"/>
        <v>0</v>
      </c>
      <c r="CY23" s="78">
        <v>6131.5</v>
      </c>
      <c r="CZ23" s="81">
        <f t="shared" si="107"/>
        <v>2.3999999999996362</v>
      </c>
      <c r="DA23" s="91">
        <f t="shared" si="108"/>
        <v>5.7359999999991311</v>
      </c>
      <c r="DB23" s="78">
        <v>7420</v>
      </c>
      <c r="DC23" s="81">
        <f t="shared" si="109"/>
        <v>0</v>
      </c>
      <c r="DD23" s="81">
        <f t="shared" si="109"/>
        <v>0</v>
      </c>
      <c r="DE23" s="78">
        <v>4162</v>
      </c>
      <c r="DF23" s="81">
        <f t="shared" si="111"/>
        <v>4</v>
      </c>
      <c r="DG23" s="81">
        <f t="shared" si="111"/>
        <v>0</v>
      </c>
      <c r="DH23" s="78">
        <v>1855.9</v>
      </c>
      <c r="DI23" s="81">
        <f t="shared" si="113"/>
        <v>0</v>
      </c>
      <c r="DJ23" s="81">
        <f t="shared" si="113"/>
        <v>0</v>
      </c>
      <c r="DK23" s="78">
        <v>5081.7</v>
      </c>
      <c r="DL23" s="81">
        <f t="shared" si="115"/>
        <v>0</v>
      </c>
      <c r="DM23" s="81">
        <f t="shared" si="115"/>
        <v>0</v>
      </c>
      <c r="DN23" s="78">
        <v>4454.7</v>
      </c>
      <c r="DO23" s="81">
        <f t="shared" si="117"/>
        <v>0</v>
      </c>
      <c r="DP23" s="81">
        <f t="shared" si="117"/>
        <v>0</v>
      </c>
      <c r="DQ23" s="78">
        <v>5089.6000000000004</v>
      </c>
      <c r="DR23" s="81">
        <f t="shared" si="119"/>
        <v>0</v>
      </c>
      <c r="DS23" s="81">
        <f t="shared" si="119"/>
        <v>0</v>
      </c>
      <c r="DT23" s="78">
        <v>5109.1000000000004</v>
      </c>
      <c r="DU23" s="81">
        <f t="shared" si="121"/>
        <v>0</v>
      </c>
      <c r="DV23" s="91">
        <f t="shared" si="122"/>
        <v>0</v>
      </c>
      <c r="DW23" s="98">
        <v>12871</v>
      </c>
      <c r="DX23" s="91">
        <f t="shared" si="123"/>
        <v>0</v>
      </c>
      <c r="DY23" s="98">
        <v>62789</v>
      </c>
      <c r="DZ23" s="91">
        <f t="shared" si="124"/>
        <v>0</v>
      </c>
      <c r="EA23" s="109">
        <v>15588</v>
      </c>
      <c r="EB23" s="91">
        <f t="shared" si="125"/>
        <v>0</v>
      </c>
      <c r="EC23" s="109">
        <v>24679</v>
      </c>
      <c r="ED23" s="91">
        <f t="shared" si="126"/>
        <v>0</v>
      </c>
      <c r="EE23" s="109">
        <v>2</v>
      </c>
      <c r="EF23" s="110">
        <v>6</v>
      </c>
      <c r="EG23" s="108">
        <v>1.4999999999999999E-2</v>
      </c>
      <c r="EH23" s="112"/>
      <c r="EI23" s="58"/>
      <c r="EJ23" s="58"/>
      <c r="EK23"/>
      <c r="EL23"/>
      <c r="EM23"/>
    </row>
    <row r="24" spans="1:144" s="20" customFormat="1" ht="15" x14ac:dyDescent="0.2">
      <c r="A24" s="71">
        <v>44398</v>
      </c>
      <c r="B24" s="80">
        <v>7321208</v>
      </c>
      <c r="C24" s="73">
        <f t="shared" si="56"/>
        <v>5743</v>
      </c>
      <c r="D24" s="78">
        <v>6525696</v>
      </c>
      <c r="E24" s="73">
        <f t="shared" si="57"/>
        <v>5306</v>
      </c>
      <c r="F24" s="22">
        <f t="shared" si="58"/>
        <v>0.92390736548842067</v>
      </c>
      <c r="G24" s="74">
        <v>360</v>
      </c>
      <c r="H24" s="74">
        <v>306</v>
      </c>
      <c r="I24" s="75">
        <v>288064</v>
      </c>
      <c r="J24" s="76">
        <f t="shared" si="59"/>
        <v>0</v>
      </c>
      <c r="K24" s="77">
        <v>776</v>
      </c>
      <c r="L24" s="73">
        <f t="shared" si="60"/>
        <v>0</v>
      </c>
      <c r="M24" s="78">
        <v>633954</v>
      </c>
      <c r="N24" s="73">
        <f t="shared" si="59"/>
        <v>0</v>
      </c>
      <c r="O24" s="78">
        <v>993</v>
      </c>
      <c r="P24" s="76">
        <f t="shared" si="62"/>
        <v>0</v>
      </c>
      <c r="Q24" s="78">
        <v>2557426</v>
      </c>
      <c r="R24" s="76">
        <f t="shared" si="63"/>
        <v>148</v>
      </c>
      <c r="S24" s="78">
        <v>2192476</v>
      </c>
      <c r="T24" s="76">
        <f t="shared" si="63"/>
        <v>4</v>
      </c>
      <c r="U24" s="78">
        <v>116832</v>
      </c>
      <c r="V24" s="76">
        <f t="shared" si="63"/>
        <v>66</v>
      </c>
      <c r="W24" s="114">
        <v>100</v>
      </c>
      <c r="X24" s="78">
        <v>152370</v>
      </c>
      <c r="Y24" s="76">
        <v>0</v>
      </c>
      <c r="Z24" s="74">
        <v>40434</v>
      </c>
      <c r="AA24" s="81">
        <f t="shared" si="64"/>
        <v>8</v>
      </c>
      <c r="AB24" s="78">
        <v>1131</v>
      </c>
      <c r="AC24" s="82">
        <f t="shared" si="128"/>
        <v>0</v>
      </c>
      <c r="AD24" s="78">
        <v>4605</v>
      </c>
      <c r="AE24" s="83">
        <f t="shared" si="66"/>
        <v>0</v>
      </c>
      <c r="AF24" s="19"/>
      <c r="AG24" s="19"/>
      <c r="AH24" s="78">
        <v>583320</v>
      </c>
      <c r="AI24" s="76">
        <f t="shared" si="67"/>
        <v>30</v>
      </c>
      <c r="AJ24" s="90">
        <v>818</v>
      </c>
      <c r="AK24" s="73">
        <f t="shared" si="68"/>
        <v>1</v>
      </c>
      <c r="AL24" s="78">
        <v>52397</v>
      </c>
      <c r="AM24" s="87">
        <f t="shared" si="129"/>
        <v>4</v>
      </c>
      <c r="AN24" s="78">
        <v>8930</v>
      </c>
      <c r="AO24" s="73">
        <f t="shared" si="70"/>
        <v>0</v>
      </c>
      <c r="AP24" s="78">
        <v>10582</v>
      </c>
      <c r="AQ24" s="73">
        <f t="shared" si="70"/>
        <v>0</v>
      </c>
      <c r="AR24" s="78">
        <v>14622</v>
      </c>
      <c r="AS24" s="73">
        <f t="shared" si="70"/>
        <v>3</v>
      </c>
      <c r="AT24" s="78">
        <v>19369</v>
      </c>
      <c r="AU24" s="76">
        <f t="shared" si="70"/>
        <v>0</v>
      </c>
      <c r="AV24" s="78">
        <v>20680</v>
      </c>
      <c r="AW24" s="81">
        <f t="shared" si="74"/>
        <v>0</v>
      </c>
      <c r="AX24" s="78">
        <v>13871</v>
      </c>
      <c r="AY24" s="81">
        <f t="shared" si="75"/>
        <v>0</v>
      </c>
      <c r="AZ24" s="78">
        <v>6225</v>
      </c>
      <c r="BA24" s="73">
        <f t="shared" si="76"/>
        <v>0</v>
      </c>
      <c r="BB24" s="78">
        <v>26570</v>
      </c>
      <c r="BC24" s="73">
        <f t="shared" si="77"/>
        <v>1</v>
      </c>
      <c r="BD24" s="78">
        <v>1115</v>
      </c>
      <c r="BE24" s="73">
        <f t="shared" si="78"/>
        <v>0</v>
      </c>
      <c r="BF24" s="78">
        <v>4378</v>
      </c>
      <c r="BG24" s="73">
        <f t="shared" si="79"/>
        <v>0</v>
      </c>
      <c r="BH24" s="78">
        <v>3636</v>
      </c>
      <c r="BI24" s="73">
        <f t="shared" si="80"/>
        <v>0</v>
      </c>
      <c r="BJ24" s="81">
        <f t="shared" si="81"/>
        <v>3</v>
      </c>
      <c r="BK24" s="81">
        <f t="shared" si="82"/>
        <v>27</v>
      </c>
      <c r="BL24" s="78">
        <v>603650</v>
      </c>
      <c r="BM24" s="81">
        <f t="shared" si="83"/>
        <v>40</v>
      </c>
      <c r="BN24" s="88">
        <v>747</v>
      </c>
      <c r="BO24" s="73">
        <f t="shared" si="84"/>
        <v>0</v>
      </c>
      <c r="BP24" s="78">
        <v>783750</v>
      </c>
      <c r="BQ24" s="81">
        <f t="shared" si="85"/>
        <v>50</v>
      </c>
      <c r="BR24" s="92">
        <v>7706</v>
      </c>
      <c r="BS24" s="81">
        <f t="shared" si="127"/>
        <v>0</v>
      </c>
      <c r="BT24" s="91">
        <f>BQ24-AI24</f>
        <v>20</v>
      </c>
      <c r="BU24" s="81">
        <f t="shared" si="88"/>
        <v>90</v>
      </c>
      <c r="BV24" s="93">
        <f t="shared" si="89"/>
        <v>7</v>
      </c>
      <c r="BW24" s="78">
        <v>122</v>
      </c>
      <c r="BX24" s="94">
        <f t="shared" si="90"/>
        <v>15128.057958131996</v>
      </c>
      <c r="BY24" s="99"/>
      <c r="BZ24" s="96">
        <f t="shared" si="91"/>
        <v>0</v>
      </c>
      <c r="CA24" s="78">
        <v>206947</v>
      </c>
      <c r="CB24" s="81">
        <f t="shared" si="92"/>
        <v>9</v>
      </c>
      <c r="CC24" s="91">
        <f t="shared" si="93"/>
        <v>51.39</v>
      </c>
      <c r="CD24" s="78">
        <v>55</v>
      </c>
      <c r="CE24" s="100">
        <f t="shared" si="94"/>
        <v>5926.25</v>
      </c>
      <c r="CF24" s="78">
        <v>53</v>
      </c>
      <c r="CG24" s="101">
        <f t="shared" si="95"/>
        <v>5710.75</v>
      </c>
      <c r="CH24" s="78">
        <v>56</v>
      </c>
      <c r="CI24" s="102">
        <f t="shared" si="96"/>
        <v>6034</v>
      </c>
      <c r="CJ24" s="103">
        <f t="shared" si="97"/>
        <v>17671</v>
      </c>
      <c r="CK24" s="104">
        <f t="shared" si="98"/>
        <v>107.75</v>
      </c>
      <c r="CL24" s="78"/>
      <c r="CM24" s="78">
        <v>34712.300000000003</v>
      </c>
      <c r="CN24" s="81">
        <f t="shared" si="99"/>
        <v>6.5</v>
      </c>
      <c r="CO24" s="91">
        <f t="shared" si="100"/>
        <v>15.86</v>
      </c>
      <c r="CP24" s="78">
        <v>34300</v>
      </c>
      <c r="CQ24" s="81">
        <f t="shared" si="101"/>
        <v>0</v>
      </c>
      <c r="CR24" s="91">
        <f t="shared" si="102"/>
        <v>0</v>
      </c>
      <c r="CS24" s="78">
        <v>10235.6</v>
      </c>
      <c r="CT24" s="81">
        <f t="shared" si="103"/>
        <v>0</v>
      </c>
      <c r="CU24" s="91">
        <f t="shared" si="104"/>
        <v>0</v>
      </c>
      <c r="CV24" s="78">
        <v>832280</v>
      </c>
      <c r="CW24" s="81">
        <f t="shared" si="105"/>
        <v>0</v>
      </c>
      <c r="CX24" s="91">
        <f t="shared" si="106"/>
        <v>0</v>
      </c>
      <c r="CY24" s="78">
        <v>6134.3</v>
      </c>
      <c r="CZ24" s="81">
        <f t="shared" si="107"/>
        <v>2.8000000000001819</v>
      </c>
      <c r="DA24" s="91">
        <f t="shared" si="108"/>
        <v>6.6920000000004354</v>
      </c>
      <c r="DB24" s="78">
        <v>7420</v>
      </c>
      <c r="DC24" s="81">
        <f t="shared" si="109"/>
        <v>0</v>
      </c>
      <c r="DD24" s="81">
        <f t="shared" si="109"/>
        <v>0</v>
      </c>
      <c r="DE24" s="78">
        <v>4166.2</v>
      </c>
      <c r="DF24" s="81">
        <f t="shared" si="111"/>
        <v>4.1999999999998181</v>
      </c>
      <c r="DG24" s="81">
        <f t="shared" si="111"/>
        <v>0.1999999999998181</v>
      </c>
      <c r="DH24" s="78">
        <v>1855.9</v>
      </c>
      <c r="DI24" s="81">
        <f t="shared" si="113"/>
        <v>0</v>
      </c>
      <c r="DJ24" s="81">
        <f t="shared" si="113"/>
        <v>0</v>
      </c>
      <c r="DK24" s="78">
        <v>5081.7</v>
      </c>
      <c r="DL24" s="81">
        <f t="shared" si="115"/>
        <v>0</v>
      </c>
      <c r="DM24" s="81">
        <f t="shared" si="115"/>
        <v>0</v>
      </c>
      <c r="DN24" s="78">
        <v>4454.7</v>
      </c>
      <c r="DO24" s="81">
        <f t="shared" si="117"/>
        <v>0</v>
      </c>
      <c r="DP24" s="81">
        <f t="shared" si="117"/>
        <v>0</v>
      </c>
      <c r="DQ24" s="78">
        <v>5089.6000000000004</v>
      </c>
      <c r="DR24" s="81">
        <f t="shared" si="119"/>
        <v>0</v>
      </c>
      <c r="DS24" s="81">
        <f t="shared" si="119"/>
        <v>0</v>
      </c>
      <c r="DT24" s="78">
        <v>5109.1000000000004</v>
      </c>
      <c r="DU24" s="81">
        <f t="shared" si="121"/>
        <v>0</v>
      </c>
      <c r="DV24" s="91">
        <f t="shared" si="122"/>
        <v>0</v>
      </c>
      <c r="DW24" s="98">
        <v>12871</v>
      </c>
      <c r="DX24" s="91">
        <f t="shared" si="123"/>
        <v>0</v>
      </c>
      <c r="DY24" s="98">
        <v>62789</v>
      </c>
      <c r="DZ24" s="91">
        <f t="shared" si="124"/>
        <v>0</v>
      </c>
      <c r="EA24" s="109">
        <v>15588</v>
      </c>
      <c r="EB24" s="91">
        <f t="shared" si="125"/>
        <v>0</v>
      </c>
      <c r="EC24" s="109">
        <v>24679</v>
      </c>
      <c r="ED24" s="91">
        <f t="shared" si="126"/>
        <v>0</v>
      </c>
      <c r="EE24" s="109">
        <v>2</v>
      </c>
      <c r="EF24" s="110">
        <v>6</v>
      </c>
      <c r="EG24" s="108">
        <v>1.4999999999999999E-2</v>
      </c>
      <c r="EH24" s="112"/>
      <c r="EI24" s="58"/>
      <c r="EJ24" s="58"/>
      <c r="EK24"/>
      <c r="EL24"/>
      <c r="EM24"/>
    </row>
    <row r="25" spans="1:144" s="20" customFormat="1" ht="15" x14ac:dyDescent="0.2">
      <c r="A25" s="71">
        <v>44399</v>
      </c>
      <c r="B25" s="78">
        <v>7327480</v>
      </c>
      <c r="C25" s="73">
        <f t="shared" si="56"/>
        <v>6272</v>
      </c>
      <c r="D25" s="78">
        <v>6531401</v>
      </c>
      <c r="E25" s="73">
        <f t="shared" si="57"/>
        <v>5705</v>
      </c>
      <c r="F25" s="22">
        <f t="shared" si="58"/>
        <v>0.9095982142857143</v>
      </c>
      <c r="G25" s="74">
        <v>360</v>
      </c>
      <c r="H25" s="74">
        <v>306</v>
      </c>
      <c r="I25" s="75">
        <v>288064</v>
      </c>
      <c r="J25" s="76">
        <f t="shared" si="59"/>
        <v>0</v>
      </c>
      <c r="K25" s="77">
        <v>776</v>
      </c>
      <c r="L25" s="73">
        <f t="shared" si="60"/>
        <v>0</v>
      </c>
      <c r="M25" s="78">
        <v>633954</v>
      </c>
      <c r="N25" s="73">
        <f t="shared" si="59"/>
        <v>0</v>
      </c>
      <c r="O25" s="78">
        <v>993</v>
      </c>
      <c r="P25" s="76">
        <f t="shared" si="62"/>
        <v>0</v>
      </c>
      <c r="Q25" s="78">
        <v>2557561</v>
      </c>
      <c r="R25" s="76">
        <f t="shared" si="63"/>
        <v>135</v>
      </c>
      <c r="S25" s="78">
        <v>2192481</v>
      </c>
      <c r="T25" s="76">
        <f t="shared" si="63"/>
        <v>5</v>
      </c>
      <c r="U25" s="78">
        <v>116926</v>
      </c>
      <c r="V25" s="76">
        <f t="shared" si="63"/>
        <v>94</v>
      </c>
      <c r="W25" s="86">
        <v>100</v>
      </c>
      <c r="X25" s="78">
        <v>152370</v>
      </c>
      <c r="Y25" s="76">
        <v>0</v>
      </c>
      <c r="Z25" s="74">
        <v>40442</v>
      </c>
      <c r="AA25" s="81">
        <f t="shared" si="64"/>
        <v>8</v>
      </c>
      <c r="AB25" s="78">
        <v>1131</v>
      </c>
      <c r="AC25" s="82">
        <f t="shared" si="128"/>
        <v>0</v>
      </c>
      <c r="AD25" s="78">
        <v>4605</v>
      </c>
      <c r="AE25" s="83">
        <f t="shared" si="66"/>
        <v>0</v>
      </c>
      <c r="AF25" s="19"/>
      <c r="AG25" s="19"/>
      <c r="AH25" s="78">
        <v>583340</v>
      </c>
      <c r="AI25" s="76">
        <f t="shared" si="67"/>
        <v>20</v>
      </c>
      <c r="AJ25" s="90">
        <v>818</v>
      </c>
      <c r="AK25" s="73">
        <f t="shared" si="68"/>
        <v>0</v>
      </c>
      <c r="AL25" s="78">
        <v>52399</v>
      </c>
      <c r="AM25" s="87">
        <f t="shared" si="129"/>
        <v>2</v>
      </c>
      <c r="AN25" s="78">
        <v>8930</v>
      </c>
      <c r="AO25" s="73">
        <f t="shared" si="70"/>
        <v>0</v>
      </c>
      <c r="AP25" s="78">
        <v>10582</v>
      </c>
      <c r="AQ25" s="76">
        <v>0</v>
      </c>
      <c r="AR25" s="78">
        <v>14622</v>
      </c>
      <c r="AS25" s="73">
        <f t="shared" si="70"/>
        <v>0</v>
      </c>
      <c r="AT25" s="78">
        <v>19369</v>
      </c>
      <c r="AU25" s="76">
        <f t="shared" si="70"/>
        <v>0</v>
      </c>
      <c r="AV25" s="78">
        <v>20680</v>
      </c>
      <c r="AW25" s="81">
        <f t="shared" si="74"/>
        <v>0</v>
      </c>
      <c r="AX25" s="78">
        <v>13871</v>
      </c>
      <c r="AY25" s="91">
        <v>0</v>
      </c>
      <c r="AZ25" s="78">
        <v>6225</v>
      </c>
      <c r="BA25" s="73">
        <f t="shared" si="76"/>
        <v>0</v>
      </c>
      <c r="BB25" s="78">
        <v>26572</v>
      </c>
      <c r="BC25" s="73">
        <f t="shared" si="77"/>
        <v>2</v>
      </c>
      <c r="BD25" s="78">
        <v>1115</v>
      </c>
      <c r="BE25" s="73">
        <f t="shared" si="78"/>
        <v>0</v>
      </c>
      <c r="BF25" s="78">
        <v>4378</v>
      </c>
      <c r="BG25" s="73">
        <f t="shared" si="79"/>
        <v>0</v>
      </c>
      <c r="BH25" s="78">
        <v>3636</v>
      </c>
      <c r="BI25" s="73">
        <f t="shared" si="80"/>
        <v>0</v>
      </c>
      <c r="BJ25" s="81">
        <f t="shared" si="81"/>
        <v>0</v>
      </c>
      <c r="BK25" s="81">
        <f t="shared" si="82"/>
        <v>20</v>
      </c>
      <c r="BL25" s="78">
        <v>603680</v>
      </c>
      <c r="BM25" s="81">
        <f t="shared" si="83"/>
        <v>30</v>
      </c>
      <c r="BN25" s="88">
        <v>747</v>
      </c>
      <c r="BO25" s="73">
        <f t="shared" si="84"/>
        <v>0</v>
      </c>
      <c r="BP25" s="78">
        <v>783790</v>
      </c>
      <c r="BQ25" s="81">
        <f t="shared" si="85"/>
        <v>40</v>
      </c>
      <c r="BR25" s="92">
        <v>7732</v>
      </c>
      <c r="BS25" s="81">
        <f t="shared" si="127"/>
        <v>26</v>
      </c>
      <c r="BT25" s="91">
        <f t="shared" ref="BT25:BT26" si="130">BQ25-AI25</f>
        <v>20</v>
      </c>
      <c r="BU25" s="81">
        <f t="shared" si="88"/>
        <v>70</v>
      </c>
      <c r="BV25" s="93">
        <f t="shared" si="89"/>
        <v>2</v>
      </c>
      <c r="BW25" s="78">
        <v>122</v>
      </c>
      <c r="BX25" s="94">
        <f t="shared" si="90"/>
        <v>15128.057958131996</v>
      </c>
      <c r="BY25" s="99"/>
      <c r="BZ25" s="96">
        <f t="shared" si="91"/>
        <v>0</v>
      </c>
      <c r="CA25" s="78">
        <v>206952</v>
      </c>
      <c r="CB25" s="81">
        <f t="shared" si="92"/>
        <v>5</v>
      </c>
      <c r="CC25" s="91">
        <f t="shared" si="93"/>
        <v>28.55</v>
      </c>
      <c r="CD25" s="78">
        <v>55</v>
      </c>
      <c r="CE25" s="100">
        <f t="shared" si="94"/>
        <v>5926.25</v>
      </c>
      <c r="CF25" s="78">
        <v>53</v>
      </c>
      <c r="CG25" s="101">
        <f t="shared" si="95"/>
        <v>5710.75</v>
      </c>
      <c r="CH25" s="78">
        <v>56</v>
      </c>
      <c r="CI25" s="102">
        <f t="shared" si="96"/>
        <v>6034</v>
      </c>
      <c r="CJ25" s="103">
        <f t="shared" si="97"/>
        <v>17671</v>
      </c>
      <c r="CK25" s="104">
        <f t="shared" si="98"/>
        <v>0</v>
      </c>
      <c r="CL25" s="78"/>
      <c r="CM25" s="78">
        <v>34712.300000000003</v>
      </c>
      <c r="CN25" s="81">
        <f t="shared" si="99"/>
        <v>0</v>
      </c>
      <c r="CO25" s="91">
        <f t="shared" si="100"/>
        <v>0</v>
      </c>
      <c r="CP25" s="78">
        <v>34300</v>
      </c>
      <c r="CQ25" s="81"/>
      <c r="CR25" s="91">
        <f t="shared" si="102"/>
        <v>0</v>
      </c>
      <c r="CS25" s="78">
        <v>10235.6</v>
      </c>
      <c r="CT25" s="81">
        <f t="shared" si="103"/>
        <v>0</v>
      </c>
      <c r="CU25" s="91">
        <f t="shared" si="104"/>
        <v>0</v>
      </c>
      <c r="CV25" s="78">
        <v>832280</v>
      </c>
      <c r="CW25" s="81">
        <f t="shared" si="105"/>
        <v>0</v>
      </c>
      <c r="CX25" s="91">
        <f t="shared" si="106"/>
        <v>0</v>
      </c>
      <c r="CY25" s="78">
        <v>6136.6</v>
      </c>
      <c r="CZ25" s="81">
        <f t="shared" si="107"/>
        <v>2.3000000000001819</v>
      </c>
      <c r="DA25" s="91">
        <f t="shared" si="108"/>
        <v>5.4970000000004351</v>
      </c>
      <c r="DB25" s="78">
        <v>7420</v>
      </c>
      <c r="DC25" s="81">
        <f t="shared" si="109"/>
        <v>0</v>
      </c>
      <c r="DD25" s="81">
        <f t="shared" si="109"/>
        <v>0</v>
      </c>
      <c r="DE25" s="78">
        <v>4171</v>
      </c>
      <c r="DF25" s="81">
        <f t="shared" si="111"/>
        <v>4.8000000000001819</v>
      </c>
      <c r="DG25" s="81">
        <f t="shared" si="111"/>
        <v>0.6000000000003638</v>
      </c>
      <c r="DH25" s="78">
        <v>1855.9</v>
      </c>
      <c r="DI25" s="81">
        <f t="shared" si="113"/>
        <v>0</v>
      </c>
      <c r="DJ25" s="81">
        <f t="shared" si="113"/>
        <v>0</v>
      </c>
      <c r="DK25" s="78">
        <v>5081.7</v>
      </c>
      <c r="DL25" s="81"/>
      <c r="DM25" s="81">
        <f t="shared" si="115"/>
        <v>0</v>
      </c>
      <c r="DN25" s="78">
        <v>4454.7</v>
      </c>
      <c r="DO25" s="81">
        <f t="shared" si="117"/>
        <v>0</v>
      </c>
      <c r="DP25" s="81">
        <f t="shared" si="117"/>
        <v>0</v>
      </c>
      <c r="DQ25" s="78">
        <v>5089.6000000000004</v>
      </c>
      <c r="DR25" s="81">
        <f t="shared" si="119"/>
        <v>0</v>
      </c>
      <c r="DS25" s="81">
        <f t="shared" si="119"/>
        <v>0</v>
      </c>
      <c r="DT25" s="78">
        <v>5109.1000000000004</v>
      </c>
      <c r="DU25" s="81">
        <f t="shared" si="121"/>
        <v>0</v>
      </c>
      <c r="DV25" s="91">
        <f t="shared" si="122"/>
        <v>0</v>
      </c>
      <c r="DW25" s="98">
        <v>12871</v>
      </c>
      <c r="DX25" s="91">
        <f t="shared" si="123"/>
        <v>0</v>
      </c>
      <c r="DY25" s="98">
        <v>62789</v>
      </c>
      <c r="DZ25" s="91">
        <f t="shared" si="124"/>
        <v>0</v>
      </c>
      <c r="EA25" s="109">
        <v>15588</v>
      </c>
      <c r="EB25" s="91">
        <f t="shared" si="125"/>
        <v>0</v>
      </c>
      <c r="EC25" s="109">
        <v>24679</v>
      </c>
      <c r="ED25" s="91">
        <f t="shared" si="126"/>
        <v>0</v>
      </c>
      <c r="EE25" s="109">
        <v>2</v>
      </c>
      <c r="EF25" s="110">
        <v>6</v>
      </c>
      <c r="EG25" s="108">
        <v>1.4999999999999999E-2</v>
      </c>
      <c r="EH25" s="112"/>
      <c r="EI25" s="58"/>
      <c r="EJ25" s="58"/>
      <c r="EK25"/>
      <c r="EL25"/>
      <c r="EM25"/>
    </row>
    <row r="26" spans="1:144" s="20" customFormat="1" ht="15" x14ac:dyDescent="0.2">
      <c r="A26" s="71">
        <v>44400</v>
      </c>
      <c r="B26" s="78">
        <v>7333422</v>
      </c>
      <c r="C26" s="73">
        <f t="shared" si="56"/>
        <v>5942</v>
      </c>
      <c r="D26" s="78">
        <v>6536844</v>
      </c>
      <c r="E26" s="73">
        <f t="shared" si="57"/>
        <v>5443</v>
      </c>
      <c r="F26" s="22">
        <f t="shared" si="58"/>
        <v>0.91602154156849547</v>
      </c>
      <c r="G26" s="74">
        <v>368</v>
      </c>
      <c r="H26" s="74">
        <v>306</v>
      </c>
      <c r="I26" s="75">
        <v>288064</v>
      </c>
      <c r="J26" s="76">
        <f t="shared" si="59"/>
        <v>0</v>
      </c>
      <c r="K26" s="77">
        <v>776</v>
      </c>
      <c r="L26" s="73">
        <f t="shared" si="60"/>
        <v>0</v>
      </c>
      <c r="M26" s="78">
        <v>633954</v>
      </c>
      <c r="N26" s="73">
        <f t="shared" si="59"/>
        <v>0</v>
      </c>
      <c r="O26" s="78">
        <v>993</v>
      </c>
      <c r="P26" s="76">
        <f t="shared" si="62"/>
        <v>0</v>
      </c>
      <c r="Q26" s="78">
        <v>2557722</v>
      </c>
      <c r="R26" s="76">
        <f t="shared" si="63"/>
        <v>161</v>
      </c>
      <c r="S26" s="78">
        <v>2192484</v>
      </c>
      <c r="T26" s="76">
        <f t="shared" si="63"/>
        <v>3</v>
      </c>
      <c r="U26" s="78">
        <v>117007</v>
      </c>
      <c r="V26" s="76">
        <f t="shared" si="63"/>
        <v>81</v>
      </c>
      <c r="W26" s="86">
        <v>100</v>
      </c>
      <c r="X26" s="78">
        <v>152370</v>
      </c>
      <c r="Y26" s="76">
        <v>0</v>
      </c>
      <c r="Z26" s="74">
        <v>40450</v>
      </c>
      <c r="AA26" s="81">
        <f t="shared" si="64"/>
        <v>8</v>
      </c>
      <c r="AB26" s="78">
        <v>1131</v>
      </c>
      <c r="AC26" s="82">
        <f t="shared" si="128"/>
        <v>0</v>
      </c>
      <c r="AD26" s="78">
        <v>4605</v>
      </c>
      <c r="AE26" s="83">
        <f t="shared" si="66"/>
        <v>0</v>
      </c>
      <c r="AF26" s="19"/>
      <c r="AG26" s="19"/>
      <c r="AH26" s="78">
        <v>583367</v>
      </c>
      <c r="AI26" s="76">
        <f t="shared" si="67"/>
        <v>27</v>
      </c>
      <c r="AJ26" s="90">
        <v>819</v>
      </c>
      <c r="AK26" s="73">
        <f t="shared" si="68"/>
        <v>1</v>
      </c>
      <c r="AL26" s="78">
        <v>52403</v>
      </c>
      <c r="AM26" s="87">
        <f t="shared" si="129"/>
        <v>4</v>
      </c>
      <c r="AN26" s="78">
        <v>8930</v>
      </c>
      <c r="AO26" s="73">
        <f t="shared" si="70"/>
        <v>0</v>
      </c>
      <c r="AP26" s="78">
        <v>10583</v>
      </c>
      <c r="AQ26" s="76">
        <v>0</v>
      </c>
      <c r="AR26" s="78">
        <v>14622</v>
      </c>
      <c r="AS26" s="73">
        <f t="shared" si="70"/>
        <v>0</v>
      </c>
      <c r="AT26" s="78">
        <v>19369</v>
      </c>
      <c r="AU26" s="76">
        <f t="shared" si="70"/>
        <v>0</v>
      </c>
      <c r="AV26" s="78">
        <v>20680</v>
      </c>
      <c r="AW26" s="81">
        <f t="shared" si="74"/>
        <v>0</v>
      </c>
      <c r="AX26" s="78">
        <v>13871</v>
      </c>
      <c r="AY26" s="91">
        <v>0</v>
      </c>
      <c r="AZ26" s="78">
        <v>6225</v>
      </c>
      <c r="BA26" s="73">
        <f t="shared" si="76"/>
        <v>0</v>
      </c>
      <c r="BB26" s="78">
        <v>26574</v>
      </c>
      <c r="BC26" s="73">
        <f t="shared" si="77"/>
        <v>2</v>
      </c>
      <c r="BD26" s="78">
        <v>1115</v>
      </c>
      <c r="BE26" s="73">
        <f t="shared" si="78"/>
        <v>0</v>
      </c>
      <c r="BF26" s="78">
        <v>4378</v>
      </c>
      <c r="BG26" s="73">
        <f t="shared" si="79"/>
        <v>0</v>
      </c>
      <c r="BH26" s="78">
        <v>3636</v>
      </c>
      <c r="BI26" s="73">
        <f>(BH26-BH25)</f>
        <v>0</v>
      </c>
      <c r="BJ26" s="81">
        <f t="shared" si="81"/>
        <v>0</v>
      </c>
      <c r="BK26" s="81">
        <f t="shared" si="82"/>
        <v>27</v>
      </c>
      <c r="BL26" s="78">
        <v>603720</v>
      </c>
      <c r="BM26" s="81">
        <f t="shared" si="83"/>
        <v>40</v>
      </c>
      <c r="BN26" s="88">
        <v>747</v>
      </c>
      <c r="BO26" s="73">
        <f t="shared" si="84"/>
        <v>0</v>
      </c>
      <c r="BP26" s="78">
        <v>783830</v>
      </c>
      <c r="BQ26" s="81">
        <f t="shared" si="85"/>
        <v>40</v>
      </c>
      <c r="BR26" s="92">
        <v>7740</v>
      </c>
      <c r="BS26" s="81">
        <f t="shared" si="127"/>
        <v>8</v>
      </c>
      <c r="BT26" s="91">
        <f t="shared" si="130"/>
        <v>13</v>
      </c>
      <c r="BU26" s="81">
        <f t="shared" si="88"/>
        <v>80</v>
      </c>
      <c r="BV26" s="93">
        <f t="shared" si="89"/>
        <v>4</v>
      </c>
      <c r="BW26" s="78">
        <v>122</v>
      </c>
      <c r="BX26" s="94">
        <f t="shared" si="90"/>
        <v>15128.057958131996</v>
      </c>
      <c r="BY26" s="99"/>
      <c r="BZ26" s="96">
        <f t="shared" si="91"/>
        <v>0</v>
      </c>
      <c r="CA26" s="78">
        <v>206959</v>
      </c>
      <c r="CB26" s="81">
        <f t="shared" si="92"/>
        <v>7</v>
      </c>
      <c r="CC26" s="91">
        <f t="shared" si="93"/>
        <v>39.97</v>
      </c>
      <c r="CD26" s="78">
        <v>54</v>
      </c>
      <c r="CE26" s="100">
        <f t="shared" si="94"/>
        <v>5818.5</v>
      </c>
      <c r="CF26" s="78">
        <v>53</v>
      </c>
      <c r="CG26" s="101">
        <f t="shared" si="95"/>
        <v>5710.75</v>
      </c>
      <c r="CH26" s="78">
        <v>55</v>
      </c>
      <c r="CI26" s="102">
        <f t="shared" si="96"/>
        <v>5926.25</v>
      </c>
      <c r="CJ26" s="103">
        <f t="shared" si="97"/>
        <v>17455.5</v>
      </c>
      <c r="CK26" s="104">
        <f t="shared" si="98"/>
        <v>215.5</v>
      </c>
      <c r="CL26" s="78"/>
      <c r="CM26" s="78">
        <v>34721.800000000003</v>
      </c>
      <c r="CN26" s="81">
        <f t="shared" si="99"/>
        <v>9.5</v>
      </c>
      <c r="CO26" s="91">
        <f t="shared" si="100"/>
        <v>23.18</v>
      </c>
      <c r="CP26" s="78">
        <v>34300</v>
      </c>
      <c r="CQ26" s="81">
        <f t="shared" ref="CQ26" si="131">IF((CP26-CP25)&lt;0,"0",(CP26-CP25))</f>
        <v>0</v>
      </c>
      <c r="CR26" s="91">
        <f t="shared" si="102"/>
        <v>0</v>
      </c>
      <c r="CS26" s="78">
        <v>10235.6</v>
      </c>
      <c r="CT26" s="81">
        <f t="shared" si="103"/>
        <v>0</v>
      </c>
      <c r="CU26" s="91">
        <f t="shared" si="104"/>
        <v>0</v>
      </c>
      <c r="CV26" s="78">
        <v>832280</v>
      </c>
      <c r="CW26" s="81">
        <f t="shared" si="105"/>
        <v>0</v>
      </c>
      <c r="CX26" s="91">
        <f t="shared" si="106"/>
        <v>0</v>
      </c>
      <c r="CY26" s="78">
        <v>6139.7</v>
      </c>
      <c r="CZ26" s="81">
        <f t="shared" si="107"/>
        <v>3.0999999999994543</v>
      </c>
      <c r="DA26" s="91">
        <f t="shared" si="108"/>
        <v>7.408999999998696</v>
      </c>
      <c r="DB26" s="78">
        <v>7420</v>
      </c>
      <c r="DC26" s="81">
        <f t="shared" si="109"/>
        <v>0</v>
      </c>
      <c r="DD26" s="81">
        <f t="shared" si="109"/>
        <v>0</v>
      </c>
      <c r="DE26" s="78">
        <v>4175.7</v>
      </c>
      <c r="DF26" s="81">
        <f t="shared" si="111"/>
        <v>4.6999999999998181</v>
      </c>
      <c r="DG26" s="81" t="str">
        <f t="shared" si="111"/>
        <v>0</v>
      </c>
      <c r="DH26" s="78">
        <v>1855.9</v>
      </c>
      <c r="DI26" s="81">
        <f t="shared" si="113"/>
        <v>0</v>
      </c>
      <c r="DJ26" s="81">
        <f t="shared" si="113"/>
        <v>0</v>
      </c>
      <c r="DK26" s="78">
        <v>5081.7</v>
      </c>
      <c r="DL26" s="81">
        <f t="shared" ref="DL26" si="132">IF((DK26-DK25)&lt;0,"0",(DK26-DK25))</f>
        <v>0</v>
      </c>
      <c r="DM26" s="81">
        <f t="shared" si="115"/>
        <v>0</v>
      </c>
      <c r="DN26" s="78">
        <v>4454.7</v>
      </c>
      <c r="DO26" s="81">
        <f t="shared" si="117"/>
        <v>0</v>
      </c>
      <c r="DP26" s="81">
        <f t="shared" si="117"/>
        <v>0</v>
      </c>
      <c r="DQ26" s="78">
        <v>5089.6000000000004</v>
      </c>
      <c r="DR26" s="81">
        <f t="shared" si="119"/>
        <v>0</v>
      </c>
      <c r="DS26" s="81">
        <f t="shared" si="119"/>
        <v>0</v>
      </c>
      <c r="DT26" s="78">
        <v>5109.1000000000004</v>
      </c>
      <c r="DU26" s="81">
        <f t="shared" si="121"/>
        <v>0</v>
      </c>
      <c r="DV26" s="91">
        <f t="shared" si="122"/>
        <v>0</v>
      </c>
      <c r="DW26" s="98">
        <v>12871</v>
      </c>
      <c r="DX26" s="91">
        <f t="shared" si="123"/>
        <v>0</v>
      </c>
      <c r="DY26" s="98">
        <v>62789</v>
      </c>
      <c r="DZ26" s="91">
        <f t="shared" si="124"/>
        <v>0</v>
      </c>
      <c r="EA26" s="109">
        <v>15588</v>
      </c>
      <c r="EB26" s="91">
        <f t="shared" si="125"/>
        <v>0</v>
      </c>
      <c r="EC26" s="109">
        <v>24679</v>
      </c>
      <c r="ED26" s="91">
        <f t="shared" si="126"/>
        <v>0</v>
      </c>
      <c r="EE26" s="109">
        <v>2</v>
      </c>
      <c r="EF26" s="110">
        <v>6</v>
      </c>
      <c r="EG26" s="108">
        <v>1.4999999999999999E-2</v>
      </c>
      <c r="EH26" s="112"/>
      <c r="EI26" s="58"/>
      <c r="EJ26" s="58"/>
      <c r="EK26"/>
      <c r="EL26"/>
      <c r="EM26"/>
    </row>
    <row r="27" spans="1:144" s="20" customFormat="1" ht="15" x14ac:dyDescent="0.2">
      <c r="A27" s="71">
        <v>44401</v>
      </c>
      <c r="B27" s="78">
        <v>7339166</v>
      </c>
      <c r="C27" s="73">
        <f t="shared" si="56"/>
        <v>5744</v>
      </c>
      <c r="D27" s="78">
        <v>6542177</v>
      </c>
      <c r="E27" s="73">
        <f t="shared" si="57"/>
        <v>5333</v>
      </c>
      <c r="F27" s="22">
        <f t="shared" si="58"/>
        <v>0.92844707520891367</v>
      </c>
      <c r="G27" s="74">
        <v>368</v>
      </c>
      <c r="H27" s="74">
        <v>306</v>
      </c>
      <c r="I27" s="75">
        <v>288064</v>
      </c>
      <c r="J27" s="76">
        <f t="shared" si="59"/>
        <v>0</v>
      </c>
      <c r="K27" s="77">
        <v>776</v>
      </c>
      <c r="L27" s="73">
        <v>0</v>
      </c>
      <c r="M27" s="78">
        <v>633954</v>
      </c>
      <c r="N27" s="73">
        <f t="shared" si="59"/>
        <v>0</v>
      </c>
      <c r="O27" s="78">
        <v>993</v>
      </c>
      <c r="P27" s="76">
        <f t="shared" si="62"/>
        <v>0</v>
      </c>
      <c r="Q27" s="78">
        <v>2557917</v>
      </c>
      <c r="R27" s="76">
        <f t="shared" si="63"/>
        <v>195</v>
      </c>
      <c r="S27" s="78">
        <v>2192485</v>
      </c>
      <c r="T27" s="76">
        <f t="shared" si="63"/>
        <v>1</v>
      </c>
      <c r="U27" s="78">
        <v>117072</v>
      </c>
      <c r="V27" s="76">
        <f t="shared" si="63"/>
        <v>65</v>
      </c>
      <c r="W27" s="86">
        <v>100</v>
      </c>
      <c r="X27" s="86">
        <v>152370</v>
      </c>
      <c r="Y27" s="76">
        <v>0</v>
      </c>
      <c r="Z27" s="122">
        <v>40461</v>
      </c>
      <c r="AA27" s="81">
        <v>11</v>
      </c>
      <c r="AB27" s="78">
        <v>1131</v>
      </c>
      <c r="AC27" s="82">
        <v>0</v>
      </c>
      <c r="AD27" s="78">
        <v>4605</v>
      </c>
      <c r="AE27" s="83">
        <v>0</v>
      </c>
      <c r="AF27" s="19"/>
      <c r="AG27" s="19"/>
      <c r="AH27" s="78">
        <v>583390</v>
      </c>
      <c r="AI27" s="76">
        <v>23</v>
      </c>
      <c r="AJ27" s="19">
        <v>819</v>
      </c>
      <c r="AK27" s="73">
        <v>0</v>
      </c>
      <c r="AL27" s="78">
        <v>52406</v>
      </c>
      <c r="AM27" s="87">
        <v>3</v>
      </c>
      <c r="AN27" s="78">
        <v>8930</v>
      </c>
      <c r="AO27" s="73">
        <v>0</v>
      </c>
      <c r="AP27" s="78">
        <v>10583</v>
      </c>
      <c r="AQ27" s="76">
        <v>0</v>
      </c>
      <c r="AR27" s="78">
        <v>14624</v>
      </c>
      <c r="AS27" s="73">
        <v>2</v>
      </c>
      <c r="AT27" s="78">
        <v>19369</v>
      </c>
      <c r="AU27" s="76">
        <v>0</v>
      </c>
      <c r="AV27" s="78">
        <v>20680</v>
      </c>
      <c r="AW27" s="81">
        <v>0</v>
      </c>
      <c r="AX27" s="78">
        <v>13871</v>
      </c>
      <c r="AY27" s="91">
        <v>0</v>
      </c>
      <c r="AZ27" s="78">
        <v>6225</v>
      </c>
      <c r="BA27" s="73">
        <v>0</v>
      </c>
      <c r="BB27" s="78">
        <v>26576</v>
      </c>
      <c r="BC27" s="73">
        <v>2</v>
      </c>
      <c r="BD27" s="78">
        <v>1115</v>
      </c>
      <c r="BE27" s="73">
        <v>0</v>
      </c>
      <c r="BF27" s="78">
        <v>4378</v>
      </c>
      <c r="BG27" s="73">
        <v>0</v>
      </c>
      <c r="BH27" s="78">
        <v>3636</v>
      </c>
      <c r="BI27" s="73">
        <v>0</v>
      </c>
      <c r="BJ27" s="81">
        <v>2</v>
      </c>
      <c r="BK27" s="81">
        <v>21</v>
      </c>
      <c r="BL27" s="78">
        <v>603760</v>
      </c>
      <c r="BM27" s="81">
        <v>40</v>
      </c>
      <c r="BN27" s="88">
        <v>747</v>
      </c>
      <c r="BO27" s="73">
        <v>0</v>
      </c>
      <c r="BP27" s="78">
        <v>783870</v>
      </c>
      <c r="BQ27" s="81">
        <v>40</v>
      </c>
      <c r="BR27" s="92">
        <v>7744</v>
      </c>
      <c r="BS27" s="81">
        <v>4</v>
      </c>
      <c r="BT27" s="91">
        <v>17</v>
      </c>
      <c r="BU27" s="81">
        <v>80</v>
      </c>
      <c r="BV27" s="93">
        <v>5</v>
      </c>
      <c r="BW27" s="78">
        <v>122</v>
      </c>
      <c r="BX27" s="94">
        <v>15128.057958131996</v>
      </c>
      <c r="BY27" s="99"/>
      <c r="BZ27" s="96">
        <v>0</v>
      </c>
      <c r="CA27" s="78">
        <v>206965</v>
      </c>
      <c r="CB27" s="81">
        <v>6</v>
      </c>
      <c r="CC27" s="91">
        <v>34.26</v>
      </c>
      <c r="CD27" s="78">
        <v>54</v>
      </c>
      <c r="CE27" s="100">
        <v>5818.5</v>
      </c>
      <c r="CF27" s="78">
        <v>53</v>
      </c>
      <c r="CG27" s="101">
        <v>5710.75</v>
      </c>
      <c r="CH27" s="78">
        <v>55</v>
      </c>
      <c r="CI27" s="102">
        <v>5926.25</v>
      </c>
      <c r="CJ27" s="103">
        <v>17455.5</v>
      </c>
      <c r="CK27" s="104">
        <v>0</v>
      </c>
      <c r="CL27" s="78"/>
      <c r="CM27" s="78">
        <v>34725.199999999997</v>
      </c>
      <c r="CN27" s="81">
        <v>3.3999999999941792</v>
      </c>
      <c r="CO27" s="91">
        <v>8.2959999999857974</v>
      </c>
      <c r="CP27" s="78">
        <v>34300</v>
      </c>
      <c r="CQ27" s="81">
        <v>0</v>
      </c>
      <c r="CR27" s="91">
        <v>0</v>
      </c>
      <c r="CS27" s="78">
        <v>10235.6</v>
      </c>
      <c r="CT27" s="81">
        <v>0</v>
      </c>
      <c r="CU27" s="91">
        <v>0</v>
      </c>
      <c r="CV27" s="78">
        <v>832280</v>
      </c>
      <c r="CW27" s="81">
        <v>0</v>
      </c>
      <c r="CX27" s="91">
        <v>0</v>
      </c>
      <c r="CY27" s="78">
        <v>6142.5</v>
      </c>
      <c r="CZ27" s="81">
        <v>2.8000000000001819</v>
      </c>
      <c r="DA27" s="91">
        <v>6.6920000000004354</v>
      </c>
      <c r="DB27" s="78">
        <v>7420</v>
      </c>
      <c r="DC27" s="81">
        <v>0</v>
      </c>
      <c r="DD27" s="81">
        <v>0</v>
      </c>
      <c r="DE27" s="78">
        <v>4183.2</v>
      </c>
      <c r="DF27" s="81">
        <v>7.5</v>
      </c>
      <c r="DG27" s="81">
        <v>40</v>
      </c>
      <c r="DH27" s="78">
        <v>1855.9</v>
      </c>
      <c r="DI27" s="81">
        <v>0</v>
      </c>
      <c r="DJ27" s="81">
        <v>0</v>
      </c>
      <c r="DK27" s="78">
        <v>5081.7</v>
      </c>
      <c r="DL27" s="81">
        <v>0</v>
      </c>
      <c r="DM27" s="81">
        <v>0</v>
      </c>
      <c r="DN27" s="78">
        <v>4454.7</v>
      </c>
      <c r="DO27" s="81">
        <v>0</v>
      </c>
      <c r="DP27" s="81">
        <v>0</v>
      </c>
      <c r="DQ27" s="78">
        <v>5089.6000000000004</v>
      </c>
      <c r="DR27" s="81">
        <v>0</v>
      </c>
      <c r="DS27" s="81">
        <v>0</v>
      </c>
      <c r="DT27" s="78">
        <v>5109.1000000000004</v>
      </c>
      <c r="DU27" s="81">
        <v>0</v>
      </c>
      <c r="DV27" s="81">
        <v>0</v>
      </c>
      <c r="DW27" s="78">
        <v>12871</v>
      </c>
      <c r="DX27" s="81">
        <v>0</v>
      </c>
      <c r="DY27" s="98">
        <v>62789</v>
      </c>
      <c r="DZ27" s="91">
        <v>0</v>
      </c>
      <c r="EA27" s="109">
        <v>15588</v>
      </c>
      <c r="EB27" s="91">
        <v>0</v>
      </c>
      <c r="EC27" s="109">
        <v>24679</v>
      </c>
      <c r="ED27" s="91">
        <v>0</v>
      </c>
      <c r="EE27" s="109">
        <v>2</v>
      </c>
      <c r="EF27" s="109">
        <v>6</v>
      </c>
      <c r="EG27" s="108">
        <v>1.4999999999999999E-2</v>
      </c>
      <c r="EH27" s="109"/>
      <c r="EI27" s="110"/>
      <c r="EJ27" s="108"/>
      <c r="EK27"/>
      <c r="EL27"/>
      <c r="EM27"/>
    </row>
    <row r="28" spans="1:144" s="20" customFormat="1" ht="15" x14ac:dyDescent="0.2">
      <c r="A28" s="71">
        <v>44402</v>
      </c>
      <c r="B28" s="78">
        <v>7344881</v>
      </c>
      <c r="C28" s="73">
        <f t="shared" si="56"/>
        <v>5715</v>
      </c>
      <c r="D28" s="78">
        <v>6547386</v>
      </c>
      <c r="E28" s="73">
        <f t="shared" si="57"/>
        <v>5209</v>
      </c>
      <c r="F28" s="22">
        <f t="shared" si="58"/>
        <v>0.91146106736657917</v>
      </c>
      <c r="G28" s="74">
        <v>368</v>
      </c>
      <c r="H28" s="74">
        <v>306</v>
      </c>
      <c r="I28" s="75">
        <v>288064</v>
      </c>
      <c r="J28" s="76">
        <f t="shared" si="59"/>
        <v>0</v>
      </c>
      <c r="K28" s="77">
        <v>776</v>
      </c>
      <c r="L28" s="73">
        <v>0</v>
      </c>
      <c r="M28" s="78">
        <v>633954</v>
      </c>
      <c r="N28" s="73">
        <f t="shared" si="59"/>
        <v>0</v>
      </c>
      <c r="O28" s="78">
        <v>993</v>
      </c>
      <c r="P28" s="76">
        <f t="shared" si="62"/>
        <v>0</v>
      </c>
      <c r="Q28" s="78">
        <v>2557946</v>
      </c>
      <c r="R28" s="76">
        <f t="shared" si="63"/>
        <v>29</v>
      </c>
      <c r="S28" s="78">
        <v>2192489</v>
      </c>
      <c r="T28" s="76">
        <f t="shared" si="63"/>
        <v>4</v>
      </c>
      <c r="U28" s="78">
        <v>117149</v>
      </c>
      <c r="V28" s="76">
        <f t="shared" si="63"/>
        <v>77</v>
      </c>
      <c r="W28" s="86">
        <v>100</v>
      </c>
      <c r="X28" s="86">
        <v>152370</v>
      </c>
      <c r="Y28" s="76">
        <v>0</v>
      </c>
      <c r="Z28" s="77">
        <v>40466</v>
      </c>
      <c r="AA28" s="81">
        <v>5</v>
      </c>
      <c r="AB28" s="78">
        <v>1131</v>
      </c>
      <c r="AC28" s="82">
        <v>0</v>
      </c>
      <c r="AD28" s="78">
        <v>4605</v>
      </c>
      <c r="AE28" s="83">
        <v>0</v>
      </c>
      <c r="AF28" s="19"/>
      <c r="AG28" s="19"/>
      <c r="AH28" s="78">
        <v>583400</v>
      </c>
      <c r="AI28" s="76">
        <v>10</v>
      </c>
      <c r="AJ28" s="19">
        <v>819</v>
      </c>
      <c r="AK28" s="73">
        <v>0</v>
      </c>
      <c r="AL28" s="78">
        <v>52406</v>
      </c>
      <c r="AM28" s="87">
        <v>0</v>
      </c>
      <c r="AN28" s="78">
        <v>8930</v>
      </c>
      <c r="AO28" s="73">
        <v>0</v>
      </c>
      <c r="AP28" s="78">
        <v>10583</v>
      </c>
      <c r="AQ28" s="76">
        <v>0</v>
      </c>
      <c r="AR28" s="78">
        <v>14624</v>
      </c>
      <c r="AS28" s="73">
        <v>0</v>
      </c>
      <c r="AT28" s="78">
        <v>19369</v>
      </c>
      <c r="AU28" s="76">
        <v>0</v>
      </c>
      <c r="AV28" s="78">
        <v>20680</v>
      </c>
      <c r="AW28" s="81">
        <v>0</v>
      </c>
      <c r="AX28" s="78">
        <v>13871</v>
      </c>
      <c r="AY28" s="91">
        <v>0</v>
      </c>
      <c r="AZ28" s="78">
        <v>6225</v>
      </c>
      <c r="BA28" s="73">
        <v>0</v>
      </c>
      <c r="BB28" s="78">
        <v>26577</v>
      </c>
      <c r="BC28" s="73">
        <v>1</v>
      </c>
      <c r="BD28" s="78">
        <v>1115</v>
      </c>
      <c r="BE28" s="73">
        <v>0</v>
      </c>
      <c r="BF28" s="78">
        <v>4378</v>
      </c>
      <c r="BG28" s="73">
        <v>0</v>
      </c>
      <c r="BH28" s="78">
        <v>3636</v>
      </c>
      <c r="BI28" s="73">
        <v>0</v>
      </c>
      <c r="BJ28" s="81">
        <v>0</v>
      </c>
      <c r="BK28" s="81">
        <v>10</v>
      </c>
      <c r="BL28" s="78">
        <v>603810</v>
      </c>
      <c r="BM28" s="81">
        <v>50</v>
      </c>
      <c r="BN28" s="88">
        <v>747</v>
      </c>
      <c r="BO28" s="73">
        <v>0</v>
      </c>
      <c r="BP28" s="78">
        <v>783890</v>
      </c>
      <c r="BQ28" s="81">
        <v>20</v>
      </c>
      <c r="BR28" s="92">
        <v>7756</v>
      </c>
      <c r="BS28" s="81">
        <v>12</v>
      </c>
      <c r="BT28" s="91">
        <v>10</v>
      </c>
      <c r="BU28" s="81">
        <v>70</v>
      </c>
      <c r="BV28" s="93">
        <v>0</v>
      </c>
      <c r="BW28" s="78">
        <v>122</v>
      </c>
      <c r="BX28" s="94">
        <v>15128.057958131996</v>
      </c>
      <c r="BY28" s="99"/>
      <c r="BZ28" s="96">
        <v>0</v>
      </c>
      <c r="CA28" s="78">
        <v>206966</v>
      </c>
      <c r="CB28" s="81">
        <v>1</v>
      </c>
      <c r="CC28" s="91">
        <v>5.71</v>
      </c>
      <c r="CD28" s="78">
        <v>54</v>
      </c>
      <c r="CE28" s="100">
        <v>5818.5</v>
      </c>
      <c r="CF28" s="78">
        <v>53</v>
      </c>
      <c r="CG28" s="101">
        <v>5710.75</v>
      </c>
      <c r="CH28" s="78">
        <v>55</v>
      </c>
      <c r="CI28" s="102">
        <v>5926.25</v>
      </c>
      <c r="CJ28" s="103">
        <v>17455.5</v>
      </c>
      <c r="CK28" s="104">
        <v>0</v>
      </c>
      <c r="CL28" s="78"/>
      <c r="CM28" s="78">
        <v>34725.5</v>
      </c>
      <c r="CN28" s="81">
        <v>0.30000000000291038</v>
      </c>
      <c r="CO28" s="91">
        <v>0.7320000000071013</v>
      </c>
      <c r="CP28" s="78">
        <v>34300</v>
      </c>
      <c r="CQ28" s="81">
        <v>0</v>
      </c>
      <c r="CR28" s="91">
        <v>0</v>
      </c>
      <c r="CS28" s="78">
        <v>10235.6</v>
      </c>
      <c r="CT28" s="81">
        <v>0</v>
      </c>
      <c r="CU28" s="91">
        <v>0</v>
      </c>
      <c r="CV28" s="78">
        <v>832280</v>
      </c>
      <c r="CW28" s="81">
        <v>0</v>
      </c>
      <c r="CX28" s="91">
        <v>0</v>
      </c>
      <c r="CY28" s="78">
        <v>6143</v>
      </c>
      <c r="CZ28" s="81">
        <v>0.5</v>
      </c>
      <c r="DA28" s="91">
        <v>1.1950000000000001</v>
      </c>
      <c r="DB28" s="78">
        <v>7420</v>
      </c>
      <c r="DC28" s="81">
        <v>0</v>
      </c>
      <c r="DD28" s="81">
        <v>0</v>
      </c>
      <c r="DE28" s="78">
        <v>4185</v>
      </c>
      <c r="DF28" s="81">
        <v>1.8000000000001819</v>
      </c>
      <c r="DG28" s="81" t="s">
        <v>127</v>
      </c>
      <c r="DH28" s="78">
        <v>1855.9</v>
      </c>
      <c r="DI28" s="81">
        <v>0</v>
      </c>
      <c r="DJ28" s="81">
        <v>0</v>
      </c>
      <c r="DK28" s="78">
        <v>5081.7</v>
      </c>
      <c r="DL28" s="81">
        <v>0</v>
      </c>
      <c r="DM28" s="81">
        <v>0</v>
      </c>
      <c r="DN28" s="78">
        <v>4454.7</v>
      </c>
      <c r="DO28" s="81">
        <v>0</v>
      </c>
      <c r="DP28" s="81">
        <v>0</v>
      </c>
      <c r="DQ28" s="78">
        <v>5089.6000000000004</v>
      </c>
      <c r="DR28" s="81">
        <v>0</v>
      </c>
      <c r="DS28" s="81">
        <v>0</v>
      </c>
      <c r="DT28" s="78">
        <v>5109.1000000000004</v>
      </c>
      <c r="DU28" s="81">
        <v>0</v>
      </c>
      <c r="DV28" s="81">
        <v>0</v>
      </c>
      <c r="DW28" s="78">
        <v>12871</v>
      </c>
      <c r="DX28" s="81">
        <v>0</v>
      </c>
      <c r="DY28" s="98">
        <v>62789</v>
      </c>
      <c r="DZ28" s="91">
        <v>0</v>
      </c>
      <c r="EA28" s="109">
        <v>15588</v>
      </c>
      <c r="EB28" s="91">
        <v>0</v>
      </c>
      <c r="EC28" s="109">
        <v>24679</v>
      </c>
      <c r="ED28" s="91">
        <v>0</v>
      </c>
      <c r="EE28" s="109">
        <v>2</v>
      </c>
      <c r="EF28" s="109">
        <v>6</v>
      </c>
      <c r="EG28" s="108">
        <v>1.4999999999999999E-2</v>
      </c>
      <c r="EH28" s="109"/>
      <c r="EI28" s="110"/>
      <c r="EJ28" s="108"/>
      <c r="EK28"/>
      <c r="EL28"/>
      <c r="EM28"/>
    </row>
    <row r="29" spans="1:144" s="20" customFormat="1" ht="15" x14ac:dyDescent="0.2">
      <c r="A29" s="71">
        <v>44403</v>
      </c>
      <c r="B29" s="78">
        <v>7351148</v>
      </c>
      <c r="C29" s="73">
        <f t="shared" si="56"/>
        <v>6267</v>
      </c>
      <c r="D29" s="78">
        <v>6553139</v>
      </c>
      <c r="E29" s="73">
        <f t="shared" si="57"/>
        <v>5753</v>
      </c>
      <c r="F29" s="22">
        <f t="shared" si="58"/>
        <v>0.91798308600606349</v>
      </c>
      <c r="G29" s="74">
        <v>368</v>
      </c>
      <c r="H29" s="74">
        <v>306</v>
      </c>
      <c r="I29" s="75">
        <v>288064</v>
      </c>
      <c r="J29" s="76">
        <f t="shared" si="59"/>
        <v>0</v>
      </c>
      <c r="K29" s="77">
        <v>776</v>
      </c>
      <c r="L29" s="73">
        <v>0</v>
      </c>
      <c r="M29" s="78">
        <v>633954</v>
      </c>
      <c r="N29" s="73">
        <v>0</v>
      </c>
      <c r="O29" s="78">
        <v>993</v>
      </c>
      <c r="P29" s="76">
        <f t="shared" si="62"/>
        <v>0</v>
      </c>
      <c r="Q29" s="78">
        <v>2558094</v>
      </c>
      <c r="R29" s="76">
        <f t="shared" si="63"/>
        <v>148</v>
      </c>
      <c r="S29" s="78">
        <v>2192491</v>
      </c>
      <c r="T29" s="76">
        <f t="shared" si="63"/>
        <v>2</v>
      </c>
      <c r="U29" s="78">
        <v>117223</v>
      </c>
      <c r="V29" s="76">
        <f t="shared" si="63"/>
        <v>74</v>
      </c>
      <c r="W29" s="86">
        <v>100</v>
      </c>
      <c r="X29" s="86">
        <v>152370</v>
      </c>
      <c r="Y29" s="76">
        <v>0</v>
      </c>
      <c r="Z29" s="77">
        <v>40475</v>
      </c>
      <c r="AA29" s="81">
        <v>9</v>
      </c>
      <c r="AB29" s="78">
        <v>1131</v>
      </c>
      <c r="AC29" s="82">
        <v>0</v>
      </c>
      <c r="AD29" s="78">
        <v>4605</v>
      </c>
      <c r="AE29" s="83">
        <v>0</v>
      </c>
      <c r="AF29" s="19"/>
      <c r="AG29" s="19"/>
      <c r="AH29" s="78">
        <v>583440</v>
      </c>
      <c r="AI29" s="76">
        <v>40</v>
      </c>
      <c r="AJ29" s="19">
        <v>820</v>
      </c>
      <c r="AK29" s="73">
        <v>1</v>
      </c>
      <c r="AL29" s="78">
        <v>52410</v>
      </c>
      <c r="AM29" s="87">
        <v>4</v>
      </c>
      <c r="AN29" s="78">
        <v>8930</v>
      </c>
      <c r="AO29" s="73">
        <v>0</v>
      </c>
      <c r="AP29" s="78">
        <v>10583</v>
      </c>
      <c r="AQ29" s="76">
        <v>0</v>
      </c>
      <c r="AR29" s="78">
        <v>14624</v>
      </c>
      <c r="AS29" s="73">
        <v>0</v>
      </c>
      <c r="AT29" s="78">
        <v>19369</v>
      </c>
      <c r="AU29" s="76">
        <v>0</v>
      </c>
      <c r="AV29" s="78">
        <v>20680</v>
      </c>
      <c r="AW29" s="81">
        <v>0</v>
      </c>
      <c r="AX29" s="78">
        <v>13871</v>
      </c>
      <c r="AY29" s="91">
        <v>0</v>
      </c>
      <c r="AZ29" s="78">
        <v>6225</v>
      </c>
      <c r="BA29" s="73">
        <v>0</v>
      </c>
      <c r="BB29" s="78">
        <v>26578</v>
      </c>
      <c r="BC29" s="73">
        <v>1</v>
      </c>
      <c r="BD29" s="78">
        <v>1115</v>
      </c>
      <c r="BE29" s="73">
        <v>0</v>
      </c>
      <c r="BF29" s="78">
        <v>4378</v>
      </c>
      <c r="BG29" s="73">
        <v>0</v>
      </c>
      <c r="BH29" s="78">
        <v>3636</v>
      </c>
      <c r="BI29" s="73">
        <v>0</v>
      </c>
      <c r="BJ29" s="81">
        <v>0</v>
      </c>
      <c r="BK29" s="81">
        <v>40</v>
      </c>
      <c r="BL29" s="78">
        <v>603845</v>
      </c>
      <c r="BM29" s="81">
        <v>35</v>
      </c>
      <c r="BN29" s="88">
        <v>747</v>
      </c>
      <c r="BO29" s="73">
        <v>0</v>
      </c>
      <c r="BP29" s="78">
        <v>783950</v>
      </c>
      <c r="BQ29" s="81">
        <v>60</v>
      </c>
      <c r="BR29" s="92">
        <v>7771</v>
      </c>
      <c r="BS29" s="81">
        <v>15</v>
      </c>
      <c r="BT29" s="91">
        <v>20</v>
      </c>
      <c r="BU29" s="81">
        <v>95</v>
      </c>
      <c r="BV29" s="93">
        <v>4</v>
      </c>
      <c r="BW29" s="78">
        <v>122</v>
      </c>
      <c r="BX29" s="94">
        <v>15128.057958131996</v>
      </c>
      <c r="BY29" s="99"/>
      <c r="BZ29" s="96">
        <v>0</v>
      </c>
      <c r="CA29" s="78">
        <v>206972</v>
      </c>
      <c r="CB29" s="81">
        <v>6</v>
      </c>
      <c r="CC29" s="91">
        <v>34.26</v>
      </c>
      <c r="CD29" s="78">
        <v>53</v>
      </c>
      <c r="CE29" s="100">
        <v>5710.75</v>
      </c>
      <c r="CF29" s="78">
        <v>52</v>
      </c>
      <c r="CG29" s="101">
        <v>5603</v>
      </c>
      <c r="CH29" s="78">
        <v>55</v>
      </c>
      <c r="CI29" s="102">
        <v>5926.25</v>
      </c>
      <c r="CJ29" s="103">
        <v>17240</v>
      </c>
      <c r="CK29" s="104">
        <v>215.5</v>
      </c>
      <c r="CL29" s="78"/>
      <c r="CM29" s="78">
        <v>34731.300000000003</v>
      </c>
      <c r="CN29" s="81">
        <v>5.8000000000029104</v>
      </c>
      <c r="CO29" s="91">
        <v>14.152000000007101</v>
      </c>
      <c r="CP29" s="78">
        <v>34300</v>
      </c>
      <c r="CQ29" s="81">
        <v>0</v>
      </c>
      <c r="CR29" s="91">
        <v>0</v>
      </c>
      <c r="CS29" s="78">
        <v>10235.6</v>
      </c>
      <c r="CT29" s="81">
        <v>0</v>
      </c>
      <c r="CU29" s="91">
        <v>0</v>
      </c>
      <c r="CV29" s="78">
        <v>832280</v>
      </c>
      <c r="CW29" s="81">
        <v>0</v>
      </c>
      <c r="CX29" s="91">
        <v>0</v>
      </c>
      <c r="CY29" s="78">
        <v>6145.8</v>
      </c>
      <c r="CZ29" s="81">
        <v>2.8000000000001819</v>
      </c>
      <c r="DA29" s="91">
        <v>6.6920000000004354</v>
      </c>
      <c r="DB29" s="78">
        <v>7420</v>
      </c>
      <c r="DC29" s="81">
        <v>0</v>
      </c>
      <c r="DD29" s="81">
        <v>0</v>
      </c>
      <c r="DE29" s="78">
        <v>4190</v>
      </c>
      <c r="DF29" s="81">
        <v>5</v>
      </c>
      <c r="DG29" s="81">
        <v>3.1999999999998181</v>
      </c>
      <c r="DH29" s="78">
        <v>1855.9</v>
      </c>
      <c r="DI29" s="81">
        <v>0</v>
      </c>
      <c r="DJ29" s="81">
        <v>0</v>
      </c>
      <c r="DK29" s="78">
        <v>5081.7</v>
      </c>
      <c r="DL29" s="81">
        <v>0</v>
      </c>
      <c r="DM29" s="81">
        <v>0</v>
      </c>
      <c r="DN29" s="78">
        <v>4454.7</v>
      </c>
      <c r="DO29" s="81">
        <v>0</v>
      </c>
      <c r="DP29" s="81">
        <v>0</v>
      </c>
      <c r="DQ29" s="78">
        <v>5089.6000000000004</v>
      </c>
      <c r="DR29" s="81">
        <v>0</v>
      </c>
      <c r="DS29" s="81">
        <v>0</v>
      </c>
      <c r="DT29" s="78">
        <v>5109.1000000000004</v>
      </c>
      <c r="DU29" s="81">
        <v>0</v>
      </c>
      <c r="DV29" s="81">
        <v>0</v>
      </c>
      <c r="DW29" s="78">
        <v>12871</v>
      </c>
      <c r="DX29" s="81">
        <v>0</v>
      </c>
      <c r="DY29" s="98">
        <v>62789</v>
      </c>
      <c r="DZ29" s="91">
        <v>0</v>
      </c>
      <c r="EA29" s="109">
        <v>15588</v>
      </c>
      <c r="EB29" s="91">
        <v>0</v>
      </c>
      <c r="EC29" s="109">
        <v>24679</v>
      </c>
      <c r="ED29" s="91">
        <v>0</v>
      </c>
      <c r="EE29" s="109">
        <v>2</v>
      </c>
      <c r="EF29" s="109">
        <v>6</v>
      </c>
      <c r="EG29" s="108">
        <v>1.4999999999999999E-2</v>
      </c>
      <c r="EH29" s="109"/>
      <c r="EI29" s="110"/>
      <c r="EJ29" s="108"/>
      <c r="EK29"/>
      <c r="EL29"/>
      <c r="EM29"/>
    </row>
    <row r="30" spans="1:144" s="20" customFormat="1" ht="15" x14ac:dyDescent="0.2">
      <c r="A30" s="71">
        <v>44404</v>
      </c>
      <c r="B30" s="78"/>
      <c r="C30" s="73"/>
      <c r="D30" s="78"/>
      <c r="E30" s="73"/>
      <c r="F30" s="22"/>
      <c r="G30" s="74"/>
      <c r="H30" s="74"/>
      <c r="I30" s="75"/>
      <c r="J30" s="76"/>
      <c r="K30" s="77"/>
      <c r="L30" s="73"/>
      <c r="M30" s="78"/>
      <c r="N30" s="73"/>
      <c r="O30" s="78"/>
      <c r="P30" s="76"/>
      <c r="Q30" s="78"/>
      <c r="R30" s="76"/>
      <c r="S30" s="78"/>
      <c r="T30" s="76"/>
      <c r="U30" s="78"/>
      <c r="V30" s="76"/>
      <c r="W30" s="86"/>
      <c r="X30" s="78"/>
      <c r="Y30" s="76"/>
      <c r="Z30" s="78"/>
      <c r="AA30" s="81"/>
      <c r="AB30" s="78"/>
      <c r="AC30" s="82"/>
      <c r="AD30" s="78"/>
      <c r="AE30" s="83"/>
      <c r="AF30" s="19"/>
      <c r="AG30" s="19"/>
      <c r="AH30" s="78"/>
      <c r="AI30" s="76"/>
      <c r="AJ30" s="90"/>
      <c r="AK30" s="73"/>
      <c r="AL30" s="78"/>
      <c r="AM30" s="87"/>
      <c r="AN30" s="78"/>
      <c r="AO30" s="73"/>
      <c r="AP30" s="78"/>
      <c r="AQ30" s="76"/>
      <c r="AR30" s="78"/>
      <c r="AS30" s="73"/>
      <c r="AT30" s="78"/>
      <c r="AU30" s="76"/>
      <c r="AV30" s="78"/>
      <c r="AW30" s="81"/>
      <c r="AX30" s="78"/>
      <c r="AY30" s="91"/>
      <c r="AZ30" s="78"/>
      <c r="BA30" s="73"/>
      <c r="BB30" s="78"/>
      <c r="BC30" s="73"/>
      <c r="BD30" s="78"/>
      <c r="BE30" s="73"/>
      <c r="BF30" s="78"/>
      <c r="BG30" s="73"/>
      <c r="BH30" s="78"/>
      <c r="BI30" s="73"/>
      <c r="BJ30" s="81"/>
      <c r="BK30" s="81"/>
      <c r="BL30" s="78"/>
      <c r="BM30" s="81"/>
      <c r="BN30" s="92"/>
      <c r="BO30" s="73"/>
      <c r="BP30" s="78"/>
      <c r="BQ30" s="81"/>
      <c r="BR30" s="92"/>
      <c r="BS30" s="81"/>
      <c r="BT30" s="91"/>
      <c r="BU30" s="81"/>
      <c r="BV30" s="93"/>
      <c r="BW30" s="78"/>
      <c r="BX30" s="94"/>
      <c r="BY30" s="99"/>
      <c r="BZ30" s="96"/>
      <c r="CA30" s="80"/>
      <c r="CB30" s="81"/>
      <c r="CC30" s="91"/>
      <c r="CD30" s="74"/>
      <c r="CE30" s="100"/>
      <c r="CF30" s="74"/>
      <c r="CG30" s="101"/>
      <c r="CH30" s="74"/>
      <c r="CI30" s="102"/>
      <c r="CJ30" s="103"/>
      <c r="CK30" s="104"/>
      <c r="CL30" s="78"/>
      <c r="CM30" s="78"/>
      <c r="CN30" s="81"/>
      <c r="CO30" s="91"/>
      <c r="CP30" s="78"/>
      <c r="CQ30" s="81"/>
      <c r="CR30" s="91"/>
      <c r="CS30" s="78"/>
      <c r="CT30" s="81"/>
      <c r="CU30" s="91"/>
      <c r="CV30" s="78"/>
      <c r="CW30" s="81"/>
      <c r="CX30" s="91"/>
      <c r="CY30" s="78"/>
      <c r="CZ30" s="81"/>
      <c r="DA30" s="91"/>
      <c r="DB30" s="78"/>
      <c r="DC30" s="81"/>
      <c r="DD30" s="81"/>
      <c r="DE30" s="78"/>
      <c r="DF30" s="81"/>
      <c r="DG30" s="81"/>
      <c r="DH30" s="78"/>
      <c r="DI30" s="81"/>
      <c r="DJ30" s="81"/>
      <c r="DK30" s="78"/>
      <c r="DL30" s="81"/>
      <c r="DM30" s="81"/>
      <c r="DN30" s="78"/>
      <c r="DO30" s="81"/>
      <c r="DP30" s="81"/>
      <c r="DQ30" s="78"/>
      <c r="DR30" s="81"/>
      <c r="DS30" s="81"/>
      <c r="DT30" s="78"/>
      <c r="DU30" s="81"/>
      <c r="DV30" s="91"/>
      <c r="DW30" s="98"/>
      <c r="DX30" s="91"/>
      <c r="DY30" s="98"/>
      <c r="DZ30" s="91"/>
      <c r="EA30" s="109"/>
      <c r="EB30" s="91"/>
      <c r="EC30" s="109"/>
      <c r="ED30" s="91"/>
      <c r="EE30" s="109"/>
      <c r="EF30" s="110"/>
      <c r="EG30" s="108"/>
      <c r="EH30" s="112"/>
      <c r="EI30" s="58"/>
      <c r="EJ30" s="58"/>
      <c r="EK30"/>
      <c r="EL30"/>
      <c r="EM30"/>
    </row>
    <row r="31" spans="1:144" s="20" customFormat="1" ht="15" x14ac:dyDescent="0.2">
      <c r="A31" s="71">
        <v>44405</v>
      </c>
      <c r="B31" s="78"/>
      <c r="C31" s="73"/>
      <c r="D31" s="78"/>
      <c r="E31" s="73"/>
      <c r="F31" s="22"/>
      <c r="G31" s="74"/>
      <c r="H31" s="74"/>
      <c r="I31" s="75"/>
      <c r="J31" s="76"/>
      <c r="K31" s="77"/>
      <c r="L31" s="73"/>
      <c r="M31" s="78"/>
      <c r="N31" s="73"/>
      <c r="O31" s="78"/>
      <c r="P31" s="76"/>
      <c r="Q31" s="78"/>
      <c r="R31" s="76"/>
      <c r="S31" s="78"/>
      <c r="T31" s="76"/>
      <c r="U31" s="78"/>
      <c r="V31" s="76"/>
      <c r="W31" s="86"/>
      <c r="X31" s="78"/>
      <c r="Y31" s="76"/>
      <c r="Z31" s="78"/>
      <c r="AA31" s="81"/>
      <c r="AB31" s="78"/>
      <c r="AC31" s="82"/>
      <c r="AD31" s="78"/>
      <c r="AE31" s="83"/>
      <c r="AF31" s="19"/>
      <c r="AG31" s="19"/>
      <c r="AH31" s="78"/>
      <c r="AI31" s="76"/>
      <c r="AJ31" s="90"/>
      <c r="AK31" s="73"/>
      <c r="AL31" s="78"/>
      <c r="AM31" s="87"/>
      <c r="AN31" s="78"/>
      <c r="AO31" s="73"/>
      <c r="AP31" s="78"/>
      <c r="AQ31" s="76"/>
      <c r="AR31" s="78"/>
      <c r="AS31" s="73"/>
      <c r="AT31" s="78"/>
      <c r="AU31" s="76"/>
      <c r="AV31" s="78"/>
      <c r="AW31" s="81"/>
      <c r="AX31" s="78"/>
      <c r="AY31" s="91"/>
      <c r="AZ31" s="78"/>
      <c r="BA31" s="73"/>
      <c r="BB31" s="78"/>
      <c r="BC31" s="73"/>
      <c r="BD31" s="78"/>
      <c r="BE31" s="73"/>
      <c r="BF31" s="78"/>
      <c r="BG31" s="73"/>
      <c r="BH31" s="78"/>
      <c r="BI31" s="73"/>
      <c r="BJ31" s="81"/>
      <c r="BK31" s="81"/>
      <c r="BL31" s="78"/>
      <c r="BM31" s="81"/>
      <c r="BN31" s="92"/>
      <c r="BO31" s="73"/>
      <c r="BP31" s="78"/>
      <c r="BQ31" s="81"/>
      <c r="BR31" s="92"/>
      <c r="BS31" s="81"/>
      <c r="BT31" s="91"/>
      <c r="BU31" s="81"/>
      <c r="BV31" s="93"/>
      <c r="BW31" s="78"/>
      <c r="BX31" s="94"/>
      <c r="BY31" s="99"/>
      <c r="BZ31" s="96"/>
      <c r="CA31" s="78"/>
      <c r="CB31" s="81"/>
      <c r="CC31" s="91"/>
      <c r="CD31" s="74"/>
      <c r="CE31" s="100"/>
      <c r="CF31" s="74"/>
      <c r="CG31" s="101"/>
      <c r="CH31" s="74"/>
      <c r="CI31" s="102"/>
      <c r="CJ31" s="103"/>
      <c r="CK31" s="104"/>
      <c r="CL31" s="78"/>
      <c r="CM31" s="78"/>
      <c r="CN31" s="81"/>
      <c r="CO31" s="91"/>
      <c r="CP31" s="78"/>
      <c r="CQ31" s="81"/>
      <c r="CR31" s="91"/>
      <c r="CS31" s="78"/>
      <c r="CT31" s="81"/>
      <c r="CU31" s="91"/>
      <c r="CV31" s="78"/>
      <c r="CW31" s="81"/>
      <c r="CX31" s="91"/>
      <c r="CY31" s="78"/>
      <c r="CZ31" s="81"/>
      <c r="DA31" s="91"/>
      <c r="DB31" s="78"/>
      <c r="DC31" s="81"/>
      <c r="DD31" s="81"/>
      <c r="DE31" s="78"/>
      <c r="DF31" s="81"/>
      <c r="DG31" s="81"/>
      <c r="DH31" s="78"/>
      <c r="DI31" s="81"/>
      <c r="DJ31" s="81"/>
      <c r="DK31" s="78"/>
      <c r="DL31" s="81"/>
      <c r="DM31" s="81"/>
      <c r="DN31" s="78"/>
      <c r="DO31" s="81"/>
      <c r="DP31" s="81"/>
      <c r="DQ31" s="78"/>
      <c r="DR31" s="81"/>
      <c r="DS31" s="81"/>
      <c r="DT31" s="78"/>
      <c r="DU31" s="81"/>
      <c r="DV31" s="91"/>
      <c r="DW31" s="98"/>
      <c r="DX31" s="91"/>
      <c r="DY31" s="98"/>
      <c r="DZ31" s="91"/>
      <c r="EA31" s="109"/>
      <c r="EB31" s="91"/>
      <c r="EC31" s="109"/>
      <c r="ED31" s="91"/>
      <c r="EE31" s="109"/>
      <c r="EF31" s="110"/>
      <c r="EG31" s="108"/>
      <c r="EH31" s="112"/>
      <c r="EI31" s="58"/>
      <c r="EJ31" s="58"/>
      <c r="EK31"/>
      <c r="EL31"/>
      <c r="EM31"/>
    </row>
    <row r="32" spans="1:144" s="20" customFormat="1" ht="15" x14ac:dyDescent="0.2">
      <c r="A32" s="71">
        <v>44406</v>
      </c>
      <c r="B32" s="78"/>
      <c r="C32" s="73"/>
      <c r="D32" s="78"/>
      <c r="E32" s="73"/>
      <c r="F32" s="22"/>
      <c r="G32" s="74"/>
      <c r="H32" s="74"/>
      <c r="I32" s="75"/>
      <c r="J32" s="76"/>
      <c r="K32" s="77"/>
      <c r="L32" s="73"/>
      <c r="M32" s="78"/>
      <c r="N32" s="73"/>
      <c r="O32" s="78"/>
      <c r="P32" s="76"/>
      <c r="Q32" s="78"/>
      <c r="R32" s="76"/>
      <c r="S32" s="78"/>
      <c r="T32" s="76"/>
      <c r="U32" s="78"/>
      <c r="V32" s="76"/>
      <c r="W32" s="86"/>
      <c r="X32" s="78"/>
      <c r="Y32" s="76"/>
      <c r="Z32" s="78"/>
      <c r="AA32" s="81"/>
      <c r="AB32" s="78"/>
      <c r="AC32" s="82"/>
      <c r="AD32" s="78"/>
      <c r="AE32" s="76"/>
      <c r="AF32" s="19"/>
      <c r="AG32" s="19"/>
      <c r="AH32" s="78"/>
      <c r="AI32" s="76"/>
      <c r="AJ32" s="90"/>
      <c r="AK32" s="73"/>
      <c r="AL32" s="78"/>
      <c r="AM32" s="87"/>
      <c r="AN32" s="78"/>
      <c r="AO32" s="73"/>
      <c r="AP32" s="78"/>
      <c r="AQ32" s="76"/>
      <c r="AR32" s="78"/>
      <c r="AS32" s="73"/>
      <c r="AT32" s="78"/>
      <c r="AU32" s="76"/>
      <c r="AV32" s="78"/>
      <c r="AW32" s="81"/>
      <c r="AX32" s="78"/>
      <c r="AY32" s="91"/>
      <c r="AZ32" s="78"/>
      <c r="BA32" s="73"/>
      <c r="BB32" s="78"/>
      <c r="BC32" s="73"/>
      <c r="BD32" s="78"/>
      <c r="BE32" s="73"/>
      <c r="BF32" s="78"/>
      <c r="BG32" s="73"/>
      <c r="BH32" s="78"/>
      <c r="BI32" s="73"/>
      <c r="BJ32" s="81"/>
      <c r="BK32" s="81"/>
      <c r="BL32" s="78"/>
      <c r="BM32" s="81"/>
      <c r="BN32" s="92"/>
      <c r="BO32" s="73"/>
      <c r="BP32" s="78"/>
      <c r="BQ32" s="81"/>
      <c r="BR32" s="92"/>
      <c r="BS32" s="81"/>
      <c r="BT32" s="91"/>
      <c r="BU32" s="81"/>
      <c r="BV32" s="93"/>
      <c r="BW32" s="78"/>
      <c r="BX32" s="94"/>
      <c r="BY32" s="99"/>
      <c r="BZ32" s="96"/>
      <c r="CA32" s="74"/>
      <c r="CB32" s="81"/>
      <c r="CC32" s="91"/>
      <c r="CD32" s="74"/>
      <c r="CE32" s="100"/>
      <c r="CF32" s="74"/>
      <c r="CG32" s="101"/>
      <c r="CH32" s="74"/>
      <c r="CI32" s="102"/>
      <c r="CJ32" s="103"/>
      <c r="CK32" s="104"/>
      <c r="CL32" s="78"/>
      <c r="CM32" s="78"/>
      <c r="CN32" s="81"/>
      <c r="CO32" s="91"/>
      <c r="CP32" s="78"/>
      <c r="CQ32" s="81"/>
      <c r="CR32" s="91"/>
      <c r="CS32" s="78"/>
      <c r="CT32" s="81"/>
      <c r="CU32" s="91"/>
      <c r="CV32" s="78"/>
      <c r="CW32" s="81"/>
      <c r="CX32" s="91"/>
      <c r="CY32" s="78"/>
      <c r="CZ32" s="81"/>
      <c r="DA32" s="91"/>
      <c r="DB32" s="78"/>
      <c r="DC32" s="81"/>
      <c r="DD32" s="81"/>
      <c r="DE32" s="78"/>
      <c r="DF32" s="81"/>
      <c r="DG32" s="81"/>
      <c r="DH32" s="78"/>
      <c r="DI32" s="81"/>
      <c r="DJ32" s="81"/>
      <c r="DK32" s="78"/>
      <c r="DL32" s="81"/>
      <c r="DM32" s="81"/>
      <c r="DN32" s="78"/>
      <c r="DO32" s="81"/>
      <c r="DP32" s="81"/>
      <c r="DQ32" s="78"/>
      <c r="DR32" s="81"/>
      <c r="DS32" s="81"/>
      <c r="DT32" s="78"/>
      <c r="DU32" s="81"/>
      <c r="DV32" s="91"/>
      <c r="DW32" s="98"/>
      <c r="DX32" s="91"/>
      <c r="DY32" s="98"/>
      <c r="DZ32" s="91"/>
      <c r="EA32" s="109"/>
      <c r="EB32" s="91"/>
      <c r="EC32" s="109"/>
      <c r="ED32" s="91"/>
      <c r="EE32" s="109"/>
      <c r="EF32" s="110"/>
      <c r="EG32" s="108"/>
      <c r="EH32" s="112"/>
      <c r="EI32" s="58"/>
      <c r="EJ32" s="58"/>
      <c r="EK32"/>
      <c r="EL32"/>
      <c r="EM32"/>
    </row>
    <row r="33" spans="1:143" s="20" customFormat="1" ht="15" x14ac:dyDescent="0.2">
      <c r="A33" s="71">
        <v>44407</v>
      </c>
      <c r="B33" s="78"/>
      <c r="C33" s="73"/>
      <c r="D33" s="78"/>
      <c r="E33" s="73"/>
      <c r="F33" s="22"/>
      <c r="G33" s="74"/>
      <c r="H33" s="74"/>
      <c r="I33" s="75"/>
      <c r="J33" s="76"/>
      <c r="K33" s="77"/>
      <c r="L33" s="73"/>
      <c r="M33" s="78"/>
      <c r="N33" s="73"/>
      <c r="O33" s="78"/>
      <c r="P33" s="76"/>
      <c r="Q33" s="78"/>
      <c r="R33" s="76"/>
      <c r="S33" s="78"/>
      <c r="T33" s="76"/>
      <c r="U33" s="78"/>
      <c r="V33" s="76"/>
      <c r="W33" s="86"/>
      <c r="X33" s="78"/>
      <c r="Y33" s="76"/>
      <c r="Z33" s="78"/>
      <c r="AA33" s="81"/>
      <c r="AB33" s="78"/>
      <c r="AC33" s="82"/>
      <c r="AD33" s="78"/>
      <c r="AE33" s="76"/>
      <c r="AF33" s="19"/>
      <c r="AG33" s="19"/>
      <c r="AH33" s="78"/>
      <c r="AI33" s="76"/>
      <c r="AJ33" s="90"/>
      <c r="AK33" s="73"/>
      <c r="AL33" s="78"/>
      <c r="AM33" s="87"/>
      <c r="AN33" s="78"/>
      <c r="AO33" s="73"/>
      <c r="AP33" s="78"/>
      <c r="AQ33" s="76"/>
      <c r="AR33" s="78"/>
      <c r="AS33" s="73"/>
      <c r="AT33" s="78"/>
      <c r="AU33" s="76"/>
      <c r="AV33" s="78"/>
      <c r="AW33" s="81"/>
      <c r="AX33" s="78"/>
      <c r="AY33" s="91"/>
      <c r="AZ33" s="78"/>
      <c r="BA33" s="73"/>
      <c r="BB33" s="78"/>
      <c r="BC33" s="73"/>
      <c r="BD33" s="78"/>
      <c r="BE33" s="73"/>
      <c r="BF33" s="78"/>
      <c r="BG33" s="73"/>
      <c r="BH33" s="78"/>
      <c r="BI33" s="73"/>
      <c r="BJ33" s="81"/>
      <c r="BK33" s="81"/>
      <c r="BL33" s="78"/>
      <c r="BM33" s="81"/>
      <c r="BN33" s="92"/>
      <c r="BO33" s="73"/>
      <c r="BP33" s="78"/>
      <c r="BQ33" s="81"/>
      <c r="BR33" s="92"/>
      <c r="BS33" s="81"/>
      <c r="BT33" s="91"/>
      <c r="BU33" s="81"/>
      <c r="BV33" s="93"/>
      <c r="BW33" s="78"/>
      <c r="BX33" s="94"/>
      <c r="BY33" s="99"/>
      <c r="BZ33" s="96"/>
      <c r="CA33" s="74"/>
      <c r="CB33" s="81"/>
      <c r="CC33" s="91"/>
      <c r="CD33" s="74"/>
      <c r="CE33" s="100"/>
      <c r="CF33" s="74"/>
      <c r="CG33" s="101"/>
      <c r="CH33" s="74"/>
      <c r="CI33" s="102"/>
      <c r="CJ33" s="103"/>
      <c r="CK33" s="104"/>
      <c r="CL33" s="78"/>
      <c r="CM33" s="78"/>
      <c r="CN33" s="81"/>
      <c r="CO33" s="91"/>
      <c r="CP33" s="78"/>
      <c r="CQ33" s="81"/>
      <c r="CR33" s="91"/>
      <c r="CS33" s="78"/>
      <c r="CT33" s="81"/>
      <c r="CU33" s="91"/>
      <c r="CV33" s="78"/>
      <c r="CW33" s="81"/>
      <c r="CX33" s="91"/>
      <c r="CY33" s="78"/>
      <c r="CZ33" s="81"/>
      <c r="DA33" s="91"/>
      <c r="DB33" s="78"/>
      <c r="DC33" s="81"/>
      <c r="DD33" s="81"/>
      <c r="DE33" s="78"/>
      <c r="DF33" s="81"/>
      <c r="DG33" s="81"/>
      <c r="DH33" s="78"/>
      <c r="DI33" s="81"/>
      <c r="DJ33" s="81"/>
      <c r="DK33" s="78"/>
      <c r="DL33" s="81"/>
      <c r="DM33" s="81"/>
      <c r="DN33" s="78"/>
      <c r="DO33" s="81"/>
      <c r="DP33" s="81"/>
      <c r="DQ33" s="78"/>
      <c r="DR33" s="81"/>
      <c r="DS33" s="81"/>
      <c r="DT33" s="78"/>
      <c r="DU33" s="81"/>
      <c r="DV33" s="91"/>
      <c r="DW33" s="98"/>
      <c r="DX33" s="91"/>
      <c r="DY33" s="98"/>
      <c r="DZ33" s="91"/>
      <c r="EA33" s="109"/>
      <c r="EB33" s="91"/>
      <c r="EC33" s="109"/>
      <c r="ED33" s="91"/>
      <c r="EE33" s="109"/>
      <c r="EF33" s="110"/>
      <c r="EG33" s="108"/>
      <c r="EH33" s="112"/>
      <c r="EI33" s="58"/>
      <c r="EJ33" s="58"/>
      <c r="EK33"/>
      <c r="EL33"/>
      <c r="EM33"/>
    </row>
    <row r="34" spans="1:143" s="20" customFormat="1" ht="15" x14ac:dyDescent="0.25">
      <c r="A34" s="71">
        <v>44408</v>
      </c>
      <c r="B34" s="59"/>
      <c r="C34" s="60"/>
      <c r="D34" s="59"/>
      <c r="E34" s="60"/>
      <c r="F34" s="61"/>
      <c r="G34" s="65"/>
      <c r="H34" s="67"/>
      <c r="I34" s="65"/>
      <c r="J34" s="62"/>
      <c r="K34" s="59"/>
      <c r="L34" s="60"/>
      <c r="M34" s="59"/>
      <c r="N34" s="60"/>
      <c r="O34" s="63"/>
      <c r="P34" s="62"/>
      <c r="Q34" s="59"/>
      <c r="R34" s="62"/>
      <c r="S34" s="59"/>
      <c r="T34" s="62"/>
      <c r="U34" s="59"/>
      <c r="V34" s="62"/>
      <c r="W34" s="86"/>
      <c r="X34" s="78"/>
      <c r="Y34" s="73"/>
      <c r="Z34" s="78"/>
      <c r="AA34" s="81"/>
      <c r="AB34" s="78"/>
      <c r="AC34" s="82"/>
      <c r="AD34" s="78"/>
      <c r="AE34" s="83"/>
      <c r="AH34" s="72"/>
      <c r="AI34" s="76"/>
      <c r="AJ34" s="111"/>
      <c r="AK34" s="73"/>
      <c r="AL34" s="72"/>
      <c r="AM34" s="87"/>
      <c r="AN34" s="72"/>
      <c r="AO34" s="73"/>
      <c r="AP34" s="72"/>
      <c r="AQ34" s="73"/>
      <c r="AR34" s="78"/>
      <c r="AS34" s="73"/>
      <c r="AT34" s="72"/>
      <c r="AU34" s="73"/>
      <c r="AV34" s="72"/>
      <c r="AW34" s="81"/>
      <c r="AX34" s="72"/>
      <c r="AY34" s="81"/>
      <c r="AZ34" s="72"/>
      <c r="BA34" s="73"/>
      <c r="BB34" s="72"/>
      <c r="BC34" s="73"/>
      <c r="BD34" s="72"/>
      <c r="BE34" s="73"/>
      <c r="BF34" s="72"/>
      <c r="BG34" s="83"/>
      <c r="BH34" s="72"/>
      <c r="BI34" s="73"/>
      <c r="BJ34" s="81"/>
      <c r="BK34" s="81"/>
      <c r="BL34" s="78"/>
      <c r="BM34" s="81"/>
      <c r="BN34" s="92"/>
      <c r="BO34" s="73"/>
      <c r="BP34" s="78"/>
      <c r="BQ34" s="81"/>
      <c r="BR34" s="92"/>
      <c r="BS34" s="81"/>
      <c r="BT34" s="91"/>
      <c r="BU34" s="81"/>
      <c r="BV34" s="93"/>
      <c r="BW34" s="72"/>
      <c r="BX34" s="94"/>
      <c r="BY34" s="95"/>
      <c r="BZ34" s="96"/>
      <c r="CA34" s="97"/>
      <c r="CB34" s="81"/>
      <c r="CC34" s="91"/>
      <c r="CD34" s="97"/>
      <c r="CE34" s="100"/>
      <c r="CF34" s="97"/>
      <c r="CG34" s="101"/>
      <c r="CH34" s="97"/>
      <c r="CI34" s="102"/>
      <c r="CJ34" s="103"/>
      <c r="CK34" s="104"/>
      <c r="CL34" s="105"/>
      <c r="CM34" s="72"/>
      <c r="CN34" s="81"/>
      <c r="CO34" s="91"/>
      <c r="CP34" s="72"/>
      <c r="CQ34" s="81"/>
      <c r="CR34" s="91"/>
      <c r="CS34" s="78"/>
      <c r="CT34" s="81"/>
      <c r="CU34" s="91"/>
      <c r="CV34" s="78"/>
      <c r="CW34" s="81"/>
      <c r="CX34" s="91"/>
      <c r="CY34" s="72"/>
      <c r="CZ34" s="81"/>
      <c r="DA34" s="91"/>
      <c r="DB34" s="72"/>
      <c r="DC34" s="81"/>
      <c r="DD34" s="81"/>
      <c r="DE34" s="78"/>
      <c r="DF34" s="81"/>
      <c r="DG34" s="81"/>
      <c r="DH34" s="72"/>
      <c r="DI34" s="81"/>
      <c r="DJ34" s="81"/>
      <c r="DK34" s="72"/>
      <c r="DL34" s="81"/>
      <c r="DM34" s="81"/>
      <c r="DN34" s="72"/>
      <c r="DO34" s="81"/>
      <c r="DP34" s="81"/>
      <c r="DQ34" s="72"/>
      <c r="DR34" s="81"/>
      <c r="DS34" s="81"/>
      <c r="DT34" s="72"/>
      <c r="DU34" s="81"/>
      <c r="DV34" s="91"/>
      <c r="DW34" s="95"/>
      <c r="DX34" s="91"/>
      <c r="DY34" s="95"/>
      <c r="DZ34" s="107"/>
      <c r="EA34" s="72"/>
      <c r="EB34" s="91"/>
      <c r="EC34" s="72"/>
      <c r="ED34" s="107"/>
      <c r="EE34" s="72"/>
      <c r="EF34" s="72"/>
      <c r="EG34" s="108"/>
      <c r="EH34" s="58"/>
      <c r="EI34" s="58"/>
      <c r="EJ34" s="58"/>
      <c r="EK34"/>
      <c r="EL34"/>
      <c r="EM34"/>
    </row>
    <row r="35" spans="1:143" ht="15" x14ac:dyDescent="0.25">
      <c r="A35" s="64"/>
      <c r="B35" s="64"/>
      <c r="C35" s="66">
        <f>SUM(C4:C34)</f>
        <v>150107</v>
      </c>
      <c r="D35" s="64"/>
      <c r="E35" s="66">
        <f>SUM(E4:E34)</f>
        <v>136386</v>
      </c>
      <c r="F35" s="64"/>
      <c r="G35" s="64"/>
      <c r="H35" s="66">
        <v>363.06666669999998</v>
      </c>
      <c r="I35" s="64"/>
      <c r="J35" s="64"/>
      <c r="K35" s="64"/>
      <c r="L35" s="64"/>
      <c r="M35" s="64"/>
      <c r="N35" s="64"/>
      <c r="O35" s="64"/>
      <c r="P35" s="64"/>
      <c r="Q35" s="64"/>
      <c r="R35" s="66">
        <f>SUM(R4:R34)</f>
        <v>3125</v>
      </c>
      <c r="S35" s="64"/>
      <c r="T35" s="66">
        <f>SUM(T4:T34)</f>
        <v>412</v>
      </c>
      <c r="U35" s="64"/>
      <c r="V35" s="66">
        <f>SUM(V4:V34)</f>
        <v>2043</v>
      </c>
      <c r="W35" s="64"/>
      <c r="X35" s="64"/>
      <c r="Y35" s="66">
        <f>SUM(Y4:Y34)</f>
        <v>0</v>
      </c>
      <c r="AA35" s="64"/>
      <c r="AB35" s="64"/>
      <c r="AC35" s="66">
        <f>SUM(AC4:AC34)</f>
        <v>3</v>
      </c>
      <c r="AE35" s="64"/>
      <c r="AF35" s="64"/>
      <c r="AG35" s="64"/>
      <c r="AH35" s="64"/>
      <c r="AI35" s="66">
        <f>SUM(AI4:AI34)</f>
        <v>780</v>
      </c>
      <c r="AK35" s="66">
        <f t="shared" ref="AK35" si="133">SUM(AK4:AK34)</f>
        <v>99</v>
      </c>
      <c r="AM35" s="66">
        <f t="shared" ref="AM35" si="134">SUM(AM4:AM34)</f>
        <v>86</v>
      </c>
      <c r="AO35" s="66">
        <f t="shared" ref="AO35" si="135">SUM(AO4:AO34)</f>
        <v>2</v>
      </c>
      <c r="AQ35" s="66">
        <f t="shared" ref="AQ35" si="136">SUM(AQ4:AQ34)</f>
        <v>4</v>
      </c>
      <c r="AS35" s="66">
        <f t="shared" ref="AS35" si="137">SUM(AS4:AS34)</f>
        <v>17</v>
      </c>
      <c r="AU35" s="66">
        <f t="shared" ref="AU35" si="138">SUM(AU4:AU34)</f>
        <v>0</v>
      </c>
      <c r="AW35" s="66">
        <f t="shared" ref="AW35" si="139">SUM(AW4:AW34)</f>
        <v>3</v>
      </c>
      <c r="AY35" s="66">
        <f t="shared" ref="AY35" si="140">SUM(AY4:AY34)</f>
        <v>0</v>
      </c>
      <c r="BA35" s="66">
        <f t="shared" ref="BA35" si="141">SUM(BA4:BA34)</f>
        <v>0</v>
      </c>
      <c r="BC35" s="66">
        <f t="shared" ref="BC35" si="142">SUM(BC4:BC34)</f>
        <v>36</v>
      </c>
      <c r="BE35" s="66">
        <f t="shared" ref="BE35" si="143">SUM(BE4:BE34)</f>
        <v>0</v>
      </c>
      <c r="BG35" s="66">
        <f t="shared" ref="BG35" si="144">SUM(BG4:BG34)</f>
        <v>0</v>
      </c>
      <c r="BI35" s="66">
        <f t="shared" ref="BI35" si="145">SUM(BI4:BI34)</f>
        <v>0</v>
      </c>
      <c r="BJ35" s="66">
        <v>934</v>
      </c>
      <c r="BK35" s="64"/>
      <c r="BL35" s="64"/>
      <c r="BM35" s="66">
        <f t="shared" ref="BM35" si="146">SUM(BM4:BM34)</f>
        <v>865</v>
      </c>
      <c r="BN35" s="64"/>
      <c r="BO35" s="66">
        <f t="shared" ref="BO35" si="147">SUM(BO4:BO34)</f>
        <v>0</v>
      </c>
      <c r="BP35" s="64"/>
      <c r="BQ35" s="66">
        <f t="shared" ref="BQ35" si="148">SUM(BQ4:BQ34)</f>
        <v>1460</v>
      </c>
      <c r="BS35" s="66">
        <f t="shared" ref="BS35" si="149">SUM(BS4:BS34)</f>
        <v>274</v>
      </c>
      <c r="BT35" s="66">
        <f t="shared" ref="BT35" si="150">SUM(BT4:BT34)</f>
        <v>680</v>
      </c>
      <c r="BU35" s="66">
        <f t="shared" ref="BU35" si="151">SUM(BU4:BU34)</f>
        <v>2325</v>
      </c>
      <c r="BV35" s="66">
        <f t="shared" ref="BV35" si="152">SUM(BV4:BV34)</f>
        <v>112</v>
      </c>
      <c r="BW35" s="14"/>
      <c r="BX35" s="64"/>
      <c r="BY35" s="64"/>
      <c r="BZ35" s="66">
        <f t="shared" ref="BZ35" si="153">SUM(BZ4:BZ34)</f>
        <v>0</v>
      </c>
      <c r="CB35" s="66">
        <f t="shared" ref="CB35:CC35" si="154">SUM(CB4:CB34)</f>
        <v>235.70000000001164</v>
      </c>
      <c r="CC35" s="66">
        <f t="shared" si="154"/>
        <v>1345.8470000000666</v>
      </c>
      <c r="CK35" s="66">
        <f t="shared" ref="CK35" si="155">SUM(CK4:CK34)</f>
        <v>2047.25</v>
      </c>
      <c r="CL35" s="64"/>
      <c r="CN35" s="66">
        <f t="shared" ref="CN35:CO35" si="156">SUM(CN4:CN34)</f>
        <v>91.600000000005821</v>
      </c>
      <c r="CO35" s="66">
        <f t="shared" si="156"/>
        <v>223.50400000001417</v>
      </c>
      <c r="CQ35" s="66">
        <f t="shared" ref="CQ35" si="157">SUM(CQ4:CQ34)</f>
        <v>0</v>
      </c>
      <c r="CR35" s="66">
        <f t="shared" ref="CR35" si="158">SUM(CR4:CR34)</f>
        <v>0</v>
      </c>
      <c r="CT35" s="66">
        <f t="shared" ref="CT35" si="159">SUM(CT4:CT34)</f>
        <v>130</v>
      </c>
      <c r="CU35" s="66">
        <f t="shared" ref="CU35" si="160">SUM(CU4:CU34)</f>
        <v>317.2</v>
      </c>
      <c r="CW35" s="66">
        <f t="shared" ref="CW35" si="161">SUM(CW4:CW34)</f>
        <v>107.5</v>
      </c>
      <c r="CX35" s="66">
        <f t="shared" ref="CX35" si="162">SUM(CX4:CX34)</f>
        <v>262.3</v>
      </c>
      <c r="CZ35" s="66">
        <f t="shared" ref="CZ35" si="163">SUM(CZ4:CZ34)</f>
        <v>61.5</v>
      </c>
      <c r="DA35" s="66">
        <f t="shared" ref="DA35" si="164">SUM(DA4:DA34)</f>
        <v>146.98499999999999</v>
      </c>
      <c r="DC35" s="66">
        <f t="shared" ref="DC35" si="165">SUM(DC4:DC34)</f>
        <v>0</v>
      </c>
      <c r="DD35" s="66">
        <f t="shared" ref="DD35" si="166">SUM(DD4:DD34)</f>
        <v>0</v>
      </c>
      <c r="DF35" s="66">
        <f t="shared" ref="DF35" si="167">SUM(DF4:DF34)</f>
        <v>123</v>
      </c>
      <c r="DG35" s="66">
        <f t="shared" ref="DG35" si="168">SUM(DG4:DG34)</f>
        <v>64.300000000001091</v>
      </c>
      <c r="DI35" s="66">
        <f t="shared" ref="DI35" si="169">SUM(DI4:DI34)</f>
        <v>0</v>
      </c>
      <c r="DJ35" s="66">
        <f t="shared" ref="DJ35" si="170">SUM(DJ4:DJ34)</f>
        <v>0</v>
      </c>
      <c r="DL35" s="66">
        <f t="shared" ref="DL35" si="171">SUM(DL4:DL34)</f>
        <v>0</v>
      </c>
      <c r="DM35" s="66">
        <f t="shared" ref="DM35" si="172">SUM(DM4:DM34)</f>
        <v>0</v>
      </c>
      <c r="DO35" s="66">
        <f t="shared" ref="DO35" si="173">SUM(DO4:DO34)</f>
        <v>0</v>
      </c>
      <c r="DP35" s="66">
        <f t="shared" ref="DP35" si="174">SUM(DP4:DP34)</f>
        <v>0</v>
      </c>
      <c r="DR35" s="66">
        <f t="shared" ref="DR35" si="175">SUM(DR4:DR34)</f>
        <v>0</v>
      </c>
      <c r="DS35" s="66">
        <f t="shared" ref="DS35" si="176">SUM(DS4:DS34)</f>
        <v>0</v>
      </c>
      <c r="DU35" s="66">
        <f t="shared" ref="DU35" si="177">SUM(DU4:DU34)</f>
        <v>0</v>
      </c>
      <c r="DV35" s="66">
        <f t="shared" ref="DV35:DX35" si="178">SUM(DV4:DV34)</f>
        <v>0</v>
      </c>
      <c r="DW35" s="14"/>
      <c r="DX35" s="66">
        <f t="shared" si="178"/>
        <v>0</v>
      </c>
      <c r="DY35" s="14"/>
      <c r="DZ35" s="66">
        <f t="shared" ref="DZ35" si="179">SUM(DZ4:DZ34)</f>
        <v>0</v>
      </c>
      <c r="EA35" s="14"/>
      <c r="EB35" s="66">
        <f t="shared" ref="EB35" si="180">SUM(EB4:EB34)</f>
        <v>0</v>
      </c>
      <c r="EC35" s="14"/>
      <c r="ED35" s="66">
        <f t="shared" ref="ED35" si="181">SUM(ED4:ED34)</f>
        <v>0</v>
      </c>
      <c r="EE35" s="66">
        <f t="shared" ref="EE35" si="182">SUM(EE4:EE34)</f>
        <v>52</v>
      </c>
      <c r="EF35" s="66">
        <f t="shared" ref="EF35" si="183">SUM(EF4:EF34)</f>
        <v>156</v>
      </c>
      <c r="EG35" s="58"/>
      <c r="EH35" s="58"/>
      <c r="EI35" s="58"/>
      <c r="EJ35" s="58"/>
      <c r="EK35"/>
      <c r="EL35"/>
      <c r="EM35"/>
    </row>
    <row r="36" spans="1:143" ht="15" x14ac:dyDescent="0.25">
      <c r="S36" s="14"/>
      <c r="T36" s="13"/>
      <c r="BW36" s="14"/>
      <c r="BX36" s="14"/>
      <c r="BY36" s="14"/>
      <c r="BZ36" s="14"/>
      <c r="DW36" s="14"/>
      <c r="DX36" s="14"/>
      <c r="DY36" s="14"/>
      <c r="DZ36" s="14"/>
      <c r="EM36"/>
    </row>
    <row r="37" spans="1:143" x14ac:dyDescent="0.2">
      <c r="A37" s="21"/>
      <c r="D37" s="8"/>
    </row>
    <row r="38" spans="1:143" x14ac:dyDescent="0.2">
      <c r="A38" s="21"/>
      <c r="D38" s="8"/>
    </row>
    <row r="39" spans="1:143" x14ac:dyDescent="0.2">
      <c r="A39" s="21"/>
      <c r="D39" s="8"/>
    </row>
    <row r="40" spans="1:143" x14ac:dyDescent="0.2">
      <c r="A40" s="21"/>
      <c r="D40" s="8"/>
    </row>
    <row r="41" spans="1:143" x14ac:dyDescent="0.2">
      <c r="A41" s="21"/>
      <c r="D41" s="8"/>
    </row>
    <row r="42" spans="1:143" x14ac:dyDescent="0.2">
      <c r="A42" s="21"/>
      <c r="D42" s="8"/>
    </row>
    <row r="43" spans="1:143" x14ac:dyDescent="0.2">
      <c r="A43" s="21"/>
      <c r="D43" s="8"/>
    </row>
    <row r="44" spans="1:143" x14ac:dyDescent="0.2">
      <c r="A44" s="21"/>
      <c r="D44" s="8"/>
    </row>
    <row r="45" spans="1:143" ht="39.75" customHeight="1" x14ac:dyDescent="0.2">
      <c r="A45" s="21"/>
      <c r="D45" s="8"/>
    </row>
    <row r="46" spans="1:143" x14ac:dyDescent="0.2">
      <c r="A46" s="21"/>
      <c r="D46" s="8"/>
    </row>
    <row r="47" spans="1:143" x14ac:dyDescent="0.2">
      <c r="A47" s="21"/>
      <c r="D47" s="8"/>
    </row>
    <row r="48" spans="1:143" x14ac:dyDescent="0.2">
      <c r="A48" s="21"/>
      <c r="D48" s="8"/>
    </row>
    <row r="49" spans="1:4" x14ac:dyDescent="0.2">
      <c r="A49" s="21"/>
      <c r="D49" s="8"/>
    </row>
    <row r="50" spans="1:4" x14ac:dyDescent="0.2">
      <c r="A50" s="21"/>
      <c r="D50" s="8"/>
    </row>
    <row r="51" spans="1:4" x14ac:dyDescent="0.2">
      <c r="A51" s="21"/>
      <c r="D51" s="8"/>
    </row>
    <row r="52" spans="1:4" x14ac:dyDescent="0.2">
      <c r="A52" s="21"/>
    </row>
    <row r="53" spans="1:4" x14ac:dyDescent="0.2">
      <c r="A53" s="21"/>
    </row>
    <row r="54" spans="1:4" x14ac:dyDescent="0.2">
      <c r="A54" s="21"/>
    </row>
    <row r="55" spans="1:4" x14ac:dyDescent="0.2">
      <c r="A55" s="21"/>
    </row>
  </sheetData>
  <sheetProtection selectLockedCells="1" selectUnlockedCells="1"/>
  <mergeCells count="29">
    <mergeCell ref="DT1:DV1"/>
    <mergeCell ref="EH1:EJ1"/>
    <mergeCell ref="DE1:DG1"/>
    <mergeCell ref="DH1:DJ1"/>
    <mergeCell ref="DK1:DM1"/>
    <mergeCell ref="DN1:DP1"/>
    <mergeCell ref="DQ1:D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</mergeCells>
  <conditionalFormatting sqref="A36:H36 BP36:BQ36 K36:L36 AL36:BM36 BT36 A46:JK65515 P1:Y1 A2:Y2 O36:AI36 A45:ED45 A37:EC44 EN35:JK36 AD35 BW35 CA35 BW36:EC36 CD35:CJ35 CM35 CP35 CS35 CV35 CY35 DB35 DE35 DH35 DK35 DN35 DQ35 DT35 DW35 DY35 EA35 EC35 EH38:JK45 EI37:JK37 ED36:EG44">
    <cfRule type="cellIs" dxfId="1051" priority="8997" operator="lessThan">
      <formula>0</formula>
    </cfRule>
  </conditionalFormatting>
  <conditionalFormatting sqref="I36:J36">
    <cfRule type="cellIs" dxfId="1050" priority="5230" operator="lessThan">
      <formula>0</formula>
    </cfRule>
  </conditionalFormatting>
  <conditionalFormatting sqref="M36:N36">
    <cfRule type="cellIs" dxfId="1049" priority="5223" operator="lessThan">
      <formula>0</formula>
    </cfRule>
  </conditionalFormatting>
  <conditionalFormatting sqref="AJ36:AK36 AJ35 AL35 AN35 AP35 AR35 AT35 AV35 AX35 AZ35 BB35 BD35 BF35 BH35">
    <cfRule type="cellIs" dxfId="1048" priority="5216" operator="lessThan">
      <formula>0</formula>
    </cfRule>
  </conditionalFormatting>
  <conditionalFormatting sqref="BN36:BO36">
    <cfRule type="cellIs" dxfId="1047" priority="5206" operator="lessThan">
      <formula>0</formula>
    </cfRule>
  </conditionalFormatting>
  <conditionalFormatting sqref="BR36:BS36 BR35">
    <cfRule type="cellIs" dxfId="1046" priority="5197" operator="lessThan">
      <formula>0</formula>
    </cfRule>
  </conditionalFormatting>
  <conditionalFormatting sqref="BU36:BV36">
    <cfRule type="cellIs" dxfId="1045" priority="5186" operator="lessThan">
      <formula>0</formula>
    </cfRule>
  </conditionalFormatting>
  <conditionalFormatting sqref="EH36:EL36">
    <cfRule type="cellIs" dxfId="1044" priority="5175" operator="lessThan">
      <formula>0</formula>
    </cfRule>
  </conditionalFormatting>
  <conditionalFormatting sqref="A1:H1 L1 AL1:BN1 BP1:BQ1 AB1:AJ1 BT1:XFD1">
    <cfRule type="cellIs" dxfId="1043" priority="5115" operator="lessThan">
      <formula>0</formula>
    </cfRule>
  </conditionalFormatting>
  <conditionalFormatting sqref="BR1">
    <cfRule type="cellIs" dxfId="1042" priority="5114" operator="lessThan">
      <formula>0</formula>
    </cfRule>
  </conditionalFormatting>
  <conditionalFormatting sqref="Z1:AA1">
    <cfRule type="cellIs" dxfId="1041" priority="5113" operator="lessThan">
      <formula>0</formula>
    </cfRule>
  </conditionalFormatting>
  <conditionalFormatting sqref="AB2:XFD2 EK18:EN18 EK4:EM15 EK17:EM17">
    <cfRule type="cellIs" dxfId="1040" priority="5109" operator="lessThan">
      <formula>0</formula>
    </cfRule>
  </conditionalFormatting>
  <conditionalFormatting sqref="Z2:AA2">
    <cfRule type="cellIs" dxfId="1039" priority="5052" operator="lessThan">
      <formula>0</formula>
    </cfRule>
  </conditionalFormatting>
  <conditionalFormatting sqref="EN4:XFD15 EN19:XFD19 EO18:XFD18 EN17:XFD17 EQ16:XFD16">
    <cfRule type="cellIs" dxfId="1038" priority="4056" operator="lessThan">
      <formula>0</formula>
    </cfRule>
  </conditionalFormatting>
  <conditionalFormatting sqref="EK20:EM35 EM36">
    <cfRule type="cellIs" dxfId="1037" priority="2713" operator="lessThan">
      <formula>0</formula>
    </cfRule>
  </conditionalFormatting>
  <conditionalFormatting sqref="EN20:XFD32">
    <cfRule type="cellIs" dxfId="1036" priority="2712" operator="lessThan">
      <formula>0</formula>
    </cfRule>
  </conditionalFormatting>
  <conditionalFormatting sqref="EN33:XFD34">
    <cfRule type="cellIs" dxfId="1035" priority="2632" operator="lessThan">
      <formula>0</formula>
    </cfRule>
  </conditionalFormatting>
  <conditionalFormatting sqref="U19">
    <cfRule type="cellIs" dxfId="1034" priority="1688" operator="lessThan">
      <formula>0</formula>
    </cfRule>
  </conditionalFormatting>
  <conditionalFormatting sqref="DV34">
    <cfRule type="cellIs" dxfId="1033" priority="1438" operator="lessThan">
      <formula>0</formula>
    </cfRule>
  </conditionalFormatting>
  <conditionalFormatting sqref="DG34">
    <cfRule type="cellIs" dxfId="1032" priority="1437" operator="lessThan">
      <formula>0</formula>
    </cfRule>
  </conditionalFormatting>
  <conditionalFormatting sqref="DJ34">
    <cfRule type="cellIs" dxfId="1031" priority="1436" operator="lessThan">
      <formula>0</formula>
    </cfRule>
  </conditionalFormatting>
  <conditionalFormatting sqref="DM34">
    <cfRule type="cellIs" dxfId="1030" priority="1435" operator="lessThan">
      <formula>0</formula>
    </cfRule>
  </conditionalFormatting>
  <conditionalFormatting sqref="DP34">
    <cfRule type="cellIs" dxfId="1029" priority="1434" operator="lessThan">
      <formula>0</formula>
    </cfRule>
  </conditionalFormatting>
  <conditionalFormatting sqref="DW34">
    <cfRule type="cellIs" dxfId="1028" priority="1448" operator="lessThan">
      <formula>0</formula>
    </cfRule>
  </conditionalFormatting>
  <conditionalFormatting sqref="DY34">
    <cfRule type="cellIs" dxfId="1027" priority="1447" operator="lessThan">
      <formula>0</formula>
    </cfRule>
  </conditionalFormatting>
  <conditionalFormatting sqref="ED34">
    <cfRule type="cellIs" dxfId="1026" priority="1431" operator="lessThan">
      <formula>0</formula>
    </cfRule>
  </conditionalFormatting>
  <conditionalFormatting sqref="BQ34">
    <cfRule type="cellIs" dxfId="1025" priority="1430" operator="lessThan">
      <formula>0</formula>
    </cfRule>
  </conditionalFormatting>
  <conditionalFormatting sqref="BT34:BV34">
    <cfRule type="cellIs" dxfId="1024" priority="1429" operator="lessThan">
      <formula>0</formula>
    </cfRule>
  </conditionalFormatting>
  <conditionalFormatting sqref="BS34">
    <cfRule type="cellIs" dxfId="1023" priority="1428" operator="lessThan">
      <formula>0</formula>
    </cfRule>
  </conditionalFormatting>
  <conditionalFormatting sqref="BX34">
    <cfRule type="cellIs" dxfId="1022" priority="1427" operator="lessThan">
      <formula>0</formula>
    </cfRule>
  </conditionalFormatting>
  <conditionalFormatting sqref="BZ34">
    <cfRule type="cellIs" dxfId="1021" priority="1426" operator="lessThan">
      <formula>0</formula>
    </cfRule>
  </conditionalFormatting>
  <conditionalFormatting sqref="CC34">
    <cfRule type="cellIs" dxfId="1020" priority="1424" operator="lessThan">
      <formula>0</formula>
    </cfRule>
  </conditionalFormatting>
  <conditionalFormatting sqref="CG34">
    <cfRule type="cellIs" dxfId="1019" priority="1423" operator="lessThan">
      <formula>0</formula>
    </cfRule>
  </conditionalFormatting>
  <conditionalFormatting sqref="W34">
    <cfRule type="cellIs" dxfId="1018" priority="1454" operator="lessThan">
      <formula>0</formula>
    </cfRule>
  </conditionalFormatting>
  <conditionalFormatting sqref="DX34 CD34 AN34 DE34 CV34 CS34 BN34 BR34 BP34 BY34 AL34 BW34 CF34 CH34 CA34 CL34:CM34 Z34 DT34 DQ34 DN34 DH34 CP34 AF34:AH34 CY34 DK34 DB34 AT34 AB34 AD34 AJ34 AP34 AV34 AX34 AZ34 BB34 BD34 BF34:BH34 BJ34:BK34">
    <cfRule type="cellIs" dxfId="1017" priority="1453" operator="lessThan">
      <formula>0</formula>
    </cfRule>
  </conditionalFormatting>
  <conditionalFormatting sqref="EE34:EG34">
    <cfRule type="cellIs" dxfId="1016" priority="1451" operator="lessThan">
      <formula>0</formula>
    </cfRule>
  </conditionalFormatting>
  <conditionalFormatting sqref="X34">
    <cfRule type="cellIs" dxfId="1015" priority="1450" operator="lessThan">
      <formula>0</formula>
    </cfRule>
  </conditionalFormatting>
  <conditionalFormatting sqref="DZ34">
    <cfRule type="cellIs" dxfId="1014" priority="1449" operator="lessThan">
      <formula>0</formula>
    </cfRule>
  </conditionalFormatting>
  <conditionalFormatting sqref="EA34">
    <cfRule type="cellIs" dxfId="1013" priority="1446" operator="lessThan">
      <formula>0</formula>
    </cfRule>
  </conditionalFormatting>
  <conditionalFormatting sqref="EA34">
    <cfRule type="cellIs" dxfId="1012" priority="1445" operator="lessThan">
      <formula>0</formula>
    </cfRule>
  </conditionalFormatting>
  <conditionalFormatting sqref="EC34">
    <cfRule type="cellIs" dxfId="1011" priority="1443" operator="lessThan">
      <formula>0</formula>
    </cfRule>
  </conditionalFormatting>
  <conditionalFormatting sqref="EC34">
    <cfRule type="cellIs" dxfId="1010" priority="1444" operator="lessThan">
      <formula>0</formula>
    </cfRule>
  </conditionalFormatting>
  <conditionalFormatting sqref="BL34">
    <cfRule type="cellIs" dxfId="1009" priority="1441" operator="lessThan">
      <formula>0</formula>
    </cfRule>
  </conditionalFormatting>
  <conditionalFormatting sqref="DF34 DU34 DR34 DO34 CE34 CW34:CX34 CZ34 CT34:CU34 CN34:CO34 CJ34:CK34 DC34:DD34 DI34 DL34 CQ34:CR34">
    <cfRule type="cellIs" dxfId="1008" priority="1440" operator="lessThan">
      <formula>0</formula>
    </cfRule>
  </conditionalFormatting>
  <conditionalFormatting sqref="DA34">
    <cfRule type="cellIs" dxfId="1007" priority="1439" operator="lessThan">
      <formula>0</formula>
    </cfRule>
  </conditionalFormatting>
  <conditionalFormatting sqref="DS34">
    <cfRule type="cellIs" dxfId="1006" priority="1433" operator="lessThan">
      <formula>0</formula>
    </cfRule>
  </conditionalFormatting>
  <conditionalFormatting sqref="EB34">
    <cfRule type="cellIs" dxfId="1005" priority="1432" operator="lessThan">
      <formula>0</formula>
    </cfRule>
  </conditionalFormatting>
  <conditionalFormatting sqref="CB34">
    <cfRule type="cellIs" dxfId="1004" priority="1425" operator="lessThan">
      <formula>0</formula>
    </cfRule>
  </conditionalFormatting>
  <conditionalFormatting sqref="CI34">
    <cfRule type="cellIs" dxfId="1003" priority="1422" operator="lessThan">
      <formula>0</formula>
    </cfRule>
  </conditionalFormatting>
  <conditionalFormatting sqref="AR34">
    <cfRule type="cellIs" dxfId="1002" priority="1421" operator="lessThan">
      <formula>0</formula>
    </cfRule>
  </conditionalFormatting>
  <conditionalFormatting sqref="Y34 AA34 AC34 AI34 AO34 AQ34 AS34 AU34 AW34 AY34 BA34 BC34 BE34 BI34">
    <cfRule type="cellIs" dxfId="1001" priority="1347" operator="lessThan">
      <formula>0</formula>
    </cfRule>
  </conditionalFormatting>
  <conditionalFormatting sqref="AK34">
    <cfRule type="cellIs" dxfId="1000" priority="1334" operator="lessThan">
      <formula>0</formula>
    </cfRule>
  </conditionalFormatting>
  <conditionalFormatting sqref="AE34 AM34 BM34">
    <cfRule type="cellIs" dxfId="999" priority="1327" operator="lessThan">
      <formula>0</formula>
    </cfRule>
  </conditionalFormatting>
  <conditionalFormatting sqref="BO34">
    <cfRule type="cellIs" dxfId="998" priority="1322" operator="lessThan">
      <formula>0</formula>
    </cfRule>
  </conditionalFormatting>
  <conditionalFormatting sqref="EH8:EH10">
    <cfRule type="cellIs" dxfId="997" priority="1225" operator="lessThan">
      <formula>0</formula>
    </cfRule>
  </conditionalFormatting>
  <conditionalFormatting sqref="U11:U15 G11:H15 B11:B15 D11:D15 R11:R15 O11">
    <cfRule type="cellIs" dxfId="996" priority="1177" operator="lessThan">
      <formula>0</formula>
    </cfRule>
  </conditionalFormatting>
  <conditionalFormatting sqref="I15">
    <cfRule type="cellIs" dxfId="995" priority="1174" operator="lessThan">
      <formula>0</formula>
    </cfRule>
  </conditionalFormatting>
  <conditionalFormatting sqref="S15">
    <cfRule type="cellIs" dxfId="994" priority="1173" operator="lessThan">
      <formula>0</formula>
    </cfRule>
  </conditionalFormatting>
  <conditionalFormatting sqref="S11:S14">
    <cfRule type="cellIs" dxfId="993" priority="1172" operator="lessThan">
      <formula>0</formula>
    </cfRule>
  </conditionalFormatting>
  <conditionalFormatting sqref="K15">
    <cfRule type="cellIs" dxfId="992" priority="1171" operator="lessThan">
      <formula>0</formula>
    </cfRule>
  </conditionalFormatting>
  <conditionalFormatting sqref="O15">
    <cfRule type="cellIs" dxfId="991" priority="1170" operator="lessThan">
      <formula>0</formula>
    </cfRule>
  </conditionalFormatting>
  <conditionalFormatting sqref="Q11:Q15">
    <cfRule type="cellIs" dxfId="990" priority="1169" operator="lessThan">
      <formula>0</formula>
    </cfRule>
  </conditionalFormatting>
  <conditionalFormatting sqref="L11:L15">
    <cfRule type="cellIs" dxfId="989" priority="1168" operator="lessThan">
      <formula>0</formula>
    </cfRule>
  </conditionalFormatting>
  <conditionalFormatting sqref="R11:R15">
    <cfRule type="cellIs" dxfId="988" priority="1167" operator="lessThan">
      <formula>0</formula>
    </cfRule>
  </conditionalFormatting>
  <conditionalFormatting sqref="M15">
    <cfRule type="cellIs" dxfId="987" priority="1166" operator="lessThan">
      <formula>0</formula>
    </cfRule>
  </conditionalFormatting>
  <conditionalFormatting sqref="E11:E15 C11:C15">
    <cfRule type="cellIs" dxfId="986" priority="1165" operator="lessThan">
      <formula>0</formula>
    </cfRule>
  </conditionalFormatting>
  <conditionalFormatting sqref="F11:F15">
    <cfRule type="cellIs" dxfId="985" priority="1164" operator="lessThan">
      <formula>0</formula>
    </cfRule>
  </conditionalFormatting>
  <conditionalFormatting sqref="J11:J15">
    <cfRule type="cellIs" dxfId="984" priority="1163" operator="lessThan">
      <formula>0</formula>
    </cfRule>
  </conditionalFormatting>
  <conditionalFormatting sqref="N11:N15">
    <cfRule type="cellIs" dxfId="983" priority="1162" operator="lessThan">
      <formula>0</formula>
    </cfRule>
  </conditionalFormatting>
  <conditionalFormatting sqref="P11:P15">
    <cfRule type="cellIs" dxfId="982" priority="1161" operator="lessThan">
      <formula>0</formula>
    </cfRule>
  </conditionalFormatting>
  <conditionalFormatting sqref="T11:T15">
    <cfRule type="cellIs" dxfId="981" priority="1160" operator="lessThan">
      <formula>0</formula>
    </cfRule>
  </conditionalFormatting>
  <conditionalFormatting sqref="T11:T15">
    <cfRule type="cellIs" dxfId="980" priority="1159" operator="lessThan">
      <formula>0</formula>
    </cfRule>
  </conditionalFormatting>
  <conditionalFormatting sqref="K11">
    <cfRule type="cellIs" dxfId="979" priority="1158" operator="lessThan">
      <formula>0</formula>
    </cfRule>
  </conditionalFormatting>
  <conditionalFormatting sqref="M11">
    <cfRule type="cellIs" dxfId="978" priority="1157" operator="lessThan">
      <formula>0</formula>
    </cfRule>
  </conditionalFormatting>
  <conditionalFormatting sqref="I11">
    <cfRule type="cellIs" dxfId="977" priority="1156" operator="lessThan">
      <formula>0</formula>
    </cfRule>
  </conditionalFormatting>
  <conditionalFormatting sqref="I14">
    <cfRule type="cellIs" dxfId="976" priority="1155" operator="lessThan">
      <formula>0</formula>
    </cfRule>
  </conditionalFormatting>
  <conditionalFormatting sqref="K14">
    <cfRule type="cellIs" dxfId="975" priority="1154" operator="lessThan">
      <formula>0</formula>
    </cfRule>
  </conditionalFormatting>
  <conditionalFormatting sqref="M14">
    <cfRule type="cellIs" dxfId="974" priority="1153" operator="lessThan">
      <formula>0</formula>
    </cfRule>
  </conditionalFormatting>
  <conditionalFormatting sqref="O14">
    <cfRule type="cellIs" dxfId="973" priority="1152" operator="lessThan">
      <formula>0</formula>
    </cfRule>
  </conditionalFormatting>
  <conditionalFormatting sqref="V11:V15">
    <cfRule type="cellIs" dxfId="972" priority="1150" operator="lessThan">
      <formula>0</formula>
    </cfRule>
  </conditionalFormatting>
  <conditionalFormatting sqref="V11:V15">
    <cfRule type="cellIs" dxfId="971" priority="1149" operator="lessThan">
      <formula>0</formula>
    </cfRule>
  </conditionalFormatting>
  <conditionalFormatting sqref="I12">
    <cfRule type="cellIs" dxfId="970" priority="1148" operator="lessThan">
      <formula>0</formula>
    </cfRule>
  </conditionalFormatting>
  <conditionalFormatting sqref="K12">
    <cfRule type="cellIs" dxfId="969" priority="1147" operator="lessThan">
      <formula>0</formula>
    </cfRule>
  </conditionalFormatting>
  <conditionalFormatting sqref="M12">
    <cfRule type="cellIs" dxfId="968" priority="1146" operator="lessThan">
      <formula>0</formula>
    </cfRule>
  </conditionalFormatting>
  <conditionalFormatting sqref="O12">
    <cfRule type="cellIs" dxfId="967" priority="1145" operator="lessThan">
      <formula>0</formula>
    </cfRule>
  </conditionalFormatting>
  <conditionalFormatting sqref="I13">
    <cfRule type="cellIs" dxfId="966" priority="1144" operator="lessThan">
      <formula>0</formula>
    </cfRule>
  </conditionalFormatting>
  <conditionalFormatting sqref="K13">
    <cfRule type="cellIs" dxfId="965" priority="1143" operator="lessThan">
      <formula>0</formula>
    </cfRule>
  </conditionalFormatting>
  <conditionalFormatting sqref="M13">
    <cfRule type="cellIs" dxfId="964" priority="1142" operator="lessThan">
      <formula>0</formula>
    </cfRule>
  </conditionalFormatting>
  <conditionalFormatting sqref="O13">
    <cfRule type="cellIs" dxfId="963" priority="1141" operator="lessThan">
      <formula>0</formula>
    </cfRule>
  </conditionalFormatting>
  <conditionalFormatting sqref="AF11:AJ15 DN11:DN15 EC13:EC15 DK11:DK15 CP11:CP15 DB11:DB15 DE11:DE15 DH11:DH15 CD11:CD15 CY11:CY15 CA11:CA15 CF11:CF15 CH11:CH15 Y11:Y15 AU11:AU15 AY11:AY15 AW11:AW15 AL11:AL15 BY11:BY15 BP11:BP15 BR11:BR15 BN11:BN15 CS11:CS15 CV14:CV15 DX11:DX15 AN11:AS15 BA11:BL15 CL11:CM15 AA11:AD15">
    <cfRule type="cellIs" dxfId="962" priority="1131" operator="lessThan">
      <formula>0</formula>
    </cfRule>
  </conditionalFormatting>
  <conditionalFormatting sqref="EC13:EC15">
    <cfRule type="cellIs" dxfId="961" priority="1125" operator="lessThan">
      <formula>0</formula>
    </cfRule>
  </conditionalFormatting>
  <conditionalFormatting sqref="EC15">
    <cfRule type="cellIs" dxfId="960" priority="1124" operator="lessThan">
      <formula>0</formula>
    </cfRule>
  </conditionalFormatting>
  <conditionalFormatting sqref="EE11:EE14 EE15:EF15 EG12:EG16">
    <cfRule type="cellIs" dxfId="959" priority="1123" operator="lessThan">
      <formula>0</formula>
    </cfRule>
  </conditionalFormatting>
  <conditionalFormatting sqref="EC11:EC12">
    <cfRule type="cellIs" dxfId="958" priority="1122" operator="lessThan">
      <formula>0</formula>
    </cfRule>
  </conditionalFormatting>
  <conditionalFormatting sqref="Z11:Z15">
    <cfRule type="cellIs" dxfId="957" priority="1121" operator="lessThan">
      <formula>0</formula>
    </cfRule>
  </conditionalFormatting>
  <conditionalFormatting sqref="AV11:AV15 AX11:AX15 DQ11:DQ15 DT11:DT15 CV12:CV13 AZ11:AZ15">
    <cfRule type="cellIs" dxfId="956" priority="1119" operator="lessThan">
      <formula>0</formula>
    </cfRule>
  </conditionalFormatting>
  <conditionalFormatting sqref="X11:X15">
    <cfRule type="cellIs" dxfId="955" priority="1118" operator="lessThan">
      <formula>0</formula>
    </cfRule>
  </conditionalFormatting>
  <conditionalFormatting sqref="DW11:DW15 DY11:DY15 EA11:EA15">
    <cfRule type="cellIs" dxfId="954" priority="1117" operator="lessThan">
      <formula>0</formula>
    </cfRule>
  </conditionalFormatting>
  <conditionalFormatting sqref="EA11:EA15">
    <cfRule type="cellIs" dxfId="953" priority="1116" operator="lessThan">
      <formula>0</formula>
    </cfRule>
  </conditionalFormatting>
  <conditionalFormatting sqref="EF11:EF14">
    <cfRule type="cellIs" dxfId="952" priority="1115" operator="lessThan">
      <formula>0</formula>
    </cfRule>
  </conditionalFormatting>
  <conditionalFormatting sqref="AK11:AK15">
    <cfRule type="cellIs" dxfId="951" priority="1111" operator="lessThan">
      <formula>0</formula>
    </cfRule>
  </conditionalFormatting>
  <conditionalFormatting sqref="CQ11:CR15 DL11:DL15 DI11:DI15 DC11:DD15 AE11:AE15 AM11:AM15 CN11:CO15 CT11:CU15 CZ11:CZ15 CW11:CX15 CE11:CE15 DO11:DO15 DR11:DR15 DU11:DU15 DF11:DF15 CJ11:CK15 BM11:BM15">
    <cfRule type="cellIs" dxfId="950" priority="1110" operator="lessThan">
      <formula>0</formula>
    </cfRule>
  </conditionalFormatting>
  <conditionalFormatting sqref="EG11">
    <cfRule type="cellIs" dxfId="949" priority="1109" operator="lessThan">
      <formula>0</formula>
    </cfRule>
  </conditionalFormatting>
  <conditionalFormatting sqref="DA11:DA15">
    <cfRule type="cellIs" dxfId="948" priority="1108" operator="lessThan">
      <formula>0</formula>
    </cfRule>
  </conditionalFormatting>
  <conditionalFormatting sqref="DV11:DV15">
    <cfRule type="cellIs" dxfId="947" priority="1107" operator="lessThan">
      <formula>0</formula>
    </cfRule>
  </conditionalFormatting>
  <conditionalFormatting sqref="DG11:DG15">
    <cfRule type="cellIs" dxfId="946" priority="1106" operator="lessThan">
      <formula>0</formula>
    </cfRule>
  </conditionalFormatting>
  <conditionalFormatting sqref="DJ11:DJ15">
    <cfRule type="cellIs" dxfId="945" priority="1105" operator="lessThan">
      <formula>0</formula>
    </cfRule>
  </conditionalFormatting>
  <conditionalFormatting sqref="DM11:DM15">
    <cfRule type="cellIs" dxfId="944" priority="1104" operator="lessThan">
      <formula>0</formula>
    </cfRule>
  </conditionalFormatting>
  <conditionalFormatting sqref="DP11:DP15">
    <cfRule type="cellIs" dxfId="943" priority="1103" operator="lessThan">
      <formula>0</formula>
    </cfRule>
  </conditionalFormatting>
  <conditionalFormatting sqref="DS11:DS15">
    <cfRule type="cellIs" dxfId="942" priority="1102" operator="lessThan">
      <formula>0</formula>
    </cfRule>
  </conditionalFormatting>
  <conditionalFormatting sqref="DZ11:DZ15">
    <cfRule type="cellIs" dxfId="941" priority="1101" operator="lessThan">
      <formula>0</formula>
    </cfRule>
  </conditionalFormatting>
  <conditionalFormatting sqref="EB11:EB15">
    <cfRule type="cellIs" dxfId="940" priority="1100" operator="lessThan">
      <formula>0</formula>
    </cfRule>
  </conditionalFormatting>
  <conditionalFormatting sqref="ED11:ED15">
    <cfRule type="cellIs" dxfId="939" priority="1099" operator="lessThan">
      <formula>0</formula>
    </cfRule>
  </conditionalFormatting>
  <conditionalFormatting sqref="BO11:BO15">
    <cfRule type="cellIs" dxfId="938" priority="1098" operator="lessThan">
      <formula>0</formula>
    </cfRule>
  </conditionalFormatting>
  <conditionalFormatting sqref="BQ11:BQ15">
    <cfRule type="cellIs" dxfId="937" priority="1097" operator="lessThan">
      <formula>0</formula>
    </cfRule>
  </conditionalFormatting>
  <conditionalFormatting sqref="BT11:BV15">
    <cfRule type="cellIs" dxfId="936" priority="1096" operator="lessThan">
      <formula>0</formula>
    </cfRule>
  </conditionalFormatting>
  <conditionalFormatting sqref="BS11:BS15">
    <cfRule type="cellIs" dxfId="935" priority="1095" operator="lessThan">
      <formula>0</formula>
    </cfRule>
  </conditionalFormatting>
  <conditionalFormatting sqref="BX11:BX15">
    <cfRule type="cellIs" dxfId="934" priority="1094" operator="lessThan">
      <formula>0</formula>
    </cfRule>
  </conditionalFormatting>
  <conditionalFormatting sqref="BZ11:BZ15">
    <cfRule type="cellIs" dxfId="933" priority="1093" operator="lessThan">
      <formula>0</formula>
    </cfRule>
  </conditionalFormatting>
  <conditionalFormatting sqref="CB11:CB15">
    <cfRule type="cellIs" dxfId="932" priority="1092" operator="lessThan">
      <formula>0</formula>
    </cfRule>
  </conditionalFormatting>
  <conditionalFormatting sqref="CC11:CC15">
    <cfRule type="cellIs" dxfId="931" priority="1091" operator="lessThan">
      <formula>0</formula>
    </cfRule>
  </conditionalFormatting>
  <conditionalFormatting sqref="CG11:CG15">
    <cfRule type="cellIs" dxfId="930" priority="1090" operator="lessThan">
      <formula>0</formula>
    </cfRule>
  </conditionalFormatting>
  <conditionalFormatting sqref="CI11:CI15">
    <cfRule type="cellIs" dxfId="929" priority="1089" operator="lessThan">
      <formula>0</formula>
    </cfRule>
  </conditionalFormatting>
  <conditionalFormatting sqref="CV11">
    <cfRule type="cellIs" dxfId="928" priority="1088" operator="lessThan">
      <formula>0</formula>
    </cfRule>
  </conditionalFormatting>
  <conditionalFormatting sqref="BW11:BW15">
    <cfRule type="cellIs" dxfId="927" priority="1087" operator="lessThan">
      <formula>0</formula>
    </cfRule>
  </conditionalFormatting>
  <conditionalFormatting sqref="AT11:AT15">
    <cfRule type="cellIs" dxfId="926" priority="1086" operator="lessThan">
      <formula>0</formula>
    </cfRule>
  </conditionalFormatting>
  <conditionalFormatting sqref="R30:R31">
    <cfRule type="cellIs" dxfId="925" priority="1000" operator="lessThan">
      <formula>0</formula>
    </cfRule>
  </conditionalFormatting>
  <conditionalFormatting sqref="S31">
    <cfRule type="cellIs" dxfId="924" priority="999" operator="lessThan">
      <formula>0</formula>
    </cfRule>
  </conditionalFormatting>
  <conditionalFormatting sqref="E30:E31 C30:C31">
    <cfRule type="cellIs" dxfId="923" priority="998" operator="lessThan">
      <formula>0</formula>
    </cfRule>
  </conditionalFormatting>
  <conditionalFormatting sqref="S30 U24 B30:B31 D30:D31 R30:R31 U30:U31">
    <cfRule type="cellIs" dxfId="922" priority="1019" operator="lessThan">
      <formula>0</formula>
    </cfRule>
  </conditionalFormatting>
  <conditionalFormatting sqref="J30:J31">
    <cfRule type="cellIs" dxfId="921" priority="996" operator="lessThan">
      <formula>0</formula>
    </cfRule>
  </conditionalFormatting>
  <conditionalFormatting sqref="V30:V31">
    <cfRule type="cellIs" dxfId="920" priority="970" operator="lessThan">
      <formula>0</formula>
    </cfRule>
  </conditionalFormatting>
  <conditionalFormatting sqref="G30:H30">
    <cfRule type="cellIs" dxfId="919" priority="1009" operator="lessThan">
      <formula>0</formula>
    </cfRule>
  </conditionalFormatting>
  <conditionalFormatting sqref="G31:H31">
    <cfRule type="cellIs" dxfId="918" priority="1008" operator="lessThan">
      <formula>0</formula>
    </cfRule>
  </conditionalFormatting>
  <conditionalFormatting sqref="Q31">
    <cfRule type="cellIs" dxfId="917" priority="1007" operator="lessThan">
      <formula>0</formula>
    </cfRule>
  </conditionalFormatting>
  <conditionalFormatting sqref="Q30">
    <cfRule type="cellIs" dxfId="916" priority="1005" operator="lessThan">
      <formula>0</formula>
    </cfRule>
  </conditionalFormatting>
  <conditionalFormatting sqref="L30:L31">
    <cfRule type="cellIs" dxfId="915" priority="1002" operator="lessThan">
      <formula>0</formula>
    </cfRule>
  </conditionalFormatting>
  <conditionalFormatting sqref="N30:N31">
    <cfRule type="cellIs" dxfId="914" priority="1001" operator="lessThan">
      <formula>0</formula>
    </cfRule>
  </conditionalFormatting>
  <conditionalFormatting sqref="F30:F31">
    <cfRule type="cellIs" dxfId="913" priority="997" operator="lessThan">
      <formula>0</formula>
    </cfRule>
  </conditionalFormatting>
  <conditionalFormatting sqref="P30:P31">
    <cfRule type="cellIs" dxfId="912" priority="994" operator="lessThan">
      <formula>0</formula>
    </cfRule>
  </conditionalFormatting>
  <conditionalFormatting sqref="T30:T31">
    <cfRule type="cellIs" dxfId="911" priority="993" operator="lessThan">
      <formula>0</formula>
    </cfRule>
  </conditionalFormatting>
  <conditionalFormatting sqref="T30:T31">
    <cfRule type="cellIs" dxfId="910" priority="992" operator="lessThan">
      <formula>0</formula>
    </cfRule>
  </conditionalFormatting>
  <conditionalFormatting sqref="K30">
    <cfRule type="cellIs" dxfId="909" priority="987" operator="lessThan">
      <formula>0</formula>
    </cfRule>
  </conditionalFormatting>
  <conditionalFormatting sqref="I31">
    <cfRule type="cellIs" dxfId="908" priority="986" operator="lessThan">
      <formula>0</formula>
    </cfRule>
  </conditionalFormatting>
  <conditionalFormatting sqref="K31">
    <cfRule type="cellIs" dxfId="907" priority="985" operator="lessThan">
      <formula>0</formula>
    </cfRule>
  </conditionalFormatting>
  <conditionalFormatting sqref="M31">
    <cfRule type="cellIs" dxfId="906" priority="984" operator="lessThan">
      <formula>0</formula>
    </cfRule>
  </conditionalFormatting>
  <conditionalFormatting sqref="O31">
    <cfRule type="cellIs" dxfId="905" priority="983" operator="lessThan">
      <formula>0</formula>
    </cfRule>
  </conditionalFormatting>
  <conditionalFormatting sqref="EE30:EG31">
    <cfRule type="cellIs" dxfId="904" priority="933" operator="lessThan">
      <formula>0</formula>
    </cfRule>
  </conditionalFormatting>
  <conditionalFormatting sqref="O33">
    <cfRule type="cellIs" dxfId="903" priority="952" operator="lessThan">
      <formula>0</formula>
    </cfRule>
  </conditionalFormatting>
  <conditionalFormatting sqref="C32:C33 E32:E33">
    <cfRule type="cellIs" dxfId="902" priority="951" operator="lessThan">
      <formula>0</formula>
    </cfRule>
  </conditionalFormatting>
  <conditionalFormatting sqref="F32:F33">
    <cfRule type="cellIs" dxfId="901" priority="950" operator="lessThan">
      <formula>0</formula>
    </cfRule>
  </conditionalFormatting>
  <conditionalFormatting sqref="J32:J33">
    <cfRule type="cellIs" dxfId="900" priority="949" operator="lessThan">
      <formula>0</formula>
    </cfRule>
  </conditionalFormatting>
  <conditionalFormatting sqref="V30:V31">
    <cfRule type="cellIs" dxfId="899" priority="969" operator="lessThan">
      <formula>0</formula>
    </cfRule>
  </conditionalFormatting>
  <conditionalFormatting sqref="S32 R33 D32:D33 B32:B33 U32:U33">
    <cfRule type="cellIs" dxfId="898" priority="968" operator="lessThan">
      <formula>0</formula>
    </cfRule>
  </conditionalFormatting>
  <conditionalFormatting sqref="G32:H32">
    <cfRule type="cellIs" dxfId="897" priority="967" operator="lessThan">
      <formula>0</formula>
    </cfRule>
  </conditionalFormatting>
  <conditionalFormatting sqref="Q32">
    <cfRule type="cellIs" dxfId="896" priority="966" operator="lessThan">
      <formula>0</formula>
    </cfRule>
  </conditionalFormatting>
  <conditionalFormatting sqref="G33:H33">
    <cfRule type="cellIs" dxfId="895" priority="965" operator="lessThan">
      <formula>0</formula>
    </cfRule>
  </conditionalFormatting>
  <conditionalFormatting sqref="S33">
    <cfRule type="cellIs" dxfId="894" priority="964" operator="lessThan">
      <formula>0</formula>
    </cfRule>
  </conditionalFormatting>
  <conditionalFormatting sqref="L32:L33">
    <cfRule type="cellIs" dxfId="893" priority="963" operator="lessThan">
      <formula>0</formula>
    </cfRule>
  </conditionalFormatting>
  <conditionalFormatting sqref="N32:N33">
    <cfRule type="cellIs" dxfId="892" priority="962" operator="lessThan">
      <formula>0</formula>
    </cfRule>
  </conditionalFormatting>
  <conditionalFormatting sqref="R33">
    <cfRule type="cellIs" dxfId="891" priority="961" operator="lessThan">
      <formula>0</formula>
    </cfRule>
  </conditionalFormatting>
  <conditionalFormatting sqref="Q33">
    <cfRule type="cellIs" dxfId="890" priority="960" operator="lessThan">
      <formula>0</formula>
    </cfRule>
  </conditionalFormatting>
  <conditionalFormatting sqref="V32:V33">
    <cfRule type="cellIs" dxfId="889" priority="947" operator="lessThan">
      <formula>0</formula>
    </cfRule>
  </conditionalFormatting>
  <conditionalFormatting sqref="I32">
    <cfRule type="cellIs" dxfId="888" priority="959" operator="lessThan">
      <formula>0</formula>
    </cfRule>
  </conditionalFormatting>
  <conditionalFormatting sqref="K32">
    <cfRule type="cellIs" dxfId="887" priority="958" operator="lessThan">
      <formula>0</formula>
    </cfRule>
  </conditionalFormatting>
  <conditionalFormatting sqref="M32">
    <cfRule type="cellIs" dxfId="886" priority="957" operator="lessThan">
      <formula>0</formula>
    </cfRule>
  </conditionalFormatting>
  <conditionalFormatting sqref="O32">
    <cfRule type="cellIs" dxfId="885" priority="956" operator="lessThan">
      <formula>0</formula>
    </cfRule>
  </conditionalFormatting>
  <conditionalFormatting sqref="I33">
    <cfRule type="cellIs" dxfId="884" priority="955" operator="lessThan">
      <formula>0</formula>
    </cfRule>
  </conditionalFormatting>
  <conditionalFormatting sqref="K33">
    <cfRule type="cellIs" dxfId="883" priority="954" operator="lessThan">
      <formula>0</formula>
    </cfRule>
  </conditionalFormatting>
  <conditionalFormatting sqref="M33">
    <cfRule type="cellIs" dxfId="882" priority="953" operator="lessThan">
      <formula>0</formula>
    </cfRule>
  </conditionalFormatting>
  <conditionalFormatting sqref="P32:P33">
    <cfRule type="cellIs" dxfId="881" priority="948" operator="lessThan">
      <formula>0</formula>
    </cfRule>
  </conditionalFormatting>
  <conditionalFormatting sqref="T33">
    <cfRule type="cellIs" dxfId="880" priority="946" operator="lessThan">
      <formula>0</formula>
    </cfRule>
  </conditionalFormatting>
  <conditionalFormatting sqref="T33">
    <cfRule type="cellIs" dxfId="879" priority="945" operator="lessThan">
      <formula>0</formula>
    </cfRule>
  </conditionalFormatting>
  <conditionalFormatting sqref="T32">
    <cfRule type="cellIs" dxfId="878" priority="944" operator="lessThan">
      <formula>0</formula>
    </cfRule>
  </conditionalFormatting>
  <conditionalFormatting sqref="R32">
    <cfRule type="cellIs" dxfId="877" priority="943" operator="lessThan">
      <formula>0</formula>
    </cfRule>
  </conditionalFormatting>
  <conditionalFormatting sqref="I30">
    <cfRule type="cellIs" dxfId="876" priority="941" operator="lessThan">
      <formula>0</formula>
    </cfRule>
  </conditionalFormatting>
  <conditionalFormatting sqref="M30">
    <cfRule type="cellIs" dxfId="875" priority="940" operator="lessThan">
      <formula>0</formula>
    </cfRule>
  </conditionalFormatting>
  <conditionalFormatting sqref="O30">
    <cfRule type="cellIs" dxfId="874" priority="939" operator="lessThan">
      <formula>0</formula>
    </cfRule>
  </conditionalFormatting>
  <conditionalFormatting sqref="W24 W30:W33">
    <cfRule type="cellIs" dxfId="873" priority="938" operator="lessThan">
      <formula>0</formula>
    </cfRule>
  </conditionalFormatting>
  <conditionalFormatting sqref="DB30:DB31 DK30:DK31 DW30 DY30 EA30 CY30:CY31 EH30:EH33 EH23:EH26 CP30:CP31 DH30:DH31 DN30:DN31 DQ30:DQ31 DT30:DT31 CA30:CA31 CH30:CH31 BW30:BW31 AL31 BY30:BY31 BP30:BP31 BR30:BR31 BN30:BN31 CS30:CS31 CV30:CV31 DE30:DE31 DX30:DX31 AF31:AJ31 AN30 AN31:AR31 CL30:CM31 Y31:AD31 CF30:CF31 CD30:CD31 AT31:BC31 Y30:AA30 AJ30 AP30 AS30:AS33 AT30 AX30:BA30 BF31 BI31:BL31 BJ30:BL30">
    <cfRule type="cellIs" dxfId="872" priority="937" operator="lessThan">
      <formula>0</formula>
    </cfRule>
  </conditionalFormatting>
  <conditionalFormatting sqref="EA30">
    <cfRule type="cellIs" dxfId="871" priority="936" operator="lessThan">
      <formula>0</formula>
    </cfRule>
  </conditionalFormatting>
  <conditionalFormatting sqref="CI30:CI31">
    <cfRule type="cellIs" dxfId="870" priority="884" operator="lessThan">
      <formula>0</formula>
    </cfRule>
  </conditionalFormatting>
  <conditionalFormatting sqref="DV30:DV31">
    <cfRule type="cellIs" dxfId="869" priority="902" operator="lessThan">
      <formula>0</formula>
    </cfRule>
  </conditionalFormatting>
  <conditionalFormatting sqref="X30:X31">
    <cfRule type="cellIs" dxfId="868" priority="925" operator="lessThan">
      <formula>0</formula>
    </cfRule>
  </conditionalFormatting>
  <conditionalFormatting sqref="DG30:DG31">
    <cfRule type="cellIs" dxfId="867" priority="901" operator="lessThan">
      <formula>0</formula>
    </cfRule>
  </conditionalFormatting>
  <conditionalFormatting sqref="EC30">
    <cfRule type="cellIs" dxfId="866" priority="913" operator="lessThan">
      <formula>0</formula>
    </cfRule>
  </conditionalFormatting>
  <conditionalFormatting sqref="EC30">
    <cfRule type="cellIs" dxfId="865" priority="912" operator="lessThan">
      <formula>0</formula>
    </cfRule>
  </conditionalFormatting>
  <conditionalFormatting sqref="AK30:AK31">
    <cfRule type="cellIs" dxfId="864" priority="911" operator="lessThan">
      <formula>0</formula>
    </cfRule>
  </conditionalFormatting>
  <conditionalFormatting sqref="DW31">
    <cfRule type="cellIs" dxfId="863" priority="910" operator="lessThan">
      <formula>0</formula>
    </cfRule>
  </conditionalFormatting>
  <conditionalFormatting sqref="DY31">
    <cfRule type="cellIs" dxfId="862" priority="909" operator="lessThan">
      <formula>0</formula>
    </cfRule>
  </conditionalFormatting>
  <conditionalFormatting sqref="EA31">
    <cfRule type="cellIs" dxfId="861" priority="908" operator="lessThan">
      <formula>0</formula>
    </cfRule>
  </conditionalFormatting>
  <conditionalFormatting sqref="EA31">
    <cfRule type="cellIs" dxfId="860" priority="907" operator="lessThan">
      <formula>0</formula>
    </cfRule>
  </conditionalFormatting>
  <conditionalFormatting sqref="EC31">
    <cfRule type="cellIs" dxfId="859" priority="906" operator="lessThan">
      <formula>0</formula>
    </cfRule>
  </conditionalFormatting>
  <conditionalFormatting sqref="EC31">
    <cfRule type="cellIs" dxfId="858" priority="905" operator="lessThan">
      <formula>0</formula>
    </cfRule>
  </conditionalFormatting>
  <conditionalFormatting sqref="CQ30:CR31 DL30:DL31 DI30:DI31 DC30:DD31 AE31 AM31 CN30:CO31 CT30:CU31 CZ30:CZ31 CW30:CX31 CE30:CE31 DO30:DO31 DR30:DR31 DU30:DU31 CK30:CK31 CJ30:CJ33 BM30:BM31 DF30:DF33">
    <cfRule type="cellIs" dxfId="857" priority="904" operator="lessThan">
      <formula>0</formula>
    </cfRule>
  </conditionalFormatting>
  <conditionalFormatting sqref="DA30:DA31">
    <cfRule type="cellIs" dxfId="856" priority="903" operator="lessThan">
      <formula>0</formula>
    </cfRule>
  </conditionalFormatting>
  <conditionalFormatting sqref="DJ30:DJ31">
    <cfRule type="cellIs" dxfId="855" priority="900" operator="lessThan">
      <formula>0</formula>
    </cfRule>
  </conditionalFormatting>
  <conditionalFormatting sqref="DM30:DM31">
    <cfRule type="cellIs" dxfId="854" priority="899" operator="lessThan">
      <formula>0</formula>
    </cfRule>
  </conditionalFormatting>
  <conditionalFormatting sqref="DP30:DP31">
    <cfRule type="cellIs" dxfId="853" priority="898" operator="lessThan">
      <formula>0</formula>
    </cfRule>
  </conditionalFormatting>
  <conditionalFormatting sqref="DS30:DS31">
    <cfRule type="cellIs" dxfId="852" priority="897" operator="lessThan">
      <formula>0</formula>
    </cfRule>
  </conditionalFormatting>
  <conditionalFormatting sqref="DZ30:DZ31">
    <cfRule type="cellIs" dxfId="851" priority="896" operator="lessThan">
      <formula>0</formula>
    </cfRule>
  </conditionalFormatting>
  <conditionalFormatting sqref="EB30:EB31">
    <cfRule type="cellIs" dxfId="850" priority="895" operator="lessThan">
      <formula>0</formula>
    </cfRule>
  </conditionalFormatting>
  <conditionalFormatting sqref="ED30:ED31">
    <cfRule type="cellIs" dxfId="849" priority="894" operator="lessThan">
      <formula>0</formula>
    </cfRule>
  </conditionalFormatting>
  <conditionalFormatting sqref="BO30:BO31">
    <cfRule type="cellIs" dxfId="848" priority="893" operator="lessThan">
      <formula>0</formula>
    </cfRule>
  </conditionalFormatting>
  <conditionalFormatting sqref="BQ30:BQ31">
    <cfRule type="cellIs" dxfId="847" priority="892" operator="lessThan">
      <formula>0</formula>
    </cfRule>
  </conditionalFormatting>
  <conditionalFormatting sqref="BT30:BV31">
    <cfRule type="cellIs" dxfId="846" priority="891" operator="lessThan">
      <formula>0</formula>
    </cfRule>
  </conditionalFormatting>
  <conditionalFormatting sqref="BS30:BS31">
    <cfRule type="cellIs" dxfId="845" priority="890" operator="lessThan">
      <formula>0</formula>
    </cfRule>
  </conditionalFormatting>
  <conditionalFormatting sqref="BX30:BX31">
    <cfRule type="cellIs" dxfId="844" priority="889" operator="lessThan">
      <formula>0</formula>
    </cfRule>
  </conditionalFormatting>
  <conditionalFormatting sqref="BZ30:BZ31">
    <cfRule type="cellIs" dxfId="843" priority="888" operator="lessThan">
      <formula>0</formula>
    </cfRule>
  </conditionalFormatting>
  <conditionalFormatting sqref="CB30:CB31">
    <cfRule type="cellIs" dxfId="842" priority="887" operator="lessThan">
      <formula>0</formula>
    </cfRule>
  </conditionalFormatting>
  <conditionalFormatting sqref="CC30:CC31">
    <cfRule type="cellIs" dxfId="841" priority="886" operator="lessThan">
      <formula>0</formula>
    </cfRule>
  </conditionalFormatting>
  <conditionalFormatting sqref="CG30:CG31">
    <cfRule type="cellIs" dxfId="840" priority="885" operator="lessThan">
      <formula>0</formula>
    </cfRule>
  </conditionalFormatting>
  <conditionalFormatting sqref="AF32:AH33 Y32:Z33 AB32:AD33">
    <cfRule type="cellIs" dxfId="839" priority="878" operator="lessThan">
      <formula>0</formula>
    </cfRule>
  </conditionalFormatting>
  <conditionalFormatting sqref="X32:X33">
    <cfRule type="cellIs" dxfId="838" priority="877" operator="lessThan">
      <formula>0</formula>
    </cfRule>
  </conditionalFormatting>
  <conditionalFormatting sqref="AE32:AE33">
    <cfRule type="cellIs" dxfId="837" priority="876" operator="lessThan">
      <formula>0</formula>
    </cfRule>
  </conditionalFormatting>
  <conditionalFormatting sqref="AN32:AN33 AL32:AL33 AJ32:AJ33 AP32:AP33 AR32:AR33 AV32:AV33 AX32:AX33 AZ32:AZ33 AT32:AT33">
    <cfRule type="cellIs" dxfId="836" priority="875" operator="lessThan">
      <formula>0</formula>
    </cfRule>
  </conditionalFormatting>
  <conditionalFormatting sqref="CA32:CA33 BY32:BY33 BB32:BB33 BN32:BN33 BR32:BR33 BP32:BP33 BW32:BW33 BD32:BD33 BF32:BF33 BH33">
    <cfRule type="cellIs" dxfId="835" priority="874" operator="lessThan">
      <formula>0</formula>
    </cfRule>
  </conditionalFormatting>
  <conditionalFormatting sqref="BL32:BL33">
    <cfRule type="cellIs" dxfId="834" priority="873" operator="lessThan">
      <formula>0</formula>
    </cfRule>
  </conditionalFormatting>
  <conditionalFormatting sqref="DB32:DB33 DK32:DK33 CY32:CY33 CP32:CP33 DH32:DH33 DN32:DN33 DQ32:DQ33 DT32:DT33 CL32:CM33 CD32:CD33 CH32:CH33 CF32:CF33 CS32:CS33 CV32:CV33 DE32:DE33">
    <cfRule type="cellIs" dxfId="833" priority="872" operator="lessThan">
      <formula>0</formula>
    </cfRule>
  </conditionalFormatting>
  <conditionalFormatting sqref="DU32:DU33 DR32:DR33 DO32:DO33 DI32:DI33">
    <cfRule type="cellIs" dxfId="832" priority="871" operator="lessThan">
      <formula>0</formula>
    </cfRule>
  </conditionalFormatting>
  <conditionalFormatting sqref="DV32:DV33">
    <cfRule type="cellIs" dxfId="831" priority="870" operator="lessThan">
      <formula>0</formula>
    </cfRule>
  </conditionalFormatting>
  <conditionalFormatting sqref="DG32:DG33">
    <cfRule type="cellIs" dxfId="830" priority="869" operator="lessThan">
      <formula>0</formula>
    </cfRule>
  </conditionalFormatting>
  <conditionalFormatting sqref="DJ32:DJ33">
    <cfRule type="cellIs" dxfId="829" priority="868" operator="lessThan">
      <formula>0</formula>
    </cfRule>
  </conditionalFormatting>
  <conditionalFormatting sqref="DM32:DM33">
    <cfRule type="cellIs" dxfId="828" priority="867" operator="lessThan">
      <formula>0</formula>
    </cfRule>
  </conditionalFormatting>
  <conditionalFormatting sqref="DP32:DP33">
    <cfRule type="cellIs" dxfId="827" priority="866" operator="lessThan">
      <formula>0</formula>
    </cfRule>
  </conditionalFormatting>
  <conditionalFormatting sqref="DS32:DS33">
    <cfRule type="cellIs" dxfId="826" priority="865" operator="lessThan">
      <formula>0</formula>
    </cfRule>
  </conditionalFormatting>
  <conditionalFormatting sqref="DX32:DX33">
    <cfRule type="cellIs" dxfId="825" priority="864" operator="lessThan">
      <formula>0</formula>
    </cfRule>
  </conditionalFormatting>
  <conditionalFormatting sqref="EE32:EG33">
    <cfRule type="cellIs" dxfId="824" priority="863" operator="lessThan">
      <formula>0</formula>
    </cfRule>
  </conditionalFormatting>
  <conditionalFormatting sqref="DW32">
    <cfRule type="cellIs" dxfId="823" priority="862" operator="lessThan">
      <formula>0</formula>
    </cfRule>
  </conditionalFormatting>
  <conditionalFormatting sqref="DY32">
    <cfRule type="cellIs" dxfId="822" priority="861" operator="lessThan">
      <formula>0</formula>
    </cfRule>
  </conditionalFormatting>
  <conditionalFormatting sqref="EA32">
    <cfRule type="cellIs" dxfId="821" priority="860" operator="lessThan">
      <formula>0</formula>
    </cfRule>
  </conditionalFormatting>
  <conditionalFormatting sqref="EA32">
    <cfRule type="cellIs" dxfId="820" priority="859" operator="lessThan">
      <formula>0</formula>
    </cfRule>
  </conditionalFormatting>
  <conditionalFormatting sqref="EC32">
    <cfRule type="cellIs" dxfId="819" priority="857" operator="lessThan">
      <formula>0</formula>
    </cfRule>
  </conditionalFormatting>
  <conditionalFormatting sqref="EC32">
    <cfRule type="cellIs" dxfId="818" priority="858" operator="lessThan">
      <formula>0</formula>
    </cfRule>
  </conditionalFormatting>
  <conditionalFormatting sqref="DW33">
    <cfRule type="cellIs" dxfId="817" priority="856" operator="lessThan">
      <formula>0</formula>
    </cfRule>
  </conditionalFormatting>
  <conditionalFormatting sqref="DY33">
    <cfRule type="cellIs" dxfId="816" priority="855" operator="lessThan">
      <formula>0</formula>
    </cfRule>
  </conditionalFormatting>
  <conditionalFormatting sqref="EA33">
    <cfRule type="cellIs" dxfId="815" priority="854" operator="lessThan">
      <formula>0</formula>
    </cfRule>
  </conditionalFormatting>
  <conditionalFormatting sqref="EA33">
    <cfRule type="cellIs" dxfId="814" priority="853" operator="lessThan">
      <formula>0</formula>
    </cfRule>
  </conditionalFormatting>
  <conditionalFormatting sqref="EC33">
    <cfRule type="cellIs" dxfId="813" priority="851" operator="lessThan">
      <formula>0</formula>
    </cfRule>
  </conditionalFormatting>
  <conditionalFormatting sqref="EC33">
    <cfRule type="cellIs" dxfId="812" priority="852" operator="lessThan">
      <formula>0</formula>
    </cfRule>
  </conditionalFormatting>
  <conditionalFormatting sqref="DZ32:DZ33">
    <cfRule type="cellIs" dxfId="811" priority="850" operator="lessThan">
      <formula>0</formula>
    </cfRule>
  </conditionalFormatting>
  <conditionalFormatting sqref="EB32:EB33">
    <cfRule type="cellIs" dxfId="810" priority="849" operator="lessThan">
      <formula>0</formula>
    </cfRule>
  </conditionalFormatting>
  <conditionalFormatting sqref="ED32:ED33">
    <cfRule type="cellIs" dxfId="809" priority="848" operator="lessThan">
      <formula>0</formula>
    </cfRule>
  </conditionalFormatting>
  <conditionalFormatting sqref="DL32:DL33 DC32:DD33">
    <cfRule type="cellIs" dxfId="808" priority="847" operator="lessThan">
      <formula>0</formula>
    </cfRule>
  </conditionalFormatting>
  <conditionalFormatting sqref="AI32:AI33 AA32:AA33 AO32:AO33 AQ32:AQ33 AU32:AU33 AW32:AW33 AY32:AY33 BA32:BA33 BC32:BC33 BE32:BE33 BG32:BG33 BI32:BK33">
    <cfRule type="cellIs" dxfId="807" priority="846" operator="lessThan">
      <formula>0</formula>
    </cfRule>
  </conditionalFormatting>
  <conditionalFormatting sqref="AK32:AK33">
    <cfRule type="cellIs" dxfId="806" priority="845" operator="lessThan">
      <formula>0</formula>
    </cfRule>
  </conditionalFormatting>
  <conditionalFormatting sqref="AM32:AM33 CN32:CO33 CQ32:CR33 CT32:CU33 CW32:CX33 CZ32:CZ33 CK32:CK33 CE32:CE33 BM32:BM33">
    <cfRule type="cellIs" dxfId="805" priority="844" operator="lessThan">
      <formula>0</formula>
    </cfRule>
  </conditionalFormatting>
  <conditionalFormatting sqref="DA32:DA33">
    <cfRule type="cellIs" dxfId="804" priority="843" operator="lessThan">
      <formula>0</formula>
    </cfRule>
  </conditionalFormatting>
  <conditionalFormatting sqref="BO32:BO33">
    <cfRule type="cellIs" dxfId="803" priority="842" operator="lessThan">
      <formula>0</formula>
    </cfRule>
  </conditionalFormatting>
  <conditionalFormatting sqref="BQ32:BQ33">
    <cfRule type="cellIs" dxfId="802" priority="841" operator="lessThan">
      <formula>0</formula>
    </cfRule>
  </conditionalFormatting>
  <conditionalFormatting sqref="BT32:BV33">
    <cfRule type="cellIs" dxfId="801" priority="840" operator="lessThan">
      <formula>0</formula>
    </cfRule>
  </conditionalFormatting>
  <conditionalFormatting sqref="BS32:BS33">
    <cfRule type="cellIs" dxfId="800" priority="839" operator="lessThan">
      <formula>0</formula>
    </cfRule>
  </conditionalFormatting>
  <conditionalFormatting sqref="BX32:BX33">
    <cfRule type="cellIs" dxfId="799" priority="838" operator="lessThan">
      <formula>0</formula>
    </cfRule>
  </conditionalFormatting>
  <conditionalFormatting sqref="BZ32:BZ33">
    <cfRule type="cellIs" dxfId="798" priority="837" operator="lessThan">
      <formula>0</formula>
    </cfRule>
  </conditionalFormatting>
  <conditionalFormatting sqref="CB32:CB33">
    <cfRule type="cellIs" dxfId="797" priority="836" operator="lessThan">
      <formula>0</formula>
    </cfRule>
  </conditionalFormatting>
  <conditionalFormatting sqref="CC32:CC33">
    <cfRule type="cellIs" dxfId="796" priority="835" operator="lessThan">
      <formula>0</formula>
    </cfRule>
  </conditionalFormatting>
  <conditionalFormatting sqref="CG32:CG33">
    <cfRule type="cellIs" dxfId="795" priority="834" operator="lessThan">
      <formula>0</formula>
    </cfRule>
  </conditionalFormatting>
  <conditionalFormatting sqref="CI32:CI33">
    <cfRule type="cellIs" dxfId="794" priority="833" operator="lessThan">
      <formula>0</formula>
    </cfRule>
  </conditionalFormatting>
  <conditionalFormatting sqref="EK3:EM3">
    <cfRule type="cellIs" dxfId="793" priority="832" operator="lessThan">
      <formula>0</formula>
    </cfRule>
  </conditionalFormatting>
  <conditionalFormatting sqref="EN3:XFD3">
    <cfRule type="cellIs" dxfId="792" priority="831" operator="lessThan">
      <formula>0</formula>
    </cfRule>
  </conditionalFormatting>
  <conditionalFormatting sqref="A3:A34">
    <cfRule type="cellIs" dxfId="791" priority="830" operator="lessThan">
      <formula>0</formula>
    </cfRule>
  </conditionalFormatting>
  <conditionalFormatting sqref="R3 D3 B3 U3">
    <cfRule type="cellIs" dxfId="790" priority="829" operator="lessThan">
      <formula>0</formula>
    </cfRule>
  </conditionalFormatting>
  <conditionalFormatting sqref="G3:H3">
    <cfRule type="cellIs" dxfId="789" priority="828" operator="lessThan">
      <formula>0</formula>
    </cfRule>
  </conditionalFormatting>
  <conditionalFormatting sqref="S3">
    <cfRule type="cellIs" dxfId="788" priority="827" operator="lessThan">
      <formula>0</formula>
    </cfRule>
  </conditionalFormatting>
  <conditionalFormatting sqref="L3">
    <cfRule type="cellIs" dxfId="787" priority="826" operator="lessThan">
      <formula>0</formula>
    </cfRule>
  </conditionalFormatting>
  <conditionalFormatting sqref="N3">
    <cfRule type="cellIs" dxfId="786" priority="825" operator="lessThan">
      <formula>0</formula>
    </cfRule>
  </conditionalFormatting>
  <conditionalFormatting sqref="R3">
    <cfRule type="cellIs" dxfId="785" priority="824" operator="lessThan">
      <formula>0</formula>
    </cfRule>
  </conditionalFormatting>
  <conditionalFormatting sqref="Q3">
    <cfRule type="cellIs" dxfId="784" priority="823" operator="lessThan">
      <formula>0</formula>
    </cfRule>
  </conditionalFormatting>
  <conditionalFormatting sqref="V3">
    <cfRule type="cellIs" dxfId="783" priority="814" operator="lessThan">
      <formula>0</formula>
    </cfRule>
  </conditionalFormatting>
  <conditionalFormatting sqref="I3">
    <cfRule type="cellIs" dxfId="782" priority="822" operator="lessThan">
      <formula>0</formula>
    </cfRule>
  </conditionalFormatting>
  <conditionalFormatting sqref="K3">
    <cfRule type="cellIs" dxfId="781" priority="821" operator="lessThan">
      <formula>0</formula>
    </cfRule>
  </conditionalFormatting>
  <conditionalFormatting sqref="M3">
    <cfRule type="cellIs" dxfId="780" priority="820" operator="lessThan">
      <formula>0</formula>
    </cfRule>
  </conditionalFormatting>
  <conditionalFormatting sqref="O3">
    <cfRule type="cellIs" dxfId="779" priority="819" operator="lessThan">
      <formula>0</formula>
    </cfRule>
  </conditionalFormatting>
  <conditionalFormatting sqref="C3 E3">
    <cfRule type="cellIs" dxfId="778" priority="818" operator="lessThan">
      <formula>0</formula>
    </cfRule>
  </conditionalFormatting>
  <conditionalFormatting sqref="F3">
    <cfRule type="cellIs" dxfId="777" priority="817" operator="lessThan">
      <formula>0</formula>
    </cfRule>
  </conditionalFormatting>
  <conditionalFormatting sqref="J3">
    <cfRule type="cellIs" dxfId="776" priority="816" operator="lessThan">
      <formula>0</formula>
    </cfRule>
  </conditionalFormatting>
  <conditionalFormatting sqref="P3">
    <cfRule type="cellIs" dxfId="775" priority="815" operator="lessThan">
      <formula>0</formula>
    </cfRule>
  </conditionalFormatting>
  <conditionalFormatting sqref="T3">
    <cfRule type="cellIs" dxfId="774" priority="813" operator="lessThan">
      <formula>0</formula>
    </cfRule>
  </conditionalFormatting>
  <conditionalFormatting sqref="T3">
    <cfRule type="cellIs" dxfId="773" priority="812" operator="lessThan">
      <formula>0</formula>
    </cfRule>
  </conditionalFormatting>
  <conditionalFormatting sqref="W3">
    <cfRule type="cellIs" dxfId="772" priority="811" operator="lessThan">
      <formula>0</formula>
    </cfRule>
  </conditionalFormatting>
  <conditionalFormatting sqref="EH3 AS3">
    <cfRule type="cellIs" dxfId="771" priority="810" operator="lessThan">
      <formula>0</formula>
    </cfRule>
  </conditionalFormatting>
  <conditionalFormatting sqref="CJ3 DF3">
    <cfRule type="cellIs" dxfId="770" priority="809" operator="lessThan">
      <formula>0</formula>
    </cfRule>
  </conditionalFormatting>
  <conditionalFormatting sqref="AF3:AH3 Y3:Z3 AB3:AD3">
    <cfRule type="cellIs" dxfId="769" priority="808" operator="lessThan">
      <formula>0</formula>
    </cfRule>
  </conditionalFormatting>
  <conditionalFormatting sqref="X3">
    <cfRule type="cellIs" dxfId="768" priority="807" operator="lessThan">
      <formula>0</formula>
    </cfRule>
  </conditionalFormatting>
  <conditionalFormatting sqref="AE3">
    <cfRule type="cellIs" dxfId="767" priority="806" operator="lessThan">
      <formula>0</formula>
    </cfRule>
  </conditionalFormatting>
  <conditionalFormatting sqref="AN3 AL3 AJ3 AP3 AR3 AV3 AX3 AZ3 AT3">
    <cfRule type="cellIs" dxfId="766" priority="805" operator="lessThan">
      <formula>0</formula>
    </cfRule>
  </conditionalFormatting>
  <conditionalFormatting sqref="CA3 BY3 BB3 BN3 BR3 BP3 BW3 BD3 BF3 BH3">
    <cfRule type="cellIs" dxfId="765" priority="804" operator="lessThan">
      <formula>0</formula>
    </cfRule>
  </conditionalFormatting>
  <conditionalFormatting sqref="BL3">
    <cfRule type="cellIs" dxfId="764" priority="803" operator="lessThan">
      <formula>0</formula>
    </cfRule>
  </conditionalFormatting>
  <conditionalFormatting sqref="DB3 DK3 CY3 CP3 DH3 DN3 DQ3 DT3 CL3:CM3 CD3 CH3 CF3 CS3 CV3 DE3">
    <cfRule type="cellIs" dxfId="763" priority="802" operator="lessThan">
      <formula>0</formula>
    </cfRule>
  </conditionalFormatting>
  <conditionalFormatting sqref="DU3 DR3 DO3 DI3">
    <cfRule type="cellIs" dxfId="762" priority="801" operator="lessThan">
      <formula>0</formula>
    </cfRule>
  </conditionalFormatting>
  <conditionalFormatting sqref="DV3">
    <cfRule type="cellIs" dxfId="761" priority="800" operator="lessThan">
      <formula>0</formula>
    </cfRule>
  </conditionalFormatting>
  <conditionalFormatting sqref="DG3">
    <cfRule type="cellIs" dxfId="760" priority="799" operator="lessThan">
      <formula>0</formula>
    </cfRule>
  </conditionalFormatting>
  <conditionalFormatting sqref="DJ3">
    <cfRule type="cellIs" dxfId="759" priority="798" operator="lessThan">
      <formula>0</formula>
    </cfRule>
  </conditionalFormatting>
  <conditionalFormatting sqref="DM3">
    <cfRule type="cellIs" dxfId="758" priority="797" operator="lessThan">
      <formula>0</formula>
    </cfRule>
  </conditionalFormatting>
  <conditionalFormatting sqref="DP3">
    <cfRule type="cellIs" dxfId="757" priority="796" operator="lessThan">
      <formula>0</formula>
    </cfRule>
  </conditionalFormatting>
  <conditionalFormatting sqref="DS3">
    <cfRule type="cellIs" dxfId="756" priority="795" operator="lessThan">
      <formula>0</formula>
    </cfRule>
  </conditionalFormatting>
  <conditionalFormatting sqref="DX3">
    <cfRule type="cellIs" dxfId="755" priority="794" operator="lessThan">
      <formula>0</formula>
    </cfRule>
  </conditionalFormatting>
  <conditionalFormatting sqref="EE3:EG3">
    <cfRule type="cellIs" dxfId="754" priority="793" operator="lessThan">
      <formula>0</formula>
    </cfRule>
  </conditionalFormatting>
  <conditionalFormatting sqref="DW3">
    <cfRule type="cellIs" dxfId="753" priority="792" operator="lessThan">
      <formula>0</formula>
    </cfRule>
  </conditionalFormatting>
  <conditionalFormatting sqref="DY3">
    <cfRule type="cellIs" dxfId="752" priority="791" operator="lessThan">
      <formula>0</formula>
    </cfRule>
  </conditionalFormatting>
  <conditionalFormatting sqref="EA3">
    <cfRule type="cellIs" dxfId="751" priority="790" operator="lessThan">
      <formula>0</formula>
    </cfRule>
  </conditionalFormatting>
  <conditionalFormatting sqref="EA3">
    <cfRule type="cellIs" dxfId="750" priority="789" operator="lessThan">
      <formula>0</formula>
    </cfRule>
  </conditionalFormatting>
  <conditionalFormatting sqref="EC3">
    <cfRule type="cellIs" dxfId="749" priority="787" operator="lessThan">
      <formula>0</formula>
    </cfRule>
  </conditionalFormatting>
  <conditionalFormatting sqref="EC3">
    <cfRule type="cellIs" dxfId="748" priority="788" operator="lessThan">
      <formula>0</formula>
    </cfRule>
  </conditionalFormatting>
  <conditionalFormatting sqref="DZ3">
    <cfRule type="cellIs" dxfId="747" priority="786" operator="lessThan">
      <formula>0</formula>
    </cfRule>
  </conditionalFormatting>
  <conditionalFormatting sqref="EB3">
    <cfRule type="cellIs" dxfId="746" priority="785" operator="lessThan">
      <formula>0</formula>
    </cfRule>
  </conditionalFormatting>
  <conditionalFormatting sqref="ED3">
    <cfRule type="cellIs" dxfId="745" priority="784" operator="lessThan">
      <formula>0</formula>
    </cfRule>
  </conditionalFormatting>
  <conditionalFormatting sqref="DL3 DC3:DD3">
    <cfRule type="cellIs" dxfId="744" priority="783" operator="lessThan">
      <formula>0</formula>
    </cfRule>
  </conditionalFormatting>
  <conditionalFormatting sqref="AI3 AA3 AO3 AQ3 AU3 AW3 AY3 BA3 BC3 BE3 BG3 BI3:BK3">
    <cfRule type="cellIs" dxfId="743" priority="782" operator="lessThan">
      <formula>0</formula>
    </cfRule>
  </conditionalFormatting>
  <conditionalFormatting sqref="AK3">
    <cfRule type="cellIs" dxfId="742" priority="781" operator="lessThan">
      <formula>0</formula>
    </cfRule>
  </conditionalFormatting>
  <conditionalFormatting sqref="AM3 CN3:CO3 CQ3:CR3 CT3:CU3 CW3:CX3 CZ3 CK3 CE3 BM3">
    <cfRule type="cellIs" dxfId="741" priority="780" operator="lessThan">
      <formula>0</formula>
    </cfRule>
  </conditionalFormatting>
  <conditionalFormatting sqref="DA3">
    <cfRule type="cellIs" dxfId="740" priority="779" operator="lessThan">
      <formula>0</formula>
    </cfRule>
  </conditionalFormatting>
  <conditionalFormatting sqref="BO3">
    <cfRule type="cellIs" dxfId="739" priority="778" operator="lessThan">
      <formula>0</formula>
    </cfRule>
  </conditionalFormatting>
  <conditionalFormatting sqref="BQ3">
    <cfRule type="cellIs" dxfId="738" priority="777" operator="lessThan">
      <formula>0</formula>
    </cfRule>
  </conditionalFormatting>
  <conditionalFormatting sqref="BT3:BV3">
    <cfRule type="cellIs" dxfId="737" priority="776" operator="lessThan">
      <formula>0</formula>
    </cfRule>
  </conditionalFormatting>
  <conditionalFormatting sqref="BS3">
    <cfRule type="cellIs" dxfId="736" priority="775" operator="lessThan">
      <formula>0</formula>
    </cfRule>
  </conditionalFormatting>
  <conditionalFormatting sqref="BX3">
    <cfRule type="cellIs" dxfId="735" priority="774" operator="lessThan">
      <formula>0</formula>
    </cfRule>
  </conditionalFormatting>
  <conditionalFormatting sqref="BZ3">
    <cfRule type="cellIs" dxfId="734" priority="773" operator="lessThan">
      <formula>0</formula>
    </cfRule>
  </conditionalFormatting>
  <conditionalFormatting sqref="CB3">
    <cfRule type="cellIs" dxfId="733" priority="772" operator="lessThan">
      <formula>0</formula>
    </cfRule>
  </conditionalFormatting>
  <conditionalFormatting sqref="CC3">
    <cfRule type="cellIs" dxfId="732" priority="771" operator="lessThan">
      <formula>0</formula>
    </cfRule>
  </conditionalFormatting>
  <conditionalFormatting sqref="CG3">
    <cfRule type="cellIs" dxfId="731" priority="770" operator="lessThan">
      <formula>0</formula>
    </cfRule>
  </conditionalFormatting>
  <conditionalFormatting sqref="CI3">
    <cfRule type="cellIs" dxfId="730" priority="769" operator="lessThan">
      <formula>0</formula>
    </cfRule>
  </conditionalFormatting>
  <conditionalFormatting sqref="U5:U10 G7:H10 G6 B5:B10 D5:D10 R4:R10 O8:O10">
    <cfRule type="cellIs" dxfId="729" priority="768" operator="lessThan">
      <formula>0</formula>
    </cfRule>
  </conditionalFormatting>
  <conditionalFormatting sqref="S4:S10">
    <cfRule type="cellIs" dxfId="728" priority="767" operator="lessThan">
      <formula>0</formula>
    </cfRule>
  </conditionalFormatting>
  <conditionalFormatting sqref="Q5:Q10">
    <cfRule type="cellIs" dxfId="727" priority="766" operator="lessThan">
      <formula>0</formula>
    </cfRule>
  </conditionalFormatting>
  <conditionalFormatting sqref="L7:L10">
    <cfRule type="cellIs" dxfId="726" priority="765" operator="lessThan">
      <formula>0</formula>
    </cfRule>
  </conditionalFormatting>
  <conditionalFormatting sqref="R4:R10">
    <cfRule type="cellIs" dxfId="725" priority="764" operator="lessThan">
      <formula>0</formula>
    </cfRule>
  </conditionalFormatting>
  <conditionalFormatting sqref="I8:I10">
    <cfRule type="cellIs" dxfId="724" priority="763" operator="lessThan">
      <formula>0</formula>
    </cfRule>
  </conditionalFormatting>
  <conditionalFormatting sqref="M8:M10">
    <cfRule type="cellIs" dxfId="723" priority="762" operator="lessThan">
      <formula>0</formula>
    </cfRule>
  </conditionalFormatting>
  <conditionalFormatting sqref="D4">
    <cfRule type="cellIs" dxfId="722" priority="760" operator="lessThan">
      <formula>0</formula>
    </cfRule>
  </conditionalFormatting>
  <conditionalFormatting sqref="Q4">
    <cfRule type="cellIs" dxfId="721" priority="759" operator="lessThan">
      <formula>0</formula>
    </cfRule>
  </conditionalFormatting>
  <conditionalFormatting sqref="B4 U4">
    <cfRule type="cellIs" dxfId="720" priority="761" operator="lessThan">
      <formula>0</formula>
    </cfRule>
  </conditionalFormatting>
  <conditionalFormatting sqref="H6:I6">
    <cfRule type="cellIs" dxfId="719" priority="758" operator="lessThan">
      <formula>0</formula>
    </cfRule>
  </conditionalFormatting>
  <conditionalFormatting sqref="K6">
    <cfRule type="cellIs" dxfId="718" priority="757" operator="lessThan">
      <formula>0</formula>
    </cfRule>
  </conditionalFormatting>
  <conditionalFormatting sqref="M6">
    <cfRule type="cellIs" dxfId="717" priority="756" operator="lessThan">
      <formula>0</formula>
    </cfRule>
  </conditionalFormatting>
  <conditionalFormatting sqref="O6">
    <cfRule type="cellIs" dxfId="716" priority="755" operator="lessThan">
      <formula>0</formula>
    </cfRule>
  </conditionalFormatting>
  <conditionalFormatting sqref="I7">
    <cfRule type="cellIs" dxfId="715" priority="754" operator="lessThan">
      <formula>0</formula>
    </cfRule>
  </conditionalFormatting>
  <conditionalFormatting sqref="K7:K10">
    <cfRule type="cellIs" dxfId="714" priority="753" operator="lessThan">
      <formula>0</formula>
    </cfRule>
  </conditionalFormatting>
  <conditionalFormatting sqref="M7">
    <cfRule type="cellIs" dxfId="713" priority="752" operator="lessThan">
      <formula>0</formula>
    </cfRule>
  </conditionalFormatting>
  <conditionalFormatting sqref="O7">
    <cfRule type="cellIs" dxfId="712" priority="751" operator="lessThan">
      <formula>0</formula>
    </cfRule>
  </conditionalFormatting>
  <conditionalFormatting sqref="E4:E10 C4:C10">
    <cfRule type="cellIs" dxfId="711" priority="750" operator="lessThan">
      <formula>0</formula>
    </cfRule>
  </conditionalFormatting>
  <conditionalFormatting sqref="F4:F10">
    <cfRule type="cellIs" dxfId="710" priority="749" operator="lessThan">
      <formula>0</formula>
    </cfRule>
  </conditionalFormatting>
  <conditionalFormatting sqref="J4:J10">
    <cfRule type="cellIs" dxfId="709" priority="748" operator="lessThan">
      <formula>0</formula>
    </cfRule>
  </conditionalFormatting>
  <conditionalFormatting sqref="L5:L6">
    <cfRule type="cellIs" dxfId="708" priority="747" operator="lessThan">
      <formula>0</formula>
    </cfRule>
  </conditionalFormatting>
  <conditionalFormatting sqref="N4:N10">
    <cfRule type="cellIs" dxfId="707" priority="746" operator="lessThan">
      <formula>0</formula>
    </cfRule>
  </conditionalFormatting>
  <conditionalFormatting sqref="P4:P10">
    <cfRule type="cellIs" dxfId="706" priority="745" operator="lessThan">
      <formula>0</formula>
    </cfRule>
  </conditionalFormatting>
  <conditionalFormatting sqref="T4:T10">
    <cfRule type="cellIs" dxfId="705" priority="744" operator="lessThan">
      <formula>0</formula>
    </cfRule>
  </conditionalFormatting>
  <conditionalFormatting sqref="T4:T10">
    <cfRule type="cellIs" dxfId="704" priority="743" operator="lessThan">
      <formula>0</formula>
    </cfRule>
  </conditionalFormatting>
  <conditionalFormatting sqref="G4:H5">
    <cfRule type="cellIs" dxfId="703" priority="742" operator="lessThan">
      <formula>0</formula>
    </cfRule>
  </conditionalFormatting>
  <conditionalFormatting sqref="I4:I5">
    <cfRule type="cellIs" dxfId="702" priority="741" operator="lessThan">
      <formula>0</formula>
    </cfRule>
  </conditionalFormatting>
  <conditionalFormatting sqref="L4">
    <cfRule type="cellIs" dxfId="701" priority="740" operator="lessThan">
      <formula>0</formula>
    </cfRule>
  </conditionalFormatting>
  <conditionalFormatting sqref="V4:V10">
    <cfRule type="cellIs" dxfId="700" priority="739" operator="lessThan">
      <formula>0</formula>
    </cfRule>
  </conditionalFormatting>
  <conditionalFormatting sqref="V4:V10">
    <cfRule type="cellIs" dxfId="699" priority="738" operator="lessThan">
      <formula>0</formula>
    </cfRule>
  </conditionalFormatting>
  <conditionalFormatting sqref="K5">
    <cfRule type="cellIs" dxfId="698" priority="737" operator="lessThan">
      <formula>0</formula>
    </cfRule>
  </conditionalFormatting>
  <conditionalFormatting sqref="M5">
    <cfRule type="cellIs" dxfId="697" priority="736" operator="lessThan">
      <formula>0</formula>
    </cfRule>
  </conditionalFormatting>
  <conditionalFormatting sqref="O5">
    <cfRule type="cellIs" dxfId="696" priority="735" operator="lessThan">
      <formula>0</formula>
    </cfRule>
  </conditionalFormatting>
  <conditionalFormatting sqref="K4">
    <cfRule type="cellIs" dxfId="695" priority="734" operator="lessThan">
      <formula>0</formula>
    </cfRule>
  </conditionalFormatting>
  <conditionalFormatting sqref="M4">
    <cfRule type="cellIs" dxfId="694" priority="733" operator="lessThan">
      <formula>0</formula>
    </cfRule>
  </conditionalFormatting>
  <conditionalFormatting sqref="O4">
    <cfRule type="cellIs" dxfId="693" priority="732" operator="lessThan">
      <formula>0</formula>
    </cfRule>
  </conditionalFormatting>
  <conditionalFormatting sqref="W6:W10">
    <cfRule type="cellIs" dxfId="692" priority="731" operator="lessThan">
      <formula>0</formula>
    </cfRule>
  </conditionalFormatting>
  <conditionalFormatting sqref="W5">
    <cfRule type="cellIs" dxfId="691" priority="730" operator="lessThan">
      <formula>0</formula>
    </cfRule>
  </conditionalFormatting>
  <conditionalFormatting sqref="W4">
    <cfRule type="cellIs" dxfId="690" priority="729" operator="lessThan">
      <formula>0</formula>
    </cfRule>
  </conditionalFormatting>
  <conditionalFormatting sqref="DN8:DN10 DK10 AF8:AJ10 AW4:AX4 BL5 BK4:BK5 AF5:AH7 AJ5:AJ7 AN5:AN7 AP5:AP7 AR5:AR7 AQ4:AQ7 BI5:BJ7 BK6:BL7 BH5:BH8 BI8:BL8 CP5:CP10 DB5:DB10 DE5:DE10 DH8:DH10 BB5:BB10 CY7:CY10 AS4:AS10 BD5:BD10 CA5:CA10 CH5:CH10 Y4:Y10 BF5:BF10 BH9:BL10 BE4:BE10 AB5:AB10 AD5:AD10 AU4:AU10 AY4:AY10 AW5:AW10 AL5:AL10 BY5:BY10 BP10 BR5:BR10 BN5:BN10 AA4:AA10 CS9:CS10 DX4:DX10 BJ4 AI4:AI7 AN8:AR10 BA9:BA10 CL5:CM10 BG4:BG10 AC4:AC10 BC4:BC10 CF6:CF10 CD6:CD10">
    <cfRule type="cellIs" dxfId="689" priority="728" operator="lessThan">
      <formula>0</formula>
    </cfRule>
  </conditionalFormatting>
  <conditionalFormatting sqref="EE5:EE6 EE9:EE10">
    <cfRule type="cellIs" dxfId="688" priority="727" operator="lessThan">
      <formula>0</formula>
    </cfRule>
  </conditionalFormatting>
  <conditionalFormatting sqref="EC10">
    <cfRule type="cellIs" dxfId="687" priority="726" operator="lessThan">
      <formula>0</formula>
    </cfRule>
  </conditionalFormatting>
  <conditionalFormatting sqref="Z5:Z10">
    <cfRule type="cellIs" dxfId="686" priority="725" operator="lessThan">
      <formula>0</formula>
    </cfRule>
  </conditionalFormatting>
  <conditionalFormatting sqref="CY5:CY6 BP5:BP9 AV8:AV10 DQ8:DQ10 DT8:DT10 AZ5:AZ10">
    <cfRule type="cellIs" dxfId="685" priority="724" operator="lessThan">
      <formula>0</formula>
    </cfRule>
  </conditionalFormatting>
  <conditionalFormatting sqref="X5:X10">
    <cfRule type="cellIs" dxfId="684" priority="723" operator="lessThan">
      <formula>0</formula>
    </cfRule>
  </conditionalFormatting>
  <conditionalFormatting sqref="DW5:DW10 DY5:DY10 EA5:EA10">
    <cfRule type="cellIs" dxfId="683" priority="722" operator="lessThan">
      <formula>0</formula>
    </cfRule>
  </conditionalFormatting>
  <conditionalFormatting sqref="EA5:EA10">
    <cfRule type="cellIs" dxfId="682" priority="721" operator="lessThan">
      <formula>0</formula>
    </cfRule>
  </conditionalFormatting>
  <conditionalFormatting sqref="EF5:EF6 EF9:EF10">
    <cfRule type="cellIs" dxfId="681" priority="720" operator="lessThan">
      <formula>0</formula>
    </cfRule>
  </conditionalFormatting>
  <conditionalFormatting sqref="DN5:DN7">
    <cfRule type="cellIs" dxfId="680" priority="719" operator="lessThan">
      <formula>0</formula>
    </cfRule>
  </conditionalFormatting>
  <conditionalFormatting sqref="DK5:DK9">
    <cfRule type="cellIs" dxfId="679" priority="718" operator="lessThan">
      <formula>0</formula>
    </cfRule>
  </conditionalFormatting>
  <conditionalFormatting sqref="DH5:DH7">
    <cfRule type="cellIs" dxfId="678" priority="717" operator="lessThan">
      <formula>0</formula>
    </cfRule>
  </conditionalFormatting>
  <conditionalFormatting sqref="DQ5:DQ7">
    <cfRule type="cellIs" dxfId="677" priority="716" operator="lessThan">
      <formula>0</formula>
    </cfRule>
  </conditionalFormatting>
  <conditionalFormatting sqref="DT5:DT7">
    <cfRule type="cellIs" dxfId="676" priority="715" operator="lessThan">
      <formula>0</formula>
    </cfRule>
  </conditionalFormatting>
  <conditionalFormatting sqref="EC9">
    <cfRule type="cellIs" dxfId="675" priority="714" operator="lessThan">
      <formula>0</formula>
    </cfRule>
  </conditionalFormatting>
  <conditionalFormatting sqref="EC6">
    <cfRule type="cellIs" dxfId="674" priority="713" operator="lessThan">
      <formula>0</formula>
    </cfRule>
  </conditionalFormatting>
  <conditionalFormatting sqref="EC7">
    <cfRule type="cellIs" dxfId="673" priority="712" operator="lessThan">
      <formula>0</formula>
    </cfRule>
  </conditionalFormatting>
  <conditionalFormatting sqref="EE7">
    <cfRule type="cellIs" dxfId="672" priority="711" operator="lessThan">
      <formula>0</formula>
    </cfRule>
  </conditionalFormatting>
  <conditionalFormatting sqref="EC8">
    <cfRule type="cellIs" dxfId="671" priority="709" operator="lessThan">
      <formula>0</formula>
    </cfRule>
  </conditionalFormatting>
  <conditionalFormatting sqref="EE8">
    <cfRule type="cellIs" dxfId="670" priority="708" operator="lessThan">
      <formula>0</formula>
    </cfRule>
  </conditionalFormatting>
  <conditionalFormatting sqref="EF8">
    <cfRule type="cellIs" dxfId="669" priority="707" operator="lessThan">
      <formula>0</formula>
    </cfRule>
  </conditionalFormatting>
  <conditionalFormatting sqref="EF7">
    <cfRule type="cellIs" dxfId="668" priority="710" operator="lessThan">
      <formula>0</formula>
    </cfRule>
  </conditionalFormatting>
  <conditionalFormatting sqref="AK4:AK10">
    <cfRule type="cellIs" dxfId="667" priority="706" operator="lessThan">
      <formula>0</formula>
    </cfRule>
  </conditionalFormatting>
  <conditionalFormatting sqref="Z4">
    <cfRule type="cellIs" dxfId="666" priority="704" operator="lessThan">
      <formula>0</formula>
    </cfRule>
  </conditionalFormatting>
  <conditionalFormatting sqref="CM4">
    <cfRule type="cellIs" dxfId="665" priority="703" operator="lessThan">
      <formula>0</formula>
    </cfRule>
  </conditionalFormatting>
  <conditionalFormatting sqref="X4 AD4 AH4 AL4 AN4 AP4 AR4 AZ4 BB4 BD4 BF4 BH4 BL4 BN4 BP4 BR4 CA4 DB4 DE4 DH4 DK4 DN4 DQ4 DT4 DW4 DY4 EA4 CY4">
    <cfRule type="cellIs" dxfId="664" priority="702" operator="lessThan">
      <formula>0</formula>
    </cfRule>
  </conditionalFormatting>
  <conditionalFormatting sqref="EE4:EF4">
    <cfRule type="cellIs" dxfId="663" priority="701" operator="lessThan">
      <formula>0</formula>
    </cfRule>
  </conditionalFormatting>
  <conditionalFormatting sqref="BY4 AB4 AF4:AG4 AJ4 CL4 CH4 CF4:CF5 CD4:CD5">
    <cfRule type="cellIs" dxfId="662" priority="705" operator="lessThan">
      <formula>0</formula>
    </cfRule>
  </conditionalFormatting>
  <conditionalFormatting sqref="AX4:AX10">
    <cfRule type="cellIs" dxfId="661" priority="700" operator="lessThan">
      <formula>0</formula>
    </cfRule>
  </conditionalFormatting>
  <conditionalFormatting sqref="AV4:AV7">
    <cfRule type="cellIs" dxfId="660" priority="699" operator="lessThan">
      <formula>0</formula>
    </cfRule>
  </conditionalFormatting>
  <conditionalFormatting sqref="CN4:CP4 BQ4:BQ8 BT4:BV8 BX4:BX8 CB4:CB8 CQ4:CR10 DL4:DL10 DI4:DI10 DC4:DD10 AE4:AE10 CN5:CO10 CT9:CU10 CZ4:CZ10 CW4:CX10 CU4:CU8 CE4:CE10 DO4:DO10 DR4:DR10 DU4:DU10 CI4:CK5 CI6:CI8 CJ6:CK10 BM4:BM10 DF4:DF10 AM4:AM10">
    <cfRule type="cellIs" dxfId="659" priority="698" operator="lessThan">
      <formula>0</formula>
    </cfRule>
  </conditionalFormatting>
  <conditionalFormatting sqref="BS4:BS8">
    <cfRule type="cellIs" dxfId="658" priority="697" operator="lessThan">
      <formula>0</formula>
    </cfRule>
  </conditionalFormatting>
  <conditionalFormatting sqref="EG6:EG10">
    <cfRule type="cellIs" dxfId="657" priority="696" operator="lessThan">
      <formula>0</formula>
    </cfRule>
  </conditionalFormatting>
  <conditionalFormatting sqref="DA4:DA10">
    <cfRule type="cellIs" dxfId="656" priority="695" operator="lessThan">
      <formula>0</formula>
    </cfRule>
  </conditionalFormatting>
  <conditionalFormatting sqref="DV4:DV10">
    <cfRule type="cellIs" dxfId="655" priority="694" operator="lessThan">
      <formula>0</formula>
    </cfRule>
  </conditionalFormatting>
  <conditionalFormatting sqref="CC4:CC8">
    <cfRule type="cellIs" dxfId="654" priority="693" operator="lessThan">
      <formula>0</formula>
    </cfRule>
  </conditionalFormatting>
  <conditionalFormatting sqref="BO4:BO8">
    <cfRule type="cellIs" dxfId="653" priority="692" operator="lessThan">
      <formula>0</formula>
    </cfRule>
  </conditionalFormatting>
  <conditionalFormatting sqref="BZ4:BZ8">
    <cfRule type="cellIs" dxfId="652" priority="691" operator="lessThan">
      <formula>0</formula>
    </cfRule>
  </conditionalFormatting>
  <conditionalFormatting sqref="DG4:DG10">
    <cfRule type="cellIs" dxfId="651" priority="690" operator="lessThan">
      <formula>0</formula>
    </cfRule>
  </conditionalFormatting>
  <conditionalFormatting sqref="DJ4:DJ10">
    <cfRule type="cellIs" dxfId="650" priority="689" operator="lessThan">
      <formula>0</formula>
    </cfRule>
  </conditionalFormatting>
  <conditionalFormatting sqref="DM4:DM10">
    <cfRule type="cellIs" dxfId="649" priority="688" operator="lessThan">
      <formula>0</formula>
    </cfRule>
  </conditionalFormatting>
  <conditionalFormatting sqref="DP4:DP10">
    <cfRule type="cellIs" dxfId="648" priority="687" operator="lessThan">
      <formula>0</formula>
    </cfRule>
  </conditionalFormatting>
  <conditionalFormatting sqref="DS4:DS10">
    <cfRule type="cellIs" dxfId="647" priority="686" operator="lessThan">
      <formula>0</formula>
    </cfRule>
  </conditionalFormatting>
  <conditionalFormatting sqref="DZ4:DZ10">
    <cfRule type="cellIs" dxfId="646" priority="685" operator="lessThan">
      <formula>0</formula>
    </cfRule>
  </conditionalFormatting>
  <conditionalFormatting sqref="EB4:EB10">
    <cfRule type="cellIs" dxfId="645" priority="684" operator="lessThan">
      <formula>0</formula>
    </cfRule>
  </conditionalFormatting>
  <conditionalFormatting sqref="ED4:ED10">
    <cfRule type="cellIs" dxfId="644" priority="683" operator="lessThan">
      <formula>0</formula>
    </cfRule>
  </conditionalFormatting>
  <conditionalFormatting sqref="BO9:BO10">
    <cfRule type="cellIs" dxfId="643" priority="682" operator="lessThan">
      <formula>0</formula>
    </cfRule>
  </conditionalFormatting>
  <conditionalFormatting sqref="BQ9:BQ10">
    <cfRule type="cellIs" dxfId="642" priority="681" operator="lessThan">
      <formula>0</formula>
    </cfRule>
  </conditionalFormatting>
  <conditionalFormatting sqref="BT9:BV10">
    <cfRule type="cellIs" dxfId="641" priority="680" operator="lessThan">
      <formula>0</formula>
    </cfRule>
  </conditionalFormatting>
  <conditionalFormatting sqref="BS9:BS10">
    <cfRule type="cellIs" dxfId="640" priority="679" operator="lessThan">
      <formula>0</formula>
    </cfRule>
  </conditionalFormatting>
  <conditionalFormatting sqref="BX9:BX10">
    <cfRule type="cellIs" dxfId="639" priority="678" operator="lessThan">
      <formula>0</formula>
    </cfRule>
  </conditionalFormatting>
  <conditionalFormatting sqref="BZ9:BZ10">
    <cfRule type="cellIs" dxfId="638" priority="677" operator="lessThan">
      <formula>0</formula>
    </cfRule>
  </conditionalFormatting>
  <conditionalFormatting sqref="CB9:CB10">
    <cfRule type="cellIs" dxfId="637" priority="676" operator="lessThan">
      <formula>0</formula>
    </cfRule>
  </conditionalFormatting>
  <conditionalFormatting sqref="CC9:CC10">
    <cfRule type="cellIs" dxfId="636" priority="675" operator="lessThan">
      <formula>0</formula>
    </cfRule>
  </conditionalFormatting>
  <conditionalFormatting sqref="CG4:CG8">
    <cfRule type="cellIs" dxfId="635" priority="674" operator="lessThan">
      <formula>0</formula>
    </cfRule>
  </conditionalFormatting>
  <conditionalFormatting sqref="CG9:CG10">
    <cfRule type="cellIs" dxfId="634" priority="673" operator="lessThan">
      <formula>0</formula>
    </cfRule>
  </conditionalFormatting>
  <conditionalFormatting sqref="CI9:CI10">
    <cfRule type="cellIs" dxfId="633" priority="672" operator="lessThan">
      <formula>0</formula>
    </cfRule>
  </conditionalFormatting>
  <conditionalFormatting sqref="CV4:CV10 BI4 BA4:BA8 AO4:AO7">
    <cfRule type="cellIs" dxfId="632" priority="671" operator="lessThan">
      <formula>0</formula>
    </cfRule>
  </conditionalFormatting>
  <conditionalFormatting sqref="EG4:EG5">
    <cfRule type="cellIs" dxfId="631" priority="670" operator="lessThan">
      <formula>0</formula>
    </cfRule>
  </conditionalFormatting>
  <conditionalFormatting sqref="EC4:EC5">
    <cfRule type="cellIs" dxfId="630" priority="668" operator="lessThan">
      <formula>0</formula>
    </cfRule>
  </conditionalFormatting>
  <conditionalFormatting sqref="EC4:EC5">
    <cfRule type="cellIs" dxfId="629" priority="669" operator="lessThan">
      <formula>0</formula>
    </cfRule>
  </conditionalFormatting>
  <conditionalFormatting sqref="CT4:CT8">
    <cfRule type="cellIs" dxfId="628" priority="667" operator="lessThan">
      <formula>0</formula>
    </cfRule>
  </conditionalFormatting>
  <conditionalFormatting sqref="CS4:CS8">
    <cfRule type="cellIs" dxfId="627" priority="666" operator="lessThan">
      <formula>0</formula>
    </cfRule>
  </conditionalFormatting>
  <conditionalFormatting sqref="BW4:BW10">
    <cfRule type="cellIs" dxfId="626" priority="665" operator="lessThan">
      <formula>0</formula>
    </cfRule>
  </conditionalFormatting>
  <conditionalFormatting sqref="AT4:AT10">
    <cfRule type="cellIs" dxfId="625" priority="664" operator="lessThan">
      <formula>0</formula>
    </cfRule>
  </conditionalFormatting>
  <conditionalFormatting sqref="W11:W15">
    <cfRule type="cellIs" dxfId="624" priority="663" operator="lessThan">
      <formula>0</formula>
    </cfRule>
  </conditionalFormatting>
  <conditionalFormatting sqref="U16 G16:H16 B16 D16 R16">
    <cfRule type="cellIs" dxfId="623" priority="662" operator="lessThan">
      <formula>0</formula>
    </cfRule>
  </conditionalFormatting>
  <conditionalFormatting sqref="I16">
    <cfRule type="cellIs" dxfId="622" priority="661" operator="lessThan">
      <formula>0</formula>
    </cfRule>
  </conditionalFormatting>
  <conditionalFormatting sqref="S16">
    <cfRule type="cellIs" dxfId="621" priority="660" operator="lessThan">
      <formula>0</formula>
    </cfRule>
  </conditionalFormatting>
  <conditionalFormatting sqref="K16">
    <cfRule type="cellIs" dxfId="620" priority="659" operator="lessThan">
      <formula>0</formula>
    </cfRule>
  </conditionalFormatting>
  <conditionalFormatting sqref="O16">
    <cfRule type="cellIs" dxfId="619" priority="658" operator="lessThan">
      <formula>0</formula>
    </cfRule>
  </conditionalFormatting>
  <conditionalFormatting sqref="Q16">
    <cfRule type="cellIs" dxfId="618" priority="657" operator="lessThan">
      <formula>0</formula>
    </cfRule>
  </conditionalFormatting>
  <conditionalFormatting sqref="L16">
    <cfRule type="cellIs" dxfId="617" priority="656" operator="lessThan">
      <formula>0</formula>
    </cfRule>
  </conditionalFormatting>
  <conditionalFormatting sqref="R16">
    <cfRule type="cellIs" dxfId="616" priority="655" operator="lessThan">
      <formula>0</formula>
    </cfRule>
  </conditionalFormatting>
  <conditionalFormatting sqref="C16 E16">
    <cfRule type="cellIs" dxfId="615" priority="654" operator="lessThan">
      <formula>0</formula>
    </cfRule>
  </conditionalFormatting>
  <conditionalFormatting sqref="F16">
    <cfRule type="cellIs" dxfId="614" priority="653" operator="lessThan">
      <formula>0</formula>
    </cfRule>
  </conditionalFormatting>
  <conditionalFormatting sqref="J16">
    <cfRule type="cellIs" dxfId="613" priority="652" operator="lessThan">
      <formula>0</formula>
    </cfRule>
  </conditionalFormatting>
  <conditionalFormatting sqref="N16">
    <cfRule type="cellIs" dxfId="612" priority="651" operator="lessThan">
      <formula>0</formula>
    </cfRule>
  </conditionalFormatting>
  <conditionalFormatting sqref="P16">
    <cfRule type="cellIs" dxfId="611" priority="650" operator="lessThan">
      <formula>0</formula>
    </cfRule>
  </conditionalFormatting>
  <conditionalFormatting sqref="T16">
    <cfRule type="cellIs" dxfId="610" priority="649" operator="lessThan">
      <formula>0</formula>
    </cfRule>
  </conditionalFormatting>
  <conditionalFormatting sqref="T16">
    <cfRule type="cellIs" dxfId="609" priority="648" operator="lessThan">
      <formula>0</formula>
    </cfRule>
  </conditionalFormatting>
  <conditionalFormatting sqref="M16">
    <cfRule type="cellIs" dxfId="608" priority="647" operator="lessThan">
      <formula>0</formula>
    </cfRule>
  </conditionalFormatting>
  <conditionalFormatting sqref="V16">
    <cfRule type="cellIs" dxfId="607" priority="646" operator="lessThan">
      <formula>0</formula>
    </cfRule>
  </conditionalFormatting>
  <conditionalFormatting sqref="V16">
    <cfRule type="cellIs" dxfId="606" priority="645" operator="lessThan">
      <formula>0</formula>
    </cfRule>
  </conditionalFormatting>
  <conditionalFormatting sqref="W16:W19">
    <cfRule type="cellIs" dxfId="605" priority="644" operator="lessThan">
      <formula>0</formula>
    </cfRule>
  </conditionalFormatting>
  <conditionalFormatting sqref="EP16 EK16">
    <cfRule type="cellIs" dxfId="604" priority="610" operator="lessThan">
      <formula>0</formula>
    </cfRule>
  </conditionalFormatting>
  <conditionalFormatting sqref="EP16">
    <cfRule type="cellIs" dxfId="603" priority="609" operator="lessThan">
      <formula>0</formula>
    </cfRule>
  </conditionalFormatting>
  <conditionalFormatting sqref="EP16">
    <cfRule type="cellIs" dxfId="602" priority="608" operator="lessThan">
      <formula>0</formula>
    </cfRule>
  </conditionalFormatting>
  <conditionalFormatting sqref="ER16:ES16">
    <cfRule type="cellIs" dxfId="601" priority="607" operator="lessThan">
      <formula>0</formula>
    </cfRule>
  </conditionalFormatting>
  <conditionalFormatting sqref="EJ16 EL16 EN16">
    <cfRule type="cellIs" dxfId="600" priority="603" operator="lessThan">
      <formula>0</formula>
    </cfRule>
  </conditionalFormatting>
  <conditionalFormatting sqref="EN16">
    <cfRule type="cellIs" dxfId="599" priority="602" operator="lessThan">
      <formula>0</formula>
    </cfRule>
  </conditionalFormatting>
  <conditionalFormatting sqref="EM16">
    <cfRule type="cellIs" dxfId="598" priority="592" operator="lessThan">
      <formula>0</formula>
    </cfRule>
  </conditionalFormatting>
  <conditionalFormatting sqref="EO16">
    <cfRule type="cellIs" dxfId="597" priority="591" operator="lessThan">
      <formula>0</formula>
    </cfRule>
  </conditionalFormatting>
  <conditionalFormatting sqref="EQ16">
    <cfRule type="cellIs" dxfId="596" priority="590" operator="lessThan">
      <formula>0</formula>
    </cfRule>
  </conditionalFormatting>
  <conditionalFormatting sqref="EF16 BU16 EA16 DQ16 DT16 DN16 EC16 DK16 CO16:CP16 DB16 DE16 DH16 CY16 CA16:CB16 BY16 CS16 CV16 DW16:DX16 CK16:CM16 X16:BS16 CF16:CI16 CD16">
    <cfRule type="cellIs" dxfId="595" priority="576" operator="lessThan">
      <formula>0</formula>
    </cfRule>
  </conditionalFormatting>
  <conditionalFormatting sqref="EF16">
    <cfRule type="cellIs" dxfId="594" priority="575" operator="lessThan">
      <formula>0</formula>
    </cfRule>
  </conditionalFormatting>
  <conditionalFormatting sqref="EF16">
    <cfRule type="cellIs" dxfId="593" priority="574" operator="lessThan">
      <formula>0</formula>
    </cfRule>
  </conditionalFormatting>
  <conditionalFormatting sqref="EH16:EI16">
    <cfRule type="cellIs" dxfId="592" priority="573" operator="lessThan">
      <formula>0</formula>
    </cfRule>
  </conditionalFormatting>
  <conditionalFormatting sqref="AC16">
    <cfRule type="cellIs" dxfId="591" priority="572" operator="lessThan">
      <formula>0</formula>
    </cfRule>
  </conditionalFormatting>
  <conditionalFormatting sqref="AY16 BA16 BC16">
    <cfRule type="cellIs" dxfId="590" priority="571" operator="lessThan">
      <formula>0</formula>
    </cfRule>
  </conditionalFormatting>
  <conditionalFormatting sqref="AA16">
    <cfRule type="cellIs" dxfId="589" priority="570" operator="lessThan">
      <formula>0</formula>
    </cfRule>
  </conditionalFormatting>
  <conditionalFormatting sqref="DZ16 EB16 ED16">
    <cfRule type="cellIs" dxfId="588" priority="569" operator="lessThan">
      <formula>0</formula>
    </cfRule>
  </conditionalFormatting>
  <conditionalFormatting sqref="ED16">
    <cfRule type="cellIs" dxfId="587" priority="568" operator="lessThan">
      <formula>0</formula>
    </cfRule>
  </conditionalFormatting>
  <conditionalFormatting sqref="AN16">
    <cfRule type="cellIs" dxfId="586" priority="567" operator="lessThan">
      <formula>0</formula>
    </cfRule>
  </conditionalFormatting>
  <conditionalFormatting sqref="AH16 CH16 DX16 BP16 AP16 CQ16:CR16 DL16 DI16 DC16:DD16 AE16 CM16:CO16 CT16:CU16 CZ16:DA16 CW16:CX16 CE16 DO16 DR16 DU16 CJ16:CK16 BM16 AM16 DF16:DG16">
    <cfRule type="cellIs" dxfId="585" priority="566" operator="lessThan">
      <formula>0</formula>
    </cfRule>
  </conditionalFormatting>
  <conditionalFormatting sqref="DD16">
    <cfRule type="cellIs" dxfId="584" priority="565" operator="lessThan">
      <formula>0</formula>
    </cfRule>
  </conditionalFormatting>
  <conditionalFormatting sqref="DY16">
    <cfRule type="cellIs" dxfId="583" priority="564" operator="lessThan">
      <formula>0</formula>
    </cfRule>
  </conditionalFormatting>
  <conditionalFormatting sqref="DJ16">
    <cfRule type="cellIs" dxfId="582" priority="563" operator="lessThan">
      <formula>0</formula>
    </cfRule>
  </conditionalFormatting>
  <conditionalFormatting sqref="DM16">
    <cfRule type="cellIs" dxfId="581" priority="562" operator="lessThan">
      <formula>0</formula>
    </cfRule>
  </conditionalFormatting>
  <conditionalFormatting sqref="DP16">
    <cfRule type="cellIs" dxfId="580" priority="561" operator="lessThan">
      <formula>0</formula>
    </cfRule>
  </conditionalFormatting>
  <conditionalFormatting sqref="DS16">
    <cfRule type="cellIs" dxfId="579" priority="560" operator="lessThan">
      <formula>0</formula>
    </cfRule>
  </conditionalFormatting>
  <conditionalFormatting sqref="DV16">
    <cfRule type="cellIs" dxfId="578" priority="559" operator="lessThan">
      <formula>0</formula>
    </cfRule>
  </conditionalFormatting>
  <conditionalFormatting sqref="EC16">
    <cfRule type="cellIs" dxfId="577" priority="558" operator="lessThan">
      <formula>0</formula>
    </cfRule>
  </conditionalFormatting>
  <conditionalFormatting sqref="EE16">
    <cfRule type="cellIs" dxfId="576" priority="557" operator="lessThan">
      <formula>0</formula>
    </cfRule>
  </conditionalFormatting>
  <conditionalFormatting sqref="BR16">
    <cfRule type="cellIs" dxfId="575" priority="555" operator="lessThan">
      <formula>0</formula>
    </cfRule>
  </conditionalFormatting>
  <conditionalFormatting sqref="BT16">
    <cfRule type="cellIs" dxfId="574" priority="554" operator="lessThan">
      <formula>0</formula>
    </cfRule>
  </conditionalFormatting>
  <conditionalFormatting sqref="BW16:BY16">
    <cfRule type="cellIs" dxfId="573" priority="553" operator="lessThan">
      <formula>0</formula>
    </cfRule>
  </conditionalFormatting>
  <conditionalFormatting sqref="BV16">
    <cfRule type="cellIs" dxfId="572" priority="552" operator="lessThan">
      <formula>0</formula>
    </cfRule>
  </conditionalFormatting>
  <conditionalFormatting sqref="CA16">
    <cfRule type="cellIs" dxfId="571" priority="551" operator="lessThan">
      <formula>0</formula>
    </cfRule>
  </conditionalFormatting>
  <conditionalFormatting sqref="CC16">
    <cfRule type="cellIs" dxfId="570" priority="550" operator="lessThan">
      <formula>0</formula>
    </cfRule>
  </conditionalFormatting>
  <conditionalFormatting sqref="CE16">
    <cfRule type="cellIs" dxfId="569" priority="549" operator="lessThan">
      <formula>0</formula>
    </cfRule>
  </conditionalFormatting>
  <conditionalFormatting sqref="CF16">
    <cfRule type="cellIs" dxfId="568" priority="548" operator="lessThan">
      <formula>0</formula>
    </cfRule>
  </conditionalFormatting>
  <conditionalFormatting sqref="CJ16">
    <cfRule type="cellIs" dxfId="567" priority="547" operator="lessThan">
      <formula>0</formula>
    </cfRule>
  </conditionalFormatting>
  <conditionalFormatting sqref="CL16">
    <cfRule type="cellIs" dxfId="566" priority="546" operator="lessThan">
      <formula>0</formula>
    </cfRule>
  </conditionalFormatting>
  <conditionalFormatting sqref="Y16">
    <cfRule type="cellIs" dxfId="565" priority="545" operator="lessThan">
      <formula>0</formula>
    </cfRule>
  </conditionalFormatting>
  <conditionalFormatting sqref="BZ16">
    <cfRule type="cellIs" dxfId="564" priority="544" operator="lessThan">
      <formula>0</formula>
    </cfRule>
  </conditionalFormatting>
  <conditionalFormatting sqref="AW16">
    <cfRule type="cellIs" dxfId="563" priority="543" operator="lessThan">
      <formula>0</formula>
    </cfRule>
  </conditionalFormatting>
  <conditionalFormatting sqref="EM16 EH16">
    <cfRule type="cellIs" dxfId="562" priority="542" operator="lessThan">
      <formula>0</formula>
    </cfRule>
  </conditionalFormatting>
  <conditionalFormatting sqref="EM16">
    <cfRule type="cellIs" dxfId="561" priority="541" operator="lessThan">
      <formula>0</formula>
    </cfRule>
  </conditionalFormatting>
  <conditionalFormatting sqref="EM16">
    <cfRule type="cellIs" dxfId="560" priority="540" operator="lessThan">
      <formula>0</formula>
    </cfRule>
  </conditionalFormatting>
  <conditionalFormatting sqref="EO16:EP16">
    <cfRule type="cellIs" dxfId="559" priority="539" operator="lessThan">
      <formula>0</formula>
    </cfRule>
  </conditionalFormatting>
  <conditionalFormatting sqref="EI16 EK16">
    <cfRule type="cellIs" dxfId="558" priority="538" operator="lessThan">
      <formula>0</formula>
    </cfRule>
  </conditionalFormatting>
  <conditionalFormatting sqref="EK16">
    <cfRule type="cellIs" dxfId="557" priority="537" operator="lessThan">
      <formula>0</formula>
    </cfRule>
  </conditionalFormatting>
  <conditionalFormatting sqref="EJ16">
    <cfRule type="cellIs" dxfId="556" priority="536" operator="lessThan">
      <formula>0</formula>
    </cfRule>
  </conditionalFormatting>
  <conditionalFormatting sqref="EL16">
    <cfRule type="cellIs" dxfId="555" priority="535" operator="lessThan">
      <formula>0</formula>
    </cfRule>
  </conditionalFormatting>
  <conditionalFormatting sqref="EN16">
    <cfRule type="cellIs" dxfId="554" priority="534" operator="lessThan">
      <formula>0</formula>
    </cfRule>
  </conditionalFormatting>
  <conditionalFormatting sqref="EC16">
    <cfRule type="cellIs" dxfId="553" priority="533" operator="lessThan">
      <formula>0</formula>
    </cfRule>
  </conditionalFormatting>
  <conditionalFormatting sqref="EC16">
    <cfRule type="cellIs" dxfId="552" priority="532" operator="lessThan">
      <formula>0</formula>
    </cfRule>
  </conditionalFormatting>
  <conditionalFormatting sqref="EE16:EF16">
    <cfRule type="cellIs" dxfId="551" priority="531" operator="lessThan">
      <formula>0</formula>
    </cfRule>
  </conditionalFormatting>
  <conditionalFormatting sqref="Z16">
    <cfRule type="cellIs" dxfId="550" priority="530" operator="lessThan">
      <formula>0</formula>
    </cfRule>
  </conditionalFormatting>
  <conditionalFormatting sqref="AV16 AX16 AZ16">
    <cfRule type="cellIs" dxfId="549" priority="529" operator="lessThan">
      <formula>0</formula>
    </cfRule>
  </conditionalFormatting>
  <conditionalFormatting sqref="X16">
    <cfRule type="cellIs" dxfId="548" priority="528" operator="lessThan">
      <formula>0</formula>
    </cfRule>
  </conditionalFormatting>
  <conditionalFormatting sqref="DW16 DY16 EA16">
    <cfRule type="cellIs" dxfId="547" priority="527" operator="lessThan">
      <formula>0</formula>
    </cfRule>
  </conditionalFormatting>
  <conditionalFormatting sqref="EA16">
    <cfRule type="cellIs" dxfId="546" priority="526" operator="lessThan">
      <formula>0</formula>
    </cfRule>
  </conditionalFormatting>
  <conditionalFormatting sqref="AK16">
    <cfRule type="cellIs" dxfId="545" priority="525" operator="lessThan">
      <formula>0</formula>
    </cfRule>
  </conditionalFormatting>
  <conditionalFormatting sqref="DA16">
    <cfRule type="cellIs" dxfId="544" priority="524" operator="lessThan">
      <formula>0</formula>
    </cfRule>
  </conditionalFormatting>
  <conditionalFormatting sqref="DV16">
    <cfRule type="cellIs" dxfId="543" priority="523" operator="lessThan">
      <formula>0</formula>
    </cfRule>
  </conditionalFormatting>
  <conditionalFormatting sqref="DG16">
    <cfRule type="cellIs" dxfId="542" priority="522" operator="lessThan">
      <formula>0</formula>
    </cfRule>
  </conditionalFormatting>
  <conditionalFormatting sqref="DJ16">
    <cfRule type="cellIs" dxfId="541" priority="521" operator="lessThan">
      <formula>0</formula>
    </cfRule>
  </conditionalFormatting>
  <conditionalFormatting sqref="DM16">
    <cfRule type="cellIs" dxfId="540" priority="520" operator="lessThan">
      <formula>0</formula>
    </cfRule>
  </conditionalFormatting>
  <conditionalFormatting sqref="DP16">
    <cfRule type="cellIs" dxfId="539" priority="519" operator="lessThan">
      <formula>0</formula>
    </cfRule>
  </conditionalFormatting>
  <conditionalFormatting sqref="DS16">
    <cfRule type="cellIs" dxfId="538" priority="518" operator="lessThan">
      <formula>0</formula>
    </cfRule>
  </conditionalFormatting>
  <conditionalFormatting sqref="DZ16">
    <cfRule type="cellIs" dxfId="537" priority="517" operator="lessThan">
      <formula>0</formula>
    </cfRule>
  </conditionalFormatting>
  <conditionalFormatting sqref="EB16">
    <cfRule type="cellIs" dxfId="536" priority="516" operator="lessThan">
      <formula>0</formula>
    </cfRule>
  </conditionalFormatting>
  <conditionalFormatting sqref="ED16">
    <cfRule type="cellIs" dxfId="535" priority="515" operator="lessThan">
      <formula>0</formula>
    </cfRule>
  </conditionalFormatting>
  <conditionalFormatting sqref="BO16">
    <cfRule type="cellIs" dxfId="534" priority="514" operator="lessThan">
      <formula>0</formula>
    </cfRule>
  </conditionalFormatting>
  <conditionalFormatting sqref="BQ16">
    <cfRule type="cellIs" dxfId="533" priority="513" operator="lessThan">
      <formula>0</formula>
    </cfRule>
  </conditionalFormatting>
  <conditionalFormatting sqref="BT16:BV16">
    <cfRule type="cellIs" dxfId="532" priority="512" operator="lessThan">
      <formula>0</formula>
    </cfRule>
  </conditionalFormatting>
  <conditionalFormatting sqref="BS16">
    <cfRule type="cellIs" dxfId="531" priority="511" operator="lessThan">
      <formula>0</formula>
    </cfRule>
  </conditionalFormatting>
  <conditionalFormatting sqref="BX16">
    <cfRule type="cellIs" dxfId="530" priority="510" operator="lessThan">
      <formula>0</formula>
    </cfRule>
  </conditionalFormatting>
  <conditionalFormatting sqref="BZ16">
    <cfRule type="cellIs" dxfId="529" priority="509" operator="lessThan">
      <formula>0</formula>
    </cfRule>
  </conditionalFormatting>
  <conditionalFormatting sqref="CB16">
    <cfRule type="cellIs" dxfId="528" priority="508" operator="lessThan">
      <formula>0</formula>
    </cfRule>
  </conditionalFormatting>
  <conditionalFormatting sqref="CC16">
    <cfRule type="cellIs" dxfId="527" priority="507" operator="lessThan">
      <formula>0</formula>
    </cfRule>
  </conditionalFormatting>
  <conditionalFormatting sqref="CG16">
    <cfRule type="cellIs" dxfId="526" priority="506" operator="lessThan">
      <formula>0</formula>
    </cfRule>
  </conditionalFormatting>
  <conditionalFormatting sqref="CI16">
    <cfRule type="cellIs" dxfId="525" priority="505" operator="lessThan">
      <formula>0</formula>
    </cfRule>
  </conditionalFormatting>
  <conditionalFormatting sqref="BW16">
    <cfRule type="cellIs" dxfId="524" priority="504" operator="lessThan">
      <formula>0</formula>
    </cfRule>
  </conditionalFormatting>
  <conditionalFormatting sqref="AT16">
    <cfRule type="cellIs" dxfId="523" priority="503" operator="lessThan">
      <formula>0</formula>
    </cfRule>
  </conditionalFormatting>
  <conditionalFormatting sqref="U17 G17:H18 R17:R18">
    <cfRule type="cellIs" dxfId="522" priority="502" operator="lessThan">
      <formula>0</formula>
    </cfRule>
  </conditionalFormatting>
  <conditionalFormatting sqref="B17:B18">
    <cfRule type="cellIs" dxfId="521" priority="501" operator="lessThan">
      <formula>0</formula>
    </cfRule>
  </conditionalFormatting>
  <conditionalFormatting sqref="D17:D18">
    <cfRule type="cellIs" dxfId="520" priority="500" operator="lessThan">
      <formula>0</formula>
    </cfRule>
  </conditionalFormatting>
  <conditionalFormatting sqref="U18">
    <cfRule type="cellIs" dxfId="519" priority="499" operator="lessThan">
      <formula>0</formula>
    </cfRule>
  </conditionalFormatting>
  <conditionalFormatting sqref="I17:I18">
    <cfRule type="cellIs" dxfId="518" priority="498" operator="lessThan">
      <formula>0</formula>
    </cfRule>
  </conditionalFormatting>
  <conditionalFormatting sqref="S17:S18">
    <cfRule type="cellIs" dxfId="517" priority="497" operator="lessThan">
      <formula>0</formula>
    </cfRule>
  </conditionalFormatting>
  <conditionalFormatting sqref="K17">
    <cfRule type="cellIs" dxfId="516" priority="496" operator="lessThan">
      <formula>0</formula>
    </cfRule>
  </conditionalFormatting>
  <conditionalFormatting sqref="Q17:Q18">
    <cfRule type="cellIs" dxfId="515" priority="495" operator="lessThan">
      <formula>0</formula>
    </cfRule>
  </conditionalFormatting>
  <conditionalFormatting sqref="L17:L18">
    <cfRule type="cellIs" dxfId="514" priority="494" operator="lessThan">
      <formula>0</formula>
    </cfRule>
  </conditionalFormatting>
  <conditionalFormatting sqref="R17:R18">
    <cfRule type="cellIs" dxfId="513" priority="493" operator="lessThan">
      <formula>0</formula>
    </cfRule>
  </conditionalFormatting>
  <conditionalFormatting sqref="C17:C18 E17:E18">
    <cfRule type="cellIs" dxfId="512" priority="490" operator="lessThan">
      <formula>0</formula>
    </cfRule>
  </conditionalFormatting>
  <conditionalFormatting sqref="F17:F18">
    <cfRule type="cellIs" dxfId="511" priority="489" operator="lessThan">
      <formula>0</formula>
    </cfRule>
  </conditionalFormatting>
  <conditionalFormatting sqref="J17:J18">
    <cfRule type="cellIs" dxfId="510" priority="488" operator="lessThan">
      <formula>0</formula>
    </cfRule>
  </conditionalFormatting>
  <conditionalFormatting sqref="N17:N18">
    <cfRule type="cellIs" dxfId="509" priority="487" operator="lessThan">
      <formula>0</formula>
    </cfRule>
  </conditionalFormatting>
  <conditionalFormatting sqref="P17:P18">
    <cfRule type="cellIs" dxfId="508" priority="486" operator="lessThan">
      <formula>0</formula>
    </cfRule>
  </conditionalFormatting>
  <conditionalFormatting sqref="T17:T18">
    <cfRule type="cellIs" dxfId="507" priority="485" operator="lessThan">
      <formula>0</formula>
    </cfRule>
  </conditionalFormatting>
  <conditionalFormatting sqref="T17:T18">
    <cfRule type="cellIs" dxfId="506" priority="484" operator="lessThan">
      <formula>0</formula>
    </cfRule>
  </conditionalFormatting>
  <conditionalFormatting sqref="M18">
    <cfRule type="cellIs" dxfId="505" priority="483" operator="lessThan">
      <formula>0</formula>
    </cfRule>
  </conditionalFormatting>
  <conditionalFormatting sqref="V17:V19">
    <cfRule type="cellIs" dxfId="504" priority="482" operator="lessThan">
      <formula>0</formula>
    </cfRule>
  </conditionalFormatting>
  <conditionalFormatting sqref="V17:V19">
    <cfRule type="cellIs" dxfId="503" priority="481" operator="lessThan">
      <formula>0</formula>
    </cfRule>
  </conditionalFormatting>
  <conditionalFormatting sqref="M17">
    <cfRule type="cellIs" dxfId="502" priority="480" operator="lessThan">
      <formula>0</formula>
    </cfRule>
  </conditionalFormatting>
  <conditionalFormatting sqref="K18">
    <cfRule type="cellIs" dxfId="501" priority="479" operator="lessThan">
      <formula>0</formula>
    </cfRule>
  </conditionalFormatting>
  <conditionalFormatting sqref="O17:O18">
    <cfRule type="cellIs" dxfId="500" priority="478" operator="lessThan">
      <formula>0</formula>
    </cfRule>
  </conditionalFormatting>
  <conditionalFormatting sqref="DQ17:DQ18 DT17:DT18 DN17:DN18 DK17:DK18 CP17:CP18 DH17:DH18 CY17 CA17 Y17:Y18 AU17:AU18 AY17:AY18 AW17:AW18 AL17:AL18 BY17:BY18 BP17:BP18 BR17:BR18 BN17:BN18 CS17:CS18 CV17:CV18 DX17:DX18 AF17:AJ18 AO17:AS18 BA17:BA18 CL17:CM18 AA17:AD18 BC17:BL18 CF17:CF18 CD17:CD18">
    <cfRule type="cellIs" dxfId="499" priority="475" operator="lessThan">
      <formula>0</formula>
    </cfRule>
  </conditionalFormatting>
  <conditionalFormatting sqref="AN17:AN18">
    <cfRule type="cellIs" dxfId="498" priority="474" operator="lessThan">
      <formula>0</formula>
    </cfRule>
  </conditionalFormatting>
  <conditionalFormatting sqref="CA18">
    <cfRule type="cellIs" dxfId="497" priority="473" operator="lessThan">
      <formula>0</formula>
    </cfRule>
  </conditionalFormatting>
  <conditionalFormatting sqref="CH17:CH18">
    <cfRule type="cellIs" dxfId="496" priority="472" operator="lessThan">
      <formula>0</formula>
    </cfRule>
  </conditionalFormatting>
  <conditionalFormatting sqref="CY18">
    <cfRule type="cellIs" dxfId="495" priority="471" operator="lessThan">
      <formula>0</formula>
    </cfRule>
  </conditionalFormatting>
  <conditionalFormatting sqref="DB17:DB18">
    <cfRule type="cellIs" dxfId="494" priority="470" operator="lessThan">
      <formula>0</formula>
    </cfRule>
  </conditionalFormatting>
  <conditionalFormatting sqref="DE17:DE18">
    <cfRule type="cellIs" dxfId="493" priority="469" operator="lessThan">
      <formula>0</formula>
    </cfRule>
  </conditionalFormatting>
  <conditionalFormatting sqref="EE17:EG18">
    <cfRule type="cellIs" dxfId="492" priority="468" operator="lessThan">
      <formula>0</formula>
    </cfRule>
  </conditionalFormatting>
  <conditionalFormatting sqref="Z17">
    <cfRule type="cellIs" dxfId="491" priority="467" operator="lessThan">
      <formula>0</formula>
    </cfRule>
  </conditionalFormatting>
  <conditionalFormatting sqref="Z18">
    <cfRule type="cellIs" dxfId="490" priority="466" operator="lessThan">
      <formula>0</formula>
    </cfRule>
  </conditionalFormatting>
  <conditionalFormatting sqref="BB17:BB18">
    <cfRule type="cellIs" dxfId="489" priority="465" operator="lessThan">
      <formula>0</formula>
    </cfRule>
  </conditionalFormatting>
  <conditionalFormatting sqref="AV17:AV18 AX17:AX18 BW18 AT18 AZ17:AZ18">
    <cfRule type="cellIs" dxfId="488" priority="464" operator="lessThan">
      <formula>0</formula>
    </cfRule>
  </conditionalFormatting>
  <conditionalFormatting sqref="X17:X18">
    <cfRule type="cellIs" dxfId="487" priority="463" operator="lessThan">
      <formula>0</formula>
    </cfRule>
  </conditionalFormatting>
  <conditionalFormatting sqref="DW17:DW18 DY17:DY18 EA17:EA18">
    <cfRule type="cellIs" dxfId="486" priority="462" operator="lessThan">
      <formula>0</formula>
    </cfRule>
  </conditionalFormatting>
  <conditionalFormatting sqref="EA17:EA18">
    <cfRule type="cellIs" dxfId="485" priority="461" operator="lessThan">
      <formula>0</formula>
    </cfRule>
  </conditionalFormatting>
  <conditionalFormatting sqref="EC17">
    <cfRule type="cellIs" dxfId="484" priority="460" operator="lessThan">
      <formula>0</formula>
    </cfRule>
  </conditionalFormatting>
  <conditionalFormatting sqref="EC17">
    <cfRule type="cellIs" dxfId="483" priority="459" operator="lessThan">
      <formula>0</formula>
    </cfRule>
  </conditionalFormatting>
  <conditionalFormatting sqref="EC17">
    <cfRule type="cellIs" dxfId="482" priority="458" operator="lessThan">
      <formula>0</formula>
    </cfRule>
  </conditionalFormatting>
  <conditionalFormatting sqref="EC18">
    <cfRule type="cellIs" dxfId="481" priority="457" operator="lessThan">
      <formula>0</formula>
    </cfRule>
  </conditionalFormatting>
  <conditionalFormatting sqref="EC18">
    <cfRule type="cellIs" dxfId="480" priority="456" operator="lessThan">
      <formula>0</formula>
    </cfRule>
  </conditionalFormatting>
  <conditionalFormatting sqref="EC18">
    <cfRule type="cellIs" dxfId="479" priority="455" operator="lessThan">
      <formula>0</formula>
    </cfRule>
  </conditionalFormatting>
  <conditionalFormatting sqref="AK17:AK18">
    <cfRule type="cellIs" dxfId="478" priority="454" operator="lessThan">
      <formula>0</formula>
    </cfRule>
  </conditionalFormatting>
  <conditionalFormatting sqref="CQ17:CR18 DL17:DL18 DI17:DI18 DC17:DD18 AE17:AE18 CN17:CO18 CT17:CU18 CZ17:CZ18 CW17:CX18 CE17:CE18 DO17:DO18 DR17:DR18 DU17:DU18 CJ17:CK18 BM17:BM18 AM17:AM18 DF17:DF18">
    <cfRule type="cellIs" dxfId="477" priority="453" operator="lessThan">
      <formula>0</formula>
    </cfRule>
  </conditionalFormatting>
  <conditionalFormatting sqref="DA17:DA18">
    <cfRule type="cellIs" dxfId="476" priority="452" operator="lessThan">
      <formula>0</formula>
    </cfRule>
  </conditionalFormatting>
  <conditionalFormatting sqref="DV17:DV18">
    <cfRule type="cellIs" dxfId="475" priority="451" operator="lessThan">
      <formula>0</formula>
    </cfRule>
  </conditionalFormatting>
  <conditionalFormatting sqref="DG17:DG18">
    <cfRule type="cellIs" dxfId="474" priority="450" operator="lessThan">
      <formula>0</formula>
    </cfRule>
  </conditionalFormatting>
  <conditionalFormatting sqref="DJ17:DJ18">
    <cfRule type="cellIs" dxfId="473" priority="449" operator="lessThan">
      <formula>0</formula>
    </cfRule>
  </conditionalFormatting>
  <conditionalFormatting sqref="DM17:DM18">
    <cfRule type="cellIs" dxfId="472" priority="448" operator="lessThan">
      <formula>0</formula>
    </cfRule>
  </conditionalFormatting>
  <conditionalFormatting sqref="DP17:DP18">
    <cfRule type="cellIs" dxfId="471" priority="447" operator="lessThan">
      <formula>0</formula>
    </cfRule>
  </conditionalFormatting>
  <conditionalFormatting sqref="DS17:DS18">
    <cfRule type="cellIs" dxfId="470" priority="446" operator="lessThan">
      <formula>0</formula>
    </cfRule>
  </conditionalFormatting>
  <conditionalFormatting sqref="DZ17:DZ18">
    <cfRule type="cellIs" dxfId="469" priority="445" operator="lessThan">
      <formula>0</formula>
    </cfRule>
  </conditionalFormatting>
  <conditionalFormatting sqref="EB17:EB18">
    <cfRule type="cellIs" dxfId="468" priority="444" operator="lessThan">
      <formula>0</formula>
    </cfRule>
  </conditionalFormatting>
  <conditionalFormatting sqref="ED17:ED18">
    <cfRule type="cellIs" dxfId="467" priority="443" operator="lessThan">
      <formula>0</formula>
    </cfRule>
  </conditionalFormatting>
  <conditionalFormatting sqref="BO17:BO18">
    <cfRule type="cellIs" dxfId="466" priority="442" operator="lessThan">
      <formula>0</formula>
    </cfRule>
  </conditionalFormatting>
  <conditionalFormatting sqref="BQ17:BQ18">
    <cfRule type="cellIs" dxfId="465" priority="441" operator="lessThan">
      <formula>0</formula>
    </cfRule>
  </conditionalFormatting>
  <conditionalFormatting sqref="BT17:BV18">
    <cfRule type="cellIs" dxfId="464" priority="440" operator="lessThan">
      <formula>0</formula>
    </cfRule>
  </conditionalFormatting>
  <conditionalFormatting sqref="BS17:BS18">
    <cfRule type="cellIs" dxfId="463" priority="439" operator="lessThan">
      <formula>0</formula>
    </cfRule>
  </conditionalFormatting>
  <conditionalFormatting sqref="BX17:BX18">
    <cfRule type="cellIs" dxfId="462" priority="438" operator="lessThan">
      <formula>0</formula>
    </cfRule>
  </conditionalFormatting>
  <conditionalFormatting sqref="BZ17:BZ18">
    <cfRule type="cellIs" dxfId="461" priority="437" operator="lessThan">
      <formula>0</formula>
    </cfRule>
  </conditionalFormatting>
  <conditionalFormatting sqref="CB17:CB18">
    <cfRule type="cellIs" dxfId="460" priority="436" operator="lessThan">
      <formula>0</formula>
    </cfRule>
  </conditionalFormatting>
  <conditionalFormatting sqref="CC17:CC18">
    <cfRule type="cellIs" dxfId="459" priority="435" operator="lessThan">
      <formula>0</formula>
    </cfRule>
  </conditionalFormatting>
  <conditionalFormatting sqref="CG17:CG18">
    <cfRule type="cellIs" dxfId="458" priority="434" operator="lessThan">
      <formula>0</formula>
    </cfRule>
  </conditionalFormatting>
  <conditionalFormatting sqref="CI17:CI18">
    <cfRule type="cellIs" dxfId="457" priority="433" operator="lessThan">
      <formula>0</formula>
    </cfRule>
  </conditionalFormatting>
  <conditionalFormatting sqref="BW17">
    <cfRule type="cellIs" dxfId="456" priority="432" operator="lessThan">
      <formula>0</formula>
    </cfRule>
  </conditionalFormatting>
  <conditionalFormatting sqref="AT17">
    <cfRule type="cellIs" dxfId="455" priority="431" operator="lessThan">
      <formula>0</formula>
    </cfRule>
  </conditionalFormatting>
  <conditionalFormatting sqref="AF19:AG19 DB19 DQ19 DT19 DN19 DK19 CY19 EH19:EM19 CP19 DH19 CA19 CH19 BE19 AU19 AY19 AW19 AL19 BY19 BP19 BR19 BN19 CS19 CV19 DE19 DX19 AI19:AJ19 AN19:AS19 BA19 CL19:CM19 BG19:BL19 Y19:AC19 BC19 CF19 CD19">
    <cfRule type="cellIs" dxfId="454" priority="430" operator="lessThan">
      <formula>0</formula>
    </cfRule>
  </conditionalFormatting>
  <conditionalFormatting sqref="AH19">
    <cfRule type="cellIs" dxfId="453" priority="429" operator="lessThan">
      <formula>0</formula>
    </cfRule>
  </conditionalFormatting>
  <conditionalFormatting sqref="EE19:EG19">
    <cfRule type="cellIs" dxfId="452" priority="428" operator="lessThan">
      <formula>0</formula>
    </cfRule>
  </conditionalFormatting>
  <conditionalFormatting sqref="AD19">
    <cfRule type="cellIs" dxfId="451" priority="427" operator="lessThan">
      <formula>0</formula>
    </cfRule>
  </conditionalFormatting>
  <conditionalFormatting sqref="BB19">
    <cfRule type="cellIs" dxfId="450" priority="426" operator="lessThan">
      <formula>0</formula>
    </cfRule>
  </conditionalFormatting>
  <conditionalFormatting sqref="BD19">
    <cfRule type="cellIs" dxfId="449" priority="425" operator="lessThan">
      <formula>0</formula>
    </cfRule>
  </conditionalFormatting>
  <conditionalFormatting sqref="BF19">
    <cfRule type="cellIs" dxfId="448" priority="424" operator="lessThan">
      <formula>0</formula>
    </cfRule>
  </conditionalFormatting>
  <conditionalFormatting sqref="AV19 AX19 BW19 AT19 AZ19">
    <cfRule type="cellIs" dxfId="447" priority="423" operator="lessThan">
      <formula>0</formula>
    </cfRule>
  </conditionalFormatting>
  <conditionalFormatting sqref="X19">
    <cfRule type="cellIs" dxfId="446" priority="422" operator="lessThan">
      <formula>0</formula>
    </cfRule>
  </conditionalFormatting>
  <conditionalFormatting sqref="DW19 DY19 EA19">
    <cfRule type="cellIs" dxfId="445" priority="421" operator="lessThan">
      <formula>0</formula>
    </cfRule>
  </conditionalFormatting>
  <conditionalFormatting sqref="EA19">
    <cfRule type="cellIs" dxfId="444" priority="420" operator="lessThan">
      <formula>0</formula>
    </cfRule>
  </conditionalFormatting>
  <conditionalFormatting sqref="EC19">
    <cfRule type="cellIs" dxfId="443" priority="419" operator="lessThan">
      <formula>0</formula>
    </cfRule>
  </conditionalFormatting>
  <conditionalFormatting sqref="EC19">
    <cfRule type="cellIs" dxfId="442" priority="418" operator="lessThan">
      <formula>0</formula>
    </cfRule>
  </conditionalFormatting>
  <conditionalFormatting sqref="EC19">
    <cfRule type="cellIs" dxfId="441" priority="417" operator="lessThan">
      <formula>0</formula>
    </cfRule>
  </conditionalFormatting>
  <conditionalFormatting sqref="AK19">
    <cfRule type="cellIs" dxfId="440" priority="416" operator="lessThan">
      <formula>0</formula>
    </cfRule>
  </conditionalFormatting>
  <conditionalFormatting sqref="CQ19:CR19 DL19 DI19 DC19:DD19 AE19 CN19:CO19 CT19:CU19 CZ19 CW19:CX19 CE19 DO19 DR19 DU19 CJ19:CK19 BM19 AM19 DF19">
    <cfRule type="cellIs" dxfId="439" priority="415" operator="lessThan">
      <formula>0</formula>
    </cfRule>
  </conditionalFormatting>
  <conditionalFormatting sqref="DA19">
    <cfRule type="cellIs" dxfId="438" priority="414" operator="lessThan">
      <formula>0</formula>
    </cfRule>
  </conditionalFormatting>
  <conditionalFormatting sqref="DV19">
    <cfRule type="cellIs" dxfId="437" priority="413" operator="lessThan">
      <formula>0</formula>
    </cfRule>
  </conditionalFormatting>
  <conditionalFormatting sqref="DG19">
    <cfRule type="cellIs" dxfId="436" priority="412" operator="lessThan">
      <formula>0</formula>
    </cfRule>
  </conditionalFormatting>
  <conditionalFormatting sqref="DJ19">
    <cfRule type="cellIs" dxfId="435" priority="411" operator="lessThan">
      <formula>0</formula>
    </cfRule>
  </conditionalFormatting>
  <conditionalFormatting sqref="DM19">
    <cfRule type="cellIs" dxfId="434" priority="410" operator="lessThan">
      <formula>0</formula>
    </cfRule>
  </conditionalFormatting>
  <conditionalFormatting sqref="DP19">
    <cfRule type="cellIs" dxfId="433" priority="409" operator="lessThan">
      <formula>0</formula>
    </cfRule>
  </conditionalFormatting>
  <conditionalFormatting sqref="DS19">
    <cfRule type="cellIs" dxfId="432" priority="408" operator="lessThan">
      <formula>0</formula>
    </cfRule>
  </conditionalFormatting>
  <conditionalFormatting sqref="DZ19">
    <cfRule type="cellIs" dxfId="431" priority="407" operator="lessThan">
      <formula>0</formula>
    </cfRule>
  </conditionalFormatting>
  <conditionalFormatting sqref="EB19">
    <cfRule type="cellIs" dxfId="430" priority="406" operator="lessThan">
      <formula>0</formula>
    </cfRule>
  </conditionalFormatting>
  <conditionalFormatting sqref="ED19">
    <cfRule type="cellIs" dxfId="429" priority="405" operator="lessThan">
      <formula>0</formula>
    </cfRule>
  </conditionalFormatting>
  <conditionalFormatting sqref="BO19">
    <cfRule type="cellIs" dxfId="428" priority="404" operator="lessThan">
      <formula>0</formula>
    </cfRule>
  </conditionalFormatting>
  <conditionalFormatting sqref="BQ19">
    <cfRule type="cellIs" dxfId="427" priority="403" operator="lessThan">
      <formula>0</formula>
    </cfRule>
  </conditionalFormatting>
  <conditionalFormatting sqref="BT19:BV19">
    <cfRule type="cellIs" dxfId="426" priority="402" operator="lessThan">
      <formula>0</formula>
    </cfRule>
  </conditionalFormatting>
  <conditionalFormatting sqref="BS19">
    <cfRule type="cellIs" dxfId="425" priority="401" operator="lessThan">
      <formula>0</formula>
    </cfRule>
  </conditionalFormatting>
  <conditionalFormatting sqref="BX19">
    <cfRule type="cellIs" dxfId="424" priority="400" operator="lessThan">
      <formula>0</formula>
    </cfRule>
  </conditionalFormatting>
  <conditionalFormatting sqref="BZ19">
    <cfRule type="cellIs" dxfId="423" priority="399" operator="lessThan">
      <formula>0</formula>
    </cfRule>
  </conditionalFormatting>
  <conditionalFormatting sqref="CB19">
    <cfRule type="cellIs" dxfId="422" priority="398" operator="lessThan">
      <formula>0</formula>
    </cfRule>
  </conditionalFormatting>
  <conditionalFormatting sqref="CC19">
    <cfRule type="cellIs" dxfId="421" priority="397" operator="lessThan">
      <formula>0</formula>
    </cfRule>
  </conditionalFormatting>
  <conditionalFormatting sqref="CG19">
    <cfRule type="cellIs" dxfId="420" priority="396" operator="lessThan">
      <formula>0</formula>
    </cfRule>
  </conditionalFormatting>
  <conditionalFormatting sqref="CI19">
    <cfRule type="cellIs" dxfId="419" priority="395" operator="lessThan">
      <formula>0</formula>
    </cfRule>
  </conditionalFormatting>
  <conditionalFormatting sqref="G19:H19 B19 D19 R19">
    <cfRule type="cellIs" dxfId="418" priority="394" operator="lessThan">
      <formula>0</formula>
    </cfRule>
  </conditionalFormatting>
  <conditionalFormatting sqref="I19">
    <cfRule type="cellIs" dxfId="417" priority="393" operator="lessThan">
      <formula>0</formula>
    </cfRule>
  </conditionalFormatting>
  <conditionalFormatting sqref="S19">
    <cfRule type="cellIs" dxfId="416" priority="392" operator="lessThan">
      <formula>0</formula>
    </cfRule>
  </conditionalFormatting>
  <conditionalFormatting sqref="Q19">
    <cfRule type="cellIs" dxfId="415" priority="391" operator="lessThan">
      <formula>0</formula>
    </cfRule>
  </conditionalFormatting>
  <conditionalFormatting sqref="L19">
    <cfRule type="cellIs" dxfId="414" priority="390" operator="lessThan">
      <formula>0</formula>
    </cfRule>
  </conditionalFormatting>
  <conditionalFormatting sqref="R19">
    <cfRule type="cellIs" dxfId="413" priority="389" operator="lessThan">
      <formula>0</formula>
    </cfRule>
  </conditionalFormatting>
  <conditionalFormatting sqref="C19 E19">
    <cfRule type="cellIs" dxfId="412" priority="388" operator="lessThan">
      <formula>0</formula>
    </cfRule>
  </conditionalFormatting>
  <conditionalFormatting sqref="F19">
    <cfRule type="cellIs" dxfId="411" priority="387" operator="lessThan">
      <formula>0</formula>
    </cfRule>
  </conditionalFormatting>
  <conditionalFormatting sqref="J19">
    <cfRule type="cellIs" dxfId="410" priority="386" operator="lessThan">
      <formula>0</formula>
    </cfRule>
  </conditionalFormatting>
  <conditionalFormatting sqref="N19">
    <cfRule type="cellIs" dxfId="409" priority="385" operator="lessThan">
      <formula>0</formula>
    </cfRule>
  </conditionalFormatting>
  <conditionalFormatting sqref="P19">
    <cfRule type="cellIs" dxfId="408" priority="384" operator="lessThan">
      <formula>0</formula>
    </cfRule>
  </conditionalFormatting>
  <conditionalFormatting sqref="T19">
    <cfRule type="cellIs" dxfId="407" priority="383" operator="lessThan">
      <formula>0</formula>
    </cfRule>
  </conditionalFormatting>
  <conditionalFormatting sqref="T19">
    <cfRule type="cellIs" dxfId="406" priority="382" operator="lessThan">
      <formula>0</formula>
    </cfRule>
  </conditionalFormatting>
  <conditionalFormatting sqref="K19">
    <cfRule type="cellIs" dxfId="405" priority="381" operator="lessThan">
      <formula>0</formula>
    </cfRule>
  </conditionalFormatting>
  <conditionalFormatting sqref="M19">
    <cfRule type="cellIs" dxfId="404" priority="380" operator="lessThan">
      <formula>0</formula>
    </cfRule>
  </conditionalFormatting>
  <conditionalFormatting sqref="O19">
    <cfRule type="cellIs" dxfId="403" priority="379" operator="lessThan">
      <formula>0</formula>
    </cfRule>
  </conditionalFormatting>
  <conditionalFormatting sqref="U20:U21 G20:H21 W20:W21 B20:B21 D20:D21 R20:S21">
    <cfRule type="cellIs" dxfId="402" priority="378" operator="lessThan">
      <formula>0</formula>
    </cfRule>
  </conditionalFormatting>
  <conditionalFormatting sqref="Q20">
    <cfRule type="cellIs" dxfId="401" priority="377" operator="lessThan">
      <formula>0</formula>
    </cfRule>
  </conditionalFormatting>
  <conditionalFormatting sqref="L20:L21">
    <cfRule type="cellIs" dxfId="400" priority="376" operator="lessThan">
      <formula>0</formula>
    </cfRule>
  </conditionalFormatting>
  <conditionalFormatting sqref="R20:R21">
    <cfRule type="cellIs" dxfId="399" priority="375" operator="lessThan">
      <formula>0</formula>
    </cfRule>
  </conditionalFormatting>
  <conditionalFormatting sqref="C20:C21 E20:E21">
    <cfRule type="cellIs" dxfId="398" priority="373" operator="lessThan">
      <formula>0</formula>
    </cfRule>
  </conditionalFormatting>
  <conditionalFormatting sqref="F20:F21">
    <cfRule type="cellIs" dxfId="397" priority="372" operator="lessThan">
      <formula>0</formula>
    </cfRule>
  </conditionalFormatting>
  <conditionalFormatting sqref="J20:J21">
    <cfRule type="cellIs" dxfId="396" priority="371" operator="lessThan">
      <formula>0</formula>
    </cfRule>
  </conditionalFormatting>
  <conditionalFormatting sqref="N20:N21">
    <cfRule type="cellIs" dxfId="395" priority="370" operator="lessThan">
      <formula>0</formula>
    </cfRule>
  </conditionalFormatting>
  <conditionalFormatting sqref="P20:P21">
    <cfRule type="cellIs" dxfId="394" priority="369" operator="lessThan">
      <formula>0</formula>
    </cfRule>
  </conditionalFormatting>
  <conditionalFormatting sqref="T20:T21">
    <cfRule type="cellIs" dxfId="393" priority="368" operator="lessThan">
      <formula>0</formula>
    </cfRule>
  </conditionalFormatting>
  <conditionalFormatting sqref="T20:T21">
    <cfRule type="cellIs" dxfId="392" priority="367" operator="lessThan">
      <formula>0</formula>
    </cfRule>
  </conditionalFormatting>
  <conditionalFormatting sqref="Q21">
    <cfRule type="cellIs" dxfId="391" priority="366" operator="lessThan">
      <formula>0</formula>
    </cfRule>
  </conditionalFormatting>
  <conditionalFormatting sqref="V20:V21">
    <cfRule type="cellIs" dxfId="390" priority="365" operator="lessThan">
      <formula>0</formula>
    </cfRule>
  </conditionalFormatting>
  <conditionalFormatting sqref="V20:V21">
    <cfRule type="cellIs" dxfId="389" priority="364" operator="lessThan">
      <formula>0</formula>
    </cfRule>
  </conditionalFormatting>
  <conditionalFormatting sqref="I20">
    <cfRule type="cellIs" dxfId="388" priority="363" operator="lessThan">
      <formula>0</formula>
    </cfRule>
  </conditionalFormatting>
  <conditionalFormatting sqref="I21">
    <cfRule type="cellIs" dxfId="387" priority="362" operator="lessThan">
      <formula>0</formula>
    </cfRule>
  </conditionalFormatting>
  <conditionalFormatting sqref="K20">
    <cfRule type="cellIs" dxfId="386" priority="361" operator="lessThan">
      <formula>0</formula>
    </cfRule>
  </conditionalFormatting>
  <conditionalFormatting sqref="K21">
    <cfRule type="cellIs" dxfId="385" priority="360" operator="lessThan">
      <formula>0</formula>
    </cfRule>
  </conditionalFormatting>
  <conditionalFormatting sqref="M20">
    <cfRule type="cellIs" dxfId="384" priority="359" operator="lessThan">
      <formula>0</formula>
    </cfRule>
  </conditionalFormatting>
  <conditionalFormatting sqref="M21">
    <cfRule type="cellIs" dxfId="383" priority="358" operator="lessThan">
      <formula>0</formula>
    </cfRule>
  </conditionalFormatting>
  <conditionalFormatting sqref="O20">
    <cfRule type="cellIs" dxfId="382" priority="357" operator="lessThan">
      <formula>0</formula>
    </cfRule>
  </conditionalFormatting>
  <conditionalFormatting sqref="O21">
    <cfRule type="cellIs" dxfId="381" priority="356" operator="lessThan">
      <formula>0</formula>
    </cfRule>
  </conditionalFormatting>
  <conditionalFormatting sqref="BB20 DB20:DB21 AF20:AJ21 DK20:DK21 CY20:CY21 CP20:CP21 DH20:DH21 DN21 DQ21 DT21 AD21 AR20 AS20:AS21 CA20:CA21 CH20:CH21 BE20:BE21 AU20:AU21 AY20:AY21 AW20:AW21 BW20:BW21 AL20:AL21 BY20:BY21 BP20:BP21 BR20:BR21 BN20:BN21 CS20:CS21 CV20:CV21 DE20:DE21 DX20:DX21 AN20:AQ21 BA20:BA21 CL20:CM21 BG20:BL21 Y20:AC21 BC20:BC21 CF20:CF21 CD20:CD21">
    <cfRule type="cellIs" dxfId="380" priority="355" operator="lessThan">
      <formula>0</formula>
    </cfRule>
  </conditionalFormatting>
  <conditionalFormatting sqref="EE20:EG21">
    <cfRule type="cellIs" dxfId="379" priority="354" operator="lessThan">
      <formula>0</formula>
    </cfRule>
  </conditionalFormatting>
  <conditionalFormatting sqref="AV20">
    <cfRule type="cellIs" dxfId="378" priority="353" operator="lessThan">
      <formula>0</formula>
    </cfRule>
  </conditionalFormatting>
  <conditionalFormatting sqref="DN20 DQ20 DT20">
    <cfRule type="cellIs" dxfId="377" priority="352" operator="lessThan">
      <formula>0</formula>
    </cfRule>
  </conditionalFormatting>
  <conditionalFormatting sqref="AD20">
    <cfRule type="cellIs" dxfId="376" priority="351" operator="lessThan">
      <formula>0</formula>
    </cfRule>
  </conditionalFormatting>
  <conditionalFormatting sqref="AX20">
    <cfRule type="cellIs" dxfId="375" priority="350" operator="lessThan">
      <formula>0</formula>
    </cfRule>
  </conditionalFormatting>
  <conditionalFormatting sqref="BD20">
    <cfRule type="cellIs" dxfId="374" priority="349" operator="lessThan">
      <formula>0</formula>
    </cfRule>
  </conditionalFormatting>
  <conditionalFormatting sqref="BF20">
    <cfRule type="cellIs" dxfId="373" priority="348" operator="lessThan">
      <formula>0</formula>
    </cfRule>
  </conditionalFormatting>
  <conditionalFormatting sqref="AR21 BB21">
    <cfRule type="cellIs" dxfId="372" priority="347" operator="lessThan">
      <formula>0</formula>
    </cfRule>
  </conditionalFormatting>
  <conditionalFormatting sqref="AV21">
    <cfRule type="cellIs" dxfId="371" priority="346" operator="lessThan">
      <formula>0</formula>
    </cfRule>
  </conditionalFormatting>
  <conditionalFormatting sqref="AX21">
    <cfRule type="cellIs" dxfId="370" priority="345" operator="lessThan">
      <formula>0</formula>
    </cfRule>
  </conditionalFormatting>
  <conditionalFormatting sqref="BD21">
    <cfRule type="cellIs" dxfId="369" priority="344" operator="lessThan">
      <formula>0</formula>
    </cfRule>
  </conditionalFormatting>
  <conditionalFormatting sqref="BF21">
    <cfRule type="cellIs" dxfId="368" priority="343" operator="lessThan">
      <formula>0</formula>
    </cfRule>
  </conditionalFormatting>
  <conditionalFormatting sqref="AT20:AT21">
    <cfRule type="cellIs" dxfId="367" priority="342" operator="lessThan">
      <formula>0</formula>
    </cfRule>
  </conditionalFormatting>
  <conditionalFormatting sqref="DW20 DY20 EA20">
    <cfRule type="cellIs" dxfId="366" priority="341" operator="lessThan">
      <formula>0</formula>
    </cfRule>
  </conditionalFormatting>
  <conditionalFormatting sqref="EA20">
    <cfRule type="cellIs" dxfId="365" priority="340" operator="lessThan">
      <formula>0</formula>
    </cfRule>
  </conditionalFormatting>
  <conditionalFormatting sqref="EC20">
    <cfRule type="cellIs" dxfId="364" priority="339" operator="lessThan">
      <formula>0</formula>
    </cfRule>
  </conditionalFormatting>
  <conditionalFormatting sqref="EC20">
    <cfRule type="cellIs" dxfId="363" priority="338" operator="lessThan">
      <formula>0</formula>
    </cfRule>
  </conditionalFormatting>
  <conditionalFormatting sqref="EC20">
    <cfRule type="cellIs" dxfId="362" priority="337" operator="lessThan">
      <formula>0</formula>
    </cfRule>
  </conditionalFormatting>
  <conditionalFormatting sqref="AK20:AK21">
    <cfRule type="cellIs" dxfId="361" priority="336" operator="lessThan">
      <formula>0</formula>
    </cfRule>
  </conditionalFormatting>
  <conditionalFormatting sqref="CQ20:CR21 DL20:DL21 DI20:DI21 DC20:DD21 AE20:AE21 CN20:CO21 CT20:CU21 CZ20:CZ21 CW20:CX21 CE20:CE21 DO20:DO21 DR20:DR21 DU20:DU21 CJ20:CK21 BM20:BM21 AM20:AM21 DF20:DF21">
    <cfRule type="cellIs" dxfId="360" priority="335" operator="lessThan">
      <formula>0</formula>
    </cfRule>
  </conditionalFormatting>
  <conditionalFormatting sqref="DA20:DA21">
    <cfRule type="cellIs" dxfId="359" priority="334" operator="lessThan">
      <formula>0</formula>
    </cfRule>
  </conditionalFormatting>
  <conditionalFormatting sqref="DV20:DV21">
    <cfRule type="cellIs" dxfId="358" priority="333" operator="lessThan">
      <formula>0</formula>
    </cfRule>
  </conditionalFormatting>
  <conditionalFormatting sqref="DG20:DG21">
    <cfRule type="cellIs" dxfId="357" priority="332" operator="lessThan">
      <formula>0</formula>
    </cfRule>
  </conditionalFormatting>
  <conditionalFormatting sqref="DJ20:DJ21">
    <cfRule type="cellIs" dxfId="356" priority="331" operator="lessThan">
      <formula>0</formula>
    </cfRule>
  </conditionalFormatting>
  <conditionalFormatting sqref="DM20:DM21">
    <cfRule type="cellIs" dxfId="355" priority="330" operator="lessThan">
      <formula>0</formula>
    </cfRule>
  </conditionalFormatting>
  <conditionalFormatting sqref="DP20:DP21">
    <cfRule type="cellIs" dxfId="354" priority="329" operator="lessThan">
      <formula>0</formula>
    </cfRule>
  </conditionalFormatting>
  <conditionalFormatting sqref="DS20:DS21">
    <cfRule type="cellIs" dxfId="353" priority="328" operator="lessThan">
      <formula>0</formula>
    </cfRule>
  </conditionalFormatting>
  <conditionalFormatting sqref="DZ20:DZ21">
    <cfRule type="cellIs" dxfId="352" priority="327" operator="lessThan">
      <formula>0</formula>
    </cfRule>
  </conditionalFormatting>
  <conditionalFormatting sqref="EB20:EB21">
    <cfRule type="cellIs" dxfId="351" priority="326" operator="lessThan">
      <formula>0</formula>
    </cfRule>
  </conditionalFormatting>
  <conditionalFormatting sqref="ED20:ED21">
    <cfRule type="cellIs" dxfId="350" priority="325" operator="lessThan">
      <formula>0</formula>
    </cfRule>
  </conditionalFormatting>
  <conditionalFormatting sqref="BO20:BO21">
    <cfRule type="cellIs" dxfId="349" priority="324" operator="lessThan">
      <formula>0</formula>
    </cfRule>
  </conditionalFormatting>
  <conditionalFormatting sqref="BQ20:BQ21">
    <cfRule type="cellIs" dxfId="348" priority="323" operator="lessThan">
      <formula>0</formula>
    </cfRule>
  </conditionalFormatting>
  <conditionalFormatting sqref="BT20:BV21">
    <cfRule type="cellIs" dxfId="347" priority="322" operator="lessThan">
      <formula>0</formula>
    </cfRule>
  </conditionalFormatting>
  <conditionalFormatting sqref="BS20:BS21">
    <cfRule type="cellIs" dxfId="346" priority="321" operator="lessThan">
      <formula>0</formula>
    </cfRule>
  </conditionalFormatting>
  <conditionalFormatting sqref="BX20:BX21">
    <cfRule type="cellIs" dxfId="345" priority="320" operator="lessThan">
      <formula>0</formula>
    </cfRule>
  </conditionalFormatting>
  <conditionalFormatting sqref="BZ20:BZ21">
    <cfRule type="cellIs" dxfId="344" priority="319" operator="lessThan">
      <formula>0</formula>
    </cfRule>
  </conditionalFormatting>
  <conditionalFormatting sqref="CB20:CB21">
    <cfRule type="cellIs" dxfId="343" priority="318" operator="lessThan">
      <formula>0</formula>
    </cfRule>
  </conditionalFormatting>
  <conditionalFormatting sqref="CC20:CC21">
    <cfRule type="cellIs" dxfId="342" priority="317" operator="lessThan">
      <formula>0</formula>
    </cfRule>
  </conditionalFormatting>
  <conditionalFormatting sqref="CG20:CG21">
    <cfRule type="cellIs" dxfId="341" priority="316" operator="lessThan">
      <formula>0</formula>
    </cfRule>
  </conditionalFormatting>
  <conditionalFormatting sqref="CI20:CI21">
    <cfRule type="cellIs" dxfId="340" priority="315" operator="lessThan">
      <formula>0</formula>
    </cfRule>
  </conditionalFormatting>
  <conditionalFormatting sqref="AZ20">
    <cfRule type="cellIs" dxfId="339" priority="314" operator="lessThan">
      <formula>0</formula>
    </cfRule>
  </conditionalFormatting>
  <conditionalFormatting sqref="AZ21">
    <cfRule type="cellIs" dxfId="338" priority="313" operator="lessThan">
      <formula>0</formula>
    </cfRule>
  </conditionalFormatting>
  <conditionalFormatting sqref="X20">
    <cfRule type="cellIs" dxfId="337" priority="312" operator="lessThan">
      <formula>0</formula>
    </cfRule>
  </conditionalFormatting>
  <conditionalFormatting sqref="X21">
    <cfRule type="cellIs" dxfId="336" priority="311" operator="lessThan">
      <formula>0</formula>
    </cfRule>
  </conditionalFormatting>
  <conditionalFormatting sqref="DW21">
    <cfRule type="cellIs" dxfId="335" priority="310" operator="lessThan">
      <formula>0</formula>
    </cfRule>
  </conditionalFormatting>
  <conditionalFormatting sqref="DY21">
    <cfRule type="cellIs" dxfId="334" priority="309" operator="lessThan">
      <formula>0</formula>
    </cfRule>
  </conditionalFormatting>
  <conditionalFormatting sqref="EA21">
    <cfRule type="cellIs" dxfId="333" priority="308" operator="lessThan">
      <formula>0</formula>
    </cfRule>
  </conditionalFormatting>
  <conditionalFormatting sqref="EA21">
    <cfRule type="cellIs" dxfId="332" priority="307" operator="lessThan">
      <formula>0</formula>
    </cfRule>
  </conditionalFormatting>
  <conditionalFormatting sqref="EC21">
    <cfRule type="cellIs" dxfId="331" priority="306" operator="lessThan">
      <formula>0</formula>
    </cfRule>
  </conditionalFormatting>
  <conditionalFormatting sqref="EC21">
    <cfRule type="cellIs" dxfId="330" priority="305" operator="lessThan">
      <formula>0</formula>
    </cfRule>
  </conditionalFormatting>
  <conditionalFormatting sqref="EC21">
    <cfRule type="cellIs" dxfId="329" priority="304" operator="lessThan">
      <formula>0</formula>
    </cfRule>
  </conditionalFormatting>
  <conditionalFormatting sqref="Q22 U22:U23 G22:H22 W22:W23 B22:B23 D22 R22:S23">
    <cfRule type="cellIs" dxfId="328" priority="303" operator="lessThan">
      <formula>0</formula>
    </cfRule>
  </conditionalFormatting>
  <conditionalFormatting sqref="G23:H23 Q23">
    <cfRule type="cellIs" dxfId="327" priority="302" operator="lessThan">
      <formula>0</formula>
    </cfRule>
  </conditionalFormatting>
  <conditionalFormatting sqref="L22:L23">
    <cfRule type="cellIs" dxfId="326" priority="301" operator="lessThan">
      <formula>0</formula>
    </cfRule>
  </conditionalFormatting>
  <conditionalFormatting sqref="R22:R23">
    <cfRule type="cellIs" dxfId="325" priority="300" operator="lessThan">
      <formula>0</formula>
    </cfRule>
  </conditionalFormatting>
  <conditionalFormatting sqref="C22:C23 E22">
    <cfRule type="cellIs" dxfId="324" priority="298" operator="lessThan">
      <formula>0</formula>
    </cfRule>
  </conditionalFormatting>
  <conditionalFormatting sqref="F22:F23">
    <cfRule type="cellIs" dxfId="323" priority="297" operator="lessThan">
      <formula>0</formula>
    </cfRule>
  </conditionalFormatting>
  <conditionalFormatting sqref="J22:J23">
    <cfRule type="cellIs" dxfId="322" priority="296" operator="lessThan">
      <formula>0</formula>
    </cfRule>
  </conditionalFormatting>
  <conditionalFormatting sqref="N22:N23">
    <cfRule type="cellIs" dxfId="321" priority="295" operator="lessThan">
      <formula>0</formula>
    </cfRule>
  </conditionalFormatting>
  <conditionalFormatting sqref="P22:P23">
    <cfRule type="cellIs" dxfId="320" priority="294" operator="lessThan">
      <formula>0</formula>
    </cfRule>
  </conditionalFormatting>
  <conditionalFormatting sqref="T22:T23">
    <cfRule type="cellIs" dxfId="319" priority="293" operator="lessThan">
      <formula>0</formula>
    </cfRule>
  </conditionalFormatting>
  <conditionalFormatting sqref="T22:T23">
    <cfRule type="cellIs" dxfId="318" priority="292" operator="lessThan">
      <formula>0</formula>
    </cfRule>
  </conditionalFormatting>
  <conditionalFormatting sqref="I22">
    <cfRule type="cellIs" dxfId="317" priority="291" operator="lessThan">
      <formula>0</formula>
    </cfRule>
  </conditionalFormatting>
  <conditionalFormatting sqref="K22">
    <cfRule type="cellIs" dxfId="316" priority="290" operator="lessThan">
      <formula>0</formula>
    </cfRule>
  </conditionalFormatting>
  <conditionalFormatting sqref="M22">
    <cfRule type="cellIs" dxfId="315" priority="289" operator="lessThan">
      <formula>0</formula>
    </cfRule>
  </conditionalFormatting>
  <conditionalFormatting sqref="O22">
    <cfRule type="cellIs" dxfId="314" priority="288" operator="lessThan">
      <formula>0</formula>
    </cfRule>
  </conditionalFormatting>
  <conditionalFormatting sqref="I23">
    <cfRule type="cellIs" dxfId="313" priority="287" operator="lessThan">
      <formula>0</formula>
    </cfRule>
  </conditionalFormatting>
  <conditionalFormatting sqref="K23">
    <cfRule type="cellIs" dxfId="312" priority="286" operator="lessThan">
      <formula>0</formula>
    </cfRule>
  </conditionalFormatting>
  <conditionalFormatting sqref="M23">
    <cfRule type="cellIs" dxfId="311" priority="285" operator="lessThan">
      <formula>0</formula>
    </cfRule>
  </conditionalFormatting>
  <conditionalFormatting sqref="O23">
    <cfRule type="cellIs" dxfId="310" priority="284" operator="lessThan">
      <formula>0</formula>
    </cfRule>
  </conditionalFormatting>
  <conditionalFormatting sqref="V22:V24">
    <cfRule type="cellIs" dxfId="309" priority="283" operator="lessThan">
      <formula>0</formula>
    </cfRule>
  </conditionalFormatting>
  <conditionalFormatting sqref="V22:V24">
    <cfRule type="cellIs" dxfId="308" priority="282" operator="lessThan">
      <formula>0</formula>
    </cfRule>
  </conditionalFormatting>
  <conditionalFormatting sqref="DB22:DB23 DK22:DK23 CY22:CY23 CP22:CP23 DH22:DH23 DN22:DN23 DQ22:DQ23 DT22:DT23 AS22 CA22:CA23 CH22:CH23 BE22 AU22 AQ22 AY22:AY23 BD23:BE23 AU23:AV23 AW22:AW23 BB23 BJ22:BL22 BJ23:BK23 BW22:BW23 AL22:AL23 BY22:BY23 BP22:BP23 BR22:BR23 BN22:BN23 CS22:CS23 CV22:CV23 DE22:DE23 DX22:DX23 BI22:BI23 AF22:AJ23 AN23:AS23 AO22 BA22:BA23 CL22:CM23 BG22:BG23 Y22:AD23 BC22:BC23 CF22:CF23 CD22:CD23">
    <cfRule type="cellIs" dxfId="307" priority="281" operator="lessThan">
      <formula>0</formula>
    </cfRule>
  </conditionalFormatting>
  <conditionalFormatting sqref="EE22:EG23">
    <cfRule type="cellIs" dxfId="306" priority="280" operator="lessThan">
      <formula>0</formula>
    </cfRule>
  </conditionalFormatting>
  <conditionalFormatting sqref="AN22 AP22">
    <cfRule type="cellIs" dxfId="305" priority="279" operator="lessThan">
      <formula>0</formula>
    </cfRule>
  </conditionalFormatting>
  <conditionalFormatting sqref="AR22">
    <cfRule type="cellIs" dxfId="304" priority="278" operator="lessThan">
      <formula>0</formula>
    </cfRule>
  </conditionalFormatting>
  <conditionalFormatting sqref="AV22">
    <cfRule type="cellIs" dxfId="303" priority="277" operator="lessThan">
      <formula>0</formula>
    </cfRule>
  </conditionalFormatting>
  <conditionalFormatting sqref="AX22:AX23">
    <cfRule type="cellIs" dxfId="302" priority="276" operator="lessThan">
      <formula>0</formula>
    </cfRule>
  </conditionalFormatting>
  <conditionalFormatting sqref="BB22">
    <cfRule type="cellIs" dxfId="301" priority="275" operator="lessThan">
      <formula>0</formula>
    </cfRule>
  </conditionalFormatting>
  <conditionalFormatting sqref="BH22">
    <cfRule type="cellIs" dxfId="300" priority="274" operator="lessThan">
      <formula>0</formula>
    </cfRule>
  </conditionalFormatting>
  <conditionalFormatting sqref="BD22">
    <cfRule type="cellIs" dxfId="299" priority="273" operator="lessThan">
      <formula>0</formula>
    </cfRule>
  </conditionalFormatting>
  <conditionalFormatting sqref="BF22">
    <cfRule type="cellIs" dxfId="298" priority="272" operator="lessThan">
      <formula>0</formula>
    </cfRule>
  </conditionalFormatting>
  <conditionalFormatting sqref="BL23">
    <cfRule type="cellIs" dxfId="297" priority="271" operator="lessThan">
      <formula>0</formula>
    </cfRule>
  </conditionalFormatting>
  <conditionalFormatting sqref="BH23">
    <cfRule type="cellIs" dxfId="296" priority="270" operator="lessThan">
      <formula>0</formula>
    </cfRule>
  </conditionalFormatting>
  <conditionalFormatting sqref="BF23">
    <cfRule type="cellIs" dxfId="295" priority="269" operator="lessThan">
      <formula>0</formula>
    </cfRule>
  </conditionalFormatting>
  <conditionalFormatting sqref="AT22:AT23">
    <cfRule type="cellIs" dxfId="294" priority="268" operator="lessThan">
      <formula>0</formula>
    </cfRule>
  </conditionalFormatting>
  <conditionalFormatting sqref="X22:X23">
    <cfRule type="cellIs" dxfId="293" priority="267" operator="lessThan">
      <formula>0</formula>
    </cfRule>
  </conditionalFormatting>
  <conditionalFormatting sqref="DW22:DW23">
    <cfRule type="cellIs" dxfId="292" priority="266" operator="lessThan">
      <formula>0</formula>
    </cfRule>
  </conditionalFormatting>
  <conditionalFormatting sqref="DY22:DY23">
    <cfRule type="cellIs" dxfId="291" priority="265" operator="lessThan">
      <formula>0</formula>
    </cfRule>
  </conditionalFormatting>
  <conditionalFormatting sqref="EA22:EA23">
    <cfRule type="cellIs" dxfId="290" priority="264" operator="lessThan">
      <formula>0</formula>
    </cfRule>
  </conditionalFormatting>
  <conditionalFormatting sqref="EA22:EA23">
    <cfRule type="cellIs" dxfId="289" priority="263" operator="lessThan">
      <formula>0</formula>
    </cfRule>
  </conditionalFormatting>
  <conditionalFormatting sqref="EC22:EC23">
    <cfRule type="cellIs" dxfId="288" priority="262" operator="lessThan">
      <formula>0</formula>
    </cfRule>
  </conditionalFormatting>
  <conditionalFormatting sqref="EC22:EC23">
    <cfRule type="cellIs" dxfId="287" priority="261" operator="lessThan">
      <formula>0</formula>
    </cfRule>
  </conditionalFormatting>
  <conditionalFormatting sqref="EC22:EC23">
    <cfRule type="cellIs" dxfId="286" priority="260" operator="lessThan">
      <formula>0</formula>
    </cfRule>
  </conditionalFormatting>
  <conditionalFormatting sqref="AK22:AK23">
    <cfRule type="cellIs" dxfId="285" priority="259" operator="lessThan">
      <formula>0</formula>
    </cfRule>
  </conditionalFormatting>
  <conditionalFormatting sqref="CQ22:CR23 DL22:DL23 DI22:DI23 DC22:DD23 AE22:AE23 CN22:CO23 CT22:CU23 CZ22:CZ23 CW22:CX23 CE22:CE23 DO22:DO23 DR22:DR23 DU22:DU23 CJ22:CK23 BM22:BM23 AM22:AM23 DF22:DF23">
    <cfRule type="cellIs" dxfId="284" priority="258" operator="lessThan">
      <formula>0</formula>
    </cfRule>
  </conditionalFormatting>
  <conditionalFormatting sqref="DA22:DA23">
    <cfRule type="cellIs" dxfId="283" priority="257" operator="lessThan">
      <formula>0</formula>
    </cfRule>
  </conditionalFormatting>
  <conditionalFormatting sqref="DV22:DV23">
    <cfRule type="cellIs" dxfId="282" priority="256" operator="lessThan">
      <formula>0</formula>
    </cfRule>
  </conditionalFormatting>
  <conditionalFormatting sqref="DG22:DG23">
    <cfRule type="cellIs" dxfId="281" priority="255" operator="lessThan">
      <formula>0</formula>
    </cfRule>
  </conditionalFormatting>
  <conditionalFormatting sqref="DJ22:DJ23">
    <cfRule type="cellIs" dxfId="280" priority="254" operator="lessThan">
      <formula>0</formula>
    </cfRule>
  </conditionalFormatting>
  <conditionalFormatting sqref="DM22:DM23">
    <cfRule type="cellIs" dxfId="279" priority="253" operator="lessThan">
      <formula>0</formula>
    </cfRule>
  </conditionalFormatting>
  <conditionalFormatting sqref="DP22:DP23">
    <cfRule type="cellIs" dxfId="278" priority="252" operator="lessThan">
      <formula>0</formula>
    </cfRule>
  </conditionalFormatting>
  <conditionalFormatting sqref="DS22:DS23">
    <cfRule type="cellIs" dxfId="277" priority="251" operator="lessThan">
      <formula>0</formula>
    </cfRule>
  </conditionalFormatting>
  <conditionalFormatting sqref="DZ22:DZ23">
    <cfRule type="cellIs" dxfId="276" priority="250" operator="lessThan">
      <formula>0</formula>
    </cfRule>
  </conditionalFormatting>
  <conditionalFormatting sqref="EB22:EB23">
    <cfRule type="cellIs" dxfId="275" priority="249" operator="lessThan">
      <formula>0</formula>
    </cfRule>
  </conditionalFormatting>
  <conditionalFormatting sqref="ED22:ED23">
    <cfRule type="cellIs" dxfId="274" priority="248" operator="lessThan">
      <formula>0</formula>
    </cfRule>
  </conditionalFormatting>
  <conditionalFormatting sqref="BO22:BO23">
    <cfRule type="cellIs" dxfId="273" priority="247" operator="lessThan">
      <formula>0</formula>
    </cfRule>
  </conditionalFormatting>
  <conditionalFormatting sqref="BQ22:BQ23">
    <cfRule type="cellIs" dxfId="272" priority="246" operator="lessThan">
      <formula>0</formula>
    </cfRule>
  </conditionalFormatting>
  <conditionalFormatting sqref="BT22:BV23">
    <cfRule type="cellIs" dxfId="271" priority="245" operator="lessThan">
      <formula>0</formula>
    </cfRule>
  </conditionalFormatting>
  <conditionalFormatting sqref="BS22:BS23">
    <cfRule type="cellIs" dxfId="270" priority="244" operator="lessThan">
      <formula>0</formula>
    </cfRule>
  </conditionalFormatting>
  <conditionalFormatting sqref="BX22:BX23">
    <cfRule type="cellIs" dxfId="269" priority="243" operator="lessThan">
      <formula>0</formula>
    </cfRule>
  </conditionalFormatting>
  <conditionalFormatting sqref="BZ22:BZ23">
    <cfRule type="cellIs" dxfId="268" priority="242" operator="lessThan">
      <formula>0</formula>
    </cfRule>
  </conditionalFormatting>
  <conditionalFormatting sqref="CB22:CB23">
    <cfRule type="cellIs" dxfId="267" priority="241" operator="lessThan">
      <formula>0</formula>
    </cfRule>
  </conditionalFormatting>
  <conditionalFormatting sqref="CC22:CC23">
    <cfRule type="cellIs" dxfId="266" priority="240" operator="lessThan">
      <formula>0</formula>
    </cfRule>
  </conditionalFormatting>
  <conditionalFormatting sqref="CG22:CG23">
    <cfRule type="cellIs" dxfId="265" priority="239" operator="lessThan">
      <formula>0</formula>
    </cfRule>
  </conditionalFormatting>
  <conditionalFormatting sqref="CI22:CI23">
    <cfRule type="cellIs" dxfId="264" priority="238" operator="lessThan">
      <formula>0</formula>
    </cfRule>
  </conditionalFormatting>
  <conditionalFormatting sqref="AZ22">
    <cfRule type="cellIs" dxfId="263" priority="237" operator="lessThan">
      <formula>0</formula>
    </cfRule>
  </conditionalFormatting>
  <conditionalFormatting sqref="AZ23">
    <cfRule type="cellIs" dxfId="262" priority="236" operator="lessThan">
      <formula>0</formula>
    </cfRule>
  </conditionalFormatting>
  <conditionalFormatting sqref="B24 R24">
    <cfRule type="cellIs" dxfId="261" priority="235" operator="lessThan">
      <formula>0</formula>
    </cfRule>
  </conditionalFormatting>
  <conditionalFormatting sqref="S24">
    <cfRule type="cellIs" dxfId="260" priority="234" operator="lessThan">
      <formula>0</formula>
    </cfRule>
  </conditionalFormatting>
  <conditionalFormatting sqref="G24:H24 Q24">
    <cfRule type="cellIs" dxfId="259" priority="233" operator="lessThan">
      <formula>0</formula>
    </cfRule>
  </conditionalFormatting>
  <conditionalFormatting sqref="L24">
    <cfRule type="cellIs" dxfId="258" priority="232" operator="lessThan">
      <formula>0</formula>
    </cfRule>
  </conditionalFormatting>
  <conditionalFormatting sqref="N24">
    <cfRule type="cellIs" dxfId="257" priority="231" operator="lessThan">
      <formula>0</formula>
    </cfRule>
  </conditionalFormatting>
  <conditionalFormatting sqref="R24">
    <cfRule type="cellIs" dxfId="256" priority="230" operator="lessThan">
      <formula>0</formula>
    </cfRule>
  </conditionalFormatting>
  <conditionalFormatting sqref="C24">
    <cfRule type="cellIs" dxfId="255" priority="229" operator="lessThan">
      <formula>0</formula>
    </cfRule>
  </conditionalFormatting>
  <conditionalFormatting sqref="F24">
    <cfRule type="cellIs" dxfId="254" priority="228" operator="lessThan">
      <formula>0</formula>
    </cfRule>
  </conditionalFormatting>
  <conditionalFormatting sqref="J24">
    <cfRule type="cellIs" dxfId="253" priority="227" operator="lessThan">
      <formula>0</formula>
    </cfRule>
  </conditionalFormatting>
  <conditionalFormatting sqref="P24">
    <cfRule type="cellIs" dxfId="252" priority="226" operator="lessThan">
      <formula>0</formula>
    </cfRule>
  </conditionalFormatting>
  <conditionalFormatting sqref="T24">
    <cfRule type="cellIs" dxfId="251" priority="225" operator="lessThan">
      <formula>0</formula>
    </cfRule>
  </conditionalFormatting>
  <conditionalFormatting sqref="T24">
    <cfRule type="cellIs" dxfId="250" priority="224" operator="lessThan">
      <formula>0</formula>
    </cfRule>
  </conditionalFormatting>
  <conditionalFormatting sqref="K24">
    <cfRule type="cellIs" dxfId="249" priority="223" operator="lessThan">
      <formula>0</formula>
    </cfRule>
  </conditionalFormatting>
  <conditionalFormatting sqref="M24">
    <cfRule type="cellIs" dxfId="248" priority="222" operator="lessThan">
      <formula>0</formula>
    </cfRule>
  </conditionalFormatting>
  <conditionalFormatting sqref="O24">
    <cfRule type="cellIs" dxfId="247" priority="221" operator="lessThan">
      <formula>0</formula>
    </cfRule>
  </conditionalFormatting>
  <conditionalFormatting sqref="I24">
    <cfRule type="cellIs" dxfId="246" priority="220" operator="lessThan">
      <formula>0</formula>
    </cfRule>
  </conditionalFormatting>
  <conditionalFormatting sqref="DB24 DK24 EA24 CY24 CP24 DH24 DN24 DQ24 DT24 CA24 CH24 AU24:AY24 BW24 AL24 BY24 BP24 BR24 BN24 CS24 CV24 DE24 DW24:DX24 AF24:AJ24 AN24:AS24 CL24:CM24 Y24:AD24 BA24:BL24 CF24 CD24">
    <cfRule type="cellIs" dxfId="245" priority="219" operator="lessThan">
      <formula>0</formula>
    </cfRule>
  </conditionalFormatting>
  <conditionalFormatting sqref="EA24">
    <cfRule type="cellIs" dxfId="244" priority="218" operator="lessThan">
      <formula>0</formula>
    </cfRule>
  </conditionalFormatting>
  <conditionalFormatting sqref="EE24:EG24">
    <cfRule type="cellIs" dxfId="243" priority="217" operator="lessThan">
      <formula>0</formula>
    </cfRule>
  </conditionalFormatting>
  <conditionalFormatting sqref="X24">
    <cfRule type="cellIs" dxfId="242" priority="216" operator="lessThan">
      <formula>0</formula>
    </cfRule>
  </conditionalFormatting>
  <conditionalFormatting sqref="AT24">
    <cfRule type="cellIs" dxfId="241" priority="215" operator="lessThan">
      <formula>0</formula>
    </cfRule>
  </conditionalFormatting>
  <conditionalFormatting sqref="DY24">
    <cfRule type="cellIs" dxfId="240" priority="214" operator="lessThan">
      <formula>0</formula>
    </cfRule>
  </conditionalFormatting>
  <conditionalFormatting sqref="EC24">
    <cfRule type="cellIs" dxfId="239" priority="213" operator="lessThan">
      <formula>0</formula>
    </cfRule>
  </conditionalFormatting>
  <conditionalFormatting sqref="EC24">
    <cfRule type="cellIs" dxfId="238" priority="212" operator="lessThan">
      <formula>0</formula>
    </cfRule>
  </conditionalFormatting>
  <conditionalFormatting sqref="EC24">
    <cfRule type="cellIs" dxfId="237" priority="211" operator="lessThan">
      <formula>0</formula>
    </cfRule>
  </conditionalFormatting>
  <conditionalFormatting sqref="AK24">
    <cfRule type="cellIs" dxfId="236" priority="210" operator="lessThan">
      <formula>0</formula>
    </cfRule>
  </conditionalFormatting>
  <conditionalFormatting sqref="CQ24:CR24 DL24 DI24 DC24:DD24 AE24 CN24:CO24 CT24:CU24 CZ24 CW24:CX24 CE24 DO24 DR24 DU24 CJ24:CK24 BM24 AM24 DF24">
    <cfRule type="cellIs" dxfId="235" priority="209" operator="lessThan">
      <formula>0</formula>
    </cfRule>
  </conditionalFormatting>
  <conditionalFormatting sqref="DA24">
    <cfRule type="cellIs" dxfId="234" priority="208" operator="lessThan">
      <formula>0</formula>
    </cfRule>
  </conditionalFormatting>
  <conditionalFormatting sqref="DV24">
    <cfRule type="cellIs" dxfId="233" priority="207" operator="lessThan">
      <formula>0</formula>
    </cfRule>
  </conditionalFormatting>
  <conditionalFormatting sqref="DG24">
    <cfRule type="cellIs" dxfId="232" priority="206" operator="lessThan">
      <formula>0</formula>
    </cfRule>
  </conditionalFormatting>
  <conditionalFormatting sqref="DJ24">
    <cfRule type="cellIs" dxfId="231" priority="205" operator="lessThan">
      <formula>0</formula>
    </cfRule>
  </conditionalFormatting>
  <conditionalFormatting sqref="DM24">
    <cfRule type="cellIs" dxfId="230" priority="204" operator="lessThan">
      <formula>0</formula>
    </cfRule>
  </conditionalFormatting>
  <conditionalFormatting sqref="DP24">
    <cfRule type="cellIs" dxfId="229" priority="203" operator="lessThan">
      <formula>0</formula>
    </cfRule>
  </conditionalFormatting>
  <conditionalFormatting sqref="DS24">
    <cfRule type="cellIs" dxfId="228" priority="202" operator="lessThan">
      <formula>0</formula>
    </cfRule>
  </conditionalFormatting>
  <conditionalFormatting sqref="DZ24">
    <cfRule type="cellIs" dxfId="227" priority="201" operator="lessThan">
      <formula>0</formula>
    </cfRule>
  </conditionalFormatting>
  <conditionalFormatting sqref="EB24">
    <cfRule type="cellIs" dxfId="226" priority="200" operator="lessThan">
      <formula>0</formula>
    </cfRule>
  </conditionalFormatting>
  <conditionalFormatting sqref="ED24">
    <cfRule type="cellIs" dxfId="225" priority="199" operator="lessThan">
      <formula>0</formula>
    </cfRule>
  </conditionalFormatting>
  <conditionalFormatting sqref="BO24">
    <cfRule type="cellIs" dxfId="224" priority="198" operator="lessThan">
      <formula>0</formula>
    </cfRule>
  </conditionalFormatting>
  <conditionalFormatting sqref="BQ24">
    <cfRule type="cellIs" dxfId="223" priority="197" operator="lessThan">
      <formula>0</formula>
    </cfRule>
  </conditionalFormatting>
  <conditionalFormatting sqref="BT24:BV24">
    <cfRule type="cellIs" dxfId="222" priority="196" operator="lessThan">
      <formula>0</formula>
    </cfRule>
  </conditionalFormatting>
  <conditionalFormatting sqref="BS24">
    <cfRule type="cellIs" dxfId="221" priority="195" operator="lessThan">
      <formula>0</formula>
    </cfRule>
  </conditionalFormatting>
  <conditionalFormatting sqref="BX24">
    <cfRule type="cellIs" dxfId="220" priority="194" operator="lessThan">
      <formula>0</formula>
    </cfRule>
  </conditionalFormatting>
  <conditionalFormatting sqref="BZ24">
    <cfRule type="cellIs" dxfId="219" priority="193" operator="lessThan">
      <formula>0</formula>
    </cfRule>
  </conditionalFormatting>
  <conditionalFormatting sqref="CB24">
    <cfRule type="cellIs" dxfId="218" priority="192" operator="lessThan">
      <formula>0</formula>
    </cfRule>
  </conditionalFormatting>
  <conditionalFormatting sqref="CC24">
    <cfRule type="cellIs" dxfId="217" priority="191" operator="lessThan">
      <formula>0</formula>
    </cfRule>
  </conditionalFormatting>
  <conditionalFormatting sqref="CG24">
    <cfRule type="cellIs" dxfId="216" priority="190" operator="lessThan">
      <formula>0</formula>
    </cfRule>
  </conditionalFormatting>
  <conditionalFormatting sqref="CI24">
    <cfRule type="cellIs" dxfId="215" priority="189" operator="lessThan">
      <formula>0</formula>
    </cfRule>
  </conditionalFormatting>
  <conditionalFormatting sqref="AZ24">
    <cfRule type="cellIs" dxfId="214" priority="188" operator="lessThan">
      <formula>0</formula>
    </cfRule>
  </conditionalFormatting>
  <conditionalFormatting sqref="D23:D24">
    <cfRule type="cellIs" dxfId="213" priority="187" operator="lessThan">
      <formula>0</formula>
    </cfRule>
  </conditionalFormatting>
  <conditionalFormatting sqref="E23:E24">
    <cfRule type="cellIs" dxfId="212" priority="186" operator="lessThan">
      <formula>0</formula>
    </cfRule>
  </conditionalFormatting>
  <conditionalFormatting sqref="K26">
    <cfRule type="cellIs" dxfId="211" priority="160" operator="lessThan">
      <formula>0</formula>
    </cfRule>
  </conditionalFormatting>
  <conditionalFormatting sqref="L25:L26">
    <cfRule type="cellIs" dxfId="210" priority="159" operator="lessThan">
      <formula>0</formula>
    </cfRule>
  </conditionalFormatting>
  <conditionalFormatting sqref="N25:N26">
    <cfRule type="cellIs" dxfId="209" priority="158" operator="lessThan">
      <formula>0</formula>
    </cfRule>
  </conditionalFormatting>
  <conditionalFormatting sqref="R25:R26">
    <cfRule type="cellIs" dxfId="208" priority="157" operator="lessThan">
      <formula>0</formula>
    </cfRule>
  </conditionalFormatting>
  <conditionalFormatting sqref="C25:C26 E25:E26">
    <cfRule type="cellIs" dxfId="207" priority="155" operator="lessThan">
      <formula>0</formula>
    </cfRule>
  </conditionalFormatting>
  <conditionalFormatting sqref="F25:F26">
    <cfRule type="cellIs" dxfId="206" priority="154" operator="lessThan">
      <formula>0</formula>
    </cfRule>
  </conditionalFormatting>
  <conditionalFormatting sqref="J25:J26">
    <cfRule type="cellIs" dxfId="205" priority="153" operator="lessThan">
      <formula>0</formula>
    </cfRule>
  </conditionalFormatting>
  <conditionalFormatting sqref="P25:P26">
    <cfRule type="cellIs" dxfId="204" priority="152" operator="lessThan">
      <formula>0</formula>
    </cfRule>
  </conditionalFormatting>
  <conditionalFormatting sqref="T25:T26">
    <cfRule type="cellIs" dxfId="203" priority="151" operator="lessThan">
      <formula>0</formula>
    </cfRule>
  </conditionalFormatting>
  <conditionalFormatting sqref="T25:T26">
    <cfRule type="cellIs" dxfId="202" priority="150" operator="lessThan">
      <formula>0</formula>
    </cfRule>
  </conditionalFormatting>
  <conditionalFormatting sqref="I25">
    <cfRule type="cellIs" dxfId="201" priority="149" operator="lessThan">
      <formula>0</formula>
    </cfRule>
  </conditionalFormatting>
  <conditionalFormatting sqref="K25">
    <cfRule type="cellIs" dxfId="200" priority="148" operator="lessThan">
      <formula>0</formula>
    </cfRule>
  </conditionalFormatting>
  <conditionalFormatting sqref="M25">
    <cfRule type="cellIs" dxfId="199" priority="147" operator="lessThan">
      <formula>0</formula>
    </cfRule>
  </conditionalFormatting>
  <conditionalFormatting sqref="O25">
    <cfRule type="cellIs" dxfId="198" priority="146" operator="lessThan">
      <formula>0</formula>
    </cfRule>
  </conditionalFormatting>
  <conditionalFormatting sqref="V25:V26">
    <cfRule type="cellIs" dxfId="197" priority="145" operator="lessThan">
      <formula>0</formula>
    </cfRule>
  </conditionalFormatting>
  <conditionalFormatting sqref="V25:V26">
    <cfRule type="cellIs" dxfId="196" priority="144" operator="lessThan">
      <formula>0</formula>
    </cfRule>
  </conditionalFormatting>
  <conditionalFormatting sqref="M26">
    <cfRule type="cellIs" dxfId="195" priority="143" operator="lessThan">
      <formula>0</formula>
    </cfRule>
  </conditionalFormatting>
  <conditionalFormatting sqref="O26">
    <cfRule type="cellIs" dxfId="194" priority="142" operator="lessThan">
      <formula>0</formula>
    </cfRule>
  </conditionalFormatting>
  <conditionalFormatting sqref="U25:U26 W25:W26 B25:B26 D25:D26 R25:R26">
    <cfRule type="cellIs" dxfId="193" priority="166" operator="lessThan">
      <formula>0</formula>
    </cfRule>
  </conditionalFormatting>
  <conditionalFormatting sqref="S25">
    <cfRule type="cellIs" dxfId="192" priority="165" operator="lessThan">
      <formula>0</formula>
    </cfRule>
  </conditionalFormatting>
  <conditionalFormatting sqref="G25:H25 Q25">
    <cfRule type="cellIs" dxfId="191" priority="164" operator="lessThan">
      <formula>0</formula>
    </cfRule>
  </conditionalFormatting>
  <conditionalFormatting sqref="S26">
    <cfRule type="cellIs" dxfId="190" priority="163" operator="lessThan">
      <formula>0</formula>
    </cfRule>
  </conditionalFormatting>
  <conditionalFormatting sqref="G26:H26 Q26">
    <cfRule type="cellIs" dxfId="189" priority="162" operator="lessThan">
      <formula>0</formula>
    </cfRule>
  </conditionalFormatting>
  <conditionalFormatting sqref="I26">
    <cfRule type="cellIs" dxfId="188" priority="161" operator="lessThan">
      <formula>0</formula>
    </cfRule>
  </conditionalFormatting>
  <conditionalFormatting sqref="DB25:DB26 DK25:DK26 CY25:CY26 CP25:CP26 DH25:DH26 DN25:DN26 DQ25:DQ26 DT25:DT26 CA25:CA26 CH25:CH26 BW25:BW26 AL25:AL26 BY25:BY26 BP25:BP26 BR25:BR26 BN25:BN26 CS25:CS26 CV25:CV26 DE25:DE26 DW25:DY26 AN25:AS26 AU25:AY26 CL25:CM26 Y25:AD26 BA25:BL26 CF25:CF26 CD25:CD26 AF25:AJ26 EA25:EA29 DY27:DY29 AA27:AA29 AB27:AD30 AF27:AI30">
    <cfRule type="cellIs" dxfId="187" priority="141" operator="lessThan">
      <formula>0</formula>
    </cfRule>
  </conditionalFormatting>
  <conditionalFormatting sqref="EA25:EA29">
    <cfRule type="cellIs" dxfId="186" priority="140" operator="lessThan">
      <formula>0</formula>
    </cfRule>
  </conditionalFormatting>
  <conditionalFormatting sqref="EC25:EC29">
    <cfRule type="cellIs" dxfId="185" priority="139" operator="lessThan">
      <formula>0</formula>
    </cfRule>
  </conditionalFormatting>
  <conditionalFormatting sqref="EC25:EC29">
    <cfRule type="cellIs" dxfId="184" priority="138" operator="lessThan">
      <formula>0</formula>
    </cfRule>
  </conditionalFormatting>
  <conditionalFormatting sqref="EE25:EG26 EG27:EG29">
    <cfRule type="cellIs" dxfId="183" priority="137" operator="lessThan">
      <formula>0</formula>
    </cfRule>
  </conditionalFormatting>
  <conditionalFormatting sqref="X25">
    <cfRule type="cellIs" dxfId="182" priority="136" operator="lessThan">
      <formula>0</formula>
    </cfRule>
  </conditionalFormatting>
  <conditionalFormatting sqref="X26">
    <cfRule type="cellIs" dxfId="181" priority="135" operator="lessThan">
      <formula>0</formula>
    </cfRule>
  </conditionalFormatting>
  <conditionalFormatting sqref="AT25:AT26">
    <cfRule type="cellIs" dxfId="180" priority="134" operator="lessThan">
      <formula>0</formula>
    </cfRule>
  </conditionalFormatting>
  <conditionalFormatting sqref="AK25:AK26">
    <cfRule type="cellIs" dxfId="179" priority="133" operator="lessThan">
      <formula>0</formula>
    </cfRule>
  </conditionalFormatting>
  <conditionalFormatting sqref="CQ25:CR26 DL25:DL26 DI25:DI26 DC25:DD26 CN25:CO26 CT25:CU26 CZ25:CZ26 CW25:CX26 CE25:CE26 DO25:DO26 DR25:DR26 DU25:DU26 CJ25:CK26 BM25:BM26 AM25:AM26 DF25:DF26 AE25:AE30">
    <cfRule type="cellIs" dxfId="178" priority="132" operator="lessThan">
      <formula>0</formula>
    </cfRule>
  </conditionalFormatting>
  <conditionalFormatting sqref="DA25:DA26">
    <cfRule type="cellIs" dxfId="177" priority="131" operator="lessThan">
      <formula>0</formula>
    </cfRule>
  </conditionalFormatting>
  <conditionalFormatting sqref="DV25:DV26">
    <cfRule type="cellIs" dxfId="176" priority="130" operator="lessThan">
      <formula>0</formula>
    </cfRule>
  </conditionalFormatting>
  <conditionalFormatting sqref="DG25:DG26">
    <cfRule type="cellIs" dxfId="175" priority="129" operator="lessThan">
      <formula>0</formula>
    </cfRule>
  </conditionalFormatting>
  <conditionalFormatting sqref="DJ25:DJ26">
    <cfRule type="cellIs" dxfId="174" priority="128" operator="lessThan">
      <formula>0</formula>
    </cfRule>
  </conditionalFormatting>
  <conditionalFormatting sqref="DM25:DM26">
    <cfRule type="cellIs" dxfId="173" priority="127" operator="lessThan">
      <formula>0</formula>
    </cfRule>
  </conditionalFormatting>
  <conditionalFormatting sqref="DP25:DP26">
    <cfRule type="cellIs" dxfId="172" priority="126" operator="lessThan">
      <formula>0</formula>
    </cfRule>
  </conditionalFormatting>
  <conditionalFormatting sqref="DS25:DS26">
    <cfRule type="cellIs" dxfId="171" priority="125" operator="lessThan">
      <formula>0</formula>
    </cfRule>
  </conditionalFormatting>
  <conditionalFormatting sqref="DZ25:DZ29">
    <cfRule type="cellIs" dxfId="170" priority="124" operator="lessThan">
      <formula>0</formula>
    </cfRule>
  </conditionalFormatting>
  <conditionalFormatting sqref="EB25:EB29">
    <cfRule type="cellIs" dxfId="169" priority="123" operator="lessThan">
      <formula>0</formula>
    </cfRule>
  </conditionalFormatting>
  <conditionalFormatting sqref="ED25:ED29">
    <cfRule type="cellIs" dxfId="168" priority="122" operator="lessThan">
      <formula>0</formula>
    </cfRule>
  </conditionalFormatting>
  <conditionalFormatting sqref="BO25:BO26">
    <cfRule type="cellIs" dxfId="167" priority="121" operator="lessThan">
      <formula>0</formula>
    </cfRule>
  </conditionalFormatting>
  <conditionalFormatting sqref="BQ25:BQ26">
    <cfRule type="cellIs" dxfId="166" priority="120" operator="lessThan">
      <formula>0</formula>
    </cfRule>
  </conditionalFormatting>
  <conditionalFormatting sqref="BT25:BV26">
    <cfRule type="cellIs" dxfId="165" priority="119" operator="lessThan">
      <formula>0</formula>
    </cfRule>
  </conditionalFormatting>
  <conditionalFormatting sqref="BS25:BS26">
    <cfRule type="cellIs" dxfId="164" priority="118" operator="lessThan">
      <formula>0</formula>
    </cfRule>
  </conditionalFormatting>
  <conditionalFormatting sqref="BX25:BX26">
    <cfRule type="cellIs" dxfId="163" priority="117" operator="lessThan">
      <formula>0</formula>
    </cfRule>
  </conditionalFormatting>
  <conditionalFormatting sqref="BZ25:BZ26">
    <cfRule type="cellIs" dxfId="162" priority="116" operator="lessThan">
      <formula>0</formula>
    </cfRule>
  </conditionalFormatting>
  <conditionalFormatting sqref="CB25:CB26">
    <cfRule type="cellIs" dxfId="161" priority="115" operator="lessThan">
      <formula>0</formula>
    </cfRule>
  </conditionalFormatting>
  <conditionalFormatting sqref="CC25:CC26">
    <cfRule type="cellIs" dxfId="160" priority="114" operator="lessThan">
      <formula>0</formula>
    </cfRule>
  </conditionalFormatting>
  <conditionalFormatting sqref="CG25:CG26">
    <cfRule type="cellIs" dxfId="159" priority="113" operator="lessThan">
      <formula>0</formula>
    </cfRule>
  </conditionalFormatting>
  <conditionalFormatting sqref="CI25:CI26">
    <cfRule type="cellIs" dxfId="158" priority="112" operator="lessThan">
      <formula>0</formula>
    </cfRule>
  </conditionalFormatting>
  <conditionalFormatting sqref="AZ25">
    <cfRule type="cellIs" dxfId="157" priority="111" operator="lessThan">
      <formula>0</formula>
    </cfRule>
  </conditionalFormatting>
  <conditionalFormatting sqref="AZ26">
    <cfRule type="cellIs" dxfId="156" priority="110" operator="lessThan">
      <formula>0</formula>
    </cfRule>
  </conditionalFormatting>
  <conditionalFormatting sqref="S29 G29:H29 G27:H27 U27:U29 X27:X29 DQ27:DQ29 DT27:DT29 DW27:DW29 B27:B29 D27:D29 Z27:Z29 R27:R29 AJ27:AJ29">
    <cfRule type="cellIs" dxfId="155" priority="109" operator="lessThan">
      <formula>0</formula>
    </cfRule>
  </conditionalFormatting>
  <conditionalFormatting sqref="EF27:EF28">
    <cfRule type="cellIs" dxfId="154" priority="107" operator="lessThan">
      <formula>0</formula>
    </cfRule>
  </conditionalFormatting>
  <conditionalFormatting sqref="EF27:EF28">
    <cfRule type="cellIs" dxfId="153" priority="106" operator="lessThan">
      <formula>0</formula>
    </cfRule>
  </conditionalFormatting>
  <conditionalFormatting sqref="EH27:EJ29">
    <cfRule type="cellIs" dxfId="152" priority="105" operator="lessThan">
      <formula>0</formula>
    </cfRule>
  </conditionalFormatting>
  <conditionalFormatting sqref="S27">
    <cfRule type="cellIs" dxfId="151" priority="104" operator="lessThan">
      <formula>0</formula>
    </cfRule>
  </conditionalFormatting>
  <conditionalFormatting sqref="Q27:Q28">
    <cfRule type="cellIs" dxfId="150" priority="103" operator="lessThan">
      <formula>0</formula>
    </cfRule>
  </conditionalFormatting>
  <conditionalFormatting sqref="G28:H28">
    <cfRule type="cellIs" dxfId="149" priority="101" operator="lessThan">
      <formula>0</formula>
    </cfRule>
  </conditionalFormatting>
  <conditionalFormatting sqref="Q29">
    <cfRule type="cellIs" dxfId="148" priority="99" operator="lessThan">
      <formula>0</formula>
    </cfRule>
  </conditionalFormatting>
  <conditionalFormatting sqref="S28">
    <cfRule type="cellIs" dxfId="147" priority="98" operator="lessThan">
      <formula>0</formula>
    </cfRule>
  </conditionalFormatting>
  <conditionalFormatting sqref="I27">
    <cfRule type="cellIs" dxfId="146" priority="97" operator="lessThan">
      <formula>0</formula>
    </cfRule>
  </conditionalFormatting>
  <conditionalFormatting sqref="EF29">
    <cfRule type="cellIs" dxfId="145" priority="92" operator="lessThan">
      <formula>0</formula>
    </cfRule>
  </conditionalFormatting>
  <conditionalFormatting sqref="EF29">
    <cfRule type="cellIs" dxfId="144" priority="91" operator="lessThan">
      <formula>0</formula>
    </cfRule>
  </conditionalFormatting>
  <conditionalFormatting sqref="L27:L29">
    <cfRule type="cellIs" dxfId="143" priority="96" operator="lessThan">
      <formula>0</formula>
    </cfRule>
  </conditionalFormatting>
  <conditionalFormatting sqref="N27:N29">
    <cfRule type="cellIs" dxfId="142" priority="95" operator="lessThan">
      <formula>0</formula>
    </cfRule>
  </conditionalFormatting>
  <conditionalFormatting sqref="R27:R29">
    <cfRule type="cellIs" dxfId="141" priority="94" operator="lessThan">
      <formula>0</formula>
    </cfRule>
  </conditionalFormatting>
  <conditionalFormatting sqref="C27:C29 DR27:DR29 DU27:DU29 DX27:DX29 E27:E29">
    <cfRule type="cellIs" dxfId="140" priority="89" operator="lessThan">
      <formula>0</formula>
    </cfRule>
  </conditionalFormatting>
  <conditionalFormatting sqref="F27:F29">
    <cfRule type="cellIs" dxfId="139" priority="88" operator="lessThan">
      <formula>0</formula>
    </cfRule>
  </conditionalFormatting>
  <conditionalFormatting sqref="J27:J29">
    <cfRule type="cellIs" dxfId="138" priority="85" operator="lessThan">
      <formula>0</formula>
    </cfRule>
  </conditionalFormatting>
  <conditionalFormatting sqref="P27:P29">
    <cfRule type="cellIs" dxfId="137" priority="84" operator="lessThan">
      <formula>0</formula>
    </cfRule>
  </conditionalFormatting>
  <conditionalFormatting sqref="DS27:DS29">
    <cfRule type="cellIs" dxfId="136" priority="80" operator="lessThan">
      <formula>0</formula>
    </cfRule>
  </conditionalFormatting>
  <conditionalFormatting sqref="DV27:DV29">
    <cfRule type="cellIs" dxfId="135" priority="79" operator="lessThan">
      <formula>0</formula>
    </cfRule>
  </conditionalFormatting>
  <conditionalFormatting sqref="T27:T29">
    <cfRule type="cellIs" dxfId="134" priority="78" operator="lessThan">
      <formula>0</formula>
    </cfRule>
  </conditionalFormatting>
  <conditionalFormatting sqref="T27:T29">
    <cfRule type="cellIs" dxfId="133" priority="77" operator="lessThan">
      <formula>0</formula>
    </cfRule>
  </conditionalFormatting>
  <conditionalFormatting sqref="K27">
    <cfRule type="cellIs" dxfId="132" priority="63" operator="lessThan">
      <formula>0</formula>
    </cfRule>
  </conditionalFormatting>
  <conditionalFormatting sqref="I28">
    <cfRule type="cellIs" dxfId="131" priority="62" operator="lessThan">
      <formula>0</formula>
    </cfRule>
  </conditionalFormatting>
  <conditionalFormatting sqref="K28">
    <cfRule type="cellIs" dxfId="130" priority="61" operator="lessThan">
      <formula>0</formula>
    </cfRule>
  </conditionalFormatting>
  <conditionalFormatting sqref="I29">
    <cfRule type="cellIs" dxfId="129" priority="60" operator="lessThan">
      <formula>0</formula>
    </cfRule>
  </conditionalFormatting>
  <conditionalFormatting sqref="K29">
    <cfRule type="cellIs" dxfId="128" priority="59" operator="lessThan">
      <formula>0</formula>
    </cfRule>
  </conditionalFormatting>
  <conditionalFormatting sqref="V27:V29">
    <cfRule type="cellIs" dxfId="127" priority="57" operator="lessThan">
      <formula>0</formula>
    </cfRule>
  </conditionalFormatting>
  <conditionalFormatting sqref="V27:V29">
    <cfRule type="cellIs" dxfId="126" priority="56" operator="lessThan">
      <formula>0</formula>
    </cfRule>
  </conditionalFormatting>
  <conditionalFormatting sqref="M27:M29">
    <cfRule type="cellIs" dxfId="125" priority="54" operator="lessThan">
      <formula>0</formula>
    </cfRule>
  </conditionalFormatting>
  <conditionalFormatting sqref="O27:O29">
    <cfRule type="cellIs" dxfId="124" priority="53" operator="lessThan">
      <formula>0</formula>
    </cfRule>
  </conditionalFormatting>
  <conditionalFormatting sqref="W27:W29">
    <cfRule type="cellIs" dxfId="123" priority="52" operator="lessThan">
      <formula>0</formula>
    </cfRule>
  </conditionalFormatting>
  <conditionalFormatting sqref="Y27:Y29">
    <cfRule type="cellIs" dxfId="122" priority="51" operator="lessThan">
      <formula>0</formula>
    </cfRule>
  </conditionalFormatting>
  <conditionalFormatting sqref="EE27:EE29">
    <cfRule type="cellIs" dxfId="121" priority="50" operator="lessThan">
      <formula>0</formula>
    </cfRule>
  </conditionalFormatting>
  <conditionalFormatting sqref="AK27:AK29">
    <cfRule type="cellIs" dxfId="120" priority="49" operator="lessThan">
      <formula>0</formula>
    </cfRule>
  </conditionalFormatting>
  <conditionalFormatting sqref="AL27:AL30">
    <cfRule type="cellIs" dxfId="119" priority="48" operator="lessThan">
      <formula>0</formula>
    </cfRule>
  </conditionalFormatting>
  <conditionalFormatting sqref="AM27:AM30">
    <cfRule type="cellIs" dxfId="118" priority="47" operator="lessThan">
      <formula>0</formula>
    </cfRule>
  </conditionalFormatting>
  <conditionalFormatting sqref="AN27:AN29">
    <cfRule type="cellIs" dxfId="117" priority="46" operator="lessThan">
      <formula>0</formula>
    </cfRule>
  </conditionalFormatting>
  <conditionalFormatting sqref="AO27:AO30">
    <cfRule type="cellIs" dxfId="116" priority="45" operator="lessThan">
      <formula>0</formula>
    </cfRule>
  </conditionalFormatting>
  <conditionalFormatting sqref="AP27:AP29">
    <cfRule type="cellIs" dxfId="115" priority="44" operator="lessThan">
      <formula>0</formula>
    </cfRule>
  </conditionalFormatting>
  <conditionalFormatting sqref="AQ27:AQ30">
    <cfRule type="cellIs" dxfId="114" priority="43" operator="lessThan">
      <formula>0</formula>
    </cfRule>
  </conditionalFormatting>
  <conditionalFormatting sqref="AR27:AR30">
    <cfRule type="cellIs" dxfId="113" priority="42" operator="lessThan">
      <formula>0</formula>
    </cfRule>
  </conditionalFormatting>
  <conditionalFormatting sqref="AS27:AS29">
    <cfRule type="cellIs" dxfId="112" priority="41" operator="lessThan">
      <formula>0</formula>
    </cfRule>
  </conditionalFormatting>
  <conditionalFormatting sqref="AT27:AT29">
    <cfRule type="cellIs" dxfId="111" priority="40" operator="lessThan">
      <formula>0</formula>
    </cfRule>
  </conditionalFormatting>
  <conditionalFormatting sqref="AU27:AU30">
    <cfRule type="cellIs" dxfId="110" priority="39" operator="lessThan">
      <formula>0</formula>
    </cfRule>
  </conditionalFormatting>
  <conditionalFormatting sqref="AV27:AV30">
    <cfRule type="cellIs" dxfId="109" priority="38" operator="lessThan">
      <formula>0</formula>
    </cfRule>
  </conditionalFormatting>
  <conditionalFormatting sqref="AW27:AW30">
    <cfRule type="cellIs" dxfId="108" priority="37" operator="lessThan">
      <formula>0</formula>
    </cfRule>
  </conditionalFormatting>
  <conditionalFormatting sqref="AX27:AX29">
    <cfRule type="cellIs" dxfId="107" priority="36" operator="lessThan">
      <formula>0</formula>
    </cfRule>
  </conditionalFormatting>
  <conditionalFormatting sqref="AY27:AY29">
    <cfRule type="cellIs" dxfId="106" priority="35" operator="lessThan">
      <formula>0</formula>
    </cfRule>
  </conditionalFormatting>
  <conditionalFormatting sqref="AZ27:AZ29">
    <cfRule type="cellIs" dxfId="105" priority="34" operator="lessThan">
      <formula>0</formula>
    </cfRule>
  </conditionalFormatting>
  <conditionalFormatting sqref="BA27:BA29">
    <cfRule type="cellIs" dxfId="104" priority="33" operator="lessThan">
      <formula>0</formula>
    </cfRule>
  </conditionalFormatting>
  <conditionalFormatting sqref="BB27:BB30">
    <cfRule type="cellIs" dxfId="103" priority="32" operator="lessThan">
      <formula>0</formula>
    </cfRule>
  </conditionalFormatting>
  <conditionalFormatting sqref="BC27:BC30">
    <cfRule type="cellIs" dxfId="102" priority="31" operator="lessThan">
      <formula>0</formula>
    </cfRule>
  </conditionalFormatting>
  <conditionalFormatting sqref="BD27:BD31">
    <cfRule type="cellIs" dxfId="101" priority="30" operator="lessThan">
      <formula>0</formula>
    </cfRule>
  </conditionalFormatting>
  <conditionalFormatting sqref="BE27:BE31">
    <cfRule type="cellIs" dxfId="100" priority="29" operator="lessThan">
      <formula>0</formula>
    </cfRule>
  </conditionalFormatting>
  <conditionalFormatting sqref="BF27:BF30">
    <cfRule type="cellIs" dxfId="99" priority="28" operator="lessThan">
      <formula>0</formula>
    </cfRule>
  </conditionalFormatting>
  <conditionalFormatting sqref="BG27:BG31">
    <cfRule type="cellIs" dxfId="98" priority="27" operator="lessThan">
      <formula>0</formula>
    </cfRule>
  </conditionalFormatting>
  <conditionalFormatting sqref="BH27:BH32">
    <cfRule type="cellIs" dxfId="97" priority="26" operator="lessThan">
      <formula>0</formula>
    </cfRule>
  </conditionalFormatting>
  <conditionalFormatting sqref="BI27:BI30">
    <cfRule type="cellIs" dxfId="96" priority="25" operator="lessThan">
      <formula>0</formula>
    </cfRule>
  </conditionalFormatting>
  <conditionalFormatting sqref="BJ27:BJ29">
    <cfRule type="cellIs" dxfId="95" priority="24" operator="lessThan">
      <formula>0</formula>
    </cfRule>
  </conditionalFormatting>
  <conditionalFormatting sqref="BP27:BP29 BR27:BR29 BN27:BN29 BK27:BL29">
    <cfRule type="cellIs" dxfId="94" priority="23" operator="lessThan">
      <formula>0</formula>
    </cfRule>
  </conditionalFormatting>
  <conditionalFormatting sqref="BM27:BM29">
    <cfRule type="cellIs" dxfId="93" priority="22" operator="lessThan">
      <formula>0</formula>
    </cfRule>
  </conditionalFormatting>
  <conditionalFormatting sqref="BO27:BO29">
    <cfRule type="cellIs" dxfId="92" priority="21" operator="lessThan">
      <formula>0</formula>
    </cfRule>
  </conditionalFormatting>
  <conditionalFormatting sqref="BQ27:BQ29">
    <cfRule type="cellIs" dxfId="91" priority="20" operator="lessThan">
      <formula>0</formula>
    </cfRule>
  </conditionalFormatting>
  <conditionalFormatting sqref="BT27:BV29">
    <cfRule type="cellIs" dxfId="90" priority="19" operator="lessThan">
      <formula>0</formula>
    </cfRule>
  </conditionalFormatting>
  <conditionalFormatting sqref="BS27:BS29">
    <cfRule type="cellIs" dxfId="89" priority="18" operator="lessThan">
      <formula>0</formula>
    </cfRule>
  </conditionalFormatting>
  <conditionalFormatting sqref="CA27:CA29 CH27:CH29 BW27:BW29 BY27:BY29 CF27:CF29 CD27:CD29">
    <cfRule type="cellIs" dxfId="88" priority="17" operator="lessThan">
      <formula>0</formula>
    </cfRule>
  </conditionalFormatting>
  <conditionalFormatting sqref="CE27:CE29 CJ27:CK29">
    <cfRule type="cellIs" dxfId="87" priority="16" operator="lessThan">
      <formula>0</formula>
    </cfRule>
  </conditionalFormatting>
  <conditionalFormatting sqref="BX27:BX29">
    <cfRule type="cellIs" dxfId="86" priority="15" operator="lessThan">
      <formula>0</formula>
    </cfRule>
  </conditionalFormatting>
  <conditionalFormatting sqref="BZ27:BZ29">
    <cfRule type="cellIs" dxfId="85" priority="14" operator="lessThan">
      <formula>0</formula>
    </cfRule>
  </conditionalFormatting>
  <conditionalFormatting sqref="CB27:CB29">
    <cfRule type="cellIs" dxfId="84" priority="13" operator="lessThan">
      <formula>0</formula>
    </cfRule>
  </conditionalFormatting>
  <conditionalFormatting sqref="CC27:CC29">
    <cfRule type="cellIs" dxfId="83" priority="12" operator="lessThan">
      <formula>0</formula>
    </cfRule>
  </conditionalFormatting>
  <conditionalFormatting sqref="CG27:CG29">
    <cfRule type="cellIs" dxfId="82" priority="11" operator="lessThan">
      <formula>0</formula>
    </cfRule>
  </conditionalFormatting>
  <conditionalFormatting sqref="CI27:CI29">
    <cfRule type="cellIs" dxfId="81" priority="10" operator="lessThan">
      <formula>0</formula>
    </cfRule>
  </conditionalFormatting>
  <conditionalFormatting sqref="CY27:CY29 CP27:CP29 CS27:CS29 CV27:CV29 CL27:CM29">
    <cfRule type="cellIs" dxfId="80" priority="9" operator="lessThan">
      <formula>0</formula>
    </cfRule>
  </conditionalFormatting>
  <conditionalFormatting sqref="CQ27:CR29 CN27:CO29 CT27:CU29 CZ27:CZ29 CW27:CX29">
    <cfRule type="cellIs" dxfId="79" priority="8" operator="lessThan">
      <formula>0</formula>
    </cfRule>
  </conditionalFormatting>
  <conditionalFormatting sqref="DB27:DB29 DK27:DK29 DH27:DH29 DN27:DN29 DE27:DE29">
    <cfRule type="cellIs" dxfId="78" priority="7" operator="lessThan">
      <formula>0</formula>
    </cfRule>
  </conditionalFormatting>
  <conditionalFormatting sqref="DL27:DL29 DI27:DI29 DC27:DD29 DO27:DO29 DF27:DF29">
    <cfRule type="cellIs" dxfId="77" priority="6" operator="lessThan">
      <formula>0</formula>
    </cfRule>
  </conditionalFormatting>
  <conditionalFormatting sqref="DA27:DA29">
    <cfRule type="cellIs" dxfId="76" priority="5" operator="lessThan">
      <formula>0</formula>
    </cfRule>
  </conditionalFormatting>
  <conditionalFormatting sqref="DG27:DG29">
    <cfRule type="cellIs" dxfId="75" priority="4" operator="lessThan">
      <formula>0</formula>
    </cfRule>
  </conditionalFormatting>
  <conditionalFormatting sqref="DJ27:DJ29">
    <cfRule type="cellIs" dxfId="74" priority="3" operator="lessThan">
      <formula>0</formula>
    </cfRule>
  </conditionalFormatting>
  <conditionalFormatting sqref="DM27:DM29">
    <cfRule type="cellIs" dxfId="73" priority="2" operator="lessThan">
      <formula>0</formula>
    </cfRule>
  </conditionalFormatting>
  <conditionalFormatting sqref="DP27:DP29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U34"/>
  <sheetViews>
    <sheetView workbookViewId="0">
      <selection activeCell="DT18" sqref="DS18:DT18"/>
    </sheetView>
  </sheetViews>
  <sheetFormatPr defaultRowHeight="12.75" x14ac:dyDescent="0.2"/>
  <sheetData>
    <row r="2" spans="14:14" ht="13.5" thickBot="1" x14ac:dyDescent="0.25"/>
    <row r="3" spans="14:14" ht="13.5" thickBot="1" x14ac:dyDescent="0.25">
      <c r="N3" s="22">
        <f>'[1]Sep 2019'!R3</f>
        <v>2054945</v>
      </c>
    </row>
    <row r="4" spans="14:14" ht="13.5" thickBot="1" x14ac:dyDescent="0.25">
      <c r="N4" s="22">
        <f>'[1]Sep 2019'!R4</f>
        <v>2055440</v>
      </c>
    </row>
    <row r="5" spans="14:14" ht="13.5" thickBot="1" x14ac:dyDescent="0.25">
      <c r="N5" s="22">
        <f>'[1]Sep 2019'!R5</f>
        <v>2056149</v>
      </c>
    </row>
    <row r="6" spans="14:14" ht="13.5" thickBot="1" x14ac:dyDescent="0.25">
      <c r="N6" s="22">
        <f>'[1]Sep 2019'!R6</f>
        <v>2056651</v>
      </c>
    </row>
    <row r="7" spans="14:14" ht="13.5" thickBot="1" x14ac:dyDescent="0.25">
      <c r="N7" s="22">
        <f>'[1]Sep 2019'!R7</f>
        <v>2057174</v>
      </c>
    </row>
    <row r="8" spans="14:14" ht="13.5" thickBot="1" x14ac:dyDescent="0.25">
      <c r="N8" s="22">
        <f>'[1]Sep 2019'!R8</f>
        <v>2057715</v>
      </c>
    </row>
    <row r="9" spans="14:14" ht="13.5" thickBot="1" x14ac:dyDescent="0.25">
      <c r="N9" s="22">
        <f>'[1]Sep 2019'!R9</f>
        <v>2058246</v>
      </c>
    </row>
    <row r="10" spans="14:14" ht="13.5" thickBot="1" x14ac:dyDescent="0.25">
      <c r="N10" s="22">
        <f>'[1]Sep 2019'!R10</f>
        <v>2058780</v>
      </c>
    </row>
    <row r="11" spans="14:14" ht="13.5" thickBot="1" x14ac:dyDescent="0.25">
      <c r="N11" s="22">
        <f>'[1]Sep 2019'!R11</f>
        <v>2059332</v>
      </c>
    </row>
    <row r="12" spans="14:14" ht="13.5" thickBot="1" x14ac:dyDescent="0.25">
      <c r="N12" s="22">
        <f>'[1]Sep 2019'!R12</f>
        <v>2059908</v>
      </c>
    </row>
    <row r="13" spans="14:14" ht="13.5" thickBot="1" x14ac:dyDescent="0.25">
      <c r="N13" s="22">
        <f>'[1]Sep 2019'!R13</f>
        <v>2060432</v>
      </c>
    </row>
    <row r="14" spans="14:14" ht="13.5" thickBot="1" x14ac:dyDescent="0.25">
      <c r="N14" s="22">
        <f>'[1]Sep 2019'!R14</f>
        <v>2061086</v>
      </c>
    </row>
    <row r="15" spans="14:14" ht="13.5" thickBot="1" x14ac:dyDescent="0.25">
      <c r="N15" s="22">
        <f>'[1]Sep 2019'!R15</f>
        <v>2061615</v>
      </c>
    </row>
    <row r="16" spans="14:14" ht="13.5" thickBot="1" x14ac:dyDescent="0.25">
      <c r="N16" s="22">
        <f>'[1]Sep 2019'!R16</f>
        <v>2062113</v>
      </c>
    </row>
    <row r="17" spans="2:125" ht="13.5" thickBot="1" x14ac:dyDescent="0.25">
      <c r="N17" s="22">
        <f>'[1]Sep 2019'!R17</f>
        <v>2062731</v>
      </c>
    </row>
    <row r="18" spans="2:125" ht="13.5" thickBot="1" x14ac:dyDescent="0.25">
      <c r="N18" s="22">
        <f>'[1]Sep 2019'!R18</f>
        <v>2063291</v>
      </c>
      <c r="S18">
        <f>'[1]Sep 2019'!W18</f>
        <v>7</v>
      </c>
      <c r="DU18" s="23">
        <f>'[1]Sep 2019'!EA18</f>
        <v>0.67</v>
      </c>
    </row>
    <row r="19" spans="2:125" ht="13.5" thickBot="1" x14ac:dyDescent="0.25">
      <c r="N19" s="22">
        <f>'[1]Sep 2019'!R19</f>
        <v>2063914</v>
      </c>
      <c r="S19">
        <f>'[1]Sep 2019'!W19</f>
        <v>7</v>
      </c>
      <c r="DU19" s="23">
        <f>'[1]Sep 2019'!EA19</f>
        <v>0.63</v>
      </c>
    </row>
    <row r="20" spans="2:125" ht="13.5" thickBot="1" x14ac:dyDescent="0.25">
      <c r="N20" s="22">
        <f>'[1]Sep 2019'!R20</f>
        <v>2064501</v>
      </c>
      <c r="S20">
        <f>'[1]Sep 2019'!W20</f>
        <v>8</v>
      </c>
      <c r="DU20" s="23">
        <f>'[1]Sep 2019'!EA20</f>
        <v>0.69</v>
      </c>
    </row>
    <row r="21" spans="2:125" ht="13.5" thickBot="1" x14ac:dyDescent="0.25">
      <c r="N21" s="22">
        <f>'[1]Sep 2019'!R21</f>
        <v>2065035</v>
      </c>
      <c r="P21">
        <f>'[1]Sep 2019'!T21</f>
        <v>426545</v>
      </c>
      <c r="S21">
        <f>'[1]Sep 2019'!W21</f>
        <v>8</v>
      </c>
      <c r="DU21" s="23">
        <f>'[1]Sep 2019'!EA21</f>
        <v>0.7</v>
      </c>
    </row>
    <row r="22" spans="2:125" ht="13.5" thickBot="1" x14ac:dyDescent="0.25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2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3">
        <f>'[1]Sep 2019'!EA22</f>
        <v>0.79</v>
      </c>
    </row>
    <row r="23" spans="2:125" ht="13.5" thickBot="1" x14ac:dyDescent="0.25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2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3">
        <f>'[1]Sep 2019'!EA23</f>
        <v>0.83</v>
      </c>
    </row>
    <row r="24" spans="2:125" ht="13.5" thickBot="1" x14ac:dyDescent="0.25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2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3">
        <f>'[1]Sep 2019'!EA24</f>
        <v>0.85</v>
      </c>
    </row>
    <row r="25" spans="2:125" ht="13.5" thickBot="1" x14ac:dyDescent="0.25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2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3">
        <f>'[1]Sep 2019'!EA25</f>
        <v>0.85</v>
      </c>
    </row>
    <row r="26" spans="2:125" ht="13.5" thickBot="1" x14ac:dyDescent="0.25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2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3">
        <f>'[1]Sep 2019'!EA26</f>
        <v>0.82</v>
      </c>
    </row>
    <row r="27" spans="2:125" ht="13.5" thickBot="1" x14ac:dyDescent="0.25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2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3">
        <f>'[1]Sep 2019'!EA27</f>
        <v>0.69</v>
      </c>
    </row>
    <row r="28" spans="2:125" ht="13.5" thickBot="1" x14ac:dyDescent="0.25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2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3">
        <f>'[1]Sep 2019'!EA28</f>
        <v>0.85</v>
      </c>
    </row>
    <row r="29" spans="2:125" ht="13.5" thickBot="1" x14ac:dyDescent="0.25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2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3">
        <f>'[1]Sep 2019'!EA29</f>
        <v>0.85</v>
      </c>
    </row>
    <row r="30" spans="2:125" ht="13.5" thickBot="1" x14ac:dyDescent="0.25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2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3">
        <f>'[1]Sep 2019'!EA30</f>
        <v>0.82</v>
      </c>
    </row>
    <row r="31" spans="2:125" ht="13.5" thickBot="1" x14ac:dyDescent="0.25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2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3">
        <f>'[1]Sep 2019'!EA31</f>
        <v>0.88</v>
      </c>
    </row>
    <row r="32" spans="2:125" ht="13.5" thickBot="1" x14ac:dyDescent="0.25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2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3">
        <f>'[1]Sep 2019'!EA32</f>
        <v>0.77</v>
      </c>
    </row>
    <row r="33" spans="2:125" ht="13.5" thickBot="1" x14ac:dyDescent="0.25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2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3">
        <f>'[1]Sep 2019'!EA33</f>
        <v>0.76</v>
      </c>
    </row>
    <row r="34" spans="2:125" ht="13.5" thickBot="1" x14ac:dyDescent="0.25">
      <c r="B34" s="19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2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3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Marie Prisca Natasha GOVINDEN</cp:lastModifiedBy>
  <cp:revision/>
  <dcterms:created xsi:type="dcterms:W3CDTF">2016-09-19T10:41:46Z</dcterms:created>
  <dcterms:modified xsi:type="dcterms:W3CDTF">2021-07-27T05:59:20Z</dcterms:modified>
  <cp:category/>
  <cp:contentStatus/>
</cp:coreProperties>
</file>