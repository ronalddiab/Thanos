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externalLinks/externalLink18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externalLinks/externalLink16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17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14670" yWindow="60" windowWidth="12210" windowHeight="12120" tabRatio="579" activeTab="5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Print_Area" localSheetId="14">'Degree Days 2020'!$A$41:$AJ$92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H20" i="3"/>
  <c r="H21"/>
  <c r="H22" s="1"/>
  <c r="H23" s="1"/>
  <c r="H24" s="1"/>
  <c r="H25" s="1"/>
  <c r="H26" s="1"/>
  <c r="H27" s="1"/>
  <c r="H28" s="1"/>
  <c r="H29" s="1"/>
  <c r="H30" s="1"/>
  <c r="H31" s="1"/>
  <c r="H32" s="1"/>
  <c r="H33" s="1"/>
  <c r="E12" i="2"/>
  <c r="E7"/>
  <c r="E6"/>
  <c r="E8"/>
  <c r="E9"/>
  <c r="E10"/>
  <c r="E11"/>
  <c r="AA12" i="76"/>
  <c r="Y10"/>
  <c r="Z10"/>
  <c r="AA10"/>
  <c r="Y11"/>
  <c r="Z11"/>
  <c r="AA11"/>
  <c r="Z9"/>
  <c r="AA9"/>
  <c r="Y9"/>
  <c r="V10"/>
  <c r="W10"/>
  <c r="V11"/>
  <c r="W11"/>
  <c r="W9"/>
  <c r="V26" s="1"/>
  <c r="V9"/>
  <c r="AF34" i="3" l="1"/>
  <c r="F37" i="5"/>
  <c r="C15" i="77" l="1"/>
  <c r="C16"/>
  <c r="C17"/>
  <c r="C18"/>
  <c r="C19"/>
  <c r="C20"/>
  <c r="C14"/>
  <c r="V49" i="74" l="1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R75"/>
  <c r="S75"/>
  <c r="R76"/>
  <c r="S76"/>
  <c r="R77"/>
  <c r="S77"/>
  <c r="S48"/>
  <c r="R48"/>
  <c r="AA13" i="76"/>
  <c r="AC13"/>
  <c r="AA14"/>
  <c r="AB14"/>
  <c r="AC14"/>
  <c r="AA15"/>
  <c r="AB15"/>
  <c r="AC15"/>
  <c r="AA16"/>
  <c r="AA17"/>
  <c r="AC17"/>
  <c r="W13"/>
  <c r="C3"/>
  <c r="D3"/>
  <c r="E3"/>
  <c r="F3"/>
  <c r="F4" s="1"/>
  <c r="G3"/>
  <c r="H3"/>
  <c r="H4" s="1"/>
  <c r="H5" s="1"/>
  <c r="H6" s="1"/>
  <c r="H7" s="1"/>
  <c r="H8" s="1"/>
  <c r="H13" s="1"/>
  <c r="H14" s="1"/>
  <c r="H15" s="1"/>
  <c r="H16" s="1"/>
  <c r="H17" s="1"/>
  <c r="I3"/>
  <c r="J3"/>
  <c r="J4" s="1"/>
  <c r="J5" s="1"/>
  <c r="J6" s="1"/>
  <c r="J7" s="1"/>
  <c r="J8" s="1"/>
  <c r="J10" s="1"/>
  <c r="J11" s="1"/>
  <c r="J12" s="1"/>
  <c r="J13" s="1"/>
  <c r="J14" s="1"/>
  <c r="J15" s="1"/>
  <c r="J16" s="1"/>
  <c r="J17" s="1"/>
  <c r="K3"/>
  <c r="L3"/>
  <c r="M3"/>
  <c r="N3"/>
  <c r="S3"/>
  <c r="B3"/>
  <c r="B4" s="1"/>
  <c r="B5" s="1"/>
  <c r="B6" s="1"/>
  <c r="B7" s="1"/>
  <c r="B8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AX5"/>
  <c r="AY5"/>
  <c r="AZ5"/>
  <c r="BA5"/>
  <c r="BB5"/>
  <c r="BC5"/>
  <c r="BD5"/>
  <c r="BE5"/>
  <c r="BF5"/>
  <c r="BG5"/>
  <c r="BH5"/>
  <c r="BI5"/>
  <c r="AW5"/>
  <c r="AS5"/>
  <c r="AQ5"/>
  <c r="AR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X3" i="3"/>
  <c r="X4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C2"/>
  <c r="G2"/>
  <c r="H2"/>
  <c r="I2"/>
  <c r="O2"/>
  <c r="R2"/>
  <c r="R5" s="1"/>
  <c r="R6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U2"/>
  <c r="V2"/>
  <c r="W2"/>
  <c r="X2"/>
  <c r="Y2"/>
  <c r="AD2"/>
  <c r="AI2"/>
  <c r="AJ2"/>
  <c r="B2"/>
  <c r="B5" s="1"/>
  <c r="B6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A2"/>
  <c r="C5" i="79"/>
  <c r="D5"/>
  <c r="E5"/>
  <c r="F5"/>
  <c r="G5"/>
  <c r="H5"/>
  <c r="H7" s="1"/>
  <c r="H8" s="1"/>
  <c r="H9" s="1"/>
  <c r="H11" s="1"/>
  <c r="H12" s="1"/>
  <c r="H13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B5"/>
  <c r="A5"/>
  <c r="AT5" i="5"/>
  <c r="AT6" s="1"/>
  <c r="AT8" s="1"/>
  <c r="AT9" s="1"/>
  <c r="AT10" s="1"/>
  <c r="AT11" s="1"/>
  <c r="AT13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8" s="1"/>
  <c r="AV9" s="1"/>
  <c r="AV10" s="1"/>
  <c r="AV11" s="1"/>
  <c r="AV13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W5"/>
  <c r="AX5"/>
  <c r="AX8" s="1"/>
  <c r="AX9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AZ5"/>
  <c r="BA5"/>
  <c r="BC5"/>
  <c r="BD5"/>
  <c r="AR5"/>
  <c r="F5" i="76" l="1"/>
  <c r="F6" s="1"/>
  <c r="F7" s="1"/>
  <c r="F8" s="1"/>
  <c r="F13" s="1"/>
  <c r="F14" s="1"/>
  <c r="F15" s="1"/>
  <c r="F16" s="1"/>
  <c r="F17" s="1"/>
  <c r="B25" i="3"/>
  <c r="B26" s="1"/>
  <c r="B27" s="1"/>
  <c r="B28" s="1"/>
  <c r="B29" s="1"/>
  <c r="B30" s="1"/>
  <c r="B31" s="1"/>
  <c r="B32" s="1"/>
  <c r="B33" s="1"/>
  <c r="C24"/>
  <c r="J18" i="76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H18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W27" s="1"/>
  <c r="F5" i="5"/>
  <c r="G5"/>
  <c r="G6" s="1"/>
  <c r="G8" s="1"/>
  <c r="G9" s="1"/>
  <c r="G10" s="1"/>
  <c r="G11" s="1"/>
  <c r="G12" s="1"/>
  <c r="G13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5"/>
  <c r="K5"/>
  <c r="L5"/>
  <c r="R5"/>
  <c r="S5"/>
  <c r="T5"/>
  <c r="U5"/>
  <c r="X6"/>
  <c r="X7" s="1"/>
  <c r="X8" s="1"/>
  <c r="X9" s="1"/>
  <c r="X10" s="1"/>
  <c r="X11" s="1"/>
  <c r="X12" s="1"/>
  <c r="X13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5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J5"/>
  <c r="AK5"/>
  <c r="AM5"/>
  <c r="AN5"/>
  <c r="AO5"/>
  <c r="AP5"/>
  <c r="A5"/>
  <c r="C4" i="1"/>
  <c r="C7" s="1"/>
  <c r="C8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D4"/>
  <c r="E4"/>
  <c r="F4"/>
  <c r="F6" s="1"/>
  <c r="F7" s="1"/>
  <c r="F8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G4"/>
  <c r="H4"/>
  <c r="H6" s="1"/>
  <c r="H7" s="1"/>
  <c r="H8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M5" s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N4"/>
  <c r="O4"/>
  <c r="P4"/>
  <c r="P5" s="1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5" s="1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6" s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L4"/>
  <c r="AV4"/>
  <c r="AW4"/>
  <c r="B4"/>
  <c r="B7" s="1"/>
  <c r="B8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E3" i="2"/>
  <c r="F3"/>
  <c r="F6" s="1"/>
  <c r="F7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"/>
  <c r="H3"/>
  <c r="H6" s="1"/>
  <c r="H7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6" s="1"/>
  <c r="J7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L6" s="1"/>
  <c r="L7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3"/>
  <c r="N3"/>
  <c r="O3"/>
  <c r="P3"/>
  <c r="P6" s="1"/>
  <c r="P7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3"/>
  <c r="R3"/>
  <c r="W3"/>
  <c r="W6" s="1"/>
  <c r="W7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6" s="1"/>
  <c r="Y7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D3"/>
  <c r="D6" s="1"/>
  <c r="D7" s="1"/>
  <c r="D13" s="1"/>
  <c r="C3"/>
  <c r="D14" l="1"/>
  <c r="E13"/>
  <c r="F18" i="76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W28" s="1"/>
  <c r="Y9" i="3"/>
  <c r="Y10"/>
  <c r="Y11"/>
  <c r="Y12"/>
  <c r="Y13"/>
  <c r="Y14"/>
  <c r="Y15"/>
  <c r="Y16"/>
  <c r="Y17"/>
  <c r="Y18"/>
  <c r="Y19"/>
  <c r="D15" i="2" l="1"/>
  <c r="E14"/>
  <c r="Q20"/>
  <c r="Q19"/>
  <c r="D16" l="1"/>
  <c r="E15"/>
  <c r="D15" i="73"/>
  <c r="H12" i="77"/>
  <c r="D17" i="2" l="1"/>
  <c r="E16"/>
  <c r="BA7" i="5"/>
  <c r="D18" i="2" l="1"/>
  <c r="E17"/>
  <c r="I8" i="77"/>
  <c r="D19" i="2" l="1"/>
  <c r="E18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V27" i="76"/>
  <c r="V28"/>
  <c r="AC34"/>
  <c r="AS37" i="7"/>
  <c r="AU37" s="1"/>
  <c r="AU5"/>
  <c r="AT5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F34"/>
  <c r="D20" l="1"/>
  <c r="E19"/>
  <c r="K4" i="76"/>
  <c r="AB26"/>
  <c r="AA28"/>
  <c r="AB28" s="1"/>
  <c r="AE28" s="1"/>
  <c r="AF28" s="1"/>
  <c r="D21" i="2" l="1"/>
  <c r="E20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D22" i="2" l="1"/>
  <c r="E21"/>
  <c r="F36" i="73"/>
  <c r="W30" i="76" s="1"/>
  <c r="D23" i="2" l="1"/>
  <c r="E22"/>
  <c r="AH38" i="1"/>
  <c r="AH37"/>
  <c r="AK38" i="5"/>
  <c r="F39"/>
  <c r="B39"/>
  <c r="P34" i="3"/>
  <c r="D24" i="2" l="1"/>
  <c r="E23"/>
  <c r="K77" i="74"/>
  <c r="K76"/>
  <c r="J77"/>
  <c r="J76"/>
  <c r="J75"/>
  <c r="D25" i="2" l="1"/>
  <c r="E24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K75"/>
  <c r="K48"/>
  <c r="J48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D26" l="1"/>
  <c r="E25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D27" i="2" l="1"/>
  <c r="E26"/>
  <c r="V30" i="1"/>
  <c r="Y25" i="5"/>
  <c r="G17" i="2"/>
  <c r="Z17"/>
  <c r="AB17"/>
  <c r="I17"/>
  <c r="Q17"/>
  <c r="N16"/>
  <c r="R16" s="1"/>
  <c r="K17"/>
  <c r="M17"/>
  <c r="X17"/>
  <c r="U30" i="1"/>
  <c r="D28" i="2" l="1"/>
  <c r="E27"/>
  <c r="Y26" i="5"/>
  <c r="K18" i="2"/>
  <c r="M18"/>
  <c r="I18"/>
  <c r="Z18"/>
  <c r="X18"/>
  <c r="Q18"/>
  <c r="AB18"/>
  <c r="G18"/>
  <c r="N17"/>
  <c r="R17" s="1"/>
  <c r="D29" l="1"/>
  <c r="E28"/>
  <c r="Y27" i="5"/>
  <c r="G19" i="2"/>
  <c r="N18"/>
  <c r="R18" s="1"/>
  <c r="I19"/>
  <c r="AB19"/>
  <c r="K19"/>
  <c r="Z19"/>
  <c r="X19"/>
  <c r="M19"/>
  <c r="D30" l="1"/>
  <c r="E29"/>
  <c r="Y28" i="5"/>
  <c r="AB20" i="2"/>
  <c r="X20"/>
  <c r="M20"/>
  <c r="K20"/>
  <c r="I20"/>
  <c r="Z20"/>
  <c r="G20"/>
  <c r="N19"/>
  <c r="R19" s="1"/>
  <c r="F49" i="74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B3" i="2"/>
  <c r="A3"/>
  <c r="D31" l="1"/>
  <c r="E30"/>
  <c r="Y29" i="5"/>
  <c r="K21" i="2"/>
  <c r="N20"/>
  <c r="R20" s="1"/>
  <c r="G21"/>
  <c r="M21"/>
  <c r="AB21"/>
  <c r="Q21"/>
  <c r="I21"/>
  <c r="Z21"/>
  <c r="X21"/>
  <c r="Q6"/>
  <c r="Q9"/>
  <c r="K6" i="5"/>
  <c r="I36" i="79"/>
  <c r="C27" i="3"/>
  <c r="C26"/>
  <c r="S26"/>
  <c r="D32" i="2" l="1"/>
  <c r="E3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D33" l="1"/>
  <c r="E32"/>
  <c r="Y31" i="5"/>
  <c r="N22" i="2"/>
  <c r="R22" s="1"/>
  <c r="G23"/>
  <c r="X23"/>
  <c r="AB23"/>
  <c r="Q23"/>
  <c r="M23"/>
  <c r="I23"/>
  <c r="K23"/>
  <c r="Z23"/>
  <c r="Q11"/>
  <c r="I7" i="77"/>
  <c r="I12" s="1"/>
  <c r="D34" i="2" l="1"/>
  <c r="E34" s="1"/>
  <c r="E33"/>
  <c r="Y32" i="5"/>
  <c r="N23" i="2"/>
  <c r="R23" s="1"/>
  <c r="K24"/>
  <c r="Z24"/>
  <c r="Q24"/>
  <c r="I24"/>
  <c r="X24"/>
  <c r="M24"/>
  <c r="AB24"/>
  <c r="G24"/>
  <c r="Q12"/>
  <c r="B49" i="74"/>
  <c r="C49"/>
  <c r="B50"/>
  <c r="C50"/>
  <c r="B51"/>
  <c r="C51"/>
  <c r="B52"/>
  <c r="C52"/>
  <c r="B53"/>
  <c r="C53"/>
  <c r="B54"/>
  <c r="C54"/>
  <c r="B55"/>
  <c r="C55"/>
  <c r="B56"/>
  <c r="C56"/>
  <c r="B57"/>
  <c r="C57"/>
  <c r="B58"/>
  <c r="C58"/>
  <c r="B59"/>
  <c r="C59"/>
  <c r="B60"/>
  <c r="C60"/>
  <c r="B61"/>
  <c r="C61"/>
  <c r="B62"/>
  <c r="C62"/>
  <c r="B63"/>
  <c r="C63"/>
  <c r="B64"/>
  <c r="C64"/>
  <c r="B65"/>
  <c r="C65"/>
  <c r="B66"/>
  <c r="C66"/>
  <c r="B67"/>
  <c r="C67"/>
  <c r="B68"/>
  <c r="C68"/>
  <c r="B69"/>
  <c r="C69"/>
  <c r="B70"/>
  <c r="C70"/>
  <c r="B71"/>
  <c r="C71"/>
  <c r="B72"/>
  <c r="C72"/>
  <c r="B73"/>
  <c r="C73"/>
  <c r="B74"/>
  <c r="C74"/>
  <c r="B75"/>
  <c r="C75"/>
  <c r="B76"/>
  <c r="C76"/>
  <c r="B77"/>
  <c r="C77"/>
  <c r="B78"/>
  <c r="C78"/>
  <c r="C48"/>
  <c r="B48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V11" i="74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R11" i="74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L35"/>
  <c r="U35" s="1"/>
  <c r="B16" i="7"/>
  <c r="H14" i="3" l="1"/>
  <c r="H15" s="1"/>
  <c r="H16" s="1"/>
  <c r="H17" s="1"/>
  <c r="H18" s="1"/>
  <c r="H19" s="1"/>
  <c r="I33" s="1"/>
  <c r="V35" i="1"/>
  <c r="AL35"/>
  <c r="B17" i="7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O39" i="74"/>
  <c r="N39"/>
  <c r="O38"/>
  <c r="N38"/>
  <c r="O37"/>
  <c r="N37"/>
  <c r="O36"/>
  <c r="N36"/>
  <c r="O35"/>
  <c r="N35"/>
  <c r="O34"/>
  <c r="N34"/>
  <c r="O33"/>
  <c r="N33"/>
  <c r="O32"/>
  <c r="N32"/>
  <c r="O31"/>
  <c r="N31"/>
  <c r="O30"/>
  <c r="N30"/>
  <c r="O29"/>
  <c r="N29"/>
  <c r="O28"/>
  <c r="N28"/>
  <c r="O27"/>
  <c r="N27"/>
  <c r="O26"/>
  <c r="N26"/>
  <c r="O25"/>
  <c r="N25"/>
  <c r="O24"/>
  <c r="N24"/>
  <c r="O23"/>
  <c r="N23"/>
  <c r="O22"/>
  <c r="N22"/>
  <c r="O21"/>
  <c r="N21"/>
  <c r="O20"/>
  <c r="N20"/>
  <c r="O19"/>
  <c r="N19"/>
  <c r="O18"/>
  <c r="N18"/>
  <c r="O17"/>
  <c r="N17"/>
  <c r="O16"/>
  <c r="N16"/>
  <c r="O15"/>
  <c r="N15"/>
  <c r="O14"/>
  <c r="N14"/>
  <c r="O13"/>
  <c r="N13"/>
  <c r="O12"/>
  <c r="N12"/>
  <c r="O11"/>
  <c r="N11"/>
  <c r="O10"/>
  <c r="N10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K40"/>
  <c r="K39"/>
  <c r="K38"/>
  <c r="K37"/>
  <c r="K36"/>
  <c r="K35"/>
  <c r="K34"/>
  <c r="K33"/>
  <c r="K32"/>
  <c r="K31"/>
  <c r="K30"/>
  <c r="K29"/>
  <c r="K28"/>
  <c r="K27"/>
  <c r="K26"/>
  <c r="K25"/>
  <c r="K24"/>
  <c r="K23"/>
  <c r="K22"/>
  <c r="K21"/>
  <c r="K20"/>
  <c r="K19"/>
  <c r="K18"/>
  <c r="K17"/>
  <c r="K16"/>
  <c r="K15"/>
  <c r="K14"/>
  <c r="K13"/>
  <c r="K12"/>
  <c r="K11"/>
  <c r="K10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G37"/>
  <c r="G36"/>
  <c r="G35"/>
  <c r="G34"/>
  <c r="G33"/>
  <c r="G32"/>
  <c r="G31"/>
  <c r="G30"/>
  <c r="G29"/>
  <c r="G28"/>
  <c r="G27"/>
  <c r="G26"/>
  <c r="G25"/>
  <c r="G24"/>
  <c r="G23"/>
  <c r="G22"/>
  <c r="G21"/>
  <c r="G20"/>
  <c r="G19"/>
  <c r="G18"/>
  <c r="G17"/>
  <c r="G16"/>
  <c r="G15"/>
  <c r="G14"/>
  <c r="G13"/>
  <c r="G12"/>
  <c r="G11"/>
  <c r="G10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C40"/>
  <c r="C39"/>
  <c r="C38"/>
  <c r="C37"/>
  <c r="C36"/>
  <c r="C35"/>
  <c r="C34"/>
  <c r="C33"/>
  <c r="C32"/>
  <c r="C31"/>
  <c r="C30"/>
  <c r="C29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B40"/>
  <c r="B39"/>
  <c r="B38"/>
  <c r="B37"/>
  <c r="B36"/>
  <c r="B35"/>
  <c r="B34"/>
  <c r="B33"/>
  <c r="B32"/>
  <c r="B31"/>
  <c r="B30"/>
  <c r="B29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H28" i="82" l="1"/>
  <c r="F36" i="7"/>
  <c r="K43" i="74"/>
  <c r="J43"/>
  <c r="G43"/>
  <c r="F43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F25" s="1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C43"/>
  <c r="B43"/>
  <c r="I5" i="79"/>
  <c r="I7"/>
  <c r="D23" i="73"/>
  <c r="AM24" i="5" s="1"/>
  <c r="AP24"/>
  <c r="AN24"/>
  <c r="N43" i="74" l="1"/>
  <c r="S43"/>
  <c r="AB14" s="1"/>
  <c r="R43"/>
  <c r="AA14" s="1"/>
  <c r="W43"/>
  <c r="V43"/>
  <c r="O43"/>
  <c r="I23" i="3"/>
  <c r="N33" i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G23"/>
  <c r="V33" l="1"/>
  <c r="I25" i="3"/>
  <c r="R31" i="7"/>
  <c r="N34" i="1"/>
  <c r="J23"/>
  <c r="J35" i="7"/>
  <c r="AL35"/>
  <c r="L34"/>
  <c r="P32"/>
  <c r="N33"/>
  <c r="D23" i="1"/>
  <c r="E23" s="1"/>
  <c r="I22"/>
  <c r="V34" l="1"/>
  <c r="I32" i="3"/>
  <c r="I31"/>
  <c r="L35" i="7"/>
  <c r="R32"/>
  <c r="P33"/>
  <c r="N34"/>
  <c r="R33" l="1"/>
  <c r="P34"/>
  <c r="N35"/>
  <c r="U24" i="5"/>
  <c r="R23" i="1"/>
  <c r="V23" s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L25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N19" s="1"/>
  <c r="D19" l="1"/>
  <c r="E19" s="1"/>
  <c r="C27"/>
  <c r="I21"/>
  <c r="M19"/>
  <c r="G20"/>
  <c r="K20"/>
  <c r="N20" s="1"/>
  <c r="L19"/>
  <c r="D20" l="1"/>
  <c r="E20" s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A4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19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V10" i="1" l="1"/>
  <c r="V9"/>
  <c r="V7"/>
  <c r="V14"/>
  <c r="V11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F12" i="3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R81"/>
  <c r="S81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D37" i="73" l="1"/>
  <c r="G35" i="76"/>
  <c r="C35"/>
  <c r="I35"/>
  <c r="K35"/>
  <c r="AO36" i="7"/>
  <c r="AN36" s="1"/>
  <c r="Y36"/>
  <c r="T15" i="1"/>
  <c r="B81" i="74"/>
  <c r="C8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V81" i="74"/>
  <c r="O7" i="2"/>
  <c r="J81" i="74"/>
  <c r="B15" i="77" s="1"/>
  <c r="E15" s="1"/>
  <c r="AI4" i="3"/>
  <c r="D6" i="65" s="1"/>
  <c r="F81" i="74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G81" i="74"/>
  <c r="K81"/>
  <c r="B14" i="77" s="1"/>
  <c r="E14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W81" i="74"/>
  <c r="O81"/>
  <c r="C2" i="63"/>
  <c r="D2" s="1"/>
  <c r="S4" i="76"/>
  <c r="E2" i="81"/>
  <c r="H3" i="63"/>
  <c r="F6" i="65"/>
  <c r="O4" i="2"/>
  <c r="W3" i="7"/>
  <c r="AO3" s="1"/>
  <c r="H17" i="5"/>
  <c r="F13" i="3"/>
  <c r="C14"/>
  <c r="BD15" i="5"/>
  <c r="Y16"/>
  <c r="AA16" i="1"/>
  <c r="Y16"/>
  <c r="AB16" s="1"/>
  <c r="G14" i="2"/>
  <c r="I12" i="82" s="1"/>
  <c r="N81" i="74"/>
  <c r="L13" i="76"/>
  <c r="S15" i="3"/>
  <c r="BA16" i="5"/>
  <c r="BD16" s="1"/>
  <c r="AA15"/>
  <c r="AJ15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AQ36" s="1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F14" i="3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5" l="1"/>
  <c r="AS36"/>
  <c r="AX36" s="1"/>
  <c r="T17" i="1"/>
  <c r="D14" i="65"/>
  <c r="J13" i="82"/>
  <c r="I6" i="3"/>
  <c r="O29" i="79"/>
  <c r="I28"/>
  <c r="F6" i="3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F15"/>
  <c r="Y18" i="5"/>
  <c r="Y18" i="1"/>
  <c r="AB18" s="1"/>
  <c r="S17" i="3"/>
  <c r="BA18" i="5"/>
  <c r="BD19" s="1"/>
  <c r="AJ17"/>
  <c r="AA17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F16" i="3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F17"/>
  <c r="Y20" i="5"/>
  <c r="Y20" i="1"/>
  <c r="AB20" s="1"/>
  <c r="S19" i="3"/>
  <c r="AA19" i="5"/>
  <c r="AJ19"/>
  <c r="U20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F18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V21" s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F20" i="3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S19" i="76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F2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4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F24" i="3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F26" i="3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F27" i="3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F29" s="1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F30" i="3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T18" s="1"/>
  <c r="F16" i="81" s="1"/>
  <c r="E16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T7" s="1"/>
  <c r="F5" i="81" s="1"/>
  <c r="S8" i="76"/>
  <c r="S12"/>
  <c r="S11"/>
  <c r="R7" i="2"/>
  <c r="C6" i="63"/>
  <c r="D6" s="1"/>
  <c r="J13" i="65"/>
  <c r="J11"/>
  <c r="J14"/>
  <c r="E3" i="81"/>
  <c r="S9" i="76"/>
  <c r="S13"/>
  <c r="T13" s="1"/>
  <c r="F11" i="81" s="1"/>
  <c r="S6" i="7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T14" s="1"/>
  <c r="F12" i="81" s="1"/>
  <c r="H12" i="82"/>
  <c r="J15" i="65" l="1"/>
  <c r="AD9" i="76" l="1"/>
  <c r="AV10" i="7" l="1"/>
  <c r="AV11" l="1"/>
  <c r="H6" i="81"/>
  <c r="AV12" i="7" l="1"/>
  <c r="H7" i="81"/>
  <c r="H8" l="1"/>
  <c r="AV13" i="7"/>
  <c r="H9" i="81" l="1"/>
  <c r="AV14" i="7"/>
  <c r="AV15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H17" l="1"/>
  <c r="AV22" i="7"/>
  <c r="H18" i="81" l="1"/>
  <c r="AV23" i="7"/>
  <c r="H19" i="81" l="1"/>
  <c r="AV24" i="7"/>
  <c r="AV25" l="1"/>
  <c r="H20" i="81"/>
  <c r="AV26" i="7" l="1"/>
  <c r="H21" i="81"/>
  <c r="AV27" i="7" l="1"/>
  <c r="H22" i="81"/>
  <c r="AV28" i="7" l="1"/>
  <c r="H23" i="81"/>
  <c r="H24" l="1"/>
  <c r="AV29" i="7"/>
  <c r="H25" i="81" l="1"/>
  <c r="AV30" i="7"/>
  <c r="H26" i="81" l="1"/>
  <c r="AV31" i="7"/>
  <c r="H27" i="81" l="1"/>
  <c r="AV32" i="7"/>
  <c r="H28" i="81" l="1"/>
  <c r="AV33" i="7"/>
  <c r="AV34" l="1"/>
  <c r="H29" i="81"/>
  <c r="AV35" i="7" l="1"/>
  <c r="H30" i="81"/>
  <c r="AV36" i="7" l="1"/>
  <c r="H32" i="81" s="1"/>
  <c r="H31"/>
  <c r="AC10" i="76" l="1"/>
  <c r="AC27" s="1"/>
  <c r="AC11"/>
  <c r="AC28" s="1"/>
  <c r="AC9"/>
  <c r="AC26" s="1"/>
  <c r="AC29" s="1"/>
  <c r="AC5" i="5"/>
  <c r="AC6" s="1"/>
  <c r="AC7" s="1"/>
  <c r="AE5"/>
  <c r="AE6" s="1"/>
  <c r="AG5"/>
  <c r="AG6" s="1"/>
  <c r="AC4" i="1"/>
  <c r="AC5" s="1"/>
  <c r="AE4"/>
  <c r="AE5" s="1"/>
  <c r="S3" i="2"/>
  <c r="S4" s="1"/>
  <c r="U3"/>
  <c r="U4" s="1"/>
  <c r="AC3"/>
  <c r="AC4" s="1"/>
  <c r="S5" l="1"/>
  <c r="T4"/>
  <c r="AD7" i="5"/>
  <c r="AC8"/>
  <c r="AF6"/>
  <c r="AE7"/>
  <c r="O30" i="76"/>
  <c r="P30" s="1"/>
  <c r="O14"/>
  <c r="P14" s="1"/>
  <c r="O5"/>
  <c r="P5" s="1"/>
  <c r="O34"/>
  <c r="O16"/>
  <c r="P16" s="1"/>
  <c r="O31"/>
  <c r="P31" s="1"/>
  <c r="O18"/>
  <c r="P18" s="1"/>
  <c r="AC33"/>
  <c r="O8"/>
  <c r="P8" s="1"/>
  <c r="O12"/>
  <c r="P12" s="1"/>
  <c r="O21"/>
  <c r="P21" s="1"/>
  <c r="O26"/>
  <c r="P26" s="1"/>
  <c r="O10"/>
  <c r="P10" s="1"/>
  <c r="O11"/>
  <c r="P11" s="1"/>
  <c r="O15"/>
  <c r="P15" s="1"/>
  <c r="O4"/>
  <c r="P4" s="1"/>
  <c r="O9"/>
  <c r="P9" s="1"/>
  <c r="O20"/>
  <c r="P20" s="1"/>
  <c r="O24"/>
  <c r="P24" s="1"/>
  <c r="O29"/>
  <c r="P29" s="1"/>
  <c r="O33"/>
  <c r="P33" s="1"/>
  <c r="O19"/>
  <c r="P19" s="1"/>
  <c r="O17"/>
  <c r="P17" s="1"/>
  <c r="AB30"/>
  <c r="O28"/>
  <c r="P28" s="1"/>
  <c r="O25"/>
  <c r="P25" s="1"/>
  <c r="O7"/>
  <c r="P7" s="1"/>
  <c r="O6"/>
  <c r="P6" s="1"/>
  <c r="O32"/>
  <c r="P32" s="1"/>
  <c r="O23"/>
  <c r="P23" s="1"/>
  <c r="O27"/>
  <c r="P27" s="1"/>
  <c r="O13"/>
  <c r="P13" s="1"/>
  <c r="O22"/>
  <c r="P22" s="1"/>
  <c r="U5" i="2"/>
  <c r="V4"/>
  <c r="AD5" i="1"/>
  <c r="AC6"/>
  <c r="AH6" i="5"/>
  <c r="AG7"/>
  <c r="AD4" i="2"/>
  <c r="AC5"/>
  <c r="AE6" i="1"/>
  <c r="AF5"/>
  <c r="AH5" s="1"/>
  <c r="AC12" i="76"/>
  <c r="AF4" i="2" l="1"/>
  <c r="T5"/>
  <c r="S6"/>
  <c r="AI5" i="1"/>
  <c r="C5" i="65"/>
  <c r="E5" s="1"/>
  <c r="AD8" i="5"/>
  <c r="AC9"/>
  <c r="A2" i="63"/>
  <c r="AE4" i="2"/>
  <c r="AG4" s="1"/>
  <c r="AI6" i="5"/>
  <c r="O35" i="76"/>
  <c r="P34"/>
  <c r="R34" s="1"/>
  <c r="T34" s="1"/>
  <c r="F32" i="81" s="1"/>
  <c r="AD6" i="1"/>
  <c r="AC7"/>
  <c r="AB36" i="76"/>
  <c r="AB38" s="1"/>
  <c r="AB33"/>
  <c r="AB34" s="1"/>
  <c r="D10" i="77"/>
  <c r="E10" s="1"/>
  <c r="AF7" i="5"/>
  <c r="AE8"/>
  <c r="AM5" i="1"/>
  <c r="F6" i="75" s="1"/>
  <c r="G6" s="1"/>
  <c r="AG5" i="1"/>
  <c r="AH7" i="5"/>
  <c r="AG8"/>
  <c r="AC6" i="2"/>
  <c r="AD5"/>
  <c r="H5" i="65"/>
  <c r="B2" i="63"/>
  <c r="AF6" i="1"/>
  <c r="AH6" s="1"/>
  <c r="AE7"/>
  <c r="V5" i="2"/>
  <c r="U6"/>
  <c r="AB9" i="76"/>
  <c r="AC16"/>
  <c r="AB11"/>
  <c r="AE11" s="1"/>
  <c r="AF11" s="1"/>
  <c r="AI7" i="5" l="1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B4" i="63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AI8" i="1" l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G6" i="81"/>
  <c r="AX10" i="7"/>
  <c r="AJ9" i="1"/>
  <c r="AK9" s="1"/>
  <c r="AD13" i="5"/>
  <c r="AC14"/>
  <c r="AI11"/>
  <c r="AE13"/>
  <c r="AF12"/>
  <c r="AF10" i="2" l="1"/>
  <c r="AC12"/>
  <c r="AD11"/>
  <c r="T11"/>
  <c r="S12"/>
  <c r="AG14" i="5"/>
  <c r="AH13"/>
  <c r="AM11" i="1"/>
  <c r="F12" i="75" s="1"/>
  <c r="G12" s="1"/>
  <c r="AG11" i="1"/>
  <c r="H11" i="65"/>
  <c r="B8" i="63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I13" s="1"/>
  <c r="A8" i="63"/>
  <c r="AE10" i="2"/>
  <c r="AG10" s="1"/>
  <c r="AI12" i="5"/>
  <c r="AG9" i="2"/>
  <c r="AC16" i="5" l="1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B10" i="76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B12" i="76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F14" s="1"/>
  <c r="A11" i="63"/>
  <c r="AE13" i="2"/>
  <c r="AG13" s="1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B13" i="76"/>
  <c r="AB19" s="1"/>
  <c r="AI16" i="5" l="1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B12" i="63"/>
  <c r="H15" i="65"/>
  <c r="AE18" i="5"/>
  <c r="AF17"/>
  <c r="AI17" s="1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B16" i="76"/>
  <c r="AI16" i="1" l="1"/>
  <c r="AW17" i="7" s="1"/>
  <c r="C16" i="65"/>
  <c r="E16" s="1"/>
  <c r="Q13" i="76"/>
  <c r="R13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I18" s="1"/>
  <c r="AH18"/>
  <c r="AG19"/>
  <c r="AC18" i="1"/>
  <c r="AD17"/>
  <c r="AD19" i="5"/>
  <c r="AC20"/>
  <c r="V16" i="2"/>
  <c r="U17"/>
  <c r="AB17" i="76"/>
  <c r="AJ16" i="1" l="1"/>
  <c r="AK16" s="1"/>
  <c r="G13" i="81"/>
  <c r="AX17" i="7"/>
  <c r="AF19" i="5"/>
  <c r="AE20"/>
  <c r="AE16" i="2"/>
  <c r="AG16" s="1"/>
  <c r="A14" i="63"/>
  <c r="AF16" i="2"/>
  <c r="BJ16" i="7"/>
  <c r="AY16"/>
  <c r="Q14" i="76"/>
  <c r="R14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I19" i="5" l="1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AX19" i="7"/>
  <c r="V19" i="2"/>
  <c r="U20"/>
  <c r="AM19" i="1"/>
  <c r="F20" i="75" s="1"/>
  <c r="G20" s="1"/>
  <c r="AG19" i="1"/>
  <c r="AD19" i="2"/>
  <c r="AC20"/>
  <c r="AI19" i="1"/>
  <c r="AW20" i="7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H20" i="65"/>
  <c r="AC22" i="1"/>
  <c r="AD21"/>
  <c r="AC24" i="5"/>
  <c r="AD23"/>
  <c r="AE23"/>
  <c r="AF22"/>
  <c r="A17" i="63"/>
  <c r="AE19" i="2"/>
  <c r="AG19" s="1"/>
  <c r="AH22" i="5"/>
  <c r="AG23"/>
  <c r="V20" i="2"/>
  <c r="U21"/>
  <c r="AM20" i="1"/>
  <c r="F21" i="75" s="1"/>
  <c r="G21" s="1"/>
  <c r="AG20" i="1"/>
  <c r="AJ19"/>
  <c r="AK19" s="1"/>
  <c r="G16" i="81"/>
  <c r="AX20" i="7"/>
  <c r="AI20" i="1"/>
  <c r="AW21" i="7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AY19"/>
  <c r="B5" i="5"/>
  <c r="B6" s="1"/>
  <c r="AI22" l="1"/>
  <c r="AF23"/>
  <c r="AE24"/>
  <c r="AF22" i="1"/>
  <c r="AH22" s="1"/>
  <c r="AE23"/>
  <c r="C6" i="5"/>
  <c r="B7"/>
  <c r="S22" i="2"/>
  <c r="T21"/>
  <c r="AY20" i="7"/>
  <c r="BJ20"/>
  <c r="Q18" i="76"/>
  <c r="R18" s="1"/>
  <c r="AD22" i="1"/>
  <c r="AC23"/>
  <c r="AJ20"/>
  <c r="AK20" s="1"/>
  <c r="AX21" i="7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C22" i="2"/>
  <c r="AD21"/>
  <c r="A18" i="63"/>
  <c r="AE20" i="2"/>
  <c r="AG20" s="1"/>
  <c r="U22"/>
  <c r="V21"/>
  <c r="AI23" i="5" l="1"/>
  <c r="G18" i="81"/>
  <c r="AJ21" i="1"/>
  <c r="AK21" s="1"/>
  <c r="AX22" i="7"/>
  <c r="AE25" i="5"/>
  <c r="AF24"/>
  <c r="AI24" s="1"/>
  <c r="C22" i="65"/>
  <c r="E22" s="1"/>
  <c r="AI22" i="1"/>
  <c r="AW23" i="7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Q19" i="76"/>
  <c r="R19" s="1"/>
  <c r="T19" s="1"/>
  <c r="F17" i="81" s="1"/>
  <c r="AY21" i="7"/>
  <c r="S23" i="2"/>
  <c r="T22"/>
  <c r="AF21"/>
  <c r="AD22"/>
  <c r="AC23"/>
  <c r="AC24" i="1"/>
  <c r="AD23"/>
  <c r="A19" i="63"/>
  <c r="AE21" i="2"/>
  <c r="AG21" s="1"/>
  <c r="AS5" i="5"/>
  <c r="AS6" s="1"/>
  <c r="AF24" i="1" l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B9"/>
  <c r="A20" i="63"/>
  <c r="AE22" i="2"/>
  <c r="AG22" s="1"/>
  <c r="G19" i="81"/>
  <c r="AX23" i="7"/>
  <c r="AJ22" i="1"/>
  <c r="AK22" s="1"/>
  <c r="Q20" i="76"/>
  <c r="R20" s="1"/>
  <c r="T20" s="1"/>
  <c r="F18" i="81" s="1"/>
  <c r="BJ22" i="7"/>
  <c r="AY22"/>
  <c r="H22" i="65"/>
  <c r="B19" i="63"/>
  <c r="AD26" i="5"/>
  <c r="AC27"/>
  <c r="C23" i="65"/>
  <c r="E23" s="1"/>
  <c r="AI23" i="1"/>
  <c r="AW24" i="7" s="1"/>
  <c r="AY5" i="5"/>
  <c r="BB6" l="1"/>
  <c r="BE6" s="1"/>
  <c r="BF6" s="1"/>
  <c r="BG6" s="1"/>
  <c r="G6" i="65" s="1"/>
  <c r="AI25" i="5"/>
  <c r="AY23" i="7"/>
  <c r="BJ23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X24" i="7"/>
  <c r="AF26" i="5"/>
  <c r="AI26" s="1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BF7" i="5" l="1"/>
  <c r="BG7" s="1"/>
  <c r="G7" i="65" s="1"/>
  <c r="AD26" i="1"/>
  <c r="AC27"/>
  <c r="AJ24"/>
  <c r="AK24" s="1"/>
  <c r="G21" i="81"/>
  <c r="AX25" i="7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BF8" i="5"/>
  <c r="BG8" s="1"/>
  <c r="G8" i="65" s="1"/>
  <c r="C25"/>
  <c r="E25" s="1"/>
  <c r="AI25" i="1"/>
  <c r="AW26" i="7" s="1"/>
  <c r="AF27" i="5"/>
  <c r="AE28"/>
  <c r="T25" i="2"/>
  <c r="S26"/>
  <c r="AD28" i="5"/>
  <c r="AC29"/>
  <c r="AY24" i="7"/>
  <c r="Q22" i="76"/>
  <c r="R22" s="1"/>
  <c r="T22" s="1"/>
  <c r="F20" i="81" s="1"/>
  <c r="BJ24" i="7"/>
  <c r="AE27" i="1"/>
  <c r="AF26"/>
  <c r="AH26" s="1"/>
  <c r="AF24" i="2"/>
  <c r="M5" i="5"/>
  <c r="M6" s="1"/>
  <c r="O5"/>
  <c r="O6" s="1"/>
  <c r="AI27" l="1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AY25" i="7"/>
  <c r="Q23" i="76"/>
  <c r="R23" s="1"/>
  <c r="T23" s="1"/>
  <c r="F21" i="81" s="1"/>
  <c r="BJ25" i="7"/>
  <c r="B12" i="5"/>
  <c r="C11"/>
  <c r="AF25" i="2"/>
  <c r="C26" i="65"/>
  <c r="E26" s="1"/>
  <c r="AI26" i="1"/>
  <c r="AW27" i="7" s="1"/>
  <c r="G22" i="81"/>
  <c r="AX26" i="7"/>
  <c r="AJ25" i="1"/>
  <c r="AK25" s="1"/>
  <c r="AS10" i="5"/>
  <c r="AY9"/>
  <c r="BB9" s="1"/>
  <c r="BE9" s="1"/>
  <c r="I5" i="63" s="1"/>
  <c r="V26" i="2"/>
  <c r="AF26" s="1"/>
  <c r="U27"/>
  <c r="E10" i="5"/>
  <c r="I10"/>
  <c r="D10"/>
  <c r="G7" i="63"/>
  <c r="AE25" i="2"/>
  <c r="AG25" s="1"/>
  <c r="A23" i="63"/>
  <c r="V5" i="5"/>
  <c r="V6" s="1"/>
  <c r="AF5"/>
  <c r="AH5"/>
  <c r="BF9" l="1"/>
  <c r="BG9" s="1"/>
  <c r="G9" i="65" s="1"/>
  <c r="Q6" i="5"/>
  <c r="AI28"/>
  <c r="V27" i="2"/>
  <c r="U28"/>
  <c r="B24" i="63"/>
  <c r="H27" i="65"/>
  <c r="AJ26" i="1"/>
  <c r="AK26" s="1"/>
  <c r="AX27" i="7"/>
  <c r="G23" i="81"/>
  <c r="AC28" i="2"/>
  <c r="AD27"/>
  <c r="AD28" i="1"/>
  <c r="AC29"/>
  <c r="C27" i="65"/>
  <c r="E27" s="1"/>
  <c r="AI27" i="1"/>
  <c r="AW28" i="7" s="1"/>
  <c r="AG27" i="1"/>
  <c r="AM27"/>
  <c r="F28" i="75" s="1"/>
  <c r="G28" s="1"/>
  <c r="AE30" i="5"/>
  <c r="AF29"/>
  <c r="M2" i="81"/>
  <c r="AH29" i="5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W5" i="5"/>
  <c r="AI5"/>
  <c r="Q7" l="1"/>
  <c r="M3" i="81" s="1"/>
  <c r="AI29" i="5"/>
  <c r="AF27" i="2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B25" i="63"/>
  <c r="H28" i="65"/>
  <c r="AM28" i="1"/>
  <c r="F29" i="75" s="1"/>
  <c r="G29" s="1"/>
  <c r="AG28" i="1"/>
  <c r="C13" i="5"/>
  <c r="B14"/>
  <c r="P8"/>
  <c r="Q8" s="1"/>
  <c r="M4" i="81" s="1"/>
  <c r="O9" i="5"/>
  <c r="S29" i="2"/>
  <c r="T28"/>
  <c r="AD31" i="5"/>
  <c r="AC32"/>
  <c r="AX28" i="7"/>
  <c r="G24" i="81"/>
  <c r="AJ27" i="1"/>
  <c r="AK27" s="1"/>
  <c r="V8" i="5"/>
  <c r="W7"/>
  <c r="AL7" s="1"/>
  <c r="AE31"/>
  <c r="AF30"/>
  <c r="AI30" s="1"/>
  <c r="AD28" i="2"/>
  <c r="AC29"/>
  <c r="BF10" i="5"/>
  <c r="BG10" s="1"/>
  <c r="G10" i="65" s="1"/>
  <c r="BF11" i="5" l="1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AL5" i="5"/>
  <c r="AD3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G30" s="1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BF14" i="5"/>
  <c r="BG14" s="1"/>
  <c r="G14" i="65" s="1"/>
  <c r="AY30" i="7"/>
  <c r="Q28" i="76"/>
  <c r="R28" s="1"/>
  <c r="T28" s="1"/>
  <c r="F26" i="81" s="1"/>
  <c r="BJ30" i="7"/>
  <c r="AD31" i="2"/>
  <c r="AC32"/>
  <c r="C16" i="5"/>
  <c r="B17"/>
  <c r="AI32"/>
  <c r="AF31" i="2" l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I34" s="1"/>
  <c r="AE35"/>
  <c r="P12"/>
  <c r="O13"/>
  <c r="H32" i="65"/>
  <c r="B29" i="63"/>
  <c r="AC36" i="5"/>
  <c r="AD36" s="1"/>
  <c r="AD35"/>
  <c r="H31" i="65"/>
  <c r="B28" i="63"/>
  <c r="V32" i="2"/>
  <c r="AF32" s="1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BF15" l="1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Q13" s="1"/>
  <c r="M9" i="81" s="1"/>
  <c r="O14" i="5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AI36" s="1"/>
  <c r="V13"/>
  <c r="W12"/>
  <c r="AL12" s="1"/>
  <c r="Q31" i="76" l="1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M36" s="1"/>
  <c r="AG34"/>
  <c r="C19" i="5"/>
  <c r="B20"/>
  <c r="N14"/>
  <c r="M15"/>
  <c r="AI35" i="1"/>
  <c r="AH36"/>
  <c r="BF16" i="5"/>
  <c r="BG16" s="1"/>
  <c r="G16" i="65" s="1"/>
  <c r="AI35" i="5"/>
  <c r="AF34" i="2"/>
  <c r="T3"/>
  <c r="V3"/>
  <c r="Q14" i="5" l="1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Q15" s="1"/>
  <c r="M11" i="81" s="1"/>
  <c r="B21" i="5"/>
  <c r="C20"/>
  <c r="N15"/>
  <c r="M16"/>
  <c r="AK35" i="1"/>
  <c r="AI37"/>
  <c r="BF17" i="5"/>
  <c r="BG17" s="1"/>
  <c r="G17" i="65" s="1"/>
  <c r="AE3" i="2"/>
  <c r="AF3"/>
  <c r="C5" i="5"/>
  <c r="G2" i="63" s="1"/>
  <c r="I2" s="1"/>
  <c r="AD5" i="5"/>
  <c r="BF18" l="1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2" i="3"/>
  <c r="L3" s="1"/>
  <c r="C21" i="5"/>
  <c r="B22"/>
  <c r="O17"/>
  <c r="P16"/>
  <c r="Q16" s="1"/>
  <c r="M12" i="81" s="1"/>
  <c r="AG3" i="2"/>
  <c r="E5" i="5"/>
  <c r="D5"/>
  <c r="I5"/>
  <c r="BF19" l="1"/>
  <c r="BG19" s="1"/>
  <c r="G19" i="65" s="1"/>
  <c r="J2" i="3"/>
  <c r="J3" s="1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J5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Q20" s="1"/>
  <c r="M16" i="81" s="1"/>
  <c r="O21" i="5"/>
  <c r="N20"/>
  <c r="M21"/>
  <c r="I24"/>
  <c r="D24"/>
  <c r="E24"/>
  <c r="G21" i="63"/>
  <c r="BF22" i="5"/>
  <c r="BG22" s="1"/>
  <c r="G22" i="65" s="1"/>
  <c r="BF23" i="5" l="1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AB6" s="1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C6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AH6" s="1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B32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AB12" s="1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BF31" i="5"/>
  <c r="BG31" s="1"/>
  <c r="G31" i="65" s="1"/>
  <c r="I32" i="5"/>
  <c r="D32"/>
  <c r="G29" i="63"/>
  <c r="E32" i="5"/>
  <c r="Q27"/>
  <c r="M23" i="81" s="1"/>
  <c r="Q28" i="5" l="1"/>
  <c r="M24" i="81" s="1"/>
  <c r="Z13" i="3"/>
  <c r="N13"/>
  <c r="AB13" s="1"/>
  <c r="AY32" i="5"/>
  <c r="BB32" s="1"/>
  <c r="BE32" s="1"/>
  <c r="I28" i="63" s="1"/>
  <c r="AS33" i="5"/>
  <c r="AC12" i="3"/>
  <c r="AK12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C13"/>
  <c r="AL13"/>
  <c r="AG12"/>
  <c r="AH12" s="1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AB14" s="1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AB15" s="1"/>
  <c r="Z15"/>
  <c r="D36" i="5"/>
  <c r="E36"/>
  <c r="I36"/>
  <c r="C37"/>
  <c r="AG13" i="3"/>
  <c r="AH13" s="1"/>
  <c r="BK16" i="7"/>
  <c r="K16" i="3"/>
  <c r="J17"/>
  <c r="V31" i="5"/>
  <c r="W30"/>
  <c r="AL30" s="1"/>
  <c r="AK14" i="3"/>
  <c r="AE14"/>
  <c r="AF14" s="1"/>
  <c r="F14" i="63"/>
  <c r="AC14" i="3"/>
  <c r="AL14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P5" i="5"/>
  <c r="N5"/>
  <c r="W31" l="1"/>
  <c r="AL31" s="1"/>
  <c r="V32"/>
  <c r="P32"/>
  <c r="O33"/>
  <c r="N32"/>
  <c r="M33"/>
  <c r="AC15" i="3"/>
  <c r="AL15"/>
  <c r="F15" i="63"/>
  <c r="AE15" i="3"/>
  <c r="AF15" s="1"/>
  <c r="AK15"/>
  <c r="Q31" i="5"/>
  <c r="M27" i="81" s="1"/>
  <c r="M18" i="3"/>
  <c r="L19"/>
  <c r="N16"/>
  <c r="AB16" s="1"/>
  <c r="Z16"/>
  <c r="D37" i="5"/>
  <c r="J36"/>
  <c r="L32" i="81" s="1"/>
  <c r="K32"/>
  <c r="I37" i="5"/>
  <c r="C38"/>
  <c r="B6" i="77"/>
  <c r="AG14" i="3"/>
  <c r="AH14" s="1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5"/>
  <c r="Q32" l="1"/>
  <c r="M28" i="81" s="1"/>
  <c r="AG15" i="3"/>
  <c r="AH15" s="1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Q33" s="1"/>
  <c r="M29" i="81" s="1"/>
  <c r="D6" i="77"/>
  <c r="E6" s="1"/>
  <c r="G6"/>
  <c r="G12" s="1"/>
  <c r="Z17" i="3"/>
  <c r="N17"/>
  <c r="AB17" s="1"/>
  <c r="G39" i="5"/>
  <c r="I38"/>
  <c r="F16" i="63"/>
  <c r="AK16" i="3"/>
  <c r="AC16"/>
  <c r="AE16"/>
  <c r="AF16" s="1"/>
  <c r="AL16"/>
  <c r="BB36" i="5"/>
  <c r="BE36" s="1"/>
  <c r="BF36" s="1"/>
  <c r="BG36" s="1"/>
  <c r="K39" l="1"/>
  <c r="AL17" i="3"/>
  <c r="F17" i="63"/>
  <c r="AE17" i="3"/>
  <c r="AF17" s="1"/>
  <c r="AK17"/>
  <c r="AC17"/>
  <c r="K19"/>
  <c r="J20"/>
  <c r="I14" i="77"/>
  <c r="H14"/>
  <c r="W33" i="5"/>
  <c r="AL33" s="1"/>
  <c r="V34"/>
  <c r="AG16" i="3"/>
  <c r="AH16" s="1"/>
  <c r="BK19" i="7"/>
  <c r="N18" i="3"/>
  <c r="AB18" s="1"/>
  <c r="Z18"/>
  <c r="L21"/>
  <c r="M20"/>
  <c r="P34" i="5"/>
  <c r="O35"/>
  <c r="E12" i="77"/>
  <c r="F6"/>
  <c r="F12" s="1"/>
  <c r="M35" i="5"/>
  <c r="N34"/>
  <c r="M21" i="3" l="1"/>
  <c r="L22"/>
  <c r="AG17"/>
  <c r="AH17" s="1"/>
  <c r="BK20" i="7"/>
  <c r="P35" i="5"/>
  <c r="O36"/>
  <c r="P36" s="1"/>
  <c r="V35"/>
  <c r="W34"/>
  <c r="AL34" s="1"/>
  <c r="AC18" i="3"/>
  <c r="AK18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AB20" s="1"/>
  <c r="Z20"/>
  <c r="M22"/>
  <c r="AA22" s="1"/>
  <c r="L23"/>
  <c r="K21"/>
  <c r="J22"/>
  <c r="AG18"/>
  <c r="AH18" s="1"/>
  <c r="BK21" i="7"/>
  <c r="AC19" i="3"/>
  <c r="AK19"/>
  <c r="AL19"/>
  <c r="AE19"/>
  <c r="AF19" s="1"/>
  <c r="F19" i="63"/>
  <c r="W35" i="5"/>
  <c r="AL35" s="1"/>
  <c r="V36"/>
  <c r="W36" s="1"/>
  <c r="AL36" s="1"/>
  <c r="AL37" s="1"/>
  <c r="Q35"/>
  <c r="M31" i="81" s="1"/>
  <c r="Q36" i="5"/>
  <c r="AC20" i="3" l="1"/>
  <c r="AL20"/>
  <c r="AK20"/>
  <c r="F20" i="63"/>
  <c r="AE20" i="3"/>
  <c r="AF20" s="1"/>
  <c r="M32" i="81"/>
  <c r="Q37" i="5"/>
  <c r="O38" s="1"/>
  <c r="L24" i="3"/>
  <c r="M23"/>
  <c r="AA23" s="1"/>
  <c r="Z21"/>
  <c r="N21"/>
  <c r="AB21" s="1"/>
  <c r="AG19"/>
  <c r="AH19" s="1"/>
  <c r="BK22" i="7"/>
  <c r="K22" i="3"/>
  <c r="J23"/>
  <c r="M24" l="1"/>
  <c r="L25"/>
  <c r="AC21"/>
  <c r="AL21"/>
  <c r="AK21"/>
  <c r="AE21"/>
  <c r="AF21" s="1"/>
  <c r="F21" i="63"/>
  <c r="AG20" i="3"/>
  <c r="AH20" s="1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AH21" s="1"/>
  <c r="BK24" i="7"/>
  <c r="AG22" i="3" l="1"/>
  <c r="AH22" s="1"/>
  <c r="BK25" i="7"/>
  <c r="Z24" i="3"/>
  <c r="N24"/>
  <c r="AB24" s="1"/>
  <c r="K25"/>
  <c r="J26"/>
  <c r="AC23"/>
  <c r="F23" i="63"/>
  <c r="AK23" i="3"/>
  <c r="AE23"/>
  <c r="AF23" s="1"/>
  <c r="AL23"/>
  <c r="M26"/>
  <c r="L27"/>
  <c r="AG23" l="1"/>
  <c r="AH23" s="1"/>
  <c r="BK26" i="7"/>
  <c r="AC24" i="3"/>
  <c r="AE24"/>
  <c r="AF24" s="1"/>
  <c r="F24" i="63"/>
  <c r="AK24" i="3"/>
  <c r="AL24"/>
  <c r="N25"/>
  <c r="AB25" s="1"/>
  <c r="Z25"/>
  <c r="M27"/>
  <c r="L28"/>
  <c r="K26"/>
  <c r="J27"/>
  <c r="M28" l="1"/>
  <c r="L29"/>
  <c r="N26"/>
  <c r="AB26" s="1"/>
  <c r="Z26"/>
  <c r="AL25"/>
  <c r="AE25"/>
  <c r="AF25" s="1"/>
  <c r="AK25"/>
  <c r="AC25"/>
  <c r="F25" i="63"/>
  <c r="AG24" i="3"/>
  <c r="AH24" s="1"/>
  <c r="BK27" i="7"/>
  <c r="K27" i="3"/>
  <c r="J28"/>
  <c r="AL26" l="1"/>
  <c r="AK26"/>
  <c r="AC26"/>
  <c r="AE26"/>
  <c r="AF26" s="1"/>
  <c r="F26" i="63"/>
  <c r="M29" i="3"/>
  <c r="L30"/>
  <c r="N27"/>
  <c r="AB27" s="1"/>
  <c r="Z27"/>
  <c r="K28"/>
  <c r="J29"/>
  <c r="AG25"/>
  <c r="AH25" s="1"/>
  <c r="BK28" i="7"/>
  <c r="K29" i="3" l="1"/>
  <c r="J30"/>
  <c r="AL27"/>
  <c r="AC27"/>
  <c r="AE27"/>
  <c r="AF27" s="1"/>
  <c r="F27" i="63"/>
  <c r="AK27" i="3"/>
  <c r="N28"/>
  <c r="AB28" s="1"/>
  <c r="Z28"/>
  <c r="AG26"/>
  <c r="AH26" s="1"/>
  <c r="BK29" i="7"/>
  <c r="M30" i="3"/>
  <c r="L31"/>
  <c r="Z29" l="1"/>
  <c r="N29"/>
  <c r="AB29" s="1"/>
  <c r="K30"/>
  <c r="J31"/>
  <c r="AG27"/>
  <c r="AH27" s="1"/>
  <c r="BK30" i="7"/>
  <c r="AC28" i="3"/>
  <c r="F28" i="63"/>
  <c r="AK28" i="3"/>
  <c r="AL28"/>
  <c r="AE28"/>
  <c r="AF28" s="1"/>
  <c r="M31"/>
  <c r="L32"/>
  <c r="AD4" i="1"/>
  <c r="Z30" i="3" l="1"/>
  <c r="N30"/>
  <c r="AB30" s="1"/>
  <c r="K31"/>
  <c r="J32"/>
  <c r="AC29"/>
  <c r="AK29"/>
  <c r="AL29"/>
  <c r="AE29"/>
  <c r="AF29" s="1"/>
  <c r="F29" i="63"/>
  <c r="AG28" i="3"/>
  <c r="AH28" s="1"/>
  <c r="BK31" i="7"/>
  <c r="L33" i="3"/>
  <c r="M33" s="1"/>
  <c r="M32"/>
  <c r="AG4" i="1"/>
  <c r="AF4"/>
  <c r="AG29" i="3" l="1"/>
  <c r="AH29" s="1"/>
  <c r="BK32" i="7"/>
  <c r="Z31" i="3"/>
  <c r="N31"/>
  <c r="AB31" s="1"/>
  <c r="AC30"/>
  <c r="AE30"/>
  <c r="AF30" s="1"/>
  <c r="AK30"/>
  <c r="F30" i="63"/>
  <c r="AL30" i="3"/>
  <c r="K32"/>
  <c r="J33"/>
  <c r="K33" s="1"/>
  <c r="AH4" i="1"/>
  <c r="AM4"/>
  <c r="F5" i="75" s="1"/>
  <c r="G5" s="1"/>
  <c r="AG30" i="3" l="1"/>
  <c r="AH30" s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AI4" i="1" l="1"/>
  <c r="AJ4" l="1"/>
  <c r="AK4" l="1"/>
  <c r="AD11" i="76" l="1"/>
  <c r="AD10"/>
  <c r="D2" i="3" l="1"/>
  <c r="D3" s="1"/>
  <c r="E2" l="1"/>
  <c r="F2"/>
  <c r="E3"/>
  <c r="D4"/>
  <c r="F3" l="1"/>
  <c r="AB3" s="1"/>
  <c r="AA3"/>
  <c r="AC3" s="1"/>
  <c r="AH3" s="1"/>
  <c r="E4"/>
  <c r="D5"/>
  <c r="F4" l="1"/>
  <c r="AB4" s="1"/>
  <c r="AA4"/>
  <c r="AC4" s="1"/>
  <c r="AH4" s="1"/>
  <c r="E5"/>
  <c r="AA5" s="1"/>
  <c r="D6"/>
  <c r="E6" l="1"/>
  <c r="AA6" s="1"/>
  <c r="D7"/>
  <c r="E7" l="1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s="1"/>
  <c r="D14" l="1"/>
  <c r="E13"/>
  <c r="AA13" s="1"/>
  <c r="D15" l="1"/>
  <c r="E14"/>
  <c r="AA14" s="1"/>
  <c r="Q3" i="76"/>
  <c r="D16" i="3" l="1"/>
  <c r="E15"/>
  <c r="AA15" s="1"/>
  <c r="D17" l="1"/>
  <c r="E16"/>
  <c r="AA16" s="1"/>
  <c r="D18" l="1"/>
  <c r="E17"/>
  <c r="AA17" s="1"/>
  <c r="D19" l="1"/>
  <c r="E18"/>
  <c r="AA18" s="1"/>
  <c r="D20" l="1"/>
  <c r="E19"/>
  <c r="AA19" s="1"/>
  <c r="E20" l="1"/>
  <c r="AA20" s="1"/>
  <c r="D21"/>
  <c r="E21" l="1"/>
  <c r="AA21" s="1"/>
  <c r="D22"/>
  <c r="D23" s="1"/>
  <c r="D24" s="1"/>
  <c r="D25" l="1"/>
  <c r="E24"/>
  <c r="AA24" s="1"/>
  <c r="D26" l="1"/>
  <c r="E25"/>
  <c r="AA25" s="1"/>
  <c r="E26" l="1"/>
  <c r="AA26" s="1"/>
  <c r="D27"/>
  <c r="E27" l="1"/>
  <c r="AA27" s="1"/>
  <c r="D28"/>
  <c r="E28" l="1"/>
  <c r="AA28" s="1"/>
  <c r="D29"/>
  <c r="D30" l="1"/>
  <c r="E29"/>
  <c r="AA29" s="1"/>
  <c r="D31" l="1"/>
  <c r="E30"/>
  <c r="AA30" s="1"/>
  <c r="D32" l="1"/>
  <c r="E31"/>
  <c r="AA31" s="1"/>
  <c r="D33" l="1"/>
  <c r="E33" s="1"/>
  <c r="AA33" s="1"/>
  <c r="E32"/>
  <c r="AA32" s="1"/>
  <c r="AR4" i="1" l="1"/>
  <c r="AR5" s="1"/>
  <c r="AP4"/>
  <c r="AP5" s="1"/>
  <c r="AN4"/>
  <c r="AN5" s="1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2" i="3"/>
  <c r="P3" s="1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T19" s="1"/>
  <c r="AN20"/>
  <c r="AS19"/>
  <c r="AR20"/>
  <c r="AT18"/>
  <c r="AU18" s="1"/>
  <c r="I15" i="81" s="1"/>
  <c r="AQ19" i="1"/>
  <c r="AP20"/>
  <c r="P14" i="3"/>
  <c r="Q13"/>
  <c r="AU19" i="1" l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O28"/>
  <c r="AN29"/>
  <c r="P24" i="3"/>
  <c r="Q23"/>
  <c r="AS28" i="1"/>
  <c r="AR29"/>
  <c r="AQ28"/>
  <c r="AP29"/>
  <c r="AU27"/>
  <c r="I24" i="81" s="1"/>
  <c r="AT28" i="1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s="1"/>
  <c r="AO4"/>
  <c r="Q2" i="3"/>
  <c r="K2"/>
  <c r="AS4" i="1"/>
  <c r="AQ4"/>
  <c r="P31" i="3" l="1"/>
  <c r="Q30"/>
  <c r="AU33" i="1"/>
  <c r="I30" i="81" s="1"/>
  <c r="AT34" i="1"/>
  <c r="AU35" s="1"/>
  <c r="I32" i="81" s="1"/>
  <c r="AT4" i="1"/>
  <c r="AU5" s="1"/>
  <c r="Z2" i="3"/>
  <c r="F2" i="63" s="1"/>
  <c r="N2" i="3"/>
  <c r="AU34" i="1" l="1"/>
  <c r="I31" i="81" s="1"/>
  <c r="I2"/>
  <c r="AU36" i="1"/>
  <c r="AU38" s="1"/>
  <c r="P32" i="3"/>
  <c r="Q31"/>
  <c r="AB2"/>
  <c r="W15" i="76"/>
  <c r="AK2" i="3"/>
  <c r="AU4" i="1"/>
  <c r="AE2" i="3"/>
  <c r="P33" l="1"/>
  <c r="Q33" s="1"/>
  <c r="Q32"/>
  <c r="X15" i="76"/>
  <c r="AF2" i="3"/>
  <c r="AG2" l="1"/>
  <c r="Y15" i="76"/>
  <c r="M2" i="3" l="1"/>
  <c r="AA2" l="1"/>
  <c r="AC2" l="1"/>
  <c r="AH2" l="1"/>
  <c r="O3" i="76" l="1"/>
  <c r="P3"/>
  <c r="R3" l="1"/>
  <c r="T3" l="1"/>
  <c r="AX4" i="1" l="1"/>
  <c r="AX5" s="1"/>
  <c r="J2" i="81" l="1"/>
  <c r="AX6" i="1"/>
  <c r="BB5" i="5"/>
  <c r="J3" i="81" l="1"/>
  <c r="AX7" i="1"/>
  <c r="BE5" i="5"/>
  <c r="J4" i="81" l="1"/>
  <c r="AX8" i="1"/>
  <c r="BF5" i="5"/>
  <c r="J5" i="81" l="1"/>
  <c r="AX9" i="1"/>
  <c r="BG5" i="5"/>
  <c r="G5" i="65" s="1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2" i="3"/>
  <c r="T3" s="1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5" i="7" l="1"/>
  <c r="AV6" s="1"/>
  <c r="H2" i="81" l="1"/>
  <c r="AV7" i="7"/>
  <c r="H3" i="81" l="1"/>
  <c r="AV8" i="7"/>
  <c r="AV9" l="1"/>
  <c r="H5" i="81" s="1"/>
  <c r="H4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<sst xmlns="http://schemas.openxmlformats.org/spreadsheetml/2006/main" count="669" uniqueCount="417">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</sst>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24" borderId="1" xfId="0" applyNumberFormat="1" applyFont="1" applyFill="1" applyBorder="1"/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15" xfId="0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right" vertical="center"/>
    </xf>
    <xf numFmtId="17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9953792"/>
        <c:axId val="109955328"/>
      </c:lineChart>
      <c:catAx>
        <c:axId val="109953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55328"/>
        <c:crosses val="autoZero"/>
        <c:auto val="1"/>
        <c:lblAlgn val="ctr"/>
        <c:lblOffset val="100"/>
      </c:catAx>
      <c:valAx>
        <c:axId val="1099553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53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10106880"/>
        <c:axId val="110112768"/>
      </c:lineChart>
      <c:catAx>
        <c:axId val="11010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12768"/>
        <c:crosses val="autoZero"/>
        <c:auto val="1"/>
        <c:lblAlgn val="ctr"/>
        <c:lblOffset val="100"/>
      </c:catAx>
      <c:valAx>
        <c:axId val="110112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0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178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10125056"/>
        <c:axId val="110126592"/>
      </c:lineChart>
      <c:catAx>
        <c:axId val="110125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26592"/>
        <c:crosses val="autoZero"/>
        <c:auto val="1"/>
        <c:lblAlgn val="ctr"/>
        <c:lblOffset val="100"/>
      </c:catAx>
      <c:valAx>
        <c:axId val="1101265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2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10134784"/>
        <c:axId val="110136320"/>
      </c:lineChart>
      <c:catAx>
        <c:axId val="110134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36320"/>
        <c:crosses val="autoZero"/>
        <c:auto val="1"/>
        <c:lblAlgn val="ctr"/>
        <c:lblOffset val="100"/>
      </c:catAx>
      <c:valAx>
        <c:axId val="110136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34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793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0152704"/>
        <c:axId val="110162688"/>
      </c:lineChart>
      <c:catAx>
        <c:axId val="110152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62688"/>
        <c:crosses val="autoZero"/>
        <c:auto val="1"/>
        <c:lblAlgn val="ctr"/>
        <c:lblOffset val="100"/>
      </c:catAx>
      <c:valAx>
        <c:axId val="110162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15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9886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14832512"/>
        <c:axId val="114834048"/>
      </c:lineChart>
      <c:catAx>
        <c:axId val="114832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34048"/>
        <c:crosses val="autoZero"/>
        <c:auto val="1"/>
        <c:lblAlgn val="ctr"/>
        <c:lblOffset val="100"/>
      </c:catAx>
      <c:valAx>
        <c:axId val="114834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32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14870912"/>
        <c:axId val="114876800"/>
      </c:lineChart>
      <c:catAx>
        <c:axId val="114870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76800"/>
        <c:crosses val="autoZero"/>
        <c:auto val="1"/>
        <c:lblAlgn val="ctr"/>
        <c:lblOffset val="100"/>
      </c:catAx>
      <c:valAx>
        <c:axId val="114876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4870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15097984"/>
        <c:axId val="115099520"/>
      </c:lineChart>
      <c:catAx>
        <c:axId val="11509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9520"/>
        <c:crosses val="autoZero"/>
        <c:auto val="1"/>
        <c:lblAlgn val="ctr"/>
        <c:lblOffset val="100"/>
      </c:catAx>
      <c:valAx>
        <c:axId val="115099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09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15140480"/>
        <c:axId val="115142016"/>
      </c:lineChart>
      <c:catAx>
        <c:axId val="115140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42016"/>
        <c:crosses val="autoZero"/>
        <c:auto val="1"/>
        <c:lblAlgn val="ctr"/>
        <c:lblOffset val="100"/>
      </c:catAx>
      <c:valAx>
        <c:axId val="1151420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140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2889"/>
          <c:w val="0.12724033151775924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15248512"/>
        <c:axId val="115254400"/>
      </c:lineChart>
      <c:catAx>
        <c:axId val="11524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54400"/>
        <c:crosses val="autoZero"/>
        <c:auto val="1"/>
        <c:lblAlgn val="ctr"/>
        <c:lblOffset val="100"/>
      </c:catAx>
      <c:valAx>
        <c:axId val="1152544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524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18174848"/>
        <c:axId val="118176384"/>
      </c:lineChart>
      <c:catAx>
        <c:axId val="1181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6384"/>
        <c:crosses val="autoZero"/>
        <c:auto val="1"/>
        <c:lblAlgn val="ctr"/>
        <c:lblOffset val="100"/>
      </c:catAx>
      <c:valAx>
        <c:axId val="118176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1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18246400"/>
        <c:axId val="119325440"/>
      </c:lineChart>
      <c:catAx>
        <c:axId val="118246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325440"/>
        <c:crosses val="autoZero"/>
        <c:auto val="1"/>
        <c:lblAlgn val="ctr"/>
        <c:lblOffset val="100"/>
      </c:catAx>
      <c:valAx>
        <c:axId val="1193254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8246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490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</c:v>
                </c:pt>
                <c:pt idx="6">
                  <c:v>110</c:v>
                </c:pt>
                <c:pt idx="7">
                  <c:v>119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19452800"/>
        <c:axId val="119454336"/>
      </c:lineChart>
      <c:catAx>
        <c:axId val="11945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54336"/>
        <c:crosses val="autoZero"/>
        <c:auto val="1"/>
        <c:lblAlgn val="ctr"/>
        <c:lblOffset val="100"/>
      </c:catAx>
      <c:valAx>
        <c:axId val="119454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45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2889"/>
          <c:w val="0.135416885389374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19691904"/>
        <c:axId val="119693696"/>
      </c:lineChart>
      <c:catAx>
        <c:axId val="1196919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3696"/>
        <c:crosses val="autoZero"/>
        <c:auto val="1"/>
        <c:lblAlgn val="ctr"/>
        <c:lblOffset val="100"/>
      </c:catAx>
      <c:valAx>
        <c:axId val="1196936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6919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288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6695</c:v>
                </c:pt>
                <c:pt idx="1">
                  <c:v>6332</c:v>
                </c:pt>
                <c:pt idx="2">
                  <c:v>5540</c:v>
                </c:pt>
                <c:pt idx="3">
                  <c:v>0</c:v>
                </c:pt>
                <c:pt idx="4">
                  <c:v>0</c:v>
                </c:pt>
                <c:pt idx="5">
                  <c:v>6729</c:v>
                </c:pt>
                <c:pt idx="6">
                  <c:v>4979</c:v>
                </c:pt>
                <c:pt idx="7">
                  <c:v>5333</c:v>
                </c:pt>
                <c:pt idx="8">
                  <c:v>5724</c:v>
                </c:pt>
                <c:pt idx="9">
                  <c:v>4995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19722752"/>
        <c:axId val="119724288"/>
      </c:lineChart>
      <c:catAx>
        <c:axId val="1197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24288"/>
        <c:crosses val="autoZero"/>
        <c:auto val="1"/>
        <c:lblAlgn val="ctr"/>
        <c:lblOffset val="100"/>
      </c:catAx>
      <c:valAx>
        <c:axId val="1197242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959</c:v>
                </c:pt>
                <c:pt idx="7">
                  <c:v>108</c:v>
                </c:pt>
                <c:pt idx="8">
                  <c:v>212</c:v>
                </c:pt>
                <c:pt idx="9">
                  <c:v>108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19744768"/>
        <c:axId val="119746560"/>
      </c:lineChart>
      <c:catAx>
        <c:axId val="11974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46560"/>
        <c:crosses val="autoZero"/>
        <c:auto val="1"/>
        <c:lblAlgn val="ctr"/>
        <c:lblOffset val="100"/>
      </c:catAx>
      <c:valAx>
        <c:axId val="11974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4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2889"/>
          <c:w val="0.13541688538937488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11</c:v>
                </c:pt>
                <c:pt idx="1">
                  <c:v>12</c:v>
                </c:pt>
                <c:pt idx="2">
                  <c:v>0</c:v>
                </c:pt>
                <c:pt idx="3">
                  <c:v>0</c:v>
                </c:pt>
                <c:pt idx="4">
                  <c:v>10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19775232"/>
        <c:axId val="119776768"/>
      </c:lineChart>
      <c:catAx>
        <c:axId val="11977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76768"/>
        <c:crosses val="autoZero"/>
        <c:auto val="1"/>
        <c:lblAlgn val="ctr"/>
        <c:lblOffset val="100"/>
      </c:catAx>
      <c:valAx>
        <c:axId val="1197767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77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1624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-2313.4193548386975</c:v>
                </c:pt>
                <c:pt idx="1">
                  <c:v>-1910.0645161290449</c:v>
                </c:pt>
                <c:pt idx="2">
                  <c:v>0</c:v>
                </c:pt>
                <c:pt idx="3">
                  <c:v>0</c:v>
                </c:pt>
                <c:pt idx="4">
                  <c:v>-326.32258064516645</c:v>
                </c:pt>
                <c:pt idx="5">
                  <c:v>-1796.7419354838494</c:v>
                </c:pt>
                <c:pt idx="6">
                  <c:v>-2803.4193548387411</c:v>
                </c:pt>
                <c:pt idx="7">
                  <c:v>-2006.7419354838494</c:v>
                </c:pt>
                <c:pt idx="8">
                  <c:v>-2146.7419354838785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19813632"/>
        <c:axId val="119815168"/>
      </c:lineChart>
      <c:catAx>
        <c:axId val="119813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5168"/>
        <c:crosses val="autoZero"/>
        <c:auto val="1"/>
        <c:lblAlgn val="ctr"/>
        <c:lblOffset val="100"/>
      </c:catAx>
      <c:valAx>
        <c:axId val="11981516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13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19840128"/>
        <c:axId val="119846016"/>
      </c:lineChart>
      <c:catAx>
        <c:axId val="11984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6016"/>
        <c:crosses val="autoZero"/>
        <c:auto val="1"/>
        <c:lblAlgn val="ctr"/>
        <c:lblOffset val="100"/>
      </c:catAx>
      <c:valAx>
        <c:axId val="1198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4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52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19866496"/>
        <c:axId val="119868032"/>
      </c:lineChart>
      <c:catAx>
        <c:axId val="11986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68032"/>
        <c:crosses val="autoZero"/>
        <c:auto val="1"/>
        <c:lblAlgn val="ctr"/>
        <c:lblOffset val="100"/>
      </c:catAx>
      <c:valAx>
        <c:axId val="11986803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86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19900800"/>
        <c:axId val="119906688"/>
      </c:lineChart>
      <c:catAx>
        <c:axId val="11990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06688"/>
        <c:crosses val="autoZero"/>
        <c:auto val="1"/>
        <c:lblAlgn val="ctr"/>
        <c:lblOffset val="100"/>
      </c:catAx>
      <c:valAx>
        <c:axId val="11990668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0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19931264"/>
        <c:axId val="119932800"/>
      </c:lineChart>
      <c:catAx>
        <c:axId val="119931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32800"/>
        <c:crosses val="autoZero"/>
        <c:auto val="1"/>
        <c:lblAlgn val="ctr"/>
        <c:lblOffset val="100"/>
      </c:catAx>
      <c:valAx>
        <c:axId val="1199328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31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5415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160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170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19961472"/>
        <c:axId val="119963008"/>
      </c:lineChart>
      <c:catAx>
        <c:axId val="119961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63008"/>
        <c:crosses val="autoZero"/>
        <c:auto val="1"/>
        <c:lblAlgn val="ctr"/>
        <c:lblOffset val="100"/>
      </c:catAx>
      <c:valAx>
        <c:axId val="119963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61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288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19987584"/>
        <c:axId val="119993472"/>
      </c:lineChart>
      <c:catAx>
        <c:axId val="119987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93472"/>
        <c:crosses val="autoZero"/>
        <c:auto val="1"/>
        <c:lblAlgn val="ctr"/>
        <c:lblOffset val="100"/>
      </c:catAx>
      <c:valAx>
        <c:axId val="119993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9987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7931"/>
          <c:w val="0.12343118198094241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20015104"/>
        <c:axId val="120037376"/>
      </c:lineChart>
      <c:catAx>
        <c:axId val="12001510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37376"/>
        <c:crosses val="autoZero"/>
        <c:auto val="1"/>
        <c:lblAlgn val="ctr"/>
        <c:lblOffset val="100"/>
      </c:catAx>
      <c:valAx>
        <c:axId val="120037376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15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305"/>
          <c:w val="0.1569039853282402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220.33333333333334</c:v>
                </c:pt>
                <c:pt idx="1">
                  <c:v>223.33333333333334</c:v>
                </c:pt>
                <c:pt idx="2">
                  <c:v>0</c:v>
                </c:pt>
                <c:pt idx="3">
                  <c:v>0</c:v>
                </c:pt>
                <c:pt idx="4">
                  <c:v>379</c:v>
                </c:pt>
                <c:pt idx="5">
                  <c:v>246</c:v>
                </c:pt>
                <c:pt idx="6">
                  <c:v>192</c:v>
                </c:pt>
                <c:pt idx="7">
                  <c:v>171</c:v>
                </c:pt>
                <c:pt idx="8">
                  <c:v>218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20049024"/>
        <c:axId val="120059008"/>
      </c:lineChart>
      <c:catAx>
        <c:axId val="120049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59008"/>
        <c:crosses val="autoZero"/>
        <c:auto val="1"/>
        <c:lblAlgn val="ctr"/>
        <c:lblOffset val="100"/>
      </c:catAx>
      <c:valAx>
        <c:axId val="120059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049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545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18.5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20</c:v>
                </c:pt>
                <c:pt idx="5">
                  <c:v>19</c:v>
                </c:pt>
                <c:pt idx="6">
                  <c:v>19.5</c:v>
                </c:pt>
                <c:pt idx="7">
                  <c:v>16.5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20112640"/>
        <c:axId val="120114176"/>
      </c:lineChart>
      <c:catAx>
        <c:axId val="120112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14176"/>
        <c:crosses val="autoZero"/>
        <c:auto val="1"/>
        <c:lblAlgn val="ctr"/>
        <c:lblOffset val="100"/>
      </c:catAx>
      <c:valAx>
        <c:axId val="120114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0112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216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-30.300000000000008</c:v>
                </c:pt>
                <c:pt idx="4">
                  <c:v>0</c:v>
                </c:pt>
                <c:pt idx="11" formatCode="0.00_ ;[Red]\-0.00\ ">
                  <c:v>30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55.300000000000026</c:v>
                </c:pt>
                <c:pt idx="4">
                  <c:v>157.19999999999999</c:v>
                </c:pt>
                <c:pt idx="11" formatCode="0.00_ ;[Red]\-0.00\ ">
                  <c:v>24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23351808"/>
        <c:axId val="123353344"/>
      </c:lineChart>
      <c:catAx>
        <c:axId val="12335180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53344"/>
        <c:crosses val="autoZero"/>
        <c:auto val="1"/>
        <c:lblAlgn val="ctr"/>
        <c:lblOffset val="100"/>
      </c:catAx>
      <c:valAx>
        <c:axId val="12335334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5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30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NOV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OCT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Roaming\Microsoft\Excel\APRIL%2020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une%202021\01.06.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NE%2020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AppData\Local\Packages\microsoft.windowscommunicationsapps_8wekyb3d8bbwe\LocalState\Files\S0\3\Attachments\JULY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DEC%20202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>
        <row r="34">
          <cell r="AA3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  <cell r="G48">
            <v>27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26</v>
          </cell>
        </row>
        <row r="51">
          <cell r="F51">
            <v>32</v>
          </cell>
          <cell r="G51">
            <v>28</v>
          </cell>
        </row>
        <row r="52">
          <cell r="F52">
            <v>31</v>
          </cell>
          <cell r="G52">
            <v>28</v>
          </cell>
        </row>
        <row r="53">
          <cell r="F53">
            <v>0</v>
          </cell>
          <cell r="G53">
            <v>0</v>
          </cell>
        </row>
        <row r="54">
          <cell r="F54">
            <v>0</v>
          </cell>
          <cell r="G54">
            <v>0</v>
          </cell>
        </row>
        <row r="55">
          <cell r="F55">
            <v>0</v>
          </cell>
          <cell r="G55">
            <v>0</v>
          </cell>
        </row>
        <row r="56">
          <cell r="F56">
            <v>0</v>
          </cell>
          <cell r="G56">
            <v>0</v>
          </cell>
        </row>
        <row r="57">
          <cell r="F57">
            <v>0</v>
          </cell>
          <cell r="G57">
            <v>0</v>
          </cell>
        </row>
        <row r="58">
          <cell r="F58">
            <v>29</v>
          </cell>
          <cell r="G58">
            <v>29</v>
          </cell>
        </row>
        <row r="59">
          <cell r="F59">
            <v>29</v>
          </cell>
          <cell r="G59">
            <v>32</v>
          </cell>
        </row>
        <row r="60">
          <cell r="F60">
            <v>0</v>
          </cell>
          <cell r="G60">
            <v>0</v>
          </cell>
        </row>
        <row r="61">
          <cell r="F61">
            <v>0</v>
          </cell>
          <cell r="G61">
            <v>0</v>
          </cell>
        </row>
        <row r="62">
          <cell r="F62">
            <v>0</v>
          </cell>
          <cell r="G62">
            <v>0</v>
          </cell>
        </row>
        <row r="63">
          <cell r="F63">
            <v>0</v>
          </cell>
          <cell r="G63">
            <v>0</v>
          </cell>
        </row>
        <row r="64">
          <cell r="F64">
            <v>29</v>
          </cell>
          <cell r="G64">
            <v>32</v>
          </cell>
        </row>
        <row r="65">
          <cell r="F65">
            <v>0</v>
          </cell>
          <cell r="G65">
            <v>0</v>
          </cell>
        </row>
        <row r="66">
          <cell r="F66">
            <v>0</v>
          </cell>
          <cell r="G66">
            <v>0</v>
          </cell>
        </row>
        <row r="67">
          <cell r="F67">
            <v>0</v>
          </cell>
          <cell r="G67">
            <v>0</v>
          </cell>
        </row>
        <row r="68">
          <cell r="F68">
            <v>0</v>
          </cell>
          <cell r="G68">
            <v>0</v>
          </cell>
        </row>
        <row r="69">
          <cell r="F69">
            <v>28</v>
          </cell>
          <cell r="G69">
            <v>31</v>
          </cell>
        </row>
        <row r="70">
          <cell r="F70">
            <v>31</v>
          </cell>
          <cell r="G70">
            <v>28</v>
          </cell>
        </row>
        <row r="71">
          <cell r="F71">
            <v>30</v>
          </cell>
          <cell r="G71">
            <v>26</v>
          </cell>
        </row>
        <row r="72">
          <cell r="F72">
            <v>30</v>
          </cell>
          <cell r="G72">
            <v>26</v>
          </cell>
        </row>
        <row r="73">
          <cell r="F73">
            <v>30</v>
          </cell>
          <cell r="G73">
            <v>28</v>
          </cell>
        </row>
        <row r="74">
          <cell r="F74">
            <v>0</v>
          </cell>
          <cell r="G74">
            <v>0</v>
          </cell>
        </row>
        <row r="75">
          <cell r="F75">
            <v>0</v>
          </cell>
          <cell r="G75">
            <v>0</v>
          </cell>
        </row>
        <row r="76">
          <cell r="F76">
            <v>0</v>
          </cell>
          <cell r="G76">
            <v>0</v>
          </cell>
        </row>
        <row r="77">
          <cell r="F77">
            <v>31</v>
          </cell>
          <cell r="G77">
            <v>26</v>
          </cell>
        </row>
        <row r="78">
          <cell r="F78">
            <v>31</v>
          </cell>
          <cell r="G78">
            <v>27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44530</v>
          </cell>
          <cell r="D33">
            <v>69398</v>
          </cell>
          <cell r="E33">
            <v>2255</v>
          </cell>
          <cell r="F33">
            <v>4103940</v>
          </cell>
          <cell r="G33">
            <v>322</v>
          </cell>
          <cell r="H33">
            <v>17989982</v>
          </cell>
          <cell r="I33">
            <v>582</v>
          </cell>
          <cell r="J33">
            <v>29621430</v>
          </cell>
          <cell r="K33">
            <v>2298</v>
          </cell>
          <cell r="L33">
            <v>24473990</v>
          </cell>
          <cell r="M33">
            <v>1238</v>
          </cell>
          <cell r="N33">
            <v>6695</v>
          </cell>
          <cell r="O33">
            <v>0</v>
          </cell>
          <cell r="P33">
            <v>18659.785</v>
          </cell>
          <cell r="Q33">
            <v>6585.9999999993306</v>
          </cell>
          <cell r="R33">
            <v>109.00000000066939</v>
          </cell>
          <cell r="S33">
            <v>10175</v>
          </cell>
          <cell r="T33">
            <v>0</v>
          </cell>
          <cell r="U33">
            <v>429166</v>
          </cell>
          <cell r="V33">
            <v>0</v>
          </cell>
          <cell r="W33">
            <v>33457</v>
          </cell>
          <cell r="X33">
            <v>3</v>
          </cell>
          <cell r="Y33">
            <v>990507</v>
          </cell>
          <cell r="Z33">
            <v>859</v>
          </cell>
          <cell r="AA33">
            <v>36796</v>
          </cell>
          <cell r="AB33">
            <v>0</v>
          </cell>
          <cell r="AC33">
            <v>1170505</v>
          </cell>
          <cell r="AD33">
            <v>0</v>
          </cell>
          <cell r="AE33">
            <v>3</v>
          </cell>
          <cell r="AF33">
            <v>859</v>
          </cell>
          <cell r="AG33">
            <v>286.33333333333331</v>
          </cell>
        </row>
      </sheetData>
      <sheetData sheetId="3">
        <row r="34">
          <cell r="B34">
            <v>218</v>
          </cell>
          <cell r="C34">
            <v>224</v>
          </cell>
          <cell r="D34">
            <v>8</v>
          </cell>
          <cell r="E34">
            <v>67.040000000000006</v>
          </cell>
          <cell r="F34">
            <v>1921</v>
          </cell>
          <cell r="G34">
            <v>0</v>
          </cell>
          <cell r="H34">
            <v>19436</v>
          </cell>
          <cell r="I34">
            <v>0</v>
          </cell>
          <cell r="J34">
            <v>0</v>
          </cell>
          <cell r="K34">
            <v>2367</v>
          </cell>
          <cell r="L34">
            <v>0</v>
          </cell>
          <cell r="M34">
            <v>174784</v>
          </cell>
          <cell r="N34">
            <v>0</v>
          </cell>
          <cell r="O34">
            <v>1869</v>
          </cell>
          <cell r="P34">
            <v>2137</v>
          </cell>
          <cell r="Q34">
            <v>179335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X34">
            <v>2480</v>
          </cell>
          <cell r="Y34">
            <v>0</v>
          </cell>
          <cell r="Z34">
            <v>139172.20000000001</v>
          </cell>
          <cell r="AA34">
            <v>0</v>
          </cell>
          <cell r="AB34">
            <v>0</v>
          </cell>
          <cell r="AC34">
            <v>1943</v>
          </cell>
          <cell r="AD34">
            <v>0</v>
          </cell>
          <cell r="AE34">
            <v>366210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65</v>
          </cell>
          <cell r="AO34">
            <v>1950</v>
          </cell>
          <cell r="AP34">
            <v>55</v>
          </cell>
          <cell r="AQ34">
            <v>1650.0000000000002</v>
          </cell>
          <cell r="AR34">
            <v>61</v>
          </cell>
          <cell r="AS34">
            <v>1830</v>
          </cell>
          <cell r="AT34">
            <v>5430</v>
          </cell>
          <cell r="AU34">
            <v>0</v>
          </cell>
          <cell r="AX34">
            <v>0.8</v>
          </cell>
        </row>
      </sheetData>
      <sheetData sheetId="4">
        <row r="35">
          <cell r="A35">
            <v>44530</v>
          </cell>
          <cell r="AR35">
            <v>44530</v>
          </cell>
        </row>
        <row r="36">
          <cell r="B36">
            <v>109443</v>
          </cell>
          <cell r="C36">
            <v>0</v>
          </cell>
          <cell r="D36">
            <v>0</v>
          </cell>
          <cell r="E36">
            <v>250</v>
          </cell>
          <cell r="G36">
            <v>625978</v>
          </cell>
          <cell r="H36">
            <v>0</v>
          </cell>
          <cell r="I36">
            <v>0</v>
          </cell>
          <cell r="J36">
            <v>0</v>
          </cell>
          <cell r="K36">
            <v>6953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477</v>
          </cell>
          <cell r="W36">
            <v>0</v>
          </cell>
          <cell r="Y36">
            <v>0</v>
          </cell>
          <cell r="Z36">
            <v>99258</v>
          </cell>
          <cell r="AA36">
            <v>0</v>
          </cell>
          <cell r="AB36">
            <v>248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2217.83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S36">
            <v>0.9</v>
          </cell>
          <cell r="AT36">
            <v>94</v>
          </cell>
          <cell r="AU36">
            <v>1.1000000000000001</v>
          </cell>
          <cell r="AV36">
            <v>139</v>
          </cell>
          <cell r="AW36">
            <v>2.9</v>
          </cell>
          <cell r="AX36">
            <v>101</v>
          </cell>
          <cell r="AY36">
            <v>84.600000000000009</v>
          </cell>
          <cell r="AZ36">
            <v>152.9</v>
          </cell>
          <cell r="BA36">
            <v>292.89999999999998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</row>
      </sheetData>
      <sheetData sheetId="5">
        <row r="32">
          <cell r="A32">
            <v>44530</v>
          </cell>
          <cell r="B32">
            <v>11198</v>
          </cell>
          <cell r="C32">
            <v>9</v>
          </cell>
          <cell r="D32">
            <v>562516</v>
          </cell>
          <cell r="E32">
            <v>2250</v>
          </cell>
          <cell r="F32">
            <v>250</v>
          </cell>
          <cell r="H32">
            <v>11218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R32">
            <v>13312</v>
          </cell>
          <cell r="S32">
            <v>1</v>
          </cell>
          <cell r="T32">
            <v>267496</v>
          </cell>
          <cell r="U32">
            <v>250</v>
          </cell>
          <cell r="V32">
            <v>250</v>
          </cell>
          <cell r="X32">
            <v>13429</v>
          </cell>
          <cell r="Y32" t="str">
            <v>ok</v>
          </cell>
          <cell r="Z32">
            <v>10</v>
          </cell>
          <cell r="AA32">
            <v>2500</v>
          </cell>
          <cell r="AB32">
            <v>500</v>
          </cell>
          <cell r="AC32">
            <v>250</v>
          </cell>
          <cell r="AD32">
            <v>6585.9999999993306</v>
          </cell>
          <cell r="AE32">
            <v>658.59999999993306</v>
          </cell>
          <cell r="AF32">
            <v>0.41162499999995816</v>
          </cell>
          <cell r="AG32">
            <v>131.71999999998661</v>
          </cell>
          <cell r="AH32">
            <v>118.28000000001339</v>
          </cell>
          <cell r="AI32">
            <v>1695.1308016875917</v>
          </cell>
          <cell r="AJ32">
            <v>0.25738396624472576</v>
          </cell>
          <cell r="AK32">
            <v>169.51308016875916</v>
          </cell>
        </row>
      </sheetData>
      <sheetData sheetId="6">
        <row r="35">
          <cell r="A35">
            <v>44530</v>
          </cell>
          <cell r="AV35">
            <v>0.71</v>
          </cell>
        </row>
        <row r="36">
          <cell r="B36">
            <v>218</v>
          </cell>
          <cell r="C36">
            <v>4690.5161290322576</v>
          </cell>
          <cell r="D36">
            <v>218</v>
          </cell>
          <cell r="E36">
            <v>4690.5161290322576</v>
          </cell>
          <cell r="F36">
            <v>218</v>
          </cell>
          <cell r="G36">
            <v>4690.5161290322576</v>
          </cell>
          <cell r="H36">
            <v>218</v>
          </cell>
          <cell r="I36">
            <v>4690.5161290322576</v>
          </cell>
          <cell r="J36">
            <v>218</v>
          </cell>
          <cell r="K36">
            <v>4690.5161290322576</v>
          </cell>
          <cell r="L36">
            <v>218</v>
          </cell>
          <cell r="M36">
            <v>4690.5161290322576</v>
          </cell>
          <cell r="N36">
            <v>218</v>
          </cell>
          <cell r="O36">
            <v>4690.5161290322576</v>
          </cell>
          <cell r="P36">
            <v>218</v>
          </cell>
          <cell r="Q36">
            <v>4690.5161290322576</v>
          </cell>
          <cell r="R36">
            <v>218</v>
          </cell>
          <cell r="S36">
            <v>4690.5161290322576</v>
          </cell>
          <cell r="T36">
            <v>218</v>
          </cell>
          <cell r="U36">
            <v>4690.5161290322576</v>
          </cell>
          <cell r="V36">
            <v>218</v>
          </cell>
          <cell r="W36">
            <v>4690.5161290322576</v>
          </cell>
          <cell r="X36">
            <v>0.70322580645161281</v>
          </cell>
          <cell r="Y36">
            <v>51595.677419354834</v>
          </cell>
          <cell r="Z36">
            <v>224</v>
          </cell>
          <cell r="AA36">
            <v>2240</v>
          </cell>
          <cell r="AB36">
            <v>224</v>
          </cell>
          <cell r="AC36">
            <v>2240</v>
          </cell>
          <cell r="AD36">
            <v>224</v>
          </cell>
          <cell r="AE36">
            <v>2240</v>
          </cell>
          <cell r="AF36">
            <v>224</v>
          </cell>
          <cell r="AG36">
            <v>2240</v>
          </cell>
          <cell r="AH36">
            <v>224</v>
          </cell>
          <cell r="AI36">
            <v>2240</v>
          </cell>
          <cell r="AJ36">
            <v>224</v>
          </cell>
          <cell r="AK36">
            <v>2240</v>
          </cell>
          <cell r="AL36">
            <v>224</v>
          </cell>
          <cell r="AM36">
            <v>2240</v>
          </cell>
          <cell r="AN36">
            <v>0.8</v>
          </cell>
          <cell r="AO36">
            <v>15680</v>
          </cell>
          <cell r="AQ36">
            <v>0.7236278091788193</v>
          </cell>
          <cell r="AR36">
            <v>67275.677419354834</v>
          </cell>
          <cell r="AS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I36">
            <v>23</v>
          </cell>
        </row>
      </sheetData>
      <sheetData sheetId="7">
        <row r="26">
          <cell r="V26">
            <v>399615</v>
          </cell>
          <cell r="W26">
            <v>399616</v>
          </cell>
          <cell r="Y26">
            <v>80</v>
          </cell>
          <cell r="Z26">
            <v>1</v>
          </cell>
          <cell r="AA26">
            <v>1</v>
          </cell>
          <cell r="AB26">
            <v>80</v>
          </cell>
          <cell r="AC26">
            <v>1033333</v>
          </cell>
          <cell r="AD26" t="e">
            <v>#VALUE!</v>
          </cell>
        </row>
        <row r="27">
          <cell r="V27">
            <v>540744</v>
          </cell>
          <cell r="W27">
            <v>543471</v>
          </cell>
          <cell r="Y27">
            <v>112</v>
          </cell>
          <cell r="Z27">
            <v>1</v>
          </cell>
          <cell r="AA27">
            <v>2727</v>
          </cell>
          <cell r="AB27">
            <v>305424</v>
          </cell>
          <cell r="AC27">
            <v>6200000</v>
          </cell>
          <cell r="AD27">
            <v>0.90118968935888966</v>
          </cell>
        </row>
        <row r="28">
          <cell r="V28">
            <v>159573</v>
          </cell>
          <cell r="W28">
            <v>159873</v>
          </cell>
          <cell r="Y28">
            <v>320</v>
          </cell>
          <cell r="Z28">
            <v>1</v>
          </cell>
          <cell r="AA28">
            <v>300</v>
          </cell>
          <cell r="AB28">
            <v>96000</v>
          </cell>
          <cell r="AC28">
            <v>1000</v>
          </cell>
          <cell r="AD28">
            <v>9.9140779907468599E-2</v>
          </cell>
        </row>
        <row r="29">
          <cell r="AA29">
            <v>3028</v>
          </cell>
          <cell r="AB29">
            <v>401504</v>
          </cell>
          <cell r="AC29">
            <v>7234333</v>
          </cell>
        </row>
        <row r="30">
          <cell r="AB30">
            <v>7635837</v>
          </cell>
        </row>
        <row r="32">
          <cell r="W32">
            <v>222</v>
          </cell>
          <cell r="X32">
            <v>27.75</v>
          </cell>
          <cell r="Y32">
            <v>27.75</v>
          </cell>
        </row>
        <row r="33">
          <cell r="A33">
            <v>44530</v>
          </cell>
          <cell r="B33">
            <v>1102959</v>
          </cell>
          <cell r="C33">
            <v>0</v>
          </cell>
          <cell r="D33">
            <v>0</v>
          </cell>
          <cell r="E33">
            <v>1102959</v>
          </cell>
          <cell r="F33">
            <v>159873</v>
          </cell>
          <cell r="G33">
            <v>0</v>
          </cell>
          <cell r="H33">
            <v>543471</v>
          </cell>
          <cell r="I33">
            <v>0</v>
          </cell>
          <cell r="J33">
            <v>399616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159.96313985627418</v>
          </cell>
          <cell r="P33">
            <v>159.96313985627418</v>
          </cell>
          <cell r="Q33">
            <v>1537.5322064516081</v>
          </cell>
          <cell r="R33">
            <v>1697.4953463078823</v>
          </cell>
          <cell r="S33">
            <v>6695</v>
          </cell>
          <cell r="T33">
            <v>0.25354672835069192</v>
          </cell>
          <cell r="AA33">
            <v>0.11</v>
          </cell>
          <cell r="AB33">
            <v>839942.07</v>
          </cell>
          <cell r="AC33">
            <v>7234333</v>
          </cell>
        </row>
        <row r="34">
          <cell r="AB34">
            <v>8475779.0700000003</v>
          </cell>
          <cell r="AC34">
            <v>0</v>
          </cell>
        </row>
      </sheetData>
      <sheetData sheetId="8" refreshError="1"/>
      <sheetData sheetId="9">
        <row r="5">
          <cell r="B5">
            <v>30</v>
          </cell>
          <cell r="C5">
            <v>23</v>
          </cell>
        </row>
        <row r="6">
          <cell r="B6">
            <v>25</v>
          </cell>
          <cell r="C6">
            <v>22</v>
          </cell>
        </row>
        <row r="7">
          <cell r="B7">
            <v>25</v>
          </cell>
          <cell r="C7">
            <v>20</v>
          </cell>
        </row>
        <row r="8">
          <cell r="B8">
            <v>25</v>
          </cell>
          <cell r="C8">
            <v>20</v>
          </cell>
        </row>
        <row r="11">
          <cell r="B11">
            <v>26</v>
          </cell>
          <cell r="C11">
            <v>20</v>
          </cell>
        </row>
        <row r="12">
          <cell r="B12">
            <v>26</v>
          </cell>
          <cell r="C12">
            <v>19</v>
          </cell>
        </row>
        <row r="13">
          <cell r="B13">
            <v>28</v>
          </cell>
          <cell r="C13">
            <v>20</v>
          </cell>
        </row>
        <row r="14">
          <cell r="B14">
            <v>26</v>
          </cell>
          <cell r="C14">
            <v>19</v>
          </cell>
        </row>
        <row r="15">
          <cell r="B15">
            <v>24</v>
          </cell>
          <cell r="C15">
            <v>13</v>
          </cell>
        </row>
        <row r="18">
          <cell r="B18">
            <v>25</v>
          </cell>
          <cell r="C18">
            <v>20</v>
          </cell>
        </row>
        <row r="19">
          <cell r="B19">
            <v>27</v>
          </cell>
          <cell r="C19">
            <v>21</v>
          </cell>
          <cell r="F19">
            <v>0</v>
          </cell>
        </row>
        <row r="20">
          <cell r="B20">
            <v>24</v>
          </cell>
          <cell r="C20">
            <v>19</v>
          </cell>
        </row>
        <row r="21">
          <cell r="B21">
            <v>26</v>
          </cell>
          <cell r="C21">
            <v>19</v>
          </cell>
        </row>
        <row r="22">
          <cell r="B22">
            <v>23</v>
          </cell>
          <cell r="C22">
            <v>18</v>
          </cell>
        </row>
        <row r="26">
          <cell r="B26">
            <v>24</v>
          </cell>
          <cell r="C26">
            <v>17</v>
          </cell>
        </row>
        <row r="27">
          <cell r="B27">
            <v>23</v>
          </cell>
          <cell r="C27">
            <v>16</v>
          </cell>
        </row>
        <row r="28">
          <cell r="B28">
            <v>23</v>
          </cell>
          <cell r="C28">
            <v>17</v>
          </cell>
        </row>
        <row r="29">
          <cell r="B29">
            <v>22</v>
          </cell>
          <cell r="C29">
            <v>18</v>
          </cell>
        </row>
        <row r="32">
          <cell r="B32">
            <v>25</v>
          </cell>
          <cell r="C32">
            <v>18</v>
          </cell>
        </row>
        <row r="33">
          <cell r="B33">
            <v>25</v>
          </cell>
          <cell r="C33">
            <v>18</v>
          </cell>
        </row>
        <row r="34">
          <cell r="B34">
            <v>28</v>
          </cell>
          <cell r="C34">
            <v>19</v>
          </cell>
        </row>
      </sheetData>
      <sheetData sheetId="10" refreshError="1"/>
      <sheetData sheetId="11" refreshError="1"/>
      <sheetData sheetId="12" refreshError="1"/>
      <sheetData sheetId="13">
        <row r="35">
          <cell r="A35">
            <v>44530</v>
          </cell>
          <cell r="B35">
            <v>2.8</v>
          </cell>
          <cell r="C35">
            <v>8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6953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44500</v>
          </cell>
        </row>
      </sheetData>
      <sheetData sheetId="3">
        <row r="35">
          <cell r="B35">
            <v>181</v>
          </cell>
        </row>
      </sheetData>
      <sheetData sheetId="4">
        <row r="36">
          <cell r="A36">
            <v>44500</v>
          </cell>
        </row>
      </sheetData>
      <sheetData sheetId="5">
        <row r="33">
          <cell r="A33">
            <v>44500</v>
          </cell>
        </row>
      </sheetData>
      <sheetData sheetId="6">
        <row r="36">
          <cell r="A36">
            <v>44500</v>
          </cell>
        </row>
      </sheetData>
      <sheetData sheetId="7">
        <row r="26">
          <cell r="V26">
            <v>398895</v>
          </cell>
        </row>
      </sheetData>
      <sheetData sheetId="8" refreshError="1"/>
      <sheetData sheetId="9">
        <row r="7">
          <cell r="B7">
            <v>28</v>
          </cell>
          <cell r="C7">
            <v>24</v>
          </cell>
        </row>
        <row r="8">
          <cell r="B8">
            <v>28</v>
          </cell>
          <cell r="C8">
            <v>23</v>
          </cell>
        </row>
        <row r="9">
          <cell r="B9">
            <v>28</v>
          </cell>
          <cell r="C9">
            <v>23</v>
          </cell>
        </row>
        <row r="10">
          <cell r="B10">
            <v>28</v>
          </cell>
          <cell r="C10">
            <v>23</v>
          </cell>
        </row>
        <row r="11">
          <cell r="B11">
            <v>28</v>
          </cell>
          <cell r="C11">
            <v>22</v>
          </cell>
        </row>
        <row r="14">
          <cell r="B14">
            <v>29</v>
          </cell>
          <cell r="C14">
            <v>23</v>
          </cell>
        </row>
        <row r="15">
          <cell r="B15">
            <v>27</v>
          </cell>
          <cell r="C15">
            <v>23</v>
          </cell>
        </row>
        <row r="16">
          <cell r="B16">
            <v>28</v>
          </cell>
          <cell r="C16">
            <v>22</v>
          </cell>
        </row>
        <row r="22">
          <cell r="B22">
            <v>26</v>
          </cell>
          <cell r="C22">
            <v>22</v>
          </cell>
        </row>
        <row r="23">
          <cell r="B23">
            <v>26</v>
          </cell>
          <cell r="C23">
            <v>22</v>
          </cell>
        </row>
        <row r="24">
          <cell r="B24">
            <v>26</v>
          </cell>
          <cell r="C24">
            <v>21</v>
          </cell>
        </row>
        <row r="25">
          <cell r="B25">
            <v>27</v>
          </cell>
          <cell r="C25">
            <v>21</v>
          </cell>
        </row>
        <row r="28">
          <cell r="B28">
            <v>26</v>
          </cell>
          <cell r="C28">
            <v>21</v>
          </cell>
        </row>
        <row r="29">
          <cell r="B29">
            <v>25</v>
          </cell>
          <cell r="C29">
            <v>21</v>
          </cell>
        </row>
        <row r="30">
          <cell r="B30">
            <v>26</v>
          </cell>
          <cell r="C30">
            <v>21</v>
          </cell>
        </row>
        <row r="31">
          <cell r="B31">
            <v>26</v>
          </cell>
          <cell r="C31">
            <v>21</v>
          </cell>
        </row>
        <row r="32">
          <cell r="B32">
            <v>28</v>
          </cell>
          <cell r="C32">
            <v>20</v>
          </cell>
        </row>
        <row r="35">
          <cell r="B35">
            <v>28</v>
          </cell>
          <cell r="C35">
            <v>21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  <row r="43">
          <cell r="B43">
            <v>-92.59999999999998</v>
          </cell>
          <cell r="C43">
            <v>2.7999999999999936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C10">
            <v>15</v>
          </cell>
          <cell r="D10">
            <v>-0.80000000000000071</v>
          </cell>
          <cell r="E10">
            <v>1</v>
          </cell>
          <cell r="F10">
            <v>21</v>
          </cell>
          <cell r="G10">
            <v>16</v>
          </cell>
          <cell r="H10">
            <v>0.19999999999999929</v>
          </cell>
          <cell r="I10">
            <v>1</v>
          </cell>
          <cell r="J10">
            <v>18</v>
          </cell>
          <cell r="K10">
            <v>14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B11">
            <v>21</v>
          </cell>
          <cell r="C11">
            <v>15</v>
          </cell>
          <cell r="D11">
            <v>-0.30000000000000071</v>
          </cell>
          <cell r="E11">
            <v>2</v>
          </cell>
          <cell r="F11">
            <v>23</v>
          </cell>
          <cell r="G11">
            <v>17</v>
          </cell>
          <cell r="H11">
            <v>1.6999999999999993</v>
          </cell>
          <cell r="I11">
            <v>2</v>
          </cell>
          <cell r="J11">
            <v>18</v>
          </cell>
          <cell r="K11">
            <v>13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B12">
            <v>21</v>
          </cell>
          <cell r="C12">
            <v>16</v>
          </cell>
          <cell r="D12">
            <v>0.19999999999999929</v>
          </cell>
          <cell r="E12">
            <v>3</v>
          </cell>
          <cell r="F12">
            <v>20</v>
          </cell>
          <cell r="G12">
            <v>15</v>
          </cell>
          <cell r="H12">
            <v>-0.80000000000000071</v>
          </cell>
          <cell r="I12">
            <v>3</v>
          </cell>
          <cell r="J12">
            <v>18</v>
          </cell>
          <cell r="K12">
            <v>13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B13">
            <v>22</v>
          </cell>
          <cell r="C13">
            <v>15</v>
          </cell>
          <cell r="D13">
            <v>0.19999999999999929</v>
          </cell>
          <cell r="E13">
            <v>4</v>
          </cell>
          <cell r="F13">
            <v>20</v>
          </cell>
          <cell r="G13">
            <v>15</v>
          </cell>
          <cell r="H13">
            <v>-0.80000000000000071</v>
          </cell>
          <cell r="I13">
            <v>4</v>
          </cell>
          <cell r="J13">
            <v>18</v>
          </cell>
          <cell r="K13">
            <v>13</v>
          </cell>
          <cell r="L13">
            <v>-2.8000000000000007</v>
          </cell>
        </row>
        <row r="14">
          <cell r="B14">
            <v>22</v>
          </cell>
          <cell r="C14">
            <v>16</v>
          </cell>
          <cell r="D14">
            <v>0.69999999999999929</v>
          </cell>
          <cell r="E14">
            <v>5</v>
          </cell>
          <cell r="F14">
            <v>20</v>
          </cell>
          <cell r="G14">
            <v>15</v>
          </cell>
          <cell r="H14">
            <v>-0.80000000000000071</v>
          </cell>
          <cell r="I14">
            <v>5</v>
          </cell>
          <cell r="J14">
            <v>19</v>
          </cell>
          <cell r="K14">
            <v>12</v>
          </cell>
          <cell r="L14">
            <v>-2.8000000000000007</v>
          </cell>
        </row>
        <row r="15">
          <cell r="B15">
            <v>22</v>
          </cell>
          <cell r="C15">
            <v>15</v>
          </cell>
          <cell r="D15">
            <v>0.19999999999999929</v>
          </cell>
          <cell r="E15">
            <v>6</v>
          </cell>
          <cell r="F15">
            <v>19</v>
          </cell>
          <cell r="G15">
            <v>15</v>
          </cell>
          <cell r="H15">
            <v>-1.3000000000000007</v>
          </cell>
          <cell r="I15">
            <v>6</v>
          </cell>
          <cell r="J15">
            <v>18</v>
          </cell>
          <cell r="K15">
            <v>14</v>
          </cell>
          <cell r="L15">
            <v>-2.3000000000000007</v>
          </cell>
        </row>
        <row r="16">
          <cell r="B16">
            <v>20</v>
          </cell>
          <cell r="C16">
            <v>14</v>
          </cell>
          <cell r="D16">
            <v>-1.3000000000000007</v>
          </cell>
          <cell r="E16">
            <v>7</v>
          </cell>
          <cell r="F16">
            <v>21</v>
          </cell>
          <cell r="G16">
            <v>17</v>
          </cell>
          <cell r="H16">
            <v>0.69999999999999929</v>
          </cell>
          <cell r="I16">
            <v>7</v>
          </cell>
          <cell r="J16">
            <v>19</v>
          </cell>
          <cell r="K16">
            <v>14</v>
          </cell>
          <cell r="L16">
            <v>-1.8000000000000007</v>
          </cell>
        </row>
        <row r="17">
          <cell r="B17">
            <v>21</v>
          </cell>
          <cell r="C17">
            <v>14</v>
          </cell>
          <cell r="D17">
            <v>-0.80000000000000071</v>
          </cell>
          <cell r="E17">
            <v>8</v>
          </cell>
          <cell r="F17">
            <v>23</v>
          </cell>
          <cell r="G17">
            <v>19</v>
          </cell>
          <cell r="H17">
            <v>2.6999999999999993</v>
          </cell>
          <cell r="I17">
            <v>8</v>
          </cell>
          <cell r="J17">
            <v>20</v>
          </cell>
          <cell r="K17">
            <v>16</v>
          </cell>
          <cell r="L17">
            <v>-0.30000000000000071</v>
          </cell>
        </row>
        <row r="18">
          <cell r="B18">
            <v>22</v>
          </cell>
          <cell r="C18">
            <v>15</v>
          </cell>
          <cell r="D18">
            <v>0.19999999999999929</v>
          </cell>
          <cell r="E18">
            <v>9</v>
          </cell>
          <cell r="F18">
            <v>21</v>
          </cell>
          <cell r="G18">
            <v>18</v>
          </cell>
          <cell r="H18">
            <v>1.1999999999999993</v>
          </cell>
          <cell r="I18">
            <v>9</v>
          </cell>
          <cell r="J18">
            <v>23</v>
          </cell>
          <cell r="K18">
            <v>17</v>
          </cell>
          <cell r="L18">
            <v>1.6999999999999993</v>
          </cell>
        </row>
        <row r="19">
          <cell r="B19">
            <v>22</v>
          </cell>
          <cell r="C19">
            <v>15</v>
          </cell>
          <cell r="D19">
            <v>0.19999999999999929</v>
          </cell>
          <cell r="E19">
            <v>10</v>
          </cell>
          <cell r="F19">
            <v>19</v>
          </cell>
          <cell r="G19">
            <v>14</v>
          </cell>
          <cell r="H19">
            <v>-1.8000000000000007</v>
          </cell>
          <cell r="I19">
            <v>10</v>
          </cell>
          <cell r="J19">
            <v>19</v>
          </cell>
          <cell r="K19">
            <v>13</v>
          </cell>
          <cell r="L19">
            <v>-2.3000000000000007</v>
          </cell>
        </row>
        <row r="20">
          <cell r="B20">
            <v>22</v>
          </cell>
          <cell r="C20">
            <v>16</v>
          </cell>
          <cell r="D20">
            <v>0.69999999999999929</v>
          </cell>
          <cell r="E20">
            <v>11</v>
          </cell>
          <cell r="F20">
            <v>18</v>
          </cell>
          <cell r="G20">
            <v>13</v>
          </cell>
          <cell r="H20">
            <v>-2.8000000000000007</v>
          </cell>
          <cell r="I20">
            <v>11</v>
          </cell>
          <cell r="J20">
            <v>17</v>
          </cell>
          <cell r="K20">
            <v>12</v>
          </cell>
          <cell r="L20">
            <v>-3.8000000000000007</v>
          </cell>
        </row>
        <row r="21">
          <cell r="B21">
            <v>24</v>
          </cell>
          <cell r="C21">
            <v>13</v>
          </cell>
          <cell r="D21">
            <v>0.19999999999999929</v>
          </cell>
          <cell r="E21">
            <v>12</v>
          </cell>
          <cell r="F21">
            <v>18</v>
          </cell>
          <cell r="G21">
            <v>13</v>
          </cell>
          <cell r="H21">
            <v>-2.8000000000000007</v>
          </cell>
          <cell r="I21">
            <v>12</v>
          </cell>
          <cell r="J21">
            <v>18</v>
          </cell>
          <cell r="K21">
            <v>13</v>
          </cell>
          <cell r="L21">
            <v>-2.8000000000000007</v>
          </cell>
        </row>
        <row r="22">
          <cell r="B22">
            <v>18</v>
          </cell>
          <cell r="C22">
            <v>12</v>
          </cell>
          <cell r="D22">
            <v>-3.3000000000000007</v>
          </cell>
          <cell r="E22">
            <v>13</v>
          </cell>
          <cell r="F22">
            <v>19</v>
          </cell>
          <cell r="G22">
            <v>14</v>
          </cell>
          <cell r="H22">
            <v>-1.8000000000000007</v>
          </cell>
          <cell r="I22">
            <v>13</v>
          </cell>
          <cell r="J22">
            <v>18</v>
          </cell>
          <cell r="K22">
            <v>16</v>
          </cell>
          <cell r="L22">
            <v>-1.3000000000000007</v>
          </cell>
        </row>
        <row r="23">
          <cell r="B23">
            <v>17</v>
          </cell>
          <cell r="C23">
            <v>12</v>
          </cell>
          <cell r="D23">
            <v>-3.8000000000000007</v>
          </cell>
          <cell r="E23">
            <v>14</v>
          </cell>
          <cell r="F23">
            <v>18</v>
          </cell>
          <cell r="G23">
            <v>13</v>
          </cell>
          <cell r="H23">
            <v>-2.8000000000000007</v>
          </cell>
          <cell r="I23">
            <v>14</v>
          </cell>
          <cell r="J23">
            <v>19</v>
          </cell>
          <cell r="K23">
            <v>15</v>
          </cell>
          <cell r="L23">
            <v>-1.3000000000000007</v>
          </cell>
        </row>
        <row r="24">
          <cell r="B24">
            <v>19</v>
          </cell>
          <cell r="C24">
            <v>13</v>
          </cell>
          <cell r="D24">
            <v>-2.3000000000000007</v>
          </cell>
          <cell r="E24">
            <v>15</v>
          </cell>
          <cell r="F24">
            <v>18</v>
          </cell>
          <cell r="G24">
            <v>12</v>
          </cell>
          <cell r="H24">
            <v>-3.3000000000000007</v>
          </cell>
          <cell r="I24">
            <v>15</v>
          </cell>
          <cell r="J24">
            <v>19</v>
          </cell>
          <cell r="K24">
            <v>15</v>
          </cell>
          <cell r="L24">
            <v>-1.3000000000000007</v>
          </cell>
        </row>
        <row r="25">
          <cell r="B25">
            <v>15</v>
          </cell>
          <cell r="C25">
            <v>9</v>
          </cell>
          <cell r="D25">
            <v>-6.3000000000000007</v>
          </cell>
          <cell r="E25">
            <v>16</v>
          </cell>
          <cell r="F25">
            <v>11</v>
          </cell>
          <cell r="G25">
            <v>7</v>
          </cell>
          <cell r="H25">
            <v>-9.3000000000000007</v>
          </cell>
          <cell r="I25">
            <v>16</v>
          </cell>
          <cell r="J25">
            <v>19</v>
          </cell>
          <cell r="K25">
            <v>14</v>
          </cell>
          <cell r="L25">
            <v>-1.8000000000000007</v>
          </cell>
        </row>
        <row r="26">
          <cell r="B26">
            <v>15</v>
          </cell>
          <cell r="C26">
            <v>12</v>
          </cell>
          <cell r="D26">
            <v>-4.8000000000000007</v>
          </cell>
          <cell r="E26">
            <v>17</v>
          </cell>
          <cell r="F26">
            <v>13</v>
          </cell>
          <cell r="G26">
            <v>7</v>
          </cell>
          <cell r="H26">
            <v>-8.3000000000000007</v>
          </cell>
          <cell r="I26">
            <v>17</v>
          </cell>
          <cell r="J26">
            <v>20</v>
          </cell>
          <cell r="K26">
            <v>15</v>
          </cell>
          <cell r="L26">
            <v>-0.80000000000000071</v>
          </cell>
        </row>
        <row r="27">
          <cell r="B27">
            <v>14</v>
          </cell>
          <cell r="C27">
            <v>8</v>
          </cell>
          <cell r="D27">
            <v>-7.3000000000000007</v>
          </cell>
          <cell r="E27">
            <v>18</v>
          </cell>
          <cell r="F27">
            <v>13</v>
          </cell>
          <cell r="G27">
            <v>7</v>
          </cell>
          <cell r="H27">
            <v>-8.3000000000000007</v>
          </cell>
          <cell r="I27">
            <v>18</v>
          </cell>
          <cell r="J27">
            <v>20</v>
          </cell>
          <cell r="K27">
            <v>15</v>
          </cell>
          <cell r="L27">
            <v>-0.80000000000000071</v>
          </cell>
        </row>
        <row r="28">
          <cell r="B28">
            <v>17</v>
          </cell>
          <cell r="C28">
            <v>10</v>
          </cell>
          <cell r="D28">
            <v>-4.8000000000000007</v>
          </cell>
          <cell r="E28">
            <v>19</v>
          </cell>
          <cell r="F28">
            <v>14</v>
          </cell>
          <cell r="G28">
            <v>7</v>
          </cell>
          <cell r="H28">
            <v>-7.8000000000000007</v>
          </cell>
          <cell r="I28">
            <v>19</v>
          </cell>
          <cell r="J28">
            <v>19</v>
          </cell>
          <cell r="K28">
            <v>17</v>
          </cell>
          <cell r="L28">
            <v>-0.30000000000000071</v>
          </cell>
        </row>
        <row r="29">
          <cell r="B29">
            <v>17</v>
          </cell>
          <cell r="C29">
            <v>10</v>
          </cell>
          <cell r="D29">
            <v>-4.8000000000000007</v>
          </cell>
          <cell r="E29">
            <v>20</v>
          </cell>
          <cell r="F29">
            <v>19</v>
          </cell>
          <cell r="G29">
            <v>14</v>
          </cell>
          <cell r="H29">
            <v>-1.8000000000000007</v>
          </cell>
          <cell r="I29">
            <v>20</v>
          </cell>
          <cell r="J29">
            <v>21</v>
          </cell>
          <cell r="K29">
            <v>18</v>
          </cell>
          <cell r="L29">
            <v>1.1999999999999993</v>
          </cell>
        </row>
        <row r="30">
          <cell r="B30">
            <v>16</v>
          </cell>
          <cell r="C30">
            <v>9</v>
          </cell>
          <cell r="D30">
            <v>-5.8000000000000007</v>
          </cell>
          <cell r="E30">
            <v>21</v>
          </cell>
          <cell r="F30">
            <v>18</v>
          </cell>
          <cell r="G30">
            <v>13</v>
          </cell>
          <cell r="H30">
            <v>-2.8000000000000007</v>
          </cell>
          <cell r="I30">
            <v>21</v>
          </cell>
          <cell r="J30">
            <v>23</v>
          </cell>
          <cell r="K30">
            <v>14</v>
          </cell>
          <cell r="L30">
            <v>0.19999999999999929</v>
          </cell>
        </row>
        <row r="31">
          <cell r="B31">
            <v>17</v>
          </cell>
          <cell r="C31">
            <v>10</v>
          </cell>
          <cell r="D31">
            <v>-4.8000000000000007</v>
          </cell>
          <cell r="E31">
            <v>22</v>
          </cell>
          <cell r="F31">
            <v>21</v>
          </cell>
          <cell r="G31">
            <v>12</v>
          </cell>
          <cell r="H31">
            <v>-1.8000000000000007</v>
          </cell>
          <cell r="I31">
            <v>22</v>
          </cell>
          <cell r="J31">
            <v>26</v>
          </cell>
          <cell r="K31">
            <v>14</v>
          </cell>
          <cell r="L31">
            <v>1.6999999999999993</v>
          </cell>
        </row>
        <row r="32">
          <cell r="B32">
            <v>18</v>
          </cell>
          <cell r="C32">
            <v>12</v>
          </cell>
          <cell r="D32">
            <v>-3.3000000000000007</v>
          </cell>
          <cell r="E32">
            <v>23</v>
          </cell>
          <cell r="F32">
            <v>19</v>
          </cell>
          <cell r="G32">
            <v>13</v>
          </cell>
          <cell r="H32">
            <v>-2.3000000000000007</v>
          </cell>
          <cell r="I32">
            <v>23</v>
          </cell>
          <cell r="J32">
            <v>33</v>
          </cell>
          <cell r="K32">
            <v>17</v>
          </cell>
          <cell r="L32">
            <v>6.6999999999999993</v>
          </cell>
        </row>
        <row r="33">
          <cell r="B33">
            <v>17</v>
          </cell>
          <cell r="C33">
            <v>11</v>
          </cell>
          <cell r="D33">
            <v>-4.3000000000000007</v>
          </cell>
          <cell r="E33">
            <v>24</v>
          </cell>
          <cell r="F33">
            <v>19</v>
          </cell>
          <cell r="G33">
            <v>12</v>
          </cell>
          <cell r="H33">
            <v>-2.8000000000000007</v>
          </cell>
          <cell r="I33">
            <v>24</v>
          </cell>
          <cell r="J33">
            <v>15</v>
          </cell>
          <cell r="K33">
            <v>12</v>
          </cell>
          <cell r="L33">
            <v>-4.8000000000000007</v>
          </cell>
        </row>
        <row r="34">
          <cell r="B34">
            <v>21</v>
          </cell>
          <cell r="C34">
            <v>12</v>
          </cell>
          <cell r="D34">
            <v>-1.8000000000000007</v>
          </cell>
          <cell r="E34">
            <v>25</v>
          </cell>
          <cell r="F34">
            <v>18</v>
          </cell>
          <cell r="G34">
            <v>13</v>
          </cell>
          <cell r="H34">
            <v>-2.8000000000000007</v>
          </cell>
          <cell r="I34">
            <v>25</v>
          </cell>
          <cell r="J34">
            <v>15</v>
          </cell>
          <cell r="K34">
            <v>12</v>
          </cell>
          <cell r="L34">
            <v>-4.8000000000000007</v>
          </cell>
        </row>
        <row r="35">
          <cell r="B35">
            <v>18</v>
          </cell>
          <cell r="C35">
            <v>11</v>
          </cell>
          <cell r="D35">
            <v>-3.8000000000000007</v>
          </cell>
          <cell r="E35">
            <v>26</v>
          </cell>
          <cell r="F35">
            <v>18</v>
          </cell>
          <cell r="G35">
            <v>13</v>
          </cell>
          <cell r="H35">
            <v>-2.8000000000000007</v>
          </cell>
          <cell r="I35">
            <v>26</v>
          </cell>
          <cell r="J35">
            <v>16</v>
          </cell>
          <cell r="K35">
            <v>10</v>
          </cell>
          <cell r="L35">
            <v>-5.3000000000000007</v>
          </cell>
        </row>
        <row r="36">
          <cell r="B36">
            <v>14</v>
          </cell>
          <cell r="C36">
            <v>10</v>
          </cell>
          <cell r="D36">
            <v>-6.3000000000000007</v>
          </cell>
          <cell r="E36">
            <v>27</v>
          </cell>
          <cell r="F36">
            <v>18</v>
          </cell>
          <cell r="G36">
            <v>13</v>
          </cell>
          <cell r="H36">
            <v>-2.8000000000000007</v>
          </cell>
          <cell r="I36">
            <v>27</v>
          </cell>
          <cell r="J36">
            <v>17</v>
          </cell>
          <cell r="K36">
            <v>11</v>
          </cell>
          <cell r="L36">
            <v>-4.3000000000000007</v>
          </cell>
        </row>
        <row r="37">
          <cell r="B37">
            <v>14</v>
          </cell>
          <cell r="C37">
            <v>10</v>
          </cell>
          <cell r="D37">
            <v>-6.3000000000000007</v>
          </cell>
          <cell r="E37">
            <v>28</v>
          </cell>
          <cell r="F37">
            <v>17</v>
          </cell>
          <cell r="G37">
            <v>13</v>
          </cell>
          <cell r="H37">
            <v>-3.3000000000000007</v>
          </cell>
          <cell r="I37">
            <v>28</v>
          </cell>
          <cell r="J37">
            <v>17</v>
          </cell>
          <cell r="K37">
            <v>13</v>
          </cell>
          <cell r="L37">
            <v>-3.3000000000000007</v>
          </cell>
        </row>
        <row r="38">
          <cell r="B38">
            <v>16</v>
          </cell>
          <cell r="C38">
            <v>12</v>
          </cell>
          <cell r="D38">
            <v>-4.3000000000000007</v>
          </cell>
          <cell r="I38">
            <v>29</v>
          </cell>
          <cell r="J38">
            <v>17</v>
          </cell>
          <cell r="K38">
            <v>14</v>
          </cell>
          <cell r="L38">
            <v>-2.8000000000000007</v>
          </cell>
        </row>
        <row r="39">
          <cell r="B39">
            <v>10</v>
          </cell>
          <cell r="C39">
            <v>4</v>
          </cell>
          <cell r="D39">
            <v>-11.3</v>
          </cell>
          <cell r="I39">
            <v>30</v>
          </cell>
          <cell r="J39">
            <v>19</v>
          </cell>
          <cell r="K39">
            <v>13</v>
          </cell>
          <cell r="L39">
            <v>-2.3000000000000007</v>
          </cell>
        </row>
        <row r="40">
          <cell r="B40">
            <v>21</v>
          </cell>
          <cell r="C40">
            <v>16</v>
          </cell>
          <cell r="D40">
            <v>0.19999999999999929</v>
          </cell>
          <cell r="I40">
            <v>31</v>
          </cell>
          <cell r="J40">
            <v>18</v>
          </cell>
          <cell r="K40">
            <v>13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B6">
            <v>17</v>
          </cell>
          <cell r="C6">
            <v>12</v>
          </cell>
        </row>
        <row r="7">
          <cell r="B7">
            <v>15</v>
          </cell>
          <cell r="C7">
            <v>12</v>
          </cell>
        </row>
        <row r="8">
          <cell r="B8">
            <v>19</v>
          </cell>
          <cell r="C8">
            <v>15</v>
          </cell>
        </row>
        <row r="9">
          <cell r="B9">
            <v>18</v>
          </cell>
          <cell r="C9">
            <v>15</v>
          </cell>
        </row>
        <row r="10">
          <cell r="B10">
            <v>19</v>
          </cell>
          <cell r="C10">
            <v>15</v>
          </cell>
        </row>
        <row r="11">
          <cell r="B11">
            <v>30</v>
          </cell>
          <cell r="C11">
            <v>15</v>
          </cell>
        </row>
        <row r="12">
          <cell r="B12">
            <v>24</v>
          </cell>
          <cell r="C12">
            <v>19</v>
          </cell>
        </row>
        <row r="13">
          <cell r="B13">
            <v>20</v>
          </cell>
          <cell r="C13">
            <v>17</v>
          </cell>
        </row>
        <row r="14">
          <cell r="B14">
            <v>20</v>
          </cell>
          <cell r="C14">
            <v>16</v>
          </cell>
        </row>
        <row r="15">
          <cell r="B15">
            <v>16</v>
          </cell>
          <cell r="C15">
            <v>14</v>
          </cell>
        </row>
        <row r="16">
          <cell r="B16">
            <v>17</v>
          </cell>
          <cell r="C16">
            <v>12</v>
          </cell>
        </row>
        <row r="17">
          <cell r="B17">
            <v>16</v>
          </cell>
          <cell r="C17">
            <v>13</v>
          </cell>
        </row>
        <row r="18">
          <cell r="B18">
            <v>18</v>
          </cell>
          <cell r="C18">
            <v>11</v>
          </cell>
        </row>
        <row r="19">
          <cell r="B19">
            <v>20</v>
          </cell>
          <cell r="C19">
            <v>12</v>
          </cell>
        </row>
        <row r="20">
          <cell r="B20">
            <v>24</v>
          </cell>
          <cell r="C20">
            <v>14</v>
          </cell>
        </row>
        <row r="21">
          <cell r="B21">
            <v>26</v>
          </cell>
          <cell r="C21">
            <v>17</v>
          </cell>
        </row>
        <row r="22">
          <cell r="B22">
            <v>27</v>
          </cell>
          <cell r="C22">
            <v>17</v>
          </cell>
        </row>
        <row r="23">
          <cell r="B23">
            <v>32</v>
          </cell>
          <cell r="C23">
            <v>19</v>
          </cell>
        </row>
        <row r="24">
          <cell r="B24">
            <v>33</v>
          </cell>
          <cell r="C24">
            <v>24</v>
          </cell>
        </row>
        <row r="25">
          <cell r="B25">
            <v>22</v>
          </cell>
          <cell r="C25">
            <v>15</v>
          </cell>
        </row>
        <row r="26">
          <cell r="B26">
            <v>21</v>
          </cell>
          <cell r="C26">
            <v>17</v>
          </cell>
        </row>
        <row r="27">
          <cell r="B27">
            <v>21</v>
          </cell>
          <cell r="C27">
            <v>18</v>
          </cell>
        </row>
        <row r="28">
          <cell r="B28">
            <v>20</v>
          </cell>
          <cell r="C28">
            <v>18</v>
          </cell>
        </row>
        <row r="29">
          <cell r="B29">
            <v>24</v>
          </cell>
          <cell r="C29">
            <v>18</v>
          </cell>
        </row>
        <row r="30">
          <cell r="B30">
            <v>23</v>
          </cell>
          <cell r="C30">
            <v>18</v>
          </cell>
        </row>
        <row r="31">
          <cell r="B31">
            <v>22</v>
          </cell>
          <cell r="C31">
            <v>16</v>
          </cell>
        </row>
        <row r="32">
          <cell r="B32">
            <v>22</v>
          </cell>
          <cell r="C32">
            <v>18</v>
          </cell>
        </row>
        <row r="33">
          <cell r="B33">
            <v>26</v>
          </cell>
          <cell r="C33">
            <v>16</v>
          </cell>
        </row>
        <row r="34">
          <cell r="B34">
            <v>29</v>
          </cell>
          <cell r="C34">
            <v>18</v>
          </cell>
        </row>
        <row r="35">
          <cell r="B35">
            <v>25</v>
          </cell>
          <cell r="C35">
            <v>21</v>
          </cell>
        </row>
      </sheetData>
      <sheetData sheetId="7">
        <row r="35">
          <cell r="AV35">
            <v>0.92</v>
          </cell>
        </row>
      </sheetData>
      <sheetData sheetId="8"/>
      <sheetData sheetId="9"/>
      <sheetData sheetId="10"/>
      <sheetData sheetId="11"/>
      <sheetData sheetId="12">
        <row r="26">
          <cell r="V26">
            <v>344256</v>
          </cell>
        </row>
      </sheetData>
      <sheetData sheetId="13"/>
      <sheetData sheetId="14">
        <row r="43">
          <cell r="N43">
            <v>-30.300000000000008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26</v>
          </cell>
          <cell r="S10">
            <v>21</v>
          </cell>
        </row>
        <row r="11">
          <cell r="R11">
            <v>25</v>
          </cell>
          <cell r="S11">
            <v>21</v>
          </cell>
        </row>
        <row r="12">
          <cell r="R12">
            <v>26</v>
          </cell>
          <cell r="S12">
            <v>22</v>
          </cell>
        </row>
        <row r="13">
          <cell r="R13">
            <v>26</v>
          </cell>
          <cell r="S13">
            <v>19</v>
          </cell>
        </row>
        <row r="14">
          <cell r="R14">
            <v>24</v>
          </cell>
          <cell r="S14">
            <v>22</v>
          </cell>
        </row>
        <row r="15">
          <cell r="R15">
            <v>24</v>
          </cell>
          <cell r="S15">
            <v>20</v>
          </cell>
        </row>
        <row r="16">
          <cell r="R16">
            <v>25</v>
          </cell>
          <cell r="S16">
            <v>21</v>
          </cell>
        </row>
        <row r="17">
          <cell r="R17">
            <v>29</v>
          </cell>
          <cell r="S17">
            <v>20</v>
          </cell>
        </row>
        <row r="18">
          <cell r="R18">
            <v>28</v>
          </cell>
          <cell r="S18">
            <v>21</v>
          </cell>
        </row>
        <row r="19">
          <cell r="R19">
            <v>24</v>
          </cell>
          <cell r="S19">
            <v>20</v>
          </cell>
        </row>
        <row r="20">
          <cell r="R20">
            <v>24</v>
          </cell>
          <cell r="S20">
            <v>18</v>
          </cell>
        </row>
        <row r="21">
          <cell r="R21">
            <v>25</v>
          </cell>
          <cell r="S21">
            <v>19</v>
          </cell>
        </row>
        <row r="22">
          <cell r="R22">
            <v>24</v>
          </cell>
          <cell r="S22">
            <v>18</v>
          </cell>
        </row>
        <row r="23">
          <cell r="R23">
            <v>24</v>
          </cell>
          <cell r="S23">
            <v>21</v>
          </cell>
        </row>
        <row r="24">
          <cell r="R24">
            <v>25</v>
          </cell>
          <cell r="S24">
            <v>22</v>
          </cell>
        </row>
        <row r="25">
          <cell r="R25">
            <v>24</v>
          </cell>
          <cell r="S25">
            <v>19</v>
          </cell>
        </row>
        <row r="26">
          <cell r="R26">
            <v>25</v>
          </cell>
          <cell r="S26">
            <v>20</v>
          </cell>
        </row>
        <row r="27">
          <cell r="R27">
            <v>32</v>
          </cell>
          <cell r="S27">
            <v>14</v>
          </cell>
        </row>
        <row r="28">
          <cell r="R28">
            <v>26</v>
          </cell>
          <cell r="S28">
            <v>20</v>
          </cell>
        </row>
        <row r="29">
          <cell r="R29">
            <v>26</v>
          </cell>
          <cell r="S29">
            <v>21</v>
          </cell>
        </row>
        <row r="30">
          <cell r="R30">
            <v>25</v>
          </cell>
          <cell r="S30">
            <v>24</v>
          </cell>
        </row>
        <row r="31">
          <cell r="R31">
            <v>26</v>
          </cell>
          <cell r="S31">
            <v>23</v>
          </cell>
        </row>
        <row r="32">
          <cell r="R32">
            <v>25</v>
          </cell>
          <cell r="S32">
            <v>22</v>
          </cell>
        </row>
        <row r="33">
          <cell r="R33">
            <v>26</v>
          </cell>
          <cell r="S33">
            <v>23</v>
          </cell>
        </row>
        <row r="34">
          <cell r="R34">
            <v>27</v>
          </cell>
          <cell r="S34">
            <v>22</v>
          </cell>
        </row>
        <row r="35">
          <cell r="R35">
            <v>26</v>
          </cell>
          <cell r="S35">
            <v>23</v>
          </cell>
        </row>
        <row r="36">
          <cell r="R36">
            <v>25</v>
          </cell>
          <cell r="S36">
            <v>22</v>
          </cell>
        </row>
        <row r="37">
          <cell r="R37">
            <v>26</v>
          </cell>
          <cell r="S37">
            <v>23</v>
          </cell>
        </row>
        <row r="38">
          <cell r="R38">
            <v>27</v>
          </cell>
          <cell r="S38">
            <v>22</v>
          </cell>
        </row>
        <row r="39">
          <cell r="R39">
            <v>27</v>
          </cell>
          <cell r="S39">
            <v>23</v>
          </cell>
        </row>
        <row r="40">
          <cell r="R40">
            <v>27</v>
          </cell>
          <cell r="S40">
            <v>24</v>
          </cell>
        </row>
      </sheetData>
      <sheetData sheetId="15"/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4">
          <cell r="B34">
            <v>109</v>
          </cell>
        </row>
      </sheetData>
      <sheetData sheetId="4">
        <row r="35">
          <cell r="B35">
            <v>109443</v>
          </cell>
        </row>
      </sheetData>
      <sheetData sheetId="5">
        <row r="32">
          <cell r="B32">
            <v>10421</v>
          </cell>
        </row>
      </sheetData>
      <sheetData sheetId="6">
        <row r="35">
          <cell r="B35">
            <v>109</v>
          </cell>
        </row>
      </sheetData>
      <sheetData sheetId="7">
        <row r="26">
          <cell r="V26">
            <v>386167</v>
          </cell>
        </row>
      </sheetData>
      <sheetData sheetId="8"/>
      <sheetData sheetId="9">
        <row r="35">
          <cell r="B35">
            <v>0</v>
          </cell>
        </row>
      </sheetData>
      <sheetData sheetId="10"/>
      <sheetData sheetId="11"/>
      <sheetData sheetId="12"/>
      <sheetData sheetId="13">
        <row r="35">
          <cell r="A35">
            <v>44377</v>
          </cell>
        </row>
      </sheetData>
      <sheetData sheetId="14">
        <row r="10">
          <cell r="V10">
            <v>27</v>
          </cell>
          <cell r="W10">
            <v>21</v>
          </cell>
        </row>
        <row r="11">
          <cell r="V11">
            <v>26</v>
          </cell>
          <cell r="W11">
            <v>22</v>
          </cell>
        </row>
        <row r="12">
          <cell r="V12">
            <v>26</v>
          </cell>
          <cell r="W12">
            <v>23</v>
          </cell>
        </row>
        <row r="13">
          <cell r="V13">
            <v>27</v>
          </cell>
          <cell r="W13">
            <v>23</v>
          </cell>
        </row>
        <row r="14">
          <cell r="V14">
            <v>26</v>
          </cell>
          <cell r="W14">
            <v>20</v>
          </cell>
        </row>
        <row r="15">
          <cell r="V15">
            <v>26</v>
          </cell>
          <cell r="W15">
            <v>22</v>
          </cell>
        </row>
        <row r="16">
          <cell r="V16">
            <v>27</v>
          </cell>
          <cell r="W16">
            <v>23</v>
          </cell>
        </row>
        <row r="17">
          <cell r="V17">
            <v>27</v>
          </cell>
          <cell r="W17">
            <v>23</v>
          </cell>
        </row>
        <row r="18">
          <cell r="V18">
            <v>27</v>
          </cell>
          <cell r="W18">
            <v>22</v>
          </cell>
        </row>
        <row r="19">
          <cell r="V19">
            <v>27</v>
          </cell>
          <cell r="W19">
            <v>23</v>
          </cell>
        </row>
        <row r="20">
          <cell r="V20">
            <v>27</v>
          </cell>
          <cell r="W20">
            <v>25</v>
          </cell>
        </row>
        <row r="21">
          <cell r="V21">
            <v>27</v>
          </cell>
          <cell r="W21">
            <v>22</v>
          </cell>
        </row>
        <row r="22">
          <cell r="V22">
            <v>26</v>
          </cell>
          <cell r="W22">
            <v>21</v>
          </cell>
        </row>
        <row r="23">
          <cell r="V23">
            <v>26</v>
          </cell>
          <cell r="W23">
            <v>20</v>
          </cell>
        </row>
        <row r="24">
          <cell r="V24">
            <v>27</v>
          </cell>
          <cell r="W24">
            <v>22</v>
          </cell>
        </row>
        <row r="25">
          <cell r="V25">
            <v>27</v>
          </cell>
          <cell r="W25">
            <v>23</v>
          </cell>
        </row>
        <row r="26">
          <cell r="V26">
            <v>26</v>
          </cell>
          <cell r="W26">
            <v>23</v>
          </cell>
        </row>
        <row r="27">
          <cell r="V27">
            <v>27</v>
          </cell>
          <cell r="W27">
            <v>23</v>
          </cell>
        </row>
        <row r="28">
          <cell r="V28">
            <v>28</v>
          </cell>
          <cell r="W28">
            <v>25</v>
          </cell>
        </row>
        <row r="29">
          <cell r="V29">
            <v>27</v>
          </cell>
          <cell r="W29">
            <v>24</v>
          </cell>
        </row>
        <row r="30">
          <cell r="V30">
            <v>27</v>
          </cell>
          <cell r="W30">
            <v>24</v>
          </cell>
        </row>
        <row r="31">
          <cell r="V31">
            <v>26</v>
          </cell>
          <cell r="W31">
            <v>22</v>
          </cell>
        </row>
        <row r="32">
          <cell r="V32">
            <v>28</v>
          </cell>
          <cell r="W32">
            <v>26</v>
          </cell>
        </row>
        <row r="33">
          <cell r="V33">
            <v>28</v>
          </cell>
          <cell r="W33">
            <v>25</v>
          </cell>
        </row>
        <row r="34">
          <cell r="V34">
            <v>29</v>
          </cell>
          <cell r="W34">
            <v>27</v>
          </cell>
        </row>
        <row r="35">
          <cell r="V35">
            <v>30</v>
          </cell>
          <cell r="W35">
            <v>28</v>
          </cell>
        </row>
        <row r="36">
          <cell r="V36">
            <v>30</v>
          </cell>
          <cell r="W36">
            <v>28</v>
          </cell>
        </row>
        <row r="37">
          <cell r="V37">
            <v>31</v>
          </cell>
          <cell r="W37">
            <v>28</v>
          </cell>
        </row>
        <row r="38">
          <cell r="V38">
            <v>30</v>
          </cell>
          <cell r="W38">
            <v>28</v>
          </cell>
        </row>
        <row r="39">
          <cell r="V39">
            <v>0</v>
          </cell>
          <cell r="W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K33">
            <v>600418</v>
          </cell>
        </row>
      </sheetData>
      <sheetData sheetId="3">
        <row r="5">
          <cell r="AI5">
            <v>0</v>
          </cell>
        </row>
      </sheetData>
      <sheetData sheetId="4">
        <row r="36">
          <cell r="B36">
            <v>109443</v>
          </cell>
        </row>
      </sheetData>
      <sheetData sheetId="5">
        <row r="33">
          <cell r="B33">
            <v>10658</v>
          </cell>
        </row>
      </sheetData>
      <sheetData sheetId="6">
        <row r="36">
          <cell r="B36">
            <v>141</v>
          </cell>
        </row>
      </sheetData>
      <sheetData sheetId="7">
        <row r="26">
          <cell r="V26">
            <v>392065</v>
          </cell>
        </row>
      </sheetData>
      <sheetData sheetId="8"/>
      <sheetData sheetId="9"/>
      <sheetData sheetId="10"/>
      <sheetData sheetId="11"/>
      <sheetData sheetId="12"/>
      <sheetData sheetId="13">
        <row r="36">
          <cell r="A36">
            <v>44408</v>
          </cell>
        </row>
      </sheetData>
      <sheetData sheetId="14">
        <row r="48">
          <cell r="B48">
            <v>0</v>
          </cell>
          <cell r="C48">
            <v>0</v>
          </cell>
        </row>
        <row r="49">
          <cell r="B49">
            <v>0</v>
          </cell>
          <cell r="C49">
            <v>0</v>
          </cell>
        </row>
        <row r="50">
          <cell r="B50">
            <v>0</v>
          </cell>
          <cell r="C50">
            <v>0</v>
          </cell>
        </row>
        <row r="51">
          <cell r="B51">
            <v>0</v>
          </cell>
          <cell r="C51">
            <v>0</v>
          </cell>
        </row>
        <row r="52">
          <cell r="B52">
            <v>30</v>
          </cell>
          <cell r="C52">
            <v>27</v>
          </cell>
        </row>
        <row r="53">
          <cell r="B53">
            <v>30</v>
          </cell>
          <cell r="C53">
            <v>27</v>
          </cell>
        </row>
        <row r="54">
          <cell r="B54">
            <v>30</v>
          </cell>
          <cell r="C54">
            <v>24</v>
          </cell>
        </row>
        <row r="55">
          <cell r="B55">
            <v>29</v>
          </cell>
          <cell r="C55">
            <v>26</v>
          </cell>
        </row>
        <row r="56">
          <cell r="B56">
            <v>30</v>
          </cell>
          <cell r="C56">
            <v>28</v>
          </cell>
        </row>
        <row r="57">
          <cell r="B57">
            <v>31</v>
          </cell>
          <cell r="C57">
            <v>28</v>
          </cell>
        </row>
        <row r="58">
          <cell r="B58">
            <v>30</v>
          </cell>
          <cell r="C58">
            <v>26</v>
          </cell>
        </row>
        <row r="59">
          <cell r="B59">
            <v>31</v>
          </cell>
          <cell r="C59">
            <v>26</v>
          </cell>
        </row>
        <row r="60">
          <cell r="B60">
            <v>31</v>
          </cell>
          <cell r="C60">
            <v>27</v>
          </cell>
        </row>
        <row r="61">
          <cell r="B61">
            <v>30</v>
          </cell>
          <cell r="C61">
            <v>26</v>
          </cell>
        </row>
        <row r="62">
          <cell r="B62">
            <v>28</v>
          </cell>
          <cell r="C62">
            <v>26</v>
          </cell>
        </row>
        <row r="63">
          <cell r="B63">
            <v>30</v>
          </cell>
          <cell r="C63">
            <v>26</v>
          </cell>
        </row>
        <row r="64">
          <cell r="B64">
            <v>30</v>
          </cell>
          <cell r="C64">
            <v>26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26</v>
          </cell>
        </row>
        <row r="67">
          <cell r="B67">
            <v>31</v>
          </cell>
          <cell r="C67">
            <v>27</v>
          </cell>
        </row>
        <row r="68">
          <cell r="B68">
            <v>31</v>
          </cell>
          <cell r="C68">
            <v>26</v>
          </cell>
        </row>
        <row r="69">
          <cell r="B69">
            <v>0</v>
          </cell>
          <cell r="C69">
            <v>0</v>
          </cell>
        </row>
        <row r="70">
          <cell r="B70">
            <v>0</v>
          </cell>
          <cell r="C70">
            <v>0</v>
          </cell>
        </row>
        <row r="71">
          <cell r="B71">
            <v>0</v>
          </cell>
          <cell r="C71">
            <v>0</v>
          </cell>
        </row>
        <row r="72">
          <cell r="B72">
            <v>0</v>
          </cell>
          <cell r="C72">
            <v>0</v>
          </cell>
        </row>
        <row r="73">
          <cell r="B73">
            <v>0</v>
          </cell>
          <cell r="C73">
            <v>0</v>
          </cell>
        </row>
        <row r="74">
          <cell r="B74">
            <v>31</v>
          </cell>
          <cell r="C74">
            <v>26</v>
          </cell>
        </row>
        <row r="75">
          <cell r="B75">
            <v>32</v>
          </cell>
          <cell r="C75">
            <v>29</v>
          </cell>
        </row>
        <row r="76">
          <cell r="B76">
            <v>32</v>
          </cell>
          <cell r="C76">
            <v>27</v>
          </cell>
        </row>
        <row r="77">
          <cell r="B77">
            <v>31</v>
          </cell>
          <cell r="C77">
            <v>29</v>
          </cell>
        </row>
        <row r="78">
          <cell r="B78">
            <v>31</v>
          </cell>
          <cell r="C78">
            <v>28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3">
          <cell r="C33">
            <v>44469</v>
          </cell>
        </row>
      </sheetData>
      <sheetData sheetId="3">
        <row r="34">
          <cell r="B34">
            <v>146</v>
          </cell>
        </row>
      </sheetData>
      <sheetData sheetId="4">
        <row r="35">
          <cell r="A35">
            <v>44469</v>
          </cell>
        </row>
      </sheetData>
      <sheetData sheetId="5">
        <row r="32">
          <cell r="A32">
            <v>44469</v>
          </cell>
        </row>
      </sheetData>
      <sheetData sheetId="6">
        <row r="35">
          <cell r="A35">
            <v>44469</v>
          </cell>
        </row>
      </sheetData>
      <sheetData sheetId="7">
        <row r="26">
          <cell r="V26">
            <v>397791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44469</v>
          </cell>
        </row>
      </sheetData>
      <sheetData sheetId="14">
        <row r="48">
          <cell r="J48">
            <v>30</v>
          </cell>
          <cell r="K48">
            <v>26</v>
          </cell>
        </row>
        <row r="49">
          <cell r="J49">
            <v>31</v>
          </cell>
          <cell r="K49">
            <v>26</v>
          </cell>
        </row>
        <row r="50">
          <cell r="J50">
            <v>0</v>
          </cell>
          <cell r="K50">
            <v>0</v>
          </cell>
        </row>
        <row r="51">
          <cell r="J51">
            <v>0</v>
          </cell>
          <cell r="K51">
            <v>0</v>
          </cell>
        </row>
        <row r="52">
          <cell r="J52">
            <v>31</v>
          </cell>
          <cell r="K52">
            <v>26</v>
          </cell>
        </row>
        <row r="53">
          <cell r="J53">
            <v>30</v>
          </cell>
          <cell r="K53">
            <v>26</v>
          </cell>
        </row>
        <row r="54">
          <cell r="J54">
            <v>31</v>
          </cell>
          <cell r="K54">
            <v>26</v>
          </cell>
        </row>
        <row r="55">
          <cell r="J55">
            <v>29</v>
          </cell>
          <cell r="K55">
            <v>25</v>
          </cell>
        </row>
        <row r="56">
          <cell r="J56">
            <v>29</v>
          </cell>
          <cell r="K56">
            <v>25</v>
          </cell>
        </row>
        <row r="57">
          <cell r="J57">
            <v>0</v>
          </cell>
          <cell r="K57">
            <v>0</v>
          </cell>
        </row>
        <row r="58">
          <cell r="J58">
            <v>0</v>
          </cell>
          <cell r="K58">
            <v>0</v>
          </cell>
        </row>
        <row r="59">
          <cell r="J59">
            <v>0</v>
          </cell>
          <cell r="K59">
            <v>0</v>
          </cell>
        </row>
        <row r="60">
          <cell r="J60">
            <v>29</v>
          </cell>
          <cell r="K60">
            <v>25</v>
          </cell>
        </row>
        <row r="61">
          <cell r="J61">
            <v>30</v>
          </cell>
          <cell r="K61">
            <v>25</v>
          </cell>
        </row>
        <row r="62">
          <cell r="J62">
            <v>29</v>
          </cell>
          <cell r="K62">
            <v>24</v>
          </cell>
        </row>
        <row r="63">
          <cell r="J63">
            <v>30</v>
          </cell>
          <cell r="K63">
            <v>26</v>
          </cell>
        </row>
        <row r="64">
          <cell r="J64">
            <v>28</v>
          </cell>
          <cell r="K64">
            <v>23</v>
          </cell>
        </row>
        <row r="65">
          <cell r="J65">
            <v>0</v>
          </cell>
          <cell r="K65">
            <v>0</v>
          </cell>
        </row>
        <row r="66">
          <cell r="J66">
            <v>29</v>
          </cell>
          <cell r="K66">
            <v>24</v>
          </cell>
        </row>
        <row r="67">
          <cell r="J67">
            <v>29</v>
          </cell>
          <cell r="K67">
            <v>25</v>
          </cell>
        </row>
        <row r="68">
          <cell r="J68">
            <v>30</v>
          </cell>
          <cell r="K68">
            <v>25</v>
          </cell>
        </row>
        <row r="69">
          <cell r="J69">
            <v>31</v>
          </cell>
          <cell r="K69">
            <v>25</v>
          </cell>
        </row>
        <row r="70">
          <cell r="J70">
            <v>0</v>
          </cell>
          <cell r="K70">
            <v>0</v>
          </cell>
        </row>
        <row r="71">
          <cell r="J71">
            <v>0</v>
          </cell>
          <cell r="K71">
            <v>0</v>
          </cell>
        </row>
        <row r="72">
          <cell r="J72">
            <v>0</v>
          </cell>
          <cell r="K72">
            <v>0</v>
          </cell>
        </row>
        <row r="73">
          <cell r="J73">
            <v>28</v>
          </cell>
          <cell r="K73">
            <v>23</v>
          </cell>
        </row>
        <row r="74">
          <cell r="J74">
            <v>0</v>
          </cell>
          <cell r="K74">
            <v>0</v>
          </cell>
        </row>
        <row r="75">
          <cell r="J75">
            <v>28</v>
          </cell>
          <cell r="K75">
            <v>24</v>
          </cell>
        </row>
        <row r="76">
          <cell r="J76">
            <v>28</v>
          </cell>
          <cell r="K76">
            <v>25</v>
          </cell>
        </row>
        <row r="77">
          <cell r="J77">
            <v>28</v>
          </cell>
          <cell r="K77">
            <v>24</v>
          </cell>
        </row>
      </sheetData>
      <sheetData sheetId="15"/>
      <sheetData sheetId="16"/>
      <sheetData sheetId="17"/>
      <sheetData sheetId="18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246.49999999999986</v>
          </cell>
        </row>
        <row r="15">
          <cell r="B15">
            <v>-1.8000000000000007</v>
          </cell>
        </row>
        <row r="16">
          <cell r="B16">
            <v>16.903225806451612</v>
          </cell>
        </row>
        <row r="17">
          <cell r="B17">
            <v>0</v>
          </cell>
        </row>
        <row r="18">
          <cell r="B18">
            <v>112</v>
          </cell>
        </row>
        <row r="19">
          <cell r="B19">
            <v>3.6129032258064515</v>
          </cell>
        </row>
      </sheetData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G9" sqref="G9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12</v>
      </c>
      <c r="D2">
        <v>2021</v>
      </c>
      <c r="E2" s="203">
        <f>ELEC!N4</f>
        <v>6332</v>
      </c>
      <c r="F2" s="315">
        <f>SUM('EDl log'!T4)</f>
        <v>0.25608195033770087</v>
      </c>
      <c r="G2" s="203">
        <f>-tanks!AW6</f>
        <v>0</v>
      </c>
      <c r="H2" s="315">
        <f>SUM(tanks!AV6)</f>
        <v>0.71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12</v>
      </c>
      <c r="D3">
        <v>2021</v>
      </c>
      <c r="E3" s="203">
        <f>ELEC!N5</f>
        <v>5540</v>
      </c>
      <c r="F3" s="315">
        <f>SUM('EDl log'!T5)</f>
        <v>0.24653139743617372</v>
      </c>
      <c r="G3" s="203">
        <f>-tanks!AW7</f>
        <v>0</v>
      </c>
      <c r="H3" s="315">
        <f>SUM(tanks!AV7)</f>
        <v>0.71</v>
      </c>
      <c r="I3" s="10">
        <f>('B5'!AU6)*0.51</f>
        <v>0</v>
      </c>
      <c r="J3" s="296">
        <f>'B5'!AX6/0.51</f>
        <v>1.5686274509803921</v>
      </c>
      <c r="K3" s="203">
        <f>WATER!I7</f>
        <v>160</v>
      </c>
      <c r="L3" s="316">
        <f>SUM(WATER!J7)</f>
        <v>1.5120967741935485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12</v>
      </c>
      <c r="D4">
        <v>2021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0.71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12</v>
      </c>
      <c r="D5">
        <v>2021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SUM(tanks!AV9)</f>
        <v>0.71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12</v>
      </c>
      <c r="D6">
        <v>2021</v>
      </c>
      <c r="E6" s="203">
        <f>ELEC!N8</f>
        <v>6729</v>
      </c>
      <c r="F6" s="315">
        <f>SUM('EDl log'!T8)</f>
        <v>3.5566882850293274E-2</v>
      </c>
      <c r="G6" s="203">
        <f>-tanks!AW10</f>
        <v>193</v>
      </c>
      <c r="H6" s="315">
        <f>SUM(tanks!AV10)</f>
        <v>0.63400000000000001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12</v>
      </c>
      <c r="D7">
        <v>2021</v>
      </c>
      <c r="E7" s="203">
        <f>ELEC!N9</f>
        <v>4979</v>
      </c>
      <c r="F7" s="315">
        <f>SUM('EDl log'!T9)</f>
        <v>0.26288289678254345</v>
      </c>
      <c r="G7" s="203">
        <f>-tanks!AW11</f>
        <v>110</v>
      </c>
      <c r="H7" s="315">
        <f>SUM(tanks!AV11)</f>
        <v>0.63400000000000001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12</v>
      </c>
      <c r="D8">
        <v>2021</v>
      </c>
      <c r="E8" s="203">
        <f>ELEC!N10</f>
        <v>5333</v>
      </c>
      <c r="F8" s="315">
        <f>SUM('EDl log'!T10)</f>
        <v>0.34964832082217356</v>
      </c>
      <c r="G8" s="203">
        <f>-tanks!AW12</f>
        <v>119</v>
      </c>
      <c r="H8" s="315">
        <f>SUM(tanks!AV12)</f>
        <v>0.63400000000000001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12</v>
      </c>
      <c r="D9">
        <v>2021</v>
      </c>
      <c r="E9" s="203">
        <f>ELEC!N11</f>
        <v>5724</v>
      </c>
      <c r="F9" s="315">
        <f>SUM('EDl log'!T11)</f>
        <v>0.25362208514769824</v>
      </c>
      <c r="G9" s="203">
        <f>-tanks!AW13</f>
        <v>0</v>
      </c>
      <c r="H9" s="315">
        <f>SUM(tanks!AV13)</f>
        <v>0.63400000000000001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12</v>
      </c>
      <c r="D10">
        <v>2021</v>
      </c>
      <c r="E10" s="203">
        <f>ELEC!N12</f>
        <v>4995</v>
      </c>
      <c r="F10" s="315">
        <f>SUM('EDl log'!T12)</f>
        <v>0.30507733859146785</v>
      </c>
      <c r="G10" s="203">
        <f>-tanks!AW14</f>
        <v>0</v>
      </c>
      <c r="H10" s="315">
        <f>SUM(tanks!AV14)</f>
        <v>0.63400000000000001</v>
      </c>
      <c r="I10" s="10">
        <f>('B5'!AU13)*0.51</f>
        <v>0</v>
      </c>
      <c r="J10" s="296">
        <f>'B5'!AX13/0.51</f>
        <v>1.5686274509803921</v>
      </c>
      <c r="K10" s="203">
        <f>WATER!I14</f>
        <v>170</v>
      </c>
      <c r="L10" s="316">
        <f>SUM(WATER!J14)</f>
        <v>1.4231499051233396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12</v>
      </c>
      <c r="D11">
        <v>2021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SUM(tanks!AV15)</f>
        <v>0.63400000000000001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12</v>
      </c>
      <c r="D12">
        <v>2021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SUM(tanks!AV16)</f>
        <v>0.63400000000000001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12</v>
      </c>
      <c r="D13">
        <v>2021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0.63400000000000001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12</v>
      </c>
      <c r="D14">
        <v>2021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SUM(tanks!AV18)</f>
        <v>0.63400000000000001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12</v>
      </c>
      <c r="D15">
        <v>2021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0.63400000000000001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12</v>
      </c>
      <c r="D16">
        <v>2021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0.63400000000000001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12</v>
      </c>
      <c r="D17">
        <v>2021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SUM(tanks!AV21)</f>
        <v>0.63400000000000001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12</v>
      </c>
      <c r="D18">
        <v>2021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SUM(tanks!AV22)</f>
        <v>0.63400000000000001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12</v>
      </c>
      <c r="D19">
        <v>2021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SUM(tanks!AV23)</f>
        <v>0.63400000000000001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12</v>
      </c>
      <c r="D20">
        <v>2021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SUM(tanks!AV24)</f>
        <v>0.63400000000000001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12</v>
      </c>
      <c r="D21">
        <v>2021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SUM(tanks!AV25)</f>
        <v>0.63400000000000001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12</v>
      </c>
      <c r="D22">
        <v>2021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0.63400000000000001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12</v>
      </c>
      <c r="D23">
        <v>2021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0.63400000000000001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12</v>
      </c>
      <c r="D24">
        <v>2021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SUM(tanks!AV28)</f>
        <v>0.63400000000000001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12</v>
      </c>
      <c r="D25">
        <v>2021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SUM(tanks!AV29)</f>
        <v>0.63400000000000001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12</v>
      </c>
      <c r="D26">
        <v>2021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SUM(tanks!AV30)</f>
        <v>0.63400000000000001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12</v>
      </c>
      <c r="D27">
        <v>2021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0.63400000000000001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12</v>
      </c>
      <c r="D28">
        <v>2021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0.63400000000000001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12</v>
      </c>
      <c r="D29">
        <v>2021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0.63400000000000001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12</v>
      </c>
      <c r="D30">
        <v>2021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0.63400000000000001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12</v>
      </c>
      <c r="D31">
        <v>2021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0.63400000000000001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12</v>
      </c>
      <c r="D32">
        <v>2021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0.63400000000000001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C3" sqref="C3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12</v>
      </c>
      <c r="D2">
        <v>2021</v>
      </c>
      <c r="E2" s="203">
        <f>ELEC!M4</f>
        <v>1200</v>
      </c>
      <c r="F2" s="203">
        <f>ELEC!K4</f>
        <v>2064</v>
      </c>
      <c r="G2" s="203">
        <f>ELEC!I4</f>
        <v>576</v>
      </c>
      <c r="H2" s="203">
        <f>ELEC!E4</f>
        <v>2190</v>
      </c>
      <c r="I2" s="203">
        <f>ELEC!G4</f>
        <v>302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12</v>
      </c>
      <c r="D3">
        <v>2021</v>
      </c>
      <c r="E3" s="203">
        <f>ELEC!M5</f>
        <v>1092</v>
      </c>
      <c r="F3" s="203">
        <f>ELEC!K5</f>
        <v>1712</v>
      </c>
      <c r="G3" s="203">
        <f>ELEC!I5</f>
        <v>536</v>
      </c>
      <c r="H3" s="203">
        <f>ELEC!E5</f>
        <v>1922</v>
      </c>
      <c r="I3" s="203">
        <f>ELEC!G5</f>
        <v>278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12</v>
      </c>
      <c r="D4">
        <v>2021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12</v>
      </c>
      <c r="D5">
        <v>2021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12</v>
      </c>
      <c r="D6">
        <v>2021</v>
      </c>
      <c r="E6" s="203">
        <f>ELEC!M8</f>
        <v>1268</v>
      </c>
      <c r="F6" s="203">
        <f>ELEC!K8</f>
        <v>2160</v>
      </c>
      <c r="G6" s="203">
        <f>ELEC!I8</f>
        <v>620</v>
      </c>
      <c r="H6" s="203">
        <f>ELEC!E8</f>
        <v>2372</v>
      </c>
      <c r="I6" s="203">
        <f>ELEC!G8</f>
        <v>309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12</v>
      </c>
      <c r="D7">
        <v>2021</v>
      </c>
      <c r="E7" s="203">
        <f>ELEC!M9</f>
        <v>960</v>
      </c>
      <c r="F7" s="203">
        <f>ELEC!K9</f>
        <v>1500</v>
      </c>
      <c r="G7" s="203">
        <f>ELEC!I9</f>
        <v>452</v>
      </c>
      <c r="H7" s="203">
        <f>ELEC!E9</f>
        <v>1810</v>
      </c>
      <c r="I7" s="203">
        <f>ELEC!G9</f>
        <v>257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12</v>
      </c>
      <c r="D8">
        <v>2021</v>
      </c>
      <c r="E8" s="203">
        <f>ELEC!M10</f>
        <v>1022</v>
      </c>
      <c r="F8" s="203">
        <f>ELEC!K10</f>
        <v>1574</v>
      </c>
      <c r="G8" s="203">
        <f>ELEC!I10</f>
        <v>484</v>
      </c>
      <c r="H8" s="203">
        <f>ELEC!E10</f>
        <v>1991</v>
      </c>
      <c r="I8" s="203">
        <f>ELEC!G10</f>
        <v>262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12</v>
      </c>
      <c r="D9">
        <v>2021</v>
      </c>
      <c r="E9" s="203">
        <f>ELEC!M11</f>
        <v>970</v>
      </c>
      <c r="F9" s="203">
        <f>ELEC!K11</f>
        <v>1650</v>
      </c>
      <c r="G9" s="203">
        <f>ELEC!I11</f>
        <v>558</v>
      </c>
      <c r="H9" s="203">
        <f>ELEC!E11</f>
        <v>2244</v>
      </c>
      <c r="I9" s="203">
        <f>ELEC!G11</f>
        <v>302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12</v>
      </c>
      <c r="D10">
        <v>2021</v>
      </c>
      <c r="E10" s="203">
        <f>ELEC!M12</f>
        <v>916</v>
      </c>
      <c r="F10" s="203">
        <f>ELEC!K12</f>
        <v>1332</v>
      </c>
      <c r="G10" s="203">
        <f>ELEC!I12</f>
        <v>486</v>
      </c>
      <c r="H10" s="203">
        <f>ELEC!E12</f>
        <v>2009</v>
      </c>
      <c r="I10" s="203">
        <f>ELEC!G12</f>
        <v>252</v>
      </c>
      <c r="J10" s="203">
        <f>WATER!Y14</f>
        <v>146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12</v>
      </c>
      <c r="D11">
        <v>2021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12</v>
      </c>
      <c r="D12">
        <v>2021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12</v>
      </c>
      <c r="D13">
        <v>2021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12</v>
      </c>
      <c r="D14">
        <v>2021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12</v>
      </c>
      <c r="D15">
        <v>2021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12</v>
      </c>
      <c r="D16">
        <v>2021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12</v>
      </c>
      <c r="D17">
        <v>2021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12</v>
      </c>
      <c r="D18">
        <v>2021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12</v>
      </c>
      <c r="D19">
        <v>2021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12</v>
      </c>
      <c r="D20">
        <v>2021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12</v>
      </c>
      <c r="D21">
        <v>2021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12</v>
      </c>
      <c r="D22">
        <v>2021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12</v>
      </c>
      <c r="D23">
        <v>2021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12</v>
      </c>
      <c r="D24">
        <v>2021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12</v>
      </c>
      <c r="D25">
        <v>2021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12</v>
      </c>
      <c r="D26">
        <v>2021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12</v>
      </c>
      <c r="D27">
        <v>2021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12</v>
      </c>
      <c r="D28">
        <v>2021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12</v>
      </c>
      <c r="D29">
        <v>2021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12</v>
      </c>
      <c r="D30">
        <v>2021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12</v>
      </c>
      <c r="D31">
        <v>2021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12</v>
      </c>
      <c r="D32">
        <v>2021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zoomScale="70" zoomScaleNormal="70" zoomScaleSheetLayoutView="100" workbookViewId="0">
      <pane ySplit="2" topLeftCell="A3" activePane="bottomLeft" state="frozen"/>
      <selection activeCell="C1" sqref="C1"/>
      <selection pane="bottomLeft" activeCell="D13" sqref="D1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[2]ELEC!$C$33</f>
        <v>44530</v>
      </c>
      <c r="D3" s="600">
        <f>[2]ELEC!D33</f>
        <v>69398</v>
      </c>
      <c r="E3" s="600">
        <f>[2]ELEC!E33</f>
        <v>2255</v>
      </c>
      <c r="F3" s="600">
        <f>[2]ELEC!F33</f>
        <v>4103940</v>
      </c>
      <c r="G3" s="600">
        <f>[2]ELEC!G33</f>
        <v>322</v>
      </c>
      <c r="H3" s="600">
        <f>[2]ELEC!H33</f>
        <v>17989982</v>
      </c>
      <c r="I3" s="600">
        <f>[2]ELEC!I33</f>
        <v>582</v>
      </c>
      <c r="J3" s="600">
        <f>[2]ELEC!J33</f>
        <v>29621430</v>
      </c>
      <c r="K3" s="600">
        <f>[2]ELEC!K33</f>
        <v>2298</v>
      </c>
      <c r="L3" s="600">
        <f>[2]ELEC!L33</f>
        <v>24473990</v>
      </c>
      <c r="M3" s="600">
        <f>[2]ELEC!M33</f>
        <v>1238</v>
      </c>
      <c r="N3" s="600">
        <f>[2]ELEC!N33</f>
        <v>6695</v>
      </c>
      <c r="O3" s="600">
        <f>[2]ELEC!O33</f>
        <v>0</v>
      </c>
      <c r="P3" s="600">
        <f>[2]ELEC!P33</f>
        <v>18659.785</v>
      </c>
      <c r="Q3" s="600">
        <f>[2]ELEC!Q33</f>
        <v>6585.9999999993306</v>
      </c>
      <c r="R3" s="600">
        <f>[2]ELEC!R33</f>
        <v>109.00000000066939</v>
      </c>
      <c r="S3" s="600">
        <f>[2]ELEC!S33</f>
        <v>10175</v>
      </c>
      <c r="T3" s="600">
        <f>[2]ELEC!T33</f>
        <v>0</v>
      </c>
      <c r="U3" s="600">
        <f>[2]ELEC!U33</f>
        <v>429166</v>
      </c>
      <c r="V3" s="600">
        <f>[2]ELEC!V33</f>
        <v>0</v>
      </c>
      <c r="W3" s="600">
        <f>[2]ELEC!W33</f>
        <v>33457</v>
      </c>
      <c r="X3" s="600">
        <f>[2]ELEC!X33</f>
        <v>3</v>
      </c>
      <c r="Y3" s="600">
        <f>[2]ELEC!Y33</f>
        <v>990507</v>
      </c>
      <c r="Z3" s="600">
        <f>[2]ELEC!Z33</f>
        <v>859</v>
      </c>
      <c r="AA3" s="600">
        <f>[2]ELEC!AA33</f>
        <v>36796</v>
      </c>
      <c r="AB3" s="600">
        <f>[2]ELEC!AB33</f>
        <v>0</v>
      </c>
      <c r="AC3" s="600">
        <f>[2]ELEC!AC33</f>
        <v>1170505</v>
      </c>
      <c r="AD3" s="600">
        <f>[2]ELEC!AD33</f>
        <v>0</v>
      </c>
      <c r="AE3" s="600">
        <f>[2]ELEC!AE33</f>
        <v>3</v>
      </c>
      <c r="AF3" s="600">
        <f>[2]ELEC!AF33</f>
        <v>859</v>
      </c>
      <c r="AG3" s="600">
        <f>[2]ELEC!AG33</f>
        <v>286.33333333333331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44531</v>
      </c>
      <c r="D4" s="601">
        <v>71588</v>
      </c>
      <c r="E4" s="585">
        <f>D4-D3</f>
        <v>2190</v>
      </c>
      <c r="F4" s="573">
        <v>4104242</v>
      </c>
      <c r="G4" s="586">
        <f>F4-F3</f>
        <v>302</v>
      </c>
      <c r="H4" s="426">
        <v>17990558</v>
      </c>
      <c r="I4" s="586">
        <f>H4-H3</f>
        <v>576</v>
      </c>
      <c r="J4" s="426">
        <v>29623494</v>
      </c>
      <c r="K4" s="586">
        <f>J4-J3</f>
        <v>2064</v>
      </c>
      <c r="L4" s="426">
        <v>24475190</v>
      </c>
      <c r="M4" s="586">
        <f>L4-L3</f>
        <v>1200</v>
      </c>
      <c r="N4" s="427">
        <f>M4+K4+I4+G4+E4</f>
        <v>6332</v>
      </c>
      <c r="O4" s="438">
        <f t="shared" ref="O4:O10" si="0">IF(B4&gt;0,N4/B4,0)</f>
        <v>0</v>
      </c>
      <c r="P4" s="564">
        <v>18665.984</v>
      </c>
      <c r="Q4" s="446">
        <f t="shared" ref="Q4:Q34" si="1">(P4-P3)*1000</f>
        <v>6199.0000000005239</v>
      </c>
      <c r="R4" s="548">
        <f>+N4-Q4</f>
        <v>132.99999999947613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v>33460</v>
      </c>
      <c r="X4" s="439">
        <f t="shared" ref="X4:X9" si="3">W4-W3</f>
        <v>3</v>
      </c>
      <c r="Y4" s="426">
        <v>991168</v>
      </c>
      <c r="Z4" s="439">
        <f>Y4-Y3</f>
        <v>661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3</v>
      </c>
      <c r="AF4" s="451">
        <f t="shared" ref="AF4:AF31" si="4">V4+Z4+AD4</f>
        <v>661</v>
      </c>
      <c r="AG4" s="443">
        <f t="shared" ref="AG4:AG10" si="5">IF(AE4&gt;0,AF4/AE4,0)</f>
        <v>220.33333333333334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44532</v>
      </c>
      <c r="D5" s="601">
        <v>73510</v>
      </c>
      <c r="E5" s="585">
        <f t="shared" ref="E5:E34" si="7">D5-D4</f>
        <v>1922</v>
      </c>
      <c r="F5" s="573">
        <v>4104520</v>
      </c>
      <c r="G5" s="449">
        <f>F5-F4</f>
        <v>278</v>
      </c>
      <c r="H5" s="426">
        <v>17991094</v>
      </c>
      <c r="I5" s="449">
        <f>H5-H4</f>
        <v>536</v>
      </c>
      <c r="J5" s="426">
        <v>29625206</v>
      </c>
      <c r="K5" s="449">
        <f>J5-J4</f>
        <v>1712</v>
      </c>
      <c r="L5" s="426">
        <v>24476282</v>
      </c>
      <c r="M5" s="449">
        <f>L5-L4</f>
        <v>1092</v>
      </c>
      <c r="N5" s="297">
        <f>M5+K5+I5+G5+E5</f>
        <v>5540</v>
      </c>
      <c r="O5" s="445">
        <f t="shared" si="0"/>
        <v>0</v>
      </c>
      <c r="P5" s="564">
        <v>18671.347000000002</v>
      </c>
      <c r="Q5" s="446">
        <f t="shared" si="1"/>
        <v>5363.0000000011933</v>
      </c>
      <c r="R5" s="428">
        <f>N5-Q5</f>
        <v>176.99999999880674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v>33463</v>
      </c>
      <c r="X5" s="428">
        <f t="shared" si="3"/>
        <v>3</v>
      </c>
      <c r="Y5" s="426">
        <v>991838</v>
      </c>
      <c r="Z5" s="428">
        <f>Y5-Y4</f>
        <v>670</v>
      </c>
      <c r="AA5" s="426">
        <v>36796</v>
      </c>
      <c r="AB5" s="448">
        <f>AA5-AA4</f>
        <v>0</v>
      </c>
      <c r="AC5" s="426">
        <f t="shared" ref="AC5:AC34" si="10">AC4</f>
        <v>1170505</v>
      </c>
      <c r="AD5" s="449">
        <f>AC5-AC4</f>
        <v>0</v>
      </c>
      <c r="AE5" s="450">
        <f t="shared" ref="AE5:AE31" si="11">AB5+X5+T5</f>
        <v>3</v>
      </c>
      <c r="AF5" s="451">
        <f t="shared" si="4"/>
        <v>670</v>
      </c>
      <c r="AG5" s="443">
        <f t="shared" si="5"/>
        <v>223.33333333333334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44533</v>
      </c>
      <c r="D6" s="601">
        <f t="shared" ref="D6:D34" si="12">D5</f>
        <v>73510</v>
      </c>
      <c r="E6" s="585">
        <f t="shared" si="7"/>
        <v>0</v>
      </c>
      <c r="F6" s="573">
        <f t="shared" ref="F6:F33" si="13">F5</f>
        <v>4104520</v>
      </c>
      <c r="G6" s="449">
        <f t="shared" ref="G6:G33" si="14">F6-F5</f>
        <v>0</v>
      </c>
      <c r="H6" s="426">
        <f t="shared" ref="H6:H34" si="15">H5</f>
        <v>17991094</v>
      </c>
      <c r="I6" s="449">
        <f t="shared" ref="I6:I34" si="16">H6-H5</f>
        <v>0</v>
      </c>
      <c r="J6" s="426">
        <f t="shared" ref="J6:J34" si="17">J5</f>
        <v>29625206</v>
      </c>
      <c r="K6" s="449">
        <f t="shared" ref="K6:K33" si="18">J6-J5</f>
        <v>0</v>
      </c>
      <c r="L6" s="426">
        <f t="shared" ref="L6:L34" si="19">L5</f>
        <v>24476282</v>
      </c>
      <c r="M6" s="449">
        <f t="shared" ref="M6:M33" si="20">L6-L5</f>
        <v>0</v>
      </c>
      <c r="N6" s="297">
        <f t="shared" ref="N6:N33" si="21">M6+K6+I6+G6+E6</f>
        <v>0</v>
      </c>
      <c r="O6" s="445">
        <f t="shared" si="0"/>
        <v>0</v>
      </c>
      <c r="P6" s="564">
        <f t="shared" ref="P6:P34" si="22">P5</f>
        <v>18671.347000000002</v>
      </c>
      <c r="Q6" s="446">
        <f t="shared" si="1"/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1" si="23">U6-U5</f>
        <v>0</v>
      </c>
      <c r="W6" s="426">
        <f t="shared" ref="W6:W33" si="24">W5</f>
        <v>33463</v>
      </c>
      <c r="X6" s="428">
        <f t="shared" si="3"/>
        <v>0</v>
      </c>
      <c r="Y6" s="426">
        <f t="shared" ref="Y6:Y34" si="25">Y5</f>
        <v>991838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0"/>
        <v>1170505</v>
      </c>
      <c r="AD6" s="428">
        <f t="shared" ref="AD6:AD17" si="28">AC6-AC5</f>
        <v>0</v>
      </c>
      <c r="AE6" s="450">
        <f t="shared" si="11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44534</v>
      </c>
      <c r="D7" s="601">
        <f t="shared" si="12"/>
        <v>73510</v>
      </c>
      <c r="E7" s="585">
        <f t="shared" si="7"/>
        <v>0</v>
      </c>
      <c r="F7" s="573">
        <f t="shared" si="13"/>
        <v>4104520</v>
      </c>
      <c r="G7" s="449">
        <f t="shared" si="14"/>
        <v>0</v>
      </c>
      <c r="H7" s="426">
        <f t="shared" si="15"/>
        <v>17991094</v>
      </c>
      <c r="I7" s="449">
        <f t="shared" si="16"/>
        <v>0</v>
      </c>
      <c r="J7" s="426">
        <f t="shared" si="17"/>
        <v>29625206</v>
      </c>
      <c r="K7" s="449">
        <f t="shared" si="18"/>
        <v>0</v>
      </c>
      <c r="L7" s="426">
        <f t="shared" si="19"/>
        <v>24476282</v>
      </c>
      <c r="M7" s="449">
        <f t="shared" si="20"/>
        <v>0</v>
      </c>
      <c r="N7" s="297">
        <f t="shared" si="21"/>
        <v>0</v>
      </c>
      <c r="O7" s="445">
        <f t="shared" si="0"/>
        <v>0</v>
      </c>
      <c r="P7" s="564">
        <f t="shared" si="22"/>
        <v>18671.347000000002</v>
      </c>
      <c r="Q7" s="446">
        <f t="shared" si="1"/>
        <v>0</v>
      </c>
      <c r="R7" s="428">
        <f t="shared" ref="R7:R18" si="29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3"/>
        <v>0</v>
      </c>
      <c r="W7" s="426">
        <f t="shared" si="24"/>
        <v>33463</v>
      </c>
      <c r="X7" s="428">
        <f t="shared" si="3"/>
        <v>0</v>
      </c>
      <c r="Y7" s="426">
        <f t="shared" si="25"/>
        <v>991838</v>
      </c>
      <c r="Z7" s="428">
        <f t="shared" ref="Z7:Z31" si="30">Y7-Y6</f>
        <v>0</v>
      </c>
      <c r="AA7" s="426">
        <f t="shared" si="26"/>
        <v>36796</v>
      </c>
      <c r="AB7" s="428">
        <f t="shared" si="27"/>
        <v>0</v>
      </c>
      <c r="AC7" s="426">
        <f t="shared" si="10"/>
        <v>1170505</v>
      </c>
      <c r="AD7" s="428">
        <f t="shared" si="28"/>
        <v>0</v>
      </c>
      <c r="AE7" s="450">
        <f t="shared" si="11"/>
        <v>0</v>
      </c>
      <c r="AF7" s="451">
        <f t="shared" si="4"/>
        <v>0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44535</v>
      </c>
      <c r="D8" s="601">
        <v>75882</v>
      </c>
      <c r="E8" s="585">
        <f t="shared" si="7"/>
        <v>2372</v>
      </c>
      <c r="F8" s="573">
        <v>4104829</v>
      </c>
      <c r="G8" s="449">
        <f t="shared" si="14"/>
        <v>309</v>
      </c>
      <c r="H8" s="426">
        <v>17991714</v>
      </c>
      <c r="I8" s="449">
        <f t="shared" si="16"/>
        <v>620</v>
      </c>
      <c r="J8" s="426">
        <v>29627366</v>
      </c>
      <c r="K8" s="449">
        <f t="shared" si="18"/>
        <v>2160</v>
      </c>
      <c r="L8" s="426">
        <v>24477550</v>
      </c>
      <c r="M8" s="449">
        <f t="shared" si="20"/>
        <v>1268</v>
      </c>
      <c r="N8" s="297">
        <f t="shared" si="21"/>
        <v>6729</v>
      </c>
      <c r="O8" s="445">
        <f t="shared" si="0"/>
        <v>0</v>
      </c>
      <c r="P8" s="564">
        <v>18677.892</v>
      </c>
      <c r="Q8" s="446">
        <f t="shared" si="1"/>
        <v>6544.9999999982538</v>
      </c>
      <c r="R8" s="428">
        <f t="shared" si="29"/>
        <v>184.00000000174623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3"/>
        <v>0</v>
      </c>
      <c r="W8" s="426">
        <v>33464</v>
      </c>
      <c r="X8" s="428">
        <f t="shared" si="3"/>
        <v>1</v>
      </c>
      <c r="Y8" s="426">
        <v>992217</v>
      </c>
      <c r="Z8" s="428">
        <f t="shared" si="30"/>
        <v>379</v>
      </c>
      <c r="AA8" s="426">
        <f t="shared" si="26"/>
        <v>36796</v>
      </c>
      <c r="AB8" s="428">
        <f t="shared" si="27"/>
        <v>0</v>
      </c>
      <c r="AC8" s="426">
        <f t="shared" si="10"/>
        <v>1170505</v>
      </c>
      <c r="AD8" s="428">
        <f t="shared" si="28"/>
        <v>0</v>
      </c>
      <c r="AE8" s="450">
        <f t="shared" si="11"/>
        <v>1</v>
      </c>
      <c r="AF8" s="451">
        <f t="shared" si="4"/>
        <v>379</v>
      </c>
      <c r="AG8" s="443">
        <f t="shared" si="5"/>
        <v>379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44536</v>
      </c>
      <c r="D9" s="601">
        <v>77692</v>
      </c>
      <c r="E9" s="585">
        <f t="shared" si="7"/>
        <v>1810</v>
      </c>
      <c r="F9" s="573">
        <v>4105086</v>
      </c>
      <c r="G9" s="449">
        <f t="shared" si="14"/>
        <v>257</v>
      </c>
      <c r="H9" s="426">
        <v>17992166</v>
      </c>
      <c r="I9" s="449">
        <f t="shared" si="16"/>
        <v>452</v>
      </c>
      <c r="J9" s="426">
        <v>29628866</v>
      </c>
      <c r="K9" s="449">
        <f t="shared" si="18"/>
        <v>1500</v>
      </c>
      <c r="L9" s="426">
        <v>24478510</v>
      </c>
      <c r="M9" s="449">
        <f t="shared" si="20"/>
        <v>960</v>
      </c>
      <c r="N9" s="297">
        <f t="shared" si="21"/>
        <v>4979</v>
      </c>
      <c r="O9" s="445">
        <f t="shared" si="0"/>
        <v>0</v>
      </c>
      <c r="P9" s="564">
        <v>18682.821</v>
      </c>
      <c r="Q9" s="446">
        <f t="shared" si="1"/>
        <v>4929.0000000000873</v>
      </c>
      <c r="R9" s="428">
        <f t="shared" si="29"/>
        <v>49.999999999912689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3"/>
        <v>0</v>
      </c>
      <c r="W9" s="426">
        <v>33466</v>
      </c>
      <c r="X9" s="428">
        <f t="shared" si="3"/>
        <v>2</v>
      </c>
      <c r="Y9" s="426">
        <v>992709</v>
      </c>
      <c r="Z9" s="428">
        <f t="shared" si="30"/>
        <v>492</v>
      </c>
      <c r="AA9" s="426">
        <f t="shared" si="26"/>
        <v>36796</v>
      </c>
      <c r="AB9" s="428">
        <f t="shared" si="27"/>
        <v>0</v>
      </c>
      <c r="AC9" s="426">
        <f t="shared" si="10"/>
        <v>1170505</v>
      </c>
      <c r="AD9" s="428">
        <f t="shared" si="28"/>
        <v>0</v>
      </c>
      <c r="AE9" s="450">
        <f t="shared" si="11"/>
        <v>2</v>
      </c>
      <c r="AF9" s="451">
        <f t="shared" si="4"/>
        <v>492</v>
      </c>
      <c r="AG9" s="443">
        <f t="shared" si="5"/>
        <v>246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44537</v>
      </c>
      <c r="D10" s="601">
        <v>79683</v>
      </c>
      <c r="E10" s="585">
        <f t="shared" si="7"/>
        <v>1991</v>
      </c>
      <c r="F10" s="573">
        <v>4105348</v>
      </c>
      <c r="G10" s="449">
        <f t="shared" si="14"/>
        <v>262</v>
      </c>
      <c r="H10" s="426">
        <v>17992650</v>
      </c>
      <c r="I10" s="449">
        <f t="shared" si="16"/>
        <v>484</v>
      </c>
      <c r="J10" s="426">
        <v>29630440</v>
      </c>
      <c r="K10" s="449">
        <f t="shared" si="18"/>
        <v>1574</v>
      </c>
      <c r="L10" s="426">
        <v>24479532</v>
      </c>
      <c r="M10" s="449">
        <f t="shared" si="20"/>
        <v>1022</v>
      </c>
      <c r="N10" s="297">
        <f t="shared" si="21"/>
        <v>5333</v>
      </c>
      <c r="O10" s="445">
        <f t="shared" si="0"/>
        <v>0</v>
      </c>
      <c r="P10" s="564">
        <v>18688.064999999999</v>
      </c>
      <c r="Q10" s="446">
        <f t="shared" si="1"/>
        <v>5243.9999999987776</v>
      </c>
      <c r="R10" s="428">
        <f t="shared" si="29"/>
        <v>89.000000001222361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3"/>
        <v>0</v>
      </c>
      <c r="W10" s="426">
        <v>33468</v>
      </c>
      <c r="X10" s="428">
        <f t="shared" ref="X10:X31" si="31">W10-W9</f>
        <v>2</v>
      </c>
      <c r="Y10" s="426">
        <v>993093</v>
      </c>
      <c r="Z10" s="428">
        <f t="shared" si="30"/>
        <v>384</v>
      </c>
      <c r="AA10" s="426">
        <v>36796</v>
      </c>
      <c r="AB10" s="428">
        <f t="shared" si="27"/>
        <v>0</v>
      </c>
      <c r="AC10" s="426">
        <f t="shared" si="10"/>
        <v>1170505</v>
      </c>
      <c r="AD10" s="428">
        <f t="shared" si="28"/>
        <v>0</v>
      </c>
      <c r="AE10" s="450">
        <f t="shared" si="11"/>
        <v>2</v>
      </c>
      <c r="AF10" s="451">
        <f t="shared" si="4"/>
        <v>384</v>
      </c>
      <c r="AG10" s="443">
        <f t="shared" si="5"/>
        <v>192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44538</v>
      </c>
      <c r="D11" s="601">
        <v>81927</v>
      </c>
      <c r="E11" s="585">
        <f t="shared" si="7"/>
        <v>2244</v>
      </c>
      <c r="F11" s="573">
        <v>4105650</v>
      </c>
      <c r="G11" s="449">
        <f t="shared" si="14"/>
        <v>302</v>
      </c>
      <c r="H11" s="426">
        <v>17993208</v>
      </c>
      <c r="I11" s="449">
        <f t="shared" si="16"/>
        <v>558</v>
      </c>
      <c r="J11" s="426">
        <v>29632090</v>
      </c>
      <c r="K11" s="449">
        <f t="shared" si="18"/>
        <v>1650</v>
      </c>
      <c r="L11" s="426">
        <v>24480502</v>
      </c>
      <c r="M11" s="449">
        <f t="shared" si="20"/>
        <v>970</v>
      </c>
      <c r="N11" s="297">
        <f t="shared" si="21"/>
        <v>5724</v>
      </c>
      <c r="O11" s="445">
        <f t="shared" ref="O11:O31" si="32">IF(B11&gt;0,N11/B11,0)</f>
        <v>0</v>
      </c>
      <c r="P11" s="564">
        <v>18694.027999999998</v>
      </c>
      <c r="Q11" s="446">
        <f t="shared" si="1"/>
        <v>5962.9999999997381</v>
      </c>
      <c r="R11" s="428">
        <f t="shared" si="29"/>
        <v>-238.99999999973807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3"/>
        <v>0</v>
      </c>
      <c r="W11" s="426">
        <v>33469</v>
      </c>
      <c r="X11" s="428">
        <f t="shared" si="31"/>
        <v>1</v>
      </c>
      <c r="Y11" s="426">
        <v>993264</v>
      </c>
      <c r="Z11" s="428">
        <f t="shared" si="30"/>
        <v>171</v>
      </c>
      <c r="AA11" s="426">
        <f t="shared" si="26"/>
        <v>36796</v>
      </c>
      <c r="AB11" s="428">
        <f t="shared" si="27"/>
        <v>0</v>
      </c>
      <c r="AC11" s="426">
        <f t="shared" si="10"/>
        <v>1170505</v>
      </c>
      <c r="AD11" s="428">
        <f t="shared" si="28"/>
        <v>0</v>
      </c>
      <c r="AE11" s="450">
        <f t="shared" si="11"/>
        <v>1</v>
      </c>
      <c r="AF11" s="451">
        <f t="shared" si="4"/>
        <v>171</v>
      </c>
      <c r="AG11" s="443">
        <f t="shared" ref="AG11:AG31" si="33">IF(AE11&gt;0,AF11/AE11,0)</f>
        <v>171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44539</v>
      </c>
      <c r="D12" s="601">
        <v>83936</v>
      </c>
      <c r="E12" s="585">
        <f>D12-D11</f>
        <v>2009</v>
      </c>
      <c r="F12" s="573">
        <v>4105902</v>
      </c>
      <c r="G12" s="449">
        <f t="shared" si="14"/>
        <v>252</v>
      </c>
      <c r="H12" s="426">
        <v>17993694</v>
      </c>
      <c r="I12" s="449">
        <f t="shared" si="16"/>
        <v>486</v>
      </c>
      <c r="J12" s="426">
        <v>29633422</v>
      </c>
      <c r="K12" s="449">
        <f t="shared" si="18"/>
        <v>1332</v>
      </c>
      <c r="L12" s="426">
        <v>24481418</v>
      </c>
      <c r="M12" s="449">
        <f t="shared" si="20"/>
        <v>916</v>
      </c>
      <c r="N12" s="297">
        <f>M12+K12+I12+G12+E12</f>
        <v>4995</v>
      </c>
      <c r="O12" s="445">
        <f t="shared" si="32"/>
        <v>0</v>
      </c>
      <c r="P12" s="564">
        <v>18698.864000000001</v>
      </c>
      <c r="Q12" s="446">
        <f t="shared" si="1"/>
        <v>4836.0000000029686</v>
      </c>
      <c r="R12" s="428">
        <f t="shared" si="29"/>
        <v>158.99999999703141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3"/>
        <v>0</v>
      </c>
      <c r="W12" s="426">
        <v>33470</v>
      </c>
      <c r="X12" s="428">
        <f t="shared" si="31"/>
        <v>1</v>
      </c>
      <c r="Y12" s="426">
        <v>993482</v>
      </c>
      <c r="Z12" s="428">
        <f t="shared" si="30"/>
        <v>218</v>
      </c>
      <c r="AA12" s="426">
        <f t="shared" si="26"/>
        <v>36796</v>
      </c>
      <c r="AB12" s="428">
        <f t="shared" si="27"/>
        <v>0</v>
      </c>
      <c r="AC12" s="426">
        <f t="shared" si="10"/>
        <v>1170505</v>
      </c>
      <c r="AD12" s="428">
        <f t="shared" si="28"/>
        <v>0</v>
      </c>
      <c r="AE12" s="450">
        <f t="shared" si="11"/>
        <v>1</v>
      </c>
      <c r="AF12" s="451">
        <f t="shared" si="4"/>
        <v>218</v>
      </c>
      <c r="AG12" s="443">
        <f t="shared" si="33"/>
        <v>218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44540</v>
      </c>
      <c r="D13" s="601">
        <f t="shared" si="12"/>
        <v>83936</v>
      </c>
      <c r="E13" s="585">
        <f t="shared" si="7"/>
        <v>0</v>
      </c>
      <c r="F13" s="573">
        <f t="shared" si="13"/>
        <v>4105902</v>
      </c>
      <c r="G13" s="449">
        <f t="shared" si="14"/>
        <v>0</v>
      </c>
      <c r="H13" s="426">
        <f t="shared" si="15"/>
        <v>17993694</v>
      </c>
      <c r="I13" s="449">
        <f t="shared" si="16"/>
        <v>0</v>
      </c>
      <c r="J13" s="426">
        <f t="shared" si="17"/>
        <v>29633422</v>
      </c>
      <c r="K13" s="449">
        <f t="shared" si="18"/>
        <v>0</v>
      </c>
      <c r="L13" s="426">
        <f t="shared" si="19"/>
        <v>24481418</v>
      </c>
      <c r="M13" s="449">
        <f t="shared" si="20"/>
        <v>0</v>
      </c>
      <c r="N13" s="297">
        <f>M13+K13+I13+G13+E13</f>
        <v>0</v>
      </c>
      <c r="O13" s="445">
        <f t="shared" si="32"/>
        <v>0</v>
      </c>
      <c r="P13" s="564">
        <f t="shared" si="22"/>
        <v>18698.864000000001</v>
      </c>
      <c r="Q13" s="446">
        <f t="shared" si="1"/>
        <v>0</v>
      </c>
      <c r="R13" s="428">
        <f t="shared" si="29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3"/>
        <v>0</v>
      </c>
      <c r="W13" s="426">
        <f t="shared" si="24"/>
        <v>33470</v>
      </c>
      <c r="X13" s="428">
        <f t="shared" si="31"/>
        <v>0</v>
      </c>
      <c r="Y13" s="426">
        <f t="shared" si="25"/>
        <v>993482</v>
      </c>
      <c r="Z13" s="428">
        <f t="shared" si="30"/>
        <v>0</v>
      </c>
      <c r="AA13" s="426">
        <f t="shared" si="26"/>
        <v>36796</v>
      </c>
      <c r="AB13" s="428">
        <f t="shared" si="27"/>
        <v>0</v>
      </c>
      <c r="AC13" s="426">
        <f t="shared" si="10"/>
        <v>1170505</v>
      </c>
      <c r="AD13" s="428">
        <f t="shared" si="28"/>
        <v>0</v>
      </c>
      <c r="AE13" s="450">
        <f t="shared" si="11"/>
        <v>0</v>
      </c>
      <c r="AF13" s="451">
        <f t="shared" si="4"/>
        <v>0</v>
      </c>
      <c r="AG13" s="443">
        <f t="shared" si="33"/>
        <v>0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44541</v>
      </c>
      <c r="D14" s="601">
        <f t="shared" si="12"/>
        <v>83936</v>
      </c>
      <c r="E14" s="585">
        <f t="shared" si="7"/>
        <v>0</v>
      </c>
      <c r="F14" s="573">
        <f t="shared" si="13"/>
        <v>4105902</v>
      </c>
      <c r="G14" s="449">
        <f t="shared" si="14"/>
        <v>0</v>
      </c>
      <c r="H14" s="426">
        <f t="shared" si="15"/>
        <v>17993694</v>
      </c>
      <c r="I14" s="449">
        <f t="shared" si="16"/>
        <v>0</v>
      </c>
      <c r="J14" s="426">
        <f t="shared" si="17"/>
        <v>29633422</v>
      </c>
      <c r="K14" s="449">
        <f t="shared" si="18"/>
        <v>0</v>
      </c>
      <c r="L14" s="426">
        <f t="shared" si="19"/>
        <v>24481418</v>
      </c>
      <c r="M14" s="449">
        <f t="shared" si="20"/>
        <v>0</v>
      </c>
      <c r="N14" s="297">
        <f t="shared" si="21"/>
        <v>0</v>
      </c>
      <c r="O14" s="445">
        <f t="shared" si="32"/>
        <v>0</v>
      </c>
      <c r="P14" s="564">
        <f t="shared" si="22"/>
        <v>18698.864000000001</v>
      </c>
      <c r="Q14" s="446">
        <f t="shared" si="1"/>
        <v>0</v>
      </c>
      <c r="R14" s="428">
        <f t="shared" si="29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3"/>
        <v>0</v>
      </c>
      <c r="W14" s="426">
        <f t="shared" si="24"/>
        <v>33470</v>
      </c>
      <c r="X14" s="428">
        <f t="shared" si="31"/>
        <v>0</v>
      </c>
      <c r="Y14" s="426">
        <f t="shared" si="25"/>
        <v>993482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0"/>
        <v>1170505</v>
      </c>
      <c r="AD14" s="428">
        <f t="shared" si="28"/>
        <v>0</v>
      </c>
      <c r="AE14" s="450">
        <f t="shared" si="11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44542</v>
      </c>
      <c r="D15" s="601">
        <f t="shared" si="12"/>
        <v>83936</v>
      </c>
      <c r="E15" s="585">
        <f t="shared" si="7"/>
        <v>0</v>
      </c>
      <c r="F15" s="573">
        <f t="shared" si="13"/>
        <v>4105902</v>
      </c>
      <c r="G15" s="449">
        <f t="shared" si="14"/>
        <v>0</v>
      </c>
      <c r="H15" s="426">
        <f t="shared" si="15"/>
        <v>17993694</v>
      </c>
      <c r="I15" s="449">
        <f t="shared" si="16"/>
        <v>0</v>
      </c>
      <c r="J15" s="426">
        <f t="shared" si="17"/>
        <v>29633422</v>
      </c>
      <c r="K15" s="449">
        <f t="shared" si="18"/>
        <v>0</v>
      </c>
      <c r="L15" s="426">
        <f t="shared" si="19"/>
        <v>24481418</v>
      </c>
      <c r="M15" s="449">
        <f t="shared" si="20"/>
        <v>0</v>
      </c>
      <c r="N15" s="297">
        <f t="shared" si="21"/>
        <v>0</v>
      </c>
      <c r="O15" s="445">
        <f t="shared" si="32"/>
        <v>0</v>
      </c>
      <c r="P15" s="564">
        <f t="shared" si="22"/>
        <v>18698.864000000001</v>
      </c>
      <c r="Q15" s="446">
        <f t="shared" si="1"/>
        <v>0</v>
      </c>
      <c r="R15" s="428">
        <f t="shared" si="29"/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3"/>
        <v>0</v>
      </c>
      <c r="W15" s="426">
        <f t="shared" si="24"/>
        <v>33470</v>
      </c>
      <c r="X15" s="428">
        <f t="shared" si="31"/>
        <v>0</v>
      </c>
      <c r="Y15" s="426">
        <f t="shared" si="25"/>
        <v>993482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0"/>
        <v>1170505</v>
      </c>
      <c r="AD15" s="428">
        <f t="shared" si="28"/>
        <v>0</v>
      </c>
      <c r="AE15" s="450">
        <f t="shared" si="11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44543</v>
      </c>
      <c r="D16" s="601">
        <f t="shared" si="12"/>
        <v>83936</v>
      </c>
      <c r="E16" s="585">
        <f t="shared" si="7"/>
        <v>0</v>
      </c>
      <c r="F16" s="573">
        <f t="shared" si="13"/>
        <v>4105902</v>
      </c>
      <c r="G16" s="449">
        <f t="shared" si="14"/>
        <v>0</v>
      </c>
      <c r="H16" s="426">
        <f t="shared" si="15"/>
        <v>17993694</v>
      </c>
      <c r="I16" s="449">
        <f t="shared" si="16"/>
        <v>0</v>
      </c>
      <c r="J16" s="426">
        <f t="shared" si="17"/>
        <v>29633422</v>
      </c>
      <c r="K16" s="449">
        <f t="shared" si="18"/>
        <v>0</v>
      </c>
      <c r="L16" s="426">
        <f t="shared" si="19"/>
        <v>24481418</v>
      </c>
      <c r="M16" s="449">
        <f t="shared" si="20"/>
        <v>0</v>
      </c>
      <c r="N16" s="297">
        <f t="shared" si="21"/>
        <v>0</v>
      </c>
      <c r="O16" s="445">
        <f t="shared" si="32"/>
        <v>0</v>
      </c>
      <c r="P16" s="564">
        <f t="shared" si="22"/>
        <v>18698.864000000001</v>
      </c>
      <c r="Q16" s="446">
        <f t="shared" si="1"/>
        <v>0</v>
      </c>
      <c r="R16" s="428">
        <f t="shared" si="29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3"/>
        <v>0</v>
      </c>
      <c r="W16" s="426">
        <f t="shared" si="24"/>
        <v>33470</v>
      </c>
      <c r="X16" s="428">
        <f t="shared" si="31"/>
        <v>0</v>
      </c>
      <c r="Y16" s="426">
        <f t="shared" si="25"/>
        <v>993482</v>
      </c>
      <c r="Z16" s="428">
        <f t="shared" si="30"/>
        <v>0</v>
      </c>
      <c r="AA16" s="426">
        <f t="shared" si="26"/>
        <v>36796</v>
      </c>
      <c r="AB16" s="428">
        <f t="shared" si="27"/>
        <v>0</v>
      </c>
      <c r="AC16" s="426">
        <f t="shared" si="10"/>
        <v>1170505</v>
      </c>
      <c r="AD16" s="428">
        <f t="shared" si="28"/>
        <v>0</v>
      </c>
      <c r="AE16" s="450">
        <f t="shared" si="11"/>
        <v>0</v>
      </c>
      <c r="AF16" s="451">
        <f t="shared" si="4"/>
        <v>0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44544</v>
      </c>
      <c r="D17" s="601">
        <f t="shared" si="12"/>
        <v>83936</v>
      </c>
      <c r="E17" s="585">
        <f t="shared" si="7"/>
        <v>0</v>
      </c>
      <c r="F17" s="573">
        <f t="shared" si="13"/>
        <v>4105902</v>
      </c>
      <c r="G17" s="449">
        <f t="shared" si="14"/>
        <v>0</v>
      </c>
      <c r="H17" s="426">
        <f t="shared" si="15"/>
        <v>17993694</v>
      </c>
      <c r="I17" s="449">
        <f t="shared" si="16"/>
        <v>0</v>
      </c>
      <c r="J17" s="426">
        <f t="shared" si="17"/>
        <v>29633422</v>
      </c>
      <c r="K17" s="449">
        <f t="shared" si="18"/>
        <v>0</v>
      </c>
      <c r="L17" s="426">
        <f t="shared" si="19"/>
        <v>24481418</v>
      </c>
      <c r="M17" s="449">
        <f t="shared" si="20"/>
        <v>0</v>
      </c>
      <c r="N17" s="297">
        <f t="shared" si="21"/>
        <v>0</v>
      </c>
      <c r="O17" s="445">
        <f t="shared" si="32"/>
        <v>0</v>
      </c>
      <c r="P17" s="564">
        <f t="shared" si="22"/>
        <v>18698.864000000001</v>
      </c>
      <c r="Q17" s="446">
        <f t="shared" si="1"/>
        <v>0</v>
      </c>
      <c r="R17" s="428">
        <f t="shared" si="29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3"/>
        <v>0</v>
      </c>
      <c r="W17" s="426">
        <f t="shared" si="24"/>
        <v>33470</v>
      </c>
      <c r="X17" s="428">
        <f>W17-W16</f>
        <v>0</v>
      </c>
      <c r="Y17" s="426">
        <f t="shared" si="25"/>
        <v>993482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0"/>
        <v>1170505</v>
      </c>
      <c r="AD17" s="428">
        <f t="shared" si="28"/>
        <v>0</v>
      </c>
      <c r="AE17" s="450">
        <f t="shared" si="11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44545</v>
      </c>
      <c r="D18" s="601">
        <f t="shared" si="12"/>
        <v>83936</v>
      </c>
      <c r="E18" s="585">
        <f t="shared" si="7"/>
        <v>0</v>
      </c>
      <c r="F18" s="573">
        <f t="shared" si="13"/>
        <v>4105902</v>
      </c>
      <c r="G18" s="449">
        <f t="shared" si="14"/>
        <v>0</v>
      </c>
      <c r="H18" s="426">
        <f t="shared" si="15"/>
        <v>17993694</v>
      </c>
      <c r="I18" s="449">
        <f t="shared" si="16"/>
        <v>0</v>
      </c>
      <c r="J18" s="426">
        <f t="shared" si="17"/>
        <v>29633422</v>
      </c>
      <c r="K18" s="449">
        <f t="shared" si="18"/>
        <v>0</v>
      </c>
      <c r="L18" s="426">
        <f t="shared" si="19"/>
        <v>24481418</v>
      </c>
      <c r="M18" s="449">
        <f t="shared" si="20"/>
        <v>0</v>
      </c>
      <c r="N18" s="297">
        <f>M18+K18+I18+G18+E18</f>
        <v>0</v>
      </c>
      <c r="O18" s="445">
        <f t="shared" si="32"/>
        <v>0</v>
      </c>
      <c r="P18" s="564">
        <f t="shared" si="22"/>
        <v>18698.864000000001</v>
      </c>
      <c r="Q18" s="446">
        <f t="shared" si="1"/>
        <v>0</v>
      </c>
      <c r="R18" s="428">
        <f t="shared" si="29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3"/>
        <v>0</v>
      </c>
      <c r="W18" s="426">
        <f t="shared" si="24"/>
        <v>33470</v>
      </c>
      <c r="X18" s="428">
        <f t="shared" si="31"/>
        <v>0</v>
      </c>
      <c r="Y18" s="426">
        <f t="shared" si="25"/>
        <v>993482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0"/>
        <v>1170505</v>
      </c>
      <c r="AD18" s="428">
        <f t="shared" ref="AD18:AD31" si="34">AC18-AC17</f>
        <v>0</v>
      </c>
      <c r="AE18" s="450">
        <f t="shared" si="11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44546</v>
      </c>
      <c r="D19" s="601">
        <f t="shared" si="12"/>
        <v>83936</v>
      </c>
      <c r="E19" s="585">
        <f t="shared" si="7"/>
        <v>0</v>
      </c>
      <c r="F19" s="573">
        <f t="shared" si="13"/>
        <v>4105902</v>
      </c>
      <c r="G19" s="449">
        <f t="shared" si="14"/>
        <v>0</v>
      </c>
      <c r="H19" s="426">
        <f t="shared" si="15"/>
        <v>17993694</v>
      </c>
      <c r="I19" s="449">
        <f t="shared" si="16"/>
        <v>0</v>
      </c>
      <c r="J19" s="426">
        <f t="shared" si="17"/>
        <v>29633422</v>
      </c>
      <c r="K19" s="449">
        <f t="shared" si="18"/>
        <v>0</v>
      </c>
      <c r="L19" s="426">
        <f t="shared" si="19"/>
        <v>24481418</v>
      </c>
      <c r="M19" s="449">
        <f t="shared" si="20"/>
        <v>0</v>
      </c>
      <c r="N19" s="297">
        <f t="shared" si="21"/>
        <v>0</v>
      </c>
      <c r="O19" s="445">
        <f t="shared" si="32"/>
        <v>0</v>
      </c>
      <c r="P19" s="564">
        <f t="shared" si="22"/>
        <v>18698.864000000001</v>
      </c>
      <c r="Q19" s="446">
        <f>(P19-P18)*1000</f>
        <v>0</v>
      </c>
      <c r="R19" s="606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3"/>
        <v>0</v>
      </c>
      <c r="W19" s="426">
        <f t="shared" si="24"/>
        <v>33470</v>
      </c>
      <c r="X19" s="428">
        <f t="shared" si="31"/>
        <v>0</v>
      </c>
      <c r="Y19" s="426">
        <f t="shared" si="25"/>
        <v>993482</v>
      </c>
      <c r="Z19" s="428">
        <f t="shared" si="30"/>
        <v>0</v>
      </c>
      <c r="AA19" s="426">
        <f t="shared" si="26"/>
        <v>36796</v>
      </c>
      <c r="AB19" s="428">
        <f t="shared" si="27"/>
        <v>0</v>
      </c>
      <c r="AC19" s="426">
        <f t="shared" si="10"/>
        <v>1170505</v>
      </c>
      <c r="AD19" s="428">
        <f t="shared" si="34"/>
        <v>0</v>
      </c>
      <c r="AE19" s="450">
        <f t="shared" si="11"/>
        <v>0</v>
      </c>
      <c r="AF19" s="451">
        <f t="shared" si="4"/>
        <v>0</v>
      </c>
      <c r="AG19" s="443">
        <f t="shared" si="33"/>
        <v>0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44547</v>
      </c>
      <c r="D20" s="601">
        <f t="shared" si="12"/>
        <v>83936</v>
      </c>
      <c r="E20" s="585">
        <f t="shared" si="7"/>
        <v>0</v>
      </c>
      <c r="F20" s="573">
        <f t="shared" si="13"/>
        <v>4105902</v>
      </c>
      <c r="G20" s="449">
        <f t="shared" si="14"/>
        <v>0</v>
      </c>
      <c r="H20" s="426">
        <f t="shared" si="15"/>
        <v>17993694</v>
      </c>
      <c r="I20" s="449">
        <f t="shared" si="16"/>
        <v>0</v>
      </c>
      <c r="J20" s="426">
        <f t="shared" si="17"/>
        <v>29633422</v>
      </c>
      <c r="K20" s="449">
        <f t="shared" si="18"/>
        <v>0</v>
      </c>
      <c r="L20" s="426">
        <f t="shared" si="19"/>
        <v>24481418</v>
      </c>
      <c r="M20" s="449">
        <f t="shared" si="20"/>
        <v>0</v>
      </c>
      <c r="N20" s="297">
        <f t="shared" si="21"/>
        <v>0</v>
      </c>
      <c r="O20" s="445">
        <f t="shared" si="32"/>
        <v>0</v>
      </c>
      <c r="P20" s="564">
        <f t="shared" si="22"/>
        <v>18698.864000000001</v>
      </c>
      <c r="Q20" s="446">
        <f>(P20-P19)*1000</f>
        <v>0</v>
      </c>
      <c r="R20" s="606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3"/>
        <v>0</v>
      </c>
      <c r="W20" s="426">
        <f t="shared" si="24"/>
        <v>33470</v>
      </c>
      <c r="X20" s="428">
        <f t="shared" si="31"/>
        <v>0</v>
      </c>
      <c r="Y20" s="426">
        <f t="shared" si="25"/>
        <v>993482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0"/>
        <v>1170505</v>
      </c>
      <c r="AD20" s="428">
        <f t="shared" si="34"/>
        <v>0</v>
      </c>
      <c r="AE20" s="450">
        <f t="shared" si="11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44548</v>
      </c>
      <c r="D21" s="601">
        <f t="shared" si="12"/>
        <v>83936</v>
      </c>
      <c r="E21" s="585">
        <f t="shared" si="7"/>
        <v>0</v>
      </c>
      <c r="F21" s="573">
        <f t="shared" si="13"/>
        <v>4105902</v>
      </c>
      <c r="G21" s="449">
        <f t="shared" si="14"/>
        <v>0</v>
      </c>
      <c r="H21" s="426">
        <f t="shared" si="15"/>
        <v>17993694</v>
      </c>
      <c r="I21" s="449">
        <f t="shared" si="16"/>
        <v>0</v>
      </c>
      <c r="J21" s="426">
        <f t="shared" si="17"/>
        <v>29633422</v>
      </c>
      <c r="K21" s="449">
        <f t="shared" si="18"/>
        <v>0</v>
      </c>
      <c r="L21" s="426">
        <f t="shared" si="19"/>
        <v>24481418</v>
      </c>
      <c r="M21" s="449">
        <f t="shared" si="20"/>
        <v>0</v>
      </c>
      <c r="N21" s="297">
        <f t="shared" si="21"/>
        <v>0</v>
      </c>
      <c r="O21" s="445">
        <f t="shared" si="32"/>
        <v>0</v>
      </c>
      <c r="P21" s="564">
        <f t="shared" si="22"/>
        <v>18698.864000000001</v>
      </c>
      <c r="Q21" s="446">
        <f t="shared" si="1"/>
        <v>0</v>
      </c>
      <c r="R21" s="606">
        <f t="shared" ref="R21:R34" si="35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3"/>
        <v>0</v>
      </c>
      <c r="W21" s="426">
        <f t="shared" si="24"/>
        <v>33470</v>
      </c>
      <c r="X21" s="428">
        <f t="shared" si="31"/>
        <v>0</v>
      </c>
      <c r="Y21" s="426">
        <f t="shared" si="25"/>
        <v>993482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0"/>
        <v>1170505</v>
      </c>
      <c r="AD21" s="428">
        <f t="shared" si="34"/>
        <v>0</v>
      </c>
      <c r="AE21" s="450">
        <f t="shared" si="11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44549</v>
      </c>
      <c r="D22" s="601">
        <f t="shared" si="12"/>
        <v>83936</v>
      </c>
      <c r="E22" s="585">
        <f t="shared" si="7"/>
        <v>0</v>
      </c>
      <c r="F22" s="573">
        <f t="shared" si="13"/>
        <v>4105902</v>
      </c>
      <c r="G22" s="449">
        <f t="shared" si="14"/>
        <v>0</v>
      </c>
      <c r="H22" s="426">
        <f t="shared" si="15"/>
        <v>17993694</v>
      </c>
      <c r="I22" s="449">
        <f t="shared" si="16"/>
        <v>0</v>
      </c>
      <c r="J22" s="426">
        <f t="shared" si="17"/>
        <v>29633422</v>
      </c>
      <c r="K22" s="449">
        <f t="shared" si="18"/>
        <v>0</v>
      </c>
      <c r="L22" s="426">
        <f t="shared" si="19"/>
        <v>24481418</v>
      </c>
      <c r="M22" s="449">
        <f t="shared" si="20"/>
        <v>0</v>
      </c>
      <c r="N22" s="297">
        <f t="shared" si="21"/>
        <v>0</v>
      </c>
      <c r="O22" s="445">
        <f t="shared" si="32"/>
        <v>0</v>
      </c>
      <c r="P22" s="564">
        <f t="shared" si="22"/>
        <v>18698.864000000001</v>
      </c>
      <c r="Q22" s="446">
        <f t="shared" si="1"/>
        <v>0</v>
      </c>
      <c r="R22" s="606">
        <f t="shared" si="35"/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3"/>
        <v>0</v>
      </c>
      <c r="W22" s="426">
        <f t="shared" si="24"/>
        <v>33470</v>
      </c>
      <c r="X22" s="428">
        <f t="shared" si="31"/>
        <v>0</v>
      </c>
      <c r="Y22" s="426">
        <f t="shared" si="25"/>
        <v>993482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0"/>
        <v>1170505</v>
      </c>
      <c r="AD22" s="449">
        <f>AC22-AC21</f>
        <v>0</v>
      </c>
      <c r="AE22" s="450">
        <f t="shared" si="11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44550</v>
      </c>
      <c r="D23" s="601">
        <f t="shared" si="12"/>
        <v>83936</v>
      </c>
      <c r="E23" s="585">
        <f t="shared" si="7"/>
        <v>0</v>
      </c>
      <c r="F23" s="573">
        <f t="shared" si="13"/>
        <v>4105902</v>
      </c>
      <c r="G23" s="449">
        <f t="shared" si="14"/>
        <v>0</v>
      </c>
      <c r="H23" s="426">
        <f t="shared" si="15"/>
        <v>17993694</v>
      </c>
      <c r="I23" s="449">
        <f t="shared" si="16"/>
        <v>0</v>
      </c>
      <c r="J23" s="426">
        <f t="shared" si="17"/>
        <v>29633422</v>
      </c>
      <c r="K23" s="449">
        <f t="shared" si="18"/>
        <v>0</v>
      </c>
      <c r="L23" s="426">
        <f t="shared" si="19"/>
        <v>24481418</v>
      </c>
      <c r="M23" s="449">
        <f t="shared" si="20"/>
        <v>0</v>
      </c>
      <c r="N23" s="297">
        <f t="shared" si="21"/>
        <v>0</v>
      </c>
      <c r="O23" s="445">
        <f t="shared" si="32"/>
        <v>0</v>
      </c>
      <c r="P23" s="564">
        <f t="shared" si="22"/>
        <v>18698.864000000001</v>
      </c>
      <c r="Q23" s="446">
        <f t="shared" si="1"/>
        <v>0</v>
      </c>
      <c r="R23" s="606">
        <f t="shared" si="35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3"/>
        <v>0</v>
      </c>
      <c r="W23" s="426">
        <f t="shared" si="24"/>
        <v>33470</v>
      </c>
      <c r="X23" s="428">
        <f t="shared" si="31"/>
        <v>0</v>
      </c>
      <c r="Y23" s="426">
        <f t="shared" si="25"/>
        <v>993482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0"/>
        <v>1170505</v>
      </c>
      <c r="AD23" s="428">
        <f t="shared" si="34"/>
        <v>0</v>
      </c>
      <c r="AE23" s="450">
        <f t="shared" si="11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44551</v>
      </c>
      <c r="D24" s="601">
        <f t="shared" si="12"/>
        <v>83936</v>
      </c>
      <c r="E24" s="585">
        <f t="shared" si="7"/>
        <v>0</v>
      </c>
      <c r="F24" s="573">
        <f t="shared" si="13"/>
        <v>4105902</v>
      </c>
      <c r="G24" s="449">
        <f t="shared" si="14"/>
        <v>0</v>
      </c>
      <c r="H24" s="426">
        <f t="shared" si="15"/>
        <v>17993694</v>
      </c>
      <c r="I24" s="622">
        <f t="shared" si="16"/>
        <v>0</v>
      </c>
      <c r="J24" s="426">
        <f t="shared" si="17"/>
        <v>29633422</v>
      </c>
      <c r="K24" s="449">
        <f t="shared" si="18"/>
        <v>0</v>
      </c>
      <c r="L24" s="426">
        <f t="shared" si="19"/>
        <v>24481418</v>
      </c>
      <c r="M24" s="449">
        <f t="shared" si="20"/>
        <v>0</v>
      </c>
      <c r="N24" s="297">
        <f t="shared" si="21"/>
        <v>0</v>
      </c>
      <c r="O24" s="445">
        <f t="shared" si="32"/>
        <v>0</v>
      </c>
      <c r="P24" s="564">
        <f t="shared" si="22"/>
        <v>18698.864000000001</v>
      </c>
      <c r="Q24" s="446">
        <f t="shared" si="1"/>
        <v>0</v>
      </c>
      <c r="R24" s="606">
        <f t="shared" si="35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3"/>
        <v>0</v>
      </c>
      <c r="W24" s="426">
        <f t="shared" si="24"/>
        <v>33470</v>
      </c>
      <c r="X24" s="428">
        <f t="shared" si="31"/>
        <v>0</v>
      </c>
      <c r="Y24" s="426">
        <f t="shared" si="25"/>
        <v>993482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0"/>
        <v>1170505</v>
      </c>
      <c r="AD24" s="428">
        <f t="shared" si="34"/>
        <v>0</v>
      </c>
      <c r="AE24" s="450">
        <f t="shared" si="11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44552</v>
      </c>
      <c r="D25" s="601">
        <f t="shared" si="12"/>
        <v>83936</v>
      </c>
      <c r="E25" s="585">
        <f t="shared" si="7"/>
        <v>0</v>
      </c>
      <c r="F25" s="573">
        <f t="shared" si="13"/>
        <v>4105902</v>
      </c>
      <c r="G25" s="449">
        <f t="shared" si="14"/>
        <v>0</v>
      </c>
      <c r="H25" s="426">
        <f t="shared" si="15"/>
        <v>17993694</v>
      </c>
      <c r="I25" s="449">
        <f t="shared" si="16"/>
        <v>0</v>
      </c>
      <c r="J25" s="426">
        <f t="shared" si="17"/>
        <v>29633422</v>
      </c>
      <c r="K25" s="449">
        <f t="shared" si="18"/>
        <v>0</v>
      </c>
      <c r="L25" s="426">
        <f t="shared" si="19"/>
        <v>24481418</v>
      </c>
      <c r="M25" s="449">
        <f t="shared" si="20"/>
        <v>0</v>
      </c>
      <c r="N25" s="297">
        <f t="shared" si="21"/>
        <v>0</v>
      </c>
      <c r="O25" s="445">
        <f t="shared" si="32"/>
        <v>0</v>
      </c>
      <c r="P25" s="564">
        <f t="shared" si="22"/>
        <v>18698.864000000001</v>
      </c>
      <c r="Q25" s="446">
        <f t="shared" si="1"/>
        <v>0</v>
      </c>
      <c r="R25" s="606">
        <f t="shared" si="35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3"/>
        <v>0</v>
      </c>
      <c r="W25" s="426">
        <f t="shared" si="24"/>
        <v>33470</v>
      </c>
      <c r="X25" s="428">
        <f t="shared" si="31"/>
        <v>0</v>
      </c>
      <c r="Y25" s="426">
        <f t="shared" si="25"/>
        <v>993482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0"/>
        <v>1170505</v>
      </c>
      <c r="AD25" s="428">
        <f t="shared" si="34"/>
        <v>0</v>
      </c>
      <c r="AE25" s="450">
        <f t="shared" si="11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44553</v>
      </c>
      <c r="D26" s="601">
        <f t="shared" si="12"/>
        <v>83936</v>
      </c>
      <c r="E26" s="585">
        <f t="shared" si="7"/>
        <v>0</v>
      </c>
      <c r="F26" s="573">
        <f t="shared" si="13"/>
        <v>4105902</v>
      </c>
      <c r="G26" s="449">
        <f t="shared" si="14"/>
        <v>0</v>
      </c>
      <c r="H26" s="426">
        <f t="shared" si="15"/>
        <v>17993694</v>
      </c>
      <c r="I26" s="449">
        <f t="shared" si="16"/>
        <v>0</v>
      </c>
      <c r="J26" s="426">
        <f t="shared" si="17"/>
        <v>29633422</v>
      </c>
      <c r="K26" s="449">
        <f t="shared" si="18"/>
        <v>0</v>
      </c>
      <c r="L26" s="426">
        <f t="shared" si="19"/>
        <v>24481418</v>
      </c>
      <c r="M26" s="449">
        <f t="shared" si="20"/>
        <v>0</v>
      </c>
      <c r="N26" s="297">
        <f t="shared" si="21"/>
        <v>0</v>
      </c>
      <c r="O26" s="445">
        <f t="shared" si="32"/>
        <v>0</v>
      </c>
      <c r="P26" s="564">
        <f t="shared" si="22"/>
        <v>18698.864000000001</v>
      </c>
      <c r="Q26" s="446">
        <f t="shared" si="1"/>
        <v>0</v>
      </c>
      <c r="R26" s="606">
        <f t="shared" si="35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3"/>
        <v>0</v>
      </c>
      <c r="W26" s="426">
        <f t="shared" si="24"/>
        <v>33470</v>
      </c>
      <c r="X26" s="428">
        <f t="shared" si="31"/>
        <v>0</v>
      </c>
      <c r="Y26" s="426">
        <f t="shared" si="25"/>
        <v>993482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0"/>
        <v>1170505</v>
      </c>
      <c r="AD26" s="428">
        <f t="shared" si="34"/>
        <v>0</v>
      </c>
      <c r="AE26" s="450">
        <f t="shared" si="11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44554</v>
      </c>
      <c r="D27" s="601">
        <f t="shared" si="12"/>
        <v>83936</v>
      </c>
      <c r="E27" s="585">
        <f t="shared" si="7"/>
        <v>0</v>
      </c>
      <c r="F27" s="573">
        <f t="shared" si="13"/>
        <v>4105902</v>
      </c>
      <c r="G27" s="449">
        <f t="shared" si="14"/>
        <v>0</v>
      </c>
      <c r="H27" s="426">
        <f t="shared" si="15"/>
        <v>17993694</v>
      </c>
      <c r="I27" s="449">
        <f t="shared" si="16"/>
        <v>0</v>
      </c>
      <c r="J27" s="426">
        <f t="shared" si="17"/>
        <v>29633422</v>
      </c>
      <c r="K27" s="449">
        <f t="shared" si="18"/>
        <v>0</v>
      </c>
      <c r="L27" s="426">
        <f t="shared" si="19"/>
        <v>24481418</v>
      </c>
      <c r="M27" s="449">
        <f t="shared" si="20"/>
        <v>0</v>
      </c>
      <c r="N27" s="297">
        <f t="shared" si="21"/>
        <v>0</v>
      </c>
      <c r="O27" s="445">
        <f t="shared" si="32"/>
        <v>0</v>
      </c>
      <c r="P27" s="564">
        <f t="shared" si="22"/>
        <v>18698.864000000001</v>
      </c>
      <c r="Q27" s="446">
        <f t="shared" si="1"/>
        <v>0</v>
      </c>
      <c r="R27" s="606">
        <f t="shared" si="35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3"/>
        <v>0</v>
      </c>
      <c r="W27" s="426">
        <f t="shared" si="24"/>
        <v>33470</v>
      </c>
      <c r="X27" s="428">
        <f t="shared" si="31"/>
        <v>0</v>
      </c>
      <c r="Y27" s="426">
        <f t="shared" si="25"/>
        <v>993482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0"/>
        <v>1170505</v>
      </c>
      <c r="AD27" s="428">
        <f t="shared" si="34"/>
        <v>0</v>
      </c>
      <c r="AE27" s="450">
        <f t="shared" si="11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44555</v>
      </c>
      <c r="D28" s="601">
        <f t="shared" si="12"/>
        <v>83936</v>
      </c>
      <c r="E28" s="585">
        <f t="shared" si="7"/>
        <v>0</v>
      </c>
      <c r="F28" s="573">
        <f t="shared" si="13"/>
        <v>4105902</v>
      </c>
      <c r="G28" s="449">
        <f>F28-F27</f>
        <v>0</v>
      </c>
      <c r="H28" s="426">
        <f t="shared" si="15"/>
        <v>17993694</v>
      </c>
      <c r="I28" s="449">
        <f t="shared" si="16"/>
        <v>0</v>
      </c>
      <c r="J28" s="426">
        <f t="shared" si="17"/>
        <v>29633422</v>
      </c>
      <c r="K28" s="449">
        <f t="shared" si="18"/>
        <v>0</v>
      </c>
      <c r="L28" s="426">
        <f t="shared" si="19"/>
        <v>24481418</v>
      </c>
      <c r="M28" s="449">
        <f t="shared" si="20"/>
        <v>0</v>
      </c>
      <c r="N28" s="297">
        <f t="shared" si="21"/>
        <v>0</v>
      </c>
      <c r="O28" s="445">
        <f t="shared" si="32"/>
        <v>0</v>
      </c>
      <c r="P28" s="564">
        <f t="shared" si="22"/>
        <v>18698.864000000001</v>
      </c>
      <c r="Q28" s="446">
        <f t="shared" si="1"/>
        <v>0</v>
      </c>
      <c r="R28" s="606">
        <f t="shared" si="35"/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3"/>
        <v>0</v>
      </c>
      <c r="W28" s="426">
        <f t="shared" si="24"/>
        <v>33470</v>
      </c>
      <c r="X28" s="428">
        <f t="shared" si="31"/>
        <v>0</v>
      </c>
      <c r="Y28" s="426">
        <f t="shared" si="25"/>
        <v>993482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0"/>
        <v>1170505</v>
      </c>
      <c r="AD28" s="428">
        <f t="shared" si="34"/>
        <v>0</v>
      </c>
      <c r="AE28" s="450">
        <f t="shared" si="11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44556</v>
      </c>
      <c r="D29" s="601">
        <f t="shared" si="12"/>
        <v>83936</v>
      </c>
      <c r="E29" s="585">
        <f t="shared" si="7"/>
        <v>0</v>
      </c>
      <c r="F29" s="573">
        <f t="shared" si="13"/>
        <v>4105902</v>
      </c>
      <c r="G29" s="449">
        <f t="shared" ref="G29" si="36">F29-F28</f>
        <v>0</v>
      </c>
      <c r="H29" s="426">
        <f t="shared" si="15"/>
        <v>17993694</v>
      </c>
      <c r="I29" s="449">
        <f t="shared" ref="I29" si="37">H29-H28</f>
        <v>0</v>
      </c>
      <c r="J29" s="426">
        <f t="shared" si="17"/>
        <v>29633422</v>
      </c>
      <c r="K29" s="449">
        <f t="shared" ref="K29" si="38">J29-J28</f>
        <v>0</v>
      </c>
      <c r="L29" s="426">
        <f t="shared" si="19"/>
        <v>24481418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22"/>
        <v>18698.864000000001</v>
      </c>
      <c r="Q29" s="446">
        <f t="shared" ref="Q29" si="42">(P29-P28)*1000</f>
        <v>0</v>
      </c>
      <c r="R29" s="606">
        <f t="shared" si="35"/>
        <v>0</v>
      </c>
      <c r="S29" s="426">
        <f t="shared" si="8"/>
        <v>10175</v>
      </c>
      <c r="T29" s="447">
        <f t="shared" ref="T29" si="43">S29-S28</f>
        <v>0</v>
      </c>
      <c r="U29" s="426">
        <f t="shared" si="9"/>
        <v>429166</v>
      </c>
      <c r="V29" s="428">
        <f t="shared" ref="V29" si="44">U29-U28</f>
        <v>0</v>
      </c>
      <c r="W29" s="426">
        <f t="shared" si="24"/>
        <v>33470</v>
      </c>
      <c r="X29" s="428">
        <f t="shared" ref="X29" si="45">W29-W28</f>
        <v>0</v>
      </c>
      <c r="Y29" s="426">
        <f t="shared" si="25"/>
        <v>993482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0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44557</v>
      </c>
      <c r="D30" s="601">
        <f t="shared" si="12"/>
        <v>83936</v>
      </c>
      <c r="E30" s="585">
        <f t="shared" si="7"/>
        <v>0</v>
      </c>
      <c r="F30" s="573">
        <f t="shared" si="13"/>
        <v>4105902</v>
      </c>
      <c r="G30" s="449">
        <f t="shared" si="14"/>
        <v>0</v>
      </c>
      <c r="H30" s="426">
        <f t="shared" si="15"/>
        <v>17993694</v>
      </c>
      <c r="I30" s="449">
        <f t="shared" si="16"/>
        <v>0</v>
      </c>
      <c r="J30" s="426">
        <f t="shared" si="17"/>
        <v>29633422</v>
      </c>
      <c r="K30" s="449">
        <f t="shared" si="18"/>
        <v>0</v>
      </c>
      <c r="L30" s="426">
        <f t="shared" si="19"/>
        <v>24481418</v>
      </c>
      <c r="M30" s="449">
        <f t="shared" si="20"/>
        <v>0</v>
      </c>
      <c r="N30" s="297">
        <f t="shared" si="21"/>
        <v>0</v>
      </c>
      <c r="O30" s="445">
        <f t="shared" si="32"/>
        <v>0</v>
      </c>
      <c r="P30" s="564">
        <f t="shared" si="22"/>
        <v>18698.864000000001</v>
      </c>
      <c r="Q30" s="446">
        <f t="shared" si="1"/>
        <v>0</v>
      </c>
      <c r="R30" s="606">
        <f t="shared" si="35"/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3"/>
        <v>0</v>
      </c>
      <c r="W30" s="426">
        <f t="shared" si="24"/>
        <v>33470</v>
      </c>
      <c r="X30" s="428">
        <f t="shared" si="31"/>
        <v>0</v>
      </c>
      <c r="Y30" s="426">
        <f t="shared" si="25"/>
        <v>993482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0"/>
        <v>1170505</v>
      </c>
      <c r="AD30" s="428">
        <f t="shared" si="34"/>
        <v>0</v>
      </c>
      <c r="AE30" s="450">
        <f t="shared" si="11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44558</v>
      </c>
      <c r="D31" s="601">
        <f t="shared" si="12"/>
        <v>83936</v>
      </c>
      <c r="E31" s="585">
        <f t="shared" si="7"/>
        <v>0</v>
      </c>
      <c r="F31" s="573">
        <f t="shared" si="13"/>
        <v>4105902</v>
      </c>
      <c r="G31" s="449">
        <f t="shared" si="14"/>
        <v>0</v>
      </c>
      <c r="H31" s="426">
        <f t="shared" si="15"/>
        <v>17993694</v>
      </c>
      <c r="I31" s="449">
        <f t="shared" si="16"/>
        <v>0</v>
      </c>
      <c r="J31" s="426">
        <f t="shared" si="17"/>
        <v>29633422</v>
      </c>
      <c r="K31" s="449">
        <f t="shared" si="18"/>
        <v>0</v>
      </c>
      <c r="L31" s="426">
        <f t="shared" si="19"/>
        <v>24481418</v>
      </c>
      <c r="M31" s="449">
        <f t="shared" si="20"/>
        <v>0</v>
      </c>
      <c r="N31" s="297">
        <f t="shared" si="21"/>
        <v>0</v>
      </c>
      <c r="O31" s="445">
        <f t="shared" si="32"/>
        <v>0</v>
      </c>
      <c r="P31" s="564">
        <f t="shared" si="22"/>
        <v>18698.864000000001</v>
      </c>
      <c r="Q31" s="446">
        <f t="shared" si="1"/>
        <v>0</v>
      </c>
      <c r="R31" s="606">
        <f t="shared" si="35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28">
        <f t="shared" si="23"/>
        <v>0</v>
      </c>
      <c r="W31" s="426">
        <f t="shared" si="24"/>
        <v>33470</v>
      </c>
      <c r="X31" s="448">
        <f t="shared" si="31"/>
        <v>0</v>
      </c>
      <c r="Y31" s="426">
        <f t="shared" si="25"/>
        <v>993482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0"/>
        <v>1170505</v>
      </c>
      <c r="AD31" s="428">
        <f t="shared" si="34"/>
        <v>0</v>
      </c>
      <c r="AE31" s="450">
        <f t="shared" si="11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44559</v>
      </c>
      <c r="D32" s="601">
        <f t="shared" si="12"/>
        <v>83936</v>
      </c>
      <c r="E32" s="585">
        <f t="shared" si="7"/>
        <v>0</v>
      </c>
      <c r="F32" s="573">
        <f t="shared" si="13"/>
        <v>4105902</v>
      </c>
      <c r="G32" s="449">
        <f t="shared" si="14"/>
        <v>0</v>
      </c>
      <c r="H32" s="426">
        <f t="shared" si="15"/>
        <v>17993694</v>
      </c>
      <c r="I32" s="449">
        <f t="shared" si="16"/>
        <v>0</v>
      </c>
      <c r="J32" s="426">
        <f t="shared" si="17"/>
        <v>29633422</v>
      </c>
      <c r="K32" s="449">
        <f t="shared" si="18"/>
        <v>0</v>
      </c>
      <c r="L32" s="426">
        <f t="shared" si="19"/>
        <v>24481418</v>
      </c>
      <c r="M32" s="449">
        <f t="shared" si="20"/>
        <v>0</v>
      </c>
      <c r="N32" s="297">
        <f t="shared" si="21"/>
        <v>0</v>
      </c>
      <c r="O32" s="445">
        <f>IF(B32&gt;0,N32/B32,0)</f>
        <v>0</v>
      </c>
      <c r="P32" s="564">
        <f t="shared" si="22"/>
        <v>18698.864000000001</v>
      </c>
      <c r="Q32" s="446">
        <f t="shared" si="1"/>
        <v>0</v>
      </c>
      <c r="R32" s="606">
        <f t="shared" si="35"/>
        <v>0</v>
      </c>
      <c r="S32" s="426">
        <f t="shared" si="8"/>
        <v>10175</v>
      </c>
      <c r="T32" s="447">
        <f>S32-S31</f>
        <v>0</v>
      </c>
      <c r="U32" s="426">
        <f t="shared" si="9"/>
        <v>429166</v>
      </c>
      <c r="V32" s="428">
        <f>U32-U31</f>
        <v>0</v>
      </c>
      <c r="W32" s="426">
        <f t="shared" si="24"/>
        <v>33470</v>
      </c>
      <c r="X32" s="448">
        <f>W32-W31</f>
        <v>0</v>
      </c>
      <c r="Y32" s="426">
        <f t="shared" si="25"/>
        <v>993482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0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44560</v>
      </c>
      <c r="D33" s="601">
        <f t="shared" si="12"/>
        <v>83936</v>
      </c>
      <c r="E33" s="585">
        <f t="shared" si="7"/>
        <v>0</v>
      </c>
      <c r="F33" s="573">
        <f t="shared" si="13"/>
        <v>4105902</v>
      </c>
      <c r="G33" s="449">
        <f t="shared" si="14"/>
        <v>0</v>
      </c>
      <c r="H33" s="426">
        <f t="shared" si="15"/>
        <v>17993694</v>
      </c>
      <c r="I33" s="449">
        <f t="shared" si="16"/>
        <v>0</v>
      </c>
      <c r="J33" s="426">
        <f t="shared" si="17"/>
        <v>29633422</v>
      </c>
      <c r="K33" s="449">
        <f t="shared" si="18"/>
        <v>0</v>
      </c>
      <c r="L33" s="426">
        <f t="shared" si="19"/>
        <v>24481418</v>
      </c>
      <c r="M33" s="449">
        <f t="shared" si="20"/>
        <v>0</v>
      </c>
      <c r="N33" s="297">
        <f t="shared" si="21"/>
        <v>0</v>
      </c>
      <c r="O33" s="445">
        <f>IF(B33&gt;0,N33/B33,0)</f>
        <v>0</v>
      </c>
      <c r="P33" s="564">
        <f t="shared" si="22"/>
        <v>18698.864000000001</v>
      </c>
      <c r="Q33" s="446">
        <f t="shared" si="1"/>
        <v>0</v>
      </c>
      <c r="R33" s="606">
        <f t="shared" si="35"/>
        <v>0</v>
      </c>
      <c r="S33" s="426">
        <f t="shared" si="8"/>
        <v>10175</v>
      </c>
      <c r="T33" s="447">
        <f>S33-S32</f>
        <v>0</v>
      </c>
      <c r="U33" s="426">
        <f t="shared" si="9"/>
        <v>429166</v>
      </c>
      <c r="V33" s="428">
        <f>U33-U32</f>
        <v>0</v>
      </c>
      <c r="W33" s="426">
        <f t="shared" si="24"/>
        <v>33470</v>
      </c>
      <c r="X33" s="448">
        <f>W33-W32</f>
        <v>0</v>
      </c>
      <c r="Y33" s="426">
        <f t="shared" si="25"/>
        <v>993482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0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44561</v>
      </c>
      <c r="D34" s="601">
        <f t="shared" si="12"/>
        <v>83936</v>
      </c>
      <c r="E34" s="585">
        <f t="shared" si="7"/>
        <v>0</v>
      </c>
      <c r="F34" s="573">
        <f t="shared" ref="F34" si="51">F33</f>
        <v>4105902</v>
      </c>
      <c r="G34" s="449">
        <f t="shared" ref="G34" si="52">F34-F33</f>
        <v>0</v>
      </c>
      <c r="H34" s="426">
        <f t="shared" si="15"/>
        <v>17993694</v>
      </c>
      <c r="I34" s="449">
        <f t="shared" si="16"/>
        <v>0</v>
      </c>
      <c r="J34" s="426">
        <f t="shared" si="17"/>
        <v>29633422</v>
      </c>
      <c r="K34" s="449">
        <f t="shared" ref="K34" si="53">J34-J33</f>
        <v>0</v>
      </c>
      <c r="L34" s="426">
        <f t="shared" si="19"/>
        <v>24481418</v>
      </c>
      <c r="M34" s="449">
        <f t="shared" ref="M34" si="54">L34-L33</f>
        <v>0</v>
      </c>
      <c r="N34" s="297">
        <f t="shared" ref="N34" si="55">M34+K34+I34+G34+E34</f>
        <v>0</v>
      </c>
      <c r="O34" s="445">
        <f>IF(B34&gt;0,N34/B34,0)</f>
        <v>0</v>
      </c>
      <c r="P34" s="564">
        <f t="shared" si="22"/>
        <v>18698.864000000001</v>
      </c>
      <c r="Q34" s="446">
        <f t="shared" si="1"/>
        <v>0</v>
      </c>
      <c r="R34" s="606">
        <f t="shared" si="35"/>
        <v>0</v>
      </c>
      <c r="S34" s="426">
        <f t="shared" si="8"/>
        <v>10175</v>
      </c>
      <c r="T34" s="447">
        <f>S34-S33</f>
        <v>0</v>
      </c>
      <c r="U34" s="426">
        <f t="shared" si="9"/>
        <v>429166</v>
      </c>
      <c r="V34" s="428">
        <f>U34-U33</f>
        <v>0</v>
      </c>
      <c r="W34" s="426">
        <f>W33</f>
        <v>33470</v>
      </c>
      <c r="X34" s="448">
        <f>W34-W33</f>
        <v>0</v>
      </c>
      <c r="Y34" s="426">
        <f t="shared" si="25"/>
        <v>993482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0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13" sqref="A13:XFD13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1" t="s">
        <v>2</v>
      </c>
      <c r="G1" s="632"/>
      <c r="H1" s="632"/>
      <c r="I1" s="633"/>
      <c r="J1" s="271">
        <f>J36</f>
        <v>71.75</v>
      </c>
      <c r="K1" s="634" t="s">
        <v>4</v>
      </c>
      <c r="L1" s="635"/>
      <c r="M1" s="635"/>
      <c r="N1" s="635"/>
      <c r="O1" s="636"/>
      <c r="P1" s="625" t="s">
        <v>6</v>
      </c>
      <c r="Q1" s="626"/>
      <c r="R1" s="626"/>
      <c r="S1" s="626"/>
      <c r="T1" s="627"/>
      <c r="U1" s="381"/>
      <c r="V1" s="27" t="s">
        <v>104</v>
      </c>
      <c r="W1" s="382"/>
      <c r="X1" s="625" t="s">
        <v>8</v>
      </c>
      <c r="Y1" s="626"/>
      <c r="Z1" s="626"/>
      <c r="AA1" s="626"/>
      <c r="AB1" s="626"/>
      <c r="AC1" s="628" t="s">
        <v>10</v>
      </c>
      <c r="AD1" s="629"/>
      <c r="AE1" s="629"/>
      <c r="AF1" s="630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3"/>
      <c r="R2" s="624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ELEC!C3</f>
        <v>44530</v>
      </c>
      <c r="B4" s="379">
        <f>[2]B5!B34</f>
        <v>218</v>
      </c>
      <c r="C4" s="379">
        <f>[2]B5!C34</f>
        <v>224</v>
      </c>
      <c r="D4" s="379">
        <f>[2]B5!D34</f>
        <v>8</v>
      </c>
      <c r="E4" s="379">
        <f>[2]B5!E34</f>
        <v>67.040000000000006</v>
      </c>
      <c r="F4" s="379">
        <f>[2]B5!F34</f>
        <v>1921</v>
      </c>
      <c r="G4" s="379">
        <f>[2]B5!G34</f>
        <v>0</v>
      </c>
      <c r="H4" s="379">
        <f>[2]B5!H34</f>
        <v>19436</v>
      </c>
      <c r="I4" s="379">
        <f>[2]B5!I34</f>
        <v>0</v>
      </c>
      <c r="J4" s="379">
        <f>[2]B5!J34</f>
        <v>0</v>
      </c>
      <c r="K4" s="379">
        <f>[2]B5!K34</f>
        <v>2367</v>
      </c>
      <c r="L4" s="379">
        <f>[2]B5!L34</f>
        <v>0</v>
      </c>
      <c r="M4" s="379">
        <f>[2]B5!M34</f>
        <v>174784</v>
      </c>
      <c r="N4" s="379">
        <f>[2]B5!N34</f>
        <v>0</v>
      </c>
      <c r="O4" s="379">
        <f>[2]B5!O34</f>
        <v>1869</v>
      </c>
      <c r="P4" s="379">
        <f>[2]B5!P34</f>
        <v>2137</v>
      </c>
      <c r="Q4" s="379">
        <f>[2]B5!Q34</f>
        <v>179335</v>
      </c>
      <c r="R4" s="379">
        <f>[2]B5!R34</f>
        <v>0</v>
      </c>
      <c r="S4" s="379">
        <f>[2]B5!S34</f>
        <v>0</v>
      </c>
      <c r="T4" s="379">
        <f>[2]B5!T34</f>
        <v>0</v>
      </c>
      <c r="U4" s="379">
        <f>[2]B5!U34</f>
        <v>0</v>
      </c>
      <c r="V4" s="379">
        <f>[2]B5!V34</f>
        <v>0</v>
      </c>
      <c r="W4" s="379">
        <f>[2]B5!W34</f>
        <v>0</v>
      </c>
      <c r="X4" s="379">
        <f>[2]B5!X34</f>
        <v>2480</v>
      </c>
      <c r="Y4" s="379">
        <f>[2]B5!Y34</f>
        <v>0</v>
      </c>
      <c r="Z4" s="379">
        <f>[2]B5!Z34</f>
        <v>139172.20000000001</v>
      </c>
      <c r="AA4" s="379">
        <f>[2]B5!AA34</f>
        <v>0</v>
      </c>
      <c r="AB4" s="379">
        <f>[2]B5!AB34</f>
        <v>0</v>
      </c>
      <c r="AC4" s="379">
        <f>[2]B5!AC34</f>
        <v>1943</v>
      </c>
      <c r="AD4" s="379">
        <f>[2]B5!AD34</f>
        <v>0</v>
      </c>
      <c r="AE4" s="379">
        <f>[2]B5!AE34</f>
        <v>366210</v>
      </c>
      <c r="AF4" s="379">
        <f>[2]B5!AF34</f>
        <v>0</v>
      </c>
      <c r="AG4" s="379">
        <f>[2]B5!AG34</f>
        <v>0</v>
      </c>
      <c r="AH4" s="379">
        <f>[2]B5!AH34</f>
        <v>0</v>
      </c>
      <c r="AI4" s="379">
        <f>[2]B5!AI34</f>
        <v>0</v>
      </c>
      <c r="AJ4" s="379">
        <f>[2]B5!AJ34</f>
        <v>0</v>
      </c>
      <c r="AK4" s="379">
        <f>[2]B5!AK34</f>
        <v>0</v>
      </c>
      <c r="AL4" s="379">
        <f>[2]B5!AL34</f>
        <v>0</v>
      </c>
      <c r="AM4" s="379">
        <f>[2]B5!AM34</f>
        <v>0</v>
      </c>
      <c r="AN4" s="379">
        <f>[2]B5!AN34</f>
        <v>65</v>
      </c>
      <c r="AO4" s="379">
        <f>[2]B5!AO34</f>
        <v>1950</v>
      </c>
      <c r="AP4" s="379">
        <f>[2]B5!AP34</f>
        <v>55</v>
      </c>
      <c r="AQ4" s="379">
        <f>[2]B5!AQ34</f>
        <v>1650.0000000000002</v>
      </c>
      <c r="AR4" s="379">
        <f>[2]B5!AR34</f>
        <v>61</v>
      </c>
      <c r="AS4" s="379">
        <f>[2]B5!AS34</f>
        <v>1830</v>
      </c>
      <c r="AT4" s="379">
        <f>[2]B5!AT34</f>
        <v>5430</v>
      </c>
      <c r="AU4" s="379">
        <f>[2]B5!AU34</f>
        <v>0</v>
      </c>
      <c r="AV4" s="379">
        <f>[2]B5!AV34</f>
        <v>0</v>
      </c>
      <c r="AW4" s="379">
        <f>[2]B5!AW34</f>
        <v>0</v>
      </c>
      <c r="AX4" s="379">
        <f>[2]B5!AX34</f>
        <v>0.8</v>
      </c>
    </row>
    <row r="5" spans="1:52">
      <c r="A5" s="63">
        <f>ELEC!C4</f>
        <v>44531</v>
      </c>
      <c r="B5" s="537">
        <v>210</v>
      </c>
      <c r="C5" s="537">
        <v>218</v>
      </c>
      <c r="D5" s="45">
        <f>C4-C5</f>
        <v>6</v>
      </c>
      <c r="E5" s="45">
        <f>D5*8.38</f>
        <v>50.28</v>
      </c>
      <c r="F5" s="537">
        <v>1924</v>
      </c>
      <c r="G5" s="52">
        <f t="shared" ref="G5:G32" si="0">F5-F4</f>
        <v>3</v>
      </c>
      <c r="H5" s="537">
        <v>19613</v>
      </c>
      <c r="I5" s="380">
        <f t="shared" ref="I5:I32" si="1">SUM(H5-H4)</f>
        <v>177</v>
      </c>
      <c r="J5" s="66">
        <v>1</v>
      </c>
      <c r="K5" s="537">
        <f>K4</f>
        <v>2367</v>
      </c>
      <c r="L5" s="52">
        <f>K5-K4</f>
        <v>0</v>
      </c>
      <c r="M5" s="537">
        <f>M4</f>
        <v>174784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2137</v>
      </c>
      <c r="Q5" s="537">
        <f>Q4</f>
        <v>179335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3</v>
      </c>
      <c r="V5" s="62">
        <v>0</v>
      </c>
      <c r="W5" s="384">
        <f>SUM(V5/U5)</f>
        <v>0</v>
      </c>
      <c r="X5" s="537">
        <f>X4</f>
        <v>2480</v>
      </c>
      <c r="Y5" s="52">
        <f>X5-X4</f>
        <v>0</v>
      </c>
      <c r="Z5" s="537">
        <f>Z4</f>
        <v>139172.20000000001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3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44532</v>
      </c>
      <c r="B6" s="537">
        <v>204</v>
      </c>
      <c r="C6" s="537">
        <v>211</v>
      </c>
      <c r="D6" s="45">
        <f>C5-C6</f>
        <v>7</v>
      </c>
      <c r="E6" s="45">
        <f t="shared" ref="E6:E32" si="12">D6*8.38</f>
        <v>58.660000000000004</v>
      </c>
      <c r="F6" s="537">
        <f t="shared" ref="F6:F35" si="13">F5</f>
        <v>1924</v>
      </c>
      <c r="G6" s="52">
        <f t="shared" si="0"/>
        <v>0</v>
      </c>
      <c r="H6" s="537">
        <f t="shared" ref="H6:H35" si="14">H5</f>
        <v>19613</v>
      </c>
      <c r="I6" s="380">
        <f t="shared" si="1"/>
        <v>0</v>
      </c>
      <c r="J6" s="66">
        <f t="shared" ref="J6:J32" si="15">IF(G6&gt;0,I6/G6,0)</f>
        <v>0</v>
      </c>
      <c r="K6" s="537">
        <f t="shared" ref="K6:K35" si="16">K5</f>
        <v>2367</v>
      </c>
      <c r="L6" s="52">
        <f t="shared" ref="L6:L32" si="17">K6-K5</f>
        <v>0</v>
      </c>
      <c r="M6" s="537">
        <f t="shared" ref="M6:M35" si="18">M5</f>
        <v>174784</v>
      </c>
      <c r="N6" s="380">
        <f t="shared" si="2"/>
        <v>0</v>
      </c>
      <c r="O6" s="64">
        <f t="shared" si="3"/>
        <v>1869</v>
      </c>
      <c r="P6" s="537">
        <f t="shared" si="3"/>
        <v>2137</v>
      </c>
      <c r="Q6" s="537">
        <f t="shared" si="3"/>
        <v>179335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9">SUM(G6+L6+S6)</f>
        <v>0</v>
      </c>
      <c r="V6" s="62">
        <f t="shared" ref="V6:V35" si="20">R6+N6+I6:I6</f>
        <v>0</v>
      </c>
      <c r="W6" s="384" t="e">
        <f t="shared" ref="W6:W16" si="21">SUM(V6/U6)</f>
        <v>#DIV/0!</v>
      </c>
      <c r="X6" s="537">
        <f t="shared" ref="X6:X35" si="22">X5</f>
        <v>2480</v>
      </c>
      <c r="Y6" s="52">
        <f t="shared" ref="Y6:Y32" si="23">X6-X5</f>
        <v>0</v>
      </c>
      <c r="Z6" s="537">
        <f t="shared" ref="Z6:Z35" si="24">Z5</f>
        <v>139172.20000000001</v>
      </c>
      <c r="AA6" s="65">
        <f t="shared" si="6"/>
        <v>0</v>
      </c>
      <c r="AB6" s="273">
        <f>SUM(Y6*$AB$2)</f>
        <v>0</v>
      </c>
      <c r="AC6" s="537">
        <f t="shared" ref="AC6:AC35" si="25">AC5</f>
        <v>1943</v>
      </c>
      <c r="AD6" s="45">
        <f t="shared" si="7"/>
        <v>0</v>
      </c>
      <c r="AE6" s="537">
        <f t="shared" ref="AE6:AE35" si="26">AE5</f>
        <v>366210</v>
      </c>
      <c r="AF6" s="293">
        <f t="shared" ref="AF6:AF32" si="27">AE6-AE5</f>
        <v>0</v>
      </c>
      <c r="AG6" s="209">
        <f>IF(AD6&gt;0,AF6/AD6,0)</f>
        <v>0</v>
      </c>
      <c r="AH6" s="62">
        <f>AF6+AA6</f>
        <v>0</v>
      </c>
      <c r="AI6" s="303">
        <f t="shared" ref="AI6:AI32" si="28">SUM(AH6+V6)</f>
        <v>0</v>
      </c>
      <c r="AJ6" s="303">
        <f>-tanks!AW7</f>
        <v>0</v>
      </c>
      <c r="AK6" s="303">
        <f t="shared" ref="AK6:AK32" si="29">SUM(AJ6-AI6)</f>
        <v>0</v>
      </c>
      <c r="AL6" s="303">
        <f t="shared" si="8"/>
        <v>0</v>
      </c>
      <c r="AM6" s="303">
        <f t="shared" ref="AM6:AM32" si="30">Y6+AD6</f>
        <v>0</v>
      </c>
      <c r="AN6" s="537">
        <f t="shared" si="9"/>
        <v>65</v>
      </c>
      <c r="AO6" s="305">
        <f t="shared" ref="AO6:AO26" si="31">(AN6/100)*3000</f>
        <v>1950</v>
      </c>
      <c r="AP6" s="537">
        <f t="shared" si="10"/>
        <v>55</v>
      </c>
      <c r="AQ6" s="305">
        <f t="shared" ref="AQ6:AQ24" si="32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3">IF(AV6&gt;0,AW6,AX5)</f>
        <v>0.8</v>
      </c>
    </row>
    <row r="7" spans="1:52">
      <c r="A7" s="63">
        <f>ELEC!C6</f>
        <v>44533</v>
      </c>
      <c r="B7" s="537">
        <f t="shared" ref="B7:B35" si="34">B6</f>
        <v>204</v>
      </c>
      <c r="C7" s="537">
        <f t="shared" ref="C7:C35" si="35">C6</f>
        <v>211</v>
      </c>
      <c r="D7" s="45">
        <f t="shared" ref="D7:D19" si="36">C6-C7</f>
        <v>0</v>
      </c>
      <c r="E7" s="45">
        <f t="shared" si="12"/>
        <v>0</v>
      </c>
      <c r="F7" s="537">
        <f t="shared" si="13"/>
        <v>1924</v>
      </c>
      <c r="G7" s="52">
        <f t="shared" si="0"/>
        <v>0</v>
      </c>
      <c r="H7" s="537">
        <f t="shared" si="14"/>
        <v>19613</v>
      </c>
      <c r="I7" s="380">
        <f t="shared" si="1"/>
        <v>0</v>
      </c>
      <c r="J7" s="66">
        <f t="shared" si="15"/>
        <v>0</v>
      </c>
      <c r="K7" s="537">
        <f t="shared" si="16"/>
        <v>2367</v>
      </c>
      <c r="L7" s="52">
        <f t="shared" si="17"/>
        <v>0</v>
      </c>
      <c r="M7" s="537">
        <f t="shared" si="18"/>
        <v>174784</v>
      </c>
      <c r="N7" s="380">
        <f t="shared" si="2"/>
        <v>0</v>
      </c>
      <c r="O7" s="64">
        <f t="shared" si="3"/>
        <v>1869</v>
      </c>
      <c r="P7" s="537">
        <f t="shared" si="3"/>
        <v>2137</v>
      </c>
      <c r="Q7" s="537">
        <f t="shared" si="3"/>
        <v>179335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9"/>
        <v>0</v>
      </c>
      <c r="V7" s="62">
        <f t="shared" si="20"/>
        <v>0</v>
      </c>
      <c r="W7" s="384" t="e">
        <f t="shared" si="21"/>
        <v>#DIV/0!</v>
      </c>
      <c r="X7" s="537">
        <f t="shared" si="22"/>
        <v>2480</v>
      </c>
      <c r="Y7" s="52">
        <f t="shared" si="23"/>
        <v>0</v>
      </c>
      <c r="Z7" s="537">
        <f t="shared" si="24"/>
        <v>139172.20000000001</v>
      </c>
      <c r="AA7" s="65">
        <f t="shared" si="6"/>
        <v>0</v>
      </c>
      <c r="AB7" s="273">
        <f t="shared" ref="AB7:AB17" si="38">SUM(Y7*$AB$2)</f>
        <v>0</v>
      </c>
      <c r="AC7" s="537">
        <f t="shared" si="25"/>
        <v>1943</v>
      </c>
      <c r="AD7" s="45">
        <f t="shared" si="7"/>
        <v>0</v>
      </c>
      <c r="AE7" s="537">
        <f t="shared" si="26"/>
        <v>366210</v>
      </c>
      <c r="AF7" s="293">
        <f t="shared" si="27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8"/>
        <v>0</v>
      </c>
      <c r="AJ7" s="303">
        <f>-tanks!AW8</f>
        <v>0</v>
      </c>
      <c r="AK7" s="303">
        <f t="shared" si="29"/>
        <v>0</v>
      </c>
      <c r="AL7" s="303">
        <f t="shared" si="8"/>
        <v>0</v>
      </c>
      <c r="AM7" s="303">
        <f t="shared" si="30"/>
        <v>0</v>
      </c>
      <c r="AN7" s="537">
        <f t="shared" si="9"/>
        <v>65</v>
      </c>
      <c r="AO7" s="305">
        <f t="shared" si="31"/>
        <v>1950</v>
      </c>
      <c r="AP7" s="537">
        <f t="shared" si="10"/>
        <v>55</v>
      </c>
      <c r="AQ7" s="305">
        <f t="shared" si="32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3"/>
        <v>0.8</v>
      </c>
      <c r="AZ7" s="42" t="s">
        <v>407</v>
      </c>
    </row>
    <row r="8" spans="1:52">
      <c r="A8" s="63">
        <f>ELEC!C7</f>
        <v>44534</v>
      </c>
      <c r="B8" s="537">
        <f t="shared" si="34"/>
        <v>204</v>
      </c>
      <c r="C8" s="537">
        <f t="shared" si="35"/>
        <v>211</v>
      </c>
      <c r="D8" s="45">
        <f t="shared" si="36"/>
        <v>0</v>
      </c>
      <c r="E8" s="45">
        <f t="shared" si="12"/>
        <v>0</v>
      </c>
      <c r="F8" s="537">
        <f t="shared" si="13"/>
        <v>1924</v>
      </c>
      <c r="G8" s="52">
        <f t="shared" si="0"/>
        <v>0</v>
      </c>
      <c r="H8" s="537">
        <f t="shared" si="14"/>
        <v>19613</v>
      </c>
      <c r="I8" s="380">
        <f t="shared" si="1"/>
        <v>0</v>
      </c>
      <c r="J8" s="66">
        <f t="shared" si="15"/>
        <v>0</v>
      </c>
      <c r="K8" s="537">
        <f t="shared" si="16"/>
        <v>2367</v>
      </c>
      <c r="L8" s="52">
        <f t="shared" si="17"/>
        <v>0</v>
      </c>
      <c r="M8" s="537">
        <f t="shared" si="18"/>
        <v>174784</v>
      </c>
      <c r="N8" s="380">
        <f t="shared" si="2"/>
        <v>0</v>
      </c>
      <c r="O8" s="64">
        <f t="shared" si="3"/>
        <v>1869</v>
      </c>
      <c r="P8" s="537">
        <f t="shared" si="3"/>
        <v>2137</v>
      </c>
      <c r="Q8" s="537">
        <f t="shared" si="3"/>
        <v>179335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9"/>
        <v>0</v>
      </c>
      <c r="V8" s="62">
        <v>0</v>
      </c>
      <c r="W8" s="384" t="e">
        <f t="shared" si="21"/>
        <v>#DIV/0!</v>
      </c>
      <c r="X8" s="537">
        <f t="shared" si="22"/>
        <v>2480</v>
      </c>
      <c r="Y8" s="52">
        <f t="shared" si="23"/>
        <v>0</v>
      </c>
      <c r="Z8" s="537">
        <f t="shared" si="24"/>
        <v>139172.20000000001</v>
      </c>
      <c r="AA8" s="65">
        <f t="shared" si="6"/>
        <v>0</v>
      </c>
      <c r="AB8" s="273">
        <f t="shared" si="38"/>
        <v>0</v>
      </c>
      <c r="AC8" s="537">
        <f t="shared" si="25"/>
        <v>1943</v>
      </c>
      <c r="AD8" s="45">
        <f t="shared" si="7"/>
        <v>0</v>
      </c>
      <c r="AE8" s="537">
        <f t="shared" si="26"/>
        <v>366210</v>
      </c>
      <c r="AF8" s="293">
        <f t="shared" si="27"/>
        <v>0</v>
      </c>
      <c r="AG8" s="209">
        <f t="shared" si="39"/>
        <v>0</v>
      </c>
      <c r="AH8" s="62">
        <f t="shared" si="40"/>
        <v>0</v>
      </c>
      <c r="AI8" s="303">
        <f t="shared" si="28"/>
        <v>0</v>
      </c>
      <c r="AJ8" s="303">
        <f>-tanks!AW9</f>
        <v>0</v>
      </c>
      <c r="AK8" s="303">
        <f t="shared" si="29"/>
        <v>0</v>
      </c>
      <c r="AL8" s="303">
        <f t="shared" si="8"/>
        <v>0</v>
      </c>
      <c r="AM8" s="303">
        <f t="shared" si="30"/>
        <v>0</v>
      </c>
      <c r="AN8" s="537">
        <f t="shared" si="9"/>
        <v>65</v>
      </c>
      <c r="AO8" s="305">
        <f t="shared" si="31"/>
        <v>1950</v>
      </c>
      <c r="AP8" s="537">
        <f t="shared" si="10"/>
        <v>55</v>
      </c>
      <c r="AQ8" s="305">
        <f t="shared" si="32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3"/>
        <v>0.8</v>
      </c>
    </row>
    <row r="9" spans="1:52" ht="15.75" customHeight="1">
      <c r="A9" s="63">
        <f>ELEC!C8</f>
        <v>44535</v>
      </c>
      <c r="B9" s="537">
        <v>236</v>
      </c>
      <c r="C9" s="537">
        <v>241</v>
      </c>
      <c r="D9" s="45">
        <f t="shared" si="36"/>
        <v>-30</v>
      </c>
      <c r="E9" s="45">
        <f t="shared" si="12"/>
        <v>-251.40000000000003</v>
      </c>
      <c r="F9" s="537">
        <v>1926</v>
      </c>
      <c r="G9" s="52">
        <f t="shared" si="0"/>
        <v>2</v>
      </c>
      <c r="H9" s="537">
        <v>19806</v>
      </c>
      <c r="I9" s="380">
        <f t="shared" si="1"/>
        <v>193</v>
      </c>
      <c r="J9" s="66">
        <f t="shared" si="15"/>
        <v>96.5</v>
      </c>
      <c r="K9" s="537">
        <f t="shared" si="16"/>
        <v>2367</v>
      </c>
      <c r="L9" s="52">
        <f t="shared" si="17"/>
        <v>0</v>
      </c>
      <c r="M9" s="537">
        <f t="shared" si="18"/>
        <v>174784</v>
      </c>
      <c r="N9" s="380">
        <f t="shared" si="2"/>
        <v>0</v>
      </c>
      <c r="O9" s="64">
        <f t="shared" si="3"/>
        <v>1869</v>
      </c>
      <c r="P9" s="537">
        <f t="shared" si="3"/>
        <v>2137</v>
      </c>
      <c r="Q9" s="537">
        <f t="shared" si="3"/>
        <v>179335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9"/>
        <v>2</v>
      </c>
      <c r="V9" s="62">
        <f t="shared" si="20"/>
        <v>193</v>
      </c>
      <c r="W9" s="384">
        <f t="shared" si="21"/>
        <v>96.5</v>
      </c>
      <c r="X9" s="537">
        <f t="shared" si="22"/>
        <v>2480</v>
      </c>
      <c r="Y9" s="52">
        <f t="shared" si="23"/>
        <v>0</v>
      </c>
      <c r="Z9" s="537">
        <f t="shared" si="24"/>
        <v>139172.20000000001</v>
      </c>
      <c r="AA9" s="65">
        <f t="shared" si="6"/>
        <v>0</v>
      </c>
      <c r="AB9" s="273">
        <f t="shared" si="38"/>
        <v>0</v>
      </c>
      <c r="AC9" s="537">
        <f t="shared" si="25"/>
        <v>1943</v>
      </c>
      <c r="AD9" s="45">
        <f t="shared" si="7"/>
        <v>0</v>
      </c>
      <c r="AE9" s="537">
        <f t="shared" si="26"/>
        <v>366210</v>
      </c>
      <c r="AF9" s="293">
        <f t="shared" si="27"/>
        <v>0</v>
      </c>
      <c r="AG9" s="209">
        <f t="shared" si="39"/>
        <v>0</v>
      </c>
      <c r="AH9" s="62">
        <f t="shared" si="40"/>
        <v>0</v>
      </c>
      <c r="AI9" s="303">
        <f t="shared" si="28"/>
        <v>193</v>
      </c>
      <c r="AJ9" s="303">
        <f>-tanks!AW10</f>
        <v>193</v>
      </c>
      <c r="AK9" s="303">
        <f t="shared" si="29"/>
        <v>0</v>
      </c>
      <c r="AL9" s="303">
        <f t="shared" si="8"/>
        <v>2</v>
      </c>
      <c r="AM9" s="303">
        <f t="shared" si="30"/>
        <v>0</v>
      </c>
      <c r="AN9" s="537">
        <f t="shared" si="9"/>
        <v>65</v>
      </c>
      <c r="AO9" s="305">
        <f t="shared" si="31"/>
        <v>1950</v>
      </c>
      <c r="AP9" s="537">
        <f t="shared" si="10"/>
        <v>55</v>
      </c>
      <c r="AQ9" s="305">
        <f t="shared" si="32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3"/>
        <v>0.8</v>
      </c>
    </row>
    <row r="10" spans="1:52">
      <c r="A10" s="63">
        <f>ELEC!C9</f>
        <v>44536</v>
      </c>
      <c r="B10" s="537">
        <v>229</v>
      </c>
      <c r="C10" s="537">
        <v>239</v>
      </c>
      <c r="D10" s="45">
        <f t="shared" si="36"/>
        <v>2</v>
      </c>
      <c r="E10" s="45">
        <f t="shared" si="12"/>
        <v>16.760000000000002</v>
      </c>
      <c r="F10" s="537">
        <v>1928</v>
      </c>
      <c r="G10" s="52">
        <f t="shared" si="0"/>
        <v>2</v>
      </c>
      <c r="H10" s="537">
        <v>19916</v>
      </c>
      <c r="I10" s="380">
        <f t="shared" si="1"/>
        <v>110</v>
      </c>
      <c r="J10" s="66">
        <f t="shared" si="15"/>
        <v>55</v>
      </c>
      <c r="K10" s="537">
        <f t="shared" si="16"/>
        <v>2367</v>
      </c>
      <c r="L10" s="52">
        <f t="shared" si="17"/>
        <v>0</v>
      </c>
      <c r="M10" s="537">
        <f t="shared" si="18"/>
        <v>174784</v>
      </c>
      <c r="N10" s="380">
        <f t="shared" si="2"/>
        <v>0</v>
      </c>
      <c r="O10" s="64">
        <f t="shared" si="3"/>
        <v>1869</v>
      </c>
      <c r="P10" s="537">
        <f t="shared" si="3"/>
        <v>2137</v>
      </c>
      <c r="Q10" s="537">
        <f t="shared" si="3"/>
        <v>179335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9"/>
        <v>2</v>
      </c>
      <c r="V10" s="62">
        <f t="shared" si="20"/>
        <v>110</v>
      </c>
      <c r="W10" s="384">
        <f t="shared" si="21"/>
        <v>55</v>
      </c>
      <c r="X10" s="537">
        <f t="shared" si="22"/>
        <v>2480</v>
      </c>
      <c r="Y10" s="52">
        <f t="shared" si="23"/>
        <v>0</v>
      </c>
      <c r="Z10" s="537">
        <f t="shared" si="24"/>
        <v>139172.20000000001</v>
      </c>
      <c r="AA10" s="65">
        <f t="shared" si="6"/>
        <v>0</v>
      </c>
      <c r="AB10" s="273">
        <f t="shared" si="38"/>
        <v>0</v>
      </c>
      <c r="AC10" s="537">
        <f t="shared" si="25"/>
        <v>1943</v>
      </c>
      <c r="AD10" s="45">
        <f t="shared" si="7"/>
        <v>0</v>
      </c>
      <c r="AE10" s="537">
        <f t="shared" si="26"/>
        <v>366210</v>
      </c>
      <c r="AF10" s="293">
        <f t="shared" si="27"/>
        <v>0</v>
      </c>
      <c r="AG10" s="209">
        <f t="shared" si="39"/>
        <v>0</v>
      </c>
      <c r="AH10" s="62">
        <f t="shared" si="40"/>
        <v>0</v>
      </c>
      <c r="AI10" s="303">
        <f>SUM(AH10+V10)</f>
        <v>110</v>
      </c>
      <c r="AJ10" s="303">
        <f>-tanks!AW11</f>
        <v>110</v>
      </c>
      <c r="AK10" s="303">
        <f t="shared" si="29"/>
        <v>0</v>
      </c>
      <c r="AL10" s="303">
        <f t="shared" si="8"/>
        <v>2</v>
      </c>
      <c r="AM10" s="303">
        <f t="shared" si="30"/>
        <v>0</v>
      </c>
      <c r="AN10" s="537">
        <f t="shared" si="9"/>
        <v>65</v>
      </c>
      <c r="AO10" s="305">
        <f t="shared" si="31"/>
        <v>1950</v>
      </c>
      <c r="AP10" s="537">
        <f t="shared" si="10"/>
        <v>55</v>
      </c>
      <c r="AQ10" s="305">
        <f t="shared" si="32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3"/>
        <v>0.8</v>
      </c>
    </row>
    <row r="11" spans="1:52">
      <c r="A11" s="63">
        <f>ELEC!C10</f>
        <v>44537</v>
      </c>
      <c r="B11" s="537">
        <v>221</v>
      </c>
      <c r="C11" s="537">
        <v>226</v>
      </c>
      <c r="D11" s="45">
        <f t="shared" si="36"/>
        <v>13</v>
      </c>
      <c r="E11" s="45">
        <f t="shared" si="12"/>
        <v>108.94000000000001</v>
      </c>
      <c r="F11" s="537">
        <v>1929</v>
      </c>
      <c r="G11" s="52">
        <f t="shared" si="0"/>
        <v>1</v>
      </c>
      <c r="H11" s="537">
        <v>20035</v>
      </c>
      <c r="I11" s="380">
        <f t="shared" si="1"/>
        <v>119</v>
      </c>
      <c r="J11" s="66">
        <f t="shared" si="15"/>
        <v>119</v>
      </c>
      <c r="K11" s="537">
        <f t="shared" si="16"/>
        <v>2367</v>
      </c>
      <c r="L11" s="52">
        <f t="shared" si="17"/>
        <v>0</v>
      </c>
      <c r="M11" s="537">
        <f t="shared" si="18"/>
        <v>174784</v>
      </c>
      <c r="N11" s="380">
        <f t="shared" si="2"/>
        <v>0</v>
      </c>
      <c r="O11" s="64">
        <f t="shared" si="3"/>
        <v>1869</v>
      </c>
      <c r="P11" s="537">
        <f t="shared" si="3"/>
        <v>2137</v>
      </c>
      <c r="Q11" s="537">
        <f t="shared" si="3"/>
        <v>179335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9"/>
        <v>1</v>
      </c>
      <c r="V11" s="62">
        <f t="shared" si="20"/>
        <v>119</v>
      </c>
      <c r="W11" s="384">
        <f t="shared" si="21"/>
        <v>119</v>
      </c>
      <c r="X11" s="537">
        <f t="shared" si="22"/>
        <v>2480</v>
      </c>
      <c r="Y11" s="52">
        <f t="shared" si="23"/>
        <v>0</v>
      </c>
      <c r="Z11" s="537">
        <f t="shared" si="24"/>
        <v>139172.20000000001</v>
      </c>
      <c r="AA11" s="65">
        <f t="shared" si="6"/>
        <v>0</v>
      </c>
      <c r="AB11" s="273">
        <f t="shared" si="38"/>
        <v>0</v>
      </c>
      <c r="AC11" s="537">
        <f t="shared" si="25"/>
        <v>1943</v>
      </c>
      <c r="AD11" s="45">
        <f t="shared" si="7"/>
        <v>0</v>
      </c>
      <c r="AE11" s="537">
        <f t="shared" si="26"/>
        <v>366210</v>
      </c>
      <c r="AF11" s="293">
        <f t="shared" si="27"/>
        <v>0</v>
      </c>
      <c r="AG11" s="209">
        <f t="shared" si="39"/>
        <v>0</v>
      </c>
      <c r="AH11" s="62">
        <f>AF11+AA11</f>
        <v>0</v>
      </c>
      <c r="AI11" s="303">
        <f>SUM(AH11+V11)</f>
        <v>119</v>
      </c>
      <c r="AJ11" s="303">
        <f>-tanks!AW12</f>
        <v>119</v>
      </c>
      <c r="AK11" s="303">
        <f t="shared" si="29"/>
        <v>0</v>
      </c>
      <c r="AL11" s="303">
        <f t="shared" si="8"/>
        <v>1</v>
      </c>
      <c r="AM11" s="303">
        <f t="shared" si="30"/>
        <v>0</v>
      </c>
      <c r="AN11" s="537">
        <f t="shared" si="9"/>
        <v>65</v>
      </c>
      <c r="AO11" s="305">
        <f t="shared" si="31"/>
        <v>1950</v>
      </c>
      <c r="AP11" s="537">
        <f t="shared" si="10"/>
        <v>55</v>
      </c>
      <c r="AQ11" s="305">
        <f t="shared" si="32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3"/>
        <v>0.8</v>
      </c>
    </row>
    <row r="12" spans="1:52">
      <c r="A12" s="63">
        <f>ELEC!C11</f>
        <v>44538</v>
      </c>
      <c r="B12" s="537">
        <v>214</v>
      </c>
      <c r="C12" s="537">
        <v>221</v>
      </c>
      <c r="D12" s="45">
        <f t="shared" si="36"/>
        <v>5</v>
      </c>
      <c r="E12" s="45">
        <f t="shared" si="12"/>
        <v>41.900000000000006</v>
      </c>
      <c r="F12" s="537">
        <v>1930</v>
      </c>
      <c r="G12" s="52">
        <f t="shared" si="0"/>
        <v>1</v>
      </c>
      <c r="H12" s="537">
        <v>20124</v>
      </c>
      <c r="I12" s="380">
        <f t="shared" si="1"/>
        <v>89</v>
      </c>
      <c r="J12" s="66">
        <f t="shared" si="15"/>
        <v>89</v>
      </c>
      <c r="K12" s="537">
        <f t="shared" si="16"/>
        <v>2367</v>
      </c>
      <c r="L12" s="52">
        <f t="shared" si="17"/>
        <v>0</v>
      </c>
      <c r="M12" s="537">
        <f t="shared" si="18"/>
        <v>174784</v>
      </c>
      <c r="N12" s="380">
        <f t="shared" si="2"/>
        <v>0</v>
      </c>
      <c r="O12" s="64">
        <f t="shared" si="3"/>
        <v>1869</v>
      </c>
      <c r="P12" s="537">
        <f t="shared" si="3"/>
        <v>2137</v>
      </c>
      <c r="Q12" s="537">
        <f t="shared" si="3"/>
        <v>179335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9"/>
        <v>1</v>
      </c>
      <c r="V12" s="62">
        <v>0</v>
      </c>
      <c r="W12" s="384">
        <f t="shared" si="21"/>
        <v>0</v>
      </c>
      <c r="X12" s="537">
        <f t="shared" si="22"/>
        <v>2480</v>
      </c>
      <c r="Y12" s="52">
        <f t="shared" si="23"/>
        <v>0</v>
      </c>
      <c r="Z12" s="537">
        <f t="shared" si="24"/>
        <v>139172.20000000001</v>
      </c>
      <c r="AA12" s="65">
        <f t="shared" si="6"/>
        <v>0</v>
      </c>
      <c r="AB12" s="273">
        <f t="shared" si="38"/>
        <v>0</v>
      </c>
      <c r="AC12" s="537">
        <f t="shared" si="25"/>
        <v>1943</v>
      </c>
      <c r="AD12" s="45">
        <f t="shared" si="7"/>
        <v>0</v>
      </c>
      <c r="AE12" s="537">
        <f t="shared" si="26"/>
        <v>366210</v>
      </c>
      <c r="AF12" s="293">
        <f t="shared" si="27"/>
        <v>0</v>
      </c>
      <c r="AG12" s="209">
        <f t="shared" si="39"/>
        <v>0</v>
      </c>
      <c r="AH12" s="62">
        <f t="shared" si="40"/>
        <v>0</v>
      </c>
      <c r="AI12" s="303">
        <f t="shared" si="28"/>
        <v>0</v>
      </c>
      <c r="AJ12" s="303">
        <f>-tanks!AW13</f>
        <v>0</v>
      </c>
      <c r="AK12" s="303">
        <f t="shared" si="29"/>
        <v>0</v>
      </c>
      <c r="AL12" s="303">
        <f t="shared" si="8"/>
        <v>1</v>
      </c>
      <c r="AM12" s="303">
        <f t="shared" si="30"/>
        <v>0</v>
      </c>
      <c r="AN12" s="537">
        <f t="shared" si="9"/>
        <v>65</v>
      </c>
      <c r="AO12" s="305">
        <f t="shared" si="31"/>
        <v>1950</v>
      </c>
      <c r="AP12" s="537">
        <f t="shared" si="10"/>
        <v>55</v>
      </c>
      <c r="AQ12" s="305">
        <f t="shared" si="32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3"/>
        <v>0.8</v>
      </c>
    </row>
    <row r="13" spans="1:52">
      <c r="A13" s="63">
        <f>ELEC!C12</f>
        <v>44539</v>
      </c>
      <c r="B13" s="537">
        <v>207</v>
      </c>
      <c r="C13" s="537">
        <v>214</v>
      </c>
      <c r="D13" s="45">
        <f t="shared" si="36"/>
        <v>7</v>
      </c>
      <c r="E13" s="45">
        <f t="shared" si="12"/>
        <v>58.660000000000004</v>
      </c>
      <c r="F13" s="537">
        <v>1931</v>
      </c>
      <c r="G13" s="52">
        <f t="shared" si="0"/>
        <v>1</v>
      </c>
      <c r="H13" s="537">
        <v>20194</v>
      </c>
      <c r="I13" s="380">
        <f t="shared" si="1"/>
        <v>70</v>
      </c>
      <c r="J13" s="66">
        <f t="shared" si="15"/>
        <v>70</v>
      </c>
      <c r="K13" s="537">
        <f t="shared" si="16"/>
        <v>2367</v>
      </c>
      <c r="L13" s="52">
        <f t="shared" si="17"/>
        <v>0</v>
      </c>
      <c r="M13" s="537">
        <f t="shared" si="18"/>
        <v>174784</v>
      </c>
      <c r="N13" s="380">
        <f t="shared" si="2"/>
        <v>0</v>
      </c>
      <c r="O13" s="64">
        <f t="shared" si="3"/>
        <v>1869</v>
      </c>
      <c r="P13" s="537">
        <f t="shared" si="3"/>
        <v>2137</v>
      </c>
      <c r="Q13" s="537">
        <f t="shared" si="3"/>
        <v>179335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9"/>
        <v>1</v>
      </c>
      <c r="V13" s="62">
        <v>0</v>
      </c>
      <c r="W13" s="384">
        <f t="shared" si="21"/>
        <v>0</v>
      </c>
      <c r="X13" s="537">
        <f t="shared" si="22"/>
        <v>2480</v>
      </c>
      <c r="Y13" s="52">
        <f t="shared" si="23"/>
        <v>0</v>
      </c>
      <c r="Z13" s="537">
        <f t="shared" si="24"/>
        <v>139172.20000000001</v>
      </c>
      <c r="AA13" s="273">
        <f t="shared" si="6"/>
        <v>0</v>
      </c>
      <c r="AB13" s="273">
        <f t="shared" si="38"/>
        <v>0</v>
      </c>
      <c r="AC13" s="537">
        <f t="shared" si="25"/>
        <v>1943</v>
      </c>
      <c r="AD13" s="45">
        <f t="shared" si="7"/>
        <v>0</v>
      </c>
      <c r="AE13" s="537">
        <f t="shared" si="26"/>
        <v>366210</v>
      </c>
      <c r="AF13" s="293">
        <f t="shared" si="27"/>
        <v>0</v>
      </c>
      <c r="AG13" s="209">
        <f t="shared" si="39"/>
        <v>0</v>
      </c>
      <c r="AH13" s="62">
        <f t="shared" si="40"/>
        <v>0</v>
      </c>
      <c r="AI13" s="303">
        <f t="shared" si="28"/>
        <v>0</v>
      </c>
      <c r="AJ13" s="303">
        <f>-tanks!AW14</f>
        <v>0</v>
      </c>
      <c r="AK13" s="303">
        <f t="shared" si="29"/>
        <v>0</v>
      </c>
      <c r="AL13" s="303">
        <f t="shared" si="8"/>
        <v>1</v>
      </c>
      <c r="AM13" s="303">
        <f t="shared" si="30"/>
        <v>0</v>
      </c>
      <c r="AN13" s="537">
        <f t="shared" si="9"/>
        <v>65</v>
      </c>
      <c r="AO13" s="305">
        <f t="shared" si="31"/>
        <v>1950</v>
      </c>
      <c r="AP13" s="537">
        <f t="shared" si="10"/>
        <v>55</v>
      </c>
      <c r="AQ13" s="305">
        <f t="shared" si="32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3"/>
        <v>0.8</v>
      </c>
    </row>
    <row r="14" spans="1:52">
      <c r="A14" s="63">
        <f>ELEC!C13</f>
        <v>44540</v>
      </c>
      <c r="B14" s="537">
        <f t="shared" si="34"/>
        <v>207</v>
      </c>
      <c r="C14" s="537">
        <f t="shared" si="35"/>
        <v>214</v>
      </c>
      <c r="D14" s="45">
        <f t="shared" si="36"/>
        <v>0</v>
      </c>
      <c r="E14" s="45">
        <f t="shared" si="12"/>
        <v>0</v>
      </c>
      <c r="F14" s="537">
        <f t="shared" si="13"/>
        <v>1931</v>
      </c>
      <c r="G14" s="52">
        <f t="shared" si="0"/>
        <v>0</v>
      </c>
      <c r="H14" s="537">
        <f t="shared" si="14"/>
        <v>20194</v>
      </c>
      <c r="I14" s="380">
        <f t="shared" si="1"/>
        <v>0</v>
      </c>
      <c r="J14" s="66">
        <f t="shared" si="15"/>
        <v>0</v>
      </c>
      <c r="K14" s="537">
        <f t="shared" si="16"/>
        <v>2367</v>
      </c>
      <c r="L14" s="52">
        <f t="shared" si="17"/>
        <v>0</v>
      </c>
      <c r="M14" s="537">
        <f t="shared" si="18"/>
        <v>174784</v>
      </c>
      <c r="N14" s="380">
        <f t="shared" si="2"/>
        <v>0</v>
      </c>
      <c r="O14" s="64">
        <f t="shared" si="3"/>
        <v>1869</v>
      </c>
      <c r="P14" s="537">
        <f t="shared" si="3"/>
        <v>2137</v>
      </c>
      <c r="Q14" s="537">
        <f t="shared" si="3"/>
        <v>179335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9"/>
        <v>0</v>
      </c>
      <c r="V14" s="62">
        <f t="shared" si="20"/>
        <v>0</v>
      </c>
      <c r="W14" s="384" t="e">
        <f t="shared" si="21"/>
        <v>#DIV/0!</v>
      </c>
      <c r="X14" s="537">
        <f t="shared" si="22"/>
        <v>2480</v>
      </c>
      <c r="Y14" s="52">
        <f t="shared" si="23"/>
        <v>0</v>
      </c>
      <c r="Z14" s="537">
        <f t="shared" si="24"/>
        <v>139172.20000000001</v>
      </c>
      <c r="AA14" s="65">
        <f t="shared" si="6"/>
        <v>0</v>
      </c>
      <c r="AB14" s="273">
        <f t="shared" si="38"/>
        <v>0</v>
      </c>
      <c r="AC14" s="537">
        <f t="shared" si="25"/>
        <v>1943</v>
      </c>
      <c r="AD14" s="45">
        <f t="shared" si="7"/>
        <v>0</v>
      </c>
      <c r="AE14" s="537">
        <f t="shared" si="26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9"/>
        <v>0</v>
      </c>
      <c r="AL14" s="303">
        <f t="shared" si="8"/>
        <v>0</v>
      </c>
      <c r="AM14" s="303">
        <f t="shared" si="30"/>
        <v>0</v>
      </c>
      <c r="AN14" s="537">
        <f t="shared" si="9"/>
        <v>65</v>
      </c>
      <c r="AO14" s="305">
        <f t="shared" si="31"/>
        <v>1950</v>
      </c>
      <c r="AP14" s="537">
        <f t="shared" si="10"/>
        <v>55</v>
      </c>
      <c r="AQ14" s="305">
        <f t="shared" si="32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3"/>
        <v>0.8</v>
      </c>
    </row>
    <row r="15" spans="1:52" ht="15" customHeight="1">
      <c r="A15" s="63">
        <f>ELEC!C14</f>
        <v>44541</v>
      </c>
      <c r="B15" s="537">
        <f t="shared" si="34"/>
        <v>207</v>
      </c>
      <c r="C15" s="537">
        <f t="shared" si="35"/>
        <v>214</v>
      </c>
      <c r="D15" s="45">
        <f t="shared" si="36"/>
        <v>0</v>
      </c>
      <c r="E15" s="45">
        <f t="shared" si="12"/>
        <v>0</v>
      </c>
      <c r="F15" s="537">
        <f t="shared" si="13"/>
        <v>1931</v>
      </c>
      <c r="G15" s="52">
        <f t="shared" si="0"/>
        <v>0</v>
      </c>
      <c r="H15" s="537">
        <f t="shared" si="14"/>
        <v>20194</v>
      </c>
      <c r="I15" s="380">
        <f t="shared" si="1"/>
        <v>0</v>
      </c>
      <c r="J15" s="66">
        <f t="shared" si="15"/>
        <v>0</v>
      </c>
      <c r="K15" s="537">
        <f t="shared" si="16"/>
        <v>2367</v>
      </c>
      <c r="L15" s="52">
        <f t="shared" si="17"/>
        <v>0</v>
      </c>
      <c r="M15" s="537">
        <f t="shared" si="18"/>
        <v>174784</v>
      </c>
      <c r="N15" s="380">
        <f t="shared" si="2"/>
        <v>0</v>
      </c>
      <c r="O15" s="64">
        <f t="shared" si="3"/>
        <v>1869</v>
      </c>
      <c r="P15" s="537">
        <f t="shared" si="3"/>
        <v>2137</v>
      </c>
      <c r="Q15" s="537">
        <f t="shared" si="3"/>
        <v>179335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9"/>
        <v>0</v>
      </c>
      <c r="V15" s="62">
        <f t="shared" si="20"/>
        <v>0</v>
      </c>
      <c r="W15" s="384" t="e">
        <f t="shared" si="21"/>
        <v>#DIV/0!</v>
      </c>
      <c r="X15" s="537">
        <f t="shared" si="22"/>
        <v>2480</v>
      </c>
      <c r="Y15" s="52">
        <f t="shared" si="23"/>
        <v>0</v>
      </c>
      <c r="Z15" s="537">
        <f t="shared" si="24"/>
        <v>139172.20000000001</v>
      </c>
      <c r="AA15" s="65">
        <f t="shared" si="6"/>
        <v>0</v>
      </c>
      <c r="AB15" s="273">
        <f t="shared" si="38"/>
        <v>0</v>
      </c>
      <c r="AC15" s="537">
        <f t="shared" si="25"/>
        <v>1943</v>
      </c>
      <c r="AD15" s="45">
        <f t="shared" si="7"/>
        <v>0</v>
      </c>
      <c r="AE15" s="537">
        <f t="shared" si="26"/>
        <v>366210</v>
      </c>
      <c r="AF15" s="293">
        <f t="shared" si="27"/>
        <v>0</v>
      </c>
      <c r="AG15" s="209">
        <f t="shared" si="39"/>
        <v>0</v>
      </c>
      <c r="AH15" s="62">
        <f t="shared" si="40"/>
        <v>0</v>
      </c>
      <c r="AI15" s="303">
        <f t="shared" si="28"/>
        <v>0</v>
      </c>
      <c r="AJ15" s="303">
        <f>-tanks!AW16</f>
        <v>0</v>
      </c>
      <c r="AK15" s="303">
        <f t="shared" si="29"/>
        <v>0</v>
      </c>
      <c r="AL15" s="303">
        <f t="shared" si="8"/>
        <v>0</v>
      </c>
      <c r="AM15" s="303">
        <f t="shared" si="30"/>
        <v>0</v>
      </c>
      <c r="AN15" s="537">
        <f t="shared" si="9"/>
        <v>65</v>
      </c>
      <c r="AO15" s="305">
        <f t="shared" si="31"/>
        <v>1950</v>
      </c>
      <c r="AP15" s="537">
        <f t="shared" si="10"/>
        <v>55</v>
      </c>
      <c r="AQ15" s="305">
        <f t="shared" si="32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3"/>
        <v>0.8</v>
      </c>
    </row>
    <row r="16" spans="1:52">
      <c r="A16" s="63">
        <f>ELEC!C15</f>
        <v>44542</v>
      </c>
      <c r="B16" s="537">
        <f t="shared" si="34"/>
        <v>207</v>
      </c>
      <c r="C16" s="537">
        <f t="shared" si="35"/>
        <v>214</v>
      </c>
      <c r="D16" s="45">
        <f t="shared" si="36"/>
        <v>0</v>
      </c>
      <c r="E16" s="45">
        <f t="shared" si="12"/>
        <v>0</v>
      </c>
      <c r="F16" s="537">
        <f t="shared" si="13"/>
        <v>1931</v>
      </c>
      <c r="G16" s="52">
        <f t="shared" si="0"/>
        <v>0</v>
      </c>
      <c r="H16" s="537">
        <f t="shared" si="14"/>
        <v>20194</v>
      </c>
      <c r="I16" s="380">
        <f t="shared" si="1"/>
        <v>0</v>
      </c>
      <c r="J16" s="66">
        <f t="shared" si="15"/>
        <v>0</v>
      </c>
      <c r="K16" s="537">
        <f t="shared" si="16"/>
        <v>2367</v>
      </c>
      <c r="L16" s="52">
        <f t="shared" si="17"/>
        <v>0</v>
      </c>
      <c r="M16" s="537">
        <f t="shared" si="18"/>
        <v>174784</v>
      </c>
      <c r="N16" s="380">
        <f t="shared" si="2"/>
        <v>0</v>
      </c>
      <c r="O16" s="64">
        <f t="shared" si="3"/>
        <v>1869</v>
      </c>
      <c r="P16" s="537">
        <f t="shared" si="3"/>
        <v>2137</v>
      </c>
      <c r="Q16" s="537">
        <f t="shared" si="3"/>
        <v>179335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9"/>
        <v>0</v>
      </c>
      <c r="V16" s="62">
        <f t="shared" si="20"/>
        <v>0</v>
      </c>
      <c r="W16" s="384" t="e">
        <f t="shared" si="21"/>
        <v>#DIV/0!</v>
      </c>
      <c r="X16" s="537">
        <f t="shared" si="22"/>
        <v>2480</v>
      </c>
      <c r="Y16" s="52">
        <f t="shared" si="23"/>
        <v>0</v>
      </c>
      <c r="Z16" s="537">
        <f t="shared" si="24"/>
        <v>139172.20000000001</v>
      </c>
      <c r="AA16" s="65">
        <f t="shared" si="6"/>
        <v>0</v>
      </c>
      <c r="AB16" s="273">
        <f t="shared" si="38"/>
        <v>0</v>
      </c>
      <c r="AC16" s="537">
        <f t="shared" si="25"/>
        <v>1943</v>
      </c>
      <c r="AD16" s="45">
        <f t="shared" si="7"/>
        <v>0</v>
      </c>
      <c r="AE16" s="537">
        <f t="shared" si="26"/>
        <v>366210</v>
      </c>
      <c r="AF16" s="293">
        <f t="shared" si="27"/>
        <v>0</v>
      </c>
      <c r="AG16" s="209">
        <f t="shared" si="39"/>
        <v>0</v>
      </c>
      <c r="AH16" s="62">
        <f t="shared" si="40"/>
        <v>0</v>
      </c>
      <c r="AI16" s="303">
        <f t="shared" si="28"/>
        <v>0</v>
      </c>
      <c r="AJ16" s="303">
        <f>-tanks!AW17</f>
        <v>0</v>
      </c>
      <c r="AK16" s="303">
        <f t="shared" si="29"/>
        <v>0</v>
      </c>
      <c r="AL16" s="303">
        <f t="shared" si="8"/>
        <v>0</v>
      </c>
      <c r="AM16" s="303">
        <f t="shared" si="30"/>
        <v>0</v>
      </c>
      <c r="AN16" s="537">
        <f t="shared" si="9"/>
        <v>65</v>
      </c>
      <c r="AO16" s="305">
        <f t="shared" si="31"/>
        <v>1950</v>
      </c>
      <c r="AP16" s="537">
        <f t="shared" si="10"/>
        <v>55</v>
      </c>
      <c r="AQ16" s="305">
        <f t="shared" si="32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3"/>
        <v>0.8</v>
      </c>
    </row>
    <row r="17" spans="1:50">
      <c r="A17" s="63">
        <f>ELEC!C16</f>
        <v>44543</v>
      </c>
      <c r="B17" s="537">
        <f t="shared" si="34"/>
        <v>207</v>
      </c>
      <c r="C17" s="537">
        <f t="shared" si="35"/>
        <v>214</v>
      </c>
      <c r="D17" s="45">
        <f t="shared" si="36"/>
        <v>0</v>
      </c>
      <c r="E17" s="45">
        <f t="shared" si="12"/>
        <v>0</v>
      </c>
      <c r="F17" s="537">
        <f t="shared" si="13"/>
        <v>1931</v>
      </c>
      <c r="G17" s="52">
        <f t="shared" si="0"/>
        <v>0</v>
      </c>
      <c r="H17" s="537">
        <f t="shared" si="14"/>
        <v>20194</v>
      </c>
      <c r="I17" s="380">
        <f t="shared" si="1"/>
        <v>0</v>
      </c>
      <c r="J17" s="66">
        <f t="shared" si="15"/>
        <v>0</v>
      </c>
      <c r="K17" s="537">
        <f t="shared" si="16"/>
        <v>2367</v>
      </c>
      <c r="L17" s="52">
        <f t="shared" si="17"/>
        <v>0</v>
      </c>
      <c r="M17" s="537">
        <f t="shared" si="18"/>
        <v>174784</v>
      </c>
      <c r="N17" s="380">
        <f t="shared" si="2"/>
        <v>0</v>
      </c>
      <c r="O17" s="64">
        <f t="shared" si="3"/>
        <v>1869</v>
      </c>
      <c r="P17" s="537">
        <f t="shared" si="3"/>
        <v>2137</v>
      </c>
      <c r="Q17" s="537">
        <f t="shared" si="3"/>
        <v>179335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9"/>
        <v>0</v>
      </c>
      <c r="V17" s="62">
        <f t="shared" si="20"/>
        <v>0</v>
      </c>
      <c r="W17" s="384"/>
      <c r="X17" s="537">
        <f t="shared" si="22"/>
        <v>2480</v>
      </c>
      <c r="Y17" s="52">
        <f t="shared" si="23"/>
        <v>0</v>
      </c>
      <c r="Z17" s="537">
        <f t="shared" si="24"/>
        <v>139172.20000000001</v>
      </c>
      <c r="AA17" s="65">
        <f t="shared" si="6"/>
        <v>0</v>
      </c>
      <c r="AB17" s="273">
        <f t="shared" si="38"/>
        <v>0</v>
      </c>
      <c r="AC17" s="537">
        <f t="shared" si="25"/>
        <v>1943</v>
      </c>
      <c r="AD17" s="45">
        <f t="shared" si="7"/>
        <v>0</v>
      </c>
      <c r="AE17" s="537">
        <f t="shared" si="26"/>
        <v>366210</v>
      </c>
      <c r="AF17" s="293">
        <f t="shared" si="27"/>
        <v>0</v>
      </c>
      <c r="AG17" s="209">
        <f t="shared" si="39"/>
        <v>0</v>
      </c>
      <c r="AH17" s="62">
        <f t="shared" si="40"/>
        <v>0</v>
      </c>
      <c r="AI17" s="303">
        <f t="shared" si="28"/>
        <v>0</v>
      </c>
      <c r="AJ17" s="303">
        <f>-tanks!AW18</f>
        <v>0</v>
      </c>
      <c r="AK17" s="303">
        <f t="shared" si="29"/>
        <v>0</v>
      </c>
      <c r="AL17" s="303">
        <f t="shared" si="8"/>
        <v>0</v>
      </c>
      <c r="AM17" s="303">
        <f t="shared" si="30"/>
        <v>0</v>
      </c>
      <c r="AN17" s="537">
        <f t="shared" si="9"/>
        <v>65</v>
      </c>
      <c r="AO17" s="305">
        <f t="shared" si="31"/>
        <v>1950</v>
      </c>
      <c r="AP17" s="537">
        <f t="shared" si="10"/>
        <v>55</v>
      </c>
      <c r="AQ17" s="305">
        <f t="shared" si="32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3"/>
        <v>0.8</v>
      </c>
    </row>
    <row r="18" spans="1:50">
      <c r="A18" s="63">
        <f>ELEC!C17</f>
        <v>44544</v>
      </c>
      <c r="B18" s="537">
        <f t="shared" si="34"/>
        <v>207</v>
      </c>
      <c r="C18" s="537">
        <f t="shared" si="35"/>
        <v>214</v>
      </c>
      <c r="D18" s="45">
        <f t="shared" si="36"/>
        <v>0</v>
      </c>
      <c r="E18" s="45">
        <f t="shared" si="12"/>
        <v>0</v>
      </c>
      <c r="F18" s="537">
        <f t="shared" si="13"/>
        <v>1931</v>
      </c>
      <c r="G18" s="52">
        <f t="shared" si="0"/>
        <v>0</v>
      </c>
      <c r="H18" s="537">
        <f t="shared" si="14"/>
        <v>20194</v>
      </c>
      <c r="I18" s="380">
        <f t="shared" si="1"/>
        <v>0</v>
      </c>
      <c r="J18" s="66">
        <f t="shared" si="15"/>
        <v>0</v>
      </c>
      <c r="K18" s="537">
        <f t="shared" si="16"/>
        <v>2367</v>
      </c>
      <c r="L18" s="52">
        <f t="shared" si="17"/>
        <v>0</v>
      </c>
      <c r="M18" s="537">
        <f t="shared" si="18"/>
        <v>174784</v>
      </c>
      <c r="N18" s="380">
        <f t="shared" si="2"/>
        <v>0</v>
      </c>
      <c r="O18" s="64">
        <v>1869</v>
      </c>
      <c r="P18" s="537">
        <f t="shared" ref="P18:P35" si="45">P17</f>
        <v>2137</v>
      </c>
      <c r="Q18" s="537">
        <f t="shared" ref="Q18:Q35" si="46">Q17</f>
        <v>179335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9"/>
        <v>0</v>
      </c>
      <c r="V18" s="62">
        <f t="shared" si="20"/>
        <v>0</v>
      </c>
      <c r="W18" s="384"/>
      <c r="X18" s="537">
        <f t="shared" si="22"/>
        <v>2480</v>
      </c>
      <c r="Y18" s="52">
        <f t="shared" si="23"/>
        <v>0</v>
      </c>
      <c r="Z18" s="537">
        <f t="shared" si="24"/>
        <v>139172.20000000001</v>
      </c>
      <c r="AA18" s="65">
        <f t="shared" si="6"/>
        <v>0</v>
      </c>
      <c r="AB18" s="273">
        <f t="shared" ref="AB18:AB23" si="47">SUM(Y18*$AB$2)</f>
        <v>0</v>
      </c>
      <c r="AC18" s="537">
        <f t="shared" si="25"/>
        <v>1943</v>
      </c>
      <c r="AD18" s="45">
        <f t="shared" si="7"/>
        <v>0</v>
      </c>
      <c r="AE18" s="537">
        <f t="shared" si="26"/>
        <v>366210</v>
      </c>
      <c r="AF18" s="293">
        <f t="shared" si="27"/>
        <v>0</v>
      </c>
      <c r="AG18" s="209">
        <f t="shared" si="39"/>
        <v>0</v>
      </c>
      <c r="AH18" s="62">
        <f t="shared" si="40"/>
        <v>0</v>
      </c>
      <c r="AI18" s="303">
        <f t="shared" si="28"/>
        <v>0</v>
      </c>
      <c r="AJ18" s="303">
        <f>-tanks!AW19</f>
        <v>0</v>
      </c>
      <c r="AK18" s="303">
        <f t="shared" si="29"/>
        <v>0</v>
      </c>
      <c r="AL18" s="303">
        <f t="shared" si="8"/>
        <v>0</v>
      </c>
      <c r="AM18" s="303">
        <f t="shared" si="30"/>
        <v>0</v>
      </c>
      <c r="AN18" s="537">
        <f t="shared" si="9"/>
        <v>65</v>
      </c>
      <c r="AO18" s="305">
        <f t="shared" si="31"/>
        <v>1950</v>
      </c>
      <c r="AP18" s="537">
        <f t="shared" si="10"/>
        <v>55</v>
      </c>
      <c r="AQ18" s="305">
        <f t="shared" si="32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3"/>
        <v>0.8</v>
      </c>
    </row>
    <row r="19" spans="1:50">
      <c r="A19" s="63">
        <f>ELEC!C18</f>
        <v>44545</v>
      </c>
      <c r="B19" s="537">
        <f t="shared" si="34"/>
        <v>207</v>
      </c>
      <c r="C19" s="537">
        <f t="shared" si="35"/>
        <v>214</v>
      </c>
      <c r="D19" s="45">
        <f t="shared" si="36"/>
        <v>0</v>
      </c>
      <c r="E19" s="45">
        <f t="shared" si="12"/>
        <v>0</v>
      </c>
      <c r="F19" s="537">
        <f t="shared" si="13"/>
        <v>1931</v>
      </c>
      <c r="G19" s="52">
        <f t="shared" si="0"/>
        <v>0</v>
      </c>
      <c r="H19" s="537">
        <f t="shared" si="14"/>
        <v>20194</v>
      </c>
      <c r="I19" s="380">
        <f t="shared" si="1"/>
        <v>0</v>
      </c>
      <c r="J19" s="66">
        <f t="shared" si="15"/>
        <v>0</v>
      </c>
      <c r="K19" s="537">
        <f t="shared" si="16"/>
        <v>2367</v>
      </c>
      <c r="L19" s="52">
        <f t="shared" si="17"/>
        <v>0</v>
      </c>
      <c r="M19" s="537">
        <f t="shared" si="18"/>
        <v>174784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2137</v>
      </c>
      <c r="Q19" s="537">
        <f t="shared" si="46"/>
        <v>179335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9"/>
        <v>0</v>
      </c>
      <c r="V19" s="62">
        <f t="shared" si="20"/>
        <v>0</v>
      </c>
      <c r="W19" s="384"/>
      <c r="X19" s="537">
        <f t="shared" si="22"/>
        <v>2480</v>
      </c>
      <c r="Y19" s="52">
        <f t="shared" si="23"/>
        <v>0</v>
      </c>
      <c r="Z19" s="537">
        <f t="shared" si="24"/>
        <v>139172.20000000001</v>
      </c>
      <c r="AA19" s="65">
        <f t="shared" si="6"/>
        <v>0</v>
      </c>
      <c r="AB19" s="273">
        <f t="shared" si="47"/>
        <v>0</v>
      </c>
      <c r="AC19" s="537">
        <f t="shared" si="25"/>
        <v>1943</v>
      </c>
      <c r="AD19" s="45">
        <f t="shared" si="7"/>
        <v>0</v>
      </c>
      <c r="AE19" s="537">
        <f t="shared" si="26"/>
        <v>366210</v>
      </c>
      <c r="AF19" s="293">
        <f t="shared" si="27"/>
        <v>0</v>
      </c>
      <c r="AG19" s="209">
        <f t="shared" si="39"/>
        <v>0</v>
      </c>
      <c r="AH19" s="62">
        <f t="shared" si="40"/>
        <v>0</v>
      </c>
      <c r="AI19" s="303">
        <f t="shared" si="28"/>
        <v>0</v>
      </c>
      <c r="AJ19" s="303">
        <f>-tanks!AW20</f>
        <v>0</v>
      </c>
      <c r="AK19" s="303">
        <f t="shared" si="29"/>
        <v>0</v>
      </c>
      <c r="AL19" s="303">
        <f t="shared" si="8"/>
        <v>0</v>
      </c>
      <c r="AM19" s="303">
        <f t="shared" si="30"/>
        <v>0</v>
      </c>
      <c r="AN19" s="537">
        <f t="shared" si="9"/>
        <v>65</v>
      </c>
      <c r="AO19" s="305">
        <f t="shared" si="31"/>
        <v>1950</v>
      </c>
      <c r="AP19" s="537">
        <f t="shared" si="10"/>
        <v>55</v>
      </c>
      <c r="AQ19" s="305">
        <f t="shared" si="32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3"/>
        <v>0.8</v>
      </c>
    </row>
    <row r="20" spans="1:50">
      <c r="A20" s="63">
        <f>ELEC!C19</f>
        <v>44546</v>
      </c>
      <c r="B20" s="537">
        <f t="shared" si="34"/>
        <v>207</v>
      </c>
      <c r="C20" s="537">
        <f t="shared" si="35"/>
        <v>214</v>
      </c>
      <c r="D20" s="45">
        <f>C19-C20</f>
        <v>0</v>
      </c>
      <c r="E20" s="45">
        <f t="shared" si="12"/>
        <v>0</v>
      </c>
      <c r="F20" s="537">
        <f t="shared" si="13"/>
        <v>1931</v>
      </c>
      <c r="G20" s="52">
        <f t="shared" si="0"/>
        <v>0</v>
      </c>
      <c r="H20" s="537">
        <f t="shared" si="14"/>
        <v>20194</v>
      </c>
      <c r="I20" s="380">
        <f t="shared" si="1"/>
        <v>0</v>
      </c>
      <c r="J20" s="66">
        <f t="shared" si="15"/>
        <v>0</v>
      </c>
      <c r="K20" s="537">
        <f t="shared" si="16"/>
        <v>2367</v>
      </c>
      <c r="L20" s="52">
        <f t="shared" si="17"/>
        <v>0</v>
      </c>
      <c r="M20" s="537">
        <f t="shared" si="18"/>
        <v>174784</v>
      </c>
      <c r="N20" s="380">
        <f t="shared" si="2"/>
        <v>0</v>
      </c>
      <c r="O20" s="64">
        <f t="shared" si="48"/>
        <v>1869</v>
      </c>
      <c r="P20" s="537">
        <f t="shared" si="45"/>
        <v>2137</v>
      </c>
      <c r="Q20" s="537">
        <f t="shared" si="46"/>
        <v>179335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9"/>
        <v>0</v>
      </c>
      <c r="V20" s="62">
        <f t="shared" si="20"/>
        <v>0</v>
      </c>
      <c r="W20" s="384"/>
      <c r="X20" s="537">
        <f t="shared" si="22"/>
        <v>2480</v>
      </c>
      <c r="Y20" s="52">
        <f t="shared" si="23"/>
        <v>0</v>
      </c>
      <c r="Z20" s="537">
        <f t="shared" si="24"/>
        <v>139172.20000000001</v>
      </c>
      <c r="AA20" s="65">
        <f t="shared" si="6"/>
        <v>0</v>
      </c>
      <c r="AB20" s="273">
        <f t="shared" si="47"/>
        <v>0</v>
      </c>
      <c r="AC20" s="537">
        <f t="shared" si="25"/>
        <v>1943</v>
      </c>
      <c r="AD20" s="45">
        <f t="shared" si="7"/>
        <v>0</v>
      </c>
      <c r="AE20" s="537">
        <f t="shared" si="26"/>
        <v>366210</v>
      </c>
      <c r="AF20" s="293">
        <f t="shared" si="27"/>
        <v>0</v>
      </c>
      <c r="AG20" s="209">
        <f t="shared" si="39"/>
        <v>0</v>
      </c>
      <c r="AH20" s="62">
        <f t="shared" si="40"/>
        <v>0</v>
      </c>
      <c r="AI20" s="303">
        <f t="shared" si="28"/>
        <v>0</v>
      </c>
      <c r="AJ20" s="303">
        <f>-tanks!AW21</f>
        <v>0</v>
      </c>
      <c r="AK20" s="303">
        <f t="shared" si="29"/>
        <v>0</v>
      </c>
      <c r="AL20" s="303">
        <f t="shared" si="8"/>
        <v>0</v>
      </c>
      <c r="AM20" s="303">
        <f t="shared" si="30"/>
        <v>0</v>
      </c>
      <c r="AN20" s="537">
        <f t="shared" si="9"/>
        <v>65</v>
      </c>
      <c r="AO20" s="305">
        <f t="shared" si="31"/>
        <v>1950</v>
      </c>
      <c r="AP20" s="537">
        <f t="shared" si="10"/>
        <v>55</v>
      </c>
      <c r="AQ20" s="305">
        <f t="shared" si="32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3"/>
        <v>0.8</v>
      </c>
    </row>
    <row r="21" spans="1:50">
      <c r="A21" s="63">
        <f>ELEC!C20</f>
        <v>44547</v>
      </c>
      <c r="B21" s="537">
        <f t="shared" si="34"/>
        <v>207</v>
      </c>
      <c r="C21" s="537">
        <f t="shared" si="35"/>
        <v>214</v>
      </c>
      <c r="D21" s="45">
        <f t="shared" ref="D21:D32" si="49">C20-C21</f>
        <v>0</v>
      </c>
      <c r="E21" s="45">
        <f t="shared" si="12"/>
        <v>0</v>
      </c>
      <c r="F21" s="537">
        <f t="shared" si="13"/>
        <v>1931</v>
      </c>
      <c r="G21" s="52">
        <f t="shared" si="0"/>
        <v>0</v>
      </c>
      <c r="H21" s="537">
        <f t="shared" si="14"/>
        <v>20194</v>
      </c>
      <c r="I21" s="380">
        <f t="shared" si="1"/>
        <v>0</v>
      </c>
      <c r="J21" s="66">
        <f t="shared" si="15"/>
        <v>0</v>
      </c>
      <c r="K21" s="537">
        <f t="shared" si="16"/>
        <v>2367</v>
      </c>
      <c r="L21" s="52">
        <f t="shared" si="17"/>
        <v>0</v>
      </c>
      <c r="M21" s="537">
        <f t="shared" si="18"/>
        <v>174784</v>
      </c>
      <c r="N21" s="380">
        <f t="shared" si="2"/>
        <v>0</v>
      </c>
      <c r="O21" s="64">
        <f t="shared" si="48"/>
        <v>1869</v>
      </c>
      <c r="P21" s="537">
        <f t="shared" si="45"/>
        <v>2137</v>
      </c>
      <c r="Q21" s="537">
        <f t="shared" si="46"/>
        <v>179335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9"/>
        <v>0</v>
      </c>
      <c r="V21" s="62">
        <f t="shared" si="20"/>
        <v>0</v>
      </c>
      <c r="W21" s="384"/>
      <c r="X21" s="537">
        <f t="shared" si="22"/>
        <v>2480</v>
      </c>
      <c r="Y21" s="52">
        <f t="shared" si="23"/>
        <v>0</v>
      </c>
      <c r="Z21" s="537">
        <f t="shared" si="24"/>
        <v>139172.20000000001</v>
      </c>
      <c r="AA21" s="65">
        <f t="shared" si="6"/>
        <v>0</v>
      </c>
      <c r="AB21" s="273">
        <f t="shared" si="47"/>
        <v>0</v>
      </c>
      <c r="AC21" s="537">
        <f t="shared" si="25"/>
        <v>1943</v>
      </c>
      <c r="AD21" s="45">
        <f t="shared" si="7"/>
        <v>0</v>
      </c>
      <c r="AE21" s="537">
        <f t="shared" si="26"/>
        <v>366210</v>
      </c>
      <c r="AF21" s="293">
        <f t="shared" si="27"/>
        <v>0</v>
      </c>
      <c r="AG21" s="209">
        <f t="shared" si="39"/>
        <v>0</v>
      </c>
      <c r="AH21" s="62">
        <f t="shared" si="40"/>
        <v>0</v>
      </c>
      <c r="AI21" s="303">
        <f t="shared" si="28"/>
        <v>0</v>
      </c>
      <c r="AJ21" s="303">
        <f>-tanks!AW22</f>
        <v>0</v>
      </c>
      <c r="AK21" s="303">
        <f t="shared" si="29"/>
        <v>0</v>
      </c>
      <c r="AL21" s="303">
        <f t="shared" si="8"/>
        <v>0</v>
      </c>
      <c r="AM21" s="303">
        <f t="shared" si="30"/>
        <v>0</v>
      </c>
      <c r="AN21" s="537">
        <f t="shared" si="9"/>
        <v>65</v>
      </c>
      <c r="AO21" s="305">
        <f t="shared" si="31"/>
        <v>1950</v>
      </c>
      <c r="AP21" s="537">
        <f t="shared" si="10"/>
        <v>55</v>
      </c>
      <c r="AQ21" s="305">
        <f t="shared" si="32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3"/>
        <v>0.8</v>
      </c>
    </row>
    <row r="22" spans="1:50" ht="16.5" customHeight="1">
      <c r="A22" s="63">
        <f>ELEC!C21</f>
        <v>44548</v>
      </c>
      <c r="B22" s="537">
        <f t="shared" si="34"/>
        <v>207</v>
      </c>
      <c r="C22" s="537">
        <f t="shared" si="35"/>
        <v>214</v>
      </c>
      <c r="D22" s="45">
        <f t="shared" si="49"/>
        <v>0</v>
      </c>
      <c r="E22" s="45">
        <f t="shared" si="12"/>
        <v>0</v>
      </c>
      <c r="F22" s="537">
        <f t="shared" si="13"/>
        <v>1931</v>
      </c>
      <c r="G22" s="52">
        <f t="shared" si="0"/>
        <v>0</v>
      </c>
      <c r="H22" s="537">
        <f t="shared" si="14"/>
        <v>20194</v>
      </c>
      <c r="I22" s="380">
        <f t="shared" si="1"/>
        <v>0</v>
      </c>
      <c r="J22" s="66">
        <f t="shared" si="15"/>
        <v>0</v>
      </c>
      <c r="K22" s="537">
        <f t="shared" si="16"/>
        <v>2367</v>
      </c>
      <c r="L22" s="52">
        <f t="shared" si="17"/>
        <v>0</v>
      </c>
      <c r="M22" s="537">
        <f t="shared" si="18"/>
        <v>174784</v>
      </c>
      <c r="N22" s="380">
        <f t="shared" si="2"/>
        <v>0</v>
      </c>
      <c r="O22" s="64">
        <f t="shared" si="48"/>
        <v>1869</v>
      </c>
      <c r="P22" s="537">
        <f t="shared" si="45"/>
        <v>2137</v>
      </c>
      <c r="Q22" s="537">
        <f t="shared" si="46"/>
        <v>179335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9"/>
        <v>0</v>
      </c>
      <c r="V22" s="62">
        <f t="shared" si="20"/>
        <v>0</v>
      </c>
      <c r="W22" s="384"/>
      <c r="X22" s="537">
        <f t="shared" si="22"/>
        <v>2480</v>
      </c>
      <c r="Y22" s="52">
        <f t="shared" si="23"/>
        <v>0</v>
      </c>
      <c r="Z22" s="537">
        <f t="shared" si="24"/>
        <v>139172.20000000001</v>
      </c>
      <c r="AA22" s="65">
        <f t="shared" si="6"/>
        <v>0</v>
      </c>
      <c r="AB22" s="273">
        <f t="shared" si="47"/>
        <v>0</v>
      </c>
      <c r="AC22" s="537">
        <f t="shared" si="25"/>
        <v>1943</v>
      </c>
      <c r="AD22" s="45">
        <f t="shared" si="7"/>
        <v>0</v>
      </c>
      <c r="AE22" s="537">
        <f t="shared" si="26"/>
        <v>366210</v>
      </c>
      <c r="AF22" s="293">
        <f t="shared" si="27"/>
        <v>0</v>
      </c>
      <c r="AG22" s="209">
        <f t="shared" si="39"/>
        <v>0</v>
      </c>
      <c r="AH22" s="62">
        <f t="shared" si="40"/>
        <v>0</v>
      </c>
      <c r="AI22" s="303">
        <f t="shared" si="28"/>
        <v>0</v>
      </c>
      <c r="AJ22" s="303">
        <f>-tanks!AW23</f>
        <v>0</v>
      </c>
      <c r="AK22" s="303">
        <f t="shared" si="29"/>
        <v>0</v>
      </c>
      <c r="AL22" s="303">
        <f t="shared" si="8"/>
        <v>0</v>
      </c>
      <c r="AM22" s="303">
        <f t="shared" si="30"/>
        <v>0</v>
      </c>
      <c r="AN22" s="537">
        <f t="shared" si="9"/>
        <v>65</v>
      </c>
      <c r="AO22" s="305">
        <f t="shared" si="31"/>
        <v>1950</v>
      </c>
      <c r="AP22" s="537">
        <f t="shared" si="10"/>
        <v>55</v>
      </c>
      <c r="AQ22" s="305">
        <f t="shared" si="32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3"/>
        <v>0.8</v>
      </c>
    </row>
    <row r="23" spans="1:50">
      <c r="A23" s="63">
        <f>ELEC!C22</f>
        <v>44549</v>
      </c>
      <c r="B23" s="537">
        <f t="shared" si="34"/>
        <v>207</v>
      </c>
      <c r="C23" s="537">
        <f t="shared" si="35"/>
        <v>214</v>
      </c>
      <c r="D23" s="45">
        <f t="shared" si="49"/>
        <v>0</v>
      </c>
      <c r="E23" s="45">
        <f t="shared" si="12"/>
        <v>0</v>
      </c>
      <c r="F23" s="537">
        <f t="shared" si="13"/>
        <v>1931</v>
      </c>
      <c r="G23" s="52">
        <f t="shared" si="0"/>
        <v>0</v>
      </c>
      <c r="H23" s="537">
        <f t="shared" si="14"/>
        <v>20194</v>
      </c>
      <c r="I23" s="380">
        <f t="shared" si="1"/>
        <v>0</v>
      </c>
      <c r="J23" s="66">
        <f t="shared" si="15"/>
        <v>0</v>
      </c>
      <c r="K23" s="537">
        <f t="shared" si="16"/>
        <v>2367</v>
      </c>
      <c r="L23" s="52">
        <f t="shared" si="17"/>
        <v>0</v>
      </c>
      <c r="M23" s="537">
        <f t="shared" si="18"/>
        <v>174784</v>
      </c>
      <c r="N23" s="380">
        <f t="shared" si="2"/>
        <v>0</v>
      </c>
      <c r="O23" s="64">
        <f t="shared" si="48"/>
        <v>1869</v>
      </c>
      <c r="P23" s="537">
        <f t="shared" si="45"/>
        <v>2137</v>
      </c>
      <c r="Q23" s="537">
        <f t="shared" si="46"/>
        <v>179335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9"/>
        <v>0</v>
      </c>
      <c r="V23" s="62">
        <f t="shared" si="20"/>
        <v>0</v>
      </c>
      <c r="W23" s="384"/>
      <c r="X23" s="537">
        <f t="shared" si="22"/>
        <v>2480</v>
      </c>
      <c r="Y23" s="52">
        <f t="shared" si="23"/>
        <v>0</v>
      </c>
      <c r="Z23" s="537">
        <f t="shared" si="24"/>
        <v>139172.20000000001</v>
      </c>
      <c r="AA23" s="65">
        <f t="shared" si="6"/>
        <v>0</v>
      </c>
      <c r="AB23" s="273">
        <f t="shared" si="47"/>
        <v>0</v>
      </c>
      <c r="AC23" s="537">
        <f t="shared" si="25"/>
        <v>1943</v>
      </c>
      <c r="AD23" s="45">
        <f t="shared" si="7"/>
        <v>0</v>
      </c>
      <c r="AE23" s="537">
        <f t="shared" si="26"/>
        <v>366210</v>
      </c>
      <c r="AF23" s="293">
        <f t="shared" si="27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65</v>
      </c>
      <c r="AO23" s="305">
        <f t="shared" si="31"/>
        <v>1950</v>
      </c>
      <c r="AP23" s="537">
        <f t="shared" si="10"/>
        <v>55</v>
      </c>
      <c r="AQ23" s="305">
        <f t="shared" si="32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3"/>
        <v>0.8</v>
      </c>
    </row>
    <row r="24" spans="1:50">
      <c r="A24" s="63">
        <f>ELEC!C23</f>
        <v>44550</v>
      </c>
      <c r="B24" s="537">
        <f t="shared" si="34"/>
        <v>207</v>
      </c>
      <c r="C24" s="537">
        <f t="shared" si="35"/>
        <v>214</v>
      </c>
      <c r="D24" s="45">
        <f t="shared" si="49"/>
        <v>0</v>
      </c>
      <c r="E24" s="45">
        <f t="shared" si="12"/>
        <v>0</v>
      </c>
      <c r="F24" s="537">
        <f t="shared" si="13"/>
        <v>1931</v>
      </c>
      <c r="G24" s="52">
        <f t="shared" si="0"/>
        <v>0</v>
      </c>
      <c r="H24" s="537">
        <f t="shared" si="14"/>
        <v>20194</v>
      </c>
      <c r="I24" s="380">
        <f t="shared" si="1"/>
        <v>0</v>
      </c>
      <c r="J24" s="66">
        <f t="shared" si="15"/>
        <v>0</v>
      </c>
      <c r="K24" s="537">
        <f t="shared" si="16"/>
        <v>2367</v>
      </c>
      <c r="L24" s="52">
        <f t="shared" si="17"/>
        <v>0</v>
      </c>
      <c r="M24" s="537">
        <f t="shared" si="18"/>
        <v>174784</v>
      </c>
      <c r="N24" s="380">
        <f t="shared" si="2"/>
        <v>0</v>
      </c>
      <c r="O24" s="64">
        <f t="shared" si="48"/>
        <v>1869</v>
      </c>
      <c r="P24" s="537">
        <f t="shared" si="45"/>
        <v>2137</v>
      </c>
      <c r="Q24" s="537">
        <f t="shared" si="46"/>
        <v>179335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9"/>
        <v>0</v>
      </c>
      <c r="V24" s="62">
        <f t="shared" si="20"/>
        <v>0</v>
      </c>
      <c r="W24" s="384"/>
      <c r="X24" s="537">
        <f t="shared" si="22"/>
        <v>2480</v>
      </c>
      <c r="Y24" s="52">
        <f t="shared" si="23"/>
        <v>0</v>
      </c>
      <c r="Z24" s="537">
        <f t="shared" si="24"/>
        <v>139172.20000000001</v>
      </c>
      <c r="AA24" s="65">
        <f t="shared" si="6"/>
        <v>0</v>
      </c>
      <c r="AB24" s="273">
        <f t="shared" ref="AB24:AB32" si="50">SUM(Y24*$AB$2)</f>
        <v>0</v>
      </c>
      <c r="AC24" s="537">
        <f t="shared" si="25"/>
        <v>1943</v>
      </c>
      <c r="AD24" s="45">
        <f t="shared" si="7"/>
        <v>0</v>
      </c>
      <c r="AE24" s="537">
        <f t="shared" si="26"/>
        <v>366210</v>
      </c>
      <c r="AF24" s="293">
        <f t="shared" si="27"/>
        <v>0</v>
      </c>
      <c r="AG24" s="209">
        <f t="shared" si="39"/>
        <v>0</v>
      </c>
      <c r="AH24" s="62">
        <f t="shared" si="40"/>
        <v>0</v>
      </c>
      <c r="AI24" s="303">
        <f t="shared" si="28"/>
        <v>0</v>
      </c>
      <c r="AJ24" s="303">
        <f>-tanks!AW25</f>
        <v>0</v>
      </c>
      <c r="AK24" s="303">
        <f t="shared" si="29"/>
        <v>0</v>
      </c>
      <c r="AL24" s="303">
        <f t="shared" si="8"/>
        <v>0</v>
      </c>
      <c r="AM24" s="303">
        <f t="shared" si="30"/>
        <v>0</v>
      </c>
      <c r="AN24" s="537">
        <f t="shared" si="9"/>
        <v>65</v>
      </c>
      <c r="AO24" s="305">
        <f t="shared" si="31"/>
        <v>1950</v>
      </c>
      <c r="AP24" s="537">
        <f t="shared" si="10"/>
        <v>55</v>
      </c>
      <c r="AQ24" s="305">
        <f t="shared" si="32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3"/>
        <v>0.8</v>
      </c>
    </row>
    <row r="25" spans="1:50" ht="13.5" customHeight="1">
      <c r="A25" s="63">
        <f>ELEC!C24</f>
        <v>44551</v>
      </c>
      <c r="B25" s="537">
        <f t="shared" si="34"/>
        <v>207</v>
      </c>
      <c r="C25" s="537">
        <f t="shared" si="35"/>
        <v>214</v>
      </c>
      <c r="D25" s="45">
        <f t="shared" si="49"/>
        <v>0</v>
      </c>
      <c r="E25" s="45">
        <f t="shared" si="12"/>
        <v>0</v>
      </c>
      <c r="F25" s="537">
        <f t="shared" si="13"/>
        <v>1931</v>
      </c>
      <c r="G25" s="52">
        <f t="shared" si="0"/>
        <v>0</v>
      </c>
      <c r="H25" s="537">
        <f t="shared" si="14"/>
        <v>20194</v>
      </c>
      <c r="I25" s="380">
        <f t="shared" si="1"/>
        <v>0</v>
      </c>
      <c r="J25" s="66">
        <f t="shared" si="15"/>
        <v>0</v>
      </c>
      <c r="K25" s="537">
        <f t="shared" si="16"/>
        <v>2367</v>
      </c>
      <c r="L25" s="52">
        <f t="shared" si="17"/>
        <v>0</v>
      </c>
      <c r="M25" s="537">
        <f t="shared" si="18"/>
        <v>174784</v>
      </c>
      <c r="N25" s="380">
        <f t="shared" si="2"/>
        <v>0</v>
      </c>
      <c r="O25" s="64">
        <f t="shared" si="48"/>
        <v>1869</v>
      </c>
      <c r="P25" s="537">
        <f t="shared" si="45"/>
        <v>2137</v>
      </c>
      <c r="Q25" s="537">
        <f t="shared" si="46"/>
        <v>179335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9"/>
        <v>0</v>
      </c>
      <c r="V25" s="62">
        <f t="shared" si="20"/>
        <v>0</v>
      </c>
      <c r="W25" s="384"/>
      <c r="X25" s="537">
        <f t="shared" si="22"/>
        <v>2480</v>
      </c>
      <c r="Y25" s="52">
        <f t="shared" si="23"/>
        <v>0</v>
      </c>
      <c r="Z25" s="537">
        <f t="shared" si="24"/>
        <v>139172.20000000001</v>
      </c>
      <c r="AA25" s="65">
        <f t="shared" si="6"/>
        <v>0</v>
      </c>
      <c r="AB25" s="273">
        <f t="shared" si="50"/>
        <v>0</v>
      </c>
      <c r="AC25" s="537">
        <f t="shared" si="25"/>
        <v>1943</v>
      </c>
      <c r="AD25" s="45">
        <f t="shared" si="7"/>
        <v>0</v>
      </c>
      <c r="AE25" s="537">
        <f t="shared" si="26"/>
        <v>366210</v>
      </c>
      <c r="AF25" s="293">
        <f t="shared" si="27"/>
        <v>0</v>
      </c>
      <c r="AG25" s="209">
        <f t="shared" si="39"/>
        <v>0</v>
      </c>
      <c r="AH25" s="62">
        <f t="shared" si="40"/>
        <v>0</v>
      </c>
      <c r="AI25" s="303">
        <f t="shared" si="28"/>
        <v>0</v>
      </c>
      <c r="AJ25" s="303">
        <f>-tanks!AW26</f>
        <v>0</v>
      </c>
      <c r="AK25" s="303">
        <f t="shared" si="29"/>
        <v>0</v>
      </c>
      <c r="AL25" s="303">
        <f t="shared" si="8"/>
        <v>0</v>
      </c>
      <c r="AM25" s="303">
        <f t="shared" si="30"/>
        <v>0</v>
      </c>
      <c r="AN25" s="537">
        <f t="shared" si="9"/>
        <v>65</v>
      </c>
      <c r="AO25" s="305">
        <f t="shared" si="31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3"/>
        <v>0.8</v>
      </c>
    </row>
    <row r="26" spans="1:50" ht="14.25" customHeight="1">
      <c r="A26" s="63">
        <f>ELEC!C25</f>
        <v>44552</v>
      </c>
      <c r="B26" s="537">
        <f t="shared" si="34"/>
        <v>207</v>
      </c>
      <c r="C26" s="537">
        <f t="shared" si="35"/>
        <v>214</v>
      </c>
      <c r="D26" s="45">
        <f t="shared" si="49"/>
        <v>0</v>
      </c>
      <c r="E26" s="45">
        <f t="shared" si="12"/>
        <v>0</v>
      </c>
      <c r="F26" s="537">
        <f t="shared" si="13"/>
        <v>1931</v>
      </c>
      <c r="G26" s="52">
        <f t="shared" si="0"/>
        <v>0</v>
      </c>
      <c r="H26" s="537">
        <f t="shared" si="14"/>
        <v>20194</v>
      </c>
      <c r="I26" s="380">
        <f t="shared" si="1"/>
        <v>0</v>
      </c>
      <c r="J26" s="66">
        <f t="shared" si="15"/>
        <v>0</v>
      </c>
      <c r="K26" s="537">
        <f t="shared" si="16"/>
        <v>2367</v>
      </c>
      <c r="L26" s="52">
        <f t="shared" si="17"/>
        <v>0</v>
      </c>
      <c r="M26" s="537">
        <f t="shared" si="18"/>
        <v>174784</v>
      </c>
      <c r="N26" s="380">
        <f t="shared" si="2"/>
        <v>0</v>
      </c>
      <c r="O26" s="64">
        <f t="shared" si="48"/>
        <v>1869</v>
      </c>
      <c r="P26" s="537">
        <f t="shared" si="45"/>
        <v>2137</v>
      </c>
      <c r="Q26" s="537">
        <f t="shared" si="46"/>
        <v>179335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9"/>
        <v>0</v>
      </c>
      <c r="V26" s="62">
        <f t="shared" si="20"/>
        <v>0</v>
      </c>
      <c r="W26" s="384"/>
      <c r="X26" s="537">
        <f t="shared" si="22"/>
        <v>2480</v>
      </c>
      <c r="Y26" s="52">
        <f t="shared" si="23"/>
        <v>0</v>
      </c>
      <c r="Z26" s="537">
        <f t="shared" si="24"/>
        <v>139172.20000000001</v>
      </c>
      <c r="AA26" s="65">
        <f t="shared" si="6"/>
        <v>0</v>
      </c>
      <c r="AB26" s="273">
        <f t="shared" si="50"/>
        <v>0</v>
      </c>
      <c r="AC26" s="537">
        <f t="shared" si="25"/>
        <v>1943</v>
      </c>
      <c r="AD26" s="45">
        <f t="shared" si="7"/>
        <v>0</v>
      </c>
      <c r="AE26" s="537">
        <f t="shared" si="26"/>
        <v>366210</v>
      </c>
      <c r="AF26" s="293">
        <f t="shared" si="27"/>
        <v>0</v>
      </c>
      <c r="AG26" s="209">
        <f t="shared" si="39"/>
        <v>0</v>
      </c>
      <c r="AH26" s="62">
        <f t="shared" si="40"/>
        <v>0</v>
      </c>
      <c r="AI26" s="303">
        <f t="shared" si="28"/>
        <v>0</v>
      </c>
      <c r="AJ26" s="303">
        <f>-tanks!AW27</f>
        <v>0</v>
      </c>
      <c r="AK26" s="303">
        <f t="shared" si="29"/>
        <v>0</v>
      </c>
      <c r="AL26" s="303">
        <f t="shared" si="8"/>
        <v>0</v>
      </c>
      <c r="AM26" s="303">
        <f t="shared" si="30"/>
        <v>0</v>
      </c>
      <c r="AN26" s="537">
        <f t="shared" si="9"/>
        <v>65</v>
      </c>
      <c r="AO26" s="305">
        <f t="shared" si="31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3"/>
        <v>0.8</v>
      </c>
    </row>
    <row r="27" spans="1:50">
      <c r="A27" s="63">
        <f>ELEC!C26</f>
        <v>44553</v>
      </c>
      <c r="B27" s="537">
        <f t="shared" si="34"/>
        <v>207</v>
      </c>
      <c r="C27" s="537">
        <f t="shared" si="35"/>
        <v>214</v>
      </c>
      <c r="D27" s="45">
        <f t="shared" si="49"/>
        <v>0</v>
      </c>
      <c r="E27" s="45">
        <f t="shared" si="12"/>
        <v>0</v>
      </c>
      <c r="F27" s="537">
        <f t="shared" si="13"/>
        <v>1931</v>
      </c>
      <c r="G27" s="52">
        <f t="shared" si="0"/>
        <v>0</v>
      </c>
      <c r="H27" s="537">
        <f t="shared" si="14"/>
        <v>20194</v>
      </c>
      <c r="I27" s="380">
        <f t="shared" si="1"/>
        <v>0</v>
      </c>
      <c r="J27" s="66">
        <f t="shared" si="15"/>
        <v>0</v>
      </c>
      <c r="K27" s="537">
        <f t="shared" si="16"/>
        <v>2367</v>
      </c>
      <c r="L27" s="52">
        <f t="shared" si="17"/>
        <v>0</v>
      </c>
      <c r="M27" s="537">
        <f t="shared" si="18"/>
        <v>174784</v>
      </c>
      <c r="N27" s="380">
        <f t="shared" si="2"/>
        <v>0</v>
      </c>
      <c r="O27" s="64">
        <f t="shared" si="48"/>
        <v>1869</v>
      </c>
      <c r="P27" s="537">
        <f t="shared" si="45"/>
        <v>2137</v>
      </c>
      <c r="Q27" s="537">
        <f t="shared" si="46"/>
        <v>179335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9"/>
        <v>0</v>
      </c>
      <c r="V27" s="62">
        <f t="shared" si="20"/>
        <v>0</v>
      </c>
      <c r="W27" s="384"/>
      <c r="X27" s="537">
        <f t="shared" si="22"/>
        <v>2480</v>
      </c>
      <c r="Y27" s="52">
        <f t="shared" si="23"/>
        <v>0</v>
      </c>
      <c r="Z27" s="537">
        <f t="shared" si="24"/>
        <v>139172.20000000001</v>
      </c>
      <c r="AA27" s="65">
        <f t="shared" si="6"/>
        <v>0</v>
      </c>
      <c r="AB27" s="273">
        <f t="shared" si="50"/>
        <v>0</v>
      </c>
      <c r="AC27" s="537">
        <f t="shared" si="25"/>
        <v>1943</v>
      </c>
      <c r="AD27" s="45">
        <f t="shared" si="7"/>
        <v>0</v>
      </c>
      <c r="AE27" s="537">
        <f t="shared" si="26"/>
        <v>366210</v>
      </c>
      <c r="AF27" s="293">
        <f t="shared" si="27"/>
        <v>0</v>
      </c>
      <c r="AG27" s="209">
        <f t="shared" si="39"/>
        <v>0</v>
      </c>
      <c r="AH27" s="62">
        <f t="shared" si="40"/>
        <v>0</v>
      </c>
      <c r="AI27" s="303">
        <f t="shared" si="28"/>
        <v>0</v>
      </c>
      <c r="AJ27" s="303">
        <f>-tanks!AW28</f>
        <v>0</v>
      </c>
      <c r="AK27" s="303">
        <f t="shared" si="29"/>
        <v>0</v>
      </c>
      <c r="AL27" s="303">
        <f t="shared" si="8"/>
        <v>0</v>
      </c>
      <c r="AM27" s="303">
        <f t="shared" si="30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3"/>
        <v>0.8</v>
      </c>
    </row>
    <row r="28" spans="1:50">
      <c r="A28" s="63">
        <f>ELEC!C27</f>
        <v>44554</v>
      </c>
      <c r="B28" s="537">
        <f t="shared" si="34"/>
        <v>207</v>
      </c>
      <c r="C28" s="537">
        <f t="shared" si="35"/>
        <v>214</v>
      </c>
      <c r="D28" s="45">
        <f t="shared" si="49"/>
        <v>0</v>
      </c>
      <c r="E28" s="45">
        <f t="shared" si="12"/>
        <v>0</v>
      </c>
      <c r="F28" s="537">
        <f t="shared" si="13"/>
        <v>1931</v>
      </c>
      <c r="G28" s="52">
        <f t="shared" si="0"/>
        <v>0</v>
      </c>
      <c r="H28" s="537">
        <f t="shared" si="14"/>
        <v>20194</v>
      </c>
      <c r="I28" s="380">
        <f t="shared" si="1"/>
        <v>0</v>
      </c>
      <c r="J28" s="66">
        <f t="shared" si="15"/>
        <v>0</v>
      </c>
      <c r="K28" s="537">
        <f t="shared" si="16"/>
        <v>2367</v>
      </c>
      <c r="L28" s="52">
        <f t="shared" si="17"/>
        <v>0</v>
      </c>
      <c r="M28" s="537">
        <f t="shared" si="18"/>
        <v>174784</v>
      </c>
      <c r="N28" s="380">
        <f t="shared" si="2"/>
        <v>0</v>
      </c>
      <c r="O28" s="64">
        <f t="shared" si="48"/>
        <v>1869</v>
      </c>
      <c r="P28" s="537">
        <f t="shared" si="45"/>
        <v>2137</v>
      </c>
      <c r="Q28" s="537">
        <f t="shared" si="46"/>
        <v>179335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9"/>
        <v>0</v>
      </c>
      <c r="V28" s="62">
        <f t="shared" si="20"/>
        <v>0</v>
      </c>
      <c r="W28" s="384"/>
      <c r="X28" s="537">
        <f t="shared" si="22"/>
        <v>2480</v>
      </c>
      <c r="Y28" s="52">
        <f t="shared" si="23"/>
        <v>0</v>
      </c>
      <c r="Z28" s="537">
        <f t="shared" si="24"/>
        <v>139172.20000000001</v>
      </c>
      <c r="AA28" s="65">
        <f t="shared" si="6"/>
        <v>0</v>
      </c>
      <c r="AB28" s="273">
        <f t="shared" si="50"/>
        <v>0</v>
      </c>
      <c r="AC28" s="537">
        <f t="shared" si="25"/>
        <v>1943</v>
      </c>
      <c r="AD28" s="45">
        <f t="shared" si="7"/>
        <v>0</v>
      </c>
      <c r="AE28" s="537">
        <f t="shared" si="26"/>
        <v>366210</v>
      </c>
      <c r="AF28" s="293">
        <f t="shared" si="27"/>
        <v>0</v>
      </c>
      <c r="AG28" s="209">
        <f t="shared" si="39"/>
        <v>0</v>
      </c>
      <c r="AH28" s="62">
        <f t="shared" si="40"/>
        <v>0</v>
      </c>
      <c r="AI28" s="303">
        <f t="shared" si="28"/>
        <v>0</v>
      </c>
      <c r="AJ28" s="303">
        <f>-tanks!AW29</f>
        <v>0</v>
      </c>
      <c r="AK28" s="303">
        <f t="shared" si="29"/>
        <v>0</v>
      </c>
      <c r="AL28" s="303">
        <f t="shared" si="8"/>
        <v>0</v>
      </c>
      <c r="AM28" s="303">
        <f t="shared" si="30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3"/>
        <v>0.8</v>
      </c>
    </row>
    <row r="29" spans="1:50">
      <c r="A29" s="63">
        <f>ELEC!C28</f>
        <v>44555</v>
      </c>
      <c r="B29" s="537">
        <f t="shared" si="34"/>
        <v>207</v>
      </c>
      <c r="C29" s="537">
        <f t="shared" si="35"/>
        <v>214</v>
      </c>
      <c r="D29" s="45">
        <f t="shared" si="49"/>
        <v>0</v>
      </c>
      <c r="E29" s="45">
        <f t="shared" si="12"/>
        <v>0</v>
      </c>
      <c r="F29" s="537">
        <f t="shared" si="13"/>
        <v>1931</v>
      </c>
      <c r="G29" s="52">
        <f t="shared" si="0"/>
        <v>0</v>
      </c>
      <c r="H29" s="537">
        <f t="shared" si="14"/>
        <v>20194</v>
      </c>
      <c r="I29" s="380">
        <f t="shared" si="1"/>
        <v>0</v>
      </c>
      <c r="J29" s="66">
        <f t="shared" si="15"/>
        <v>0</v>
      </c>
      <c r="K29" s="537">
        <f t="shared" si="16"/>
        <v>2367</v>
      </c>
      <c r="L29" s="52">
        <f t="shared" si="17"/>
        <v>0</v>
      </c>
      <c r="M29" s="537">
        <f t="shared" si="18"/>
        <v>174784</v>
      </c>
      <c r="N29" s="380">
        <f t="shared" si="2"/>
        <v>0</v>
      </c>
      <c r="O29" s="64">
        <f t="shared" si="48"/>
        <v>1869</v>
      </c>
      <c r="P29" s="537">
        <f t="shared" si="45"/>
        <v>2137</v>
      </c>
      <c r="Q29" s="537">
        <f t="shared" si="46"/>
        <v>179335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9"/>
        <v>0</v>
      </c>
      <c r="V29" s="62">
        <f t="shared" si="20"/>
        <v>0</v>
      </c>
      <c r="W29" s="384"/>
      <c r="X29" s="537">
        <f t="shared" si="22"/>
        <v>2480</v>
      </c>
      <c r="Y29" s="52">
        <f t="shared" si="23"/>
        <v>0</v>
      </c>
      <c r="Z29" s="537">
        <f t="shared" si="24"/>
        <v>139172.20000000001</v>
      </c>
      <c r="AA29" s="65">
        <f t="shared" si="6"/>
        <v>0</v>
      </c>
      <c r="AB29" s="273">
        <f t="shared" si="50"/>
        <v>0</v>
      </c>
      <c r="AC29" s="537">
        <f t="shared" si="25"/>
        <v>1943</v>
      </c>
      <c r="AD29" s="45">
        <f t="shared" si="7"/>
        <v>0</v>
      </c>
      <c r="AE29" s="537">
        <f t="shared" si="26"/>
        <v>366210</v>
      </c>
      <c r="AF29" s="293">
        <f t="shared" si="27"/>
        <v>0</v>
      </c>
      <c r="AG29" s="209">
        <f t="shared" si="39"/>
        <v>0</v>
      </c>
      <c r="AH29" s="62">
        <f t="shared" si="40"/>
        <v>0</v>
      </c>
      <c r="AI29" s="303">
        <f t="shared" si="28"/>
        <v>0</v>
      </c>
      <c r="AJ29" s="303">
        <f>-tanks!AW30</f>
        <v>0</v>
      </c>
      <c r="AK29" s="303">
        <f t="shared" si="29"/>
        <v>0</v>
      </c>
      <c r="AL29" s="303">
        <f t="shared" si="8"/>
        <v>0</v>
      </c>
      <c r="AM29" s="303">
        <f t="shared" si="30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3"/>
        <v>0.8</v>
      </c>
    </row>
    <row r="30" spans="1:50">
      <c r="A30" s="63">
        <f>ELEC!C29</f>
        <v>44556</v>
      </c>
      <c r="B30" s="537">
        <f t="shared" si="34"/>
        <v>207</v>
      </c>
      <c r="C30" s="537">
        <f t="shared" si="35"/>
        <v>214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3"/>
        <v>1931</v>
      </c>
      <c r="G30" s="52">
        <f t="shared" ref="G30" si="56">F30-F29</f>
        <v>0</v>
      </c>
      <c r="H30" s="537">
        <f t="shared" si="14"/>
        <v>20194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6"/>
        <v>2367</v>
      </c>
      <c r="L30" s="52">
        <f t="shared" ref="L30" si="59">K30-K29</f>
        <v>0</v>
      </c>
      <c r="M30" s="537">
        <f t="shared" si="18"/>
        <v>174784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2137</v>
      </c>
      <c r="Q30" s="537">
        <f t="shared" si="46"/>
        <v>179335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0"/>
        <v>0</v>
      </c>
      <c r="W30" s="384"/>
      <c r="X30" s="537">
        <f t="shared" si="22"/>
        <v>2480</v>
      </c>
      <c r="Y30" s="52">
        <f t="shared" ref="Y30" si="65">X30-X29</f>
        <v>0</v>
      </c>
      <c r="Z30" s="537">
        <f t="shared" si="24"/>
        <v>139172.20000000001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5"/>
        <v>1943</v>
      </c>
      <c r="AD30" s="259">
        <f t="shared" ref="AD30" si="68">AC30-AC29</f>
        <v>0</v>
      </c>
      <c r="AE30" s="537">
        <f t="shared" si="26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28"/>
        <v>0</v>
      </c>
      <c r="AJ30" s="303">
        <f>-tanks!AW31</f>
        <v>0</v>
      </c>
      <c r="AK30" s="303">
        <f t="shared" si="29"/>
        <v>0</v>
      </c>
      <c r="AL30" s="303">
        <f t="shared" si="8"/>
        <v>0</v>
      </c>
      <c r="AM30" s="303">
        <f t="shared" si="30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3"/>
        <v>0.8</v>
      </c>
    </row>
    <row r="31" spans="1:50">
      <c r="A31" s="63">
        <f>ELEC!C30</f>
        <v>44557</v>
      </c>
      <c r="B31" s="537">
        <f t="shared" si="34"/>
        <v>207</v>
      </c>
      <c r="C31" s="537">
        <f t="shared" si="35"/>
        <v>214</v>
      </c>
      <c r="D31" s="45">
        <f t="shared" si="49"/>
        <v>0</v>
      </c>
      <c r="E31" s="45">
        <f t="shared" si="12"/>
        <v>0</v>
      </c>
      <c r="F31" s="537">
        <f t="shared" si="13"/>
        <v>1931</v>
      </c>
      <c r="G31" s="52">
        <f t="shared" si="0"/>
        <v>0</v>
      </c>
      <c r="H31" s="537">
        <f t="shared" si="14"/>
        <v>20194</v>
      </c>
      <c r="I31" s="380">
        <f t="shared" si="1"/>
        <v>0</v>
      </c>
      <c r="J31" s="66">
        <f t="shared" si="15"/>
        <v>0</v>
      </c>
      <c r="K31" s="537">
        <f t="shared" si="16"/>
        <v>2367</v>
      </c>
      <c r="L31" s="52">
        <f t="shared" si="17"/>
        <v>0</v>
      </c>
      <c r="M31" s="537">
        <f t="shared" si="18"/>
        <v>174784</v>
      </c>
      <c r="N31" s="380">
        <f t="shared" si="2"/>
        <v>0</v>
      </c>
      <c r="O31" s="64">
        <f t="shared" si="48"/>
        <v>1869</v>
      </c>
      <c r="P31" s="537">
        <f t="shared" si="45"/>
        <v>2137</v>
      </c>
      <c r="Q31" s="537">
        <f t="shared" si="46"/>
        <v>179335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9"/>
        <v>0</v>
      </c>
      <c r="V31" s="62">
        <f t="shared" si="20"/>
        <v>0</v>
      </c>
      <c r="W31" s="384"/>
      <c r="X31" s="537">
        <f t="shared" si="22"/>
        <v>2480</v>
      </c>
      <c r="Y31" s="52">
        <f t="shared" si="23"/>
        <v>0</v>
      </c>
      <c r="Z31" s="537">
        <f t="shared" si="24"/>
        <v>139172.20000000001</v>
      </c>
      <c r="AA31" s="65">
        <f t="shared" si="6"/>
        <v>0</v>
      </c>
      <c r="AB31" s="273">
        <f t="shared" si="50"/>
        <v>0</v>
      </c>
      <c r="AC31" s="537">
        <f t="shared" si="25"/>
        <v>1943</v>
      </c>
      <c r="AD31" s="259">
        <f t="shared" si="7"/>
        <v>0</v>
      </c>
      <c r="AE31" s="537">
        <f t="shared" si="26"/>
        <v>366210</v>
      </c>
      <c r="AF31" s="293">
        <f t="shared" si="27"/>
        <v>0</v>
      </c>
      <c r="AG31" s="209">
        <f t="shared" si="39"/>
        <v>0</v>
      </c>
      <c r="AH31" s="62">
        <f t="shared" si="40"/>
        <v>0</v>
      </c>
      <c r="AI31" s="303">
        <f t="shared" si="28"/>
        <v>0</v>
      </c>
      <c r="AJ31" s="303">
        <f>-tanks!AW32</f>
        <v>0</v>
      </c>
      <c r="AK31" s="303">
        <f t="shared" si="29"/>
        <v>0</v>
      </c>
      <c r="AL31" s="303">
        <f t="shared" si="8"/>
        <v>0</v>
      </c>
      <c r="AM31" s="303">
        <f t="shared" si="30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3"/>
        <v>0.8</v>
      </c>
    </row>
    <row r="32" spans="1:50">
      <c r="A32" s="63">
        <f>ELEC!C31</f>
        <v>44558</v>
      </c>
      <c r="B32" s="537">
        <f t="shared" si="34"/>
        <v>207</v>
      </c>
      <c r="C32" s="537">
        <f t="shared" si="35"/>
        <v>214</v>
      </c>
      <c r="D32" s="45">
        <f t="shared" si="49"/>
        <v>0</v>
      </c>
      <c r="E32" s="45">
        <f t="shared" si="12"/>
        <v>0</v>
      </c>
      <c r="F32" s="537">
        <f t="shared" si="13"/>
        <v>1931</v>
      </c>
      <c r="G32" s="52">
        <f t="shared" si="0"/>
        <v>0</v>
      </c>
      <c r="H32" s="537">
        <f t="shared" si="14"/>
        <v>20194</v>
      </c>
      <c r="I32" s="380">
        <f t="shared" si="1"/>
        <v>0</v>
      </c>
      <c r="J32" s="66">
        <f t="shared" si="15"/>
        <v>0</v>
      </c>
      <c r="K32" s="537">
        <f t="shared" si="16"/>
        <v>2367</v>
      </c>
      <c r="L32" s="52">
        <f t="shared" si="17"/>
        <v>0</v>
      </c>
      <c r="M32" s="537">
        <f t="shared" si="18"/>
        <v>174784</v>
      </c>
      <c r="N32" s="380">
        <f t="shared" si="2"/>
        <v>0</v>
      </c>
      <c r="O32" s="64">
        <f t="shared" si="48"/>
        <v>1869</v>
      </c>
      <c r="P32" s="537">
        <f t="shared" si="45"/>
        <v>2137</v>
      </c>
      <c r="Q32" s="537">
        <f t="shared" si="46"/>
        <v>179335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9"/>
        <v>0</v>
      </c>
      <c r="V32" s="62">
        <f t="shared" si="20"/>
        <v>0</v>
      </c>
      <c r="W32" s="384"/>
      <c r="X32" s="537">
        <f t="shared" si="22"/>
        <v>2480</v>
      </c>
      <c r="Y32" s="52">
        <f t="shared" si="23"/>
        <v>0</v>
      </c>
      <c r="Z32" s="537">
        <f t="shared" si="24"/>
        <v>139172.20000000001</v>
      </c>
      <c r="AA32" s="65">
        <f t="shared" si="6"/>
        <v>0</v>
      </c>
      <c r="AB32" s="273">
        <f t="shared" si="50"/>
        <v>0</v>
      </c>
      <c r="AC32" s="537">
        <f t="shared" si="25"/>
        <v>1943</v>
      </c>
      <c r="AD32" s="259">
        <f t="shared" si="7"/>
        <v>0</v>
      </c>
      <c r="AE32" s="537">
        <f t="shared" si="26"/>
        <v>366210</v>
      </c>
      <c r="AF32" s="293">
        <f t="shared" si="27"/>
        <v>0</v>
      </c>
      <c r="AG32" s="209">
        <f t="shared" si="39"/>
        <v>0</v>
      </c>
      <c r="AH32" s="62">
        <f t="shared" si="40"/>
        <v>0</v>
      </c>
      <c r="AI32" s="303">
        <f t="shared" si="28"/>
        <v>0</v>
      </c>
      <c r="AJ32" s="303">
        <f>-tanks!AW33</f>
        <v>0</v>
      </c>
      <c r="AK32" s="303">
        <f t="shared" si="29"/>
        <v>0</v>
      </c>
      <c r="AL32" s="303">
        <f t="shared" si="8"/>
        <v>0</v>
      </c>
      <c r="AM32" s="303">
        <f t="shared" si="30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3"/>
        <v>0.8</v>
      </c>
    </row>
    <row r="33" spans="1:50">
      <c r="A33" s="63">
        <f>ELEC!C32</f>
        <v>44559</v>
      </c>
      <c r="B33" s="537">
        <f t="shared" si="34"/>
        <v>207</v>
      </c>
      <c r="C33" s="537">
        <f t="shared" si="35"/>
        <v>214</v>
      </c>
      <c r="D33" s="45">
        <f>C32-C33</f>
        <v>0</v>
      </c>
      <c r="E33" s="45">
        <f>D33*8.38</f>
        <v>0</v>
      </c>
      <c r="F33" s="537">
        <f t="shared" si="13"/>
        <v>1931</v>
      </c>
      <c r="G33" s="52">
        <f>F33-F32</f>
        <v>0</v>
      </c>
      <c r="H33" s="537">
        <f t="shared" si="14"/>
        <v>20194</v>
      </c>
      <c r="I33" s="380">
        <f>SUM(H33-H32)</f>
        <v>0</v>
      </c>
      <c r="J33" s="66">
        <f>IF(G33&gt;0,I33/G33,0)</f>
        <v>0</v>
      </c>
      <c r="K33" s="537">
        <f t="shared" si="16"/>
        <v>2367</v>
      </c>
      <c r="L33" s="52">
        <f>K33-K32</f>
        <v>0</v>
      </c>
      <c r="M33" s="537">
        <f t="shared" si="18"/>
        <v>174784</v>
      </c>
      <c r="N33" s="380">
        <f>M33-M32</f>
        <v>0</v>
      </c>
      <c r="O33" s="64">
        <f t="shared" si="48"/>
        <v>1869</v>
      </c>
      <c r="P33" s="537">
        <f t="shared" si="45"/>
        <v>2137</v>
      </c>
      <c r="Q33" s="537">
        <f t="shared" si="46"/>
        <v>179335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0"/>
        <v>0</v>
      </c>
      <c r="W33" s="384"/>
      <c r="X33" s="537">
        <f t="shared" si="22"/>
        <v>2480</v>
      </c>
      <c r="Y33" s="52">
        <f>X33-X32</f>
        <v>0</v>
      </c>
      <c r="Z33" s="537">
        <f t="shared" si="24"/>
        <v>139172.20000000001</v>
      </c>
      <c r="AA33" s="65">
        <f>Z33-Z32</f>
        <v>0</v>
      </c>
      <c r="AB33" s="273">
        <f>SUM(Y33*$AB$2)</f>
        <v>0</v>
      </c>
      <c r="AC33" s="537">
        <f t="shared" si="25"/>
        <v>1943</v>
      </c>
      <c r="AD33" s="259">
        <f>AC33-AC32</f>
        <v>0</v>
      </c>
      <c r="AE33" s="537">
        <f t="shared" si="26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3"/>
        <v>0.8</v>
      </c>
    </row>
    <row r="34" spans="1:50">
      <c r="A34" s="63">
        <f>ELEC!C33</f>
        <v>44560</v>
      </c>
      <c r="B34" s="537">
        <f t="shared" si="34"/>
        <v>207</v>
      </c>
      <c r="C34" s="537">
        <f t="shared" si="35"/>
        <v>214</v>
      </c>
      <c r="D34" s="45">
        <f>C33-C34</f>
        <v>0</v>
      </c>
      <c r="E34" s="45">
        <f>D34*8.38</f>
        <v>0</v>
      </c>
      <c r="F34" s="537">
        <f t="shared" si="13"/>
        <v>1931</v>
      </c>
      <c r="G34" s="52">
        <f>F34-F33</f>
        <v>0</v>
      </c>
      <c r="H34" s="537">
        <f t="shared" si="14"/>
        <v>20194</v>
      </c>
      <c r="I34" s="380">
        <f>SUM(H34-H33)</f>
        <v>0</v>
      </c>
      <c r="J34" s="66">
        <f>IF(G34&gt;0,I34/G34,0)</f>
        <v>0</v>
      </c>
      <c r="K34" s="537">
        <f t="shared" si="16"/>
        <v>2367</v>
      </c>
      <c r="L34" s="52">
        <f>K34-K33</f>
        <v>0</v>
      </c>
      <c r="M34" s="537">
        <f t="shared" si="18"/>
        <v>174784</v>
      </c>
      <c r="N34" s="380">
        <f>M34-M33</f>
        <v>0</v>
      </c>
      <c r="O34" s="64">
        <f t="shared" si="48"/>
        <v>1869</v>
      </c>
      <c r="P34" s="537">
        <f t="shared" si="45"/>
        <v>2137</v>
      </c>
      <c r="Q34" s="537">
        <f t="shared" si="46"/>
        <v>179335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0"/>
        <v>0</v>
      </c>
      <c r="W34" s="384"/>
      <c r="X34" s="537">
        <f t="shared" si="22"/>
        <v>2480</v>
      </c>
      <c r="Y34" s="52">
        <f>X34-X33</f>
        <v>0</v>
      </c>
      <c r="Z34" s="537">
        <f t="shared" si="24"/>
        <v>139172.20000000001</v>
      </c>
      <c r="AA34" s="65">
        <f>Z34-Z33</f>
        <v>0</v>
      </c>
      <c r="AB34" s="273">
        <f>SUM(Y34*$AB$2)</f>
        <v>0</v>
      </c>
      <c r="AC34" s="537">
        <f t="shared" si="25"/>
        <v>1943</v>
      </c>
      <c r="AD34" s="259">
        <f>AC34-AC33</f>
        <v>0</v>
      </c>
      <c r="AE34" s="537">
        <f t="shared" si="26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3"/>
        <v>0.8</v>
      </c>
    </row>
    <row r="35" spans="1:50">
      <c r="A35" s="63">
        <f>ELEC!C34</f>
        <v>44561</v>
      </c>
      <c r="B35" s="537">
        <f t="shared" si="34"/>
        <v>207</v>
      </c>
      <c r="C35" s="537">
        <f t="shared" si="35"/>
        <v>214</v>
      </c>
      <c r="D35" s="45">
        <f>C34-C35</f>
        <v>0</v>
      </c>
      <c r="E35" s="45">
        <f>D35*8.38</f>
        <v>0</v>
      </c>
      <c r="F35" s="537">
        <f t="shared" si="13"/>
        <v>1931</v>
      </c>
      <c r="G35" s="52">
        <f>F35-F34</f>
        <v>0</v>
      </c>
      <c r="H35" s="537">
        <f t="shared" si="14"/>
        <v>20194</v>
      </c>
      <c r="I35" s="380">
        <f>SUM(H35-H34)</f>
        <v>0</v>
      </c>
      <c r="J35" s="66">
        <f>IF(G35&gt;0,I35/G35,0)</f>
        <v>0</v>
      </c>
      <c r="K35" s="537">
        <f t="shared" si="16"/>
        <v>2367</v>
      </c>
      <c r="L35" s="52">
        <f>K35-K34</f>
        <v>0</v>
      </c>
      <c r="M35" s="537">
        <f t="shared" si="18"/>
        <v>174784</v>
      </c>
      <c r="N35" s="380">
        <f>M35-M34</f>
        <v>0</v>
      </c>
      <c r="O35" s="64">
        <f t="shared" si="48"/>
        <v>1869</v>
      </c>
      <c r="P35" s="537">
        <f t="shared" si="45"/>
        <v>2137</v>
      </c>
      <c r="Q35" s="537">
        <f t="shared" si="46"/>
        <v>179335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0"/>
        <v>0</v>
      </c>
      <c r="W35" s="384"/>
      <c r="X35" s="537">
        <f t="shared" si="22"/>
        <v>2480</v>
      </c>
      <c r="Y35" s="52">
        <f>X35-X34</f>
        <v>0</v>
      </c>
      <c r="Z35" s="537">
        <f t="shared" si="24"/>
        <v>139172.20000000001</v>
      </c>
      <c r="AA35" s="65">
        <f>Z35-Z34</f>
        <v>0</v>
      </c>
      <c r="AB35" s="273">
        <f>SUM(Y35*$AB$2)</f>
        <v>0</v>
      </c>
      <c r="AC35" s="537">
        <f t="shared" si="25"/>
        <v>1943</v>
      </c>
      <c r="AD35" s="259">
        <f>AC35-AC34</f>
        <v>0</v>
      </c>
      <c r="AE35" s="537">
        <f t="shared" si="26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71.75</v>
      </c>
      <c r="U36" s="70">
        <f>SUM(U5:U35)</f>
        <v>10</v>
      </c>
      <c r="V36" s="62">
        <f>SUM(V5:V35)</f>
        <v>422</v>
      </c>
      <c r="AE36" s="71" t="s">
        <v>379</v>
      </c>
      <c r="AG36" s="329"/>
      <c r="AH36" s="62">
        <f>SUM(AH5:AH35)</f>
        <v>0</v>
      </c>
      <c r="AL36" s="62">
        <f>SUM(AL5:AL35)</f>
        <v>10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42.2</v>
      </c>
      <c r="AH37" s="62">
        <f>AF37+AA37</f>
        <v>0</v>
      </c>
      <c r="AI37" s="306">
        <f>SUM(AI5:AI35)</f>
        <v>422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zoomScale="90" zoomScaleNormal="90" workbookViewId="0">
      <pane ySplit="3" topLeftCell="A4" activePane="bottomLeft" state="frozen"/>
      <selection pane="bottomLeft" activeCell="AY14" sqref="AY1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8142004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0" t="s">
        <v>95</v>
      </c>
      <c r="AS2" s="641"/>
      <c r="AT2" s="641"/>
      <c r="AU2" s="641"/>
      <c r="AV2" s="642"/>
      <c r="AW2" s="640" t="s">
        <v>96</v>
      </c>
      <c r="AX2" s="641"/>
      <c r="AY2" s="642"/>
      <c r="AZ2" s="640" t="s">
        <v>98</v>
      </c>
      <c r="BA2" s="641"/>
      <c r="BB2" s="642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37" t="s">
        <v>126</v>
      </c>
      <c r="AO3" s="638"/>
      <c r="AP3" s="639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44530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250</v>
      </c>
      <c r="F5" s="393">
        <f>[2]WATER!F36</f>
        <v>0</v>
      </c>
      <c r="G5" s="393">
        <f>[2]WATER!G36</f>
        <v>625978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6953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477</v>
      </c>
      <c r="W5" s="393">
        <f>[2]WATER!W36</f>
        <v>0</v>
      </c>
      <c r="X5" s="393">
        <v>154335</v>
      </c>
      <c r="Y5" s="393">
        <f>[2]WATER!Y36</f>
        <v>0</v>
      </c>
      <c r="Z5" s="393">
        <f>[2]WATER!Z36</f>
        <v>99258</v>
      </c>
      <c r="AA5" s="393">
        <f>[2]WATER!AA36</f>
        <v>0</v>
      </c>
      <c r="AB5" s="393">
        <f>[2]WATER!AB36</f>
        <v>248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2217.83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0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[2]WATER!$AR$35</f>
        <v>44530</v>
      </c>
      <c r="AS5" s="393">
        <f>[2]WATER!AS36</f>
        <v>0.9</v>
      </c>
      <c r="AT5" s="393">
        <f>[2]WATER!AT36</f>
        <v>94</v>
      </c>
      <c r="AU5" s="393">
        <f>[2]WATER!AU36</f>
        <v>1.1000000000000001</v>
      </c>
      <c r="AV5" s="393">
        <f>[2]WATER!AV36</f>
        <v>139</v>
      </c>
      <c r="AW5" s="393">
        <f>[2]WATER!AW36</f>
        <v>2.9</v>
      </c>
      <c r="AX5" s="393">
        <f>[2]WATER!AX36</f>
        <v>101</v>
      </c>
      <c r="AY5" s="393">
        <f>[2]WATER!AY36</f>
        <v>84.600000000000009</v>
      </c>
      <c r="AZ5" s="393">
        <f>[2]WATER!AZ36</f>
        <v>152.9</v>
      </c>
      <c r="BA5" s="393">
        <f>[2]WATER!BA36</f>
        <v>292.89999999999998</v>
      </c>
      <c r="BB5" s="393">
        <f>[2]WATER!BB36</f>
        <v>0</v>
      </c>
      <c r="BC5" s="393">
        <f>[2]WATER!BC36</f>
        <v>0</v>
      </c>
      <c r="BD5" s="393">
        <f>[2]WATER!BD36</f>
        <v>0</v>
      </c>
      <c r="BE5" s="393">
        <f>[2]WATER!BE36</f>
        <v>0</v>
      </c>
      <c r="BF5" s="393">
        <f>[2]WATER!BF36</f>
        <v>0</v>
      </c>
      <c r="BG5" s="393">
        <f>[2]WATER!BG36</f>
        <v>0</v>
      </c>
    </row>
    <row r="6" spans="1:65" ht="15.75" thickBot="1">
      <c r="A6" s="6">
        <f>ELEC!C4</f>
        <v>44531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625978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6954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477</v>
      </c>
      <c r="W6" s="309">
        <f>+V6-V5</f>
        <v>0</v>
      </c>
      <c r="X6" s="5">
        <f>X5</f>
        <v>154335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248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2217.83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18.5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44531</v>
      </c>
      <c r="AS6" s="407">
        <f>AS5</f>
        <v>0.9</v>
      </c>
      <c r="AT6" s="201">
        <f>AT5</f>
        <v>94</v>
      </c>
      <c r="AU6" s="408">
        <f>AU5</f>
        <v>1.1000000000000001</v>
      </c>
      <c r="AV6" s="201">
        <v>137</v>
      </c>
      <c r="AW6" s="5">
        <v>2.9</v>
      </c>
      <c r="AX6" s="201">
        <v>100</v>
      </c>
      <c r="AY6" s="409">
        <f>AS6*AT6</f>
        <v>84.600000000000009</v>
      </c>
      <c r="AZ6" s="409">
        <f>AU6*AV6</f>
        <v>150.70000000000002</v>
      </c>
      <c r="BA6" s="409">
        <f>AW6*AX6</f>
        <v>290</v>
      </c>
      <c r="BB6" s="21">
        <f>AY6-AY5</f>
        <v>0</v>
      </c>
      <c r="BC6" s="21">
        <f>AZ6-AZ5</f>
        <v>-2.1999999999999886</v>
      </c>
      <c r="BD6" s="21">
        <f>BA6-BA5</f>
        <v>-2.8999999999999773</v>
      </c>
      <c r="BE6" s="24">
        <f>SUM(BB6:BD6)</f>
        <v>-5.0999999999999659</v>
      </c>
      <c r="BF6" s="96">
        <f t="shared" ref="BF6:BF33" si="4">SUM(I6-BE6)</f>
        <v>5.0999999999999659</v>
      </c>
      <c r="BG6" s="82">
        <f t="shared" ref="BG6:BG33" si="5">SUM(I6-BF6)</f>
        <v>-5.0999999999999659</v>
      </c>
      <c r="BI6" s="17"/>
      <c r="BJ6" s="17"/>
      <c r="BK6" s="17"/>
      <c r="BL6" s="17"/>
      <c r="BM6" s="17"/>
    </row>
    <row r="7" spans="1:65" ht="15.75" thickBot="1">
      <c r="A7" s="6">
        <f>ELEC!C5</f>
        <v>44532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v>626138</v>
      </c>
      <c r="H7" s="5">
        <f t="shared" ref="H7:H33" si="9">G7-G6</f>
        <v>160</v>
      </c>
      <c r="I7" s="5">
        <f t="shared" ref="I7:I33" si="10">C7+H7</f>
        <v>160</v>
      </c>
      <c r="J7" s="319">
        <f t="shared" si="0"/>
        <v>1.5120967741935485</v>
      </c>
      <c r="K7" s="5">
        <f>'Swimming Pool quality check '!H7</f>
        <v>6954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5180</v>
      </c>
      <c r="U7" s="5">
        <f t="shared" si="3"/>
        <v>0</v>
      </c>
      <c r="V7" s="5">
        <f t="shared" ref="V7:V36" si="14">V6</f>
        <v>477</v>
      </c>
      <c r="W7" s="309">
        <f t="shared" ref="W7:W33" si="15">+V7-V6</f>
        <v>0</v>
      </c>
      <c r="X7" s="5">
        <f t="shared" ref="X7:X36" si="16">X6</f>
        <v>154335</v>
      </c>
      <c r="Y7" s="309">
        <f>SUM(X7-X6)</f>
        <v>0</v>
      </c>
      <c r="Z7" s="5">
        <f t="shared" ref="Z7:Z36" si="17">Z6</f>
        <v>99258</v>
      </c>
      <c r="AA7" s="83">
        <f t="shared" ref="AA7:AA33" si="18">Z7-Z6</f>
        <v>0</v>
      </c>
      <c r="AB7" s="5">
        <f t="shared" ref="AB7:AB36" si="19">AB6</f>
        <v>248</v>
      </c>
      <c r="AC7" s="5">
        <f t="shared" ref="AC7:AC36" si="20">AC6</f>
        <v>789</v>
      </c>
      <c r="AD7" s="83">
        <f>AC7-AC6</f>
        <v>0</v>
      </c>
      <c r="AE7" s="5">
        <f t="shared" ref="AE7:AE36" si="21">AE6</f>
        <v>239.1</v>
      </c>
      <c r="AF7" s="83">
        <f t="shared" ref="AF7:AF32" si="22">AE7-AE6</f>
        <v>0</v>
      </c>
      <c r="AG7" s="5">
        <f t="shared" ref="AG7:AG36" si="23">AG6</f>
        <v>2217.83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18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44532</v>
      </c>
      <c r="AS7" s="407">
        <f t="shared" ref="AS7:AT21" si="29">AS6</f>
        <v>0.9</v>
      </c>
      <c r="AT7" s="201">
        <v>186</v>
      </c>
      <c r="AU7" s="408">
        <f>AU6</f>
        <v>1.1000000000000001</v>
      </c>
      <c r="AV7" s="201">
        <v>135</v>
      </c>
      <c r="AW7" s="5">
        <v>2.9</v>
      </c>
      <c r="AX7" s="201">
        <v>98</v>
      </c>
      <c r="AY7" s="409">
        <f>AS7*AT7</f>
        <v>167.4</v>
      </c>
      <c r="AZ7" s="409">
        <f>AU7*AV7</f>
        <v>148.5</v>
      </c>
      <c r="BA7" s="409">
        <f>AW7*AX7</f>
        <v>284.2</v>
      </c>
      <c r="BB7" s="21">
        <f>AY7-AY6</f>
        <v>82.8</v>
      </c>
      <c r="BC7" s="21">
        <f t="shared" ref="BC7:BD21" si="30">AZ7-AZ6</f>
        <v>-2.2000000000000171</v>
      </c>
      <c r="BD7" s="21">
        <f t="shared" si="30"/>
        <v>-5.8000000000000114</v>
      </c>
      <c r="BE7" s="24">
        <f t="shared" ref="BE7:BE33" si="31">SUM(BB7:BD7)</f>
        <v>74.799999999999969</v>
      </c>
      <c r="BF7" s="96">
        <f t="shared" si="4"/>
        <v>85.200000000000031</v>
      </c>
      <c r="BG7" s="82">
        <f t="shared" si="5"/>
        <v>74.799999999999969</v>
      </c>
      <c r="BI7" s="86"/>
      <c r="BJ7" s="17"/>
      <c r="BK7" s="17"/>
      <c r="BL7" s="17"/>
      <c r="BM7" s="17"/>
    </row>
    <row r="8" spans="1:65" ht="15.75" thickBot="1">
      <c r="A8" s="6">
        <f>ELEC!C6</f>
        <v>44533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ref="G8:G36" si="32">G7</f>
        <v>626138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6954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5180</v>
      </c>
      <c r="U8" s="5">
        <f t="shared" si="3"/>
        <v>0</v>
      </c>
      <c r="V8" s="5">
        <f t="shared" si="14"/>
        <v>477</v>
      </c>
      <c r="W8" s="309">
        <f t="shared" si="15"/>
        <v>0</v>
      </c>
      <c r="X8" s="5">
        <f t="shared" si="16"/>
        <v>154335</v>
      </c>
      <c r="Y8" s="309">
        <f>SUM(X8-X7)</f>
        <v>0</v>
      </c>
      <c r="Z8" s="5">
        <f t="shared" si="17"/>
        <v>99258</v>
      </c>
      <c r="AA8" s="83">
        <f t="shared" si="18"/>
        <v>0</v>
      </c>
      <c r="AB8" s="5">
        <f t="shared" si="19"/>
        <v>248</v>
      </c>
      <c r="AC8" s="5">
        <f t="shared" si="20"/>
        <v>789</v>
      </c>
      <c r="AD8" s="83">
        <f t="shared" ref="AD8:AD33" si="33">AC8-AC7</f>
        <v>0</v>
      </c>
      <c r="AE8" s="5">
        <f t="shared" si="21"/>
        <v>239.1</v>
      </c>
      <c r="AF8" s="83">
        <f t="shared" si="22"/>
        <v>0</v>
      </c>
      <c r="AG8" s="5">
        <f t="shared" si="23"/>
        <v>2217.83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4">SUM(Y8-L8)</f>
        <v>0</v>
      </c>
      <c r="AL8" s="312">
        <f t="shared" si="27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44533</v>
      </c>
      <c r="AS8" s="407">
        <f t="shared" si="29"/>
        <v>0.9</v>
      </c>
      <c r="AT8" s="201">
        <f t="shared" si="29"/>
        <v>186</v>
      </c>
      <c r="AU8" s="408">
        <v>1.1000000000000001</v>
      </c>
      <c r="AV8" s="201">
        <f t="shared" ref="AV8:AV36" si="35">AV7</f>
        <v>135</v>
      </c>
      <c r="AW8" s="5">
        <v>2.9</v>
      </c>
      <c r="AX8" s="201">
        <f t="shared" ref="AX8:AX36" si="36">AX7</f>
        <v>98</v>
      </c>
      <c r="AY8" s="409">
        <f t="shared" ref="AY8:AY35" si="37">AS8*AT8</f>
        <v>167.4</v>
      </c>
      <c r="AZ8" s="409">
        <f t="shared" ref="AZ8:AZ33" si="38">AU8*AV8</f>
        <v>148.5</v>
      </c>
      <c r="BA8" s="409">
        <f t="shared" ref="BA8:BA33" si="39">AW8*AX8</f>
        <v>284.2</v>
      </c>
      <c r="BB8" s="21">
        <f t="shared" ref="BB8:BB19" si="40">AY8-AY7</f>
        <v>0</v>
      </c>
      <c r="BC8" s="21">
        <f t="shared" si="30"/>
        <v>0</v>
      </c>
      <c r="BD8" s="21">
        <f t="shared" si="30"/>
        <v>0</v>
      </c>
      <c r="BE8" s="24">
        <f t="shared" si="31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44534</v>
      </c>
      <c r="B9" s="5">
        <f t="shared" si="6"/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32"/>
        <v>626138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6954</v>
      </c>
      <c r="L9" s="83">
        <f t="shared" ref="L9:L33" si="41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5180</v>
      </c>
      <c r="U9" s="5">
        <f t="shared" si="3"/>
        <v>0</v>
      </c>
      <c r="V9" s="5">
        <f t="shared" si="14"/>
        <v>477</v>
      </c>
      <c r="W9" s="309">
        <f t="shared" si="15"/>
        <v>0</v>
      </c>
      <c r="X9" s="5">
        <f t="shared" si="16"/>
        <v>154335</v>
      </c>
      <c r="Y9" s="309">
        <f t="shared" ref="Y9:Y36" si="42">SUM(X9-X8)</f>
        <v>0</v>
      </c>
      <c r="Z9" s="5">
        <f t="shared" si="17"/>
        <v>99258</v>
      </c>
      <c r="AA9" s="83">
        <f t="shared" si="18"/>
        <v>0</v>
      </c>
      <c r="AB9" s="5">
        <f t="shared" si="19"/>
        <v>248</v>
      </c>
      <c r="AC9" s="5">
        <f t="shared" si="20"/>
        <v>789</v>
      </c>
      <c r="AD9" s="83">
        <f t="shared" si="33"/>
        <v>0</v>
      </c>
      <c r="AE9" s="5">
        <f t="shared" si="21"/>
        <v>239.1</v>
      </c>
      <c r="AF9" s="83">
        <f t="shared" si="22"/>
        <v>0</v>
      </c>
      <c r="AG9" s="5">
        <f t="shared" si="23"/>
        <v>2217.83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4"/>
        <v>0</v>
      </c>
      <c r="AL9" s="312">
        <f t="shared" si="27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44534</v>
      </c>
      <c r="AS9" s="407">
        <f t="shared" si="29"/>
        <v>0.9</v>
      </c>
      <c r="AT9" s="201">
        <f t="shared" si="29"/>
        <v>186</v>
      </c>
      <c r="AU9" s="408">
        <f t="shared" ref="AU9:AU33" si="43">AU8</f>
        <v>1.1000000000000001</v>
      </c>
      <c r="AV9" s="201">
        <f t="shared" si="35"/>
        <v>135</v>
      </c>
      <c r="AW9" s="5">
        <v>2.9</v>
      </c>
      <c r="AX9" s="201">
        <f t="shared" si="36"/>
        <v>98</v>
      </c>
      <c r="AY9" s="409">
        <f t="shared" si="37"/>
        <v>167.4</v>
      </c>
      <c r="AZ9" s="409">
        <f t="shared" si="38"/>
        <v>148.5</v>
      </c>
      <c r="BA9" s="409">
        <f t="shared" si="39"/>
        <v>284.2</v>
      </c>
      <c r="BB9" s="21">
        <f t="shared" si="40"/>
        <v>0</v>
      </c>
      <c r="BC9" s="21">
        <f t="shared" si="30"/>
        <v>0</v>
      </c>
      <c r="BD9" s="21">
        <f t="shared" si="30"/>
        <v>0</v>
      </c>
      <c r="BE9" s="24">
        <f t="shared" si="31"/>
        <v>0</v>
      </c>
      <c r="BF9" s="330">
        <f t="shared" si="4"/>
        <v>0</v>
      </c>
      <c r="BG9" s="82">
        <f t="shared" si="5"/>
        <v>0</v>
      </c>
    </row>
    <row r="10" spans="1:65" ht="15.75" thickBot="1">
      <c r="A10" s="6">
        <f>ELEC!C8</f>
        <v>44535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32"/>
        <v>626138</v>
      </c>
      <c r="H10" s="5">
        <f t="shared" si="9"/>
        <v>0</v>
      </c>
      <c r="I10" s="5">
        <f t="shared" si="10"/>
        <v>0</v>
      </c>
      <c r="J10" s="319">
        <f t="shared" si="0"/>
        <v>0</v>
      </c>
      <c r="K10" s="5">
        <f>'Swimming Pool quality check '!H10</f>
        <v>6960</v>
      </c>
      <c r="L10" s="83">
        <f>K10-K9</f>
        <v>6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5180</v>
      </c>
      <c r="U10" s="5">
        <f t="shared" si="3"/>
        <v>0</v>
      </c>
      <c r="V10" s="5">
        <f t="shared" si="14"/>
        <v>477</v>
      </c>
      <c r="W10" s="309">
        <f t="shared" si="15"/>
        <v>0</v>
      </c>
      <c r="X10" s="5">
        <f t="shared" si="16"/>
        <v>154335</v>
      </c>
      <c r="Y10" s="309">
        <f t="shared" si="42"/>
        <v>0</v>
      </c>
      <c r="Z10" s="5">
        <f t="shared" si="17"/>
        <v>99258</v>
      </c>
      <c r="AA10" s="83">
        <f t="shared" si="18"/>
        <v>0</v>
      </c>
      <c r="AB10" s="5">
        <f t="shared" si="19"/>
        <v>248</v>
      </c>
      <c r="AC10" s="5">
        <f t="shared" si="20"/>
        <v>789</v>
      </c>
      <c r="AD10" s="83">
        <f t="shared" si="33"/>
        <v>0</v>
      </c>
      <c r="AE10" s="5">
        <f t="shared" si="21"/>
        <v>239.1</v>
      </c>
      <c r="AF10" s="83">
        <f t="shared" si="22"/>
        <v>0</v>
      </c>
      <c r="AG10" s="5">
        <f t="shared" si="23"/>
        <v>2217.83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-6</v>
      </c>
      <c r="AL10" s="312">
        <f t="shared" si="27"/>
        <v>0</v>
      </c>
      <c r="AM10" s="312">
        <f>'General information '!D9</f>
        <v>20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44535</v>
      </c>
      <c r="AS10" s="407">
        <f t="shared" si="29"/>
        <v>0.9</v>
      </c>
      <c r="AT10" s="201">
        <f t="shared" si="29"/>
        <v>186</v>
      </c>
      <c r="AU10" s="408">
        <f t="shared" si="43"/>
        <v>1.1000000000000001</v>
      </c>
      <c r="AV10" s="201">
        <f t="shared" si="35"/>
        <v>135</v>
      </c>
      <c r="AW10" s="5">
        <v>2.9</v>
      </c>
      <c r="AX10" s="201">
        <v>97</v>
      </c>
      <c r="AY10" s="409">
        <f t="shared" si="37"/>
        <v>167.4</v>
      </c>
      <c r="AZ10" s="409">
        <f t="shared" si="38"/>
        <v>148.5</v>
      </c>
      <c r="BA10" s="409">
        <f t="shared" si="39"/>
        <v>281.3</v>
      </c>
      <c r="BB10" s="21">
        <f t="shared" si="40"/>
        <v>0</v>
      </c>
      <c r="BC10" s="21">
        <f t="shared" si="30"/>
        <v>0</v>
      </c>
      <c r="BD10" s="21">
        <f t="shared" si="30"/>
        <v>-2.8999999999999773</v>
      </c>
      <c r="BE10" s="24">
        <f t="shared" si="31"/>
        <v>-2.8999999999999773</v>
      </c>
      <c r="BF10" s="96">
        <f t="shared" si="4"/>
        <v>2.8999999999999773</v>
      </c>
      <c r="BG10" s="82">
        <f t="shared" si="5"/>
        <v>-2.8999999999999773</v>
      </c>
    </row>
    <row r="11" spans="1:65" ht="15.75" thickBot="1">
      <c r="A11" s="6">
        <f>ELEC!C9</f>
        <v>44536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32"/>
        <v>626138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6960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5180</v>
      </c>
      <c r="U11" s="5">
        <f t="shared" si="3"/>
        <v>0</v>
      </c>
      <c r="V11" s="5">
        <f t="shared" si="14"/>
        <v>477</v>
      </c>
      <c r="W11" s="309">
        <f t="shared" si="15"/>
        <v>0</v>
      </c>
      <c r="X11" s="5">
        <f t="shared" si="16"/>
        <v>154335</v>
      </c>
      <c r="Y11" s="309">
        <f t="shared" si="42"/>
        <v>0</v>
      </c>
      <c r="Z11" s="5">
        <f t="shared" si="17"/>
        <v>99258</v>
      </c>
      <c r="AA11" s="83">
        <f t="shared" si="18"/>
        <v>0</v>
      </c>
      <c r="AB11" s="5">
        <f t="shared" si="19"/>
        <v>248</v>
      </c>
      <c r="AC11" s="5">
        <f t="shared" si="20"/>
        <v>789</v>
      </c>
      <c r="AD11" s="83">
        <f t="shared" si="33"/>
        <v>0</v>
      </c>
      <c r="AE11" s="5">
        <f t="shared" si="21"/>
        <v>239.1</v>
      </c>
      <c r="AF11" s="83">
        <f t="shared" si="22"/>
        <v>0</v>
      </c>
      <c r="AG11" s="5">
        <f t="shared" si="23"/>
        <v>2217.83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4"/>
        <v>0</v>
      </c>
      <c r="AL11" s="312">
        <f t="shared" si="27"/>
        <v>0</v>
      </c>
      <c r="AM11" s="312">
        <f>'General information '!D10</f>
        <v>19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44536</v>
      </c>
      <c r="AS11" s="407">
        <f t="shared" si="29"/>
        <v>0.9</v>
      </c>
      <c r="AT11" s="201">
        <f t="shared" si="29"/>
        <v>186</v>
      </c>
      <c r="AU11" s="408">
        <f t="shared" si="43"/>
        <v>1.1000000000000001</v>
      </c>
      <c r="AV11" s="201">
        <f t="shared" si="35"/>
        <v>135</v>
      </c>
      <c r="AW11" s="5">
        <v>2.9</v>
      </c>
      <c r="AX11" s="201">
        <v>96</v>
      </c>
      <c r="AY11" s="409">
        <f t="shared" si="37"/>
        <v>167.4</v>
      </c>
      <c r="AZ11" s="409">
        <f t="shared" si="38"/>
        <v>148.5</v>
      </c>
      <c r="BA11" s="409">
        <f t="shared" si="39"/>
        <v>278.39999999999998</v>
      </c>
      <c r="BB11" s="21">
        <f t="shared" si="40"/>
        <v>0</v>
      </c>
      <c r="BC11" s="21">
        <f t="shared" si="30"/>
        <v>0</v>
      </c>
      <c r="BD11" s="21">
        <f t="shared" si="30"/>
        <v>-2.9000000000000341</v>
      </c>
      <c r="BE11" s="24">
        <f t="shared" si="31"/>
        <v>-2.9000000000000341</v>
      </c>
      <c r="BF11" s="96">
        <f t="shared" si="4"/>
        <v>2.9000000000000341</v>
      </c>
      <c r="BG11" s="82">
        <f t="shared" si="5"/>
        <v>-2.9000000000000341</v>
      </c>
    </row>
    <row r="12" spans="1:65" ht="15.75" thickBot="1">
      <c r="A12" s="6">
        <f>ELEC!C10</f>
        <v>44537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32"/>
        <v>626138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6960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5180</v>
      </c>
      <c r="U12" s="5">
        <f t="shared" si="3"/>
        <v>0</v>
      </c>
      <c r="V12" s="5">
        <f t="shared" si="14"/>
        <v>477</v>
      </c>
      <c r="W12" s="309">
        <f t="shared" si="15"/>
        <v>0</v>
      </c>
      <c r="X12" s="5">
        <f t="shared" si="16"/>
        <v>154335</v>
      </c>
      <c r="Y12" s="309">
        <f t="shared" si="42"/>
        <v>0</v>
      </c>
      <c r="Z12" s="5">
        <f t="shared" si="17"/>
        <v>99258</v>
      </c>
      <c r="AA12" s="83">
        <f t="shared" si="18"/>
        <v>0</v>
      </c>
      <c r="AB12" s="5">
        <f t="shared" si="19"/>
        <v>248</v>
      </c>
      <c r="AC12" s="5">
        <f t="shared" si="20"/>
        <v>789</v>
      </c>
      <c r="AD12" s="83">
        <f t="shared" si="33"/>
        <v>0</v>
      </c>
      <c r="AE12" s="5">
        <f t="shared" si="21"/>
        <v>239.1</v>
      </c>
      <c r="AF12" s="83">
        <f t="shared" si="22"/>
        <v>0</v>
      </c>
      <c r="AG12" s="5">
        <f t="shared" si="23"/>
        <v>2217.83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4"/>
        <v>0</v>
      </c>
      <c r="AL12" s="312">
        <f t="shared" si="27"/>
        <v>0</v>
      </c>
      <c r="AM12" s="312">
        <f>'General information '!D11</f>
        <v>19.5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44537</v>
      </c>
      <c r="AS12" s="407">
        <f t="shared" si="29"/>
        <v>0.9</v>
      </c>
      <c r="AT12" s="201">
        <v>184</v>
      </c>
      <c r="AU12" s="408">
        <f t="shared" si="43"/>
        <v>1.1000000000000001</v>
      </c>
      <c r="AV12" s="201">
        <v>134</v>
      </c>
      <c r="AW12" s="5">
        <v>2.9</v>
      </c>
      <c r="AX12" s="201">
        <v>94</v>
      </c>
      <c r="AY12" s="409">
        <f t="shared" si="37"/>
        <v>165.6</v>
      </c>
      <c r="AZ12" s="409">
        <f t="shared" si="38"/>
        <v>147.4</v>
      </c>
      <c r="BA12" s="409">
        <f t="shared" si="39"/>
        <v>272.59999999999997</v>
      </c>
      <c r="BB12" s="21">
        <f t="shared" si="40"/>
        <v>-1.8000000000000114</v>
      </c>
      <c r="BC12" s="21">
        <f t="shared" si="30"/>
        <v>-1.0999999999999943</v>
      </c>
      <c r="BD12" s="21">
        <f t="shared" si="30"/>
        <v>-5.8000000000000114</v>
      </c>
      <c r="BE12" s="24">
        <f t="shared" si="31"/>
        <v>-8.7000000000000171</v>
      </c>
      <c r="BF12" s="96">
        <f t="shared" si="4"/>
        <v>8.7000000000000171</v>
      </c>
      <c r="BG12" s="82">
        <f t="shared" si="5"/>
        <v>-8.7000000000000171</v>
      </c>
    </row>
    <row r="13" spans="1:65" ht="15.75" thickBot="1">
      <c r="A13" s="6">
        <f>ELEC!C11</f>
        <v>44538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32"/>
        <v>626138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6960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5180</v>
      </c>
      <c r="U13" s="5">
        <f t="shared" si="3"/>
        <v>0</v>
      </c>
      <c r="V13" s="5">
        <f t="shared" si="14"/>
        <v>477</v>
      </c>
      <c r="W13" s="309">
        <f t="shared" si="15"/>
        <v>0</v>
      </c>
      <c r="X13" s="5">
        <f t="shared" si="16"/>
        <v>154335</v>
      </c>
      <c r="Y13" s="309">
        <f t="shared" si="42"/>
        <v>0</v>
      </c>
      <c r="Z13" s="5">
        <f t="shared" si="17"/>
        <v>99258</v>
      </c>
      <c r="AA13" s="83">
        <f t="shared" si="18"/>
        <v>0</v>
      </c>
      <c r="AB13" s="5">
        <f t="shared" si="19"/>
        <v>248</v>
      </c>
      <c r="AC13" s="5">
        <f t="shared" si="20"/>
        <v>789</v>
      </c>
      <c r="AD13" s="83">
        <f t="shared" si="33"/>
        <v>0</v>
      </c>
      <c r="AE13" s="5">
        <f t="shared" si="21"/>
        <v>239.1</v>
      </c>
      <c r="AF13" s="83">
        <f t="shared" si="22"/>
        <v>0</v>
      </c>
      <c r="AG13" s="5">
        <f t="shared" si="23"/>
        <v>2217.83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4"/>
        <v>0</v>
      </c>
      <c r="AL13" s="312">
        <f t="shared" si="27"/>
        <v>0</v>
      </c>
      <c r="AM13" s="312">
        <f>'General information '!D12</f>
        <v>16.5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44538</v>
      </c>
      <c r="AS13" s="407">
        <f t="shared" si="29"/>
        <v>0.9</v>
      </c>
      <c r="AT13" s="201">
        <f t="shared" si="29"/>
        <v>184</v>
      </c>
      <c r="AU13" s="408">
        <f t="shared" si="43"/>
        <v>1.1000000000000001</v>
      </c>
      <c r="AV13" s="201">
        <f t="shared" si="35"/>
        <v>134</v>
      </c>
      <c r="AW13" s="5">
        <v>2.9</v>
      </c>
      <c r="AX13" s="201">
        <v>84</v>
      </c>
      <c r="AY13" s="409">
        <f t="shared" si="37"/>
        <v>165.6</v>
      </c>
      <c r="AZ13" s="409">
        <f t="shared" si="38"/>
        <v>147.4</v>
      </c>
      <c r="BA13" s="409">
        <f t="shared" si="39"/>
        <v>243.6</v>
      </c>
      <c r="BB13" s="21">
        <f t="shared" si="40"/>
        <v>0</v>
      </c>
      <c r="BC13" s="21">
        <f t="shared" si="30"/>
        <v>0</v>
      </c>
      <c r="BD13" s="21">
        <f t="shared" si="30"/>
        <v>-28.999999999999972</v>
      </c>
      <c r="BE13" s="24">
        <f t="shared" si="31"/>
        <v>-28.999999999999972</v>
      </c>
      <c r="BF13" s="96">
        <f t="shared" si="4"/>
        <v>28.999999999999972</v>
      </c>
      <c r="BG13" s="82">
        <f t="shared" si="5"/>
        <v>-28.999999999999972</v>
      </c>
    </row>
    <row r="14" spans="1:65" ht="15.75" thickBot="1">
      <c r="A14" s="6">
        <f>ELEC!C12</f>
        <v>44539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v>626308</v>
      </c>
      <c r="H14" s="5">
        <f t="shared" si="9"/>
        <v>170</v>
      </c>
      <c r="I14" s="5">
        <f t="shared" si="10"/>
        <v>170</v>
      </c>
      <c r="J14" s="319">
        <f t="shared" si="0"/>
        <v>1.4231499051233396</v>
      </c>
      <c r="K14" s="5">
        <f>'Swimming Pool quality check '!H14</f>
        <v>6966</v>
      </c>
      <c r="L14" s="83">
        <f t="shared" si="41"/>
        <v>6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5180</v>
      </c>
      <c r="U14" s="5">
        <f t="shared" si="3"/>
        <v>0</v>
      </c>
      <c r="V14" s="5">
        <f t="shared" si="14"/>
        <v>477</v>
      </c>
      <c r="W14" s="309">
        <f t="shared" si="15"/>
        <v>0</v>
      </c>
      <c r="X14" s="5">
        <v>154481</v>
      </c>
      <c r="Y14" s="309">
        <f t="shared" si="42"/>
        <v>146</v>
      </c>
      <c r="Z14" s="5">
        <f t="shared" si="17"/>
        <v>99258</v>
      </c>
      <c r="AA14" s="83">
        <f t="shared" si="18"/>
        <v>0</v>
      </c>
      <c r="AB14" s="5">
        <f t="shared" si="19"/>
        <v>248</v>
      </c>
      <c r="AC14" s="5">
        <f t="shared" si="20"/>
        <v>789</v>
      </c>
      <c r="AD14" s="83">
        <f t="shared" si="33"/>
        <v>0</v>
      </c>
      <c r="AE14" s="5">
        <f t="shared" si="21"/>
        <v>239.1</v>
      </c>
      <c r="AF14" s="83">
        <f t="shared" si="22"/>
        <v>0</v>
      </c>
      <c r="AG14" s="5">
        <f t="shared" si="23"/>
        <v>2217.83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4"/>
        <v>140</v>
      </c>
      <c r="AL14" s="312">
        <f t="shared" si="27"/>
        <v>0</v>
      </c>
      <c r="AM14" s="312">
        <f>'General information '!D13</f>
        <v>17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44539</v>
      </c>
      <c r="AS14" s="407">
        <f t="shared" si="29"/>
        <v>0.9</v>
      </c>
      <c r="AT14" s="201">
        <v>114</v>
      </c>
      <c r="AU14" s="408">
        <f t="shared" si="43"/>
        <v>1.1000000000000001</v>
      </c>
      <c r="AV14" s="201">
        <v>132</v>
      </c>
      <c r="AW14" s="5">
        <v>2.9</v>
      </c>
      <c r="AX14" s="201">
        <v>124</v>
      </c>
      <c r="AY14" s="409">
        <f t="shared" si="37"/>
        <v>102.60000000000001</v>
      </c>
      <c r="AZ14" s="409">
        <f t="shared" si="38"/>
        <v>145.20000000000002</v>
      </c>
      <c r="BA14" s="409">
        <f t="shared" si="39"/>
        <v>359.59999999999997</v>
      </c>
      <c r="BB14" s="21">
        <f t="shared" si="40"/>
        <v>-62.999999999999986</v>
      </c>
      <c r="BC14" s="21">
        <f t="shared" si="30"/>
        <v>-2.1999999999999886</v>
      </c>
      <c r="BD14" s="21">
        <f t="shared" si="30"/>
        <v>115.99999999999997</v>
      </c>
      <c r="BE14" s="24">
        <f t="shared" si="31"/>
        <v>50.8</v>
      </c>
      <c r="BF14" s="96">
        <f t="shared" si="4"/>
        <v>119.2</v>
      </c>
      <c r="BG14" s="82">
        <f t="shared" si="5"/>
        <v>50.8</v>
      </c>
    </row>
    <row r="15" spans="1:65" ht="16.5" customHeight="1" thickBot="1">
      <c r="A15" s="6">
        <f>ELEC!C13</f>
        <v>44540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32"/>
        <v>626308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6966</v>
      </c>
      <c r="L15" s="83">
        <f t="shared" si="41"/>
        <v>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5180</v>
      </c>
      <c r="U15" s="5">
        <f t="shared" si="3"/>
        <v>0</v>
      </c>
      <c r="V15" s="5">
        <f t="shared" si="14"/>
        <v>477</v>
      </c>
      <c r="W15" s="309">
        <f t="shared" si="15"/>
        <v>0</v>
      </c>
      <c r="X15" s="5">
        <f t="shared" si="16"/>
        <v>154481</v>
      </c>
      <c r="Y15" s="309">
        <f t="shared" si="42"/>
        <v>0</v>
      </c>
      <c r="Z15" s="5">
        <f t="shared" si="17"/>
        <v>99258</v>
      </c>
      <c r="AA15" s="83">
        <f t="shared" si="18"/>
        <v>0</v>
      </c>
      <c r="AB15" s="5">
        <f t="shared" si="19"/>
        <v>248</v>
      </c>
      <c r="AC15" s="5">
        <f t="shared" si="20"/>
        <v>789</v>
      </c>
      <c r="AD15" s="83">
        <f t="shared" si="33"/>
        <v>0</v>
      </c>
      <c r="AE15" s="5">
        <f t="shared" si="21"/>
        <v>239.1</v>
      </c>
      <c r="AF15" s="83">
        <f t="shared" si="22"/>
        <v>0</v>
      </c>
      <c r="AG15" s="5">
        <f t="shared" si="23"/>
        <v>2217.83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 t="shared" si="34"/>
        <v>0</v>
      </c>
      <c r="AL15" s="312">
        <f t="shared" si="27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44540</v>
      </c>
      <c r="AS15" s="407">
        <f t="shared" si="29"/>
        <v>0.9</v>
      </c>
      <c r="AT15" s="201">
        <f t="shared" si="29"/>
        <v>114</v>
      </c>
      <c r="AU15" s="408">
        <f t="shared" si="43"/>
        <v>1.1000000000000001</v>
      </c>
      <c r="AV15" s="201">
        <f t="shared" si="35"/>
        <v>132</v>
      </c>
      <c r="AW15" s="5">
        <v>2.9</v>
      </c>
      <c r="AX15" s="201">
        <f t="shared" si="36"/>
        <v>124</v>
      </c>
      <c r="AY15" s="409">
        <f t="shared" si="37"/>
        <v>102.60000000000001</v>
      </c>
      <c r="AZ15" s="409">
        <f t="shared" si="38"/>
        <v>145.20000000000002</v>
      </c>
      <c r="BA15" s="409">
        <f t="shared" si="39"/>
        <v>359.59999999999997</v>
      </c>
      <c r="BB15" s="21">
        <f t="shared" si="40"/>
        <v>0</v>
      </c>
      <c r="BC15" s="21">
        <f t="shared" si="30"/>
        <v>0</v>
      </c>
      <c r="BD15" s="21">
        <f t="shared" si="30"/>
        <v>0</v>
      </c>
      <c r="BE15" s="24">
        <f t="shared" si="31"/>
        <v>0</v>
      </c>
      <c r="BF15" s="96">
        <f t="shared" si="4"/>
        <v>0</v>
      </c>
      <c r="BG15" s="82">
        <f t="shared" si="5"/>
        <v>0</v>
      </c>
    </row>
    <row r="16" spans="1:65" ht="15.75" thickBot="1">
      <c r="A16" s="6">
        <f>ELEC!C14</f>
        <v>44541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32"/>
        <v>626308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6966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5180</v>
      </c>
      <c r="U16" s="5">
        <f t="shared" si="3"/>
        <v>0</v>
      </c>
      <c r="V16" s="5">
        <f t="shared" si="14"/>
        <v>477</v>
      </c>
      <c r="W16" s="309">
        <f t="shared" si="15"/>
        <v>0</v>
      </c>
      <c r="X16" s="5">
        <f t="shared" si="16"/>
        <v>154481</v>
      </c>
      <c r="Y16" s="309">
        <f t="shared" si="42"/>
        <v>0</v>
      </c>
      <c r="Z16" s="5">
        <f t="shared" si="17"/>
        <v>99258</v>
      </c>
      <c r="AA16" s="83">
        <f t="shared" si="18"/>
        <v>0</v>
      </c>
      <c r="AB16" s="5">
        <f t="shared" si="19"/>
        <v>248</v>
      </c>
      <c r="AC16" s="5">
        <f t="shared" si="20"/>
        <v>789</v>
      </c>
      <c r="AD16" s="83">
        <f t="shared" si="33"/>
        <v>0</v>
      </c>
      <c r="AE16" s="5">
        <f t="shared" si="21"/>
        <v>239.1</v>
      </c>
      <c r="AF16" s="83">
        <f t="shared" si="22"/>
        <v>0</v>
      </c>
      <c r="AG16" s="5">
        <f t="shared" si="23"/>
        <v>2217.83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4"/>
        <v>0</v>
      </c>
      <c r="AL16" s="312">
        <f t="shared" si="27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44541</v>
      </c>
      <c r="AS16" s="407">
        <f t="shared" si="29"/>
        <v>0.9</v>
      </c>
      <c r="AT16" s="201">
        <f t="shared" si="29"/>
        <v>114</v>
      </c>
      <c r="AU16" s="408">
        <f t="shared" si="43"/>
        <v>1.1000000000000001</v>
      </c>
      <c r="AV16" s="201">
        <f t="shared" si="35"/>
        <v>132</v>
      </c>
      <c r="AW16" s="5">
        <v>2.9</v>
      </c>
      <c r="AX16" s="201">
        <f t="shared" si="36"/>
        <v>124</v>
      </c>
      <c r="AY16" s="409">
        <f t="shared" si="37"/>
        <v>102.60000000000001</v>
      </c>
      <c r="AZ16" s="409">
        <f t="shared" si="38"/>
        <v>145.20000000000002</v>
      </c>
      <c r="BA16" s="409">
        <f t="shared" si="39"/>
        <v>359.59999999999997</v>
      </c>
      <c r="BB16" s="21">
        <f t="shared" si="40"/>
        <v>0</v>
      </c>
      <c r="BC16" s="21">
        <f t="shared" si="30"/>
        <v>0</v>
      </c>
      <c r="BD16" s="21">
        <f t="shared" si="30"/>
        <v>0</v>
      </c>
      <c r="BE16" s="24">
        <f t="shared" si="31"/>
        <v>0</v>
      </c>
      <c r="BF16" s="96">
        <f t="shared" si="4"/>
        <v>0</v>
      </c>
      <c r="BG16" s="82">
        <f t="shared" si="5"/>
        <v>0</v>
      </c>
    </row>
    <row r="17" spans="1:61" ht="15.75" thickBot="1">
      <c r="A17" s="6">
        <f>ELEC!C15</f>
        <v>44542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32"/>
        <v>626308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6966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5180</v>
      </c>
      <c r="U17" s="5">
        <f t="shared" si="3"/>
        <v>0</v>
      </c>
      <c r="V17" s="5">
        <f t="shared" si="14"/>
        <v>477</v>
      </c>
      <c r="W17" s="309">
        <f t="shared" si="15"/>
        <v>0</v>
      </c>
      <c r="X17" s="5">
        <f t="shared" si="16"/>
        <v>154481</v>
      </c>
      <c r="Y17" s="309">
        <f t="shared" si="42"/>
        <v>0</v>
      </c>
      <c r="Z17" s="5">
        <f t="shared" si="17"/>
        <v>99258</v>
      </c>
      <c r="AA17" s="83">
        <f t="shared" si="18"/>
        <v>0</v>
      </c>
      <c r="AB17" s="5">
        <f t="shared" si="19"/>
        <v>248</v>
      </c>
      <c r="AC17" s="5">
        <f t="shared" si="20"/>
        <v>789</v>
      </c>
      <c r="AD17" s="83">
        <f t="shared" si="33"/>
        <v>0</v>
      </c>
      <c r="AE17" s="5">
        <f t="shared" si="21"/>
        <v>239.1</v>
      </c>
      <c r="AF17" s="83">
        <f t="shared" si="22"/>
        <v>0</v>
      </c>
      <c r="AG17" s="5">
        <f t="shared" si="23"/>
        <v>2217.83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44542</v>
      </c>
      <c r="AS17" s="407">
        <f t="shared" si="29"/>
        <v>0.9</v>
      </c>
      <c r="AT17" s="201">
        <f t="shared" si="29"/>
        <v>114</v>
      </c>
      <c r="AU17" s="408">
        <f t="shared" si="43"/>
        <v>1.1000000000000001</v>
      </c>
      <c r="AV17" s="201">
        <f t="shared" si="35"/>
        <v>132</v>
      </c>
      <c r="AW17" s="5">
        <v>2.9</v>
      </c>
      <c r="AX17" s="201">
        <f t="shared" si="36"/>
        <v>124</v>
      </c>
      <c r="AY17" s="409">
        <f t="shared" si="37"/>
        <v>102.60000000000001</v>
      </c>
      <c r="AZ17" s="409">
        <f t="shared" si="38"/>
        <v>145.20000000000002</v>
      </c>
      <c r="BA17" s="409">
        <f t="shared" si="39"/>
        <v>359.59999999999997</v>
      </c>
      <c r="BB17" s="21">
        <f t="shared" si="40"/>
        <v>0</v>
      </c>
      <c r="BC17" s="21">
        <f t="shared" si="30"/>
        <v>0</v>
      </c>
      <c r="BD17" s="21">
        <f t="shared" si="30"/>
        <v>0</v>
      </c>
      <c r="BE17" s="24">
        <f t="shared" si="31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44543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32"/>
        <v>626308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6966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5180</v>
      </c>
      <c r="U18" s="5">
        <f t="shared" si="3"/>
        <v>0</v>
      </c>
      <c r="V18" s="5">
        <f t="shared" si="14"/>
        <v>477</v>
      </c>
      <c r="W18" s="309">
        <f t="shared" si="15"/>
        <v>0</v>
      </c>
      <c r="X18" s="5">
        <f t="shared" si="16"/>
        <v>154481</v>
      </c>
      <c r="Y18" s="309">
        <f t="shared" si="42"/>
        <v>0</v>
      </c>
      <c r="Z18" s="5">
        <f t="shared" si="17"/>
        <v>99258</v>
      </c>
      <c r="AA18" s="83">
        <f t="shared" si="18"/>
        <v>0</v>
      </c>
      <c r="AB18" s="5">
        <f t="shared" si="19"/>
        <v>248</v>
      </c>
      <c r="AC18" s="5">
        <f t="shared" si="20"/>
        <v>789</v>
      </c>
      <c r="AD18" s="83">
        <f t="shared" si="33"/>
        <v>0</v>
      </c>
      <c r="AE18" s="5">
        <f t="shared" si="21"/>
        <v>239.1</v>
      </c>
      <c r="AF18" s="83">
        <f t="shared" si="22"/>
        <v>0</v>
      </c>
      <c r="AG18" s="5">
        <f t="shared" si="23"/>
        <v>2217.83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44543</v>
      </c>
      <c r="AS18" s="407">
        <f t="shared" si="29"/>
        <v>0.9</v>
      </c>
      <c r="AT18" s="201">
        <f t="shared" si="29"/>
        <v>114</v>
      </c>
      <c r="AU18" s="408">
        <f t="shared" si="43"/>
        <v>1.1000000000000001</v>
      </c>
      <c r="AV18" s="201">
        <f t="shared" si="35"/>
        <v>132</v>
      </c>
      <c r="AW18" s="5">
        <v>2.9</v>
      </c>
      <c r="AX18" s="201">
        <f t="shared" si="36"/>
        <v>124</v>
      </c>
      <c r="AY18" s="409">
        <f t="shared" si="37"/>
        <v>102.60000000000001</v>
      </c>
      <c r="AZ18" s="409">
        <f t="shared" si="38"/>
        <v>145.20000000000002</v>
      </c>
      <c r="BA18" s="409">
        <f t="shared" si="39"/>
        <v>359.59999999999997</v>
      </c>
      <c r="BB18" s="21">
        <f t="shared" si="40"/>
        <v>0</v>
      </c>
      <c r="BC18" s="21">
        <f t="shared" si="30"/>
        <v>0</v>
      </c>
      <c r="BD18" s="21">
        <f t="shared" si="30"/>
        <v>0</v>
      </c>
      <c r="BE18" s="24">
        <f t="shared" si="31"/>
        <v>0</v>
      </c>
      <c r="BF18" s="96">
        <f t="shared" si="4"/>
        <v>0</v>
      </c>
      <c r="BG18" s="82">
        <f t="shared" si="5"/>
        <v>0</v>
      </c>
    </row>
    <row r="19" spans="1:61" ht="15.75" thickBot="1">
      <c r="A19" s="6">
        <f>ELEC!C17</f>
        <v>44544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32"/>
        <v>626308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6966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5180</v>
      </c>
      <c r="U19" s="5">
        <f t="shared" si="3"/>
        <v>0</v>
      </c>
      <c r="V19" s="5">
        <f t="shared" si="14"/>
        <v>477</v>
      </c>
      <c r="W19" s="309">
        <f t="shared" si="15"/>
        <v>0</v>
      </c>
      <c r="X19" s="5">
        <f t="shared" si="16"/>
        <v>154481</v>
      </c>
      <c r="Y19" s="309">
        <f t="shared" si="42"/>
        <v>0</v>
      </c>
      <c r="Z19" s="5">
        <f t="shared" si="17"/>
        <v>99258</v>
      </c>
      <c r="AA19" s="83">
        <f t="shared" si="18"/>
        <v>0</v>
      </c>
      <c r="AB19" s="5">
        <f t="shared" si="19"/>
        <v>248</v>
      </c>
      <c r="AC19" s="5">
        <f t="shared" si="20"/>
        <v>789</v>
      </c>
      <c r="AD19" s="83">
        <f t="shared" si="33"/>
        <v>0</v>
      </c>
      <c r="AE19" s="5">
        <f t="shared" si="21"/>
        <v>239.1</v>
      </c>
      <c r="AF19" s="83">
        <f t="shared" si="22"/>
        <v>0</v>
      </c>
      <c r="AG19" s="5">
        <f t="shared" si="23"/>
        <v>2217.83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4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44544</v>
      </c>
      <c r="AS19" s="407">
        <f t="shared" si="29"/>
        <v>0.9</v>
      </c>
      <c r="AT19" s="201">
        <f t="shared" si="29"/>
        <v>114</v>
      </c>
      <c r="AU19" s="408">
        <f t="shared" si="43"/>
        <v>1.1000000000000001</v>
      </c>
      <c r="AV19" s="201">
        <f t="shared" si="35"/>
        <v>132</v>
      </c>
      <c r="AW19" s="5">
        <v>2.9</v>
      </c>
      <c r="AX19" s="201">
        <f t="shared" si="36"/>
        <v>124</v>
      </c>
      <c r="AY19" s="409">
        <f>AS19*AT19</f>
        <v>102.60000000000001</v>
      </c>
      <c r="AZ19" s="409">
        <f>AU19*AV19</f>
        <v>145.20000000000002</v>
      </c>
      <c r="BA19" s="409">
        <f>AW19*AX19</f>
        <v>359.59999999999997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44545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32"/>
        <v>626308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6966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5180</v>
      </c>
      <c r="U20" s="5">
        <f t="shared" si="3"/>
        <v>0</v>
      </c>
      <c r="V20" s="5">
        <f t="shared" si="14"/>
        <v>477</v>
      </c>
      <c r="W20" s="309">
        <f t="shared" si="15"/>
        <v>0</v>
      </c>
      <c r="X20" s="5">
        <f t="shared" si="16"/>
        <v>154481</v>
      </c>
      <c r="Y20" s="309">
        <f t="shared" si="42"/>
        <v>0</v>
      </c>
      <c r="Z20" s="5">
        <f t="shared" si="17"/>
        <v>99258</v>
      </c>
      <c r="AA20" s="83">
        <f t="shared" si="18"/>
        <v>0</v>
      </c>
      <c r="AB20" s="5">
        <f t="shared" si="19"/>
        <v>248</v>
      </c>
      <c r="AC20" s="5">
        <f t="shared" si="20"/>
        <v>789</v>
      </c>
      <c r="AD20" s="83">
        <f t="shared" si="33"/>
        <v>0</v>
      </c>
      <c r="AE20" s="5">
        <f t="shared" si="21"/>
        <v>239.1</v>
      </c>
      <c r="AF20" s="83">
        <f t="shared" si="22"/>
        <v>0</v>
      </c>
      <c r="AG20" s="5">
        <f t="shared" si="23"/>
        <v>2217.83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4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44545</v>
      </c>
      <c r="AS20" s="407">
        <f t="shared" si="29"/>
        <v>0.9</v>
      </c>
      <c r="AT20" s="201">
        <f t="shared" si="29"/>
        <v>114</v>
      </c>
      <c r="AU20" s="408">
        <f t="shared" si="43"/>
        <v>1.1000000000000001</v>
      </c>
      <c r="AV20" s="201">
        <f t="shared" si="35"/>
        <v>132</v>
      </c>
      <c r="AW20" s="5">
        <v>2.9</v>
      </c>
      <c r="AX20" s="201">
        <f t="shared" si="36"/>
        <v>124</v>
      </c>
      <c r="AY20" s="409">
        <f>AS20*AT20</f>
        <v>102.60000000000001</v>
      </c>
      <c r="AZ20" s="409">
        <f>AU20*AV20</f>
        <v>145.20000000000002</v>
      </c>
      <c r="BA20" s="409">
        <f>AW20*AX20</f>
        <v>359.59999999999997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44546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32"/>
        <v>626308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6966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5180</v>
      </c>
      <c r="U21" s="5">
        <f t="shared" si="3"/>
        <v>0</v>
      </c>
      <c r="V21" s="5">
        <f t="shared" si="14"/>
        <v>477</v>
      </c>
      <c r="W21" s="309">
        <f t="shared" si="15"/>
        <v>0</v>
      </c>
      <c r="X21" s="5">
        <f t="shared" si="16"/>
        <v>154481</v>
      </c>
      <c r="Y21" s="309">
        <f>SUM(X21-X20)</f>
        <v>0</v>
      </c>
      <c r="Z21" s="5">
        <f t="shared" si="17"/>
        <v>99258</v>
      </c>
      <c r="AA21" s="83">
        <f t="shared" si="18"/>
        <v>0</v>
      </c>
      <c r="AB21" s="5">
        <f t="shared" si="19"/>
        <v>248</v>
      </c>
      <c r="AC21" s="5">
        <f t="shared" si="20"/>
        <v>789</v>
      </c>
      <c r="AD21" s="83">
        <f t="shared" si="33"/>
        <v>0</v>
      </c>
      <c r="AE21" s="5">
        <f t="shared" si="21"/>
        <v>239.1</v>
      </c>
      <c r="AF21" s="83">
        <f t="shared" si="22"/>
        <v>0</v>
      </c>
      <c r="AG21" s="5">
        <f t="shared" si="23"/>
        <v>2217.83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44546</v>
      </c>
      <c r="AS21" s="407">
        <f t="shared" si="29"/>
        <v>0.9</v>
      </c>
      <c r="AT21" s="201">
        <f t="shared" si="29"/>
        <v>114</v>
      </c>
      <c r="AU21" s="408">
        <f t="shared" si="43"/>
        <v>1.1000000000000001</v>
      </c>
      <c r="AV21" s="201">
        <f t="shared" si="35"/>
        <v>132</v>
      </c>
      <c r="AW21" s="5">
        <v>2.9</v>
      </c>
      <c r="AX21" s="201">
        <f t="shared" si="36"/>
        <v>124</v>
      </c>
      <c r="AY21" s="409">
        <f>AS21*AT21</f>
        <v>102.60000000000001</v>
      </c>
      <c r="AZ21" s="409">
        <f>AU21*AV21</f>
        <v>145.20000000000002</v>
      </c>
      <c r="BA21" s="409">
        <f>AW21*AX21</f>
        <v>359.59999999999997</v>
      </c>
      <c r="BB21" s="21">
        <f t="shared" ref="BB21:BD33" si="48">AY21-AY20</f>
        <v>0</v>
      </c>
      <c r="BC21" s="21">
        <f t="shared" si="30"/>
        <v>0</v>
      </c>
      <c r="BD21" s="21">
        <f t="shared" si="30"/>
        <v>0</v>
      </c>
      <c r="BE21" s="24">
        <f t="shared" si="31"/>
        <v>0</v>
      </c>
      <c r="BF21" s="96">
        <f t="shared" si="4"/>
        <v>0</v>
      </c>
      <c r="BG21" s="82">
        <f t="shared" si="5"/>
        <v>0</v>
      </c>
    </row>
    <row r="22" spans="1:61" ht="15.75" thickBot="1">
      <c r="A22" s="6">
        <f>ELEC!C20</f>
        <v>44547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32"/>
        <v>626308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6966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5180</v>
      </c>
      <c r="U22" s="5">
        <f t="shared" si="3"/>
        <v>0</v>
      </c>
      <c r="V22" s="5">
        <f t="shared" si="14"/>
        <v>477</v>
      </c>
      <c r="W22" s="309">
        <f t="shared" si="15"/>
        <v>0</v>
      </c>
      <c r="X22" s="5">
        <f t="shared" si="16"/>
        <v>154481</v>
      </c>
      <c r="Y22" s="309">
        <f t="shared" si="42"/>
        <v>0</v>
      </c>
      <c r="Z22" s="5">
        <f t="shared" si="17"/>
        <v>99258</v>
      </c>
      <c r="AA22" s="83">
        <f t="shared" si="18"/>
        <v>0</v>
      </c>
      <c r="AB22" s="5">
        <f t="shared" si="19"/>
        <v>248</v>
      </c>
      <c r="AC22" s="5">
        <f t="shared" si="20"/>
        <v>789</v>
      </c>
      <c r="AD22" s="83">
        <f t="shared" si="33"/>
        <v>0</v>
      </c>
      <c r="AE22" s="5">
        <f t="shared" si="21"/>
        <v>239.1</v>
      </c>
      <c r="AF22" s="83">
        <f t="shared" si="22"/>
        <v>0</v>
      </c>
      <c r="AG22" s="5">
        <f t="shared" si="23"/>
        <v>2217.83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4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44547</v>
      </c>
      <c r="AS22" s="407">
        <f t="shared" ref="AS22:AT33" si="49">AS21</f>
        <v>0.9</v>
      </c>
      <c r="AT22" s="201">
        <f t="shared" si="49"/>
        <v>114</v>
      </c>
      <c r="AU22" s="408">
        <f t="shared" si="43"/>
        <v>1.1000000000000001</v>
      </c>
      <c r="AV22" s="201">
        <f t="shared" si="35"/>
        <v>132</v>
      </c>
      <c r="AW22" s="5">
        <v>2.9</v>
      </c>
      <c r="AX22" s="201">
        <f t="shared" si="36"/>
        <v>124</v>
      </c>
      <c r="AY22" s="409">
        <f t="shared" si="37"/>
        <v>102.60000000000001</v>
      </c>
      <c r="AZ22" s="409">
        <f t="shared" si="38"/>
        <v>145.20000000000002</v>
      </c>
      <c r="BA22" s="409">
        <f t="shared" si="39"/>
        <v>359.59999999999997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1"/>
        <v>0</v>
      </c>
      <c r="BF22" s="96">
        <f t="shared" si="4"/>
        <v>0</v>
      </c>
      <c r="BG22" s="82">
        <f t="shared" si="5"/>
        <v>0</v>
      </c>
    </row>
    <row r="23" spans="1:61" ht="15.75" thickBot="1">
      <c r="A23" s="6">
        <f>ELEC!C21</f>
        <v>44548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32"/>
        <v>626308</v>
      </c>
      <c r="H23" s="5">
        <f t="shared" si="9"/>
        <v>0</v>
      </c>
      <c r="I23" s="5">
        <f t="shared" si="10"/>
        <v>0</v>
      </c>
      <c r="J23" s="319">
        <f t="shared" si="0"/>
        <v>0</v>
      </c>
      <c r="K23" s="5">
        <f>'Swimming Pool quality check '!H23</f>
        <v>6966</v>
      </c>
      <c r="L23" s="263">
        <f t="shared" si="41"/>
        <v>0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5180</v>
      </c>
      <c r="U23" s="5">
        <f t="shared" si="3"/>
        <v>0</v>
      </c>
      <c r="V23" s="5">
        <f t="shared" si="14"/>
        <v>477</v>
      </c>
      <c r="W23" s="309">
        <f t="shared" si="15"/>
        <v>0</v>
      </c>
      <c r="X23" s="5">
        <f t="shared" si="16"/>
        <v>154481</v>
      </c>
      <c r="Y23" s="309">
        <f t="shared" si="42"/>
        <v>0</v>
      </c>
      <c r="Z23" s="5">
        <f t="shared" si="17"/>
        <v>99258</v>
      </c>
      <c r="AA23" s="83">
        <f t="shared" si="18"/>
        <v>0</v>
      </c>
      <c r="AB23" s="5">
        <f t="shared" si="19"/>
        <v>248</v>
      </c>
      <c r="AC23" s="5">
        <f t="shared" si="20"/>
        <v>789</v>
      </c>
      <c r="AD23" s="83">
        <f t="shared" si="33"/>
        <v>0</v>
      </c>
      <c r="AE23" s="5">
        <f t="shared" si="21"/>
        <v>239.1</v>
      </c>
      <c r="AF23" s="83">
        <f t="shared" si="22"/>
        <v>0</v>
      </c>
      <c r="AG23" s="5">
        <f t="shared" si="23"/>
        <v>2217.83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4"/>
        <v>0</v>
      </c>
      <c r="AL23" s="312">
        <f t="shared" si="27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44548</v>
      </c>
      <c r="AS23" s="407">
        <f t="shared" si="49"/>
        <v>0.9</v>
      </c>
      <c r="AT23" s="201">
        <f t="shared" si="49"/>
        <v>114</v>
      </c>
      <c r="AU23" s="408">
        <f t="shared" si="43"/>
        <v>1.1000000000000001</v>
      </c>
      <c r="AV23" s="201">
        <f t="shared" si="35"/>
        <v>132</v>
      </c>
      <c r="AW23" s="5">
        <v>2.9</v>
      </c>
      <c r="AX23" s="201">
        <f t="shared" si="36"/>
        <v>124</v>
      </c>
      <c r="AY23" s="409">
        <f t="shared" si="37"/>
        <v>102.60000000000001</v>
      </c>
      <c r="AZ23" s="409">
        <f t="shared" si="38"/>
        <v>145.20000000000002</v>
      </c>
      <c r="BA23" s="409">
        <f t="shared" si="39"/>
        <v>359.59999999999997</v>
      </c>
      <c r="BB23" s="21">
        <f t="shared" si="48"/>
        <v>0</v>
      </c>
      <c r="BC23" s="21">
        <f t="shared" si="48"/>
        <v>0</v>
      </c>
      <c r="BD23" s="21">
        <f t="shared" si="48"/>
        <v>0</v>
      </c>
      <c r="BE23" s="24">
        <f t="shared" si="31"/>
        <v>0</v>
      </c>
      <c r="BF23" s="96">
        <f t="shared" si="4"/>
        <v>0</v>
      </c>
      <c r="BG23" s="82">
        <f t="shared" si="5"/>
        <v>0</v>
      </c>
    </row>
    <row r="24" spans="1:61" ht="15.75" thickBot="1">
      <c r="A24" s="6">
        <f>ELEC!C22</f>
        <v>44549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32"/>
        <v>626308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6966</v>
      </c>
      <c r="L24" s="263">
        <f t="shared" si="41"/>
        <v>0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5180</v>
      </c>
      <c r="U24" s="5">
        <f t="shared" si="3"/>
        <v>0</v>
      </c>
      <c r="V24" s="5">
        <f t="shared" si="14"/>
        <v>477</v>
      </c>
      <c r="W24" s="309">
        <f t="shared" si="15"/>
        <v>0</v>
      </c>
      <c r="X24" s="5">
        <f t="shared" si="16"/>
        <v>154481</v>
      </c>
      <c r="Y24" s="309">
        <f t="shared" si="42"/>
        <v>0</v>
      </c>
      <c r="Z24" s="5">
        <f t="shared" si="17"/>
        <v>99258</v>
      </c>
      <c r="AA24" s="83">
        <f t="shared" si="18"/>
        <v>0</v>
      </c>
      <c r="AB24" s="5">
        <f t="shared" si="19"/>
        <v>248</v>
      </c>
      <c r="AC24" s="5">
        <f t="shared" si="20"/>
        <v>789</v>
      </c>
      <c r="AD24" s="83">
        <f t="shared" si="33"/>
        <v>0</v>
      </c>
      <c r="AE24" s="5">
        <f t="shared" si="21"/>
        <v>239.1</v>
      </c>
      <c r="AF24" s="83">
        <f t="shared" si="22"/>
        <v>0</v>
      </c>
      <c r="AG24" s="5">
        <f t="shared" si="23"/>
        <v>2217.83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4"/>
        <v>0</v>
      </c>
      <c r="AL24" s="312">
        <f t="shared" si="27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44549</v>
      </c>
      <c r="AS24" s="407">
        <f t="shared" si="49"/>
        <v>0.9</v>
      </c>
      <c r="AT24" s="201">
        <f t="shared" si="49"/>
        <v>114</v>
      </c>
      <c r="AU24" s="408">
        <f t="shared" si="43"/>
        <v>1.1000000000000001</v>
      </c>
      <c r="AV24" s="201">
        <f t="shared" si="35"/>
        <v>132</v>
      </c>
      <c r="AW24" s="5">
        <v>2.9</v>
      </c>
      <c r="AX24" s="201">
        <f t="shared" si="36"/>
        <v>124</v>
      </c>
      <c r="AY24" s="409">
        <f t="shared" si="37"/>
        <v>102.60000000000001</v>
      </c>
      <c r="AZ24" s="409">
        <f t="shared" si="38"/>
        <v>145.20000000000002</v>
      </c>
      <c r="BA24" s="409">
        <f t="shared" si="39"/>
        <v>359.59999999999997</v>
      </c>
      <c r="BB24" s="21">
        <f t="shared" si="48"/>
        <v>0</v>
      </c>
      <c r="BC24" s="21">
        <f t="shared" si="48"/>
        <v>0</v>
      </c>
      <c r="BD24" s="21">
        <f t="shared" si="48"/>
        <v>0</v>
      </c>
      <c r="BE24" s="24">
        <f t="shared" si="31"/>
        <v>0</v>
      </c>
      <c r="BF24" s="96">
        <f t="shared" si="4"/>
        <v>0</v>
      </c>
      <c r="BG24" s="82">
        <f t="shared" si="5"/>
        <v>0</v>
      </c>
      <c r="BI24" s="82"/>
    </row>
    <row r="25" spans="1:61" ht="15.75" thickBot="1">
      <c r="A25" s="6">
        <f>ELEC!C23</f>
        <v>44550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32"/>
        <v>626308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6966</v>
      </c>
      <c r="L25" s="263">
        <f t="shared" si="41"/>
        <v>0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5180</v>
      </c>
      <c r="U25" s="5">
        <f t="shared" si="3"/>
        <v>0</v>
      </c>
      <c r="V25" s="5">
        <f t="shared" si="14"/>
        <v>477</v>
      </c>
      <c r="W25" s="309">
        <f t="shared" si="15"/>
        <v>0</v>
      </c>
      <c r="X25" s="5">
        <f t="shared" si="16"/>
        <v>154481</v>
      </c>
      <c r="Y25" s="309">
        <f t="shared" si="42"/>
        <v>0</v>
      </c>
      <c r="Z25" s="5">
        <f t="shared" si="17"/>
        <v>99258</v>
      </c>
      <c r="AA25" s="83">
        <f t="shared" si="18"/>
        <v>0</v>
      </c>
      <c r="AB25" s="5">
        <f t="shared" si="19"/>
        <v>248</v>
      </c>
      <c r="AC25" s="5">
        <f t="shared" si="20"/>
        <v>789</v>
      </c>
      <c r="AD25" s="83">
        <f t="shared" si="33"/>
        <v>0</v>
      </c>
      <c r="AE25" s="5">
        <f t="shared" si="21"/>
        <v>239.1</v>
      </c>
      <c r="AF25" s="83">
        <f t="shared" si="22"/>
        <v>0</v>
      </c>
      <c r="AG25" s="5">
        <f t="shared" si="23"/>
        <v>2217.83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4"/>
        <v>0</v>
      </c>
      <c r="AL25" s="312">
        <f t="shared" si="27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44550</v>
      </c>
      <c r="AS25" s="407">
        <f t="shared" si="49"/>
        <v>0.9</v>
      </c>
      <c r="AT25" s="201">
        <f t="shared" si="49"/>
        <v>114</v>
      </c>
      <c r="AU25" s="408">
        <f t="shared" si="43"/>
        <v>1.1000000000000001</v>
      </c>
      <c r="AV25" s="201">
        <f t="shared" si="35"/>
        <v>132</v>
      </c>
      <c r="AW25" s="5">
        <v>2.9</v>
      </c>
      <c r="AX25" s="201">
        <f t="shared" si="36"/>
        <v>124</v>
      </c>
      <c r="AY25" s="409">
        <f t="shared" si="37"/>
        <v>102.60000000000001</v>
      </c>
      <c r="AZ25" s="409">
        <f t="shared" si="38"/>
        <v>145.20000000000002</v>
      </c>
      <c r="BA25" s="409">
        <f t="shared" si="39"/>
        <v>359.59999999999997</v>
      </c>
      <c r="BB25" s="21">
        <f t="shared" si="48"/>
        <v>0</v>
      </c>
      <c r="BC25" s="21">
        <f t="shared" si="48"/>
        <v>0</v>
      </c>
      <c r="BD25" s="21">
        <f t="shared" si="48"/>
        <v>0</v>
      </c>
      <c r="BE25" s="24">
        <f t="shared" si="31"/>
        <v>0</v>
      </c>
      <c r="BF25" s="96">
        <f t="shared" si="4"/>
        <v>0</v>
      </c>
      <c r="BG25" s="82">
        <f t="shared" si="5"/>
        <v>0</v>
      </c>
    </row>
    <row r="26" spans="1:61" ht="15.75" thickBot="1">
      <c r="A26" s="6">
        <f>ELEC!C24</f>
        <v>44551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32"/>
        <v>626308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6966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5180</v>
      </c>
      <c r="U26" s="5">
        <f t="shared" si="3"/>
        <v>0</v>
      </c>
      <c r="V26" s="5">
        <f t="shared" si="14"/>
        <v>477</v>
      </c>
      <c r="W26" s="309">
        <f t="shared" si="15"/>
        <v>0</v>
      </c>
      <c r="X26" s="5">
        <f t="shared" si="16"/>
        <v>154481</v>
      </c>
      <c r="Y26" s="309">
        <f t="shared" si="42"/>
        <v>0</v>
      </c>
      <c r="Z26" s="5">
        <f t="shared" si="17"/>
        <v>99258</v>
      </c>
      <c r="AA26" s="83">
        <f t="shared" si="18"/>
        <v>0</v>
      </c>
      <c r="AB26" s="5">
        <f t="shared" si="19"/>
        <v>248</v>
      </c>
      <c r="AC26" s="5">
        <f t="shared" si="20"/>
        <v>789</v>
      </c>
      <c r="AD26" s="83">
        <f t="shared" si="33"/>
        <v>0</v>
      </c>
      <c r="AE26" s="5">
        <f t="shared" si="21"/>
        <v>239.1</v>
      </c>
      <c r="AF26" s="83">
        <f t="shared" si="22"/>
        <v>0</v>
      </c>
      <c r="AG26" s="5">
        <f t="shared" si="23"/>
        <v>2217.83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44551</v>
      </c>
      <c r="AS26" s="407">
        <f t="shared" si="49"/>
        <v>0.9</v>
      </c>
      <c r="AT26" s="201">
        <f t="shared" si="49"/>
        <v>114</v>
      </c>
      <c r="AU26" s="408">
        <f t="shared" si="43"/>
        <v>1.1000000000000001</v>
      </c>
      <c r="AV26" s="201">
        <f t="shared" si="35"/>
        <v>132</v>
      </c>
      <c r="AW26" s="5">
        <v>2.9</v>
      </c>
      <c r="AX26" s="201">
        <f t="shared" si="36"/>
        <v>124</v>
      </c>
      <c r="AY26" s="409">
        <f t="shared" si="37"/>
        <v>102.60000000000001</v>
      </c>
      <c r="AZ26" s="409">
        <f t="shared" si="38"/>
        <v>145.20000000000002</v>
      </c>
      <c r="BA26" s="409">
        <f t="shared" si="39"/>
        <v>359.59999999999997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1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44552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32"/>
        <v>626308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6966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4"/>
        <v>477</v>
      </c>
      <c r="W27" s="309">
        <f t="shared" si="15"/>
        <v>0</v>
      </c>
      <c r="X27" s="5">
        <f t="shared" si="16"/>
        <v>154481</v>
      </c>
      <c r="Y27" s="309">
        <f t="shared" si="42"/>
        <v>0</v>
      </c>
      <c r="Z27" s="5">
        <f t="shared" si="17"/>
        <v>99258</v>
      </c>
      <c r="AA27" s="83">
        <f t="shared" si="18"/>
        <v>0</v>
      </c>
      <c r="AB27" s="5">
        <f t="shared" si="19"/>
        <v>248</v>
      </c>
      <c r="AC27" s="5">
        <f t="shared" si="20"/>
        <v>789</v>
      </c>
      <c r="AD27" s="83">
        <f t="shared" si="33"/>
        <v>0</v>
      </c>
      <c r="AE27" s="5">
        <f t="shared" si="21"/>
        <v>239.1</v>
      </c>
      <c r="AF27" s="83">
        <f t="shared" si="22"/>
        <v>0</v>
      </c>
      <c r="AG27" s="5">
        <f t="shared" si="23"/>
        <v>2217.83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4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44552</v>
      </c>
      <c r="AS27" s="407">
        <f t="shared" si="49"/>
        <v>0.9</v>
      </c>
      <c r="AT27" s="201">
        <f t="shared" si="49"/>
        <v>114</v>
      </c>
      <c r="AU27" s="408">
        <f t="shared" si="43"/>
        <v>1.1000000000000001</v>
      </c>
      <c r="AV27" s="201">
        <f t="shared" si="35"/>
        <v>132</v>
      </c>
      <c r="AW27" s="5">
        <v>2.9</v>
      </c>
      <c r="AX27" s="201">
        <f t="shared" si="36"/>
        <v>124</v>
      </c>
      <c r="AY27" s="409">
        <f t="shared" si="37"/>
        <v>102.60000000000001</v>
      </c>
      <c r="AZ27" s="409">
        <f t="shared" si="38"/>
        <v>145.20000000000002</v>
      </c>
      <c r="BA27" s="409">
        <f t="shared" si="39"/>
        <v>359.59999999999997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1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44553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32"/>
        <v>626308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6966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5180</v>
      </c>
      <c r="U28" s="5">
        <f t="shared" si="3"/>
        <v>0</v>
      </c>
      <c r="V28" s="5">
        <f t="shared" si="14"/>
        <v>477</v>
      </c>
      <c r="W28" s="309">
        <f t="shared" si="15"/>
        <v>0</v>
      </c>
      <c r="X28" s="5">
        <f t="shared" si="16"/>
        <v>154481</v>
      </c>
      <c r="Y28" s="309">
        <f t="shared" si="42"/>
        <v>0</v>
      </c>
      <c r="Z28" s="5">
        <f t="shared" si="17"/>
        <v>99258</v>
      </c>
      <c r="AA28" s="83">
        <f t="shared" si="18"/>
        <v>0</v>
      </c>
      <c r="AB28" s="5">
        <f t="shared" si="19"/>
        <v>248</v>
      </c>
      <c r="AC28" s="5">
        <f t="shared" si="20"/>
        <v>789</v>
      </c>
      <c r="AD28" s="83">
        <f t="shared" si="33"/>
        <v>0</v>
      </c>
      <c r="AE28" s="5">
        <f t="shared" si="21"/>
        <v>239.1</v>
      </c>
      <c r="AF28" s="83">
        <f t="shared" si="22"/>
        <v>0</v>
      </c>
      <c r="AG28" s="5">
        <f t="shared" si="23"/>
        <v>2217.83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4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44553</v>
      </c>
      <c r="AS28" s="407">
        <f t="shared" si="49"/>
        <v>0.9</v>
      </c>
      <c r="AT28" s="201">
        <f t="shared" si="49"/>
        <v>114</v>
      </c>
      <c r="AU28" s="408">
        <f t="shared" si="43"/>
        <v>1.1000000000000001</v>
      </c>
      <c r="AV28" s="201">
        <f t="shared" si="35"/>
        <v>132</v>
      </c>
      <c r="AW28" s="5">
        <v>2.9</v>
      </c>
      <c r="AX28" s="201">
        <f t="shared" si="36"/>
        <v>124</v>
      </c>
      <c r="AY28" s="409">
        <f t="shared" si="37"/>
        <v>102.60000000000001</v>
      </c>
      <c r="AZ28" s="409">
        <f t="shared" si="38"/>
        <v>145.20000000000002</v>
      </c>
      <c r="BA28" s="409">
        <f t="shared" si="39"/>
        <v>359.59999999999997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1"/>
        <v>0</v>
      </c>
      <c r="BF28" s="96">
        <f t="shared" si="4"/>
        <v>0</v>
      </c>
      <c r="BG28" s="82">
        <f t="shared" si="5"/>
        <v>0</v>
      </c>
    </row>
    <row r="29" spans="1:61" ht="15.75" thickBot="1">
      <c r="A29" s="6">
        <f>ELEC!C27</f>
        <v>44554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32"/>
        <v>626308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6966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5180</v>
      </c>
      <c r="U29" s="5">
        <f t="shared" si="3"/>
        <v>0</v>
      </c>
      <c r="V29" s="5">
        <f t="shared" si="14"/>
        <v>477</v>
      </c>
      <c r="W29" s="309">
        <f t="shared" si="15"/>
        <v>0</v>
      </c>
      <c r="X29" s="5">
        <f t="shared" si="16"/>
        <v>154481</v>
      </c>
      <c r="Y29" s="309">
        <f t="shared" si="42"/>
        <v>0</v>
      </c>
      <c r="Z29" s="5">
        <f t="shared" si="17"/>
        <v>99258</v>
      </c>
      <c r="AA29" s="83">
        <f t="shared" si="18"/>
        <v>0</v>
      </c>
      <c r="AB29" s="5">
        <f t="shared" si="19"/>
        <v>248</v>
      </c>
      <c r="AC29" s="5">
        <f t="shared" si="20"/>
        <v>789</v>
      </c>
      <c r="AD29" s="83">
        <f t="shared" si="33"/>
        <v>0</v>
      </c>
      <c r="AE29" s="5">
        <f t="shared" si="21"/>
        <v>239.1</v>
      </c>
      <c r="AF29" s="83">
        <f t="shared" si="22"/>
        <v>0</v>
      </c>
      <c r="AG29" s="5">
        <f t="shared" si="23"/>
        <v>2217.83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4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44554</v>
      </c>
      <c r="AS29" s="407">
        <f t="shared" si="49"/>
        <v>0.9</v>
      </c>
      <c r="AT29" s="201">
        <f t="shared" si="49"/>
        <v>114</v>
      </c>
      <c r="AU29" s="408">
        <f t="shared" si="43"/>
        <v>1.1000000000000001</v>
      </c>
      <c r="AV29" s="201">
        <f t="shared" si="35"/>
        <v>132</v>
      </c>
      <c r="AW29" s="5">
        <v>2.9</v>
      </c>
      <c r="AX29" s="201">
        <f t="shared" si="36"/>
        <v>124</v>
      </c>
      <c r="AY29" s="409">
        <f t="shared" si="37"/>
        <v>102.60000000000001</v>
      </c>
      <c r="AZ29" s="409">
        <f t="shared" si="38"/>
        <v>145.20000000000002</v>
      </c>
      <c r="BA29" s="409">
        <f t="shared" si="39"/>
        <v>359.59999999999997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1"/>
        <v>0</v>
      </c>
      <c r="BF29" s="96">
        <f t="shared" si="4"/>
        <v>0</v>
      </c>
      <c r="BG29" s="82">
        <f t="shared" si="5"/>
        <v>0</v>
      </c>
    </row>
    <row r="30" spans="1:61" ht="15.75" thickBot="1">
      <c r="A30" s="6">
        <f>ELEC!C28</f>
        <v>44555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32"/>
        <v>626308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6966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5180</v>
      </c>
      <c r="U30" s="5">
        <f t="shared" si="3"/>
        <v>0</v>
      </c>
      <c r="V30" s="5">
        <f t="shared" si="14"/>
        <v>477</v>
      </c>
      <c r="W30" s="309">
        <f t="shared" si="15"/>
        <v>0</v>
      </c>
      <c r="X30" s="5">
        <f t="shared" si="16"/>
        <v>154481</v>
      </c>
      <c r="Y30" s="309">
        <f t="shared" si="42"/>
        <v>0</v>
      </c>
      <c r="Z30" s="5">
        <f t="shared" si="17"/>
        <v>99258</v>
      </c>
      <c r="AA30" s="83">
        <f t="shared" si="18"/>
        <v>0</v>
      </c>
      <c r="AB30" s="5">
        <f t="shared" si="19"/>
        <v>248</v>
      </c>
      <c r="AC30" s="5">
        <f t="shared" si="20"/>
        <v>789</v>
      </c>
      <c r="AD30" s="83">
        <f t="shared" si="33"/>
        <v>0</v>
      </c>
      <c r="AE30" s="5">
        <f t="shared" si="21"/>
        <v>239.1</v>
      </c>
      <c r="AF30" s="83">
        <f t="shared" si="22"/>
        <v>0</v>
      </c>
      <c r="AG30" s="5">
        <f t="shared" si="23"/>
        <v>2217.83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4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44555</v>
      </c>
      <c r="AS30" s="407">
        <f t="shared" si="49"/>
        <v>0.9</v>
      </c>
      <c r="AT30" s="201">
        <f t="shared" si="49"/>
        <v>114</v>
      </c>
      <c r="AU30" s="408">
        <f t="shared" si="43"/>
        <v>1.1000000000000001</v>
      </c>
      <c r="AV30" s="201">
        <f t="shared" si="35"/>
        <v>132</v>
      </c>
      <c r="AW30" s="5">
        <v>2.9</v>
      </c>
      <c r="AX30" s="201">
        <f t="shared" si="36"/>
        <v>124</v>
      </c>
      <c r="AY30" s="409">
        <f t="shared" si="37"/>
        <v>102.60000000000001</v>
      </c>
      <c r="AZ30" s="409">
        <f t="shared" si="38"/>
        <v>145.20000000000002</v>
      </c>
      <c r="BA30" s="409">
        <f t="shared" si="39"/>
        <v>359.59999999999997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1"/>
        <v>0</v>
      </c>
      <c r="BF30" s="96">
        <f t="shared" si="4"/>
        <v>0</v>
      </c>
      <c r="BG30" s="82">
        <f t="shared" si="5"/>
        <v>0</v>
      </c>
    </row>
    <row r="31" spans="1:61" ht="15.75" thickBot="1">
      <c r="A31" s="6">
        <f>ELEC!C29</f>
        <v>44556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32"/>
        <v>626308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6966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5180</v>
      </c>
      <c r="U31" s="5">
        <f t="shared" si="3"/>
        <v>0</v>
      </c>
      <c r="V31" s="5">
        <f t="shared" si="14"/>
        <v>477</v>
      </c>
      <c r="W31" s="309">
        <f t="shared" si="15"/>
        <v>0</v>
      </c>
      <c r="X31" s="5">
        <f t="shared" si="16"/>
        <v>154481</v>
      </c>
      <c r="Y31" s="309">
        <f t="shared" si="42"/>
        <v>0</v>
      </c>
      <c r="Z31" s="5">
        <f t="shared" si="17"/>
        <v>99258</v>
      </c>
      <c r="AA31" s="83">
        <f t="shared" si="18"/>
        <v>0</v>
      </c>
      <c r="AB31" s="5">
        <f t="shared" si="19"/>
        <v>248</v>
      </c>
      <c r="AC31" s="5">
        <f t="shared" si="20"/>
        <v>789</v>
      </c>
      <c r="AD31" s="83">
        <f t="shared" si="33"/>
        <v>0</v>
      </c>
      <c r="AE31" s="5">
        <f t="shared" si="21"/>
        <v>239.1</v>
      </c>
      <c r="AF31" s="83">
        <f t="shared" si="22"/>
        <v>0</v>
      </c>
      <c r="AG31" s="5">
        <f t="shared" si="23"/>
        <v>2217.83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4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44556</v>
      </c>
      <c r="AS31" s="407">
        <f t="shared" si="49"/>
        <v>0.9</v>
      </c>
      <c r="AT31" s="201">
        <f t="shared" si="49"/>
        <v>114</v>
      </c>
      <c r="AU31" s="408">
        <f t="shared" si="43"/>
        <v>1.1000000000000001</v>
      </c>
      <c r="AV31" s="201">
        <f t="shared" si="35"/>
        <v>132</v>
      </c>
      <c r="AW31" s="5">
        <v>2.9</v>
      </c>
      <c r="AX31" s="201">
        <f t="shared" si="36"/>
        <v>124</v>
      </c>
      <c r="AY31" s="409">
        <f t="shared" si="37"/>
        <v>102.60000000000001</v>
      </c>
      <c r="AZ31" s="409">
        <f>AU31*AV31</f>
        <v>145.20000000000002</v>
      </c>
      <c r="BA31" s="409">
        <f t="shared" si="39"/>
        <v>359.59999999999997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1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44557</v>
      </c>
      <c r="B32" s="5">
        <f t="shared" si="6"/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32"/>
        <v>626308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6966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5180</v>
      </c>
      <c r="U32" s="5">
        <f t="shared" si="3"/>
        <v>0</v>
      </c>
      <c r="V32" s="5">
        <f t="shared" si="14"/>
        <v>477</v>
      </c>
      <c r="W32" s="309">
        <f t="shared" si="15"/>
        <v>0</v>
      </c>
      <c r="X32" s="5">
        <f t="shared" si="16"/>
        <v>154481</v>
      </c>
      <c r="Y32" s="309">
        <f t="shared" si="42"/>
        <v>0</v>
      </c>
      <c r="Z32" s="5">
        <f t="shared" si="17"/>
        <v>99258</v>
      </c>
      <c r="AA32" s="83">
        <f t="shared" si="18"/>
        <v>0</v>
      </c>
      <c r="AB32" s="5">
        <f t="shared" si="19"/>
        <v>248</v>
      </c>
      <c r="AC32" s="5">
        <f t="shared" si="20"/>
        <v>789</v>
      </c>
      <c r="AD32" s="83">
        <f t="shared" si="33"/>
        <v>0</v>
      </c>
      <c r="AE32" s="5">
        <f t="shared" si="21"/>
        <v>239.1</v>
      </c>
      <c r="AF32" s="83">
        <f t="shared" si="22"/>
        <v>0</v>
      </c>
      <c r="AG32" s="5">
        <f t="shared" si="23"/>
        <v>2217.83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4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44557</v>
      </c>
      <c r="AS32" s="407">
        <f t="shared" si="49"/>
        <v>0.9</v>
      </c>
      <c r="AT32" s="201">
        <f t="shared" si="49"/>
        <v>114</v>
      </c>
      <c r="AU32" s="408">
        <f t="shared" si="43"/>
        <v>1.1000000000000001</v>
      </c>
      <c r="AV32" s="201">
        <f t="shared" si="35"/>
        <v>132</v>
      </c>
      <c r="AW32" s="5">
        <v>2.9</v>
      </c>
      <c r="AX32" s="201">
        <f t="shared" si="36"/>
        <v>124</v>
      </c>
      <c r="AY32" s="409">
        <f t="shared" si="37"/>
        <v>102.60000000000001</v>
      </c>
      <c r="AZ32" s="409">
        <f t="shared" si="38"/>
        <v>145.20000000000002</v>
      </c>
      <c r="BA32" s="409">
        <f t="shared" si="39"/>
        <v>359.59999999999997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1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44558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32"/>
        <v>626308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6966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5180</v>
      </c>
      <c r="U33" s="5">
        <f t="shared" si="3"/>
        <v>0</v>
      </c>
      <c r="V33" s="5">
        <f t="shared" si="14"/>
        <v>477</v>
      </c>
      <c r="W33" s="309">
        <f t="shared" si="15"/>
        <v>0</v>
      </c>
      <c r="X33" s="5">
        <f t="shared" si="16"/>
        <v>154481</v>
      </c>
      <c r="Y33" s="309">
        <f t="shared" si="42"/>
        <v>0</v>
      </c>
      <c r="Z33" s="5">
        <f t="shared" si="17"/>
        <v>99258</v>
      </c>
      <c r="AA33" s="83">
        <f t="shared" si="18"/>
        <v>0</v>
      </c>
      <c r="AB33" s="5">
        <f t="shared" si="19"/>
        <v>248</v>
      </c>
      <c r="AC33" s="5">
        <f t="shared" si="20"/>
        <v>789</v>
      </c>
      <c r="AD33" s="83">
        <f t="shared" si="33"/>
        <v>0</v>
      </c>
      <c r="AE33" s="5">
        <f t="shared" si="21"/>
        <v>239.1</v>
      </c>
      <c r="AF33" s="83">
        <f>AE33-AE32</f>
        <v>0</v>
      </c>
      <c r="AG33" s="5">
        <f t="shared" si="23"/>
        <v>2217.83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4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44558</v>
      </c>
      <c r="AS33" s="407">
        <f t="shared" si="49"/>
        <v>0.9</v>
      </c>
      <c r="AT33" s="201">
        <f t="shared" si="49"/>
        <v>114</v>
      </c>
      <c r="AU33" s="408">
        <f t="shared" si="43"/>
        <v>1.1000000000000001</v>
      </c>
      <c r="AV33" s="201">
        <f t="shared" si="35"/>
        <v>132</v>
      </c>
      <c r="AW33" s="5">
        <v>2.9</v>
      </c>
      <c r="AX33" s="201">
        <f t="shared" si="36"/>
        <v>124</v>
      </c>
      <c r="AY33" s="409">
        <f t="shared" si="37"/>
        <v>102.60000000000001</v>
      </c>
      <c r="AZ33" s="409">
        <f t="shared" si="38"/>
        <v>145.20000000000002</v>
      </c>
      <c r="BA33" s="409">
        <f t="shared" si="39"/>
        <v>359.59999999999997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1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44559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32"/>
        <v>626308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6966</v>
      </c>
      <c r="L34" s="263">
        <f>K34-K33</f>
        <v>0</v>
      </c>
      <c r="M34" s="393">
        <f t="shared" si="11"/>
        <v>457.44</v>
      </c>
      <c r="N34" s="482">
        <f>SUM(M34-M33)</f>
        <v>0</v>
      </c>
      <c r="O34" s="393">
        <f t="shared" si="12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3"/>
        <v>5180</v>
      </c>
      <c r="U34" s="5">
        <f>SUM(T34-T33)</f>
        <v>0</v>
      </c>
      <c r="V34" s="5">
        <f t="shared" si="14"/>
        <v>477</v>
      </c>
      <c r="W34" s="309">
        <f>+V34-V33</f>
        <v>0</v>
      </c>
      <c r="X34" s="5">
        <f t="shared" si="16"/>
        <v>154481</v>
      </c>
      <c r="Y34" s="309">
        <f t="shared" si="42"/>
        <v>0</v>
      </c>
      <c r="Z34" s="5">
        <f t="shared" si="17"/>
        <v>99258</v>
      </c>
      <c r="AA34" s="83">
        <f>Z34-Z33</f>
        <v>0</v>
      </c>
      <c r="AB34" s="5">
        <f t="shared" si="19"/>
        <v>248</v>
      </c>
      <c r="AC34" s="5">
        <f t="shared" si="20"/>
        <v>789</v>
      </c>
      <c r="AD34" s="83">
        <f>AC34-AC33</f>
        <v>0</v>
      </c>
      <c r="AE34" s="5">
        <f t="shared" si="21"/>
        <v>239.1</v>
      </c>
      <c r="AF34" s="83">
        <f>AE34-AE33</f>
        <v>0</v>
      </c>
      <c r="AG34" s="5">
        <f t="shared" si="23"/>
        <v>2217.83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44559</v>
      </c>
      <c r="AS34" s="407">
        <f>AS33</f>
        <v>0.9</v>
      </c>
      <c r="AT34" s="201">
        <f t="shared" ref="AT34:AT36" si="50">AT33</f>
        <v>114</v>
      </c>
      <c r="AU34" s="408">
        <f>AU33</f>
        <v>1.1000000000000001</v>
      </c>
      <c r="AV34" s="201">
        <f t="shared" si="35"/>
        <v>132</v>
      </c>
      <c r="AW34" s="5">
        <v>2.9</v>
      </c>
      <c r="AX34" s="201">
        <f t="shared" si="36"/>
        <v>124</v>
      </c>
      <c r="AY34" s="409">
        <f t="shared" si="37"/>
        <v>102.60000000000001</v>
      </c>
      <c r="AZ34" s="409">
        <f>AU34*AV34</f>
        <v>145.20000000000002</v>
      </c>
      <c r="BA34" s="409">
        <f>AW34*AX34</f>
        <v>359.59999999999997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44560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32"/>
        <v>626308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6966</v>
      </c>
      <c r="L35" s="263">
        <f>K35-K34</f>
        <v>0</v>
      </c>
      <c r="M35" s="393">
        <f t="shared" si="11"/>
        <v>457.44</v>
      </c>
      <c r="N35" s="482">
        <f>SUM(M35-M34)</f>
        <v>0</v>
      </c>
      <c r="O35" s="393">
        <f t="shared" si="12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3"/>
        <v>5180</v>
      </c>
      <c r="U35" s="5">
        <f>SUM(T35-T34)</f>
        <v>0</v>
      </c>
      <c r="V35" s="5">
        <f t="shared" si="14"/>
        <v>477</v>
      </c>
      <c r="W35" s="309">
        <f>+V35-V34</f>
        <v>0</v>
      </c>
      <c r="X35" s="5">
        <f t="shared" si="16"/>
        <v>154481</v>
      </c>
      <c r="Y35" s="309">
        <f t="shared" si="42"/>
        <v>0</v>
      </c>
      <c r="Z35" s="5">
        <f t="shared" si="17"/>
        <v>99258</v>
      </c>
      <c r="AA35" s="83">
        <f>Z35-Z34</f>
        <v>0</v>
      </c>
      <c r="AB35" s="5">
        <f t="shared" si="19"/>
        <v>248</v>
      </c>
      <c r="AC35" s="5">
        <f t="shared" si="20"/>
        <v>789</v>
      </c>
      <c r="AD35" s="83">
        <f>AC35-AC34</f>
        <v>0</v>
      </c>
      <c r="AE35" s="5">
        <f t="shared" si="21"/>
        <v>239.1</v>
      </c>
      <c r="AF35" s="83">
        <f>AE35-AE34</f>
        <v>0</v>
      </c>
      <c r="AG35" s="5">
        <f t="shared" si="23"/>
        <v>2217.83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44560</v>
      </c>
      <c r="AS35" s="407">
        <f>AS34</f>
        <v>0.9</v>
      </c>
      <c r="AT35" s="201">
        <f t="shared" si="50"/>
        <v>114</v>
      </c>
      <c r="AU35" s="408">
        <f>AU34</f>
        <v>1.1000000000000001</v>
      </c>
      <c r="AV35" s="201">
        <f t="shared" si="35"/>
        <v>132</v>
      </c>
      <c r="AW35" s="5">
        <v>2.9</v>
      </c>
      <c r="AX35" s="201">
        <f t="shared" si="36"/>
        <v>124</v>
      </c>
      <c r="AY35" s="409">
        <f t="shared" si="37"/>
        <v>102.60000000000001</v>
      </c>
      <c r="AZ35" s="409">
        <f>AU35*AV35</f>
        <v>145.20000000000002</v>
      </c>
      <c r="BA35" s="409">
        <f>AW35*AX35</f>
        <v>359.59999999999997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44561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32"/>
        <v>626308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6966</v>
      </c>
      <c r="L36" s="263">
        <f>K36-K35</f>
        <v>0</v>
      </c>
      <c r="M36" s="393">
        <f t="shared" si="11"/>
        <v>457.44</v>
      </c>
      <c r="N36" s="482">
        <f>SUM(M36-M35)</f>
        <v>0</v>
      </c>
      <c r="O36" s="393">
        <f t="shared" si="12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3"/>
        <v>5180</v>
      </c>
      <c r="U36" s="5">
        <f>SUM(T36-T35)</f>
        <v>0</v>
      </c>
      <c r="V36" s="5">
        <f t="shared" si="14"/>
        <v>477</v>
      </c>
      <c r="W36" s="309">
        <f>+V36-V35</f>
        <v>0</v>
      </c>
      <c r="X36" s="5">
        <f t="shared" si="16"/>
        <v>154481</v>
      </c>
      <c r="Y36" s="309">
        <f t="shared" si="42"/>
        <v>0</v>
      </c>
      <c r="Z36" s="5">
        <f t="shared" si="17"/>
        <v>99258</v>
      </c>
      <c r="AA36" s="83">
        <f>Z36-Z35</f>
        <v>0</v>
      </c>
      <c r="AB36" s="5">
        <f t="shared" si="19"/>
        <v>248</v>
      </c>
      <c r="AC36" s="5">
        <f t="shared" si="20"/>
        <v>789</v>
      </c>
      <c r="AD36" s="83">
        <f>AC36-AC35</f>
        <v>0</v>
      </c>
      <c r="AE36" s="5">
        <f t="shared" si="21"/>
        <v>239.1</v>
      </c>
      <c r="AF36" s="83">
        <f>AE36-AE35</f>
        <v>0</v>
      </c>
      <c r="AG36" s="5">
        <f t="shared" si="23"/>
        <v>2217.83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44561</v>
      </c>
      <c r="AS36" s="407">
        <f>AS35</f>
        <v>0.9</v>
      </c>
      <c r="AT36" s="201">
        <f t="shared" si="50"/>
        <v>114</v>
      </c>
      <c r="AU36" s="408">
        <f>AU35</f>
        <v>1.1000000000000001</v>
      </c>
      <c r="AV36" s="201">
        <f t="shared" si="35"/>
        <v>132</v>
      </c>
      <c r="AW36" s="5">
        <v>2.9</v>
      </c>
      <c r="AX36" s="201">
        <f t="shared" si="36"/>
        <v>124</v>
      </c>
      <c r="AY36" s="409">
        <f t="shared" ref="AY36" si="54">AS36*AT36</f>
        <v>102.60000000000001</v>
      </c>
      <c r="AZ36" s="409">
        <f>AU36*AV36</f>
        <v>145.20000000000002</v>
      </c>
      <c r="BA36" s="409">
        <f>AW36*AX36</f>
        <v>359.59999999999997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330</v>
      </c>
      <c r="I37" s="395">
        <f>SUM(I6:I36)</f>
        <v>330</v>
      </c>
      <c r="L37" s="258">
        <f>SUM(L7:L36)</f>
        <v>12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-12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330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330</v>
      </c>
      <c r="H39" s="1">
        <f>SUM(H38+C38)</f>
        <v>7500</v>
      </c>
      <c r="K39" s="1">
        <f>SUM(H39/G39)</f>
        <v>22.727272727272727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tabSelected="1" zoomScale="70" zoomScaleNormal="70" workbookViewId="0">
      <pane ySplit="1" topLeftCell="A2" activePane="bottomLeft" state="frozen"/>
      <selection pane="bottomLeft" activeCell="F11" sqref="F11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bestFit="1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44530</v>
      </c>
      <c r="B2" s="260">
        <f>[2]GEN!B32</f>
        <v>11198</v>
      </c>
      <c r="C2" s="260">
        <f>[2]GEN!C32</f>
        <v>9</v>
      </c>
      <c r="D2" s="260">
        <f>[2]GEN!D32</f>
        <v>562516</v>
      </c>
      <c r="E2" s="260">
        <f>[2]GEN!E32</f>
        <v>2250</v>
      </c>
      <c r="F2" s="260">
        <f>[2]GEN!F32</f>
        <v>250</v>
      </c>
      <c r="G2" s="260">
        <f>[2]GEN!G32</f>
        <v>0</v>
      </c>
      <c r="H2" s="260">
        <f>[2]GEN!H32</f>
        <v>11218</v>
      </c>
      <c r="I2" s="260" t="str">
        <f>[2]GEN!I32</f>
        <v>ok</v>
      </c>
      <c r="J2" s="260">
        <f>[2]GEN!J32</f>
        <v>10698</v>
      </c>
      <c r="K2" s="260">
        <f>[2]GEN!K32</f>
        <v>0</v>
      </c>
      <c r="L2" s="260">
        <f>[2]GEN!L32</f>
        <v>357691</v>
      </c>
      <c r="M2" s="260">
        <f>[2]GEN!M32</f>
        <v>0</v>
      </c>
      <c r="N2" s="260">
        <f>[2]GEN!N32</f>
        <v>0</v>
      </c>
      <c r="O2" s="260">
        <f>[2]GEN!O32</f>
        <v>0</v>
      </c>
      <c r="P2" s="260">
        <f>[2]GEN!P32</f>
        <v>10873</v>
      </c>
      <c r="Q2" s="260" t="str">
        <f>[2]GEN!Q32</f>
        <v>ok</v>
      </c>
      <c r="R2" s="260">
        <f>[2]GEN!R32</f>
        <v>13312</v>
      </c>
      <c r="S2" s="260">
        <f>[2]GEN!S32</f>
        <v>1</v>
      </c>
      <c r="T2" s="260">
        <f>[2]GEN!T32</f>
        <v>267496</v>
      </c>
      <c r="U2" s="260">
        <f>[2]GEN!U32</f>
        <v>250</v>
      </c>
      <c r="V2" s="260">
        <f>[2]GEN!V32</f>
        <v>250</v>
      </c>
      <c r="W2" s="260">
        <f>[2]GEN!W32</f>
        <v>0</v>
      </c>
      <c r="X2" s="260">
        <f>[2]GEN!X32</f>
        <v>13429</v>
      </c>
      <c r="Y2" s="260" t="str">
        <f>[2]GEN!Y32</f>
        <v>ok</v>
      </c>
      <c r="Z2" s="260">
        <f>[2]GEN!Z32</f>
        <v>10</v>
      </c>
      <c r="AA2" s="260">
        <f>[2]GEN!AA32</f>
        <v>2500</v>
      </c>
      <c r="AB2" s="260">
        <f>[2]GEN!AB32</f>
        <v>500</v>
      </c>
      <c r="AC2" s="260">
        <f>[2]GEN!AC32</f>
        <v>250</v>
      </c>
      <c r="AD2" s="260">
        <f>[2]GEN!AD32</f>
        <v>6585.9999999993306</v>
      </c>
      <c r="AE2" s="260">
        <f>[2]GEN!AE32</f>
        <v>658.59999999993306</v>
      </c>
      <c r="AF2" s="260">
        <f>[2]GEN!AF32</f>
        <v>0.41162499999995816</v>
      </c>
      <c r="AG2" s="260">
        <f>[2]GEN!AG32</f>
        <v>131.71999999998661</v>
      </c>
      <c r="AH2" s="260">
        <f>[2]GEN!AH32</f>
        <v>118.28000000001339</v>
      </c>
      <c r="AI2" s="260">
        <f>[2]GEN!AI32</f>
        <v>1695.1308016875917</v>
      </c>
      <c r="AJ2" s="260">
        <f>[2]GEN!AJ32</f>
        <v>0.25738396624472576</v>
      </c>
      <c r="AK2" s="260">
        <f>[2]GEN!AK32</f>
        <v>169.51308016875916</v>
      </c>
    </row>
    <row r="3" spans="1:38" ht="16.5" thickBot="1">
      <c r="A3" s="4">
        <f>ELEC!C4</f>
        <v>44531</v>
      </c>
      <c r="B3" s="502">
        <v>11202</v>
      </c>
      <c r="C3" s="276">
        <f>B3-B2</f>
        <v>4</v>
      </c>
      <c r="D3" s="503">
        <f>D2+C3*250</f>
        <v>563516</v>
      </c>
      <c r="E3" s="276">
        <f>SUM(D3-D2)</f>
        <v>1000</v>
      </c>
      <c r="F3" s="276">
        <f t="shared" ref="F3:F30" si="0">IF(C3&gt;0,E3/C3,0)</f>
        <v>250</v>
      </c>
      <c r="G3" s="260">
        <f>[4]GEN!G32</f>
        <v>0</v>
      </c>
      <c r="H3" s="260">
        <f>H2</f>
        <v>11218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v>13319</v>
      </c>
      <c r="S3" s="276">
        <f t="shared" ref="S3:S30" si="4">R3-R2</f>
        <v>7</v>
      </c>
      <c r="T3" s="503">
        <f>T2+U3</f>
        <v>269246</v>
      </c>
      <c r="U3" s="276">
        <f>V3*S3</f>
        <v>1750</v>
      </c>
      <c r="V3" s="276">
        <v>250</v>
      </c>
      <c r="W3" s="260">
        <f>[4]GEN!W32</f>
        <v>0</v>
      </c>
      <c r="X3" s="584">
        <f>13279+150</f>
        <v>13429</v>
      </c>
      <c r="Y3" s="276" t="str">
        <f t="shared" ref="Y3:Y19" si="5">IF(R3-X3&lt;=0,"ok","oil change")</f>
        <v>ok</v>
      </c>
      <c r="Z3" s="276">
        <f t="shared" ref="Z3:Z30" si="6">C3+K3+S3</f>
        <v>11</v>
      </c>
      <c r="AA3" s="276">
        <f>U3+M3+E3</f>
        <v>2750</v>
      </c>
      <c r="AB3" s="276">
        <f>V3+N3+F3</f>
        <v>500</v>
      </c>
      <c r="AC3" s="276">
        <f>IF(Z3&gt;0,AA3/Z3,0)</f>
        <v>250</v>
      </c>
      <c r="AD3" s="73">
        <f>ELEC!Q4</f>
        <v>6199.0000000005239</v>
      </c>
      <c r="AE3" s="73">
        <f>SUM(AD3/Z3)</f>
        <v>563.54545454550214</v>
      </c>
      <c r="AF3" s="387">
        <f>SUM(AE3/1600)</f>
        <v>0.35221590909093886</v>
      </c>
      <c r="AG3" s="388">
        <f>SUM(360*AF3)</f>
        <v>126.79772727273799</v>
      </c>
      <c r="AH3" s="388">
        <f>SUM(AC3-AG3)</f>
        <v>123.20227272726201</v>
      </c>
      <c r="AI3" s="73">
        <f>AD3*AJ3</f>
        <v>1595.5232067511897</v>
      </c>
      <c r="AJ3" s="278">
        <f t="shared" ref="AJ3:AJ33" si="7">305/1185</f>
        <v>0.25738396624472576</v>
      </c>
      <c r="AK3" s="278">
        <f t="shared" ref="AK3:AK32" si="8">AI3/Z3</f>
        <v>145.04756425010817</v>
      </c>
      <c r="AL3">
        <f>IF(Z3=0,0,1)</f>
        <v>1</v>
      </c>
    </row>
    <row r="4" spans="1:38" ht="16.5" thickBot="1">
      <c r="A4" s="4">
        <f>ELEC!C5</f>
        <v>44532</v>
      </c>
      <c r="B4" s="502">
        <v>11213</v>
      </c>
      <c r="C4" s="276">
        <f t="shared" ref="C4:C30" si="9">B4-B3</f>
        <v>11</v>
      </c>
      <c r="D4" s="503">
        <f t="shared" ref="D4:D33" si="10">D3+C4*250</f>
        <v>566266</v>
      </c>
      <c r="E4" s="276">
        <f t="shared" ref="E4:E25" si="11">SUM(D4-D3)</f>
        <v>2750</v>
      </c>
      <c r="F4" s="276">
        <f t="shared" si="0"/>
        <v>250</v>
      </c>
      <c r="G4" s="196"/>
      <c r="H4" s="260">
        <f t="shared" ref="H4:H33" si="12">H3</f>
        <v>11218</v>
      </c>
      <c r="I4" s="276" t="str">
        <f t="shared" si="1"/>
        <v>ok</v>
      </c>
      <c r="J4" s="502">
        <f t="shared" ref="J4:J33" si="13">J3</f>
        <v>10698</v>
      </c>
      <c r="K4" s="276">
        <f t="shared" si="2"/>
        <v>0</v>
      </c>
      <c r="L4" s="503">
        <f t="shared" ref="L4:L33" si="14">L3</f>
        <v>357691</v>
      </c>
      <c r="M4" s="276">
        <f t="shared" ref="M4:M30" si="15">SUM(L4-L3)</f>
        <v>0</v>
      </c>
      <c r="N4" s="276">
        <f t="shared" ref="N4:N30" si="16">IF(K4&gt;0,M4/K4,0)</f>
        <v>0</v>
      </c>
      <c r="O4" s="196"/>
      <c r="P4" s="277">
        <f t="shared" ref="P4:P33" si="17">P3</f>
        <v>10873</v>
      </c>
      <c r="Q4" s="276" t="str">
        <f t="shared" si="3"/>
        <v>ok</v>
      </c>
      <c r="R4" s="502">
        <v>13320</v>
      </c>
      <c r="S4" s="276">
        <f t="shared" si="4"/>
        <v>1</v>
      </c>
      <c r="T4" s="503">
        <f t="shared" ref="T4:T33" si="18">T3+U4</f>
        <v>269496</v>
      </c>
      <c r="U4" s="276">
        <f t="shared" ref="U4:U33" si="19">V4*S4</f>
        <v>250</v>
      </c>
      <c r="V4" s="276">
        <v>250</v>
      </c>
      <c r="W4" s="196"/>
      <c r="X4" s="584">
        <f t="shared" ref="X4:X33" si="20">13279+150</f>
        <v>13429</v>
      </c>
      <c r="Y4" s="276" t="str">
        <f t="shared" si="5"/>
        <v>ok</v>
      </c>
      <c r="Z4" s="276">
        <f t="shared" si="6"/>
        <v>12</v>
      </c>
      <c r="AA4" s="276">
        <f t="shared" ref="AA4:AA30" si="21">U4+M4+E4</f>
        <v>3000</v>
      </c>
      <c r="AB4" s="276">
        <f t="shared" ref="AB4:AB30" si="22">V4+N4+F4</f>
        <v>500</v>
      </c>
      <c r="AC4" s="276">
        <f t="shared" ref="AC4:AC30" si="23">IF(Z4&gt;0,AA4/Z4,0)</f>
        <v>250</v>
      </c>
      <c r="AD4" s="73">
        <f>ELEC!Q5</f>
        <v>5363.0000000011933</v>
      </c>
      <c r="AE4" s="73">
        <f>SUM(AD4/Z4)</f>
        <v>446.9166666667661</v>
      </c>
      <c r="AF4" s="387">
        <f>SUM(AE4/1600)</f>
        <v>0.27932291666672882</v>
      </c>
      <c r="AG4" s="388">
        <f>SUM(360*AF4)</f>
        <v>100.55625000002237</v>
      </c>
      <c r="AH4" s="388">
        <f t="shared" ref="AH4:AH30" si="24">SUM(AC4-AG4)</f>
        <v>149.44374999997763</v>
      </c>
      <c r="AI4" s="73">
        <f>AD4*AJ4</f>
        <v>1380.3502109707713</v>
      </c>
      <c r="AJ4" s="278">
        <f t="shared" si="7"/>
        <v>0.25738396624472576</v>
      </c>
      <c r="AK4" s="278">
        <f t="shared" si="8"/>
        <v>115.02918424756427</v>
      </c>
      <c r="AL4">
        <f t="shared" ref="AL4:AL33" si="25">IF(Z4=0,0,1)</f>
        <v>1</v>
      </c>
    </row>
    <row r="5" spans="1:38" ht="16.5" thickBot="1">
      <c r="A5" s="4">
        <f>ELEC!C6</f>
        <v>44533</v>
      </c>
      <c r="B5" s="502">
        <f t="shared" ref="B5:B33" si="26">B4</f>
        <v>11213</v>
      </c>
      <c r="C5" s="276">
        <f t="shared" si="9"/>
        <v>0</v>
      </c>
      <c r="D5" s="503">
        <f t="shared" si="10"/>
        <v>566266</v>
      </c>
      <c r="E5" s="276">
        <f t="shared" si="11"/>
        <v>0</v>
      </c>
      <c r="F5" s="276">
        <f t="shared" si="0"/>
        <v>0</v>
      </c>
      <c r="G5" s="274"/>
      <c r="H5" s="260">
        <f t="shared" si="12"/>
        <v>11218</v>
      </c>
      <c r="I5" s="276" t="str">
        <f t="shared" si="1"/>
        <v>ok</v>
      </c>
      <c r="J5" s="502">
        <f t="shared" si="13"/>
        <v>10698</v>
      </c>
      <c r="K5" s="276">
        <f t="shared" si="2"/>
        <v>0</v>
      </c>
      <c r="L5" s="503">
        <f t="shared" si="14"/>
        <v>357691</v>
      </c>
      <c r="M5" s="276">
        <f t="shared" si="15"/>
        <v>0</v>
      </c>
      <c r="N5" s="276">
        <f t="shared" si="16"/>
        <v>0</v>
      </c>
      <c r="O5" s="196"/>
      <c r="P5" s="277">
        <f t="shared" si="17"/>
        <v>10873</v>
      </c>
      <c r="Q5" s="276" t="str">
        <f t="shared" si="3"/>
        <v>ok</v>
      </c>
      <c r="R5" s="502">
        <f t="shared" ref="R5:R33" si="27">R4</f>
        <v>13320</v>
      </c>
      <c r="S5" s="276">
        <f t="shared" si="4"/>
        <v>0</v>
      </c>
      <c r="T5" s="503">
        <f t="shared" si="18"/>
        <v>269496</v>
      </c>
      <c r="U5" s="276">
        <f t="shared" si="19"/>
        <v>0</v>
      </c>
      <c r="V5" s="276">
        <v>250</v>
      </c>
      <c r="W5" s="196"/>
      <c r="X5" s="584">
        <f t="shared" si="20"/>
        <v>13429</v>
      </c>
      <c r="Y5" s="276" t="str">
        <f t="shared" si="5"/>
        <v>ok</v>
      </c>
      <c r="Z5" s="276">
        <f t="shared" si="6"/>
        <v>0</v>
      </c>
      <c r="AA5" s="276">
        <f t="shared" si="21"/>
        <v>0</v>
      </c>
      <c r="AB5" s="276">
        <f t="shared" si="22"/>
        <v>250</v>
      </c>
      <c r="AC5" s="276">
        <f t="shared" si="23"/>
        <v>0</v>
      </c>
      <c r="AD5" s="73">
        <f>ELEC!Q6</f>
        <v>0</v>
      </c>
      <c r="AE5" s="73" t="e">
        <f t="shared" ref="AE5:AE30" si="28">SUM(AD5/Z5)</f>
        <v>#DIV/0!</v>
      </c>
      <c r="AF5" s="387" t="e">
        <f t="shared" ref="AF5:AG30" si="29">SUM(AE5/1600)</f>
        <v>#DIV/0!</v>
      </c>
      <c r="AG5" s="388" t="e">
        <f t="shared" ref="AG5" si="30">SUM(320*AF5)</f>
        <v>#DIV/0!</v>
      </c>
      <c r="AH5" s="388" t="e">
        <f t="shared" si="24"/>
        <v>#DIV/0!</v>
      </c>
      <c r="AI5" s="73">
        <f t="shared" ref="AI5:AI30" si="31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5"/>
        <v>0</v>
      </c>
    </row>
    <row r="6" spans="1:38" ht="16.5" thickBot="1">
      <c r="A6" s="4">
        <f>ELEC!C7</f>
        <v>44534</v>
      </c>
      <c r="B6" s="502">
        <f t="shared" si="26"/>
        <v>11213</v>
      </c>
      <c r="C6" s="276">
        <f t="shared" si="9"/>
        <v>0</v>
      </c>
      <c r="D6" s="503">
        <f t="shared" si="10"/>
        <v>566266</v>
      </c>
      <c r="E6" s="276">
        <f t="shared" si="11"/>
        <v>0</v>
      </c>
      <c r="F6" s="276">
        <f t="shared" si="0"/>
        <v>0</v>
      </c>
      <c r="G6" s="196"/>
      <c r="H6" s="260">
        <f t="shared" si="12"/>
        <v>11218</v>
      </c>
      <c r="I6" s="276" t="str">
        <f t="shared" si="1"/>
        <v>ok</v>
      </c>
      <c r="J6" s="502">
        <f t="shared" si="13"/>
        <v>10698</v>
      </c>
      <c r="K6" s="276">
        <f t="shared" si="2"/>
        <v>0</v>
      </c>
      <c r="L6" s="503">
        <f t="shared" si="14"/>
        <v>357691</v>
      </c>
      <c r="M6" s="276">
        <f>SUM(L6-L5)</f>
        <v>0</v>
      </c>
      <c r="N6" s="276">
        <f t="shared" si="16"/>
        <v>0</v>
      </c>
      <c r="O6" s="294"/>
      <c r="P6" s="277">
        <f t="shared" si="17"/>
        <v>10873</v>
      </c>
      <c r="Q6" s="276" t="str">
        <f t="shared" si="3"/>
        <v>ok</v>
      </c>
      <c r="R6" s="502">
        <f t="shared" si="27"/>
        <v>13320</v>
      </c>
      <c r="S6" s="276">
        <f t="shared" si="4"/>
        <v>0</v>
      </c>
      <c r="T6" s="503">
        <f t="shared" si="18"/>
        <v>269496</v>
      </c>
      <c r="U6" s="276">
        <f>V6*S6</f>
        <v>0</v>
      </c>
      <c r="V6" s="276">
        <v>250</v>
      </c>
      <c r="W6" s="294"/>
      <c r="X6" s="584">
        <f t="shared" si="20"/>
        <v>13429</v>
      </c>
      <c r="Y6" s="276" t="str">
        <f t="shared" si="5"/>
        <v>ok</v>
      </c>
      <c r="Z6" s="276">
        <f t="shared" si="6"/>
        <v>0</v>
      </c>
      <c r="AA6" s="276">
        <f t="shared" si="21"/>
        <v>0</v>
      </c>
      <c r="AB6" s="276">
        <f t="shared" si="22"/>
        <v>250</v>
      </c>
      <c r="AC6" s="276">
        <f t="shared" si="23"/>
        <v>0</v>
      </c>
      <c r="AD6" s="73">
        <f>ELEC!Q7</f>
        <v>0</v>
      </c>
      <c r="AE6" s="73" t="e">
        <f>SUM(AD6/Z6)</f>
        <v>#DIV/0!</v>
      </c>
      <c r="AF6" s="387" t="e">
        <f t="shared" si="29"/>
        <v>#DIV/0!</v>
      </c>
      <c r="AG6" s="388" t="e">
        <f>SUM(320*AF6)</f>
        <v>#DIV/0!</v>
      </c>
      <c r="AH6" s="388" t="e">
        <f t="shared" si="24"/>
        <v>#DIV/0!</v>
      </c>
      <c r="AI6" s="73">
        <f t="shared" si="31"/>
        <v>0</v>
      </c>
      <c r="AJ6" s="278">
        <f t="shared" si="7"/>
        <v>0.25738396624472576</v>
      </c>
      <c r="AK6" s="278" t="e">
        <f t="shared" si="8"/>
        <v>#DIV/0!</v>
      </c>
      <c r="AL6">
        <f t="shared" si="25"/>
        <v>0</v>
      </c>
    </row>
    <row r="7" spans="1:38" ht="16.5" thickBot="1">
      <c r="A7" s="4">
        <f>ELEC!C8</f>
        <v>44535</v>
      </c>
      <c r="B7" s="502">
        <v>11214</v>
      </c>
      <c r="C7" s="276">
        <f t="shared" si="9"/>
        <v>1</v>
      </c>
      <c r="D7" s="503">
        <f t="shared" si="10"/>
        <v>566516</v>
      </c>
      <c r="E7" s="276">
        <f t="shared" si="11"/>
        <v>250</v>
      </c>
      <c r="F7" s="276">
        <f t="shared" si="0"/>
        <v>250</v>
      </c>
      <c r="G7" s="196"/>
      <c r="H7" s="260">
        <f>H6</f>
        <v>11218</v>
      </c>
      <c r="I7" s="276" t="str">
        <f t="shared" si="1"/>
        <v>ok</v>
      </c>
      <c r="J7" s="502">
        <f t="shared" si="13"/>
        <v>10698</v>
      </c>
      <c r="K7" s="276">
        <f t="shared" si="2"/>
        <v>0</v>
      </c>
      <c r="L7" s="503">
        <f t="shared" si="14"/>
        <v>357691</v>
      </c>
      <c r="M7" s="276">
        <f t="shared" si="15"/>
        <v>0</v>
      </c>
      <c r="N7" s="276">
        <f t="shared" si="16"/>
        <v>0</v>
      </c>
      <c r="O7" s="294"/>
      <c r="P7" s="277">
        <f t="shared" si="17"/>
        <v>10873</v>
      </c>
      <c r="Q7" s="276" t="str">
        <f t="shared" si="3"/>
        <v>ok</v>
      </c>
      <c r="R7" s="502">
        <v>13329</v>
      </c>
      <c r="S7" s="276">
        <f t="shared" si="4"/>
        <v>9</v>
      </c>
      <c r="T7" s="503">
        <f t="shared" si="18"/>
        <v>271746</v>
      </c>
      <c r="U7" s="276">
        <f>V7*S7</f>
        <v>2250</v>
      </c>
      <c r="V7" s="276">
        <v>250</v>
      </c>
      <c r="W7" s="196"/>
      <c r="X7" s="584">
        <f t="shared" si="20"/>
        <v>13429</v>
      </c>
      <c r="Y7" s="276" t="str">
        <f t="shared" si="5"/>
        <v>ok</v>
      </c>
      <c r="Z7" s="276">
        <f t="shared" si="6"/>
        <v>10</v>
      </c>
      <c r="AA7" s="276">
        <f>U7+M7+E7</f>
        <v>2500</v>
      </c>
      <c r="AB7" s="276">
        <f t="shared" si="22"/>
        <v>500</v>
      </c>
      <c r="AC7" s="276">
        <f t="shared" si="23"/>
        <v>250</v>
      </c>
      <c r="AD7" s="73">
        <f>ELEC!Q8</f>
        <v>6544.9999999982538</v>
      </c>
      <c r="AE7" s="73">
        <f t="shared" si="28"/>
        <v>654.49999999982538</v>
      </c>
      <c r="AF7" s="387">
        <f t="shared" si="29"/>
        <v>0.40906249999989086</v>
      </c>
      <c r="AG7" s="387">
        <f t="shared" si="29"/>
        <v>2.5566406249993178E-4</v>
      </c>
      <c r="AH7" s="388">
        <f t="shared" si="24"/>
        <v>249.99974433593749</v>
      </c>
      <c r="AI7" s="73">
        <f t="shared" si="31"/>
        <v>1684.5780590712807</v>
      </c>
      <c r="AJ7" s="278">
        <f t="shared" si="7"/>
        <v>0.25738396624472576</v>
      </c>
      <c r="AK7" s="278">
        <f t="shared" si="8"/>
        <v>168.45780590712806</v>
      </c>
      <c r="AL7">
        <f t="shared" si="25"/>
        <v>1</v>
      </c>
    </row>
    <row r="8" spans="1:38" ht="16.5" thickBot="1">
      <c r="A8" s="4">
        <f>ELEC!C9</f>
        <v>44536</v>
      </c>
      <c r="B8" s="502">
        <v>11216</v>
      </c>
      <c r="C8" s="276">
        <f t="shared" si="9"/>
        <v>2</v>
      </c>
      <c r="D8" s="503">
        <f t="shared" si="10"/>
        <v>567016</v>
      </c>
      <c r="E8" s="276">
        <f t="shared" si="11"/>
        <v>500</v>
      </c>
      <c r="F8" s="276">
        <f t="shared" si="0"/>
        <v>250</v>
      </c>
      <c r="G8" s="196"/>
      <c r="H8" s="260">
        <f t="shared" si="12"/>
        <v>11218</v>
      </c>
      <c r="I8" s="276" t="str">
        <f t="shared" si="1"/>
        <v>ok</v>
      </c>
      <c r="J8" s="502">
        <f t="shared" si="13"/>
        <v>10698</v>
      </c>
      <c r="K8" s="276">
        <f t="shared" si="2"/>
        <v>0</v>
      </c>
      <c r="L8" s="503">
        <f t="shared" si="14"/>
        <v>357691</v>
      </c>
      <c r="M8" s="276">
        <f t="shared" si="15"/>
        <v>0</v>
      </c>
      <c r="N8" s="276">
        <f t="shared" si="16"/>
        <v>0</v>
      </c>
      <c r="O8" s="196"/>
      <c r="P8" s="277">
        <f t="shared" si="17"/>
        <v>10873</v>
      </c>
      <c r="Q8" s="276" t="str">
        <f t="shared" si="3"/>
        <v>ok</v>
      </c>
      <c r="R8" s="502">
        <v>13336</v>
      </c>
      <c r="S8" s="276">
        <f t="shared" si="4"/>
        <v>7</v>
      </c>
      <c r="T8" s="503">
        <f>T7+U8</f>
        <v>273496</v>
      </c>
      <c r="U8" s="276">
        <f>V8*S8</f>
        <v>1750</v>
      </c>
      <c r="V8" s="276">
        <v>250</v>
      </c>
      <c r="W8" s="196"/>
      <c r="X8" s="584">
        <f t="shared" si="20"/>
        <v>13429</v>
      </c>
      <c r="Y8" s="276" t="str">
        <f t="shared" si="5"/>
        <v>ok</v>
      </c>
      <c r="Z8" s="276">
        <f t="shared" si="6"/>
        <v>9</v>
      </c>
      <c r="AA8" s="276">
        <f t="shared" si="21"/>
        <v>2250</v>
      </c>
      <c r="AB8" s="276">
        <f t="shared" si="22"/>
        <v>500</v>
      </c>
      <c r="AC8" s="276">
        <f t="shared" si="23"/>
        <v>250</v>
      </c>
      <c r="AD8" s="73">
        <f>ELEC!Q9</f>
        <v>4929.0000000000873</v>
      </c>
      <c r="AE8" s="73">
        <f>SUM(AD8/Z8)</f>
        <v>547.66666666667641</v>
      </c>
      <c r="AF8" s="387">
        <f t="shared" si="29"/>
        <v>0.34229166666667277</v>
      </c>
      <c r="AG8" s="387">
        <f t="shared" si="29"/>
        <v>2.1393229166667048E-4</v>
      </c>
      <c r="AH8" s="388">
        <f t="shared" si="24"/>
        <v>249.99978606770833</v>
      </c>
      <c r="AI8" s="73">
        <f t="shared" si="31"/>
        <v>1268.6455696202756</v>
      </c>
      <c r="AJ8" s="278">
        <f t="shared" si="7"/>
        <v>0.25738396624472576</v>
      </c>
      <c r="AK8" s="278">
        <f t="shared" si="8"/>
        <v>140.96061884669729</v>
      </c>
      <c r="AL8">
        <f t="shared" si="25"/>
        <v>1</v>
      </c>
    </row>
    <row r="9" spans="1:38" ht="16.5" thickBot="1">
      <c r="A9" s="4">
        <f>ELEC!C10</f>
        <v>44537</v>
      </c>
      <c r="B9" s="502">
        <v>11224</v>
      </c>
      <c r="C9" s="276">
        <f t="shared" si="9"/>
        <v>8</v>
      </c>
      <c r="D9" s="503">
        <f t="shared" si="10"/>
        <v>569016</v>
      </c>
      <c r="E9" s="276">
        <f t="shared" si="11"/>
        <v>2000</v>
      </c>
      <c r="F9" s="276">
        <f t="shared" si="0"/>
        <v>250</v>
      </c>
      <c r="G9" s="196"/>
      <c r="H9" s="260">
        <f t="shared" si="12"/>
        <v>11218</v>
      </c>
      <c r="I9" s="276" t="str">
        <f t="shared" si="1"/>
        <v>oil change</v>
      </c>
      <c r="J9" s="502">
        <f t="shared" si="13"/>
        <v>10698</v>
      </c>
      <c r="K9" s="276">
        <f t="shared" si="2"/>
        <v>0</v>
      </c>
      <c r="L9" s="503">
        <f t="shared" si="14"/>
        <v>357691</v>
      </c>
      <c r="M9" s="276">
        <f t="shared" si="15"/>
        <v>0</v>
      </c>
      <c r="N9" s="276">
        <f t="shared" si="16"/>
        <v>0</v>
      </c>
      <c r="O9" s="196"/>
      <c r="P9" s="277">
        <f t="shared" si="17"/>
        <v>10873</v>
      </c>
      <c r="Q9" s="276" t="str">
        <f t="shared" si="3"/>
        <v>ok</v>
      </c>
      <c r="R9" s="502">
        <v>13338</v>
      </c>
      <c r="S9" s="276">
        <f t="shared" si="4"/>
        <v>2</v>
      </c>
      <c r="T9" s="503">
        <f t="shared" si="18"/>
        <v>273996</v>
      </c>
      <c r="U9" s="276">
        <f t="shared" si="19"/>
        <v>500</v>
      </c>
      <c r="V9" s="276">
        <v>250</v>
      </c>
      <c r="W9" s="196"/>
      <c r="X9" s="584">
        <f t="shared" si="20"/>
        <v>13429</v>
      </c>
      <c r="Y9" s="276" t="str">
        <f t="shared" si="5"/>
        <v>ok</v>
      </c>
      <c r="Z9" s="276">
        <f t="shared" si="6"/>
        <v>10</v>
      </c>
      <c r="AA9" s="276">
        <f t="shared" si="21"/>
        <v>2500</v>
      </c>
      <c r="AB9" s="276">
        <f t="shared" si="22"/>
        <v>500</v>
      </c>
      <c r="AC9" s="276">
        <f t="shared" si="23"/>
        <v>250</v>
      </c>
      <c r="AD9" s="73">
        <f>ELEC!Q10</f>
        <v>5243.9999999987776</v>
      </c>
      <c r="AE9" s="73">
        <f t="shared" si="28"/>
        <v>524.39999999987776</v>
      </c>
      <c r="AF9" s="387">
        <f t="shared" si="29"/>
        <v>0.3277499999999236</v>
      </c>
      <c r="AG9" s="387">
        <f t="shared" si="29"/>
        <v>2.0484374999995224E-4</v>
      </c>
      <c r="AH9" s="388">
        <f t="shared" si="24"/>
        <v>249.99979515625</v>
      </c>
      <c r="AI9" s="73">
        <f t="shared" si="31"/>
        <v>1349.7215189870274</v>
      </c>
      <c r="AJ9" s="278">
        <f t="shared" si="7"/>
        <v>0.25738396624472576</v>
      </c>
      <c r="AK9" s="278">
        <f t="shared" si="8"/>
        <v>134.97215189870275</v>
      </c>
      <c r="AL9">
        <f t="shared" si="25"/>
        <v>1</v>
      </c>
    </row>
    <row r="10" spans="1:38" ht="16.5" thickBot="1">
      <c r="A10" s="4">
        <f>ELEC!C11</f>
        <v>44538</v>
      </c>
      <c r="B10" s="502">
        <v>11224</v>
      </c>
      <c r="C10" s="276">
        <f t="shared" si="9"/>
        <v>0</v>
      </c>
      <c r="D10" s="503">
        <f t="shared" si="10"/>
        <v>569016</v>
      </c>
      <c r="E10" s="276">
        <f t="shared" si="11"/>
        <v>0</v>
      </c>
      <c r="F10" s="276">
        <f t="shared" si="0"/>
        <v>0</v>
      </c>
      <c r="G10" s="196"/>
      <c r="H10" s="260">
        <f t="shared" si="12"/>
        <v>11218</v>
      </c>
      <c r="I10" s="276" t="str">
        <f t="shared" si="1"/>
        <v>oil change</v>
      </c>
      <c r="J10" s="502">
        <f t="shared" si="13"/>
        <v>10698</v>
      </c>
      <c r="K10" s="276">
        <f t="shared" si="2"/>
        <v>0</v>
      </c>
      <c r="L10" s="503">
        <f t="shared" si="14"/>
        <v>357691</v>
      </c>
      <c r="M10" s="276">
        <f t="shared" si="15"/>
        <v>0</v>
      </c>
      <c r="N10" s="276">
        <f t="shared" si="16"/>
        <v>0</v>
      </c>
      <c r="O10" s="196"/>
      <c r="P10" s="277">
        <f t="shared" si="17"/>
        <v>10873</v>
      </c>
      <c r="Q10" s="276" t="str">
        <f t="shared" si="3"/>
        <v>ok</v>
      </c>
      <c r="R10" s="502">
        <v>13349</v>
      </c>
      <c r="S10" s="276">
        <f t="shared" si="4"/>
        <v>11</v>
      </c>
      <c r="T10" s="503">
        <f t="shared" si="18"/>
        <v>276746</v>
      </c>
      <c r="U10" s="276">
        <f t="shared" si="19"/>
        <v>2750</v>
      </c>
      <c r="V10" s="276">
        <v>250</v>
      </c>
      <c r="W10" s="323"/>
      <c r="X10" s="584">
        <f t="shared" si="20"/>
        <v>13429</v>
      </c>
      <c r="Y10" s="276" t="str">
        <f t="shared" si="5"/>
        <v>ok</v>
      </c>
      <c r="Z10" s="276">
        <f t="shared" si="6"/>
        <v>11</v>
      </c>
      <c r="AA10" s="276">
        <f t="shared" si="21"/>
        <v>2750</v>
      </c>
      <c r="AB10" s="276">
        <f t="shared" si="22"/>
        <v>250</v>
      </c>
      <c r="AC10" s="276">
        <f t="shared" si="23"/>
        <v>250</v>
      </c>
      <c r="AD10" s="73">
        <f>ELEC!Q11</f>
        <v>5962.9999999997381</v>
      </c>
      <c r="AE10" s="73">
        <f t="shared" si="28"/>
        <v>542.09090909088525</v>
      </c>
      <c r="AF10" s="387">
        <f t="shared" si="29"/>
        <v>0.3388068181818033</v>
      </c>
      <c r="AG10" s="387">
        <f t="shared" si="29"/>
        <v>2.1175426136362706E-4</v>
      </c>
      <c r="AH10" s="388">
        <f t="shared" si="24"/>
        <v>249.99978824573864</v>
      </c>
      <c r="AI10" s="73">
        <f t="shared" si="31"/>
        <v>1534.7805907172324</v>
      </c>
      <c r="AJ10" s="278">
        <f t="shared" si="7"/>
        <v>0.25738396624472576</v>
      </c>
      <c r="AK10" s="278">
        <f t="shared" si="8"/>
        <v>139.52550824702112</v>
      </c>
      <c r="AL10">
        <f t="shared" si="25"/>
        <v>1</v>
      </c>
    </row>
    <row r="11" spans="1:38" ht="16.5" thickBot="1">
      <c r="A11" s="4">
        <f>ELEC!C12</f>
        <v>44539</v>
      </c>
      <c r="B11" s="502">
        <v>11225</v>
      </c>
      <c r="C11" s="276">
        <f t="shared" si="9"/>
        <v>1</v>
      </c>
      <c r="D11" s="503">
        <f t="shared" si="10"/>
        <v>569266</v>
      </c>
      <c r="E11" s="276">
        <f t="shared" si="11"/>
        <v>250</v>
      </c>
      <c r="F11" s="276">
        <f t="shared" si="0"/>
        <v>250</v>
      </c>
      <c r="G11" s="196"/>
      <c r="H11" s="260">
        <f t="shared" si="12"/>
        <v>11218</v>
      </c>
      <c r="I11" s="276" t="str">
        <f t="shared" si="1"/>
        <v>oil change</v>
      </c>
      <c r="J11" s="502">
        <f t="shared" si="13"/>
        <v>10698</v>
      </c>
      <c r="K11" s="276">
        <f t="shared" si="2"/>
        <v>0</v>
      </c>
      <c r="L11" s="503">
        <f t="shared" si="14"/>
        <v>357691</v>
      </c>
      <c r="M11" s="276">
        <f t="shared" si="15"/>
        <v>0</v>
      </c>
      <c r="N11" s="276">
        <f t="shared" si="16"/>
        <v>0</v>
      </c>
      <c r="O11" s="196"/>
      <c r="P11" s="277">
        <f t="shared" si="17"/>
        <v>10873</v>
      </c>
      <c r="Q11" s="276" t="str">
        <f t="shared" si="3"/>
        <v>ok</v>
      </c>
      <c r="R11" s="502">
        <v>13357</v>
      </c>
      <c r="S11" s="276">
        <f t="shared" si="4"/>
        <v>8</v>
      </c>
      <c r="T11" s="503">
        <f t="shared" si="18"/>
        <v>278746</v>
      </c>
      <c r="U11" s="276">
        <f t="shared" si="19"/>
        <v>2000</v>
      </c>
      <c r="V11" s="276">
        <v>250</v>
      </c>
      <c r="W11" s="323"/>
      <c r="X11" s="584">
        <f t="shared" si="20"/>
        <v>13429</v>
      </c>
      <c r="Y11" s="276" t="str">
        <f t="shared" si="5"/>
        <v>ok</v>
      </c>
      <c r="Z11" s="276">
        <f t="shared" si="6"/>
        <v>9</v>
      </c>
      <c r="AA11" s="276">
        <f t="shared" si="21"/>
        <v>2250</v>
      </c>
      <c r="AB11" s="276">
        <f t="shared" si="22"/>
        <v>500</v>
      </c>
      <c r="AC11" s="276">
        <f t="shared" si="23"/>
        <v>250</v>
      </c>
      <c r="AD11" s="73">
        <f>ELEC!Q12</f>
        <v>4836.0000000029686</v>
      </c>
      <c r="AE11" s="73">
        <f t="shared" si="28"/>
        <v>537.33333333366318</v>
      </c>
      <c r="AF11" s="387">
        <f t="shared" si="29"/>
        <v>0.33583333333353949</v>
      </c>
      <c r="AG11" s="387">
        <f t="shared" si="29"/>
        <v>2.0989583333346217E-4</v>
      </c>
      <c r="AH11" s="388">
        <f t="shared" si="24"/>
        <v>249.99979010416666</v>
      </c>
      <c r="AI11" s="73">
        <f t="shared" si="31"/>
        <v>1244.7088607602579</v>
      </c>
      <c r="AJ11" s="278">
        <f t="shared" si="7"/>
        <v>0.25738396624472576</v>
      </c>
      <c r="AK11" s="278">
        <f t="shared" si="8"/>
        <v>138.30098452891755</v>
      </c>
      <c r="AL11">
        <f t="shared" si="25"/>
        <v>1</v>
      </c>
    </row>
    <row r="12" spans="1:38" ht="16.5" thickBot="1">
      <c r="A12" s="4">
        <f>ELEC!C13</f>
        <v>44540</v>
      </c>
      <c r="B12" s="502">
        <f t="shared" si="26"/>
        <v>11225</v>
      </c>
      <c r="C12" s="276">
        <f t="shared" si="9"/>
        <v>0</v>
      </c>
      <c r="D12" s="503">
        <f t="shared" si="10"/>
        <v>569266</v>
      </c>
      <c r="E12" s="276">
        <f t="shared" si="11"/>
        <v>0</v>
      </c>
      <c r="F12" s="276">
        <f t="shared" si="0"/>
        <v>0</v>
      </c>
      <c r="G12" s="196"/>
      <c r="H12" s="260">
        <v>11374</v>
      </c>
      <c r="I12" s="276" t="str">
        <f t="shared" si="1"/>
        <v>ok</v>
      </c>
      <c r="J12" s="502">
        <f t="shared" si="13"/>
        <v>10698</v>
      </c>
      <c r="K12" s="276">
        <f t="shared" si="2"/>
        <v>0</v>
      </c>
      <c r="L12" s="503">
        <f t="shared" si="14"/>
        <v>357691</v>
      </c>
      <c r="M12" s="276">
        <f t="shared" si="15"/>
        <v>0</v>
      </c>
      <c r="N12" s="276">
        <f t="shared" si="16"/>
        <v>0</v>
      </c>
      <c r="O12" s="196"/>
      <c r="P12" s="277">
        <f t="shared" si="17"/>
        <v>10873</v>
      </c>
      <c r="Q12" s="276" t="str">
        <f t="shared" si="3"/>
        <v>ok</v>
      </c>
      <c r="R12" s="502">
        <f t="shared" si="27"/>
        <v>13357</v>
      </c>
      <c r="S12" s="276">
        <f t="shared" si="4"/>
        <v>0</v>
      </c>
      <c r="T12" s="503">
        <f t="shared" si="18"/>
        <v>278746</v>
      </c>
      <c r="U12" s="276">
        <f t="shared" si="19"/>
        <v>0</v>
      </c>
      <c r="V12" s="276">
        <v>250</v>
      </c>
      <c r="W12" s="323"/>
      <c r="X12" s="584">
        <f t="shared" si="20"/>
        <v>13429</v>
      </c>
      <c r="Y12" s="276" t="str">
        <f t="shared" si="5"/>
        <v>ok</v>
      </c>
      <c r="Z12" s="276">
        <f t="shared" si="6"/>
        <v>0</v>
      </c>
      <c r="AA12" s="276">
        <f t="shared" si="21"/>
        <v>0</v>
      </c>
      <c r="AB12" s="276">
        <f t="shared" si="22"/>
        <v>250</v>
      </c>
      <c r="AC12" s="276">
        <f t="shared" si="23"/>
        <v>0</v>
      </c>
      <c r="AD12" s="73">
        <f>ELEC!Q13</f>
        <v>0</v>
      </c>
      <c r="AE12" s="73" t="e">
        <f t="shared" si="28"/>
        <v>#DIV/0!</v>
      </c>
      <c r="AF12" s="387" t="e">
        <f t="shared" si="29"/>
        <v>#DIV/0!</v>
      </c>
      <c r="AG12" s="387" t="e">
        <f t="shared" si="29"/>
        <v>#DIV/0!</v>
      </c>
      <c r="AH12" s="388" t="e">
        <f t="shared" si="24"/>
        <v>#DIV/0!</v>
      </c>
      <c r="AI12" s="73">
        <f t="shared" si="31"/>
        <v>0</v>
      </c>
      <c r="AJ12" s="278">
        <f t="shared" si="7"/>
        <v>0.25738396624472576</v>
      </c>
      <c r="AK12" s="278" t="e">
        <f t="shared" si="8"/>
        <v>#DIV/0!</v>
      </c>
      <c r="AL12">
        <f t="shared" si="25"/>
        <v>0</v>
      </c>
    </row>
    <row r="13" spans="1:38" ht="16.5" thickBot="1">
      <c r="A13" s="4">
        <f>ELEC!C14</f>
        <v>44541</v>
      </c>
      <c r="B13" s="502">
        <f t="shared" si="26"/>
        <v>11225</v>
      </c>
      <c r="C13" s="276">
        <f t="shared" si="9"/>
        <v>0</v>
      </c>
      <c r="D13" s="503">
        <f t="shared" si="10"/>
        <v>569266</v>
      </c>
      <c r="E13" s="276">
        <f t="shared" si="11"/>
        <v>0</v>
      </c>
      <c r="F13" s="276">
        <f t="shared" si="0"/>
        <v>0</v>
      </c>
      <c r="G13" s="196"/>
      <c r="H13" s="260">
        <f t="shared" si="12"/>
        <v>11374</v>
      </c>
      <c r="I13" s="276" t="str">
        <f t="shared" si="1"/>
        <v>ok</v>
      </c>
      <c r="J13" s="502">
        <f t="shared" si="13"/>
        <v>10698</v>
      </c>
      <c r="K13" s="276">
        <f t="shared" si="2"/>
        <v>0</v>
      </c>
      <c r="L13" s="503">
        <f t="shared" si="14"/>
        <v>357691</v>
      </c>
      <c r="M13" s="276">
        <f t="shared" si="15"/>
        <v>0</v>
      </c>
      <c r="N13" s="276">
        <f t="shared" si="16"/>
        <v>0</v>
      </c>
      <c r="O13" s="196"/>
      <c r="P13" s="277">
        <f t="shared" si="17"/>
        <v>10873</v>
      </c>
      <c r="Q13" s="276" t="str">
        <f t="shared" si="3"/>
        <v>ok</v>
      </c>
      <c r="R13" s="502">
        <f t="shared" si="27"/>
        <v>13357</v>
      </c>
      <c r="S13" s="276">
        <f t="shared" si="4"/>
        <v>0</v>
      </c>
      <c r="T13" s="503">
        <f t="shared" si="18"/>
        <v>278746</v>
      </c>
      <c r="U13" s="276">
        <f t="shared" si="19"/>
        <v>0</v>
      </c>
      <c r="V13" s="276">
        <v>250</v>
      </c>
      <c r="W13" s="323"/>
      <c r="X13" s="584">
        <f t="shared" si="20"/>
        <v>13429</v>
      </c>
      <c r="Y13" s="276" t="str">
        <f t="shared" si="5"/>
        <v>ok</v>
      </c>
      <c r="Z13" s="276">
        <f t="shared" si="6"/>
        <v>0</v>
      </c>
      <c r="AA13" s="276">
        <f t="shared" si="21"/>
        <v>0</v>
      </c>
      <c r="AB13" s="276">
        <f t="shared" si="22"/>
        <v>250</v>
      </c>
      <c r="AC13" s="276">
        <f t="shared" si="23"/>
        <v>0</v>
      </c>
      <c r="AD13" s="73">
        <f>ELEC!Q14</f>
        <v>0</v>
      </c>
      <c r="AE13" s="73" t="e">
        <f t="shared" si="28"/>
        <v>#DIV/0!</v>
      </c>
      <c r="AF13" s="387" t="e">
        <f t="shared" si="29"/>
        <v>#DIV/0!</v>
      </c>
      <c r="AG13" s="387" t="e">
        <f t="shared" si="29"/>
        <v>#DIV/0!</v>
      </c>
      <c r="AH13" s="388" t="e">
        <f t="shared" si="24"/>
        <v>#DIV/0!</v>
      </c>
      <c r="AI13" s="73">
        <f t="shared" si="31"/>
        <v>0</v>
      </c>
      <c r="AJ13" s="278">
        <f t="shared" si="7"/>
        <v>0.25738396624472576</v>
      </c>
      <c r="AK13" s="278" t="e">
        <f t="shared" si="8"/>
        <v>#DIV/0!</v>
      </c>
      <c r="AL13">
        <f t="shared" si="25"/>
        <v>0</v>
      </c>
    </row>
    <row r="14" spans="1:38" ht="16.5" thickBot="1">
      <c r="A14" s="4">
        <f>ELEC!C15</f>
        <v>44542</v>
      </c>
      <c r="B14" s="502">
        <f t="shared" si="26"/>
        <v>11225</v>
      </c>
      <c r="C14" s="276">
        <f t="shared" si="9"/>
        <v>0</v>
      </c>
      <c r="D14" s="503">
        <f t="shared" si="10"/>
        <v>569266</v>
      </c>
      <c r="E14" s="276">
        <f t="shared" si="11"/>
        <v>0</v>
      </c>
      <c r="F14" s="276">
        <f t="shared" si="0"/>
        <v>0</v>
      </c>
      <c r="G14" s="196"/>
      <c r="H14" s="260">
        <f t="shared" si="12"/>
        <v>11374</v>
      </c>
      <c r="I14" s="276" t="str">
        <f t="shared" si="1"/>
        <v>ok</v>
      </c>
      <c r="J14" s="502">
        <f t="shared" si="13"/>
        <v>10698</v>
      </c>
      <c r="K14" s="276">
        <f t="shared" si="2"/>
        <v>0</v>
      </c>
      <c r="L14" s="503">
        <f t="shared" si="14"/>
        <v>357691</v>
      </c>
      <c r="M14" s="276">
        <f t="shared" si="15"/>
        <v>0</v>
      </c>
      <c r="N14" s="276">
        <f t="shared" si="16"/>
        <v>0</v>
      </c>
      <c r="O14" s="196"/>
      <c r="P14" s="277">
        <f t="shared" si="17"/>
        <v>10873</v>
      </c>
      <c r="Q14" s="276" t="str">
        <f t="shared" si="3"/>
        <v>ok</v>
      </c>
      <c r="R14" s="502">
        <f t="shared" si="27"/>
        <v>13357</v>
      </c>
      <c r="S14" s="276">
        <f t="shared" si="4"/>
        <v>0</v>
      </c>
      <c r="T14" s="503">
        <f t="shared" si="18"/>
        <v>278746</v>
      </c>
      <c r="U14" s="276">
        <f t="shared" si="19"/>
        <v>0</v>
      </c>
      <c r="V14" s="276">
        <v>250</v>
      </c>
      <c r="W14" s="323"/>
      <c r="X14" s="584">
        <f t="shared" si="20"/>
        <v>13429</v>
      </c>
      <c r="Y14" s="276" t="str">
        <f t="shared" si="5"/>
        <v>ok</v>
      </c>
      <c r="Z14" s="276">
        <f t="shared" si="6"/>
        <v>0</v>
      </c>
      <c r="AA14" s="276">
        <f t="shared" si="21"/>
        <v>0</v>
      </c>
      <c r="AB14" s="276">
        <f t="shared" si="22"/>
        <v>250</v>
      </c>
      <c r="AC14" s="276">
        <f t="shared" si="23"/>
        <v>0</v>
      </c>
      <c r="AD14" s="73">
        <f>ELEC!Q15</f>
        <v>0</v>
      </c>
      <c r="AE14" s="73" t="e">
        <f t="shared" si="28"/>
        <v>#DIV/0!</v>
      </c>
      <c r="AF14" s="387" t="e">
        <f t="shared" si="29"/>
        <v>#DIV/0!</v>
      </c>
      <c r="AG14" s="387" t="e">
        <f t="shared" si="29"/>
        <v>#DIV/0!</v>
      </c>
      <c r="AH14" s="388" t="e">
        <f t="shared" si="24"/>
        <v>#DIV/0!</v>
      </c>
      <c r="AI14" s="73">
        <f t="shared" si="31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5"/>
        <v>0</v>
      </c>
    </row>
    <row r="15" spans="1:38" ht="16.5" thickBot="1">
      <c r="A15" s="4">
        <f>ELEC!C16</f>
        <v>44543</v>
      </c>
      <c r="B15" s="502">
        <f t="shared" si="26"/>
        <v>11225</v>
      </c>
      <c r="C15" s="276">
        <f t="shared" si="9"/>
        <v>0</v>
      </c>
      <c r="D15" s="503">
        <f t="shared" si="10"/>
        <v>569266</v>
      </c>
      <c r="E15" s="276">
        <f t="shared" si="11"/>
        <v>0</v>
      </c>
      <c r="F15" s="276">
        <f t="shared" si="0"/>
        <v>0</v>
      </c>
      <c r="G15" s="196"/>
      <c r="H15" s="260">
        <f t="shared" si="12"/>
        <v>11374</v>
      </c>
      <c r="I15" s="276" t="str">
        <f t="shared" si="1"/>
        <v>ok</v>
      </c>
      <c r="J15" s="502">
        <f t="shared" si="13"/>
        <v>10698</v>
      </c>
      <c r="K15" s="276">
        <f t="shared" si="2"/>
        <v>0</v>
      </c>
      <c r="L15" s="503">
        <f t="shared" si="14"/>
        <v>357691</v>
      </c>
      <c r="M15" s="276">
        <f t="shared" si="15"/>
        <v>0</v>
      </c>
      <c r="N15" s="276">
        <f t="shared" si="16"/>
        <v>0</v>
      </c>
      <c r="O15" s="196"/>
      <c r="P15" s="277">
        <f t="shared" si="17"/>
        <v>10873</v>
      </c>
      <c r="Q15" s="276" t="str">
        <f t="shared" si="3"/>
        <v>ok</v>
      </c>
      <c r="R15" s="502">
        <f t="shared" si="27"/>
        <v>13357</v>
      </c>
      <c r="S15" s="276">
        <f t="shared" si="4"/>
        <v>0</v>
      </c>
      <c r="T15" s="503">
        <f t="shared" si="18"/>
        <v>278746</v>
      </c>
      <c r="U15" s="276">
        <f t="shared" si="19"/>
        <v>0</v>
      </c>
      <c r="V15" s="276">
        <v>250</v>
      </c>
      <c r="W15" s="323"/>
      <c r="X15" s="584">
        <f t="shared" si="20"/>
        <v>13429</v>
      </c>
      <c r="Y15" s="276" t="str">
        <f t="shared" si="5"/>
        <v>ok</v>
      </c>
      <c r="Z15" s="276">
        <f t="shared" si="6"/>
        <v>0</v>
      </c>
      <c r="AA15" s="276">
        <f t="shared" si="21"/>
        <v>0</v>
      </c>
      <c r="AB15" s="276">
        <f t="shared" si="22"/>
        <v>250</v>
      </c>
      <c r="AC15" s="276">
        <f t="shared" si="23"/>
        <v>0</v>
      </c>
      <c r="AD15" s="73">
        <f>ELEC!Q16</f>
        <v>0</v>
      </c>
      <c r="AE15" s="73" t="e">
        <f t="shared" si="28"/>
        <v>#DIV/0!</v>
      </c>
      <c r="AF15" s="387" t="e">
        <f t="shared" si="29"/>
        <v>#DIV/0!</v>
      </c>
      <c r="AG15" s="387" t="e">
        <f t="shared" si="29"/>
        <v>#DIV/0!</v>
      </c>
      <c r="AH15" s="388" t="e">
        <f t="shared" si="24"/>
        <v>#DIV/0!</v>
      </c>
      <c r="AI15" s="73">
        <f t="shared" si="31"/>
        <v>0</v>
      </c>
      <c r="AJ15" s="278">
        <f t="shared" si="7"/>
        <v>0.25738396624472576</v>
      </c>
      <c r="AK15" s="278" t="e">
        <f t="shared" si="8"/>
        <v>#DIV/0!</v>
      </c>
      <c r="AL15">
        <f t="shared" si="25"/>
        <v>0</v>
      </c>
    </row>
    <row r="16" spans="1:38" ht="16.5" thickBot="1">
      <c r="A16" s="4">
        <f>ELEC!C17</f>
        <v>44544</v>
      </c>
      <c r="B16" s="502">
        <f t="shared" si="26"/>
        <v>11225</v>
      </c>
      <c r="C16" s="276">
        <f t="shared" si="9"/>
        <v>0</v>
      </c>
      <c r="D16" s="503">
        <f t="shared" si="10"/>
        <v>569266</v>
      </c>
      <c r="E16" s="276">
        <f t="shared" si="11"/>
        <v>0</v>
      </c>
      <c r="F16" s="276">
        <f t="shared" si="0"/>
        <v>0</v>
      </c>
      <c r="G16" s="196"/>
      <c r="H16" s="260">
        <f t="shared" si="12"/>
        <v>11374</v>
      </c>
      <c r="I16" s="276" t="str">
        <f t="shared" si="1"/>
        <v>ok</v>
      </c>
      <c r="J16" s="502">
        <f t="shared" si="13"/>
        <v>10698</v>
      </c>
      <c r="K16" s="276">
        <f t="shared" si="2"/>
        <v>0</v>
      </c>
      <c r="L16" s="503">
        <f t="shared" si="14"/>
        <v>357691</v>
      </c>
      <c r="M16" s="276">
        <f t="shared" si="15"/>
        <v>0</v>
      </c>
      <c r="N16" s="276">
        <f t="shared" si="16"/>
        <v>0</v>
      </c>
      <c r="O16" s="196"/>
      <c r="P16" s="277">
        <f t="shared" si="17"/>
        <v>10873</v>
      </c>
      <c r="Q16" s="276" t="str">
        <f t="shared" si="3"/>
        <v>ok</v>
      </c>
      <c r="R16" s="502">
        <f t="shared" si="27"/>
        <v>13357</v>
      </c>
      <c r="S16" s="276">
        <f t="shared" si="4"/>
        <v>0</v>
      </c>
      <c r="T16" s="503">
        <f t="shared" si="18"/>
        <v>278746</v>
      </c>
      <c r="U16" s="276">
        <f t="shared" si="19"/>
        <v>0</v>
      </c>
      <c r="V16" s="276">
        <v>250</v>
      </c>
      <c r="W16" s="323"/>
      <c r="X16" s="584">
        <f t="shared" si="20"/>
        <v>13429</v>
      </c>
      <c r="Y16" s="276" t="str">
        <f t="shared" si="5"/>
        <v>ok</v>
      </c>
      <c r="Z16" s="276">
        <f t="shared" si="6"/>
        <v>0</v>
      </c>
      <c r="AA16" s="276">
        <f t="shared" si="21"/>
        <v>0</v>
      </c>
      <c r="AB16" s="276">
        <f t="shared" si="22"/>
        <v>250</v>
      </c>
      <c r="AC16" s="276">
        <f t="shared" si="23"/>
        <v>0</v>
      </c>
      <c r="AD16" s="73">
        <f>ELEC!Q17</f>
        <v>0</v>
      </c>
      <c r="AE16" s="73" t="e">
        <f t="shared" si="28"/>
        <v>#DIV/0!</v>
      </c>
      <c r="AF16" s="387" t="e">
        <f t="shared" si="29"/>
        <v>#DIV/0!</v>
      </c>
      <c r="AG16" s="387" t="e">
        <f t="shared" si="29"/>
        <v>#DIV/0!</v>
      </c>
      <c r="AH16" s="388" t="e">
        <f t="shared" si="24"/>
        <v>#DIV/0!</v>
      </c>
      <c r="AI16" s="73">
        <f t="shared" si="31"/>
        <v>0</v>
      </c>
      <c r="AJ16" s="278">
        <f t="shared" si="7"/>
        <v>0.25738396624472576</v>
      </c>
      <c r="AK16" s="278" t="e">
        <f t="shared" si="8"/>
        <v>#DIV/0!</v>
      </c>
      <c r="AL16">
        <f t="shared" si="25"/>
        <v>0</v>
      </c>
    </row>
    <row r="17" spans="1:38" ht="16.5" thickBot="1">
      <c r="A17" s="4">
        <f>ELEC!C18</f>
        <v>44545</v>
      </c>
      <c r="B17" s="502">
        <f t="shared" si="26"/>
        <v>11225</v>
      </c>
      <c r="C17" s="276">
        <f t="shared" si="9"/>
        <v>0</v>
      </c>
      <c r="D17" s="503">
        <f t="shared" si="10"/>
        <v>569266</v>
      </c>
      <c r="E17" s="276">
        <f t="shared" si="11"/>
        <v>0</v>
      </c>
      <c r="F17" s="276">
        <f t="shared" si="0"/>
        <v>0</v>
      </c>
      <c r="G17" s="196"/>
      <c r="H17" s="260">
        <f t="shared" si="12"/>
        <v>11374</v>
      </c>
      <c r="I17" s="276" t="str">
        <f t="shared" si="1"/>
        <v>ok</v>
      </c>
      <c r="J17" s="502">
        <f t="shared" si="13"/>
        <v>10698</v>
      </c>
      <c r="K17" s="276">
        <f t="shared" si="2"/>
        <v>0</v>
      </c>
      <c r="L17" s="503">
        <f t="shared" si="14"/>
        <v>357691</v>
      </c>
      <c r="M17" s="276">
        <f t="shared" si="15"/>
        <v>0</v>
      </c>
      <c r="N17" s="276">
        <f t="shared" si="16"/>
        <v>0</v>
      </c>
      <c r="O17" s="196"/>
      <c r="P17" s="277">
        <f t="shared" si="17"/>
        <v>10873</v>
      </c>
      <c r="Q17" s="276" t="str">
        <f t="shared" si="3"/>
        <v>ok</v>
      </c>
      <c r="R17" s="502">
        <f t="shared" si="27"/>
        <v>13357</v>
      </c>
      <c r="S17" s="276">
        <f t="shared" si="4"/>
        <v>0</v>
      </c>
      <c r="T17" s="503">
        <f t="shared" si="18"/>
        <v>278746</v>
      </c>
      <c r="U17" s="276">
        <f t="shared" si="19"/>
        <v>0</v>
      </c>
      <c r="V17" s="276">
        <v>250</v>
      </c>
      <c r="W17" s="323"/>
      <c r="X17" s="584">
        <f t="shared" si="20"/>
        <v>13429</v>
      </c>
      <c r="Y17" s="276" t="str">
        <f t="shared" si="5"/>
        <v>ok</v>
      </c>
      <c r="Z17" s="276">
        <f t="shared" si="6"/>
        <v>0</v>
      </c>
      <c r="AA17" s="276">
        <f t="shared" si="21"/>
        <v>0</v>
      </c>
      <c r="AB17" s="276">
        <f t="shared" si="22"/>
        <v>250</v>
      </c>
      <c r="AC17" s="276">
        <f t="shared" si="23"/>
        <v>0</v>
      </c>
      <c r="AD17" s="73">
        <f>ELEC!Q18</f>
        <v>0</v>
      </c>
      <c r="AE17" s="73" t="e">
        <f t="shared" si="28"/>
        <v>#DIV/0!</v>
      </c>
      <c r="AF17" s="387" t="e">
        <f t="shared" si="29"/>
        <v>#DIV/0!</v>
      </c>
      <c r="AG17" s="387" t="e">
        <f t="shared" si="29"/>
        <v>#DIV/0!</v>
      </c>
      <c r="AH17" s="388" t="e">
        <f t="shared" si="24"/>
        <v>#DIV/0!</v>
      </c>
      <c r="AI17" s="73">
        <f t="shared" si="31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5"/>
        <v>0</v>
      </c>
    </row>
    <row r="18" spans="1:38" ht="16.5" thickBot="1">
      <c r="A18" s="4">
        <f>ELEC!C19</f>
        <v>44546</v>
      </c>
      <c r="B18" s="502">
        <f t="shared" si="26"/>
        <v>11225</v>
      </c>
      <c r="C18" s="276">
        <f t="shared" si="9"/>
        <v>0</v>
      </c>
      <c r="D18" s="503">
        <f t="shared" si="10"/>
        <v>569266</v>
      </c>
      <c r="E18" s="276">
        <f t="shared" si="11"/>
        <v>0</v>
      </c>
      <c r="F18" s="276">
        <f t="shared" si="0"/>
        <v>0</v>
      </c>
      <c r="G18" s="196"/>
      <c r="H18" s="260">
        <f t="shared" si="12"/>
        <v>11374</v>
      </c>
      <c r="I18" s="276" t="str">
        <f t="shared" si="1"/>
        <v>ok</v>
      </c>
      <c r="J18" s="502">
        <f t="shared" si="13"/>
        <v>10698</v>
      </c>
      <c r="K18" s="276">
        <f t="shared" si="2"/>
        <v>0</v>
      </c>
      <c r="L18" s="503">
        <f t="shared" si="14"/>
        <v>357691</v>
      </c>
      <c r="M18" s="276">
        <f t="shared" si="15"/>
        <v>0</v>
      </c>
      <c r="N18" s="276">
        <f t="shared" si="16"/>
        <v>0</v>
      </c>
      <c r="O18" s="196"/>
      <c r="P18" s="277">
        <f t="shared" si="17"/>
        <v>10873</v>
      </c>
      <c r="Q18" s="276" t="str">
        <f>IF(J18-P14&lt;=0,"ok","oil change")</f>
        <v>ok</v>
      </c>
      <c r="R18" s="502">
        <f t="shared" si="27"/>
        <v>13357</v>
      </c>
      <c r="S18" s="276">
        <f t="shared" si="4"/>
        <v>0</v>
      </c>
      <c r="T18" s="503">
        <f t="shared" si="18"/>
        <v>278746</v>
      </c>
      <c r="U18" s="276">
        <f t="shared" si="19"/>
        <v>0</v>
      </c>
      <c r="V18" s="276">
        <v>250</v>
      </c>
      <c r="W18" s="323"/>
      <c r="X18" s="584">
        <f t="shared" si="20"/>
        <v>13429</v>
      </c>
      <c r="Y18" s="276" t="str">
        <f t="shared" si="5"/>
        <v>ok</v>
      </c>
      <c r="Z18" s="276">
        <f t="shared" si="6"/>
        <v>0</v>
      </c>
      <c r="AA18" s="276">
        <f t="shared" si="21"/>
        <v>0</v>
      </c>
      <c r="AB18" s="276">
        <f t="shared" si="22"/>
        <v>250</v>
      </c>
      <c r="AC18" s="276">
        <f t="shared" si="23"/>
        <v>0</v>
      </c>
      <c r="AD18" s="73">
        <f>ELEC!Q19</f>
        <v>0</v>
      </c>
      <c r="AE18" s="73" t="e">
        <f t="shared" si="28"/>
        <v>#DIV/0!</v>
      </c>
      <c r="AF18" s="387" t="e">
        <f t="shared" si="29"/>
        <v>#DIV/0!</v>
      </c>
      <c r="AG18" s="387" t="e">
        <f t="shared" si="29"/>
        <v>#DIV/0!</v>
      </c>
      <c r="AH18" s="388" t="e">
        <f t="shared" si="24"/>
        <v>#DIV/0!</v>
      </c>
      <c r="AI18" s="73">
        <f t="shared" si="31"/>
        <v>0</v>
      </c>
      <c r="AJ18" s="278">
        <f t="shared" si="7"/>
        <v>0.25738396624472576</v>
      </c>
      <c r="AK18" s="278" t="e">
        <f t="shared" si="8"/>
        <v>#DIV/0!</v>
      </c>
      <c r="AL18">
        <f t="shared" si="25"/>
        <v>0</v>
      </c>
    </row>
    <row r="19" spans="1:38" ht="16.5" thickBot="1">
      <c r="A19" s="4">
        <f>ELEC!C20</f>
        <v>44547</v>
      </c>
      <c r="B19" s="502">
        <f t="shared" si="26"/>
        <v>11225</v>
      </c>
      <c r="C19" s="276">
        <f t="shared" si="9"/>
        <v>0</v>
      </c>
      <c r="D19" s="503">
        <f t="shared" si="10"/>
        <v>569266</v>
      </c>
      <c r="E19" s="276">
        <f t="shared" si="11"/>
        <v>0</v>
      </c>
      <c r="F19" s="276">
        <f t="shared" si="0"/>
        <v>0</v>
      </c>
      <c r="G19" s="196"/>
      <c r="H19" s="260">
        <f t="shared" si="12"/>
        <v>11374</v>
      </c>
      <c r="I19" s="276" t="str">
        <f t="shared" si="1"/>
        <v>ok</v>
      </c>
      <c r="J19" s="502">
        <f t="shared" si="13"/>
        <v>10698</v>
      </c>
      <c r="K19" s="276">
        <f t="shared" si="2"/>
        <v>0</v>
      </c>
      <c r="L19" s="503">
        <f t="shared" si="14"/>
        <v>357691</v>
      </c>
      <c r="M19" s="276">
        <f t="shared" si="15"/>
        <v>0</v>
      </c>
      <c r="N19" s="276">
        <f t="shared" si="16"/>
        <v>0</v>
      </c>
      <c r="O19" s="196"/>
      <c r="P19" s="277">
        <f t="shared" si="17"/>
        <v>10873</v>
      </c>
      <c r="Q19" s="276" t="str">
        <f t="shared" ref="Q19:Q30" si="32">IF(J19-P19&lt;=0,"ok","oil change")</f>
        <v>ok</v>
      </c>
      <c r="R19" s="502">
        <f t="shared" si="27"/>
        <v>13357</v>
      </c>
      <c r="S19" s="276">
        <f t="shared" si="4"/>
        <v>0</v>
      </c>
      <c r="T19" s="503">
        <f t="shared" si="18"/>
        <v>278746</v>
      </c>
      <c r="U19" s="276">
        <f t="shared" si="19"/>
        <v>0</v>
      </c>
      <c r="V19" s="276">
        <v>250</v>
      </c>
      <c r="W19" s="323"/>
      <c r="X19" s="584">
        <f t="shared" si="20"/>
        <v>13429</v>
      </c>
      <c r="Y19" s="276" t="str">
        <f t="shared" si="5"/>
        <v>ok</v>
      </c>
      <c r="Z19" s="276">
        <f t="shared" si="6"/>
        <v>0</v>
      </c>
      <c r="AA19" s="276">
        <f t="shared" si="21"/>
        <v>0</v>
      </c>
      <c r="AB19" s="276">
        <f t="shared" si="22"/>
        <v>250</v>
      </c>
      <c r="AC19" s="276">
        <f t="shared" si="23"/>
        <v>0</v>
      </c>
      <c r="AD19" s="73">
        <f>ELEC!Q20</f>
        <v>0</v>
      </c>
      <c r="AE19" s="73" t="e">
        <f t="shared" si="28"/>
        <v>#DIV/0!</v>
      </c>
      <c r="AF19" s="387" t="e">
        <f t="shared" si="29"/>
        <v>#DIV/0!</v>
      </c>
      <c r="AG19" s="387" t="e">
        <f t="shared" si="29"/>
        <v>#DIV/0!</v>
      </c>
      <c r="AH19" s="388" t="e">
        <f t="shared" si="24"/>
        <v>#DIV/0!</v>
      </c>
      <c r="AI19" s="73">
        <f t="shared" si="31"/>
        <v>0</v>
      </c>
      <c r="AJ19" s="278">
        <f t="shared" si="7"/>
        <v>0.25738396624472576</v>
      </c>
      <c r="AK19" s="278" t="e">
        <f t="shared" si="8"/>
        <v>#DIV/0!</v>
      </c>
      <c r="AL19">
        <f t="shared" si="25"/>
        <v>0</v>
      </c>
    </row>
    <row r="20" spans="1:38" ht="16.5" thickBot="1">
      <c r="A20" s="4">
        <f>ELEC!C21</f>
        <v>44548</v>
      </c>
      <c r="B20" s="502">
        <f t="shared" si="26"/>
        <v>11225</v>
      </c>
      <c r="C20" s="276">
        <f>B20-B19</f>
        <v>0</v>
      </c>
      <c r="D20" s="503">
        <f t="shared" si="10"/>
        <v>569266</v>
      </c>
      <c r="E20" s="276">
        <f t="shared" si="11"/>
        <v>0</v>
      </c>
      <c r="F20" s="276">
        <f t="shared" si="0"/>
        <v>0</v>
      </c>
      <c r="G20" s="196"/>
      <c r="H20" s="260">
        <f t="shared" si="12"/>
        <v>11374</v>
      </c>
      <c r="I20" s="276" t="str">
        <f t="shared" si="1"/>
        <v>ok</v>
      </c>
      <c r="J20" s="502">
        <f t="shared" si="13"/>
        <v>10698</v>
      </c>
      <c r="K20" s="276">
        <f t="shared" si="2"/>
        <v>0</v>
      </c>
      <c r="L20" s="503">
        <f t="shared" si="14"/>
        <v>357691</v>
      </c>
      <c r="M20" s="276">
        <f t="shared" si="15"/>
        <v>0</v>
      </c>
      <c r="N20" s="276">
        <f t="shared" si="16"/>
        <v>0</v>
      </c>
      <c r="O20" s="196"/>
      <c r="P20" s="277">
        <f t="shared" si="17"/>
        <v>10873</v>
      </c>
      <c r="Q20" s="276" t="str">
        <f t="shared" si="32"/>
        <v>ok</v>
      </c>
      <c r="R20" s="502">
        <f t="shared" si="27"/>
        <v>13357</v>
      </c>
      <c r="S20" s="276">
        <f t="shared" si="4"/>
        <v>0</v>
      </c>
      <c r="T20" s="503">
        <f t="shared" si="18"/>
        <v>278746</v>
      </c>
      <c r="U20" s="276">
        <f t="shared" si="19"/>
        <v>0</v>
      </c>
      <c r="V20" s="276">
        <v>250</v>
      </c>
      <c r="W20" s="323"/>
      <c r="X20" s="584">
        <f t="shared" si="20"/>
        <v>13429</v>
      </c>
      <c r="Y20" s="276" t="str">
        <f t="shared" ref="Y20" si="33">IF(R20-X20&lt;=0,"ok","oil change")</f>
        <v>ok</v>
      </c>
      <c r="Z20" s="276">
        <f t="shared" si="6"/>
        <v>0</v>
      </c>
      <c r="AA20" s="276">
        <f t="shared" si="21"/>
        <v>0</v>
      </c>
      <c r="AB20" s="276">
        <f t="shared" si="22"/>
        <v>250</v>
      </c>
      <c r="AC20" s="276">
        <f t="shared" si="23"/>
        <v>0</v>
      </c>
      <c r="AD20" s="73">
        <f>ELEC!Q21</f>
        <v>0</v>
      </c>
      <c r="AE20" s="73" t="e">
        <f t="shared" si="28"/>
        <v>#DIV/0!</v>
      </c>
      <c r="AF20" s="387" t="e">
        <f t="shared" si="29"/>
        <v>#DIV/0!</v>
      </c>
      <c r="AG20" s="387" t="e">
        <f t="shared" si="29"/>
        <v>#DIV/0!</v>
      </c>
      <c r="AH20" s="388" t="e">
        <f t="shared" si="24"/>
        <v>#DIV/0!</v>
      </c>
      <c r="AI20" s="73">
        <f>AD20*AJ20</f>
        <v>0</v>
      </c>
      <c r="AJ20" s="278">
        <f t="shared" si="7"/>
        <v>0.25738396624472576</v>
      </c>
      <c r="AK20" s="278" t="e">
        <f t="shared" si="8"/>
        <v>#DIV/0!</v>
      </c>
      <c r="AL20">
        <f t="shared" si="25"/>
        <v>0</v>
      </c>
    </row>
    <row r="21" spans="1:38" ht="16.5" thickBot="1">
      <c r="A21" s="4">
        <f>ELEC!C22</f>
        <v>44549</v>
      </c>
      <c r="B21" s="502">
        <f t="shared" si="26"/>
        <v>11225</v>
      </c>
      <c r="C21" s="276">
        <f>B21-B20</f>
        <v>0</v>
      </c>
      <c r="D21" s="503">
        <f t="shared" si="10"/>
        <v>569266</v>
      </c>
      <c r="E21" s="276">
        <f t="shared" si="11"/>
        <v>0</v>
      </c>
      <c r="F21" s="276">
        <f t="shared" si="0"/>
        <v>0</v>
      </c>
      <c r="G21" s="196"/>
      <c r="H21" s="260">
        <f t="shared" si="12"/>
        <v>11374</v>
      </c>
      <c r="I21" s="276" t="str">
        <f t="shared" si="1"/>
        <v>ok</v>
      </c>
      <c r="J21" s="502">
        <f t="shared" si="13"/>
        <v>10698</v>
      </c>
      <c r="K21" s="276">
        <f t="shared" si="2"/>
        <v>0</v>
      </c>
      <c r="L21" s="503">
        <f t="shared" si="14"/>
        <v>357691</v>
      </c>
      <c r="M21" s="276">
        <f t="shared" si="15"/>
        <v>0</v>
      </c>
      <c r="N21" s="276">
        <f t="shared" si="16"/>
        <v>0</v>
      </c>
      <c r="O21" s="196"/>
      <c r="P21" s="277">
        <f t="shared" si="17"/>
        <v>10873</v>
      </c>
      <c r="Q21" s="276" t="str">
        <f t="shared" si="32"/>
        <v>ok</v>
      </c>
      <c r="R21" s="502">
        <f t="shared" si="27"/>
        <v>13357</v>
      </c>
      <c r="S21" s="276">
        <f t="shared" si="4"/>
        <v>0</v>
      </c>
      <c r="T21" s="503">
        <f t="shared" si="18"/>
        <v>278746</v>
      </c>
      <c r="U21" s="276">
        <f t="shared" si="19"/>
        <v>0</v>
      </c>
      <c r="V21" s="276">
        <v>250</v>
      </c>
      <c r="W21" s="196"/>
      <c r="X21" s="584">
        <f t="shared" si="20"/>
        <v>13429</v>
      </c>
      <c r="Y21" s="276" t="str">
        <f>Y20</f>
        <v>ok</v>
      </c>
      <c r="Z21" s="276">
        <f t="shared" si="6"/>
        <v>0</v>
      </c>
      <c r="AA21" s="276">
        <f t="shared" si="21"/>
        <v>0</v>
      </c>
      <c r="AB21" s="276">
        <f t="shared" si="22"/>
        <v>250</v>
      </c>
      <c r="AC21" s="276">
        <f t="shared" si="23"/>
        <v>0</v>
      </c>
      <c r="AD21" s="73">
        <f>ELEC!Q22</f>
        <v>0</v>
      </c>
      <c r="AE21" s="73" t="e">
        <f t="shared" si="28"/>
        <v>#DIV/0!</v>
      </c>
      <c r="AF21" s="387" t="e">
        <f t="shared" si="29"/>
        <v>#DIV/0!</v>
      </c>
      <c r="AG21" s="387" t="e">
        <f t="shared" si="29"/>
        <v>#DIV/0!</v>
      </c>
      <c r="AH21" s="388" t="e">
        <f t="shared" si="24"/>
        <v>#DIV/0!</v>
      </c>
      <c r="AI21" s="73">
        <f t="shared" si="31"/>
        <v>0</v>
      </c>
      <c r="AJ21" s="278">
        <f t="shared" si="7"/>
        <v>0.25738396624472576</v>
      </c>
      <c r="AK21" s="278" t="e">
        <f t="shared" si="8"/>
        <v>#DIV/0!</v>
      </c>
      <c r="AL21">
        <f t="shared" si="25"/>
        <v>0</v>
      </c>
    </row>
    <row r="22" spans="1:38" ht="16.5" thickBot="1">
      <c r="A22" s="4">
        <f>ELEC!C23</f>
        <v>44550</v>
      </c>
      <c r="B22" s="502">
        <f t="shared" si="26"/>
        <v>11225</v>
      </c>
      <c r="C22" s="276">
        <f t="shared" si="9"/>
        <v>0</v>
      </c>
      <c r="D22" s="503">
        <f t="shared" si="10"/>
        <v>569266</v>
      </c>
      <c r="E22" s="276">
        <f>150*C22</f>
        <v>0</v>
      </c>
      <c r="F22" s="276">
        <f t="shared" si="0"/>
        <v>0</v>
      </c>
      <c r="G22" s="196"/>
      <c r="H22" s="260">
        <f t="shared" si="12"/>
        <v>11374</v>
      </c>
      <c r="I22" s="276" t="str">
        <f t="shared" si="1"/>
        <v>ok</v>
      </c>
      <c r="J22" s="502">
        <f t="shared" si="13"/>
        <v>10698</v>
      </c>
      <c r="K22" s="276">
        <f t="shared" si="2"/>
        <v>0</v>
      </c>
      <c r="L22" s="503">
        <f t="shared" si="14"/>
        <v>357691</v>
      </c>
      <c r="M22" s="276">
        <f t="shared" si="15"/>
        <v>0</v>
      </c>
      <c r="N22" s="276">
        <f t="shared" si="16"/>
        <v>0</v>
      </c>
      <c r="O22" s="196"/>
      <c r="P22" s="277">
        <f t="shared" si="17"/>
        <v>10873</v>
      </c>
      <c r="Q22" s="276" t="str">
        <f t="shared" si="32"/>
        <v>ok</v>
      </c>
      <c r="R22" s="502">
        <f t="shared" si="27"/>
        <v>13357</v>
      </c>
      <c r="S22" s="276">
        <f t="shared" si="4"/>
        <v>0</v>
      </c>
      <c r="T22" s="503">
        <f t="shared" si="18"/>
        <v>278746</v>
      </c>
      <c r="U22" s="276">
        <f t="shared" si="19"/>
        <v>0</v>
      </c>
      <c r="V22" s="276">
        <v>250</v>
      </c>
      <c r="W22" s="196"/>
      <c r="X22" s="584">
        <f t="shared" si="20"/>
        <v>13429</v>
      </c>
      <c r="Y22" s="276" t="str">
        <f t="shared" ref="Y22:Y33" si="34">Y21</f>
        <v>ok</v>
      </c>
      <c r="Z22" s="276">
        <f t="shared" si="6"/>
        <v>0</v>
      </c>
      <c r="AA22" s="276">
        <f t="shared" si="21"/>
        <v>0</v>
      </c>
      <c r="AB22" s="276">
        <f t="shared" si="22"/>
        <v>250</v>
      </c>
      <c r="AC22" s="276">
        <f t="shared" si="23"/>
        <v>0</v>
      </c>
      <c r="AD22" s="73">
        <f>ELEC!Q23</f>
        <v>0</v>
      </c>
      <c r="AE22" s="73" t="e">
        <f t="shared" si="28"/>
        <v>#DIV/0!</v>
      </c>
      <c r="AF22" s="387" t="e">
        <f t="shared" si="29"/>
        <v>#DIV/0!</v>
      </c>
      <c r="AG22" s="387" t="e">
        <f t="shared" si="29"/>
        <v>#DIV/0!</v>
      </c>
      <c r="AH22" s="388" t="e">
        <f t="shared" si="24"/>
        <v>#DIV/0!</v>
      </c>
      <c r="AI22" s="73">
        <f t="shared" si="31"/>
        <v>0</v>
      </c>
      <c r="AJ22" s="278">
        <f t="shared" si="7"/>
        <v>0.25738396624472576</v>
      </c>
      <c r="AK22" s="278" t="e">
        <f t="shared" si="8"/>
        <v>#DIV/0!</v>
      </c>
      <c r="AL22">
        <f t="shared" si="25"/>
        <v>0</v>
      </c>
    </row>
    <row r="23" spans="1:38" ht="16.5" thickBot="1">
      <c r="A23" s="4">
        <f>ELEC!C24</f>
        <v>44551</v>
      </c>
      <c r="B23" s="502">
        <f t="shared" si="26"/>
        <v>11225</v>
      </c>
      <c r="C23" s="276">
        <f t="shared" si="9"/>
        <v>0</v>
      </c>
      <c r="D23" s="503">
        <f t="shared" si="10"/>
        <v>569266</v>
      </c>
      <c r="E23" s="276">
        <f>150*C23</f>
        <v>0</v>
      </c>
      <c r="F23" s="276">
        <f t="shared" si="0"/>
        <v>0</v>
      </c>
      <c r="G23" s="196"/>
      <c r="H23" s="260">
        <f t="shared" si="12"/>
        <v>11374</v>
      </c>
      <c r="I23" s="276" t="str">
        <f t="shared" si="1"/>
        <v>ok</v>
      </c>
      <c r="J23" s="502">
        <f t="shared" si="13"/>
        <v>10698</v>
      </c>
      <c r="K23" s="276">
        <f t="shared" si="2"/>
        <v>0</v>
      </c>
      <c r="L23" s="503">
        <f t="shared" si="14"/>
        <v>357691</v>
      </c>
      <c r="M23" s="276">
        <f t="shared" si="15"/>
        <v>0</v>
      </c>
      <c r="N23" s="276">
        <f t="shared" si="16"/>
        <v>0</v>
      </c>
      <c r="O23" s="196"/>
      <c r="P23" s="277">
        <f t="shared" si="17"/>
        <v>10873</v>
      </c>
      <c r="Q23" s="276" t="str">
        <f t="shared" si="32"/>
        <v>ok</v>
      </c>
      <c r="R23" s="502">
        <f t="shared" si="27"/>
        <v>13357</v>
      </c>
      <c r="S23" s="276">
        <f>R23-R22</f>
        <v>0</v>
      </c>
      <c r="T23" s="503">
        <f t="shared" si="18"/>
        <v>278746</v>
      </c>
      <c r="U23" s="276">
        <f>V23*S23</f>
        <v>0</v>
      </c>
      <c r="V23" s="276">
        <v>250</v>
      </c>
      <c r="W23" s="196"/>
      <c r="X23" s="584">
        <f t="shared" si="20"/>
        <v>13429</v>
      </c>
      <c r="Y23" s="276" t="str">
        <f t="shared" si="34"/>
        <v>ok</v>
      </c>
      <c r="Z23" s="276">
        <f t="shared" si="6"/>
        <v>0</v>
      </c>
      <c r="AA23" s="276">
        <f t="shared" si="21"/>
        <v>0</v>
      </c>
      <c r="AB23" s="276">
        <f t="shared" si="22"/>
        <v>250</v>
      </c>
      <c r="AC23" s="276">
        <f t="shared" si="23"/>
        <v>0</v>
      </c>
      <c r="AD23" s="73">
        <f>ELEC!Q24</f>
        <v>0</v>
      </c>
      <c r="AE23" s="73" t="e">
        <f t="shared" si="28"/>
        <v>#DIV/0!</v>
      </c>
      <c r="AF23" s="387" t="e">
        <f t="shared" si="29"/>
        <v>#DIV/0!</v>
      </c>
      <c r="AG23" s="387" t="e">
        <f t="shared" si="29"/>
        <v>#DIV/0!</v>
      </c>
      <c r="AH23" s="388" t="e">
        <f t="shared" si="24"/>
        <v>#DIV/0!</v>
      </c>
      <c r="AI23" s="73">
        <f t="shared" si="31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5"/>
        <v>0</v>
      </c>
    </row>
    <row r="24" spans="1:38" ht="16.5" thickBot="1">
      <c r="A24" s="4">
        <f>ELEC!C25</f>
        <v>44552</v>
      </c>
      <c r="B24" s="502">
        <f t="shared" si="26"/>
        <v>11225</v>
      </c>
      <c r="C24" s="276">
        <f t="shared" si="9"/>
        <v>0</v>
      </c>
      <c r="D24" s="503">
        <f t="shared" si="10"/>
        <v>569266</v>
      </c>
      <c r="E24" s="276">
        <f t="shared" si="11"/>
        <v>0</v>
      </c>
      <c r="F24" s="276">
        <f t="shared" si="0"/>
        <v>0</v>
      </c>
      <c r="G24" s="196"/>
      <c r="H24" s="260">
        <f t="shared" si="12"/>
        <v>11374</v>
      </c>
      <c r="I24" s="276" t="str">
        <f t="shared" si="1"/>
        <v>ok</v>
      </c>
      <c r="J24" s="502">
        <f t="shared" si="13"/>
        <v>10698</v>
      </c>
      <c r="K24" s="276">
        <f t="shared" si="2"/>
        <v>0</v>
      </c>
      <c r="L24" s="503">
        <f t="shared" si="14"/>
        <v>357691</v>
      </c>
      <c r="M24" s="276">
        <f t="shared" si="15"/>
        <v>0</v>
      </c>
      <c r="N24" s="276">
        <f t="shared" si="16"/>
        <v>0</v>
      </c>
      <c r="O24" s="196"/>
      <c r="P24" s="277">
        <f t="shared" si="17"/>
        <v>10873</v>
      </c>
      <c r="Q24" s="276" t="str">
        <f t="shared" si="32"/>
        <v>ok</v>
      </c>
      <c r="R24" s="502">
        <f t="shared" si="27"/>
        <v>13357</v>
      </c>
      <c r="S24" s="276">
        <f t="shared" si="4"/>
        <v>0</v>
      </c>
      <c r="T24" s="503">
        <f t="shared" si="18"/>
        <v>278746</v>
      </c>
      <c r="U24" s="276">
        <f t="shared" si="19"/>
        <v>0</v>
      </c>
      <c r="V24" s="276">
        <v>250</v>
      </c>
      <c r="W24" s="196"/>
      <c r="X24" s="584">
        <f t="shared" si="20"/>
        <v>13429</v>
      </c>
      <c r="Y24" s="276" t="str">
        <f t="shared" si="34"/>
        <v>ok</v>
      </c>
      <c r="Z24" s="276">
        <f t="shared" si="6"/>
        <v>0</v>
      </c>
      <c r="AA24" s="276">
        <f t="shared" si="21"/>
        <v>0</v>
      </c>
      <c r="AB24" s="276">
        <f t="shared" si="22"/>
        <v>250</v>
      </c>
      <c r="AC24" s="276">
        <f t="shared" si="23"/>
        <v>0</v>
      </c>
      <c r="AD24" s="73">
        <f>ELEC!Q25</f>
        <v>0</v>
      </c>
      <c r="AE24" s="73" t="e">
        <f t="shared" si="28"/>
        <v>#DIV/0!</v>
      </c>
      <c r="AF24" s="387" t="e">
        <f t="shared" si="29"/>
        <v>#DIV/0!</v>
      </c>
      <c r="AG24" s="387" t="e">
        <f t="shared" si="29"/>
        <v>#DIV/0!</v>
      </c>
      <c r="AH24" s="388" t="e">
        <f t="shared" si="24"/>
        <v>#DIV/0!</v>
      </c>
      <c r="AI24" s="73">
        <f t="shared" si="31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5"/>
        <v>0</v>
      </c>
    </row>
    <row r="25" spans="1:38" ht="16.5" thickBot="1">
      <c r="A25" s="4">
        <f>ELEC!C26</f>
        <v>44553</v>
      </c>
      <c r="B25" s="502">
        <f t="shared" si="26"/>
        <v>11225</v>
      </c>
      <c r="C25" s="276">
        <f t="shared" si="9"/>
        <v>0</v>
      </c>
      <c r="D25" s="503">
        <f t="shared" si="10"/>
        <v>569266</v>
      </c>
      <c r="E25" s="276">
        <f t="shared" si="11"/>
        <v>0</v>
      </c>
      <c r="F25" s="276">
        <f t="shared" si="0"/>
        <v>0</v>
      </c>
      <c r="G25" s="196"/>
      <c r="H25" s="260">
        <f t="shared" si="12"/>
        <v>11374</v>
      </c>
      <c r="I25" s="276" t="str">
        <f t="shared" si="1"/>
        <v>ok</v>
      </c>
      <c r="J25" s="502">
        <f t="shared" si="13"/>
        <v>10698</v>
      </c>
      <c r="K25" s="276">
        <f t="shared" si="2"/>
        <v>0</v>
      </c>
      <c r="L25" s="503">
        <f t="shared" si="14"/>
        <v>357691</v>
      </c>
      <c r="M25" s="276">
        <f t="shared" si="15"/>
        <v>0</v>
      </c>
      <c r="N25" s="276">
        <f t="shared" si="16"/>
        <v>0</v>
      </c>
      <c r="O25" s="196"/>
      <c r="P25" s="277">
        <f t="shared" si="17"/>
        <v>10873</v>
      </c>
      <c r="Q25" s="276" t="str">
        <f t="shared" si="32"/>
        <v>ok</v>
      </c>
      <c r="R25" s="502">
        <f t="shared" si="27"/>
        <v>13357</v>
      </c>
      <c r="S25" s="276">
        <f t="shared" si="4"/>
        <v>0</v>
      </c>
      <c r="T25" s="503">
        <f t="shared" si="18"/>
        <v>278746</v>
      </c>
      <c r="U25" s="276">
        <f t="shared" si="19"/>
        <v>0</v>
      </c>
      <c r="V25" s="276">
        <v>250</v>
      </c>
      <c r="W25" s="196"/>
      <c r="X25" s="584">
        <f t="shared" si="20"/>
        <v>13429</v>
      </c>
      <c r="Y25" s="276" t="str">
        <f t="shared" si="34"/>
        <v>ok</v>
      </c>
      <c r="Z25" s="276">
        <f t="shared" si="6"/>
        <v>0</v>
      </c>
      <c r="AA25" s="276">
        <f t="shared" si="21"/>
        <v>0</v>
      </c>
      <c r="AB25" s="276">
        <f t="shared" si="22"/>
        <v>250</v>
      </c>
      <c r="AC25" s="276">
        <f t="shared" si="23"/>
        <v>0</v>
      </c>
      <c r="AD25" s="73">
        <f>ELEC!Q26</f>
        <v>0</v>
      </c>
      <c r="AE25" s="73" t="e">
        <f t="shared" si="28"/>
        <v>#DIV/0!</v>
      </c>
      <c r="AF25" s="387" t="e">
        <f t="shared" si="29"/>
        <v>#DIV/0!</v>
      </c>
      <c r="AG25" s="387" t="e">
        <f t="shared" si="29"/>
        <v>#DIV/0!</v>
      </c>
      <c r="AH25" s="388" t="e">
        <f t="shared" si="24"/>
        <v>#DIV/0!</v>
      </c>
      <c r="AI25" s="73">
        <f t="shared" si="31"/>
        <v>0</v>
      </c>
      <c r="AJ25" s="278">
        <f t="shared" si="7"/>
        <v>0.25738396624472576</v>
      </c>
      <c r="AK25" s="278" t="e">
        <f t="shared" si="8"/>
        <v>#DIV/0!</v>
      </c>
      <c r="AL25">
        <f t="shared" si="25"/>
        <v>0</v>
      </c>
    </row>
    <row r="26" spans="1:38" ht="16.5" thickBot="1">
      <c r="A26" s="4">
        <f>ELEC!C27</f>
        <v>44554</v>
      </c>
      <c r="B26" s="502">
        <f t="shared" si="26"/>
        <v>11225</v>
      </c>
      <c r="C26" s="276">
        <f>B26-B25</f>
        <v>0</v>
      </c>
      <c r="D26" s="503">
        <f t="shared" si="10"/>
        <v>569266</v>
      </c>
      <c r="E26" s="276">
        <f>SUM(D26-D25)</f>
        <v>0</v>
      </c>
      <c r="F26" s="276">
        <f t="shared" si="0"/>
        <v>0</v>
      </c>
      <c r="G26" s="196"/>
      <c r="H26" s="260">
        <f t="shared" si="12"/>
        <v>11374</v>
      </c>
      <c r="I26" s="276" t="str">
        <f t="shared" si="1"/>
        <v>ok</v>
      </c>
      <c r="J26" s="502">
        <f t="shared" si="13"/>
        <v>10698</v>
      </c>
      <c r="K26" s="276">
        <f t="shared" si="2"/>
        <v>0</v>
      </c>
      <c r="L26" s="503">
        <f t="shared" si="14"/>
        <v>357691</v>
      </c>
      <c r="M26" s="276">
        <f t="shared" si="15"/>
        <v>0</v>
      </c>
      <c r="N26" s="276">
        <f t="shared" si="16"/>
        <v>0</v>
      </c>
      <c r="O26" s="196"/>
      <c r="P26" s="277">
        <f t="shared" si="17"/>
        <v>10873</v>
      </c>
      <c r="Q26" s="276" t="str">
        <f t="shared" si="32"/>
        <v>ok</v>
      </c>
      <c r="R26" s="502">
        <f t="shared" si="27"/>
        <v>13357</v>
      </c>
      <c r="S26" s="276">
        <f t="shared" ref="S26" si="35">R26-R25</f>
        <v>0</v>
      </c>
      <c r="T26" s="503">
        <f t="shared" si="18"/>
        <v>278746</v>
      </c>
      <c r="U26" s="276">
        <f t="shared" si="19"/>
        <v>0</v>
      </c>
      <c r="V26" s="276">
        <v>250</v>
      </c>
      <c r="W26" s="196"/>
      <c r="X26" s="584">
        <f t="shared" si="20"/>
        <v>13429</v>
      </c>
      <c r="Y26" s="276" t="str">
        <f t="shared" si="34"/>
        <v>ok</v>
      </c>
      <c r="Z26" s="276">
        <f t="shared" si="6"/>
        <v>0</v>
      </c>
      <c r="AA26" s="276">
        <f t="shared" si="21"/>
        <v>0</v>
      </c>
      <c r="AB26" s="276">
        <f t="shared" si="22"/>
        <v>250</v>
      </c>
      <c r="AC26" s="276">
        <f t="shared" si="23"/>
        <v>0</v>
      </c>
      <c r="AD26" s="73">
        <f>ELEC!Q27</f>
        <v>0</v>
      </c>
      <c r="AE26" s="73" t="e">
        <f t="shared" si="28"/>
        <v>#DIV/0!</v>
      </c>
      <c r="AF26" s="387" t="e">
        <f t="shared" si="29"/>
        <v>#DIV/0!</v>
      </c>
      <c r="AG26" s="387" t="e">
        <f t="shared" si="29"/>
        <v>#DIV/0!</v>
      </c>
      <c r="AH26" s="388" t="e">
        <f t="shared" si="24"/>
        <v>#DIV/0!</v>
      </c>
      <c r="AI26" s="73">
        <f t="shared" si="31"/>
        <v>0</v>
      </c>
      <c r="AJ26" s="278">
        <f t="shared" si="7"/>
        <v>0.25738396624472576</v>
      </c>
      <c r="AK26" s="278" t="e">
        <f t="shared" si="8"/>
        <v>#DIV/0!</v>
      </c>
      <c r="AL26">
        <f t="shared" si="25"/>
        <v>0</v>
      </c>
    </row>
    <row r="27" spans="1:38" ht="16.5" thickBot="1">
      <c r="A27" s="4">
        <f>ELEC!C28</f>
        <v>44555</v>
      </c>
      <c r="B27" s="502">
        <f t="shared" si="26"/>
        <v>11225</v>
      </c>
      <c r="C27" s="276">
        <f>B27-B26</f>
        <v>0</v>
      </c>
      <c r="D27" s="503">
        <f t="shared" si="10"/>
        <v>569266</v>
      </c>
      <c r="E27" s="276">
        <f t="shared" ref="E27:E33" si="36">SUM(D27-D26)</f>
        <v>0</v>
      </c>
      <c r="F27" s="276">
        <f t="shared" si="0"/>
        <v>0</v>
      </c>
      <c r="G27" s="196"/>
      <c r="H27" s="260">
        <f t="shared" si="12"/>
        <v>11374</v>
      </c>
      <c r="I27" s="276" t="str">
        <f>IF(B27-H27&lt;=0,"ok","oil change")</f>
        <v>ok</v>
      </c>
      <c r="J27" s="502">
        <f t="shared" si="13"/>
        <v>10698</v>
      </c>
      <c r="K27" s="276">
        <f t="shared" si="2"/>
        <v>0</v>
      </c>
      <c r="L27" s="503">
        <f t="shared" si="14"/>
        <v>357691</v>
      </c>
      <c r="M27" s="276">
        <f t="shared" si="15"/>
        <v>0</v>
      </c>
      <c r="N27" s="276">
        <f t="shared" si="16"/>
        <v>0</v>
      </c>
      <c r="O27" s="196"/>
      <c r="P27" s="277">
        <f t="shared" si="17"/>
        <v>10873</v>
      </c>
      <c r="Q27" s="276" t="str">
        <f t="shared" si="32"/>
        <v>ok</v>
      </c>
      <c r="R27" s="502">
        <f t="shared" si="27"/>
        <v>13357</v>
      </c>
      <c r="S27" s="276">
        <f t="shared" si="4"/>
        <v>0</v>
      </c>
      <c r="T27" s="503">
        <f t="shared" si="18"/>
        <v>278746</v>
      </c>
      <c r="U27" s="276">
        <f t="shared" si="19"/>
        <v>0</v>
      </c>
      <c r="V27" s="276">
        <v>250</v>
      </c>
      <c r="W27" s="196"/>
      <c r="X27" s="584">
        <f t="shared" si="20"/>
        <v>13429</v>
      </c>
      <c r="Y27" s="276" t="str">
        <f t="shared" si="34"/>
        <v>ok</v>
      </c>
      <c r="Z27" s="276">
        <f t="shared" si="6"/>
        <v>0</v>
      </c>
      <c r="AA27" s="276">
        <f t="shared" si="21"/>
        <v>0</v>
      </c>
      <c r="AB27" s="276">
        <f t="shared" si="22"/>
        <v>250</v>
      </c>
      <c r="AC27" s="276">
        <f t="shared" si="23"/>
        <v>0</v>
      </c>
      <c r="AD27" s="73">
        <f>ELEC!Q28</f>
        <v>0</v>
      </c>
      <c r="AE27" s="73" t="e">
        <f t="shared" si="28"/>
        <v>#DIV/0!</v>
      </c>
      <c r="AF27" s="387" t="e">
        <f t="shared" si="29"/>
        <v>#DIV/0!</v>
      </c>
      <c r="AG27" s="387" t="e">
        <f t="shared" si="29"/>
        <v>#DIV/0!</v>
      </c>
      <c r="AH27" s="388" t="e">
        <f t="shared" si="24"/>
        <v>#DIV/0!</v>
      </c>
      <c r="AI27" s="73">
        <f t="shared" si="31"/>
        <v>0</v>
      </c>
      <c r="AJ27" s="278">
        <f t="shared" si="7"/>
        <v>0.25738396624472576</v>
      </c>
      <c r="AK27" s="278" t="e">
        <f t="shared" si="8"/>
        <v>#DIV/0!</v>
      </c>
      <c r="AL27">
        <f t="shared" si="25"/>
        <v>0</v>
      </c>
    </row>
    <row r="28" spans="1:38" ht="16.5" thickBot="1">
      <c r="A28" s="4">
        <f>ELEC!C29</f>
        <v>44556</v>
      </c>
      <c r="B28" s="502">
        <f t="shared" si="26"/>
        <v>11225</v>
      </c>
      <c r="C28" s="276">
        <f t="shared" si="9"/>
        <v>0</v>
      </c>
      <c r="D28" s="503">
        <f t="shared" si="10"/>
        <v>569266</v>
      </c>
      <c r="E28" s="276">
        <f t="shared" si="36"/>
        <v>0</v>
      </c>
      <c r="F28" s="276">
        <f t="shared" si="0"/>
        <v>0</v>
      </c>
      <c r="G28" s="274"/>
      <c r="H28" s="260">
        <f t="shared" si="12"/>
        <v>11374</v>
      </c>
      <c r="I28" s="276" t="str">
        <f t="shared" si="1"/>
        <v>ok</v>
      </c>
      <c r="J28" s="502">
        <f t="shared" si="13"/>
        <v>10698</v>
      </c>
      <c r="K28" s="276">
        <f t="shared" si="2"/>
        <v>0</v>
      </c>
      <c r="L28" s="503">
        <f t="shared" si="14"/>
        <v>357691</v>
      </c>
      <c r="M28" s="276">
        <f t="shared" si="15"/>
        <v>0</v>
      </c>
      <c r="N28" s="276">
        <f t="shared" si="16"/>
        <v>0</v>
      </c>
      <c r="O28" s="196"/>
      <c r="P28" s="277">
        <f t="shared" si="17"/>
        <v>10873</v>
      </c>
      <c r="Q28" s="276" t="str">
        <f t="shared" si="32"/>
        <v>ok</v>
      </c>
      <c r="R28" s="502">
        <f t="shared" si="27"/>
        <v>13357</v>
      </c>
      <c r="S28" s="276">
        <f t="shared" si="4"/>
        <v>0</v>
      </c>
      <c r="T28" s="503">
        <f t="shared" si="18"/>
        <v>278746</v>
      </c>
      <c r="U28" s="276">
        <f t="shared" si="19"/>
        <v>0</v>
      </c>
      <c r="V28" s="276">
        <v>250</v>
      </c>
      <c r="W28" s="196"/>
      <c r="X28" s="584">
        <f t="shared" si="20"/>
        <v>13429</v>
      </c>
      <c r="Y28" s="276" t="str">
        <f t="shared" si="34"/>
        <v>ok</v>
      </c>
      <c r="Z28" s="276">
        <f t="shared" si="6"/>
        <v>0</v>
      </c>
      <c r="AA28" s="276">
        <f t="shared" si="21"/>
        <v>0</v>
      </c>
      <c r="AB28" s="276">
        <f t="shared" si="22"/>
        <v>250</v>
      </c>
      <c r="AC28" s="276">
        <f t="shared" si="23"/>
        <v>0</v>
      </c>
      <c r="AD28" s="73">
        <f>ELEC!Q29</f>
        <v>0</v>
      </c>
      <c r="AE28" s="73" t="e">
        <f t="shared" si="28"/>
        <v>#DIV/0!</v>
      </c>
      <c r="AF28" s="387" t="e">
        <f t="shared" si="29"/>
        <v>#DIV/0!</v>
      </c>
      <c r="AG28" s="387" t="e">
        <f t="shared" si="29"/>
        <v>#DIV/0!</v>
      </c>
      <c r="AH28" s="388" t="e">
        <f t="shared" si="24"/>
        <v>#DIV/0!</v>
      </c>
      <c r="AI28" s="73">
        <f t="shared" si="31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5"/>
        <v>0</v>
      </c>
    </row>
    <row r="29" spans="1:38" ht="16.5" thickBot="1">
      <c r="A29" s="4">
        <f>ELEC!C30</f>
        <v>44557</v>
      </c>
      <c r="B29" s="502">
        <f t="shared" si="26"/>
        <v>11225</v>
      </c>
      <c r="C29" s="276">
        <f t="shared" si="9"/>
        <v>0</v>
      </c>
      <c r="D29" s="503">
        <f t="shared" si="10"/>
        <v>569266</v>
      </c>
      <c r="E29" s="276">
        <f t="shared" si="36"/>
        <v>0</v>
      </c>
      <c r="F29" s="276">
        <f t="shared" si="0"/>
        <v>0</v>
      </c>
      <c r="G29" s="196"/>
      <c r="H29" s="260">
        <f t="shared" si="12"/>
        <v>11374</v>
      </c>
      <c r="I29" s="276" t="str">
        <f t="shared" si="1"/>
        <v>ok</v>
      </c>
      <c r="J29" s="502">
        <f t="shared" si="13"/>
        <v>10698</v>
      </c>
      <c r="K29" s="276">
        <f t="shared" si="2"/>
        <v>0</v>
      </c>
      <c r="L29" s="503">
        <f t="shared" si="14"/>
        <v>357691</v>
      </c>
      <c r="M29" s="276">
        <f t="shared" si="15"/>
        <v>0</v>
      </c>
      <c r="N29" s="276">
        <f t="shared" si="16"/>
        <v>0</v>
      </c>
      <c r="O29" s="196"/>
      <c r="P29" s="277">
        <f t="shared" si="17"/>
        <v>10873</v>
      </c>
      <c r="Q29" s="276" t="str">
        <f t="shared" si="32"/>
        <v>ok</v>
      </c>
      <c r="R29" s="502">
        <f t="shared" si="27"/>
        <v>13357</v>
      </c>
      <c r="S29" s="276">
        <f t="shared" si="4"/>
        <v>0</v>
      </c>
      <c r="T29" s="503">
        <f>T28+U29</f>
        <v>278746</v>
      </c>
      <c r="U29" s="276">
        <f>V29*S29</f>
        <v>0</v>
      </c>
      <c r="V29" s="276">
        <v>250</v>
      </c>
      <c r="W29" s="196"/>
      <c r="X29" s="584">
        <f t="shared" si="20"/>
        <v>13429</v>
      </c>
      <c r="Y29" s="276" t="str">
        <f t="shared" si="34"/>
        <v>ok</v>
      </c>
      <c r="Z29" s="276">
        <f t="shared" si="6"/>
        <v>0</v>
      </c>
      <c r="AA29" s="276">
        <f t="shared" si="21"/>
        <v>0</v>
      </c>
      <c r="AB29" s="276">
        <f t="shared" si="22"/>
        <v>250</v>
      </c>
      <c r="AC29" s="276">
        <f t="shared" si="23"/>
        <v>0</v>
      </c>
      <c r="AD29" s="73">
        <f>ELEC!Q30</f>
        <v>0</v>
      </c>
      <c r="AE29" s="73" t="e">
        <f t="shared" si="28"/>
        <v>#DIV/0!</v>
      </c>
      <c r="AF29" s="387" t="e">
        <f t="shared" si="29"/>
        <v>#DIV/0!</v>
      </c>
      <c r="AG29" s="387" t="e">
        <f t="shared" si="29"/>
        <v>#DIV/0!</v>
      </c>
      <c r="AH29" s="388" t="e">
        <f t="shared" si="24"/>
        <v>#DIV/0!</v>
      </c>
      <c r="AI29" s="73">
        <f t="shared" si="31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5"/>
        <v>0</v>
      </c>
    </row>
    <row r="30" spans="1:38" ht="16.5" thickBot="1">
      <c r="A30" s="4">
        <f>ELEC!C31</f>
        <v>44558</v>
      </c>
      <c r="B30" s="502">
        <f t="shared" si="26"/>
        <v>11225</v>
      </c>
      <c r="C30" s="276">
        <f t="shared" si="9"/>
        <v>0</v>
      </c>
      <c r="D30" s="503">
        <f t="shared" si="10"/>
        <v>569266</v>
      </c>
      <c r="E30" s="276">
        <f t="shared" si="36"/>
        <v>0</v>
      </c>
      <c r="F30" s="276">
        <f t="shared" si="0"/>
        <v>0</v>
      </c>
      <c r="G30" s="196"/>
      <c r="H30" s="260">
        <f t="shared" si="12"/>
        <v>11374</v>
      </c>
      <c r="I30" s="276" t="str">
        <f t="shared" si="1"/>
        <v>ok</v>
      </c>
      <c r="J30" s="502">
        <f t="shared" si="13"/>
        <v>10698</v>
      </c>
      <c r="K30" s="276">
        <f t="shared" si="2"/>
        <v>0</v>
      </c>
      <c r="L30" s="503">
        <f t="shared" si="14"/>
        <v>357691</v>
      </c>
      <c r="M30" s="276">
        <f t="shared" si="15"/>
        <v>0</v>
      </c>
      <c r="N30" s="276">
        <f t="shared" si="16"/>
        <v>0</v>
      </c>
      <c r="O30" s="196"/>
      <c r="P30" s="277">
        <f t="shared" si="17"/>
        <v>10873</v>
      </c>
      <c r="Q30" s="276" t="str">
        <f t="shared" si="32"/>
        <v>ok</v>
      </c>
      <c r="R30" s="502">
        <f t="shared" si="27"/>
        <v>13357</v>
      </c>
      <c r="S30" s="276">
        <f t="shared" si="4"/>
        <v>0</v>
      </c>
      <c r="T30" s="503">
        <f t="shared" si="18"/>
        <v>278746</v>
      </c>
      <c r="U30" s="276">
        <f t="shared" si="19"/>
        <v>0</v>
      </c>
      <c r="V30" s="276">
        <v>250</v>
      </c>
      <c r="W30" s="274"/>
      <c r="X30" s="584">
        <f t="shared" si="20"/>
        <v>13429</v>
      </c>
      <c r="Y30" s="276" t="str">
        <f t="shared" si="34"/>
        <v>ok</v>
      </c>
      <c r="Z30" s="276">
        <f t="shared" si="6"/>
        <v>0</v>
      </c>
      <c r="AA30" s="276">
        <f t="shared" si="21"/>
        <v>0</v>
      </c>
      <c r="AB30" s="276">
        <f t="shared" si="22"/>
        <v>250</v>
      </c>
      <c r="AC30" s="276">
        <f t="shared" si="23"/>
        <v>0</v>
      </c>
      <c r="AD30" s="73">
        <f>ELEC!Q31</f>
        <v>0</v>
      </c>
      <c r="AE30" s="73" t="e">
        <f t="shared" si="28"/>
        <v>#DIV/0!</v>
      </c>
      <c r="AF30" s="387" t="e">
        <f t="shared" si="29"/>
        <v>#DIV/0!</v>
      </c>
      <c r="AG30" s="387" t="e">
        <f t="shared" si="29"/>
        <v>#DIV/0!</v>
      </c>
      <c r="AH30" s="388" t="e">
        <f t="shared" si="24"/>
        <v>#DIV/0!</v>
      </c>
      <c r="AI30" s="73">
        <f t="shared" si="31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5"/>
        <v>0</v>
      </c>
    </row>
    <row r="31" spans="1:38" ht="16.5" thickBot="1">
      <c r="A31" s="4">
        <f>ELEC!C32</f>
        <v>44559</v>
      </c>
      <c r="B31" s="502">
        <f t="shared" si="26"/>
        <v>11225</v>
      </c>
      <c r="C31" s="276">
        <f>B31-B30</f>
        <v>0</v>
      </c>
      <c r="D31" s="503">
        <f t="shared" si="10"/>
        <v>569266</v>
      </c>
      <c r="E31" s="276">
        <f t="shared" si="36"/>
        <v>0</v>
      </c>
      <c r="F31" s="276">
        <f>IF(C31&gt;0,E31/C31,0)</f>
        <v>0</v>
      </c>
      <c r="G31" s="323"/>
      <c r="H31" s="260">
        <f t="shared" si="12"/>
        <v>11374</v>
      </c>
      <c r="I31" s="276" t="str">
        <f>IF(B31-H31&lt;=0,"ok","oil change")</f>
        <v>ok</v>
      </c>
      <c r="J31" s="502">
        <f t="shared" si="13"/>
        <v>10698</v>
      </c>
      <c r="K31" s="276">
        <f>J31-J30</f>
        <v>0</v>
      </c>
      <c r="L31" s="503">
        <f t="shared" si="14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7"/>
        <v>10873</v>
      </c>
      <c r="Q31" s="276" t="str">
        <f>IF(J31-P31&lt;=0,"ok","oil change")</f>
        <v>ok</v>
      </c>
      <c r="R31" s="502">
        <f t="shared" si="27"/>
        <v>13357</v>
      </c>
      <c r="S31" s="276">
        <f>R31-R30</f>
        <v>0</v>
      </c>
      <c r="T31" s="503">
        <f t="shared" si="18"/>
        <v>278746</v>
      </c>
      <c r="U31" s="276">
        <f t="shared" si="19"/>
        <v>0</v>
      </c>
      <c r="V31" s="276">
        <v>250</v>
      </c>
      <c r="W31" s="323"/>
      <c r="X31" s="584">
        <f t="shared" si="20"/>
        <v>13429</v>
      </c>
      <c r="Y31" s="276" t="str">
        <f t="shared" si="34"/>
        <v>ok</v>
      </c>
      <c r="Z31" s="276">
        <f>C31+K31+S31</f>
        <v>0</v>
      </c>
      <c r="AA31" s="276">
        <f t="shared" ref="AA31:AB32" si="37">U31+M31+E31</f>
        <v>0</v>
      </c>
      <c r="AB31" s="276">
        <f t="shared" si="37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8">SUM(AE31/1600)</f>
        <v>#DIV/0!</v>
      </c>
      <c r="AG31" s="387" t="e">
        <f t="shared" si="38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5"/>
        <v>0</v>
      </c>
    </row>
    <row r="32" spans="1:38" ht="16.5" thickBot="1">
      <c r="A32" s="4">
        <f>ELEC!C33</f>
        <v>44560</v>
      </c>
      <c r="B32" s="502">
        <f t="shared" si="26"/>
        <v>11225</v>
      </c>
      <c r="C32" s="276">
        <f>B32-B31</f>
        <v>0</v>
      </c>
      <c r="D32" s="503">
        <f t="shared" si="10"/>
        <v>569266</v>
      </c>
      <c r="E32" s="276">
        <f t="shared" si="36"/>
        <v>0</v>
      </c>
      <c r="F32" s="276">
        <f>IF(C32&gt;0,E32/C32,0)</f>
        <v>0</v>
      </c>
      <c r="G32" s="323"/>
      <c r="H32" s="260">
        <f t="shared" si="12"/>
        <v>11374</v>
      </c>
      <c r="I32" s="276" t="str">
        <f>IF(B32-H32&lt;=0,"ok","oil change")</f>
        <v>ok</v>
      </c>
      <c r="J32" s="502">
        <f t="shared" si="13"/>
        <v>10698</v>
      </c>
      <c r="K32" s="276">
        <f>J32-J31</f>
        <v>0</v>
      </c>
      <c r="L32" s="503">
        <f t="shared" si="14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7"/>
        <v>10873</v>
      </c>
      <c r="Q32" s="276" t="str">
        <f>IF(J32-P32&lt;=0,"ok","oil change")</f>
        <v>ok</v>
      </c>
      <c r="R32" s="502">
        <f t="shared" si="27"/>
        <v>13357</v>
      </c>
      <c r="S32" s="276">
        <f>R32-R31</f>
        <v>0</v>
      </c>
      <c r="T32" s="503">
        <f t="shared" si="18"/>
        <v>278746</v>
      </c>
      <c r="U32" s="276">
        <f t="shared" si="19"/>
        <v>0</v>
      </c>
      <c r="V32" s="276">
        <v>250</v>
      </c>
      <c r="W32" s="323"/>
      <c r="X32" s="584">
        <f t="shared" si="20"/>
        <v>13429</v>
      </c>
      <c r="Y32" s="276" t="str">
        <f t="shared" si="34"/>
        <v>ok</v>
      </c>
      <c r="Z32" s="276">
        <f>C32+K32+S32</f>
        <v>0</v>
      </c>
      <c r="AA32" s="276">
        <f t="shared" si="37"/>
        <v>0</v>
      </c>
      <c r="AB32" s="276">
        <f t="shared" si="37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8"/>
        <v>#DIV/0!</v>
      </c>
      <c r="AG32" s="387" t="e">
        <f t="shared" si="38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5"/>
        <v>0</v>
      </c>
    </row>
    <row r="33" spans="1:38" ht="15.75">
      <c r="A33" s="4">
        <f>ELEC!C34</f>
        <v>44561</v>
      </c>
      <c r="B33" s="502">
        <f t="shared" si="26"/>
        <v>11225</v>
      </c>
      <c r="C33" s="276">
        <f>B33-B32</f>
        <v>0</v>
      </c>
      <c r="D33" s="503">
        <f t="shared" si="10"/>
        <v>569266</v>
      </c>
      <c r="E33" s="276">
        <f t="shared" si="36"/>
        <v>0</v>
      </c>
      <c r="F33" s="276">
        <f>IF(C33&gt;0,E33/C33,0)</f>
        <v>0</v>
      </c>
      <c r="G33" s="323"/>
      <c r="H33" s="260">
        <f t="shared" si="12"/>
        <v>11374</v>
      </c>
      <c r="I33" s="276" t="str">
        <f>IF(B33-H33&lt;=0,"ok","oil change")</f>
        <v>ok</v>
      </c>
      <c r="J33" s="502">
        <f t="shared" si="13"/>
        <v>10698</v>
      </c>
      <c r="K33" s="276">
        <f>J33-J32</f>
        <v>0</v>
      </c>
      <c r="L33" s="503">
        <f t="shared" si="14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7"/>
        <v>10873</v>
      </c>
      <c r="Q33" s="276" t="str">
        <f>IF(J33-P33&lt;=0,"ok","oil change")</f>
        <v>ok</v>
      </c>
      <c r="R33" s="502">
        <f t="shared" si="27"/>
        <v>13357</v>
      </c>
      <c r="S33" s="276">
        <f>R33-R32</f>
        <v>0</v>
      </c>
      <c r="T33" s="503">
        <f t="shared" si="18"/>
        <v>278746</v>
      </c>
      <c r="U33" s="276">
        <f t="shared" si="19"/>
        <v>0</v>
      </c>
      <c r="V33" s="276">
        <v>251</v>
      </c>
      <c r="W33" s="323"/>
      <c r="X33" s="584">
        <f t="shared" si="20"/>
        <v>13429</v>
      </c>
      <c r="Y33" s="276" t="str">
        <f t="shared" si="34"/>
        <v>ok</v>
      </c>
      <c r="Z33" s="276">
        <f>C33+K33+S33</f>
        <v>0</v>
      </c>
      <c r="AA33" s="276">
        <f t="shared" ref="AA33" si="39">U33+M33+E33</f>
        <v>0</v>
      </c>
      <c r="AB33" s="276">
        <f t="shared" ref="AB33" si="40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8"/>
        <v>#DIV/0!</v>
      </c>
      <c r="AG33" s="387" t="e">
        <f t="shared" si="38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1">AI33/Z33</f>
        <v>#DIV/0!</v>
      </c>
      <c r="AL33">
        <f t="shared" si="25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72</v>
      </c>
      <c r="V34" s="40"/>
      <c r="X34">
        <v>341</v>
      </c>
      <c r="Z34" s="404">
        <f>SUM(Z3:Z33)</f>
        <v>72</v>
      </c>
      <c r="AF34" s="387">
        <f t="shared" si="38"/>
        <v>0</v>
      </c>
      <c r="AL34">
        <f>SUM(AL3:AL33)</f>
        <v>7</v>
      </c>
    </row>
    <row r="35" spans="1:38">
      <c r="C35" s="40">
        <f>SUM(C3:C33)</f>
        <v>27</v>
      </c>
      <c r="K35" s="40">
        <f>SUM(K3:K33)</f>
        <v>0</v>
      </c>
      <c r="S35" s="40">
        <f>SUM(S3:S33)</f>
        <v>45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5"/>
  <sheetViews>
    <sheetView zoomScale="85" zoomScaleNormal="85" workbookViewId="0">
      <pane xSplit="1" topLeftCell="AO1" activePane="topRight" state="frozen"/>
      <selection pane="topRight" activeCell="AW14" sqref="AW14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5" t="s">
        <v>108</v>
      </c>
      <c r="AS3" s="645" t="s">
        <v>231</v>
      </c>
      <c r="AT3" s="643" t="s">
        <v>299</v>
      </c>
      <c r="AU3" s="644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6"/>
      <c r="AS4" s="646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[2]tanks!$A$35</f>
        <v>44530</v>
      </c>
      <c r="B5" s="499">
        <f>[2]tanks!B36</f>
        <v>218</v>
      </c>
      <c r="C5" s="499">
        <f>[2]tanks!C36</f>
        <v>4690.5161290322576</v>
      </c>
      <c r="D5" s="499">
        <f>[2]tanks!D36</f>
        <v>218</v>
      </c>
      <c r="E5" s="499">
        <f>[2]tanks!E36</f>
        <v>4690.5161290322576</v>
      </c>
      <c r="F5" s="499">
        <f>[2]tanks!F36</f>
        <v>218</v>
      </c>
      <c r="G5" s="499">
        <f>[2]tanks!G36</f>
        <v>4690.5161290322576</v>
      </c>
      <c r="H5" s="499">
        <f>[2]tanks!H36</f>
        <v>218</v>
      </c>
      <c r="I5" s="499">
        <f>[2]tanks!I36</f>
        <v>4690.5161290322576</v>
      </c>
      <c r="J5" s="499">
        <f>[2]tanks!J36</f>
        <v>218</v>
      </c>
      <c r="K5" s="499">
        <f>[2]tanks!K36</f>
        <v>4690.5161290322576</v>
      </c>
      <c r="L5" s="499">
        <f>[2]tanks!L36</f>
        <v>218</v>
      </c>
      <c r="M5" s="499">
        <f>[2]tanks!M36</f>
        <v>4690.5161290322576</v>
      </c>
      <c r="N5" s="499">
        <f>[2]tanks!N36</f>
        <v>218</v>
      </c>
      <c r="O5" s="499">
        <f>[2]tanks!O36</f>
        <v>4690.5161290322576</v>
      </c>
      <c r="P5" s="499">
        <f>[2]tanks!P36</f>
        <v>218</v>
      </c>
      <c r="Q5" s="499">
        <f>[2]tanks!Q36</f>
        <v>4690.5161290322576</v>
      </c>
      <c r="R5" s="499">
        <f>[2]tanks!R36</f>
        <v>218</v>
      </c>
      <c r="S5" s="499">
        <f>[2]tanks!S36</f>
        <v>4690.5161290322576</v>
      </c>
      <c r="T5" s="499">
        <f>[2]tanks!T36</f>
        <v>218</v>
      </c>
      <c r="U5" s="499">
        <f>[2]tanks!U36</f>
        <v>4690.5161290322576</v>
      </c>
      <c r="V5" s="499">
        <f>[2]tanks!V36</f>
        <v>218</v>
      </c>
      <c r="W5" s="499">
        <f>[2]tanks!W36</f>
        <v>4690.5161290322576</v>
      </c>
      <c r="X5" s="476">
        <f>[2]tanks!X36</f>
        <v>0.70322580645161281</v>
      </c>
      <c r="Y5" s="499">
        <f>[2]tanks!Y36</f>
        <v>51595.677419354834</v>
      </c>
      <c r="Z5" s="499">
        <f>[2]tanks!Z36</f>
        <v>224</v>
      </c>
      <c r="AA5" s="499">
        <f>[2]tanks!AA36</f>
        <v>2240</v>
      </c>
      <c r="AB5" s="499">
        <f>[2]tanks!AB36</f>
        <v>224</v>
      </c>
      <c r="AC5" s="499">
        <f>[2]tanks!AC36</f>
        <v>2240</v>
      </c>
      <c r="AD5" s="499">
        <f>[2]tanks!AD36</f>
        <v>224</v>
      </c>
      <c r="AE5" s="499">
        <f>[2]tanks!AE36</f>
        <v>2240</v>
      </c>
      <c r="AF5" s="499">
        <f>[2]tanks!AF36</f>
        <v>224</v>
      </c>
      <c r="AG5" s="499">
        <f>[2]tanks!AG36</f>
        <v>2240</v>
      </c>
      <c r="AH5" s="499">
        <f>[2]tanks!AH36</f>
        <v>224</v>
      </c>
      <c r="AI5" s="499">
        <f>[2]tanks!AI36</f>
        <v>2240</v>
      </c>
      <c r="AJ5" s="499">
        <f>[2]tanks!AJ36</f>
        <v>224</v>
      </c>
      <c r="AK5" s="499">
        <f>[2]tanks!AK36</f>
        <v>2240</v>
      </c>
      <c r="AL5" s="499">
        <f>[2]tanks!AL36</f>
        <v>224</v>
      </c>
      <c r="AM5" s="499">
        <f>[2]tanks!AM36</f>
        <v>2240</v>
      </c>
      <c r="AN5" s="476">
        <f>[2]tanks!AN36</f>
        <v>0.8</v>
      </c>
      <c r="AO5" s="499">
        <f>[2]tanks!AO36</f>
        <v>15680</v>
      </c>
      <c r="AP5" s="499"/>
      <c r="AQ5" s="476">
        <f>[2]tanks!$AQ$36</f>
        <v>0.7236278091788193</v>
      </c>
      <c r="AR5" s="576">
        <f>[2]tanks!$AR$36</f>
        <v>67275.677419354834</v>
      </c>
      <c r="AS5" s="576">
        <f>[2]tanks!$AS$36</f>
        <v>0</v>
      </c>
      <c r="AT5" s="576">
        <f>[5]tanks!$AT$36</f>
        <v>0</v>
      </c>
      <c r="AU5" s="576">
        <f>[5]tanks!$AU$36</f>
        <v>0</v>
      </c>
      <c r="AV5" s="595">
        <f>[2]tanks!$AV$35</f>
        <v>0.71</v>
      </c>
      <c r="AW5" s="576">
        <f>[2]tanks!AW36</f>
        <v>0</v>
      </c>
      <c r="AX5" s="576">
        <f>[2]tanks!AX36</f>
        <v>0</v>
      </c>
      <c r="AY5" s="576">
        <f>[2]tanks!AY36</f>
        <v>0</v>
      </c>
      <c r="AZ5" s="576">
        <f>[2]tanks!AZ36</f>
        <v>0</v>
      </c>
      <c r="BA5" s="576">
        <f>[2]tanks!BA36</f>
        <v>0</v>
      </c>
      <c r="BB5" s="476">
        <f>[2]tanks!BB36</f>
        <v>0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[2]tanks!BI36</f>
        <v>23</v>
      </c>
    </row>
    <row r="6" spans="1:63">
      <c r="A6" s="425">
        <f>ELEC!C4</f>
        <v>44531</v>
      </c>
      <c r="B6" s="499">
        <f>'B5'!B5</f>
        <v>210</v>
      </c>
      <c r="C6" s="203">
        <f>B6*$B$4</f>
        <v>4518.3870967741932</v>
      </c>
      <c r="D6">
        <f>SUM(B6)</f>
        <v>210</v>
      </c>
      <c r="E6" s="203">
        <f>D6*$B$4</f>
        <v>4518.3870967741932</v>
      </c>
      <c r="F6">
        <f>SUM(D6)</f>
        <v>210</v>
      </c>
      <c r="G6" s="203">
        <f t="shared" ref="G6:G33" si="1">F6*$B$4</f>
        <v>4518.3870967741932</v>
      </c>
      <c r="H6" s="203">
        <f>SUM(F6)</f>
        <v>210</v>
      </c>
      <c r="I6" s="203">
        <f t="shared" ref="I6:I33" si="2">H6*$B$4</f>
        <v>4518.3870967741932</v>
      </c>
      <c r="J6" s="203">
        <f>SUM(H6)</f>
        <v>210</v>
      </c>
      <c r="K6" s="203">
        <f t="shared" ref="K6:K33" si="3">J6*$B$4</f>
        <v>4518.3870967741932</v>
      </c>
      <c r="L6" s="203">
        <f>SUM(J6)</f>
        <v>210</v>
      </c>
      <c r="M6" s="203">
        <f t="shared" ref="M6:M33" si="4">L6*$B$4</f>
        <v>4518.3870967741932</v>
      </c>
      <c r="N6" s="203">
        <f>SUM(L6)</f>
        <v>210</v>
      </c>
      <c r="O6" s="203">
        <f t="shared" ref="O6:O33" si="5">N6*$B$4</f>
        <v>4518.3870967741932</v>
      </c>
      <c r="P6" s="203">
        <f>SUM(N6)</f>
        <v>210</v>
      </c>
      <c r="Q6" s="203">
        <f t="shared" ref="Q6:Q33" si="6">P6*$B$4</f>
        <v>4518.3870967741932</v>
      </c>
      <c r="R6" s="203">
        <f>SUM(P6)</f>
        <v>210</v>
      </c>
      <c r="S6" s="203">
        <f t="shared" ref="S6:S33" si="7">R6*$B$4</f>
        <v>4518.3870967741932</v>
      </c>
      <c r="T6" s="203">
        <f>SUM(R6)</f>
        <v>210</v>
      </c>
      <c r="U6" s="203">
        <f t="shared" ref="U6:U33" si="8">T6*$B$4</f>
        <v>4518.3870967741932</v>
      </c>
      <c r="V6" s="203">
        <f>SUM(T6)</f>
        <v>210</v>
      </c>
      <c r="W6" s="203">
        <f t="shared" ref="W6:W33" si="9">V6*$B$4</f>
        <v>4518.3870967741932</v>
      </c>
      <c r="X6" s="35">
        <f t="shared" ref="X6:X29" si="10">SUM(Y6/73370)</f>
        <v>0.67741935483870974</v>
      </c>
      <c r="Y6" s="36">
        <f>SUM(C6+E6+G6+I6+K6+M6+O6+Q6+S6+U6+W6)</f>
        <v>49702.258064516136</v>
      </c>
      <c r="Z6" s="203">
        <f>'B5'!C5</f>
        <v>218</v>
      </c>
      <c r="AA6" s="203">
        <f>SUM(Z6*$Z$4)</f>
        <v>2180</v>
      </c>
      <c r="AB6" s="203">
        <f>SUM(Z6)</f>
        <v>218</v>
      </c>
      <c r="AC6" s="203">
        <f>SUM(AB6*$Z$4)</f>
        <v>2180</v>
      </c>
      <c r="AD6" s="203">
        <f>SUM(AB6)</f>
        <v>218</v>
      </c>
      <c r="AE6" s="203">
        <f t="shared" ref="AE6:AE33" si="11">SUM(AD6*$Z$4)</f>
        <v>2180</v>
      </c>
      <c r="AF6" s="203">
        <f>SUM(AD6)</f>
        <v>218</v>
      </c>
      <c r="AG6" s="203">
        <f t="shared" ref="AG6:AG33" si="12">SUM(AF6*$Z$4)</f>
        <v>2180</v>
      </c>
      <c r="AH6" s="203">
        <f>SUM(AF6)</f>
        <v>218</v>
      </c>
      <c r="AI6" s="203">
        <f t="shared" ref="AI6:AI33" si="13">SUM(AH6*$Z$4)</f>
        <v>2180</v>
      </c>
      <c r="AJ6" s="203">
        <f>SUM(AH6)</f>
        <v>218</v>
      </c>
      <c r="AK6" s="203">
        <f t="shared" ref="AK6:AK33" si="14">SUM(AJ6*$Z$4)</f>
        <v>2180</v>
      </c>
      <c r="AL6" s="203">
        <f>SUM(AJ6)</f>
        <v>218</v>
      </c>
      <c r="AM6" s="203">
        <f t="shared" ref="AM6:AM33" si="15">SUM(AL6*$Z$4)</f>
        <v>2180</v>
      </c>
      <c r="AN6" s="35">
        <f t="shared" ref="AN6:AN29" si="16">SUM(AO6/19600)</f>
        <v>0.77857142857142858</v>
      </c>
      <c r="AO6" s="36">
        <f>SUM(AA6+AC6+AE6+AG6+AI6+AK6+AM6)</f>
        <v>15260</v>
      </c>
      <c r="AQ6" s="223">
        <f>SUM(AR6/92970)</f>
        <v>0.69874430530833753</v>
      </c>
      <c r="AR6" s="38">
        <f>Y6+AO6</f>
        <v>64962.258064516136</v>
      </c>
      <c r="AS6" s="197">
        <f>SUM(AR6-AR5-AT6)</f>
        <v>-2313.4193548386975</v>
      </c>
      <c r="AT6" s="340"/>
      <c r="AU6" s="549"/>
      <c r="AV6" s="485">
        <f>IF(AT6&gt;0,AU6,AV5)</f>
        <v>0.71</v>
      </c>
      <c r="AW6" s="279">
        <f>-SUM('B5'!AI5)</f>
        <v>0</v>
      </c>
      <c r="AX6" s="279">
        <f t="shared" ref="AX6:AX35" si="17">-SUM(AW6-AS6)</f>
        <v>-2313.4193548386975</v>
      </c>
      <c r="AY6" s="37">
        <f>SUM(AX6+AW6)</f>
        <v>-2313.4193548386975</v>
      </c>
      <c r="AZ6" s="100">
        <f>ELEC!A4</f>
        <v>0</v>
      </c>
      <c r="BA6" s="118">
        <f>'General information '!D5</f>
        <v>18.5</v>
      </c>
      <c r="BB6" s="269">
        <f>SUM('General information '!E5)</f>
        <v>0.66</v>
      </c>
      <c r="BC6" s="3">
        <f>IF(AR3&gt;=AR6,0,1)</f>
        <v>0</v>
      </c>
      <c r="BD6" s="102">
        <v>19222</v>
      </c>
      <c r="BE6" s="14">
        <f>(305/1185)*ELEC!Q5</f>
        <v>1380.3502109707713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-192.78494623655811</v>
      </c>
      <c r="BK6" s="538">
        <f>GEN!AF3</f>
        <v>0.35221590909093886</v>
      </c>
    </row>
    <row r="7" spans="1:63">
      <c r="A7" s="425">
        <f>ELEC!C5</f>
        <v>44532</v>
      </c>
      <c r="B7">
        <f>'B5'!B6</f>
        <v>204</v>
      </c>
      <c r="C7" s="203">
        <f t="shared" ref="C7:E33" si="18">B7*$B$4</f>
        <v>4389.2903225806449</v>
      </c>
      <c r="D7">
        <f t="shared" ref="D7:D29" si="19">SUM(B7)</f>
        <v>204</v>
      </c>
      <c r="E7" s="203">
        <f t="shared" si="18"/>
        <v>4389.2903225806449</v>
      </c>
      <c r="F7">
        <f t="shared" ref="F7:F29" si="20">SUM(D7)</f>
        <v>204</v>
      </c>
      <c r="G7" s="203">
        <f t="shared" si="1"/>
        <v>4389.2903225806449</v>
      </c>
      <c r="H7" s="203">
        <f t="shared" ref="H7:H29" si="21">SUM(F7)</f>
        <v>204</v>
      </c>
      <c r="I7" s="203">
        <f t="shared" si="2"/>
        <v>4389.2903225806449</v>
      </c>
      <c r="J7" s="203">
        <f t="shared" ref="J7:J29" si="22">SUM(H7)</f>
        <v>204</v>
      </c>
      <c r="K7" s="203">
        <f t="shared" si="3"/>
        <v>4389.2903225806449</v>
      </c>
      <c r="L7" s="203">
        <f t="shared" ref="L7:L29" si="23">SUM(J7)</f>
        <v>204</v>
      </c>
      <c r="M7" s="203">
        <f t="shared" si="4"/>
        <v>4389.2903225806449</v>
      </c>
      <c r="N7" s="203">
        <f t="shared" ref="N7:N29" si="24">SUM(L7)</f>
        <v>204</v>
      </c>
      <c r="O7" s="203">
        <f t="shared" si="5"/>
        <v>4389.2903225806449</v>
      </c>
      <c r="P7" s="203">
        <f t="shared" ref="P7:P29" si="25">SUM(N7)</f>
        <v>204</v>
      </c>
      <c r="Q7" s="203">
        <f t="shared" si="6"/>
        <v>4389.2903225806449</v>
      </c>
      <c r="R7" s="203">
        <f t="shared" ref="R7:R29" si="26">SUM(P7)</f>
        <v>204</v>
      </c>
      <c r="S7" s="203">
        <f t="shared" si="7"/>
        <v>4389.2903225806449</v>
      </c>
      <c r="T7" s="203">
        <f t="shared" ref="T7:T29" si="27">SUM(R7)</f>
        <v>204</v>
      </c>
      <c r="U7" s="203">
        <f t="shared" si="8"/>
        <v>4389.2903225806449</v>
      </c>
      <c r="V7" s="203">
        <f t="shared" ref="V7:V29" si="28">SUM(T7)</f>
        <v>204</v>
      </c>
      <c r="W7" s="203">
        <f t="shared" si="9"/>
        <v>4389.2903225806449</v>
      </c>
      <c r="X7" s="35">
        <f t="shared" si="10"/>
        <v>0.65806451612903216</v>
      </c>
      <c r="Y7" s="36">
        <f t="shared" ref="Y7:Y29" si="29">SUM(C7+E7+G7+I7+K7+M7+O7+Q7+S7+U7+W7)</f>
        <v>48282.193548387091</v>
      </c>
      <c r="Z7" s="203">
        <f>'B5'!C6</f>
        <v>211</v>
      </c>
      <c r="AA7" s="203">
        <f t="shared" ref="AA7:AC33" si="30">SUM(Z7*$Z$4)</f>
        <v>2110</v>
      </c>
      <c r="AB7" s="203">
        <f t="shared" ref="AB7:AB29" si="31">SUM(Z7)</f>
        <v>211</v>
      </c>
      <c r="AC7" s="203">
        <f t="shared" si="30"/>
        <v>2110</v>
      </c>
      <c r="AD7" s="203">
        <f t="shared" ref="AD7:AD29" si="32">SUM(AB7)</f>
        <v>211</v>
      </c>
      <c r="AE7" s="203">
        <f t="shared" si="11"/>
        <v>2110</v>
      </c>
      <c r="AF7" s="203">
        <f t="shared" ref="AF7:AF29" si="33">SUM(AD7)</f>
        <v>211</v>
      </c>
      <c r="AG7" s="203">
        <f t="shared" si="12"/>
        <v>2110</v>
      </c>
      <c r="AH7" s="203">
        <f t="shared" ref="AH7:AH29" si="34">SUM(AF7)</f>
        <v>211</v>
      </c>
      <c r="AI7" s="203">
        <f t="shared" si="13"/>
        <v>2110</v>
      </c>
      <c r="AJ7" s="203">
        <f t="shared" ref="AJ7:AJ29" si="35">SUM(AH7)</f>
        <v>211</v>
      </c>
      <c r="AK7" s="203">
        <f t="shared" si="14"/>
        <v>2110</v>
      </c>
      <c r="AL7" s="203">
        <f t="shared" ref="AL7:AL29" si="36">SUM(AJ7)</f>
        <v>211</v>
      </c>
      <c r="AM7" s="203">
        <f t="shared" si="15"/>
        <v>2110</v>
      </c>
      <c r="AN7" s="35">
        <f t="shared" si="16"/>
        <v>0.75357142857142856</v>
      </c>
      <c r="AO7" s="36">
        <f>SUM(AA7+AC7+AE7+AG7+AI7+AK7+AM7)</f>
        <v>14770</v>
      </c>
      <c r="AQ7" s="223">
        <f t="shared" ref="AQ7:AQ33" si="37">SUM(AR7/92970)</f>
        <v>0.67819934977290619</v>
      </c>
      <c r="AR7" s="38">
        <f t="shared" ref="AR7:AR36" si="38">Y7+AO7</f>
        <v>63052.193548387091</v>
      </c>
      <c r="AS7" s="197">
        <f>SUM(AR7-AR6-AT7)</f>
        <v>-1910.0645161290449</v>
      </c>
      <c r="AT7" s="340"/>
      <c r="AU7" s="549"/>
      <c r="AV7" s="485">
        <f>IF(AT7&gt;0,AU7,AV6)</f>
        <v>0.71</v>
      </c>
      <c r="AW7" s="279">
        <f>-SUM('B5'!AI6)</f>
        <v>0</v>
      </c>
      <c r="AX7" s="279">
        <f t="shared" si="17"/>
        <v>-1910.0645161290449</v>
      </c>
      <c r="AY7" s="37">
        <f t="shared" ref="AY7:AY33" si="39">SUM(AX7+AW7)</f>
        <v>-1910.0645161290449</v>
      </c>
      <c r="AZ7" s="100">
        <f>ELEC!A5</f>
        <v>0</v>
      </c>
      <c r="BA7" s="118">
        <f>'General information '!D6</f>
        <v>18</v>
      </c>
      <c r="BB7" s="378">
        <f>SUM('General information '!E6)</f>
        <v>0.54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-127.33763440860299</v>
      </c>
      <c r="BK7" s="538">
        <f>GEN!AF4</f>
        <v>0.27932291666672882</v>
      </c>
    </row>
    <row r="8" spans="1:63">
      <c r="A8" s="425">
        <f>ELEC!C6</f>
        <v>44533</v>
      </c>
      <c r="B8">
        <f>'B5'!B7</f>
        <v>204</v>
      </c>
      <c r="C8" s="203">
        <f t="shared" si="18"/>
        <v>4389.2903225806449</v>
      </c>
      <c r="D8">
        <f t="shared" si="19"/>
        <v>204</v>
      </c>
      <c r="E8" s="203">
        <f t="shared" si="18"/>
        <v>4389.2903225806449</v>
      </c>
      <c r="F8">
        <f t="shared" si="20"/>
        <v>204</v>
      </c>
      <c r="G8" s="203">
        <f t="shared" si="1"/>
        <v>4389.2903225806449</v>
      </c>
      <c r="H8" s="203">
        <f t="shared" si="21"/>
        <v>204</v>
      </c>
      <c r="I8" s="203">
        <f t="shared" si="2"/>
        <v>4389.2903225806449</v>
      </c>
      <c r="J8" s="203">
        <f t="shared" si="22"/>
        <v>204</v>
      </c>
      <c r="K8" s="203">
        <f t="shared" si="3"/>
        <v>4389.2903225806449</v>
      </c>
      <c r="L8" s="203">
        <f t="shared" si="23"/>
        <v>204</v>
      </c>
      <c r="M8" s="203">
        <f t="shared" si="4"/>
        <v>4389.2903225806449</v>
      </c>
      <c r="N8" s="203">
        <f t="shared" si="24"/>
        <v>204</v>
      </c>
      <c r="O8" s="203">
        <f t="shared" si="5"/>
        <v>4389.2903225806449</v>
      </c>
      <c r="P8" s="203">
        <f t="shared" si="25"/>
        <v>204</v>
      </c>
      <c r="Q8" s="203">
        <f t="shared" si="6"/>
        <v>4389.2903225806449</v>
      </c>
      <c r="R8" s="203">
        <f t="shared" si="26"/>
        <v>204</v>
      </c>
      <c r="S8" s="203">
        <f t="shared" si="7"/>
        <v>4389.2903225806449</v>
      </c>
      <c r="T8" s="203">
        <f t="shared" si="27"/>
        <v>204</v>
      </c>
      <c r="U8" s="203">
        <f t="shared" si="8"/>
        <v>4389.2903225806449</v>
      </c>
      <c r="V8" s="203">
        <f t="shared" si="28"/>
        <v>204</v>
      </c>
      <c r="W8" s="203">
        <f t="shared" si="9"/>
        <v>4389.2903225806449</v>
      </c>
      <c r="X8" s="35">
        <f t="shared" si="10"/>
        <v>0.65806451612903216</v>
      </c>
      <c r="Y8" s="36">
        <f t="shared" si="29"/>
        <v>48282.193548387091</v>
      </c>
      <c r="Z8" s="203">
        <f>'B5'!C7</f>
        <v>211</v>
      </c>
      <c r="AA8" s="203">
        <f t="shared" si="30"/>
        <v>2110</v>
      </c>
      <c r="AB8" s="203">
        <f t="shared" si="31"/>
        <v>211</v>
      </c>
      <c r="AC8" s="203">
        <f t="shared" si="30"/>
        <v>2110</v>
      </c>
      <c r="AD8" s="203">
        <f t="shared" si="32"/>
        <v>211</v>
      </c>
      <c r="AE8" s="203">
        <f t="shared" si="11"/>
        <v>2110</v>
      </c>
      <c r="AF8" s="203">
        <f t="shared" si="33"/>
        <v>211</v>
      </c>
      <c r="AG8" s="203">
        <f t="shared" si="12"/>
        <v>2110</v>
      </c>
      <c r="AH8" s="203">
        <f t="shared" si="34"/>
        <v>211</v>
      </c>
      <c r="AI8" s="203">
        <f t="shared" si="13"/>
        <v>2110</v>
      </c>
      <c r="AJ8" s="203">
        <f t="shared" si="35"/>
        <v>211</v>
      </c>
      <c r="AK8" s="203">
        <f t="shared" si="14"/>
        <v>2110</v>
      </c>
      <c r="AL8" s="203">
        <f t="shared" si="36"/>
        <v>211</v>
      </c>
      <c r="AM8" s="203">
        <f t="shared" si="15"/>
        <v>2110</v>
      </c>
      <c r="AN8" s="35">
        <f t="shared" si="16"/>
        <v>0.75357142857142856</v>
      </c>
      <c r="AO8" s="36">
        <f t="shared" ref="AO8:AO29" si="41">SUM(AA8+AC8+AE8+AG8+AI8+AK8+AM8)</f>
        <v>14770</v>
      </c>
      <c r="AQ8" s="223">
        <f t="shared" si="37"/>
        <v>0.67819934977290619</v>
      </c>
      <c r="AR8" s="38">
        <f t="shared" si="38"/>
        <v>63052.193548387091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0.71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44534</v>
      </c>
      <c r="B9">
        <f>'B5'!B8</f>
        <v>204</v>
      </c>
      <c r="C9" s="203">
        <f t="shared" si="18"/>
        <v>4389.2903225806449</v>
      </c>
      <c r="D9">
        <f t="shared" si="19"/>
        <v>204</v>
      </c>
      <c r="E9" s="203">
        <f t="shared" si="18"/>
        <v>4389.2903225806449</v>
      </c>
      <c r="F9">
        <f t="shared" si="20"/>
        <v>204</v>
      </c>
      <c r="G9" s="203">
        <f t="shared" si="1"/>
        <v>4389.2903225806449</v>
      </c>
      <c r="H9" s="203">
        <f t="shared" si="21"/>
        <v>204</v>
      </c>
      <c r="I9" s="203">
        <f t="shared" si="2"/>
        <v>4389.2903225806449</v>
      </c>
      <c r="J9" s="203">
        <f t="shared" si="22"/>
        <v>204</v>
      </c>
      <c r="K9" s="203">
        <f t="shared" si="3"/>
        <v>4389.2903225806449</v>
      </c>
      <c r="L9" s="203">
        <f t="shared" si="23"/>
        <v>204</v>
      </c>
      <c r="M9" s="203">
        <f t="shared" si="4"/>
        <v>4389.2903225806449</v>
      </c>
      <c r="N9" s="203">
        <f t="shared" si="24"/>
        <v>204</v>
      </c>
      <c r="O9" s="203">
        <f t="shared" si="5"/>
        <v>4389.2903225806449</v>
      </c>
      <c r="P9" s="203">
        <f t="shared" si="25"/>
        <v>204</v>
      </c>
      <c r="Q9" s="203">
        <f t="shared" si="6"/>
        <v>4389.2903225806449</v>
      </c>
      <c r="R9" s="203">
        <f t="shared" si="26"/>
        <v>204</v>
      </c>
      <c r="S9" s="203">
        <f t="shared" si="7"/>
        <v>4389.2903225806449</v>
      </c>
      <c r="T9" s="203">
        <f t="shared" si="27"/>
        <v>204</v>
      </c>
      <c r="U9" s="203">
        <f t="shared" si="8"/>
        <v>4389.2903225806449</v>
      </c>
      <c r="V9" s="203">
        <f t="shared" si="28"/>
        <v>204</v>
      </c>
      <c r="W9" s="203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3">
        <f>'B5'!C8</f>
        <v>211</v>
      </c>
      <c r="AA9" s="203">
        <f t="shared" si="30"/>
        <v>2110</v>
      </c>
      <c r="AB9" s="203">
        <f t="shared" si="31"/>
        <v>211</v>
      </c>
      <c r="AC9" s="203">
        <f t="shared" si="30"/>
        <v>2110</v>
      </c>
      <c r="AD9" s="203">
        <f t="shared" si="32"/>
        <v>211</v>
      </c>
      <c r="AE9" s="203">
        <f t="shared" si="11"/>
        <v>2110</v>
      </c>
      <c r="AF9" s="203">
        <f t="shared" si="33"/>
        <v>211</v>
      </c>
      <c r="AG9" s="203">
        <f t="shared" si="12"/>
        <v>2110</v>
      </c>
      <c r="AH9" s="203">
        <f t="shared" si="34"/>
        <v>211</v>
      </c>
      <c r="AI9" s="203">
        <f t="shared" si="13"/>
        <v>2110</v>
      </c>
      <c r="AJ9" s="203">
        <f t="shared" si="35"/>
        <v>211</v>
      </c>
      <c r="AK9" s="203">
        <f t="shared" si="14"/>
        <v>2110</v>
      </c>
      <c r="AL9" s="203">
        <f t="shared" si="36"/>
        <v>211</v>
      </c>
      <c r="AM9" s="203">
        <f t="shared" si="15"/>
        <v>2110</v>
      </c>
      <c r="AN9" s="35">
        <f t="shared" si="16"/>
        <v>0.75357142857142856</v>
      </c>
      <c r="AO9" s="36">
        <f>SUM(AA9+AC9+AE9+AG9+AI9+AK9+AM9)</f>
        <v>14770</v>
      </c>
      <c r="AQ9" s="223">
        <f t="shared" si="37"/>
        <v>0.67819934977290619</v>
      </c>
      <c r="AR9" s="38">
        <f t="shared" si="38"/>
        <v>63052.193548387091</v>
      </c>
      <c r="AS9" s="197">
        <f t="shared" si="42"/>
        <v>0</v>
      </c>
      <c r="AT9" s="340"/>
      <c r="AU9" s="549"/>
      <c r="AV9" s="485">
        <f t="shared" si="43"/>
        <v>0.71</v>
      </c>
      <c r="AW9" s="279">
        <f>-SUM('B5'!AI8)</f>
        <v>0</v>
      </c>
      <c r="AX9" s="279">
        <f t="shared" si="17"/>
        <v>0</v>
      </c>
      <c r="AY9" s="37">
        <f t="shared" si="39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1684.5780590712807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0</v>
      </c>
      <c r="BK9" s="538" t="e">
        <f>GEN!AF6</f>
        <v>#DIV/0!</v>
      </c>
    </row>
    <row r="10" spans="1:63">
      <c r="A10" s="425">
        <f>ELEC!C8</f>
        <v>44535</v>
      </c>
      <c r="B10">
        <f>'B5'!B9</f>
        <v>236</v>
      </c>
      <c r="C10" s="203">
        <f t="shared" si="18"/>
        <v>5077.8064516129034</v>
      </c>
      <c r="D10">
        <f t="shared" si="19"/>
        <v>236</v>
      </c>
      <c r="E10" s="203">
        <f t="shared" si="18"/>
        <v>5077.8064516129034</v>
      </c>
      <c r="F10">
        <f t="shared" si="20"/>
        <v>236</v>
      </c>
      <c r="G10" s="203">
        <f t="shared" si="1"/>
        <v>5077.8064516129034</v>
      </c>
      <c r="H10" s="203">
        <f t="shared" si="21"/>
        <v>236</v>
      </c>
      <c r="I10" s="203">
        <f t="shared" si="2"/>
        <v>5077.8064516129034</v>
      </c>
      <c r="J10" s="203">
        <f t="shared" si="22"/>
        <v>236</v>
      </c>
      <c r="K10" s="203">
        <f t="shared" si="3"/>
        <v>5077.8064516129034</v>
      </c>
      <c r="L10" s="203">
        <f t="shared" si="23"/>
        <v>236</v>
      </c>
      <c r="M10" s="203">
        <f t="shared" si="4"/>
        <v>5077.8064516129034</v>
      </c>
      <c r="N10" s="203">
        <f t="shared" si="24"/>
        <v>236</v>
      </c>
      <c r="O10" s="203">
        <f t="shared" si="5"/>
        <v>5077.8064516129034</v>
      </c>
      <c r="P10" s="203">
        <f t="shared" si="25"/>
        <v>236</v>
      </c>
      <c r="Q10" s="203">
        <f t="shared" si="6"/>
        <v>5077.8064516129034</v>
      </c>
      <c r="R10" s="203">
        <f t="shared" si="26"/>
        <v>236</v>
      </c>
      <c r="S10" s="203">
        <f t="shared" si="7"/>
        <v>5077.8064516129034</v>
      </c>
      <c r="T10" s="203">
        <f t="shared" si="27"/>
        <v>236</v>
      </c>
      <c r="U10" s="203">
        <f t="shared" si="8"/>
        <v>5077.8064516129034</v>
      </c>
      <c r="V10" s="203">
        <f t="shared" si="28"/>
        <v>236</v>
      </c>
      <c r="W10" s="203">
        <f t="shared" si="9"/>
        <v>5077.8064516129034</v>
      </c>
      <c r="X10" s="35">
        <f t="shared" si="10"/>
        <v>0.761290322580645</v>
      </c>
      <c r="Y10" s="36">
        <f t="shared" si="29"/>
        <v>55855.870967741925</v>
      </c>
      <c r="Z10" s="203">
        <f>'B5'!C9</f>
        <v>241</v>
      </c>
      <c r="AA10" s="203">
        <f t="shared" si="30"/>
        <v>2410</v>
      </c>
      <c r="AB10" s="203">
        <f t="shared" si="31"/>
        <v>241</v>
      </c>
      <c r="AC10" s="203">
        <f t="shared" si="30"/>
        <v>2410</v>
      </c>
      <c r="AD10" s="203">
        <f t="shared" si="32"/>
        <v>241</v>
      </c>
      <c r="AE10" s="203">
        <f t="shared" si="11"/>
        <v>2410</v>
      </c>
      <c r="AF10" s="203">
        <f t="shared" si="33"/>
        <v>241</v>
      </c>
      <c r="AG10" s="203">
        <f t="shared" si="12"/>
        <v>2410</v>
      </c>
      <c r="AH10" s="203">
        <f t="shared" si="34"/>
        <v>241</v>
      </c>
      <c r="AI10" s="203">
        <f t="shared" si="13"/>
        <v>2410</v>
      </c>
      <c r="AJ10" s="203">
        <f t="shared" si="35"/>
        <v>241</v>
      </c>
      <c r="AK10" s="203">
        <f t="shared" si="14"/>
        <v>2410</v>
      </c>
      <c r="AL10" s="203">
        <f t="shared" si="36"/>
        <v>241</v>
      </c>
      <c r="AM10" s="203">
        <f t="shared" si="15"/>
        <v>2410</v>
      </c>
      <c r="AN10" s="35">
        <f t="shared" si="16"/>
        <v>0.86071428571428577</v>
      </c>
      <c r="AO10" s="36">
        <f t="shared" si="41"/>
        <v>16870</v>
      </c>
      <c r="AQ10" s="223">
        <f t="shared" si="37"/>
        <v>0.78225095157300129</v>
      </c>
      <c r="AR10" s="38">
        <f t="shared" si="38"/>
        <v>72725.870967741925</v>
      </c>
      <c r="AS10" s="197">
        <f t="shared" si="42"/>
        <v>-326.32258064516645</v>
      </c>
      <c r="AT10" s="340">
        <v>10000</v>
      </c>
      <c r="AU10" s="549">
        <v>0.63400000000000001</v>
      </c>
      <c r="AV10" s="485">
        <f>IF(AT10&gt;0,AU10,AV9)</f>
        <v>0.63400000000000001</v>
      </c>
      <c r="AW10" s="279">
        <f>-SUM('B5'!AI9)</f>
        <v>-193</v>
      </c>
      <c r="AX10" s="279">
        <f t="shared" si="17"/>
        <v>-133.32258064516645</v>
      </c>
      <c r="AY10" s="37">
        <f t="shared" si="39"/>
        <v>-326.32258064516645</v>
      </c>
      <c r="AZ10" s="100">
        <f>ELEC!A8</f>
        <v>0</v>
      </c>
      <c r="BA10" s="118">
        <f>'General information '!D9</f>
        <v>20</v>
      </c>
      <c r="BB10" s="378">
        <f>SUM('General information '!E9)</f>
        <v>0.54</v>
      </c>
      <c r="BC10" s="3">
        <f t="shared" si="44"/>
        <v>1</v>
      </c>
      <c r="BD10" s="102">
        <v>19222</v>
      </c>
      <c r="BE10" s="14">
        <f>(305/1185)*ELEC!Q9</f>
        <v>1268.6455696202756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-19.046082949309493</v>
      </c>
      <c r="BK10" s="538">
        <f>GEN!AF7</f>
        <v>0.40906249999989086</v>
      </c>
    </row>
    <row r="11" spans="1:63">
      <c r="A11" s="425">
        <f>ELEC!C9</f>
        <v>44536</v>
      </c>
      <c r="B11">
        <f>'B5'!B10</f>
        <v>229</v>
      </c>
      <c r="C11" s="203">
        <f t="shared" si="18"/>
        <v>4927.1935483870966</v>
      </c>
      <c r="D11">
        <f>SUM(B11)</f>
        <v>229</v>
      </c>
      <c r="E11" s="203">
        <f t="shared" si="18"/>
        <v>4927.1935483870966</v>
      </c>
      <c r="F11">
        <f>SUM(D11)</f>
        <v>229</v>
      </c>
      <c r="G11" s="203">
        <f t="shared" si="1"/>
        <v>4927.1935483870966</v>
      </c>
      <c r="H11" s="203">
        <f>SUM(F11)</f>
        <v>229</v>
      </c>
      <c r="I11" s="203">
        <f t="shared" si="2"/>
        <v>4927.1935483870966</v>
      </c>
      <c r="J11" s="203">
        <f>SUM(H11)</f>
        <v>229</v>
      </c>
      <c r="K11" s="203">
        <f t="shared" si="3"/>
        <v>4927.1935483870966</v>
      </c>
      <c r="L11" s="203">
        <f>SUM(J11)</f>
        <v>229</v>
      </c>
      <c r="M11" s="203">
        <f t="shared" si="4"/>
        <v>4927.1935483870966</v>
      </c>
      <c r="N11" s="203">
        <f>SUM(L11)</f>
        <v>229</v>
      </c>
      <c r="O11" s="203">
        <f t="shared" si="5"/>
        <v>4927.1935483870966</v>
      </c>
      <c r="P11" s="203">
        <f>SUM(N11)</f>
        <v>229</v>
      </c>
      <c r="Q11" s="203">
        <f t="shared" si="6"/>
        <v>4927.1935483870966</v>
      </c>
      <c r="R11" s="203">
        <f>SUM(P11)</f>
        <v>229</v>
      </c>
      <c r="S11" s="203">
        <f t="shared" si="7"/>
        <v>4927.1935483870966</v>
      </c>
      <c r="T11" s="203">
        <f>SUM(R11)</f>
        <v>229</v>
      </c>
      <c r="U11" s="203">
        <f t="shared" si="8"/>
        <v>4927.1935483870966</v>
      </c>
      <c r="V11" s="203">
        <f>SUM(T11)</f>
        <v>229</v>
      </c>
      <c r="W11" s="203">
        <f t="shared" si="9"/>
        <v>4927.1935483870966</v>
      </c>
      <c r="X11" s="35">
        <f>SUM(Y11/73370)</f>
        <v>0.738709677419355</v>
      </c>
      <c r="Y11" s="36">
        <f>SUM(C11+E11+G11+I11+K11+M11+O11+Q11+S11+U11+W11)</f>
        <v>54199.129032258075</v>
      </c>
      <c r="Z11" s="203">
        <f>'B5'!C10</f>
        <v>239</v>
      </c>
      <c r="AA11" s="203">
        <f t="shared" si="30"/>
        <v>2390</v>
      </c>
      <c r="AB11" s="203">
        <f>SUM(Z11)</f>
        <v>239</v>
      </c>
      <c r="AC11" s="203">
        <f t="shared" si="30"/>
        <v>2390</v>
      </c>
      <c r="AD11" s="203">
        <f>SUM(AB11)</f>
        <v>239</v>
      </c>
      <c r="AE11" s="203">
        <f t="shared" si="11"/>
        <v>2390</v>
      </c>
      <c r="AF11" s="203">
        <f>SUM(AD11)</f>
        <v>239</v>
      </c>
      <c r="AG11" s="203">
        <f t="shared" si="12"/>
        <v>2390</v>
      </c>
      <c r="AH11" s="203">
        <f>SUM(AF11)</f>
        <v>239</v>
      </c>
      <c r="AI11" s="203">
        <f t="shared" si="13"/>
        <v>2390</v>
      </c>
      <c r="AJ11" s="203">
        <f>SUM(AH11)</f>
        <v>239</v>
      </c>
      <c r="AK11" s="203">
        <f t="shared" si="14"/>
        <v>2390</v>
      </c>
      <c r="AL11" s="203">
        <f>SUM(AJ11)</f>
        <v>239</v>
      </c>
      <c r="AM11" s="203">
        <f t="shared" si="15"/>
        <v>2390</v>
      </c>
      <c r="AN11" s="35">
        <f>SUM(AO11/19600)</f>
        <v>0.85357142857142854</v>
      </c>
      <c r="AO11" s="36">
        <f t="shared" si="41"/>
        <v>16730</v>
      </c>
      <c r="AP11" s="525"/>
      <c r="AQ11" s="223">
        <f t="shared" si="37"/>
        <v>0.76292491160867026</v>
      </c>
      <c r="AR11" s="38">
        <f t="shared" si="38"/>
        <v>70929.129032258075</v>
      </c>
      <c r="AS11" s="197">
        <f t="shared" si="42"/>
        <v>-1796.7419354838494</v>
      </c>
      <c r="AT11" s="340"/>
      <c r="AU11" s="549"/>
      <c r="AV11" s="485">
        <f>IF(AT11&gt;0,AU11,AV10)</f>
        <v>0.63400000000000001</v>
      </c>
      <c r="AW11" s="279">
        <f>-SUM('B5'!AI10)</f>
        <v>-110</v>
      </c>
      <c r="AX11" s="279">
        <f t="shared" si="17"/>
        <v>-1686.7419354838494</v>
      </c>
      <c r="AY11" s="37">
        <f t="shared" si="39"/>
        <v>-1796.7419354838494</v>
      </c>
      <c r="AZ11" s="100">
        <f>ELEC!A9</f>
        <v>0</v>
      </c>
      <c r="BA11" s="118">
        <f>'General information '!D10</f>
        <v>19</v>
      </c>
      <c r="BB11" s="378">
        <f>SUM('General information '!E10)</f>
        <v>0.59</v>
      </c>
      <c r="BC11" s="3">
        <f t="shared" si="44"/>
        <v>0</v>
      </c>
      <c r="BD11" s="102">
        <v>19222</v>
      </c>
      <c r="BE11" s="14">
        <f>(305/1185)*ELEC!Q10</f>
        <v>1349.7215189870274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-181.37010058967542</v>
      </c>
      <c r="BK11" s="538">
        <f>GEN!AF8</f>
        <v>0.34229166666667277</v>
      </c>
    </row>
    <row r="12" spans="1:63">
      <c r="A12" s="425">
        <f>ELEC!C10</f>
        <v>44537</v>
      </c>
      <c r="B12">
        <f>'B5'!B11</f>
        <v>221</v>
      </c>
      <c r="C12" s="203">
        <f t="shared" si="18"/>
        <v>4755.0645161290322</v>
      </c>
      <c r="D12">
        <f t="shared" si="19"/>
        <v>221</v>
      </c>
      <c r="E12" s="203">
        <f t="shared" si="18"/>
        <v>4755.0645161290322</v>
      </c>
      <c r="F12">
        <f t="shared" si="20"/>
        <v>221</v>
      </c>
      <c r="G12" s="203">
        <f t="shared" si="1"/>
        <v>4755.0645161290322</v>
      </c>
      <c r="H12" s="203">
        <f t="shared" si="21"/>
        <v>221</v>
      </c>
      <c r="I12" s="203">
        <f t="shared" si="2"/>
        <v>4755.0645161290322</v>
      </c>
      <c r="J12" s="203">
        <f t="shared" si="22"/>
        <v>221</v>
      </c>
      <c r="K12" s="203">
        <f t="shared" si="3"/>
        <v>4755.0645161290322</v>
      </c>
      <c r="L12" s="203">
        <f t="shared" si="23"/>
        <v>221</v>
      </c>
      <c r="M12" s="203">
        <f t="shared" si="4"/>
        <v>4755.0645161290322</v>
      </c>
      <c r="N12" s="203">
        <f t="shared" si="24"/>
        <v>221</v>
      </c>
      <c r="O12" s="203">
        <f t="shared" si="5"/>
        <v>4755.0645161290322</v>
      </c>
      <c r="P12" s="203">
        <f t="shared" si="25"/>
        <v>221</v>
      </c>
      <c r="Q12" s="203">
        <f t="shared" si="6"/>
        <v>4755.0645161290322</v>
      </c>
      <c r="R12" s="203">
        <f t="shared" si="26"/>
        <v>221</v>
      </c>
      <c r="S12" s="203">
        <f t="shared" si="7"/>
        <v>4755.0645161290322</v>
      </c>
      <c r="T12" s="203">
        <f t="shared" si="27"/>
        <v>221</v>
      </c>
      <c r="U12" s="203">
        <f t="shared" si="8"/>
        <v>4755.0645161290322</v>
      </c>
      <c r="V12" s="203">
        <f t="shared" si="28"/>
        <v>221</v>
      </c>
      <c r="W12" s="203">
        <f t="shared" si="9"/>
        <v>4755.0645161290322</v>
      </c>
      <c r="X12" s="35">
        <f t="shared" si="10"/>
        <v>0.71290322580645138</v>
      </c>
      <c r="Y12" s="36">
        <f t="shared" si="29"/>
        <v>52305.709677419341</v>
      </c>
      <c r="Z12" s="203">
        <f>'B5'!C11</f>
        <v>226</v>
      </c>
      <c r="AA12" s="203">
        <f t="shared" si="30"/>
        <v>2260</v>
      </c>
      <c r="AB12" s="203">
        <f t="shared" si="31"/>
        <v>226</v>
      </c>
      <c r="AC12" s="203">
        <f t="shared" si="30"/>
        <v>2260</v>
      </c>
      <c r="AD12" s="203">
        <f t="shared" si="32"/>
        <v>226</v>
      </c>
      <c r="AE12" s="203">
        <f t="shared" si="11"/>
        <v>2260</v>
      </c>
      <c r="AF12" s="203">
        <f t="shared" si="33"/>
        <v>226</v>
      </c>
      <c r="AG12" s="203">
        <f t="shared" si="12"/>
        <v>2260</v>
      </c>
      <c r="AH12" s="203">
        <f t="shared" si="34"/>
        <v>226</v>
      </c>
      <c r="AI12" s="203">
        <f t="shared" si="13"/>
        <v>2260</v>
      </c>
      <c r="AJ12" s="203">
        <f t="shared" si="35"/>
        <v>226</v>
      </c>
      <c r="AK12" s="203">
        <f t="shared" si="14"/>
        <v>2260</v>
      </c>
      <c r="AL12" s="203">
        <f t="shared" si="36"/>
        <v>226</v>
      </c>
      <c r="AM12" s="203">
        <f t="shared" si="15"/>
        <v>2260</v>
      </c>
      <c r="AN12" s="35">
        <f t="shared" si="16"/>
        <v>0.80714285714285716</v>
      </c>
      <c r="AO12" s="36">
        <f t="shared" si="41"/>
        <v>15820</v>
      </c>
      <c r="AP12" s="525"/>
      <c r="AQ12" s="223">
        <f t="shared" si="37"/>
        <v>0.73277089036699294</v>
      </c>
      <c r="AR12" s="38">
        <f t="shared" si="38"/>
        <v>68125.709677419334</v>
      </c>
      <c r="AS12" s="197">
        <f t="shared" si="42"/>
        <v>-2803.4193548387411</v>
      </c>
      <c r="AT12" s="340"/>
      <c r="AU12" s="549"/>
      <c r="AV12" s="485">
        <f t="shared" si="43"/>
        <v>0.63400000000000001</v>
      </c>
      <c r="AW12" s="279">
        <f>-SUM('B5'!AI11)</f>
        <v>-119</v>
      </c>
      <c r="AX12" s="279">
        <f t="shared" si="17"/>
        <v>-2684.4193548387411</v>
      </c>
      <c r="AY12" s="37">
        <f t="shared" si="39"/>
        <v>-2803.4193548387411</v>
      </c>
      <c r="AZ12" s="100">
        <f>ELEC!A10</f>
        <v>0</v>
      </c>
      <c r="BA12" s="118">
        <f>'General information '!D11</f>
        <v>19.5</v>
      </c>
      <c r="BB12" s="378">
        <f>SUM('General information '!E11)</f>
        <v>0.44</v>
      </c>
      <c r="BC12" s="3">
        <f t="shared" si="44"/>
        <v>0</v>
      </c>
      <c r="BD12" s="102">
        <v>19222</v>
      </c>
      <c r="BE12" s="14">
        <f>(305/1185)*ELEC!Q11</f>
        <v>1534.7805907172324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-725.5187445508684</v>
      </c>
      <c r="BK12" s="538">
        <f>GEN!AF9</f>
        <v>0.3277499999999236</v>
      </c>
    </row>
    <row r="13" spans="1:63">
      <c r="A13" s="425">
        <f>ELEC!C11</f>
        <v>44538</v>
      </c>
      <c r="B13">
        <f>'B5'!B12</f>
        <v>214</v>
      </c>
      <c r="C13" s="203">
        <f t="shared" si="18"/>
        <v>4604.4516129032254</v>
      </c>
      <c r="D13">
        <f t="shared" si="19"/>
        <v>214</v>
      </c>
      <c r="E13" s="203">
        <f t="shared" si="18"/>
        <v>4604.4516129032254</v>
      </c>
      <c r="F13">
        <f t="shared" si="20"/>
        <v>214</v>
      </c>
      <c r="G13" s="203">
        <f t="shared" si="1"/>
        <v>4604.4516129032254</v>
      </c>
      <c r="H13" s="203">
        <f t="shared" si="21"/>
        <v>214</v>
      </c>
      <c r="I13" s="203">
        <f t="shared" si="2"/>
        <v>4604.4516129032254</v>
      </c>
      <c r="J13" s="203">
        <f t="shared" si="22"/>
        <v>214</v>
      </c>
      <c r="K13" s="203">
        <f t="shared" si="3"/>
        <v>4604.4516129032254</v>
      </c>
      <c r="L13" s="203">
        <f t="shared" si="23"/>
        <v>214</v>
      </c>
      <c r="M13" s="203">
        <f t="shared" si="4"/>
        <v>4604.4516129032254</v>
      </c>
      <c r="N13" s="203">
        <f t="shared" si="24"/>
        <v>214</v>
      </c>
      <c r="O13" s="203">
        <f t="shared" si="5"/>
        <v>4604.4516129032254</v>
      </c>
      <c r="P13" s="203">
        <f t="shared" si="25"/>
        <v>214</v>
      </c>
      <c r="Q13" s="203">
        <f t="shared" si="6"/>
        <v>4604.4516129032254</v>
      </c>
      <c r="R13" s="203">
        <f t="shared" si="26"/>
        <v>214</v>
      </c>
      <c r="S13" s="203">
        <f t="shared" si="7"/>
        <v>4604.4516129032254</v>
      </c>
      <c r="T13" s="203">
        <f t="shared" si="27"/>
        <v>214</v>
      </c>
      <c r="U13" s="203">
        <f t="shared" si="8"/>
        <v>4604.4516129032254</v>
      </c>
      <c r="V13" s="203">
        <f t="shared" si="28"/>
        <v>214</v>
      </c>
      <c r="W13" s="203">
        <f t="shared" si="9"/>
        <v>4604.4516129032254</v>
      </c>
      <c r="X13" s="35">
        <f t="shared" si="10"/>
        <v>0.69032258064516139</v>
      </c>
      <c r="Y13" s="36">
        <f t="shared" si="29"/>
        <v>50648.967741935492</v>
      </c>
      <c r="Z13" s="203">
        <f>'B5'!C12</f>
        <v>221</v>
      </c>
      <c r="AA13" s="203">
        <f t="shared" si="30"/>
        <v>2210</v>
      </c>
      <c r="AB13" s="203">
        <f t="shared" si="31"/>
        <v>221</v>
      </c>
      <c r="AC13" s="203">
        <f t="shared" si="30"/>
        <v>2210</v>
      </c>
      <c r="AD13" s="203">
        <f t="shared" si="32"/>
        <v>221</v>
      </c>
      <c r="AE13" s="203">
        <f t="shared" si="11"/>
        <v>2210</v>
      </c>
      <c r="AF13" s="203">
        <f t="shared" si="33"/>
        <v>221</v>
      </c>
      <c r="AG13" s="203">
        <f t="shared" si="12"/>
        <v>2210</v>
      </c>
      <c r="AH13" s="203">
        <f t="shared" si="34"/>
        <v>221</v>
      </c>
      <c r="AI13" s="203">
        <f t="shared" si="13"/>
        <v>2210</v>
      </c>
      <c r="AJ13" s="203">
        <f t="shared" si="35"/>
        <v>221</v>
      </c>
      <c r="AK13" s="203">
        <f t="shared" si="14"/>
        <v>2210</v>
      </c>
      <c r="AL13" s="203">
        <f t="shared" si="36"/>
        <v>221</v>
      </c>
      <c r="AM13" s="203">
        <f t="shared" si="15"/>
        <v>2210</v>
      </c>
      <c r="AN13" s="35">
        <f t="shared" si="16"/>
        <v>0.78928571428571426</v>
      </c>
      <c r="AO13" s="36">
        <f t="shared" si="41"/>
        <v>15470</v>
      </c>
      <c r="AP13" s="525"/>
      <c r="AQ13" s="223">
        <f t="shared" si="37"/>
        <v>0.71118605724357842</v>
      </c>
      <c r="AR13" s="38">
        <f t="shared" si="38"/>
        <v>66118.967741935485</v>
      </c>
      <c r="AS13" s="197">
        <f t="shared" si="42"/>
        <v>-2006.7419354838494</v>
      </c>
      <c r="AT13" s="340"/>
      <c r="AU13" s="549"/>
      <c r="AV13" s="485">
        <f t="shared" si="43"/>
        <v>0.63400000000000001</v>
      </c>
      <c r="AW13" s="279">
        <f>-SUM('B5'!AI12)</f>
        <v>0</v>
      </c>
      <c r="AX13" s="279">
        <f t="shared" si="17"/>
        <v>-2006.7419354838494</v>
      </c>
      <c r="AY13" s="37">
        <f t="shared" si="39"/>
        <v>-2006.7419354838494</v>
      </c>
      <c r="AZ13" s="100">
        <f>ELEC!A11</f>
        <v>0</v>
      </c>
      <c r="BA13" s="118">
        <f>'General information '!D12</f>
        <v>16.5</v>
      </c>
      <c r="BB13" s="378">
        <f>SUM('General information '!E12)</f>
        <v>0.63</v>
      </c>
      <c r="BC13" s="3">
        <f t="shared" si="44"/>
        <v>0</v>
      </c>
      <c r="BD13" s="102">
        <v>19222</v>
      </c>
      <c r="BE13" s="14">
        <f>(305/1185)*ELEC!Q12</f>
        <v>1244.7088607602579</v>
      </c>
      <c r="BF13" s="14"/>
      <c r="BG13" s="14" t="e">
        <f>#REF!-BE13</f>
        <v>#REF!</v>
      </c>
      <c r="BH13" s="11"/>
      <c r="BI13">
        <v>5</v>
      </c>
      <c r="BJ13">
        <f t="shared" si="40"/>
        <v>-401.3483870967699</v>
      </c>
      <c r="BK13" s="538">
        <f>GEN!AF10</f>
        <v>0.3388068181818033</v>
      </c>
    </row>
    <row r="14" spans="1:63">
      <c r="A14" s="425">
        <f>ELEC!C12</f>
        <v>44539</v>
      </c>
      <c r="B14">
        <f>'B5'!B13</f>
        <v>207</v>
      </c>
      <c r="C14" s="203">
        <f t="shared" si="18"/>
        <v>4453.8387096774195</v>
      </c>
      <c r="D14">
        <f t="shared" si="19"/>
        <v>207</v>
      </c>
      <c r="E14" s="203">
        <f t="shared" si="18"/>
        <v>4453.8387096774195</v>
      </c>
      <c r="F14">
        <f t="shared" si="20"/>
        <v>207</v>
      </c>
      <c r="G14" s="203">
        <f t="shared" si="1"/>
        <v>4453.8387096774195</v>
      </c>
      <c r="H14" s="203">
        <f t="shared" si="21"/>
        <v>207</v>
      </c>
      <c r="I14" s="203">
        <f t="shared" si="2"/>
        <v>4453.8387096774195</v>
      </c>
      <c r="J14" s="203">
        <f t="shared" si="22"/>
        <v>207</v>
      </c>
      <c r="K14" s="203">
        <f t="shared" si="3"/>
        <v>4453.8387096774195</v>
      </c>
      <c r="L14" s="203">
        <f t="shared" si="23"/>
        <v>207</v>
      </c>
      <c r="M14" s="203">
        <f t="shared" si="4"/>
        <v>4453.8387096774195</v>
      </c>
      <c r="N14" s="203">
        <f t="shared" si="24"/>
        <v>207</v>
      </c>
      <c r="O14" s="203">
        <f t="shared" si="5"/>
        <v>4453.8387096774195</v>
      </c>
      <c r="P14" s="203">
        <f t="shared" si="25"/>
        <v>207</v>
      </c>
      <c r="Q14" s="203">
        <f t="shared" si="6"/>
        <v>4453.8387096774195</v>
      </c>
      <c r="R14" s="203">
        <f t="shared" si="26"/>
        <v>207</v>
      </c>
      <c r="S14" s="203">
        <f t="shared" si="7"/>
        <v>4453.8387096774195</v>
      </c>
      <c r="T14" s="203">
        <f t="shared" si="27"/>
        <v>207</v>
      </c>
      <c r="U14" s="203">
        <f t="shared" si="8"/>
        <v>4453.8387096774195</v>
      </c>
      <c r="V14" s="203">
        <f t="shared" si="28"/>
        <v>207</v>
      </c>
      <c r="W14" s="203">
        <f t="shared" si="9"/>
        <v>4453.8387096774195</v>
      </c>
      <c r="X14" s="35">
        <f t="shared" si="10"/>
        <v>0.66774193548387084</v>
      </c>
      <c r="Y14" s="36">
        <f t="shared" si="29"/>
        <v>48992.225806451606</v>
      </c>
      <c r="Z14" s="203">
        <f>'B5'!C13</f>
        <v>214</v>
      </c>
      <c r="AA14" s="203">
        <f t="shared" si="30"/>
        <v>2140</v>
      </c>
      <c r="AB14" s="203">
        <f t="shared" si="31"/>
        <v>214</v>
      </c>
      <c r="AC14" s="203">
        <f t="shared" si="30"/>
        <v>2140</v>
      </c>
      <c r="AD14" s="203">
        <f t="shared" si="32"/>
        <v>214</v>
      </c>
      <c r="AE14" s="203">
        <f t="shared" si="11"/>
        <v>2140</v>
      </c>
      <c r="AF14" s="203">
        <f t="shared" si="33"/>
        <v>214</v>
      </c>
      <c r="AG14" s="203">
        <f t="shared" si="12"/>
        <v>2140</v>
      </c>
      <c r="AH14" s="203">
        <f t="shared" si="34"/>
        <v>214</v>
      </c>
      <c r="AI14" s="203">
        <f t="shared" si="13"/>
        <v>2140</v>
      </c>
      <c r="AJ14" s="203">
        <f t="shared" si="35"/>
        <v>214</v>
      </c>
      <c r="AK14" s="203">
        <f t="shared" si="14"/>
        <v>2140</v>
      </c>
      <c r="AL14" s="203">
        <f t="shared" si="36"/>
        <v>214</v>
      </c>
      <c r="AM14" s="203">
        <f t="shared" si="15"/>
        <v>2140</v>
      </c>
      <c r="AN14" s="35">
        <f t="shared" si="16"/>
        <v>0.76428571428571423</v>
      </c>
      <c r="AO14" s="36">
        <f t="shared" si="41"/>
        <v>14980</v>
      </c>
      <c r="AQ14" s="223">
        <f t="shared" si="37"/>
        <v>0.68809536201410781</v>
      </c>
      <c r="AR14" s="38">
        <f t="shared" si="38"/>
        <v>63972.225806451606</v>
      </c>
      <c r="AS14" s="197">
        <f t="shared" si="42"/>
        <v>-2146.7419354838785</v>
      </c>
      <c r="AT14" s="340"/>
      <c r="AU14" s="549"/>
      <c r="AV14" s="485">
        <f t="shared" si="43"/>
        <v>0.63400000000000001</v>
      </c>
      <c r="AW14" s="279">
        <f>-SUM('B5'!AI13)</f>
        <v>0</v>
      </c>
      <c r="AX14" s="279">
        <f t="shared" si="17"/>
        <v>-2146.7419354838785</v>
      </c>
      <c r="AY14" s="37">
        <f t="shared" si="39"/>
        <v>-2146.7419354838785</v>
      </c>
      <c r="AZ14" s="100">
        <f>ELEC!A12</f>
        <v>0</v>
      </c>
      <c r="BA14" s="118">
        <f>'General information '!D13</f>
        <v>17</v>
      </c>
      <c r="BB14" s="378">
        <f>SUM('General information '!E13)</f>
        <v>0.73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40"/>
        <v>-715.58064516129286</v>
      </c>
      <c r="BK14" s="538">
        <f>GEN!AF11</f>
        <v>0.33583333333353949</v>
      </c>
    </row>
    <row r="15" spans="1:63" ht="13.5" customHeight="1">
      <c r="A15" s="425">
        <f>ELEC!C13</f>
        <v>44540</v>
      </c>
      <c r="B15">
        <f>'B5'!B14</f>
        <v>207</v>
      </c>
      <c r="C15" s="203">
        <f>B15*$B$4</f>
        <v>4453.8387096774195</v>
      </c>
      <c r="D15">
        <f t="shared" si="19"/>
        <v>207</v>
      </c>
      <c r="E15" s="203">
        <f t="shared" si="18"/>
        <v>4453.8387096774195</v>
      </c>
      <c r="F15">
        <f t="shared" si="20"/>
        <v>207</v>
      </c>
      <c r="G15" s="203">
        <f t="shared" si="1"/>
        <v>4453.8387096774195</v>
      </c>
      <c r="H15" s="203">
        <f t="shared" si="21"/>
        <v>207</v>
      </c>
      <c r="I15" s="203">
        <f t="shared" si="2"/>
        <v>4453.8387096774195</v>
      </c>
      <c r="J15" s="203">
        <f t="shared" si="22"/>
        <v>207</v>
      </c>
      <c r="K15" s="203">
        <f t="shared" si="3"/>
        <v>4453.8387096774195</v>
      </c>
      <c r="L15" s="203">
        <f t="shared" si="23"/>
        <v>207</v>
      </c>
      <c r="M15" s="203">
        <f t="shared" si="4"/>
        <v>4453.8387096774195</v>
      </c>
      <c r="N15" s="203">
        <f t="shared" si="24"/>
        <v>207</v>
      </c>
      <c r="O15" s="203">
        <f t="shared" si="5"/>
        <v>4453.8387096774195</v>
      </c>
      <c r="P15" s="203">
        <f t="shared" si="25"/>
        <v>207</v>
      </c>
      <c r="Q15" s="203">
        <f t="shared" si="6"/>
        <v>4453.8387096774195</v>
      </c>
      <c r="R15" s="203">
        <f t="shared" si="26"/>
        <v>207</v>
      </c>
      <c r="S15" s="203">
        <f t="shared" si="7"/>
        <v>4453.8387096774195</v>
      </c>
      <c r="T15" s="203">
        <f t="shared" si="27"/>
        <v>207</v>
      </c>
      <c r="U15" s="203">
        <f t="shared" si="8"/>
        <v>4453.8387096774195</v>
      </c>
      <c r="V15" s="203">
        <f t="shared" si="28"/>
        <v>207</v>
      </c>
      <c r="W15" s="203">
        <f t="shared" si="9"/>
        <v>4453.8387096774195</v>
      </c>
      <c r="X15" s="35">
        <f t="shared" si="10"/>
        <v>0.66774193548387084</v>
      </c>
      <c r="Y15" s="36">
        <f t="shared" si="29"/>
        <v>48992.225806451606</v>
      </c>
      <c r="Z15" s="203">
        <f>'B5'!C14</f>
        <v>214</v>
      </c>
      <c r="AA15" s="203">
        <f t="shared" si="30"/>
        <v>2140</v>
      </c>
      <c r="AB15" s="203">
        <f t="shared" si="31"/>
        <v>214</v>
      </c>
      <c r="AC15" s="203">
        <f t="shared" si="30"/>
        <v>2140</v>
      </c>
      <c r="AD15" s="203">
        <f t="shared" si="32"/>
        <v>214</v>
      </c>
      <c r="AE15" s="203">
        <f t="shared" si="11"/>
        <v>2140</v>
      </c>
      <c r="AF15" s="203">
        <f t="shared" si="33"/>
        <v>214</v>
      </c>
      <c r="AG15" s="203">
        <f t="shared" si="12"/>
        <v>2140</v>
      </c>
      <c r="AH15" s="203">
        <f t="shared" si="34"/>
        <v>214</v>
      </c>
      <c r="AI15" s="203">
        <f t="shared" si="13"/>
        <v>2140</v>
      </c>
      <c r="AJ15" s="203">
        <f t="shared" si="35"/>
        <v>214</v>
      </c>
      <c r="AK15" s="203">
        <f t="shared" si="14"/>
        <v>2140</v>
      </c>
      <c r="AL15" s="203">
        <f t="shared" si="36"/>
        <v>214</v>
      </c>
      <c r="AM15" s="203">
        <f t="shared" si="15"/>
        <v>2140</v>
      </c>
      <c r="AN15" s="35">
        <f t="shared" si="16"/>
        <v>0.76428571428571423</v>
      </c>
      <c r="AO15" s="36">
        <f t="shared" si="41"/>
        <v>14980</v>
      </c>
      <c r="AQ15" s="223">
        <f t="shared" si="37"/>
        <v>0.68809536201410781</v>
      </c>
      <c r="AR15" s="38">
        <f t="shared" si="38"/>
        <v>63972.225806451606</v>
      </c>
      <c r="AS15" s="197">
        <f t="shared" si="42"/>
        <v>0</v>
      </c>
      <c r="AT15" s="340"/>
      <c r="AU15" s="549"/>
      <c r="AV15" s="485">
        <f>IF(AT15&gt;0,AU15,AV14)</f>
        <v>0.63400000000000001</v>
      </c>
      <c r="AW15" s="279">
        <f>-SUM('B5'!AI14)</f>
        <v>0</v>
      </c>
      <c r="AX15" s="279">
        <f t="shared" si="17"/>
        <v>0</v>
      </c>
      <c r="AY15" s="37">
        <f t="shared" si="39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40"/>
        <v>0</v>
      </c>
      <c r="BK15" s="538" t="e">
        <f>GEN!AF12</f>
        <v>#DIV/0!</v>
      </c>
    </row>
    <row r="16" spans="1:63">
      <c r="A16" s="425">
        <f>ELEC!C14</f>
        <v>44541</v>
      </c>
      <c r="B16">
        <f>'B5'!B15</f>
        <v>207</v>
      </c>
      <c r="C16" s="203">
        <f t="shared" si="18"/>
        <v>4453.8387096774195</v>
      </c>
      <c r="D16">
        <f t="shared" si="19"/>
        <v>207</v>
      </c>
      <c r="E16" s="203">
        <f t="shared" si="18"/>
        <v>4453.8387096774195</v>
      </c>
      <c r="F16">
        <f t="shared" si="20"/>
        <v>207</v>
      </c>
      <c r="G16" s="203">
        <f t="shared" si="1"/>
        <v>4453.8387096774195</v>
      </c>
      <c r="H16" s="203">
        <f t="shared" si="21"/>
        <v>207</v>
      </c>
      <c r="I16" s="203">
        <f t="shared" si="2"/>
        <v>4453.8387096774195</v>
      </c>
      <c r="J16" s="203">
        <f t="shared" si="22"/>
        <v>207</v>
      </c>
      <c r="K16" s="203">
        <f t="shared" si="3"/>
        <v>4453.8387096774195</v>
      </c>
      <c r="L16" s="203">
        <f t="shared" si="23"/>
        <v>207</v>
      </c>
      <c r="M16" s="203">
        <f t="shared" si="4"/>
        <v>4453.8387096774195</v>
      </c>
      <c r="N16" s="203">
        <f t="shared" si="24"/>
        <v>207</v>
      </c>
      <c r="O16" s="203">
        <f t="shared" si="5"/>
        <v>4453.8387096774195</v>
      </c>
      <c r="P16" s="203">
        <f t="shared" si="25"/>
        <v>207</v>
      </c>
      <c r="Q16" s="203">
        <f t="shared" si="6"/>
        <v>4453.8387096774195</v>
      </c>
      <c r="R16" s="203">
        <f t="shared" si="26"/>
        <v>207</v>
      </c>
      <c r="S16" s="203">
        <f t="shared" si="7"/>
        <v>4453.8387096774195</v>
      </c>
      <c r="T16" s="203">
        <f t="shared" si="27"/>
        <v>207</v>
      </c>
      <c r="U16" s="203">
        <f t="shared" si="8"/>
        <v>4453.8387096774195</v>
      </c>
      <c r="V16" s="203">
        <f t="shared" si="28"/>
        <v>207</v>
      </c>
      <c r="W16" s="203">
        <f t="shared" si="9"/>
        <v>4453.8387096774195</v>
      </c>
      <c r="X16" s="35">
        <f t="shared" si="10"/>
        <v>0.66774193548387084</v>
      </c>
      <c r="Y16" s="36">
        <f t="shared" si="29"/>
        <v>48992.225806451606</v>
      </c>
      <c r="Z16" s="203">
        <f>'B5'!C15</f>
        <v>214</v>
      </c>
      <c r="AA16" s="203">
        <f t="shared" si="30"/>
        <v>2140</v>
      </c>
      <c r="AB16" s="203">
        <f t="shared" si="31"/>
        <v>214</v>
      </c>
      <c r="AC16" s="203">
        <f t="shared" si="30"/>
        <v>2140</v>
      </c>
      <c r="AD16" s="203">
        <f t="shared" si="32"/>
        <v>214</v>
      </c>
      <c r="AE16" s="203">
        <f t="shared" si="11"/>
        <v>2140</v>
      </c>
      <c r="AF16" s="203">
        <f t="shared" si="33"/>
        <v>214</v>
      </c>
      <c r="AG16" s="203">
        <f t="shared" si="12"/>
        <v>2140</v>
      </c>
      <c r="AH16" s="203">
        <f t="shared" si="34"/>
        <v>214</v>
      </c>
      <c r="AI16" s="203">
        <f t="shared" si="13"/>
        <v>2140</v>
      </c>
      <c r="AJ16" s="203">
        <f t="shared" si="35"/>
        <v>214</v>
      </c>
      <c r="AK16" s="203">
        <f t="shared" si="14"/>
        <v>2140</v>
      </c>
      <c r="AL16" s="203">
        <f t="shared" si="36"/>
        <v>214</v>
      </c>
      <c r="AM16" s="203">
        <f t="shared" si="15"/>
        <v>2140</v>
      </c>
      <c r="AN16" s="35">
        <f t="shared" si="16"/>
        <v>0.76428571428571423</v>
      </c>
      <c r="AO16" s="36">
        <f t="shared" si="41"/>
        <v>14980</v>
      </c>
      <c r="AQ16" s="223">
        <f t="shared" si="37"/>
        <v>0.68809536201410781</v>
      </c>
      <c r="AR16" s="38">
        <f t="shared" si="38"/>
        <v>63972.225806451606</v>
      </c>
      <c r="AS16" s="197">
        <f t="shared" si="42"/>
        <v>0</v>
      </c>
      <c r="AT16" s="340"/>
      <c r="AU16" s="549"/>
      <c r="AV16" s="485">
        <f t="shared" ref="AV16:AV21" si="45">IF(AT16&gt;0,AU16,AV15)</f>
        <v>0.63400000000000001</v>
      </c>
      <c r="AW16" s="279">
        <f>-SUM('B5'!AI15)</f>
        <v>0</v>
      </c>
      <c r="AX16" s="279">
        <f t="shared" si="17"/>
        <v>0</v>
      </c>
      <c r="AY16" s="37">
        <f t="shared" si="39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0</v>
      </c>
      <c r="BK16" s="538" t="e">
        <f>GEN!AF13</f>
        <v>#DIV/0!</v>
      </c>
    </row>
    <row r="17" spans="1:64">
      <c r="A17" s="425">
        <f>ELEC!C15</f>
        <v>44542</v>
      </c>
      <c r="B17">
        <f>'B5'!B16</f>
        <v>207</v>
      </c>
      <c r="C17" s="203">
        <f t="shared" si="18"/>
        <v>4453.8387096774195</v>
      </c>
      <c r="D17">
        <f t="shared" si="19"/>
        <v>207</v>
      </c>
      <c r="E17" s="203">
        <f t="shared" si="18"/>
        <v>4453.8387096774195</v>
      </c>
      <c r="F17">
        <f t="shared" si="20"/>
        <v>207</v>
      </c>
      <c r="G17" s="203">
        <f t="shared" si="1"/>
        <v>4453.8387096774195</v>
      </c>
      <c r="H17" s="203">
        <f t="shared" si="21"/>
        <v>207</v>
      </c>
      <c r="I17" s="203">
        <f t="shared" si="2"/>
        <v>4453.8387096774195</v>
      </c>
      <c r="J17" s="203">
        <f t="shared" si="22"/>
        <v>207</v>
      </c>
      <c r="K17" s="203">
        <f t="shared" si="3"/>
        <v>4453.8387096774195</v>
      </c>
      <c r="L17" s="203">
        <f t="shared" si="23"/>
        <v>207</v>
      </c>
      <c r="M17" s="203">
        <f t="shared" si="4"/>
        <v>4453.8387096774195</v>
      </c>
      <c r="N17" s="203">
        <f t="shared" si="24"/>
        <v>207</v>
      </c>
      <c r="O17" s="203">
        <f t="shared" si="5"/>
        <v>4453.8387096774195</v>
      </c>
      <c r="P17" s="203">
        <f t="shared" si="25"/>
        <v>207</v>
      </c>
      <c r="Q17" s="203">
        <f t="shared" si="6"/>
        <v>4453.8387096774195</v>
      </c>
      <c r="R17" s="203">
        <f t="shared" si="26"/>
        <v>207</v>
      </c>
      <c r="S17" s="203">
        <f t="shared" si="7"/>
        <v>4453.8387096774195</v>
      </c>
      <c r="T17" s="203">
        <f t="shared" si="27"/>
        <v>207</v>
      </c>
      <c r="U17" s="203">
        <f t="shared" si="8"/>
        <v>4453.8387096774195</v>
      </c>
      <c r="V17" s="203">
        <f t="shared" si="28"/>
        <v>207</v>
      </c>
      <c r="W17" s="203">
        <f t="shared" si="9"/>
        <v>4453.8387096774195</v>
      </c>
      <c r="X17" s="35">
        <f t="shared" si="10"/>
        <v>0.66774193548387084</v>
      </c>
      <c r="Y17" s="36">
        <f t="shared" si="29"/>
        <v>48992.225806451606</v>
      </c>
      <c r="Z17" s="203">
        <f>'B5'!C16</f>
        <v>214</v>
      </c>
      <c r="AA17" s="203">
        <f t="shared" si="30"/>
        <v>2140</v>
      </c>
      <c r="AB17" s="203">
        <f t="shared" si="31"/>
        <v>214</v>
      </c>
      <c r="AC17" s="203">
        <f t="shared" si="30"/>
        <v>2140</v>
      </c>
      <c r="AD17" s="203">
        <f t="shared" si="32"/>
        <v>214</v>
      </c>
      <c r="AE17" s="203">
        <f t="shared" si="11"/>
        <v>2140</v>
      </c>
      <c r="AF17" s="203">
        <f t="shared" si="33"/>
        <v>214</v>
      </c>
      <c r="AG17" s="203">
        <f t="shared" si="12"/>
        <v>2140</v>
      </c>
      <c r="AH17" s="203">
        <f t="shared" si="34"/>
        <v>214</v>
      </c>
      <c r="AI17" s="203">
        <f t="shared" si="13"/>
        <v>2140</v>
      </c>
      <c r="AJ17" s="203">
        <f t="shared" si="35"/>
        <v>214</v>
      </c>
      <c r="AK17" s="203">
        <f t="shared" si="14"/>
        <v>2140</v>
      </c>
      <c r="AL17" s="203">
        <f t="shared" si="36"/>
        <v>214</v>
      </c>
      <c r="AM17" s="203">
        <f t="shared" si="15"/>
        <v>2140</v>
      </c>
      <c r="AN17" s="35">
        <f t="shared" si="16"/>
        <v>0.76428571428571423</v>
      </c>
      <c r="AO17" s="36">
        <f>SUM(AA17+AC17+AE17+AG17+AI17+AK17+AM17)</f>
        <v>14980</v>
      </c>
      <c r="AQ17" s="223">
        <f t="shared" si="37"/>
        <v>0.68809536201410781</v>
      </c>
      <c r="AR17" s="38">
        <f t="shared" si="38"/>
        <v>63972.225806451606</v>
      </c>
      <c r="AS17" s="197">
        <f t="shared" si="42"/>
        <v>0</v>
      </c>
      <c r="AU17" s="3"/>
      <c r="AV17" s="485">
        <f t="shared" si="45"/>
        <v>0.63400000000000001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44543</v>
      </c>
      <c r="B18">
        <f>'B5'!B17</f>
        <v>207</v>
      </c>
      <c r="C18" s="203">
        <f t="shared" si="18"/>
        <v>4453.8387096774195</v>
      </c>
      <c r="D18">
        <f t="shared" si="19"/>
        <v>207</v>
      </c>
      <c r="E18" s="203">
        <f t="shared" si="18"/>
        <v>4453.8387096774195</v>
      </c>
      <c r="F18">
        <f t="shared" si="20"/>
        <v>207</v>
      </c>
      <c r="G18" s="203">
        <f t="shared" si="1"/>
        <v>4453.8387096774195</v>
      </c>
      <c r="H18" s="203">
        <f t="shared" si="21"/>
        <v>207</v>
      </c>
      <c r="I18" s="203">
        <f t="shared" si="2"/>
        <v>4453.8387096774195</v>
      </c>
      <c r="J18" s="203">
        <f t="shared" si="22"/>
        <v>207</v>
      </c>
      <c r="K18" s="203">
        <f t="shared" si="3"/>
        <v>4453.8387096774195</v>
      </c>
      <c r="L18" s="203">
        <f t="shared" si="23"/>
        <v>207</v>
      </c>
      <c r="M18" s="203">
        <f t="shared" si="4"/>
        <v>4453.8387096774195</v>
      </c>
      <c r="N18" s="203">
        <f t="shared" si="24"/>
        <v>207</v>
      </c>
      <c r="O18" s="203">
        <f t="shared" si="5"/>
        <v>4453.8387096774195</v>
      </c>
      <c r="P18" s="203">
        <f t="shared" si="25"/>
        <v>207</v>
      </c>
      <c r="Q18" s="203">
        <f t="shared" si="6"/>
        <v>4453.8387096774195</v>
      </c>
      <c r="R18" s="203">
        <f t="shared" si="26"/>
        <v>207</v>
      </c>
      <c r="S18" s="203">
        <f t="shared" si="7"/>
        <v>4453.8387096774195</v>
      </c>
      <c r="T18" s="203">
        <f t="shared" si="27"/>
        <v>207</v>
      </c>
      <c r="U18" s="203">
        <f t="shared" si="8"/>
        <v>4453.8387096774195</v>
      </c>
      <c r="V18" s="203">
        <f t="shared" si="28"/>
        <v>207</v>
      </c>
      <c r="W18" s="203">
        <f t="shared" si="9"/>
        <v>4453.8387096774195</v>
      </c>
      <c r="X18" s="35">
        <f t="shared" si="10"/>
        <v>0.66774193548387084</v>
      </c>
      <c r="Y18" s="36">
        <f t="shared" si="29"/>
        <v>48992.225806451606</v>
      </c>
      <c r="Z18" s="203">
        <f>'B5'!C17</f>
        <v>214</v>
      </c>
      <c r="AA18" s="203">
        <f t="shared" si="30"/>
        <v>2140</v>
      </c>
      <c r="AB18" s="203">
        <f t="shared" si="31"/>
        <v>214</v>
      </c>
      <c r="AC18" s="203">
        <f t="shared" si="30"/>
        <v>2140</v>
      </c>
      <c r="AD18" s="203">
        <f t="shared" si="32"/>
        <v>214</v>
      </c>
      <c r="AE18" s="203">
        <f t="shared" si="11"/>
        <v>2140</v>
      </c>
      <c r="AF18" s="203">
        <f t="shared" si="33"/>
        <v>214</v>
      </c>
      <c r="AG18" s="203">
        <f t="shared" si="12"/>
        <v>2140</v>
      </c>
      <c r="AH18" s="203">
        <f t="shared" si="34"/>
        <v>214</v>
      </c>
      <c r="AI18" s="203">
        <f t="shared" si="13"/>
        <v>2140</v>
      </c>
      <c r="AJ18" s="203">
        <f t="shared" si="35"/>
        <v>214</v>
      </c>
      <c r="AK18" s="203">
        <f t="shared" si="14"/>
        <v>2140</v>
      </c>
      <c r="AL18" s="203">
        <f t="shared" si="36"/>
        <v>214</v>
      </c>
      <c r="AM18" s="203">
        <f t="shared" si="15"/>
        <v>2140</v>
      </c>
      <c r="AN18" s="35">
        <f t="shared" si="16"/>
        <v>0.76428571428571423</v>
      </c>
      <c r="AO18" s="36">
        <f t="shared" si="41"/>
        <v>14980</v>
      </c>
      <c r="AQ18" s="223">
        <f t="shared" si="37"/>
        <v>0.68809536201410781</v>
      </c>
      <c r="AR18" s="38">
        <f t="shared" si="38"/>
        <v>63972.225806451606</v>
      </c>
      <c r="AS18" s="197">
        <f>SUM(AR18-AR17-AT18)</f>
        <v>0</v>
      </c>
      <c r="AT18" s="340"/>
      <c r="AU18" s="549"/>
      <c r="AV18" s="485">
        <f t="shared" si="45"/>
        <v>0.63400000000000001</v>
      </c>
      <c r="AW18" s="279">
        <f>-SUM('B5'!AI17)</f>
        <v>0</v>
      </c>
      <c r="AX18" s="279">
        <f t="shared" si="17"/>
        <v>0</v>
      </c>
      <c r="AY18" s="37">
        <f t="shared" si="39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 t="e">
        <f>GEN!AF15</f>
        <v>#DIV/0!</v>
      </c>
    </row>
    <row r="19" spans="1:64">
      <c r="A19" s="425">
        <f>ELEC!C17</f>
        <v>44544</v>
      </c>
      <c r="B19">
        <f>'B5'!B18</f>
        <v>207</v>
      </c>
      <c r="C19" s="203">
        <f t="shared" si="18"/>
        <v>4453.8387096774195</v>
      </c>
      <c r="D19">
        <f t="shared" si="19"/>
        <v>207</v>
      </c>
      <c r="E19" s="203">
        <f t="shared" si="18"/>
        <v>4453.8387096774195</v>
      </c>
      <c r="F19">
        <f t="shared" si="20"/>
        <v>207</v>
      </c>
      <c r="G19" s="203">
        <f t="shared" si="1"/>
        <v>4453.8387096774195</v>
      </c>
      <c r="H19" s="203">
        <f t="shared" si="21"/>
        <v>207</v>
      </c>
      <c r="I19" s="203">
        <f t="shared" si="2"/>
        <v>4453.8387096774195</v>
      </c>
      <c r="J19" s="203">
        <f t="shared" si="22"/>
        <v>207</v>
      </c>
      <c r="K19" s="203">
        <f t="shared" si="3"/>
        <v>4453.8387096774195</v>
      </c>
      <c r="L19" s="203">
        <f t="shared" si="23"/>
        <v>207</v>
      </c>
      <c r="M19" s="203">
        <f t="shared" si="4"/>
        <v>4453.8387096774195</v>
      </c>
      <c r="N19" s="203">
        <f t="shared" si="24"/>
        <v>207</v>
      </c>
      <c r="O19" s="203">
        <f t="shared" si="5"/>
        <v>4453.8387096774195</v>
      </c>
      <c r="P19" s="203">
        <f t="shared" si="25"/>
        <v>207</v>
      </c>
      <c r="Q19" s="203">
        <f t="shared" si="6"/>
        <v>4453.8387096774195</v>
      </c>
      <c r="R19" s="203">
        <f t="shared" si="26"/>
        <v>207</v>
      </c>
      <c r="S19" s="203">
        <f t="shared" si="7"/>
        <v>4453.8387096774195</v>
      </c>
      <c r="T19" s="203">
        <f t="shared" si="27"/>
        <v>207</v>
      </c>
      <c r="U19" s="203">
        <f t="shared" si="8"/>
        <v>4453.8387096774195</v>
      </c>
      <c r="V19" s="203">
        <f t="shared" si="28"/>
        <v>207</v>
      </c>
      <c r="W19" s="203">
        <f t="shared" si="9"/>
        <v>4453.8387096774195</v>
      </c>
      <c r="X19" s="35">
        <f t="shared" si="10"/>
        <v>0.66774193548387084</v>
      </c>
      <c r="Y19" s="36">
        <f t="shared" si="29"/>
        <v>48992.225806451606</v>
      </c>
      <c r="Z19" s="203">
        <f>'B5'!C18</f>
        <v>214</v>
      </c>
      <c r="AA19" s="203">
        <f t="shared" si="30"/>
        <v>2140</v>
      </c>
      <c r="AB19" s="203">
        <f t="shared" si="31"/>
        <v>214</v>
      </c>
      <c r="AC19" s="203">
        <f t="shared" si="30"/>
        <v>2140</v>
      </c>
      <c r="AD19" s="203">
        <f t="shared" si="32"/>
        <v>214</v>
      </c>
      <c r="AE19" s="203">
        <f t="shared" si="11"/>
        <v>2140</v>
      </c>
      <c r="AF19" s="203">
        <f t="shared" si="33"/>
        <v>214</v>
      </c>
      <c r="AG19" s="203">
        <f t="shared" si="12"/>
        <v>2140</v>
      </c>
      <c r="AH19" s="203">
        <f t="shared" si="34"/>
        <v>214</v>
      </c>
      <c r="AI19" s="203">
        <f t="shared" si="13"/>
        <v>2140</v>
      </c>
      <c r="AJ19" s="203">
        <f t="shared" si="35"/>
        <v>214</v>
      </c>
      <c r="AK19" s="203">
        <f t="shared" si="14"/>
        <v>2140</v>
      </c>
      <c r="AL19" s="203">
        <f t="shared" si="36"/>
        <v>214</v>
      </c>
      <c r="AM19" s="203">
        <f t="shared" si="15"/>
        <v>2140</v>
      </c>
      <c r="AN19" s="35">
        <f t="shared" si="16"/>
        <v>0.76428571428571423</v>
      </c>
      <c r="AO19" s="36">
        <f t="shared" si="41"/>
        <v>14980</v>
      </c>
      <c r="AQ19" s="223">
        <f t="shared" si="37"/>
        <v>0.68809536201410781</v>
      </c>
      <c r="AR19" s="38">
        <f t="shared" si="38"/>
        <v>63972.225806451606</v>
      </c>
      <c r="AS19" s="197">
        <f t="shared" ref="AS19:AS36" si="47">SUM(AR19-AR18-AT19)</f>
        <v>0</v>
      </c>
      <c r="AT19" s="340"/>
      <c r="AU19" s="549"/>
      <c r="AV19" s="485">
        <f t="shared" si="45"/>
        <v>0.63400000000000001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44545</v>
      </c>
      <c r="B20">
        <f>'B5'!B19</f>
        <v>207</v>
      </c>
      <c r="C20" s="203">
        <f t="shared" si="18"/>
        <v>4453.8387096774195</v>
      </c>
      <c r="D20">
        <f t="shared" si="19"/>
        <v>207</v>
      </c>
      <c r="E20" s="203">
        <f t="shared" si="18"/>
        <v>4453.8387096774195</v>
      </c>
      <c r="F20">
        <f t="shared" si="20"/>
        <v>207</v>
      </c>
      <c r="G20" s="203">
        <f t="shared" si="1"/>
        <v>4453.8387096774195</v>
      </c>
      <c r="H20" s="203">
        <f t="shared" si="21"/>
        <v>207</v>
      </c>
      <c r="I20" s="203">
        <f t="shared" si="2"/>
        <v>4453.8387096774195</v>
      </c>
      <c r="J20" s="203">
        <f t="shared" si="22"/>
        <v>207</v>
      </c>
      <c r="K20" s="203">
        <f t="shared" si="3"/>
        <v>4453.8387096774195</v>
      </c>
      <c r="L20" s="203">
        <f t="shared" si="23"/>
        <v>207</v>
      </c>
      <c r="M20" s="203">
        <f t="shared" si="4"/>
        <v>4453.8387096774195</v>
      </c>
      <c r="N20" s="203">
        <f t="shared" si="24"/>
        <v>207</v>
      </c>
      <c r="O20" s="203">
        <f t="shared" si="5"/>
        <v>4453.8387096774195</v>
      </c>
      <c r="P20" s="203">
        <f t="shared" si="25"/>
        <v>207</v>
      </c>
      <c r="Q20" s="203">
        <f t="shared" si="6"/>
        <v>4453.8387096774195</v>
      </c>
      <c r="R20" s="203">
        <f t="shared" si="26"/>
        <v>207</v>
      </c>
      <c r="S20" s="203">
        <f t="shared" si="7"/>
        <v>4453.8387096774195</v>
      </c>
      <c r="T20" s="203">
        <f t="shared" si="27"/>
        <v>207</v>
      </c>
      <c r="U20" s="203">
        <f t="shared" si="8"/>
        <v>4453.8387096774195</v>
      </c>
      <c r="V20" s="203">
        <f t="shared" si="28"/>
        <v>207</v>
      </c>
      <c r="W20" s="203">
        <f t="shared" si="9"/>
        <v>4453.8387096774195</v>
      </c>
      <c r="X20" s="35">
        <f t="shared" si="10"/>
        <v>0.66774193548387084</v>
      </c>
      <c r="Y20" s="36">
        <f t="shared" si="29"/>
        <v>48992.225806451606</v>
      </c>
      <c r="Z20" s="203">
        <f>'B5'!C19</f>
        <v>214</v>
      </c>
      <c r="AA20" s="203">
        <f t="shared" si="30"/>
        <v>2140</v>
      </c>
      <c r="AB20" s="203">
        <f t="shared" si="31"/>
        <v>214</v>
      </c>
      <c r="AC20" s="203">
        <f t="shared" si="30"/>
        <v>2140</v>
      </c>
      <c r="AD20" s="203">
        <f t="shared" si="32"/>
        <v>214</v>
      </c>
      <c r="AE20" s="203">
        <f t="shared" si="11"/>
        <v>2140</v>
      </c>
      <c r="AF20" s="203">
        <f t="shared" si="33"/>
        <v>214</v>
      </c>
      <c r="AG20" s="203">
        <f t="shared" si="12"/>
        <v>2140</v>
      </c>
      <c r="AH20" s="203">
        <f t="shared" si="34"/>
        <v>214</v>
      </c>
      <c r="AI20" s="203">
        <f t="shared" si="13"/>
        <v>2140</v>
      </c>
      <c r="AJ20" s="203">
        <f t="shared" si="35"/>
        <v>214</v>
      </c>
      <c r="AK20" s="203">
        <f t="shared" si="14"/>
        <v>2140</v>
      </c>
      <c r="AL20" s="203">
        <f t="shared" si="36"/>
        <v>214</v>
      </c>
      <c r="AM20" s="203">
        <f t="shared" si="15"/>
        <v>2140</v>
      </c>
      <c r="AN20" s="35">
        <f t="shared" si="16"/>
        <v>0.76428571428571423</v>
      </c>
      <c r="AO20" s="36">
        <f t="shared" si="41"/>
        <v>14980</v>
      </c>
      <c r="AQ20" s="223">
        <f t="shared" si="37"/>
        <v>0.68809536201410781</v>
      </c>
      <c r="AR20" s="38">
        <f t="shared" si="38"/>
        <v>63972.225806451606</v>
      </c>
      <c r="AS20" s="197">
        <f t="shared" si="47"/>
        <v>0</v>
      </c>
      <c r="AT20" s="340"/>
      <c r="AU20" s="549"/>
      <c r="AV20" s="485">
        <f t="shared" si="45"/>
        <v>0.63400000000000001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44546</v>
      </c>
      <c r="B21">
        <f>'B5'!B20</f>
        <v>207</v>
      </c>
      <c r="C21" s="203">
        <f t="shared" si="18"/>
        <v>4453.8387096774195</v>
      </c>
      <c r="D21">
        <f t="shared" si="19"/>
        <v>207</v>
      </c>
      <c r="E21" s="203">
        <f t="shared" si="18"/>
        <v>4453.8387096774195</v>
      </c>
      <c r="F21">
        <f t="shared" si="20"/>
        <v>207</v>
      </c>
      <c r="G21" s="203">
        <f t="shared" si="1"/>
        <v>4453.8387096774195</v>
      </c>
      <c r="H21" s="203">
        <f t="shared" si="21"/>
        <v>207</v>
      </c>
      <c r="I21" s="203">
        <f t="shared" si="2"/>
        <v>4453.8387096774195</v>
      </c>
      <c r="J21" s="203">
        <f t="shared" si="22"/>
        <v>207</v>
      </c>
      <c r="K21" s="203">
        <f t="shared" si="3"/>
        <v>4453.8387096774195</v>
      </c>
      <c r="L21" s="203">
        <f t="shared" si="23"/>
        <v>207</v>
      </c>
      <c r="M21" s="203">
        <f t="shared" si="4"/>
        <v>4453.8387096774195</v>
      </c>
      <c r="N21" s="203">
        <f t="shared" si="24"/>
        <v>207</v>
      </c>
      <c r="O21" s="203">
        <f t="shared" si="5"/>
        <v>4453.8387096774195</v>
      </c>
      <c r="P21" s="203">
        <f t="shared" si="25"/>
        <v>207</v>
      </c>
      <c r="Q21" s="203">
        <f t="shared" si="6"/>
        <v>4453.8387096774195</v>
      </c>
      <c r="R21" s="203">
        <f t="shared" si="26"/>
        <v>207</v>
      </c>
      <c r="S21" s="203">
        <f t="shared" si="7"/>
        <v>4453.8387096774195</v>
      </c>
      <c r="T21" s="203">
        <f t="shared" si="27"/>
        <v>207</v>
      </c>
      <c r="U21" s="203">
        <f t="shared" si="8"/>
        <v>4453.8387096774195</v>
      </c>
      <c r="V21" s="203">
        <f t="shared" si="28"/>
        <v>207</v>
      </c>
      <c r="W21" s="203">
        <f t="shared" si="9"/>
        <v>4453.8387096774195</v>
      </c>
      <c r="X21" s="35">
        <f t="shared" si="10"/>
        <v>0.66774193548387084</v>
      </c>
      <c r="Y21" s="36">
        <f t="shared" si="29"/>
        <v>48992.225806451606</v>
      </c>
      <c r="Z21" s="203">
        <f>'B5'!C20</f>
        <v>214</v>
      </c>
      <c r="AA21" s="203">
        <f t="shared" si="30"/>
        <v>2140</v>
      </c>
      <c r="AB21" s="203">
        <f t="shared" si="31"/>
        <v>214</v>
      </c>
      <c r="AC21" s="203">
        <f t="shared" si="30"/>
        <v>2140</v>
      </c>
      <c r="AD21" s="203">
        <f t="shared" si="32"/>
        <v>214</v>
      </c>
      <c r="AE21" s="203">
        <f t="shared" si="11"/>
        <v>2140</v>
      </c>
      <c r="AF21" s="203">
        <f t="shared" si="33"/>
        <v>214</v>
      </c>
      <c r="AG21" s="203">
        <f t="shared" si="12"/>
        <v>2140</v>
      </c>
      <c r="AH21" s="203">
        <f t="shared" si="34"/>
        <v>214</v>
      </c>
      <c r="AI21" s="203">
        <f t="shared" si="13"/>
        <v>2140</v>
      </c>
      <c r="AJ21" s="203">
        <f t="shared" si="35"/>
        <v>214</v>
      </c>
      <c r="AK21" s="203">
        <f t="shared" si="14"/>
        <v>2140</v>
      </c>
      <c r="AL21" s="203">
        <f t="shared" si="36"/>
        <v>214</v>
      </c>
      <c r="AM21" s="203">
        <f t="shared" si="15"/>
        <v>2140</v>
      </c>
      <c r="AN21" s="35">
        <f t="shared" si="16"/>
        <v>0.76428571428571423</v>
      </c>
      <c r="AO21" s="36">
        <f t="shared" si="41"/>
        <v>14980</v>
      </c>
      <c r="AQ21" s="223">
        <f t="shared" si="37"/>
        <v>0.68809536201410781</v>
      </c>
      <c r="AR21" s="38">
        <f t="shared" si="38"/>
        <v>63972.225806451606</v>
      </c>
      <c r="AS21" s="197">
        <f t="shared" si="47"/>
        <v>0</v>
      </c>
      <c r="AT21" s="340"/>
      <c r="AU21" s="549"/>
      <c r="AV21" s="485">
        <f t="shared" si="45"/>
        <v>0.63400000000000001</v>
      </c>
      <c r="AW21" s="279">
        <f>-SUM('B5'!AI20)</f>
        <v>0</v>
      </c>
      <c r="AX21" s="279">
        <f t="shared" si="17"/>
        <v>0</v>
      </c>
      <c r="AY21" s="37">
        <f t="shared" si="39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44547</v>
      </c>
      <c r="B22">
        <f>'B5'!B21</f>
        <v>207</v>
      </c>
      <c r="C22" s="203">
        <f t="shared" si="18"/>
        <v>4453.8387096774195</v>
      </c>
      <c r="D22">
        <f t="shared" si="19"/>
        <v>207</v>
      </c>
      <c r="E22" s="203">
        <f t="shared" si="18"/>
        <v>4453.8387096774195</v>
      </c>
      <c r="F22">
        <f t="shared" si="20"/>
        <v>207</v>
      </c>
      <c r="G22" s="203">
        <f t="shared" si="1"/>
        <v>4453.8387096774195</v>
      </c>
      <c r="H22" s="203">
        <f t="shared" si="21"/>
        <v>207</v>
      </c>
      <c r="I22" s="203">
        <f t="shared" si="2"/>
        <v>4453.8387096774195</v>
      </c>
      <c r="J22" s="203">
        <f t="shared" si="22"/>
        <v>207</v>
      </c>
      <c r="K22" s="203">
        <f t="shared" si="3"/>
        <v>4453.8387096774195</v>
      </c>
      <c r="L22" s="203">
        <f t="shared" si="23"/>
        <v>207</v>
      </c>
      <c r="M22" s="203">
        <f t="shared" si="4"/>
        <v>4453.8387096774195</v>
      </c>
      <c r="N22" s="203">
        <f t="shared" si="24"/>
        <v>207</v>
      </c>
      <c r="O22" s="203">
        <f t="shared" si="5"/>
        <v>4453.8387096774195</v>
      </c>
      <c r="P22" s="203">
        <f t="shared" si="25"/>
        <v>207</v>
      </c>
      <c r="Q22" s="203">
        <f t="shared" si="6"/>
        <v>4453.8387096774195</v>
      </c>
      <c r="R22" s="203">
        <f t="shared" si="26"/>
        <v>207</v>
      </c>
      <c r="S22" s="203">
        <f t="shared" si="7"/>
        <v>4453.8387096774195</v>
      </c>
      <c r="T22" s="203">
        <f t="shared" si="27"/>
        <v>207</v>
      </c>
      <c r="U22" s="203">
        <f t="shared" si="8"/>
        <v>4453.8387096774195</v>
      </c>
      <c r="V22" s="203">
        <f t="shared" si="28"/>
        <v>207</v>
      </c>
      <c r="W22" s="203">
        <f t="shared" si="9"/>
        <v>4453.8387096774195</v>
      </c>
      <c r="X22" s="35">
        <f t="shared" si="10"/>
        <v>0.66774193548387084</v>
      </c>
      <c r="Y22" s="36">
        <f t="shared" si="29"/>
        <v>48992.225806451606</v>
      </c>
      <c r="Z22" s="203">
        <f>'B5'!C21</f>
        <v>214</v>
      </c>
      <c r="AA22" s="203">
        <f t="shared" si="30"/>
        <v>2140</v>
      </c>
      <c r="AB22" s="203">
        <f t="shared" si="31"/>
        <v>214</v>
      </c>
      <c r="AC22" s="203">
        <f t="shared" si="30"/>
        <v>2140</v>
      </c>
      <c r="AD22" s="203">
        <f t="shared" si="32"/>
        <v>214</v>
      </c>
      <c r="AE22" s="203">
        <f t="shared" si="11"/>
        <v>2140</v>
      </c>
      <c r="AF22" s="203">
        <f t="shared" si="33"/>
        <v>214</v>
      </c>
      <c r="AG22" s="203">
        <f t="shared" si="12"/>
        <v>2140</v>
      </c>
      <c r="AH22" s="203">
        <f t="shared" si="34"/>
        <v>214</v>
      </c>
      <c r="AI22" s="203">
        <f t="shared" si="13"/>
        <v>2140</v>
      </c>
      <c r="AJ22" s="203">
        <f t="shared" si="35"/>
        <v>214</v>
      </c>
      <c r="AK22" s="203">
        <f t="shared" si="14"/>
        <v>2140</v>
      </c>
      <c r="AL22" s="203">
        <f t="shared" si="36"/>
        <v>214</v>
      </c>
      <c r="AM22" s="203">
        <f t="shared" si="15"/>
        <v>2140</v>
      </c>
      <c r="AN22" s="35">
        <f t="shared" si="16"/>
        <v>0.76428571428571423</v>
      </c>
      <c r="AO22" s="36">
        <f t="shared" si="41"/>
        <v>14980</v>
      </c>
      <c r="AQ22" s="223">
        <f t="shared" si="37"/>
        <v>0.68809536201410781</v>
      </c>
      <c r="AR22" s="38">
        <f t="shared" si="38"/>
        <v>63972.225806451606</v>
      </c>
      <c r="AS22" s="197">
        <f t="shared" si="47"/>
        <v>0</v>
      </c>
      <c r="AT22" s="340"/>
      <c r="AU22" s="549"/>
      <c r="AV22" s="485">
        <f t="shared" si="43"/>
        <v>0.63400000000000001</v>
      </c>
      <c r="AW22" s="279">
        <f>-SUM('B5'!AI21)</f>
        <v>0</v>
      </c>
      <c r="AX22" s="279">
        <f t="shared" si="17"/>
        <v>0</v>
      </c>
      <c r="AY22" s="37">
        <f t="shared" si="39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44548</v>
      </c>
      <c r="B23">
        <f>'B5'!B22</f>
        <v>207</v>
      </c>
      <c r="C23" s="203">
        <f t="shared" si="18"/>
        <v>4453.8387096774195</v>
      </c>
      <c r="D23">
        <f t="shared" si="19"/>
        <v>207</v>
      </c>
      <c r="E23" s="203">
        <f t="shared" si="18"/>
        <v>4453.8387096774195</v>
      </c>
      <c r="F23">
        <f t="shared" si="20"/>
        <v>207</v>
      </c>
      <c r="G23" s="203">
        <f t="shared" si="1"/>
        <v>4453.8387096774195</v>
      </c>
      <c r="H23" s="203">
        <f t="shared" si="21"/>
        <v>207</v>
      </c>
      <c r="I23" s="203">
        <f t="shared" si="2"/>
        <v>4453.8387096774195</v>
      </c>
      <c r="J23" s="203">
        <f t="shared" si="22"/>
        <v>207</v>
      </c>
      <c r="K23" s="203">
        <f t="shared" si="3"/>
        <v>4453.8387096774195</v>
      </c>
      <c r="L23" s="203">
        <f t="shared" si="23"/>
        <v>207</v>
      </c>
      <c r="M23" s="203">
        <f t="shared" si="4"/>
        <v>4453.8387096774195</v>
      </c>
      <c r="N23" s="203">
        <f t="shared" si="24"/>
        <v>207</v>
      </c>
      <c r="O23" s="203">
        <f t="shared" si="5"/>
        <v>4453.8387096774195</v>
      </c>
      <c r="P23" s="203">
        <f t="shared" si="25"/>
        <v>207</v>
      </c>
      <c r="Q23" s="203">
        <f t="shared" si="6"/>
        <v>4453.8387096774195</v>
      </c>
      <c r="R23" s="203">
        <f t="shared" si="26"/>
        <v>207</v>
      </c>
      <c r="S23" s="203">
        <f t="shared" si="7"/>
        <v>4453.8387096774195</v>
      </c>
      <c r="T23" s="203">
        <f t="shared" si="27"/>
        <v>207</v>
      </c>
      <c r="U23" s="203">
        <f t="shared" si="8"/>
        <v>4453.8387096774195</v>
      </c>
      <c r="V23" s="203">
        <f t="shared" si="28"/>
        <v>207</v>
      </c>
      <c r="W23" s="203">
        <f t="shared" si="9"/>
        <v>4453.8387096774195</v>
      </c>
      <c r="X23" s="35">
        <f t="shared" si="10"/>
        <v>0.66774193548387084</v>
      </c>
      <c r="Y23" s="36">
        <f t="shared" si="29"/>
        <v>48992.225806451606</v>
      </c>
      <c r="Z23" s="203">
        <f>'B5'!C22</f>
        <v>214</v>
      </c>
      <c r="AA23" s="203">
        <f t="shared" si="30"/>
        <v>2140</v>
      </c>
      <c r="AB23" s="203">
        <f t="shared" si="31"/>
        <v>214</v>
      </c>
      <c r="AC23" s="203">
        <f t="shared" si="30"/>
        <v>2140</v>
      </c>
      <c r="AD23" s="203">
        <f t="shared" si="32"/>
        <v>214</v>
      </c>
      <c r="AE23" s="203">
        <f t="shared" si="11"/>
        <v>2140</v>
      </c>
      <c r="AF23" s="203">
        <f t="shared" si="33"/>
        <v>214</v>
      </c>
      <c r="AG23" s="203">
        <f t="shared" si="12"/>
        <v>2140</v>
      </c>
      <c r="AH23" s="203">
        <f t="shared" si="34"/>
        <v>214</v>
      </c>
      <c r="AI23" s="203">
        <f t="shared" si="13"/>
        <v>2140</v>
      </c>
      <c r="AJ23" s="203">
        <f t="shared" si="35"/>
        <v>214</v>
      </c>
      <c r="AK23" s="203">
        <f t="shared" si="14"/>
        <v>2140</v>
      </c>
      <c r="AL23" s="203">
        <f t="shared" si="36"/>
        <v>214</v>
      </c>
      <c r="AM23" s="203">
        <f t="shared" si="15"/>
        <v>2140</v>
      </c>
      <c r="AN23" s="35">
        <f t="shared" si="16"/>
        <v>0.76428571428571423</v>
      </c>
      <c r="AO23" s="36">
        <f t="shared" si="41"/>
        <v>14980</v>
      </c>
      <c r="AQ23" s="223">
        <f t="shared" si="37"/>
        <v>0.68809536201410781</v>
      </c>
      <c r="AR23" s="38">
        <f t="shared" si="38"/>
        <v>63972.225806451606</v>
      </c>
      <c r="AS23" s="197">
        <f t="shared" si="47"/>
        <v>0</v>
      </c>
      <c r="AT23" s="340"/>
      <c r="AU23" s="549"/>
      <c r="AV23" s="485">
        <f t="shared" si="43"/>
        <v>0.63400000000000001</v>
      </c>
      <c r="AW23" s="279">
        <f>-SUM('B5'!AI22)</f>
        <v>0</v>
      </c>
      <c r="AX23" s="279">
        <f t="shared" si="17"/>
        <v>0</v>
      </c>
      <c r="AY23" s="37">
        <f t="shared" si="39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44549</v>
      </c>
      <c r="B24">
        <f>'B5'!B23</f>
        <v>207</v>
      </c>
      <c r="C24" s="203">
        <f t="shared" si="18"/>
        <v>4453.8387096774195</v>
      </c>
      <c r="D24">
        <f t="shared" si="19"/>
        <v>207</v>
      </c>
      <c r="E24" s="203">
        <f t="shared" si="18"/>
        <v>4453.8387096774195</v>
      </c>
      <c r="F24">
        <f t="shared" si="20"/>
        <v>207</v>
      </c>
      <c r="G24" s="203">
        <f t="shared" si="1"/>
        <v>4453.8387096774195</v>
      </c>
      <c r="H24" s="203">
        <f t="shared" si="21"/>
        <v>207</v>
      </c>
      <c r="I24" s="203">
        <f t="shared" si="2"/>
        <v>4453.8387096774195</v>
      </c>
      <c r="J24" s="203">
        <f t="shared" si="22"/>
        <v>207</v>
      </c>
      <c r="K24" s="203">
        <f t="shared" si="3"/>
        <v>4453.8387096774195</v>
      </c>
      <c r="L24" s="203">
        <f t="shared" si="23"/>
        <v>207</v>
      </c>
      <c r="M24" s="203">
        <f t="shared" si="4"/>
        <v>4453.8387096774195</v>
      </c>
      <c r="N24" s="203">
        <f t="shared" si="24"/>
        <v>207</v>
      </c>
      <c r="O24" s="203">
        <f t="shared" si="5"/>
        <v>4453.8387096774195</v>
      </c>
      <c r="P24" s="203">
        <f t="shared" si="25"/>
        <v>207</v>
      </c>
      <c r="Q24" s="203">
        <f t="shared" si="6"/>
        <v>4453.8387096774195</v>
      </c>
      <c r="R24" s="203">
        <f t="shared" si="26"/>
        <v>207</v>
      </c>
      <c r="S24" s="203">
        <f t="shared" si="7"/>
        <v>4453.8387096774195</v>
      </c>
      <c r="T24" s="203">
        <f t="shared" si="27"/>
        <v>207</v>
      </c>
      <c r="U24" s="203">
        <f t="shared" si="8"/>
        <v>4453.8387096774195</v>
      </c>
      <c r="V24" s="203">
        <f t="shared" si="28"/>
        <v>207</v>
      </c>
      <c r="W24" s="203">
        <f t="shared" si="9"/>
        <v>4453.8387096774195</v>
      </c>
      <c r="X24" s="35">
        <f t="shared" si="10"/>
        <v>0.66774193548387084</v>
      </c>
      <c r="Y24" s="36">
        <f t="shared" si="29"/>
        <v>48992.225806451606</v>
      </c>
      <c r="Z24" s="203">
        <f>'B5'!C23</f>
        <v>214</v>
      </c>
      <c r="AA24" s="203">
        <f t="shared" si="30"/>
        <v>2140</v>
      </c>
      <c r="AB24" s="203">
        <f t="shared" si="31"/>
        <v>214</v>
      </c>
      <c r="AC24" s="203">
        <f t="shared" si="30"/>
        <v>2140</v>
      </c>
      <c r="AD24" s="203">
        <f t="shared" si="32"/>
        <v>214</v>
      </c>
      <c r="AE24" s="203">
        <f t="shared" si="11"/>
        <v>2140</v>
      </c>
      <c r="AF24" s="203">
        <f t="shared" si="33"/>
        <v>214</v>
      </c>
      <c r="AG24" s="203">
        <f t="shared" si="12"/>
        <v>2140</v>
      </c>
      <c r="AH24" s="203">
        <f t="shared" si="34"/>
        <v>214</v>
      </c>
      <c r="AI24" s="203">
        <f t="shared" si="13"/>
        <v>2140</v>
      </c>
      <c r="AJ24" s="203">
        <f t="shared" si="35"/>
        <v>214</v>
      </c>
      <c r="AK24" s="203">
        <f t="shared" si="14"/>
        <v>2140</v>
      </c>
      <c r="AL24" s="203">
        <f t="shared" si="36"/>
        <v>214</v>
      </c>
      <c r="AM24" s="203">
        <f t="shared" si="15"/>
        <v>2140</v>
      </c>
      <c r="AN24" s="35">
        <f t="shared" si="16"/>
        <v>0.76428571428571423</v>
      </c>
      <c r="AO24" s="36">
        <f t="shared" si="41"/>
        <v>14980</v>
      </c>
      <c r="AQ24" s="223">
        <f t="shared" si="37"/>
        <v>0.68809536201410781</v>
      </c>
      <c r="AR24" s="38">
        <f t="shared" si="38"/>
        <v>63972.225806451606</v>
      </c>
      <c r="AS24" s="197">
        <f t="shared" si="47"/>
        <v>0</v>
      </c>
      <c r="AT24" s="340"/>
      <c r="AU24" s="549"/>
      <c r="AV24" s="485">
        <f t="shared" si="43"/>
        <v>0.63400000000000001</v>
      </c>
      <c r="AW24" s="279">
        <f>-SUM('B5'!AI23)</f>
        <v>0</v>
      </c>
      <c r="AX24" s="279">
        <f t="shared" si="17"/>
        <v>0</v>
      </c>
      <c r="AY24" s="37">
        <f t="shared" si="39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44550</v>
      </c>
      <c r="B25">
        <f>'B5'!B24</f>
        <v>207</v>
      </c>
      <c r="C25" s="203">
        <f t="shared" si="18"/>
        <v>4453.8387096774195</v>
      </c>
      <c r="D25">
        <f t="shared" si="19"/>
        <v>207</v>
      </c>
      <c r="E25" s="203">
        <f t="shared" si="18"/>
        <v>4453.8387096774195</v>
      </c>
      <c r="F25">
        <f t="shared" si="20"/>
        <v>207</v>
      </c>
      <c r="G25" s="203">
        <f t="shared" si="1"/>
        <v>4453.8387096774195</v>
      </c>
      <c r="H25" s="203">
        <f t="shared" si="21"/>
        <v>207</v>
      </c>
      <c r="I25" s="203">
        <f t="shared" si="2"/>
        <v>4453.8387096774195</v>
      </c>
      <c r="J25" s="203">
        <f t="shared" si="22"/>
        <v>207</v>
      </c>
      <c r="K25" s="203">
        <f t="shared" si="3"/>
        <v>4453.8387096774195</v>
      </c>
      <c r="L25" s="203">
        <f t="shared" si="23"/>
        <v>207</v>
      </c>
      <c r="M25" s="203">
        <f t="shared" si="4"/>
        <v>4453.8387096774195</v>
      </c>
      <c r="N25" s="203">
        <f t="shared" si="24"/>
        <v>207</v>
      </c>
      <c r="O25" s="203">
        <f t="shared" si="5"/>
        <v>4453.8387096774195</v>
      </c>
      <c r="P25" s="203">
        <f t="shared" si="25"/>
        <v>207</v>
      </c>
      <c r="Q25" s="203">
        <f t="shared" si="6"/>
        <v>4453.8387096774195</v>
      </c>
      <c r="R25" s="203">
        <f t="shared" si="26"/>
        <v>207</v>
      </c>
      <c r="S25" s="203">
        <f t="shared" si="7"/>
        <v>4453.8387096774195</v>
      </c>
      <c r="T25" s="203">
        <f t="shared" si="27"/>
        <v>207</v>
      </c>
      <c r="U25" s="203">
        <f t="shared" si="8"/>
        <v>4453.8387096774195</v>
      </c>
      <c r="V25" s="203">
        <f t="shared" si="28"/>
        <v>207</v>
      </c>
      <c r="W25" s="203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3">
        <f>'B5'!C24</f>
        <v>214</v>
      </c>
      <c r="AA25" s="203">
        <f t="shared" si="30"/>
        <v>2140</v>
      </c>
      <c r="AB25" s="203">
        <f t="shared" si="31"/>
        <v>214</v>
      </c>
      <c r="AC25" s="203">
        <f t="shared" si="30"/>
        <v>2140</v>
      </c>
      <c r="AD25" s="203">
        <f t="shared" si="32"/>
        <v>214</v>
      </c>
      <c r="AE25" s="203">
        <f t="shared" si="11"/>
        <v>2140</v>
      </c>
      <c r="AF25" s="203">
        <f t="shared" si="33"/>
        <v>214</v>
      </c>
      <c r="AG25" s="203">
        <f t="shared" si="12"/>
        <v>2140</v>
      </c>
      <c r="AH25" s="203">
        <f t="shared" si="34"/>
        <v>214</v>
      </c>
      <c r="AI25" s="203">
        <f t="shared" si="13"/>
        <v>2140</v>
      </c>
      <c r="AJ25" s="203">
        <f t="shared" si="35"/>
        <v>214</v>
      </c>
      <c r="AK25" s="203">
        <f t="shared" si="14"/>
        <v>2140</v>
      </c>
      <c r="AL25" s="203">
        <f t="shared" si="36"/>
        <v>214</v>
      </c>
      <c r="AM25" s="203">
        <f t="shared" si="15"/>
        <v>2140</v>
      </c>
      <c r="AN25" s="35">
        <f t="shared" si="16"/>
        <v>0.76428571428571423</v>
      </c>
      <c r="AO25" s="36">
        <f t="shared" si="41"/>
        <v>14980</v>
      </c>
      <c r="AQ25" s="223">
        <f t="shared" si="37"/>
        <v>0.68809536201410781</v>
      </c>
      <c r="AR25" s="38">
        <f t="shared" si="38"/>
        <v>63972.225806451606</v>
      </c>
      <c r="AS25" s="197">
        <f t="shared" si="47"/>
        <v>0</v>
      </c>
      <c r="AT25" s="340"/>
      <c r="AU25" s="550"/>
      <c r="AV25" s="485">
        <f t="shared" si="43"/>
        <v>0.63400000000000001</v>
      </c>
      <c r="AW25" s="279">
        <f>-SUM('B5'!AI24)</f>
        <v>0</v>
      </c>
      <c r="AX25" s="279">
        <f t="shared" si="17"/>
        <v>0</v>
      </c>
      <c r="AY25" s="37">
        <f t="shared" si="39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 t="e">
        <f>GEN!AF22</f>
        <v>#DIV/0!</v>
      </c>
    </row>
    <row r="26" spans="1:64">
      <c r="A26" s="425">
        <f>ELEC!C24</f>
        <v>44551</v>
      </c>
      <c r="B26">
        <f>'B5'!B25</f>
        <v>207</v>
      </c>
      <c r="C26" s="203">
        <f t="shared" si="18"/>
        <v>4453.8387096774195</v>
      </c>
      <c r="D26">
        <f t="shared" si="19"/>
        <v>207</v>
      </c>
      <c r="E26" s="203">
        <f t="shared" si="18"/>
        <v>4453.8387096774195</v>
      </c>
      <c r="F26">
        <f t="shared" si="20"/>
        <v>207</v>
      </c>
      <c r="G26" s="203">
        <f t="shared" si="1"/>
        <v>4453.8387096774195</v>
      </c>
      <c r="H26" s="203">
        <f t="shared" si="21"/>
        <v>207</v>
      </c>
      <c r="I26" s="203">
        <f t="shared" si="2"/>
        <v>4453.8387096774195</v>
      </c>
      <c r="J26" s="203">
        <f t="shared" si="22"/>
        <v>207</v>
      </c>
      <c r="K26" s="203">
        <f t="shared" si="3"/>
        <v>4453.8387096774195</v>
      </c>
      <c r="L26" s="203">
        <f t="shared" si="23"/>
        <v>207</v>
      </c>
      <c r="M26" s="203">
        <f t="shared" si="4"/>
        <v>4453.8387096774195</v>
      </c>
      <c r="N26" s="203">
        <f t="shared" si="24"/>
        <v>207</v>
      </c>
      <c r="O26" s="203">
        <f t="shared" si="5"/>
        <v>4453.8387096774195</v>
      </c>
      <c r="P26" s="203">
        <f t="shared" si="25"/>
        <v>207</v>
      </c>
      <c r="Q26" s="203">
        <f t="shared" si="6"/>
        <v>4453.8387096774195</v>
      </c>
      <c r="R26" s="203">
        <f t="shared" si="26"/>
        <v>207</v>
      </c>
      <c r="S26" s="203">
        <f t="shared" si="7"/>
        <v>4453.8387096774195</v>
      </c>
      <c r="T26" s="203">
        <f t="shared" si="27"/>
        <v>207</v>
      </c>
      <c r="U26" s="203">
        <f t="shared" si="8"/>
        <v>4453.8387096774195</v>
      </c>
      <c r="V26" s="203">
        <f t="shared" si="28"/>
        <v>207</v>
      </c>
      <c r="W26" s="203">
        <f t="shared" si="9"/>
        <v>4453.8387096774195</v>
      </c>
      <c r="X26" s="35">
        <f t="shared" si="10"/>
        <v>0.66774193548387084</v>
      </c>
      <c r="Y26" s="36">
        <f t="shared" si="29"/>
        <v>48992.225806451606</v>
      </c>
      <c r="Z26" s="203">
        <f>'B5'!C25</f>
        <v>214</v>
      </c>
      <c r="AA26" s="203">
        <f t="shared" si="30"/>
        <v>2140</v>
      </c>
      <c r="AB26" s="203">
        <f t="shared" si="31"/>
        <v>214</v>
      </c>
      <c r="AC26" s="203">
        <f t="shared" si="30"/>
        <v>2140</v>
      </c>
      <c r="AD26" s="203">
        <f t="shared" si="32"/>
        <v>214</v>
      </c>
      <c r="AE26" s="203">
        <f t="shared" si="11"/>
        <v>2140</v>
      </c>
      <c r="AF26" s="203">
        <f t="shared" si="33"/>
        <v>214</v>
      </c>
      <c r="AG26" s="203">
        <f t="shared" si="12"/>
        <v>2140</v>
      </c>
      <c r="AH26" s="203">
        <f t="shared" si="34"/>
        <v>214</v>
      </c>
      <c r="AI26" s="203">
        <f t="shared" si="13"/>
        <v>2140</v>
      </c>
      <c r="AJ26" s="203">
        <f t="shared" si="35"/>
        <v>214</v>
      </c>
      <c r="AK26" s="203">
        <f t="shared" si="14"/>
        <v>2140</v>
      </c>
      <c r="AL26" s="203">
        <f t="shared" si="36"/>
        <v>214</v>
      </c>
      <c r="AM26" s="203">
        <f t="shared" si="15"/>
        <v>2140</v>
      </c>
      <c r="AN26" s="35">
        <f t="shared" si="16"/>
        <v>0.76428571428571423</v>
      </c>
      <c r="AO26" s="36">
        <f t="shared" si="41"/>
        <v>14980</v>
      </c>
      <c r="AQ26" s="223">
        <f t="shared" si="37"/>
        <v>0.68809536201410781</v>
      </c>
      <c r="AR26" s="38">
        <f t="shared" si="38"/>
        <v>63972.225806451606</v>
      </c>
      <c r="AS26" s="197">
        <f t="shared" si="47"/>
        <v>0</v>
      </c>
      <c r="AT26" s="340"/>
      <c r="AU26" s="549"/>
      <c r="AV26" s="485">
        <f t="shared" si="43"/>
        <v>0.63400000000000001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44552</v>
      </c>
      <c r="B27">
        <f>'B5'!B26</f>
        <v>207</v>
      </c>
      <c r="C27" s="203">
        <f t="shared" si="18"/>
        <v>4453.8387096774195</v>
      </c>
      <c r="D27">
        <f t="shared" si="19"/>
        <v>207</v>
      </c>
      <c r="E27" s="203">
        <f t="shared" si="18"/>
        <v>4453.8387096774195</v>
      </c>
      <c r="F27">
        <f t="shared" si="20"/>
        <v>207</v>
      </c>
      <c r="G27" s="203">
        <f t="shared" si="1"/>
        <v>4453.8387096774195</v>
      </c>
      <c r="H27" s="203">
        <f t="shared" si="21"/>
        <v>207</v>
      </c>
      <c r="I27" s="203">
        <f t="shared" si="2"/>
        <v>4453.8387096774195</v>
      </c>
      <c r="J27" s="203">
        <f t="shared" si="22"/>
        <v>207</v>
      </c>
      <c r="K27" s="203">
        <f t="shared" si="3"/>
        <v>4453.8387096774195</v>
      </c>
      <c r="L27" s="203">
        <f t="shared" si="23"/>
        <v>207</v>
      </c>
      <c r="M27" s="203">
        <f t="shared" si="4"/>
        <v>4453.8387096774195</v>
      </c>
      <c r="N27" s="203">
        <f t="shared" si="24"/>
        <v>207</v>
      </c>
      <c r="O27" s="203">
        <f t="shared" si="5"/>
        <v>4453.8387096774195</v>
      </c>
      <c r="P27" s="203">
        <f t="shared" si="25"/>
        <v>207</v>
      </c>
      <c r="Q27" s="203">
        <f t="shared" si="6"/>
        <v>4453.8387096774195</v>
      </c>
      <c r="R27" s="203">
        <f t="shared" si="26"/>
        <v>207</v>
      </c>
      <c r="S27" s="203">
        <f t="shared" si="7"/>
        <v>4453.8387096774195</v>
      </c>
      <c r="T27" s="203">
        <f t="shared" si="27"/>
        <v>207</v>
      </c>
      <c r="U27" s="203">
        <f t="shared" si="8"/>
        <v>4453.8387096774195</v>
      </c>
      <c r="V27" s="203">
        <f t="shared" si="28"/>
        <v>207</v>
      </c>
      <c r="W27" s="203">
        <f t="shared" si="9"/>
        <v>4453.8387096774195</v>
      </c>
      <c r="X27" s="35">
        <f t="shared" si="10"/>
        <v>0.66774193548387084</v>
      </c>
      <c r="Y27" s="36">
        <f t="shared" si="29"/>
        <v>48992.225806451606</v>
      </c>
      <c r="Z27" s="203">
        <f>'B5'!C26</f>
        <v>214</v>
      </c>
      <c r="AA27" s="203">
        <f t="shared" si="30"/>
        <v>2140</v>
      </c>
      <c r="AB27" s="203">
        <f t="shared" si="31"/>
        <v>214</v>
      </c>
      <c r="AC27" s="203">
        <f t="shared" si="30"/>
        <v>2140</v>
      </c>
      <c r="AD27" s="203">
        <f t="shared" si="32"/>
        <v>214</v>
      </c>
      <c r="AE27" s="203">
        <f t="shared" si="11"/>
        <v>2140</v>
      </c>
      <c r="AF27" s="203">
        <f t="shared" si="33"/>
        <v>214</v>
      </c>
      <c r="AG27" s="203">
        <f t="shared" si="12"/>
        <v>2140</v>
      </c>
      <c r="AH27" s="203">
        <f t="shared" si="34"/>
        <v>214</v>
      </c>
      <c r="AI27" s="203">
        <f t="shared" si="13"/>
        <v>2140</v>
      </c>
      <c r="AJ27" s="203">
        <f t="shared" si="35"/>
        <v>214</v>
      </c>
      <c r="AK27" s="203">
        <f t="shared" si="14"/>
        <v>2140</v>
      </c>
      <c r="AL27" s="203">
        <f t="shared" si="36"/>
        <v>214</v>
      </c>
      <c r="AM27" s="203">
        <f t="shared" si="15"/>
        <v>2140</v>
      </c>
      <c r="AN27" s="35">
        <f t="shared" si="16"/>
        <v>0.76428571428571423</v>
      </c>
      <c r="AO27" s="36">
        <f t="shared" si="41"/>
        <v>14980</v>
      </c>
      <c r="AQ27" s="223">
        <f t="shared" si="37"/>
        <v>0.68809536201410781</v>
      </c>
      <c r="AR27" s="38">
        <f t="shared" si="38"/>
        <v>63972.225806451606</v>
      </c>
      <c r="AS27" s="197">
        <f t="shared" si="47"/>
        <v>0</v>
      </c>
      <c r="AT27" s="340"/>
      <c r="AU27" s="549"/>
      <c r="AV27" s="485">
        <f t="shared" si="43"/>
        <v>0.63400000000000001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44553</v>
      </c>
      <c r="B28">
        <f>'B5'!B27</f>
        <v>207</v>
      </c>
      <c r="C28" s="203">
        <f t="shared" si="18"/>
        <v>4453.8387096774195</v>
      </c>
      <c r="D28">
        <f t="shared" si="19"/>
        <v>207</v>
      </c>
      <c r="E28" s="203">
        <f t="shared" si="18"/>
        <v>4453.8387096774195</v>
      </c>
      <c r="F28">
        <f t="shared" si="20"/>
        <v>207</v>
      </c>
      <c r="G28" s="203">
        <f t="shared" si="1"/>
        <v>4453.8387096774195</v>
      </c>
      <c r="H28" s="203">
        <f t="shared" si="21"/>
        <v>207</v>
      </c>
      <c r="I28" s="203">
        <f t="shared" si="2"/>
        <v>4453.8387096774195</v>
      </c>
      <c r="J28" s="203">
        <f t="shared" si="22"/>
        <v>207</v>
      </c>
      <c r="K28" s="203">
        <f t="shared" si="3"/>
        <v>4453.8387096774195</v>
      </c>
      <c r="L28" s="203">
        <f t="shared" si="23"/>
        <v>207</v>
      </c>
      <c r="M28" s="203">
        <f t="shared" si="4"/>
        <v>4453.8387096774195</v>
      </c>
      <c r="N28" s="203">
        <f t="shared" si="24"/>
        <v>207</v>
      </c>
      <c r="O28" s="203">
        <f t="shared" si="5"/>
        <v>4453.8387096774195</v>
      </c>
      <c r="P28" s="203">
        <f t="shared" si="25"/>
        <v>207</v>
      </c>
      <c r="Q28" s="203">
        <f t="shared" si="6"/>
        <v>4453.8387096774195</v>
      </c>
      <c r="R28" s="203">
        <f t="shared" si="26"/>
        <v>207</v>
      </c>
      <c r="S28" s="203">
        <f t="shared" si="7"/>
        <v>4453.8387096774195</v>
      </c>
      <c r="T28" s="203">
        <f t="shared" si="27"/>
        <v>207</v>
      </c>
      <c r="U28" s="203">
        <f t="shared" si="8"/>
        <v>4453.8387096774195</v>
      </c>
      <c r="V28" s="203">
        <f t="shared" si="28"/>
        <v>207</v>
      </c>
      <c r="W28" s="203">
        <f t="shared" si="9"/>
        <v>4453.8387096774195</v>
      </c>
      <c r="X28" s="35">
        <f t="shared" si="10"/>
        <v>0.66774193548387084</v>
      </c>
      <c r="Y28" s="36">
        <f t="shared" si="29"/>
        <v>48992.225806451606</v>
      </c>
      <c r="Z28" s="203">
        <f>'B5'!C27</f>
        <v>214</v>
      </c>
      <c r="AA28" s="203">
        <f t="shared" si="30"/>
        <v>2140</v>
      </c>
      <c r="AB28" s="203">
        <f t="shared" si="31"/>
        <v>214</v>
      </c>
      <c r="AC28" s="203">
        <f t="shared" si="30"/>
        <v>2140</v>
      </c>
      <c r="AD28" s="203">
        <f t="shared" si="32"/>
        <v>214</v>
      </c>
      <c r="AE28" s="203">
        <f t="shared" si="11"/>
        <v>2140</v>
      </c>
      <c r="AF28" s="203">
        <f t="shared" si="33"/>
        <v>214</v>
      </c>
      <c r="AG28" s="203">
        <f t="shared" si="12"/>
        <v>2140</v>
      </c>
      <c r="AH28" s="203">
        <f t="shared" si="34"/>
        <v>214</v>
      </c>
      <c r="AI28" s="203">
        <f t="shared" si="13"/>
        <v>2140</v>
      </c>
      <c r="AJ28" s="203">
        <f t="shared" si="35"/>
        <v>214</v>
      </c>
      <c r="AK28" s="203">
        <f t="shared" si="14"/>
        <v>2140</v>
      </c>
      <c r="AL28" s="203">
        <f t="shared" si="36"/>
        <v>214</v>
      </c>
      <c r="AM28" s="203">
        <f t="shared" si="15"/>
        <v>2140</v>
      </c>
      <c r="AN28" s="35">
        <f t="shared" si="16"/>
        <v>0.76428571428571423</v>
      </c>
      <c r="AO28" s="36">
        <f t="shared" si="41"/>
        <v>14980</v>
      </c>
      <c r="AQ28" s="223">
        <f t="shared" si="37"/>
        <v>0.68809536201410781</v>
      </c>
      <c r="AR28" s="38">
        <f t="shared" si="38"/>
        <v>63972.225806451606</v>
      </c>
      <c r="AS28" s="197">
        <f t="shared" si="47"/>
        <v>0</v>
      </c>
      <c r="AT28" s="340"/>
      <c r="AU28" s="550"/>
      <c r="AV28" s="485">
        <f t="shared" si="43"/>
        <v>0.63400000000000001</v>
      </c>
      <c r="AW28" s="279">
        <f>-SUM('B5'!AI27)</f>
        <v>0</v>
      </c>
      <c r="AX28" s="279">
        <f t="shared" si="17"/>
        <v>0</v>
      </c>
      <c r="AY28" s="37">
        <f t="shared" si="39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44554</v>
      </c>
      <c r="B29">
        <f>'B5'!B28</f>
        <v>207</v>
      </c>
      <c r="C29" s="203">
        <f t="shared" si="18"/>
        <v>4453.8387096774195</v>
      </c>
      <c r="D29">
        <f t="shared" si="19"/>
        <v>207</v>
      </c>
      <c r="E29" s="203">
        <f t="shared" si="18"/>
        <v>4453.8387096774195</v>
      </c>
      <c r="F29">
        <f t="shared" si="20"/>
        <v>207</v>
      </c>
      <c r="G29" s="203">
        <f t="shared" si="1"/>
        <v>4453.8387096774195</v>
      </c>
      <c r="H29" s="203">
        <f t="shared" si="21"/>
        <v>207</v>
      </c>
      <c r="I29" s="203">
        <f t="shared" si="2"/>
        <v>4453.8387096774195</v>
      </c>
      <c r="J29" s="203">
        <f t="shared" si="22"/>
        <v>207</v>
      </c>
      <c r="K29" s="203">
        <f t="shared" si="3"/>
        <v>4453.8387096774195</v>
      </c>
      <c r="L29" s="203">
        <f t="shared" si="23"/>
        <v>207</v>
      </c>
      <c r="M29" s="203">
        <f t="shared" si="4"/>
        <v>4453.8387096774195</v>
      </c>
      <c r="N29" s="203">
        <f t="shared" si="24"/>
        <v>207</v>
      </c>
      <c r="O29" s="203">
        <f t="shared" si="5"/>
        <v>4453.8387096774195</v>
      </c>
      <c r="P29" s="203">
        <f t="shared" si="25"/>
        <v>207</v>
      </c>
      <c r="Q29" s="203">
        <f t="shared" si="6"/>
        <v>4453.8387096774195</v>
      </c>
      <c r="R29" s="203">
        <f t="shared" si="26"/>
        <v>207</v>
      </c>
      <c r="S29" s="203">
        <f t="shared" si="7"/>
        <v>4453.8387096774195</v>
      </c>
      <c r="T29" s="203">
        <f t="shared" si="27"/>
        <v>207</v>
      </c>
      <c r="U29" s="203">
        <f t="shared" si="8"/>
        <v>4453.8387096774195</v>
      </c>
      <c r="V29" s="203">
        <f t="shared" si="28"/>
        <v>207</v>
      </c>
      <c r="W29" s="203">
        <f t="shared" si="9"/>
        <v>4453.8387096774195</v>
      </c>
      <c r="X29" s="35">
        <f t="shared" si="10"/>
        <v>0.66774193548387084</v>
      </c>
      <c r="Y29" s="36">
        <f t="shared" si="29"/>
        <v>48992.225806451606</v>
      </c>
      <c r="Z29" s="203">
        <f>'B5'!C28</f>
        <v>214</v>
      </c>
      <c r="AA29" s="203">
        <f t="shared" si="30"/>
        <v>2140</v>
      </c>
      <c r="AB29" s="203">
        <f t="shared" si="31"/>
        <v>214</v>
      </c>
      <c r="AC29" s="203">
        <f t="shared" si="30"/>
        <v>2140</v>
      </c>
      <c r="AD29" s="203">
        <f t="shared" si="32"/>
        <v>214</v>
      </c>
      <c r="AE29" s="203">
        <f t="shared" si="11"/>
        <v>2140</v>
      </c>
      <c r="AF29" s="203">
        <f t="shared" si="33"/>
        <v>214</v>
      </c>
      <c r="AG29" s="203">
        <f t="shared" si="12"/>
        <v>2140</v>
      </c>
      <c r="AH29" s="203">
        <f t="shared" si="34"/>
        <v>214</v>
      </c>
      <c r="AI29" s="203">
        <f t="shared" si="13"/>
        <v>2140</v>
      </c>
      <c r="AJ29" s="203">
        <f t="shared" si="35"/>
        <v>214</v>
      </c>
      <c r="AK29" s="203">
        <f t="shared" si="14"/>
        <v>2140</v>
      </c>
      <c r="AL29" s="203">
        <f t="shared" si="36"/>
        <v>214</v>
      </c>
      <c r="AM29" s="203">
        <f t="shared" si="15"/>
        <v>2140</v>
      </c>
      <c r="AN29" s="35">
        <f t="shared" si="16"/>
        <v>0.76428571428571423</v>
      </c>
      <c r="AO29" s="36">
        <f t="shared" si="41"/>
        <v>14980</v>
      </c>
      <c r="AQ29" s="223">
        <f t="shared" si="37"/>
        <v>0.68809536201410781</v>
      </c>
      <c r="AR29" s="38">
        <f t="shared" si="38"/>
        <v>63972.225806451606</v>
      </c>
      <c r="AS29" s="197">
        <f>SUM(AR29-AR28-AT29)</f>
        <v>0</v>
      </c>
      <c r="AT29" s="340"/>
      <c r="AU29" s="550"/>
      <c r="AV29" s="485">
        <f t="shared" si="43"/>
        <v>0.63400000000000001</v>
      </c>
      <c r="AW29" s="279">
        <f>-SUM('B5'!AI28)</f>
        <v>0</v>
      </c>
      <c r="AX29" s="279">
        <f t="shared" si="17"/>
        <v>0</v>
      </c>
      <c r="AY29" s="37">
        <f t="shared" si="39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44555</v>
      </c>
      <c r="B30">
        <f>'B5'!B29</f>
        <v>207</v>
      </c>
      <c r="C30" s="203">
        <f t="shared" si="18"/>
        <v>4453.8387096774195</v>
      </c>
      <c r="D30">
        <f t="shared" ref="D30:D35" si="48">SUM(B30)</f>
        <v>207</v>
      </c>
      <c r="E30" s="203">
        <f t="shared" si="18"/>
        <v>4453.8387096774195</v>
      </c>
      <c r="F30">
        <f t="shared" ref="F30:F35" si="49">SUM(D30)</f>
        <v>207</v>
      </c>
      <c r="G30" s="203">
        <f t="shared" si="1"/>
        <v>4453.8387096774195</v>
      </c>
      <c r="H30" s="203">
        <f t="shared" ref="H30:H35" si="50">SUM(F30)</f>
        <v>207</v>
      </c>
      <c r="I30" s="203">
        <f t="shared" si="2"/>
        <v>4453.8387096774195</v>
      </c>
      <c r="J30" s="203">
        <f t="shared" ref="J30:J35" si="51">SUM(H30)</f>
        <v>207</v>
      </c>
      <c r="K30" s="203">
        <f t="shared" si="3"/>
        <v>4453.8387096774195</v>
      </c>
      <c r="L30" s="203">
        <f t="shared" ref="L30:L35" si="52">SUM(J30)</f>
        <v>207</v>
      </c>
      <c r="M30" s="203">
        <f t="shared" si="4"/>
        <v>4453.8387096774195</v>
      </c>
      <c r="N30" s="203">
        <f t="shared" ref="N30:N35" si="53">SUM(L30)</f>
        <v>207</v>
      </c>
      <c r="O30" s="203">
        <f t="shared" si="5"/>
        <v>4453.8387096774195</v>
      </c>
      <c r="P30" s="203">
        <f t="shared" ref="P30:P35" si="54">SUM(N30)</f>
        <v>207</v>
      </c>
      <c r="Q30" s="203">
        <f t="shared" si="6"/>
        <v>4453.8387096774195</v>
      </c>
      <c r="R30" s="203">
        <f t="shared" ref="R30:R35" si="55">SUM(P30)</f>
        <v>207</v>
      </c>
      <c r="S30" s="203">
        <f t="shared" si="7"/>
        <v>4453.8387096774195</v>
      </c>
      <c r="T30" s="203">
        <f t="shared" ref="T30:T35" si="56">SUM(R30)</f>
        <v>207</v>
      </c>
      <c r="U30" s="203">
        <f t="shared" si="8"/>
        <v>4453.8387096774195</v>
      </c>
      <c r="V30" s="203">
        <f t="shared" ref="V30:V35" si="57">SUM(T30)</f>
        <v>207</v>
      </c>
      <c r="W30" s="203">
        <f t="shared" si="9"/>
        <v>4453.8387096774195</v>
      </c>
      <c r="X30" s="35">
        <f t="shared" ref="X30:X35" si="58">SUM(Y30/73370)</f>
        <v>0.66774193548387084</v>
      </c>
      <c r="Y30" s="36">
        <f t="shared" ref="Y30:Y35" si="59">SUM(C30+E30+G30+I30+K30+M30+O30+Q30+S30+U30+W30)</f>
        <v>48992.225806451606</v>
      </c>
      <c r="Z30" s="203">
        <f>'B5'!C29</f>
        <v>214</v>
      </c>
      <c r="AA30" s="203">
        <f t="shared" si="30"/>
        <v>2140</v>
      </c>
      <c r="AB30" s="203">
        <f t="shared" ref="AB30:AB35" si="60">SUM(Z30)</f>
        <v>214</v>
      </c>
      <c r="AC30" s="203">
        <f t="shared" si="30"/>
        <v>2140</v>
      </c>
      <c r="AD30" s="203">
        <f t="shared" ref="AD30:AD35" si="61">SUM(AB30)</f>
        <v>214</v>
      </c>
      <c r="AE30" s="203">
        <f t="shared" si="11"/>
        <v>2140</v>
      </c>
      <c r="AF30" s="203">
        <f t="shared" ref="AF30:AF35" si="62">SUM(AD30)</f>
        <v>214</v>
      </c>
      <c r="AG30" s="203">
        <f t="shared" si="12"/>
        <v>2140</v>
      </c>
      <c r="AH30" s="203">
        <f t="shared" ref="AH30:AH35" si="63">SUM(AF30)</f>
        <v>214</v>
      </c>
      <c r="AI30" s="203">
        <f t="shared" si="13"/>
        <v>2140</v>
      </c>
      <c r="AJ30" s="203">
        <f t="shared" ref="AJ30:AJ35" si="64">SUM(AH30)</f>
        <v>214</v>
      </c>
      <c r="AK30" s="203">
        <f t="shared" si="14"/>
        <v>2140</v>
      </c>
      <c r="AL30" s="203">
        <f t="shared" ref="AL30:AL35" si="65">SUM(AJ30)</f>
        <v>214</v>
      </c>
      <c r="AM30" s="203">
        <f t="shared" si="15"/>
        <v>2140</v>
      </c>
      <c r="AN30" s="35">
        <f t="shared" ref="AN30:AN35" si="66">SUM(AO30/19600)</f>
        <v>0.76428571428571423</v>
      </c>
      <c r="AO30" s="36">
        <f t="shared" ref="AO30:AO35" si="67">SUM(AA30+AC30+AE30+AG30+AI30+AK30+AM30)</f>
        <v>14980</v>
      </c>
      <c r="AQ30" s="223">
        <f t="shared" si="37"/>
        <v>0.68809536201410781</v>
      </c>
      <c r="AR30" s="38">
        <f t="shared" si="38"/>
        <v>63972.225806451606</v>
      </c>
      <c r="AS30" s="197">
        <f>SUM(AR30-AR29-AT30)</f>
        <v>0</v>
      </c>
      <c r="AT30" s="340"/>
      <c r="AU30" s="550"/>
      <c r="AV30" s="485">
        <f t="shared" si="43"/>
        <v>0.63400000000000001</v>
      </c>
      <c r="AW30" s="279">
        <f>-SUM('B5'!AI29)</f>
        <v>0</v>
      </c>
      <c r="AX30" s="279">
        <f t="shared" si="17"/>
        <v>0</v>
      </c>
      <c r="AY30" s="37">
        <f t="shared" si="39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44556</v>
      </c>
      <c r="B31">
        <f>'B5'!B30</f>
        <v>207</v>
      </c>
      <c r="C31" s="203">
        <f t="shared" si="18"/>
        <v>4453.8387096774195</v>
      </c>
      <c r="D31">
        <f t="shared" si="48"/>
        <v>207</v>
      </c>
      <c r="E31" s="203">
        <f t="shared" si="18"/>
        <v>4453.8387096774195</v>
      </c>
      <c r="F31">
        <f t="shared" si="49"/>
        <v>207</v>
      </c>
      <c r="G31" s="203">
        <f t="shared" si="1"/>
        <v>4453.8387096774195</v>
      </c>
      <c r="H31" s="203">
        <f t="shared" si="50"/>
        <v>207</v>
      </c>
      <c r="I31" s="203">
        <f t="shared" si="2"/>
        <v>4453.8387096774195</v>
      </c>
      <c r="J31" s="203">
        <f t="shared" si="51"/>
        <v>207</v>
      </c>
      <c r="K31" s="203">
        <f t="shared" si="3"/>
        <v>4453.8387096774195</v>
      </c>
      <c r="L31" s="203">
        <f t="shared" si="52"/>
        <v>207</v>
      </c>
      <c r="M31" s="203">
        <f t="shared" si="4"/>
        <v>4453.8387096774195</v>
      </c>
      <c r="N31" s="203">
        <f t="shared" si="53"/>
        <v>207</v>
      </c>
      <c r="O31" s="203">
        <f t="shared" si="5"/>
        <v>4453.8387096774195</v>
      </c>
      <c r="P31" s="203">
        <f t="shared" si="54"/>
        <v>207</v>
      </c>
      <c r="Q31" s="203">
        <f t="shared" si="6"/>
        <v>4453.8387096774195</v>
      </c>
      <c r="R31" s="203">
        <f t="shared" si="55"/>
        <v>207</v>
      </c>
      <c r="S31" s="203">
        <f t="shared" si="7"/>
        <v>4453.8387096774195</v>
      </c>
      <c r="T31" s="203">
        <f t="shared" si="56"/>
        <v>207</v>
      </c>
      <c r="U31" s="203">
        <f t="shared" si="8"/>
        <v>4453.8387096774195</v>
      </c>
      <c r="V31" s="203">
        <f t="shared" si="57"/>
        <v>207</v>
      </c>
      <c r="W31" s="203">
        <f t="shared" si="9"/>
        <v>4453.8387096774195</v>
      </c>
      <c r="X31" s="35">
        <f t="shared" si="58"/>
        <v>0.66774193548387084</v>
      </c>
      <c r="Y31" s="36">
        <f t="shared" si="59"/>
        <v>48992.225806451606</v>
      </c>
      <c r="Z31" s="203">
        <f>'B5'!C30</f>
        <v>214</v>
      </c>
      <c r="AA31" s="203">
        <f t="shared" si="30"/>
        <v>2140</v>
      </c>
      <c r="AB31" s="203">
        <f t="shared" si="60"/>
        <v>214</v>
      </c>
      <c r="AC31" s="203">
        <f t="shared" si="30"/>
        <v>2140</v>
      </c>
      <c r="AD31" s="203">
        <f t="shared" si="61"/>
        <v>214</v>
      </c>
      <c r="AE31" s="203">
        <f t="shared" si="11"/>
        <v>2140</v>
      </c>
      <c r="AF31" s="203">
        <f t="shared" si="62"/>
        <v>214</v>
      </c>
      <c r="AG31" s="203">
        <f t="shared" si="12"/>
        <v>2140</v>
      </c>
      <c r="AH31" s="203">
        <f t="shared" si="63"/>
        <v>214</v>
      </c>
      <c r="AI31" s="203">
        <f t="shared" si="13"/>
        <v>2140</v>
      </c>
      <c r="AJ31" s="203">
        <f t="shared" si="64"/>
        <v>214</v>
      </c>
      <c r="AK31" s="203">
        <f t="shared" si="14"/>
        <v>2140</v>
      </c>
      <c r="AL31" s="203">
        <f t="shared" si="65"/>
        <v>214</v>
      </c>
      <c r="AM31" s="203">
        <f t="shared" si="15"/>
        <v>2140</v>
      </c>
      <c r="AN31" s="35">
        <f t="shared" si="66"/>
        <v>0.76428571428571423</v>
      </c>
      <c r="AO31" s="36">
        <f t="shared" si="67"/>
        <v>14980</v>
      </c>
      <c r="AQ31" s="223">
        <f t="shared" si="37"/>
        <v>0.68809536201410781</v>
      </c>
      <c r="AR31" s="38">
        <f t="shared" si="38"/>
        <v>63972.225806451606</v>
      </c>
      <c r="AS31" s="197">
        <f t="shared" si="47"/>
        <v>0</v>
      </c>
      <c r="AT31" s="340"/>
      <c r="AU31" s="575"/>
      <c r="AV31" s="485">
        <f t="shared" si="43"/>
        <v>0.63400000000000001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44557</v>
      </c>
      <c r="B32">
        <f>'B5'!B31</f>
        <v>207</v>
      </c>
      <c r="C32" s="203">
        <f t="shared" si="18"/>
        <v>4453.8387096774195</v>
      </c>
      <c r="D32">
        <f t="shared" si="48"/>
        <v>207</v>
      </c>
      <c r="E32" s="203">
        <f t="shared" si="18"/>
        <v>4453.8387096774195</v>
      </c>
      <c r="F32">
        <f t="shared" si="49"/>
        <v>207</v>
      </c>
      <c r="G32" s="203">
        <f t="shared" si="1"/>
        <v>4453.8387096774195</v>
      </c>
      <c r="H32" s="203">
        <f t="shared" si="50"/>
        <v>207</v>
      </c>
      <c r="I32" s="203">
        <f t="shared" si="2"/>
        <v>4453.8387096774195</v>
      </c>
      <c r="J32" s="203">
        <f t="shared" si="51"/>
        <v>207</v>
      </c>
      <c r="K32" s="203">
        <f t="shared" si="3"/>
        <v>4453.8387096774195</v>
      </c>
      <c r="L32" s="203">
        <f t="shared" si="52"/>
        <v>207</v>
      </c>
      <c r="M32" s="203">
        <f t="shared" si="4"/>
        <v>4453.8387096774195</v>
      </c>
      <c r="N32" s="203">
        <f t="shared" si="53"/>
        <v>207</v>
      </c>
      <c r="O32" s="203">
        <f t="shared" si="5"/>
        <v>4453.8387096774195</v>
      </c>
      <c r="P32" s="203">
        <f t="shared" si="54"/>
        <v>207</v>
      </c>
      <c r="Q32" s="203">
        <f t="shared" si="6"/>
        <v>4453.8387096774195</v>
      </c>
      <c r="R32" s="203">
        <f t="shared" si="55"/>
        <v>207</v>
      </c>
      <c r="S32" s="203">
        <f t="shared" si="7"/>
        <v>4453.8387096774195</v>
      </c>
      <c r="T32" s="203">
        <f t="shared" si="56"/>
        <v>207</v>
      </c>
      <c r="U32" s="203">
        <f t="shared" si="8"/>
        <v>4453.8387096774195</v>
      </c>
      <c r="V32" s="203">
        <f t="shared" si="57"/>
        <v>207</v>
      </c>
      <c r="W32" s="203">
        <f t="shared" si="9"/>
        <v>4453.8387096774195</v>
      </c>
      <c r="X32" s="35">
        <f t="shared" si="58"/>
        <v>0.66774193548387084</v>
      </c>
      <c r="Y32" s="36">
        <f t="shared" si="59"/>
        <v>48992.225806451606</v>
      </c>
      <c r="Z32" s="203">
        <f>'B5'!C31</f>
        <v>214</v>
      </c>
      <c r="AA32" s="203">
        <f t="shared" si="30"/>
        <v>2140</v>
      </c>
      <c r="AB32" s="203">
        <f t="shared" si="60"/>
        <v>214</v>
      </c>
      <c r="AC32" s="203">
        <f t="shared" si="30"/>
        <v>2140</v>
      </c>
      <c r="AD32" s="203">
        <f t="shared" si="61"/>
        <v>214</v>
      </c>
      <c r="AE32" s="203">
        <f t="shared" si="11"/>
        <v>2140</v>
      </c>
      <c r="AF32" s="203">
        <f t="shared" si="62"/>
        <v>214</v>
      </c>
      <c r="AG32" s="203">
        <f t="shared" si="12"/>
        <v>2140</v>
      </c>
      <c r="AH32" s="203">
        <f t="shared" si="63"/>
        <v>214</v>
      </c>
      <c r="AI32" s="203">
        <f t="shared" si="13"/>
        <v>2140</v>
      </c>
      <c r="AJ32" s="203">
        <f t="shared" si="64"/>
        <v>214</v>
      </c>
      <c r="AK32" s="203">
        <f t="shared" si="14"/>
        <v>2140</v>
      </c>
      <c r="AL32" s="203">
        <f t="shared" si="65"/>
        <v>214</v>
      </c>
      <c r="AM32" s="203">
        <f t="shared" si="15"/>
        <v>2140</v>
      </c>
      <c r="AN32" s="35">
        <f t="shared" si="66"/>
        <v>0.76428571428571423</v>
      </c>
      <c r="AO32" s="36">
        <f t="shared" si="67"/>
        <v>14980</v>
      </c>
      <c r="AQ32" s="223">
        <f t="shared" si="37"/>
        <v>0.68809536201410781</v>
      </c>
      <c r="AR32" s="38">
        <f t="shared" si="38"/>
        <v>63972.225806451606</v>
      </c>
      <c r="AS32" s="197">
        <f t="shared" si="47"/>
        <v>0</v>
      </c>
      <c r="AT32" s="340"/>
      <c r="AU32" s="549"/>
      <c r="AV32" s="485">
        <f>IF(AT32&gt;0,AU32,AV31)</f>
        <v>0.63400000000000001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44558</v>
      </c>
      <c r="B33">
        <f>'B5'!B32</f>
        <v>207</v>
      </c>
      <c r="C33" s="203">
        <f t="shared" si="18"/>
        <v>4453.8387096774195</v>
      </c>
      <c r="D33">
        <f t="shared" si="48"/>
        <v>207</v>
      </c>
      <c r="E33" s="203">
        <f t="shared" si="18"/>
        <v>4453.8387096774195</v>
      </c>
      <c r="F33">
        <f t="shared" si="49"/>
        <v>207</v>
      </c>
      <c r="G33" s="203">
        <f t="shared" si="1"/>
        <v>4453.8387096774195</v>
      </c>
      <c r="H33" s="203">
        <f t="shared" si="50"/>
        <v>207</v>
      </c>
      <c r="I33" s="203">
        <f t="shared" si="2"/>
        <v>4453.8387096774195</v>
      </c>
      <c r="J33" s="203">
        <f t="shared" si="51"/>
        <v>207</v>
      </c>
      <c r="K33" s="203">
        <f t="shared" si="3"/>
        <v>4453.8387096774195</v>
      </c>
      <c r="L33" s="203">
        <f t="shared" si="52"/>
        <v>207</v>
      </c>
      <c r="M33" s="203">
        <f t="shared" si="4"/>
        <v>4453.8387096774195</v>
      </c>
      <c r="N33" s="203">
        <f t="shared" si="53"/>
        <v>207</v>
      </c>
      <c r="O33" s="203">
        <f t="shared" si="5"/>
        <v>4453.8387096774195</v>
      </c>
      <c r="P33" s="203">
        <f t="shared" si="54"/>
        <v>207</v>
      </c>
      <c r="Q33" s="203">
        <f t="shared" si="6"/>
        <v>4453.8387096774195</v>
      </c>
      <c r="R33" s="203">
        <f t="shared" si="55"/>
        <v>207</v>
      </c>
      <c r="S33" s="203">
        <f t="shared" si="7"/>
        <v>4453.8387096774195</v>
      </c>
      <c r="T33" s="203">
        <f t="shared" si="56"/>
        <v>207</v>
      </c>
      <c r="U33" s="203">
        <f t="shared" si="8"/>
        <v>4453.8387096774195</v>
      </c>
      <c r="V33" s="203">
        <f t="shared" si="57"/>
        <v>207</v>
      </c>
      <c r="W33" s="203">
        <f t="shared" si="9"/>
        <v>4453.8387096774195</v>
      </c>
      <c r="X33" s="35">
        <f t="shared" si="58"/>
        <v>0.66774193548387084</v>
      </c>
      <c r="Y33" s="36">
        <f t="shared" si="59"/>
        <v>48992.225806451606</v>
      </c>
      <c r="Z33" s="203">
        <f>'B5'!C32</f>
        <v>214</v>
      </c>
      <c r="AA33" s="203">
        <f t="shared" si="30"/>
        <v>2140</v>
      </c>
      <c r="AB33" s="203">
        <f t="shared" si="60"/>
        <v>214</v>
      </c>
      <c r="AC33" s="203">
        <f t="shared" si="30"/>
        <v>2140</v>
      </c>
      <c r="AD33" s="203">
        <f t="shared" si="61"/>
        <v>214</v>
      </c>
      <c r="AE33" s="203">
        <f t="shared" si="11"/>
        <v>2140</v>
      </c>
      <c r="AF33" s="203">
        <f t="shared" si="62"/>
        <v>214</v>
      </c>
      <c r="AG33" s="203">
        <f t="shared" si="12"/>
        <v>2140</v>
      </c>
      <c r="AH33" s="203">
        <f t="shared" si="63"/>
        <v>214</v>
      </c>
      <c r="AI33" s="203">
        <f t="shared" si="13"/>
        <v>2140</v>
      </c>
      <c r="AJ33" s="203">
        <f t="shared" si="64"/>
        <v>214</v>
      </c>
      <c r="AK33" s="203">
        <f t="shared" si="14"/>
        <v>2140</v>
      </c>
      <c r="AL33" s="203">
        <f t="shared" si="65"/>
        <v>214</v>
      </c>
      <c r="AM33" s="203">
        <f t="shared" si="15"/>
        <v>2140</v>
      </c>
      <c r="AN33" s="35">
        <f t="shared" si="66"/>
        <v>0.76428571428571423</v>
      </c>
      <c r="AO33" s="36">
        <f t="shared" si="67"/>
        <v>14980</v>
      </c>
      <c r="AQ33" s="223">
        <f t="shared" si="37"/>
        <v>0.68809536201410781</v>
      </c>
      <c r="AR33" s="38">
        <f t="shared" si="38"/>
        <v>63972.225806451606</v>
      </c>
      <c r="AS33" s="197">
        <f>SUM(AR33-AR32-AT33)</f>
        <v>0</v>
      </c>
      <c r="AT33" s="340"/>
      <c r="AU33" s="549"/>
      <c r="AV33" s="485">
        <f>IF(AT33&gt;0,AU33,AV32)</f>
        <v>0.63400000000000001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44559</v>
      </c>
      <c r="B34">
        <f>'B5'!B33</f>
        <v>207</v>
      </c>
      <c r="C34" s="203">
        <f>B34*$B$4</f>
        <v>4453.8387096774195</v>
      </c>
      <c r="D34">
        <f t="shared" si="48"/>
        <v>207</v>
      </c>
      <c r="E34" s="203">
        <f>D34*$B$4</f>
        <v>4453.8387096774195</v>
      </c>
      <c r="F34">
        <f t="shared" si="49"/>
        <v>207</v>
      </c>
      <c r="G34" s="203">
        <f>F34*$B$4</f>
        <v>4453.8387096774195</v>
      </c>
      <c r="H34" s="203">
        <f t="shared" si="50"/>
        <v>207</v>
      </c>
      <c r="I34" s="203">
        <f>H34*$B$4</f>
        <v>4453.8387096774195</v>
      </c>
      <c r="J34" s="203">
        <f t="shared" si="51"/>
        <v>207</v>
      </c>
      <c r="K34" s="203">
        <f>J34*$B$4</f>
        <v>4453.8387096774195</v>
      </c>
      <c r="L34" s="203">
        <f t="shared" si="52"/>
        <v>207</v>
      </c>
      <c r="M34" s="203">
        <f>L34*$B$4</f>
        <v>4453.8387096774195</v>
      </c>
      <c r="N34" s="203">
        <f t="shared" si="53"/>
        <v>207</v>
      </c>
      <c r="O34" s="203">
        <f>N34*$B$4</f>
        <v>4453.8387096774195</v>
      </c>
      <c r="P34" s="203">
        <f t="shared" si="54"/>
        <v>207</v>
      </c>
      <c r="Q34" s="203">
        <f>P34*$B$4</f>
        <v>4453.8387096774195</v>
      </c>
      <c r="R34" s="203">
        <f t="shared" si="55"/>
        <v>207</v>
      </c>
      <c r="S34" s="203">
        <f>R34*$B$4</f>
        <v>4453.8387096774195</v>
      </c>
      <c r="T34" s="203">
        <f t="shared" si="56"/>
        <v>207</v>
      </c>
      <c r="U34" s="203">
        <f>T34*$B$4</f>
        <v>4453.8387096774195</v>
      </c>
      <c r="V34" s="203">
        <f t="shared" si="57"/>
        <v>207</v>
      </c>
      <c r="W34" s="203">
        <f>V34*$B$4</f>
        <v>4453.8387096774195</v>
      </c>
      <c r="X34" s="35">
        <f t="shared" si="58"/>
        <v>0.66774193548387084</v>
      </c>
      <c r="Y34" s="36">
        <f t="shared" si="59"/>
        <v>48992.225806451606</v>
      </c>
      <c r="Z34" s="203">
        <f>'B5'!C33</f>
        <v>214</v>
      </c>
      <c r="AA34" s="203">
        <f>SUM(Z34*$Z$4)</f>
        <v>2140</v>
      </c>
      <c r="AB34" s="203">
        <f t="shared" si="60"/>
        <v>214</v>
      </c>
      <c r="AC34" s="203">
        <f>SUM(AB34*$Z$4)</f>
        <v>2140</v>
      </c>
      <c r="AD34" s="203">
        <f t="shared" si="61"/>
        <v>214</v>
      </c>
      <c r="AE34" s="203">
        <f>SUM(AD34*$Z$4)</f>
        <v>2140</v>
      </c>
      <c r="AF34" s="203">
        <f t="shared" si="62"/>
        <v>214</v>
      </c>
      <c r="AG34" s="203">
        <f>SUM(AF34*$Z$4)</f>
        <v>2140</v>
      </c>
      <c r="AH34" s="203">
        <f t="shared" si="63"/>
        <v>214</v>
      </c>
      <c r="AI34" s="203">
        <f>SUM(AH34*$Z$4)</f>
        <v>2140</v>
      </c>
      <c r="AJ34" s="203">
        <f t="shared" si="64"/>
        <v>214</v>
      </c>
      <c r="AK34" s="203">
        <f>SUM(AJ34*$Z$4)</f>
        <v>2140</v>
      </c>
      <c r="AL34" s="203">
        <f t="shared" si="65"/>
        <v>214</v>
      </c>
      <c r="AM34" s="203">
        <f>SUM(AL34*$Z$4)</f>
        <v>2140</v>
      </c>
      <c r="AN34" s="35">
        <f t="shared" si="66"/>
        <v>0.76428571428571423</v>
      </c>
      <c r="AO34" s="36">
        <f t="shared" si="67"/>
        <v>14980</v>
      </c>
      <c r="AQ34" s="223">
        <f>SUM(AR34/92970)</f>
        <v>0.68809536201410781</v>
      </c>
      <c r="AR34" s="38">
        <f t="shared" si="38"/>
        <v>63972.225806451606</v>
      </c>
      <c r="AS34" s="197">
        <f t="shared" si="47"/>
        <v>0</v>
      </c>
      <c r="AT34" s="340"/>
      <c r="AU34" s="549"/>
      <c r="AV34" s="485">
        <f>IF(AT34&gt;0,AU34,AV33)</f>
        <v>0.63400000000000001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44560</v>
      </c>
      <c r="B35">
        <f>'B5'!B34</f>
        <v>207</v>
      </c>
      <c r="C35" s="203">
        <f>B35*$B$4</f>
        <v>4453.8387096774195</v>
      </c>
      <c r="D35">
        <f t="shared" si="48"/>
        <v>207</v>
      </c>
      <c r="E35" s="203">
        <f>D35*$B$4</f>
        <v>4453.8387096774195</v>
      </c>
      <c r="F35">
        <f t="shared" si="49"/>
        <v>207</v>
      </c>
      <c r="G35" s="203">
        <f>F35*$B$4</f>
        <v>4453.8387096774195</v>
      </c>
      <c r="H35" s="203">
        <f t="shared" si="50"/>
        <v>207</v>
      </c>
      <c r="I35" s="203">
        <f>H35*$B$4</f>
        <v>4453.8387096774195</v>
      </c>
      <c r="J35" s="203">
        <f t="shared" si="51"/>
        <v>207</v>
      </c>
      <c r="K35" s="203">
        <f>J35*$B$4</f>
        <v>4453.8387096774195</v>
      </c>
      <c r="L35" s="203">
        <f t="shared" si="52"/>
        <v>207</v>
      </c>
      <c r="M35" s="203">
        <f>L35*$B$4</f>
        <v>4453.8387096774195</v>
      </c>
      <c r="N35" s="203">
        <f t="shared" si="53"/>
        <v>207</v>
      </c>
      <c r="O35" s="203">
        <f>N35*$B$4</f>
        <v>4453.8387096774195</v>
      </c>
      <c r="P35" s="203">
        <f t="shared" si="54"/>
        <v>207</v>
      </c>
      <c r="Q35" s="203">
        <f>P35*$B$4</f>
        <v>4453.8387096774195</v>
      </c>
      <c r="R35" s="203">
        <f t="shared" si="55"/>
        <v>207</v>
      </c>
      <c r="S35" s="203">
        <f>R35*$B$4</f>
        <v>4453.8387096774195</v>
      </c>
      <c r="T35" s="203">
        <f t="shared" si="56"/>
        <v>207</v>
      </c>
      <c r="U35" s="203">
        <f>T35*$B$4</f>
        <v>4453.8387096774195</v>
      </c>
      <c r="V35" s="203">
        <f t="shared" si="57"/>
        <v>207</v>
      </c>
      <c r="W35" s="203">
        <f>V35*$B$4</f>
        <v>4453.8387096774195</v>
      </c>
      <c r="X35" s="35">
        <f t="shared" si="58"/>
        <v>0.66774193548387084</v>
      </c>
      <c r="Y35" s="36">
        <f t="shared" si="59"/>
        <v>48992.225806451606</v>
      </c>
      <c r="Z35" s="203">
        <f>'B5'!C34</f>
        <v>214</v>
      </c>
      <c r="AA35" s="203">
        <f>SUM(Z35*$Z$4)</f>
        <v>2140</v>
      </c>
      <c r="AB35" s="203">
        <f t="shared" si="60"/>
        <v>214</v>
      </c>
      <c r="AC35" s="203">
        <f>SUM(AB35*$Z$4)</f>
        <v>2140</v>
      </c>
      <c r="AD35" s="203">
        <f t="shared" si="61"/>
        <v>214</v>
      </c>
      <c r="AE35" s="203">
        <f>SUM(AD35*$Z$4)</f>
        <v>2140</v>
      </c>
      <c r="AF35" s="203">
        <f t="shared" si="62"/>
        <v>214</v>
      </c>
      <c r="AG35" s="203">
        <f>SUM(AF35*$Z$4)</f>
        <v>2140</v>
      </c>
      <c r="AH35" s="203">
        <f t="shared" si="63"/>
        <v>214</v>
      </c>
      <c r="AI35" s="203">
        <f>SUM(AH35*$Z$4)</f>
        <v>2140</v>
      </c>
      <c r="AJ35" s="203">
        <f t="shared" si="64"/>
        <v>214</v>
      </c>
      <c r="AK35" s="203">
        <f>SUM(AJ35*$Z$4)</f>
        <v>2140</v>
      </c>
      <c r="AL35" s="203">
        <f t="shared" si="65"/>
        <v>214</v>
      </c>
      <c r="AM35" s="203">
        <f>SUM(AL35*$Z$4)</f>
        <v>2140</v>
      </c>
      <c r="AN35" s="35">
        <f t="shared" si="66"/>
        <v>0.76428571428571423</v>
      </c>
      <c r="AO35" s="36">
        <f t="shared" si="67"/>
        <v>14980</v>
      </c>
      <c r="AQ35" s="223">
        <f>SUM(AR35/92970)</f>
        <v>0.68809536201410781</v>
      </c>
      <c r="AR35" s="38">
        <f t="shared" si="38"/>
        <v>63972.225806451606</v>
      </c>
      <c r="AS35" s="197">
        <f t="shared" si="47"/>
        <v>0</v>
      </c>
      <c r="AT35" s="340"/>
      <c r="AU35" s="549"/>
      <c r="AV35" s="539">
        <f>IF(AT35&gt;0,AU35,AV34)</f>
        <v>0.63400000000000001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44561</v>
      </c>
      <c r="B36">
        <f>'B5'!B35</f>
        <v>207</v>
      </c>
      <c r="C36" s="203">
        <f>B36*$B$4</f>
        <v>4453.8387096774195</v>
      </c>
      <c r="D36">
        <f t="shared" ref="D36" si="68">SUM(B36)</f>
        <v>207</v>
      </c>
      <c r="E36" s="203">
        <f>D36*$B$4</f>
        <v>4453.8387096774195</v>
      </c>
      <c r="F36">
        <f t="shared" ref="F36" si="69">SUM(D36)</f>
        <v>207</v>
      </c>
      <c r="G36" s="203">
        <f>F36*$B$4</f>
        <v>4453.8387096774195</v>
      </c>
      <c r="H36" s="203">
        <f t="shared" ref="H36" si="70">SUM(F36)</f>
        <v>207</v>
      </c>
      <c r="I36" s="203">
        <f>H36*$B$4</f>
        <v>4453.8387096774195</v>
      </c>
      <c r="J36" s="203">
        <f t="shared" ref="J36" si="71">SUM(H36)</f>
        <v>207</v>
      </c>
      <c r="K36" s="203">
        <f>J36*$B$4</f>
        <v>4453.8387096774195</v>
      </c>
      <c r="L36" s="203">
        <f t="shared" ref="L36" si="72">SUM(J36)</f>
        <v>207</v>
      </c>
      <c r="M36" s="203">
        <f>L36*$B$4</f>
        <v>4453.8387096774195</v>
      </c>
      <c r="N36" s="203">
        <f t="shared" ref="N36" si="73">SUM(L36)</f>
        <v>207</v>
      </c>
      <c r="O36" s="203">
        <f>N36*$B$4</f>
        <v>4453.8387096774195</v>
      </c>
      <c r="P36" s="203">
        <f t="shared" ref="P36" si="74">SUM(N36)</f>
        <v>207</v>
      </c>
      <c r="Q36" s="203">
        <f>P36*$B$4</f>
        <v>4453.8387096774195</v>
      </c>
      <c r="R36" s="203">
        <f t="shared" ref="R36" si="75">SUM(P36)</f>
        <v>207</v>
      </c>
      <c r="S36" s="203">
        <f>R36*$B$4</f>
        <v>4453.8387096774195</v>
      </c>
      <c r="T36" s="203">
        <f t="shared" ref="T36" si="76">SUM(R36)</f>
        <v>207</v>
      </c>
      <c r="U36" s="203">
        <f>T36*$B$4</f>
        <v>4453.8387096774195</v>
      </c>
      <c r="V36" s="203">
        <f t="shared" ref="V36" si="77">SUM(T36)</f>
        <v>207</v>
      </c>
      <c r="W36" s="203">
        <f>V36*$B$4</f>
        <v>4453.8387096774195</v>
      </c>
      <c r="X36" s="35">
        <f t="shared" ref="X36" si="78">SUM(Y36/73370)</f>
        <v>0.66774193548387084</v>
      </c>
      <c r="Y36" s="36">
        <f t="shared" ref="Y36" si="79">SUM(C36+E36+G36+I36+K36+M36+O36+Q36+S36+U36+W36)</f>
        <v>48992.225806451606</v>
      </c>
      <c r="Z36" s="203">
        <f>'B5'!C35</f>
        <v>214</v>
      </c>
      <c r="AA36" s="203">
        <f>SUM(Z36*$Z$4)</f>
        <v>2140</v>
      </c>
      <c r="AB36" s="203">
        <f t="shared" ref="AB36" si="80">SUM(Z36)</f>
        <v>214</v>
      </c>
      <c r="AC36" s="203">
        <f>SUM(AB36*$Z$4)</f>
        <v>2140</v>
      </c>
      <c r="AD36" s="203">
        <f t="shared" ref="AD36" si="81">SUM(AB36)</f>
        <v>214</v>
      </c>
      <c r="AE36" s="203">
        <f>SUM(AD36*$Z$4)</f>
        <v>2140</v>
      </c>
      <c r="AF36" s="203">
        <f t="shared" ref="AF36" si="82">SUM(AD36)</f>
        <v>214</v>
      </c>
      <c r="AG36" s="203">
        <f>SUM(AF36*$Z$4)</f>
        <v>2140</v>
      </c>
      <c r="AH36" s="203">
        <f t="shared" ref="AH36" si="83">SUM(AF36)</f>
        <v>214</v>
      </c>
      <c r="AI36" s="203">
        <f>SUM(AH36*$Z$4)</f>
        <v>2140</v>
      </c>
      <c r="AJ36" s="203">
        <f t="shared" ref="AJ36" si="84">SUM(AH36)</f>
        <v>214</v>
      </c>
      <c r="AK36" s="203">
        <f>SUM(AJ36*$Z$4)</f>
        <v>2140</v>
      </c>
      <c r="AL36" s="203">
        <f t="shared" ref="AL36" si="85">SUM(AJ36)</f>
        <v>214</v>
      </c>
      <c r="AM36" s="203">
        <f>SUM(AL36*$Z$4)</f>
        <v>2140</v>
      </c>
      <c r="AN36" s="35">
        <f t="shared" ref="AN36" si="86">SUM(AO36/19600)</f>
        <v>0.76428571428571423</v>
      </c>
      <c r="AO36" s="36">
        <f t="shared" ref="AO36" si="87">SUM(AA36+AC36+AE36+AG36+AI36+AK36+AM36)</f>
        <v>14980</v>
      </c>
      <c r="AQ36" s="223">
        <f>SUM(AR36/92970)</f>
        <v>0.68809536201410781</v>
      </c>
      <c r="AR36" s="38">
        <f t="shared" si="38"/>
        <v>63972.225806451606</v>
      </c>
      <c r="AS36" s="197">
        <f t="shared" si="47"/>
        <v>0</v>
      </c>
      <c r="AT36" s="340"/>
      <c r="AU36" s="549"/>
      <c r="AV36" s="539">
        <f>IF(AT36&gt;0,AU36,AV35)</f>
        <v>0.63400000000000001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10000</v>
      </c>
      <c r="AU37" s="545">
        <f>SUM(AU6:AU36)/AS37</f>
        <v>0.63400000000000001</v>
      </c>
      <c r="AX37" s="203">
        <f>SUM(AX6:AX36)</f>
        <v>-12881.451612903227</v>
      </c>
      <c r="AY37" s="203">
        <f>SUM(AY6:AY36)</f>
        <v>-13303.451612903227</v>
      </c>
    </row>
    <row r="38" spans="1:63">
      <c r="AS38" s="206"/>
      <c r="AT38" s="82">
        <f>+AT37*AU37</f>
        <v>6340</v>
      </c>
    </row>
    <row r="40" spans="1:63">
      <c r="AS40" s="165">
        <f>SUM(AS6:AS36)/'EDl log'!A35</f>
        <v>-2660.6903225806454</v>
      </c>
      <c r="AT40" s="203"/>
    </row>
    <row r="41" spans="1:63">
      <c r="AX41">
        <v>43309</v>
      </c>
    </row>
    <row r="42" spans="1:63">
      <c r="AR42" s="203">
        <f>AR12-22000</f>
        <v>46125.709677419334</v>
      </c>
      <c r="AU42" s="203"/>
      <c r="AX42">
        <f>AX37/AX41</f>
        <v>-0.2974312870974446</v>
      </c>
    </row>
    <row r="43" spans="1:63">
      <c r="AR43">
        <f>AR42/5500</f>
        <v>8.3864926686216972</v>
      </c>
    </row>
    <row r="44" spans="1:63">
      <c r="AR44">
        <f>AR43*2</f>
        <v>16.772985337243394</v>
      </c>
    </row>
    <row r="45" spans="1:63">
      <c r="AR45" s="203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I12" sqref="I1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log'!$A$33</f>
        <v>44530</v>
      </c>
      <c r="B3" s="254">
        <f>'[2]EDl log'!B33</f>
        <v>1102959</v>
      </c>
      <c r="C3" s="254">
        <f>'[2]EDl log'!C33</f>
        <v>0</v>
      </c>
      <c r="D3" s="254">
        <f>'[2]EDl log'!D33</f>
        <v>0</v>
      </c>
      <c r="E3" s="254">
        <f>'[2]EDl log'!E33</f>
        <v>1102959</v>
      </c>
      <c r="F3" s="254">
        <f>'[2]EDl log'!F33</f>
        <v>159873</v>
      </c>
      <c r="G3" s="254">
        <f>'[2]EDl log'!G33</f>
        <v>0</v>
      </c>
      <c r="H3" s="254">
        <f>'[2]EDl log'!H33</f>
        <v>543471</v>
      </c>
      <c r="I3" s="254">
        <f>'[2]EDl log'!I33</f>
        <v>0</v>
      </c>
      <c r="J3" s="254">
        <f>'[2]EDl log'!J33</f>
        <v>399616</v>
      </c>
      <c r="K3" s="254">
        <f>'[2]EDl log'!K33</f>
        <v>0</v>
      </c>
      <c r="L3" s="254">
        <f>'[2]EDl log'!L33</f>
        <v>0</v>
      </c>
      <c r="M3" s="254">
        <f>'[2]EDl log'!M33</f>
        <v>0</v>
      </c>
      <c r="N3" s="254">
        <f>'[2]EDl log'!N33</f>
        <v>0</v>
      </c>
      <c r="O3" s="254">
        <f>'[2]EDl log'!O33</f>
        <v>159.96313985627418</v>
      </c>
      <c r="P3" s="254">
        <f>'[2]EDl log'!P33</f>
        <v>159.96313985627418</v>
      </c>
      <c r="Q3" s="254">
        <f>'[2]EDl log'!Q33</f>
        <v>1537.5322064516081</v>
      </c>
      <c r="R3" s="254">
        <f>'[2]EDl log'!R33</f>
        <v>1697.4953463078823</v>
      </c>
      <c r="S3" s="254">
        <f>'[2]EDl log'!S33</f>
        <v>6695</v>
      </c>
      <c r="T3" s="254">
        <f>'[2]EDl log'!T33</f>
        <v>0.25354672835069192</v>
      </c>
      <c r="Z3" t="s">
        <v>213</v>
      </c>
      <c r="AA3">
        <v>0.1</v>
      </c>
    </row>
    <row r="4" spans="1:32" ht="20.100000000000001" customHeight="1">
      <c r="A4" s="163">
        <f>ELEC!C4</f>
        <v>44531</v>
      </c>
      <c r="B4" s="536">
        <f>B3</f>
        <v>1102959</v>
      </c>
      <c r="C4" s="254">
        <f t="shared" ref="C4:C30" si="0">SUM(B4-B3)</f>
        <v>0</v>
      </c>
      <c r="D4" s="295">
        <f>SUM(G4+I4+K4)</f>
        <v>0</v>
      </c>
      <c r="E4" s="295">
        <f>B3+D4</f>
        <v>1102959</v>
      </c>
      <c r="F4" s="540">
        <f>F3</f>
        <v>159873</v>
      </c>
      <c r="G4" s="160">
        <f t="shared" ref="G4:G30" si="1">F4-F3</f>
        <v>0</v>
      </c>
      <c r="H4" s="540">
        <f>H3</f>
        <v>543471</v>
      </c>
      <c r="I4" s="161">
        <f t="shared" ref="I4:I30" si="2">H4-H3</f>
        <v>0</v>
      </c>
      <c r="J4" s="594">
        <f>J3</f>
        <v>399616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1466.7078709677342</v>
      </c>
      <c r="R4" s="285">
        <f>SUM(P4:Q4)</f>
        <v>1621.510909538322</v>
      </c>
      <c r="S4" s="287">
        <f>SUM(ELEC!N4)</f>
        <v>6332</v>
      </c>
      <c r="T4" s="321">
        <f>IF(S4&gt;0,R4/S4,0)</f>
        <v>0.25608195033770087</v>
      </c>
      <c r="U4" s="245"/>
      <c r="V4" s="166" t="s">
        <v>200</v>
      </c>
      <c r="W4" s="167">
        <v>44521</v>
      </c>
      <c r="X4" s="168"/>
      <c r="Y4" s="168"/>
      <c r="Z4" s="169" t="s">
        <v>201</v>
      </c>
      <c r="AA4" s="168"/>
      <c r="AB4" s="661"/>
      <c r="AC4" s="662"/>
    </row>
    <row r="5" spans="1:32" ht="20.100000000000001" customHeight="1">
      <c r="A5" s="163">
        <f>ELEC!C5</f>
        <v>44532</v>
      </c>
      <c r="B5" s="607">
        <f t="shared" ref="B5:B34" si="7">B4</f>
        <v>1102959</v>
      </c>
      <c r="C5" s="254">
        <f t="shared" si="0"/>
        <v>0</v>
      </c>
      <c r="D5" s="295">
        <f>SUM(G5+I5+K5)</f>
        <v>0</v>
      </c>
      <c r="E5" s="295">
        <f>B4+D5</f>
        <v>1102959</v>
      </c>
      <c r="F5" s="607">
        <f t="shared" ref="F5:F34" si="8">F4</f>
        <v>159873</v>
      </c>
      <c r="G5" s="160">
        <f t="shared" si="1"/>
        <v>0</v>
      </c>
      <c r="H5" s="607">
        <f t="shared" ref="H5:H34" si="9">H4</f>
        <v>543471</v>
      </c>
      <c r="I5" s="161">
        <f t="shared" si="2"/>
        <v>0</v>
      </c>
      <c r="J5" s="607">
        <f t="shared" ref="J5:J34" si="10">J4</f>
        <v>399616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1210.9809032258145</v>
      </c>
      <c r="R5" s="285">
        <f t="shared" ref="R5:R30" si="13">SUM(P5:Q5)</f>
        <v>1365.7839417964024</v>
      </c>
      <c r="S5" s="287">
        <f>SUM(ELEC!N5)</f>
        <v>5540</v>
      </c>
      <c r="T5" s="321">
        <f>IF(S5&gt;0,R5/S5,0)</f>
        <v>0.24653139743617372</v>
      </c>
      <c r="U5" s="245"/>
      <c r="V5" s="655"/>
      <c r="W5" s="656"/>
      <c r="X5" s="656"/>
      <c r="Y5" s="657"/>
      <c r="Z5" s="26" t="s">
        <v>202</v>
      </c>
      <c r="AA5" s="26">
        <v>5000</v>
      </c>
      <c r="AB5" s="663"/>
      <c r="AC5" s="664"/>
    </row>
    <row r="6" spans="1:32" ht="20.100000000000001" customHeight="1">
      <c r="A6" s="163">
        <f>ELEC!C6</f>
        <v>44533</v>
      </c>
      <c r="B6" s="607">
        <f t="shared" si="7"/>
        <v>1102959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1102959</v>
      </c>
      <c r="F6" s="607">
        <f t="shared" si="8"/>
        <v>159873</v>
      </c>
      <c r="G6" s="160">
        <f t="shared" si="1"/>
        <v>0</v>
      </c>
      <c r="H6" s="607">
        <f t="shared" si="9"/>
        <v>543471</v>
      </c>
      <c r="I6" s="161">
        <f t="shared" si="2"/>
        <v>0</v>
      </c>
      <c r="J6" s="607">
        <f t="shared" si="10"/>
        <v>399616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58"/>
      <c r="W6" s="659"/>
      <c r="X6" s="659"/>
      <c r="Y6" s="660"/>
      <c r="Z6" s="667"/>
      <c r="AA6" s="668"/>
      <c r="AB6" s="663"/>
      <c r="AC6" s="664"/>
    </row>
    <row r="7" spans="1:32" ht="20.100000000000001" customHeight="1">
      <c r="A7" s="163">
        <f>ELEC!C7</f>
        <v>44534</v>
      </c>
      <c r="B7" s="607">
        <f t="shared" si="7"/>
        <v>1102959</v>
      </c>
      <c r="C7" s="254">
        <f t="shared" si="0"/>
        <v>0</v>
      </c>
      <c r="D7" s="295">
        <f t="shared" si="14"/>
        <v>0</v>
      </c>
      <c r="E7" s="295">
        <f t="shared" si="15"/>
        <v>1102959</v>
      </c>
      <c r="F7" s="607">
        <f t="shared" si="8"/>
        <v>159873</v>
      </c>
      <c r="G7" s="160">
        <f t="shared" si="1"/>
        <v>0</v>
      </c>
      <c r="H7" s="607">
        <f t="shared" si="9"/>
        <v>543471</v>
      </c>
      <c r="I7" s="161">
        <f t="shared" si="2"/>
        <v>0</v>
      </c>
      <c r="J7" s="607">
        <f t="shared" si="10"/>
        <v>399616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154.80303857058792</v>
      </c>
      <c r="P7" s="285">
        <f t="shared" si="12"/>
        <v>154.80303857058792</v>
      </c>
      <c r="Q7" s="285">
        <f>SUM(-tanks!AX9*tanks!$AU$37)</f>
        <v>0</v>
      </c>
      <c r="R7" s="285">
        <f t="shared" si="13"/>
        <v>154.80303857058792</v>
      </c>
      <c r="S7" s="287">
        <f>SUM(ELEC!N7)</f>
        <v>0</v>
      </c>
      <c r="T7" s="321">
        <f t="shared" si="16"/>
        <v>0</v>
      </c>
      <c r="V7" s="650" t="s">
        <v>203</v>
      </c>
      <c r="W7" s="651"/>
      <c r="X7" s="652" t="s">
        <v>204</v>
      </c>
      <c r="Y7" s="653"/>
      <c r="Z7" s="654"/>
      <c r="AA7" s="170"/>
      <c r="AB7" s="665"/>
      <c r="AC7" s="666"/>
    </row>
    <row r="8" spans="1:32" ht="20.100000000000001" customHeight="1">
      <c r="A8" s="163">
        <f>ELEC!C8</f>
        <v>44535</v>
      </c>
      <c r="B8" s="607">
        <f t="shared" si="7"/>
        <v>1102959</v>
      </c>
      <c r="C8" s="254">
        <f t="shared" si="0"/>
        <v>0</v>
      </c>
      <c r="D8" s="295">
        <f t="shared" si="14"/>
        <v>0</v>
      </c>
      <c r="E8" s="295">
        <f t="shared" si="15"/>
        <v>1102959</v>
      </c>
      <c r="F8" s="607">
        <f t="shared" si="8"/>
        <v>159873</v>
      </c>
      <c r="G8" s="160">
        <f t="shared" si="1"/>
        <v>0</v>
      </c>
      <c r="H8" s="607">
        <f t="shared" si="9"/>
        <v>543471</v>
      </c>
      <c r="I8" s="161">
        <f t="shared" si="2"/>
        <v>0</v>
      </c>
      <c r="J8" s="607">
        <f t="shared" si="10"/>
        <v>399616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84.526516129035528</v>
      </c>
      <c r="R8" s="285">
        <f t="shared" si="13"/>
        <v>239.32955469962343</v>
      </c>
      <c r="S8" s="287">
        <f>SUM(ELEC!N8)</f>
        <v>6729</v>
      </c>
      <c r="T8" s="321">
        <f>IF(S8&gt;0,R8/S8,0)</f>
        <v>3.5566882850293274E-2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44536</v>
      </c>
      <c r="B9" s="607">
        <v>1103918</v>
      </c>
      <c r="C9" s="254">
        <f t="shared" si="0"/>
        <v>959</v>
      </c>
      <c r="D9" s="295">
        <f t="shared" si="14"/>
        <v>958</v>
      </c>
      <c r="E9" s="295">
        <f t="shared" si="15"/>
        <v>1103917</v>
      </c>
      <c r="F9" s="607">
        <v>159985</v>
      </c>
      <c r="G9" s="160">
        <f t="shared" si="1"/>
        <v>112</v>
      </c>
      <c r="H9" s="607">
        <v>544226</v>
      </c>
      <c r="I9" s="161">
        <f t="shared" si="2"/>
        <v>755</v>
      </c>
      <c r="J9" s="607">
        <v>399707</v>
      </c>
      <c r="K9" s="162">
        <f>J9-J8</f>
        <v>91</v>
      </c>
      <c r="L9" s="284">
        <f t="shared" si="3"/>
        <v>23.77446102819237</v>
      </c>
      <c r="M9" s="284">
        <f t="shared" si="4"/>
        <v>56.092868988391373</v>
      </c>
      <c r="N9" s="284">
        <f t="shared" si="5"/>
        <v>4.8291873963515757</v>
      </c>
      <c r="O9" s="284">
        <f t="shared" si="6"/>
        <v>154.80303857058792</v>
      </c>
      <c r="P9" s="285">
        <f t="shared" si="12"/>
        <v>239.49955598352324</v>
      </c>
      <c r="Q9" s="285">
        <f>SUM(-tanks!AX11*tanks!$AU$37)</f>
        <v>1069.3943870967605</v>
      </c>
      <c r="R9" s="285">
        <f>SUM(P9:Q9)</f>
        <v>1308.8939430802839</v>
      </c>
      <c r="S9" s="287">
        <f>SUM(ELEC!N9)</f>
        <v>4979</v>
      </c>
      <c r="T9" s="321">
        <f t="shared" si="16"/>
        <v>0.26288289678254345</v>
      </c>
      <c r="V9" s="246">
        <f>'[2]EDl log'!V26</f>
        <v>399615</v>
      </c>
      <c r="W9" s="246">
        <f>'[2]EDl log'!W26</f>
        <v>399616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1</v>
      </c>
      <c r="AB9" s="323">
        <f>'[2]EDl log'!AB26</f>
        <v>80</v>
      </c>
      <c r="AC9" s="323">
        <f>'[2]EDl log'!AC26</f>
        <v>1033333</v>
      </c>
      <c r="AD9" s="378" t="e">
        <f>'[2]EDl log'!AD26</f>
        <v>#VALUE!</v>
      </c>
    </row>
    <row r="10" spans="1:32" ht="20.100000000000001" customHeight="1">
      <c r="A10" s="163">
        <f>ELEC!C10</f>
        <v>44537</v>
      </c>
      <c r="B10" s="607">
        <v>1104026</v>
      </c>
      <c r="C10" s="254">
        <f t="shared" si="0"/>
        <v>108</v>
      </c>
      <c r="D10" s="295">
        <f t="shared" si="14"/>
        <v>107</v>
      </c>
      <c r="E10" s="295">
        <f t="shared" si="15"/>
        <v>1104025</v>
      </c>
      <c r="F10" s="607">
        <v>159985</v>
      </c>
      <c r="G10" s="160">
        <f t="shared" si="1"/>
        <v>0</v>
      </c>
      <c r="H10" s="607">
        <v>544333</v>
      </c>
      <c r="I10" s="161">
        <f t="shared" si="2"/>
        <v>107</v>
      </c>
      <c r="J10" s="607">
        <f t="shared" si="10"/>
        <v>399707</v>
      </c>
      <c r="K10" s="162">
        <f t="shared" si="11"/>
        <v>0</v>
      </c>
      <c r="L10" s="284">
        <f t="shared" si="3"/>
        <v>0</v>
      </c>
      <c r="M10" s="284">
        <f t="shared" si="4"/>
        <v>7.9495854063018241</v>
      </c>
      <c r="N10" s="284">
        <f t="shared" si="5"/>
        <v>0</v>
      </c>
      <c r="O10" s="284">
        <f t="shared" si="6"/>
        <v>154.80303857058792</v>
      </c>
      <c r="P10" s="285">
        <f t="shared" si="12"/>
        <v>162.75262397688974</v>
      </c>
      <c r="Q10" s="285">
        <f>SUM(-tanks!AX12*tanks!$AU$37)</f>
        <v>1701.9218709677618</v>
      </c>
      <c r="R10" s="285">
        <f t="shared" si="13"/>
        <v>1864.6744949446515</v>
      </c>
      <c r="S10" s="287">
        <f>SUM(ELEC!N10)</f>
        <v>5333</v>
      </c>
      <c r="T10" s="321">
        <f t="shared" si="16"/>
        <v>0.34964832082217356</v>
      </c>
      <c r="V10" s="246">
        <f>'[2]EDl log'!V27</f>
        <v>540744</v>
      </c>
      <c r="W10" s="246">
        <f>'[2]EDl log'!W27</f>
        <v>543471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2727</v>
      </c>
      <c r="AB10" s="323">
        <f>'[2]EDl log'!AB27</f>
        <v>305424</v>
      </c>
      <c r="AC10" s="323">
        <f>'[2]EDl log'!AC27</f>
        <v>6200000</v>
      </c>
      <c r="AD10" s="378">
        <f>'[2]EDl log'!AD27</f>
        <v>0.90118968935888966</v>
      </c>
    </row>
    <row r="11" spans="1:32" ht="20.100000000000001" customHeight="1">
      <c r="A11" s="163">
        <f>ELEC!C11</f>
        <v>44538</v>
      </c>
      <c r="B11" s="607">
        <v>1104238</v>
      </c>
      <c r="C11" s="254">
        <f t="shared" si="0"/>
        <v>212</v>
      </c>
      <c r="D11" s="295">
        <f t="shared" si="14"/>
        <v>213</v>
      </c>
      <c r="E11" s="295">
        <f t="shared" si="15"/>
        <v>1104239</v>
      </c>
      <c r="F11" s="607">
        <v>160049</v>
      </c>
      <c r="G11" s="160">
        <f t="shared" si="1"/>
        <v>64</v>
      </c>
      <c r="H11" s="607">
        <v>544482</v>
      </c>
      <c r="I11" s="161">
        <f t="shared" si="2"/>
        <v>149</v>
      </c>
      <c r="J11" s="607">
        <f t="shared" si="10"/>
        <v>399707</v>
      </c>
      <c r="K11" s="162">
        <f t="shared" si="11"/>
        <v>0</v>
      </c>
      <c r="L11" s="284">
        <f t="shared" si="3"/>
        <v>13.585406301824213</v>
      </c>
      <c r="M11" s="284">
        <f t="shared" si="4"/>
        <v>11.069983416252073</v>
      </c>
      <c r="N11" s="284">
        <f t="shared" si="5"/>
        <v>0</v>
      </c>
      <c r="O11" s="284">
        <f t="shared" si="6"/>
        <v>154.80303857058792</v>
      </c>
      <c r="P11" s="285">
        <f t="shared" si="12"/>
        <v>179.45842828866421</v>
      </c>
      <c r="Q11" s="285">
        <f>SUM(-tanks!AX13*tanks!$AU$37)</f>
        <v>1272.2743870967606</v>
      </c>
      <c r="R11" s="285">
        <f t="shared" si="13"/>
        <v>1451.7328153854248</v>
      </c>
      <c r="S11" s="287">
        <f>SUM(ELEC!N11)</f>
        <v>5724</v>
      </c>
      <c r="T11" s="321">
        <f t="shared" si="16"/>
        <v>0.25362208514769824</v>
      </c>
      <c r="V11" s="246">
        <f>'[2]EDl log'!V28</f>
        <v>159573</v>
      </c>
      <c r="W11" s="246">
        <f>'[2]EDl log'!W28</f>
        <v>159873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300</v>
      </c>
      <c r="AB11" s="323">
        <f>'[2]EDl log'!AB28</f>
        <v>96000</v>
      </c>
      <c r="AC11" s="323">
        <f>'[2]EDl log'!AC28</f>
        <v>1000</v>
      </c>
      <c r="AD11" s="378">
        <f>'[2]EDl log'!AD28</f>
        <v>9.9140779907468599E-2</v>
      </c>
      <c r="AE11" s="40">
        <f>SUM(AB11*5%)</f>
        <v>4800</v>
      </c>
      <c r="AF11" s="82">
        <f>SUM(AE11/7)*31</f>
        <v>21257.142857142855</v>
      </c>
    </row>
    <row r="12" spans="1:32" ht="20.100000000000001" customHeight="1">
      <c r="A12" s="163">
        <f>ELEC!C12</f>
        <v>44539</v>
      </c>
      <c r="B12" s="607">
        <v>1104346</v>
      </c>
      <c r="C12" s="254">
        <f t="shared" si="0"/>
        <v>108</v>
      </c>
      <c r="D12" s="295">
        <f t="shared" si="14"/>
        <v>108</v>
      </c>
      <c r="E12" s="295">
        <f t="shared" si="15"/>
        <v>1104346</v>
      </c>
      <c r="F12" s="607">
        <v>160049</v>
      </c>
      <c r="G12" s="160">
        <f t="shared" si="1"/>
        <v>0</v>
      </c>
      <c r="H12" s="607">
        <v>544590</v>
      </c>
      <c r="I12" s="161">
        <f t="shared" si="2"/>
        <v>108</v>
      </c>
      <c r="J12" s="607">
        <f t="shared" si="10"/>
        <v>399707</v>
      </c>
      <c r="K12" s="162">
        <f t="shared" si="11"/>
        <v>0</v>
      </c>
      <c r="L12" s="284">
        <f t="shared" si="3"/>
        <v>0</v>
      </c>
      <c r="M12" s="284">
        <f t="shared" si="4"/>
        <v>8.0238805970149247</v>
      </c>
      <c r="N12" s="284">
        <f t="shared" si="5"/>
        <v>0</v>
      </c>
      <c r="O12" s="284">
        <f t="shared" si="6"/>
        <v>154.80303857058792</v>
      </c>
      <c r="P12" s="285">
        <f t="shared" si="12"/>
        <v>162.82691916760285</v>
      </c>
      <c r="Q12" s="285">
        <f>SUM(-tanks!AX14*tanks!$AU$37)</f>
        <v>1361.034387096779</v>
      </c>
      <c r="R12" s="285">
        <f t="shared" si="13"/>
        <v>1523.8613062643819</v>
      </c>
      <c r="S12" s="287">
        <f>SUM(ELEC!N12)</f>
        <v>4995</v>
      </c>
      <c r="T12" s="321">
        <f t="shared" si="16"/>
        <v>0.30507733859146785</v>
      </c>
      <c r="V12" s="213"/>
      <c r="W12" s="214"/>
      <c r="X12" s="214"/>
      <c r="Y12" s="215"/>
      <c r="Z12" s="3"/>
      <c r="AA12" s="172">
        <f>'[2]EDl log'!AA29</f>
        <v>3028</v>
      </c>
      <c r="AB12" s="323">
        <f>'[2]EDl log'!AB29</f>
        <v>401504</v>
      </c>
      <c r="AC12" s="323">
        <f>'[2]EDl log'!AC29</f>
        <v>7234333</v>
      </c>
      <c r="AD12" s="323"/>
    </row>
    <row r="13" spans="1:32" ht="20.100000000000001" customHeight="1">
      <c r="A13" s="163">
        <f>ELEC!C13</f>
        <v>44540</v>
      </c>
      <c r="B13" s="607">
        <f t="shared" si="7"/>
        <v>1104346</v>
      </c>
      <c r="C13" s="254">
        <f t="shared" si="0"/>
        <v>0</v>
      </c>
      <c r="D13" s="295">
        <f t="shared" si="14"/>
        <v>0</v>
      </c>
      <c r="E13" s="295">
        <f t="shared" si="15"/>
        <v>1104346</v>
      </c>
      <c r="F13" s="607">
        <f t="shared" si="8"/>
        <v>160049</v>
      </c>
      <c r="G13" s="160">
        <f t="shared" si="1"/>
        <v>0</v>
      </c>
      <c r="H13" s="607">
        <f t="shared" si="9"/>
        <v>544590</v>
      </c>
      <c r="I13" s="161">
        <f t="shared" si="2"/>
        <v>0</v>
      </c>
      <c r="J13" s="607">
        <f t="shared" si="10"/>
        <v>399707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154.80303857058792</v>
      </c>
      <c r="P13" s="285">
        <f t="shared" si="12"/>
        <v>154.80303857058792</v>
      </c>
      <c r="Q13" s="285">
        <f>SUM(-tanks!AX15*tanks!$AU$37)</f>
        <v>0</v>
      </c>
      <c r="R13" s="285">
        <f t="shared" si="13"/>
        <v>154.80303857058792</v>
      </c>
      <c r="S13" s="287">
        <f>SUM(ELEC!N13)</f>
        <v>0</v>
      </c>
      <c r="T13" s="321">
        <f>IF(S13&gt;0,R13/S13,0)</f>
        <v>0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>
        <f>'[2]EDl log'!AA30</f>
        <v>0</v>
      </c>
      <c r="AB13" s="323">
        <f>'[2]EDl log'!AB30</f>
        <v>7635837</v>
      </c>
      <c r="AC13" s="323">
        <f>'[2]EDl log'!AC30</f>
        <v>0</v>
      </c>
      <c r="AD13" s="323"/>
    </row>
    <row r="14" spans="1:32" ht="20.100000000000001" customHeight="1">
      <c r="A14" s="163">
        <f>ELEC!C14</f>
        <v>44541</v>
      </c>
      <c r="B14" s="607">
        <f t="shared" si="7"/>
        <v>1104346</v>
      </c>
      <c r="C14" s="254">
        <f t="shared" si="0"/>
        <v>0</v>
      </c>
      <c r="D14" s="295">
        <f t="shared" si="14"/>
        <v>0</v>
      </c>
      <c r="E14" s="295">
        <f t="shared" si="15"/>
        <v>1104346</v>
      </c>
      <c r="F14" s="607">
        <f t="shared" si="8"/>
        <v>160049</v>
      </c>
      <c r="G14" s="160">
        <f t="shared" si="1"/>
        <v>0</v>
      </c>
      <c r="H14" s="607">
        <f t="shared" si="9"/>
        <v>544590</v>
      </c>
      <c r="I14" s="161">
        <f t="shared" si="2"/>
        <v>0</v>
      </c>
      <c r="J14" s="607">
        <f t="shared" si="10"/>
        <v>399707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0</v>
      </c>
      <c r="R14" s="285">
        <f>SUM(P14:Q14)</f>
        <v>154.80303857058792</v>
      </c>
      <c r="S14" s="287">
        <f>SUM(ELEC!N14)</f>
        <v>0</v>
      </c>
      <c r="T14" s="321">
        <f>IF(S14&gt;0,R14/S14,0)</f>
        <v>0</v>
      </c>
      <c r="V14" s="216"/>
      <c r="W14" s="514"/>
      <c r="X14" s="217"/>
      <c r="Y14" s="218"/>
      <c r="Z14" s="3"/>
      <c r="AA14" s="323">
        <f>'[2]EDl log'!AA31</f>
        <v>0</v>
      </c>
      <c r="AB14" s="323">
        <f>'[2]EDl log'!AB31</f>
        <v>0</v>
      </c>
      <c r="AC14" s="323">
        <f>'[2]EDl log'!AC31</f>
        <v>0</v>
      </c>
      <c r="AD14" s="323"/>
    </row>
    <row r="15" spans="1:32" ht="20.100000000000001" customHeight="1">
      <c r="A15" s="163">
        <f>ELEC!C15</f>
        <v>44542</v>
      </c>
      <c r="B15" s="607">
        <f t="shared" si="7"/>
        <v>1104346</v>
      </c>
      <c r="C15" s="254">
        <f t="shared" si="0"/>
        <v>0</v>
      </c>
      <c r="D15" s="295">
        <f t="shared" si="14"/>
        <v>0</v>
      </c>
      <c r="E15" s="295">
        <f t="shared" si="15"/>
        <v>1104346</v>
      </c>
      <c r="F15" s="607">
        <f t="shared" si="8"/>
        <v>160049</v>
      </c>
      <c r="G15" s="160">
        <f t="shared" si="1"/>
        <v>0</v>
      </c>
      <c r="H15" s="607">
        <f t="shared" si="9"/>
        <v>544590</v>
      </c>
      <c r="I15" s="161">
        <f t="shared" si="2"/>
        <v>0</v>
      </c>
      <c r="J15" s="607">
        <f t="shared" si="10"/>
        <v>399707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222</v>
      </c>
      <c r="X15" s="222">
        <f>'[2]EDl log'!$X$32</f>
        <v>27.75</v>
      </c>
      <c r="Y15" s="250">
        <f>'[2]EDl log'!$Y$32</f>
        <v>27.75</v>
      </c>
      <c r="Z15" s="3"/>
      <c r="AA15" s="323">
        <f>'[2]EDl log'!AA32</f>
        <v>0</v>
      </c>
      <c r="AB15" s="323">
        <f>'[2]EDl log'!AB32</f>
        <v>0</v>
      </c>
      <c r="AC15" s="323">
        <f>'[2]EDl log'!AC32</f>
        <v>0</v>
      </c>
      <c r="AD15" s="323"/>
    </row>
    <row r="16" spans="1:32" ht="20.100000000000001" customHeight="1">
      <c r="A16" s="163">
        <f>ELEC!C16</f>
        <v>44543</v>
      </c>
      <c r="B16" s="607">
        <f t="shared" si="7"/>
        <v>1104346</v>
      </c>
      <c r="C16" s="254">
        <f t="shared" si="0"/>
        <v>0</v>
      </c>
      <c r="D16" s="295">
        <f t="shared" si="14"/>
        <v>0</v>
      </c>
      <c r="E16" s="295">
        <f t="shared" si="15"/>
        <v>1104346</v>
      </c>
      <c r="F16" s="607">
        <f t="shared" si="8"/>
        <v>160049</v>
      </c>
      <c r="G16" s="160">
        <f t="shared" si="1"/>
        <v>0</v>
      </c>
      <c r="H16" s="607">
        <f t="shared" si="9"/>
        <v>544590</v>
      </c>
      <c r="I16" s="161">
        <f t="shared" si="2"/>
        <v>0</v>
      </c>
      <c r="J16" s="607">
        <f t="shared" si="10"/>
        <v>399707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0</v>
      </c>
      <c r="R16" s="285">
        <f>SUM(P16:Q16)</f>
        <v>154.80303857058792</v>
      </c>
      <c r="S16" s="287">
        <f>SUM(ELEC!N16)</f>
        <v>0</v>
      </c>
      <c r="T16" s="321">
        <f>IF(S16&gt;0,R16/S16,0)</f>
        <v>0</v>
      </c>
      <c r="V16" s="216" t="s">
        <v>413</v>
      </c>
      <c r="W16" s="541"/>
      <c r="X16" s="222"/>
      <c r="Y16" s="250"/>
      <c r="Z16" s="3" t="s">
        <v>415</v>
      </c>
      <c r="AA16" s="323">
        <f>'[2]EDl log'!AA33</f>
        <v>0.11</v>
      </c>
      <c r="AB16" s="323">
        <f>'[2]EDl log'!AB33</f>
        <v>839942.07</v>
      </c>
      <c r="AC16" s="323">
        <f>'[2]EDl log'!AC33</f>
        <v>7234333</v>
      </c>
      <c r="AD16" s="323"/>
    </row>
    <row r="17" spans="1:32" ht="20.100000000000001" customHeight="1">
      <c r="A17" s="163">
        <f>ELEC!C17</f>
        <v>44544</v>
      </c>
      <c r="B17" s="607">
        <f t="shared" si="7"/>
        <v>1104346</v>
      </c>
      <c r="C17" s="254">
        <f t="shared" si="0"/>
        <v>0</v>
      </c>
      <c r="D17" s="295">
        <f t="shared" si="14"/>
        <v>0</v>
      </c>
      <c r="E17" s="295">
        <f t="shared" si="15"/>
        <v>1104346</v>
      </c>
      <c r="F17" s="607">
        <f t="shared" si="8"/>
        <v>160049</v>
      </c>
      <c r="G17" s="160">
        <f>F17-F16</f>
        <v>0</v>
      </c>
      <c r="H17" s="607">
        <f t="shared" si="9"/>
        <v>544590</v>
      </c>
      <c r="I17" s="161">
        <f t="shared" si="2"/>
        <v>0</v>
      </c>
      <c r="J17" s="607">
        <f t="shared" si="10"/>
        <v>399707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154.80303857058792</v>
      </c>
      <c r="P17" s="285">
        <f>SUM(L17:O17)</f>
        <v>154.80303857058792</v>
      </c>
      <c r="Q17" s="285">
        <f>SUM(-tanks!AX19*tanks!$AU$37)</f>
        <v>0</v>
      </c>
      <c r="R17" s="285">
        <f>SUM(P17:Q17)</f>
        <v>154.80303857058792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23">
        <f>'[2]EDl log'!AA34</f>
        <v>0</v>
      </c>
      <c r="AB17" s="323">
        <f>'[2]EDl log'!AB34</f>
        <v>8475779.0700000003</v>
      </c>
      <c r="AC17" s="323">
        <f>'[2]EDl log'!AC34</f>
        <v>0</v>
      </c>
      <c r="AD17" s="323"/>
    </row>
    <row r="18" spans="1:32" ht="20.100000000000001" customHeight="1" thickBot="1">
      <c r="A18" s="163">
        <f>ELEC!C18</f>
        <v>44545</v>
      </c>
      <c r="B18" s="607">
        <f t="shared" si="7"/>
        <v>1104346</v>
      </c>
      <c r="C18" s="254">
        <f>SUM(B18-B17)</f>
        <v>0</v>
      </c>
      <c r="D18" s="295">
        <f>SUM(G18+I18+K18)</f>
        <v>0</v>
      </c>
      <c r="E18" s="295">
        <f t="shared" si="15"/>
        <v>1104346</v>
      </c>
      <c r="F18" s="607">
        <f t="shared" si="8"/>
        <v>160049</v>
      </c>
      <c r="G18" s="160">
        <f t="shared" si="1"/>
        <v>0</v>
      </c>
      <c r="H18" s="607">
        <f t="shared" si="9"/>
        <v>544590</v>
      </c>
      <c r="I18" s="161">
        <f t="shared" si="2"/>
        <v>0</v>
      </c>
      <c r="J18" s="607">
        <f t="shared" si="10"/>
        <v>399707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280"/>
      <c r="AC18" s="531"/>
    </row>
    <row r="19" spans="1:32" ht="20.100000000000001" customHeight="1" thickBot="1">
      <c r="A19" s="163">
        <f>ELEC!C19</f>
        <v>44546</v>
      </c>
      <c r="B19" s="607">
        <f t="shared" si="7"/>
        <v>1104346</v>
      </c>
      <c r="C19" s="254">
        <f t="shared" si="0"/>
        <v>0</v>
      </c>
      <c r="D19" s="295">
        <f t="shared" si="14"/>
        <v>0</v>
      </c>
      <c r="E19" s="295">
        <f t="shared" si="15"/>
        <v>1104346</v>
      </c>
      <c r="F19" s="607">
        <f t="shared" si="8"/>
        <v>160049</v>
      </c>
      <c r="G19" s="160">
        <f t="shared" si="1"/>
        <v>0</v>
      </c>
      <c r="H19" s="607">
        <f t="shared" si="9"/>
        <v>544590</v>
      </c>
      <c r="I19" s="161">
        <f t="shared" si="2"/>
        <v>0</v>
      </c>
      <c r="J19" s="607">
        <f t="shared" si="10"/>
        <v>399707</v>
      </c>
      <c r="K19" s="162">
        <f t="shared" si="11"/>
        <v>0</v>
      </c>
      <c r="L19" s="284">
        <f t="shared" si="17"/>
        <v>0</v>
      </c>
      <c r="M19" s="284">
        <f t="shared" si="18"/>
        <v>0</v>
      </c>
      <c r="N19" s="284">
        <f t="shared" si="19"/>
        <v>0</v>
      </c>
      <c r="O19" s="284">
        <f t="shared" si="6"/>
        <v>154.80303857058792</v>
      </c>
      <c r="P19" s="285">
        <f t="shared" si="12"/>
        <v>154.80303857058792</v>
      </c>
      <c r="Q19" s="285">
        <f>SUM(-tanks!AX21*tanks!$AU$37)</f>
        <v>0</v>
      </c>
      <c r="R19" s="285">
        <f t="shared" si="13"/>
        <v>154.80303857058792</v>
      </c>
      <c r="S19" s="287">
        <f>SUM(ELEC!N19)</f>
        <v>0</v>
      </c>
      <c r="T19" s="321">
        <f t="shared" si="16"/>
        <v>0</v>
      </c>
      <c r="V19" s="226"/>
      <c r="W19" s="227"/>
      <c r="X19" s="227"/>
      <c r="Y19" s="227"/>
      <c r="Z19" s="227"/>
      <c r="AA19" s="227" t="s">
        <v>416</v>
      </c>
      <c r="AB19" s="532">
        <f>AB13/1507.5</f>
        <v>5065.2318407960202</v>
      </c>
      <c r="AC19" s="533"/>
    </row>
    <row r="20" spans="1:32" ht="20.100000000000001" customHeight="1" thickBot="1">
      <c r="A20" s="163">
        <f>ELEC!C20</f>
        <v>44547</v>
      </c>
      <c r="B20" s="607">
        <f t="shared" si="7"/>
        <v>1104346</v>
      </c>
      <c r="C20" s="254">
        <f t="shared" si="0"/>
        <v>0</v>
      </c>
      <c r="D20" s="295">
        <f t="shared" si="14"/>
        <v>0</v>
      </c>
      <c r="E20" s="295">
        <f t="shared" si="15"/>
        <v>1104346</v>
      </c>
      <c r="F20" s="607">
        <f t="shared" si="8"/>
        <v>160049</v>
      </c>
      <c r="G20" s="160">
        <f t="shared" si="1"/>
        <v>0</v>
      </c>
      <c r="H20" s="607">
        <f t="shared" si="9"/>
        <v>544590</v>
      </c>
      <c r="I20" s="161">
        <f t="shared" si="2"/>
        <v>0</v>
      </c>
      <c r="J20" s="607">
        <f t="shared" si="10"/>
        <v>399707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154.80303857058792</v>
      </c>
      <c r="P20" s="285">
        <f t="shared" si="12"/>
        <v>154.80303857058792</v>
      </c>
      <c r="Q20" s="285">
        <f>SUM(-tanks!AX22*tanks!$AU$37)</f>
        <v>0</v>
      </c>
      <c r="R20" s="285">
        <f t="shared" si="13"/>
        <v>154.80303857058792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44548</v>
      </c>
      <c r="B21" s="607">
        <f t="shared" si="7"/>
        <v>1104346</v>
      </c>
      <c r="C21" s="254">
        <f t="shared" si="0"/>
        <v>0</v>
      </c>
      <c r="D21" s="295">
        <f t="shared" si="14"/>
        <v>0</v>
      </c>
      <c r="E21" s="295">
        <f t="shared" si="15"/>
        <v>1104346</v>
      </c>
      <c r="F21" s="607">
        <f t="shared" si="8"/>
        <v>160049</v>
      </c>
      <c r="G21" s="160">
        <f t="shared" si="1"/>
        <v>0</v>
      </c>
      <c r="H21" s="607">
        <f t="shared" si="9"/>
        <v>544590</v>
      </c>
      <c r="I21" s="161">
        <f t="shared" si="2"/>
        <v>0</v>
      </c>
      <c r="J21" s="607">
        <f t="shared" si="10"/>
        <v>399707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0</v>
      </c>
      <c r="R21" s="285">
        <f t="shared" si="13"/>
        <v>154.80303857058792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44551</v>
      </c>
      <c r="X21" s="168"/>
      <c r="Y21" s="168"/>
      <c r="Z21" s="169" t="s">
        <v>201</v>
      </c>
      <c r="AA21" s="168"/>
      <c r="AB21" s="661"/>
      <c r="AC21" s="662"/>
    </row>
    <row r="22" spans="1:32" ht="20.100000000000001" customHeight="1">
      <c r="A22" s="163">
        <f>ELEC!C22</f>
        <v>44549</v>
      </c>
      <c r="B22" s="607">
        <f t="shared" si="7"/>
        <v>1104346</v>
      </c>
      <c r="C22" s="254">
        <f t="shared" si="0"/>
        <v>0</v>
      </c>
      <c r="D22" s="295">
        <f t="shared" si="14"/>
        <v>0</v>
      </c>
      <c r="E22" s="295">
        <f t="shared" si="15"/>
        <v>1104346</v>
      </c>
      <c r="F22" s="607">
        <f t="shared" si="8"/>
        <v>160049</v>
      </c>
      <c r="G22" s="160">
        <f t="shared" si="1"/>
        <v>0</v>
      </c>
      <c r="H22" s="607">
        <f t="shared" si="9"/>
        <v>544590</v>
      </c>
      <c r="I22" s="161">
        <f t="shared" si="2"/>
        <v>0</v>
      </c>
      <c r="J22" s="607">
        <f t="shared" si="10"/>
        <v>399707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154.80303857058792</v>
      </c>
      <c r="P22" s="285">
        <f t="shared" si="12"/>
        <v>154.80303857058792</v>
      </c>
      <c r="Q22" s="285">
        <f>SUM(-tanks!AX24*tanks!$AU$37)</f>
        <v>0</v>
      </c>
      <c r="R22" s="285">
        <f t="shared" si="13"/>
        <v>154.80303857058792</v>
      </c>
      <c r="S22" s="287">
        <f>SUM(ELEC!N22)</f>
        <v>0</v>
      </c>
      <c r="T22" s="321">
        <f t="shared" si="16"/>
        <v>0</v>
      </c>
      <c r="V22" s="655"/>
      <c r="W22" s="656"/>
      <c r="X22" s="656"/>
      <c r="Y22" s="657"/>
      <c r="Z22" s="26" t="s">
        <v>202</v>
      </c>
      <c r="AA22" s="26">
        <v>5000</v>
      </c>
      <c r="AB22" s="663"/>
      <c r="AC22" s="664"/>
    </row>
    <row r="23" spans="1:32" ht="20.100000000000001" customHeight="1">
      <c r="A23" s="163">
        <f>ELEC!C23</f>
        <v>44550</v>
      </c>
      <c r="B23" s="607">
        <f t="shared" si="7"/>
        <v>1104346</v>
      </c>
      <c r="C23" s="254">
        <f t="shared" si="0"/>
        <v>0</v>
      </c>
      <c r="D23" s="295">
        <f t="shared" si="14"/>
        <v>0</v>
      </c>
      <c r="E23" s="295">
        <f t="shared" si="15"/>
        <v>1104346</v>
      </c>
      <c r="F23" s="607">
        <f t="shared" si="8"/>
        <v>160049</v>
      </c>
      <c r="G23" s="160">
        <f t="shared" si="1"/>
        <v>0</v>
      </c>
      <c r="H23" s="607">
        <f t="shared" si="9"/>
        <v>544590</v>
      </c>
      <c r="I23" s="161">
        <f t="shared" si="2"/>
        <v>0</v>
      </c>
      <c r="J23" s="607">
        <f t="shared" si="10"/>
        <v>399707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154.80303857058792</v>
      </c>
      <c r="P23" s="285">
        <f t="shared" si="12"/>
        <v>154.80303857058792</v>
      </c>
      <c r="Q23" s="285">
        <f>SUM(-tanks!AX25*tanks!$AU$37)</f>
        <v>0</v>
      </c>
      <c r="R23" s="285">
        <f t="shared" si="13"/>
        <v>154.80303857058792</v>
      </c>
      <c r="S23" s="287">
        <f>SUM(ELEC!N23)</f>
        <v>0</v>
      </c>
      <c r="T23" s="321">
        <f t="shared" si="16"/>
        <v>0</v>
      </c>
      <c r="V23" s="658"/>
      <c r="W23" s="659"/>
      <c r="X23" s="659"/>
      <c r="Y23" s="660"/>
      <c r="Z23" s="667"/>
      <c r="AA23" s="668"/>
      <c r="AB23" s="663"/>
      <c r="AC23" s="664"/>
    </row>
    <row r="24" spans="1:32" ht="20.100000000000001" customHeight="1">
      <c r="A24" s="163">
        <f>ELEC!C24</f>
        <v>44551</v>
      </c>
      <c r="B24" s="607">
        <f t="shared" si="7"/>
        <v>1104346</v>
      </c>
      <c r="C24" s="254">
        <f t="shared" si="0"/>
        <v>0</v>
      </c>
      <c r="D24" s="295">
        <f t="shared" si="14"/>
        <v>0</v>
      </c>
      <c r="E24" s="295">
        <f t="shared" si="15"/>
        <v>1104346</v>
      </c>
      <c r="F24" s="607">
        <f t="shared" si="8"/>
        <v>160049</v>
      </c>
      <c r="G24" s="160">
        <f t="shared" si="1"/>
        <v>0</v>
      </c>
      <c r="H24" s="607">
        <f t="shared" si="9"/>
        <v>544590</v>
      </c>
      <c r="I24" s="161">
        <f t="shared" si="2"/>
        <v>0</v>
      </c>
      <c r="J24" s="607">
        <f t="shared" si="10"/>
        <v>399707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0" t="s">
        <v>203</v>
      </c>
      <c r="W24" s="651"/>
      <c r="X24" s="652" t="s">
        <v>204</v>
      </c>
      <c r="Y24" s="653"/>
      <c r="Z24" s="654"/>
      <c r="AA24" s="170"/>
      <c r="AB24" s="665"/>
      <c r="AC24" s="666"/>
    </row>
    <row r="25" spans="1:32" ht="20.100000000000001" customHeight="1">
      <c r="A25" s="163">
        <f>ELEC!C25</f>
        <v>44552</v>
      </c>
      <c r="B25" s="607">
        <f t="shared" si="7"/>
        <v>1104346</v>
      </c>
      <c r="C25" s="254">
        <f t="shared" si="0"/>
        <v>0</v>
      </c>
      <c r="D25" s="295">
        <f t="shared" si="14"/>
        <v>0</v>
      </c>
      <c r="E25" s="295">
        <f t="shared" si="15"/>
        <v>1104346</v>
      </c>
      <c r="F25" s="607">
        <f t="shared" si="8"/>
        <v>160049</v>
      </c>
      <c r="G25" s="160">
        <f t="shared" si="1"/>
        <v>0</v>
      </c>
      <c r="H25" s="607">
        <f t="shared" si="9"/>
        <v>544590</v>
      </c>
      <c r="I25" s="161">
        <f t="shared" si="2"/>
        <v>0</v>
      </c>
      <c r="J25" s="607">
        <f t="shared" si="10"/>
        <v>399707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44553</v>
      </c>
      <c r="B26" s="607">
        <f t="shared" si="7"/>
        <v>1104346</v>
      </c>
      <c r="C26" s="254">
        <f t="shared" si="0"/>
        <v>0</v>
      </c>
      <c r="D26" s="295">
        <f t="shared" si="14"/>
        <v>0</v>
      </c>
      <c r="E26" s="295">
        <f t="shared" si="15"/>
        <v>1104346</v>
      </c>
      <c r="F26" s="607">
        <f t="shared" si="8"/>
        <v>160049</v>
      </c>
      <c r="G26" s="160">
        <f t="shared" si="1"/>
        <v>0</v>
      </c>
      <c r="H26" s="607">
        <f t="shared" si="9"/>
        <v>544590</v>
      </c>
      <c r="I26" s="161">
        <f t="shared" si="2"/>
        <v>0</v>
      </c>
      <c r="J26" s="607">
        <f t="shared" si="10"/>
        <v>399707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0</v>
      </c>
      <c r="R26" s="285">
        <f t="shared" si="13"/>
        <v>154.80303857058792</v>
      </c>
      <c r="S26" s="287">
        <f>SUM(ELEC!N26)</f>
        <v>0</v>
      </c>
      <c r="T26" s="321">
        <f t="shared" si="16"/>
        <v>0</v>
      </c>
      <c r="V26" s="246">
        <f>W9</f>
        <v>399616</v>
      </c>
      <c r="W26" s="170">
        <f>J34</f>
        <v>399707</v>
      </c>
      <c r="X26" s="172" t="s">
        <v>199</v>
      </c>
      <c r="Y26" s="172">
        <v>80</v>
      </c>
      <c r="Z26" s="172">
        <v>1</v>
      </c>
      <c r="AA26" s="323">
        <f>(W26-V26)*Z26</f>
        <v>91</v>
      </c>
      <c r="AB26" s="323">
        <f>AA26*Y26</f>
        <v>7280</v>
      </c>
      <c r="AC26" s="244">
        <f>AC9</f>
        <v>1033333</v>
      </c>
      <c r="AD26" s="476">
        <f>SUM(K36)</f>
        <v>6.5609228550829124E-2</v>
      </c>
    </row>
    <row r="27" spans="1:32" ht="20.100000000000001" customHeight="1">
      <c r="A27" s="163">
        <f>ELEC!C27</f>
        <v>44554</v>
      </c>
      <c r="B27" s="607">
        <f t="shared" si="7"/>
        <v>1104346</v>
      </c>
      <c r="C27" s="254">
        <f t="shared" si="0"/>
        <v>0</v>
      </c>
      <c r="D27" s="295">
        <f t="shared" si="14"/>
        <v>0</v>
      </c>
      <c r="E27" s="295">
        <f t="shared" si="15"/>
        <v>1104346</v>
      </c>
      <c r="F27" s="607">
        <f t="shared" si="8"/>
        <v>160049</v>
      </c>
      <c r="G27" s="160">
        <f t="shared" si="1"/>
        <v>0</v>
      </c>
      <c r="H27" s="607">
        <f t="shared" si="9"/>
        <v>544590</v>
      </c>
      <c r="I27" s="161">
        <f t="shared" si="2"/>
        <v>0</v>
      </c>
      <c r="J27" s="607">
        <f t="shared" si="10"/>
        <v>399707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0</v>
      </c>
      <c r="R27" s="285">
        <f t="shared" si="13"/>
        <v>154.80303857058792</v>
      </c>
      <c r="S27" s="287">
        <f>SUM(ELEC!N27)</f>
        <v>0</v>
      </c>
      <c r="T27" s="321">
        <f t="shared" si="16"/>
        <v>0</v>
      </c>
      <c r="V27" s="246">
        <f>W10</f>
        <v>543471</v>
      </c>
      <c r="W27" s="170">
        <f>H34</f>
        <v>544590</v>
      </c>
      <c r="X27" s="172" t="s">
        <v>212</v>
      </c>
      <c r="Y27" s="172">
        <v>112</v>
      </c>
      <c r="Z27" s="172">
        <v>1</v>
      </c>
      <c r="AA27" s="323">
        <f>(W27-V27)*Z27</f>
        <v>1119</v>
      </c>
      <c r="AB27" s="323">
        <f>SUM(AA27*Y27)</f>
        <v>125328</v>
      </c>
      <c r="AC27" s="244">
        <f>AC10</f>
        <v>6200000</v>
      </c>
      <c r="AD27" s="476">
        <f>SUM(I36)</f>
        <v>0.80677721701514071</v>
      </c>
    </row>
    <row r="28" spans="1:32" ht="20.100000000000001" customHeight="1">
      <c r="A28" s="163">
        <f>ELEC!C28</f>
        <v>44555</v>
      </c>
      <c r="B28" s="607">
        <f t="shared" si="7"/>
        <v>1104346</v>
      </c>
      <c r="C28" s="254">
        <f t="shared" si="0"/>
        <v>0</v>
      </c>
      <c r="D28" s="295">
        <f t="shared" si="14"/>
        <v>0</v>
      </c>
      <c r="E28" s="295">
        <f>B27+D28</f>
        <v>1104346</v>
      </c>
      <c r="F28" s="607">
        <f t="shared" si="8"/>
        <v>160049</v>
      </c>
      <c r="G28" s="160">
        <f t="shared" si="1"/>
        <v>0</v>
      </c>
      <c r="H28" s="607">
        <f t="shared" si="9"/>
        <v>544590</v>
      </c>
      <c r="I28" s="161">
        <f t="shared" si="2"/>
        <v>0</v>
      </c>
      <c r="J28" s="607">
        <f t="shared" si="10"/>
        <v>399707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0</v>
      </c>
      <c r="R28" s="285">
        <f t="shared" si="13"/>
        <v>154.80303857058792</v>
      </c>
      <c r="S28" s="287">
        <f>SUM(ELEC!N28)</f>
        <v>0</v>
      </c>
      <c r="T28" s="321">
        <f t="shared" si="16"/>
        <v>0</v>
      </c>
      <c r="V28" s="246">
        <f>W11</f>
        <v>159873</v>
      </c>
      <c r="W28" s="170">
        <f>F34</f>
        <v>160049</v>
      </c>
      <c r="X28" s="172" t="s">
        <v>197</v>
      </c>
      <c r="Y28" s="172">
        <v>320</v>
      </c>
      <c r="Z28" s="172">
        <v>1</v>
      </c>
      <c r="AA28" s="323">
        <f>(W28-V28)*Z28</f>
        <v>176</v>
      </c>
      <c r="AB28" s="323">
        <f>SUM(AA28*Y28)</f>
        <v>56320</v>
      </c>
      <c r="AC28" s="244">
        <f>AC11</f>
        <v>1000</v>
      </c>
      <c r="AD28" s="476">
        <f>SUM(G36)</f>
        <v>0.12689257390050471</v>
      </c>
      <c r="AE28" s="40">
        <f>SUM(AB28*5%)</f>
        <v>2816</v>
      </c>
      <c r="AF28" s="82">
        <f>SUM(AE28/7)*31</f>
        <v>12470.857142857143</v>
      </c>
    </row>
    <row r="29" spans="1:32" ht="20.100000000000001" customHeight="1">
      <c r="A29" s="163">
        <f>ELEC!C29</f>
        <v>44556</v>
      </c>
      <c r="B29" s="607">
        <f t="shared" si="7"/>
        <v>1104346</v>
      </c>
      <c r="C29" s="254">
        <f t="shared" si="0"/>
        <v>0</v>
      </c>
      <c r="D29" s="295">
        <f t="shared" si="14"/>
        <v>0</v>
      </c>
      <c r="E29" s="295">
        <f>B28+D29</f>
        <v>1104346</v>
      </c>
      <c r="F29" s="607">
        <f t="shared" si="8"/>
        <v>160049</v>
      </c>
      <c r="G29" s="160">
        <f t="shared" si="1"/>
        <v>0</v>
      </c>
      <c r="H29" s="607">
        <f t="shared" si="9"/>
        <v>544590</v>
      </c>
      <c r="I29" s="161">
        <f t="shared" si="2"/>
        <v>0</v>
      </c>
      <c r="J29" s="607">
        <f t="shared" si="10"/>
        <v>399707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1386</v>
      </c>
      <c r="AB29" s="323">
        <f>SUM(AB26:AB28)</f>
        <v>188928</v>
      </c>
      <c r="AC29" s="244">
        <f>SUM(AC26:AC28)</f>
        <v>7234333</v>
      </c>
    </row>
    <row r="30" spans="1:32" ht="20.100000000000001" customHeight="1">
      <c r="A30" s="163">
        <f>ELEC!C30</f>
        <v>44557</v>
      </c>
      <c r="B30" s="607">
        <f t="shared" si="7"/>
        <v>1104346</v>
      </c>
      <c r="C30" s="254">
        <f t="shared" si="0"/>
        <v>0</v>
      </c>
      <c r="D30" s="295">
        <f t="shared" si="14"/>
        <v>0</v>
      </c>
      <c r="E30" s="295">
        <f t="shared" si="15"/>
        <v>1104346</v>
      </c>
      <c r="F30" s="607">
        <f t="shared" si="8"/>
        <v>160049</v>
      </c>
      <c r="G30" s="160">
        <f t="shared" si="1"/>
        <v>0</v>
      </c>
      <c r="H30" s="607">
        <f t="shared" si="9"/>
        <v>544590</v>
      </c>
      <c r="I30" s="161">
        <f t="shared" si="2"/>
        <v>0</v>
      </c>
      <c r="J30" s="607">
        <f t="shared" si="10"/>
        <v>399707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7423261</v>
      </c>
      <c r="AC30" s="244"/>
    </row>
    <row r="31" spans="1:32" ht="20.100000000000001" customHeight="1">
      <c r="A31" s="163">
        <f>ELEC!C31</f>
        <v>44558</v>
      </c>
      <c r="B31" s="607">
        <f t="shared" si="7"/>
        <v>1104346</v>
      </c>
      <c r="C31" s="254">
        <f>SUM(B31-B30)</f>
        <v>0</v>
      </c>
      <c r="D31" s="295">
        <f t="shared" si="14"/>
        <v>0</v>
      </c>
      <c r="E31" s="295">
        <f>B30+D31</f>
        <v>1104346</v>
      </c>
      <c r="F31" s="607">
        <f t="shared" si="8"/>
        <v>160049</v>
      </c>
      <c r="G31" s="160">
        <f>F31-F30</f>
        <v>0</v>
      </c>
      <c r="H31" s="607">
        <f t="shared" si="9"/>
        <v>544590</v>
      </c>
      <c r="I31" s="161">
        <f>H31-H30</f>
        <v>0</v>
      </c>
      <c r="J31" s="607">
        <f t="shared" si="10"/>
        <v>399707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44559</v>
      </c>
      <c r="B32" s="607">
        <f t="shared" si="7"/>
        <v>1104346</v>
      </c>
      <c r="C32" s="254">
        <f>SUM(B32-B31)</f>
        <v>0</v>
      </c>
      <c r="D32" s="295">
        <f t="shared" si="14"/>
        <v>0</v>
      </c>
      <c r="E32" s="295">
        <f>B31+D32</f>
        <v>1104346</v>
      </c>
      <c r="F32" s="607">
        <f t="shared" si="8"/>
        <v>160049</v>
      </c>
      <c r="G32" s="160">
        <f>F32-F31</f>
        <v>0</v>
      </c>
      <c r="H32" s="607">
        <f t="shared" si="9"/>
        <v>544590</v>
      </c>
      <c r="I32" s="161">
        <f>H32-H31</f>
        <v>0</v>
      </c>
      <c r="J32" s="607">
        <f t="shared" si="10"/>
        <v>399707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72</v>
      </c>
      <c r="X32" s="222">
        <f>SUM(W32/A35)</f>
        <v>14.4</v>
      </c>
      <c r="Y32" s="250">
        <f>SUM(X32/1)</f>
        <v>14.4</v>
      </c>
      <c r="Z32" s="3"/>
      <c r="AA32" s="323"/>
      <c r="AB32" s="323"/>
      <c r="AC32" s="244"/>
    </row>
    <row r="33" spans="1:32" ht="20.100000000000001" customHeight="1">
      <c r="A33" s="163">
        <f>ELEC!C33</f>
        <v>44560</v>
      </c>
      <c r="B33" s="607">
        <f t="shared" si="7"/>
        <v>1104346</v>
      </c>
      <c r="C33" s="254">
        <f>SUM(B33-B32)</f>
        <v>0</v>
      </c>
      <c r="D33" s="295">
        <f t="shared" si="14"/>
        <v>0</v>
      </c>
      <c r="E33" s="295">
        <f>B32+D33</f>
        <v>1104346</v>
      </c>
      <c r="F33" s="607">
        <f t="shared" si="8"/>
        <v>160049</v>
      </c>
      <c r="G33" s="160">
        <f>F33-F32</f>
        <v>0</v>
      </c>
      <c r="H33" s="607">
        <f t="shared" si="9"/>
        <v>544590</v>
      </c>
      <c r="I33" s="161">
        <f>H33-H32</f>
        <v>0</v>
      </c>
      <c r="J33" s="607">
        <f t="shared" si="10"/>
        <v>399707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2">
        <v>0.11</v>
      </c>
      <c r="AB33" s="593">
        <f>AB30*AA33</f>
        <v>816558.71</v>
      </c>
      <c r="AC33" s="244">
        <f>SUM(AC29)</f>
        <v>7234333</v>
      </c>
    </row>
    <row r="34" spans="1:32" ht="20.100000000000001" customHeight="1">
      <c r="A34" s="163">
        <f>ELEC!C34</f>
        <v>44561</v>
      </c>
      <c r="B34" s="607">
        <f t="shared" si="7"/>
        <v>1104346</v>
      </c>
      <c r="C34" s="254">
        <f>SUM(B34-B33)</f>
        <v>0</v>
      </c>
      <c r="D34" s="295">
        <f t="shared" ref="D34" si="20">SUM(G34+I34+K34)</f>
        <v>0</v>
      </c>
      <c r="E34" s="295">
        <f>B33+D34</f>
        <v>1104346</v>
      </c>
      <c r="F34" s="607">
        <f t="shared" si="8"/>
        <v>160049</v>
      </c>
      <c r="G34" s="160">
        <f>F34-F33</f>
        <v>0</v>
      </c>
      <c r="H34" s="607">
        <f t="shared" si="9"/>
        <v>544590</v>
      </c>
      <c r="I34" s="161">
        <f>H34-H33</f>
        <v>0</v>
      </c>
      <c r="J34" s="607">
        <f t="shared" si="10"/>
        <v>399707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8239819.71</v>
      </c>
      <c r="AC34" s="244">
        <f>SUM(AC30)</f>
        <v>0</v>
      </c>
    </row>
    <row r="35" spans="1:32" ht="15.75" thickBot="1">
      <c r="A35" s="501">
        <f>A37-COUNTIF(C4:C33,0)</f>
        <v>5</v>
      </c>
      <c r="C35" s="173">
        <f>SUM(C4:C34)/A35</f>
        <v>277.39999999999998</v>
      </c>
      <c r="D35" s="173"/>
      <c r="E35" s="173"/>
      <c r="F35" s="568"/>
      <c r="G35" s="568">
        <f>SUM(G4:G34)/A35</f>
        <v>35.200000000000003</v>
      </c>
      <c r="H35" s="173"/>
      <c r="I35" s="173">
        <f>SUM(I4:I34)/A35</f>
        <v>223.8</v>
      </c>
      <c r="K35" s="173">
        <f>SUM(K4:K34)/A35</f>
        <v>18.2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0.99927901946647446</v>
      </c>
      <c r="G36" s="225">
        <f>IF(C35&gt;0,G35/C35,0)</f>
        <v>0.12689257390050471</v>
      </c>
      <c r="H36" s="212"/>
      <c r="I36" s="225">
        <f>SUM(I35/C35)</f>
        <v>0.80677721701514071</v>
      </c>
      <c r="J36" s="212"/>
      <c r="K36" s="225">
        <f>SUM(K35/C35)</f>
        <v>6.5609228550829124E-2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4924.2195688225538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4924.2195688225538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47"/>
      <c r="AC45" s="647"/>
      <c r="AD45" s="543"/>
      <c r="AE45" s="17"/>
      <c r="AF45" s="17"/>
    </row>
    <row r="46" spans="1:32">
      <c r="V46" s="647"/>
      <c r="W46" s="647"/>
      <c r="X46" s="647"/>
      <c r="Y46" s="647"/>
      <c r="Z46" s="508"/>
      <c r="AA46" s="508"/>
      <c r="AB46" s="647"/>
      <c r="AC46" s="647"/>
      <c r="AD46" s="543"/>
      <c r="AE46" s="17"/>
      <c r="AF46" s="17"/>
    </row>
    <row r="47" spans="1:32">
      <c r="V47" s="647"/>
      <c r="W47" s="647"/>
      <c r="X47" s="647"/>
      <c r="Y47" s="647"/>
      <c r="Z47" s="647"/>
      <c r="AA47" s="647"/>
      <c r="AB47" s="647"/>
      <c r="AC47" s="647"/>
      <c r="AD47" s="543"/>
      <c r="AE47" s="17"/>
      <c r="AF47" s="17"/>
    </row>
    <row r="48" spans="1:32">
      <c r="V48" s="648"/>
      <c r="W48" s="648"/>
      <c r="X48" s="649"/>
      <c r="Y48" s="649"/>
      <c r="Z48" s="649"/>
      <c r="AA48" s="509"/>
      <c r="AB48" s="647"/>
      <c r="AC48" s="647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E56" sqref="E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G37" sqref="G37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69" t="s">
        <v>193</v>
      </c>
      <c r="B1" s="670"/>
      <c r="C1" s="670"/>
      <c r="D1" s="670"/>
      <c r="E1" s="670"/>
      <c r="F1" s="670"/>
      <c r="G1" s="670"/>
      <c r="H1" s="670"/>
      <c r="I1" s="670"/>
      <c r="J1" s="670"/>
      <c r="K1" s="670"/>
      <c r="L1" s="670"/>
      <c r="M1" s="670"/>
      <c r="N1" s="670"/>
      <c r="O1" s="671"/>
    </row>
    <row r="2" spans="1:15" ht="15.75" customHeight="1" thickBot="1">
      <c r="A2" s="672"/>
      <c r="B2" s="673"/>
      <c r="C2" s="673"/>
      <c r="D2" s="673"/>
      <c r="E2" s="673"/>
      <c r="F2" s="673"/>
      <c r="G2" s="673"/>
      <c r="H2" s="673"/>
      <c r="I2" s="673"/>
      <c r="J2" s="673"/>
      <c r="K2" s="673"/>
      <c r="L2" s="673"/>
      <c r="M2" s="673"/>
      <c r="N2" s="673"/>
      <c r="O2" s="674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44531</v>
      </c>
      <c r="B5" s="37">
        <v>21</v>
      </c>
      <c r="C5" s="37">
        <v>16</v>
      </c>
      <c r="D5" s="26">
        <f t="shared" ref="D5:D11" si="0">(C5+B5)/2</f>
        <v>18.5</v>
      </c>
      <c r="E5" s="325">
        <v>0.66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44532</v>
      </c>
      <c r="B6" s="37">
        <v>20</v>
      </c>
      <c r="C6" s="37">
        <v>16</v>
      </c>
      <c r="D6" s="26">
        <f t="shared" si="0"/>
        <v>18</v>
      </c>
      <c r="E6" s="325">
        <v>0.54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44533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44534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44535</v>
      </c>
      <c r="B9" s="37">
        <v>23</v>
      </c>
      <c r="C9" s="37">
        <v>17</v>
      </c>
      <c r="D9" s="26">
        <f t="shared" si="0"/>
        <v>20</v>
      </c>
      <c r="E9" s="339">
        <v>0.54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44536</v>
      </c>
      <c r="B10" s="37">
        <v>22</v>
      </c>
      <c r="C10" s="37">
        <v>16</v>
      </c>
      <c r="D10" s="26">
        <f t="shared" si="0"/>
        <v>19</v>
      </c>
      <c r="E10" s="378">
        <v>0.59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44537</v>
      </c>
      <c r="B11" s="37">
        <v>23</v>
      </c>
      <c r="C11" s="37">
        <v>16</v>
      </c>
      <c r="D11" s="26">
        <f t="shared" si="0"/>
        <v>19.5</v>
      </c>
      <c r="E11" s="378">
        <v>0.44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44538</v>
      </c>
      <c r="B12" s="37">
        <v>20</v>
      </c>
      <c r="C12" s="37">
        <v>13</v>
      </c>
      <c r="D12" s="26">
        <f>(C12+B12)/2</f>
        <v>16.5</v>
      </c>
      <c r="E12" s="339">
        <v>0.63</v>
      </c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44539</v>
      </c>
      <c r="B13" s="37">
        <v>19</v>
      </c>
      <c r="C13" s="37">
        <v>15</v>
      </c>
      <c r="D13" s="26">
        <f t="shared" ref="D13:D32" si="3">(C13+B13)/2</f>
        <v>17</v>
      </c>
      <c r="E13" s="325">
        <v>0.73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44540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44541</v>
      </c>
      <c r="B15" s="37"/>
      <c r="C15" s="37"/>
      <c r="D15" s="26">
        <f t="shared" ref="D15" si="5"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44542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44543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44544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44545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44546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44547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44548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44549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44550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44551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44552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44553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44554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44555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44556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44557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44558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44559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44560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44561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25.7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661</v>
      </c>
      <c r="C2" s="3">
        <f>ELEC!N4</f>
        <v>6332</v>
      </c>
      <c r="D2" s="3">
        <f>C2-E2</f>
        <v>132.99999999947613</v>
      </c>
      <c r="E2" s="3">
        <f>ELEC!Q4</f>
        <v>6199.0000000005239</v>
      </c>
      <c r="F2" s="3">
        <f>GEN!Z2</f>
        <v>10</v>
      </c>
      <c r="G2" s="3">
        <f>WATER!C5+WATER!H5</f>
        <v>0</v>
      </c>
      <c r="H2" s="3">
        <f>WATER!L5</f>
        <v>0</v>
      </c>
      <c r="I2" s="15">
        <f>WATER!BC5+WATER!BD5+WATER!BE6-Sheet1!G2</f>
        <v>-5.0999999999999659</v>
      </c>
      <c r="J2" s="9">
        <f>'B5'!A4</f>
        <v>44530</v>
      </c>
    </row>
    <row r="3" spans="1:10">
      <c r="A3" s="3">
        <f>ELEC!T5+ELEC!X3+ELEC!AB5</f>
        <v>3</v>
      </c>
      <c r="B3" s="3">
        <f>ELEC!AF5</f>
        <v>670</v>
      </c>
      <c r="C3" s="3">
        <f>ELEC!N5</f>
        <v>5540</v>
      </c>
      <c r="D3" s="3">
        <f t="shared" ref="D3:D30" si="0">C3-E3</f>
        <v>176.99999999880674</v>
      </c>
      <c r="E3" s="3">
        <f>ELEC!Q5</f>
        <v>5363.0000000011933</v>
      </c>
      <c r="F3" s="3">
        <f>GEN!Z3</f>
        <v>11</v>
      </c>
      <c r="G3" s="3">
        <f>WATER!C6+WATER!H6</f>
        <v>0</v>
      </c>
      <c r="H3" s="3">
        <f>WATER!L6</f>
        <v>0</v>
      </c>
      <c r="I3" s="15">
        <f>WATER!BC6+WATER!BD6+WATER!BE7-Sheet1!G3</f>
        <v>69.7</v>
      </c>
      <c r="J3" s="9">
        <f>'B5'!A5</f>
        <v>44531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12</v>
      </c>
      <c r="G4" s="3">
        <f>WATER!C7+WATER!H7</f>
        <v>160</v>
      </c>
      <c r="H4" s="3">
        <f>WATER!L7</f>
        <v>0</v>
      </c>
      <c r="I4" s="15">
        <f>WATER!BC7+WATER!BD7+WATER!BE8-Sheet1!G4</f>
        <v>-168.00000000000003</v>
      </c>
      <c r="J4" s="9">
        <f>'B5'!A6</f>
        <v>44532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44533</v>
      </c>
    </row>
    <row r="6" spans="1:10">
      <c r="A6" s="3">
        <f>ELEC!T8+ELEC!X8+ELEC!AB8</f>
        <v>1</v>
      </c>
      <c r="B6" s="3">
        <f>ELEC!AF8</f>
        <v>379</v>
      </c>
      <c r="C6" s="3">
        <f>ELEC!N8</f>
        <v>6729</v>
      </c>
      <c r="D6" s="3">
        <f t="shared" si="0"/>
        <v>6729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-2.8999999999999773</v>
      </c>
      <c r="J6" s="9">
        <f>'B5'!A8</f>
        <v>44534</v>
      </c>
    </row>
    <row r="7" spans="1:10">
      <c r="A7" s="3">
        <f>ELEC!T9+ELEC!X9+ELEC!AB9</f>
        <v>2</v>
      </c>
      <c r="B7" s="3">
        <f>ELEC!AF9</f>
        <v>492</v>
      </c>
      <c r="C7" s="3">
        <f>ELEC!N9</f>
        <v>4979</v>
      </c>
      <c r="D7" s="3">
        <f t="shared" si="0"/>
        <v>49.999999999912689</v>
      </c>
      <c r="E7" s="3">
        <f>ELEC!Q9</f>
        <v>4929.0000000000873</v>
      </c>
      <c r="F7" s="3">
        <f>GEN!Z7</f>
        <v>10</v>
      </c>
      <c r="G7" s="3">
        <f>WATER!C10+WATER!H10</f>
        <v>0</v>
      </c>
      <c r="H7" s="3">
        <f>WATER!L10</f>
        <v>6</v>
      </c>
      <c r="I7" s="15">
        <f>WATER!BC10+WATER!BD10+WATER!BE11-Sheet1!G7</f>
        <v>-5.8000000000000114</v>
      </c>
      <c r="J7" s="9">
        <f>'B5'!A9</f>
        <v>44535</v>
      </c>
    </row>
    <row r="8" spans="1:10">
      <c r="A8" s="3">
        <f>ELEC!T10+ELEC!X10+ELEC!AB10</f>
        <v>2</v>
      </c>
      <c r="B8" s="3">
        <f>ELEC!AF10</f>
        <v>384</v>
      </c>
      <c r="C8" s="3">
        <f>ELEC!N10</f>
        <v>5333</v>
      </c>
      <c r="D8" s="3">
        <f t="shared" si="0"/>
        <v>89.000000001222361</v>
      </c>
      <c r="E8" s="3">
        <f>ELEC!Q10</f>
        <v>5243.9999999987776</v>
      </c>
      <c r="F8" s="3">
        <f>GEN!Z8</f>
        <v>9</v>
      </c>
      <c r="G8" s="3">
        <f>WATER!C11+WATER!H11</f>
        <v>0</v>
      </c>
      <c r="H8" s="3">
        <f>WATER!L11</f>
        <v>0</v>
      </c>
      <c r="I8" s="15">
        <f>WATER!BC11+WATER!BD11+WATER!BE12-Sheet1!G8</f>
        <v>-11.600000000000051</v>
      </c>
      <c r="J8" s="9">
        <f>'B5'!A10</f>
        <v>44536</v>
      </c>
    </row>
    <row r="9" spans="1:10">
      <c r="A9" s="3">
        <f>ELEC!T11+ELEC!X11+ELEC!AB11</f>
        <v>1</v>
      </c>
      <c r="B9" s="3">
        <f>ELEC!AF11</f>
        <v>171</v>
      </c>
      <c r="C9" s="3">
        <f>ELEC!N11</f>
        <v>5724</v>
      </c>
      <c r="D9" s="3">
        <f t="shared" si="0"/>
        <v>-238.99999999973807</v>
      </c>
      <c r="E9" s="3">
        <f>ELEC!Q11</f>
        <v>5962.9999999997381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-35.899999999999977</v>
      </c>
      <c r="J9" s="9">
        <f>'B5'!A11</f>
        <v>44537</v>
      </c>
    </row>
    <row r="10" spans="1:10">
      <c r="A10" s="3">
        <f>ELEC!T12+ELEC!X12+ELEC!AB12</f>
        <v>1</v>
      </c>
      <c r="B10" s="3">
        <f>ELEC!AF12</f>
        <v>218</v>
      </c>
      <c r="C10" s="3">
        <f>ELEC!N12</f>
        <v>4995</v>
      </c>
      <c r="D10" s="3">
        <f t="shared" si="0"/>
        <v>158.99999999703141</v>
      </c>
      <c r="E10" s="3">
        <f>ELEC!Q12</f>
        <v>4836.0000000029686</v>
      </c>
      <c r="F10" s="3">
        <f>GEN!Z10</f>
        <v>11</v>
      </c>
      <c r="G10" s="3">
        <f>WATER!C13+WATER!H13</f>
        <v>0</v>
      </c>
      <c r="H10" s="3">
        <f>WATER!L13</f>
        <v>0</v>
      </c>
      <c r="I10" s="15">
        <f>WATER!BC13+WATER!BD13+WATER!BE14-Sheet1!G10</f>
        <v>21.800000000000026</v>
      </c>
      <c r="J10" s="9">
        <f>'B5'!A12</f>
        <v>44538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9</v>
      </c>
      <c r="G11" s="3">
        <f>WATER!C14+WATER!H14</f>
        <v>170</v>
      </c>
      <c r="H11" s="3">
        <f>WATER!L14</f>
        <v>6</v>
      </c>
      <c r="I11" s="15">
        <f>WATER!BC14+WATER!BD14+WATER!BE15-Sheet1!G11</f>
        <v>-56.200000000000017</v>
      </c>
      <c r="J11" s="9">
        <f>'B5'!A13</f>
        <v>44539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44540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44541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44542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44543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44544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44545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44546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44547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44548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44549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44550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44551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44552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44553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44554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44555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44556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44557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44558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78"/>
      <c r="B1" s="675" t="s">
        <v>119</v>
      </c>
      <c r="C1" s="675" t="s">
        <v>118</v>
      </c>
      <c r="D1" s="680" t="s">
        <v>113</v>
      </c>
      <c r="E1" s="680" t="s">
        <v>114</v>
      </c>
      <c r="F1" s="681" t="s">
        <v>120</v>
      </c>
      <c r="G1" s="682" t="s">
        <v>75</v>
      </c>
      <c r="H1" s="683" t="s">
        <v>115</v>
      </c>
      <c r="I1" s="684" t="s">
        <v>116</v>
      </c>
      <c r="J1" s="683" t="s">
        <v>117</v>
      </c>
      <c r="K1" s="677" t="s">
        <v>121</v>
      </c>
      <c r="L1" s="677" t="s">
        <v>122</v>
      </c>
      <c r="M1" s="677" t="s">
        <v>123</v>
      </c>
      <c r="N1" s="677" t="s">
        <v>124</v>
      </c>
    </row>
    <row r="2" spans="1:14">
      <c r="A2" s="679"/>
      <c r="B2" s="676"/>
      <c r="C2" s="676"/>
      <c r="D2" s="680"/>
      <c r="E2" s="680"/>
      <c r="F2" s="681"/>
      <c r="G2" s="682"/>
      <c r="H2" s="683"/>
      <c r="I2" s="685"/>
      <c r="J2" s="683"/>
      <c r="K2" s="677"/>
      <c r="L2" s="677"/>
      <c r="M2" s="677"/>
      <c r="N2" s="677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44531</v>
      </c>
      <c r="B5" s="76">
        <f>'B5'!V5</f>
        <v>0</v>
      </c>
      <c r="C5" s="76">
        <f>'B5'!AH5</f>
        <v>0</v>
      </c>
      <c r="D5" s="76">
        <f>GEN!AI3</f>
        <v>1595.5232067511897</v>
      </c>
      <c r="E5" s="239">
        <f t="shared" ref="E5:E33" si="0">B5+C5+D5</f>
        <v>1595.5232067511897</v>
      </c>
      <c r="F5" s="75">
        <f>WATER!L5</f>
        <v>0</v>
      </c>
      <c r="G5" s="78">
        <f>WATER!BG5</f>
        <v>0</v>
      </c>
      <c r="H5" s="79">
        <f>ELEC!AF4</f>
        <v>661</v>
      </c>
      <c r="I5" s="79">
        <f>ELEC!Q4</f>
        <v>6199.0000000005239</v>
      </c>
      <c r="J5" s="79">
        <f>ELEC!R4</f>
        <v>132.99999999947613</v>
      </c>
      <c r="K5" s="80"/>
      <c r="L5" s="3"/>
      <c r="M5" s="3"/>
      <c r="N5" s="3"/>
    </row>
    <row r="6" spans="1:14">
      <c r="A6" s="63">
        <f>'B5'!A6</f>
        <v>44532</v>
      </c>
      <c r="B6" s="76">
        <f>'B5'!V6</f>
        <v>0</v>
      </c>
      <c r="C6" s="76">
        <f>'B5'!AH6</f>
        <v>0</v>
      </c>
      <c r="D6" s="76">
        <f>GEN!AI4</f>
        <v>1380.3502109707713</v>
      </c>
      <c r="E6" s="239">
        <f t="shared" si="0"/>
        <v>1380.3502109707713</v>
      </c>
      <c r="F6" s="75">
        <f>WATER!L6</f>
        <v>0</v>
      </c>
      <c r="G6" s="78">
        <f>WATER!BG6</f>
        <v>-5.0999999999999659</v>
      </c>
      <c r="H6" s="79">
        <f>ELEC!AF5</f>
        <v>670</v>
      </c>
      <c r="I6" s="79">
        <f>ELEC!Q5</f>
        <v>5363.0000000011933</v>
      </c>
      <c r="J6" s="79">
        <f>ELEC!R5</f>
        <v>176.99999999880674</v>
      </c>
      <c r="K6" s="3"/>
      <c r="L6" s="3"/>
      <c r="M6" s="3"/>
      <c r="N6" s="3"/>
    </row>
    <row r="7" spans="1:14">
      <c r="A7" s="63">
        <f>'B5'!A7</f>
        <v>44533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74.799999999999969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44534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44535</v>
      </c>
      <c r="B9" s="76">
        <f>'B5'!V9</f>
        <v>193</v>
      </c>
      <c r="C9" s="76">
        <f>'B5'!AH9</f>
        <v>0</v>
      </c>
      <c r="D9" s="76">
        <f>GEN!AI7</f>
        <v>1684.5780590712807</v>
      </c>
      <c r="E9" s="239">
        <f t="shared" si="0"/>
        <v>1877.5780590712807</v>
      </c>
      <c r="F9" s="75">
        <f>WATER!L9</f>
        <v>0</v>
      </c>
      <c r="G9" s="78">
        <f>WATER!BG9</f>
        <v>0</v>
      </c>
      <c r="H9" s="79">
        <f>ELEC!AF8</f>
        <v>379</v>
      </c>
      <c r="I9" s="79">
        <f>ELEC!Q8</f>
        <v>6544.9999999982538</v>
      </c>
      <c r="J9" s="79">
        <f>ELEC!R8</f>
        <v>184.00000000174623</v>
      </c>
      <c r="K9" s="3"/>
      <c r="L9" s="3"/>
      <c r="M9" s="3"/>
      <c r="N9" s="3"/>
    </row>
    <row r="10" spans="1:14">
      <c r="A10" s="63">
        <f>'B5'!A10</f>
        <v>44536</v>
      </c>
      <c r="B10" s="76">
        <f>'B5'!V10</f>
        <v>110</v>
      </c>
      <c r="C10" s="76">
        <f>'B5'!AH10</f>
        <v>0</v>
      </c>
      <c r="D10" s="76">
        <f>GEN!AI8</f>
        <v>1268.6455696202756</v>
      </c>
      <c r="E10" s="239">
        <f t="shared" si="0"/>
        <v>1378.6455696202756</v>
      </c>
      <c r="F10" s="75">
        <f>WATER!L10</f>
        <v>6</v>
      </c>
      <c r="G10" s="78">
        <f>WATER!BG10</f>
        <v>-2.8999999999999773</v>
      </c>
      <c r="H10" s="79">
        <f>ELEC!AF9</f>
        <v>492</v>
      </c>
      <c r="I10" s="79">
        <f>ELEC!Q9</f>
        <v>4929.0000000000873</v>
      </c>
      <c r="J10" s="79">
        <f>ELEC!R9</f>
        <v>49.999999999912689</v>
      </c>
      <c r="K10" s="3"/>
      <c r="L10" s="3"/>
      <c r="M10" s="3"/>
      <c r="N10" s="3"/>
    </row>
    <row r="11" spans="1:14">
      <c r="A11" s="63">
        <f>'B5'!A11</f>
        <v>44537</v>
      </c>
      <c r="B11" s="76">
        <f>'B5'!V11</f>
        <v>119</v>
      </c>
      <c r="C11" s="76">
        <f>'B5'!AH11</f>
        <v>0</v>
      </c>
      <c r="D11" s="76">
        <f>GEN!AI9</f>
        <v>1349.7215189870274</v>
      </c>
      <c r="E11" s="239">
        <f t="shared" si="0"/>
        <v>1468.7215189870274</v>
      </c>
      <c r="F11" s="75">
        <f>WATER!L11</f>
        <v>0</v>
      </c>
      <c r="G11" s="78">
        <f>WATER!BG11</f>
        <v>-2.9000000000000341</v>
      </c>
      <c r="H11" s="79">
        <f>ELEC!AF10</f>
        <v>384</v>
      </c>
      <c r="I11" s="79">
        <f>ELEC!Q10</f>
        <v>5243.9999999987776</v>
      </c>
      <c r="J11" s="79">
        <f>ELEC!R10</f>
        <v>89.000000001222361</v>
      </c>
      <c r="K11" s="3"/>
      <c r="L11" s="3"/>
      <c r="M11" s="3"/>
      <c r="N11" s="3"/>
    </row>
    <row r="12" spans="1:14">
      <c r="A12" s="63">
        <f>'B5'!A12</f>
        <v>44538</v>
      </c>
      <c r="B12" s="76">
        <f>'B5'!V12</f>
        <v>0</v>
      </c>
      <c r="C12" s="76">
        <f>'B5'!AH12</f>
        <v>0</v>
      </c>
      <c r="D12" s="76">
        <f>GEN!AI10</f>
        <v>1534.7805907172324</v>
      </c>
      <c r="E12" s="239">
        <f t="shared" si="0"/>
        <v>1534.7805907172324</v>
      </c>
      <c r="F12" s="75">
        <f>WATER!L12</f>
        <v>0</v>
      </c>
      <c r="G12" s="78">
        <f>WATER!BG12</f>
        <v>-8.7000000000000171</v>
      </c>
      <c r="H12" s="79">
        <f>ELEC!AF11</f>
        <v>171</v>
      </c>
      <c r="I12" s="79">
        <f>ELEC!Q11</f>
        <v>5962.9999999997381</v>
      </c>
      <c r="J12" s="79">
        <f>ELEC!R11</f>
        <v>-238.99999999973807</v>
      </c>
      <c r="K12" s="3"/>
      <c r="L12" s="3"/>
      <c r="M12" s="3"/>
      <c r="N12" s="3"/>
    </row>
    <row r="13" spans="1:14">
      <c r="A13" s="63">
        <f>'B5'!A13</f>
        <v>44539</v>
      </c>
      <c r="B13" s="76">
        <f>'B5'!V13</f>
        <v>0</v>
      </c>
      <c r="C13" s="76">
        <f>'B5'!AH13</f>
        <v>0</v>
      </c>
      <c r="D13" s="76">
        <f>GEN!AI11</f>
        <v>1244.7088607602579</v>
      </c>
      <c r="E13" s="239">
        <f t="shared" si="0"/>
        <v>1244.7088607602579</v>
      </c>
      <c r="F13" s="75">
        <f>WATER!L13</f>
        <v>0</v>
      </c>
      <c r="G13" s="78">
        <f>WATER!BG13</f>
        <v>-28.999999999999972</v>
      </c>
      <c r="H13" s="79">
        <f>ELEC!AF12</f>
        <v>218</v>
      </c>
      <c r="I13" s="79">
        <f>ELEC!Q12</f>
        <v>4836.0000000029686</v>
      </c>
      <c r="J13" s="79">
        <f>ELEC!R12</f>
        <v>158.99999999703141</v>
      </c>
      <c r="K13" s="3"/>
      <c r="L13" s="3"/>
      <c r="M13" s="3"/>
      <c r="N13" s="3"/>
    </row>
    <row r="14" spans="1:14">
      <c r="A14" s="63">
        <f>'B5'!A14</f>
        <v>44540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6</v>
      </c>
      <c r="G14" s="78">
        <f>WATER!BG14</f>
        <v>50.8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44541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44542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44543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44544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44545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44546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44547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44548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44549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44550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44551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44552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44553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44554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44555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44556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44557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44558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6" t="s">
        <v>151</v>
      </c>
      <c r="U3" s="686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0</v>
      </c>
      <c r="E5">
        <f t="shared" ref="E5:E37" si="0">D5*90</f>
        <v>0</v>
      </c>
      <c r="F5">
        <f>'B5'!AM4</f>
        <v>0</v>
      </c>
      <c r="G5">
        <f t="shared" ref="G5:G37" si="1">F5*107</f>
        <v>0</v>
      </c>
      <c r="H5">
        <f>GEN!Z3</f>
        <v>11</v>
      </c>
    </row>
    <row r="6" spans="3:21">
      <c r="C6" s="99">
        <v>42430</v>
      </c>
      <c r="D6">
        <f>'B5'!AL5</f>
        <v>3</v>
      </c>
      <c r="E6">
        <f t="shared" si="0"/>
        <v>270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1</v>
      </c>
      <c r="E12">
        <f t="shared" si="0"/>
        <v>90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1</v>
      </c>
      <c r="E13">
        <f t="shared" si="0"/>
        <v>90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H15" sqref="H15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7" t="s">
        <v>51</v>
      </c>
      <c r="B1" s="699" t="s">
        <v>316</v>
      </c>
      <c r="C1" s="700"/>
      <c r="D1" s="702"/>
      <c r="E1" s="699" t="s">
        <v>317</v>
      </c>
      <c r="F1" s="700"/>
      <c r="G1" s="701"/>
      <c r="H1" s="696" t="s">
        <v>321</v>
      </c>
      <c r="I1" s="693" t="s">
        <v>322</v>
      </c>
      <c r="J1" s="690" t="s">
        <v>43</v>
      </c>
    </row>
    <row r="2" spans="1:18" ht="38.25" thickBot="1">
      <c r="A2" s="688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7"/>
      <c r="I2" s="694"/>
      <c r="J2" s="691"/>
    </row>
    <row r="3" spans="1:18" ht="24" customHeight="1" thickBot="1">
      <c r="A3" s="689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8"/>
      <c r="I3" s="695"/>
      <c r="J3" s="692"/>
    </row>
    <row r="4" spans="1:18" ht="19.5" thickBot="1">
      <c r="A4" s="587"/>
      <c r="B4" s="596" t="s">
        <v>325</v>
      </c>
      <c r="C4" s="597" t="s">
        <v>320</v>
      </c>
      <c r="D4" s="598" t="s">
        <v>326</v>
      </c>
      <c r="E4" s="599" t="s">
        <v>325</v>
      </c>
      <c r="F4" s="598" t="s">
        <v>320</v>
      </c>
      <c r="G4" s="599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7">
        <f>'[2]Swimming Pool quality check '!$A$35</f>
        <v>44530</v>
      </c>
      <c r="B5" s="618">
        <f>'[2]Swimming Pool quality check '!B35</f>
        <v>2.8</v>
      </c>
      <c r="C5" s="618">
        <f>'[2]Swimming Pool quality check '!C35</f>
        <v>8</v>
      </c>
      <c r="D5" s="618">
        <f>'[2]Swimming Pool quality check '!D35</f>
        <v>0</v>
      </c>
      <c r="E5" s="618">
        <f>'[2]Swimming Pool quality check '!E35</f>
        <v>0</v>
      </c>
      <c r="F5" s="618">
        <f>'[2]Swimming Pool quality check '!F35</f>
        <v>0</v>
      </c>
      <c r="G5" s="618">
        <f>'[2]Swimming Pool quality check '!G35</f>
        <v>0</v>
      </c>
      <c r="H5" s="619">
        <f>'[2]Swimming Pool quality check '!H35</f>
        <v>6953</v>
      </c>
      <c r="I5" s="620">
        <f>'[6]Swimming Pool quality check '!I36</f>
        <v>0</v>
      </c>
      <c r="J5" s="621">
        <f>'[7]Swimming Pool quality check '!J36</f>
        <v>0.33333333333333398</v>
      </c>
      <c r="K5" s="588">
        <v>0</v>
      </c>
      <c r="L5" s="500">
        <f>A5</f>
        <v>44530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12">
        <f>ELEC!C4</f>
        <v>44531</v>
      </c>
      <c r="B6" s="613">
        <v>2</v>
      </c>
      <c r="C6" s="461">
        <v>8.1</v>
      </c>
      <c r="D6" s="461">
        <v>0</v>
      </c>
      <c r="E6" s="461">
        <v>0</v>
      </c>
      <c r="F6" s="461">
        <v>0</v>
      </c>
      <c r="G6" s="461">
        <v>0</v>
      </c>
      <c r="H6" s="614">
        <v>6954</v>
      </c>
      <c r="I6" s="615">
        <f>H6-H5</f>
        <v>1</v>
      </c>
      <c r="J6" s="616">
        <v>0.29166666666666669</v>
      </c>
      <c r="L6" s="99">
        <f t="shared" ref="L6:L33" si="0">A6</f>
        <v>44531</v>
      </c>
      <c r="M6" s="3">
        <f>M5</f>
        <v>6541</v>
      </c>
      <c r="N6" s="477"/>
      <c r="O6" s="477">
        <f>M6+N6</f>
        <v>6541</v>
      </c>
    </row>
    <row r="7" spans="1:18">
      <c r="A7" s="590">
        <f>ELEC!C5</f>
        <v>44532</v>
      </c>
      <c r="B7" s="605"/>
      <c r="C7" s="608"/>
      <c r="D7" s="608">
        <v>0</v>
      </c>
      <c r="E7" s="608">
        <v>0</v>
      </c>
      <c r="F7" s="608">
        <v>0</v>
      </c>
      <c r="G7" s="608">
        <v>0</v>
      </c>
      <c r="H7" s="604">
        <f t="shared" ref="H7:H36" si="1">H6</f>
        <v>6954</v>
      </c>
      <c r="I7" s="602">
        <f>H7-H6</f>
        <v>0</v>
      </c>
      <c r="J7" s="462">
        <v>0.29166666666666669</v>
      </c>
      <c r="L7" s="99">
        <f t="shared" si="0"/>
        <v>44532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90">
        <f>ELEC!C6</f>
        <v>44533</v>
      </c>
      <c r="B8" s="605"/>
      <c r="C8" s="608"/>
      <c r="D8" s="608">
        <v>0</v>
      </c>
      <c r="E8" s="608">
        <v>0</v>
      </c>
      <c r="F8" s="608">
        <v>0</v>
      </c>
      <c r="G8" s="608">
        <v>0</v>
      </c>
      <c r="H8" s="604">
        <f t="shared" si="1"/>
        <v>6954</v>
      </c>
      <c r="I8" s="602">
        <f t="shared" ref="I8:I33" si="4">H8-H7</f>
        <v>0</v>
      </c>
      <c r="J8" s="462">
        <v>0.29166666666666669</v>
      </c>
      <c r="L8" s="99">
        <f t="shared" si="0"/>
        <v>44533</v>
      </c>
      <c r="M8" s="3">
        <f t="shared" si="2"/>
        <v>6541</v>
      </c>
      <c r="N8" s="477"/>
      <c r="O8" s="477">
        <f t="shared" si="3"/>
        <v>6541</v>
      </c>
    </row>
    <row r="9" spans="1:18">
      <c r="A9" s="590">
        <f>ELEC!C7</f>
        <v>44534</v>
      </c>
      <c r="B9" s="605"/>
      <c r="C9" s="608"/>
      <c r="D9" s="608">
        <v>0</v>
      </c>
      <c r="E9" s="608">
        <v>0</v>
      </c>
      <c r="F9" s="608">
        <v>0</v>
      </c>
      <c r="G9" s="608">
        <v>0</v>
      </c>
      <c r="H9" s="604">
        <f t="shared" si="1"/>
        <v>6954</v>
      </c>
      <c r="I9" s="602">
        <f t="shared" si="4"/>
        <v>0</v>
      </c>
      <c r="J9" s="462">
        <v>0.25</v>
      </c>
      <c r="L9" s="99">
        <f t="shared" si="0"/>
        <v>44534</v>
      </c>
      <c r="M9" s="3">
        <f t="shared" si="2"/>
        <v>6541</v>
      </c>
      <c r="N9" s="477"/>
      <c r="O9" s="477">
        <f t="shared" si="3"/>
        <v>6541</v>
      </c>
    </row>
    <row r="10" spans="1:18">
      <c r="A10" s="590">
        <f>ELEC!C8</f>
        <v>44535</v>
      </c>
      <c r="B10" s="605">
        <v>4</v>
      </c>
      <c r="C10" s="608">
        <v>8</v>
      </c>
      <c r="D10" s="608">
        <v>0</v>
      </c>
      <c r="E10" s="608">
        <v>0</v>
      </c>
      <c r="F10" s="608">
        <v>0</v>
      </c>
      <c r="G10" s="608">
        <v>0</v>
      </c>
      <c r="H10" s="604">
        <v>6960</v>
      </c>
      <c r="I10" s="602">
        <f t="shared" si="4"/>
        <v>6</v>
      </c>
      <c r="J10" s="462">
        <v>0.29166666666666669</v>
      </c>
      <c r="L10" s="99">
        <f t="shared" si="0"/>
        <v>44535</v>
      </c>
      <c r="M10" s="3">
        <f t="shared" si="2"/>
        <v>6541</v>
      </c>
      <c r="N10" s="477"/>
      <c r="O10" s="477">
        <f t="shared" si="3"/>
        <v>6541</v>
      </c>
    </row>
    <row r="11" spans="1:18">
      <c r="A11" s="590">
        <f>ELEC!C9</f>
        <v>44536</v>
      </c>
      <c r="B11" s="605">
        <v>4</v>
      </c>
      <c r="C11" s="608">
        <v>8</v>
      </c>
      <c r="D11" s="608">
        <v>0</v>
      </c>
      <c r="E11" s="608">
        <v>0</v>
      </c>
      <c r="F11" s="608">
        <v>0</v>
      </c>
      <c r="G11" s="608">
        <v>0</v>
      </c>
      <c r="H11" s="604">
        <f t="shared" si="1"/>
        <v>6960</v>
      </c>
      <c r="I11" s="602">
        <f t="shared" si="4"/>
        <v>0</v>
      </c>
      <c r="J11" s="462">
        <v>0.29166666666666669</v>
      </c>
      <c r="L11" s="99">
        <f t="shared" si="0"/>
        <v>44536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90">
        <f>ELEC!C10</f>
        <v>44537</v>
      </c>
      <c r="B12" s="605">
        <v>4</v>
      </c>
      <c r="C12" s="608">
        <v>8</v>
      </c>
      <c r="D12" s="608">
        <v>0</v>
      </c>
      <c r="E12" s="608">
        <v>0</v>
      </c>
      <c r="F12" s="608">
        <v>0</v>
      </c>
      <c r="G12" s="608">
        <v>0</v>
      </c>
      <c r="H12" s="604">
        <f t="shared" si="1"/>
        <v>6960</v>
      </c>
      <c r="I12" s="602">
        <f t="shared" si="4"/>
        <v>0</v>
      </c>
      <c r="J12" s="462">
        <v>0.29166666666666669</v>
      </c>
      <c r="L12" s="99">
        <f t="shared" si="0"/>
        <v>44537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90">
        <f>ELEC!C11</f>
        <v>44538</v>
      </c>
      <c r="B13" s="605">
        <v>4</v>
      </c>
      <c r="C13" s="608">
        <v>8</v>
      </c>
      <c r="D13" s="608">
        <v>0</v>
      </c>
      <c r="E13" s="608">
        <v>0</v>
      </c>
      <c r="F13" s="608">
        <v>0</v>
      </c>
      <c r="G13" s="608">
        <v>0</v>
      </c>
      <c r="H13" s="604">
        <f t="shared" si="1"/>
        <v>6960</v>
      </c>
      <c r="I13" s="602">
        <f t="shared" si="4"/>
        <v>0</v>
      </c>
      <c r="J13" s="462">
        <v>0.29166666666666669</v>
      </c>
      <c r="L13" s="99">
        <f t="shared" si="0"/>
        <v>44538</v>
      </c>
      <c r="M13" s="3">
        <f t="shared" si="2"/>
        <v>6541</v>
      </c>
      <c r="N13" s="477"/>
      <c r="O13" s="477">
        <f t="shared" si="3"/>
        <v>6541</v>
      </c>
    </row>
    <row r="14" spans="1:18">
      <c r="A14" s="590">
        <f>ELEC!C12</f>
        <v>44539</v>
      </c>
      <c r="B14" s="605">
        <v>3.2</v>
      </c>
      <c r="C14" s="608">
        <v>8</v>
      </c>
      <c r="D14" s="608">
        <v>0</v>
      </c>
      <c r="E14" s="608">
        <v>0</v>
      </c>
      <c r="F14" s="608">
        <v>0</v>
      </c>
      <c r="G14" s="608">
        <v>0</v>
      </c>
      <c r="H14" s="604">
        <v>6966</v>
      </c>
      <c r="I14" s="602">
        <f t="shared" si="4"/>
        <v>6</v>
      </c>
      <c r="J14" s="462">
        <v>0.29166666666666669</v>
      </c>
      <c r="L14" s="99">
        <f t="shared" si="0"/>
        <v>44539</v>
      </c>
      <c r="M14" s="3">
        <f t="shared" si="2"/>
        <v>6541</v>
      </c>
      <c r="N14" s="477"/>
      <c r="O14" s="477">
        <f t="shared" si="3"/>
        <v>6541</v>
      </c>
    </row>
    <row r="15" spans="1:18">
      <c r="A15" s="590">
        <f>ELEC!C13</f>
        <v>44540</v>
      </c>
      <c r="B15" s="605"/>
      <c r="C15" s="608"/>
      <c r="D15" s="608">
        <v>0</v>
      </c>
      <c r="E15" s="608">
        <v>0</v>
      </c>
      <c r="F15" s="608">
        <v>0</v>
      </c>
      <c r="G15" s="608">
        <v>0</v>
      </c>
      <c r="H15" s="604">
        <f t="shared" si="1"/>
        <v>6966</v>
      </c>
      <c r="I15" s="602">
        <f t="shared" si="4"/>
        <v>0</v>
      </c>
      <c r="J15" s="462">
        <v>0.29166666666666669</v>
      </c>
      <c r="L15" s="99">
        <f t="shared" si="0"/>
        <v>44540</v>
      </c>
      <c r="M15" s="3">
        <f t="shared" si="2"/>
        <v>6541</v>
      </c>
      <c r="N15" s="477"/>
      <c r="O15" s="477">
        <f t="shared" si="3"/>
        <v>6541</v>
      </c>
    </row>
    <row r="16" spans="1:18">
      <c r="A16" s="590">
        <f>ELEC!C14</f>
        <v>44541</v>
      </c>
      <c r="B16" s="605"/>
      <c r="C16" s="608"/>
      <c r="D16" s="608">
        <v>0</v>
      </c>
      <c r="E16" s="608">
        <v>0</v>
      </c>
      <c r="F16" s="608">
        <v>0</v>
      </c>
      <c r="G16" s="608">
        <v>0</v>
      </c>
      <c r="H16" s="604">
        <f t="shared" si="1"/>
        <v>6966</v>
      </c>
      <c r="I16" s="602">
        <f t="shared" si="4"/>
        <v>0</v>
      </c>
      <c r="J16" s="462">
        <v>0.29166666666666669</v>
      </c>
      <c r="L16" s="99">
        <f t="shared" si="0"/>
        <v>44541</v>
      </c>
      <c r="M16" s="3">
        <f t="shared" si="2"/>
        <v>6541</v>
      </c>
      <c r="N16" s="477"/>
      <c r="O16" s="477">
        <f t="shared" si="3"/>
        <v>6541</v>
      </c>
    </row>
    <row r="17" spans="1:15">
      <c r="A17" s="590">
        <f>ELEC!C15</f>
        <v>44542</v>
      </c>
      <c r="B17" s="605"/>
      <c r="C17" s="608"/>
      <c r="D17" s="608">
        <v>0</v>
      </c>
      <c r="E17" s="608">
        <v>0</v>
      </c>
      <c r="F17" s="608">
        <v>0</v>
      </c>
      <c r="G17" s="608">
        <v>0</v>
      </c>
      <c r="H17" s="604">
        <f t="shared" si="1"/>
        <v>6966</v>
      </c>
      <c r="I17" s="602">
        <f t="shared" si="4"/>
        <v>0</v>
      </c>
      <c r="J17" s="462">
        <v>0.29166666666666669</v>
      </c>
      <c r="L17" s="99">
        <f t="shared" si="0"/>
        <v>44542</v>
      </c>
      <c r="M17" s="3">
        <f t="shared" si="2"/>
        <v>6541</v>
      </c>
      <c r="N17" s="477"/>
      <c r="O17" s="477">
        <f t="shared" si="3"/>
        <v>6541</v>
      </c>
    </row>
    <row r="18" spans="1:15">
      <c r="A18" s="590">
        <f>ELEC!C16</f>
        <v>44543</v>
      </c>
      <c r="B18" s="605"/>
      <c r="C18" s="608"/>
      <c r="D18" s="608">
        <v>0</v>
      </c>
      <c r="E18" s="608">
        <v>0</v>
      </c>
      <c r="F18" s="608">
        <v>0</v>
      </c>
      <c r="G18" s="608">
        <v>0</v>
      </c>
      <c r="H18" s="604">
        <f t="shared" si="1"/>
        <v>6966</v>
      </c>
      <c r="I18" s="602">
        <f t="shared" si="4"/>
        <v>0</v>
      </c>
      <c r="J18" s="462">
        <v>0.29166666666666669</v>
      </c>
      <c r="L18" s="99">
        <f t="shared" si="0"/>
        <v>44543</v>
      </c>
      <c r="M18" s="3">
        <f t="shared" si="2"/>
        <v>6541</v>
      </c>
      <c r="N18" s="477"/>
      <c r="O18" s="477">
        <f t="shared" si="3"/>
        <v>6541</v>
      </c>
    </row>
    <row r="19" spans="1:15">
      <c r="A19" s="590">
        <f>ELEC!C17</f>
        <v>44544</v>
      </c>
      <c r="B19" s="605"/>
      <c r="C19" s="608"/>
      <c r="D19" s="608">
        <v>0</v>
      </c>
      <c r="E19" s="608">
        <v>0</v>
      </c>
      <c r="F19" s="608">
        <v>0</v>
      </c>
      <c r="G19" s="608">
        <v>0</v>
      </c>
      <c r="H19" s="604">
        <f t="shared" si="1"/>
        <v>6966</v>
      </c>
      <c r="I19" s="602">
        <f t="shared" si="4"/>
        <v>0</v>
      </c>
      <c r="J19" s="462">
        <v>0.29166666666666669</v>
      </c>
      <c r="L19" s="99">
        <f t="shared" si="0"/>
        <v>44544</v>
      </c>
      <c r="M19" s="3">
        <f t="shared" si="2"/>
        <v>6541</v>
      </c>
      <c r="N19" s="477"/>
      <c r="O19" s="477">
        <f t="shared" si="3"/>
        <v>6541</v>
      </c>
    </row>
    <row r="20" spans="1:15">
      <c r="A20" s="590">
        <f>ELEC!C18</f>
        <v>44545</v>
      </c>
      <c r="B20" s="605"/>
      <c r="C20" s="608"/>
      <c r="D20" s="608">
        <v>0</v>
      </c>
      <c r="E20" s="608">
        <v>0</v>
      </c>
      <c r="F20" s="608">
        <v>0</v>
      </c>
      <c r="G20" s="608">
        <v>0</v>
      </c>
      <c r="H20" s="604">
        <f t="shared" si="1"/>
        <v>6966</v>
      </c>
      <c r="I20" s="602">
        <f t="shared" si="4"/>
        <v>0</v>
      </c>
      <c r="J20" s="462">
        <v>0.29166666666666669</v>
      </c>
      <c r="L20" s="99">
        <f t="shared" si="0"/>
        <v>44545</v>
      </c>
      <c r="M20" s="3">
        <f t="shared" si="2"/>
        <v>6541</v>
      </c>
      <c r="N20" s="477"/>
      <c r="O20" s="477">
        <f t="shared" si="3"/>
        <v>6541</v>
      </c>
    </row>
    <row r="21" spans="1:15">
      <c r="A21" s="590">
        <f>ELEC!C19</f>
        <v>44546</v>
      </c>
      <c r="B21" s="605"/>
      <c r="C21" s="608"/>
      <c r="D21" s="608">
        <v>0</v>
      </c>
      <c r="E21" s="608">
        <v>0</v>
      </c>
      <c r="F21" s="608">
        <v>0</v>
      </c>
      <c r="G21" s="608">
        <v>0</v>
      </c>
      <c r="H21" s="604">
        <f t="shared" si="1"/>
        <v>6966</v>
      </c>
      <c r="I21" s="602">
        <f t="shared" si="4"/>
        <v>0</v>
      </c>
      <c r="J21" s="535" t="s">
        <v>409</v>
      </c>
      <c r="L21" s="99">
        <f t="shared" si="0"/>
        <v>44546</v>
      </c>
      <c r="M21" s="3">
        <f t="shared" si="2"/>
        <v>6541</v>
      </c>
      <c r="N21" s="477"/>
      <c r="O21" s="477">
        <f t="shared" si="3"/>
        <v>6541</v>
      </c>
    </row>
    <row r="22" spans="1:15">
      <c r="A22" s="590">
        <f>ELEC!C20</f>
        <v>44547</v>
      </c>
      <c r="B22" s="605"/>
      <c r="C22" s="608"/>
      <c r="D22" s="608">
        <v>0</v>
      </c>
      <c r="E22" s="608">
        <v>0</v>
      </c>
      <c r="F22" s="608">
        <v>0</v>
      </c>
      <c r="G22" s="608">
        <v>0</v>
      </c>
      <c r="H22" s="604">
        <f t="shared" si="1"/>
        <v>6966</v>
      </c>
      <c r="I22" s="602">
        <f t="shared" si="4"/>
        <v>0</v>
      </c>
      <c r="J22" s="462">
        <v>0.29166666666666669</v>
      </c>
      <c r="L22" s="99">
        <f t="shared" si="0"/>
        <v>44547</v>
      </c>
      <c r="M22" s="3">
        <f t="shared" si="2"/>
        <v>6541</v>
      </c>
      <c r="N22" s="477"/>
      <c r="O22" s="477">
        <f t="shared" si="3"/>
        <v>6541</v>
      </c>
    </row>
    <row r="23" spans="1:15">
      <c r="A23" s="590">
        <f>ELEC!C21</f>
        <v>44548</v>
      </c>
      <c r="B23" s="605"/>
      <c r="C23" s="608"/>
      <c r="D23" s="608">
        <v>0</v>
      </c>
      <c r="E23" s="608">
        <v>0</v>
      </c>
      <c r="F23" s="608">
        <v>0</v>
      </c>
      <c r="G23" s="608">
        <v>0</v>
      </c>
      <c r="H23" s="604">
        <f t="shared" si="1"/>
        <v>6966</v>
      </c>
      <c r="I23" s="602">
        <f t="shared" si="4"/>
        <v>0</v>
      </c>
      <c r="J23" s="462">
        <v>0.29166666666666669</v>
      </c>
      <c r="L23" s="99">
        <f t="shared" si="0"/>
        <v>44548</v>
      </c>
      <c r="M23" s="3">
        <f t="shared" si="2"/>
        <v>6541</v>
      </c>
      <c r="N23" s="477"/>
      <c r="O23" s="477">
        <f t="shared" si="3"/>
        <v>6541</v>
      </c>
    </row>
    <row r="24" spans="1:15">
      <c r="A24" s="590">
        <f>ELEC!C22</f>
        <v>44549</v>
      </c>
      <c r="B24" s="605"/>
      <c r="C24" s="608"/>
      <c r="D24" s="608">
        <v>0</v>
      </c>
      <c r="E24" s="608">
        <v>0</v>
      </c>
      <c r="F24" s="608">
        <v>0</v>
      </c>
      <c r="G24" s="608">
        <v>0</v>
      </c>
      <c r="H24" s="604">
        <f t="shared" si="1"/>
        <v>6966</v>
      </c>
      <c r="I24" s="602">
        <f t="shared" si="4"/>
        <v>0</v>
      </c>
      <c r="J24" s="462">
        <v>0.29166666666666702</v>
      </c>
      <c r="L24" s="99">
        <f t="shared" si="0"/>
        <v>44549</v>
      </c>
      <c r="M24" s="3">
        <f t="shared" si="2"/>
        <v>6541</v>
      </c>
      <c r="N24" s="477"/>
      <c r="O24" s="477">
        <f t="shared" si="3"/>
        <v>6541</v>
      </c>
    </row>
    <row r="25" spans="1:15">
      <c r="A25" s="590">
        <f>ELEC!C23</f>
        <v>44550</v>
      </c>
      <c r="B25" s="605"/>
      <c r="C25" s="608"/>
      <c r="D25" s="608">
        <v>0</v>
      </c>
      <c r="E25" s="608">
        <v>0</v>
      </c>
      <c r="F25" s="608">
        <v>0</v>
      </c>
      <c r="G25" s="608">
        <v>0</v>
      </c>
      <c r="H25" s="604">
        <f t="shared" si="1"/>
        <v>6966</v>
      </c>
      <c r="I25" s="602">
        <f t="shared" si="4"/>
        <v>0</v>
      </c>
      <c r="J25" s="462">
        <v>0.29166666666666702</v>
      </c>
      <c r="L25" s="99">
        <f t="shared" si="0"/>
        <v>44550</v>
      </c>
      <c r="M25" s="3">
        <f t="shared" si="2"/>
        <v>6541</v>
      </c>
      <c r="N25" s="477"/>
      <c r="O25" s="477">
        <f t="shared" si="3"/>
        <v>6541</v>
      </c>
    </row>
    <row r="26" spans="1:15">
      <c r="A26" s="590">
        <f>ELEC!C24</f>
        <v>44551</v>
      </c>
      <c r="B26" s="605"/>
      <c r="C26" s="608"/>
      <c r="D26" s="608">
        <v>0</v>
      </c>
      <c r="E26" s="608">
        <v>0</v>
      </c>
      <c r="F26" s="608">
        <v>0</v>
      </c>
      <c r="G26" s="608">
        <v>0</v>
      </c>
      <c r="H26" s="604">
        <f t="shared" si="1"/>
        <v>6966</v>
      </c>
      <c r="I26" s="602">
        <f t="shared" si="4"/>
        <v>0</v>
      </c>
      <c r="J26" s="462">
        <v>0.29166666666666702</v>
      </c>
      <c r="L26" s="99">
        <f t="shared" si="0"/>
        <v>44551</v>
      </c>
      <c r="M26" s="3">
        <f t="shared" si="2"/>
        <v>6541</v>
      </c>
      <c r="N26" s="477"/>
      <c r="O26" s="477">
        <f t="shared" si="3"/>
        <v>6541</v>
      </c>
    </row>
    <row r="27" spans="1:15">
      <c r="A27" s="590">
        <f>ELEC!C25</f>
        <v>44552</v>
      </c>
      <c r="B27" s="605"/>
      <c r="C27" s="608"/>
      <c r="D27" s="608">
        <v>0</v>
      </c>
      <c r="E27" s="608">
        <v>0</v>
      </c>
      <c r="F27" s="608">
        <v>0</v>
      </c>
      <c r="G27" s="608">
        <v>0</v>
      </c>
      <c r="H27" s="604">
        <f t="shared" si="1"/>
        <v>6966</v>
      </c>
      <c r="I27" s="602">
        <f t="shared" si="4"/>
        <v>0</v>
      </c>
      <c r="J27" s="462">
        <v>0.29166666666666702</v>
      </c>
      <c r="L27" s="99">
        <f t="shared" si="0"/>
        <v>44552</v>
      </c>
      <c r="M27" s="3">
        <f t="shared" si="2"/>
        <v>6541</v>
      </c>
      <c r="N27" s="477"/>
      <c r="O27" s="477">
        <f t="shared" si="3"/>
        <v>6541</v>
      </c>
    </row>
    <row r="28" spans="1:15">
      <c r="A28" s="590">
        <f>ELEC!C26</f>
        <v>44553</v>
      </c>
      <c r="B28" s="605"/>
      <c r="C28" s="608"/>
      <c r="D28" s="608">
        <v>0</v>
      </c>
      <c r="E28" s="608">
        <v>0</v>
      </c>
      <c r="F28" s="608">
        <v>0</v>
      </c>
      <c r="G28" s="608">
        <v>0</v>
      </c>
      <c r="H28" s="604">
        <f t="shared" si="1"/>
        <v>6966</v>
      </c>
      <c r="I28" s="602">
        <f t="shared" si="4"/>
        <v>0</v>
      </c>
      <c r="J28" s="463">
        <v>0.29166666666666702</v>
      </c>
      <c r="L28" s="99">
        <f t="shared" si="0"/>
        <v>44553</v>
      </c>
      <c r="M28" s="3">
        <f t="shared" si="2"/>
        <v>6541</v>
      </c>
      <c r="N28" s="477"/>
      <c r="O28" s="477">
        <f t="shared" si="3"/>
        <v>6541</v>
      </c>
    </row>
    <row r="29" spans="1:15">
      <c r="A29" s="590">
        <f>ELEC!C27</f>
        <v>44554</v>
      </c>
      <c r="B29" s="605"/>
      <c r="C29" s="608"/>
      <c r="D29" s="608">
        <v>0</v>
      </c>
      <c r="E29" s="608">
        <v>0</v>
      </c>
      <c r="F29" s="608">
        <v>0</v>
      </c>
      <c r="G29" s="608">
        <v>0</v>
      </c>
      <c r="H29" s="604">
        <f t="shared" si="1"/>
        <v>6966</v>
      </c>
      <c r="I29" s="602">
        <f t="shared" si="4"/>
        <v>0</v>
      </c>
      <c r="J29" s="462">
        <v>0.29166666666666702</v>
      </c>
      <c r="L29" s="99">
        <f t="shared" si="0"/>
        <v>44554</v>
      </c>
      <c r="M29" s="3">
        <f t="shared" si="2"/>
        <v>6541</v>
      </c>
      <c r="N29" s="477"/>
      <c r="O29" s="477">
        <f t="shared" si="3"/>
        <v>6541</v>
      </c>
    </row>
    <row r="30" spans="1:15">
      <c r="A30" s="590">
        <f>ELEC!C28</f>
        <v>44555</v>
      </c>
      <c r="B30" s="605"/>
      <c r="C30" s="608"/>
      <c r="D30" s="608">
        <v>0</v>
      </c>
      <c r="E30" s="608">
        <v>0</v>
      </c>
      <c r="F30" s="608">
        <v>0</v>
      </c>
      <c r="G30" s="608">
        <v>0</v>
      </c>
      <c r="H30" s="604">
        <f t="shared" si="1"/>
        <v>6966</v>
      </c>
      <c r="I30" s="602">
        <f t="shared" si="4"/>
        <v>0</v>
      </c>
      <c r="J30" s="462">
        <v>0.29166666666666702</v>
      </c>
      <c r="L30" s="99">
        <f t="shared" si="0"/>
        <v>44555</v>
      </c>
      <c r="M30" s="3">
        <f t="shared" si="2"/>
        <v>6541</v>
      </c>
      <c r="N30" s="477"/>
      <c r="O30" s="477">
        <f t="shared" si="3"/>
        <v>6541</v>
      </c>
    </row>
    <row r="31" spans="1:15">
      <c r="A31" s="590">
        <f>ELEC!C29</f>
        <v>44556</v>
      </c>
      <c r="B31" s="605"/>
      <c r="C31" s="608"/>
      <c r="D31" s="608">
        <v>0</v>
      </c>
      <c r="E31" s="608">
        <v>0</v>
      </c>
      <c r="F31" s="608">
        <v>0</v>
      </c>
      <c r="G31" s="608">
        <v>0</v>
      </c>
      <c r="H31" s="604">
        <f t="shared" si="1"/>
        <v>6966</v>
      </c>
      <c r="I31" s="602">
        <f t="shared" si="4"/>
        <v>0</v>
      </c>
      <c r="J31" s="462">
        <v>0.29166666666666702</v>
      </c>
      <c r="L31" s="99">
        <f t="shared" si="0"/>
        <v>44556</v>
      </c>
      <c r="M31" s="3">
        <f t="shared" si="2"/>
        <v>6541</v>
      </c>
      <c r="N31" s="477"/>
      <c r="O31" s="477">
        <f t="shared" si="3"/>
        <v>6541</v>
      </c>
    </row>
    <row r="32" spans="1:15">
      <c r="A32" s="590">
        <f>ELEC!C30</f>
        <v>44557</v>
      </c>
      <c r="B32" s="605"/>
      <c r="C32" s="608"/>
      <c r="D32" s="608">
        <v>0</v>
      </c>
      <c r="E32" s="608">
        <v>0</v>
      </c>
      <c r="F32" s="608">
        <v>0</v>
      </c>
      <c r="G32" s="608">
        <v>0</v>
      </c>
      <c r="H32" s="604">
        <f t="shared" si="1"/>
        <v>6966</v>
      </c>
      <c r="I32" s="602">
        <f t="shared" si="4"/>
        <v>0</v>
      </c>
      <c r="J32" s="462">
        <v>0.29166666666666702</v>
      </c>
      <c r="L32" s="99">
        <f t="shared" si="0"/>
        <v>44557</v>
      </c>
      <c r="M32" s="3">
        <f t="shared" si="2"/>
        <v>6541</v>
      </c>
      <c r="N32" s="477"/>
      <c r="O32" s="477">
        <v>6879</v>
      </c>
    </row>
    <row r="33" spans="1:15">
      <c r="A33" s="590">
        <f>ELEC!C31</f>
        <v>44558</v>
      </c>
      <c r="B33" s="605"/>
      <c r="C33" s="608"/>
      <c r="D33" s="608">
        <v>0</v>
      </c>
      <c r="E33" s="608">
        <v>0</v>
      </c>
      <c r="F33" s="608">
        <v>0</v>
      </c>
      <c r="G33" s="608">
        <v>0</v>
      </c>
      <c r="H33" s="604">
        <f t="shared" si="1"/>
        <v>6966</v>
      </c>
      <c r="I33" s="602">
        <f t="shared" si="4"/>
        <v>0</v>
      </c>
      <c r="J33" s="462">
        <v>0.29166666666666702</v>
      </c>
      <c r="L33" s="99">
        <f t="shared" si="0"/>
        <v>44558</v>
      </c>
      <c r="M33" s="3">
        <f t="shared" si="2"/>
        <v>6541</v>
      </c>
      <c r="N33" s="477"/>
      <c r="O33" s="477">
        <f t="shared" si="3"/>
        <v>6541</v>
      </c>
    </row>
    <row r="34" spans="1:15">
      <c r="A34" s="590">
        <f>ELEC!C32</f>
        <v>44559</v>
      </c>
      <c r="B34" s="605"/>
      <c r="C34" s="608"/>
      <c r="D34" s="608">
        <v>0</v>
      </c>
      <c r="E34" s="608">
        <v>0</v>
      </c>
      <c r="F34" s="608">
        <v>0</v>
      </c>
      <c r="G34" s="608">
        <v>0</v>
      </c>
      <c r="H34" s="604">
        <f t="shared" si="1"/>
        <v>6966</v>
      </c>
      <c r="I34" s="602">
        <f>H34-H33</f>
        <v>0</v>
      </c>
      <c r="J34" s="462">
        <v>0.33333333333333398</v>
      </c>
      <c r="L34" s="99">
        <f>A34</f>
        <v>44559</v>
      </c>
      <c r="M34" s="3">
        <f t="shared" si="2"/>
        <v>6541</v>
      </c>
      <c r="N34" s="477"/>
      <c r="O34" s="477">
        <f>M34+N34</f>
        <v>6541</v>
      </c>
    </row>
    <row r="35" spans="1:15">
      <c r="A35" s="590">
        <f>ELEC!C33</f>
        <v>44560</v>
      </c>
      <c r="B35" s="605"/>
      <c r="C35" s="608"/>
      <c r="D35" s="608">
        <v>0</v>
      </c>
      <c r="E35" s="608">
        <v>0</v>
      </c>
      <c r="F35" s="608">
        <v>0</v>
      </c>
      <c r="G35" s="608">
        <v>0</v>
      </c>
      <c r="H35" s="604">
        <f t="shared" si="1"/>
        <v>6966</v>
      </c>
      <c r="I35" s="602">
        <f>H35-H34</f>
        <v>0</v>
      </c>
      <c r="J35" s="462">
        <v>0.375000000000001</v>
      </c>
      <c r="L35" s="99">
        <f>A35</f>
        <v>44560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1">
        <f>ELEC!C34</f>
        <v>44561</v>
      </c>
      <c r="B36" s="609"/>
      <c r="C36" s="610"/>
      <c r="D36" s="610">
        <v>0</v>
      </c>
      <c r="E36" s="610">
        <v>0</v>
      </c>
      <c r="F36" s="610">
        <v>0</v>
      </c>
      <c r="G36" s="610">
        <v>0</v>
      </c>
      <c r="H36" s="611">
        <f t="shared" si="1"/>
        <v>6966</v>
      </c>
      <c r="I36" s="603">
        <f>H36-H35</f>
        <v>0</v>
      </c>
      <c r="J36" s="589">
        <v>0.41666666666666802</v>
      </c>
      <c r="L36" s="99">
        <f>A36</f>
        <v>44561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H46" zoomScale="80" zoomScaleNormal="80" workbookViewId="0">
      <selection activeCell="V48" sqref="V48:W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3" t="s">
        <v>161</v>
      </c>
      <c r="B1" s="703"/>
      <c r="C1" s="703"/>
      <c r="D1" s="703"/>
      <c r="E1" s="703"/>
      <c r="F1" s="703"/>
      <c r="G1" s="703"/>
      <c r="H1" s="703"/>
      <c r="I1" s="703"/>
      <c r="J1" s="703"/>
      <c r="K1" s="703"/>
      <c r="L1" s="703"/>
      <c r="M1" s="703"/>
      <c r="N1" s="703"/>
      <c r="O1" s="703"/>
      <c r="P1" s="703"/>
      <c r="Q1" s="703"/>
      <c r="R1" s="703"/>
      <c r="S1" s="703"/>
      <c r="T1" s="703"/>
      <c r="U1" s="703"/>
      <c r="V1" s="703"/>
      <c r="W1" s="703"/>
      <c r="X1" s="703"/>
    </row>
    <row r="2" spans="1:28" ht="19.5">
      <c r="A2" s="704"/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  <c r="V2" s="704"/>
      <c r="W2" s="704"/>
      <c r="X2" s="704"/>
    </row>
    <row r="3" spans="1:28" ht="19.5">
      <c r="A3" s="704" t="s">
        <v>162</v>
      </c>
      <c r="B3" s="704"/>
      <c r="C3" s="704"/>
      <c r="D3" s="704"/>
      <c r="E3" s="704"/>
      <c r="F3" s="704"/>
      <c r="G3" s="704"/>
      <c r="H3" s="704"/>
      <c r="I3" s="704"/>
      <c r="J3" s="704"/>
      <c r="K3" s="704"/>
      <c r="L3" s="704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4" t="s">
        <v>404</v>
      </c>
      <c r="B5" s="704"/>
      <c r="C5" s="704"/>
      <c r="D5" s="704"/>
      <c r="E5" s="704"/>
      <c r="F5" s="704"/>
      <c r="G5" s="704"/>
      <c r="H5" s="704"/>
      <c r="I5" s="704"/>
      <c r="J5" s="704"/>
      <c r="K5" s="704"/>
      <c r="L5" s="704"/>
      <c r="M5" s="704"/>
      <c r="N5" s="704"/>
      <c r="O5" s="704"/>
      <c r="P5" s="704"/>
      <c r="Q5" s="704"/>
      <c r="R5" s="704"/>
      <c r="S5" s="704"/>
      <c r="T5" s="704"/>
      <c r="U5" s="704"/>
      <c r="V5" s="704"/>
      <c r="W5" s="704"/>
      <c r="X5" s="704"/>
    </row>
    <row r="6" spans="1:28" ht="15.75" thickBot="1">
      <c r="A6" s="705"/>
      <c r="B6" s="705"/>
      <c r="C6" s="705"/>
      <c r="D6" s="705"/>
      <c r="E6" s="705"/>
      <c r="F6" s="705"/>
      <c r="G6" s="705"/>
      <c r="H6" s="705"/>
      <c r="I6" s="705"/>
      <c r="J6" s="705"/>
      <c r="K6" s="705"/>
      <c r="L6" s="705"/>
      <c r="M6" s="705"/>
      <c r="N6" s="705"/>
      <c r="O6" s="705"/>
      <c r="P6" s="705"/>
      <c r="Q6" s="705"/>
      <c r="R6" s="705"/>
      <c r="S6" s="705"/>
      <c r="T6" s="705"/>
      <c r="U6" s="705"/>
      <c r="V6" s="705"/>
      <c r="W6" s="705"/>
      <c r="X6" s="705"/>
    </row>
    <row r="7" spans="1:28" ht="15.75" thickBot="1">
      <c r="A7" s="707" t="s">
        <v>163</v>
      </c>
      <c r="B7" s="708"/>
      <c r="C7" s="709" t="s">
        <v>164</v>
      </c>
      <c r="D7" s="710"/>
      <c r="E7" s="710"/>
      <c r="F7" s="710"/>
      <c r="G7" s="710"/>
      <c r="H7" s="710"/>
      <c r="I7" s="710"/>
      <c r="J7" s="710"/>
      <c r="K7" s="71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'[9]Degree Days 2020'!B10</f>
        <v>20</v>
      </c>
      <c r="C10" s="261">
        <f>'[9]Degree Days 2020'!C10</f>
        <v>15</v>
      </c>
      <c r="D10" s="261">
        <f>'[9]Degree Days 2020'!D10</f>
        <v>-0.80000000000000071</v>
      </c>
      <c r="E10" s="261">
        <f>'[9]Degree Days 2020'!E10</f>
        <v>1</v>
      </c>
      <c r="F10" s="261">
        <f>'[9]Degree Days 2020'!F10</f>
        <v>21</v>
      </c>
      <c r="G10" s="261">
        <f>'[9]Degree Days 2020'!G10</f>
        <v>16</v>
      </c>
      <c r="H10" s="261">
        <f>'[9]Degree Days 2020'!H10</f>
        <v>0.19999999999999929</v>
      </c>
      <c r="I10" s="261">
        <f>'[9]Degree Days 2020'!I10</f>
        <v>1</v>
      </c>
      <c r="J10" s="261">
        <f>'[9]Degree Days 2020'!J10</f>
        <v>18</v>
      </c>
      <c r="K10" s="261">
        <f>'[9]Degree Days 2020'!K10</f>
        <v>14</v>
      </c>
      <c r="L10" s="261">
        <f>'[9]Degree Days 2020'!L10</f>
        <v>-2.3000000000000007</v>
      </c>
      <c r="M10" s="261">
        <f>'[10]Degree Days 2020'!M10</f>
        <v>1</v>
      </c>
      <c r="N10" s="261">
        <f>'[11]General information '!B6</f>
        <v>17</v>
      </c>
      <c r="O10" s="261">
        <f>'[11]General information '!C6</f>
        <v>12</v>
      </c>
      <c r="P10" s="261">
        <f>(N10+O10)/2-18.3</f>
        <v>-3.8000000000000007</v>
      </c>
      <c r="Q10" s="498">
        <v>1</v>
      </c>
      <c r="R10" s="261">
        <f>'[12]Degree Days 2020'!R10</f>
        <v>26</v>
      </c>
      <c r="S10" s="261">
        <f>'[12]Degree Days 2020'!S10</f>
        <v>21</v>
      </c>
      <c r="T10" s="261">
        <f>(R10+S10)/2-18.3</f>
        <v>5.1999999999999993</v>
      </c>
      <c r="U10" s="498">
        <v>1</v>
      </c>
      <c r="V10" s="261">
        <f>'[13]Degree Days 2020'!V10</f>
        <v>27</v>
      </c>
      <c r="W10" s="261">
        <f>'[13]Degree Days 2020'!W10</f>
        <v>21</v>
      </c>
      <c r="X10" s="261">
        <f>(V10+W10)/2-18.3</f>
        <v>5.6999999999999993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'[9]Degree Days 2020'!B11</f>
        <v>21</v>
      </c>
      <c r="C11" s="261">
        <f>'[9]Degree Days 2020'!C11</f>
        <v>15</v>
      </c>
      <c r="D11" s="261">
        <f>'[9]Degree Days 2020'!D11</f>
        <v>-0.30000000000000071</v>
      </c>
      <c r="E11" s="261">
        <f>'[9]Degree Days 2020'!E11</f>
        <v>2</v>
      </c>
      <c r="F11" s="261">
        <f>'[9]Degree Days 2020'!F11</f>
        <v>23</v>
      </c>
      <c r="G11" s="261">
        <f>'[9]Degree Days 2020'!G11</f>
        <v>17</v>
      </c>
      <c r="H11" s="261">
        <f>'[9]Degree Days 2020'!H11</f>
        <v>1.6999999999999993</v>
      </c>
      <c r="I11" s="261">
        <f>'[9]Degree Days 2020'!I11</f>
        <v>2</v>
      </c>
      <c r="J11" s="261">
        <f>'[9]Degree Days 2020'!J11</f>
        <v>18</v>
      </c>
      <c r="K11" s="261">
        <f>'[9]Degree Days 2020'!K11</f>
        <v>13</v>
      </c>
      <c r="L11" s="261">
        <f>'[9]Degree Days 2020'!L11</f>
        <v>-2.8000000000000007</v>
      </c>
      <c r="M11" s="261">
        <f>'[10]Degree Days 2020'!M11</f>
        <v>2</v>
      </c>
      <c r="N11" s="261">
        <f>'[11]General information '!B7</f>
        <v>15</v>
      </c>
      <c r="O11" s="261">
        <f>'[11]General information '!C7</f>
        <v>12</v>
      </c>
      <c r="P11" s="261">
        <f t="shared" ref="P11:P39" si="0">(N11+O11)/2-18.3</f>
        <v>-4.8000000000000007</v>
      </c>
      <c r="Q11" s="498">
        <v>2</v>
      </c>
      <c r="R11" s="261">
        <f>'[12]Degree Days 2020'!R11</f>
        <v>25</v>
      </c>
      <c r="S11" s="261">
        <f>'[12]Degree Days 2020'!S11</f>
        <v>21</v>
      </c>
      <c r="T11" s="261">
        <f t="shared" ref="T11:T40" si="1">(R11+S11)/2-18.3</f>
        <v>4.6999999999999993</v>
      </c>
      <c r="U11" s="498">
        <v>2</v>
      </c>
      <c r="V11" s="261">
        <f>'[13]Degree Days 2020'!V11</f>
        <v>26</v>
      </c>
      <c r="W11" s="261">
        <f>'[13]Degree Days 2020'!W11</f>
        <v>22</v>
      </c>
      <c r="X11" s="261">
        <f t="shared" ref="X11:X39" si="2">(V11+W11)/2-18.3</f>
        <v>5.6999999999999993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'[9]Degree Days 2020'!B12</f>
        <v>21</v>
      </c>
      <c r="C12" s="261">
        <f>'[9]Degree Days 2020'!C12</f>
        <v>16</v>
      </c>
      <c r="D12" s="261">
        <f>'[9]Degree Days 2020'!D12</f>
        <v>0.19999999999999929</v>
      </c>
      <c r="E12" s="261">
        <f>'[9]Degree Days 2020'!E12</f>
        <v>3</v>
      </c>
      <c r="F12" s="261">
        <f>'[9]Degree Days 2020'!F12</f>
        <v>20</v>
      </c>
      <c r="G12" s="261">
        <f>'[9]Degree Days 2020'!G12</f>
        <v>15</v>
      </c>
      <c r="H12" s="261">
        <f>'[9]Degree Days 2020'!H12</f>
        <v>-0.80000000000000071</v>
      </c>
      <c r="I12" s="261">
        <f>'[9]Degree Days 2020'!I12</f>
        <v>3</v>
      </c>
      <c r="J12" s="261">
        <f>'[9]Degree Days 2020'!J12</f>
        <v>18</v>
      </c>
      <c r="K12" s="261">
        <f>'[9]Degree Days 2020'!K12</f>
        <v>13</v>
      </c>
      <c r="L12" s="261">
        <f>'[9]Degree Days 2020'!L12</f>
        <v>-2.8000000000000007</v>
      </c>
      <c r="M12" s="261">
        <f>'[10]Degree Days 2020'!M12</f>
        <v>3</v>
      </c>
      <c r="N12" s="261">
        <f>'[11]General information '!B8</f>
        <v>19</v>
      </c>
      <c r="O12" s="261">
        <f>'[11]General information '!C8</f>
        <v>15</v>
      </c>
      <c r="P12" s="261">
        <f t="shared" si="0"/>
        <v>-1.3000000000000007</v>
      </c>
      <c r="Q12" s="498">
        <v>3</v>
      </c>
      <c r="R12" s="261">
        <f>'[12]Degree Days 2020'!R12</f>
        <v>26</v>
      </c>
      <c r="S12" s="261">
        <f>'[12]Degree Days 2020'!S12</f>
        <v>22</v>
      </c>
      <c r="T12" s="261">
        <f t="shared" si="1"/>
        <v>5.6999999999999993</v>
      </c>
      <c r="U12" s="498">
        <v>3</v>
      </c>
      <c r="V12" s="261">
        <f>'[13]Degree Days 2020'!V12</f>
        <v>26</v>
      </c>
      <c r="W12" s="261">
        <f>'[13]Degree Days 2020'!W12</f>
        <v>23</v>
      </c>
      <c r="X12" s="261">
        <f t="shared" si="2"/>
        <v>6.1999999999999993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'[9]Degree Days 2020'!B13</f>
        <v>22</v>
      </c>
      <c r="C13" s="261">
        <f>'[9]Degree Days 2020'!C13</f>
        <v>15</v>
      </c>
      <c r="D13" s="261">
        <f>'[9]Degree Days 2020'!D13</f>
        <v>0.19999999999999929</v>
      </c>
      <c r="E13" s="261">
        <f>'[9]Degree Days 2020'!E13</f>
        <v>4</v>
      </c>
      <c r="F13" s="261">
        <f>'[9]Degree Days 2020'!F13</f>
        <v>20</v>
      </c>
      <c r="G13" s="261">
        <f>'[9]Degree Days 2020'!G13</f>
        <v>15</v>
      </c>
      <c r="H13" s="261">
        <f>'[9]Degree Days 2020'!H13</f>
        <v>-0.80000000000000071</v>
      </c>
      <c r="I13" s="261">
        <f>'[9]Degree Days 2020'!I13</f>
        <v>4</v>
      </c>
      <c r="J13" s="261">
        <f>'[9]Degree Days 2020'!J13</f>
        <v>18</v>
      </c>
      <c r="K13" s="261">
        <f>'[9]Degree Days 2020'!K13</f>
        <v>13</v>
      </c>
      <c r="L13" s="261">
        <f>'[9]Degree Days 2020'!L13</f>
        <v>-2.8000000000000007</v>
      </c>
      <c r="M13" s="261">
        <f>'[10]Degree Days 2020'!M13</f>
        <v>4</v>
      </c>
      <c r="N13" s="261">
        <f>'[11]General information '!B9</f>
        <v>18</v>
      </c>
      <c r="O13" s="261">
        <f>'[11]General information '!C9</f>
        <v>15</v>
      </c>
      <c r="P13" s="261">
        <f t="shared" si="0"/>
        <v>-1.8000000000000007</v>
      </c>
      <c r="Q13" s="498">
        <v>4</v>
      </c>
      <c r="R13" s="261">
        <f>'[12]Degree Days 2020'!R13</f>
        <v>26</v>
      </c>
      <c r="S13" s="261">
        <f>'[12]Degree Days 2020'!S13</f>
        <v>19</v>
      </c>
      <c r="T13" s="261">
        <f t="shared" si="1"/>
        <v>4.1999999999999993</v>
      </c>
      <c r="U13" s="498">
        <v>4</v>
      </c>
      <c r="V13" s="261">
        <f>'[13]Degree Days 2020'!V13</f>
        <v>27</v>
      </c>
      <c r="W13" s="261">
        <f>'[13]Degree Days 2020'!W13</f>
        <v>23</v>
      </c>
      <c r="X13" s="261">
        <f t="shared" si="2"/>
        <v>6.6999999999999993</v>
      </c>
      <c r="Z13" t="s">
        <v>171</v>
      </c>
      <c r="AA13" s="261">
        <f>N43</f>
        <v>-30.300000000000008</v>
      </c>
      <c r="AB13" s="261">
        <f>O43</f>
        <v>55.300000000000026</v>
      </c>
    </row>
    <row r="14" spans="1:28">
      <c r="A14" s="117">
        <v>5</v>
      </c>
      <c r="B14" s="261">
        <f>'[9]Degree Days 2020'!B14</f>
        <v>22</v>
      </c>
      <c r="C14" s="261">
        <f>'[9]Degree Days 2020'!C14</f>
        <v>16</v>
      </c>
      <c r="D14" s="261">
        <f>'[9]Degree Days 2020'!D14</f>
        <v>0.69999999999999929</v>
      </c>
      <c r="E14" s="261">
        <f>'[9]Degree Days 2020'!E14</f>
        <v>5</v>
      </c>
      <c r="F14" s="261">
        <f>'[9]Degree Days 2020'!F14</f>
        <v>20</v>
      </c>
      <c r="G14" s="261">
        <f>'[9]Degree Days 2020'!G14</f>
        <v>15</v>
      </c>
      <c r="H14" s="261">
        <f>'[9]Degree Days 2020'!H14</f>
        <v>-0.80000000000000071</v>
      </c>
      <c r="I14" s="261">
        <f>'[9]Degree Days 2020'!I14</f>
        <v>5</v>
      </c>
      <c r="J14" s="261">
        <f>'[9]Degree Days 2020'!J14</f>
        <v>19</v>
      </c>
      <c r="K14" s="261">
        <f>'[9]Degree Days 2020'!K14</f>
        <v>12</v>
      </c>
      <c r="L14" s="261">
        <f>'[9]Degree Days 2020'!L14</f>
        <v>-2.8000000000000007</v>
      </c>
      <c r="M14" s="261">
        <f>'[10]Degree Days 2020'!M14</f>
        <v>5</v>
      </c>
      <c r="N14" s="261">
        <f>'[11]General information '!B10</f>
        <v>19</v>
      </c>
      <c r="O14" s="261">
        <f>'[11]General information '!C10</f>
        <v>15</v>
      </c>
      <c r="P14" s="261">
        <f t="shared" si="0"/>
        <v>-1.3000000000000007</v>
      </c>
      <c r="Q14" s="498">
        <v>5</v>
      </c>
      <c r="R14" s="261">
        <f>'[12]Degree Days 2020'!R14</f>
        <v>24</v>
      </c>
      <c r="S14" s="261">
        <f>'[12]Degree Days 2020'!S14</f>
        <v>22</v>
      </c>
      <c r="T14" s="261">
        <f t="shared" si="1"/>
        <v>4.6999999999999993</v>
      </c>
      <c r="U14" s="498">
        <v>5</v>
      </c>
      <c r="V14" s="261">
        <f>'[13]Degree Days 2020'!V14</f>
        <v>26</v>
      </c>
      <c r="W14" s="261">
        <f>'[13]Degree Days 2020'!W14</f>
        <v>20</v>
      </c>
      <c r="X14" s="261">
        <f t="shared" si="2"/>
        <v>4.6999999999999993</v>
      </c>
      <c r="Z14" t="s">
        <v>172</v>
      </c>
      <c r="AA14" s="261">
        <f>R43</f>
        <v>0</v>
      </c>
      <c r="AB14" s="261">
        <f>S43</f>
        <v>157.19999999999999</v>
      </c>
    </row>
    <row r="15" spans="1:28">
      <c r="A15" s="117">
        <v>6</v>
      </c>
      <c r="B15" s="261">
        <f>'[9]Degree Days 2020'!B15</f>
        <v>22</v>
      </c>
      <c r="C15" s="261">
        <f>'[9]Degree Days 2020'!C15</f>
        <v>15</v>
      </c>
      <c r="D15" s="261">
        <f>'[9]Degree Days 2020'!D15</f>
        <v>0.19999999999999929</v>
      </c>
      <c r="E15" s="261">
        <f>'[9]Degree Days 2020'!E15</f>
        <v>6</v>
      </c>
      <c r="F15" s="261">
        <f>'[9]Degree Days 2020'!F15</f>
        <v>19</v>
      </c>
      <c r="G15" s="261">
        <f>'[9]Degree Days 2020'!G15</f>
        <v>15</v>
      </c>
      <c r="H15" s="261">
        <f>'[9]Degree Days 2020'!H15</f>
        <v>-1.3000000000000007</v>
      </c>
      <c r="I15" s="261">
        <f>'[9]Degree Days 2020'!I15</f>
        <v>6</v>
      </c>
      <c r="J15" s="261">
        <f>'[9]Degree Days 2020'!J15</f>
        <v>18</v>
      </c>
      <c r="K15" s="261">
        <f>'[9]Degree Days 2020'!K15</f>
        <v>14</v>
      </c>
      <c r="L15" s="261">
        <f>'[9]Degree Days 2020'!L15</f>
        <v>-2.3000000000000007</v>
      </c>
      <c r="M15" s="261">
        <f>'[10]Degree Days 2020'!M15</f>
        <v>6</v>
      </c>
      <c r="N15" s="261">
        <f>'[11]General information '!B11</f>
        <v>30</v>
      </c>
      <c r="O15" s="261">
        <f>'[11]General information '!C11</f>
        <v>15</v>
      </c>
      <c r="P15" s="261">
        <f t="shared" si="0"/>
        <v>4.1999999999999993</v>
      </c>
      <c r="Q15" s="498">
        <v>6</v>
      </c>
      <c r="R15" s="261">
        <f>'[12]Degree Days 2020'!R15</f>
        <v>24</v>
      </c>
      <c r="S15" s="261">
        <f>'[12]Degree Days 2020'!S15</f>
        <v>20</v>
      </c>
      <c r="T15" s="261">
        <f t="shared" si="1"/>
        <v>3.6999999999999993</v>
      </c>
      <c r="U15" s="498">
        <v>6</v>
      </c>
      <c r="V15" s="261">
        <f>'[13]Degree Days 2020'!V15</f>
        <v>26</v>
      </c>
      <c r="W15" s="261">
        <f>'[13]Degree Days 2020'!W15</f>
        <v>22</v>
      </c>
      <c r="X15" s="261">
        <f t="shared" si="2"/>
        <v>5.6999999999999993</v>
      </c>
      <c r="Z15" t="s">
        <v>173</v>
      </c>
      <c r="AA15" s="261"/>
      <c r="AB15" s="261"/>
    </row>
    <row r="16" spans="1:28">
      <c r="A16" s="117">
        <v>7</v>
      </c>
      <c r="B16" s="261">
        <f>'[9]Degree Days 2020'!B16</f>
        <v>20</v>
      </c>
      <c r="C16" s="261">
        <f>'[9]Degree Days 2020'!C16</f>
        <v>14</v>
      </c>
      <c r="D16" s="261">
        <f>'[9]Degree Days 2020'!D16</f>
        <v>-1.3000000000000007</v>
      </c>
      <c r="E16" s="261">
        <f>'[9]Degree Days 2020'!E16</f>
        <v>7</v>
      </c>
      <c r="F16" s="261">
        <f>'[9]Degree Days 2020'!F16</f>
        <v>21</v>
      </c>
      <c r="G16" s="261">
        <f>'[9]Degree Days 2020'!G16</f>
        <v>17</v>
      </c>
      <c r="H16" s="261">
        <f>'[9]Degree Days 2020'!H16</f>
        <v>0.69999999999999929</v>
      </c>
      <c r="I16" s="261">
        <f>'[9]Degree Days 2020'!I16</f>
        <v>7</v>
      </c>
      <c r="J16" s="261">
        <f>'[9]Degree Days 2020'!J16</f>
        <v>19</v>
      </c>
      <c r="K16" s="261">
        <f>'[9]Degree Days 2020'!K16</f>
        <v>14</v>
      </c>
      <c r="L16" s="261">
        <f>'[9]Degree Days 2020'!L16</f>
        <v>-1.8000000000000007</v>
      </c>
      <c r="M16" s="261">
        <f>'[10]Degree Days 2020'!M16</f>
        <v>7</v>
      </c>
      <c r="N16" s="261">
        <f>'[11]General information '!B12</f>
        <v>24</v>
      </c>
      <c r="O16" s="261">
        <f>'[11]General information '!C12</f>
        <v>19</v>
      </c>
      <c r="P16" s="261">
        <f t="shared" si="0"/>
        <v>3.1999999999999993</v>
      </c>
      <c r="Q16" s="498">
        <v>7</v>
      </c>
      <c r="R16" s="261">
        <f>'[12]Degree Days 2020'!R16</f>
        <v>25</v>
      </c>
      <c r="S16" s="261">
        <f>'[12]Degree Days 2020'!S16</f>
        <v>21</v>
      </c>
      <c r="T16" s="261">
        <f t="shared" si="1"/>
        <v>4.6999999999999993</v>
      </c>
      <c r="U16" s="498">
        <v>7</v>
      </c>
      <c r="V16" s="261">
        <f>'[13]Degree Days 2020'!V16</f>
        <v>27</v>
      </c>
      <c r="W16" s="261">
        <f>'[13]Degree Days 2020'!W16</f>
        <v>23</v>
      </c>
      <c r="X16" s="261">
        <f t="shared" si="2"/>
        <v>6.6999999999999993</v>
      </c>
      <c r="Z16" t="s">
        <v>176</v>
      </c>
      <c r="AA16" s="261"/>
      <c r="AB16" s="261"/>
    </row>
    <row r="17" spans="1:28">
      <c r="A17" s="117">
        <v>8</v>
      </c>
      <c r="B17" s="261">
        <f>'[9]Degree Days 2020'!B17</f>
        <v>21</v>
      </c>
      <c r="C17" s="261">
        <f>'[9]Degree Days 2020'!C17</f>
        <v>14</v>
      </c>
      <c r="D17" s="261">
        <f>'[9]Degree Days 2020'!D17</f>
        <v>-0.80000000000000071</v>
      </c>
      <c r="E17" s="261">
        <f>'[9]Degree Days 2020'!E17</f>
        <v>8</v>
      </c>
      <c r="F17" s="261">
        <f>'[9]Degree Days 2020'!F17</f>
        <v>23</v>
      </c>
      <c r="G17" s="261">
        <f>'[9]Degree Days 2020'!G17</f>
        <v>19</v>
      </c>
      <c r="H17" s="261">
        <f>'[9]Degree Days 2020'!H17</f>
        <v>2.6999999999999993</v>
      </c>
      <c r="I17" s="261">
        <f>'[9]Degree Days 2020'!I17</f>
        <v>8</v>
      </c>
      <c r="J17" s="261">
        <f>'[9]Degree Days 2020'!J17</f>
        <v>20</v>
      </c>
      <c r="K17" s="261">
        <f>'[9]Degree Days 2020'!K17</f>
        <v>16</v>
      </c>
      <c r="L17" s="261">
        <f>'[9]Degree Days 2020'!L17</f>
        <v>-0.30000000000000071</v>
      </c>
      <c r="M17" s="261">
        <f>'[10]Degree Days 2020'!M17</f>
        <v>8</v>
      </c>
      <c r="N17" s="261">
        <f>'[11]General information '!B13</f>
        <v>20</v>
      </c>
      <c r="O17" s="261">
        <f>'[11]General information '!C13</f>
        <v>17</v>
      </c>
      <c r="P17" s="261">
        <f t="shared" si="0"/>
        <v>0.19999999999999929</v>
      </c>
      <c r="Q17" s="498">
        <v>8</v>
      </c>
      <c r="R17" s="261">
        <f>'[12]Degree Days 2020'!R17</f>
        <v>29</v>
      </c>
      <c r="S17" s="261">
        <f>'[12]Degree Days 2020'!S17</f>
        <v>20</v>
      </c>
      <c r="T17" s="261">
        <f t="shared" si="1"/>
        <v>6.1999999999999993</v>
      </c>
      <c r="U17" s="498">
        <v>8</v>
      </c>
      <c r="V17" s="261">
        <f>'[13]Degree Days 2020'!V17</f>
        <v>27</v>
      </c>
      <c r="W17" s="261">
        <f>'[13]Degree Days 2020'!W17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'[9]Degree Days 2020'!B18</f>
        <v>22</v>
      </c>
      <c r="C18" s="261">
        <f>'[9]Degree Days 2020'!C18</f>
        <v>15</v>
      </c>
      <c r="D18" s="261">
        <f>'[9]Degree Days 2020'!D18</f>
        <v>0.19999999999999929</v>
      </c>
      <c r="E18" s="261">
        <f>'[9]Degree Days 2020'!E18</f>
        <v>9</v>
      </c>
      <c r="F18" s="261">
        <f>'[9]Degree Days 2020'!F18</f>
        <v>21</v>
      </c>
      <c r="G18" s="261">
        <f>'[9]Degree Days 2020'!G18</f>
        <v>18</v>
      </c>
      <c r="H18" s="261">
        <f>'[9]Degree Days 2020'!H18</f>
        <v>1.1999999999999993</v>
      </c>
      <c r="I18" s="261">
        <f>'[9]Degree Days 2020'!I18</f>
        <v>9</v>
      </c>
      <c r="J18" s="261">
        <f>'[9]Degree Days 2020'!J18</f>
        <v>23</v>
      </c>
      <c r="K18" s="261">
        <f>'[9]Degree Days 2020'!K18</f>
        <v>17</v>
      </c>
      <c r="L18" s="261">
        <f>'[9]Degree Days 2020'!L18</f>
        <v>1.6999999999999993</v>
      </c>
      <c r="M18" s="261">
        <f>'[10]Degree Days 2020'!M18</f>
        <v>9</v>
      </c>
      <c r="N18" s="261">
        <f>'[11]General information '!B14</f>
        <v>20</v>
      </c>
      <c r="O18" s="261">
        <f>'[11]General information '!C14</f>
        <v>16</v>
      </c>
      <c r="P18" s="261">
        <f t="shared" si="0"/>
        <v>-0.30000000000000071</v>
      </c>
      <c r="Q18" s="498">
        <v>9</v>
      </c>
      <c r="R18" s="261">
        <f>'[12]Degree Days 2020'!R18</f>
        <v>28</v>
      </c>
      <c r="S18" s="261">
        <f>'[12]Degree Days 2020'!S18</f>
        <v>21</v>
      </c>
      <c r="T18" s="261">
        <f t="shared" si="1"/>
        <v>6.1999999999999993</v>
      </c>
      <c r="U18" s="498">
        <v>9</v>
      </c>
      <c r="V18" s="261">
        <f>'[13]Degree Days 2020'!V18</f>
        <v>27</v>
      </c>
      <c r="W18" s="261">
        <f>'[13]Degree Days 2020'!W18</f>
        <v>22</v>
      </c>
      <c r="X18" s="261">
        <f t="shared" si="2"/>
        <v>6.1999999999999993</v>
      </c>
      <c r="Z18" t="s">
        <v>178</v>
      </c>
      <c r="AA18" s="261"/>
      <c r="AB18" s="261"/>
    </row>
    <row r="19" spans="1:28">
      <c r="A19" s="117">
        <v>10</v>
      </c>
      <c r="B19" s="261">
        <f>'[9]Degree Days 2020'!B19</f>
        <v>22</v>
      </c>
      <c r="C19" s="261">
        <f>'[9]Degree Days 2020'!C19</f>
        <v>15</v>
      </c>
      <c r="D19" s="261">
        <f>'[9]Degree Days 2020'!D19</f>
        <v>0.19999999999999929</v>
      </c>
      <c r="E19" s="261">
        <f>'[9]Degree Days 2020'!E19</f>
        <v>10</v>
      </c>
      <c r="F19" s="261">
        <f>'[9]Degree Days 2020'!F19</f>
        <v>19</v>
      </c>
      <c r="G19" s="261">
        <f>'[9]Degree Days 2020'!G19</f>
        <v>14</v>
      </c>
      <c r="H19" s="261">
        <f>'[9]Degree Days 2020'!H19</f>
        <v>-1.8000000000000007</v>
      </c>
      <c r="I19" s="261">
        <f>'[9]Degree Days 2020'!I19</f>
        <v>10</v>
      </c>
      <c r="J19" s="261">
        <f>'[9]Degree Days 2020'!J19</f>
        <v>19</v>
      </c>
      <c r="K19" s="261">
        <f>'[9]Degree Days 2020'!K19</f>
        <v>13</v>
      </c>
      <c r="L19" s="261">
        <f>'[9]Degree Days 2020'!L19</f>
        <v>-2.3000000000000007</v>
      </c>
      <c r="M19" s="261">
        <f>'[10]Degree Days 2020'!M19</f>
        <v>10</v>
      </c>
      <c r="N19" s="261">
        <f>'[11]General information '!B15</f>
        <v>16</v>
      </c>
      <c r="O19" s="261">
        <f>'[11]General information '!C15</f>
        <v>14</v>
      </c>
      <c r="P19" s="261">
        <f t="shared" si="0"/>
        <v>-3.3000000000000007</v>
      </c>
      <c r="Q19" s="498">
        <v>10</v>
      </c>
      <c r="R19" s="261">
        <f>'[12]Degree Days 2020'!R19</f>
        <v>24</v>
      </c>
      <c r="S19" s="261">
        <f>'[12]Degree Days 2020'!S19</f>
        <v>20</v>
      </c>
      <c r="T19" s="261">
        <f t="shared" si="1"/>
        <v>3.6999999999999993</v>
      </c>
      <c r="U19" s="498">
        <v>10</v>
      </c>
      <c r="V19" s="261">
        <f>'[13]Degree Days 2020'!V19</f>
        <v>27</v>
      </c>
      <c r="W19" s="261">
        <f>'[13]Degree Days 2020'!W19</f>
        <v>23</v>
      </c>
      <c r="X19" s="261">
        <f t="shared" si="2"/>
        <v>6.6999999999999993</v>
      </c>
      <c r="Z19" t="s">
        <v>179</v>
      </c>
      <c r="AA19" s="261"/>
      <c r="AB19" s="261"/>
    </row>
    <row r="20" spans="1:28">
      <c r="A20" s="117">
        <v>11</v>
      </c>
      <c r="B20" s="261">
        <f>'[9]Degree Days 2020'!B20</f>
        <v>22</v>
      </c>
      <c r="C20" s="261">
        <f>'[9]Degree Days 2020'!C20</f>
        <v>16</v>
      </c>
      <c r="D20" s="261">
        <f>'[9]Degree Days 2020'!D20</f>
        <v>0.69999999999999929</v>
      </c>
      <c r="E20" s="261">
        <f>'[9]Degree Days 2020'!E20</f>
        <v>11</v>
      </c>
      <c r="F20" s="261">
        <f>'[9]Degree Days 2020'!F20</f>
        <v>18</v>
      </c>
      <c r="G20" s="261">
        <f>'[9]Degree Days 2020'!G20</f>
        <v>13</v>
      </c>
      <c r="H20" s="261">
        <f>'[9]Degree Days 2020'!H20</f>
        <v>-2.8000000000000007</v>
      </c>
      <c r="I20" s="261">
        <f>'[9]Degree Days 2020'!I20</f>
        <v>11</v>
      </c>
      <c r="J20" s="261">
        <f>'[9]Degree Days 2020'!J20</f>
        <v>17</v>
      </c>
      <c r="K20" s="261">
        <f>'[9]Degree Days 2020'!K20</f>
        <v>12</v>
      </c>
      <c r="L20" s="261">
        <f>'[9]Degree Days 2020'!L20</f>
        <v>-3.8000000000000007</v>
      </c>
      <c r="M20" s="261">
        <f>'[10]Degree Days 2020'!M20</f>
        <v>11</v>
      </c>
      <c r="N20" s="261">
        <f>'[11]General information '!B16</f>
        <v>17</v>
      </c>
      <c r="O20" s="261">
        <f>'[11]General information '!C16</f>
        <v>12</v>
      </c>
      <c r="P20" s="261">
        <f t="shared" si="0"/>
        <v>-3.8000000000000007</v>
      </c>
      <c r="Q20" s="498">
        <v>11</v>
      </c>
      <c r="R20" s="261">
        <f>'[12]Degree Days 2020'!R20</f>
        <v>24</v>
      </c>
      <c r="S20" s="261">
        <f>'[12]Degree Days 2020'!S20</f>
        <v>18</v>
      </c>
      <c r="T20" s="261">
        <f t="shared" si="1"/>
        <v>2.6999999999999993</v>
      </c>
      <c r="U20" s="498">
        <v>11</v>
      </c>
      <c r="V20" s="261">
        <f>'[13]Degree Days 2020'!V20</f>
        <v>27</v>
      </c>
      <c r="W20" s="261">
        <f>'[13]Degree Days 2020'!W20</f>
        <v>25</v>
      </c>
      <c r="X20" s="261">
        <f t="shared" si="2"/>
        <v>7.6999999999999993</v>
      </c>
      <c r="Z20" t="s">
        <v>180</v>
      </c>
      <c r="AA20" s="261"/>
      <c r="AB20" s="261"/>
    </row>
    <row r="21" spans="1:28">
      <c r="A21" s="117">
        <v>12</v>
      </c>
      <c r="B21" s="261">
        <f>'[9]Degree Days 2020'!B21</f>
        <v>24</v>
      </c>
      <c r="C21" s="261">
        <f>'[9]Degree Days 2020'!C21</f>
        <v>13</v>
      </c>
      <c r="D21" s="261">
        <f>'[9]Degree Days 2020'!D21</f>
        <v>0.19999999999999929</v>
      </c>
      <c r="E21" s="261">
        <f>'[9]Degree Days 2020'!E21</f>
        <v>12</v>
      </c>
      <c r="F21" s="261">
        <f>'[9]Degree Days 2020'!F21</f>
        <v>18</v>
      </c>
      <c r="G21" s="261">
        <f>'[9]Degree Days 2020'!G21</f>
        <v>13</v>
      </c>
      <c r="H21" s="261">
        <f>'[9]Degree Days 2020'!H21</f>
        <v>-2.8000000000000007</v>
      </c>
      <c r="I21" s="261">
        <f>'[9]Degree Days 2020'!I21</f>
        <v>12</v>
      </c>
      <c r="J21" s="261">
        <f>'[9]Degree Days 2020'!J21</f>
        <v>18</v>
      </c>
      <c r="K21" s="261">
        <f>'[9]Degree Days 2020'!K21</f>
        <v>13</v>
      </c>
      <c r="L21" s="261">
        <f>'[9]Degree Days 2020'!L21</f>
        <v>-2.8000000000000007</v>
      </c>
      <c r="M21" s="261">
        <f>'[10]Degree Days 2020'!M21</f>
        <v>12</v>
      </c>
      <c r="N21" s="261">
        <f>'[11]General information '!B17</f>
        <v>16</v>
      </c>
      <c r="O21" s="261">
        <f>'[11]General information '!C17</f>
        <v>13</v>
      </c>
      <c r="P21" s="261">
        <f t="shared" si="0"/>
        <v>-3.8000000000000007</v>
      </c>
      <c r="Q21" s="498">
        <v>12</v>
      </c>
      <c r="R21" s="261">
        <f>'[12]Degree Days 2020'!R21</f>
        <v>25</v>
      </c>
      <c r="S21" s="261">
        <f>'[12]Degree Days 2020'!S21</f>
        <v>19</v>
      </c>
      <c r="T21" s="261">
        <f t="shared" si="1"/>
        <v>3.6999999999999993</v>
      </c>
      <c r="U21" s="498">
        <v>12</v>
      </c>
      <c r="V21" s="261">
        <f>'[13]Degree Days 2020'!V21</f>
        <v>27</v>
      </c>
      <c r="W21" s="261">
        <f>'[13]Degree Days 2020'!W21</f>
        <v>22</v>
      </c>
      <c r="X21" s="261">
        <f t="shared" si="2"/>
        <v>6.1999999999999993</v>
      </c>
      <c r="Z21" t="s">
        <v>181</v>
      </c>
      <c r="AA21" s="134">
        <f>SUM(B54)</f>
        <v>30</v>
      </c>
      <c r="AB21" s="134">
        <f>SUM(C54)</f>
        <v>24</v>
      </c>
    </row>
    <row r="22" spans="1:28">
      <c r="A22" s="117">
        <v>13</v>
      </c>
      <c r="B22" s="261">
        <f>'[9]Degree Days 2020'!B22</f>
        <v>18</v>
      </c>
      <c r="C22" s="261">
        <f>'[9]Degree Days 2020'!C22</f>
        <v>12</v>
      </c>
      <c r="D22" s="261">
        <f>'[9]Degree Days 2020'!D22</f>
        <v>-3.3000000000000007</v>
      </c>
      <c r="E22" s="261">
        <f>'[9]Degree Days 2020'!E22</f>
        <v>13</v>
      </c>
      <c r="F22" s="261">
        <f>'[9]Degree Days 2020'!F22</f>
        <v>19</v>
      </c>
      <c r="G22" s="261">
        <f>'[9]Degree Days 2020'!G22</f>
        <v>14</v>
      </c>
      <c r="H22" s="261">
        <f>'[9]Degree Days 2020'!H22</f>
        <v>-1.8000000000000007</v>
      </c>
      <c r="I22" s="261">
        <f>'[9]Degree Days 2020'!I22</f>
        <v>13</v>
      </c>
      <c r="J22" s="261">
        <f>'[9]Degree Days 2020'!J22</f>
        <v>18</v>
      </c>
      <c r="K22" s="261">
        <f>'[9]Degree Days 2020'!K22</f>
        <v>16</v>
      </c>
      <c r="L22" s="261">
        <f>'[9]Degree Days 2020'!L22</f>
        <v>-1.3000000000000007</v>
      </c>
      <c r="M22" s="261">
        <f>'[10]Degree Days 2020'!M22</f>
        <v>13</v>
      </c>
      <c r="N22" s="261">
        <f>'[11]General information '!B18</f>
        <v>18</v>
      </c>
      <c r="O22" s="261">
        <f>'[11]General information '!C18</f>
        <v>11</v>
      </c>
      <c r="P22" s="261">
        <f t="shared" si="0"/>
        <v>-3.8000000000000007</v>
      </c>
      <c r="Q22" s="498">
        <v>13</v>
      </c>
      <c r="R22" s="261">
        <f>'[12]Degree Days 2020'!R22</f>
        <v>24</v>
      </c>
      <c r="S22" s="261">
        <f>'[12]Degree Days 2020'!S22</f>
        <v>18</v>
      </c>
      <c r="T22" s="261">
        <f t="shared" si="1"/>
        <v>2.6999999999999993</v>
      </c>
      <c r="U22" s="498">
        <v>13</v>
      </c>
      <c r="V22" s="261">
        <f>'[13]Degree Days 2020'!V22</f>
        <v>26</v>
      </c>
      <c r="W22" s="261">
        <f>'[13]Degree Days 2020'!W22</f>
        <v>21</v>
      </c>
      <c r="X22" s="261">
        <f t="shared" si="2"/>
        <v>5.1999999999999993</v>
      </c>
    </row>
    <row r="23" spans="1:28">
      <c r="A23" s="117">
        <v>14</v>
      </c>
      <c r="B23" s="261">
        <f>'[9]Degree Days 2020'!B23</f>
        <v>17</v>
      </c>
      <c r="C23" s="261">
        <f>'[9]Degree Days 2020'!C23</f>
        <v>12</v>
      </c>
      <c r="D23" s="261">
        <f>'[9]Degree Days 2020'!D23</f>
        <v>-3.8000000000000007</v>
      </c>
      <c r="E23" s="261">
        <f>'[9]Degree Days 2020'!E23</f>
        <v>14</v>
      </c>
      <c r="F23" s="261">
        <f>'[9]Degree Days 2020'!F23</f>
        <v>18</v>
      </c>
      <c r="G23" s="261">
        <f>'[9]Degree Days 2020'!G23</f>
        <v>13</v>
      </c>
      <c r="H23" s="261">
        <f>'[9]Degree Days 2020'!H23</f>
        <v>-2.8000000000000007</v>
      </c>
      <c r="I23" s="261">
        <f>'[9]Degree Days 2020'!I23</f>
        <v>14</v>
      </c>
      <c r="J23" s="261">
        <f>'[9]Degree Days 2020'!J23</f>
        <v>19</v>
      </c>
      <c r="K23" s="261">
        <f>'[9]Degree Days 2020'!K23</f>
        <v>15</v>
      </c>
      <c r="L23" s="261">
        <f>'[9]Degree Days 2020'!L23</f>
        <v>-1.3000000000000007</v>
      </c>
      <c r="M23" s="261">
        <f>'[10]Degree Days 2020'!M23</f>
        <v>14</v>
      </c>
      <c r="N23" s="261">
        <f>'[11]General information '!B19</f>
        <v>20</v>
      </c>
      <c r="O23" s="261">
        <f>'[11]General information '!C19</f>
        <v>12</v>
      </c>
      <c r="P23" s="261">
        <f t="shared" si="0"/>
        <v>-2.3000000000000007</v>
      </c>
      <c r="Q23" s="498">
        <v>14</v>
      </c>
      <c r="R23" s="261">
        <f>'[12]Degree Days 2020'!R23</f>
        <v>24</v>
      </c>
      <c r="S23" s="261">
        <f>'[12]Degree Days 2020'!S23</f>
        <v>21</v>
      </c>
      <c r="T23" s="261">
        <f t="shared" si="1"/>
        <v>4.1999999999999993</v>
      </c>
      <c r="U23" s="498">
        <v>14</v>
      </c>
      <c r="V23" s="261">
        <f>'[13]Degree Days 2020'!V23</f>
        <v>26</v>
      </c>
      <c r="W23" s="261">
        <f>'[13]Degree Days 2020'!W23</f>
        <v>20</v>
      </c>
      <c r="X23" s="261">
        <f t="shared" si="2"/>
        <v>4.6999999999999993</v>
      </c>
      <c r="AA23" s="134">
        <f>SUM(AA10:AA22)</f>
        <v>-225.69999999999993</v>
      </c>
      <c r="AB23" s="134">
        <f>SUM(AB10:AB22)</f>
        <v>257.3</v>
      </c>
    </row>
    <row r="24" spans="1:28">
      <c r="A24" s="117">
        <v>15</v>
      </c>
      <c r="B24" s="261">
        <f>'[9]Degree Days 2020'!B24</f>
        <v>19</v>
      </c>
      <c r="C24" s="261">
        <f>'[9]Degree Days 2020'!C24</f>
        <v>13</v>
      </c>
      <c r="D24" s="261">
        <f>'[9]Degree Days 2020'!D24</f>
        <v>-2.3000000000000007</v>
      </c>
      <c r="E24" s="261">
        <f>'[9]Degree Days 2020'!E24</f>
        <v>15</v>
      </c>
      <c r="F24" s="261">
        <f>'[9]Degree Days 2020'!F24</f>
        <v>18</v>
      </c>
      <c r="G24" s="261">
        <f>'[9]Degree Days 2020'!G24</f>
        <v>12</v>
      </c>
      <c r="H24" s="261">
        <f>'[9]Degree Days 2020'!H24</f>
        <v>-3.3000000000000007</v>
      </c>
      <c r="I24" s="261">
        <f>'[9]Degree Days 2020'!I24</f>
        <v>15</v>
      </c>
      <c r="J24" s="261">
        <f>'[9]Degree Days 2020'!J24</f>
        <v>19</v>
      </c>
      <c r="K24" s="261">
        <f>'[9]Degree Days 2020'!K24</f>
        <v>15</v>
      </c>
      <c r="L24" s="261">
        <f>'[9]Degree Days 2020'!L24</f>
        <v>-1.3000000000000007</v>
      </c>
      <c r="M24" s="261">
        <f>'[10]Degree Days 2020'!M24</f>
        <v>15</v>
      </c>
      <c r="N24" s="261">
        <f>'[11]General information '!B20</f>
        <v>24</v>
      </c>
      <c r="O24" s="261">
        <f>'[11]General information '!C20</f>
        <v>14</v>
      </c>
      <c r="P24" s="261">
        <f t="shared" si="0"/>
        <v>0.69999999999999929</v>
      </c>
      <c r="Q24" s="498">
        <v>15</v>
      </c>
      <c r="R24" s="261">
        <f>'[12]Degree Days 2020'!R24</f>
        <v>25</v>
      </c>
      <c r="S24" s="261">
        <f>'[12]Degree Days 2020'!S24</f>
        <v>22</v>
      </c>
      <c r="T24" s="261">
        <f t="shared" si="1"/>
        <v>5.1999999999999993</v>
      </c>
      <c r="U24" s="498">
        <v>15</v>
      </c>
      <c r="V24" s="261">
        <f>'[13]Degree Days 2020'!V24</f>
        <v>27</v>
      </c>
      <c r="W24" s="261">
        <f>'[13]Degree Days 2020'!W24</f>
        <v>22</v>
      </c>
      <c r="X24" s="261">
        <f t="shared" si="2"/>
        <v>6.1999999999999993</v>
      </c>
    </row>
    <row r="25" spans="1:28">
      <c r="A25" s="117">
        <v>16</v>
      </c>
      <c r="B25" s="261">
        <f>'[9]Degree Days 2020'!B25</f>
        <v>15</v>
      </c>
      <c r="C25" s="261">
        <f>'[9]Degree Days 2020'!C25</f>
        <v>9</v>
      </c>
      <c r="D25" s="261">
        <f>'[9]Degree Days 2020'!D25</f>
        <v>-6.3000000000000007</v>
      </c>
      <c r="E25" s="261">
        <f>'[9]Degree Days 2020'!E25</f>
        <v>16</v>
      </c>
      <c r="F25" s="261">
        <f>'[9]Degree Days 2020'!F25</f>
        <v>11</v>
      </c>
      <c r="G25" s="261">
        <f>'[9]Degree Days 2020'!G25</f>
        <v>7</v>
      </c>
      <c r="H25" s="261">
        <f>'[9]Degree Days 2020'!H25</f>
        <v>-9.3000000000000007</v>
      </c>
      <c r="I25" s="261">
        <f>'[9]Degree Days 2020'!I25</f>
        <v>16</v>
      </c>
      <c r="J25" s="261">
        <f>'[9]Degree Days 2020'!J25</f>
        <v>19</v>
      </c>
      <c r="K25" s="261">
        <f>'[9]Degree Days 2020'!K25</f>
        <v>14</v>
      </c>
      <c r="L25" s="261">
        <f>'[9]Degree Days 2020'!L25</f>
        <v>-1.8000000000000007</v>
      </c>
      <c r="M25" s="261">
        <f>'[10]Degree Days 2020'!M25</f>
        <v>16</v>
      </c>
      <c r="N25" s="261">
        <f>'[11]General information '!B21</f>
        <v>26</v>
      </c>
      <c r="O25" s="261">
        <f>'[11]General information '!C21</f>
        <v>17</v>
      </c>
      <c r="P25" s="261">
        <f t="shared" si="0"/>
        <v>3.1999999999999993</v>
      </c>
      <c r="Q25" s="498">
        <v>16</v>
      </c>
      <c r="R25" s="261">
        <f>'[12]Degree Days 2020'!R25</f>
        <v>24</v>
      </c>
      <c r="S25" s="261">
        <f>'[12]Degree Days 2020'!S25</f>
        <v>19</v>
      </c>
      <c r="T25" s="261">
        <f t="shared" si="1"/>
        <v>3.1999999999999993</v>
      </c>
      <c r="U25" s="498">
        <v>16</v>
      </c>
      <c r="V25" s="261">
        <f>'[13]Degree Days 2020'!V25</f>
        <v>27</v>
      </c>
      <c r="W25" s="261">
        <f>'[13]Degree Days 2020'!W25</f>
        <v>23</v>
      </c>
      <c r="X25" s="261">
        <f t="shared" si="2"/>
        <v>6.6999999999999993</v>
      </c>
    </row>
    <row r="26" spans="1:28">
      <c r="A26" s="117">
        <v>17</v>
      </c>
      <c r="B26" s="261">
        <f>'[9]Degree Days 2020'!B26</f>
        <v>15</v>
      </c>
      <c r="C26" s="261">
        <f>'[9]Degree Days 2020'!C26</f>
        <v>12</v>
      </c>
      <c r="D26" s="261">
        <f>'[9]Degree Days 2020'!D26</f>
        <v>-4.8000000000000007</v>
      </c>
      <c r="E26" s="261">
        <f>'[9]Degree Days 2020'!E26</f>
        <v>17</v>
      </c>
      <c r="F26" s="261">
        <f>'[9]Degree Days 2020'!F26</f>
        <v>13</v>
      </c>
      <c r="G26" s="261">
        <f>'[9]Degree Days 2020'!G26</f>
        <v>7</v>
      </c>
      <c r="H26" s="261">
        <f>'[9]Degree Days 2020'!H26</f>
        <v>-8.3000000000000007</v>
      </c>
      <c r="I26" s="261">
        <f>'[9]Degree Days 2020'!I26</f>
        <v>17</v>
      </c>
      <c r="J26" s="261">
        <f>'[9]Degree Days 2020'!J26</f>
        <v>20</v>
      </c>
      <c r="K26" s="261">
        <f>'[9]Degree Days 2020'!K26</f>
        <v>15</v>
      </c>
      <c r="L26" s="261">
        <f>'[9]Degree Days 2020'!L26</f>
        <v>-0.80000000000000071</v>
      </c>
      <c r="M26" s="261">
        <f>'[10]Degree Days 2020'!M26</f>
        <v>17</v>
      </c>
      <c r="N26" s="261">
        <f>'[11]General information '!B22</f>
        <v>27</v>
      </c>
      <c r="O26" s="261">
        <f>'[11]General information '!C22</f>
        <v>17</v>
      </c>
      <c r="P26" s="261">
        <f t="shared" si="0"/>
        <v>3.6999999999999993</v>
      </c>
      <c r="Q26" s="498">
        <v>17</v>
      </c>
      <c r="R26" s="261">
        <f>'[12]Degree Days 2020'!R26</f>
        <v>25</v>
      </c>
      <c r="S26" s="261">
        <f>'[12]Degree Days 2020'!S26</f>
        <v>20</v>
      </c>
      <c r="T26" s="261">
        <f t="shared" si="1"/>
        <v>4.1999999999999993</v>
      </c>
      <c r="U26" s="498">
        <v>17</v>
      </c>
      <c r="V26" s="261">
        <f>'[13]Degree Days 2020'!V26</f>
        <v>26</v>
      </c>
      <c r="W26" s="261">
        <f>'[13]Degree Days 2020'!W26</f>
        <v>23</v>
      </c>
      <c r="X26" s="261">
        <f t="shared" si="2"/>
        <v>6.1999999999999993</v>
      </c>
    </row>
    <row r="27" spans="1:28">
      <c r="A27" s="117">
        <v>18</v>
      </c>
      <c r="B27" s="261">
        <f>'[9]Degree Days 2020'!B27</f>
        <v>14</v>
      </c>
      <c r="C27" s="261">
        <f>'[9]Degree Days 2020'!C27</f>
        <v>8</v>
      </c>
      <c r="D27" s="261">
        <f>'[9]Degree Days 2020'!D27</f>
        <v>-7.3000000000000007</v>
      </c>
      <c r="E27" s="261">
        <f>'[9]Degree Days 2020'!E27</f>
        <v>18</v>
      </c>
      <c r="F27" s="261">
        <f>'[9]Degree Days 2020'!F27</f>
        <v>13</v>
      </c>
      <c r="G27" s="261">
        <f>'[9]Degree Days 2020'!G27</f>
        <v>7</v>
      </c>
      <c r="H27" s="261">
        <f>'[9]Degree Days 2020'!H27</f>
        <v>-8.3000000000000007</v>
      </c>
      <c r="I27" s="261">
        <f>'[9]Degree Days 2020'!I27</f>
        <v>18</v>
      </c>
      <c r="J27" s="261">
        <f>'[9]Degree Days 2020'!J27</f>
        <v>20</v>
      </c>
      <c r="K27" s="261">
        <f>'[9]Degree Days 2020'!K27</f>
        <v>15</v>
      </c>
      <c r="L27" s="261">
        <f>'[9]Degree Days 2020'!L27</f>
        <v>-0.80000000000000071</v>
      </c>
      <c r="M27" s="261">
        <f>'[10]Degree Days 2020'!M27</f>
        <v>18</v>
      </c>
      <c r="N27" s="261">
        <f>'[11]General information '!B23</f>
        <v>32</v>
      </c>
      <c r="O27" s="261">
        <f>'[11]General information '!C23</f>
        <v>19</v>
      </c>
      <c r="P27" s="261">
        <f t="shared" si="0"/>
        <v>7.1999999999999993</v>
      </c>
      <c r="Q27" s="498">
        <v>18</v>
      </c>
      <c r="R27" s="261">
        <f>'[12]Degree Days 2020'!R27</f>
        <v>32</v>
      </c>
      <c r="S27" s="261">
        <f>'[12]Degree Days 2020'!S27</f>
        <v>14</v>
      </c>
      <c r="T27" s="261">
        <f t="shared" si="1"/>
        <v>4.6999999999999993</v>
      </c>
      <c r="U27" s="498">
        <v>18</v>
      </c>
      <c r="V27" s="261">
        <f>'[13]Degree Days 2020'!V27</f>
        <v>27</v>
      </c>
      <c r="W27" s="261">
        <f>'[13]Degree Days 2020'!W27</f>
        <v>23</v>
      </c>
      <c r="X27" s="261">
        <f t="shared" si="2"/>
        <v>6.6999999999999993</v>
      </c>
    </row>
    <row r="28" spans="1:28">
      <c r="A28" s="117">
        <v>19</v>
      </c>
      <c r="B28" s="261">
        <f>'[9]Degree Days 2020'!B28</f>
        <v>17</v>
      </c>
      <c r="C28" s="261">
        <f>'[9]Degree Days 2020'!C28</f>
        <v>10</v>
      </c>
      <c r="D28" s="261">
        <f>'[9]Degree Days 2020'!D28</f>
        <v>-4.8000000000000007</v>
      </c>
      <c r="E28" s="261">
        <f>'[9]Degree Days 2020'!E28</f>
        <v>19</v>
      </c>
      <c r="F28" s="261">
        <f>'[9]Degree Days 2020'!F28</f>
        <v>14</v>
      </c>
      <c r="G28" s="261">
        <f>'[9]Degree Days 2020'!G28</f>
        <v>7</v>
      </c>
      <c r="H28" s="261">
        <f>'[9]Degree Days 2020'!H28</f>
        <v>-7.8000000000000007</v>
      </c>
      <c r="I28" s="261">
        <f>'[9]Degree Days 2020'!I28</f>
        <v>19</v>
      </c>
      <c r="J28" s="261">
        <f>'[9]Degree Days 2020'!J28</f>
        <v>19</v>
      </c>
      <c r="K28" s="261">
        <f>'[9]Degree Days 2020'!K28</f>
        <v>17</v>
      </c>
      <c r="L28" s="261">
        <f>'[9]Degree Days 2020'!L28</f>
        <v>-0.30000000000000071</v>
      </c>
      <c r="M28" s="261">
        <f>'[10]Degree Days 2020'!M28</f>
        <v>19</v>
      </c>
      <c r="N28" s="261">
        <f>'[11]General information '!B24</f>
        <v>33</v>
      </c>
      <c r="O28" s="261">
        <f>'[11]General information '!C24</f>
        <v>24</v>
      </c>
      <c r="P28" s="261">
        <f t="shared" si="0"/>
        <v>10.199999999999999</v>
      </c>
      <c r="Q28" s="498">
        <v>19</v>
      </c>
      <c r="R28" s="261">
        <f>'[12]Degree Days 2020'!R28</f>
        <v>26</v>
      </c>
      <c r="S28" s="261">
        <f>'[12]Degree Days 2020'!S28</f>
        <v>20</v>
      </c>
      <c r="T28" s="261">
        <f t="shared" si="1"/>
        <v>4.6999999999999993</v>
      </c>
      <c r="U28" s="498">
        <v>19</v>
      </c>
      <c r="V28" s="261">
        <f>'[13]Degree Days 2020'!V28</f>
        <v>28</v>
      </c>
      <c r="W28" s="261">
        <f>'[13]Degree Days 2020'!W28</f>
        <v>25</v>
      </c>
      <c r="X28" s="261">
        <f t="shared" si="2"/>
        <v>8.1999999999999993</v>
      </c>
    </row>
    <row r="29" spans="1:28">
      <c r="A29" s="117">
        <v>20</v>
      </c>
      <c r="B29" s="261">
        <f>'[9]Degree Days 2020'!B29</f>
        <v>17</v>
      </c>
      <c r="C29" s="261">
        <f>'[9]Degree Days 2020'!C29</f>
        <v>10</v>
      </c>
      <c r="D29" s="261">
        <f>'[9]Degree Days 2020'!D29</f>
        <v>-4.8000000000000007</v>
      </c>
      <c r="E29" s="261">
        <f>'[9]Degree Days 2020'!E29</f>
        <v>20</v>
      </c>
      <c r="F29" s="261">
        <f>'[9]Degree Days 2020'!F29</f>
        <v>19</v>
      </c>
      <c r="G29" s="261">
        <f>'[9]Degree Days 2020'!G29</f>
        <v>14</v>
      </c>
      <c r="H29" s="261">
        <f>'[9]Degree Days 2020'!H29</f>
        <v>-1.8000000000000007</v>
      </c>
      <c r="I29" s="261">
        <f>'[9]Degree Days 2020'!I29</f>
        <v>20</v>
      </c>
      <c r="J29" s="261">
        <f>'[9]Degree Days 2020'!J29</f>
        <v>21</v>
      </c>
      <c r="K29" s="261">
        <f>'[9]Degree Days 2020'!K29</f>
        <v>18</v>
      </c>
      <c r="L29" s="261">
        <f>'[9]Degree Days 2020'!L29</f>
        <v>1.1999999999999993</v>
      </c>
      <c r="M29" s="261">
        <f>'[10]Degree Days 2020'!M29</f>
        <v>20</v>
      </c>
      <c r="N29" s="261">
        <f>'[11]General information '!B25</f>
        <v>22</v>
      </c>
      <c r="O29" s="261">
        <f>'[11]General information '!C25</f>
        <v>15</v>
      </c>
      <c r="P29" s="261">
        <f t="shared" si="0"/>
        <v>0.19999999999999929</v>
      </c>
      <c r="Q29" s="498">
        <v>20</v>
      </c>
      <c r="R29" s="261">
        <f>'[12]Degree Days 2020'!R29</f>
        <v>26</v>
      </c>
      <c r="S29" s="261">
        <f>'[12]Degree Days 2020'!S29</f>
        <v>21</v>
      </c>
      <c r="T29" s="261">
        <f t="shared" si="1"/>
        <v>5.1999999999999993</v>
      </c>
      <c r="U29" s="498">
        <v>20</v>
      </c>
      <c r="V29" s="261">
        <f>'[13]Degree Days 2020'!V29</f>
        <v>27</v>
      </c>
      <c r="W29" s="261">
        <f>'[13]Degree Days 2020'!W29</f>
        <v>24</v>
      </c>
      <c r="X29" s="261">
        <f t="shared" si="2"/>
        <v>7.1999999999999993</v>
      </c>
    </row>
    <row r="30" spans="1:28">
      <c r="A30" s="117">
        <v>21</v>
      </c>
      <c r="B30" s="261">
        <f>'[9]Degree Days 2020'!B30</f>
        <v>16</v>
      </c>
      <c r="C30" s="261">
        <f>'[9]Degree Days 2020'!C30</f>
        <v>9</v>
      </c>
      <c r="D30" s="261">
        <f>'[9]Degree Days 2020'!D30</f>
        <v>-5.8000000000000007</v>
      </c>
      <c r="E30" s="261">
        <f>'[9]Degree Days 2020'!E30</f>
        <v>21</v>
      </c>
      <c r="F30" s="261">
        <f>'[9]Degree Days 2020'!F30</f>
        <v>18</v>
      </c>
      <c r="G30" s="261">
        <f>'[9]Degree Days 2020'!G30</f>
        <v>13</v>
      </c>
      <c r="H30" s="261">
        <f>'[9]Degree Days 2020'!H30</f>
        <v>-2.8000000000000007</v>
      </c>
      <c r="I30" s="261">
        <f>'[9]Degree Days 2020'!I30</f>
        <v>21</v>
      </c>
      <c r="J30" s="261">
        <f>'[9]Degree Days 2020'!J30</f>
        <v>23</v>
      </c>
      <c r="K30" s="261">
        <f>'[9]Degree Days 2020'!K30</f>
        <v>14</v>
      </c>
      <c r="L30" s="261">
        <f>'[9]Degree Days 2020'!L30</f>
        <v>0.19999999999999929</v>
      </c>
      <c r="M30" s="261">
        <f>'[10]Degree Days 2020'!M30</f>
        <v>21</v>
      </c>
      <c r="N30" s="261">
        <f>'[11]General information '!B26</f>
        <v>21</v>
      </c>
      <c r="O30" s="261">
        <f>'[11]General information '!C26</f>
        <v>17</v>
      </c>
      <c r="P30" s="261">
        <f t="shared" si="0"/>
        <v>0.69999999999999929</v>
      </c>
      <c r="Q30" s="498">
        <v>21</v>
      </c>
      <c r="R30" s="261">
        <f>'[12]Degree Days 2020'!R30</f>
        <v>25</v>
      </c>
      <c r="S30" s="261">
        <f>'[12]Degree Days 2020'!S30</f>
        <v>24</v>
      </c>
      <c r="T30" s="261">
        <f t="shared" si="1"/>
        <v>6.1999999999999993</v>
      </c>
      <c r="U30" s="498">
        <v>21</v>
      </c>
      <c r="V30" s="261">
        <f>'[13]Degree Days 2020'!V30</f>
        <v>27</v>
      </c>
      <c r="W30" s="261">
        <f>'[13]Degree Days 2020'!W30</f>
        <v>24</v>
      </c>
      <c r="X30" s="261">
        <f t="shared" si="2"/>
        <v>7.1999999999999993</v>
      </c>
    </row>
    <row r="31" spans="1:28">
      <c r="A31" s="117">
        <v>22</v>
      </c>
      <c r="B31" s="261">
        <f>'[9]Degree Days 2020'!B31</f>
        <v>17</v>
      </c>
      <c r="C31" s="261">
        <f>'[9]Degree Days 2020'!C31</f>
        <v>10</v>
      </c>
      <c r="D31" s="261">
        <f>'[9]Degree Days 2020'!D31</f>
        <v>-4.8000000000000007</v>
      </c>
      <c r="E31" s="261">
        <f>'[9]Degree Days 2020'!E31</f>
        <v>22</v>
      </c>
      <c r="F31" s="261">
        <f>'[9]Degree Days 2020'!F31</f>
        <v>21</v>
      </c>
      <c r="G31" s="261">
        <f>'[9]Degree Days 2020'!G31</f>
        <v>12</v>
      </c>
      <c r="H31" s="261">
        <f>'[9]Degree Days 2020'!H31</f>
        <v>-1.8000000000000007</v>
      </c>
      <c r="I31" s="261">
        <f>'[9]Degree Days 2020'!I31</f>
        <v>22</v>
      </c>
      <c r="J31" s="261">
        <f>'[9]Degree Days 2020'!J31</f>
        <v>26</v>
      </c>
      <c r="K31" s="261">
        <f>'[9]Degree Days 2020'!K31</f>
        <v>14</v>
      </c>
      <c r="L31" s="261">
        <f>'[9]Degree Days 2020'!L31</f>
        <v>1.6999999999999993</v>
      </c>
      <c r="M31" s="261">
        <f>'[10]Degree Days 2020'!M31</f>
        <v>22</v>
      </c>
      <c r="N31" s="261">
        <f>'[11]General information '!B27</f>
        <v>21</v>
      </c>
      <c r="O31" s="261">
        <f>'[11]General information '!C27</f>
        <v>18</v>
      </c>
      <c r="P31" s="261">
        <f t="shared" si="0"/>
        <v>1.1999999999999993</v>
      </c>
      <c r="Q31" s="498">
        <v>22</v>
      </c>
      <c r="R31" s="261">
        <f>'[12]Degree Days 2020'!R31</f>
        <v>26</v>
      </c>
      <c r="S31" s="261">
        <f>'[12]Degree Days 2020'!S31</f>
        <v>23</v>
      </c>
      <c r="T31" s="261">
        <f t="shared" si="1"/>
        <v>6.1999999999999993</v>
      </c>
      <c r="U31" s="498">
        <v>22</v>
      </c>
      <c r="V31" s="261">
        <f>'[13]Degree Days 2020'!V31</f>
        <v>26</v>
      </c>
      <c r="W31" s="261">
        <f>'[13]Degree Days 2020'!W31</f>
        <v>22</v>
      </c>
      <c r="X31" s="261">
        <f t="shared" si="2"/>
        <v>5.6999999999999993</v>
      </c>
    </row>
    <row r="32" spans="1:28">
      <c r="A32" s="117">
        <v>23</v>
      </c>
      <c r="B32" s="261">
        <f>'[9]Degree Days 2020'!B32</f>
        <v>18</v>
      </c>
      <c r="C32" s="261">
        <f>'[9]Degree Days 2020'!C32</f>
        <v>12</v>
      </c>
      <c r="D32" s="261">
        <f>'[9]Degree Days 2020'!D32</f>
        <v>-3.3000000000000007</v>
      </c>
      <c r="E32" s="261">
        <f>'[9]Degree Days 2020'!E32</f>
        <v>23</v>
      </c>
      <c r="F32" s="261">
        <f>'[9]Degree Days 2020'!F32</f>
        <v>19</v>
      </c>
      <c r="G32" s="261">
        <f>'[9]Degree Days 2020'!G32</f>
        <v>13</v>
      </c>
      <c r="H32" s="261">
        <f>'[9]Degree Days 2020'!H32</f>
        <v>-2.3000000000000007</v>
      </c>
      <c r="I32" s="261">
        <f>'[9]Degree Days 2020'!I32</f>
        <v>23</v>
      </c>
      <c r="J32" s="261">
        <f>'[9]Degree Days 2020'!J32</f>
        <v>33</v>
      </c>
      <c r="K32" s="261">
        <f>'[9]Degree Days 2020'!K32</f>
        <v>17</v>
      </c>
      <c r="L32" s="261">
        <f>'[9]Degree Days 2020'!L32</f>
        <v>6.6999999999999993</v>
      </c>
      <c r="M32" s="261">
        <f>'[10]Degree Days 2020'!M32</f>
        <v>23</v>
      </c>
      <c r="N32" s="261">
        <f>'[11]General information '!B28</f>
        <v>20</v>
      </c>
      <c r="O32" s="261">
        <f>'[11]General information '!C28</f>
        <v>18</v>
      </c>
      <c r="P32" s="261">
        <f t="shared" si="0"/>
        <v>0.69999999999999929</v>
      </c>
      <c r="Q32" s="498">
        <v>23</v>
      </c>
      <c r="R32" s="261">
        <f>'[12]Degree Days 2020'!R32</f>
        <v>25</v>
      </c>
      <c r="S32" s="261">
        <f>'[12]Degree Days 2020'!S32</f>
        <v>22</v>
      </c>
      <c r="T32" s="261">
        <f t="shared" si="1"/>
        <v>5.1999999999999993</v>
      </c>
      <c r="U32" s="498">
        <v>23</v>
      </c>
      <c r="V32" s="261">
        <f>'[13]Degree Days 2020'!V32</f>
        <v>28</v>
      </c>
      <c r="W32" s="261">
        <f>'[13]Degree Days 2020'!W32</f>
        <v>26</v>
      </c>
      <c r="X32" s="261">
        <f t="shared" si="2"/>
        <v>8.6999999999999993</v>
      </c>
    </row>
    <row r="33" spans="1:24">
      <c r="A33" s="117">
        <v>24</v>
      </c>
      <c r="B33" s="261">
        <f>'[9]Degree Days 2020'!B33</f>
        <v>17</v>
      </c>
      <c r="C33" s="261">
        <f>'[9]Degree Days 2020'!C33</f>
        <v>11</v>
      </c>
      <c r="D33" s="261">
        <f>'[9]Degree Days 2020'!D33</f>
        <v>-4.3000000000000007</v>
      </c>
      <c r="E33" s="261">
        <f>'[9]Degree Days 2020'!E33</f>
        <v>24</v>
      </c>
      <c r="F33" s="261">
        <f>'[9]Degree Days 2020'!F33</f>
        <v>19</v>
      </c>
      <c r="G33" s="261">
        <f>'[9]Degree Days 2020'!G33</f>
        <v>12</v>
      </c>
      <c r="H33" s="261">
        <f>'[9]Degree Days 2020'!H33</f>
        <v>-2.8000000000000007</v>
      </c>
      <c r="I33" s="261">
        <f>'[9]Degree Days 2020'!I33</f>
        <v>24</v>
      </c>
      <c r="J33" s="261">
        <f>'[9]Degree Days 2020'!J33</f>
        <v>15</v>
      </c>
      <c r="K33" s="261">
        <f>'[9]Degree Days 2020'!K33</f>
        <v>12</v>
      </c>
      <c r="L33" s="261">
        <f>'[9]Degree Days 2020'!L33</f>
        <v>-4.8000000000000007</v>
      </c>
      <c r="M33" s="261">
        <f>'[10]Degree Days 2020'!M33</f>
        <v>24</v>
      </c>
      <c r="N33" s="261">
        <f>'[11]General information '!B29</f>
        <v>24</v>
      </c>
      <c r="O33" s="261">
        <f>'[11]General information '!C29</f>
        <v>18</v>
      </c>
      <c r="P33" s="261">
        <f t="shared" si="0"/>
        <v>2.6999999999999993</v>
      </c>
      <c r="Q33" s="498">
        <v>24</v>
      </c>
      <c r="R33" s="261">
        <f>'[12]Degree Days 2020'!R33</f>
        <v>26</v>
      </c>
      <c r="S33" s="261">
        <f>'[12]Degree Days 2020'!S33</f>
        <v>23</v>
      </c>
      <c r="T33" s="261">
        <f t="shared" si="1"/>
        <v>6.1999999999999993</v>
      </c>
      <c r="U33" s="498">
        <v>24</v>
      </c>
      <c r="V33" s="261">
        <f>'[13]Degree Days 2020'!V33</f>
        <v>28</v>
      </c>
      <c r="W33" s="261">
        <f>'[13]Degree Days 2020'!W33</f>
        <v>25</v>
      </c>
      <c r="X33" s="261">
        <f t="shared" si="2"/>
        <v>8.1999999999999993</v>
      </c>
    </row>
    <row r="34" spans="1:24">
      <c r="A34" s="117">
        <v>25</v>
      </c>
      <c r="B34" s="261">
        <f>'[9]Degree Days 2020'!B34</f>
        <v>21</v>
      </c>
      <c r="C34" s="261">
        <f>'[9]Degree Days 2020'!C34</f>
        <v>12</v>
      </c>
      <c r="D34" s="261">
        <f>'[9]Degree Days 2020'!D34</f>
        <v>-1.8000000000000007</v>
      </c>
      <c r="E34" s="261">
        <f>'[9]Degree Days 2020'!E34</f>
        <v>25</v>
      </c>
      <c r="F34" s="261">
        <f>'[9]Degree Days 2020'!F34</f>
        <v>18</v>
      </c>
      <c r="G34" s="261">
        <f>'[9]Degree Days 2020'!G34</f>
        <v>13</v>
      </c>
      <c r="H34" s="261">
        <f>'[9]Degree Days 2020'!H34</f>
        <v>-2.8000000000000007</v>
      </c>
      <c r="I34" s="261">
        <f>'[9]Degree Days 2020'!I34</f>
        <v>25</v>
      </c>
      <c r="J34" s="261">
        <f>'[9]Degree Days 2020'!J34</f>
        <v>15</v>
      </c>
      <c r="K34" s="261">
        <f>'[9]Degree Days 2020'!K34</f>
        <v>12</v>
      </c>
      <c r="L34" s="261">
        <f>'[9]Degree Days 2020'!L34</f>
        <v>-4.8000000000000007</v>
      </c>
      <c r="M34" s="261">
        <f>'[10]Degree Days 2020'!M34</f>
        <v>25</v>
      </c>
      <c r="N34" s="261">
        <f>'[11]General information '!B30</f>
        <v>23</v>
      </c>
      <c r="O34" s="261">
        <f>'[11]General information '!C30</f>
        <v>18</v>
      </c>
      <c r="P34" s="261">
        <f t="shared" si="0"/>
        <v>2.1999999999999993</v>
      </c>
      <c r="Q34" s="498">
        <v>25</v>
      </c>
      <c r="R34" s="261">
        <f>'[12]Degree Days 2020'!R34</f>
        <v>27</v>
      </c>
      <c r="S34" s="261">
        <f>'[12]Degree Days 2020'!S34</f>
        <v>22</v>
      </c>
      <c r="T34" s="261">
        <f t="shared" si="1"/>
        <v>6.1999999999999993</v>
      </c>
      <c r="U34" s="498">
        <v>25</v>
      </c>
      <c r="V34" s="261">
        <f>'[13]Degree Days 2020'!V34</f>
        <v>29</v>
      </c>
      <c r="W34" s="261">
        <f>'[13]Degree Days 2020'!W34</f>
        <v>27</v>
      </c>
      <c r="X34" s="261">
        <f t="shared" si="2"/>
        <v>9.6999999999999993</v>
      </c>
    </row>
    <row r="35" spans="1:24">
      <c r="A35" s="117">
        <v>26</v>
      </c>
      <c r="B35" s="261">
        <f>'[9]Degree Days 2020'!B35</f>
        <v>18</v>
      </c>
      <c r="C35" s="261">
        <f>'[9]Degree Days 2020'!C35</f>
        <v>11</v>
      </c>
      <c r="D35" s="261">
        <f>'[9]Degree Days 2020'!D35</f>
        <v>-3.8000000000000007</v>
      </c>
      <c r="E35" s="261">
        <f>'[9]Degree Days 2020'!E35</f>
        <v>26</v>
      </c>
      <c r="F35" s="261">
        <f>'[9]Degree Days 2020'!F35</f>
        <v>18</v>
      </c>
      <c r="G35" s="261">
        <f>'[9]Degree Days 2020'!G35</f>
        <v>13</v>
      </c>
      <c r="H35" s="261">
        <f>'[9]Degree Days 2020'!H35</f>
        <v>-2.8000000000000007</v>
      </c>
      <c r="I35" s="261">
        <f>'[9]Degree Days 2020'!I35</f>
        <v>26</v>
      </c>
      <c r="J35" s="261">
        <f>'[9]Degree Days 2020'!J35</f>
        <v>16</v>
      </c>
      <c r="K35" s="261">
        <f>'[9]Degree Days 2020'!K35</f>
        <v>10</v>
      </c>
      <c r="L35" s="261">
        <f>'[9]Degree Days 2020'!L35</f>
        <v>-5.3000000000000007</v>
      </c>
      <c r="M35" s="261">
        <f>'[10]Degree Days 2020'!M35</f>
        <v>26</v>
      </c>
      <c r="N35" s="261">
        <f>'[11]General information '!B31</f>
        <v>22</v>
      </c>
      <c r="O35" s="261">
        <f>'[11]General information '!C31</f>
        <v>16</v>
      </c>
      <c r="P35" s="261">
        <f t="shared" si="0"/>
        <v>0.69999999999999929</v>
      </c>
      <c r="Q35" s="498">
        <v>26</v>
      </c>
      <c r="R35" s="261">
        <f>'[12]Degree Days 2020'!R35</f>
        <v>26</v>
      </c>
      <c r="S35" s="261">
        <f>'[12]Degree Days 2020'!S35</f>
        <v>23</v>
      </c>
      <c r="T35" s="261">
        <f t="shared" si="1"/>
        <v>6.1999999999999993</v>
      </c>
      <c r="U35" s="498">
        <v>26</v>
      </c>
      <c r="V35" s="261">
        <f>'[13]Degree Days 2020'!V35</f>
        <v>30</v>
      </c>
      <c r="W35" s="261">
        <f>'[13]Degree Days 2020'!W35</f>
        <v>28</v>
      </c>
      <c r="X35" s="261">
        <f t="shared" si="2"/>
        <v>10.7</v>
      </c>
    </row>
    <row r="36" spans="1:24">
      <c r="A36" s="117">
        <v>27</v>
      </c>
      <c r="B36" s="261">
        <f>'[9]Degree Days 2020'!B36</f>
        <v>14</v>
      </c>
      <c r="C36" s="261">
        <f>'[9]Degree Days 2020'!C36</f>
        <v>10</v>
      </c>
      <c r="D36" s="261">
        <f>'[9]Degree Days 2020'!D36</f>
        <v>-6.3000000000000007</v>
      </c>
      <c r="E36" s="261">
        <f>'[9]Degree Days 2020'!E36</f>
        <v>27</v>
      </c>
      <c r="F36" s="261">
        <f>'[9]Degree Days 2020'!F36</f>
        <v>18</v>
      </c>
      <c r="G36" s="261">
        <f>'[9]Degree Days 2020'!G36</f>
        <v>13</v>
      </c>
      <c r="H36" s="261">
        <f>'[9]Degree Days 2020'!H36</f>
        <v>-2.8000000000000007</v>
      </c>
      <c r="I36" s="261">
        <f>'[9]Degree Days 2020'!I36</f>
        <v>27</v>
      </c>
      <c r="J36" s="261">
        <f>'[9]Degree Days 2020'!J36</f>
        <v>17</v>
      </c>
      <c r="K36" s="261">
        <f>'[9]Degree Days 2020'!K36</f>
        <v>11</v>
      </c>
      <c r="L36" s="261">
        <f>'[9]Degree Days 2020'!L36</f>
        <v>-4.3000000000000007</v>
      </c>
      <c r="M36" s="261">
        <f>'[10]Degree Days 2020'!M36</f>
        <v>27</v>
      </c>
      <c r="N36" s="261">
        <f>'[11]General information '!B32</f>
        <v>22</v>
      </c>
      <c r="O36" s="261">
        <f>'[11]General information '!C32</f>
        <v>18</v>
      </c>
      <c r="P36" s="261">
        <f t="shared" si="0"/>
        <v>1.6999999999999993</v>
      </c>
      <c r="Q36" s="498">
        <v>27</v>
      </c>
      <c r="R36" s="261">
        <f>'[12]Degree Days 2020'!R36</f>
        <v>25</v>
      </c>
      <c r="S36" s="261">
        <f>'[12]Degree Days 2020'!S36</f>
        <v>22</v>
      </c>
      <c r="T36" s="261">
        <f t="shared" si="1"/>
        <v>5.1999999999999993</v>
      </c>
      <c r="U36" s="498">
        <v>27</v>
      </c>
      <c r="V36" s="261">
        <f>'[13]Degree Days 2020'!V36</f>
        <v>30</v>
      </c>
      <c r="W36" s="261">
        <f>'[13]Degree Days 2020'!W36</f>
        <v>28</v>
      </c>
      <c r="X36" s="261">
        <f t="shared" si="2"/>
        <v>10.7</v>
      </c>
    </row>
    <row r="37" spans="1:24">
      <c r="A37" s="117">
        <v>28</v>
      </c>
      <c r="B37" s="261">
        <f>'[9]Degree Days 2020'!B37</f>
        <v>14</v>
      </c>
      <c r="C37" s="261">
        <f>'[9]Degree Days 2020'!C37</f>
        <v>10</v>
      </c>
      <c r="D37" s="261">
        <f>'[9]Degree Days 2020'!D37</f>
        <v>-6.3000000000000007</v>
      </c>
      <c r="E37" s="261">
        <f>'[9]Degree Days 2020'!E37</f>
        <v>28</v>
      </c>
      <c r="F37" s="261">
        <f>'[9]Degree Days 2020'!F37</f>
        <v>17</v>
      </c>
      <c r="G37" s="261">
        <f>'[9]Degree Days 2020'!G37</f>
        <v>13</v>
      </c>
      <c r="H37" s="261">
        <f>'[9]Degree Days 2020'!H37</f>
        <v>-3.3000000000000007</v>
      </c>
      <c r="I37" s="261">
        <f>'[9]Degree Days 2020'!I37</f>
        <v>28</v>
      </c>
      <c r="J37" s="261">
        <f>'[9]Degree Days 2020'!J37</f>
        <v>17</v>
      </c>
      <c r="K37" s="261">
        <f>'[9]Degree Days 2020'!K37</f>
        <v>13</v>
      </c>
      <c r="L37" s="261">
        <f>'[9]Degree Days 2020'!L37</f>
        <v>-3.3000000000000007</v>
      </c>
      <c r="M37" s="261">
        <f>'[10]Degree Days 2020'!M37</f>
        <v>28</v>
      </c>
      <c r="N37" s="261">
        <f>'[11]General information '!B33</f>
        <v>26</v>
      </c>
      <c r="O37" s="261">
        <f>'[11]General information '!C33</f>
        <v>16</v>
      </c>
      <c r="P37" s="261">
        <f t="shared" si="0"/>
        <v>2.6999999999999993</v>
      </c>
      <c r="Q37" s="498">
        <v>28</v>
      </c>
      <c r="R37" s="261">
        <f>'[12]Degree Days 2020'!R37</f>
        <v>26</v>
      </c>
      <c r="S37" s="261">
        <f>'[12]Degree Days 2020'!S37</f>
        <v>23</v>
      </c>
      <c r="T37" s="261">
        <f t="shared" si="1"/>
        <v>6.1999999999999993</v>
      </c>
      <c r="U37" s="498">
        <v>28</v>
      </c>
      <c r="V37" s="261">
        <f>'[13]Degree Days 2020'!V37</f>
        <v>31</v>
      </c>
      <c r="W37" s="261">
        <f>'[13]Degree Days 2020'!W37</f>
        <v>28</v>
      </c>
      <c r="X37" s="261">
        <f t="shared" si="2"/>
        <v>11.2</v>
      </c>
    </row>
    <row r="38" spans="1:24">
      <c r="A38" s="117">
        <v>29</v>
      </c>
      <c r="B38" s="261">
        <f>'[9]Degree Days 2020'!B38</f>
        <v>16</v>
      </c>
      <c r="C38" s="261">
        <f>'[9]Degree Days 2020'!C38</f>
        <v>12</v>
      </c>
      <c r="D38" s="261">
        <f>'[9]Degree Days 2020'!D38</f>
        <v>-4.3000000000000007</v>
      </c>
      <c r="E38" s="261"/>
      <c r="F38" s="261"/>
      <c r="G38" s="261"/>
      <c r="H38" s="261"/>
      <c r="I38" s="261">
        <f>'[9]Degree Days 2020'!I38</f>
        <v>29</v>
      </c>
      <c r="J38" s="261">
        <f>'[9]Degree Days 2020'!J38</f>
        <v>17</v>
      </c>
      <c r="K38" s="261">
        <f>'[9]Degree Days 2020'!K38</f>
        <v>14</v>
      </c>
      <c r="L38" s="261">
        <f>'[9]Degree Days 2020'!L38</f>
        <v>-2.8000000000000007</v>
      </c>
      <c r="M38" s="261">
        <f>'[10]Degree Days 2020'!M38</f>
        <v>29</v>
      </c>
      <c r="N38" s="261">
        <f>'[11]General information '!B34</f>
        <v>29</v>
      </c>
      <c r="O38" s="261">
        <f>'[11]General information '!C34</f>
        <v>18</v>
      </c>
      <c r="P38" s="261">
        <f t="shared" si="0"/>
        <v>5.1999999999999993</v>
      </c>
      <c r="Q38" s="498">
        <v>29</v>
      </c>
      <c r="R38" s="261">
        <f>'[12]Degree Days 2020'!R38</f>
        <v>27</v>
      </c>
      <c r="S38" s="261">
        <f>'[12]Degree Days 2020'!S38</f>
        <v>22</v>
      </c>
      <c r="T38" s="261">
        <f t="shared" si="1"/>
        <v>6.1999999999999993</v>
      </c>
      <c r="U38" s="498">
        <v>29</v>
      </c>
      <c r="V38" s="261">
        <f>'[13]Degree Days 2020'!V38</f>
        <v>30</v>
      </c>
      <c r="W38" s="261">
        <f>'[13]Degree Days 2020'!W38</f>
        <v>28</v>
      </c>
      <c r="X38" s="261">
        <f t="shared" si="2"/>
        <v>10.7</v>
      </c>
    </row>
    <row r="39" spans="1:24">
      <c r="A39" s="117">
        <v>30</v>
      </c>
      <c r="B39" s="261">
        <f>'[9]Degree Days 2020'!B39</f>
        <v>10</v>
      </c>
      <c r="C39" s="261">
        <f>'[9]Degree Days 2020'!C39</f>
        <v>4</v>
      </c>
      <c r="D39" s="261">
        <f>'[9]Degree Days 2020'!D39</f>
        <v>-11.3</v>
      </c>
      <c r="E39" s="261"/>
      <c r="F39" s="261"/>
      <c r="G39" s="261"/>
      <c r="H39" s="261"/>
      <c r="I39" s="261">
        <f>'[9]Degree Days 2020'!I39</f>
        <v>30</v>
      </c>
      <c r="J39" s="261">
        <f>'[9]Degree Days 2020'!J39</f>
        <v>19</v>
      </c>
      <c r="K39" s="261">
        <f>'[9]Degree Days 2020'!K39</f>
        <v>13</v>
      </c>
      <c r="L39" s="261">
        <f>'[9]Degree Days 2020'!L39</f>
        <v>-2.3000000000000007</v>
      </c>
      <c r="M39" s="261">
        <f>'[10]Degree Days 2020'!M39</f>
        <v>30</v>
      </c>
      <c r="N39" s="261">
        <f>'[11]General information '!B35</f>
        <v>25</v>
      </c>
      <c r="O39" s="261">
        <f>'[11]General information '!C35</f>
        <v>21</v>
      </c>
      <c r="P39" s="261">
        <f t="shared" si="0"/>
        <v>4.6999999999999993</v>
      </c>
      <c r="Q39" s="498">
        <v>30</v>
      </c>
      <c r="R39" s="261">
        <f>'[12]Degree Days 2020'!R39</f>
        <v>27</v>
      </c>
      <c r="S39" s="261">
        <f>'[12]Degree Days 2020'!S39</f>
        <v>23</v>
      </c>
      <c r="T39" s="261">
        <f t="shared" si="1"/>
        <v>6.6999999999999993</v>
      </c>
      <c r="U39" s="498">
        <v>30</v>
      </c>
      <c r="V39" s="261">
        <f>'[13]Degree Days 2020'!V39</f>
        <v>0</v>
      </c>
      <c r="W39" s="261">
        <f>'[13]Degree Days 2020'!W39</f>
        <v>0</v>
      </c>
      <c r="X39" s="261">
        <f t="shared" si="2"/>
        <v>-18.3</v>
      </c>
    </row>
    <row r="40" spans="1:24">
      <c r="A40" s="117">
        <v>31</v>
      </c>
      <c r="B40" s="261">
        <f>'[9]Degree Days 2020'!B40</f>
        <v>21</v>
      </c>
      <c r="C40" s="261">
        <f>'[9]Degree Days 2020'!C40</f>
        <v>16</v>
      </c>
      <c r="D40" s="261">
        <f>'[9]Degree Days 2020'!D40</f>
        <v>0.19999999999999929</v>
      </c>
      <c r="E40" s="261"/>
      <c r="F40" s="261"/>
      <c r="G40" s="261"/>
      <c r="H40" s="261"/>
      <c r="I40" s="261">
        <f>'[9]Degree Days 2020'!I40</f>
        <v>31</v>
      </c>
      <c r="J40" s="261">
        <f>'[9]Degree Days 2020'!J40</f>
        <v>18</v>
      </c>
      <c r="K40" s="261">
        <f>'[9]Degree Days 2020'!K40</f>
        <v>13</v>
      </c>
      <c r="L40" s="261">
        <f>'[9]Degree Days 2020'!L40</f>
        <v>-2.8000000000000007</v>
      </c>
      <c r="M40" s="261"/>
      <c r="N40" s="261"/>
      <c r="O40" s="261"/>
      <c r="P40" s="261"/>
      <c r="Q40" s="498">
        <v>31</v>
      </c>
      <c r="R40" s="261">
        <f>'[12]Degree Days 2020'!R40</f>
        <v>27</v>
      </c>
      <c r="S40" s="261">
        <f>'[12]Degree Days 2020'!S40</f>
        <v>24</v>
      </c>
      <c r="T40" s="261">
        <f t="shared" si="1"/>
        <v>7.1999999999999993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'[6]Degree Days 2020'!B43</f>
        <v>-92.59999999999998</v>
      </c>
      <c r="C43" s="119">
        <f>'[6]Degree Days 2020'!C43</f>
        <v>2.7999999999999936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SUMIF(L10:L40,"&lt;0")</f>
        <v>-64.799999999999983</v>
      </c>
      <c r="K43" s="119">
        <f>SUMIF(L10:L40,"&gt;0")</f>
        <v>11.499999999999996</v>
      </c>
      <c r="L43" s="130"/>
      <c r="M43" s="129"/>
      <c r="N43" s="119">
        <f>SUMIF(P10:P39,"&lt;0")</f>
        <v>-30.300000000000008</v>
      </c>
      <c r="O43" s="119">
        <f>SUMIF(P10:P40,"&gt;0")</f>
        <v>55.300000000000026</v>
      </c>
      <c r="P43" s="130"/>
      <c r="Q43" s="129"/>
      <c r="R43" s="119">
        <f>SUMIF(T10:T40,"&lt;0")</f>
        <v>0</v>
      </c>
      <c r="S43" s="119">
        <f>SUMIF(T10:T40,"&gt;0")</f>
        <v>157.19999999999999</v>
      </c>
      <c r="T43" s="130"/>
      <c r="U43" s="129"/>
      <c r="V43" s="119">
        <f>SUMIF(X10:X39,"&lt;0")</f>
        <v>-18.3</v>
      </c>
      <c r="W43" s="119">
        <f>SUMIF(X10:X39,"&gt;0")</f>
        <v>208.79999999999993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'[14]Degree Days 2020'!B48</f>
        <v>0</v>
      </c>
      <c r="C48" s="261">
        <f>'[14]Degree Days 2020'!C48</f>
        <v>0</v>
      </c>
      <c r="D48" s="119">
        <f t="shared" ref="D48:D56" si="3">(B48+C48)/2-18.3</f>
        <v>-18.3</v>
      </c>
      <c r="E48" s="117">
        <v>1</v>
      </c>
      <c r="F48" s="261">
        <f>'[1]Degree Days 2020'!F48</f>
        <v>31</v>
      </c>
      <c r="G48" s="261">
        <f>'[1]Degree Days 2020'!G48</f>
        <v>27</v>
      </c>
      <c r="H48" s="119">
        <f t="shared" ref="H48:H78" si="4">(F48+G48)/2-18.3</f>
        <v>10.7</v>
      </c>
      <c r="I48" s="117">
        <v>1</v>
      </c>
      <c r="J48" s="261">
        <f>'[15]Degree Days 2020'!J48</f>
        <v>30</v>
      </c>
      <c r="K48" s="261">
        <f>'[15]Degree Days 2020'!K48</f>
        <v>26</v>
      </c>
      <c r="L48" s="119">
        <f>(J48+K48)/2-18.3</f>
        <v>9.6999999999999993</v>
      </c>
      <c r="M48" s="117">
        <v>1</v>
      </c>
      <c r="N48" s="261">
        <f>'[5]General information '!B5</f>
        <v>0</v>
      </c>
      <c r="O48" s="261">
        <f>'[5]General information '!C5</f>
        <v>0</v>
      </c>
      <c r="P48" s="119">
        <f>(N48+O48)/2-18.3</f>
        <v>-18.3</v>
      </c>
      <c r="Q48" s="117">
        <v>1</v>
      </c>
      <c r="R48" s="261">
        <f>'[2]General information '!B5</f>
        <v>30</v>
      </c>
      <c r="S48" s="261">
        <f>'[2]General information '!C5</f>
        <v>23</v>
      </c>
      <c r="T48" s="119">
        <f>(R48+S48)/2-18.3</f>
        <v>8.1999999999999993</v>
      </c>
      <c r="U48" s="117">
        <v>1</v>
      </c>
      <c r="V48" s="261">
        <f>'General information '!B5</f>
        <v>21</v>
      </c>
      <c r="W48" s="261">
        <f>'General information '!C5</f>
        <v>16</v>
      </c>
      <c r="X48" s="119">
        <f t="shared" ref="X48:X78" si="5">(V48+W48)/2-18.3</f>
        <v>0.19999999999999929</v>
      </c>
    </row>
    <row r="49" spans="1:24">
      <c r="A49" s="117">
        <v>2</v>
      </c>
      <c r="B49" s="261">
        <f>'[14]Degree Days 2020'!B49</f>
        <v>0</v>
      </c>
      <c r="C49" s="261">
        <f>'[14]Degree Days 2020'!C49</f>
        <v>0</v>
      </c>
      <c r="D49" s="119">
        <f t="shared" si="3"/>
        <v>-18.3</v>
      </c>
      <c r="E49" s="117">
        <v>2</v>
      </c>
      <c r="F49" s="261">
        <f>'[1]Degree Days 2020'!F49</f>
        <v>31</v>
      </c>
      <c r="G49" s="261">
        <f>'[1]Degree Days 2020'!G49</f>
        <v>26</v>
      </c>
      <c r="H49" s="119">
        <f t="shared" si="4"/>
        <v>10.199999999999999</v>
      </c>
      <c r="I49" s="117">
        <v>2</v>
      </c>
      <c r="J49" s="261">
        <f>'[15]Degree Days 2020'!J49</f>
        <v>31</v>
      </c>
      <c r="K49" s="261">
        <f>'[15]Degree Days 2020'!K49</f>
        <v>26</v>
      </c>
      <c r="L49" s="119">
        <f t="shared" ref="L49:L77" si="6">(J49+K49)/2-18.3</f>
        <v>10.199999999999999</v>
      </c>
      <c r="M49" s="117">
        <v>2</v>
      </c>
      <c r="N49" s="261">
        <f>'[5]General information '!B6</f>
        <v>0</v>
      </c>
      <c r="O49" s="261">
        <f>'[5]General information '!C6</f>
        <v>0</v>
      </c>
      <c r="P49" s="119">
        <f t="shared" ref="P49:P78" si="7">(N49+O49)/2-18.3</f>
        <v>-18.3</v>
      </c>
      <c r="Q49" s="117">
        <v>2</v>
      </c>
      <c r="R49" s="261">
        <f>'[2]General information '!B6</f>
        <v>25</v>
      </c>
      <c r="S49" s="261">
        <f>'[2]General information '!C6</f>
        <v>22</v>
      </c>
      <c r="T49" s="119">
        <f t="shared" ref="T49:T77" si="8">(R49+S49)/2-18.3</f>
        <v>5.1999999999999993</v>
      </c>
      <c r="U49" s="117">
        <v>2</v>
      </c>
      <c r="V49" s="261">
        <f>'General information '!B6</f>
        <v>20</v>
      </c>
      <c r="W49" s="261">
        <f>'General information '!C6</f>
        <v>16</v>
      </c>
      <c r="X49" s="119">
        <f t="shared" si="5"/>
        <v>-0.30000000000000071</v>
      </c>
    </row>
    <row r="50" spans="1:24">
      <c r="A50" s="117">
        <v>3</v>
      </c>
      <c r="B50" s="261">
        <f>'[14]Degree Days 2020'!B50</f>
        <v>0</v>
      </c>
      <c r="C50" s="261">
        <f>'[14]Degree Days 2020'!C50</f>
        <v>0</v>
      </c>
      <c r="D50" s="119">
        <f t="shared" si="3"/>
        <v>-18.3</v>
      </c>
      <c r="E50" s="117">
        <v>3</v>
      </c>
      <c r="F50" s="261">
        <f>'[1]Degree Days 2020'!F50</f>
        <v>31</v>
      </c>
      <c r="G50" s="261">
        <f>'[1]Degree Days 2020'!G50</f>
        <v>26</v>
      </c>
      <c r="H50" s="119">
        <f t="shared" si="4"/>
        <v>10.199999999999999</v>
      </c>
      <c r="I50" s="117">
        <v>3</v>
      </c>
      <c r="J50" s="261">
        <f>'[15]Degree Days 2020'!J50</f>
        <v>0</v>
      </c>
      <c r="K50" s="261">
        <f>'[15]Degree Days 2020'!K50</f>
        <v>0</v>
      </c>
      <c r="L50" s="119">
        <f t="shared" si="6"/>
        <v>-18.3</v>
      </c>
      <c r="M50" s="117">
        <v>3</v>
      </c>
      <c r="N50" s="261">
        <f>'[5]General information '!B7</f>
        <v>28</v>
      </c>
      <c r="O50" s="261">
        <f>'[5]General information '!C7</f>
        <v>24</v>
      </c>
      <c r="P50" s="119">
        <f t="shared" si="7"/>
        <v>7.6999999999999993</v>
      </c>
      <c r="Q50" s="117">
        <v>3</v>
      </c>
      <c r="R50" s="261">
        <f>'[2]General information '!B7</f>
        <v>25</v>
      </c>
      <c r="S50" s="261">
        <f>'[2]General information '!C7</f>
        <v>20</v>
      </c>
      <c r="T50" s="119">
        <f t="shared" si="8"/>
        <v>4.1999999999999993</v>
      </c>
      <c r="U50" s="117">
        <v>3</v>
      </c>
      <c r="V50" s="261">
        <f>'General information '!B7</f>
        <v>0</v>
      </c>
      <c r="W50" s="261">
        <f>'General information '!C7</f>
        <v>0</v>
      </c>
      <c r="X50" s="119">
        <f t="shared" si="5"/>
        <v>-18.3</v>
      </c>
    </row>
    <row r="51" spans="1:24">
      <c r="A51" s="117">
        <v>4</v>
      </c>
      <c r="B51" s="261">
        <f>'[14]Degree Days 2020'!B51</f>
        <v>0</v>
      </c>
      <c r="C51" s="261">
        <f>'[14]Degree Days 2020'!C51</f>
        <v>0</v>
      </c>
      <c r="D51" s="119">
        <f t="shared" si="3"/>
        <v>-18.3</v>
      </c>
      <c r="E51" s="117">
        <v>4</v>
      </c>
      <c r="F51" s="261">
        <f>'[1]Degree Days 2020'!F51</f>
        <v>32</v>
      </c>
      <c r="G51" s="261">
        <f>'[1]Degree Days 2020'!G51</f>
        <v>28</v>
      </c>
      <c r="H51" s="119">
        <f t="shared" si="4"/>
        <v>11.7</v>
      </c>
      <c r="I51" s="117">
        <v>4</v>
      </c>
      <c r="J51" s="261">
        <f>'[15]Degree Days 2020'!J51</f>
        <v>0</v>
      </c>
      <c r="K51" s="261">
        <f>'[15]Degree Days 2020'!K51</f>
        <v>0</v>
      </c>
      <c r="L51" s="119">
        <f t="shared" si="6"/>
        <v>-18.3</v>
      </c>
      <c r="M51" s="117">
        <v>4</v>
      </c>
      <c r="N51" s="261">
        <f>'[5]General information '!B8</f>
        <v>28</v>
      </c>
      <c r="O51" s="261">
        <f>'[5]General information '!C8</f>
        <v>23</v>
      </c>
      <c r="P51" s="119">
        <f t="shared" si="7"/>
        <v>7.1999999999999993</v>
      </c>
      <c r="Q51" s="117">
        <v>4</v>
      </c>
      <c r="R51" s="261">
        <f>'[2]General information '!B8</f>
        <v>25</v>
      </c>
      <c r="S51" s="261">
        <f>'[2]General information '!C8</f>
        <v>20</v>
      </c>
      <c r="T51" s="119">
        <f t="shared" si="8"/>
        <v>4.1999999999999993</v>
      </c>
      <c r="U51" s="117">
        <v>4</v>
      </c>
      <c r="V51" s="261">
        <f>'General information '!B8</f>
        <v>0</v>
      </c>
      <c r="W51" s="261">
        <f>'General information '!C8</f>
        <v>0</v>
      </c>
      <c r="X51" s="119">
        <f t="shared" si="5"/>
        <v>-18.3</v>
      </c>
    </row>
    <row r="52" spans="1:24">
      <c r="A52" s="117">
        <v>5</v>
      </c>
      <c r="B52" s="261">
        <f>'[14]Degree Days 2020'!B52</f>
        <v>30</v>
      </c>
      <c r="C52" s="261">
        <f>'[14]Degree Days 2020'!C52</f>
        <v>27</v>
      </c>
      <c r="D52" s="119">
        <f t="shared" si="3"/>
        <v>10.199999999999999</v>
      </c>
      <c r="E52" s="117">
        <v>5</v>
      </c>
      <c r="F52" s="261">
        <f>'[1]Degree Days 2020'!F52</f>
        <v>31</v>
      </c>
      <c r="G52" s="261">
        <f>'[1]Degree Days 2020'!G52</f>
        <v>28</v>
      </c>
      <c r="H52" s="119">
        <f t="shared" si="4"/>
        <v>11.2</v>
      </c>
      <c r="I52" s="117">
        <v>5</v>
      </c>
      <c r="J52" s="261">
        <f>'[15]Degree Days 2020'!J52</f>
        <v>31</v>
      </c>
      <c r="K52" s="261">
        <f>'[15]Degree Days 2020'!K52</f>
        <v>26</v>
      </c>
      <c r="L52" s="119">
        <f t="shared" si="6"/>
        <v>10.199999999999999</v>
      </c>
      <c r="M52" s="117">
        <v>5</v>
      </c>
      <c r="N52" s="261">
        <f>'[5]General information '!B9</f>
        <v>28</v>
      </c>
      <c r="O52" s="261">
        <f>'[5]General information '!C9</f>
        <v>23</v>
      </c>
      <c r="P52" s="119">
        <f t="shared" si="7"/>
        <v>7.1999999999999993</v>
      </c>
      <c r="Q52" s="117">
        <v>5</v>
      </c>
      <c r="R52" s="261">
        <f>'[2]General information '!B9</f>
        <v>0</v>
      </c>
      <c r="S52" s="261">
        <f>'[2]General information '!C9</f>
        <v>0</v>
      </c>
      <c r="T52" s="119">
        <f t="shared" si="8"/>
        <v>-18.3</v>
      </c>
      <c r="U52" s="117">
        <v>5</v>
      </c>
      <c r="V52" s="261">
        <f>'General information '!B9</f>
        <v>23</v>
      </c>
      <c r="W52" s="261">
        <f>'General information '!C9</f>
        <v>17</v>
      </c>
      <c r="X52" s="119">
        <f t="shared" si="5"/>
        <v>1.6999999999999993</v>
      </c>
    </row>
    <row r="53" spans="1:24">
      <c r="A53" s="117">
        <v>6</v>
      </c>
      <c r="B53" s="261">
        <f>'[14]Degree Days 2020'!B53</f>
        <v>30</v>
      </c>
      <c r="C53" s="261">
        <f>'[14]Degree Days 2020'!C53</f>
        <v>27</v>
      </c>
      <c r="D53" s="119">
        <f t="shared" si="3"/>
        <v>10.199999999999999</v>
      </c>
      <c r="E53" s="117">
        <v>6</v>
      </c>
      <c r="F53" s="261">
        <f>'[1]Degree Days 2020'!F53</f>
        <v>0</v>
      </c>
      <c r="G53" s="261">
        <f>'[1]Degree Days 2020'!G53</f>
        <v>0</v>
      </c>
      <c r="H53" s="119">
        <f t="shared" si="4"/>
        <v>-18.3</v>
      </c>
      <c r="I53" s="117">
        <v>6</v>
      </c>
      <c r="J53" s="261">
        <f>'[15]Degree Days 2020'!J53</f>
        <v>30</v>
      </c>
      <c r="K53" s="261">
        <f>'[15]Degree Days 2020'!K53</f>
        <v>26</v>
      </c>
      <c r="L53" s="119">
        <f t="shared" si="6"/>
        <v>9.6999999999999993</v>
      </c>
      <c r="M53" s="117">
        <v>6</v>
      </c>
      <c r="N53" s="261">
        <f>'[5]General information '!B10</f>
        <v>28</v>
      </c>
      <c r="O53" s="261">
        <f>'[5]General information '!C10</f>
        <v>23</v>
      </c>
      <c r="P53" s="119">
        <f t="shared" si="7"/>
        <v>7.1999999999999993</v>
      </c>
      <c r="Q53" s="117">
        <v>6</v>
      </c>
      <c r="R53" s="261">
        <f>'[2]General information '!B10</f>
        <v>0</v>
      </c>
      <c r="S53" s="261">
        <f>'[2]General information '!C10</f>
        <v>0</v>
      </c>
      <c r="T53" s="119">
        <f t="shared" si="8"/>
        <v>-18.3</v>
      </c>
      <c r="U53" s="117">
        <v>6</v>
      </c>
      <c r="V53" s="261">
        <f>'General information '!B10</f>
        <v>22</v>
      </c>
      <c r="W53" s="261">
        <f>'General information '!C10</f>
        <v>16</v>
      </c>
      <c r="X53" s="119">
        <f t="shared" si="5"/>
        <v>0.69999999999999929</v>
      </c>
    </row>
    <row r="54" spans="1:24">
      <c r="A54" s="117">
        <v>7</v>
      </c>
      <c r="B54" s="261">
        <f>'[14]Degree Days 2020'!B54</f>
        <v>30</v>
      </c>
      <c r="C54" s="261">
        <f>'[14]Degree Days 2020'!C54</f>
        <v>24</v>
      </c>
      <c r="D54" s="119">
        <f t="shared" si="3"/>
        <v>8.6999999999999993</v>
      </c>
      <c r="E54" s="117">
        <v>7</v>
      </c>
      <c r="F54" s="261">
        <f>'[1]Degree Days 2020'!F54</f>
        <v>0</v>
      </c>
      <c r="G54" s="261">
        <f>'[1]Degree Days 2020'!G54</f>
        <v>0</v>
      </c>
      <c r="H54" s="119">
        <f t="shared" si="4"/>
        <v>-18.3</v>
      </c>
      <c r="I54" s="117">
        <v>7</v>
      </c>
      <c r="J54" s="261">
        <f>'[15]Degree Days 2020'!J54</f>
        <v>31</v>
      </c>
      <c r="K54" s="261">
        <f>'[15]Degree Days 2020'!K54</f>
        <v>26</v>
      </c>
      <c r="L54" s="119">
        <f t="shared" si="6"/>
        <v>10.199999999999999</v>
      </c>
      <c r="M54" s="117">
        <v>7</v>
      </c>
      <c r="N54" s="261">
        <f>'[5]General information '!B11</f>
        <v>28</v>
      </c>
      <c r="O54" s="261">
        <f>'[5]General information '!C11</f>
        <v>22</v>
      </c>
      <c r="P54" s="119">
        <f t="shared" si="7"/>
        <v>6.6999999999999993</v>
      </c>
      <c r="Q54" s="117">
        <v>7</v>
      </c>
      <c r="R54" s="261">
        <f>'[2]General information '!B11</f>
        <v>26</v>
      </c>
      <c r="S54" s="261">
        <f>'[2]General information '!C11</f>
        <v>20</v>
      </c>
      <c r="T54" s="119">
        <f t="shared" si="8"/>
        <v>4.6999999999999993</v>
      </c>
      <c r="U54" s="117">
        <v>7</v>
      </c>
      <c r="V54" s="261">
        <f>'General information '!B11</f>
        <v>23</v>
      </c>
      <c r="W54" s="261">
        <f>'General information '!C11</f>
        <v>16</v>
      </c>
      <c r="X54" s="119">
        <f t="shared" si="5"/>
        <v>1.1999999999999993</v>
      </c>
    </row>
    <row r="55" spans="1:24">
      <c r="A55" s="117">
        <v>8</v>
      </c>
      <c r="B55" s="261">
        <f>'[14]Degree Days 2020'!B55</f>
        <v>29</v>
      </c>
      <c r="C55" s="261">
        <f>'[14]Degree Days 2020'!C55</f>
        <v>26</v>
      </c>
      <c r="D55" s="119">
        <f t="shared" si="3"/>
        <v>9.1999999999999993</v>
      </c>
      <c r="E55" s="117">
        <v>8</v>
      </c>
      <c r="F55" s="261">
        <f>'[1]Degree Days 2020'!F55</f>
        <v>0</v>
      </c>
      <c r="G55" s="261">
        <f>'[1]Degree Days 2020'!G55</f>
        <v>0</v>
      </c>
      <c r="H55" s="119">
        <f t="shared" si="4"/>
        <v>-18.3</v>
      </c>
      <c r="I55" s="117">
        <v>8</v>
      </c>
      <c r="J55" s="261">
        <f>'[15]Degree Days 2020'!J55</f>
        <v>29</v>
      </c>
      <c r="K55" s="261">
        <f>'[15]Degree Days 2020'!K55</f>
        <v>25</v>
      </c>
      <c r="L55" s="119">
        <f t="shared" si="6"/>
        <v>8.6999999999999993</v>
      </c>
      <c r="M55" s="117">
        <v>8</v>
      </c>
      <c r="N55" s="261">
        <f>'[5]General information '!B12</f>
        <v>0</v>
      </c>
      <c r="O55" s="261">
        <f>'[5]General information '!C12</f>
        <v>0</v>
      </c>
      <c r="P55" s="119">
        <f t="shared" si="7"/>
        <v>-18.3</v>
      </c>
      <c r="Q55" s="117">
        <v>8</v>
      </c>
      <c r="R55" s="261">
        <f>'[2]General information '!B12</f>
        <v>26</v>
      </c>
      <c r="S55" s="261">
        <f>'[2]General information '!C12</f>
        <v>19</v>
      </c>
      <c r="T55" s="119">
        <f t="shared" si="8"/>
        <v>4.1999999999999993</v>
      </c>
      <c r="U55" s="117">
        <v>8</v>
      </c>
      <c r="V55" s="261">
        <f>'General information '!B12</f>
        <v>20</v>
      </c>
      <c r="W55" s="261">
        <f>'General information '!C12</f>
        <v>13</v>
      </c>
      <c r="X55" s="119">
        <f t="shared" si="5"/>
        <v>-1.8000000000000007</v>
      </c>
    </row>
    <row r="56" spans="1:24">
      <c r="A56" s="117">
        <v>9</v>
      </c>
      <c r="B56" s="261">
        <f>'[14]Degree Days 2020'!B56</f>
        <v>30</v>
      </c>
      <c r="C56" s="261">
        <f>'[14]Degree Days 2020'!C56</f>
        <v>28</v>
      </c>
      <c r="D56" s="119">
        <f t="shared" si="3"/>
        <v>10.7</v>
      </c>
      <c r="E56" s="117">
        <v>9</v>
      </c>
      <c r="F56" s="261">
        <f>'[1]Degree Days 2020'!F56</f>
        <v>0</v>
      </c>
      <c r="G56" s="261">
        <f>'[1]Degree Days 2020'!G56</f>
        <v>0</v>
      </c>
      <c r="H56" s="119">
        <f t="shared" si="4"/>
        <v>-18.3</v>
      </c>
      <c r="I56" s="117">
        <v>9</v>
      </c>
      <c r="J56" s="261">
        <f>'[15]Degree Days 2020'!J56</f>
        <v>29</v>
      </c>
      <c r="K56" s="261">
        <f>'[15]Degree Days 2020'!K56</f>
        <v>25</v>
      </c>
      <c r="L56" s="119">
        <f t="shared" si="6"/>
        <v>8.6999999999999993</v>
      </c>
      <c r="M56" s="117">
        <v>9</v>
      </c>
      <c r="N56" s="261">
        <f>'[5]General information '!B13</f>
        <v>0</v>
      </c>
      <c r="O56" s="261">
        <f>'[5]General information '!C13</f>
        <v>0</v>
      </c>
      <c r="P56" s="119">
        <f t="shared" si="7"/>
        <v>-18.3</v>
      </c>
      <c r="Q56" s="117">
        <v>9</v>
      </c>
      <c r="R56" s="261">
        <f>'[2]General information '!B13</f>
        <v>28</v>
      </c>
      <c r="S56" s="261">
        <f>'[2]General information '!C13</f>
        <v>20</v>
      </c>
      <c r="T56" s="119">
        <f t="shared" si="8"/>
        <v>5.6999999999999993</v>
      </c>
      <c r="U56" s="117">
        <v>9</v>
      </c>
      <c r="V56" s="261">
        <f>'General information '!B13</f>
        <v>19</v>
      </c>
      <c r="W56" s="261">
        <f>'General information '!C13</f>
        <v>15</v>
      </c>
      <c r="X56" s="119">
        <f t="shared" si="5"/>
        <v>-1.3000000000000007</v>
      </c>
    </row>
    <row r="57" spans="1:24">
      <c r="A57" s="117">
        <v>10</v>
      </c>
      <c r="B57" s="261">
        <f>'[14]Degree Days 2020'!B57</f>
        <v>31</v>
      </c>
      <c r="C57" s="261">
        <f>'[14]Degree Days 2020'!C57</f>
        <v>28</v>
      </c>
      <c r="D57" s="119">
        <f t="shared" ref="D57:D78" si="9">(B57+C57)/2-18.3</f>
        <v>11.2</v>
      </c>
      <c r="E57" s="117">
        <v>10</v>
      </c>
      <c r="F57" s="261">
        <f>'[1]Degree Days 2020'!F57</f>
        <v>0</v>
      </c>
      <c r="G57" s="261">
        <f>'[1]Degree Days 2020'!G57</f>
        <v>0</v>
      </c>
      <c r="H57" s="119">
        <f t="shared" si="4"/>
        <v>-18.3</v>
      </c>
      <c r="I57" s="117">
        <v>10</v>
      </c>
      <c r="J57" s="261">
        <f>'[15]Degree Days 2020'!J57</f>
        <v>0</v>
      </c>
      <c r="K57" s="261">
        <f>'[15]Degree Days 2020'!K57</f>
        <v>0</v>
      </c>
      <c r="L57" s="119">
        <f t="shared" si="6"/>
        <v>-18.3</v>
      </c>
      <c r="M57" s="117">
        <v>10</v>
      </c>
      <c r="N57" s="261">
        <f>'[5]General information '!B14</f>
        <v>29</v>
      </c>
      <c r="O57" s="261">
        <f>'[5]General information '!C14</f>
        <v>23</v>
      </c>
      <c r="P57" s="119">
        <f t="shared" si="7"/>
        <v>7.6999999999999993</v>
      </c>
      <c r="Q57" s="117">
        <v>10</v>
      </c>
      <c r="R57" s="261">
        <f>'[2]General information '!B14</f>
        <v>26</v>
      </c>
      <c r="S57" s="261">
        <f>'[2]General information '!C14</f>
        <v>19</v>
      </c>
      <c r="T57" s="119">
        <f t="shared" si="8"/>
        <v>4.1999999999999993</v>
      </c>
      <c r="U57" s="117">
        <v>10</v>
      </c>
      <c r="V57" s="261">
        <f>'General information '!B14</f>
        <v>0</v>
      </c>
      <c r="W57" s="261">
        <f>'General information '!C14</f>
        <v>0</v>
      </c>
      <c r="X57" s="119">
        <f t="shared" si="5"/>
        <v>-18.3</v>
      </c>
    </row>
    <row r="58" spans="1:24">
      <c r="A58" s="117">
        <v>11</v>
      </c>
      <c r="B58" s="261">
        <f>'[14]Degree Days 2020'!B58</f>
        <v>30</v>
      </c>
      <c r="C58" s="261">
        <f>'[14]Degree Days 2020'!C58</f>
        <v>26</v>
      </c>
      <c r="D58" s="119">
        <f t="shared" si="9"/>
        <v>9.6999999999999993</v>
      </c>
      <c r="E58" s="117">
        <v>11</v>
      </c>
      <c r="F58" s="261">
        <f>'[1]Degree Days 2020'!F58</f>
        <v>29</v>
      </c>
      <c r="G58" s="261">
        <f>'[1]Degree Days 2020'!G58</f>
        <v>29</v>
      </c>
      <c r="H58" s="119">
        <f t="shared" si="4"/>
        <v>10.7</v>
      </c>
      <c r="I58" s="117">
        <v>11</v>
      </c>
      <c r="J58" s="261">
        <f>'[15]Degree Days 2020'!J58</f>
        <v>0</v>
      </c>
      <c r="K58" s="261">
        <f>'[15]Degree Days 2020'!K58</f>
        <v>0</v>
      </c>
      <c r="L58" s="119">
        <f t="shared" si="6"/>
        <v>-18.3</v>
      </c>
      <c r="M58" s="117">
        <v>11</v>
      </c>
      <c r="N58" s="261">
        <f>'[5]General information '!B15</f>
        <v>27</v>
      </c>
      <c r="O58" s="261">
        <f>'[5]General information '!C15</f>
        <v>23</v>
      </c>
      <c r="P58" s="119">
        <f t="shared" si="7"/>
        <v>6.6999999999999993</v>
      </c>
      <c r="Q58" s="117">
        <v>11</v>
      </c>
      <c r="R58" s="261">
        <f>'[2]General information '!B15</f>
        <v>24</v>
      </c>
      <c r="S58" s="261">
        <f>'[2]General information '!C15</f>
        <v>13</v>
      </c>
      <c r="T58" s="119">
        <f t="shared" si="8"/>
        <v>0.19999999999999929</v>
      </c>
      <c r="U58" s="117">
        <v>11</v>
      </c>
      <c r="V58" s="261">
        <f>'General information '!B15</f>
        <v>0</v>
      </c>
      <c r="W58" s="261">
        <f>'General information '!C15</f>
        <v>0</v>
      </c>
      <c r="X58" s="119">
        <f t="shared" si="5"/>
        <v>-18.3</v>
      </c>
    </row>
    <row r="59" spans="1:24">
      <c r="A59" s="117">
        <v>12</v>
      </c>
      <c r="B59" s="261">
        <f>'[14]Degree Days 2020'!B59</f>
        <v>31</v>
      </c>
      <c r="C59" s="261">
        <f>'[14]Degree Days 2020'!C59</f>
        <v>26</v>
      </c>
      <c r="D59" s="119">
        <f t="shared" si="9"/>
        <v>10.199999999999999</v>
      </c>
      <c r="E59" s="117">
        <v>12</v>
      </c>
      <c r="F59" s="261">
        <f>'[1]Degree Days 2020'!F59</f>
        <v>29</v>
      </c>
      <c r="G59" s="261">
        <f>'[1]Degree Days 2020'!G59</f>
        <v>32</v>
      </c>
      <c r="H59" s="119">
        <f t="shared" si="4"/>
        <v>12.2</v>
      </c>
      <c r="I59" s="117">
        <v>12</v>
      </c>
      <c r="J59" s="261">
        <f>'[15]Degree Days 2020'!J59</f>
        <v>0</v>
      </c>
      <c r="K59" s="261">
        <f>'[15]Degree Days 2020'!K59</f>
        <v>0</v>
      </c>
      <c r="L59" s="119">
        <f t="shared" si="6"/>
        <v>-18.3</v>
      </c>
      <c r="M59" s="117">
        <v>12</v>
      </c>
      <c r="N59" s="261">
        <f>'[5]General information '!B16</f>
        <v>28</v>
      </c>
      <c r="O59" s="261">
        <f>'[5]General information '!C16</f>
        <v>22</v>
      </c>
      <c r="P59" s="119">
        <f t="shared" si="7"/>
        <v>6.6999999999999993</v>
      </c>
      <c r="Q59" s="117">
        <v>12</v>
      </c>
      <c r="R59" s="261">
        <f>'[2]General information '!B16</f>
        <v>0</v>
      </c>
      <c r="S59" s="261">
        <f>'[2]General information '!C16</f>
        <v>0</v>
      </c>
      <c r="T59" s="119">
        <f t="shared" si="8"/>
        <v>-18.3</v>
      </c>
      <c r="U59" s="117">
        <v>12</v>
      </c>
      <c r="V59" s="261">
        <f>'General information '!B16</f>
        <v>0</v>
      </c>
      <c r="W59" s="261">
        <f>'General information '!C16</f>
        <v>0</v>
      </c>
      <c r="X59" s="119">
        <f t="shared" si="5"/>
        <v>-18.3</v>
      </c>
    </row>
    <row r="60" spans="1:24">
      <c r="A60" s="117">
        <v>13</v>
      </c>
      <c r="B60" s="261">
        <f>'[14]Degree Days 2020'!B60</f>
        <v>31</v>
      </c>
      <c r="C60" s="261">
        <f>'[14]Degree Days 2020'!C60</f>
        <v>27</v>
      </c>
      <c r="D60" s="119">
        <f t="shared" si="9"/>
        <v>10.7</v>
      </c>
      <c r="E60" s="117">
        <v>13</v>
      </c>
      <c r="F60" s="261">
        <f>'[1]Degree Days 2020'!F60</f>
        <v>0</v>
      </c>
      <c r="G60" s="261">
        <f>'[1]Degree Days 2020'!G60</f>
        <v>0</v>
      </c>
      <c r="H60" s="119">
        <f t="shared" si="4"/>
        <v>-18.3</v>
      </c>
      <c r="I60" s="117">
        <v>13</v>
      </c>
      <c r="J60" s="261">
        <f>'[15]Degree Days 2020'!J60</f>
        <v>29</v>
      </c>
      <c r="K60" s="261">
        <f>'[15]Degree Days 2020'!K60</f>
        <v>25</v>
      </c>
      <c r="L60" s="119">
        <f t="shared" si="6"/>
        <v>8.6999999999999993</v>
      </c>
      <c r="M60" s="117">
        <v>13</v>
      </c>
      <c r="N60" s="261">
        <f>'[5]General information '!B17</f>
        <v>0</v>
      </c>
      <c r="O60" s="261">
        <f>'[5]General information '!C17</f>
        <v>0</v>
      </c>
      <c r="P60" s="119">
        <f t="shared" si="7"/>
        <v>-18.3</v>
      </c>
      <c r="Q60" s="117">
        <v>13</v>
      </c>
      <c r="R60" s="261">
        <f>'[2]General information '!B17</f>
        <v>0</v>
      </c>
      <c r="S60" s="261">
        <f>'[2]General information '!C17</f>
        <v>0</v>
      </c>
      <c r="T60" s="119">
        <f t="shared" si="8"/>
        <v>-18.3</v>
      </c>
      <c r="U60" s="117">
        <v>13</v>
      </c>
      <c r="V60" s="261">
        <f>'General information '!B17</f>
        <v>0</v>
      </c>
      <c r="W60" s="261">
        <f>'General information '!C17</f>
        <v>0</v>
      </c>
      <c r="X60" s="119">
        <f t="shared" si="5"/>
        <v>-18.3</v>
      </c>
    </row>
    <row r="61" spans="1:24">
      <c r="A61" s="117">
        <v>14</v>
      </c>
      <c r="B61" s="261">
        <f>'[14]Degree Days 2020'!B61</f>
        <v>30</v>
      </c>
      <c r="C61" s="261">
        <f>'[14]Degree Days 2020'!C61</f>
        <v>26</v>
      </c>
      <c r="D61" s="119">
        <f t="shared" si="9"/>
        <v>9.6999999999999993</v>
      </c>
      <c r="E61" s="117">
        <v>14</v>
      </c>
      <c r="F61" s="261">
        <f>'[1]Degree Days 2020'!F61</f>
        <v>0</v>
      </c>
      <c r="G61" s="261">
        <f>'[1]Degree Days 2020'!G61</f>
        <v>0</v>
      </c>
      <c r="H61" s="119">
        <f t="shared" si="4"/>
        <v>-18.3</v>
      </c>
      <c r="I61" s="117">
        <v>14</v>
      </c>
      <c r="J61" s="261">
        <f>'[15]Degree Days 2020'!J61</f>
        <v>30</v>
      </c>
      <c r="K61" s="261">
        <f>'[15]Degree Days 2020'!K61</f>
        <v>25</v>
      </c>
      <c r="L61" s="119">
        <f t="shared" si="6"/>
        <v>9.1999999999999993</v>
      </c>
      <c r="M61" s="117">
        <v>14</v>
      </c>
      <c r="N61" s="261">
        <f>'[5]General information '!B18</f>
        <v>0</v>
      </c>
      <c r="O61" s="261">
        <f>'[5]General information '!C18</f>
        <v>0</v>
      </c>
      <c r="P61" s="119">
        <f t="shared" si="7"/>
        <v>-18.3</v>
      </c>
      <c r="Q61" s="117">
        <v>14</v>
      </c>
      <c r="R61" s="261">
        <f>'[2]General information '!B18</f>
        <v>25</v>
      </c>
      <c r="S61" s="261">
        <f>'[2]General information '!C18</f>
        <v>20</v>
      </c>
      <c r="T61" s="119">
        <f t="shared" si="8"/>
        <v>4.1999999999999993</v>
      </c>
      <c r="U61" s="117">
        <v>14</v>
      </c>
      <c r="V61" s="261">
        <f>'General information '!B18</f>
        <v>0</v>
      </c>
      <c r="W61" s="261">
        <f>'General information '!C18</f>
        <v>0</v>
      </c>
      <c r="X61" s="119">
        <f t="shared" si="5"/>
        <v>-18.3</v>
      </c>
    </row>
    <row r="62" spans="1:24">
      <c r="A62" s="117">
        <v>15</v>
      </c>
      <c r="B62" s="261">
        <f>'[14]Degree Days 2020'!B62</f>
        <v>28</v>
      </c>
      <c r="C62" s="261">
        <f>'[14]Degree Days 2020'!C62</f>
        <v>26</v>
      </c>
      <c r="D62" s="119">
        <f t="shared" si="9"/>
        <v>8.6999999999999993</v>
      </c>
      <c r="E62" s="117">
        <v>15</v>
      </c>
      <c r="F62" s="261">
        <f>'[1]Degree Days 2020'!F62</f>
        <v>0</v>
      </c>
      <c r="G62" s="261">
        <f>'[1]Degree Days 2020'!G62</f>
        <v>0</v>
      </c>
      <c r="H62" s="119">
        <f t="shared" si="4"/>
        <v>-18.3</v>
      </c>
      <c r="I62" s="117">
        <v>15</v>
      </c>
      <c r="J62" s="261">
        <f>'[15]Degree Days 2020'!J62</f>
        <v>29</v>
      </c>
      <c r="K62" s="261">
        <f>'[15]Degree Days 2020'!K62</f>
        <v>24</v>
      </c>
      <c r="L62" s="119">
        <f t="shared" si="6"/>
        <v>8.1999999999999993</v>
      </c>
      <c r="M62" s="117">
        <v>15</v>
      </c>
      <c r="N62" s="261">
        <f>'[5]General information '!B19</f>
        <v>0</v>
      </c>
      <c r="O62" s="261">
        <f>'[5]General information '!C19</f>
        <v>0</v>
      </c>
      <c r="P62" s="119">
        <f t="shared" si="7"/>
        <v>-18.3</v>
      </c>
      <c r="Q62" s="117">
        <v>15</v>
      </c>
      <c r="R62" s="261">
        <f>'[2]General information '!B19</f>
        <v>27</v>
      </c>
      <c r="S62" s="261">
        <f>'[2]General information '!C19</f>
        <v>21</v>
      </c>
      <c r="T62" s="119">
        <f t="shared" si="8"/>
        <v>5.6999999999999993</v>
      </c>
      <c r="U62" s="117">
        <v>15</v>
      </c>
      <c r="V62" s="261">
        <f>'General information '!B19</f>
        <v>0</v>
      </c>
      <c r="W62" s="261">
        <f>'General information '!C19</f>
        <v>0</v>
      </c>
      <c r="X62" s="119">
        <f t="shared" si="5"/>
        <v>-18.3</v>
      </c>
    </row>
    <row r="63" spans="1:24">
      <c r="A63" s="117">
        <v>16</v>
      </c>
      <c r="B63" s="261">
        <f>'[14]Degree Days 2020'!B63</f>
        <v>30</v>
      </c>
      <c r="C63" s="261">
        <f>'[14]Degree Days 2020'!C63</f>
        <v>26</v>
      </c>
      <c r="D63" s="119">
        <f t="shared" si="9"/>
        <v>9.6999999999999993</v>
      </c>
      <c r="E63" s="117">
        <v>16</v>
      </c>
      <c r="F63" s="261">
        <f>'[1]Degree Days 2020'!F63</f>
        <v>0</v>
      </c>
      <c r="G63" s="261">
        <f>'[1]Degree Days 2020'!G63</f>
        <v>0</v>
      </c>
      <c r="H63" s="119">
        <f t="shared" si="4"/>
        <v>-18.3</v>
      </c>
      <c r="I63" s="117">
        <v>16</v>
      </c>
      <c r="J63" s="261">
        <f>'[15]Degree Days 2020'!J63</f>
        <v>30</v>
      </c>
      <c r="K63" s="261">
        <f>'[15]Degree Days 2020'!K63</f>
        <v>26</v>
      </c>
      <c r="L63" s="119">
        <f t="shared" si="6"/>
        <v>9.6999999999999993</v>
      </c>
      <c r="M63" s="117">
        <v>16</v>
      </c>
      <c r="N63" s="261">
        <f>'[5]General information '!B20</f>
        <v>0</v>
      </c>
      <c r="O63" s="261">
        <f>'[5]General information '!C20</f>
        <v>0</v>
      </c>
      <c r="P63" s="119">
        <f t="shared" si="7"/>
        <v>-18.3</v>
      </c>
      <c r="Q63" s="117">
        <v>16</v>
      </c>
      <c r="R63" s="261">
        <f>'[2]General information '!B20</f>
        <v>24</v>
      </c>
      <c r="S63" s="261">
        <f>'[2]General information '!C20</f>
        <v>19</v>
      </c>
      <c r="T63" s="119">
        <f t="shared" si="8"/>
        <v>3.1999999999999993</v>
      </c>
      <c r="U63" s="117">
        <v>16</v>
      </c>
      <c r="V63" s="261">
        <f>'General information '!B20</f>
        <v>0</v>
      </c>
      <c r="W63" s="261">
        <f>'General information '!C20</f>
        <v>0</v>
      </c>
      <c r="X63" s="119">
        <f t="shared" si="5"/>
        <v>-18.3</v>
      </c>
    </row>
    <row r="64" spans="1:24">
      <c r="A64" s="117">
        <v>17</v>
      </c>
      <c r="B64" s="261">
        <f>'[14]Degree Days 2020'!B64</f>
        <v>30</v>
      </c>
      <c r="C64" s="261">
        <f>'[14]Degree Days 2020'!C64</f>
        <v>26</v>
      </c>
      <c r="D64" s="119">
        <f t="shared" si="9"/>
        <v>9.6999999999999993</v>
      </c>
      <c r="E64" s="117">
        <v>17</v>
      </c>
      <c r="F64" s="261">
        <f>'[1]Degree Days 2020'!F64</f>
        <v>29</v>
      </c>
      <c r="G64" s="261">
        <f>'[1]Degree Days 2020'!G64</f>
        <v>32</v>
      </c>
      <c r="H64" s="119">
        <f t="shared" si="4"/>
        <v>12.2</v>
      </c>
      <c r="I64" s="117">
        <v>17</v>
      </c>
      <c r="J64" s="261">
        <f>'[15]Degree Days 2020'!J64</f>
        <v>28</v>
      </c>
      <c r="K64" s="261">
        <f>'[15]Degree Days 2020'!K64</f>
        <v>23</v>
      </c>
      <c r="L64" s="119">
        <f t="shared" si="6"/>
        <v>7.1999999999999993</v>
      </c>
      <c r="M64" s="117">
        <v>17</v>
      </c>
      <c r="N64" s="261">
        <f>'[5]General information '!B21</f>
        <v>0</v>
      </c>
      <c r="O64" s="261">
        <f>'[5]General information '!C21</f>
        <v>0</v>
      </c>
      <c r="P64" s="119">
        <f t="shared" si="7"/>
        <v>-18.3</v>
      </c>
      <c r="Q64" s="117">
        <v>17</v>
      </c>
      <c r="R64" s="261">
        <f>'[2]General information '!B21</f>
        <v>26</v>
      </c>
      <c r="S64" s="261">
        <f>'[2]General information '!C21</f>
        <v>19</v>
      </c>
      <c r="T64" s="119">
        <f t="shared" si="8"/>
        <v>4.1999999999999993</v>
      </c>
      <c r="U64" s="117">
        <v>17</v>
      </c>
      <c r="V64" s="261">
        <f>'General information '!B21</f>
        <v>0</v>
      </c>
      <c r="W64" s="261">
        <f>'General information '!C21</f>
        <v>0</v>
      </c>
      <c r="X64" s="119">
        <f t="shared" si="5"/>
        <v>-18.3</v>
      </c>
    </row>
    <row r="65" spans="1:24">
      <c r="A65" s="117">
        <v>18</v>
      </c>
      <c r="B65" s="261">
        <f>'[14]Degree Days 2020'!B65</f>
        <v>30</v>
      </c>
      <c r="C65" s="261">
        <f>'[14]Degree Days 2020'!C65</f>
        <v>25</v>
      </c>
      <c r="D65" s="119">
        <f t="shared" si="9"/>
        <v>9.1999999999999993</v>
      </c>
      <c r="E65" s="117">
        <v>18</v>
      </c>
      <c r="F65" s="261">
        <f>'[1]Degree Days 2020'!F65</f>
        <v>0</v>
      </c>
      <c r="G65" s="261">
        <f>'[1]Degree Days 2020'!G65</f>
        <v>0</v>
      </c>
      <c r="H65" s="119">
        <f t="shared" si="4"/>
        <v>-18.3</v>
      </c>
      <c r="I65" s="117">
        <v>18</v>
      </c>
      <c r="J65" s="261">
        <f>'[15]Degree Days 2020'!J65</f>
        <v>0</v>
      </c>
      <c r="K65" s="261">
        <f>'[15]Degree Days 2020'!K65</f>
        <v>0</v>
      </c>
      <c r="L65" s="119">
        <f t="shared" si="6"/>
        <v>-18.3</v>
      </c>
      <c r="M65" s="117">
        <v>18</v>
      </c>
      <c r="N65" s="261">
        <f>'[5]General information '!B22</f>
        <v>26</v>
      </c>
      <c r="O65" s="261">
        <f>'[5]General information '!C22</f>
        <v>22</v>
      </c>
      <c r="P65" s="119">
        <f t="shared" si="7"/>
        <v>5.6999999999999993</v>
      </c>
      <c r="Q65" s="117">
        <v>18</v>
      </c>
      <c r="R65" s="261">
        <f>'[2]General information '!B22</f>
        <v>23</v>
      </c>
      <c r="S65" s="261">
        <f>'[2]General information '!C22</f>
        <v>18</v>
      </c>
      <c r="T65" s="119">
        <f t="shared" si="8"/>
        <v>2.1999999999999993</v>
      </c>
      <c r="U65" s="117">
        <v>18</v>
      </c>
      <c r="V65" s="261">
        <f>'General information '!B22</f>
        <v>0</v>
      </c>
      <c r="W65" s="261">
        <f>'General information '!C22</f>
        <v>0</v>
      </c>
      <c r="X65" s="119">
        <f t="shared" si="5"/>
        <v>-18.3</v>
      </c>
    </row>
    <row r="66" spans="1:24">
      <c r="A66" s="117">
        <v>19</v>
      </c>
      <c r="B66" s="261">
        <f>'[14]Degree Days 2020'!B66</f>
        <v>31</v>
      </c>
      <c r="C66" s="261">
        <f>'[14]Degree Days 2020'!C66</f>
        <v>26</v>
      </c>
      <c r="D66" s="119">
        <f t="shared" si="9"/>
        <v>10.199999999999999</v>
      </c>
      <c r="E66" s="117">
        <v>19</v>
      </c>
      <c r="F66" s="261">
        <f>'[1]Degree Days 2020'!F66</f>
        <v>0</v>
      </c>
      <c r="G66" s="261">
        <f>'[1]Degree Days 2020'!G66</f>
        <v>0</v>
      </c>
      <c r="H66" s="119">
        <f t="shared" si="4"/>
        <v>-18.3</v>
      </c>
      <c r="I66" s="117">
        <v>19</v>
      </c>
      <c r="J66" s="261">
        <f>'[15]Degree Days 2020'!J66</f>
        <v>29</v>
      </c>
      <c r="K66" s="261">
        <f>'[15]Degree Days 2020'!K66</f>
        <v>24</v>
      </c>
      <c r="L66" s="119">
        <f t="shared" si="6"/>
        <v>8.1999999999999993</v>
      </c>
      <c r="M66" s="117">
        <v>19</v>
      </c>
      <c r="N66" s="261">
        <f>'[5]General information '!B23</f>
        <v>26</v>
      </c>
      <c r="O66" s="261">
        <f>'[5]General information '!C23</f>
        <v>22</v>
      </c>
      <c r="P66" s="119">
        <f t="shared" si="7"/>
        <v>5.6999999999999993</v>
      </c>
      <c r="Q66" s="117">
        <v>19</v>
      </c>
      <c r="R66" s="261">
        <f>'[2]General information '!B23</f>
        <v>0</v>
      </c>
      <c r="S66" s="261">
        <f>'[2]General information '!C23</f>
        <v>0</v>
      </c>
      <c r="T66" s="119">
        <f t="shared" si="8"/>
        <v>-18.3</v>
      </c>
      <c r="U66" s="117">
        <v>19</v>
      </c>
      <c r="V66" s="261">
        <f>'General information '!B23</f>
        <v>0</v>
      </c>
      <c r="W66" s="261">
        <f>'General information '!C23</f>
        <v>0</v>
      </c>
      <c r="X66" s="119">
        <f t="shared" si="5"/>
        <v>-18.3</v>
      </c>
    </row>
    <row r="67" spans="1:24">
      <c r="A67" s="117">
        <v>20</v>
      </c>
      <c r="B67" s="261">
        <f>'[14]Degree Days 2020'!B67</f>
        <v>31</v>
      </c>
      <c r="C67" s="261">
        <f>'[14]Degree Days 2020'!C67</f>
        <v>27</v>
      </c>
      <c r="D67" s="119">
        <f t="shared" si="9"/>
        <v>10.7</v>
      </c>
      <c r="E67" s="117">
        <v>20</v>
      </c>
      <c r="F67" s="261">
        <f>'[1]Degree Days 2020'!F67</f>
        <v>0</v>
      </c>
      <c r="G67" s="261">
        <f>'[1]Degree Days 2020'!G67</f>
        <v>0</v>
      </c>
      <c r="H67" s="119">
        <f t="shared" si="4"/>
        <v>-18.3</v>
      </c>
      <c r="I67" s="117">
        <v>20</v>
      </c>
      <c r="J67" s="261">
        <f>'[15]Degree Days 2020'!J67</f>
        <v>29</v>
      </c>
      <c r="K67" s="261">
        <f>'[15]Degree Days 2020'!K67</f>
        <v>25</v>
      </c>
      <c r="L67" s="119">
        <f t="shared" si="6"/>
        <v>8.6999999999999993</v>
      </c>
      <c r="M67" s="117">
        <v>20</v>
      </c>
      <c r="N67" s="261">
        <f>'[5]General information '!B24</f>
        <v>26</v>
      </c>
      <c r="O67" s="261">
        <f>'[5]General information '!C24</f>
        <v>21</v>
      </c>
      <c r="P67" s="119">
        <f t="shared" si="7"/>
        <v>5.1999999999999993</v>
      </c>
      <c r="Q67" s="117">
        <v>20</v>
      </c>
      <c r="R67" s="261">
        <f>'[2]General information '!B24</f>
        <v>0</v>
      </c>
      <c r="S67" s="261">
        <f>'[2]General information '!C24</f>
        <v>0</v>
      </c>
      <c r="T67" s="119">
        <f t="shared" si="8"/>
        <v>-18.3</v>
      </c>
      <c r="U67" s="117">
        <v>20</v>
      </c>
      <c r="V67" s="261">
        <f>'General information '!B24</f>
        <v>0</v>
      </c>
      <c r="W67" s="261">
        <f>'General information '!C24</f>
        <v>0</v>
      </c>
      <c r="X67" s="119">
        <f t="shared" si="5"/>
        <v>-18.3</v>
      </c>
    </row>
    <row r="68" spans="1:24">
      <c r="A68" s="117">
        <v>21</v>
      </c>
      <c r="B68" s="261">
        <f>'[14]Degree Days 2020'!B68</f>
        <v>31</v>
      </c>
      <c r="C68" s="261">
        <f>'[14]Degree Days 2020'!C68</f>
        <v>26</v>
      </c>
      <c r="D68" s="119">
        <f t="shared" si="9"/>
        <v>10.199999999999999</v>
      </c>
      <c r="E68" s="117">
        <v>21</v>
      </c>
      <c r="F68" s="261">
        <f>'[1]Degree Days 2020'!F68</f>
        <v>0</v>
      </c>
      <c r="G68" s="261">
        <f>'[1]Degree Days 2020'!G68</f>
        <v>0</v>
      </c>
      <c r="H68" s="119">
        <f t="shared" si="4"/>
        <v>-18.3</v>
      </c>
      <c r="I68" s="117">
        <v>21</v>
      </c>
      <c r="J68" s="261">
        <f>'[15]Degree Days 2020'!J68</f>
        <v>30</v>
      </c>
      <c r="K68" s="261">
        <f>'[15]Degree Days 2020'!K68</f>
        <v>25</v>
      </c>
      <c r="L68" s="119">
        <f t="shared" si="6"/>
        <v>9.1999999999999993</v>
      </c>
      <c r="M68" s="117">
        <v>21</v>
      </c>
      <c r="N68" s="261">
        <f>'[5]General information '!B25</f>
        <v>27</v>
      </c>
      <c r="O68" s="261">
        <f>'[5]General information '!C25</f>
        <v>21</v>
      </c>
      <c r="P68" s="119">
        <f t="shared" si="7"/>
        <v>5.6999999999999993</v>
      </c>
      <c r="Q68" s="117">
        <v>21</v>
      </c>
      <c r="R68" s="261">
        <f>'[2]General information '!B25</f>
        <v>0</v>
      </c>
      <c r="S68" s="261">
        <f>'[2]General information '!C25</f>
        <v>0</v>
      </c>
      <c r="T68" s="119">
        <f t="shared" si="8"/>
        <v>-18.3</v>
      </c>
      <c r="U68" s="117">
        <v>21</v>
      </c>
      <c r="V68" s="261">
        <f>'General information '!B25</f>
        <v>0</v>
      </c>
      <c r="W68" s="261">
        <f>'General information '!C25</f>
        <v>0</v>
      </c>
      <c r="X68" s="119">
        <f t="shared" si="5"/>
        <v>-18.3</v>
      </c>
    </row>
    <row r="69" spans="1:24">
      <c r="A69" s="117">
        <v>22</v>
      </c>
      <c r="B69" s="261">
        <f>'[14]Degree Days 2020'!B69</f>
        <v>0</v>
      </c>
      <c r="C69" s="261">
        <f>'[14]Degree Days 2020'!C69</f>
        <v>0</v>
      </c>
      <c r="D69" s="119">
        <f t="shared" si="9"/>
        <v>-18.3</v>
      </c>
      <c r="E69" s="117">
        <v>22</v>
      </c>
      <c r="F69" s="261">
        <f>'[1]Degree Days 2020'!F69</f>
        <v>28</v>
      </c>
      <c r="G69" s="261">
        <f>'[1]Degree Days 2020'!G69</f>
        <v>31</v>
      </c>
      <c r="H69" s="119">
        <f t="shared" si="4"/>
        <v>11.2</v>
      </c>
      <c r="I69" s="117">
        <v>22</v>
      </c>
      <c r="J69" s="261">
        <f>'[15]Degree Days 2020'!J69</f>
        <v>31</v>
      </c>
      <c r="K69" s="261">
        <f>'[15]Degree Days 2020'!K69</f>
        <v>25</v>
      </c>
      <c r="L69" s="119">
        <f t="shared" si="6"/>
        <v>9.6999999999999993</v>
      </c>
      <c r="M69" s="117">
        <v>22</v>
      </c>
      <c r="N69" s="261">
        <f>'[5]General information '!B26</f>
        <v>0</v>
      </c>
      <c r="O69" s="261">
        <f>'[5]General information '!C26</f>
        <v>0</v>
      </c>
      <c r="P69" s="119">
        <f t="shared" si="7"/>
        <v>-18.3</v>
      </c>
      <c r="Q69" s="117">
        <v>22</v>
      </c>
      <c r="R69" s="261">
        <f>'[2]General information '!B26</f>
        <v>24</v>
      </c>
      <c r="S69" s="261">
        <f>'[2]General information '!C26</f>
        <v>17</v>
      </c>
      <c r="T69" s="119">
        <f>(R69+S69)/2-18.3</f>
        <v>2.1999999999999993</v>
      </c>
      <c r="U69" s="117">
        <v>22</v>
      </c>
      <c r="V69" s="261">
        <f>'General information '!B26</f>
        <v>0</v>
      </c>
      <c r="W69" s="261">
        <f>'General information '!C26</f>
        <v>0</v>
      </c>
      <c r="X69" s="119">
        <f t="shared" si="5"/>
        <v>-18.3</v>
      </c>
    </row>
    <row r="70" spans="1:24">
      <c r="A70" s="117">
        <v>23</v>
      </c>
      <c r="B70" s="261">
        <f>'[14]Degree Days 2020'!B70</f>
        <v>0</v>
      </c>
      <c r="C70" s="261">
        <f>'[14]Degree Days 2020'!C70</f>
        <v>0</v>
      </c>
      <c r="D70" s="119">
        <f t="shared" si="9"/>
        <v>-18.3</v>
      </c>
      <c r="E70" s="117">
        <v>23</v>
      </c>
      <c r="F70" s="261">
        <f>'[1]Degree Days 2020'!F70</f>
        <v>31</v>
      </c>
      <c r="G70" s="261">
        <f>'[1]Degree Days 2020'!G70</f>
        <v>28</v>
      </c>
      <c r="H70" s="119">
        <f t="shared" si="4"/>
        <v>11.2</v>
      </c>
      <c r="I70" s="117">
        <v>23</v>
      </c>
      <c r="J70" s="261">
        <f>'[15]Degree Days 2020'!J70</f>
        <v>0</v>
      </c>
      <c r="K70" s="261">
        <f>'[15]Degree Days 2020'!K70</f>
        <v>0</v>
      </c>
      <c r="L70" s="119">
        <f t="shared" si="6"/>
        <v>-18.3</v>
      </c>
      <c r="M70" s="117">
        <v>23</v>
      </c>
      <c r="N70" s="261">
        <f>'[5]General information '!B27</f>
        <v>0</v>
      </c>
      <c r="O70" s="261">
        <f>'[5]General information '!C27</f>
        <v>0</v>
      </c>
      <c r="P70" s="119">
        <f t="shared" si="7"/>
        <v>-18.3</v>
      </c>
      <c r="Q70" s="117">
        <v>23</v>
      </c>
      <c r="R70" s="261">
        <f>'[2]General information '!B27</f>
        <v>23</v>
      </c>
      <c r="S70" s="261">
        <f>'[2]General information '!C27</f>
        <v>16</v>
      </c>
      <c r="T70" s="119">
        <f t="shared" si="8"/>
        <v>1.1999999999999993</v>
      </c>
      <c r="U70" s="117">
        <v>23</v>
      </c>
      <c r="V70" s="261">
        <f>'General information '!B27</f>
        <v>0</v>
      </c>
      <c r="W70" s="261">
        <f>'General information '!C27</f>
        <v>0</v>
      </c>
      <c r="X70" s="119">
        <f t="shared" si="5"/>
        <v>-18.3</v>
      </c>
    </row>
    <row r="71" spans="1:24">
      <c r="A71" s="117">
        <v>24</v>
      </c>
      <c r="B71" s="261">
        <f>'[14]Degree Days 2020'!B71</f>
        <v>0</v>
      </c>
      <c r="C71" s="261">
        <f>'[14]Degree Days 2020'!C71</f>
        <v>0</v>
      </c>
      <c r="D71" s="119">
        <f t="shared" si="9"/>
        <v>-18.3</v>
      </c>
      <c r="E71" s="117">
        <v>24</v>
      </c>
      <c r="F71" s="261">
        <f>'[1]Degree Days 2020'!F71</f>
        <v>30</v>
      </c>
      <c r="G71" s="261">
        <f>'[1]Degree Days 2020'!G71</f>
        <v>26</v>
      </c>
      <c r="H71" s="119">
        <f t="shared" si="4"/>
        <v>9.6999999999999993</v>
      </c>
      <c r="I71" s="117">
        <v>24</v>
      </c>
      <c r="J71" s="261">
        <f>'[15]Degree Days 2020'!J71</f>
        <v>0</v>
      </c>
      <c r="K71" s="261">
        <f>'[15]Degree Days 2020'!K71</f>
        <v>0</v>
      </c>
      <c r="L71" s="119">
        <f t="shared" si="6"/>
        <v>-18.3</v>
      </c>
      <c r="M71" s="117">
        <v>24</v>
      </c>
      <c r="N71" s="261">
        <f>'[5]General information '!B28</f>
        <v>26</v>
      </c>
      <c r="O71" s="261">
        <f>'[5]General information '!C28</f>
        <v>21</v>
      </c>
      <c r="P71" s="119">
        <f t="shared" si="7"/>
        <v>5.1999999999999993</v>
      </c>
      <c r="Q71" s="117">
        <v>24</v>
      </c>
      <c r="R71" s="261">
        <f>'[2]General information '!B28</f>
        <v>23</v>
      </c>
      <c r="S71" s="261">
        <f>'[2]General information '!C28</f>
        <v>17</v>
      </c>
      <c r="T71" s="119">
        <f t="shared" si="8"/>
        <v>1.6999999999999993</v>
      </c>
      <c r="U71" s="117">
        <v>24</v>
      </c>
      <c r="V71" s="261">
        <f>'General information '!B28</f>
        <v>0</v>
      </c>
      <c r="W71" s="261">
        <f>'General information '!C28</f>
        <v>0</v>
      </c>
      <c r="X71" s="119">
        <f t="shared" si="5"/>
        <v>-18.3</v>
      </c>
    </row>
    <row r="72" spans="1:24">
      <c r="A72" s="117">
        <v>25</v>
      </c>
      <c r="B72" s="261">
        <f>'[14]Degree Days 2020'!B72</f>
        <v>0</v>
      </c>
      <c r="C72" s="261">
        <f>'[14]Degree Days 2020'!C72</f>
        <v>0</v>
      </c>
      <c r="D72" s="119">
        <f t="shared" si="9"/>
        <v>-18.3</v>
      </c>
      <c r="E72" s="117">
        <v>25</v>
      </c>
      <c r="F72" s="261">
        <f>'[1]Degree Days 2020'!F72</f>
        <v>30</v>
      </c>
      <c r="G72" s="261">
        <f>'[1]Degree Days 2020'!G72</f>
        <v>26</v>
      </c>
      <c r="H72" s="119">
        <f t="shared" si="4"/>
        <v>9.6999999999999993</v>
      </c>
      <c r="I72" s="117">
        <v>25</v>
      </c>
      <c r="J72" s="261">
        <f>'[15]Degree Days 2020'!J72</f>
        <v>0</v>
      </c>
      <c r="K72" s="261">
        <f>'[15]Degree Days 2020'!K72</f>
        <v>0</v>
      </c>
      <c r="L72" s="119">
        <f t="shared" si="6"/>
        <v>-18.3</v>
      </c>
      <c r="M72" s="117">
        <v>25</v>
      </c>
      <c r="N72" s="261">
        <f>'[5]General information '!B29</f>
        <v>25</v>
      </c>
      <c r="O72" s="261">
        <f>'[5]General information '!C29</f>
        <v>21</v>
      </c>
      <c r="P72" s="119">
        <f t="shared" si="7"/>
        <v>4.6999999999999993</v>
      </c>
      <c r="Q72" s="117">
        <v>25</v>
      </c>
      <c r="R72" s="261">
        <f>'[2]General information '!B29</f>
        <v>22</v>
      </c>
      <c r="S72" s="261">
        <f>'[2]General information '!C29</f>
        <v>18</v>
      </c>
      <c r="T72" s="119">
        <f t="shared" si="8"/>
        <v>1.6999999999999993</v>
      </c>
      <c r="U72" s="117">
        <v>25</v>
      </c>
      <c r="V72" s="261">
        <f>'General information '!B29</f>
        <v>0</v>
      </c>
      <c r="W72" s="261">
        <f>'General information '!C29</f>
        <v>0</v>
      </c>
      <c r="X72" s="119">
        <f t="shared" si="5"/>
        <v>-18.3</v>
      </c>
    </row>
    <row r="73" spans="1:24">
      <c r="A73" s="117">
        <v>26</v>
      </c>
      <c r="B73" s="261">
        <f>'[14]Degree Days 2020'!B73</f>
        <v>0</v>
      </c>
      <c r="C73" s="261">
        <f>'[14]Degree Days 2020'!C73</f>
        <v>0</v>
      </c>
      <c r="D73" s="119">
        <f t="shared" si="9"/>
        <v>-18.3</v>
      </c>
      <c r="E73" s="117">
        <v>26</v>
      </c>
      <c r="F73" s="261">
        <f>'[1]Degree Days 2020'!F73</f>
        <v>30</v>
      </c>
      <c r="G73" s="261">
        <f>'[1]Degree Days 2020'!G73</f>
        <v>28</v>
      </c>
      <c r="H73" s="119">
        <f t="shared" si="4"/>
        <v>10.7</v>
      </c>
      <c r="I73" s="117">
        <v>26</v>
      </c>
      <c r="J73" s="261">
        <f>'[15]Degree Days 2020'!J73</f>
        <v>28</v>
      </c>
      <c r="K73" s="261">
        <f>'[15]Degree Days 2020'!K73</f>
        <v>23</v>
      </c>
      <c r="L73" s="119">
        <f t="shared" si="6"/>
        <v>7.1999999999999993</v>
      </c>
      <c r="M73" s="117">
        <v>26</v>
      </c>
      <c r="N73" s="261">
        <f>'[5]General information '!B30</f>
        <v>26</v>
      </c>
      <c r="O73" s="261">
        <f>'[5]General information '!C30</f>
        <v>21</v>
      </c>
      <c r="P73" s="119">
        <f t="shared" si="7"/>
        <v>5.1999999999999993</v>
      </c>
      <c r="Q73" s="117">
        <v>26</v>
      </c>
      <c r="R73" s="261">
        <f>'[2]General information '!B30</f>
        <v>0</v>
      </c>
      <c r="S73" s="261">
        <f>'[2]General information '!C30</f>
        <v>0</v>
      </c>
      <c r="T73" s="119">
        <f t="shared" si="8"/>
        <v>-18.3</v>
      </c>
      <c r="U73" s="117">
        <v>26</v>
      </c>
      <c r="V73" s="261">
        <f>'General information '!B30</f>
        <v>0</v>
      </c>
      <c r="W73" s="261">
        <f>'General information '!C30</f>
        <v>0</v>
      </c>
      <c r="X73" s="119">
        <f t="shared" si="5"/>
        <v>-18.3</v>
      </c>
    </row>
    <row r="74" spans="1:24">
      <c r="A74" s="117">
        <v>27</v>
      </c>
      <c r="B74" s="261">
        <f>'[14]Degree Days 2020'!B74</f>
        <v>31</v>
      </c>
      <c r="C74" s="261">
        <f>'[14]Degree Days 2020'!C74</f>
        <v>26</v>
      </c>
      <c r="D74" s="119">
        <f t="shared" si="9"/>
        <v>10.199999999999999</v>
      </c>
      <c r="E74" s="117">
        <v>27</v>
      </c>
      <c r="F74" s="261">
        <f>'[1]Degree Days 2020'!F74</f>
        <v>0</v>
      </c>
      <c r="G74" s="261">
        <f>'[1]Degree Days 2020'!G74</f>
        <v>0</v>
      </c>
      <c r="H74" s="119">
        <f t="shared" si="4"/>
        <v>-18.3</v>
      </c>
      <c r="I74" s="117">
        <v>27</v>
      </c>
      <c r="J74" s="261">
        <f>'[15]Degree Days 2020'!J74</f>
        <v>0</v>
      </c>
      <c r="K74" s="261">
        <f>'[15]Degree Days 2020'!K74</f>
        <v>0</v>
      </c>
      <c r="L74" s="119">
        <f t="shared" si="6"/>
        <v>-18.3</v>
      </c>
      <c r="M74" s="117">
        <v>27</v>
      </c>
      <c r="N74" s="261">
        <f>'[5]General information '!B31</f>
        <v>26</v>
      </c>
      <c r="O74" s="261">
        <f>'[5]General information '!C31</f>
        <v>21</v>
      </c>
      <c r="P74" s="119">
        <f t="shared" si="7"/>
        <v>5.1999999999999993</v>
      </c>
      <c r="Q74" s="117">
        <v>27</v>
      </c>
      <c r="R74" s="261">
        <f>'[2]General information '!B31</f>
        <v>0</v>
      </c>
      <c r="S74" s="261">
        <f>'[2]General information '!C31</f>
        <v>0</v>
      </c>
      <c r="T74" s="119">
        <f t="shared" si="8"/>
        <v>-18.3</v>
      </c>
      <c r="U74" s="117">
        <v>27</v>
      </c>
      <c r="V74" s="261">
        <f>'General information '!B31</f>
        <v>0</v>
      </c>
      <c r="W74" s="261">
        <f>'General information '!C31</f>
        <v>0</v>
      </c>
      <c r="X74" s="119">
        <f t="shared" si="5"/>
        <v>-18.3</v>
      </c>
    </row>
    <row r="75" spans="1:24">
      <c r="A75" s="117">
        <v>28</v>
      </c>
      <c r="B75" s="261">
        <f>'[14]Degree Days 2020'!B75</f>
        <v>32</v>
      </c>
      <c r="C75" s="261">
        <f>'[14]Degree Days 2020'!C75</f>
        <v>29</v>
      </c>
      <c r="D75" s="119">
        <f t="shared" si="9"/>
        <v>12.2</v>
      </c>
      <c r="E75" s="117">
        <v>28</v>
      </c>
      <c r="F75" s="261">
        <f>'[1]Degree Days 2020'!F75</f>
        <v>0</v>
      </c>
      <c r="G75" s="261">
        <f>'[1]Degree Days 2020'!G75</f>
        <v>0</v>
      </c>
      <c r="H75" s="119">
        <f t="shared" si="4"/>
        <v>-18.3</v>
      </c>
      <c r="I75" s="117">
        <v>28</v>
      </c>
      <c r="J75" s="261">
        <f>'[15]Degree Days 2020'!J75</f>
        <v>28</v>
      </c>
      <c r="K75" s="261">
        <f>'[15]Degree Days 2020'!K75</f>
        <v>24</v>
      </c>
      <c r="L75" s="119">
        <f t="shared" si="6"/>
        <v>7.6999999999999993</v>
      </c>
      <c r="M75" s="117">
        <v>28</v>
      </c>
      <c r="N75" s="261">
        <f>'[5]General information '!B32</f>
        <v>28</v>
      </c>
      <c r="O75" s="261">
        <f>'[5]General information '!C32</f>
        <v>20</v>
      </c>
      <c r="P75" s="119">
        <f t="shared" si="7"/>
        <v>5.6999999999999993</v>
      </c>
      <c r="Q75" s="117">
        <v>28</v>
      </c>
      <c r="R75" s="261">
        <f>'[2]General information '!B32</f>
        <v>25</v>
      </c>
      <c r="S75" s="261">
        <f>'[2]General information '!C32</f>
        <v>18</v>
      </c>
      <c r="T75" s="119">
        <f t="shared" si="8"/>
        <v>3.1999999999999993</v>
      </c>
      <c r="U75" s="117">
        <v>28</v>
      </c>
      <c r="V75" s="261">
        <f>'General information '!B32</f>
        <v>0</v>
      </c>
      <c r="W75" s="261">
        <f>'General information '!C32</f>
        <v>0</v>
      </c>
      <c r="X75" s="119">
        <f t="shared" si="5"/>
        <v>-18.3</v>
      </c>
    </row>
    <row r="76" spans="1:24">
      <c r="A76" s="117">
        <v>29</v>
      </c>
      <c r="B76" s="261">
        <f>'[14]Degree Days 2020'!B76</f>
        <v>32</v>
      </c>
      <c r="C76" s="261">
        <f>'[14]Degree Days 2020'!C76</f>
        <v>27</v>
      </c>
      <c r="D76" s="119">
        <f t="shared" si="9"/>
        <v>11.2</v>
      </c>
      <c r="E76" s="117">
        <v>29</v>
      </c>
      <c r="F76" s="261">
        <f>'[1]Degree Days 2020'!F76</f>
        <v>0</v>
      </c>
      <c r="G76" s="261">
        <f>'[1]Degree Days 2020'!G76</f>
        <v>0</v>
      </c>
      <c r="H76" s="119">
        <f t="shared" si="4"/>
        <v>-18.3</v>
      </c>
      <c r="I76" s="117">
        <v>29</v>
      </c>
      <c r="J76" s="261">
        <f>'[15]Degree Days 2020'!J76</f>
        <v>28</v>
      </c>
      <c r="K76" s="261">
        <f>'[15]Degree Days 2020'!K76</f>
        <v>25</v>
      </c>
      <c r="L76" s="119">
        <f t="shared" si="6"/>
        <v>8.1999999999999993</v>
      </c>
      <c r="M76" s="117">
        <v>29</v>
      </c>
      <c r="N76" s="261">
        <f>'[5]General information '!B33</f>
        <v>0</v>
      </c>
      <c r="O76" s="261">
        <f>'[5]General information '!C33</f>
        <v>0</v>
      </c>
      <c r="P76" s="119">
        <f t="shared" si="7"/>
        <v>-18.3</v>
      </c>
      <c r="Q76" s="117">
        <v>29</v>
      </c>
      <c r="R76" s="261">
        <f>'[2]General information '!B33</f>
        <v>25</v>
      </c>
      <c r="S76" s="261">
        <f>'[2]General information '!C33</f>
        <v>18</v>
      </c>
      <c r="T76" s="119">
        <f t="shared" si="8"/>
        <v>3.1999999999999993</v>
      </c>
      <c r="U76" s="117">
        <v>29</v>
      </c>
      <c r="V76" s="261">
        <f>'General information '!B33</f>
        <v>0</v>
      </c>
      <c r="W76" s="261">
        <f>'General information '!C33</f>
        <v>0</v>
      </c>
      <c r="X76" s="119">
        <f t="shared" si="5"/>
        <v>-18.3</v>
      </c>
    </row>
    <row r="77" spans="1:24">
      <c r="A77" s="117">
        <v>30</v>
      </c>
      <c r="B77" s="261">
        <f>'[14]Degree Days 2020'!B77</f>
        <v>31</v>
      </c>
      <c r="C77" s="261">
        <f>'[14]Degree Days 2020'!C77</f>
        <v>29</v>
      </c>
      <c r="D77" s="119">
        <f t="shared" si="9"/>
        <v>11.7</v>
      </c>
      <c r="E77" s="117">
        <v>30</v>
      </c>
      <c r="F77" s="261">
        <f>'[1]Degree Days 2020'!F77</f>
        <v>31</v>
      </c>
      <c r="G77" s="261">
        <f>'[1]Degree Days 2020'!G77</f>
        <v>26</v>
      </c>
      <c r="H77" s="119">
        <f t="shared" si="4"/>
        <v>10.199999999999999</v>
      </c>
      <c r="I77" s="117">
        <v>30</v>
      </c>
      <c r="J77" s="261">
        <f>'[15]Degree Days 2020'!J77</f>
        <v>28</v>
      </c>
      <c r="K77" s="261">
        <f>'[15]Degree Days 2020'!K77</f>
        <v>24</v>
      </c>
      <c r="L77" s="119">
        <f t="shared" si="6"/>
        <v>7.6999999999999993</v>
      </c>
      <c r="M77" s="117">
        <v>30</v>
      </c>
      <c r="N77" s="261">
        <f>'[5]General information '!B34</f>
        <v>0</v>
      </c>
      <c r="O77" s="261">
        <f>'[5]General information '!C34</f>
        <v>0</v>
      </c>
      <c r="P77" s="119">
        <f t="shared" si="7"/>
        <v>-18.3</v>
      </c>
      <c r="Q77" s="117">
        <v>30</v>
      </c>
      <c r="R77" s="261">
        <f>'[2]General information '!B34</f>
        <v>28</v>
      </c>
      <c r="S77" s="261">
        <f>'[2]General information '!C34</f>
        <v>19</v>
      </c>
      <c r="T77" s="119">
        <f t="shared" si="8"/>
        <v>5.1999999999999993</v>
      </c>
      <c r="U77" s="117">
        <v>30</v>
      </c>
      <c r="V77" s="261">
        <f>'General information '!B34</f>
        <v>0</v>
      </c>
      <c r="W77" s="261">
        <f>'General information '!C34</f>
        <v>0</v>
      </c>
      <c r="X77" s="119">
        <f t="shared" si="5"/>
        <v>-18.3</v>
      </c>
    </row>
    <row r="78" spans="1:24">
      <c r="A78" s="120">
        <v>31</v>
      </c>
      <c r="B78" s="261">
        <f>'[14]Degree Days 2020'!B78</f>
        <v>31</v>
      </c>
      <c r="C78" s="261">
        <f>'[14]Degree Days 2020'!C78</f>
        <v>28</v>
      </c>
      <c r="D78" s="119">
        <f t="shared" si="9"/>
        <v>11.2</v>
      </c>
      <c r="E78" s="120">
        <v>31</v>
      </c>
      <c r="F78" s="261">
        <f>'[1]Degree Days 2020'!F78</f>
        <v>31</v>
      </c>
      <c r="G78" s="261">
        <f>'[1]Degree Days 2020'!G78</f>
        <v>27</v>
      </c>
      <c r="H78" s="119">
        <f t="shared" si="4"/>
        <v>10.7</v>
      </c>
      <c r="I78" s="120"/>
      <c r="J78" s="261"/>
      <c r="K78" s="261"/>
      <c r="L78" s="122"/>
      <c r="M78" s="120">
        <v>31</v>
      </c>
      <c r="N78" s="261">
        <f>'[5]General information '!B35</f>
        <v>28</v>
      </c>
      <c r="O78" s="261">
        <f>'[5]General information '!C35</f>
        <v>21</v>
      </c>
      <c r="P78" s="122">
        <f t="shared" si="7"/>
        <v>6.1999999999999993</v>
      </c>
      <c r="Q78" s="120"/>
      <c r="R78" s="261"/>
      <c r="S78" s="261"/>
      <c r="T78" s="122"/>
      <c r="U78" s="120">
        <v>31</v>
      </c>
      <c r="V78" s="261">
        <f>'General information '!B35</f>
        <v>0</v>
      </c>
      <c r="W78" s="261">
        <f>'General information '!C35</f>
        <v>0</v>
      </c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-164.70000000000002</v>
      </c>
      <c r="C81" s="119">
        <f>SUMIF(D48:D78,"&gt;0")</f>
        <v>225.39999999999992</v>
      </c>
      <c r="D81" s="130"/>
      <c r="E81" s="129"/>
      <c r="F81" s="119">
        <f>SUMIF(H48:H78,"&lt;0")</f>
        <v>-292.80000000000007</v>
      </c>
      <c r="G81" s="119">
        <f>SUMIF(H48:H78,"&gt;0")</f>
        <v>162.49999999999997</v>
      </c>
      <c r="H81" s="130"/>
      <c r="I81" s="129"/>
      <c r="J81" s="119">
        <f>SUMIF(L48:L78,"&lt;0")</f>
        <v>-183.00000000000003</v>
      </c>
      <c r="K81" s="119">
        <f>SUMIF(L48:L78,"&gt;0")</f>
        <v>176.99999999999997</v>
      </c>
      <c r="L81" s="130"/>
      <c r="M81" s="129"/>
      <c r="N81" s="119">
        <f>SUMIF(P48:P78,"&lt;0")</f>
        <v>-237.90000000000006</v>
      </c>
      <c r="O81" s="119">
        <f>SUMIF(P48:P78,"&gt;0")</f>
        <v>111.60000000000004</v>
      </c>
      <c r="P81" s="130"/>
      <c r="Q81" s="129"/>
      <c r="R81" s="119">
        <f>SUMIF(T48:T78,"&lt;0")</f>
        <v>-164.70000000000002</v>
      </c>
      <c r="S81" s="119">
        <f>SUMIF(T48:T78,"&gt;0")</f>
        <v>78.700000000000031</v>
      </c>
      <c r="T81" s="130"/>
      <c r="U81" s="129"/>
      <c r="V81" s="119">
        <f>SUMIF(X48:X78,"&lt;0")</f>
        <v>-442.60000000000019</v>
      </c>
      <c r="W81" s="119">
        <f>SUMIF(X48:X78,"&gt;0")</f>
        <v>3.7999999999999972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2" t="s">
        <v>174</v>
      </c>
      <c r="O84" s="712" t="s">
        <v>175</v>
      </c>
      <c r="P84" s="134"/>
      <c r="T84" s="134"/>
      <c r="X84" s="134"/>
    </row>
    <row r="85" spans="1:24" ht="20.25" thickBot="1">
      <c r="D85" s="134"/>
      <c r="I85" s="714" t="s">
        <v>182</v>
      </c>
      <c r="J85" s="715"/>
      <c r="K85" s="715"/>
      <c r="L85" s="715"/>
      <c r="N85" s="713"/>
      <c r="O85" s="713"/>
      <c r="P85" s="134"/>
      <c r="R85" s="17"/>
      <c r="S85" s="17"/>
      <c r="T85" s="140"/>
      <c r="U85" s="141"/>
      <c r="X85" s="134"/>
    </row>
    <row r="86" spans="1:24" ht="18.75" thickBot="1">
      <c r="D86" s="134"/>
      <c r="I86" s="716" t="s">
        <v>183</v>
      </c>
      <c r="J86" s="716"/>
      <c r="K86" s="716"/>
      <c r="L86" s="716"/>
      <c r="N86" s="142">
        <f>B43+F43+J43+N43+R43+V43+B81+F81+J81+N81+R81+V81</f>
        <v>-1767.6000000000001</v>
      </c>
      <c r="O86" s="142">
        <f>C43+G43+K43+O43+S43+W43+C81+G81+K81+O81+S81+W81</f>
        <v>1201.0999999999999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6"/>
      <c r="C88" s="706"/>
      <c r="D88" s="706"/>
      <c r="E88" s="706"/>
      <c r="F88" s="706"/>
      <c r="G88" s="706"/>
      <c r="H88" s="706"/>
      <c r="I88" s="706"/>
      <c r="J88" s="706"/>
      <c r="K88" s="706"/>
      <c r="L88" s="706"/>
      <c r="M88" s="706"/>
      <c r="N88" s="706"/>
      <c r="O88" s="706"/>
      <c r="P88" s="706"/>
      <c r="Q88" s="706"/>
      <c r="R88" s="706"/>
      <c r="S88" s="706"/>
      <c r="T88" s="706"/>
      <c r="U88" s="706"/>
      <c r="V88" s="706"/>
      <c r="W88" s="70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N36" sqref="N35:N36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7" t="s">
        <v>214</v>
      </c>
      <c r="B2" s="717"/>
      <c r="C2" s="717"/>
      <c r="D2" s="717"/>
      <c r="E2" s="717"/>
      <c r="F2" s="717"/>
      <c r="G2" s="717"/>
      <c r="H2" s="717"/>
      <c r="I2" s="717"/>
    </row>
    <row r="3" spans="1:11">
      <c r="A3" s="193">
        <v>44551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9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330</v>
      </c>
      <c r="C7" s="184">
        <v>8200</v>
      </c>
      <c r="D7" s="187">
        <f>SUM(C7)*D4</f>
        <v>12361500</v>
      </c>
      <c r="E7" s="185">
        <f>SUM(I7/G4)</f>
        <v>966.77777777777783</v>
      </c>
      <c r="F7" s="185">
        <f>SUM(E7*F4)</f>
        <v>29970.111111111113</v>
      </c>
      <c r="G7" s="478">
        <v>8200</v>
      </c>
      <c r="H7" s="189">
        <v>8200</v>
      </c>
      <c r="I7" s="185">
        <f>'[16]Budget 2021'!$I$15</f>
        <v>8701</v>
      </c>
      <c r="J7" s="265"/>
    </row>
    <row r="8" spans="1:11">
      <c r="A8" s="190" t="s">
        <v>217</v>
      </c>
      <c r="B8" s="336">
        <f>tanks!AT37</f>
        <v>10000</v>
      </c>
      <c r="C8" s="466">
        <f>SUM(tanks!AU37)</f>
        <v>0.63400000000000001</v>
      </c>
      <c r="D8" s="191">
        <f>SUM(B8*C8)*D4</f>
        <v>9557550</v>
      </c>
      <c r="E8" s="192">
        <f>SUM(D8/D4/F4)</f>
        <v>204.51612903225808</v>
      </c>
      <c r="F8" s="192">
        <f>SUM(E8*F4)</f>
        <v>6340</v>
      </c>
      <c r="G8" s="574">
        <f>E8*$G$4</f>
        <v>1840.6451612903227</v>
      </c>
      <c r="H8" s="189">
        <v>30289.9</v>
      </c>
      <c r="I8" s="192">
        <f>'[16]Budget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1386</v>
      </c>
      <c r="C10" s="181"/>
      <c r="D10" s="183">
        <f>'EDl log'!AB30</f>
        <v>7423261</v>
      </c>
      <c r="E10" s="182">
        <f>SUM(D10/D4/F4)</f>
        <v>158.84579254266302</v>
      </c>
      <c r="F10" s="182">
        <f>SUM(E10*F4)</f>
        <v>4924.2195688225538</v>
      </c>
      <c r="G10" s="478">
        <f>E10*$G$4</f>
        <v>1429.6121328839672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1330.1396993526989</v>
      </c>
      <c r="F12" s="180">
        <f>SUM(F6:F10)</f>
        <v>41234.330679933664</v>
      </c>
      <c r="G12" s="179">
        <f>SUM(G6:G10)</f>
        <v>11470.257294174289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2020'!K81</f>
        <v>176.99999999999997</v>
      </c>
      <c r="C14" s="416">
        <f>'[17]Utility Cost '!B14</f>
        <v>246.49999999999986</v>
      </c>
      <c r="D14" s="170"/>
      <c r="E14" s="416">
        <f>B14-C14</f>
        <v>-69.499999999999886</v>
      </c>
      <c r="F14" s="477">
        <v>0</v>
      </c>
      <c r="G14" s="405"/>
      <c r="H14" s="406">
        <f>SUM(G12-H12)</f>
        <v>-68658.64270582571</v>
      </c>
      <c r="I14" s="406">
        <f>SUM(G12-I12)</f>
        <v>-39773.662426255818</v>
      </c>
    </row>
    <row r="15" spans="1:11">
      <c r="A15" s="428" t="s">
        <v>301</v>
      </c>
      <c r="B15" s="97">
        <f>'Degree Days 2020'!J81</f>
        <v>-183.00000000000003</v>
      </c>
      <c r="C15" s="416">
        <f>'[17]Utility Cost '!B15</f>
        <v>-1.8000000000000007</v>
      </c>
      <c r="D15" s="170"/>
      <c r="E15" s="416">
        <f>B15-C15</f>
        <v>-181.20000000000002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25.7</v>
      </c>
      <c r="C16" s="416">
        <f>'[17]Utility Cost '!B16</f>
        <v>16.903225806451612</v>
      </c>
      <c r="D16" s="415"/>
      <c r="E16" s="580">
        <f>B16-C16</f>
        <v>8.7967741935483872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'[17]Utility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72</v>
      </c>
      <c r="C18" s="416">
        <f>'[17]Utility Cost '!B18</f>
        <v>112</v>
      </c>
      <c r="D18" s="413">
        <f>'[18]Other Fuel Calculation 2021'!$G$116</f>
        <v>202.66666666666666</v>
      </c>
      <c r="E18" s="492">
        <f>B18-C18</f>
        <v>-40</v>
      </c>
      <c r="F18" s="495">
        <f>B18-D18</f>
        <v>-130.66666666666666</v>
      </c>
    </row>
    <row r="19" spans="1:10">
      <c r="A19" s="489" t="s">
        <v>412</v>
      </c>
      <c r="B19" s="493">
        <f>GEN!AL34</f>
        <v>7</v>
      </c>
      <c r="C19" s="416">
        <f>'[17]Utility Cost '!B19</f>
        <v>3.6129032258064515</v>
      </c>
      <c r="D19" s="413"/>
      <c r="E19" s="492"/>
      <c r="F19" s="495"/>
    </row>
    <row r="20" spans="1:10">
      <c r="A20" s="489" t="s">
        <v>406</v>
      </c>
      <c r="B20" s="487">
        <f>B18/B19</f>
        <v>10.285714285714286</v>
      </c>
      <c r="C20" s="416">
        <f>'[17]Utility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2021-12-10T08:56:17Z</dcterms:modified>
</cp:coreProperties>
</file>