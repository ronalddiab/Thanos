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<sst xmlns="http://schemas.openxmlformats.org/spreadsheetml/2006/main" count="317" uniqueCount="149">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</sst>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 t="e">
        <f>Submetering!E22+Submetering!F22+Submetering!G22+Submetering!H22+Submetering!J22-Submetering!AV22</f>
        <v>#VALUE!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 t="e">
        <f>'FS Desroches Daily'!CM24</f>
        <v>#VALUE!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980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980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990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e">
        <f>'FS Desroches Daily'!T24</f>
        <v>#VALUE!</v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59699.999999999884</v>
      </c>
      <c r="F33" s="17">
        <f t="shared" ref="F33:BC33" si="0">SUM(F2:F32)</f>
        <v>67399.999999999272</v>
      </c>
      <c r="G33" s="17">
        <f t="shared" si="0"/>
        <v>68399.999999999593</v>
      </c>
      <c r="H33" s="17">
        <f t="shared" si="0"/>
        <v>34600.000000000204</v>
      </c>
      <c r="I33" s="17">
        <f t="shared" si="0"/>
        <v>49300.000000000131</v>
      </c>
      <c r="J33" s="17">
        <f t="shared" si="0"/>
        <v>36200.000000000022</v>
      </c>
      <c r="K33" s="17">
        <f t="shared" si="0"/>
        <v>754</v>
      </c>
      <c r="L33" s="17">
        <f t="shared" si="0"/>
        <v>109</v>
      </c>
      <c r="M33" s="17" t="e">
        <f t="shared" si="0"/>
        <v>#VALUE!</v>
      </c>
      <c r="N33" s="17">
        <f t="shared" si="0"/>
        <v>9087.6999999999534</v>
      </c>
      <c r="O33" s="17">
        <f t="shared" si="0"/>
        <v>7150.0000000000909</v>
      </c>
      <c r="P33" s="17">
        <f t="shared" si="0"/>
        <v>60799.999999999534</v>
      </c>
      <c r="Q33" s="17">
        <f t="shared" si="0"/>
        <v>7209.9999999999227</v>
      </c>
      <c r="R33" s="17">
        <f t="shared" si="0"/>
        <v>8289.9999999999636</v>
      </c>
      <c r="S33" s="17">
        <f t="shared" si="0"/>
        <v>18740.000000000007</v>
      </c>
      <c r="T33" s="17">
        <f t="shared" si="0"/>
        <v>749</v>
      </c>
      <c r="U33" s="35">
        <f t="shared" si="0"/>
        <v>17879.999999999949</v>
      </c>
      <c r="V33" s="35">
        <f t="shared" si="0"/>
        <v>4439.9999999999982</v>
      </c>
      <c r="W33" s="35">
        <f t="shared" si="0"/>
        <v>4750</v>
      </c>
      <c r="X33" s="35">
        <f t="shared" si="0"/>
        <v>3659.9999999999682</v>
      </c>
      <c r="Y33" s="35">
        <f t="shared" si="0"/>
        <v>3729.9999999999613</v>
      </c>
      <c r="Z33" s="35">
        <f t="shared" si="0"/>
        <v>4129.28</v>
      </c>
      <c r="AA33" s="35">
        <f t="shared" si="0"/>
        <v>4129.28</v>
      </c>
      <c r="AB33" s="35">
        <f t="shared" si="0"/>
        <v>4160.0000000000255</v>
      </c>
      <c r="AC33" s="35">
        <f t="shared" si="0"/>
        <v>2879.9999999999955</v>
      </c>
      <c r="AD33" s="35">
        <f t="shared" si="0"/>
        <v>3619.9999999999477</v>
      </c>
      <c r="AE33" s="35">
        <f t="shared" si="0"/>
        <v>2899.9999999999773</v>
      </c>
      <c r="AF33" s="17">
        <f t="shared" si="0"/>
        <v>997</v>
      </c>
      <c r="AG33" s="32">
        <f t="shared" si="0"/>
        <v>1009.9999999999909</v>
      </c>
      <c r="AH33" s="32">
        <f t="shared" si="0"/>
        <v>890.0000000000432</v>
      </c>
      <c r="AI33" s="32">
        <f t="shared" si="0"/>
        <v>1070.00000000005</v>
      </c>
      <c r="AJ33" s="32">
        <f t="shared" si="0"/>
        <v>979.99999999998977</v>
      </c>
      <c r="AK33" s="32">
        <f t="shared" si="0"/>
        <v>889.99999999998636</v>
      </c>
      <c r="AL33" s="32">
        <f t="shared" si="0"/>
        <v>1002</v>
      </c>
      <c r="AM33" s="32">
        <f t="shared" si="0"/>
        <v>1009.9999999999909</v>
      </c>
      <c r="AN33" s="32">
        <f t="shared" si="0"/>
        <v>885</v>
      </c>
      <c r="AO33" s="32">
        <f t="shared" si="0"/>
        <v>900.00000000000568</v>
      </c>
      <c r="AP33" s="32">
        <f t="shared" si="0"/>
        <v>1096</v>
      </c>
      <c r="AQ33" s="17">
        <f t="shared" si="0"/>
        <v>1075.5</v>
      </c>
      <c r="AR33" s="17">
        <f t="shared" si="0"/>
        <v>219.29999999999927</v>
      </c>
      <c r="AS33" s="17">
        <f t="shared" si="0"/>
        <v>53.899999999999636</v>
      </c>
      <c r="AT33" s="17">
        <f t="shared" si="0"/>
        <v>1127.9000000000087</v>
      </c>
      <c r="AU33" s="17">
        <f t="shared" si="0"/>
        <v>6679</v>
      </c>
      <c r="AV33" s="17">
        <f t="shared" si="0"/>
        <v>18199.999999999818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115.38449999999999</v>
      </c>
      <c r="BC33" s="17">
        <f t="shared" si="0"/>
        <v>383</v>
      </c>
    </row>
    <row r="35" spans="5:55" x14ac:dyDescent="0.25">
      <c r="E35" s="38">
        <f>E33/E37</f>
        <v>0.23190049643020894</v>
      </c>
      <c r="G35" s="29" t="e">
        <f>G33-M36</f>
        <v>#VALUE!</v>
      </c>
      <c r="AE35" s="35">
        <f>SUM(U33:AE33)</f>
        <v>56278.559999999816</v>
      </c>
      <c r="AG35" s="32">
        <f>SUM(AG33:AP33)</f>
        <v>9733.0000000000564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257437.99999999895</v>
      </c>
      <c r="G37" s="37" t="e">
        <f>M36/E37</f>
        <v>#VALUE!</v>
      </c>
      <c r="M37" s="35">
        <f>AE35</f>
        <v>56278.559999999816</v>
      </c>
    </row>
    <row r="38" spans="5:55" x14ac:dyDescent="0.25">
      <c r="L38" s="27">
        <f>M38/E37</f>
        <v>3.7807161335933682E-2</v>
      </c>
      <c r="M38" s="29">
        <f>AG35</f>
        <v>9733.0000000000564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AZ1" zoomScale="82" zoomScaleNormal="82" workbookViewId="0">
      <pane ySplit="1" topLeftCell="A2" activePane="bottomLeft" state="frozen"/>
      <selection pane="bottomLeft" activeCell="BF24" sqref="BF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1.0004</v>
      </c>
      <c r="AJ21" s="65">
        <v>980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1.0009999999999999</v>
      </c>
      <c r="AJ22" s="65">
        <v>980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1.0016</v>
      </c>
      <c r="AJ23" s="65">
        <v>990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/>
      <c r="D24" s="64" t="str">
        <f t="shared" si="50"/>
        <v>0</v>
      </c>
      <c r="E24" s="58"/>
      <c r="F24" s="64" t="str">
        <f t="shared" si="51"/>
        <v>0</v>
      </c>
      <c r="G24" s="58"/>
      <c r="H24" s="64" t="str">
        <f t="shared" si="52"/>
        <v>0</v>
      </c>
      <c r="I24" s="58"/>
      <c r="J24" s="64" t="str">
        <f t="shared" si="53"/>
        <v>0</v>
      </c>
      <c r="K24" s="58"/>
      <c r="L24" s="64" t="str">
        <f t="shared" si="54"/>
        <v>0</v>
      </c>
      <c r="M24" s="58"/>
      <c r="N24" s="64" t="str">
        <f t="shared" si="55"/>
        <v/>
      </c>
      <c r="O24" s="58"/>
      <c r="P24" s="67" t="str">
        <f t="shared" si="56"/>
        <v/>
      </c>
      <c r="Q24" s="58"/>
      <c r="R24" s="67" t="str">
        <f t="shared" si="57"/>
        <v/>
      </c>
      <c r="S24" s="58"/>
      <c r="T24" s="67" t="e">
        <f t="shared" si="8"/>
        <v>#VALUE!</v>
      </c>
      <c r="U24" s="58"/>
      <c r="V24" s="67" t="str">
        <f t="shared" si="58"/>
        <v/>
      </c>
      <c r="W24" s="58"/>
      <c r="X24" s="65" t="str">
        <f t="shared" si="59"/>
        <v/>
      </c>
      <c r="Y24" s="58"/>
      <c r="Z24" s="65" t="str">
        <f t="shared" si="60"/>
        <v/>
      </c>
      <c r="AA24" s="58"/>
      <c r="AB24" s="65" t="str">
        <f t="shared" si="61"/>
        <v/>
      </c>
      <c r="AC24" s="58"/>
      <c r="AD24" s="65" t="str">
        <f t="shared" si="62"/>
        <v/>
      </c>
      <c r="AE24" s="58"/>
      <c r="AF24" s="65" t="str">
        <f t="shared" si="63"/>
        <v/>
      </c>
      <c r="AG24" s="58"/>
      <c r="AH24" s="67" t="str">
        <f t="shared" si="64"/>
        <v/>
      </c>
      <c r="AI24" s="58"/>
      <c r="AJ24" s="65" t="str">
        <f t="shared" si="65"/>
        <v/>
      </c>
      <c r="AK24" s="58"/>
      <c r="AL24" s="65" t="str">
        <f t="shared" si="66"/>
        <v/>
      </c>
      <c r="AM24" s="58"/>
      <c r="AN24" s="65" t="str">
        <f t="shared" si="67"/>
        <v/>
      </c>
      <c r="AO24" s="58"/>
      <c r="AP24" s="65" t="str">
        <f t="shared" si="68"/>
        <v/>
      </c>
      <c r="AQ24" s="58"/>
      <c r="AR24" s="65" t="str">
        <f t="shared" si="69"/>
        <v/>
      </c>
      <c r="AS24" s="58"/>
      <c r="AT24" s="65" t="str">
        <f t="shared" si="70"/>
        <v/>
      </c>
      <c r="AU24" s="58"/>
      <c r="AV24" s="65" t="str">
        <f t="shared" si="71"/>
        <v/>
      </c>
      <c r="AW24" s="58"/>
      <c r="AX24" s="65" t="str">
        <f t="shared" si="72"/>
        <v/>
      </c>
      <c r="AY24" s="58"/>
      <c r="AZ24" s="65" t="str">
        <f t="shared" si="73"/>
        <v/>
      </c>
      <c r="BA24" s="58"/>
      <c r="BB24" s="65" t="str">
        <f t="shared" si="74"/>
        <v/>
      </c>
      <c r="BC24" s="58"/>
      <c r="BD24" s="65" t="str">
        <f t="shared" si="75"/>
        <v/>
      </c>
      <c r="BE24" s="59"/>
      <c r="BF24" s="67" t="str">
        <f t="shared" si="76"/>
        <v/>
      </c>
      <c r="BG24" s="60"/>
      <c r="BH24" s="65" t="str">
        <f t="shared" si="77"/>
        <v/>
      </c>
      <c r="BI24" s="60"/>
      <c r="BJ24" s="65" t="str">
        <f t="shared" si="78"/>
        <v/>
      </c>
      <c r="BK24" s="60"/>
      <c r="BL24" s="65" t="str">
        <f t="shared" si="79"/>
        <v/>
      </c>
      <c r="BM24" s="60"/>
      <c r="BN24" s="65" t="str">
        <f t="shared" si="80"/>
        <v/>
      </c>
      <c r="BO24" s="60"/>
      <c r="BP24" s="65" t="str">
        <f t="shared" si="81"/>
        <v/>
      </c>
      <c r="BQ24" s="60"/>
      <c r="BR24" s="65" t="str">
        <f t="shared" si="82"/>
        <v/>
      </c>
      <c r="BS24" s="60"/>
      <c r="BT24" s="65" t="str">
        <f t="shared" si="83"/>
        <v/>
      </c>
      <c r="BU24" s="60"/>
      <c r="BV24" s="65" t="str">
        <f t="shared" si="84"/>
        <v/>
      </c>
      <c r="BW24" s="60"/>
      <c r="BX24" s="65" t="str">
        <f t="shared" si="85"/>
        <v/>
      </c>
      <c r="BY24" s="60"/>
      <c r="BZ24" s="67" t="str">
        <f t="shared" si="86"/>
        <v/>
      </c>
      <c r="CA24" s="60"/>
      <c r="CB24" s="67" t="str">
        <f t="shared" si="87"/>
        <v/>
      </c>
      <c r="CC24" s="60"/>
      <c r="CD24" s="67" t="str">
        <f t="shared" si="88"/>
        <v/>
      </c>
      <c r="CE24" s="60"/>
      <c r="CF24" s="67" t="str">
        <f t="shared" si="89"/>
        <v/>
      </c>
      <c r="CG24" s="60"/>
      <c r="CH24" s="67" t="str">
        <f t="shared" si="90"/>
        <v/>
      </c>
      <c r="CI24" s="60"/>
      <c r="CJ24" s="67" t="str">
        <f t="shared" si="91"/>
        <v/>
      </c>
      <c r="CK24" s="60"/>
      <c r="CL24" s="64" t="str">
        <f t="shared" si="97"/>
        <v/>
      </c>
      <c r="CM24" s="65" t="e">
        <f t="shared" si="98"/>
        <v>#VALUE!</v>
      </c>
      <c r="CN24" s="62"/>
      <c r="CO24" s="62"/>
      <c r="CP24" s="68"/>
      <c r="CQ24" s="67" t="str">
        <f t="shared" si="92"/>
        <v/>
      </c>
      <c r="CR24" s="68"/>
      <c r="CS24" s="67" t="str">
        <f t="shared" si="93"/>
        <v/>
      </c>
      <c r="CT24" s="75"/>
      <c r="CU24" s="67" t="str">
        <f t="shared" si="94"/>
        <v/>
      </c>
      <c r="CV24" s="68"/>
      <c r="CW24" s="67" t="str">
        <f t="shared" si="95"/>
        <v/>
      </c>
      <c r="CX24" s="58"/>
      <c r="CY24" s="67" t="str">
        <f t="shared" si="96"/>
        <v/>
      </c>
    </row>
    <row r="25" spans="1:103" ht="25.5" customHeight="1" thickBot="1" x14ac:dyDescent="0.45">
      <c r="A25" s="63">
        <v>44917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8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7"/>
        <v>0</v>
      </c>
      <c r="CM25" s="65">
        <f t="shared" si="98"/>
        <v>0</v>
      </c>
      <c r="CN25" s="62"/>
      <c r="CO25" s="62"/>
      <c r="CP25" s="68"/>
      <c r="CQ25" s="67">
        <f t="shared" si="92"/>
        <v>0</v>
      </c>
      <c r="CR25" s="68"/>
      <c r="CS25" s="67">
        <f t="shared" si="93"/>
        <v>0</v>
      </c>
      <c r="CT25" s="75"/>
      <c r="CU25" s="67">
        <f t="shared" si="94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44918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8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7"/>
        <v>0</v>
      </c>
      <c r="CM26" s="65">
        <f t="shared" si="98"/>
        <v>0</v>
      </c>
      <c r="CN26" s="62"/>
      <c r="CO26" s="62"/>
      <c r="CP26" s="68"/>
      <c r="CQ26" s="67">
        <f t="shared" si="92"/>
        <v>0</v>
      </c>
      <c r="CR26" s="68"/>
      <c r="CS26" s="67">
        <f t="shared" si="93"/>
        <v>0</v>
      </c>
      <c r="CT26" s="75"/>
      <c r="CU26" s="67">
        <f t="shared" si="94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44919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8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7"/>
        <v>0</v>
      </c>
      <c r="CM27" s="65">
        <f t="shared" si="98"/>
        <v>0</v>
      </c>
      <c r="CN27" s="62"/>
      <c r="CO27" s="62"/>
      <c r="CP27" s="68"/>
      <c r="CQ27" s="67">
        <f t="shared" si="92"/>
        <v>0</v>
      </c>
      <c r="CR27" s="68"/>
      <c r="CS27" s="67">
        <f t="shared" si="93"/>
        <v>0</v>
      </c>
      <c r="CT27" s="75"/>
      <c r="CU27" s="67">
        <f t="shared" si="94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44920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8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7"/>
        <v>0</v>
      </c>
      <c r="CM28" s="65">
        <f t="shared" si="98"/>
        <v>0</v>
      </c>
      <c r="CN28" s="62"/>
      <c r="CO28" s="62"/>
      <c r="CP28" s="68"/>
      <c r="CQ28" s="67">
        <f t="shared" si="92"/>
        <v>0</v>
      </c>
      <c r="CR28" s="68"/>
      <c r="CS28" s="67">
        <f t="shared" si="93"/>
        <v>0</v>
      </c>
      <c r="CT28" s="75"/>
      <c r="CU28" s="67">
        <f t="shared" si="94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44921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8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7"/>
        <v>0</v>
      </c>
      <c r="CM29" s="65">
        <f t="shared" si="98"/>
        <v>0</v>
      </c>
      <c r="CN29" s="62"/>
      <c r="CO29" s="62"/>
      <c r="CP29" s="68"/>
      <c r="CQ29" s="67">
        <f t="shared" si="92"/>
        <v>0</v>
      </c>
      <c r="CR29" s="68"/>
      <c r="CS29" s="67">
        <f t="shared" si="93"/>
        <v>0</v>
      </c>
      <c r="CT29" s="75"/>
      <c r="CU29" s="67">
        <f t="shared" si="94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8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8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8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8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27" sqref="S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-233</v>
      </c>
    </row>
    <row r="29" spans="1:20" x14ac:dyDescent="0.25">
      <c r="A29" s="73">
        <v>44917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44918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44919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44920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2022-12-21T18:54:30Z</dcterms:modified>
</cp:coreProperties>
</file>