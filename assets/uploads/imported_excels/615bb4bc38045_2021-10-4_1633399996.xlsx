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4DC77E5A-34EB-4190-8E1E-6C9051EFAF5F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D7" i="3" s="1"/>
  <c r="B8" i="3"/>
  <c r="B9" i="3"/>
  <c r="B10" i="3"/>
  <c r="B11" i="3"/>
  <c r="B12" i="3"/>
  <c r="B13" i="3"/>
  <c r="B14" i="3"/>
  <c r="B15" i="3"/>
  <c r="B16" i="3"/>
  <c r="D16" i="3" s="1"/>
  <c r="B17" i="3"/>
  <c r="B18" i="3"/>
  <c r="B19" i="3"/>
  <c r="B20" i="3"/>
  <c r="B21" i="3"/>
  <c r="B22" i="3"/>
  <c r="D22" i="3" s="1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17" i="4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H7" i="4"/>
  <c r="K22" i="4"/>
  <c r="J7" i="4"/>
  <c r="C16" i="4"/>
  <c r="C22" i="4"/>
  <c r="G8" i="4"/>
  <c r="L8" i="3" l="1"/>
  <c r="V25" i="2"/>
  <c r="V34" i="2"/>
  <c r="V24" i="2"/>
  <c r="V33" i="2"/>
  <c r="M32" i="3" s="1"/>
  <c r="V32" i="2"/>
  <c r="M31" i="3" s="1"/>
  <c r="C28" i="3"/>
  <c r="V29" i="2"/>
  <c r="M28" i="3" s="1"/>
  <c r="F13" i="3"/>
  <c r="V28" i="2"/>
  <c r="V27" i="2"/>
  <c r="V26" i="2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M23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M26" i="3"/>
  <c r="F28" i="3"/>
  <c r="E26" i="4"/>
  <c r="M27" i="3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M25" i="3"/>
  <c r="F25" i="3"/>
  <c r="E25" i="4"/>
  <c r="M35" i="8"/>
  <c r="J23" i="8"/>
  <c r="Y24" i="8"/>
  <c r="Z24" i="8" s="1"/>
  <c r="T24" i="8"/>
  <c r="Y25" i="8"/>
  <c r="Z25" i="8" s="1"/>
  <c r="D24" i="8"/>
  <c r="G24" i="3"/>
  <c r="M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<sst xmlns="http://schemas.openxmlformats.org/spreadsheetml/2006/main" count="203" uniqueCount="130">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</sst>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-251990.00000000003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0.16874814732751059</c:v>
                </c:pt>
                <c:pt idx="2" formatCode="_(* #,##0.00_);_(* \(#,##0.00\);_(* &quot;-&quot;??_);_(@_)">
                  <c:v>-215355</c:v>
                </c:pt>
                <c:pt idx="3">
                  <c:v>0.64481985286411936</c:v>
                </c:pt>
                <c:pt idx="4" formatCode="0.00">
                  <c:v>-28036</c:v>
                </c:pt>
                <c:pt idx="5">
                  <c:v>8.3945900466199763E-2</c:v>
                </c:pt>
                <c:pt idx="6" formatCode="0.00">
                  <c:v>-38335</c:v>
                </c:pt>
                <c:pt idx="7">
                  <c:v>0.11478335334469141</c:v>
                </c:pt>
                <c:pt idx="8" formatCode="0.00">
                  <c:v>-6759</c:v>
                </c:pt>
                <c:pt idx="9">
                  <c:v>2.0237920575368964E-2</c:v>
                </c:pt>
                <c:pt idx="10" formatCode="0.00">
                  <c:v>-1011</c:v>
                </c:pt>
                <c:pt idx="11">
                  <c:v>3.0271545645358814E-3</c:v>
                </c:pt>
                <c:pt idx="12" formatCode="0.00">
                  <c:v>-66997</c:v>
                </c:pt>
                <c:pt idx="13">
                  <c:v>0.20060363438200834</c:v>
                </c:pt>
                <c:pt idx="14" formatCode="_(* #,##0.00_);_(* \(#,##0.00\);_(* &quot;-&quot;??_);_(@_)">
                  <c:v>-253147</c:v>
                </c:pt>
                <c:pt idx="15">
                  <c:v>0.75797734574536568</c:v>
                </c:pt>
                <c:pt idx="16" formatCode="0.00">
                  <c:v>-113275</c:v>
                </c:pt>
                <c:pt idx="17">
                  <c:v>0.33917006260910182</c:v>
                </c:pt>
                <c:pt idx="18" formatCode="0.00">
                  <c:v>-21313</c:v>
                </c:pt>
                <c:pt idx="19">
                  <c:v>6.3815771744760871E-2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17536"/>
        <c:axId val="192019072"/>
      </c:barChart>
      <c:catAx>
        <c:axId val="1920175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92019072"/>
        <c:crosses val="autoZero"/>
        <c:auto val="1"/>
        <c:lblAlgn val="ctr"/>
        <c:lblOffset val="100"/>
        <c:noMultiLvlLbl val="0"/>
      </c:catAx>
      <c:valAx>
        <c:axId val="19201907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201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10</v>
      </c>
      <c r="D2" s="46">
        <v>2021</v>
      </c>
      <c r="E2" s="107">
        <v>19540.000000000873</v>
      </c>
      <c r="F2" s="48">
        <v>0.15</v>
      </c>
      <c r="G2" s="107">
        <v>5180</v>
      </c>
      <c r="H2" s="48">
        <v>0.5927</v>
      </c>
      <c r="I2" s="65">
        <v>207</v>
      </c>
      <c r="J2" s="76">
        <v>1.133</v>
      </c>
      <c r="K2" s="108"/>
      <c r="L2" s="76"/>
      <c r="M2" s="72">
        <v>13</v>
      </c>
      <c r="N2" s="72">
        <v>33</v>
      </c>
      <c r="O2" s="72">
        <v>94</v>
      </c>
    </row>
    <row r="3" spans="1:15" ht="15" x14ac:dyDescent="0.25">
      <c r="A3" s="45" t="s">
        <v>9</v>
      </c>
      <c r="B3" s="46">
        <f>B2+1</f>
        <v>2</v>
      </c>
      <c r="C3" s="47">
        <v>10</v>
      </c>
      <c r="D3" s="46">
        <v>2021</v>
      </c>
      <c r="E3" s="107">
        <v>19839.99999999901</v>
      </c>
      <c r="F3" s="48">
        <v>0.15</v>
      </c>
      <c r="G3" s="107">
        <v>5506</v>
      </c>
      <c r="H3" s="48">
        <v>0.5927</v>
      </c>
      <c r="I3" s="65">
        <v>175</v>
      </c>
      <c r="J3" s="76">
        <v>1.133</v>
      </c>
      <c r="K3" s="108"/>
      <c r="L3" s="76"/>
      <c r="M3" s="72">
        <v>12</v>
      </c>
      <c r="N3" s="72">
        <v>31</v>
      </c>
      <c r="O3" s="72">
        <v>84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10</v>
      </c>
      <c r="D4" s="46">
        <v>2021</v>
      </c>
      <c r="E4" s="107">
        <v>21429.999999999156</v>
      </c>
      <c r="F4" s="48">
        <v>0.15</v>
      </c>
      <c r="G4" s="107">
        <v>5712</v>
      </c>
      <c r="H4" s="48">
        <v>0.5927</v>
      </c>
      <c r="I4" s="65">
        <v>189</v>
      </c>
      <c r="J4" s="76">
        <v>1.133</v>
      </c>
      <c r="K4" s="108"/>
      <c r="L4" s="76"/>
      <c r="M4" s="72">
        <v>10</v>
      </c>
      <c r="N4" s="72">
        <v>22</v>
      </c>
      <c r="O4" s="72">
        <v>65</v>
      </c>
    </row>
    <row r="5" spans="1:15" ht="15" x14ac:dyDescent="0.25">
      <c r="A5" s="45" t="s">
        <v>9</v>
      </c>
      <c r="B5" s="46">
        <f t="shared" si="0"/>
        <v>4</v>
      </c>
      <c r="C5" s="47">
        <v>10</v>
      </c>
      <c r="D5" s="46">
        <v>2021</v>
      </c>
      <c r="E5" s="107"/>
      <c r="F5" s="48">
        <v>0.15</v>
      </c>
      <c r="G5" s="107"/>
      <c r="H5" s="48">
        <v>0.5927</v>
      </c>
      <c r="I5" s="65"/>
      <c r="J5" s="76">
        <v>1.133</v>
      </c>
      <c r="K5" s="108"/>
      <c r="L5" s="76"/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10</v>
      </c>
      <c r="D6" s="46">
        <v>2021</v>
      </c>
      <c r="E6" s="107"/>
      <c r="F6" s="48">
        <v>0.15</v>
      </c>
      <c r="G6" s="107"/>
      <c r="H6" s="48">
        <v>0.5927</v>
      </c>
      <c r="I6" s="65"/>
      <c r="J6" s="76">
        <v>1.133</v>
      </c>
      <c r="K6" s="108"/>
      <c r="L6" s="76"/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10</v>
      </c>
      <c r="D7" s="46">
        <v>2021</v>
      </c>
      <c r="E7" s="107"/>
      <c r="F7" s="48">
        <v>0.15</v>
      </c>
      <c r="G7" s="107"/>
      <c r="H7" s="48">
        <v>0.5927</v>
      </c>
      <c r="I7" s="65"/>
      <c r="J7" s="76">
        <v>1.133</v>
      </c>
      <c r="K7" s="108"/>
      <c r="L7" s="76"/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10</v>
      </c>
      <c r="D8" s="46">
        <v>2021</v>
      </c>
      <c r="E8" s="107"/>
      <c r="F8" s="48">
        <v>0.15</v>
      </c>
      <c r="G8" s="107"/>
      <c r="H8" s="48">
        <v>0.5927</v>
      </c>
      <c r="I8" s="65"/>
      <c r="J8" s="76">
        <v>1.133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10</v>
      </c>
      <c r="D9" s="46">
        <v>2021</v>
      </c>
      <c r="E9" s="107"/>
      <c r="F9" s="48">
        <v>0.15</v>
      </c>
      <c r="G9" s="107"/>
      <c r="H9" s="48">
        <v>0.5927</v>
      </c>
      <c r="I9" s="65"/>
      <c r="J9" s="76">
        <v>1.133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10</v>
      </c>
      <c r="D10" s="46">
        <v>2021</v>
      </c>
      <c r="E10" s="107"/>
      <c r="F10" s="48">
        <v>0.15</v>
      </c>
      <c r="G10" s="107"/>
      <c r="H10" s="48">
        <v>0.5927</v>
      </c>
      <c r="I10" s="65"/>
      <c r="J10" s="76">
        <v>1.133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10</v>
      </c>
      <c r="D11" s="46">
        <v>2021</v>
      </c>
      <c r="E11" s="107"/>
      <c r="F11" s="48">
        <v>0.15</v>
      </c>
      <c r="G11" s="107"/>
      <c r="H11" s="48">
        <v>0.5927</v>
      </c>
      <c r="I11" s="65"/>
      <c r="J11" s="76">
        <v>1.133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10</v>
      </c>
      <c r="D12" s="46">
        <v>2021</v>
      </c>
      <c r="E12" s="107"/>
      <c r="F12" s="48">
        <v>0.15</v>
      </c>
      <c r="G12" s="107"/>
      <c r="H12" s="48">
        <v>0.5927</v>
      </c>
      <c r="I12" s="65"/>
      <c r="J12" s="76">
        <v>1.133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10</v>
      </c>
      <c r="D13" s="46">
        <v>2021</v>
      </c>
      <c r="E13" s="107"/>
      <c r="F13" s="48">
        <v>0.15</v>
      </c>
      <c r="G13" s="107"/>
      <c r="H13" s="48">
        <v>0.5927</v>
      </c>
      <c r="I13" s="65"/>
      <c r="J13" s="76">
        <v>1.133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10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10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10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10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10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10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10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10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10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10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10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10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10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10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10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10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10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10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10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60809.99999999904</v>
      </c>
      <c r="F33" s="104">
        <v>0</v>
      </c>
      <c r="G33" s="101">
        <f>SUM(G2:G32)</f>
        <v>16398</v>
      </c>
      <c r="H33" s="102">
        <v>0</v>
      </c>
      <c r="I33" s="103">
        <f>SUM(I2:I32)</f>
        <v>571</v>
      </c>
      <c r="J33" s="104">
        <v>0</v>
      </c>
      <c r="K33" s="105">
        <v>0</v>
      </c>
      <c r="L33" s="102">
        <v>0</v>
      </c>
      <c r="M33" s="106">
        <f t="shared" ref="M33:O33" si="1">SUM(M2:M32)</f>
        <v>35</v>
      </c>
      <c r="N33" s="106">
        <f t="shared" si="1"/>
        <v>86</v>
      </c>
      <c r="O33" s="106">
        <f t="shared" si="1"/>
        <v>243</v>
      </c>
    </row>
    <row r="40" spans="1:15" x14ac:dyDescent="0.2">
      <c r="C40" s="44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R12" sqref="R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127</v>
      </c>
      <c r="C2" s="113" t="s">
        <v>11</v>
      </c>
      <c r="D2" s="113" t="s">
        <v>12</v>
      </c>
      <c r="E2" s="113" t="s">
        <v>13</v>
      </c>
      <c r="F2" s="113" t="s">
        <v>14</v>
      </c>
      <c r="G2" s="118" t="s">
        <v>15</v>
      </c>
      <c r="H2" s="120" t="s">
        <v>16</v>
      </c>
      <c r="I2" s="113" t="s">
        <v>17</v>
      </c>
      <c r="J2" s="123" t="s">
        <v>18</v>
      </c>
      <c r="K2" s="124"/>
      <c r="L2" s="125"/>
      <c r="M2" s="118" t="s">
        <v>19</v>
      </c>
      <c r="N2" s="120" t="s">
        <v>20</v>
      </c>
      <c r="O2" s="121" t="s">
        <v>21</v>
      </c>
      <c r="P2" s="120" t="s">
        <v>22</v>
      </c>
      <c r="Q2" s="126" t="s">
        <v>23</v>
      </c>
      <c r="R2" s="113" t="s">
        <v>24</v>
      </c>
      <c r="S2" s="113" t="s">
        <v>25</v>
      </c>
      <c r="T2" s="113" t="s">
        <v>26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27</v>
      </c>
      <c r="K3" s="18" t="s">
        <v>28</v>
      </c>
      <c r="L3" s="18" t="s">
        <v>29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44470</v>
      </c>
      <c r="B4" s="1">
        <v>1.1052999999999999</v>
      </c>
      <c r="C4" s="1">
        <v>251.99</v>
      </c>
      <c r="D4" s="1">
        <v>7695259.3700000001</v>
      </c>
      <c r="E4" s="1">
        <v>8463720.8399999999</v>
      </c>
      <c r="F4" s="1">
        <v>2.6013999999999999</v>
      </c>
      <c r="G4" s="1">
        <v>822.81</v>
      </c>
      <c r="H4" s="1">
        <v>673.55</v>
      </c>
      <c r="I4" s="1">
        <v>264.14999999999998</v>
      </c>
      <c r="J4" s="1">
        <v>340.26</v>
      </c>
      <c r="K4" s="1">
        <v>366.68</v>
      </c>
      <c r="L4" s="1">
        <v>252.43</v>
      </c>
      <c r="M4" s="1">
        <v>589.02</v>
      </c>
      <c r="N4" s="1">
        <v>539.5</v>
      </c>
      <c r="O4" s="1">
        <v>171.7</v>
      </c>
      <c r="P4" s="1">
        <v>708.43</v>
      </c>
      <c r="Q4" s="1">
        <v>523.95000000000005</v>
      </c>
      <c r="R4" s="1">
        <v>181.76</v>
      </c>
      <c r="S4" s="1">
        <v>126.27</v>
      </c>
      <c r="T4" s="1">
        <v>463.12</v>
      </c>
      <c r="V4" s="71">
        <v>13</v>
      </c>
      <c r="W4" s="71">
        <v>33</v>
      </c>
      <c r="X4" s="71">
        <v>94</v>
      </c>
      <c r="Y4" s="17"/>
    </row>
    <row r="5" spans="1:25" ht="21" customHeight="1" x14ac:dyDescent="0.25">
      <c r="A5" s="8">
        <v>44471</v>
      </c>
      <c r="B5" s="1">
        <v>1.1065</v>
      </c>
      <c r="C5" s="1">
        <v>252.23</v>
      </c>
      <c r="D5" s="1">
        <v>7697169.8899999997</v>
      </c>
      <c r="E5" s="1">
        <v>8465922.1899999995</v>
      </c>
      <c r="F5" s="1">
        <v>2.6036999999999999</v>
      </c>
      <c r="G5" s="1">
        <v>823.6</v>
      </c>
      <c r="H5" s="1">
        <v>674.1</v>
      </c>
      <c r="I5" s="1">
        <v>264.38</v>
      </c>
      <c r="J5" s="1">
        <v>340.48</v>
      </c>
      <c r="K5" s="1">
        <v>366.91</v>
      </c>
      <c r="L5" s="1">
        <v>252.61</v>
      </c>
      <c r="M5" s="1">
        <v>589.76</v>
      </c>
      <c r="N5" s="1">
        <v>540.19000000000005</v>
      </c>
      <c r="O5" s="1">
        <v>171.91</v>
      </c>
      <c r="P5" s="1">
        <v>709.24</v>
      </c>
      <c r="Q5" s="1">
        <v>524.5</v>
      </c>
      <c r="R5" s="1">
        <v>182</v>
      </c>
      <c r="S5" s="1">
        <v>126.39</v>
      </c>
      <c r="T5" s="1">
        <v>463.38</v>
      </c>
      <c r="V5" s="71">
        <v>12</v>
      </c>
      <c r="W5" s="71">
        <v>31</v>
      </c>
      <c r="X5" s="71">
        <v>84</v>
      </c>
      <c r="Y5" s="17"/>
    </row>
    <row r="6" spans="1:25" ht="21" customHeight="1" x14ac:dyDescent="0.25">
      <c r="A6" s="8">
        <v>44472</v>
      </c>
      <c r="B6" s="1">
        <v>1.1075999999999999</v>
      </c>
      <c r="C6" s="1">
        <v>252.46</v>
      </c>
      <c r="D6" s="1">
        <v>7699233.7199999997</v>
      </c>
      <c r="E6" s="1">
        <v>8468540.9600000009</v>
      </c>
      <c r="F6" s="1">
        <v>2.6059000000000001</v>
      </c>
      <c r="G6" s="1">
        <v>824.45</v>
      </c>
      <c r="H6" s="1">
        <v>674.7</v>
      </c>
      <c r="I6" s="1">
        <v>264.63</v>
      </c>
      <c r="J6" s="1">
        <v>340.67</v>
      </c>
      <c r="K6" s="1">
        <v>367.14</v>
      </c>
      <c r="L6" s="1">
        <v>252.78</v>
      </c>
      <c r="M6" s="1">
        <v>590.53</v>
      </c>
      <c r="N6" s="1">
        <v>540.95000000000005</v>
      </c>
      <c r="O6" s="1">
        <v>172.11</v>
      </c>
      <c r="P6" s="1">
        <v>710.13</v>
      </c>
      <c r="Q6" s="1">
        <v>525.04</v>
      </c>
      <c r="R6" s="1">
        <v>182.23</v>
      </c>
      <c r="S6" s="1">
        <v>126.5</v>
      </c>
      <c r="T6" s="1">
        <v>463.86</v>
      </c>
      <c r="V6" s="71">
        <v>10</v>
      </c>
      <c r="W6" s="71">
        <v>22</v>
      </c>
      <c r="X6" s="71">
        <v>65</v>
      </c>
      <c r="Y6" s="17"/>
    </row>
    <row r="7" spans="1:25" ht="21" customHeight="1" x14ac:dyDescent="0.25">
      <c r="A7" s="8">
        <v>44473</v>
      </c>
      <c r="B7" s="1">
        <v>1.1089</v>
      </c>
      <c r="C7" s="1">
        <v>252.73</v>
      </c>
      <c r="D7" s="109">
        <v>7701405.3399999999</v>
      </c>
      <c r="E7" s="1">
        <v>8471445.9000000004</v>
      </c>
      <c r="F7" s="1">
        <v>2.6084000000000001</v>
      </c>
      <c r="G7" s="1">
        <v>825.35</v>
      </c>
      <c r="H7" s="1">
        <v>675.39</v>
      </c>
      <c r="I7" s="1">
        <v>264.89</v>
      </c>
      <c r="J7" s="1">
        <v>340.91</v>
      </c>
      <c r="K7" s="1">
        <v>367.36</v>
      </c>
      <c r="L7" s="1">
        <v>252.95</v>
      </c>
      <c r="M7" s="1">
        <v>591.34</v>
      </c>
      <c r="N7" s="1">
        <v>541.76</v>
      </c>
      <c r="O7" s="1">
        <v>172.3</v>
      </c>
      <c r="P7" s="1">
        <v>711.09</v>
      </c>
      <c r="Q7" s="1">
        <v>525.64</v>
      </c>
      <c r="R7" s="1">
        <v>182.46</v>
      </c>
      <c r="S7" s="1">
        <v>126.62</v>
      </c>
      <c r="T7" s="1">
        <v>464.33</v>
      </c>
      <c r="V7" s="71"/>
      <c r="W7" s="71"/>
      <c r="X7" s="71"/>
      <c r="Y7" s="17"/>
    </row>
    <row r="8" spans="1:25" ht="21" customHeight="1" x14ac:dyDescent="0.25">
      <c r="A8" s="8">
        <v>44474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44475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44476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44477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44478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44479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44480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44481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44482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44483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44485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44486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44488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44489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44490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44491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44492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44497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44498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44499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35</v>
      </c>
      <c r="W35" s="78">
        <f>SUM(W4:W34)</f>
        <v>86</v>
      </c>
      <c r="X35" s="78">
        <f>SUM(X4:X34)</f>
        <v>243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9" sqref="G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31</v>
      </c>
      <c r="B2" s="113" t="s">
        <v>32</v>
      </c>
      <c r="C2" s="113" t="s">
        <v>33</v>
      </c>
      <c r="D2" s="113" t="s">
        <v>119</v>
      </c>
      <c r="E2" s="121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22"/>
      <c r="B3" s="114"/>
      <c r="C3" s="114"/>
      <c r="D3" s="114"/>
      <c r="E3" s="122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19839.99999999901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5357.399999997484</v>
      </c>
    </row>
    <row r="6" spans="1:22" x14ac:dyDescent="0.25">
      <c r="A6" s="3">
        <f>'Kwh Reading'!A6</f>
        <v>44472</v>
      </c>
      <c r="B6" s="26">
        <f>TOTAL!E4</f>
        <v>21429.999999999156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2171.6200000001118</v>
      </c>
      <c r="U6" s="27">
        <f>('Kwh Reading'!O7-'Kwh Reading'!O6)*1000</f>
        <v>189.99999999999773</v>
      </c>
      <c r="V6" s="16">
        <f t="shared" si="0"/>
        <v>5613.4399999995712</v>
      </c>
    </row>
    <row r="7" spans="1:22" x14ac:dyDescent="0.25">
      <c r="A7" s="3">
        <f>'Kwh Reading'!A7</f>
        <v>44473</v>
      </c>
      <c r="B7" s="26">
        <f>TOTAL!E5</f>
        <v>0</v>
      </c>
      <c r="C7" s="4">
        <f>('Kwh Reading'!T8-'Kwh Reading'!T7)*1000</f>
        <v>-464330</v>
      </c>
      <c r="D7" s="2">
        <f>('Kwh Reading'!F8-'Kwh Reading'!F7)*1000000</f>
        <v>-2608400</v>
      </c>
      <c r="E7" s="2">
        <f>('Kwh Reading'!C8-'Kwh Reading'!C7)*1000</f>
        <v>-252730</v>
      </c>
      <c r="F7" s="2">
        <f>('Kwh Reading'!J8-'Kwh Reading'!J7)*1000</f>
        <v>-340910</v>
      </c>
      <c r="G7" s="2">
        <f>('Kwh Reading'!K8-'Kwh Reading'!K7)*1000</f>
        <v>-367360</v>
      </c>
      <c r="H7" s="2">
        <f>('Kwh Reading'!L8-'Kwh Reading'!L7)*1000</f>
        <v>-252950</v>
      </c>
      <c r="I7" s="2">
        <f>('Kwh Reading'!R8-'Kwh Reading'!R7)*1000</f>
        <v>-182460</v>
      </c>
      <c r="J7" s="2">
        <f>('Kwh Reading'!S8-'Kwh Reading'!S7)*1000</f>
        <v>-126620</v>
      </c>
      <c r="K7" s="2">
        <f>('Kwh Reading'!I8-'Kwh Reading'!I7)*1000</f>
        <v>-264890</v>
      </c>
      <c r="L7" s="2">
        <f>('Kwh Reading'!B8-'Kwh Reading'!B7)*1000000</f>
        <v>-1108900</v>
      </c>
      <c r="M7" s="2">
        <f>('Kwh Reading'!M8-'Kwh Reading'!M7)*1000</f>
        <v>-591340</v>
      </c>
      <c r="N7" s="2">
        <f>('Kwh Reading'!H8-'Kwh Reading'!H7)*1000</f>
        <v>-675390</v>
      </c>
      <c r="O7" s="2">
        <f>('Kwh Reading'!P8-'Kwh Reading'!P7)*1000</f>
        <v>-711090</v>
      </c>
      <c r="P7" s="2">
        <f>('Kwh Reading'!G8-'Kwh Reading'!G7)*1000</f>
        <v>-825350</v>
      </c>
      <c r="Q7" s="2">
        <f>('Kwh Reading'!Q8-'Kwh Reading'!Q7)*1000</f>
        <v>-525640</v>
      </c>
      <c r="R7" s="2">
        <f>('Kwh Reading'!N8-'Kwh Reading'!N7)*1000</f>
        <v>-541760</v>
      </c>
      <c r="S7" s="2">
        <f>'Kwh Reading'!E8-'Kwh Reading'!E7</f>
        <v>-8471445.9000000004</v>
      </c>
      <c r="T7" s="2">
        <f>'Kwh Reading'!D8-'Kwh Reading'!D7</f>
        <v>-7701405.3399999999</v>
      </c>
      <c r="U7" s="27">
        <f>('Kwh Reading'!O8-'Kwh Reading'!O7)*1000</f>
        <v>-172300</v>
      </c>
      <c r="V7" s="16">
        <f t="shared" si="0"/>
        <v>26185271.239999998</v>
      </c>
    </row>
    <row r="8" spans="1:22" x14ac:dyDescent="0.25">
      <c r="A8" s="3">
        <f>'Kwh Reading'!A8</f>
        <v>44474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44475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44476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44477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44478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44479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44480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44481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44482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44483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44484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44485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44486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44487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44488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44489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44490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44491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44492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44493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44494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44495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44496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44497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44498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66789.999999998166</v>
      </c>
      <c r="C35" s="75">
        <f t="shared" ref="C35" si="2">SUM(C4:C34)</f>
        <v>-463120</v>
      </c>
      <c r="D35" s="75">
        <f t="shared" ref="D35" si="3">SUM(D4:D34)</f>
        <v>-2601400</v>
      </c>
      <c r="E35" s="75">
        <f t="shared" ref="E35" si="4">SUM(E4:E34)</f>
        <v>-251990.00000000003</v>
      </c>
      <c r="F35" s="75">
        <f t="shared" ref="F35" si="5">SUM(F4:F34)</f>
        <v>-340259.99999999994</v>
      </c>
      <c r="G35" s="75">
        <f t="shared" ref="G35:U35" si="6">SUM(G4:G34)</f>
        <v>-366680</v>
      </c>
      <c r="H35" s="75">
        <f t="shared" si="6"/>
        <v>-252430.00000000003</v>
      </c>
      <c r="I35" s="75">
        <f t="shared" si="6"/>
        <v>-181759.99999999997</v>
      </c>
      <c r="J35" s="75">
        <f t="shared" si="6"/>
        <v>-126269.99999999999</v>
      </c>
      <c r="K35" s="75">
        <f t="shared" si="6"/>
        <v>-264150</v>
      </c>
      <c r="L35" s="75">
        <f t="shared" si="6"/>
        <v>-1105300</v>
      </c>
      <c r="M35" s="75">
        <f t="shared" si="6"/>
        <v>-589020</v>
      </c>
      <c r="N35" s="75">
        <f t="shared" si="6"/>
        <v>-673550</v>
      </c>
      <c r="O35" s="75">
        <f t="shared" si="6"/>
        <v>-708429.99999999988</v>
      </c>
      <c r="P35" s="75">
        <f t="shared" si="6"/>
        <v>-822809.99999999988</v>
      </c>
      <c r="Q35" s="75">
        <f t="shared" si="6"/>
        <v>-523950.00000000006</v>
      </c>
      <c r="R35" s="75">
        <f t="shared" si="6"/>
        <v>-539500</v>
      </c>
      <c r="S35" s="75">
        <f t="shared" si="6"/>
        <v>-8463720.8399999999</v>
      </c>
      <c r="T35" s="75">
        <f t="shared" si="6"/>
        <v>-7695259.3700000001</v>
      </c>
      <c r="U35" s="75">
        <f t="shared" si="6"/>
        <v>-171699.99999999997</v>
      </c>
      <c r="V35" s="75">
        <f>SUM(V4:V34)</f>
        <v>26208090.209999997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44470</v>
      </c>
      <c r="B3" s="83">
        <f>TOTAL!E2</f>
        <v>19540.000000000873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2">
        <f t="shared" ref="L3:L33" si="0">B3-C3-D3-E3-F3-G3-H3-I3-J3-K3</f>
        <v>5868.1300000013462</v>
      </c>
    </row>
    <row r="4" spans="1:12" x14ac:dyDescent="0.25">
      <c r="A4" s="14">
        <f>'Kwh Reading'!A5</f>
        <v>44471</v>
      </c>
      <c r="B4" s="83">
        <f>TOTAL!E3</f>
        <v>19839.99999999901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2">
        <f t="shared" si="0"/>
        <v>5357.3999999974849</v>
      </c>
    </row>
    <row r="5" spans="1:12" x14ac:dyDescent="0.25">
      <c r="A5" s="14">
        <f>'Kwh Reading'!A6</f>
        <v>44472</v>
      </c>
      <c r="B5" s="83">
        <f>TOTAL!E4</f>
        <v>21429.999999999156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5076.5599999995902</v>
      </c>
      <c r="K5" s="1">
        <f>'Kwh Consumption'!U6</f>
        <v>189.99999999999773</v>
      </c>
      <c r="L5" s="32">
        <f t="shared" si="0"/>
        <v>5613.4399999995712</v>
      </c>
    </row>
    <row r="6" spans="1:12" x14ac:dyDescent="0.25">
      <c r="A6" s="14">
        <f>'Kwh Reading'!A7</f>
        <v>44473</v>
      </c>
      <c r="B6" s="83">
        <f>TOTAL!E5</f>
        <v>0</v>
      </c>
      <c r="C6" s="1">
        <f>'Kwh Consumption'!C7</f>
        <v>-464330</v>
      </c>
      <c r="D6" s="1">
        <f>'Kwh Consumption'!D7</f>
        <v>-2608400</v>
      </c>
      <c r="E6" s="1">
        <f>'Kwh Consumption'!E7</f>
        <v>-252730</v>
      </c>
      <c r="F6" s="1">
        <f>('Kwh Consumption'!F7+'Kwh Consumption'!G7+'Kwh Consumption'!H7)</f>
        <v>-961220</v>
      </c>
      <c r="G6" s="16">
        <f>('Kwh Consumption'!I7+'Kwh Consumption'!J7)</f>
        <v>-309080</v>
      </c>
      <c r="H6" s="1">
        <f>('Kwh Consumption'!K7+'Kwh Consumption'!L7)</f>
        <v>-1373790</v>
      </c>
      <c r="I6" s="1">
        <f>('Kwh Consumption'!M7+'Kwh Consumption'!N7+'Kwh Consumption'!O7+'Kwh Consumption'!P7+'Kwh Consumption'!Q7+'Kwh Consumption'!R7)</f>
        <v>-3870570</v>
      </c>
      <c r="J6" s="1">
        <f>('Kwh Consumption'!S7+'Kwh Consumption'!T7)</f>
        <v>-16172851.24</v>
      </c>
      <c r="K6" s="1">
        <f>'Kwh Consumption'!U7</f>
        <v>-172300</v>
      </c>
      <c r="L6" s="32">
        <f t="shared" si="0"/>
        <v>26185271.240000002</v>
      </c>
    </row>
    <row r="7" spans="1:12" x14ac:dyDescent="0.25">
      <c r="A7" s="14">
        <f>'Kwh Reading'!A8</f>
        <v>44474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44475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44476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44477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44478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44479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44480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44481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44482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44483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44484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44485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44486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44487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44488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44489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44490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44491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44492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44493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44494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44495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44496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44497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44498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44499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44500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60809.99999999904</v>
      </c>
      <c r="C34" s="75">
        <f>SUM(C3:C33)</f>
        <v>-463120</v>
      </c>
      <c r="D34" s="75">
        <f t="shared" ref="D34:L34" si="1">SUM(D3:D33)</f>
        <v>-2601400</v>
      </c>
      <c r="E34" s="75">
        <f t="shared" si="1"/>
        <v>-251990.00000000003</v>
      </c>
      <c r="F34" s="75">
        <f t="shared" si="1"/>
        <v>-959370</v>
      </c>
      <c r="G34" s="75">
        <f t="shared" si="1"/>
        <v>-308030</v>
      </c>
      <c r="H34" s="75">
        <f t="shared" si="1"/>
        <v>-1369450</v>
      </c>
      <c r="I34" s="75">
        <f t="shared" si="1"/>
        <v>-3857260</v>
      </c>
      <c r="J34" s="75">
        <f t="shared" si="1"/>
        <v>-16158980.210000001</v>
      </c>
      <c r="K34" s="75">
        <f t="shared" si="1"/>
        <v>-171699.99999999997</v>
      </c>
      <c r="L34" s="75">
        <f t="shared" si="1"/>
        <v>26202110.210000001</v>
      </c>
      <c r="M34" s="84">
        <f>C34+D34+E34+F34+G34+H34+I34+J34+K34+L34</f>
        <v>60810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-69468</v>
      </c>
      <c r="D36" s="75">
        <f>D34*B36</f>
        <v>-390210</v>
      </c>
      <c r="E36" s="75">
        <f>E34*B36</f>
        <v>-37798.5</v>
      </c>
      <c r="F36" s="75">
        <f>F34*B36</f>
        <v>-143905.5</v>
      </c>
      <c r="G36" s="75">
        <f>G34*B36</f>
        <v>-46204.5</v>
      </c>
      <c r="H36" s="75">
        <f>H34*B36</f>
        <v>-205417.5</v>
      </c>
      <c r="I36" s="75">
        <f>I34*B36</f>
        <v>-578589</v>
      </c>
      <c r="J36" s="75">
        <f>J34*B36</f>
        <v>-2423847.0315</v>
      </c>
      <c r="K36" s="75">
        <f>K34*B36</f>
        <v>-25754.999999999996</v>
      </c>
      <c r="L36" s="75">
        <f>L34*B36</f>
        <v>3930316.5315</v>
      </c>
      <c r="M36" s="84">
        <f>C36+D36+E36+F36+G36+H36+I36+J36+K36+L36</f>
        <v>9121.5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2975.9999999998513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803.60999999962257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3214.4999999998731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761.48399999993853</v>
      </c>
      <c r="L5" s="1">
        <f>'Kwh Consumption'!U6*' Kwh area wise $ '!B5</f>
        <v>28.499999999999659</v>
      </c>
      <c r="M5" s="1">
        <f>'Kwh Consumption'!V6*' Kwh area wise $ '!B5</f>
        <v>842.01599999993562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0</v>
      </c>
      <c r="D6" s="1">
        <f>'Kwh Consumption'!C7*' Kwh area wise $ '!B6</f>
        <v>-69649.5</v>
      </c>
      <c r="E6" s="1">
        <f>'Kwh Consumption'!D7*' Kwh area wise $ '!B6</f>
        <v>-391260</v>
      </c>
      <c r="F6" s="1">
        <f>'Kwh Consumption'!E7*' Kwh area wise $ '!B6</f>
        <v>-37909.5</v>
      </c>
      <c r="G6" s="1">
        <f>('Kwh Consumption'!F7+'Kwh Consumption'!G7+'Kwh Consumption'!H7)*' Kwh area wise $ '!B6</f>
        <v>-144183</v>
      </c>
      <c r="H6" s="16">
        <f>('Kwh Consumption'!I7+'Kwh Consumption'!J7)*' Kwh area wise $ '!B6</f>
        <v>-46362</v>
      </c>
      <c r="I6" s="1">
        <f>('Kwh Consumption'!K7+'Kwh Consumption'!L7)*' Kwh area wise $ '!B6</f>
        <v>-206068.5</v>
      </c>
      <c r="J6" s="1">
        <f>('Kwh Consumption'!M7+'Kwh Consumption'!N7+'Kwh Consumption'!O7+'Kwh Consumption'!P7+'Kwh Consumption'!Q7+'Kwh Consumption'!R7)*' Kwh area wise $ '!B6</f>
        <v>-580585.5</v>
      </c>
      <c r="K6" s="1">
        <f>('Kwh Consumption'!S7+'Kwh Consumption'!T7)*' Kwh area wise $ '!B6</f>
        <v>-2425927.6859999998</v>
      </c>
      <c r="L6" s="1">
        <f>'Kwh Consumption'!U7*' Kwh area wise $ '!B6</f>
        <v>-25845</v>
      </c>
      <c r="M6" s="1">
        <f>'Kwh Consumption'!V7*' Kwh area wise $ '!B6</f>
        <v>3927790.6859999998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10018.499999999724</v>
      </c>
      <c r="D34" s="75">
        <f t="shared" si="0"/>
        <v>-69468</v>
      </c>
      <c r="E34" s="75">
        <f t="shared" si="0"/>
        <v>-390210</v>
      </c>
      <c r="F34" s="75">
        <f t="shared" si="0"/>
        <v>-37798.5</v>
      </c>
      <c r="G34" s="75">
        <f t="shared" si="0"/>
        <v>-143905.5</v>
      </c>
      <c r="H34" s="75">
        <f t="shared" si="0"/>
        <v>-46204.499999999993</v>
      </c>
      <c r="I34" s="75">
        <f t="shared" si="0"/>
        <v>-205417.5</v>
      </c>
      <c r="J34" s="75">
        <f t="shared" si="0"/>
        <v>-578589</v>
      </c>
      <c r="K34" s="75">
        <f t="shared" si="0"/>
        <v>-2423847.0314999996</v>
      </c>
      <c r="L34" s="75">
        <f t="shared" si="0"/>
        <v>-25754.999999999996</v>
      </c>
      <c r="M34" s="75">
        <f>SUM(M3:M33)</f>
        <v>3931213.5314999996</v>
      </c>
      <c r="N34" s="84">
        <f>D34+E34+F34+G34+H34+I34+J34+K34+L34+M34</f>
        <v>10018.5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S6" sqref="S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44470</v>
      </c>
      <c r="B3" s="33">
        <v>186122</v>
      </c>
      <c r="C3" s="56">
        <v>148431</v>
      </c>
      <c r="D3" s="33">
        <v>223125</v>
      </c>
      <c r="E3" s="33">
        <v>253147</v>
      </c>
      <c r="F3" s="33">
        <v>66997</v>
      </c>
      <c r="G3" s="33">
        <v>113275</v>
      </c>
      <c r="H3" s="33">
        <v>56358</v>
      </c>
      <c r="I3" s="33">
        <v>66371</v>
      </c>
      <c r="J3" s="33">
        <v>21313</v>
      </c>
      <c r="K3" s="33">
        <v>1024</v>
      </c>
      <c r="L3" s="33">
        <v>17921</v>
      </c>
      <c r="M3" s="33">
        <v>25569</v>
      </c>
      <c r="N3" s="33">
        <v>7704</v>
      </c>
      <c r="O3" s="33">
        <v>1768</v>
      </c>
      <c r="P3" s="33">
        <v>28036</v>
      </c>
      <c r="Q3" s="33">
        <v>1011</v>
      </c>
      <c r="R3" s="33">
        <v>6759</v>
      </c>
    </row>
    <row r="4" spans="1:21" x14ac:dyDescent="0.25">
      <c r="A4" s="54">
        <v>44471</v>
      </c>
      <c r="B4" s="56">
        <v>186215</v>
      </c>
      <c r="C4" s="56">
        <v>148545</v>
      </c>
      <c r="D4" s="55">
        <v>223199</v>
      </c>
      <c r="E4" s="55">
        <v>253195</v>
      </c>
      <c r="F4" s="55">
        <v>66997</v>
      </c>
      <c r="G4" s="55">
        <v>113291</v>
      </c>
      <c r="H4" s="33">
        <v>56395</v>
      </c>
      <c r="I4" s="55">
        <v>66395</v>
      </c>
      <c r="J4" s="55">
        <v>21322</v>
      </c>
      <c r="K4" s="55">
        <v>1024</v>
      </c>
      <c r="L4" s="55">
        <v>17928</v>
      </c>
      <c r="M4" s="55">
        <v>25582</v>
      </c>
      <c r="N4" s="55">
        <v>7709</v>
      </c>
      <c r="O4" s="55">
        <v>1768</v>
      </c>
      <c r="P4" s="55">
        <v>28036</v>
      </c>
      <c r="Q4" s="33">
        <v>1012</v>
      </c>
      <c r="R4" s="55">
        <v>6761</v>
      </c>
    </row>
    <row r="5" spans="1:21" x14ac:dyDescent="0.25">
      <c r="A5" s="54">
        <v>44472</v>
      </c>
      <c r="B5" s="55">
        <v>186305</v>
      </c>
      <c r="C5" s="33">
        <v>148514</v>
      </c>
      <c r="D5" s="55">
        <v>223299</v>
      </c>
      <c r="E5" s="55">
        <v>253243</v>
      </c>
      <c r="F5" s="55">
        <v>66997</v>
      </c>
      <c r="G5" s="55">
        <v>113305</v>
      </c>
      <c r="H5" s="33">
        <v>56417</v>
      </c>
      <c r="I5" s="55">
        <v>66410</v>
      </c>
      <c r="J5" s="55">
        <v>21332</v>
      </c>
      <c r="K5" s="55">
        <v>1024</v>
      </c>
      <c r="L5" s="55">
        <v>17935</v>
      </c>
      <c r="M5" s="55">
        <v>25595</v>
      </c>
      <c r="N5" s="55">
        <v>7712</v>
      </c>
      <c r="O5" s="55">
        <v>1769</v>
      </c>
      <c r="P5" s="55">
        <v>28043</v>
      </c>
      <c r="Q5" s="33">
        <v>1014</v>
      </c>
      <c r="R5" s="55">
        <v>6767</v>
      </c>
    </row>
    <row r="6" spans="1:21" x14ac:dyDescent="0.25">
      <c r="A6" s="54">
        <v>44473</v>
      </c>
      <c r="B6" s="56">
        <v>186409</v>
      </c>
      <c r="C6" s="56">
        <v>148463</v>
      </c>
      <c r="D6" s="55">
        <v>223375</v>
      </c>
      <c r="E6" s="55">
        <v>253292</v>
      </c>
      <c r="F6" s="55">
        <v>66998</v>
      </c>
      <c r="G6" s="55">
        <v>113321</v>
      </c>
      <c r="H6" s="33">
        <v>56447</v>
      </c>
      <c r="I6" s="55">
        <v>66443</v>
      </c>
      <c r="J6" s="55">
        <v>21342</v>
      </c>
      <c r="K6" s="55">
        <v>1024</v>
      </c>
      <c r="L6" s="55">
        <v>17942</v>
      </c>
      <c r="M6" s="55">
        <v>25606</v>
      </c>
      <c r="N6" s="55">
        <v>7716</v>
      </c>
      <c r="O6" s="55">
        <v>1770</v>
      </c>
      <c r="P6" s="55">
        <v>28060</v>
      </c>
      <c r="Q6" s="33">
        <v>1016</v>
      </c>
      <c r="R6" s="55">
        <v>6772</v>
      </c>
    </row>
    <row r="7" spans="1:21" x14ac:dyDescent="0.25">
      <c r="A7" s="54">
        <v>44474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21" x14ac:dyDescent="0.25">
      <c r="A8" s="54">
        <v>44475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44476</v>
      </c>
      <c r="B9" s="56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44477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44478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44479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44480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44481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44482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44483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44484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44485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44486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44487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44488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44489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44490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  <c r="S23" s="10" t="s">
        <v>128</v>
      </c>
    </row>
    <row r="24" spans="1:22" x14ac:dyDescent="0.25">
      <c r="A24" s="54">
        <v>44491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44492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44493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44494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44495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44496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44497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44498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44499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44500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44501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G5" sqref="G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31</v>
      </c>
      <c r="B2" s="140" t="s">
        <v>108</v>
      </c>
      <c r="C2" s="140" t="s">
        <v>109</v>
      </c>
      <c r="D2" s="140"/>
      <c r="E2" s="141" t="s">
        <v>97</v>
      </c>
      <c r="F2" s="138"/>
      <c r="G2" s="135" t="s">
        <v>112</v>
      </c>
      <c r="H2" s="138"/>
      <c r="I2" s="135" t="s">
        <v>110</v>
      </c>
      <c r="J2" s="138"/>
      <c r="K2" s="135" t="s">
        <v>111</v>
      </c>
      <c r="L2" s="138"/>
      <c r="M2" s="135" t="s">
        <v>107</v>
      </c>
      <c r="N2" s="138"/>
      <c r="O2" s="135" t="s">
        <v>106</v>
      </c>
      <c r="P2" s="138"/>
      <c r="Q2" s="135" t="s">
        <v>113</v>
      </c>
      <c r="R2" s="138"/>
      <c r="S2" s="135" t="s">
        <v>114</v>
      </c>
      <c r="T2" s="138"/>
      <c r="U2" s="135" t="s">
        <v>115</v>
      </c>
      <c r="V2" s="138"/>
      <c r="W2" s="135" t="s">
        <v>99</v>
      </c>
      <c r="X2" s="136"/>
      <c r="Y2" s="137" t="s">
        <v>52</v>
      </c>
      <c r="Z2" s="137"/>
    </row>
    <row r="3" spans="1:26" ht="30" x14ac:dyDescent="0.35">
      <c r="A3" s="139"/>
      <c r="B3" s="140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44470</v>
      </c>
      <c r="B4" s="65">
        <v>469</v>
      </c>
      <c r="C4" s="66">
        <f>('Water Reading'!B4-'Water Reading'!B3)+('Water Reading'!C4-'Water Reading'!C3)</f>
        <v>207</v>
      </c>
      <c r="D4" s="67">
        <f>C4/B4</f>
        <v>0.44136460554371004</v>
      </c>
      <c r="E4" s="88">
        <f>'Water Reading'!H4-'Water Reading'!H3</f>
        <v>37</v>
      </c>
      <c r="F4" s="89">
        <f>E4/C4</f>
        <v>0.17874396135265699</v>
      </c>
      <c r="G4" s="93">
        <f>('Water Reading'!D4-'Water Reading'!D3)-('Water Reading'!R4-'Water Reading'!R3)-('Water Reading'!Q4-'Water Reading'!Q3)</f>
        <v>71</v>
      </c>
      <c r="H4" s="89">
        <f>G4/C4</f>
        <v>0.34299516908212563</v>
      </c>
      <c r="I4" s="90">
        <f>'Water Reading'!P4-'Water Reading'!P3</f>
        <v>0</v>
      </c>
      <c r="J4" s="68">
        <f>I4/C4</f>
        <v>0</v>
      </c>
      <c r="K4" s="91">
        <f>('Water Reading'!I4-'Water Reading'!I3)-('Water Reading'!P4-'Water Reading'!P3)</f>
        <v>24</v>
      </c>
      <c r="L4" s="68">
        <f>K4/C4</f>
        <v>0.11594202898550725</v>
      </c>
      <c r="M4" s="90">
        <f>'Water Reading'!R4-'Water Reading'!R3</f>
        <v>2</v>
      </c>
      <c r="N4" s="92">
        <f>M4/C4</f>
        <v>9.6618357487922701E-3</v>
      </c>
      <c r="O4" s="90">
        <f>'Water Reading'!Q4-'Water Reading'!Q3</f>
        <v>1</v>
      </c>
      <c r="P4" s="99">
        <f>O4/C4</f>
        <v>4.830917874396135E-3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48</v>
      </c>
      <c r="T4" s="100">
        <f>S4/C4</f>
        <v>0.2318840579710145</v>
      </c>
      <c r="U4" s="90">
        <f>'Water Reading'!G4-'Water Reading'!G3</f>
        <v>16</v>
      </c>
      <c r="V4" s="100">
        <f>U4/C4</f>
        <v>7.7294685990338161E-2</v>
      </c>
      <c r="W4" s="90">
        <f>'Water Reading'!J4-'Water Reading'!J3</f>
        <v>9</v>
      </c>
      <c r="X4" s="100">
        <f>W4/C4</f>
        <v>4.3478260869565216E-2</v>
      </c>
      <c r="Y4" s="66">
        <f t="shared" ref="Y4:Y34" si="0">E4+I4+K4+M4+O4+G4+Q4+S4+U4+W4</f>
        <v>208</v>
      </c>
      <c r="Z4" s="67">
        <f t="shared" ref="Z4:Z35" si="1">Y4/B4</f>
        <v>0.44349680170575695</v>
      </c>
    </row>
    <row r="5" spans="1:26" x14ac:dyDescent="0.25">
      <c r="A5" s="8">
        <f>'Water Reading'!A4</f>
        <v>44471</v>
      </c>
      <c r="B5" s="65">
        <f>TOTAL!I3</f>
        <v>175</v>
      </c>
      <c r="C5" s="66">
        <v>385</v>
      </c>
      <c r="D5" s="67">
        <f t="shared" ref="D5:D34" si="2">C5/B5</f>
        <v>2.2000000000000002</v>
      </c>
      <c r="E5" s="88">
        <f>'Water Reading'!H5-'Water Reading'!H4</f>
        <v>22</v>
      </c>
      <c r="F5" s="89">
        <f t="shared" ref="F5:F34" si="3">E5/C5</f>
        <v>5.7142857142857141E-2</v>
      </c>
      <c r="G5" s="93">
        <f>('Water Reading'!D5-'Water Reading'!D4)-('Water Reading'!R5-'Water Reading'!R4)-('Water Reading'!Q5-'Water Reading'!Q4)</f>
        <v>92</v>
      </c>
      <c r="H5" s="89">
        <f t="shared" ref="H5:H34" si="4">G5/C5</f>
        <v>0.23896103896103896</v>
      </c>
      <c r="I5" s="90">
        <f>'Water Reading'!P5-'Water Reading'!P4</f>
        <v>7</v>
      </c>
      <c r="J5" s="68">
        <f t="shared" ref="J5:J34" si="5">I5/C5</f>
        <v>1.8181818181818181E-2</v>
      </c>
      <c r="K5" s="91">
        <f>('Water Reading'!I5-'Water Reading'!I4)-('Water Reading'!P5-'Water Reading'!P4)</f>
        <v>8</v>
      </c>
      <c r="L5" s="68">
        <f t="shared" ref="L5:L34" si="6">K5/C5</f>
        <v>2.0779220779220779E-2</v>
      </c>
      <c r="M5" s="90">
        <f>'Water Reading'!R5-'Water Reading'!R4</f>
        <v>6</v>
      </c>
      <c r="N5" s="92">
        <f t="shared" ref="N5:N34" si="7">M5/C5</f>
        <v>1.5584415584415584E-2</v>
      </c>
      <c r="O5" s="90">
        <f>'Water Reading'!Q5-'Water Reading'!Q4</f>
        <v>2</v>
      </c>
      <c r="P5" s="99">
        <f t="shared" ref="P5:P34" si="8">O5/C5</f>
        <v>5.1948051948051948E-3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48</v>
      </c>
      <c r="T5" s="100">
        <f t="shared" ref="T5:T34" si="10">S5/C5</f>
        <v>0.12467532467532468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209</v>
      </c>
      <c r="Z5" s="67">
        <f t="shared" si="1"/>
        <v>1.1942857142857144</v>
      </c>
    </row>
    <row r="6" spans="1:26" x14ac:dyDescent="0.25">
      <c r="A6" s="8">
        <f>'Water Reading'!A5</f>
        <v>44472</v>
      </c>
      <c r="B6" s="65">
        <f>TOTAL!I4</f>
        <v>189</v>
      </c>
      <c r="C6" s="66">
        <f>('Water Reading'!B6-'Water Reading'!B5)+('Water Reading'!C6-'Water Reading'!C5)</f>
        <v>53</v>
      </c>
      <c r="D6" s="67">
        <f t="shared" si="2"/>
        <v>0.28042328042328041</v>
      </c>
      <c r="E6" s="88">
        <f>'Water Reading'!H6-'Water Reading'!H5</f>
        <v>30</v>
      </c>
      <c r="F6" s="89">
        <f t="shared" si="3"/>
        <v>0.56603773584905659</v>
      </c>
      <c r="G6" s="93">
        <f>('Water Reading'!D6-'Water Reading'!D5)-('Water Reading'!R6-'Water Reading'!R5)-('Water Reading'!Q6-'Water Reading'!Q5)</f>
        <v>69</v>
      </c>
      <c r="H6" s="89">
        <f t="shared" si="4"/>
        <v>1.3018867924528301</v>
      </c>
      <c r="I6" s="90">
        <f>'Water Reading'!P6-'Water Reading'!P5</f>
        <v>17</v>
      </c>
      <c r="J6" s="68">
        <f t="shared" si="5"/>
        <v>0.32075471698113206</v>
      </c>
      <c r="K6" s="91">
        <f>('Water Reading'!I6-'Water Reading'!I5)-('Water Reading'!P6-'Water Reading'!P5)</f>
        <v>16</v>
      </c>
      <c r="L6" s="68">
        <f t="shared" si="6"/>
        <v>0.30188679245283018</v>
      </c>
      <c r="M6" s="90">
        <f>'Water Reading'!R6-'Water Reading'!R5</f>
        <v>5</v>
      </c>
      <c r="N6" s="92">
        <f t="shared" si="7"/>
        <v>9.4339622641509441E-2</v>
      </c>
      <c r="O6" s="90">
        <f>'Water Reading'!Q6-'Water Reading'!Q5</f>
        <v>2</v>
      </c>
      <c r="P6" s="99">
        <f t="shared" si="8"/>
        <v>3.7735849056603772E-2</v>
      </c>
      <c r="Q6" s="91">
        <f>'Water Reading'!F6-'Water Reading'!F5</f>
        <v>1</v>
      </c>
      <c r="R6" s="100">
        <f t="shared" si="9"/>
        <v>1.8867924528301886E-2</v>
      </c>
      <c r="S6" s="90">
        <f>'Water Reading'!E6-'Water Reading'!E5</f>
        <v>49</v>
      </c>
      <c r="T6" s="100">
        <f t="shared" si="10"/>
        <v>0.92452830188679247</v>
      </c>
      <c r="U6" s="90">
        <f>'Water Reading'!G6-'Water Reading'!G5</f>
        <v>16</v>
      </c>
      <c r="V6" s="100">
        <f t="shared" si="11"/>
        <v>0.30188679245283018</v>
      </c>
      <c r="W6" s="90">
        <f>'Water Reading'!J6-'Water Reading'!J5</f>
        <v>10</v>
      </c>
      <c r="X6" s="100">
        <f t="shared" si="12"/>
        <v>0.18867924528301888</v>
      </c>
      <c r="Y6" s="66">
        <f t="shared" si="0"/>
        <v>215</v>
      </c>
      <c r="Z6" s="67">
        <f t="shared" si="1"/>
        <v>1.1375661375661377</v>
      </c>
    </row>
    <row r="7" spans="1:26" x14ac:dyDescent="0.25">
      <c r="A7" s="8">
        <f>'Water Reading'!A6</f>
        <v>44473</v>
      </c>
      <c r="B7" s="65">
        <f>TOTAL!I5</f>
        <v>0</v>
      </c>
      <c r="C7" s="66">
        <f>('Water Reading'!B7-'Water Reading'!B6)+('Water Reading'!C7-'Water Reading'!C6)</f>
        <v>-334872</v>
      </c>
      <c r="D7" s="67" t="e">
        <f t="shared" si="2"/>
        <v>#DIV/0!</v>
      </c>
      <c r="E7" s="88">
        <f>'Water Reading'!H7-'Water Reading'!H6</f>
        <v>-56447</v>
      </c>
      <c r="F7" s="89">
        <f t="shared" si="3"/>
        <v>0.16856291359086456</v>
      </c>
      <c r="G7" s="93">
        <f>('Water Reading'!D7-'Water Reading'!D6)-('Water Reading'!R7-'Water Reading'!R6)-('Water Reading'!Q7-'Water Reading'!Q6)</f>
        <v>-215587</v>
      </c>
      <c r="H7" s="89">
        <f t="shared" si="4"/>
        <v>0.6437892687355169</v>
      </c>
      <c r="I7" s="90">
        <f>'Water Reading'!P7-'Water Reading'!P6</f>
        <v>-28060</v>
      </c>
      <c r="J7" s="68">
        <f t="shared" si="5"/>
        <v>8.3793210540146684E-2</v>
      </c>
      <c r="K7" s="91">
        <f>('Water Reading'!I7-'Water Reading'!I6)-('Water Reading'!P7-'Water Reading'!P6)</f>
        <v>-38383</v>
      </c>
      <c r="L7" s="68">
        <f t="shared" si="6"/>
        <v>0.1146199144747844</v>
      </c>
      <c r="M7" s="90">
        <f>'Water Reading'!R7-'Water Reading'!R6</f>
        <v>-6772</v>
      </c>
      <c r="N7" s="92">
        <f t="shared" si="7"/>
        <v>2.0222652237272747E-2</v>
      </c>
      <c r="O7" s="90">
        <f>'Water Reading'!Q7-'Water Reading'!Q6</f>
        <v>-1016</v>
      </c>
      <c r="P7" s="99">
        <f t="shared" si="8"/>
        <v>3.0339950787166441E-3</v>
      </c>
      <c r="Q7" s="91">
        <f>'Water Reading'!F7-'Water Reading'!F6</f>
        <v>-66998</v>
      </c>
      <c r="R7" s="100">
        <f t="shared" si="9"/>
        <v>0.20007047468883632</v>
      </c>
      <c r="S7" s="90">
        <f>'Water Reading'!E7-'Water Reading'!E6</f>
        <v>-253292</v>
      </c>
      <c r="T7" s="100">
        <f t="shared" si="10"/>
        <v>0.75638452901407105</v>
      </c>
      <c r="U7" s="90">
        <f>'Water Reading'!G7-'Water Reading'!G6</f>
        <v>-113321</v>
      </c>
      <c r="V7" s="100">
        <f t="shared" si="11"/>
        <v>0.33840094125516618</v>
      </c>
      <c r="W7" s="90">
        <f>'Water Reading'!J7-'Water Reading'!J6</f>
        <v>-21342</v>
      </c>
      <c r="X7" s="100">
        <f t="shared" si="12"/>
        <v>6.3731813946821467E-2</v>
      </c>
      <c r="Y7" s="66">
        <f t="shared" si="0"/>
        <v>-801218</v>
      </c>
      <c r="Z7" s="67" t="e">
        <f t="shared" si="1"/>
        <v>#DIV/0!</v>
      </c>
    </row>
    <row r="8" spans="1:26" x14ac:dyDescent="0.25">
      <c r="A8" s="8">
        <f>'Water Reading'!A7</f>
        <v>44474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Reading'!I7)-('Water Reading'!P8-'Water Reading'!P7)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44475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44476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44477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44478</v>
      </c>
      <c r="B12" s="65">
        <f>TOTAL!I10</f>
        <v>0</v>
      </c>
      <c r="C12" s="66">
        <v>250</v>
      </c>
      <c r="D12" s="67" t="e">
        <f t="shared" si="2"/>
        <v>#DIV/0!</v>
      </c>
      <c r="E12" s="88">
        <f>'Water Reading'!H12-'Water Reading'!H11</f>
        <v>0</v>
      </c>
      <c r="F12" s="89">
        <f t="shared" si="3"/>
        <v>0</v>
      </c>
      <c r="G12" s="93">
        <f>('Water Reading'!D12-'Water Reading'!D11)-('Water Reading'!R12-'Water Reading'!R11)-('Water Reading'!Q12-'Water Reading'!Q11)</f>
        <v>0</v>
      </c>
      <c r="H12" s="89">
        <f t="shared" si="4"/>
        <v>0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Reading'!I11)-('Water Reading'!P12-'Water Reading'!P11)</f>
        <v>0</v>
      </c>
      <c r="L12" s="68">
        <f t="shared" si="6"/>
        <v>0</v>
      </c>
      <c r="M12" s="90">
        <f>'Water Reading'!R12-'Water Reading'!R11</f>
        <v>0</v>
      </c>
      <c r="N12" s="92">
        <f t="shared" si="7"/>
        <v>0</v>
      </c>
      <c r="O12" s="98">
        <f>'Water Reading'!Q12-'Water Reading'!Q11</f>
        <v>0</v>
      </c>
      <c r="P12" s="99">
        <f t="shared" si="8"/>
        <v>0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0</v>
      </c>
      <c r="T12" s="100">
        <f t="shared" si="10"/>
        <v>0</v>
      </c>
      <c r="U12" s="90">
        <f>'Water Reading'!G12-'Water Reading'!G11</f>
        <v>0</v>
      </c>
      <c r="V12" s="100">
        <f t="shared" si="11"/>
        <v>0</v>
      </c>
      <c r="W12" s="90">
        <f>'Water Reading'!J12-'Water Reading'!J11</f>
        <v>0</v>
      </c>
      <c r="X12" s="100">
        <f t="shared" si="12"/>
        <v>0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44479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44480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44481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44482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44483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44484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44485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44486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44487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44488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44489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44490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44491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44492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44493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44494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44495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44496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44497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44498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44499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44500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833</v>
      </c>
      <c r="C35" s="75">
        <f>SUM(C4:C34)</f>
        <v>-333977</v>
      </c>
      <c r="D35" s="96">
        <f>C35/B35</f>
        <v>-400.93277310924367</v>
      </c>
      <c r="E35" s="7">
        <f>SUM(E4:E34)</f>
        <v>-56358</v>
      </c>
      <c r="F35" s="95">
        <f>E35/C35</f>
        <v>0.16874814732751059</v>
      </c>
      <c r="G35" s="75">
        <f>SUM(G4:G34)</f>
        <v>-215355</v>
      </c>
      <c r="H35" s="95">
        <f>G35/C35</f>
        <v>0.64481985286411936</v>
      </c>
      <c r="I35" s="7">
        <f>SUM(I4:I34)</f>
        <v>-28036</v>
      </c>
      <c r="J35" s="95">
        <f>I35/C35</f>
        <v>8.3945900466199763E-2</v>
      </c>
      <c r="K35" s="7">
        <f>SUM(K4:K34)</f>
        <v>-38335</v>
      </c>
      <c r="L35" s="95">
        <f>K35/C35</f>
        <v>0.11478335334469141</v>
      </c>
      <c r="M35" s="7">
        <f>SUM(M4:M34)</f>
        <v>-6759</v>
      </c>
      <c r="N35" s="95">
        <f>M35/C35</f>
        <v>2.0237920575368964E-2</v>
      </c>
      <c r="O35" s="7">
        <f>SUM(O4:O34)</f>
        <v>-1011</v>
      </c>
      <c r="P35" s="95">
        <f>O35/C35</f>
        <v>3.0271545645358814E-3</v>
      </c>
      <c r="Q35" s="7">
        <f>SUM(Q4:Q34)</f>
        <v>-66997</v>
      </c>
      <c r="R35" s="95">
        <f>Q35/C35</f>
        <v>0.20060363438200834</v>
      </c>
      <c r="S35" s="75">
        <f>SUM(S4:S34)</f>
        <v>-253147</v>
      </c>
      <c r="T35" s="95">
        <f>S35/C35</f>
        <v>0.75797734574536568</v>
      </c>
      <c r="U35" s="7">
        <f>SUM(U4:U34)</f>
        <v>-113275</v>
      </c>
      <c r="V35" s="95">
        <f>U35/C35</f>
        <v>0.33917006260910182</v>
      </c>
      <c r="W35" s="7">
        <f>SUM(W4:W34)</f>
        <v>-21313</v>
      </c>
      <c r="X35" s="95">
        <f>W35/C35</f>
        <v>6.3815771744760871E-2</v>
      </c>
      <c r="Y35" s="75">
        <f>SUM(Y4:Y34)</f>
        <v>-800586</v>
      </c>
      <c r="Z35" s="95">
        <f t="shared" si="1"/>
        <v>-961.08763505402158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2021-10-05T02:12:44Z</dcterms:modified>
  <cp:category/>
  <cp:contentStatus/>
</cp:coreProperties>
</file>