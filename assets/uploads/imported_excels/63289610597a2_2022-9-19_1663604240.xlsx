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M15" i="7" l="1"/>
  <c r="CS5" i="7" l="1"/>
  <c r="CS6" i="7"/>
  <c r="CS7" i="7"/>
  <c r="CS8" i="7"/>
  <c r="CS9" i="7"/>
  <c r="CS10" i="7"/>
  <c r="CS11" i="7"/>
  <c r="CS12" i="7"/>
  <c r="CS13" i="7"/>
  <c r="CS14" i="7"/>
  <c r="CJ12" i="7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<sst xmlns="http://schemas.openxmlformats.org/spreadsheetml/2006/main" count="315" uniqueCount="148">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</sst>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8" sqref="O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2022</v>
      </c>
      <c r="E2" s="12">
        <f>Submetering!E2+Submetering!F2+Submetering!G2+Submetering!H2+Submetering!J2-Submetering!AV2</f>
        <v>9599.9999999987558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</v>
      </c>
      <c r="J2" s="11">
        <v>10.487297712684205</v>
      </c>
      <c r="K2" s="13">
        <f>'FS Desroches Daily'!CN4</f>
        <v>16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9</v>
      </c>
      <c r="D3" s="1">
        <v>2022</v>
      </c>
      <c r="E3" s="12">
        <f>Submetering!E3+Submetering!F3+Submetering!G3+Submetering!H3+Submetering!J3-Submetering!AV3</f>
        <v>9500.0000000008422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105.59999999999854</v>
      </c>
      <c r="J3" s="11">
        <f>J2</f>
        <v>10.487297712684205</v>
      </c>
      <c r="K3" s="13">
        <f>'FS Desroches Daily'!CN5</f>
        <v>15</v>
      </c>
    </row>
    <row r="4" spans="1:13" s="16" customFormat="1" x14ac:dyDescent="0.25">
      <c r="A4" s="1" t="s">
        <v>11</v>
      </c>
      <c r="B4" s="10">
        <v>3</v>
      </c>
      <c r="C4" s="11">
        <v>9</v>
      </c>
      <c r="D4" s="1">
        <v>2022</v>
      </c>
      <c r="E4" s="12">
        <f>Submetering!E4+Submetering!F4+Submetering!G4+Submetering!H4+Submetering!J4-Submetering!AV4</f>
        <v>9400.0000000002528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115</v>
      </c>
      <c r="J4" s="11">
        <f t="shared" ref="J4:J32" si="2">J3</f>
        <v>10.487297712684205</v>
      </c>
      <c r="K4" s="13">
        <f>'FS Desroches Daily'!CN6</f>
        <v>11</v>
      </c>
    </row>
    <row r="5" spans="1:13" s="16" customFormat="1" x14ac:dyDescent="0.25">
      <c r="A5" s="1" t="s">
        <v>11</v>
      </c>
      <c r="B5" s="10">
        <v>4</v>
      </c>
      <c r="C5" s="11">
        <v>9</v>
      </c>
      <c r="D5" s="1">
        <v>2022</v>
      </c>
      <c r="E5" s="12">
        <f>Submetering!E5+Submetering!F5+Submetering!G5+Submetering!H5+Submetering!J5-Submetering!AV5</f>
        <v>9299.9999999998163</v>
      </c>
      <c r="F5" s="11">
        <f t="shared" si="0"/>
        <v>0.58765030286592534</v>
      </c>
      <c r="G5" s="12">
        <f>(Submetering!AX5+Submetering!AY5+Submetering!AZ5+Submetering!BA5+Submetering!BB5)</f>
        <v>12.820499999999999</v>
      </c>
      <c r="H5" s="11">
        <f t="shared" si="1"/>
        <v>0.99</v>
      </c>
      <c r="I5" s="12">
        <f>'FS Desroches Daily'!CM7</f>
        <v>125</v>
      </c>
      <c r="J5" s="11">
        <f t="shared" si="2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0">
        <v>5</v>
      </c>
      <c r="C6" s="11">
        <v>9</v>
      </c>
      <c r="D6" s="1">
        <v>2022</v>
      </c>
      <c r="E6" s="12">
        <f>Submetering!E6+Submetering!F6+Submetering!G6+Submetering!H6+Submetering!J6-Submetering!AV6</f>
        <v>9699.9999999990414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121</v>
      </c>
      <c r="J6" s="11">
        <f t="shared" si="2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0">
        <v>6</v>
      </c>
      <c r="C7" s="11">
        <v>9</v>
      </c>
      <c r="D7" s="1">
        <v>2022</v>
      </c>
      <c r="E7" s="12">
        <f>Submetering!E7+Submetering!F7+Submetering!G7+Submetering!H7+Submetering!J7-Submetering!AV7</f>
        <v>10299.999999999933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89</v>
      </c>
      <c r="J7" s="11">
        <f t="shared" si="2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0">
        <v>7</v>
      </c>
      <c r="C8" s="11">
        <v>9</v>
      </c>
      <c r="D8" s="1">
        <v>2022</v>
      </c>
      <c r="E8" s="12">
        <f>Submetering!E8+Submetering!F8+Submetering!G8+Submetering!H8+Submetering!J8-Submetering!AV8</f>
        <v>10000.000000001377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0">
        <v>8</v>
      </c>
      <c r="C9" s="11">
        <v>9</v>
      </c>
      <c r="D9" s="1">
        <v>2022</v>
      </c>
      <c r="E9" s="12">
        <f>Submetering!E9+Submetering!F9+Submetering!G9+Submetering!H9+Submetering!J9-Submetering!AV9</f>
        <v>9400.0000000000255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69</v>
      </c>
      <c r="J9" s="11">
        <f t="shared" si="2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0">
        <v>9</v>
      </c>
      <c r="C10" s="11">
        <v>9</v>
      </c>
      <c r="D10" s="1">
        <v>2022</v>
      </c>
      <c r="E10" s="12">
        <f>Submetering!E10+Submetering!F10+Submetering!G10+Submetering!H10+Submetering!J10-Submetering!AV10</f>
        <v>9799.9999999988031</v>
      </c>
      <c r="F10" s="11">
        <f t="shared" si="0"/>
        <v>0.58765030286592534</v>
      </c>
      <c r="G10" s="12">
        <f>(Submetering!AX10+Submetering!AY10+Submetering!AZ10+Submetering!BA10+Submetering!BB10)</f>
        <v>14.651999999999997</v>
      </c>
      <c r="H10" s="11">
        <f t="shared" si="1"/>
        <v>0.99</v>
      </c>
      <c r="I10" s="12">
        <f>'FS Desroches Daily'!CM12</f>
        <v>67</v>
      </c>
      <c r="J10" s="11">
        <f t="shared" si="2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0">
        <v>10</v>
      </c>
      <c r="C11" s="11">
        <v>9</v>
      </c>
      <c r="D11" s="1">
        <v>2022</v>
      </c>
      <c r="E11" s="12">
        <f>Submetering!E11+Submetering!F11+Submetering!G11+Submetering!H11+Submetering!J11-Submetering!AV11</f>
        <v>9400.0000000012842</v>
      </c>
      <c r="F11" s="11">
        <f t="shared" si="0"/>
        <v>0.58765030286592534</v>
      </c>
      <c r="G11" s="12">
        <f>(Submetering!AX11+Submetering!AY11+Submetering!AZ11+Submetering!BA11+Submetering!BB11)</f>
        <v>10.988999999999999</v>
      </c>
      <c r="H11" s="11">
        <f t="shared" si="1"/>
        <v>0.99</v>
      </c>
      <c r="I11" s="12">
        <f>'FS Desroches Daily'!CM13</f>
        <v>80</v>
      </c>
      <c r="J11" s="11">
        <f t="shared" si="2"/>
        <v>10.487297712684205</v>
      </c>
      <c r="K11" s="13">
        <f>'FS Desroches Daily'!CN13</f>
        <v>12</v>
      </c>
    </row>
    <row r="12" spans="1:13" s="16" customFormat="1" x14ac:dyDescent="0.25">
      <c r="A12" s="1" t="s">
        <v>11</v>
      </c>
      <c r="B12" s="10">
        <v>11</v>
      </c>
      <c r="C12" s="11">
        <v>9</v>
      </c>
      <c r="D12" s="1">
        <v>2022</v>
      </c>
      <c r="E12" s="12">
        <f>Submetering!E12+Submetering!F12+Submetering!G12+Submetering!H12+Submetering!J12-Submetering!AV12</f>
        <v>9199.9999999994616</v>
      </c>
      <c r="F12" s="11">
        <f t="shared" si="0"/>
        <v>0.58765030286592534</v>
      </c>
      <c r="G12" s="12">
        <f>(Submetering!AX12+Submetering!AY12+Submetering!AZ12+Submetering!BA12+Submetering!BB12)</f>
        <v>18.314999999999998</v>
      </c>
      <c r="H12" s="11">
        <f t="shared" si="1"/>
        <v>0.99</v>
      </c>
      <c r="I12" s="12">
        <f>'FS Desroches Daily'!CM14</f>
        <v>70.400000000001455</v>
      </c>
      <c r="J12" s="11">
        <f t="shared" si="2"/>
        <v>10.487297712684205</v>
      </c>
      <c r="K12" s="13">
        <f>'FS Desroches Daily'!CN14</f>
        <v>12</v>
      </c>
    </row>
    <row r="13" spans="1:13" s="16" customFormat="1" x14ac:dyDescent="0.25">
      <c r="A13" s="1" t="s">
        <v>11</v>
      </c>
      <c r="B13" s="10">
        <v>12</v>
      </c>
      <c r="C13" s="11">
        <v>9</v>
      </c>
      <c r="D13" s="1">
        <v>2022</v>
      </c>
      <c r="E13" s="12">
        <f>Submetering!E13+Submetering!F13+Submetering!G13+Submetering!H13+Submetering!J13-Submetering!AV13</f>
        <v>9100.000000000131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84.799999999999272</v>
      </c>
      <c r="J13" s="11">
        <f t="shared" si="2"/>
        <v>10.487297712684205</v>
      </c>
      <c r="K13" s="13">
        <f>'FS Desroches Daily'!CN15</f>
        <v>12</v>
      </c>
    </row>
    <row r="14" spans="1:13" s="16" customFormat="1" x14ac:dyDescent="0.25">
      <c r="A14" s="1" t="s">
        <v>11</v>
      </c>
      <c r="B14" s="10">
        <v>13</v>
      </c>
      <c r="C14" s="11">
        <v>9</v>
      </c>
      <c r="D14" s="1">
        <v>2022</v>
      </c>
      <c r="E14" s="12">
        <f>Submetering!E14+Submetering!F14+Submetering!G14+Submetering!H14+Submetering!J14-Submetering!AV14</f>
        <v>9800.0000000001419</v>
      </c>
      <c r="F14" s="11">
        <f t="shared" si="0"/>
        <v>0.58765030286592534</v>
      </c>
      <c r="G14" s="12">
        <f>(Submetering!AX14+Submetering!AY14+Submetering!AZ14+Submetering!BA14+Submetering!BB14)</f>
        <v>7.3259999999999996</v>
      </c>
      <c r="H14" s="11">
        <f t="shared" si="1"/>
        <v>0.99</v>
      </c>
      <c r="I14" s="12">
        <f>'FS Desroches Daily'!CM16</f>
        <v>107.89999999999782</v>
      </c>
      <c r="J14" s="11">
        <f t="shared" si="2"/>
        <v>10.487297712684205</v>
      </c>
      <c r="K14" s="13">
        <f>'FS Desroches Daily'!CN16</f>
        <v>11</v>
      </c>
    </row>
    <row r="15" spans="1:13" s="16" customFormat="1" x14ac:dyDescent="0.25">
      <c r="A15" s="1" t="s">
        <v>11</v>
      </c>
      <c r="B15" s="10">
        <v>14</v>
      </c>
      <c r="C15" s="11">
        <v>9</v>
      </c>
      <c r="D15" s="1">
        <v>2022</v>
      </c>
      <c r="E15" s="12">
        <f>Submetering!E15+Submetering!F15+Submetering!G15+Submetering!H15+Submetering!J15-Submetering!AV15</f>
        <v>9700.0000000005839</v>
      </c>
      <c r="F15" s="11">
        <f t="shared" si="0"/>
        <v>0.58765030286592534</v>
      </c>
      <c r="G15" s="12">
        <f>(Submetering!AX15+Submetering!AY15+Submetering!AZ15+Submetering!BA15+Submetering!BB15)</f>
        <v>10.988999999999999</v>
      </c>
      <c r="H15" s="11">
        <f t="shared" si="1"/>
        <v>0.99</v>
      </c>
      <c r="I15" s="12">
        <f>'FS Desroches Daily'!CM17</f>
        <v>84</v>
      </c>
      <c r="J15" s="11">
        <f t="shared" si="2"/>
        <v>10.487297712684205</v>
      </c>
      <c r="K15" s="13">
        <f>'FS Desroches Daily'!CN17</f>
        <v>13</v>
      </c>
    </row>
    <row r="16" spans="1:13" s="16" customFormat="1" x14ac:dyDescent="0.25">
      <c r="A16" s="1" t="s">
        <v>11</v>
      </c>
      <c r="B16" s="10">
        <v>15</v>
      </c>
      <c r="C16" s="11">
        <v>9</v>
      </c>
      <c r="D16" s="1">
        <v>2022</v>
      </c>
      <c r="E16" s="12">
        <f>Submetering!E16+Submetering!F16+Submetering!G16+Submetering!H16+Submetering!J16-Submetering!AV16</f>
        <v>9699.9999999987394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106.70000000000073</v>
      </c>
      <c r="J16" s="11">
        <f t="shared" si="2"/>
        <v>10.487297712684205</v>
      </c>
      <c r="K16" s="13">
        <f>'FS Desroches Daily'!CN18</f>
        <v>12</v>
      </c>
    </row>
    <row r="17" spans="1:11" s="16" customFormat="1" x14ac:dyDescent="0.25">
      <c r="A17" s="1" t="s">
        <v>11</v>
      </c>
      <c r="B17" s="10">
        <v>16</v>
      </c>
      <c r="C17" s="11">
        <v>9</v>
      </c>
      <c r="D17" s="1">
        <v>2022</v>
      </c>
      <c r="E17" s="12">
        <f>Submetering!E17+Submetering!F17+Submetering!G17+Submetering!H17+Submetering!J17-Submetering!AV17</f>
        <v>10000.000000000933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95.900000000001455</v>
      </c>
      <c r="J17" s="11">
        <f t="shared" si="2"/>
        <v>10.487297712684205</v>
      </c>
      <c r="K17" s="13">
        <f>'FS Desroches Daily'!CN19</f>
        <v>19</v>
      </c>
    </row>
    <row r="18" spans="1:11" s="16" customFormat="1" x14ac:dyDescent="0.25">
      <c r="A18" s="1" t="s">
        <v>11</v>
      </c>
      <c r="B18" s="10">
        <v>17</v>
      </c>
      <c r="C18" s="11">
        <v>9</v>
      </c>
      <c r="D18" s="1">
        <v>2022</v>
      </c>
      <c r="E18" s="12">
        <f>Submetering!E18+Submetering!F18+Submetering!G18+Submetering!H18+Submetering!J18-Submetering!AV18</f>
        <v>10099.999999999653</v>
      </c>
      <c r="F18" s="11">
        <f t="shared" si="0"/>
        <v>0.58765030286592534</v>
      </c>
      <c r="G18" s="12">
        <f>(Submetering!AX18+Submetering!AY18+Submetering!AZ18+Submetering!BA18+Submetering!BB18)</f>
        <v>10.988999999999999</v>
      </c>
      <c r="H18" s="11">
        <f t="shared" si="1"/>
        <v>0.99</v>
      </c>
      <c r="I18" s="12">
        <f>'FS Desroches Daily'!CM20</f>
        <v>84.299999999999272</v>
      </c>
      <c r="J18" s="11">
        <f t="shared" si="2"/>
        <v>10.487297712684205</v>
      </c>
      <c r="K18" s="13">
        <f>'FS Desroches Daily'!CN20</f>
        <v>24</v>
      </c>
    </row>
    <row r="19" spans="1:11" s="16" customFormat="1" x14ac:dyDescent="0.25">
      <c r="A19" s="1" t="s">
        <v>11</v>
      </c>
      <c r="B19" s="10">
        <v>18</v>
      </c>
      <c r="C19" s="11">
        <v>9</v>
      </c>
      <c r="D19" s="1">
        <v>2022</v>
      </c>
      <c r="E19" s="12">
        <f>Submetering!E19+Submetering!F19+Submetering!G19+Submetering!H19+Submetering!J19-Submetering!AV19</f>
        <v>8799.9999999994325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99</v>
      </c>
      <c r="J19" s="11">
        <f t="shared" si="2"/>
        <v>10.487297712684205</v>
      </c>
      <c r="K19" s="13">
        <f>'FS Desroches Daily'!CN21</f>
        <v>24</v>
      </c>
    </row>
    <row r="20" spans="1:11" s="16" customFormat="1" x14ac:dyDescent="0.25">
      <c r="A20" s="1" t="s">
        <v>11</v>
      </c>
      <c r="B20" s="10">
        <v>19</v>
      </c>
      <c r="C20" s="11">
        <v>9</v>
      </c>
      <c r="D20" s="1">
        <v>2022</v>
      </c>
      <c r="E20" s="12" t="e">
        <f>Submetering!E20+Submetering!F20+Submetering!G20+Submetering!H20+Submetering!J20-Submetering!AV20</f>
        <v>#VALUE!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 t="e">
        <f>'FS Desroches Daily'!CM22</f>
        <v>#VALUE!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9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9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9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9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9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9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9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9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9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9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9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9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O1" workbookViewId="0">
      <selection activeCell="J34" sqref="J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2022</v>
      </c>
      <c r="E2" s="31">
        <f>'FS Desroches Daily'!D4</f>
        <v>1999.9999999997797</v>
      </c>
      <c r="F2" s="32">
        <f>'FS Desroches Daily'!F4</f>
        <v>2899.9999999994584</v>
      </c>
      <c r="G2" s="31">
        <f>'FS Desroches Daily'!H4</f>
        <v>2899.9999999994584</v>
      </c>
      <c r="H2" s="32">
        <f>'FS Desroches Daily'!J4</f>
        <v>1399.9999999998458</v>
      </c>
      <c r="I2" s="31">
        <f>'FS Desroches Daily'!L4</f>
        <v>2000.0000000002237</v>
      </c>
      <c r="J2" s="32">
        <f>'FS Desroches Daily'!N4</f>
        <v>1300.0000000000789</v>
      </c>
      <c r="K2" s="13">
        <f>'FS Desroches Daily'!P4</f>
        <v>25</v>
      </c>
      <c r="L2" s="31">
        <f>'FS Desroches Daily'!R4</f>
        <v>3</v>
      </c>
      <c r="M2" s="31">
        <f>'FS Desroches Daily'!T4</f>
        <v>0.90000000000009095</v>
      </c>
      <c r="N2" s="31">
        <f>'FS Desroches Daily'!V4</f>
        <v>312.59999999997672</v>
      </c>
      <c r="O2" s="31">
        <f>'FS Desroches Daily'!X4</f>
        <v>289.99999999996362</v>
      </c>
      <c r="P2" s="31">
        <f>'FS Desroches Daily'!Z4</f>
        <v>2499.9999999995025</v>
      </c>
      <c r="Q2" s="31">
        <f>'FS Desroches Daily'!AB4</f>
        <v>209.99999999992269</v>
      </c>
      <c r="R2" s="31">
        <f>'FS Desroches Daily'!AD4</f>
        <v>300.00000000006821</v>
      </c>
      <c r="S2" s="31">
        <f>'FS Desroches Daily'!AF4</f>
        <v>659.99999999996817</v>
      </c>
      <c r="T2" s="31">
        <f>'FS Desroches Daily'!AH4</f>
        <v>37</v>
      </c>
      <c r="U2" s="35">
        <f>'FS Desroches Daily'!AJ4</f>
        <v>500</v>
      </c>
      <c r="V2" s="35">
        <f>'FS Desroches Daily'!AL4</f>
        <v>169.99999999995907</v>
      </c>
      <c r="W2" s="35">
        <f>'FS Desroches Daily'!AN4</f>
        <v>150.00000000003411</v>
      </c>
      <c r="X2" s="35">
        <f>'FS Desroches Daily'!AP4</f>
        <v>210.00000000003638</v>
      </c>
      <c r="Y2" s="35">
        <f>'FS Desroches Daily'!AR4</f>
        <v>90.000000000031832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79.999999999984084</v>
      </c>
      <c r="AC2" s="35">
        <f>'FS Desroches Daily'!AZ4</f>
        <v>149.99999999997726</v>
      </c>
      <c r="AD2" s="35">
        <f>'FS Desroches Daily'!BB4</f>
        <v>90.000000000031832</v>
      </c>
      <c r="AE2" s="35">
        <f>'FS Desroches Daily'!BD4</f>
        <v>89.999999999974989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29.999999999972715</v>
      </c>
      <c r="AI2" s="32">
        <f>'FS Desroches Daily'!BL4</f>
        <v>40.000000000020464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30</v>
      </c>
      <c r="AM2" s="32">
        <f>'FS Desroches Daily'!BT4</f>
        <v>39.999999999992042</v>
      </c>
      <c r="AN2" s="32">
        <f>'FS Desroches Daily'!BV4</f>
        <v>29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56.200000000004366</v>
      </c>
      <c r="AR2" s="31">
        <f>'FS Desroches Daily'!CD4</f>
        <v>8.2999999999992724</v>
      </c>
      <c r="AS2" s="31">
        <f>'FS Desroches Daily'!CF4</f>
        <v>3.3999999999996362</v>
      </c>
      <c r="AT2" s="31">
        <f>'FS Desroches Daily'!CH4</f>
        <v>48.19999999999709</v>
      </c>
      <c r="AU2" s="31">
        <f>'FS Desroches Daily'!CJ4</f>
        <v>261</v>
      </c>
      <c r="AV2" s="31">
        <f>'FS Desroches Daily'!CL4</f>
        <v>899.99999999986358</v>
      </c>
      <c r="AW2" s="31">
        <f>'FS Desroches Daily'!CM4</f>
        <v>120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3.6629999999999998</v>
      </c>
      <c r="BC2" s="13">
        <f>'FS Desroches Daily'!CN4</f>
        <v>16</v>
      </c>
      <c r="BD2" s="9"/>
    </row>
    <row r="3" spans="1:56" s="16" customFormat="1" x14ac:dyDescent="0.25">
      <c r="A3" s="27" t="s">
        <v>11</v>
      </c>
      <c r="B3" s="15">
        <v>2</v>
      </c>
      <c r="C3" s="18">
        <v>9</v>
      </c>
      <c r="D3" s="27">
        <v>2022</v>
      </c>
      <c r="E3" s="31">
        <f>'FS Desroches Daily'!D5</f>
        <v>1900.0000000000127</v>
      </c>
      <c r="F3" s="32">
        <f>'FS Desroches Daily'!F5</f>
        <v>2800.0000000005798</v>
      </c>
      <c r="G3" s="31">
        <f>'FS Desroches Daily'!H5</f>
        <v>3000.0000000001137</v>
      </c>
      <c r="H3" s="32">
        <f>'FS Desroches Daily'!J5</f>
        <v>1400.0000000002899</v>
      </c>
      <c r="I3" s="31">
        <f>'FS Desroches Daily'!L5</f>
        <v>1900.0000000000127</v>
      </c>
      <c r="J3" s="32">
        <f>'FS Desroches Daily'!N5</f>
        <v>1399.9999999998458</v>
      </c>
      <c r="K3" s="13">
        <f>'FS Desroches Daily'!P5</f>
        <v>26</v>
      </c>
      <c r="L3" s="31">
        <f>'FS Desroches Daily'!R5</f>
        <v>3</v>
      </c>
      <c r="M3" s="31">
        <f>'FS Desroches Daily'!T5</f>
        <v>1</v>
      </c>
      <c r="N3" s="31">
        <f>'FS Desroches Daily'!V5</f>
        <v>525.30000000004657</v>
      </c>
      <c r="O3" s="31">
        <f>'FS Desroches Daily'!X6</f>
        <v>290.00000000007731</v>
      </c>
      <c r="P3" s="31">
        <f>'FS Desroches Daily'!Z5</f>
        <v>2600.0000000001578</v>
      </c>
      <c r="Q3" s="31">
        <f>'FS Desroches Daily'!AB5</f>
        <v>350.00000000002274</v>
      </c>
      <c r="R3" s="31">
        <f>'FS Desroches Daily'!AD5</f>
        <v>319.99999999993634</v>
      </c>
      <c r="S3" s="31">
        <f>'FS Desroches Daily'!AF5</f>
        <v>670.00000000007276</v>
      </c>
      <c r="T3" s="31">
        <f>'FS Desroches Daily'!AH5</f>
        <v>41</v>
      </c>
      <c r="U3" s="35">
        <f>'FS Desroches Daily'!AJ5</f>
        <v>529.99999999997272</v>
      </c>
      <c r="V3" s="35">
        <f>'FS Desroches Daily'!AL5</f>
        <v>170.00000000001592</v>
      </c>
      <c r="W3" s="35">
        <f>'FS Desroches Daily'!AN5</f>
        <v>89.999999999974989</v>
      </c>
      <c r="X3" s="35">
        <f>'FS Desroches Daily'!AP5</f>
        <v>209.99999999997954</v>
      </c>
      <c r="Y3" s="35">
        <f>'FS Desroches Daily'!AR5</f>
        <v>89.999999999974989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90.000000000031832</v>
      </c>
      <c r="AC3" s="35">
        <f>'FS Desroches Daily'!AZ5</f>
        <v>120.00000000000455</v>
      </c>
      <c r="AD3" s="35">
        <f>'FS Desroches Daily'!BB5</f>
        <v>109.9999999999568</v>
      </c>
      <c r="AE3" s="35">
        <f>'FS Desroches Daily'!BD5</f>
        <v>90.000000000031832</v>
      </c>
      <c r="AF3" s="31">
        <f>'FS Desroches Daily'!BF5</f>
        <v>39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40.000000000020464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38</v>
      </c>
      <c r="AM3" s="32">
        <f>'FS Desroches Daily'!BT5</f>
        <v>30.000000000001137</v>
      </c>
      <c r="AN3" s="32">
        <f>'FS Desroches Daily'!BV5</f>
        <v>37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47.399999999994179</v>
      </c>
      <c r="AR3" s="31">
        <f>'FS Desroches Daily'!CD5</f>
        <v>8.9000000000014552</v>
      </c>
      <c r="AS3" s="31">
        <f>'FS Desroches Daily'!CF5</f>
        <v>6.7999999999992724</v>
      </c>
      <c r="AT3" s="31">
        <f>'FS Desroches Daily'!CH5</f>
        <v>49.5</v>
      </c>
      <c r="AU3" s="31">
        <f>'FS Desroches Daily'!CJ5</f>
        <v>282</v>
      </c>
      <c r="AV3" s="31">
        <f>'FS Desroches Daily'!CL5</f>
        <v>1000</v>
      </c>
      <c r="AW3" s="31">
        <f>'FS Desroches Daily'!CM5</f>
        <v>105.59999999999854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15</v>
      </c>
      <c r="BD3" s="9"/>
    </row>
    <row r="4" spans="1:56" s="16" customFormat="1" x14ac:dyDescent="0.25">
      <c r="A4" s="27" t="s">
        <v>11</v>
      </c>
      <c r="B4" s="15">
        <v>3</v>
      </c>
      <c r="C4" s="18">
        <v>9</v>
      </c>
      <c r="D4" s="27">
        <v>2022</v>
      </c>
      <c r="E4" s="31">
        <f>'FS Desroches Daily'!D6</f>
        <v>2000.0000000002237</v>
      </c>
      <c r="F4" s="32">
        <f>'FS Desroches Daily'!F6</f>
        <v>2799.9999999996917</v>
      </c>
      <c r="G4" s="31">
        <f>'FS Desroches Daily'!H6</f>
        <v>2800.0000000005798</v>
      </c>
      <c r="H4" s="32">
        <f>'FS Desroches Daily'!J6</f>
        <v>1299.9999999996348</v>
      </c>
      <c r="I4" s="31">
        <f>'FS Desroches Daily'!L6</f>
        <v>2299.9999999999686</v>
      </c>
      <c r="J4" s="32">
        <f>'FS Desroches Daily'!N6</f>
        <v>1300.0000000000789</v>
      </c>
      <c r="K4" s="13">
        <f>'FS Desroches Daily'!P6</f>
        <v>24</v>
      </c>
      <c r="L4" s="31">
        <f>'FS Desroches Daily'!R6</f>
        <v>3</v>
      </c>
      <c r="M4" s="31">
        <f>'FS Desroches Daily'!T6</f>
        <v>1.0999999999999091</v>
      </c>
      <c r="N4" s="31">
        <f>'FS Desroches Daily'!V6</f>
        <v>340.09999999997672</v>
      </c>
      <c r="O4" s="31">
        <f>'FS Desroches Daily'!X7</f>
        <v>259.99999999999091</v>
      </c>
      <c r="P4" s="31">
        <f>'FS Desroches Daily'!Z6</f>
        <v>2699.9999999999245</v>
      </c>
      <c r="Q4" s="31">
        <f>'FS Desroches Daily'!AB6</f>
        <v>330.00000000004093</v>
      </c>
      <c r="R4" s="31">
        <f>'FS Desroches Daily'!AD6</f>
        <v>310.00000000005912</v>
      </c>
      <c r="S4" s="31">
        <f>'FS Desroches Daily'!AF6</f>
        <v>589.99999999991815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189.99999999999773</v>
      </c>
      <c r="W4" s="35">
        <f>'FS Desroches Daily'!AN6</f>
        <v>100.00000000002274</v>
      </c>
      <c r="X4" s="35">
        <f>'FS Desroches Daily'!AP6</f>
        <v>199.99999999998863</v>
      </c>
      <c r="Y4" s="35">
        <f>'FS Desroches Daily'!AR6</f>
        <v>100.00000000002274</v>
      </c>
      <c r="Z4" s="35">
        <f>'FS Desroches Daily'!AT6</f>
        <v>80.000000000040927</v>
      </c>
      <c r="AA4" s="35">
        <f>'FS Desroches Daily'!AT6</f>
        <v>80.000000000040927</v>
      </c>
      <c r="AB4" s="35">
        <f>'FS Desroches Daily'!AV6</f>
        <v>79.999999999984084</v>
      </c>
      <c r="AC4" s="35">
        <f>'FS Desroches Daily'!AZ6</f>
        <v>110.00000000001364</v>
      </c>
      <c r="AD4" s="35">
        <f>'FS Desroches Daily'!BB6</f>
        <v>100.00000000002274</v>
      </c>
      <c r="AE4" s="35">
        <f>'FS Desroches Daily'!BD6</f>
        <v>89.999999999974989</v>
      </c>
      <c r="AF4" s="31">
        <f>'FS Desroches Daily'!BF6</f>
        <v>21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39.99999999996362</v>
      </c>
      <c r="AJ4" s="32">
        <f>'FS Desroches Daily'!BN6</f>
        <v>20.000000000010232</v>
      </c>
      <c r="AK4" s="32">
        <f>'FS Desroches Daily'!BP6</f>
        <v>40.000000000020464</v>
      </c>
      <c r="AL4" s="32">
        <f>'FS Desroches Daily'!BR6</f>
        <v>32</v>
      </c>
      <c r="AM4" s="32">
        <f>'FS Desroches Daily'!BT6</f>
        <v>30.000000000001137</v>
      </c>
      <c r="AN4" s="32">
        <f>'FS Desroches Daily'!BV6</f>
        <v>22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48.30000000000291</v>
      </c>
      <c r="AR4" s="31">
        <f>'FS Desroches Daily'!CD6</f>
        <v>16.799999999999272</v>
      </c>
      <c r="AS4" s="31">
        <f>'FS Desroches Daily'!CF6</f>
        <v>1.8000000000010914</v>
      </c>
      <c r="AT4" s="31">
        <f>'FS Desroches Daily'!CH6</f>
        <v>46.30000000000291</v>
      </c>
      <c r="AU4" s="31">
        <f>'FS Desroches Daily'!CJ6</f>
        <v>256</v>
      </c>
      <c r="AV4" s="31">
        <f>'FS Desroches Daily'!CL6</f>
        <v>799.99999999995453</v>
      </c>
      <c r="AW4" s="31">
        <f>'FS Desroches Daily'!CM6</f>
        <v>115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11</v>
      </c>
      <c r="BD4" s="9"/>
    </row>
    <row r="5" spans="1:56" s="16" customFormat="1" x14ac:dyDescent="0.25">
      <c r="A5" s="27" t="s">
        <v>11</v>
      </c>
      <c r="B5" s="15">
        <v>4</v>
      </c>
      <c r="C5" s="18">
        <v>9</v>
      </c>
      <c r="D5" s="27">
        <v>2022</v>
      </c>
      <c r="E5" s="31">
        <f>'FS Desroches Daily'!D7</f>
        <v>1999.9999999997797</v>
      </c>
      <c r="F5" s="32">
        <f>'FS Desroches Daily'!F7</f>
        <v>2699.9999999999245</v>
      </c>
      <c r="G5" s="31">
        <f>'FS Desroches Daily'!H7</f>
        <v>3000.0000000001137</v>
      </c>
      <c r="H5" s="32">
        <f>'FS Desroches Daily'!J7</f>
        <v>1200.000000000312</v>
      </c>
      <c r="I5" s="31">
        <f>'FS Desroches Daily'!L7</f>
        <v>1999.9999999997797</v>
      </c>
      <c r="J5" s="32">
        <f>'FS Desroches Daily'!N7</f>
        <v>1199.9999999998679</v>
      </c>
      <c r="K5" s="13">
        <f>'FS Desroches Daily'!P7</f>
        <v>25</v>
      </c>
      <c r="L5" s="31">
        <f>'FS Desroches Daily'!R7</f>
        <v>3</v>
      </c>
      <c r="M5" s="31">
        <f>'FS Desroches Daily'!T7</f>
        <v>1</v>
      </c>
      <c r="N5" s="31">
        <f>'FS Desroches Daily'!V7</f>
        <v>324</v>
      </c>
      <c r="O5" s="31">
        <f>'FS Desroches Daily'!X8</f>
        <v>299.99999999995453</v>
      </c>
      <c r="P5" s="31">
        <f>'FS Desroches Daily'!Z7</f>
        <v>2400.0000000006239</v>
      </c>
      <c r="Q5" s="31">
        <f>'FS Desroches Daily'!AB7</f>
        <v>199.99999999993179</v>
      </c>
      <c r="R5" s="31">
        <f>'FS Desroches Daily'!AD7</f>
        <v>350.00000000002274</v>
      </c>
      <c r="S5" s="31">
        <f>'FS Desroches Daily'!AF7</f>
        <v>590.00000000003183</v>
      </c>
      <c r="T5" s="31">
        <f>'FS Desroches Daily'!AH7</f>
        <v>34</v>
      </c>
      <c r="U5" s="35">
        <f>'FS Desroches Daily'!AJ7</f>
        <v>829.99999999992724</v>
      </c>
      <c r="V5" s="35">
        <f>'FS Desroches Daily'!AL7</f>
        <v>180.00000000000682</v>
      </c>
      <c r="W5" s="35">
        <f>'FS Desroches Daily'!AN7</f>
        <v>99.999999999965894</v>
      </c>
      <c r="X5" s="35">
        <f>'FS Desroches Daily'!AP7</f>
        <v>170.00000000001592</v>
      </c>
      <c r="Y5" s="35">
        <f>'FS Desroches Daily'!AR7</f>
        <v>89.999999999974989</v>
      </c>
      <c r="Z5" s="35">
        <f>'FS Desroches Daily'!AT7</f>
        <v>99.999999999965894</v>
      </c>
      <c r="AA5" s="35">
        <f>'FS Desroches Daily'!AT7</f>
        <v>99.999999999965894</v>
      </c>
      <c r="AB5" s="35">
        <f>'FS Desroches Daily'!AV7</f>
        <v>79.999999999984084</v>
      </c>
      <c r="AC5" s="35">
        <f>'FS Desroches Daily'!AZ7</f>
        <v>120.00000000000455</v>
      </c>
      <c r="AD5" s="35">
        <f>'FS Desroches Daily'!BB7</f>
        <v>100.00000000002274</v>
      </c>
      <c r="AE5" s="35">
        <f>'FS Desroches Daily'!BD7</f>
        <v>90.000000000031832</v>
      </c>
      <c r="AF5" s="31">
        <f>'FS Desroches Daily'!BF7</f>
        <v>69</v>
      </c>
      <c r="AG5" s="32">
        <f>'FS Desroches Daily'!BH7</f>
        <v>40.000000000020464</v>
      </c>
      <c r="AH5" s="32">
        <f>'FS Desroches Daily'!BJ7</f>
        <v>20.000000000038654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29.999999999972715</v>
      </c>
      <c r="AL5" s="32">
        <f>'FS Desroches Daily'!BR7</f>
        <v>32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40.000000000020464</v>
      </c>
      <c r="AP5" s="32">
        <f>'FS Desroches Daily'!BZ7</f>
        <v>40</v>
      </c>
      <c r="AQ5" s="31">
        <f>'FS Desroches Daily'!CB7</f>
        <v>55.099999999998545</v>
      </c>
      <c r="AR5" s="31">
        <f>'FS Desroches Daily'!CD7</f>
        <v>8.3999999999978172</v>
      </c>
      <c r="AS5" s="31">
        <f>'FS Desroches Daily'!CF7</f>
        <v>1.6999999999989086</v>
      </c>
      <c r="AT5" s="31">
        <f>'FS Desroches Daily'!CH7</f>
        <v>48.19999999999709</v>
      </c>
      <c r="AU5" s="31">
        <f>'FS Desroches Daily'!CJ7</f>
        <v>271</v>
      </c>
      <c r="AV5" s="31">
        <f>'FS Desroches Daily'!CL7</f>
        <v>800.0000000001819</v>
      </c>
      <c r="AW5" s="31">
        <f>'FS Desroches Daily'!CM7</f>
        <v>125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v>5</v>
      </c>
      <c r="C6" s="18">
        <v>9</v>
      </c>
      <c r="D6" s="27">
        <v>2022</v>
      </c>
      <c r="E6" s="31">
        <f>'FS Desroches Daily'!D8</f>
        <v>2299.9999999999686</v>
      </c>
      <c r="F6" s="32">
        <f>'FS Desroches Daily'!F8</f>
        <v>2699.9999999999245</v>
      </c>
      <c r="G6" s="31">
        <f>'FS Desroches Daily'!H8</f>
        <v>2899.9999999994584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1399.9999999998458</v>
      </c>
      <c r="K6" s="13">
        <f>'FS Desroches Daily'!P8</f>
        <v>30</v>
      </c>
      <c r="L6" s="31">
        <f>'FS Desroches Daily'!R8</f>
        <v>2</v>
      </c>
      <c r="M6" s="31">
        <f>'FS Desroches Daily'!T8</f>
        <v>0.79999999999995453</v>
      </c>
      <c r="N6" s="31">
        <f>'FS Desroches Daily'!V8</f>
        <v>336.09999999997672</v>
      </c>
      <c r="O6" s="31">
        <f>'FS Desroches Daily'!X8</f>
        <v>299.99999999995453</v>
      </c>
      <c r="P6" s="31">
        <f>'FS Desroches Daily'!Z8</f>
        <v>2600.0000000001578</v>
      </c>
      <c r="Q6" s="31">
        <f>'FS Desroches Daily'!AB8</f>
        <v>350.00000000002274</v>
      </c>
      <c r="R6" s="31">
        <f>'FS Desroches Daily'!AD8</f>
        <v>359.99999999989996</v>
      </c>
      <c r="S6" s="31">
        <f>'FS Desroches Daily'!AF8</f>
        <v>549.99999999995453</v>
      </c>
      <c r="T6" s="31">
        <f>'FS Desroches Daily'!AH8</f>
        <v>36</v>
      </c>
      <c r="U6" s="35">
        <f>'FS Desroches Daily'!AJ8</f>
        <v>940.00000000005457</v>
      </c>
      <c r="V6" s="35">
        <f>'FS Desroches Daily'!AL8</f>
        <v>180.00000000000682</v>
      </c>
      <c r="W6" s="35">
        <f>'FS Desroches Daily'!AN8</f>
        <v>110.00000000001364</v>
      </c>
      <c r="X6" s="35">
        <f>'FS Desroches Daily'!AP8</f>
        <v>170.00000000001592</v>
      </c>
      <c r="Y6" s="35">
        <f>'FS Desroches Daily'!AR8</f>
        <v>100.00000000002274</v>
      </c>
      <c r="Z6" s="35">
        <f>'FS Desroches Daily'!AT8</f>
        <v>90.000000000031832</v>
      </c>
      <c r="AA6" s="35">
        <f>'FS Desroches Daily'!AT8</f>
        <v>90.000000000031832</v>
      </c>
      <c r="AB6" s="35">
        <f>'FS Desroches Daily'!AV8</f>
        <v>90.000000000031832</v>
      </c>
      <c r="AC6" s="35">
        <f>'FS Desroches Daily'!AZ8</f>
        <v>119.9999999999477</v>
      </c>
      <c r="AD6" s="35">
        <f>'FS Desroches Daily'!BB8</f>
        <v>99.999999999965894</v>
      </c>
      <c r="AE6" s="35">
        <f>'FS Desroches Daily'!BD8</f>
        <v>89.999999999974989</v>
      </c>
      <c r="AF6" s="31">
        <f>'FS Desroches Daily'!BF8</f>
        <v>37</v>
      </c>
      <c r="AG6" s="32">
        <f>'FS Desroches Daily'!BH8</f>
        <v>30.000000000001137</v>
      </c>
      <c r="AH6" s="32">
        <f>'FS Desroches Daily'!BJ8</f>
        <v>39.99999999996362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30.000000000001137</v>
      </c>
      <c r="AN6" s="32">
        <f>'FS Desroches Daily'!BV8</f>
        <v>33</v>
      </c>
      <c r="AO6" s="32">
        <f>'FS Desroches Daily'!BX8</f>
        <v>39.999999999992042</v>
      </c>
      <c r="AP6" s="32">
        <f>'FS Desroches Daily'!BZ8</f>
        <v>44</v>
      </c>
      <c r="AQ6" s="31">
        <f>'FS Desroches Daily'!CB8</f>
        <v>70.200000000004366</v>
      </c>
      <c r="AR6" s="31">
        <f>'FS Desroches Daily'!CD8</f>
        <v>9.3000000000029104</v>
      </c>
      <c r="AS6" s="31">
        <f>'FS Desroches Daily'!CF8</f>
        <v>3.2000000000007276</v>
      </c>
      <c r="AT6" s="31">
        <f>'FS Desroches Daily'!CH8</f>
        <v>49</v>
      </c>
      <c r="AU6" s="31">
        <f>'FS Desroches Daily'!CJ8</f>
        <v>296</v>
      </c>
      <c r="AV6" s="31">
        <f>'FS Desroches Daily'!CL8</f>
        <v>1000</v>
      </c>
      <c r="AW6" s="31">
        <f>'FS Desroches Daily'!CM8</f>
        <v>121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v>6</v>
      </c>
      <c r="C7" s="18">
        <v>9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2200.0000000002019</v>
      </c>
      <c r="J7" s="32">
        <f>'FS Desroches Daily'!N9</f>
        <v>1300.0000000000789</v>
      </c>
      <c r="K7" s="13">
        <f>'FS Desroches Daily'!P9</f>
        <v>24</v>
      </c>
      <c r="L7" s="31">
        <f>'FS Desroches Daily'!R9</f>
        <v>4</v>
      </c>
      <c r="M7" s="31">
        <f>'FS Desroches Daily'!T9</f>
        <v>0.90000000000009095</v>
      </c>
      <c r="N7" s="31">
        <f>'FS Desroches Daily'!V9</f>
        <v>336.09999999997672</v>
      </c>
      <c r="O7" s="31">
        <f>'FS Desroches Daily'!X9</f>
        <v>269.99999999998181</v>
      </c>
      <c r="P7" s="31">
        <f>'FS Desroches Daily'!Z9</f>
        <v>2599.9999999992697</v>
      </c>
      <c r="Q7" s="31">
        <f>'FS Desroches Daily'!AB9</f>
        <v>259.99999999999091</v>
      </c>
      <c r="R7" s="31">
        <f>'FS Desroches Daily'!AD9</f>
        <v>370.00000000000455</v>
      </c>
      <c r="S7" s="31">
        <f>'FS Desroches Daily'!AF9</f>
        <v>550.00000000006821</v>
      </c>
      <c r="T7" s="31">
        <f>'FS Desroches Daily'!AH9</f>
        <v>38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110.00000000001364</v>
      </c>
      <c r="X7" s="35">
        <f>'FS Desroches Daily'!AP9</f>
        <v>169.99999999995907</v>
      </c>
      <c r="Y7" s="35">
        <f>'FS Desroches Daily'!AR9</f>
        <v>99.999999999965894</v>
      </c>
      <c r="Z7" s="35">
        <f>'FS Desroches Daily'!AT9</f>
        <v>99.999999999965894</v>
      </c>
      <c r="AA7" s="35">
        <f>'FS Desroches Daily'!AT9</f>
        <v>99.999999999965894</v>
      </c>
      <c r="AB7" s="35">
        <f>'FS Desroches Daily'!AV9</f>
        <v>89.999999999974989</v>
      </c>
      <c r="AC7" s="35">
        <f>'FS Desroches Daily'!AZ9</f>
        <v>120.00000000000455</v>
      </c>
      <c r="AD7" s="35">
        <f>'FS Desroches Daily'!BB9</f>
        <v>120.00000000000455</v>
      </c>
      <c r="AE7" s="35">
        <f>'FS Desroches Daily'!BD9</f>
        <v>100.00000000002274</v>
      </c>
      <c r="AF7" s="31">
        <f>'FS Desroches Daily'!BF9</f>
        <v>38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50.000000000011369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40</v>
      </c>
      <c r="AM7" s="32">
        <f>'FS Desroches Daily'!BT9</f>
        <v>39.999999999992042</v>
      </c>
      <c r="AN7" s="32">
        <f>'FS Desroches Daily'!BV9</f>
        <v>38</v>
      </c>
      <c r="AO7" s="32">
        <f>'FS Desroches Daily'!BX9</f>
        <v>39.999999999992042</v>
      </c>
      <c r="AP7" s="32">
        <f>'FS Desroches Daily'!BZ9</f>
        <v>42</v>
      </c>
      <c r="AQ7" s="31">
        <f>'FS Desroches Daily'!CB9</f>
        <v>51.099999999998545</v>
      </c>
      <c r="AR7" s="31">
        <f>'FS Desroches Daily'!CD9</f>
        <v>14.69999999999709</v>
      </c>
      <c r="AS7" s="31">
        <f>'FS Desroches Daily'!CF9</f>
        <v>2.7999999999992724</v>
      </c>
      <c r="AT7" s="31">
        <f>'FS Desroches Daily'!CH9</f>
        <v>48</v>
      </c>
      <c r="AU7" s="31">
        <f>'FS Desroches Daily'!CJ9</f>
        <v>306</v>
      </c>
      <c r="AV7" s="31">
        <f>'FS Desroches Daily'!CL9</f>
        <v>799.99999999995453</v>
      </c>
      <c r="AW7" s="31">
        <f>'FS Desroches Daily'!CM9</f>
        <v>89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v>7</v>
      </c>
      <c r="C8" s="18">
        <v>9</v>
      </c>
      <c r="D8" s="27">
        <v>2022</v>
      </c>
      <c r="E8" s="31">
        <f>'FS Desroches Daily'!D10</f>
        <v>2099.9999999999909</v>
      </c>
      <c r="F8" s="32">
        <f>'FS Desroches Daily'!F10</f>
        <v>2900.0000000003465</v>
      </c>
      <c r="G8" s="31">
        <f>'FS Desroches Daily'!H10</f>
        <v>3100.000000000769</v>
      </c>
      <c r="H8" s="32">
        <f>'FS Desroches Daily'!J10</f>
        <v>1399.9999999998458</v>
      </c>
      <c r="I8" s="31">
        <f>'FS Desroches Daily'!L10</f>
        <v>2099.9999999999909</v>
      </c>
      <c r="J8" s="32">
        <f>'FS Desroches Daily'!N10</f>
        <v>1400.0000000002899</v>
      </c>
      <c r="K8" s="13">
        <f>'FS Desroches Daily'!P10</f>
        <v>21</v>
      </c>
      <c r="L8" s="31">
        <f>'FS Desroches Daily'!R10</f>
        <v>4</v>
      </c>
      <c r="M8" s="31">
        <f>'FS Desroches Daily'!T10</f>
        <v>1.0999999999999091</v>
      </c>
      <c r="N8" s="31">
        <f>'FS Desroches Daily'!V10</f>
        <v>415.09999999997672</v>
      </c>
      <c r="O8" s="31">
        <f>'FS Desroches Daily'!X10</f>
        <v>259.99999999999091</v>
      </c>
      <c r="P8" s="31">
        <f>'FS Desroches Daily'!Z10</f>
        <v>2699.9999999999245</v>
      </c>
      <c r="Q8" s="31">
        <f>'FS Desroches Daily'!AB10</f>
        <v>350.00000000002274</v>
      </c>
      <c r="R8" s="31">
        <f>'FS Desroches Daily'!AD10</f>
        <v>360.00000000001364</v>
      </c>
      <c r="S8" s="31">
        <f>'FS Desroches Daily'!AF10</f>
        <v>589.99999999991815</v>
      </c>
      <c r="T8" s="31">
        <f>'FS Desroches Daily'!AH10</f>
        <v>41</v>
      </c>
      <c r="U8" s="35">
        <f>'FS Desroches Daily'!AJ10</f>
        <v>580.00000000004093</v>
      </c>
      <c r="V8" s="35">
        <f>'FS Desroches Daily'!AL10</f>
        <v>209.99999999997954</v>
      </c>
      <c r="W8" s="35">
        <f>'FS Desroches Daily'!AN10</f>
        <v>120.00000000000455</v>
      </c>
      <c r="X8" s="35">
        <f>'FS Desroches Daily'!AP10</f>
        <v>130.0000000000523</v>
      </c>
      <c r="Y8" s="35">
        <f>'FS Desroches Daily'!AR10</f>
        <v>90.000000000031832</v>
      </c>
      <c r="Z8" s="35">
        <f>'FS Desroches Daily'!AT10</f>
        <v>100.00000000002274</v>
      </c>
      <c r="AA8" s="35">
        <f>'FS Desroches Daily'!AT10</f>
        <v>100.00000000002274</v>
      </c>
      <c r="AB8" s="35">
        <f>'FS Desroches Daily'!AV10</f>
        <v>89.999999999974989</v>
      </c>
      <c r="AC8" s="35">
        <f>'FS Desroches Daily'!AZ10</f>
        <v>110.00000000001364</v>
      </c>
      <c r="AD8" s="35">
        <f>'FS Desroches Daily'!BB10</f>
        <v>90.000000000031832</v>
      </c>
      <c r="AE8" s="35">
        <f>'FS Desroches Daily'!BD10</f>
        <v>99.999999999965894</v>
      </c>
      <c r="AF8" s="31">
        <f>'FS Desroches Daily'!BF10</f>
        <v>44</v>
      </c>
      <c r="AG8" s="32">
        <f>'FS Desroches Daily'!BH10</f>
        <v>30.000000000001137</v>
      </c>
      <c r="AH8" s="32">
        <f>'FS Desroches Daily'!BJ10</f>
        <v>39.99999999996362</v>
      </c>
      <c r="AI8" s="32">
        <f>'FS Desroches Daily'!BL10</f>
        <v>39.99999999996362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18</v>
      </c>
      <c r="AO8" s="32">
        <f>'FS Desroches Daily'!BX10</f>
        <v>40.000000000020464</v>
      </c>
      <c r="AP8" s="32">
        <f>'FS Desroches Daily'!BZ10</f>
        <v>42</v>
      </c>
      <c r="AQ8" s="31">
        <f>'FS Desroches Daily'!CB10</f>
        <v>36.799999999995634</v>
      </c>
      <c r="AR8" s="31">
        <f>'FS Desroches Daily'!CD10</f>
        <v>9.9000000000014552</v>
      </c>
      <c r="AS8" s="31">
        <f>'FS Desroches Daily'!CF10</f>
        <v>1.4000000000014552</v>
      </c>
      <c r="AT8" s="31">
        <f>'FS Desroches Daily'!CH10</f>
        <v>39.600000000005821</v>
      </c>
      <c r="AU8" s="31">
        <f>'FS Desroches Daily'!CJ10</f>
        <v>291</v>
      </c>
      <c r="AV8" s="31">
        <f>'FS Desroches Daily'!CL10</f>
        <v>899.99999999986358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5.4944999999999995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v>8</v>
      </c>
      <c r="C9" s="18">
        <v>9</v>
      </c>
      <c r="D9" s="27">
        <v>2022</v>
      </c>
      <c r="E9" s="31">
        <f>'FS Desroches Daily'!D11</f>
        <v>1900.0000000000127</v>
      </c>
      <c r="F9" s="32">
        <f>'FS Desroches Daily'!F11</f>
        <v>2900.0000000003465</v>
      </c>
      <c r="G9" s="31">
        <f>'FS Desroches Daily'!H11</f>
        <v>2799.9999999996917</v>
      </c>
      <c r="H9" s="32">
        <f>'FS Desroches Daily'!J11</f>
        <v>1400.0000000002899</v>
      </c>
      <c r="I9" s="31">
        <f>'FS Desroches Daily'!L11</f>
        <v>2099.9999999999909</v>
      </c>
      <c r="J9" s="32">
        <f>'FS Desroches Daily'!N11</f>
        <v>1199.9999999998679</v>
      </c>
      <c r="K9" s="13">
        <f>'FS Desroches Daily'!P11</f>
        <v>22</v>
      </c>
      <c r="L9" s="31">
        <f>'FS Desroches Daily'!R11</f>
        <v>4</v>
      </c>
      <c r="M9" s="31">
        <f>'FS Desroches Daily'!T11</f>
        <v>1</v>
      </c>
      <c r="N9" s="31">
        <f>'FS Desroches Daily'!V11</f>
        <v>378.60000000009313</v>
      </c>
      <c r="O9" s="31">
        <f>'FS Desroches Daily'!X11</f>
        <v>269.99999999998181</v>
      </c>
      <c r="P9" s="31">
        <f>'FS Desroches Daily'!Z11</f>
        <v>2699.9999999999245</v>
      </c>
      <c r="Q9" s="31">
        <f>'FS Desroches Daily'!AB11</f>
        <v>210.00000000003638</v>
      </c>
      <c r="R9" s="31">
        <f>'FS Desroches Daily'!AD11</f>
        <v>280.0000000000864</v>
      </c>
      <c r="S9" s="31">
        <f>'FS Desroches Daily'!AF11</f>
        <v>590.00000000003183</v>
      </c>
      <c r="T9" s="31">
        <f>'FS Desroches Daily'!AH11</f>
        <v>39</v>
      </c>
      <c r="U9" s="35">
        <f>'FS Desroches Daily'!AJ11</f>
        <v>460.00000000003638</v>
      </c>
      <c r="V9" s="35">
        <f>'FS Desroches Daily'!AL11</f>
        <v>210.00000000003638</v>
      </c>
      <c r="W9" s="35">
        <f>'FS Desroches Daily'!AN11</f>
        <v>109.9999999999568</v>
      </c>
      <c r="X9" s="35">
        <f>'FS Desroches Daily'!AP11</f>
        <v>159.99999999996817</v>
      </c>
      <c r="Y9" s="35">
        <f>'FS Desroches Daily'!AR11</f>
        <v>79.999999999984084</v>
      </c>
      <c r="Z9" s="35">
        <f>'FS Desroches Daily'!AT11</f>
        <v>99.999999999965894</v>
      </c>
      <c r="AA9" s="35">
        <f>'FS Desroches Daily'!AT11</f>
        <v>99.999999999965894</v>
      </c>
      <c r="AB9" s="35">
        <f>'FS Desroches Daily'!AV11</f>
        <v>90.000000000031832</v>
      </c>
      <c r="AC9" s="35">
        <f>'FS Desroches Daily'!AZ11</f>
        <v>120.00000000000455</v>
      </c>
      <c r="AD9" s="35">
        <f>'FS Desroches Daily'!BB11</f>
        <v>89.999999999974989</v>
      </c>
      <c r="AE9" s="35">
        <f>'FS Desroches Daily'!BD11</f>
        <v>30.000000000029559</v>
      </c>
      <c r="AF9" s="31">
        <f>'FS Desroches Daily'!BF11</f>
        <v>47</v>
      </c>
      <c r="AG9" s="32">
        <f>'FS Desroches Daily'!BH11</f>
        <v>30.000000000001137</v>
      </c>
      <c r="AH9" s="32">
        <f>'FS Desroches Daily'!BJ11</f>
        <v>30.000000000029559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33</v>
      </c>
      <c r="AM9" s="32">
        <f>'FS Desroches Daily'!BT11</f>
        <v>40.000000000020464</v>
      </c>
      <c r="AN9" s="32">
        <f>'FS Desroches Daily'!BV11</f>
        <v>25</v>
      </c>
      <c r="AO9" s="32">
        <f>'FS Desroches Daily'!BX11</f>
        <v>30.000000000001137</v>
      </c>
      <c r="AP9" s="32">
        <f>'FS Desroches Daily'!BZ11</f>
        <v>40</v>
      </c>
      <c r="AQ9" s="31">
        <f>'FS Desroches Daily'!CB11</f>
        <v>30.100000000005821</v>
      </c>
      <c r="AR9" s="31">
        <f>'FS Desroches Daily'!CD11</f>
        <v>9.9000000000014552</v>
      </c>
      <c r="AS9" s="31">
        <f>'FS Desroches Daily'!CF11</f>
        <v>4.5999999999985448</v>
      </c>
      <c r="AT9" s="31">
        <f>'FS Desroches Daily'!CH11</f>
        <v>69.599999999991269</v>
      </c>
      <c r="AU9" s="31">
        <f>'FS Desroches Daily'!CJ11</f>
        <v>285</v>
      </c>
      <c r="AV9" s="31">
        <f>'FS Desroches Daily'!CL11</f>
        <v>800.0000000001819</v>
      </c>
      <c r="AW9" s="31">
        <f>'FS Desroches Daily'!CM11</f>
        <v>69</v>
      </c>
      <c r="AX9" s="31">
        <f>IF(LPG!F17-LPG!F15&lt;0,"0",(LPG!F17-LPG!F15)*1.8315)</f>
        <v>0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v>9</v>
      </c>
      <c r="C10" s="18">
        <v>9</v>
      </c>
      <c r="D10" s="27">
        <v>2022</v>
      </c>
      <c r="E10" s="31">
        <f>'FS Desroches Daily'!D12</f>
        <v>1999.9999999997797</v>
      </c>
      <c r="F10" s="32">
        <f>'FS Desroches Daily'!F12</f>
        <v>2999.9999999992256</v>
      </c>
      <c r="G10" s="31">
        <f>'FS Desroches Daily'!H12</f>
        <v>2699.9999999999245</v>
      </c>
      <c r="H10" s="32">
        <f>'FS Desroches Daily'!J12</f>
        <v>1499.9999999996128</v>
      </c>
      <c r="I10" s="31">
        <f>'FS Desroches Daily'!L12</f>
        <v>2199.9999999997576</v>
      </c>
      <c r="J10" s="32">
        <f>'FS Desroches Daily'!N12</f>
        <v>1300.0000000000789</v>
      </c>
      <c r="K10" s="13">
        <f>'FS Desroches Daily'!P12</f>
        <v>33</v>
      </c>
      <c r="L10" s="31">
        <f>'FS Desroches Daily'!R12</f>
        <v>3</v>
      </c>
      <c r="M10" s="31">
        <f>'FS Desroches Daily'!T12</f>
        <v>0.8000000000001819</v>
      </c>
      <c r="N10" s="31">
        <f>'FS Desroches Daily'!V12</f>
        <v>316.59999999997672</v>
      </c>
      <c r="O10" s="31">
        <f>'FS Desroches Daily'!X12</f>
        <v>240.00000000000909</v>
      </c>
      <c r="P10" s="31">
        <f>'FS Desroches Daily'!Z12</f>
        <v>2600.0000000001578</v>
      </c>
      <c r="Q10" s="31">
        <f>'FS Desroches Daily'!AB12</f>
        <v>110.00000000001364</v>
      </c>
      <c r="R10" s="31">
        <f>'FS Desroches Daily'!AD12</f>
        <v>289.99999999996362</v>
      </c>
      <c r="S10" s="31">
        <f>'FS Desroches Daily'!AF12</f>
        <v>580.00000000004093</v>
      </c>
      <c r="T10" s="31">
        <f>'FS Desroches Daily'!AH12</f>
        <v>35</v>
      </c>
      <c r="U10" s="35">
        <f>'FS Desroches Daily'!AJ12</f>
        <v>279.99999999997272</v>
      </c>
      <c r="V10" s="35">
        <f>'FS Desroches Daily'!AL12</f>
        <v>199.99999999998863</v>
      </c>
      <c r="W10" s="35">
        <f>'FS Desroches Daily'!AN12</f>
        <v>140.0000000000432</v>
      </c>
      <c r="X10" s="35">
        <f>'FS Desroches Daily'!AP12</f>
        <v>160.00000000002501</v>
      </c>
      <c r="Y10" s="35">
        <f>'FS Desroches Daily'!AR12</f>
        <v>79.999999999984084</v>
      </c>
      <c r="Z10" s="35">
        <f>'FS Desroches Daily'!AT12</f>
        <v>100.00000000002274</v>
      </c>
      <c r="AA10" s="35">
        <f>'FS Desroches Daily'!AT12</f>
        <v>100.00000000002274</v>
      </c>
      <c r="AB10" s="35">
        <f>'FS Desroches Daily'!AV12</f>
        <v>79.999999999984084</v>
      </c>
      <c r="AC10" s="35">
        <f>'FS Desroches Daily'!AZ12</f>
        <v>129.99999999999545</v>
      </c>
      <c r="AD10" s="35">
        <f>'FS Desroches Daily'!BB12</f>
        <v>100.00000000002274</v>
      </c>
      <c r="AE10" s="35">
        <f>'FS Desroches Daily'!BD12</f>
        <v>29.999999999972715</v>
      </c>
      <c r="AF10" s="31">
        <f>'FS Desroches Daily'!BF12</f>
        <v>41</v>
      </c>
      <c r="AG10" s="32">
        <f>'FS Desroches Daily'!BH12</f>
        <v>39.999999999992042</v>
      </c>
      <c r="AH10" s="32">
        <f>'FS Desroches Daily'!BJ12</f>
        <v>29.999999999972715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40.000000000020464</v>
      </c>
      <c r="AL10" s="32">
        <f>'FS Desroches Daily'!BR12</f>
        <v>38</v>
      </c>
      <c r="AM10" s="32">
        <f>'FS Desroches Daily'!BT12</f>
        <v>39.999999999992042</v>
      </c>
      <c r="AN10" s="32">
        <f>'FS Desroches Daily'!BV12</f>
        <v>28</v>
      </c>
      <c r="AO10" s="32">
        <f>'FS Desroches Daily'!BX12</f>
        <v>39.999999999992042</v>
      </c>
      <c r="AP10" s="32">
        <f>'FS Desroches Daily'!BZ12</f>
        <v>44</v>
      </c>
      <c r="AQ10" s="31">
        <f>'FS Desroches Daily'!CB12</f>
        <v>48.599999999998545</v>
      </c>
      <c r="AR10" s="31">
        <f>'FS Desroches Daily'!CD12</f>
        <v>9.8999999999978172</v>
      </c>
      <c r="AS10" s="31">
        <f>'FS Desroches Daily'!CF12</f>
        <v>2.8000000000010914</v>
      </c>
      <c r="AT10" s="31">
        <f>'FS Desroches Daily'!CH12</f>
        <v>60.400000000008731</v>
      </c>
      <c r="AU10" s="31">
        <f>'FS Desroches Daily'!CJ12</f>
        <v>297</v>
      </c>
      <c r="AV10" s="31">
        <f>'FS Desroches Daily'!CL12</f>
        <v>699.9999999998181</v>
      </c>
      <c r="AW10" s="31">
        <f>'FS Desroches Daily'!CM12</f>
        <v>67</v>
      </c>
      <c r="AX10" s="31">
        <f>IF(LPG!F18-LPG!F16&lt;0,"0",(LPG!F18-LPG!F16)*1.8315)</f>
        <v>0</v>
      </c>
      <c r="AY10" s="31">
        <f>IF(LPG!H18-LPG!H16&lt;0,"0",(LPG!H18-LPG!H16)*1.8315)</f>
        <v>5.4944999999999995</v>
      </c>
      <c r="AZ10" s="31">
        <f>IF(LPG!J18-LPG!J16&lt;0,"0",(LPG!J18-LPG!J16)*1.8315)</f>
        <v>0</v>
      </c>
      <c r="BA10" s="31">
        <f>IF(LPG!M18-LPG!M16&lt;0,"0",(LPG!M18-LPG!M16)*1.8315)</f>
        <v>3.6629999999999998</v>
      </c>
      <c r="BB10" s="31">
        <f>IF(LPG!Q17-LPG!Q16&lt;0,"0",(LPG!Q17-LPG!Q16)*1.8315)</f>
        <v>5.4944999999999995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9</v>
      </c>
      <c r="D11" s="27">
        <v>2022</v>
      </c>
      <c r="E11" s="31">
        <f>'FS Desroches Daily'!D13</f>
        <v>1600.0000000002678</v>
      </c>
      <c r="F11" s="32">
        <f>'FS Desroches Daily'!F13</f>
        <v>2900.0000000003465</v>
      </c>
      <c r="G11" s="31">
        <f>'FS Desroches Daily'!H13</f>
        <v>2900.0000000003465</v>
      </c>
      <c r="H11" s="32">
        <f>'FS Desroches Daily'!J13</f>
        <v>1400.0000000002899</v>
      </c>
      <c r="I11" s="31">
        <f>'FS Desroches Daily'!L13</f>
        <v>2099.9999999999909</v>
      </c>
      <c r="J11" s="32">
        <f>'FS Desroches Daily'!N13</f>
        <v>1300.0000000000789</v>
      </c>
      <c r="K11" s="13">
        <f>'FS Desroches Daily'!P13</f>
        <v>26</v>
      </c>
      <c r="L11" s="31">
        <f>'FS Desroches Daily'!R13</f>
        <v>3</v>
      </c>
      <c r="M11" s="31">
        <f>'FS Desroches Daily'!T13</f>
        <v>1</v>
      </c>
      <c r="N11" s="31">
        <f>'FS Desroches Daily'!V13</f>
        <v>389.5</v>
      </c>
      <c r="O11" s="31">
        <f>'FS Desroches Daily'!X13</f>
        <v>259.99999999999091</v>
      </c>
      <c r="P11" s="31">
        <f>'FS Desroches Daily'!Z13</f>
        <v>2299.9999999999686</v>
      </c>
      <c r="Q11" s="31">
        <f>'FS Desroches Daily'!AB13</f>
        <v>589.99999999991815</v>
      </c>
      <c r="R11" s="31">
        <f>'FS Desroches Daily'!AD13</f>
        <v>299.99999999995453</v>
      </c>
      <c r="S11" s="31">
        <f>'FS Desroches Daily'!AF13</f>
        <v>539.99999999996362</v>
      </c>
      <c r="T11" s="31">
        <f>'FS Desroches Daily'!AH13</f>
        <v>33</v>
      </c>
      <c r="U11" s="35">
        <f>'FS Desroches Daily'!AJ13</f>
        <v>709.99999999992269</v>
      </c>
      <c r="V11" s="35">
        <f>'FS Desroches Daily'!AL13</f>
        <v>170.00000000001592</v>
      </c>
      <c r="W11" s="35">
        <f>'FS Desroches Daily'!AN13</f>
        <v>109.9999999999568</v>
      </c>
      <c r="X11" s="35">
        <f>'FS Desroches Daily'!AP13</f>
        <v>69.999999999993179</v>
      </c>
      <c r="Y11" s="35">
        <f>'FS Desroches Daily'!AR13</f>
        <v>80.000000000040927</v>
      </c>
      <c r="Z11" s="35">
        <f>'FS Desroches Daily'!AT13</f>
        <v>89.999999999974989</v>
      </c>
      <c r="AA11" s="35">
        <f>'FS Desroches Daily'!AT13</f>
        <v>89.999999999974989</v>
      </c>
      <c r="AB11" s="35">
        <f>'FS Desroches Daily'!AV13</f>
        <v>79.999999999984084</v>
      </c>
      <c r="AC11" s="35">
        <f>'FS Desroches Daily'!AZ13</f>
        <v>110.00000000001364</v>
      </c>
      <c r="AD11" s="35">
        <f>'FS Desroches Daily'!BB13</f>
        <v>79.999999999984084</v>
      </c>
      <c r="AE11" s="35">
        <f>'FS Desroches Daily'!BD13</f>
        <v>40.000000000020464</v>
      </c>
      <c r="AF11" s="31">
        <f>'FS Desroches Daily'!BF13</f>
        <v>34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39.99999999996362</v>
      </c>
      <c r="AJ11" s="32">
        <f>'FS Desroches Daily'!BN13</f>
        <v>30.000000000001137</v>
      </c>
      <c r="AK11" s="32">
        <f>'FS Desroches Daily'!BP13</f>
        <v>39.99999999996362</v>
      </c>
      <c r="AL11" s="32">
        <f>'FS Desroches Daily'!BR13</f>
        <v>33</v>
      </c>
      <c r="AM11" s="32">
        <f>'FS Desroches Daily'!BT13</f>
        <v>39.999999999992042</v>
      </c>
      <c r="AN11" s="32">
        <f>'FS Desroches Daily'!BV13</f>
        <v>32</v>
      </c>
      <c r="AO11" s="32">
        <f>'FS Desroches Daily'!BX13</f>
        <v>39.999999999992042</v>
      </c>
      <c r="AP11" s="32">
        <f>'FS Desroches Daily'!BZ13</f>
        <v>45</v>
      </c>
      <c r="AQ11" s="31">
        <f>'FS Desroches Daily'!CB13</f>
        <v>53.099999999998545</v>
      </c>
      <c r="AR11" s="31">
        <f>'FS Desroches Daily'!CD13</f>
        <v>9.6000000000021828</v>
      </c>
      <c r="AS11" s="31">
        <f>'FS Desroches Daily'!CF13</f>
        <v>1.6999999999989086</v>
      </c>
      <c r="AT11" s="31">
        <f>'FS Desroches Daily'!CH13</f>
        <v>70</v>
      </c>
      <c r="AU11" s="31">
        <f>'FS Desroches Daily'!CJ13</f>
        <v>279</v>
      </c>
      <c r="AV11" s="31">
        <f>'FS Desroches Daily'!CL13</f>
        <v>700.00000000004547</v>
      </c>
      <c r="AW11" s="31">
        <f>'FS Desroches Daily'!CM13</f>
        <v>80</v>
      </c>
      <c r="AX11" s="31">
        <f>IF(LPG!F18-LPG!F17&lt;0,"0",(LPG!F18-LPG!F17)*1.8315)</f>
        <v>0</v>
      </c>
      <c r="AY11" s="31">
        <f>IF(LPG!H18-LPG!H17&lt;0,"0",(LPG!H18-LPG!H17)*1.8315)</f>
        <v>1.8314999999999999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12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9</v>
      </c>
      <c r="D12" s="27">
        <v>2022</v>
      </c>
      <c r="E12" s="31">
        <f>'FS Desroches Daily'!D14</f>
        <v>1700.0000000000348</v>
      </c>
      <c r="F12" s="32">
        <f>'FS Desroches Daily'!F14</f>
        <v>2900.0000000003465</v>
      </c>
      <c r="G12" s="31">
        <f>'FS Desroches Daily'!H14</f>
        <v>2799.9999999996917</v>
      </c>
      <c r="H12" s="32">
        <f>'FS Desroches Daily'!J14</f>
        <v>1399.9999999998458</v>
      </c>
      <c r="I12" s="31">
        <f>'FS Desroches Daily'!L14</f>
        <v>2099.9999999999909</v>
      </c>
      <c r="J12" s="32">
        <f>'FS Desroches Daily'!N14</f>
        <v>1299.9999999996348</v>
      </c>
      <c r="K12" s="13">
        <f>'FS Desroches Daily'!P14</f>
        <v>27</v>
      </c>
      <c r="L12" s="31">
        <f>'FS Desroches Daily'!R14</f>
        <v>4</v>
      </c>
      <c r="M12" s="31">
        <f>'FS Desroches Daily'!T14</f>
        <v>1</v>
      </c>
      <c r="N12" s="31">
        <f>'FS Desroches Daily'!V14</f>
        <v>326.69999999995343</v>
      </c>
      <c r="O12" s="31">
        <f>'FS Desroches Daily'!X14</f>
        <v>230.00000000001819</v>
      </c>
      <c r="P12" s="31">
        <f>'FS Desroches Daily'!Z14</f>
        <v>3000.0000000001137</v>
      </c>
      <c r="Q12" s="31">
        <f>'FS Desroches Daily'!AB14</f>
        <v>210.00000000003638</v>
      </c>
      <c r="R12" s="31">
        <f>'FS Desroches Daily'!AD14</f>
        <v>370.00000000000455</v>
      </c>
      <c r="S12" s="31">
        <f>'FS Desroches Daily'!AF14</f>
        <v>560.00000000005912</v>
      </c>
      <c r="T12" s="31">
        <f>'FS Desroches Daily'!AH14</f>
        <v>32</v>
      </c>
      <c r="U12" s="35">
        <f>'FS Desroches Daily'!AJ14</f>
        <v>450.00000000004547</v>
      </c>
      <c r="V12" s="35">
        <f>'FS Desroches Daily'!AL14</f>
        <v>149.99999999997726</v>
      </c>
      <c r="W12" s="35">
        <f>'FS Desroches Daily'!AN14</f>
        <v>100.00000000002274</v>
      </c>
      <c r="X12" s="35">
        <f>'FS Desroches Daily'!AP14</f>
        <v>79.999999999984084</v>
      </c>
      <c r="Y12" s="35">
        <f>'FS Desroches Daily'!AR14</f>
        <v>79.999999999984084</v>
      </c>
      <c r="Z12" s="35">
        <f>'FS Desroches Daily'!AT14</f>
        <v>70.000000000050022</v>
      </c>
      <c r="AA12" s="35">
        <f>'FS Desroches Daily'!AT14</f>
        <v>70.000000000050022</v>
      </c>
      <c r="AB12" s="35">
        <f>'FS Desroches Daily'!AV14</f>
        <v>60.000000000002274</v>
      </c>
      <c r="AC12" s="35">
        <f>'FS Desroches Daily'!AZ14</f>
        <v>129.99999999999545</v>
      </c>
      <c r="AD12" s="35">
        <f>'FS Desroches Daily'!BB14</f>
        <v>60.000000000002274</v>
      </c>
      <c r="AE12" s="35">
        <f>'FS Desroches Daily'!BD14</f>
        <v>39.99999999996362</v>
      </c>
      <c r="AF12" s="31">
        <f>'FS Desroches Daily'!BF14</f>
        <v>44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36</v>
      </c>
      <c r="AM12" s="32">
        <f>'FS Desroches Daily'!BT14</f>
        <v>30.000000000001137</v>
      </c>
      <c r="AN12" s="32">
        <f>'FS Desroches Daily'!BV14</f>
        <v>41</v>
      </c>
      <c r="AO12" s="32">
        <f>'FS Desroches Daily'!BX14</f>
        <v>50.000000000011369</v>
      </c>
      <c r="AP12" s="32">
        <f>'FS Desroches Daily'!BZ14</f>
        <v>48</v>
      </c>
      <c r="AQ12" s="31">
        <f>'FS Desroches Daily'!CB14</f>
        <v>56</v>
      </c>
      <c r="AR12" s="31">
        <f>'FS Desroches Daily'!CD14</f>
        <v>6.0999999999985448</v>
      </c>
      <c r="AS12" s="31">
        <f>'FS Desroches Daily'!CF14</f>
        <v>3.4000000000014552</v>
      </c>
      <c r="AT12" s="31">
        <f>'FS Desroches Daily'!CH14</f>
        <v>67.30000000000291</v>
      </c>
      <c r="AU12" s="31">
        <f>'FS Desroches Daily'!CJ14</f>
        <v>274</v>
      </c>
      <c r="AV12" s="31">
        <f>'FS Desroches Daily'!CL14</f>
        <v>900.00000000009095</v>
      </c>
      <c r="AW12" s="31">
        <f>'FS Desroches Daily'!CM14</f>
        <v>70.400000000001455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10.988999999999999</v>
      </c>
      <c r="BC12" s="13">
        <f>'FS Desroches Daily'!CN14</f>
        <v>12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9</v>
      </c>
      <c r="D13" s="27">
        <v>2022</v>
      </c>
      <c r="E13" s="31">
        <f>'FS Desroches Daily'!D15</f>
        <v>1700.0000000000348</v>
      </c>
      <c r="F13" s="32">
        <f>'FS Desroches Daily'!F15</f>
        <v>2799.9999999996917</v>
      </c>
      <c r="G13" s="31">
        <f>'FS Desroches Daily'!H15</f>
        <v>2500.0000000003906</v>
      </c>
      <c r="H13" s="32">
        <f>'FS Desroches Daily'!J15</f>
        <v>1399.9999999998458</v>
      </c>
      <c r="I13" s="31">
        <f>'FS Desroches Daily'!L15</f>
        <v>2000.0000000002237</v>
      </c>
      <c r="J13" s="32">
        <f>'FS Desroches Daily'!N15</f>
        <v>1300.0000000000789</v>
      </c>
      <c r="K13" s="13">
        <f>'FS Desroches Daily'!P15</f>
        <v>24</v>
      </c>
      <c r="L13" s="31">
        <f>'FS Desroches Daily'!R15</f>
        <v>3</v>
      </c>
      <c r="M13" s="31">
        <f>'FS Desroches Daily'!T15</f>
        <v>0.5</v>
      </c>
      <c r="N13" s="31">
        <f>'FS Desroches Daily'!V15</f>
        <v>333.90000000002328</v>
      </c>
      <c r="O13" s="31">
        <f>'FS Desroches Daily'!X15</f>
        <v>250</v>
      </c>
      <c r="P13" s="31">
        <f>'FS Desroches Daily'!Z15</f>
        <v>2600.0000000001578</v>
      </c>
      <c r="Q13" s="31">
        <f>'FS Desroches Daily'!AB15</f>
        <v>370.00000000000455</v>
      </c>
      <c r="R13" s="31">
        <f>'FS Desroches Daily'!AD15</f>
        <v>330.00000000004093</v>
      </c>
      <c r="S13" s="31">
        <f>'FS Desroches Daily'!AF15</f>
        <v>559.99999999994543</v>
      </c>
      <c r="T13" s="31">
        <f>'FS Desroches Daily'!AH15</f>
        <v>35</v>
      </c>
      <c r="U13" s="35">
        <f>'FS Desroches Daily'!AJ15</f>
        <v>460.00000000003638</v>
      </c>
      <c r="V13" s="35">
        <f>'FS Desroches Daily'!AL15</f>
        <v>250</v>
      </c>
      <c r="W13" s="35">
        <f>'FS Desroches Daily'!AN15</f>
        <v>100.00000000002274</v>
      </c>
      <c r="X13" s="35">
        <f>'FS Desroches Daily'!AP15</f>
        <v>100.00000000002274</v>
      </c>
      <c r="Y13" s="35">
        <f>'FS Desroches Daily'!AR15</f>
        <v>89.999999999974989</v>
      </c>
      <c r="Z13" s="35">
        <f>'FS Desroches Daily'!AT15</f>
        <v>89.999999999974989</v>
      </c>
      <c r="AA13" s="35">
        <f>'FS Desroches Daily'!AT15</f>
        <v>89.999999999974989</v>
      </c>
      <c r="AB13" s="35">
        <f>'FS Desroches Daily'!AV15</f>
        <v>80.000000000040927</v>
      </c>
      <c r="AC13" s="35">
        <f>'FS Desroches Daily'!AZ15</f>
        <v>129.99999999999545</v>
      </c>
      <c r="AD13" s="35">
        <f>'FS Desroches Daily'!BB15</f>
        <v>89.999999999974989</v>
      </c>
      <c r="AE13" s="35">
        <f>'FS Desroches Daily'!BD15</f>
        <v>40.000000000020464</v>
      </c>
      <c r="AF13" s="31">
        <f>'FS Desroches Daily'!BF15</f>
        <v>42</v>
      </c>
      <c r="AG13" s="32">
        <f>'FS Desroches Daily'!BH15</f>
        <v>40.000000000020464</v>
      </c>
      <c r="AH13" s="32">
        <f>'FS Desroches Daily'!BJ15</f>
        <v>29.999999999972715</v>
      </c>
      <c r="AI13" s="32">
        <f>'FS Desroches Daily'!BL15</f>
        <v>40.000000000020464</v>
      </c>
      <c r="AJ13" s="32">
        <f>'FS Desroches Daily'!BN15</f>
        <v>40.000000000020464</v>
      </c>
      <c r="AK13" s="32">
        <f>'FS Desroches Daily'!BP15</f>
        <v>40.000000000020464</v>
      </c>
      <c r="AL13" s="32">
        <f>'FS Desroches Daily'!BR15</f>
        <v>30</v>
      </c>
      <c r="AM13" s="32">
        <f>'FS Desroches Daily'!BT15</f>
        <v>39.999999999992042</v>
      </c>
      <c r="AN13" s="32">
        <f>'FS Desroches Daily'!BV15</f>
        <v>29</v>
      </c>
      <c r="AO13" s="32">
        <f>'FS Desroches Daily'!BX15</f>
        <v>30.000000000001137</v>
      </c>
      <c r="AP13" s="32">
        <f>'FS Desroches Daily'!BZ15</f>
        <v>44</v>
      </c>
      <c r="AQ13" s="31">
        <f>'FS Desroches Daily'!CB15</f>
        <v>58.900000000001455</v>
      </c>
      <c r="AR13" s="31">
        <f>'FS Desroches Daily'!CD15</f>
        <v>9.5</v>
      </c>
      <c r="AS13" s="31">
        <f>'FS Desroches Daily'!CF15</f>
        <v>0.5</v>
      </c>
      <c r="AT13" s="31">
        <f>'FS Desroches Daily'!CH15</f>
        <v>67.599999999991269</v>
      </c>
      <c r="AU13" s="31">
        <f>'FS Desroches Daily'!CJ15</f>
        <v>294</v>
      </c>
      <c r="AV13" s="31">
        <f>'FS Desroches Daily'!CL15</f>
        <v>599.99999999990905</v>
      </c>
      <c r="AW13" s="31">
        <f>'FS Desroches Daily'!CM15</f>
        <v>84.799999999999272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12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9</v>
      </c>
      <c r="D14" s="27">
        <v>2022</v>
      </c>
      <c r="E14" s="31">
        <f>'FS Desroches Daily'!D16</f>
        <v>1900.0000000000127</v>
      </c>
      <c r="F14" s="32">
        <f>'FS Desroches Daily'!F16</f>
        <v>3000.0000000001137</v>
      </c>
      <c r="G14" s="31">
        <f>'FS Desroches Daily'!H16</f>
        <v>3099.9999999998809</v>
      </c>
      <c r="H14" s="32">
        <f>'FS Desroches Daily'!J16</f>
        <v>1500.0000000000568</v>
      </c>
      <c r="I14" s="31">
        <f>'FS Desroches Daily'!L16</f>
        <v>2099.9999999999909</v>
      </c>
      <c r="J14" s="32">
        <f>'FS Desroches Daily'!N16</f>
        <v>1300.0000000000789</v>
      </c>
      <c r="K14" s="13">
        <f>'FS Desroches Daily'!P16</f>
        <v>28</v>
      </c>
      <c r="L14" s="31">
        <f>'FS Desroches Daily'!R16</f>
        <v>4</v>
      </c>
      <c r="M14" s="31">
        <f>'FS Desroches Daily'!T16</f>
        <v>0.89999999999986358</v>
      </c>
      <c r="N14" s="31">
        <f>'FS Desroches Daily'!V16</f>
        <v>371.90000000002328</v>
      </c>
      <c r="O14" s="31">
        <f>'FS Desroches Daily'!X16</f>
        <v>279.99999999997272</v>
      </c>
      <c r="P14" s="31">
        <f>'FS Desroches Daily'!Z16</f>
        <v>2699.9999999999245</v>
      </c>
      <c r="Q14" s="31">
        <f>'FS Desroches Daily'!AB16</f>
        <v>259.99999999999091</v>
      </c>
      <c r="R14" s="31">
        <f>'FS Desroches Daily'!AD16</f>
        <v>350.00000000002274</v>
      </c>
      <c r="S14" s="31">
        <f>'FS Desroches Daily'!AF16</f>
        <v>629.99999999999545</v>
      </c>
      <c r="T14" s="31">
        <f>'FS Desroches Daily'!AH16</f>
        <v>39</v>
      </c>
      <c r="U14" s="35">
        <f>'FS Desroches Daily'!AJ16</f>
        <v>469.9999999999136</v>
      </c>
      <c r="V14" s="35">
        <f>'FS Desroches Daily'!AL16</f>
        <v>189.99999999999773</v>
      </c>
      <c r="W14" s="35">
        <f>'FS Desroches Daily'!AN16</f>
        <v>120.00000000000455</v>
      </c>
      <c r="X14" s="35">
        <f>'FS Desroches Daily'!AP16</f>
        <v>99.999999999965894</v>
      </c>
      <c r="Y14" s="35">
        <f>'FS Desroches Daily'!AR16</f>
        <v>100.00000000002274</v>
      </c>
      <c r="Z14" s="35">
        <f>'FS Desroches Daily'!AT16</f>
        <v>100.00000000002274</v>
      </c>
      <c r="AA14" s="35">
        <f>'FS Desroches Daily'!AT16</f>
        <v>100.00000000002274</v>
      </c>
      <c r="AB14" s="35">
        <f>'FS Desroches Daily'!AV16</f>
        <v>79.999999999984084</v>
      </c>
      <c r="AC14" s="35">
        <f>'FS Desroches Daily'!AZ16</f>
        <v>160.00000000002501</v>
      </c>
      <c r="AD14" s="35">
        <f>'FS Desroches Daily'!BB16</f>
        <v>100.00000000002274</v>
      </c>
      <c r="AE14" s="35">
        <f>'FS Desroches Daily'!BD16</f>
        <v>40.000000000020464</v>
      </c>
      <c r="AF14" s="31">
        <f>'FS Desroches Daily'!BF16</f>
        <v>45</v>
      </c>
      <c r="AG14" s="32">
        <f>'FS Desroches Daily'!BH16</f>
        <v>39.999999999992042</v>
      </c>
      <c r="AH14" s="32">
        <f>'FS Desroches Daily'!BJ16</f>
        <v>30.000000000029559</v>
      </c>
      <c r="AI14" s="32">
        <f>'FS Desroches Daily'!BL16</f>
        <v>29.999999999972715</v>
      </c>
      <c r="AJ14" s="32">
        <f>'FS Desroches Daily'!BN16</f>
        <v>29.999999999972715</v>
      </c>
      <c r="AK14" s="32">
        <f>'FS Desroches Daily'!BP16</f>
        <v>39.99999999996362</v>
      </c>
      <c r="AL14" s="32">
        <f>'FS Desroches Daily'!BR16</f>
        <v>35</v>
      </c>
      <c r="AM14" s="32">
        <f>'FS Desroches Daily'!BT16</f>
        <v>40.000000000020464</v>
      </c>
      <c r="AN14" s="32">
        <f>'FS Desroches Daily'!BV16</f>
        <v>31</v>
      </c>
      <c r="AO14" s="32">
        <f>'FS Desroches Daily'!BX16</f>
        <v>39.999999999992042</v>
      </c>
      <c r="AP14" s="32">
        <f>'FS Desroches Daily'!BZ16</f>
        <v>47</v>
      </c>
      <c r="AQ14" s="31">
        <f>'FS Desroches Daily'!CB16</f>
        <v>51.400000000001455</v>
      </c>
      <c r="AR14" s="31">
        <f>'FS Desroches Daily'!CD16</f>
        <v>12.400000000001455</v>
      </c>
      <c r="AS14" s="31">
        <f>'FS Desroches Daily'!CF16</f>
        <v>4.5</v>
      </c>
      <c r="AT14" s="31">
        <f>'FS Desroches Daily'!CH16</f>
        <v>59.100000000005821</v>
      </c>
      <c r="AU14" s="31">
        <f>'FS Desroches Daily'!CJ16</f>
        <v>280</v>
      </c>
      <c r="AV14" s="31">
        <f>'FS Desroches Daily'!CL16</f>
        <v>1000</v>
      </c>
      <c r="AW14" s="31">
        <f>'FS Desroches Daily'!CM16</f>
        <v>107.89999999999782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11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9</v>
      </c>
      <c r="D15" s="27">
        <v>2022</v>
      </c>
      <c r="E15" s="31">
        <f>'FS Desroches Daily'!D17</f>
        <v>1900.0000000000127</v>
      </c>
      <c r="F15" s="32">
        <f>'FS Desroches Daily'!F17</f>
        <v>2900.0000000003465</v>
      </c>
      <c r="G15" s="31">
        <f>'FS Desroches Daily'!H17</f>
        <v>2600.0000000001578</v>
      </c>
      <c r="H15" s="32">
        <f>'FS Desroches Daily'!J17</f>
        <v>1500.0000000000568</v>
      </c>
      <c r="I15" s="31">
        <f>'FS Desroches Daily'!L17</f>
        <v>2099.9999999999909</v>
      </c>
      <c r="J15" s="32">
        <f>'FS Desroches Daily'!N17</f>
        <v>1500.0000000000568</v>
      </c>
      <c r="K15" s="13">
        <f>'FS Desroches Daily'!P17</f>
        <v>25</v>
      </c>
      <c r="L15" s="31">
        <f>'FS Desroches Daily'!R17</f>
        <v>4</v>
      </c>
      <c r="M15" s="31">
        <f>'FS Desroches Daily'!T17</f>
        <v>0.70000000000004547</v>
      </c>
      <c r="N15" s="31">
        <f>'FS Desroches Daily'!V17</f>
        <v>335.90000000002328</v>
      </c>
      <c r="O15" s="31">
        <f>'FS Desroches Daily'!X17</f>
        <v>270.0000000000955</v>
      </c>
      <c r="P15" s="31">
        <f>'FS Desroches Daily'!Z17</f>
        <v>2699.9999999999245</v>
      </c>
      <c r="Q15" s="31">
        <f>'FS Desroches Daily'!AB17</f>
        <v>370.00000000000455</v>
      </c>
      <c r="R15" s="31">
        <f>'FS Desroches Daily'!AD17</f>
        <v>360.00000000001364</v>
      </c>
      <c r="S15" s="31">
        <f>'FS Desroches Daily'!AF17</f>
        <v>629.99999999999545</v>
      </c>
      <c r="T15" s="31">
        <f>'FS Desroches Daily'!AH17</f>
        <v>39</v>
      </c>
      <c r="U15" s="35">
        <f>'FS Desroches Daily'!AJ17</f>
        <v>510.00000000010459</v>
      </c>
      <c r="V15" s="35">
        <f>'FS Desroches Daily'!AL17</f>
        <v>199.99999999998863</v>
      </c>
      <c r="W15" s="35">
        <f>'FS Desroches Daily'!AN17</f>
        <v>139.99999999998636</v>
      </c>
      <c r="X15" s="35">
        <f>'FS Desroches Daily'!AP17</f>
        <v>150.00000000003411</v>
      </c>
      <c r="Y15" s="35">
        <f>'FS Desroches Daily'!AR17</f>
        <v>189.99999999999773</v>
      </c>
      <c r="Z15" s="35">
        <f>'FS Desroches Daily'!AT17</f>
        <v>109.9999999999568</v>
      </c>
      <c r="AA15" s="35">
        <f>'FS Desroches Daily'!AT17</f>
        <v>109.9999999999568</v>
      </c>
      <c r="AB15" s="35">
        <f>'FS Desroches Daily'!AV17</f>
        <v>100.00000000002274</v>
      </c>
      <c r="AC15" s="35">
        <f>'FS Desroches Daily'!AZ17</f>
        <v>169.99999999995907</v>
      </c>
      <c r="AD15" s="35">
        <f>'FS Desroches Daily'!BB17</f>
        <v>110.00000000001364</v>
      </c>
      <c r="AE15" s="35">
        <f>'FS Desroches Daily'!BD17</f>
        <v>60.000000000002274</v>
      </c>
      <c r="AF15" s="31">
        <f>'FS Desroches Daily'!BF17</f>
        <v>29</v>
      </c>
      <c r="AG15" s="32">
        <f>'FS Desroches Daily'!BH17</f>
        <v>39.999999999992042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40.000000000020464</v>
      </c>
      <c r="AK15" s="32">
        <f>'FS Desroches Daily'!BP17</f>
        <v>50.000000000011369</v>
      </c>
      <c r="AL15" s="32">
        <f>'FS Desroches Daily'!BR17</f>
        <v>43</v>
      </c>
      <c r="AM15" s="32">
        <f>'FS Desroches Daily'!BT17</f>
        <v>39.999999999992042</v>
      </c>
      <c r="AN15" s="32">
        <f>'FS Desroches Daily'!BV17</f>
        <v>36</v>
      </c>
      <c r="AO15" s="32">
        <f>'FS Desroches Daily'!BX17</f>
        <v>50.000000000011369</v>
      </c>
      <c r="AP15" s="32">
        <f>'FS Desroches Daily'!BZ17</f>
        <v>49</v>
      </c>
      <c r="AQ15" s="31">
        <f>'FS Desroches Daily'!CB17</f>
        <v>32.899999999994179</v>
      </c>
      <c r="AR15" s="31">
        <f>'FS Desroches Daily'!CD17</f>
        <v>11.299999999999272</v>
      </c>
      <c r="AS15" s="31">
        <f>'FS Desroches Daily'!CF17</f>
        <v>0</v>
      </c>
      <c r="AT15" s="31">
        <f>'FS Desroches Daily'!CH17</f>
        <v>49.599999999991269</v>
      </c>
      <c r="AU15" s="31">
        <f>'FS Desroches Daily'!CJ17</f>
        <v>283</v>
      </c>
      <c r="AV15" s="31">
        <f>'FS Desroches Daily'!CL17</f>
        <v>700.00000000004547</v>
      </c>
      <c r="AW15" s="31">
        <f>'FS Desroches Daily'!CM17</f>
        <v>84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13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9</v>
      </c>
      <c r="D16" s="27">
        <v>2022</v>
      </c>
      <c r="E16" s="31">
        <f>'FS Desroches Daily'!D18</f>
        <v>1999.9999999997797</v>
      </c>
      <c r="F16" s="32">
        <f>'FS Desroches Daily'!F18</f>
        <v>2899.9999999994584</v>
      </c>
      <c r="G16" s="31">
        <f>'FS Desroches Daily'!H18</f>
        <v>2899.9999999994584</v>
      </c>
      <c r="H16" s="32">
        <f>'FS Desroches Daily'!J18</f>
        <v>1400.0000000002899</v>
      </c>
      <c r="I16" s="31">
        <f>'FS Desroches Daily'!L18</f>
        <v>2099.9999999999909</v>
      </c>
      <c r="J16" s="32">
        <f>'FS Desroches Daily'!N18</f>
        <v>1399.9999999998458</v>
      </c>
      <c r="K16" s="13">
        <f>'FS Desroches Daily'!P18</f>
        <v>23</v>
      </c>
      <c r="L16" s="31">
        <f>'FS Desroches Daily'!R18</f>
        <v>5</v>
      </c>
      <c r="M16" s="31">
        <f>'FS Desroches Daily'!T18</f>
        <v>1</v>
      </c>
      <c r="N16" s="31">
        <f>'FS Desroches Daily'!V18</f>
        <v>377.5</v>
      </c>
      <c r="O16" s="31">
        <f>'FS Desroches Daily'!X18</f>
        <v>250</v>
      </c>
      <c r="P16" s="31">
        <f>'FS Desroches Daily'!Z18</f>
        <v>2600.0000000001578</v>
      </c>
      <c r="Q16" s="31">
        <f>'FS Desroches Daily'!AB18</f>
        <v>200.00000000004547</v>
      </c>
      <c r="R16" s="31">
        <f>'FS Desroches Daily'!AD18</f>
        <v>369.99999999989086</v>
      </c>
      <c r="S16" s="31">
        <f>'FS Desroches Daily'!AF18</f>
        <v>680.00000000006366</v>
      </c>
      <c r="T16" s="31">
        <f>'FS Desroches Daily'!AH18</f>
        <v>34</v>
      </c>
      <c r="U16" s="35">
        <f>'FS Desroches Daily'!AJ18</f>
        <v>449.99999999993179</v>
      </c>
      <c r="V16" s="35">
        <f>'FS Desroches Daily'!AL18</f>
        <v>160.00000000002501</v>
      </c>
      <c r="W16" s="35">
        <f>'FS Desroches Daily'!AN18</f>
        <v>159.99999999996817</v>
      </c>
      <c r="X16" s="35">
        <f>'FS Desroches Daily'!AP18</f>
        <v>109.9999999999568</v>
      </c>
      <c r="Y16" s="35">
        <f>'FS Desroches Daily'!AR18</f>
        <v>220.00000000002728</v>
      </c>
      <c r="Z16" s="35">
        <f>'FS Desroches Daily'!AT18</f>
        <v>100.00000000002274</v>
      </c>
      <c r="AA16" s="35">
        <f>'FS Desroches Daily'!AT18</f>
        <v>100.00000000002274</v>
      </c>
      <c r="AB16" s="35">
        <f>'FS Desroches Daily'!AV18</f>
        <v>79.999999999984084</v>
      </c>
      <c r="AC16" s="35">
        <f>'FS Desroches Daily'!AZ18</f>
        <v>100.00000000002274</v>
      </c>
      <c r="AD16" s="35">
        <f>'FS Desroches Daily'!BB18</f>
        <v>89.999999999974989</v>
      </c>
      <c r="AE16" s="35">
        <f>'FS Desroches Daily'!BD18</f>
        <v>50.000000000011369</v>
      </c>
      <c r="AF16" s="31">
        <f>'FS Desroches Daily'!BF18</f>
        <v>33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40.000000000020464</v>
      </c>
      <c r="AJ16" s="32">
        <f>'FS Desroches Daily'!BN18</f>
        <v>39.999999999992042</v>
      </c>
      <c r="AK16" s="32">
        <f>'FS Desroches Daily'!BP18</f>
        <v>40.000000000020464</v>
      </c>
      <c r="AL16" s="32">
        <f>'FS Desroches Daily'!BR18</f>
        <v>38</v>
      </c>
      <c r="AM16" s="32">
        <f>'FS Desroches Daily'!BT18</f>
        <v>39.999999999992042</v>
      </c>
      <c r="AN16" s="32">
        <f>'FS Desroches Daily'!BV18</f>
        <v>37</v>
      </c>
      <c r="AO16" s="32">
        <f>'FS Desroches Daily'!BX18</f>
        <v>39.999999999992042</v>
      </c>
      <c r="AP16" s="32">
        <f>'FS Desroches Daily'!BZ18</f>
        <v>48</v>
      </c>
      <c r="AQ16" s="31">
        <f>'FS Desroches Daily'!CB18</f>
        <v>39.5</v>
      </c>
      <c r="AR16" s="31">
        <f>'FS Desroches Daily'!CD18</f>
        <v>8.7000000000007276</v>
      </c>
      <c r="AS16" s="31">
        <f>'FS Desroches Daily'!CF18</f>
        <v>2.5</v>
      </c>
      <c r="AT16" s="31">
        <f>'FS Desroches Daily'!CH18</f>
        <v>66.200000000011642</v>
      </c>
      <c r="AU16" s="31">
        <f>'FS Desroches Daily'!CJ18</f>
        <v>281</v>
      </c>
      <c r="AV16" s="31">
        <f>'FS Desroches Daily'!CL18</f>
        <v>900.00000000009095</v>
      </c>
      <c r="AW16" s="31">
        <f>'FS Desroches Daily'!CM18</f>
        <v>106.70000000000073</v>
      </c>
      <c r="AX16" s="31">
        <f>IF(LPG!F23-LPG!F22&lt;0,"0",(LPG!F23-LPG!F22)*1.8315)</f>
        <v>0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1.8314999999999999</v>
      </c>
      <c r="BB16" s="31">
        <f>IF(LPG!Q23-LPG!Q22&lt;0,"0",(LPG!Q23-LPG!Q22)*1.8315)</f>
        <v>5.4944999999999995</v>
      </c>
      <c r="BC16" s="13">
        <f>'FS Desroches Daily'!CN18</f>
        <v>12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9</v>
      </c>
      <c r="D17" s="27">
        <v>2022</v>
      </c>
      <c r="E17" s="31">
        <f>'FS Desroches Daily'!D19</f>
        <v>2000.0000000002237</v>
      </c>
      <c r="F17" s="32">
        <f>'FS Desroches Daily'!F19</f>
        <v>2900.0000000003465</v>
      </c>
      <c r="G17" s="31">
        <f>'FS Desroches Daily'!H19</f>
        <v>2900.0000000003465</v>
      </c>
      <c r="H17" s="32">
        <f>'FS Desroches Daily'!J19</f>
        <v>1599.9999999998238</v>
      </c>
      <c r="I17" s="31">
        <f>'FS Desroches Daily'!L19</f>
        <v>2200.0000000002019</v>
      </c>
      <c r="J17" s="32">
        <f>'FS Desroches Daily'!N19</f>
        <v>1500.0000000000568</v>
      </c>
      <c r="K17" s="13">
        <f>'FS Desroches Daily'!P19</f>
        <v>25</v>
      </c>
      <c r="L17" s="31">
        <f>'FS Desroches Daily'!R19</f>
        <v>4</v>
      </c>
      <c r="M17" s="31">
        <f>'FS Desroches Daily'!T19</f>
        <v>0.70000000000004547</v>
      </c>
      <c r="N17" s="31">
        <f>'FS Desroches Daily'!V19</f>
        <v>362.19999999995343</v>
      </c>
      <c r="O17" s="31">
        <f>'FS Desroches Daily'!X19</f>
        <v>279.99999999997272</v>
      </c>
      <c r="P17" s="31">
        <f>'FS Desroches Daily'!Z19</f>
        <v>2600.0000000001578</v>
      </c>
      <c r="Q17" s="31">
        <f>'FS Desroches Daily'!AB19</f>
        <v>339.99999999991815</v>
      </c>
      <c r="R17" s="31">
        <f>'FS Desroches Daily'!AD19</f>
        <v>360.00000000001364</v>
      </c>
      <c r="S17" s="31">
        <f>'FS Desroches Daily'!AF19</f>
        <v>740.00000000000909</v>
      </c>
      <c r="T17" s="31">
        <f>'FS Desroches Daily'!AH19</f>
        <v>36</v>
      </c>
      <c r="U17" s="35">
        <f>'FS Desroches Daily'!AJ19</f>
        <v>500</v>
      </c>
      <c r="V17" s="35">
        <f>'FS Desroches Daily'!AL19</f>
        <v>189.99999999999773</v>
      </c>
      <c r="W17" s="35">
        <f>'FS Desroches Daily'!AN19</f>
        <v>170.00000000001592</v>
      </c>
      <c r="X17" s="35">
        <f>'FS Desroches Daily'!AP19</f>
        <v>110.00000000001364</v>
      </c>
      <c r="Y17" s="35">
        <f>'FS Desroches Daily'!AR19</f>
        <v>209.99999999997954</v>
      </c>
      <c r="Z17" s="35">
        <f>'FS Desroches Daily'!AU20</f>
        <v>362.61</v>
      </c>
      <c r="AA17" s="35">
        <f>'FS Desroches Daily'!AU20</f>
        <v>362.61</v>
      </c>
      <c r="AB17" s="35">
        <f>'FS Desroches Daily'!AV19</f>
        <v>89.999999999974989</v>
      </c>
      <c r="AC17" s="35">
        <f>'FS Desroches Daily'!AZ19</f>
        <v>120.00000000000455</v>
      </c>
      <c r="AD17" s="35">
        <f>'FS Desroches Daily'!BB19</f>
        <v>100.00000000002274</v>
      </c>
      <c r="AE17" s="35">
        <f>'FS Desroches Daily'!BD19</f>
        <v>59.99999999994543</v>
      </c>
      <c r="AF17" s="31">
        <f>'FS Desroches Daily'!BF19</f>
        <v>63</v>
      </c>
      <c r="AG17" s="32">
        <f>'FS Desroches Daily'!BH19</f>
        <v>39.999999999992042</v>
      </c>
      <c r="AH17" s="32">
        <f>'FS Desroches Daily'!BJ19</f>
        <v>29.999999999972715</v>
      </c>
      <c r="AI17" s="32">
        <f>'FS Desroches Daily'!BL19</f>
        <v>49.999999999954525</v>
      </c>
      <c r="AJ17" s="32">
        <f>'FS Desroches Daily'!BN19</f>
        <v>39.999999999992042</v>
      </c>
      <c r="AK17" s="32">
        <f>'FS Desroches Daily'!BP19</f>
        <v>50.000000000011369</v>
      </c>
      <c r="AL17" s="32">
        <f>'FS Desroches Daily'!BR19</f>
        <v>34</v>
      </c>
      <c r="AM17" s="32">
        <f>'FS Desroches Daily'!BT19</f>
        <v>30.000000000001137</v>
      </c>
      <c r="AN17" s="32">
        <f>'FS Desroches Daily'!BV19</f>
        <v>43</v>
      </c>
      <c r="AO17" s="32">
        <f>'FS Desroches Daily'!BX19</f>
        <v>39.999999999992042</v>
      </c>
      <c r="AP17" s="32">
        <f>'FS Desroches Daily'!BZ19</f>
        <v>46</v>
      </c>
      <c r="AQ17" s="31">
        <f>'FS Desroches Daily'!CB19</f>
        <v>28.400000000001455</v>
      </c>
      <c r="AR17" s="31">
        <f>'FS Desroches Daily'!CD19</f>
        <v>10</v>
      </c>
      <c r="AS17" s="31">
        <f>'FS Desroches Daily'!CF19</f>
        <v>3.7999999999992724</v>
      </c>
      <c r="AT17" s="31">
        <f>'FS Desroches Daily'!CH19</f>
        <v>56.399999999994179</v>
      </c>
      <c r="AU17" s="31">
        <f>'FS Desroches Daily'!CJ19</f>
        <v>281</v>
      </c>
      <c r="AV17" s="31">
        <f>'FS Desroches Daily'!CL19</f>
        <v>899.99999999986358</v>
      </c>
      <c r="AW17" s="31">
        <f>'FS Desroches Daily'!CM19</f>
        <v>95.900000000001455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9</v>
      </c>
      <c r="D18" s="27">
        <v>2022</v>
      </c>
      <c r="E18" s="31">
        <f>'FS Desroches Daily'!D20</f>
        <v>1900.0000000000127</v>
      </c>
      <c r="F18" s="32">
        <f>'FS Desroches Daily'!F20</f>
        <v>3000.0000000001137</v>
      </c>
      <c r="G18" s="31">
        <f>'FS Desroches Daily'!H20</f>
        <v>2799.9999999996917</v>
      </c>
      <c r="H18" s="32">
        <f>'FS Desroches Daily'!J20</f>
        <v>1399.9999999998458</v>
      </c>
      <c r="I18" s="31">
        <f>'FS Desroches Daily'!L20</f>
        <v>2099.9999999999909</v>
      </c>
      <c r="J18" s="32">
        <f>'FS Desroches Daily'!N20</f>
        <v>1700.0000000000348</v>
      </c>
      <c r="K18" s="13">
        <f>'FS Desroches Daily'!P20</f>
        <v>28</v>
      </c>
      <c r="L18" s="31">
        <f>'FS Desroches Daily'!R20</f>
        <v>4</v>
      </c>
      <c r="M18" s="31">
        <f>'FS Desroches Daily'!T20</f>
        <v>0.89999999999986358</v>
      </c>
      <c r="N18" s="31">
        <f>'FS Desroches Daily'!V20</f>
        <v>321.30000000004657</v>
      </c>
      <c r="O18" s="31">
        <f>'FS Desroches Daily'!X20</f>
        <v>279.99999999997272</v>
      </c>
      <c r="P18" s="31">
        <f>'FS Desroches Daily'!Z20</f>
        <v>2899.9999999994584</v>
      </c>
      <c r="Q18" s="31">
        <f>'FS Desroches Daily'!AB20</f>
        <v>420.00000000007276</v>
      </c>
      <c r="R18" s="31">
        <f>'FS Desroches Daily'!AD20</f>
        <v>410.00000000008185</v>
      </c>
      <c r="S18" s="31">
        <f>'FS Desroches Daily'!AF20</f>
        <v>829.99999999992724</v>
      </c>
      <c r="T18" s="31">
        <f>'FS Desroches Daily'!AH20</f>
        <v>38</v>
      </c>
      <c r="U18" s="35">
        <f>'FS Desroches Daily'!AJ20</f>
        <v>560.00000000005912</v>
      </c>
      <c r="V18" s="35">
        <f>'FS Desroches Daily'!AL20</f>
        <v>240.00000000000909</v>
      </c>
      <c r="W18" s="35">
        <f>'FS Desroches Daily'!AN20</f>
        <v>170.00000000001592</v>
      </c>
      <c r="X18" s="35">
        <f>'FS Desroches Daily'!AP20</f>
        <v>120.00000000000455</v>
      </c>
      <c r="Y18" s="35">
        <f>'FS Desroches Daily'!AR20</f>
        <v>199.99999999998863</v>
      </c>
      <c r="Z18" s="35">
        <f>'FS Desroches Daily'!AT20</f>
        <v>79.999999999984084</v>
      </c>
      <c r="AA18" s="35">
        <f>'FS Desroches Daily'!AT20</f>
        <v>79.999999999984084</v>
      </c>
      <c r="AB18" s="35">
        <f>'FS Desroches Daily'!AV20</f>
        <v>90.000000000031832</v>
      </c>
      <c r="AC18" s="35">
        <f>'FS Desroches Daily'!AZ20</f>
        <v>110.00000000001364</v>
      </c>
      <c r="AD18" s="35">
        <f>'FS Desroches Daily'!BB20</f>
        <v>89.999999999974989</v>
      </c>
      <c r="AE18" s="35">
        <f>'FS Desroches Daily'!BD20</f>
        <v>50.000000000011369</v>
      </c>
      <c r="AF18" s="31">
        <f>'FS Desroches Daily'!BF20</f>
        <v>36</v>
      </c>
      <c r="AG18" s="32">
        <f>'FS Desroches Daily'!BH20</f>
        <v>30.000000000001137</v>
      </c>
      <c r="AH18" s="32">
        <f>'FS Desroches Daily'!BJ20</f>
        <v>30.000000000029559</v>
      </c>
      <c r="AI18" s="32">
        <f>'FS Desroches Daily'!BL20</f>
        <v>40.000000000020464</v>
      </c>
      <c r="AJ18" s="32">
        <f>'FS Desroches Daily'!BN20</f>
        <v>40.000000000020464</v>
      </c>
      <c r="AK18" s="32">
        <f>'FS Desroches Daily'!BP20</f>
        <v>39.99999999996362</v>
      </c>
      <c r="AL18" s="32">
        <f>'FS Desroches Daily'!BR20</f>
        <v>35</v>
      </c>
      <c r="AM18" s="32">
        <f>'FS Desroches Daily'!BT20</f>
        <v>40.000000000020464</v>
      </c>
      <c r="AN18" s="32">
        <f>'FS Desroches Daily'!BV20</f>
        <v>33</v>
      </c>
      <c r="AO18" s="32">
        <f>'FS Desroches Daily'!BX20</f>
        <v>39.999999999992042</v>
      </c>
      <c r="AP18" s="32">
        <f>'FS Desroches Daily'!BZ20</f>
        <v>52</v>
      </c>
      <c r="AQ18" s="31">
        <f>'FS Desroches Daily'!CB20</f>
        <v>26.900000000001455</v>
      </c>
      <c r="AR18" s="31">
        <f>'FS Desroches Daily'!CD20</f>
        <v>16.099999999998545</v>
      </c>
      <c r="AS18" s="31">
        <f>'FS Desroches Daily'!CF20</f>
        <v>2.7999999999992724</v>
      </c>
      <c r="AT18" s="31">
        <f>'FS Desroches Daily'!CH20</f>
        <v>53.899999999994179</v>
      </c>
      <c r="AU18" s="31">
        <f>'FS Desroches Daily'!CJ20</f>
        <v>276</v>
      </c>
      <c r="AV18" s="31">
        <f>'FS Desroches Daily'!CL20</f>
        <v>700.00000000004547</v>
      </c>
      <c r="AW18" s="31">
        <f>'FS Desroches Daily'!CM20</f>
        <v>84.299999999999272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7.3259999999999996</v>
      </c>
      <c r="BC18" s="13">
        <f>'FS Desroches Daily'!CN20</f>
        <v>24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9</v>
      </c>
      <c r="D19" s="27">
        <v>2022</v>
      </c>
      <c r="E19" s="31">
        <f>'FS Desroches Daily'!D21</f>
        <v>1399.9999999998458</v>
      </c>
      <c r="F19" s="32">
        <f>'FS Desroches Daily'!F21</f>
        <v>2699.9999999999245</v>
      </c>
      <c r="G19" s="31">
        <f>'FS Desroches Daily'!H21</f>
        <v>2799.9999999996917</v>
      </c>
      <c r="H19" s="32">
        <f>'FS Desroches Daily'!J21</f>
        <v>1300.0000000000789</v>
      </c>
      <c r="I19" s="31">
        <f>'FS Desroches Daily'!L21</f>
        <v>1699.9999999995907</v>
      </c>
      <c r="J19" s="32">
        <f>'FS Desroches Daily'!N21</f>
        <v>1399.9999999998458</v>
      </c>
      <c r="K19" s="13">
        <f>'FS Desroches Daily'!P21</f>
        <v>29</v>
      </c>
      <c r="L19" s="31">
        <f>'FS Desroches Daily'!R21</f>
        <v>3</v>
      </c>
      <c r="M19" s="31">
        <f>'FS Desroches Daily'!T21</f>
        <v>1.1000000000001364</v>
      </c>
      <c r="N19" s="31">
        <f>'FS Desroches Daily'!V21</f>
        <v>384.69999999995343</v>
      </c>
      <c r="O19" s="31">
        <f>'FS Desroches Daily'!X21</f>
        <v>210.00000000003638</v>
      </c>
      <c r="P19" s="31">
        <f>'FS Desroches Daily'!Z21</f>
        <v>2600.0000000001578</v>
      </c>
      <c r="Q19" s="31">
        <f>'FS Desroches Daily'!AB21</f>
        <v>250</v>
      </c>
      <c r="R19" s="31">
        <f>'FS Desroches Daily'!AD21</f>
        <v>309.99999999994543</v>
      </c>
      <c r="S19" s="31">
        <f>'FS Desroches Daily'!AF21</f>
        <v>790.00000000007731</v>
      </c>
      <c r="T19" s="31">
        <f>'FS Desroches Daily'!AH21</f>
        <v>33</v>
      </c>
      <c r="U19" s="35">
        <f>'FS Desroches Daily'!AJ21</f>
        <v>370.00000000000455</v>
      </c>
      <c r="V19" s="35">
        <f>'FS Desroches Daily'!AL21</f>
        <v>219.99999999997044</v>
      </c>
      <c r="W19" s="35">
        <f>'FS Desroches Daily'!AN21</f>
        <v>129.99999999999545</v>
      </c>
      <c r="X19" s="35">
        <f>'FS Desroches Daily'!AP21</f>
        <v>90.000000000031832</v>
      </c>
      <c r="Y19" s="35">
        <f>'FS Desroches Daily'!AR21</f>
        <v>129.99999999999545</v>
      </c>
      <c r="Z19" s="35">
        <f>'FS Desroches Daily'!AT21</f>
        <v>50.000000000011369</v>
      </c>
      <c r="AA19" s="35">
        <f>'FS Desroches Daily'!AT21</f>
        <v>50.000000000011369</v>
      </c>
      <c r="AB19" s="35">
        <f>'FS Desroches Daily'!AV21</f>
        <v>50.000000000011369</v>
      </c>
      <c r="AC19" s="35">
        <f>'FS Desroches Daily'!AZ21</f>
        <v>89.999999999974989</v>
      </c>
      <c r="AD19" s="35">
        <f>'FS Desroches Daily'!BB21</f>
        <v>79.999999999984084</v>
      </c>
      <c r="AE19" s="35">
        <f>'FS Desroches Daily'!BD21</f>
        <v>40.000000000020464</v>
      </c>
      <c r="AF19" s="31">
        <f>'FS Desroches Daily'!BF21</f>
        <v>54</v>
      </c>
      <c r="AG19" s="32">
        <f>'FS Desroches Daily'!BH21</f>
        <v>30.000000000001137</v>
      </c>
      <c r="AH19" s="32">
        <f>'FS Desroches Daily'!BJ21</f>
        <v>29.999999999972715</v>
      </c>
      <c r="AI19" s="32">
        <f>'FS Desroches Daily'!BL21</f>
        <v>30.000000000029559</v>
      </c>
      <c r="AJ19" s="32">
        <f>'FS Desroches Daily'!BN21</f>
        <v>19.99999999998181</v>
      </c>
      <c r="AK19" s="32">
        <f>'FS Desroches Daily'!BP21</f>
        <v>30.000000000029559</v>
      </c>
      <c r="AL19" s="32">
        <f>'FS Desroches Daily'!BR21</f>
        <v>33</v>
      </c>
      <c r="AM19" s="32">
        <f>'FS Desroches Daily'!BT21</f>
        <v>29.999999999972715</v>
      </c>
      <c r="AN19" s="32">
        <f>'FS Desroches Daily'!BV21</f>
        <v>27</v>
      </c>
      <c r="AO19" s="32">
        <f>'FS Desroches Daily'!BX21</f>
        <v>20.000000000010232</v>
      </c>
      <c r="AP19" s="32">
        <f>'FS Desroches Daily'!BZ21</f>
        <v>34</v>
      </c>
      <c r="AQ19" s="31">
        <f>'FS Desroches Daily'!CB21</f>
        <v>58.900000000001455</v>
      </c>
      <c r="AR19" s="31">
        <f>'FS Desroches Daily'!CD21</f>
        <v>9.9000000000014552</v>
      </c>
      <c r="AS19" s="31">
        <f>'FS Desroches Daily'!CF21</f>
        <v>5.2000000000007276</v>
      </c>
      <c r="AT19" s="31">
        <f>'FS Desroches Daily'!CH21</f>
        <v>62.700000000011642</v>
      </c>
      <c r="AU19" s="31">
        <f>'FS Desroches Daily'!CJ21</f>
        <v>260</v>
      </c>
      <c r="AV19" s="31">
        <f>'FS Desroches Daily'!CL21</f>
        <v>799.99999999995453</v>
      </c>
      <c r="AW19" s="31">
        <f>'FS Desroches Daily'!CM21</f>
        <v>99</v>
      </c>
      <c r="AX19" s="31" t="str">
        <f>IF(LPG!F26-LPG!F25&lt;0,"0",(LPG!F26-LPG!F25)*1.8315)</f>
        <v>0</v>
      </c>
      <c r="AY19" s="31" t="str">
        <f>IF(LPG!H26-LPG!H25&lt;0,"0",(LPG!H26-LPG!H25)*1.8315)</f>
        <v>0</v>
      </c>
      <c r="AZ19" s="31" t="str">
        <f>IF(LPG!J26-LPG!J25&lt;0,"0",(LPG!J26-LPG!J25)*1.8315)</f>
        <v>0</v>
      </c>
      <c r="BA19" s="31" t="str">
        <f>IF(LPG!M26-LPG!M25&lt;0,"0",(LPG!M26-LPG!M25)*1.8315)</f>
        <v>0</v>
      </c>
      <c r="BB19" s="31" t="str">
        <f>IF(LPG!Q26-LPG!Q25&lt;0,"0",(LPG!Q26-LPG!Q25)*1.8315)</f>
        <v>0</v>
      </c>
      <c r="BC19" s="13">
        <f>'FS Desroches Daily'!CN21</f>
        <v>24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9</v>
      </c>
      <c r="D20" s="27">
        <v>2022</v>
      </c>
      <c r="E20" s="31" t="str">
        <f>'FS Desroches Daily'!D22</f>
        <v>0</v>
      </c>
      <c r="F20" s="32" t="str">
        <f>'FS Desroches Daily'!F22</f>
        <v>0</v>
      </c>
      <c r="G20" s="31" t="str">
        <f>'FS Desroches Daily'!H22</f>
        <v>0</v>
      </c>
      <c r="H20" s="32" t="str">
        <f>'FS Desroches Daily'!J22</f>
        <v>0</v>
      </c>
      <c r="I20" s="31" t="str">
        <f>'FS Desroches Daily'!L22</f>
        <v>0</v>
      </c>
      <c r="J20" s="32" t="str">
        <f>'FS Desroches Daily'!N22</f>
        <v/>
      </c>
      <c r="K20" s="13" t="str">
        <f>'FS Desroches Daily'!P22</f>
        <v/>
      </c>
      <c r="L20" s="31" t="str">
        <f>'FS Desroches Daily'!R22</f>
        <v/>
      </c>
      <c r="M20" s="31" t="str">
        <f>'FS Desroches Daily'!T22</f>
        <v/>
      </c>
      <c r="N20" s="31" t="str">
        <f>'FS Desroches Daily'!V22</f>
        <v/>
      </c>
      <c r="O20" s="31" t="str">
        <f>'FS Desroches Daily'!X22</f>
        <v/>
      </c>
      <c r="P20" s="31" t="str">
        <f>'FS Desroches Daily'!Z22</f>
        <v/>
      </c>
      <c r="Q20" s="31" t="str">
        <f>'FS Desroches Daily'!AB22</f>
        <v/>
      </c>
      <c r="R20" s="31" t="str">
        <f>'FS Desroches Daily'!AD22</f>
        <v/>
      </c>
      <c r="S20" s="31" t="str">
        <f>'FS Desroches Daily'!AF22</f>
        <v/>
      </c>
      <c r="T20" s="31" t="str">
        <f>'FS Desroches Daily'!AH22</f>
        <v/>
      </c>
      <c r="U20" s="35" t="str">
        <f>'FS Desroches Daily'!AJ22</f>
        <v/>
      </c>
      <c r="V20" s="35" t="str">
        <f>'FS Desroches Daily'!AL22</f>
        <v/>
      </c>
      <c r="W20" s="35" t="str">
        <f>'FS Desroches Daily'!AN22</f>
        <v/>
      </c>
      <c r="X20" s="35" t="str">
        <f>'FS Desroches Daily'!AP22</f>
        <v/>
      </c>
      <c r="Y20" s="35" t="str">
        <f>'FS Desroches Daily'!AR22</f>
        <v/>
      </c>
      <c r="Z20" s="35" t="str">
        <f>'FS Desroches Daily'!AT22</f>
        <v/>
      </c>
      <c r="AA20" s="35" t="str">
        <f>'FS Desroches Daily'!AT22</f>
        <v/>
      </c>
      <c r="AB20" s="35" t="str">
        <f>'FS Desroches Daily'!AV22</f>
        <v/>
      </c>
      <c r="AC20" s="35" t="str">
        <f>'FS Desroches Daily'!AZ22</f>
        <v/>
      </c>
      <c r="AD20" s="35" t="str">
        <f>'FS Desroches Daily'!BB22</f>
        <v/>
      </c>
      <c r="AE20" s="35" t="str">
        <f>'FS Desroches Daily'!BD22</f>
        <v/>
      </c>
      <c r="AF20" s="31" t="str">
        <f>'FS Desroches Daily'!BF22</f>
        <v/>
      </c>
      <c r="AG20" s="32" t="str">
        <f>'FS Desroches Daily'!BH22</f>
        <v/>
      </c>
      <c r="AH20" s="32" t="str">
        <f>'FS Desroches Daily'!BJ22</f>
        <v/>
      </c>
      <c r="AI20" s="32" t="str">
        <f>'FS Desroches Daily'!BL22</f>
        <v/>
      </c>
      <c r="AJ20" s="32" t="str">
        <f>'FS Desroches Daily'!BN22</f>
        <v/>
      </c>
      <c r="AK20" s="32" t="str">
        <f>'FS Desroches Daily'!BP22</f>
        <v/>
      </c>
      <c r="AL20" s="32" t="str">
        <f>'FS Desroches Daily'!BR22</f>
        <v/>
      </c>
      <c r="AM20" s="32" t="str">
        <f>'FS Desroches Daily'!BT22</f>
        <v/>
      </c>
      <c r="AN20" s="32" t="str">
        <f>'FS Desroches Daily'!BV22</f>
        <v/>
      </c>
      <c r="AO20" s="32" t="str">
        <f>'FS Desroches Daily'!BX22</f>
        <v/>
      </c>
      <c r="AP20" s="32" t="str">
        <f>'FS Desroches Daily'!BZ22</f>
        <v/>
      </c>
      <c r="AQ20" s="31" t="str">
        <f>'FS Desroches Daily'!CB22</f>
        <v/>
      </c>
      <c r="AR20" s="31" t="str">
        <f>'FS Desroches Daily'!CD22</f>
        <v/>
      </c>
      <c r="AS20" s="31" t="str">
        <f>'FS Desroches Daily'!CF22</f>
        <v/>
      </c>
      <c r="AT20" s="31" t="str">
        <f>'FS Desroches Daily'!CH22</f>
        <v/>
      </c>
      <c r="AU20" s="31" t="str">
        <f>'FS Desroches Daily'!CJ22</f>
        <v/>
      </c>
      <c r="AV20" s="31" t="str">
        <f>'FS Desroches Daily'!CL22</f>
        <v/>
      </c>
      <c r="AW20" s="31" t="e">
        <f>'FS Desroches Daily'!CM22</f>
        <v>#VALUE!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9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9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9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9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9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9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9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9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9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9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9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9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34699.999999999956</v>
      </c>
      <c r="F33" s="17">
        <f t="shared" ref="F33:BC33" si="0">SUM(F2:F32)</f>
        <v>51800.00000000008</v>
      </c>
      <c r="G33" s="17">
        <f t="shared" si="0"/>
        <v>51299.999999999469</v>
      </c>
      <c r="H33" s="17">
        <f t="shared" si="0"/>
        <v>25399.999999999873</v>
      </c>
      <c r="I33" s="17">
        <f t="shared" si="0"/>
        <v>37399.999999999891</v>
      </c>
      <c r="J33" s="17">
        <f t="shared" si="0"/>
        <v>24499.999999999749</v>
      </c>
      <c r="K33" s="17">
        <f t="shared" si="0"/>
        <v>465</v>
      </c>
      <c r="L33" s="17">
        <f t="shared" si="0"/>
        <v>63</v>
      </c>
      <c r="M33" s="17">
        <f t="shared" si="0"/>
        <v>16.400000000000091</v>
      </c>
      <c r="N33" s="17">
        <f t="shared" si="0"/>
        <v>6488.0999999999767</v>
      </c>
      <c r="O33" s="17">
        <f t="shared" si="0"/>
        <v>4789.9999999999636</v>
      </c>
      <c r="P33" s="17">
        <f t="shared" si="0"/>
        <v>47399.999999999673</v>
      </c>
      <c r="Q33" s="17">
        <f t="shared" si="0"/>
        <v>5379.9999999999955</v>
      </c>
      <c r="R33" s="17">
        <f t="shared" si="0"/>
        <v>6100.0000000000227</v>
      </c>
      <c r="S33" s="17">
        <f t="shared" si="0"/>
        <v>11330.00000000004</v>
      </c>
      <c r="T33" s="17">
        <f t="shared" si="0"/>
        <v>654</v>
      </c>
      <c r="U33" s="35">
        <f t="shared" si="0"/>
        <v>10190.000000000051</v>
      </c>
      <c r="V33" s="35">
        <f t="shared" si="0"/>
        <v>3479.9999999999613</v>
      </c>
      <c r="W33" s="35">
        <f t="shared" si="0"/>
        <v>2230.0000000000182</v>
      </c>
      <c r="X33" s="35">
        <f t="shared" si="0"/>
        <v>2510.0000000000477</v>
      </c>
      <c r="Y33" s="35">
        <f t="shared" si="0"/>
        <v>2120.0000000000045</v>
      </c>
      <c r="Z33" s="35">
        <f t="shared" si="0"/>
        <v>1922.6100000000024</v>
      </c>
      <c r="AA33" s="35">
        <f t="shared" si="0"/>
        <v>1922.6100000000024</v>
      </c>
      <c r="AB33" s="35">
        <f t="shared" si="0"/>
        <v>1480.0000000000182</v>
      </c>
      <c r="AC33" s="35">
        <f t="shared" si="0"/>
        <v>2219.9999999999704</v>
      </c>
      <c r="AD33" s="35">
        <f t="shared" si="0"/>
        <v>1699.9999999999886</v>
      </c>
      <c r="AE33" s="35">
        <f t="shared" si="0"/>
        <v>1129.9999999999955</v>
      </c>
      <c r="AF33" s="17">
        <f t="shared" si="0"/>
        <v>746</v>
      </c>
      <c r="AG33" s="32">
        <f t="shared" si="0"/>
        <v>620.00000000000455</v>
      </c>
      <c r="AH33" s="32">
        <f t="shared" si="0"/>
        <v>599.99999999996589</v>
      </c>
      <c r="AI33" s="32">
        <f t="shared" si="0"/>
        <v>760.00000000004775</v>
      </c>
      <c r="AJ33" s="32">
        <f t="shared" si="0"/>
        <v>609.99999999998522</v>
      </c>
      <c r="AK33" s="32">
        <f t="shared" si="0"/>
        <v>720.00000000002728</v>
      </c>
      <c r="AL33" s="32">
        <f t="shared" si="0"/>
        <v>634</v>
      </c>
      <c r="AM33" s="32">
        <f t="shared" si="0"/>
        <v>649.99999999997726</v>
      </c>
      <c r="AN33" s="32">
        <f t="shared" si="0"/>
        <v>569</v>
      </c>
      <c r="AO33" s="32">
        <f t="shared" si="0"/>
        <v>669.99999999998749</v>
      </c>
      <c r="AP33" s="32">
        <f t="shared" si="0"/>
        <v>783</v>
      </c>
      <c r="AQ33" s="17">
        <f t="shared" si="0"/>
        <v>849.80000000000291</v>
      </c>
      <c r="AR33" s="17">
        <f t="shared" si="0"/>
        <v>189.70000000000073</v>
      </c>
      <c r="AS33" s="17">
        <f t="shared" si="0"/>
        <v>52.899999999999636</v>
      </c>
      <c r="AT33" s="17">
        <f t="shared" si="0"/>
        <v>1011.6000000000058</v>
      </c>
      <c r="AU33" s="17">
        <f t="shared" si="0"/>
        <v>5053</v>
      </c>
      <c r="AV33" s="17">
        <f t="shared" si="0"/>
        <v>14899.999999999864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100.7325</v>
      </c>
      <c r="BC33" s="17">
        <f t="shared" si="0"/>
        <v>261</v>
      </c>
    </row>
    <row r="35" spans="5:55" x14ac:dyDescent="0.25">
      <c r="E35" s="38">
        <f>E33/E37</f>
        <v>0.19403035149129449</v>
      </c>
      <c r="G35" s="29">
        <f>G33-M36</f>
        <v>44795.499999999491</v>
      </c>
      <c r="AE35" s="35">
        <f>SUM(U33:AE33)</f>
        <v>30905.220000000063</v>
      </c>
      <c r="AG35" s="32">
        <f>SUM(AG33:AP33)</f>
        <v>6615.9999999999955</v>
      </c>
    </row>
    <row r="36" spans="5:55" x14ac:dyDescent="0.25">
      <c r="G36" s="29">
        <f>G35-633*14</f>
        <v>35933.499999999491</v>
      </c>
      <c r="M36" s="29">
        <f>M33+N33</f>
        <v>6504.4999999999764</v>
      </c>
    </row>
    <row r="37" spans="5:55" x14ac:dyDescent="0.25">
      <c r="E37" s="17">
        <f>E33+F33+G33+H33+J33-633*14</f>
        <v>178837.99999999913</v>
      </c>
      <c r="G37" s="37">
        <f>M36/E37</f>
        <v>3.6370905512251354E-2</v>
      </c>
      <c r="M37" s="35">
        <f>AE35</f>
        <v>30905.220000000063</v>
      </c>
    </row>
    <row r="38" spans="5:55" x14ac:dyDescent="0.25">
      <c r="L38" s="27">
        <f>M38/E37</f>
        <v>3.6994374797302741E-2</v>
      </c>
      <c r="M38" s="29">
        <f>AG35</f>
        <v>6615.9999999999955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CC1" zoomScale="82" zoomScaleNormal="82" workbookViewId="0">
      <pane ySplit="1" topLeftCell="A11" activePane="bottomLeft" state="frozen"/>
      <selection pane="bottomLeft" activeCell="DA21" sqref="DA2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2.28515625" style="71" customWidth="1"/>
    <col min="29" max="29" width="13.42578125" style="57" customWidth="1"/>
    <col min="30" max="30" width="12.71093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285156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44804</v>
      </c>
      <c r="B3" s="68"/>
      <c r="C3" s="58">
        <v>3.4550000000000001</v>
      </c>
      <c r="D3" s="64" t="e">
        <f t="shared" ref="D3" si="0">IF((C3-C2&lt;0), "0",(C3-C2)*1000000)</f>
        <v>#VALUE!</v>
      </c>
      <c r="E3" s="58">
        <v>4.6253000000000002</v>
      </c>
      <c r="F3" s="64" t="e">
        <f t="shared" ref="F3" si="1">IF((E3-E2&lt;0), "0",(E3-E2)*1000000)</f>
        <v>#VALUE!</v>
      </c>
      <c r="G3" s="58">
        <v>4.6055000000000001</v>
      </c>
      <c r="H3" s="64" t="e">
        <f t="shared" ref="H3" si="2">IF((G3-G2&lt;0), "0",(G3-G2)*1000000)</f>
        <v>#VALUE!</v>
      </c>
      <c r="I3" s="58">
        <v>2.2978000000000001</v>
      </c>
      <c r="J3" s="64" t="e">
        <f t="shared" ref="J3" si="3">IF((I3-I2&lt;0), "0",(I3-I2)*1000000)</f>
        <v>#VALUE!</v>
      </c>
      <c r="K3" s="58">
        <v>3.5552999999999999</v>
      </c>
      <c r="L3" s="64" t="e">
        <f t="shared" ref="L3" si="4">IF((K3-K2&lt;0), "0",(K3-K2)*1000000)</f>
        <v>#VALUE!</v>
      </c>
      <c r="M3" s="58">
        <v>2.0918000000000001</v>
      </c>
      <c r="N3" s="64" t="e">
        <f t="shared" ref="N3" si="5">IF((M3-M2&lt;0), "",(M3-M2)*1000000)</f>
        <v>#VALUE!</v>
      </c>
      <c r="O3" s="58">
        <v>23284</v>
      </c>
      <c r="P3" s="67" t="e">
        <f t="shared" ref="P3" si="6">IF((O3-O2&lt;0), "",O3-O2)</f>
        <v>#VALUE!</v>
      </c>
      <c r="Q3" s="58">
        <v>2857</v>
      </c>
      <c r="R3" s="67" t="e">
        <f t="shared" ref="R3" si="7">IF((Q3-Q2&lt;0), "",Q3-Q2)</f>
        <v>#VALUE!</v>
      </c>
      <c r="S3" s="58">
        <v>1474.3</v>
      </c>
      <c r="T3" s="67" t="e">
        <f t="shared" ref="T3" si="8">IF((S3-S2&lt;0), "",S3-S2)</f>
        <v>#VALUE!</v>
      </c>
      <c r="U3" s="58">
        <v>589943.4</v>
      </c>
      <c r="V3" s="67" t="e">
        <f t="shared" ref="V3" si="9">IF((U3-U2&lt;0), "",U3-U2)</f>
        <v>#VALUE!</v>
      </c>
      <c r="W3" s="58">
        <v>541.32000000000005</v>
      </c>
      <c r="X3" s="65" t="e">
        <f t="shared" ref="X3" si="10">IF((W3-W2&lt;0), "",(W3-W2)*1000)</f>
        <v>#VALUE!</v>
      </c>
      <c r="Y3" s="58">
        <v>4.0739000000000001</v>
      </c>
      <c r="Z3" s="65" t="e">
        <f t="shared" ref="Z3" si="11">IF((Y3-Y2&lt;0), "",(Y3-Y2)*1000000)</f>
        <v>#VALUE!</v>
      </c>
      <c r="AA3" s="58">
        <v>548.72</v>
      </c>
      <c r="AB3" s="65" t="e">
        <f t="shared" ref="AB3" si="12">IF((AA3-AA2&lt;0), "",(AA3-AA2)*1000)</f>
        <v>#VALUE!</v>
      </c>
      <c r="AC3" s="58">
        <v>541.79</v>
      </c>
      <c r="AD3" s="65" t="e">
        <f t="shared" ref="AD3" si="13">IF((AC3-AC2&lt;0), "",(AC3-AC2)*1000)</f>
        <v>#VALUE!</v>
      </c>
      <c r="AE3" s="58">
        <v>832.36</v>
      </c>
      <c r="AF3" s="65" t="e">
        <f t="shared" ref="AF3" si="14">IF((AE3-AE2&lt;0), "",(AE3-AE2)*1000)</f>
        <v>#VALUE!</v>
      </c>
      <c r="AG3" s="58">
        <v>20672</v>
      </c>
      <c r="AH3" s="67" t="e">
        <f t="shared" ref="AH3" si="15">IF((AG3-AG2&lt;0), "",AG3-AG2)</f>
        <v>#VALUE!</v>
      </c>
      <c r="AI3" s="58">
        <v>920.76</v>
      </c>
      <c r="AJ3" s="65" t="e">
        <f t="shared" ref="AJ3" si="16">IF((AI3-AI2&lt;0), "",(AI3-AI2)*1000)</f>
        <v>#VALUE!</v>
      </c>
      <c r="AK3" s="58">
        <v>305.85000000000002</v>
      </c>
      <c r="AL3" s="65" t="e">
        <f t="shared" ref="AL3" si="17">IF((AK3-AK2&lt;0), "",(AK3-AK2)*1000)</f>
        <v>#VALUE!</v>
      </c>
      <c r="AM3" s="58">
        <v>284.45</v>
      </c>
      <c r="AN3" s="65" t="e">
        <f t="shared" ref="AN3" si="18">IF((AM3-AM2&lt;0), "",(AM3-AM2)*1000)</f>
        <v>#VALUE!</v>
      </c>
      <c r="AO3" s="58">
        <v>274.20999999999998</v>
      </c>
      <c r="AP3" s="65" t="e">
        <f t="shared" ref="AP3" si="19">IF((AO3-AO2&lt;0), "",(AO3-AO2)*1000)</f>
        <v>#VALUE!</v>
      </c>
      <c r="AQ3" s="58">
        <v>327.96</v>
      </c>
      <c r="AR3" s="65" t="e">
        <f t="shared" ref="AR3" si="20">IF((AQ3-AQ2&lt;0), "",(AQ3-AQ2)*1000)</f>
        <v>#VALUE!</v>
      </c>
      <c r="AS3" s="58">
        <v>453.69</v>
      </c>
      <c r="AT3" s="65" t="e">
        <f t="shared" ref="AT3" si="21">IF((AS3-AS2&lt;0), "",(AS3-AS2)*1000)</f>
        <v>#VALUE!</v>
      </c>
      <c r="AU3" s="58">
        <v>361.18</v>
      </c>
      <c r="AV3" s="65" t="e">
        <f t="shared" ref="AV3" si="22">IF((AU3-AU2&lt;0), "",(AU3-AU2)*1000)</f>
        <v>#VALUE!</v>
      </c>
      <c r="AW3" s="58">
        <v>390.22</v>
      </c>
      <c r="AX3" s="65" t="e">
        <f t="shared" ref="AX3" si="23">IF((AW3-AW2&lt;0), "",(AW3-AW2)*1000)</f>
        <v>#VALUE!</v>
      </c>
      <c r="AY3" s="58">
        <v>425.66</v>
      </c>
      <c r="AZ3" s="65" t="e">
        <f t="shared" ref="AZ3" si="24">IF((AY3-AY2&lt;0), "",(AY3-AY2)*1000)</f>
        <v>#VALUE!</v>
      </c>
      <c r="BA3" s="58">
        <v>442.89</v>
      </c>
      <c r="BB3" s="65" t="e">
        <f t="shared" ref="BB3" si="25">IF((BA3-BA2&lt;0), "",(BA3-BA2)*1000)</f>
        <v>#VALUE!</v>
      </c>
      <c r="BC3" s="58">
        <v>283.99</v>
      </c>
      <c r="BD3" s="65" t="e">
        <f t="shared" ref="BD3" si="26">IF((BC3-BC2&lt;0), "",(BC3-BC2)*1000)</f>
        <v>#VALUE!</v>
      </c>
      <c r="BE3" s="59">
        <v>54536</v>
      </c>
      <c r="BF3" s="67" t="e">
        <f t="shared" ref="BF3" si="27">IF((BE3-BE2&lt;0), "",BE3-BE2)</f>
        <v>#VALUE!</v>
      </c>
      <c r="BG3" s="60">
        <v>251.59</v>
      </c>
      <c r="BH3" s="65" t="e">
        <f t="shared" ref="BH3" si="28">IF((BG3-BG2&lt;0), "",(BG3-BG2)*1000)</f>
        <v>#VALUE!</v>
      </c>
      <c r="BI3" s="60">
        <v>306.11</v>
      </c>
      <c r="BJ3" s="65" t="e">
        <f t="shared" ref="BJ3" si="29">IF((BI3-BI2&lt;0), "",(BI3-BI2)*1000)</f>
        <v>#VALUE!</v>
      </c>
      <c r="BK3" s="60">
        <v>256.20999999999998</v>
      </c>
      <c r="BL3" s="65" t="e">
        <f t="shared" ref="BL3" si="30">IF((BK3-BK2&lt;0), "",(BK3-BK2)*1000)</f>
        <v>#VALUE!</v>
      </c>
      <c r="BM3" s="60">
        <v>241.46</v>
      </c>
      <c r="BN3" s="65" t="e">
        <f t="shared" ref="BN3" si="31">IF((BM3-BM2&lt;0), "",(BM3-BM2)*1000)</f>
        <v>#VALUE!</v>
      </c>
      <c r="BO3" s="60">
        <v>310.01</v>
      </c>
      <c r="BP3" s="65" t="e">
        <f t="shared" ref="BP3" si="32">IF((BO3-BO2&lt;0), "",(BO3-BO2)*1000)</f>
        <v>#VALUE!</v>
      </c>
      <c r="BQ3" s="60">
        <v>59659</v>
      </c>
      <c r="BR3" s="65" t="e">
        <f t="shared" ref="BR3" si="33">IF((BQ3-BQ2&lt;0), "",BQ3-BQ2)</f>
        <v>#VALUE!</v>
      </c>
      <c r="BS3" s="60">
        <v>219.49</v>
      </c>
      <c r="BT3" s="65" t="e">
        <f t="shared" ref="BT3" si="34">IF((BS3-BS2&lt;0), "",(BS3-BS2)*1000)</f>
        <v>#VALUE!</v>
      </c>
      <c r="BU3" s="60">
        <v>57709</v>
      </c>
      <c r="BV3" s="65" t="e">
        <f t="shared" ref="BV3" si="35">IF((BU3-BU2&lt;0), "",BU3-BU2)</f>
        <v>#VALUE!</v>
      </c>
      <c r="BW3" s="60">
        <v>247.55</v>
      </c>
      <c r="BX3" s="65" t="e">
        <f t="shared" ref="BX3" si="36">IF((BW3-BW2&lt;0), "",(BW3-BW2)*1000)</f>
        <v>#VALUE!</v>
      </c>
      <c r="BY3" s="60">
        <v>77841</v>
      </c>
      <c r="BZ3" s="67" t="e">
        <f t="shared" ref="BZ3" si="37">IF((BY3-BY2&lt;0), "",BY3-BY2)</f>
        <v>#VALUE!</v>
      </c>
      <c r="CA3" s="60">
        <v>53720.6</v>
      </c>
      <c r="CB3" s="67" t="e">
        <f t="shared" ref="CB3" si="38">IF((CA3-CA2&lt;0), "",CA3-CA2)</f>
        <v>#VALUE!</v>
      </c>
      <c r="CC3" s="60">
        <v>16853.7</v>
      </c>
      <c r="CD3" s="67" t="e">
        <f t="shared" ref="CD3" si="39">IF((CC3-CC2&lt;0), "",CC3-CC2)</f>
        <v>#VALUE!</v>
      </c>
      <c r="CE3" s="60">
        <v>8548.1</v>
      </c>
      <c r="CF3" s="67" t="e">
        <f t="shared" ref="CF3" si="40">IF((CE3-CE2&lt;0), "",CE3-CE2)</f>
        <v>#VALUE!</v>
      </c>
      <c r="CG3" s="60">
        <v>79468</v>
      </c>
      <c r="CH3" s="67" t="e">
        <f t="shared" ref="CH3" si="41">IF((CG3-CG2&lt;0), "",CG3-CG2)</f>
        <v>#VALUE!</v>
      </c>
      <c r="CI3" s="60">
        <v>1075742</v>
      </c>
      <c r="CJ3" s="67" t="e">
        <f t="shared" ref="CJ3" si="42">IF((CI3-CI2&lt;0), "",CI3-CI2)</f>
        <v>#VALUE!</v>
      </c>
      <c r="CK3" s="60">
        <v>1082.4000000000001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16</v>
      </c>
      <c r="CO3" s="62">
        <v>37</v>
      </c>
      <c r="CP3" s="68">
        <v>39586</v>
      </c>
      <c r="CQ3" s="67" t="e">
        <f t="shared" ref="CQ3" si="45">IF((CP3-CP2&lt;0), "",CP3-CP2)</f>
        <v>#VALUE!</v>
      </c>
      <c r="CR3" s="68">
        <v>23641.4</v>
      </c>
      <c r="CS3" s="67" t="e">
        <f t="shared" ref="CS3" si="46">IF((CR3-CR2&lt;0), "",CR3-CR2)</f>
        <v>#VALUE!</v>
      </c>
      <c r="CT3" s="75">
        <v>11279</v>
      </c>
      <c r="CU3" s="67" t="e">
        <f t="shared" ref="CU3" si="47">IF((CT3-CT2&lt;0), "",CT3-CT2)</f>
        <v>#VALUE!</v>
      </c>
      <c r="CV3" s="68">
        <v>26708</v>
      </c>
      <c r="CW3" s="67" t="e">
        <f t="shared" ref="CW3" si="48">IF((CV3-CV2&lt;0), "",CV3-CV2)</f>
        <v>#VALUE!</v>
      </c>
      <c r="CX3" s="58">
        <v>4122.8999999999996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44805</v>
      </c>
      <c r="B4" s="68"/>
      <c r="C4" s="58">
        <v>3.4569999999999999</v>
      </c>
      <c r="D4" s="64">
        <f t="shared" ref="D4:D34" si="50">IF((C4-C3&lt;0), "0",(C4-C3)*1000000)</f>
        <v>1999.9999999997797</v>
      </c>
      <c r="E4" s="58">
        <v>4.6281999999999996</v>
      </c>
      <c r="F4" s="64">
        <f t="shared" ref="F4:F34" si="51">IF((E4-E3&lt;0), "0",(E4-E3)*1000000)</f>
        <v>2899.9999999994584</v>
      </c>
      <c r="G4" s="58">
        <v>4.6083999999999996</v>
      </c>
      <c r="H4" s="64">
        <f t="shared" ref="H4:H34" si="52">IF((G4-G3&lt;0), "0",(G4-G3)*1000000)</f>
        <v>2899.9999999994584</v>
      </c>
      <c r="I4" s="58">
        <v>2.2991999999999999</v>
      </c>
      <c r="J4" s="64">
        <f t="shared" ref="J4:J34" si="53">IF((I4-I3&lt;0), "0",(I4-I3)*1000000)</f>
        <v>1399.9999999998458</v>
      </c>
      <c r="K4" s="58">
        <v>3.5573000000000001</v>
      </c>
      <c r="L4" s="64">
        <f t="shared" ref="L4:L34" si="54">IF((K4-K3&lt;0), "0",(K4-K3)*1000000)</f>
        <v>2000.0000000002237</v>
      </c>
      <c r="M4" s="58">
        <v>2.0931000000000002</v>
      </c>
      <c r="N4" s="64">
        <f t="shared" ref="N4:N34" si="55">IF((M4-M3&lt;0), "",(M4-M3)*1000000)</f>
        <v>1300.0000000000789</v>
      </c>
      <c r="O4" s="58">
        <v>23309</v>
      </c>
      <c r="P4" s="67">
        <f t="shared" ref="P4:P34" si="56">IF((O4-O3&lt;0), "",O4-O3)</f>
        <v>25</v>
      </c>
      <c r="Q4" s="58">
        <v>2860</v>
      </c>
      <c r="R4" s="67">
        <f t="shared" ref="R4:R34" si="57">IF((Q4-Q3&lt;0), "",Q4-Q3)</f>
        <v>3</v>
      </c>
      <c r="S4" s="58">
        <v>1475.2</v>
      </c>
      <c r="T4" s="67">
        <f t="shared" ref="T4:T34" si="58">IF((S4-S3&lt;0), "",S4-S3)</f>
        <v>0.90000000000009095</v>
      </c>
      <c r="U4" s="58">
        <v>590256</v>
      </c>
      <c r="V4" s="67">
        <f t="shared" ref="V4:V34" si="59">IF((U4-U3&lt;0), "",U4-U3)</f>
        <v>312.59999999997672</v>
      </c>
      <c r="W4" s="58">
        <v>541.61</v>
      </c>
      <c r="X4" s="65">
        <f t="shared" ref="X4:X34" si="60">IF((W4-W3&lt;0), "",(W4-W3)*1000)</f>
        <v>289.99999999996362</v>
      </c>
      <c r="Y4" s="58">
        <v>4.0763999999999996</v>
      </c>
      <c r="Z4" s="65">
        <f t="shared" ref="Z4:Z34" si="61">IF((Y4-Y3&lt;0), "",(Y4-Y3)*1000000)</f>
        <v>2499.9999999995025</v>
      </c>
      <c r="AA4" s="58">
        <v>548.92999999999995</v>
      </c>
      <c r="AB4" s="65">
        <f t="shared" ref="AB4:AB34" si="62">IF((AA4-AA3&lt;0), "",(AA4-AA3)*1000)</f>
        <v>209.99999999992269</v>
      </c>
      <c r="AC4" s="58">
        <v>542.09</v>
      </c>
      <c r="AD4" s="65">
        <f t="shared" ref="AD4:AD34" si="63">IF((AC4-AC3&lt;0), "",(AC4-AC3)*1000)</f>
        <v>300.00000000006821</v>
      </c>
      <c r="AE4" s="58">
        <v>833.02</v>
      </c>
      <c r="AF4" s="65">
        <f t="shared" ref="AF4:AF34" si="64">IF((AE4-AE3&lt;0), "",(AE4-AE3)*1000)</f>
        <v>659.99999999996817</v>
      </c>
      <c r="AG4" s="58">
        <v>20709</v>
      </c>
      <c r="AH4" s="67">
        <f t="shared" ref="AH4:AH34" si="65">IF((AG4-AG3&lt;0), "",AG4-AG3)</f>
        <v>37</v>
      </c>
      <c r="AI4" s="58">
        <v>921.26</v>
      </c>
      <c r="AJ4" s="65">
        <f t="shared" ref="AJ4:AJ34" si="66">IF((AI4-AI3&lt;0), "",(AI4-AI3)*1000)</f>
        <v>500</v>
      </c>
      <c r="AK4" s="58">
        <v>306.02</v>
      </c>
      <c r="AL4" s="65">
        <f t="shared" ref="AL4:AL34" si="67">IF((AK4-AK3&lt;0), "",(AK4-AK3)*1000)</f>
        <v>169.99999999995907</v>
      </c>
      <c r="AM4" s="58">
        <v>284.60000000000002</v>
      </c>
      <c r="AN4" s="65">
        <f t="shared" ref="AN4:AN34" si="68">IF((AM4-AM3&lt;0), "",(AM4-AM3)*1000)</f>
        <v>150.00000000003411</v>
      </c>
      <c r="AO4" s="58">
        <v>274.42</v>
      </c>
      <c r="AP4" s="65">
        <f t="shared" ref="AP4:AP34" si="69">IF((AO4-AO3&lt;0), "",(AO4-AO3)*1000)</f>
        <v>210.00000000003638</v>
      </c>
      <c r="AQ4" s="58">
        <v>328.05</v>
      </c>
      <c r="AR4" s="65">
        <f t="shared" ref="AR4:AR34" si="70">IF((AQ4-AQ3&lt;0), "",(AQ4-AQ3)*1000)</f>
        <v>90.000000000031832</v>
      </c>
      <c r="AS4" s="58">
        <v>453.8</v>
      </c>
      <c r="AT4" s="65">
        <f t="shared" ref="AT4:AT34" si="71">IF((AS4-AS3&lt;0), "",(AS4-AS3)*1000)</f>
        <v>110.00000000001364</v>
      </c>
      <c r="AU4" s="58">
        <v>361.26</v>
      </c>
      <c r="AV4" s="65">
        <f t="shared" ref="AV4:AV34" si="72">IF((AU4-AU3&lt;0), "",(AU4-AU3)*1000)</f>
        <v>79.999999999984084</v>
      </c>
      <c r="AW4" s="58">
        <v>390.3</v>
      </c>
      <c r="AX4" s="65">
        <f t="shared" ref="AX4:AX34" si="73">IF((AW4-AW3&lt;0), "",(AW4-AW3)*1000)</f>
        <v>79.999999999984084</v>
      </c>
      <c r="AY4" s="58">
        <v>425.81</v>
      </c>
      <c r="AZ4" s="65">
        <f t="shared" ref="AZ4:AZ34" si="74">IF((AY4-AY3&lt;0), "",(AY4-AY3)*1000)</f>
        <v>149.99999999997726</v>
      </c>
      <c r="BA4" s="58">
        <v>442.98</v>
      </c>
      <c r="BB4" s="65">
        <f t="shared" ref="BB4:BB34" si="75">IF((BA4-BA3&lt;0), "",(BA4-BA3)*1000)</f>
        <v>90.000000000031832</v>
      </c>
      <c r="BC4" s="58">
        <v>284.08</v>
      </c>
      <c r="BD4" s="65">
        <f t="shared" ref="BD4:BD34" si="76">IF((BC4-BC3&lt;0), "",(BC4-BC3)*1000)</f>
        <v>89.999999999974989</v>
      </c>
      <c r="BE4" s="59">
        <v>54566</v>
      </c>
      <c r="BF4" s="67">
        <f t="shared" ref="BF4:BF34" si="77">IF((BE4-BE3&lt;0), "",BE4-BE3)</f>
        <v>30</v>
      </c>
      <c r="BG4" s="60">
        <v>251.62</v>
      </c>
      <c r="BH4" s="65">
        <f t="shared" ref="BH4:BH34" si="78">IF((BG4-BG3&lt;0), "",(BG4-BG3)*1000)</f>
        <v>30.000000000001137</v>
      </c>
      <c r="BI4" s="60">
        <v>306.14</v>
      </c>
      <c r="BJ4" s="65">
        <f t="shared" ref="BJ4:BJ34" si="79">IF((BI4-BI3&lt;0), "",(BI4-BI3)*1000)</f>
        <v>29.999999999972715</v>
      </c>
      <c r="BK4" s="60">
        <v>256.25</v>
      </c>
      <c r="BL4" s="65">
        <f t="shared" ref="BL4:BL34" si="80">IF((BK4-BK3&lt;0), "",(BK4-BK3)*1000)</f>
        <v>40.000000000020464</v>
      </c>
      <c r="BM4" s="60">
        <v>241.49</v>
      </c>
      <c r="BN4" s="65">
        <f t="shared" ref="BN4:BN34" si="81">IF((BM4-BM3&lt;0), "",(BM4-BM3)*1000)</f>
        <v>30.000000000001137</v>
      </c>
      <c r="BO4" s="60">
        <v>310.05</v>
      </c>
      <c r="BP4" s="65">
        <f t="shared" ref="BP4:BP34" si="82">IF((BO4-BO3&lt;0), "",(BO4-BO3)*1000)</f>
        <v>40.000000000020464</v>
      </c>
      <c r="BQ4" s="60">
        <v>59689</v>
      </c>
      <c r="BR4" s="65">
        <f t="shared" ref="BR4:BR34" si="83">IF((BQ4-BQ3&lt;0), "",BQ4-BQ3)</f>
        <v>30</v>
      </c>
      <c r="BS4" s="60">
        <v>219.53</v>
      </c>
      <c r="BT4" s="65">
        <f t="shared" ref="BT4:BT34" si="84">IF((BS4-BS3&lt;0), "",(BS4-BS3)*1000)</f>
        <v>39.999999999992042</v>
      </c>
      <c r="BU4" s="60">
        <v>57738</v>
      </c>
      <c r="BV4" s="65">
        <f t="shared" ref="BV4:BV34" si="85">IF((BU4-BU3&lt;0), "",BU4-BU3)</f>
        <v>29</v>
      </c>
      <c r="BW4" s="60">
        <v>247.58</v>
      </c>
      <c r="BX4" s="65">
        <f t="shared" ref="BX4:BX34" si="86">IF((BW4-BW3&lt;0), "",(BW4-BW3)*1000)</f>
        <v>30.000000000001137</v>
      </c>
      <c r="BY4" s="60">
        <v>77879</v>
      </c>
      <c r="BZ4" s="67">
        <f t="shared" ref="BZ4:BZ34" si="87">IF((BY4-BY3&lt;0), "",BY4-BY3)</f>
        <v>38</v>
      </c>
      <c r="CA4" s="60">
        <v>53776.800000000003</v>
      </c>
      <c r="CB4" s="67">
        <f t="shared" ref="CB4:CB34" si="88">IF((CA4-CA3&lt;0), "",CA4-CA3)</f>
        <v>56.200000000004366</v>
      </c>
      <c r="CC4" s="60">
        <v>16862</v>
      </c>
      <c r="CD4" s="67">
        <f t="shared" ref="CD4:CD34" si="89">IF((CC4-CC3&lt;0), "",CC4-CC3)</f>
        <v>8.2999999999992724</v>
      </c>
      <c r="CE4" s="60">
        <v>8551.5</v>
      </c>
      <c r="CF4" s="67">
        <f t="shared" ref="CF4:CF34" si="90">IF((CE4-CE3&lt;0), "",CE4-CE3)</f>
        <v>3.3999999999996362</v>
      </c>
      <c r="CG4" s="60">
        <v>79516.2</v>
      </c>
      <c r="CH4" s="67">
        <f t="shared" ref="CH4:CH34" si="91">IF((CG4-CG3&lt;0), "",CG4-CG3)</f>
        <v>48.19999999999709</v>
      </c>
      <c r="CI4" s="60">
        <v>1076003</v>
      </c>
      <c r="CJ4" s="67">
        <f t="shared" ref="CJ4:CJ34" si="92">IF((CI4-CI3&lt;0), "",CI4-CI3)</f>
        <v>261</v>
      </c>
      <c r="CK4" s="60">
        <v>1083.3</v>
      </c>
      <c r="CL4" s="64">
        <f t="shared" ref="CL4:CL34" si="93">IF((CK4-CK3&lt;0), "",(CK4-CK3)*1000)</f>
        <v>899.99999999986358</v>
      </c>
      <c r="CM4" s="65">
        <f t="shared" ref="CM4:CM34" si="94">CQ4+CS4</f>
        <v>120</v>
      </c>
      <c r="CN4" s="62">
        <v>16</v>
      </c>
      <c r="CO4" s="62">
        <v>37</v>
      </c>
      <c r="CP4" s="68">
        <v>39685</v>
      </c>
      <c r="CQ4" s="67">
        <f t="shared" ref="CQ4:CQ34" si="95">IF((CP4-CP3&lt;0), "",CP4-CP3)</f>
        <v>99</v>
      </c>
      <c r="CR4" s="68">
        <v>23662.400000000001</v>
      </c>
      <c r="CS4" s="67">
        <f t="shared" ref="CS4:CS34" si="96">IF((CR4-CR3&lt;0), "",CR4-CR3)</f>
        <v>21</v>
      </c>
      <c r="CT4" s="75">
        <v>11288</v>
      </c>
      <c r="CU4" s="67">
        <f t="shared" ref="CU4:CU34" si="97">IF((CT4-CT3&lt;0), "",CT4-CT3)</f>
        <v>9</v>
      </c>
      <c r="CV4" s="68">
        <v>26726</v>
      </c>
      <c r="CW4" s="67">
        <f t="shared" ref="CW4:CW34" si="98">IF((CV4-CV3&lt;0), "",CV4-CV3)</f>
        <v>18</v>
      </c>
      <c r="CX4" s="58">
        <v>4134</v>
      </c>
      <c r="CY4" s="67">
        <f t="shared" ref="CY4:CY34" si="99">IF((CX4-CX3&lt;0), "",CX4-CX3)</f>
        <v>11.100000000000364</v>
      </c>
    </row>
    <row r="5" spans="1:103" ht="25.5" customHeight="1" thickBot="1" x14ac:dyDescent="0.45">
      <c r="A5" s="63">
        <v>44806</v>
      </c>
      <c r="B5" s="44"/>
      <c r="C5" s="58">
        <v>3.4588999999999999</v>
      </c>
      <c r="D5" s="64">
        <f t="shared" si="50"/>
        <v>1900.0000000000127</v>
      </c>
      <c r="E5" s="58">
        <v>4.6310000000000002</v>
      </c>
      <c r="F5" s="64">
        <f t="shared" si="51"/>
        <v>2800.0000000005798</v>
      </c>
      <c r="G5" s="58">
        <v>4.6113999999999997</v>
      </c>
      <c r="H5" s="64">
        <f t="shared" si="52"/>
        <v>3000.0000000001137</v>
      </c>
      <c r="I5" s="58">
        <v>2.3006000000000002</v>
      </c>
      <c r="J5" s="64">
        <f t="shared" si="53"/>
        <v>1400.0000000002899</v>
      </c>
      <c r="K5" s="58">
        <v>3.5592000000000001</v>
      </c>
      <c r="L5" s="64">
        <f t="shared" si="54"/>
        <v>1900.0000000000127</v>
      </c>
      <c r="M5" s="58">
        <v>2.0945</v>
      </c>
      <c r="N5" s="64">
        <f t="shared" si="55"/>
        <v>1399.9999999998458</v>
      </c>
      <c r="O5" s="58">
        <v>23335</v>
      </c>
      <c r="P5" s="67">
        <f t="shared" si="56"/>
        <v>26</v>
      </c>
      <c r="Q5" s="58">
        <v>2863</v>
      </c>
      <c r="R5" s="67">
        <f t="shared" si="57"/>
        <v>3</v>
      </c>
      <c r="S5" s="58">
        <v>1476.2</v>
      </c>
      <c r="T5" s="67">
        <f t="shared" si="58"/>
        <v>1</v>
      </c>
      <c r="U5" s="58">
        <v>590781.30000000005</v>
      </c>
      <c r="V5" s="67">
        <f t="shared" si="59"/>
        <v>525.30000000004657</v>
      </c>
      <c r="W5" s="58">
        <v>541.9</v>
      </c>
      <c r="X5" s="65">
        <f t="shared" si="60"/>
        <v>289.99999999996362</v>
      </c>
      <c r="Y5" s="58">
        <v>4.0789999999999997</v>
      </c>
      <c r="Z5" s="65">
        <f t="shared" si="61"/>
        <v>2600.0000000001578</v>
      </c>
      <c r="AA5" s="58">
        <v>549.28</v>
      </c>
      <c r="AB5" s="65">
        <f t="shared" si="62"/>
        <v>350.00000000002274</v>
      </c>
      <c r="AC5" s="58">
        <v>542.41</v>
      </c>
      <c r="AD5" s="65">
        <f t="shared" si="63"/>
        <v>319.99999999993634</v>
      </c>
      <c r="AE5" s="58">
        <v>833.69</v>
      </c>
      <c r="AF5" s="65">
        <f t="shared" si="64"/>
        <v>670.00000000007276</v>
      </c>
      <c r="AG5" s="58">
        <v>20750</v>
      </c>
      <c r="AH5" s="67">
        <f t="shared" si="65"/>
        <v>41</v>
      </c>
      <c r="AI5" s="58">
        <v>921.79</v>
      </c>
      <c r="AJ5" s="65">
        <f t="shared" si="66"/>
        <v>529.99999999997272</v>
      </c>
      <c r="AK5" s="58">
        <v>306.19</v>
      </c>
      <c r="AL5" s="65">
        <f t="shared" si="67"/>
        <v>170.00000000001592</v>
      </c>
      <c r="AM5" s="58">
        <v>284.69</v>
      </c>
      <c r="AN5" s="65">
        <f t="shared" si="68"/>
        <v>89.999999999974989</v>
      </c>
      <c r="AO5" s="58">
        <v>274.63</v>
      </c>
      <c r="AP5" s="65">
        <f t="shared" si="69"/>
        <v>209.99999999997954</v>
      </c>
      <c r="AQ5" s="58">
        <v>328.14</v>
      </c>
      <c r="AR5" s="65">
        <f t="shared" si="70"/>
        <v>89.999999999974989</v>
      </c>
      <c r="AS5" s="58">
        <v>453.89</v>
      </c>
      <c r="AT5" s="65">
        <f t="shared" si="71"/>
        <v>89.999999999974989</v>
      </c>
      <c r="AU5" s="58">
        <v>361.35</v>
      </c>
      <c r="AV5" s="65">
        <f t="shared" si="72"/>
        <v>90.000000000031832</v>
      </c>
      <c r="AW5" s="58">
        <v>390.4</v>
      </c>
      <c r="AX5" s="65">
        <f t="shared" si="73"/>
        <v>99.999999999965894</v>
      </c>
      <c r="AY5" s="58">
        <v>425.93</v>
      </c>
      <c r="AZ5" s="65">
        <f t="shared" si="74"/>
        <v>120.00000000000455</v>
      </c>
      <c r="BA5" s="58">
        <v>443.09</v>
      </c>
      <c r="BB5" s="65">
        <f t="shared" si="75"/>
        <v>109.9999999999568</v>
      </c>
      <c r="BC5" s="58">
        <v>284.17</v>
      </c>
      <c r="BD5" s="65">
        <f t="shared" si="76"/>
        <v>90.000000000031832</v>
      </c>
      <c r="BE5" s="59">
        <v>54605</v>
      </c>
      <c r="BF5" s="67">
        <f t="shared" si="77"/>
        <v>39</v>
      </c>
      <c r="BG5" s="60">
        <v>251.65</v>
      </c>
      <c r="BH5" s="65">
        <f t="shared" si="78"/>
        <v>30.000000000001137</v>
      </c>
      <c r="BI5" s="60">
        <v>306.18</v>
      </c>
      <c r="BJ5" s="65">
        <f t="shared" si="79"/>
        <v>40.000000000020464</v>
      </c>
      <c r="BK5" s="60">
        <v>256.29000000000002</v>
      </c>
      <c r="BL5" s="65">
        <f t="shared" si="80"/>
        <v>40.000000000020464</v>
      </c>
      <c r="BM5" s="60">
        <v>241.53</v>
      </c>
      <c r="BN5" s="65">
        <f t="shared" si="81"/>
        <v>39.999999999992042</v>
      </c>
      <c r="BO5" s="60">
        <v>310.08</v>
      </c>
      <c r="BP5" s="65">
        <f t="shared" si="82"/>
        <v>29.999999999972715</v>
      </c>
      <c r="BQ5" s="60">
        <v>59727</v>
      </c>
      <c r="BR5" s="65">
        <f t="shared" si="83"/>
        <v>38</v>
      </c>
      <c r="BS5" s="60">
        <v>219.56</v>
      </c>
      <c r="BT5" s="65">
        <f t="shared" si="84"/>
        <v>30.000000000001137</v>
      </c>
      <c r="BU5" s="60">
        <v>57775</v>
      </c>
      <c r="BV5" s="65">
        <f t="shared" si="85"/>
        <v>37</v>
      </c>
      <c r="BW5" s="60">
        <v>247.62</v>
      </c>
      <c r="BX5" s="65">
        <f t="shared" si="86"/>
        <v>39.999999999992042</v>
      </c>
      <c r="BY5" s="60">
        <v>77922</v>
      </c>
      <c r="BZ5" s="67">
        <f t="shared" si="87"/>
        <v>43</v>
      </c>
      <c r="CA5" s="60">
        <v>53824.2</v>
      </c>
      <c r="CB5" s="67">
        <f t="shared" si="88"/>
        <v>47.399999999994179</v>
      </c>
      <c r="CC5" s="60">
        <v>16870.900000000001</v>
      </c>
      <c r="CD5" s="67">
        <f t="shared" si="89"/>
        <v>8.9000000000014552</v>
      </c>
      <c r="CE5" s="60">
        <v>8558.2999999999993</v>
      </c>
      <c r="CF5" s="67">
        <f t="shared" si="90"/>
        <v>6.7999999999992724</v>
      </c>
      <c r="CG5" s="60">
        <v>79565.7</v>
      </c>
      <c r="CH5" s="67">
        <f t="shared" si="91"/>
        <v>49.5</v>
      </c>
      <c r="CI5" s="60">
        <v>1076285</v>
      </c>
      <c r="CJ5" s="67">
        <f t="shared" si="92"/>
        <v>282</v>
      </c>
      <c r="CK5" s="60">
        <v>1084.3</v>
      </c>
      <c r="CL5" s="64">
        <f t="shared" si="93"/>
        <v>1000</v>
      </c>
      <c r="CM5" s="65">
        <f t="shared" si="94"/>
        <v>105.59999999999854</v>
      </c>
      <c r="CN5" s="62">
        <v>15</v>
      </c>
      <c r="CO5" s="62">
        <v>29</v>
      </c>
      <c r="CP5" s="68">
        <v>39774</v>
      </c>
      <c r="CQ5" s="67">
        <f t="shared" si="95"/>
        <v>89</v>
      </c>
      <c r="CR5" s="68">
        <v>23679</v>
      </c>
      <c r="CS5" s="67">
        <f t="shared" si="96"/>
        <v>16.599999999998545</v>
      </c>
      <c r="CT5" s="75">
        <v>11297</v>
      </c>
      <c r="CU5" s="67">
        <f t="shared" si="97"/>
        <v>9</v>
      </c>
      <c r="CV5" s="68">
        <v>26746</v>
      </c>
      <c r="CW5" s="67">
        <f t="shared" si="98"/>
        <v>20</v>
      </c>
      <c r="CX5" s="58">
        <v>4144.8999999999996</v>
      </c>
      <c r="CY5" s="67">
        <f t="shared" si="99"/>
        <v>10.899999999999636</v>
      </c>
    </row>
    <row r="6" spans="1:103" ht="24.75" customHeight="1" thickBot="1" x14ac:dyDescent="0.45">
      <c r="A6" s="63">
        <v>44807</v>
      </c>
      <c r="B6" s="44"/>
      <c r="C6" s="58">
        <v>3.4609000000000001</v>
      </c>
      <c r="D6" s="64">
        <f t="shared" si="50"/>
        <v>2000.0000000002237</v>
      </c>
      <c r="E6" s="58">
        <v>4.6337999999999999</v>
      </c>
      <c r="F6" s="64">
        <f t="shared" si="51"/>
        <v>2799.9999999996917</v>
      </c>
      <c r="G6" s="58">
        <v>4.6142000000000003</v>
      </c>
      <c r="H6" s="64">
        <f t="shared" si="52"/>
        <v>2800.0000000005798</v>
      </c>
      <c r="I6" s="58">
        <v>2.3018999999999998</v>
      </c>
      <c r="J6" s="64">
        <f t="shared" si="53"/>
        <v>1299.9999999996348</v>
      </c>
      <c r="K6" s="58">
        <v>3.5615000000000001</v>
      </c>
      <c r="L6" s="64">
        <f t="shared" si="54"/>
        <v>2299.9999999999686</v>
      </c>
      <c r="M6" s="58">
        <v>2.0958000000000001</v>
      </c>
      <c r="N6" s="64">
        <f t="shared" si="55"/>
        <v>1300.0000000000789</v>
      </c>
      <c r="O6" s="58">
        <v>23359</v>
      </c>
      <c r="P6" s="67">
        <f t="shared" si="56"/>
        <v>24</v>
      </c>
      <c r="Q6" s="58">
        <v>2866</v>
      </c>
      <c r="R6" s="67">
        <f t="shared" si="57"/>
        <v>3</v>
      </c>
      <c r="S6" s="58">
        <v>1477.3</v>
      </c>
      <c r="T6" s="67">
        <f t="shared" si="58"/>
        <v>1.0999999999999091</v>
      </c>
      <c r="U6" s="58">
        <v>591121.4</v>
      </c>
      <c r="V6" s="67">
        <f t="shared" si="59"/>
        <v>340.09999999997672</v>
      </c>
      <c r="W6" s="58">
        <v>542.19000000000005</v>
      </c>
      <c r="X6" s="65">
        <f t="shared" si="60"/>
        <v>290.00000000007731</v>
      </c>
      <c r="Y6" s="58">
        <v>4.0816999999999997</v>
      </c>
      <c r="Z6" s="65">
        <f t="shared" si="61"/>
        <v>2699.9999999999245</v>
      </c>
      <c r="AA6" s="58">
        <v>549.61</v>
      </c>
      <c r="AB6" s="65">
        <f t="shared" si="62"/>
        <v>330.00000000004093</v>
      </c>
      <c r="AC6" s="58">
        <v>542.72</v>
      </c>
      <c r="AD6" s="65">
        <f t="shared" si="63"/>
        <v>310.00000000005912</v>
      </c>
      <c r="AE6" s="58">
        <v>834.28</v>
      </c>
      <c r="AF6" s="65">
        <f t="shared" si="64"/>
        <v>589.99999999991815</v>
      </c>
      <c r="AG6" s="58">
        <v>20784</v>
      </c>
      <c r="AH6" s="67">
        <f t="shared" si="65"/>
        <v>34</v>
      </c>
      <c r="AI6" s="58">
        <v>922.44</v>
      </c>
      <c r="AJ6" s="65">
        <f t="shared" si="66"/>
        <v>650.00000000009095</v>
      </c>
      <c r="AK6" s="58">
        <v>306.38</v>
      </c>
      <c r="AL6" s="65">
        <f t="shared" si="67"/>
        <v>189.99999999999773</v>
      </c>
      <c r="AM6" s="58">
        <v>284.79000000000002</v>
      </c>
      <c r="AN6" s="65">
        <f t="shared" si="68"/>
        <v>100.00000000002274</v>
      </c>
      <c r="AO6" s="58">
        <v>274.83</v>
      </c>
      <c r="AP6" s="65">
        <f t="shared" si="69"/>
        <v>199.99999999998863</v>
      </c>
      <c r="AQ6" s="58">
        <v>328.24</v>
      </c>
      <c r="AR6" s="65">
        <f t="shared" si="70"/>
        <v>100.00000000002274</v>
      </c>
      <c r="AS6" s="58">
        <v>453.97</v>
      </c>
      <c r="AT6" s="65">
        <f t="shared" si="71"/>
        <v>80.000000000040927</v>
      </c>
      <c r="AU6" s="58">
        <v>361.43</v>
      </c>
      <c r="AV6" s="65">
        <f t="shared" si="72"/>
        <v>79.999999999984084</v>
      </c>
      <c r="AW6" s="58">
        <v>390.49</v>
      </c>
      <c r="AX6" s="65">
        <f t="shared" si="73"/>
        <v>90.000000000031832</v>
      </c>
      <c r="AY6" s="58">
        <v>426.04</v>
      </c>
      <c r="AZ6" s="65">
        <f t="shared" si="74"/>
        <v>110.00000000001364</v>
      </c>
      <c r="BA6" s="58">
        <v>443.19</v>
      </c>
      <c r="BB6" s="65">
        <f t="shared" si="75"/>
        <v>100.00000000002274</v>
      </c>
      <c r="BC6" s="58">
        <v>284.26</v>
      </c>
      <c r="BD6" s="65">
        <f t="shared" si="76"/>
        <v>89.999999999974989</v>
      </c>
      <c r="BE6" s="59">
        <v>54626</v>
      </c>
      <c r="BF6" s="67">
        <f t="shared" si="77"/>
        <v>21</v>
      </c>
      <c r="BG6" s="60">
        <v>251.67</v>
      </c>
      <c r="BH6" s="65">
        <f t="shared" si="78"/>
        <v>19.99999999998181</v>
      </c>
      <c r="BI6" s="60">
        <v>306.20999999999998</v>
      </c>
      <c r="BJ6" s="65">
        <f t="shared" si="79"/>
        <v>29.999999999972715</v>
      </c>
      <c r="BK6" s="60">
        <v>256.33</v>
      </c>
      <c r="BL6" s="65">
        <f t="shared" si="80"/>
        <v>39.99999999996362</v>
      </c>
      <c r="BM6" s="60">
        <v>241.55</v>
      </c>
      <c r="BN6" s="65">
        <f t="shared" si="81"/>
        <v>20.000000000010232</v>
      </c>
      <c r="BO6" s="60">
        <v>310.12</v>
      </c>
      <c r="BP6" s="65">
        <f t="shared" si="82"/>
        <v>40.000000000020464</v>
      </c>
      <c r="BQ6" s="60">
        <v>59759</v>
      </c>
      <c r="BR6" s="65">
        <f t="shared" si="83"/>
        <v>32</v>
      </c>
      <c r="BS6" s="60">
        <v>219.59</v>
      </c>
      <c r="BT6" s="65">
        <f t="shared" si="84"/>
        <v>30.000000000001137</v>
      </c>
      <c r="BU6" s="60">
        <v>57797</v>
      </c>
      <c r="BV6" s="65">
        <f t="shared" si="85"/>
        <v>22</v>
      </c>
      <c r="BW6" s="60">
        <v>247.64</v>
      </c>
      <c r="BX6" s="65">
        <f t="shared" si="86"/>
        <v>19.99999999998181</v>
      </c>
      <c r="BY6" s="60">
        <v>77959</v>
      </c>
      <c r="BZ6" s="67">
        <f t="shared" si="87"/>
        <v>37</v>
      </c>
      <c r="CA6" s="60">
        <v>53872.5</v>
      </c>
      <c r="CB6" s="67">
        <f t="shared" si="88"/>
        <v>48.30000000000291</v>
      </c>
      <c r="CC6" s="60">
        <v>16887.7</v>
      </c>
      <c r="CD6" s="67">
        <f t="shared" si="89"/>
        <v>16.799999999999272</v>
      </c>
      <c r="CE6" s="60">
        <v>8560.1</v>
      </c>
      <c r="CF6" s="67">
        <f t="shared" si="90"/>
        <v>1.8000000000010914</v>
      </c>
      <c r="CG6" s="60">
        <v>79612</v>
      </c>
      <c r="CH6" s="67">
        <f t="shared" si="91"/>
        <v>46.30000000000291</v>
      </c>
      <c r="CI6" s="60">
        <v>1076541</v>
      </c>
      <c r="CJ6" s="67">
        <f t="shared" si="92"/>
        <v>256</v>
      </c>
      <c r="CK6" s="60">
        <v>1085.0999999999999</v>
      </c>
      <c r="CL6" s="64">
        <f t="shared" si="93"/>
        <v>799.99999999995453</v>
      </c>
      <c r="CM6" s="65">
        <f t="shared" si="94"/>
        <v>115</v>
      </c>
      <c r="CN6" s="62">
        <v>11</v>
      </c>
      <c r="CO6" s="62">
        <v>22</v>
      </c>
      <c r="CP6" s="68">
        <v>39869</v>
      </c>
      <c r="CQ6" s="67">
        <f t="shared" si="95"/>
        <v>95</v>
      </c>
      <c r="CR6" s="68">
        <v>23699</v>
      </c>
      <c r="CS6" s="67">
        <f t="shared" si="96"/>
        <v>20</v>
      </c>
      <c r="CT6" s="75">
        <v>11311</v>
      </c>
      <c r="CU6" s="67">
        <f t="shared" si="97"/>
        <v>14</v>
      </c>
      <c r="CV6" s="68">
        <v>26812</v>
      </c>
      <c r="CW6" s="67">
        <f t="shared" si="98"/>
        <v>66</v>
      </c>
      <c r="CX6" s="58">
        <v>4155.8</v>
      </c>
      <c r="CY6" s="67">
        <f t="shared" si="99"/>
        <v>10.900000000000546</v>
      </c>
    </row>
    <row r="7" spans="1:103" ht="25.5" customHeight="1" thickBot="1" x14ac:dyDescent="0.45">
      <c r="A7" s="63">
        <v>44808</v>
      </c>
      <c r="B7" s="44"/>
      <c r="C7" s="58">
        <v>3.4628999999999999</v>
      </c>
      <c r="D7" s="64">
        <f t="shared" si="50"/>
        <v>1999.9999999997797</v>
      </c>
      <c r="E7" s="58">
        <v>4.6364999999999998</v>
      </c>
      <c r="F7" s="64">
        <f t="shared" si="51"/>
        <v>2699.9999999999245</v>
      </c>
      <c r="G7" s="58">
        <v>4.6172000000000004</v>
      </c>
      <c r="H7" s="64">
        <f t="shared" si="52"/>
        <v>3000.0000000001137</v>
      </c>
      <c r="I7" s="58">
        <v>2.3031000000000001</v>
      </c>
      <c r="J7" s="64">
        <f t="shared" si="53"/>
        <v>1200.000000000312</v>
      </c>
      <c r="K7" s="58">
        <v>3.5634999999999999</v>
      </c>
      <c r="L7" s="64">
        <f t="shared" si="54"/>
        <v>1999.9999999997797</v>
      </c>
      <c r="M7" s="58">
        <v>2.097</v>
      </c>
      <c r="N7" s="64">
        <f t="shared" si="55"/>
        <v>1199.9999999998679</v>
      </c>
      <c r="O7" s="58">
        <v>23384</v>
      </c>
      <c r="P7" s="67">
        <f t="shared" si="56"/>
        <v>25</v>
      </c>
      <c r="Q7" s="58">
        <v>2869</v>
      </c>
      <c r="R7" s="67">
        <f t="shared" si="57"/>
        <v>3</v>
      </c>
      <c r="S7" s="58">
        <v>1478.3</v>
      </c>
      <c r="T7" s="67">
        <f t="shared" si="58"/>
        <v>1</v>
      </c>
      <c r="U7" s="58">
        <v>591445.4</v>
      </c>
      <c r="V7" s="67">
        <f t="shared" si="59"/>
        <v>324</v>
      </c>
      <c r="W7" s="58">
        <v>542.45000000000005</v>
      </c>
      <c r="X7" s="65">
        <f t="shared" si="60"/>
        <v>259.99999999999091</v>
      </c>
      <c r="Y7" s="58">
        <v>4.0841000000000003</v>
      </c>
      <c r="Z7" s="65">
        <f t="shared" si="61"/>
        <v>2400.0000000006239</v>
      </c>
      <c r="AA7" s="58">
        <v>549.80999999999995</v>
      </c>
      <c r="AB7" s="65">
        <f t="shared" si="62"/>
        <v>199.99999999993179</v>
      </c>
      <c r="AC7" s="58">
        <v>543.07000000000005</v>
      </c>
      <c r="AD7" s="65">
        <f t="shared" si="63"/>
        <v>350.00000000002274</v>
      </c>
      <c r="AE7" s="58">
        <v>834.87</v>
      </c>
      <c r="AF7" s="65">
        <f t="shared" si="64"/>
        <v>590.00000000003183</v>
      </c>
      <c r="AG7" s="58">
        <v>20818</v>
      </c>
      <c r="AH7" s="67">
        <f t="shared" si="65"/>
        <v>34</v>
      </c>
      <c r="AI7" s="58">
        <v>923.27</v>
      </c>
      <c r="AJ7" s="65">
        <f t="shared" si="66"/>
        <v>829.99999999992724</v>
      </c>
      <c r="AK7" s="58">
        <v>306.56</v>
      </c>
      <c r="AL7" s="65">
        <f t="shared" si="67"/>
        <v>180.00000000000682</v>
      </c>
      <c r="AM7" s="58">
        <v>284.89</v>
      </c>
      <c r="AN7" s="65">
        <f t="shared" si="68"/>
        <v>99.999999999965894</v>
      </c>
      <c r="AO7" s="58">
        <v>275</v>
      </c>
      <c r="AP7" s="65">
        <f t="shared" si="69"/>
        <v>170.00000000001592</v>
      </c>
      <c r="AQ7" s="58">
        <v>328.33</v>
      </c>
      <c r="AR7" s="65">
        <f t="shared" si="70"/>
        <v>89.999999999974989</v>
      </c>
      <c r="AS7" s="58">
        <v>454.07</v>
      </c>
      <c r="AT7" s="65">
        <f t="shared" si="71"/>
        <v>99.999999999965894</v>
      </c>
      <c r="AU7" s="58">
        <v>361.51</v>
      </c>
      <c r="AV7" s="65">
        <f t="shared" si="72"/>
        <v>79.999999999984084</v>
      </c>
      <c r="AW7" s="58">
        <v>390.57</v>
      </c>
      <c r="AX7" s="65">
        <f t="shared" si="73"/>
        <v>79.999999999984084</v>
      </c>
      <c r="AY7" s="58">
        <v>426.16</v>
      </c>
      <c r="AZ7" s="65">
        <f t="shared" si="74"/>
        <v>120.00000000000455</v>
      </c>
      <c r="BA7" s="58">
        <v>443.29</v>
      </c>
      <c r="BB7" s="65">
        <f t="shared" si="75"/>
        <v>100.00000000002274</v>
      </c>
      <c r="BC7" s="58">
        <v>284.35000000000002</v>
      </c>
      <c r="BD7" s="65">
        <f t="shared" si="76"/>
        <v>90.000000000031832</v>
      </c>
      <c r="BE7" s="59">
        <v>54695</v>
      </c>
      <c r="BF7" s="67">
        <f t="shared" si="77"/>
        <v>69</v>
      </c>
      <c r="BG7" s="60">
        <v>251.71</v>
      </c>
      <c r="BH7" s="65">
        <f t="shared" si="78"/>
        <v>40.000000000020464</v>
      </c>
      <c r="BI7" s="60">
        <v>306.23</v>
      </c>
      <c r="BJ7" s="65">
        <f t="shared" si="79"/>
        <v>20.000000000038654</v>
      </c>
      <c r="BK7" s="60">
        <v>256.38</v>
      </c>
      <c r="BL7" s="65">
        <f t="shared" si="80"/>
        <v>50.000000000011369</v>
      </c>
      <c r="BM7" s="60">
        <v>241.58</v>
      </c>
      <c r="BN7" s="65">
        <f t="shared" si="81"/>
        <v>30.000000000001137</v>
      </c>
      <c r="BO7" s="60">
        <v>310.14999999999998</v>
      </c>
      <c r="BP7" s="65">
        <f t="shared" si="82"/>
        <v>29.999999999972715</v>
      </c>
      <c r="BQ7" s="60">
        <v>59791</v>
      </c>
      <c r="BR7" s="65">
        <f t="shared" si="83"/>
        <v>32</v>
      </c>
      <c r="BS7" s="60">
        <v>219.62</v>
      </c>
      <c r="BT7" s="65">
        <f t="shared" si="84"/>
        <v>30.000000000001137</v>
      </c>
      <c r="BU7" s="60">
        <v>57827</v>
      </c>
      <c r="BV7" s="65">
        <f t="shared" si="85"/>
        <v>30</v>
      </c>
      <c r="BW7" s="60">
        <v>247.68</v>
      </c>
      <c r="BX7" s="65">
        <f t="shared" si="86"/>
        <v>40.000000000020464</v>
      </c>
      <c r="BY7" s="60">
        <v>77999</v>
      </c>
      <c r="BZ7" s="67">
        <f t="shared" si="87"/>
        <v>40</v>
      </c>
      <c r="CA7" s="60">
        <v>53927.6</v>
      </c>
      <c r="CB7" s="67">
        <f t="shared" si="88"/>
        <v>55.099999999998545</v>
      </c>
      <c r="CC7" s="60">
        <v>16896.099999999999</v>
      </c>
      <c r="CD7" s="67">
        <f t="shared" si="89"/>
        <v>8.3999999999978172</v>
      </c>
      <c r="CE7" s="60">
        <v>8561.7999999999993</v>
      </c>
      <c r="CF7" s="67">
        <f t="shared" si="90"/>
        <v>1.6999999999989086</v>
      </c>
      <c r="CG7" s="60">
        <v>79660.2</v>
      </c>
      <c r="CH7" s="67">
        <f t="shared" si="91"/>
        <v>48.19999999999709</v>
      </c>
      <c r="CI7" s="60">
        <v>1076812</v>
      </c>
      <c r="CJ7" s="67">
        <f t="shared" si="92"/>
        <v>271</v>
      </c>
      <c r="CK7" s="60">
        <v>1085.9000000000001</v>
      </c>
      <c r="CL7" s="64">
        <f t="shared" si="93"/>
        <v>800.0000000001819</v>
      </c>
      <c r="CM7" s="65">
        <f t="shared" si="94"/>
        <v>125</v>
      </c>
      <c r="CN7" s="62">
        <v>11</v>
      </c>
      <c r="CO7" s="62">
        <v>25</v>
      </c>
      <c r="CP7" s="68">
        <v>39975</v>
      </c>
      <c r="CQ7" s="67">
        <f t="shared" si="95"/>
        <v>106</v>
      </c>
      <c r="CR7" s="68">
        <v>23718</v>
      </c>
      <c r="CS7" s="67">
        <f t="shared" si="96"/>
        <v>19</v>
      </c>
      <c r="CT7" s="75">
        <v>11321</v>
      </c>
      <c r="CU7" s="67">
        <f t="shared" si="97"/>
        <v>10</v>
      </c>
      <c r="CV7" s="68">
        <v>26877</v>
      </c>
      <c r="CW7" s="67">
        <f t="shared" si="98"/>
        <v>65</v>
      </c>
      <c r="CX7" s="58">
        <v>4167</v>
      </c>
      <c r="CY7" s="67">
        <f t="shared" si="99"/>
        <v>11.199999999999818</v>
      </c>
    </row>
    <row r="8" spans="1:103" ht="25.5" customHeight="1" thickBot="1" x14ac:dyDescent="0.45">
      <c r="A8" s="63">
        <v>44809</v>
      </c>
      <c r="B8" s="44"/>
      <c r="C8" s="58">
        <v>3.4651999999999998</v>
      </c>
      <c r="D8" s="64">
        <f t="shared" si="50"/>
        <v>2299.9999999999686</v>
      </c>
      <c r="E8" s="58">
        <v>4.6391999999999998</v>
      </c>
      <c r="F8" s="64">
        <f t="shared" si="51"/>
        <v>2699.9999999999245</v>
      </c>
      <c r="G8" s="58">
        <v>4.6200999999999999</v>
      </c>
      <c r="H8" s="64">
        <f t="shared" si="52"/>
        <v>2899.9999999994584</v>
      </c>
      <c r="I8" s="58">
        <v>2.3045</v>
      </c>
      <c r="J8" s="64">
        <f t="shared" si="53"/>
        <v>1399.9999999998458</v>
      </c>
      <c r="K8" s="58">
        <v>3.5655999999999999</v>
      </c>
      <c r="L8" s="64">
        <f t="shared" si="54"/>
        <v>2099.9999999999909</v>
      </c>
      <c r="M8" s="58">
        <v>2.0983999999999998</v>
      </c>
      <c r="N8" s="64">
        <f t="shared" si="55"/>
        <v>1399.9999999998458</v>
      </c>
      <c r="O8" s="58">
        <v>23414</v>
      </c>
      <c r="P8" s="67">
        <f t="shared" si="56"/>
        <v>30</v>
      </c>
      <c r="Q8" s="58">
        <v>2871</v>
      </c>
      <c r="R8" s="67">
        <f t="shared" si="57"/>
        <v>2</v>
      </c>
      <c r="S8" s="58">
        <v>1479.1</v>
      </c>
      <c r="T8" s="67">
        <f t="shared" si="58"/>
        <v>0.79999999999995453</v>
      </c>
      <c r="U8" s="58">
        <v>591781.5</v>
      </c>
      <c r="V8" s="67">
        <f t="shared" si="59"/>
        <v>336.09999999997672</v>
      </c>
      <c r="W8" s="58">
        <v>542.75</v>
      </c>
      <c r="X8" s="65">
        <f t="shared" si="60"/>
        <v>299.99999999995453</v>
      </c>
      <c r="Y8" s="58">
        <v>4.0867000000000004</v>
      </c>
      <c r="Z8" s="65">
        <f t="shared" si="61"/>
        <v>2600.0000000001578</v>
      </c>
      <c r="AA8" s="58">
        <v>550.16</v>
      </c>
      <c r="AB8" s="65">
        <f t="shared" si="62"/>
        <v>350.00000000002274</v>
      </c>
      <c r="AC8" s="58">
        <v>543.42999999999995</v>
      </c>
      <c r="AD8" s="65">
        <f t="shared" si="63"/>
        <v>359.99999999989996</v>
      </c>
      <c r="AE8" s="58">
        <v>835.42</v>
      </c>
      <c r="AF8" s="65">
        <f t="shared" si="64"/>
        <v>549.99999999995453</v>
      </c>
      <c r="AG8" s="58">
        <v>20854</v>
      </c>
      <c r="AH8" s="67">
        <f t="shared" si="65"/>
        <v>36</v>
      </c>
      <c r="AI8" s="58">
        <v>924.21</v>
      </c>
      <c r="AJ8" s="65">
        <f t="shared" si="66"/>
        <v>940.00000000005457</v>
      </c>
      <c r="AK8" s="58">
        <v>306.74</v>
      </c>
      <c r="AL8" s="65">
        <f t="shared" si="67"/>
        <v>180.00000000000682</v>
      </c>
      <c r="AM8" s="58">
        <v>285</v>
      </c>
      <c r="AN8" s="65">
        <f t="shared" si="68"/>
        <v>110.00000000001364</v>
      </c>
      <c r="AO8" s="58">
        <v>275.17</v>
      </c>
      <c r="AP8" s="65">
        <f t="shared" si="69"/>
        <v>170.00000000001592</v>
      </c>
      <c r="AQ8" s="58">
        <v>328.43</v>
      </c>
      <c r="AR8" s="65">
        <f t="shared" si="70"/>
        <v>100.00000000002274</v>
      </c>
      <c r="AS8" s="58">
        <v>454.16</v>
      </c>
      <c r="AT8" s="65">
        <f t="shared" si="71"/>
        <v>90.000000000031832</v>
      </c>
      <c r="AU8" s="58">
        <v>361.6</v>
      </c>
      <c r="AV8" s="65">
        <f t="shared" si="72"/>
        <v>90.000000000031832</v>
      </c>
      <c r="AW8" s="58">
        <v>390.66</v>
      </c>
      <c r="AX8" s="65">
        <f t="shared" si="73"/>
        <v>90.000000000031832</v>
      </c>
      <c r="AY8" s="58">
        <v>426.28</v>
      </c>
      <c r="AZ8" s="65">
        <f t="shared" si="74"/>
        <v>119.9999999999477</v>
      </c>
      <c r="BA8" s="58">
        <v>443.39</v>
      </c>
      <c r="BB8" s="65">
        <f t="shared" si="75"/>
        <v>99.999999999965894</v>
      </c>
      <c r="BC8" s="58">
        <v>284.44</v>
      </c>
      <c r="BD8" s="65">
        <f t="shared" si="76"/>
        <v>89.999999999974989</v>
      </c>
      <c r="BE8" s="59">
        <v>54732</v>
      </c>
      <c r="BF8" s="67">
        <f t="shared" si="77"/>
        <v>37</v>
      </c>
      <c r="BG8" s="60">
        <v>251.74</v>
      </c>
      <c r="BH8" s="65">
        <f t="shared" si="78"/>
        <v>30.000000000001137</v>
      </c>
      <c r="BI8" s="60">
        <v>306.27</v>
      </c>
      <c r="BJ8" s="65">
        <f t="shared" si="79"/>
        <v>39.99999999996362</v>
      </c>
      <c r="BK8" s="60">
        <v>256.43</v>
      </c>
      <c r="BL8" s="65">
        <f t="shared" si="80"/>
        <v>50.000000000011369</v>
      </c>
      <c r="BM8" s="60">
        <v>241.62</v>
      </c>
      <c r="BN8" s="65">
        <f t="shared" si="81"/>
        <v>39.999999999992042</v>
      </c>
      <c r="BO8" s="60">
        <v>310.2</v>
      </c>
      <c r="BP8" s="65">
        <f t="shared" si="82"/>
        <v>50.000000000011369</v>
      </c>
      <c r="BQ8" s="60">
        <v>59827</v>
      </c>
      <c r="BR8" s="65">
        <f t="shared" si="83"/>
        <v>36</v>
      </c>
      <c r="BS8" s="60">
        <v>219.65</v>
      </c>
      <c r="BT8" s="65">
        <f t="shared" si="84"/>
        <v>30.000000000001137</v>
      </c>
      <c r="BU8" s="60">
        <v>57860</v>
      </c>
      <c r="BV8" s="65">
        <f t="shared" si="85"/>
        <v>33</v>
      </c>
      <c r="BW8" s="60">
        <v>247.72</v>
      </c>
      <c r="BX8" s="65">
        <f t="shared" si="86"/>
        <v>39.999999999992042</v>
      </c>
      <c r="BY8" s="60">
        <v>78043</v>
      </c>
      <c r="BZ8" s="67">
        <f t="shared" si="87"/>
        <v>44</v>
      </c>
      <c r="CA8" s="60">
        <v>53997.8</v>
      </c>
      <c r="CB8" s="67">
        <f t="shared" si="88"/>
        <v>70.200000000004366</v>
      </c>
      <c r="CC8" s="60">
        <v>16905.400000000001</v>
      </c>
      <c r="CD8" s="67">
        <f t="shared" si="89"/>
        <v>9.3000000000029104</v>
      </c>
      <c r="CE8" s="60">
        <v>8565</v>
      </c>
      <c r="CF8" s="67">
        <f t="shared" si="90"/>
        <v>3.2000000000007276</v>
      </c>
      <c r="CG8" s="60">
        <v>79709.2</v>
      </c>
      <c r="CH8" s="67">
        <f t="shared" si="91"/>
        <v>49</v>
      </c>
      <c r="CI8" s="60">
        <v>1077108</v>
      </c>
      <c r="CJ8" s="67">
        <f t="shared" si="92"/>
        <v>296</v>
      </c>
      <c r="CK8" s="60">
        <v>1086.9000000000001</v>
      </c>
      <c r="CL8" s="64">
        <f t="shared" si="93"/>
        <v>1000</v>
      </c>
      <c r="CM8" s="65">
        <f t="shared" si="94"/>
        <v>121</v>
      </c>
      <c r="CN8" s="62">
        <v>15</v>
      </c>
      <c r="CO8" s="62">
        <v>35</v>
      </c>
      <c r="CP8" s="68">
        <v>40071</v>
      </c>
      <c r="CQ8" s="67">
        <f t="shared" si="95"/>
        <v>96</v>
      </c>
      <c r="CR8" s="68">
        <v>23743</v>
      </c>
      <c r="CS8" s="67">
        <f t="shared" si="96"/>
        <v>25</v>
      </c>
      <c r="CT8" s="75">
        <v>11330</v>
      </c>
      <c r="CU8" s="67">
        <f t="shared" si="97"/>
        <v>9</v>
      </c>
      <c r="CV8" s="68">
        <v>26936</v>
      </c>
      <c r="CW8" s="67">
        <f t="shared" si="98"/>
        <v>59</v>
      </c>
      <c r="CX8" s="58">
        <v>4178.2</v>
      </c>
      <c r="CY8" s="67">
        <f t="shared" si="99"/>
        <v>11.199999999999818</v>
      </c>
    </row>
    <row r="9" spans="1:103" ht="25.5" customHeight="1" thickBot="1" x14ac:dyDescent="0.45">
      <c r="A9" s="63">
        <v>44810</v>
      </c>
      <c r="B9" s="44"/>
      <c r="C9" s="58">
        <v>3.4676</v>
      </c>
      <c r="D9" s="64">
        <f t="shared" si="50"/>
        <v>2400.0000000001796</v>
      </c>
      <c r="E9" s="58">
        <v>4.6422999999999996</v>
      </c>
      <c r="F9" s="64">
        <f t="shared" si="51"/>
        <v>3099.9999999998809</v>
      </c>
      <c r="G9" s="58">
        <v>4.6228999999999996</v>
      </c>
      <c r="H9" s="64">
        <f t="shared" si="52"/>
        <v>2799.9999999996917</v>
      </c>
      <c r="I9" s="58">
        <v>2.306</v>
      </c>
      <c r="J9" s="64">
        <f t="shared" si="53"/>
        <v>1500.0000000000568</v>
      </c>
      <c r="K9" s="58">
        <v>3.5678000000000001</v>
      </c>
      <c r="L9" s="64">
        <f t="shared" si="54"/>
        <v>2200.0000000002019</v>
      </c>
      <c r="M9" s="58">
        <v>2.0996999999999999</v>
      </c>
      <c r="N9" s="64">
        <f t="shared" si="55"/>
        <v>1300.0000000000789</v>
      </c>
      <c r="O9" s="58">
        <v>23438</v>
      </c>
      <c r="P9" s="67">
        <f t="shared" si="56"/>
        <v>24</v>
      </c>
      <c r="Q9" s="58">
        <v>2875</v>
      </c>
      <c r="R9" s="67">
        <f t="shared" si="57"/>
        <v>4</v>
      </c>
      <c r="S9" s="58">
        <v>1480</v>
      </c>
      <c r="T9" s="67">
        <f t="shared" si="58"/>
        <v>0.90000000000009095</v>
      </c>
      <c r="U9" s="58">
        <v>592117.6</v>
      </c>
      <c r="V9" s="67">
        <f t="shared" si="59"/>
        <v>336.09999999997672</v>
      </c>
      <c r="W9" s="58">
        <v>543.02</v>
      </c>
      <c r="X9" s="65">
        <f t="shared" si="60"/>
        <v>269.99999999998181</v>
      </c>
      <c r="Y9" s="58">
        <v>4.0892999999999997</v>
      </c>
      <c r="Z9" s="65">
        <f t="shared" si="61"/>
        <v>2599.9999999992697</v>
      </c>
      <c r="AA9" s="58">
        <v>550.41999999999996</v>
      </c>
      <c r="AB9" s="65">
        <f t="shared" si="62"/>
        <v>259.99999999999091</v>
      </c>
      <c r="AC9" s="58">
        <v>543.79999999999995</v>
      </c>
      <c r="AD9" s="65">
        <f t="shared" si="63"/>
        <v>370.00000000000455</v>
      </c>
      <c r="AE9" s="58">
        <v>835.97</v>
      </c>
      <c r="AF9" s="65">
        <f t="shared" si="64"/>
        <v>550.00000000006821</v>
      </c>
      <c r="AG9" s="58">
        <v>20892</v>
      </c>
      <c r="AH9" s="67">
        <f t="shared" si="65"/>
        <v>38</v>
      </c>
      <c r="AI9" s="58">
        <v>925.15</v>
      </c>
      <c r="AJ9" s="65">
        <f t="shared" si="66"/>
        <v>939.99999999994088</v>
      </c>
      <c r="AK9" s="58">
        <v>306.94</v>
      </c>
      <c r="AL9" s="65">
        <f t="shared" si="67"/>
        <v>199.99999999998863</v>
      </c>
      <c r="AM9" s="58">
        <v>285.11</v>
      </c>
      <c r="AN9" s="65">
        <f t="shared" si="68"/>
        <v>110.00000000001364</v>
      </c>
      <c r="AO9" s="58">
        <v>275.33999999999997</v>
      </c>
      <c r="AP9" s="65">
        <f t="shared" si="69"/>
        <v>169.99999999995907</v>
      </c>
      <c r="AQ9" s="58">
        <v>328.53</v>
      </c>
      <c r="AR9" s="65">
        <f t="shared" si="70"/>
        <v>99.999999999965894</v>
      </c>
      <c r="AS9" s="58">
        <v>454.26</v>
      </c>
      <c r="AT9" s="65">
        <f t="shared" si="71"/>
        <v>99.999999999965894</v>
      </c>
      <c r="AU9" s="58">
        <v>361.69</v>
      </c>
      <c r="AV9" s="65">
        <f t="shared" si="72"/>
        <v>89.999999999974989</v>
      </c>
      <c r="AW9" s="58">
        <v>390.76</v>
      </c>
      <c r="AX9" s="65">
        <f t="shared" si="73"/>
        <v>99.999999999965894</v>
      </c>
      <c r="AY9" s="58">
        <v>426.4</v>
      </c>
      <c r="AZ9" s="65">
        <f t="shared" si="74"/>
        <v>120.00000000000455</v>
      </c>
      <c r="BA9" s="58">
        <v>443.51</v>
      </c>
      <c r="BB9" s="65">
        <f t="shared" si="75"/>
        <v>120.00000000000455</v>
      </c>
      <c r="BC9" s="58">
        <v>284.54000000000002</v>
      </c>
      <c r="BD9" s="65">
        <f t="shared" si="76"/>
        <v>100.00000000002274</v>
      </c>
      <c r="BE9" s="59">
        <v>54770</v>
      </c>
      <c r="BF9" s="67">
        <f t="shared" si="77"/>
        <v>38</v>
      </c>
      <c r="BG9" s="60">
        <v>251.77</v>
      </c>
      <c r="BH9" s="65">
        <f t="shared" si="78"/>
        <v>30.000000000001137</v>
      </c>
      <c r="BI9" s="60">
        <v>306.3</v>
      </c>
      <c r="BJ9" s="65">
        <f t="shared" si="79"/>
        <v>30.000000000029559</v>
      </c>
      <c r="BK9" s="60">
        <v>256.48</v>
      </c>
      <c r="BL9" s="65">
        <f t="shared" si="80"/>
        <v>50.000000000011369</v>
      </c>
      <c r="BM9" s="60">
        <v>241.65</v>
      </c>
      <c r="BN9" s="65">
        <f t="shared" si="81"/>
        <v>30.000000000001137</v>
      </c>
      <c r="BO9" s="60">
        <v>310.24</v>
      </c>
      <c r="BP9" s="65">
        <f t="shared" si="82"/>
        <v>40.000000000020464</v>
      </c>
      <c r="BQ9" s="60">
        <v>59867</v>
      </c>
      <c r="BR9" s="65">
        <f t="shared" si="83"/>
        <v>40</v>
      </c>
      <c r="BS9" s="60">
        <v>219.69</v>
      </c>
      <c r="BT9" s="65">
        <f t="shared" si="84"/>
        <v>39.999999999992042</v>
      </c>
      <c r="BU9" s="60">
        <v>57898</v>
      </c>
      <c r="BV9" s="65">
        <f t="shared" si="85"/>
        <v>38</v>
      </c>
      <c r="BW9" s="60">
        <v>247.76</v>
      </c>
      <c r="BX9" s="65">
        <f t="shared" si="86"/>
        <v>39.999999999992042</v>
      </c>
      <c r="BY9" s="60">
        <v>78085</v>
      </c>
      <c r="BZ9" s="67">
        <f t="shared" si="87"/>
        <v>42</v>
      </c>
      <c r="CA9" s="60">
        <v>54048.9</v>
      </c>
      <c r="CB9" s="67">
        <f t="shared" si="88"/>
        <v>51.099999999998545</v>
      </c>
      <c r="CC9" s="60">
        <v>16920.099999999999</v>
      </c>
      <c r="CD9" s="67">
        <f t="shared" si="89"/>
        <v>14.69999999999709</v>
      </c>
      <c r="CE9" s="60">
        <v>8567.7999999999993</v>
      </c>
      <c r="CF9" s="67">
        <f t="shared" si="90"/>
        <v>2.7999999999992724</v>
      </c>
      <c r="CG9" s="60">
        <v>79757.2</v>
      </c>
      <c r="CH9" s="67">
        <f t="shared" si="91"/>
        <v>48</v>
      </c>
      <c r="CI9" s="60">
        <v>1077414</v>
      </c>
      <c r="CJ9" s="67">
        <f t="shared" si="92"/>
        <v>306</v>
      </c>
      <c r="CK9" s="60">
        <v>1087.7</v>
      </c>
      <c r="CL9" s="64">
        <f t="shared" si="93"/>
        <v>799.99999999995453</v>
      </c>
      <c r="CM9" s="65">
        <f t="shared" si="94"/>
        <v>89</v>
      </c>
      <c r="CN9" s="62">
        <v>15</v>
      </c>
      <c r="CO9" s="62">
        <v>35</v>
      </c>
      <c r="CP9" s="68">
        <v>40140</v>
      </c>
      <c r="CQ9" s="67">
        <f t="shared" si="95"/>
        <v>69</v>
      </c>
      <c r="CR9" s="68">
        <v>23763</v>
      </c>
      <c r="CS9" s="67">
        <f t="shared" si="96"/>
        <v>20</v>
      </c>
      <c r="CT9" s="75">
        <v>11338</v>
      </c>
      <c r="CU9" s="67">
        <f t="shared" si="97"/>
        <v>8</v>
      </c>
      <c r="CV9" s="68">
        <v>27000</v>
      </c>
      <c r="CW9" s="67">
        <f t="shared" si="98"/>
        <v>64</v>
      </c>
      <c r="CX9" s="58">
        <v>4189.6000000000004</v>
      </c>
      <c r="CY9" s="67">
        <f t="shared" si="99"/>
        <v>11.400000000000546</v>
      </c>
    </row>
    <row r="10" spans="1:103" ht="25.5" customHeight="1" thickBot="1" x14ac:dyDescent="0.45">
      <c r="A10" s="63">
        <v>44811</v>
      </c>
      <c r="B10" s="44"/>
      <c r="C10" s="58">
        <v>3.4697</v>
      </c>
      <c r="D10" s="64">
        <f t="shared" si="50"/>
        <v>2099.9999999999909</v>
      </c>
      <c r="E10" s="58">
        <v>4.6452</v>
      </c>
      <c r="F10" s="64">
        <f t="shared" si="51"/>
        <v>2900.0000000003465</v>
      </c>
      <c r="G10" s="58">
        <v>4.6260000000000003</v>
      </c>
      <c r="H10" s="64">
        <f t="shared" si="52"/>
        <v>3100.000000000769</v>
      </c>
      <c r="I10" s="58">
        <v>2.3073999999999999</v>
      </c>
      <c r="J10" s="64">
        <f t="shared" si="53"/>
        <v>1399.9999999998458</v>
      </c>
      <c r="K10" s="58">
        <v>3.5699000000000001</v>
      </c>
      <c r="L10" s="64">
        <f t="shared" si="54"/>
        <v>2099.9999999999909</v>
      </c>
      <c r="M10" s="58">
        <v>2.1011000000000002</v>
      </c>
      <c r="N10" s="64">
        <f t="shared" si="55"/>
        <v>1400.0000000002899</v>
      </c>
      <c r="O10" s="58">
        <v>23459</v>
      </c>
      <c r="P10" s="67">
        <f t="shared" si="56"/>
        <v>21</v>
      </c>
      <c r="Q10" s="58">
        <v>2879</v>
      </c>
      <c r="R10" s="67">
        <f t="shared" si="57"/>
        <v>4</v>
      </c>
      <c r="S10" s="58">
        <v>1481.1</v>
      </c>
      <c r="T10" s="67">
        <f t="shared" si="58"/>
        <v>1.0999999999999091</v>
      </c>
      <c r="U10" s="58">
        <v>592532.69999999995</v>
      </c>
      <c r="V10" s="67">
        <f t="shared" si="59"/>
        <v>415.09999999997672</v>
      </c>
      <c r="W10" s="58">
        <v>543.28</v>
      </c>
      <c r="X10" s="65">
        <f t="shared" si="60"/>
        <v>259.99999999999091</v>
      </c>
      <c r="Y10" s="58">
        <v>4.0919999999999996</v>
      </c>
      <c r="Z10" s="65">
        <f t="shared" si="61"/>
        <v>2699.9999999999245</v>
      </c>
      <c r="AA10" s="58">
        <v>550.77</v>
      </c>
      <c r="AB10" s="65">
        <f t="shared" si="62"/>
        <v>350.00000000002274</v>
      </c>
      <c r="AC10" s="58">
        <v>544.16</v>
      </c>
      <c r="AD10" s="65">
        <f t="shared" si="63"/>
        <v>360.00000000001364</v>
      </c>
      <c r="AE10" s="58">
        <v>836.56</v>
      </c>
      <c r="AF10" s="65">
        <f t="shared" si="64"/>
        <v>589.99999999991815</v>
      </c>
      <c r="AG10" s="58">
        <v>20933</v>
      </c>
      <c r="AH10" s="67">
        <f t="shared" si="65"/>
        <v>41</v>
      </c>
      <c r="AI10" s="58">
        <v>925.73</v>
      </c>
      <c r="AJ10" s="65">
        <f t="shared" si="66"/>
        <v>580.00000000004093</v>
      </c>
      <c r="AK10" s="58">
        <v>307.14999999999998</v>
      </c>
      <c r="AL10" s="65">
        <f t="shared" si="67"/>
        <v>209.99999999997954</v>
      </c>
      <c r="AM10" s="58">
        <v>285.23</v>
      </c>
      <c r="AN10" s="65">
        <f t="shared" si="68"/>
        <v>120.00000000000455</v>
      </c>
      <c r="AO10" s="58">
        <v>275.47000000000003</v>
      </c>
      <c r="AP10" s="65">
        <f t="shared" si="69"/>
        <v>130.0000000000523</v>
      </c>
      <c r="AQ10" s="58">
        <v>328.62</v>
      </c>
      <c r="AR10" s="65">
        <f t="shared" si="70"/>
        <v>90.000000000031832</v>
      </c>
      <c r="AS10" s="58">
        <v>454.36</v>
      </c>
      <c r="AT10" s="65">
        <f t="shared" si="71"/>
        <v>100.00000000002274</v>
      </c>
      <c r="AU10" s="58">
        <v>361.78</v>
      </c>
      <c r="AV10" s="65">
        <f t="shared" si="72"/>
        <v>89.999999999974989</v>
      </c>
      <c r="AW10" s="58">
        <v>390.86</v>
      </c>
      <c r="AX10" s="65">
        <f t="shared" si="73"/>
        <v>100.00000000002274</v>
      </c>
      <c r="AY10" s="58">
        <v>426.51</v>
      </c>
      <c r="AZ10" s="65">
        <f t="shared" si="74"/>
        <v>110.00000000001364</v>
      </c>
      <c r="BA10" s="58">
        <v>443.6</v>
      </c>
      <c r="BB10" s="65">
        <f t="shared" si="75"/>
        <v>90.000000000031832</v>
      </c>
      <c r="BC10" s="58">
        <v>284.64</v>
      </c>
      <c r="BD10" s="65">
        <f t="shared" si="76"/>
        <v>99.999999999965894</v>
      </c>
      <c r="BE10" s="59">
        <v>54814</v>
      </c>
      <c r="BF10" s="67">
        <f t="shared" si="77"/>
        <v>44</v>
      </c>
      <c r="BG10" s="60">
        <v>251.8</v>
      </c>
      <c r="BH10" s="65">
        <f t="shared" si="78"/>
        <v>30.000000000001137</v>
      </c>
      <c r="BI10" s="60">
        <v>306.33999999999997</v>
      </c>
      <c r="BJ10" s="65">
        <f t="shared" si="79"/>
        <v>39.99999999996362</v>
      </c>
      <c r="BK10" s="60">
        <v>256.52</v>
      </c>
      <c r="BL10" s="65">
        <f t="shared" si="80"/>
        <v>39.99999999996362</v>
      </c>
      <c r="BM10" s="60">
        <v>241.68</v>
      </c>
      <c r="BN10" s="65">
        <f t="shared" si="81"/>
        <v>30.000000000001137</v>
      </c>
      <c r="BO10" s="60">
        <v>310.27999999999997</v>
      </c>
      <c r="BP10" s="65">
        <f t="shared" si="82"/>
        <v>39.99999999996362</v>
      </c>
      <c r="BQ10" s="60">
        <v>59905</v>
      </c>
      <c r="BR10" s="65">
        <f t="shared" si="83"/>
        <v>38</v>
      </c>
      <c r="BS10" s="60">
        <v>219.73</v>
      </c>
      <c r="BT10" s="65">
        <f t="shared" si="84"/>
        <v>39.999999999992042</v>
      </c>
      <c r="BU10" s="60">
        <v>57916</v>
      </c>
      <c r="BV10" s="65">
        <f t="shared" si="85"/>
        <v>18</v>
      </c>
      <c r="BW10" s="60">
        <v>247.8</v>
      </c>
      <c r="BX10" s="65">
        <f t="shared" si="86"/>
        <v>40.000000000020464</v>
      </c>
      <c r="BY10" s="60">
        <v>78127</v>
      </c>
      <c r="BZ10" s="67">
        <f t="shared" si="87"/>
        <v>42</v>
      </c>
      <c r="CA10" s="60">
        <v>54085.7</v>
      </c>
      <c r="CB10" s="67">
        <f t="shared" si="88"/>
        <v>36.799999999995634</v>
      </c>
      <c r="CC10" s="60">
        <v>16930</v>
      </c>
      <c r="CD10" s="67">
        <f t="shared" si="89"/>
        <v>9.9000000000014552</v>
      </c>
      <c r="CE10" s="60">
        <v>8569.2000000000007</v>
      </c>
      <c r="CF10" s="67">
        <f t="shared" si="90"/>
        <v>1.4000000000014552</v>
      </c>
      <c r="CG10" s="60">
        <v>79796.800000000003</v>
      </c>
      <c r="CH10" s="67">
        <f t="shared" si="91"/>
        <v>39.600000000005821</v>
      </c>
      <c r="CI10" s="60">
        <v>1077705</v>
      </c>
      <c r="CJ10" s="67">
        <f t="shared" si="92"/>
        <v>291</v>
      </c>
      <c r="CK10" s="60">
        <v>1088.5999999999999</v>
      </c>
      <c r="CL10" s="64">
        <f t="shared" si="93"/>
        <v>899.99999999986358</v>
      </c>
      <c r="CM10" s="65">
        <f t="shared" si="94"/>
        <v>109</v>
      </c>
      <c r="CN10" s="62">
        <v>15</v>
      </c>
      <c r="CO10" s="62">
        <v>35</v>
      </c>
      <c r="CP10" s="68">
        <v>40222</v>
      </c>
      <c r="CQ10" s="67">
        <f t="shared" si="95"/>
        <v>82</v>
      </c>
      <c r="CR10" s="68">
        <v>23790</v>
      </c>
      <c r="CS10" s="67">
        <f t="shared" si="96"/>
        <v>27</v>
      </c>
      <c r="CT10" s="75">
        <v>11347</v>
      </c>
      <c r="CU10" s="67">
        <f t="shared" si="97"/>
        <v>9</v>
      </c>
      <c r="CV10" s="68">
        <v>27050</v>
      </c>
      <c r="CW10" s="67">
        <f t="shared" si="98"/>
        <v>50</v>
      </c>
      <c r="CX10" s="58">
        <v>4200.8999999999996</v>
      </c>
      <c r="CY10" s="67">
        <f t="shared" si="99"/>
        <v>11.299999999999272</v>
      </c>
    </row>
    <row r="11" spans="1:103" ht="25.5" customHeight="1" thickBot="1" x14ac:dyDescent="0.45">
      <c r="A11" s="63">
        <v>44812</v>
      </c>
      <c r="B11" s="44"/>
      <c r="C11" s="58">
        <v>3.4716</v>
      </c>
      <c r="D11" s="64">
        <f t="shared" si="50"/>
        <v>1900.0000000000127</v>
      </c>
      <c r="E11" s="58">
        <v>4.6481000000000003</v>
      </c>
      <c r="F11" s="64">
        <f t="shared" si="51"/>
        <v>2900.0000000003465</v>
      </c>
      <c r="G11" s="58">
        <v>4.6288</v>
      </c>
      <c r="H11" s="64">
        <f t="shared" si="52"/>
        <v>2799.9999999996917</v>
      </c>
      <c r="I11" s="58">
        <v>2.3088000000000002</v>
      </c>
      <c r="J11" s="64">
        <f t="shared" si="53"/>
        <v>1400.0000000002899</v>
      </c>
      <c r="K11" s="58">
        <v>3.5720000000000001</v>
      </c>
      <c r="L11" s="64">
        <f t="shared" si="54"/>
        <v>2099.9999999999909</v>
      </c>
      <c r="M11" s="58">
        <v>2.1023000000000001</v>
      </c>
      <c r="N11" s="64">
        <f t="shared" si="55"/>
        <v>1199.9999999998679</v>
      </c>
      <c r="O11" s="58">
        <v>23481</v>
      </c>
      <c r="P11" s="67">
        <f t="shared" si="56"/>
        <v>22</v>
      </c>
      <c r="Q11" s="58">
        <v>2883</v>
      </c>
      <c r="R11" s="67">
        <f t="shared" si="57"/>
        <v>4</v>
      </c>
      <c r="S11" s="58">
        <v>1482.1</v>
      </c>
      <c r="T11" s="67">
        <f t="shared" si="58"/>
        <v>1</v>
      </c>
      <c r="U11" s="58">
        <v>592911.30000000005</v>
      </c>
      <c r="V11" s="67">
        <f t="shared" si="59"/>
        <v>378.60000000009313</v>
      </c>
      <c r="W11" s="58">
        <v>543.54999999999995</v>
      </c>
      <c r="X11" s="65">
        <f t="shared" si="60"/>
        <v>269.99999999998181</v>
      </c>
      <c r="Y11" s="58">
        <v>4.0946999999999996</v>
      </c>
      <c r="Z11" s="65">
        <f t="shared" si="61"/>
        <v>2699.9999999999245</v>
      </c>
      <c r="AA11" s="58">
        <v>550.98</v>
      </c>
      <c r="AB11" s="65">
        <f t="shared" si="62"/>
        <v>210.00000000003638</v>
      </c>
      <c r="AC11" s="58">
        <v>544.44000000000005</v>
      </c>
      <c r="AD11" s="65">
        <f t="shared" si="63"/>
        <v>280.0000000000864</v>
      </c>
      <c r="AE11" s="58">
        <v>837.15</v>
      </c>
      <c r="AF11" s="65">
        <f t="shared" si="64"/>
        <v>590.00000000003183</v>
      </c>
      <c r="AG11" s="58">
        <v>20972</v>
      </c>
      <c r="AH11" s="67">
        <f t="shared" si="65"/>
        <v>39</v>
      </c>
      <c r="AI11" s="58">
        <v>926.19</v>
      </c>
      <c r="AJ11" s="65">
        <f t="shared" si="66"/>
        <v>460.00000000003638</v>
      </c>
      <c r="AK11" s="58">
        <v>307.36</v>
      </c>
      <c r="AL11" s="65">
        <f t="shared" si="67"/>
        <v>210.00000000003638</v>
      </c>
      <c r="AM11" s="58">
        <v>285.33999999999997</v>
      </c>
      <c r="AN11" s="65">
        <f t="shared" si="68"/>
        <v>109.9999999999568</v>
      </c>
      <c r="AO11" s="58">
        <v>275.63</v>
      </c>
      <c r="AP11" s="65">
        <f t="shared" si="69"/>
        <v>159.99999999996817</v>
      </c>
      <c r="AQ11" s="58">
        <v>328.7</v>
      </c>
      <c r="AR11" s="65">
        <f t="shared" si="70"/>
        <v>79.999999999984084</v>
      </c>
      <c r="AS11" s="58">
        <v>454.46</v>
      </c>
      <c r="AT11" s="65">
        <f t="shared" si="71"/>
        <v>99.999999999965894</v>
      </c>
      <c r="AU11" s="58">
        <v>361.87</v>
      </c>
      <c r="AV11" s="65">
        <f t="shared" si="72"/>
        <v>90.000000000031832</v>
      </c>
      <c r="AW11" s="58">
        <v>390.96</v>
      </c>
      <c r="AX11" s="65">
        <f t="shared" si="73"/>
        <v>99.999999999965894</v>
      </c>
      <c r="AY11" s="58">
        <v>426.63</v>
      </c>
      <c r="AZ11" s="65">
        <f t="shared" si="74"/>
        <v>120.00000000000455</v>
      </c>
      <c r="BA11" s="58">
        <v>443.69</v>
      </c>
      <c r="BB11" s="65">
        <f t="shared" si="75"/>
        <v>89.999999999974989</v>
      </c>
      <c r="BC11" s="58">
        <v>284.67</v>
      </c>
      <c r="BD11" s="65">
        <f t="shared" si="76"/>
        <v>30.000000000029559</v>
      </c>
      <c r="BE11" s="59">
        <v>54861</v>
      </c>
      <c r="BF11" s="67">
        <f t="shared" si="77"/>
        <v>47</v>
      </c>
      <c r="BG11" s="60">
        <v>251.83</v>
      </c>
      <c r="BH11" s="65">
        <f t="shared" si="78"/>
        <v>30.000000000001137</v>
      </c>
      <c r="BI11" s="60">
        <v>306.37</v>
      </c>
      <c r="BJ11" s="65">
        <f t="shared" si="79"/>
        <v>30.000000000029559</v>
      </c>
      <c r="BK11" s="60">
        <v>256.56</v>
      </c>
      <c r="BL11" s="65">
        <f t="shared" si="80"/>
        <v>40.000000000020464</v>
      </c>
      <c r="BM11" s="60">
        <v>241.72</v>
      </c>
      <c r="BN11" s="65">
        <f t="shared" si="81"/>
        <v>39.999999999992042</v>
      </c>
      <c r="BO11" s="60">
        <v>310.31</v>
      </c>
      <c r="BP11" s="65">
        <f t="shared" si="82"/>
        <v>30.000000000029559</v>
      </c>
      <c r="BQ11" s="60">
        <v>59938</v>
      </c>
      <c r="BR11" s="65">
        <f t="shared" si="83"/>
        <v>33</v>
      </c>
      <c r="BS11" s="60">
        <v>219.77</v>
      </c>
      <c r="BT11" s="65">
        <f t="shared" si="84"/>
        <v>40.000000000020464</v>
      </c>
      <c r="BU11" s="60">
        <v>57941</v>
      </c>
      <c r="BV11" s="65">
        <f t="shared" si="85"/>
        <v>25</v>
      </c>
      <c r="BW11" s="60">
        <v>247.83</v>
      </c>
      <c r="BX11" s="65">
        <f t="shared" si="86"/>
        <v>30.000000000001137</v>
      </c>
      <c r="BY11" s="60">
        <v>78167</v>
      </c>
      <c r="BZ11" s="67">
        <f t="shared" si="87"/>
        <v>40</v>
      </c>
      <c r="CA11" s="60">
        <v>54115.8</v>
      </c>
      <c r="CB11" s="67">
        <f t="shared" si="88"/>
        <v>30.100000000005821</v>
      </c>
      <c r="CC11" s="60">
        <v>16939.900000000001</v>
      </c>
      <c r="CD11" s="67">
        <f t="shared" si="89"/>
        <v>9.9000000000014552</v>
      </c>
      <c r="CE11" s="60">
        <v>8573.7999999999993</v>
      </c>
      <c r="CF11" s="67">
        <f t="shared" si="90"/>
        <v>4.5999999999985448</v>
      </c>
      <c r="CG11" s="60">
        <v>79866.399999999994</v>
      </c>
      <c r="CH11" s="67">
        <f t="shared" si="91"/>
        <v>69.599999999991269</v>
      </c>
      <c r="CI11" s="60">
        <v>1077990</v>
      </c>
      <c r="CJ11" s="67">
        <f t="shared" si="92"/>
        <v>285</v>
      </c>
      <c r="CK11" s="60">
        <v>1089.4000000000001</v>
      </c>
      <c r="CL11" s="64">
        <f t="shared" si="93"/>
        <v>800.0000000001819</v>
      </c>
      <c r="CM11" s="65">
        <f t="shared" si="94"/>
        <v>69</v>
      </c>
      <c r="CN11" s="62">
        <v>12</v>
      </c>
      <c r="CO11" s="62">
        <v>25</v>
      </c>
      <c r="CP11" s="68">
        <v>40286</v>
      </c>
      <c r="CQ11" s="67">
        <f t="shared" si="95"/>
        <v>64</v>
      </c>
      <c r="CR11" s="68">
        <v>23795</v>
      </c>
      <c r="CS11" s="67">
        <f t="shared" si="96"/>
        <v>5</v>
      </c>
      <c r="CT11" s="75">
        <v>11356</v>
      </c>
      <c r="CU11" s="67">
        <f t="shared" si="97"/>
        <v>9</v>
      </c>
      <c r="CV11" s="68">
        <v>27078</v>
      </c>
      <c r="CW11" s="67">
        <f t="shared" si="98"/>
        <v>28</v>
      </c>
      <c r="CX11" s="58">
        <v>4211.5</v>
      </c>
      <c r="CY11" s="67">
        <f t="shared" si="99"/>
        <v>10.600000000000364</v>
      </c>
    </row>
    <row r="12" spans="1:103" ht="25.5" customHeight="1" thickBot="1" x14ac:dyDescent="0.45">
      <c r="A12" s="63">
        <v>44813</v>
      </c>
      <c r="B12" s="44"/>
      <c r="C12" s="58">
        <v>3.4735999999999998</v>
      </c>
      <c r="D12" s="64">
        <f t="shared" si="50"/>
        <v>1999.9999999997797</v>
      </c>
      <c r="E12" s="58">
        <v>4.6510999999999996</v>
      </c>
      <c r="F12" s="64">
        <f t="shared" si="51"/>
        <v>2999.9999999992256</v>
      </c>
      <c r="G12" s="58">
        <v>4.6315</v>
      </c>
      <c r="H12" s="64">
        <f t="shared" si="52"/>
        <v>2699.9999999999245</v>
      </c>
      <c r="I12" s="58">
        <v>2.3102999999999998</v>
      </c>
      <c r="J12" s="64">
        <f t="shared" si="53"/>
        <v>1499.9999999996128</v>
      </c>
      <c r="K12" s="58">
        <v>3.5741999999999998</v>
      </c>
      <c r="L12" s="64">
        <f t="shared" si="54"/>
        <v>2199.9999999997576</v>
      </c>
      <c r="M12" s="58">
        <v>2.1036000000000001</v>
      </c>
      <c r="N12" s="64">
        <f t="shared" si="55"/>
        <v>1300.0000000000789</v>
      </c>
      <c r="O12" s="58">
        <v>23514</v>
      </c>
      <c r="P12" s="67">
        <f t="shared" si="56"/>
        <v>33</v>
      </c>
      <c r="Q12" s="58">
        <v>2886</v>
      </c>
      <c r="R12" s="67">
        <f t="shared" si="57"/>
        <v>3</v>
      </c>
      <c r="S12" s="58">
        <v>1482.9</v>
      </c>
      <c r="T12" s="67">
        <f t="shared" si="58"/>
        <v>0.8000000000001819</v>
      </c>
      <c r="U12" s="58">
        <v>593227.9</v>
      </c>
      <c r="V12" s="67">
        <f t="shared" si="59"/>
        <v>316.59999999997672</v>
      </c>
      <c r="W12" s="58">
        <v>543.79</v>
      </c>
      <c r="X12" s="65">
        <f t="shared" si="60"/>
        <v>240.00000000000909</v>
      </c>
      <c r="Y12" s="58">
        <v>4.0972999999999997</v>
      </c>
      <c r="Z12" s="65">
        <f t="shared" si="61"/>
        <v>2600.0000000001578</v>
      </c>
      <c r="AA12" s="58">
        <v>551.09</v>
      </c>
      <c r="AB12" s="65">
        <f t="shared" si="62"/>
        <v>110.00000000001364</v>
      </c>
      <c r="AC12" s="58">
        <v>544.73</v>
      </c>
      <c r="AD12" s="65">
        <f t="shared" si="63"/>
        <v>289.99999999996362</v>
      </c>
      <c r="AE12" s="58">
        <v>837.73</v>
      </c>
      <c r="AF12" s="65">
        <f t="shared" si="64"/>
        <v>580.00000000004093</v>
      </c>
      <c r="AG12" s="58">
        <v>21007</v>
      </c>
      <c r="AH12" s="67">
        <f t="shared" si="65"/>
        <v>35</v>
      </c>
      <c r="AI12" s="58">
        <v>926.47</v>
      </c>
      <c r="AJ12" s="65">
        <f t="shared" si="66"/>
        <v>279.99999999997272</v>
      </c>
      <c r="AK12" s="58">
        <v>307.56</v>
      </c>
      <c r="AL12" s="65">
        <f t="shared" si="67"/>
        <v>199.99999999998863</v>
      </c>
      <c r="AM12" s="58">
        <v>285.48</v>
      </c>
      <c r="AN12" s="65">
        <f t="shared" si="68"/>
        <v>140.0000000000432</v>
      </c>
      <c r="AO12" s="58">
        <v>275.79000000000002</v>
      </c>
      <c r="AP12" s="65">
        <f t="shared" si="69"/>
        <v>160.00000000002501</v>
      </c>
      <c r="AQ12" s="58">
        <v>328.78</v>
      </c>
      <c r="AR12" s="65">
        <f t="shared" si="70"/>
        <v>79.999999999984084</v>
      </c>
      <c r="AS12" s="58">
        <v>454.56</v>
      </c>
      <c r="AT12" s="65">
        <f t="shared" si="71"/>
        <v>100.00000000002274</v>
      </c>
      <c r="AU12" s="58">
        <v>361.95</v>
      </c>
      <c r="AV12" s="65">
        <f t="shared" si="72"/>
        <v>79.999999999984084</v>
      </c>
      <c r="AW12" s="58">
        <v>391.07</v>
      </c>
      <c r="AX12" s="65">
        <f t="shared" si="73"/>
        <v>110.00000000001364</v>
      </c>
      <c r="AY12" s="58">
        <v>426.76</v>
      </c>
      <c r="AZ12" s="65">
        <f t="shared" si="74"/>
        <v>129.99999999999545</v>
      </c>
      <c r="BA12" s="58">
        <v>443.79</v>
      </c>
      <c r="BB12" s="65">
        <f t="shared" si="75"/>
        <v>100.00000000002274</v>
      </c>
      <c r="BC12" s="58">
        <v>284.7</v>
      </c>
      <c r="BD12" s="65">
        <f t="shared" si="76"/>
        <v>29.999999999972715</v>
      </c>
      <c r="BE12" s="59">
        <v>54902</v>
      </c>
      <c r="BF12" s="67">
        <f t="shared" si="77"/>
        <v>41</v>
      </c>
      <c r="BG12" s="60">
        <v>251.87</v>
      </c>
      <c r="BH12" s="65">
        <f t="shared" si="78"/>
        <v>39.999999999992042</v>
      </c>
      <c r="BI12" s="60">
        <v>306.39999999999998</v>
      </c>
      <c r="BJ12" s="65">
        <f t="shared" si="79"/>
        <v>29.999999999972715</v>
      </c>
      <c r="BK12" s="60">
        <v>256.61</v>
      </c>
      <c r="BL12" s="65">
        <f t="shared" si="80"/>
        <v>50.000000000011369</v>
      </c>
      <c r="BM12" s="60">
        <v>241.75</v>
      </c>
      <c r="BN12" s="65">
        <f t="shared" si="81"/>
        <v>30.000000000001137</v>
      </c>
      <c r="BO12" s="60">
        <v>310.35000000000002</v>
      </c>
      <c r="BP12" s="65">
        <f t="shared" si="82"/>
        <v>40.000000000020464</v>
      </c>
      <c r="BQ12" s="60">
        <v>59976</v>
      </c>
      <c r="BR12" s="65">
        <f t="shared" si="83"/>
        <v>38</v>
      </c>
      <c r="BS12" s="60">
        <v>219.81</v>
      </c>
      <c r="BT12" s="65">
        <f t="shared" si="84"/>
        <v>39.999999999992042</v>
      </c>
      <c r="BU12" s="60">
        <v>57969</v>
      </c>
      <c r="BV12" s="65">
        <f t="shared" si="85"/>
        <v>28</v>
      </c>
      <c r="BW12" s="60">
        <v>247.87</v>
      </c>
      <c r="BX12" s="65">
        <f t="shared" si="86"/>
        <v>39.999999999992042</v>
      </c>
      <c r="BY12" s="60">
        <v>78211</v>
      </c>
      <c r="BZ12" s="67">
        <f t="shared" si="87"/>
        <v>44</v>
      </c>
      <c r="CA12" s="60">
        <v>54164.4</v>
      </c>
      <c r="CB12" s="67">
        <f t="shared" si="88"/>
        <v>48.599999999998545</v>
      </c>
      <c r="CC12" s="60">
        <v>16949.8</v>
      </c>
      <c r="CD12" s="67">
        <f t="shared" si="89"/>
        <v>9.8999999999978172</v>
      </c>
      <c r="CE12" s="60">
        <v>8576.6</v>
      </c>
      <c r="CF12" s="67">
        <f t="shared" si="90"/>
        <v>2.8000000000010914</v>
      </c>
      <c r="CG12" s="60">
        <v>79926.8</v>
      </c>
      <c r="CH12" s="67">
        <f t="shared" si="91"/>
        <v>60.400000000008731</v>
      </c>
      <c r="CI12" s="60">
        <v>1078287</v>
      </c>
      <c r="CJ12" s="67">
        <f t="shared" si="92"/>
        <v>297</v>
      </c>
      <c r="CK12" s="60">
        <v>1090.0999999999999</v>
      </c>
      <c r="CL12" s="64">
        <f t="shared" si="93"/>
        <v>699.9999999998181</v>
      </c>
      <c r="CM12" s="65">
        <f t="shared" si="94"/>
        <v>67</v>
      </c>
      <c r="CN12" s="62">
        <v>12</v>
      </c>
      <c r="CO12" s="62">
        <v>25</v>
      </c>
      <c r="CP12" s="68">
        <v>40345</v>
      </c>
      <c r="CQ12" s="67">
        <f t="shared" si="95"/>
        <v>59</v>
      </c>
      <c r="CR12" s="68">
        <v>23803</v>
      </c>
      <c r="CS12" s="67">
        <f t="shared" si="96"/>
        <v>8</v>
      </c>
      <c r="CT12" s="75">
        <v>11364</v>
      </c>
      <c r="CU12" s="67">
        <f t="shared" si="97"/>
        <v>8</v>
      </c>
      <c r="CV12" s="68">
        <v>27102</v>
      </c>
      <c r="CW12" s="67">
        <f t="shared" si="98"/>
        <v>24</v>
      </c>
      <c r="CX12" s="58">
        <v>4222.3999999999996</v>
      </c>
      <c r="CY12" s="67">
        <f t="shared" si="99"/>
        <v>10.899999999999636</v>
      </c>
    </row>
    <row r="13" spans="1:103" ht="25.5" customHeight="1" thickBot="1" x14ac:dyDescent="0.45">
      <c r="A13" s="63">
        <v>44814</v>
      </c>
      <c r="B13" s="44"/>
      <c r="C13" s="58">
        <v>3.4752000000000001</v>
      </c>
      <c r="D13" s="64">
        <f t="shared" si="50"/>
        <v>1600.0000000002678</v>
      </c>
      <c r="E13" s="58">
        <v>4.6539999999999999</v>
      </c>
      <c r="F13" s="64">
        <f t="shared" si="51"/>
        <v>2900.0000000003465</v>
      </c>
      <c r="G13" s="58">
        <v>4.6344000000000003</v>
      </c>
      <c r="H13" s="64">
        <f t="shared" si="52"/>
        <v>2900.0000000003465</v>
      </c>
      <c r="I13" s="58">
        <v>2.3117000000000001</v>
      </c>
      <c r="J13" s="64">
        <f t="shared" si="53"/>
        <v>1400.0000000002899</v>
      </c>
      <c r="K13" s="58">
        <v>3.5762999999999998</v>
      </c>
      <c r="L13" s="64">
        <f t="shared" si="54"/>
        <v>2099.9999999999909</v>
      </c>
      <c r="M13" s="58">
        <v>2.1049000000000002</v>
      </c>
      <c r="N13" s="64">
        <f t="shared" si="55"/>
        <v>1300.0000000000789</v>
      </c>
      <c r="O13" s="58">
        <v>23540</v>
      </c>
      <c r="P13" s="67">
        <f t="shared" si="56"/>
        <v>26</v>
      </c>
      <c r="Q13" s="58">
        <v>2889</v>
      </c>
      <c r="R13" s="67">
        <f t="shared" si="57"/>
        <v>3</v>
      </c>
      <c r="S13" s="58">
        <v>1483.9</v>
      </c>
      <c r="T13" s="67">
        <f t="shared" si="58"/>
        <v>1</v>
      </c>
      <c r="U13" s="58">
        <v>593617.4</v>
      </c>
      <c r="V13" s="67">
        <f t="shared" si="59"/>
        <v>389.5</v>
      </c>
      <c r="W13" s="58">
        <v>544.04999999999995</v>
      </c>
      <c r="X13" s="65">
        <f t="shared" si="60"/>
        <v>259.99999999999091</v>
      </c>
      <c r="Y13" s="58">
        <v>4.0995999999999997</v>
      </c>
      <c r="Z13" s="65">
        <f t="shared" si="61"/>
        <v>2299.9999999999686</v>
      </c>
      <c r="AA13" s="58">
        <v>551.67999999999995</v>
      </c>
      <c r="AB13" s="65">
        <f t="shared" si="62"/>
        <v>589.99999999991815</v>
      </c>
      <c r="AC13" s="58">
        <v>545.03</v>
      </c>
      <c r="AD13" s="65">
        <f t="shared" si="63"/>
        <v>299.99999999995453</v>
      </c>
      <c r="AE13" s="58">
        <v>838.27</v>
      </c>
      <c r="AF13" s="65">
        <f t="shared" si="64"/>
        <v>539.99999999996362</v>
      </c>
      <c r="AG13" s="58">
        <v>21040</v>
      </c>
      <c r="AH13" s="67">
        <f t="shared" si="65"/>
        <v>33</v>
      </c>
      <c r="AI13" s="58">
        <v>927.18</v>
      </c>
      <c r="AJ13" s="65">
        <f t="shared" si="66"/>
        <v>709.99999999992269</v>
      </c>
      <c r="AK13" s="58">
        <v>307.73</v>
      </c>
      <c r="AL13" s="65">
        <f t="shared" si="67"/>
        <v>170.00000000001592</v>
      </c>
      <c r="AM13" s="58">
        <v>285.58999999999997</v>
      </c>
      <c r="AN13" s="65">
        <f t="shared" si="68"/>
        <v>109.9999999999568</v>
      </c>
      <c r="AO13" s="58">
        <v>275.86</v>
      </c>
      <c r="AP13" s="65">
        <f t="shared" si="69"/>
        <v>69.999999999993179</v>
      </c>
      <c r="AQ13" s="58">
        <v>328.86</v>
      </c>
      <c r="AR13" s="65">
        <f t="shared" si="70"/>
        <v>80.000000000040927</v>
      </c>
      <c r="AS13" s="58">
        <v>454.65</v>
      </c>
      <c r="AT13" s="65">
        <f t="shared" si="71"/>
        <v>89.999999999974989</v>
      </c>
      <c r="AU13" s="58">
        <v>362.03</v>
      </c>
      <c r="AV13" s="65">
        <f t="shared" si="72"/>
        <v>79.999999999984084</v>
      </c>
      <c r="AW13" s="58">
        <v>391.2</v>
      </c>
      <c r="AX13" s="65">
        <f t="shared" si="73"/>
        <v>129.99999999999545</v>
      </c>
      <c r="AY13" s="58">
        <v>426.87</v>
      </c>
      <c r="AZ13" s="65">
        <f t="shared" si="74"/>
        <v>110.00000000001364</v>
      </c>
      <c r="BA13" s="58">
        <v>443.87</v>
      </c>
      <c r="BB13" s="65">
        <f t="shared" si="75"/>
        <v>79.999999999984084</v>
      </c>
      <c r="BC13" s="58">
        <v>284.74</v>
      </c>
      <c r="BD13" s="65">
        <f t="shared" si="76"/>
        <v>40.000000000020464</v>
      </c>
      <c r="BE13" s="59">
        <v>54936</v>
      </c>
      <c r="BF13" s="67">
        <f t="shared" si="77"/>
        <v>34</v>
      </c>
      <c r="BG13" s="60">
        <v>251.91</v>
      </c>
      <c r="BH13" s="65">
        <f t="shared" si="78"/>
        <v>39.999999999992042</v>
      </c>
      <c r="BI13" s="60">
        <v>306.44</v>
      </c>
      <c r="BJ13" s="65">
        <f t="shared" si="79"/>
        <v>40.000000000020464</v>
      </c>
      <c r="BK13" s="60">
        <v>256.64999999999998</v>
      </c>
      <c r="BL13" s="65">
        <f t="shared" si="80"/>
        <v>39.99999999996362</v>
      </c>
      <c r="BM13" s="60">
        <v>241.78</v>
      </c>
      <c r="BN13" s="65">
        <f t="shared" si="81"/>
        <v>30.000000000001137</v>
      </c>
      <c r="BO13" s="60">
        <v>310.39</v>
      </c>
      <c r="BP13" s="65">
        <f t="shared" si="82"/>
        <v>39.99999999996362</v>
      </c>
      <c r="BQ13" s="60">
        <v>60009</v>
      </c>
      <c r="BR13" s="65">
        <f t="shared" si="83"/>
        <v>33</v>
      </c>
      <c r="BS13" s="60">
        <v>219.85</v>
      </c>
      <c r="BT13" s="65">
        <f t="shared" si="84"/>
        <v>39.999999999992042</v>
      </c>
      <c r="BU13" s="60">
        <v>58001</v>
      </c>
      <c r="BV13" s="65">
        <f t="shared" si="85"/>
        <v>32</v>
      </c>
      <c r="BW13" s="60">
        <v>247.91</v>
      </c>
      <c r="BX13" s="65">
        <f t="shared" si="86"/>
        <v>39.999999999992042</v>
      </c>
      <c r="BY13" s="60">
        <v>78256</v>
      </c>
      <c r="BZ13" s="67">
        <f t="shared" si="87"/>
        <v>45</v>
      </c>
      <c r="CA13" s="60">
        <v>54217.5</v>
      </c>
      <c r="CB13" s="67">
        <f t="shared" si="88"/>
        <v>53.099999999998545</v>
      </c>
      <c r="CC13" s="60">
        <v>16959.400000000001</v>
      </c>
      <c r="CD13" s="67">
        <f t="shared" si="89"/>
        <v>9.6000000000021828</v>
      </c>
      <c r="CE13" s="60">
        <v>8578.2999999999993</v>
      </c>
      <c r="CF13" s="67">
        <f t="shared" si="90"/>
        <v>1.6999999999989086</v>
      </c>
      <c r="CG13" s="60">
        <v>79996.800000000003</v>
      </c>
      <c r="CH13" s="67">
        <f t="shared" si="91"/>
        <v>70</v>
      </c>
      <c r="CI13" s="60">
        <v>1078566</v>
      </c>
      <c r="CJ13" s="67">
        <f t="shared" si="92"/>
        <v>279</v>
      </c>
      <c r="CK13" s="60">
        <v>1090.8</v>
      </c>
      <c r="CL13" s="64">
        <f t="shared" si="93"/>
        <v>700.00000000004547</v>
      </c>
      <c r="CM13" s="65">
        <f t="shared" si="94"/>
        <v>80</v>
      </c>
      <c r="CN13" s="62">
        <v>12</v>
      </c>
      <c r="CO13" s="62">
        <v>25</v>
      </c>
      <c r="CP13" s="68">
        <v>40401</v>
      </c>
      <c r="CQ13" s="67">
        <f t="shared" si="95"/>
        <v>56</v>
      </c>
      <c r="CR13" s="68">
        <v>23827</v>
      </c>
      <c r="CS13" s="67">
        <f t="shared" si="96"/>
        <v>24</v>
      </c>
      <c r="CT13" s="75">
        <v>11372</v>
      </c>
      <c r="CU13" s="67">
        <f t="shared" si="97"/>
        <v>8</v>
      </c>
      <c r="CV13" s="68">
        <v>27129</v>
      </c>
      <c r="CW13" s="67">
        <f t="shared" si="98"/>
        <v>27</v>
      </c>
      <c r="CX13" s="58">
        <v>4232.8999999999996</v>
      </c>
      <c r="CY13" s="67">
        <f t="shared" si="99"/>
        <v>10.5</v>
      </c>
    </row>
    <row r="14" spans="1:103" ht="25.5" customHeight="1" thickBot="1" x14ac:dyDescent="0.45">
      <c r="A14" s="63">
        <v>44815</v>
      </c>
      <c r="B14" s="44"/>
      <c r="C14" s="58">
        <v>3.4769000000000001</v>
      </c>
      <c r="D14" s="64">
        <f t="shared" si="50"/>
        <v>1700.0000000000348</v>
      </c>
      <c r="E14" s="58">
        <v>4.6569000000000003</v>
      </c>
      <c r="F14" s="64">
        <f t="shared" si="51"/>
        <v>2900.0000000003465</v>
      </c>
      <c r="G14" s="58">
        <v>4.6372</v>
      </c>
      <c r="H14" s="64">
        <f t="shared" si="52"/>
        <v>2799.9999999996917</v>
      </c>
      <c r="I14" s="58">
        <v>2.3130999999999999</v>
      </c>
      <c r="J14" s="64">
        <f t="shared" si="53"/>
        <v>1399.9999999998458</v>
      </c>
      <c r="K14" s="58">
        <v>3.5783999999999998</v>
      </c>
      <c r="L14" s="64">
        <f t="shared" si="54"/>
        <v>2099.9999999999909</v>
      </c>
      <c r="M14" s="58">
        <v>2.1061999999999999</v>
      </c>
      <c r="N14" s="64">
        <f t="shared" si="55"/>
        <v>1299.9999999996348</v>
      </c>
      <c r="O14" s="58">
        <v>23567</v>
      </c>
      <c r="P14" s="67">
        <f t="shared" si="56"/>
        <v>27</v>
      </c>
      <c r="Q14" s="58">
        <v>2893</v>
      </c>
      <c r="R14" s="67">
        <f t="shared" si="57"/>
        <v>4</v>
      </c>
      <c r="S14" s="58">
        <v>1484.9</v>
      </c>
      <c r="T14" s="67">
        <f t="shared" si="58"/>
        <v>1</v>
      </c>
      <c r="U14" s="58">
        <v>593944.1</v>
      </c>
      <c r="V14" s="67">
        <f t="shared" si="59"/>
        <v>326.69999999995343</v>
      </c>
      <c r="W14" s="58">
        <v>544.28</v>
      </c>
      <c r="X14" s="65">
        <f t="shared" si="60"/>
        <v>230.00000000001819</v>
      </c>
      <c r="Y14" s="58">
        <v>4.1025999999999998</v>
      </c>
      <c r="Z14" s="65">
        <f t="shared" si="61"/>
        <v>3000.0000000001137</v>
      </c>
      <c r="AA14" s="58">
        <v>551.89</v>
      </c>
      <c r="AB14" s="65">
        <f t="shared" si="62"/>
        <v>210.00000000003638</v>
      </c>
      <c r="AC14" s="58">
        <v>545.4</v>
      </c>
      <c r="AD14" s="65">
        <f t="shared" si="63"/>
        <v>370.00000000000455</v>
      </c>
      <c r="AE14" s="58">
        <v>838.83</v>
      </c>
      <c r="AF14" s="65">
        <f t="shared" si="64"/>
        <v>560.00000000005912</v>
      </c>
      <c r="AG14" s="58">
        <v>21072</v>
      </c>
      <c r="AH14" s="67">
        <f t="shared" si="65"/>
        <v>32</v>
      </c>
      <c r="AI14" s="58">
        <v>927.63</v>
      </c>
      <c r="AJ14" s="65">
        <f t="shared" si="66"/>
        <v>450.00000000004547</v>
      </c>
      <c r="AK14" s="58">
        <v>307.88</v>
      </c>
      <c r="AL14" s="65">
        <f t="shared" si="67"/>
        <v>149.99999999997726</v>
      </c>
      <c r="AM14" s="58">
        <v>285.69</v>
      </c>
      <c r="AN14" s="65">
        <f t="shared" si="68"/>
        <v>100.00000000002274</v>
      </c>
      <c r="AO14" s="58">
        <v>275.94</v>
      </c>
      <c r="AP14" s="65">
        <f t="shared" si="69"/>
        <v>79.999999999984084</v>
      </c>
      <c r="AQ14" s="58">
        <v>328.94</v>
      </c>
      <c r="AR14" s="65">
        <f t="shared" si="70"/>
        <v>79.999999999984084</v>
      </c>
      <c r="AS14" s="58">
        <v>454.72</v>
      </c>
      <c r="AT14" s="65">
        <f t="shared" si="71"/>
        <v>70.000000000050022</v>
      </c>
      <c r="AU14" s="58">
        <v>362.09</v>
      </c>
      <c r="AV14" s="65">
        <f t="shared" si="72"/>
        <v>60.000000000002274</v>
      </c>
      <c r="AW14" s="58">
        <v>391.3</v>
      </c>
      <c r="AX14" s="65">
        <f t="shared" si="73"/>
        <v>100.00000000002274</v>
      </c>
      <c r="AY14" s="58">
        <v>427</v>
      </c>
      <c r="AZ14" s="65">
        <f t="shared" si="74"/>
        <v>129.99999999999545</v>
      </c>
      <c r="BA14" s="58">
        <v>443.93</v>
      </c>
      <c r="BB14" s="65">
        <f t="shared" si="75"/>
        <v>60.000000000002274</v>
      </c>
      <c r="BC14" s="58">
        <v>284.77999999999997</v>
      </c>
      <c r="BD14" s="65">
        <f t="shared" si="76"/>
        <v>39.99999999996362</v>
      </c>
      <c r="BE14" s="59">
        <v>54980</v>
      </c>
      <c r="BF14" s="67">
        <f t="shared" si="77"/>
        <v>44</v>
      </c>
      <c r="BG14" s="60">
        <v>251.95</v>
      </c>
      <c r="BH14" s="65">
        <f t="shared" si="78"/>
        <v>39.999999999992042</v>
      </c>
      <c r="BI14" s="60">
        <v>306.48</v>
      </c>
      <c r="BJ14" s="65">
        <f t="shared" si="79"/>
        <v>40.000000000020464</v>
      </c>
      <c r="BK14" s="60">
        <v>256.69</v>
      </c>
      <c r="BL14" s="65">
        <f t="shared" si="80"/>
        <v>40.000000000020464</v>
      </c>
      <c r="BM14" s="60">
        <v>241.82</v>
      </c>
      <c r="BN14" s="65">
        <f t="shared" si="81"/>
        <v>39.999999999992042</v>
      </c>
      <c r="BO14" s="60">
        <v>310.44</v>
      </c>
      <c r="BP14" s="65">
        <f t="shared" si="82"/>
        <v>50.000000000011369</v>
      </c>
      <c r="BQ14" s="60">
        <v>60045</v>
      </c>
      <c r="BR14" s="65">
        <f t="shared" si="83"/>
        <v>36</v>
      </c>
      <c r="BS14" s="60">
        <v>219.88</v>
      </c>
      <c r="BT14" s="65">
        <f t="shared" si="84"/>
        <v>30.000000000001137</v>
      </c>
      <c r="BU14" s="60">
        <v>58042</v>
      </c>
      <c r="BV14" s="65">
        <f t="shared" si="85"/>
        <v>41</v>
      </c>
      <c r="BW14" s="60">
        <v>247.96</v>
      </c>
      <c r="BX14" s="65">
        <f t="shared" si="86"/>
        <v>50.000000000011369</v>
      </c>
      <c r="BY14" s="60">
        <v>78304</v>
      </c>
      <c r="BZ14" s="67">
        <f t="shared" si="87"/>
        <v>48</v>
      </c>
      <c r="CA14" s="60">
        <v>54273.5</v>
      </c>
      <c r="CB14" s="67">
        <f t="shared" si="88"/>
        <v>56</v>
      </c>
      <c r="CC14" s="60">
        <v>16965.5</v>
      </c>
      <c r="CD14" s="67">
        <f t="shared" si="89"/>
        <v>6.0999999999985448</v>
      </c>
      <c r="CE14" s="60">
        <v>8581.7000000000007</v>
      </c>
      <c r="CF14" s="67">
        <f t="shared" si="90"/>
        <v>3.4000000000014552</v>
      </c>
      <c r="CG14" s="60">
        <v>80064.100000000006</v>
      </c>
      <c r="CH14" s="67">
        <f t="shared" si="91"/>
        <v>67.30000000000291</v>
      </c>
      <c r="CI14" s="60">
        <v>1078840</v>
      </c>
      <c r="CJ14" s="67">
        <f t="shared" si="92"/>
        <v>274</v>
      </c>
      <c r="CK14" s="60">
        <v>1091.7</v>
      </c>
      <c r="CL14" s="64">
        <f t="shared" si="93"/>
        <v>900.00000000009095</v>
      </c>
      <c r="CM14" s="65">
        <f t="shared" si="94"/>
        <v>70.400000000001455</v>
      </c>
      <c r="CN14" s="62">
        <v>12</v>
      </c>
      <c r="CO14" s="62">
        <v>26</v>
      </c>
      <c r="CP14" s="68">
        <v>40465</v>
      </c>
      <c r="CQ14" s="67">
        <f t="shared" si="95"/>
        <v>64</v>
      </c>
      <c r="CR14" s="68">
        <v>23833.4</v>
      </c>
      <c r="CS14" s="67">
        <f t="shared" si="96"/>
        <v>6.4000000000014552</v>
      </c>
      <c r="CT14" s="75">
        <v>11381</v>
      </c>
      <c r="CU14" s="67">
        <f t="shared" si="97"/>
        <v>9</v>
      </c>
      <c r="CV14" s="68">
        <v>27154</v>
      </c>
      <c r="CW14" s="67">
        <f t="shared" si="98"/>
        <v>25</v>
      </c>
      <c r="CX14" s="58">
        <v>4243.7</v>
      </c>
      <c r="CY14" s="67">
        <f t="shared" si="99"/>
        <v>10.800000000000182</v>
      </c>
    </row>
    <row r="15" spans="1:103" ht="25.5" customHeight="1" thickBot="1" x14ac:dyDescent="0.45">
      <c r="A15" s="63">
        <v>44816</v>
      </c>
      <c r="B15" s="44"/>
      <c r="C15" s="58">
        <v>3.4786000000000001</v>
      </c>
      <c r="D15" s="64">
        <f t="shared" si="50"/>
        <v>1700.0000000000348</v>
      </c>
      <c r="E15" s="58">
        <v>4.6597</v>
      </c>
      <c r="F15" s="64">
        <f t="shared" si="51"/>
        <v>2799.9999999996917</v>
      </c>
      <c r="G15" s="58">
        <v>4.6397000000000004</v>
      </c>
      <c r="H15" s="64">
        <f t="shared" si="52"/>
        <v>2500.0000000003906</v>
      </c>
      <c r="I15" s="58">
        <v>2.3144999999999998</v>
      </c>
      <c r="J15" s="64">
        <f t="shared" si="53"/>
        <v>1399.9999999998458</v>
      </c>
      <c r="K15" s="58">
        <v>3.5804</v>
      </c>
      <c r="L15" s="64">
        <f t="shared" si="54"/>
        <v>2000.0000000002237</v>
      </c>
      <c r="M15" s="58">
        <v>2.1074999999999999</v>
      </c>
      <c r="N15" s="64">
        <f t="shared" si="55"/>
        <v>1300.0000000000789</v>
      </c>
      <c r="O15" s="58">
        <v>23591</v>
      </c>
      <c r="P15" s="67">
        <f t="shared" si="56"/>
        <v>24</v>
      </c>
      <c r="Q15" s="58">
        <v>2896</v>
      </c>
      <c r="R15" s="67">
        <f>IF((Q15-Q14&lt;0), "",Q15-Q14)</f>
        <v>3</v>
      </c>
      <c r="S15" s="58">
        <v>1485.4</v>
      </c>
      <c r="T15" s="67">
        <f t="shared" si="58"/>
        <v>0.5</v>
      </c>
      <c r="U15" s="58">
        <v>594278</v>
      </c>
      <c r="V15" s="67">
        <f t="shared" si="59"/>
        <v>333.90000000002328</v>
      </c>
      <c r="W15" s="58">
        <v>544.53</v>
      </c>
      <c r="X15" s="65">
        <f t="shared" si="60"/>
        <v>250</v>
      </c>
      <c r="Y15" s="58">
        <v>4.1052</v>
      </c>
      <c r="Z15" s="65">
        <f t="shared" si="61"/>
        <v>2600.0000000001578</v>
      </c>
      <c r="AA15" s="58">
        <v>552.26</v>
      </c>
      <c r="AB15" s="65">
        <f t="shared" si="62"/>
        <v>370.00000000000455</v>
      </c>
      <c r="AC15" s="58">
        <v>545.73</v>
      </c>
      <c r="AD15" s="65">
        <f t="shared" si="63"/>
        <v>330.00000000004093</v>
      </c>
      <c r="AE15" s="58">
        <v>839.39</v>
      </c>
      <c r="AF15" s="65">
        <f t="shared" si="64"/>
        <v>559.99999999994543</v>
      </c>
      <c r="AG15" s="58">
        <v>21107</v>
      </c>
      <c r="AH15" s="67">
        <f t="shared" si="65"/>
        <v>35</v>
      </c>
      <c r="AI15" s="58">
        <v>928.09</v>
      </c>
      <c r="AJ15" s="65">
        <f t="shared" si="66"/>
        <v>460.00000000003638</v>
      </c>
      <c r="AK15" s="58">
        <v>308.13</v>
      </c>
      <c r="AL15" s="65">
        <f t="shared" si="67"/>
        <v>250</v>
      </c>
      <c r="AM15" s="58">
        <v>285.79000000000002</v>
      </c>
      <c r="AN15" s="65">
        <f t="shared" si="68"/>
        <v>100.00000000002274</v>
      </c>
      <c r="AO15" s="58">
        <v>276.04000000000002</v>
      </c>
      <c r="AP15" s="65">
        <f t="shared" si="69"/>
        <v>100.00000000002274</v>
      </c>
      <c r="AQ15" s="58">
        <v>329.03</v>
      </c>
      <c r="AR15" s="65">
        <f t="shared" si="70"/>
        <v>89.999999999974989</v>
      </c>
      <c r="AS15" s="58">
        <v>454.81</v>
      </c>
      <c r="AT15" s="65">
        <f t="shared" si="71"/>
        <v>89.999999999974989</v>
      </c>
      <c r="AU15" s="58">
        <v>362.17</v>
      </c>
      <c r="AV15" s="65">
        <f t="shared" si="72"/>
        <v>80.000000000040927</v>
      </c>
      <c r="AW15" s="58">
        <v>391.42</v>
      </c>
      <c r="AX15" s="65">
        <f t="shared" si="73"/>
        <v>120.00000000000455</v>
      </c>
      <c r="AY15" s="58">
        <v>427.13</v>
      </c>
      <c r="AZ15" s="65">
        <f t="shared" si="74"/>
        <v>129.99999999999545</v>
      </c>
      <c r="BA15" s="58">
        <v>444.02</v>
      </c>
      <c r="BB15" s="65">
        <f t="shared" si="75"/>
        <v>89.999999999974989</v>
      </c>
      <c r="BC15" s="58">
        <v>284.82</v>
      </c>
      <c r="BD15" s="65">
        <f t="shared" si="76"/>
        <v>40.000000000020464</v>
      </c>
      <c r="BE15" s="59">
        <v>55022</v>
      </c>
      <c r="BF15" s="67">
        <f t="shared" si="77"/>
        <v>42</v>
      </c>
      <c r="BG15" s="60">
        <v>251.99</v>
      </c>
      <c r="BH15" s="65">
        <f t="shared" si="78"/>
        <v>40.000000000020464</v>
      </c>
      <c r="BI15" s="60">
        <v>306.51</v>
      </c>
      <c r="BJ15" s="65">
        <f t="shared" si="79"/>
        <v>29.999999999972715</v>
      </c>
      <c r="BK15" s="60">
        <v>256.73</v>
      </c>
      <c r="BL15" s="65">
        <f t="shared" si="80"/>
        <v>40.000000000020464</v>
      </c>
      <c r="BM15" s="60">
        <v>241.86</v>
      </c>
      <c r="BN15" s="65">
        <f t="shared" si="81"/>
        <v>40.000000000020464</v>
      </c>
      <c r="BO15" s="60">
        <v>310.48</v>
      </c>
      <c r="BP15" s="65">
        <f t="shared" si="82"/>
        <v>40.000000000020464</v>
      </c>
      <c r="BQ15" s="60">
        <v>60075</v>
      </c>
      <c r="BR15" s="65">
        <f t="shared" si="83"/>
        <v>30</v>
      </c>
      <c r="BS15" s="60">
        <v>219.92</v>
      </c>
      <c r="BT15" s="65">
        <f t="shared" si="84"/>
        <v>39.999999999992042</v>
      </c>
      <c r="BU15" s="60">
        <v>58071</v>
      </c>
      <c r="BV15" s="65">
        <f t="shared" si="85"/>
        <v>29</v>
      </c>
      <c r="BW15" s="60">
        <v>247.99</v>
      </c>
      <c r="BX15" s="65">
        <f t="shared" si="86"/>
        <v>30.000000000001137</v>
      </c>
      <c r="BY15" s="60">
        <v>78348</v>
      </c>
      <c r="BZ15" s="67">
        <f t="shared" si="87"/>
        <v>44</v>
      </c>
      <c r="CA15" s="60">
        <v>54332.4</v>
      </c>
      <c r="CB15" s="67">
        <f t="shared" si="88"/>
        <v>58.900000000001455</v>
      </c>
      <c r="CC15" s="60">
        <v>16975</v>
      </c>
      <c r="CD15" s="67">
        <f t="shared" si="89"/>
        <v>9.5</v>
      </c>
      <c r="CE15" s="60">
        <v>8582.2000000000007</v>
      </c>
      <c r="CF15" s="67">
        <f t="shared" si="90"/>
        <v>0.5</v>
      </c>
      <c r="CG15" s="60">
        <v>80131.7</v>
      </c>
      <c r="CH15" s="67">
        <f t="shared" si="91"/>
        <v>67.599999999991269</v>
      </c>
      <c r="CI15" s="60">
        <v>1079134</v>
      </c>
      <c r="CJ15" s="67">
        <f t="shared" si="92"/>
        <v>294</v>
      </c>
      <c r="CK15" s="60">
        <v>1092.3</v>
      </c>
      <c r="CL15" s="64">
        <f t="shared" si="93"/>
        <v>599.99999999990905</v>
      </c>
      <c r="CM15" s="65">
        <f t="shared" si="94"/>
        <v>84.799999999999272</v>
      </c>
      <c r="CN15" s="62">
        <v>12</v>
      </c>
      <c r="CO15" s="62">
        <v>26</v>
      </c>
      <c r="CP15" s="68">
        <v>40532</v>
      </c>
      <c r="CQ15" s="67">
        <f t="shared" si="95"/>
        <v>67</v>
      </c>
      <c r="CR15" s="68">
        <v>23851.200000000001</v>
      </c>
      <c r="CS15" s="67">
        <f t="shared" si="96"/>
        <v>17.799999999999272</v>
      </c>
      <c r="CT15" s="75">
        <v>11390</v>
      </c>
      <c r="CU15" s="67">
        <f t="shared" si="97"/>
        <v>9</v>
      </c>
      <c r="CV15" s="68">
        <v>27177</v>
      </c>
      <c r="CW15" s="67">
        <f t="shared" si="98"/>
        <v>23</v>
      </c>
      <c r="CX15" s="58">
        <v>4253.8</v>
      </c>
      <c r="CY15" s="67">
        <f t="shared" si="99"/>
        <v>10.100000000000364</v>
      </c>
    </row>
    <row r="16" spans="1:103" ht="25.5" customHeight="1" thickBot="1" x14ac:dyDescent="0.45">
      <c r="A16" s="63">
        <v>44817</v>
      </c>
      <c r="B16" s="44"/>
      <c r="C16" s="58">
        <v>3.4805000000000001</v>
      </c>
      <c r="D16" s="64">
        <f t="shared" si="50"/>
        <v>1900.0000000000127</v>
      </c>
      <c r="E16" s="58">
        <v>4.6627000000000001</v>
      </c>
      <c r="F16" s="64">
        <f t="shared" si="51"/>
        <v>3000.0000000001137</v>
      </c>
      <c r="G16" s="58">
        <v>4.6428000000000003</v>
      </c>
      <c r="H16" s="64">
        <f t="shared" si="52"/>
        <v>3099.9999999998809</v>
      </c>
      <c r="I16" s="58">
        <v>2.3159999999999998</v>
      </c>
      <c r="J16" s="64">
        <f>IF((I16-I15&lt;0), "0",(I16-I15)*1000000)</f>
        <v>1500.0000000000568</v>
      </c>
      <c r="K16" s="58">
        <v>3.5825</v>
      </c>
      <c r="L16" s="64">
        <f t="shared" si="54"/>
        <v>2099.9999999999909</v>
      </c>
      <c r="M16" s="58">
        <v>2.1088</v>
      </c>
      <c r="N16" s="64">
        <f t="shared" si="55"/>
        <v>1300.0000000000789</v>
      </c>
      <c r="O16" s="58">
        <v>23619</v>
      </c>
      <c r="P16" s="67">
        <f t="shared" si="56"/>
        <v>28</v>
      </c>
      <c r="Q16" s="58">
        <v>2900</v>
      </c>
      <c r="R16" s="67">
        <f t="shared" si="57"/>
        <v>4</v>
      </c>
      <c r="S16" s="58">
        <v>1486.3</v>
      </c>
      <c r="T16" s="67">
        <f t="shared" si="58"/>
        <v>0.89999999999986358</v>
      </c>
      <c r="U16" s="58">
        <v>594649.9</v>
      </c>
      <c r="V16" s="67">
        <f t="shared" si="59"/>
        <v>371.90000000002328</v>
      </c>
      <c r="W16" s="58">
        <v>544.80999999999995</v>
      </c>
      <c r="X16" s="65">
        <f t="shared" si="60"/>
        <v>279.99999999997272</v>
      </c>
      <c r="Y16" s="58">
        <v>4.1078999999999999</v>
      </c>
      <c r="Z16" s="65">
        <f t="shared" si="61"/>
        <v>2699.9999999999245</v>
      </c>
      <c r="AA16" s="58">
        <v>552.52</v>
      </c>
      <c r="AB16" s="65">
        <f t="shared" si="62"/>
        <v>259.99999999999091</v>
      </c>
      <c r="AC16" s="58">
        <v>546.08000000000004</v>
      </c>
      <c r="AD16" s="65">
        <f t="shared" si="63"/>
        <v>350.00000000002274</v>
      </c>
      <c r="AE16" s="58">
        <v>840.02</v>
      </c>
      <c r="AF16" s="65">
        <f t="shared" si="64"/>
        <v>629.99999999999545</v>
      </c>
      <c r="AG16" s="58">
        <v>21146</v>
      </c>
      <c r="AH16" s="67">
        <f t="shared" si="65"/>
        <v>39</v>
      </c>
      <c r="AI16" s="58">
        <v>928.56</v>
      </c>
      <c r="AJ16" s="65">
        <f t="shared" si="66"/>
        <v>469.9999999999136</v>
      </c>
      <c r="AK16" s="58">
        <v>308.32</v>
      </c>
      <c r="AL16" s="65">
        <f t="shared" si="67"/>
        <v>189.99999999999773</v>
      </c>
      <c r="AM16" s="58">
        <v>285.91000000000003</v>
      </c>
      <c r="AN16" s="65">
        <f t="shared" si="68"/>
        <v>120.00000000000455</v>
      </c>
      <c r="AO16" s="58">
        <v>276.14</v>
      </c>
      <c r="AP16" s="65">
        <f t="shared" si="69"/>
        <v>99.999999999965894</v>
      </c>
      <c r="AQ16" s="58">
        <v>329.13</v>
      </c>
      <c r="AR16" s="65">
        <f t="shared" si="70"/>
        <v>100.00000000002274</v>
      </c>
      <c r="AS16" s="58">
        <v>454.91</v>
      </c>
      <c r="AT16" s="65">
        <f t="shared" si="71"/>
        <v>100.00000000002274</v>
      </c>
      <c r="AU16" s="58">
        <v>362.25</v>
      </c>
      <c r="AV16" s="65">
        <f t="shared" si="72"/>
        <v>79.999999999984084</v>
      </c>
      <c r="AW16" s="58">
        <v>391.54</v>
      </c>
      <c r="AX16" s="65">
        <f t="shared" si="73"/>
        <v>120.00000000000455</v>
      </c>
      <c r="AY16" s="58">
        <v>427.29</v>
      </c>
      <c r="AZ16" s="65">
        <f t="shared" si="74"/>
        <v>160.00000000002501</v>
      </c>
      <c r="BA16" s="58">
        <v>444.12</v>
      </c>
      <c r="BB16" s="65">
        <f t="shared" si="75"/>
        <v>100.00000000002274</v>
      </c>
      <c r="BC16" s="58">
        <v>284.86</v>
      </c>
      <c r="BD16" s="65">
        <f t="shared" si="76"/>
        <v>40.000000000020464</v>
      </c>
      <c r="BE16" s="59">
        <v>55067</v>
      </c>
      <c r="BF16" s="67">
        <f t="shared" si="77"/>
        <v>45</v>
      </c>
      <c r="BG16" s="60">
        <v>252.03</v>
      </c>
      <c r="BH16" s="65">
        <f t="shared" si="78"/>
        <v>39.999999999992042</v>
      </c>
      <c r="BI16" s="60">
        <v>306.54000000000002</v>
      </c>
      <c r="BJ16" s="65">
        <f t="shared" si="79"/>
        <v>30.000000000029559</v>
      </c>
      <c r="BK16" s="60">
        <v>256.76</v>
      </c>
      <c r="BL16" s="65">
        <f t="shared" si="80"/>
        <v>29.999999999972715</v>
      </c>
      <c r="BM16" s="60">
        <v>241.89</v>
      </c>
      <c r="BN16" s="65">
        <f t="shared" si="81"/>
        <v>29.999999999972715</v>
      </c>
      <c r="BO16" s="60">
        <v>310.52</v>
      </c>
      <c r="BP16" s="65">
        <f t="shared" si="82"/>
        <v>39.99999999996362</v>
      </c>
      <c r="BQ16" s="60">
        <v>60110</v>
      </c>
      <c r="BR16" s="65">
        <f t="shared" si="83"/>
        <v>35</v>
      </c>
      <c r="BS16" s="60">
        <v>219.96</v>
      </c>
      <c r="BT16" s="65">
        <f t="shared" si="84"/>
        <v>40.000000000020464</v>
      </c>
      <c r="BU16" s="60">
        <v>58102</v>
      </c>
      <c r="BV16" s="65">
        <f t="shared" si="85"/>
        <v>31</v>
      </c>
      <c r="BW16" s="60">
        <v>248.03</v>
      </c>
      <c r="BX16" s="65">
        <f t="shared" si="86"/>
        <v>39.999999999992042</v>
      </c>
      <c r="BY16" s="60">
        <v>78395</v>
      </c>
      <c r="BZ16" s="67">
        <f t="shared" si="87"/>
        <v>47</v>
      </c>
      <c r="CA16" s="60">
        <v>54383.8</v>
      </c>
      <c r="CB16" s="67">
        <f t="shared" si="88"/>
        <v>51.400000000001455</v>
      </c>
      <c r="CC16" s="60">
        <v>16987.400000000001</v>
      </c>
      <c r="CD16" s="67">
        <f t="shared" si="89"/>
        <v>12.400000000001455</v>
      </c>
      <c r="CE16" s="60">
        <v>8586.7000000000007</v>
      </c>
      <c r="CF16" s="67">
        <f t="shared" si="90"/>
        <v>4.5</v>
      </c>
      <c r="CG16" s="60">
        <v>80190.8</v>
      </c>
      <c r="CH16" s="67">
        <f t="shared" si="91"/>
        <v>59.100000000005821</v>
      </c>
      <c r="CI16" s="60">
        <v>1079414</v>
      </c>
      <c r="CJ16" s="67">
        <f t="shared" si="92"/>
        <v>280</v>
      </c>
      <c r="CK16" s="60">
        <v>1093.3</v>
      </c>
      <c r="CL16" s="64">
        <f t="shared" si="93"/>
        <v>1000</v>
      </c>
      <c r="CM16" s="65">
        <f t="shared" si="94"/>
        <v>107.89999999999782</v>
      </c>
      <c r="CN16" s="62">
        <v>11</v>
      </c>
      <c r="CO16" s="62">
        <v>24</v>
      </c>
      <c r="CP16" s="68">
        <v>40620</v>
      </c>
      <c r="CQ16" s="67">
        <f t="shared" si="95"/>
        <v>88</v>
      </c>
      <c r="CR16" s="68">
        <v>23871.1</v>
      </c>
      <c r="CS16" s="67">
        <f t="shared" si="96"/>
        <v>19.899999999997817</v>
      </c>
      <c r="CT16" s="75">
        <v>11398</v>
      </c>
      <c r="CU16" s="67">
        <f t="shared" si="97"/>
        <v>8</v>
      </c>
      <c r="CV16" s="68">
        <v>27197</v>
      </c>
      <c r="CW16" s="67">
        <f t="shared" si="98"/>
        <v>20</v>
      </c>
      <c r="CX16" s="58">
        <v>4264.8</v>
      </c>
      <c r="CY16" s="67">
        <f t="shared" si="99"/>
        <v>11</v>
      </c>
    </row>
    <row r="17" spans="1:103" ht="25.5" customHeight="1" thickBot="1" x14ac:dyDescent="0.45">
      <c r="A17" s="63">
        <v>44818</v>
      </c>
      <c r="B17" s="44"/>
      <c r="C17" s="58">
        <v>3.4824000000000002</v>
      </c>
      <c r="D17" s="64">
        <f t="shared" si="50"/>
        <v>1900.0000000000127</v>
      </c>
      <c r="E17" s="58">
        <v>4.6656000000000004</v>
      </c>
      <c r="F17" s="64">
        <f t="shared" si="51"/>
        <v>2900.0000000003465</v>
      </c>
      <c r="G17" s="58">
        <v>4.6454000000000004</v>
      </c>
      <c r="H17" s="64">
        <f t="shared" si="52"/>
        <v>2600.0000000001578</v>
      </c>
      <c r="I17" s="58">
        <v>2.3174999999999999</v>
      </c>
      <c r="J17" s="64">
        <f t="shared" si="53"/>
        <v>1500.0000000000568</v>
      </c>
      <c r="K17" s="58">
        <v>3.5846</v>
      </c>
      <c r="L17" s="64">
        <f t="shared" si="54"/>
        <v>2099.9999999999909</v>
      </c>
      <c r="M17" s="58">
        <v>2.1103000000000001</v>
      </c>
      <c r="N17" s="64">
        <f t="shared" si="55"/>
        <v>1500.0000000000568</v>
      </c>
      <c r="O17" s="58">
        <v>23644</v>
      </c>
      <c r="P17" s="67">
        <f t="shared" si="56"/>
        <v>25</v>
      </c>
      <c r="Q17" s="58">
        <v>2904</v>
      </c>
      <c r="R17" s="67">
        <f t="shared" si="57"/>
        <v>4</v>
      </c>
      <c r="S17" s="58">
        <v>1487</v>
      </c>
      <c r="T17" s="67">
        <f t="shared" si="58"/>
        <v>0.70000000000004547</v>
      </c>
      <c r="U17" s="58">
        <v>594985.80000000005</v>
      </c>
      <c r="V17" s="67">
        <f t="shared" si="59"/>
        <v>335.90000000002328</v>
      </c>
      <c r="W17" s="58">
        <v>545.08000000000004</v>
      </c>
      <c r="X17" s="65">
        <f t="shared" si="60"/>
        <v>270.0000000000955</v>
      </c>
      <c r="Y17" s="58">
        <v>4.1105999999999998</v>
      </c>
      <c r="Z17" s="65">
        <f t="shared" si="61"/>
        <v>2699.9999999999245</v>
      </c>
      <c r="AA17" s="58">
        <v>552.89</v>
      </c>
      <c r="AB17" s="65">
        <f t="shared" si="62"/>
        <v>370.00000000000455</v>
      </c>
      <c r="AC17" s="58">
        <v>546.44000000000005</v>
      </c>
      <c r="AD17" s="65">
        <f t="shared" si="63"/>
        <v>360.00000000001364</v>
      </c>
      <c r="AE17" s="58">
        <v>840.65</v>
      </c>
      <c r="AF17" s="65">
        <f t="shared" si="64"/>
        <v>629.99999999999545</v>
      </c>
      <c r="AG17" s="58">
        <v>21185</v>
      </c>
      <c r="AH17" s="67">
        <f t="shared" si="65"/>
        <v>39</v>
      </c>
      <c r="AI17" s="58">
        <v>929.07</v>
      </c>
      <c r="AJ17" s="65">
        <f t="shared" si="66"/>
        <v>510.00000000010459</v>
      </c>
      <c r="AK17" s="58">
        <v>308.52</v>
      </c>
      <c r="AL17" s="65">
        <f t="shared" si="67"/>
        <v>199.99999999998863</v>
      </c>
      <c r="AM17" s="58">
        <v>286.05</v>
      </c>
      <c r="AN17" s="65">
        <f t="shared" si="68"/>
        <v>139.99999999998636</v>
      </c>
      <c r="AO17" s="58">
        <v>276.29000000000002</v>
      </c>
      <c r="AP17" s="65">
        <f t="shared" si="69"/>
        <v>150.00000000003411</v>
      </c>
      <c r="AQ17" s="58">
        <v>329.32</v>
      </c>
      <c r="AR17" s="65">
        <f t="shared" si="70"/>
        <v>189.99999999999773</v>
      </c>
      <c r="AS17" s="58">
        <v>455.02</v>
      </c>
      <c r="AT17" s="65">
        <f t="shared" si="71"/>
        <v>109.9999999999568</v>
      </c>
      <c r="AU17" s="58">
        <v>362.35</v>
      </c>
      <c r="AV17" s="65">
        <f t="shared" si="72"/>
        <v>100.00000000002274</v>
      </c>
      <c r="AW17" s="58">
        <v>391.66</v>
      </c>
      <c r="AX17" s="65">
        <f t="shared" si="73"/>
        <v>120.00000000000455</v>
      </c>
      <c r="AY17" s="58">
        <v>427.46</v>
      </c>
      <c r="AZ17" s="65">
        <f t="shared" si="74"/>
        <v>169.99999999995907</v>
      </c>
      <c r="BA17" s="58">
        <v>444.23</v>
      </c>
      <c r="BB17" s="65">
        <f t="shared" si="75"/>
        <v>110.00000000001364</v>
      </c>
      <c r="BC17" s="58">
        <v>284.92</v>
      </c>
      <c r="BD17" s="65">
        <f t="shared" si="76"/>
        <v>60.000000000002274</v>
      </c>
      <c r="BE17" s="59">
        <v>55096</v>
      </c>
      <c r="BF17" s="67">
        <f t="shared" si="77"/>
        <v>29</v>
      </c>
      <c r="BG17" s="60">
        <v>252.07</v>
      </c>
      <c r="BH17" s="65">
        <f t="shared" si="78"/>
        <v>39.999999999992042</v>
      </c>
      <c r="BI17" s="60">
        <v>306.58</v>
      </c>
      <c r="BJ17" s="65">
        <f t="shared" si="79"/>
        <v>39.99999999996362</v>
      </c>
      <c r="BK17" s="60">
        <v>256.81</v>
      </c>
      <c r="BL17" s="65">
        <f t="shared" si="80"/>
        <v>50.000000000011369</v>
      </c>
      <c r="BM17" s="60">
        <v>241.93</v>
      </c>
      <c r="BN17" s="65">
        <f t="shared" si="81"/>
        <v>40.000000000020464</v>
      </c>
      <c r="BO17" s="60">
        <v>310.57</v>
      </c>
      <c r="BP17" s="65">
        <f t="shared" si="82"/>
        <v>50.000000000011369</v>
      </c>
      <c r="BQ17" s="60">
        <v>60153</v>
      </c>
      <c r="BR17" s="65">
        <f t="shared" si="83"/>
        <v>43</v>
      </c>
      <c r="BS17" s="60">
        <v>220</v>
      </c>
      <c r="BT17" s="65">
        <f t="shared" si="84"/>
        <v>39.999999999992042</v>
      </c>
      <c r="BU17" s="60">
        <v>58138</v>
      </c>
      <c r="BV17" s="65">
        <f t="shared" si="85"/>
        <v>36</v>
      </c>
      <c r="BW17" s="60">
        <v>248.08</v>
      </c>
      <c r="BX17" s="65">
        <f t="shared" si="86"/>
        <v>50.000000000011369</v>
      </c>
      <c r="BY17" s="60">
        <v>78444</v>
      </c>
      <c r="BZ17" s="67">
        <f t="shared" si="87"/>
        <v>49</v>
      </c>
      <c r="CA17" s="60">
        <v>54416.7</v>
      </c>
      <c r="CB17" s="67">
        <f t="shared" si="88"/>
        <v>32.899999999994179</v>
      </c>
      <c r="CC17" s="60">
        <v>16998.7</v>
      </c>
      <c r="CD17" s="67">
        <f t="shared" si="89"/>
        <v>11.299999999999272</v>
      </c>
      <c r="CE17" s="60">
        <v>8586.7000000000007</v>
      </c>
      <c r="CF17" s="67">
        <f t="shared" si="90"/>
        <v>0</v>
      </c>
      <c r="CG17" s="60">
        <v>80240.399999999994</v>
      </c>
      <c r="CH17" s="67">
        <f t="shared" si="91"/>
        <v>49.599999999991269</v>
      </c>
      <c r="CI17" s="60">
        <v>1079697</v>
      </c>
      <c r="CJ17" s="67">
        <f t="shared" si="92"/>
        <v>283</v>
      </c>
      <c r="CK17" s="60">
        <v>1094</v>
      </c>
      <c r="CL17" s="64">
        <f t="shared" si="93"/>
        <v>700.00000000004547</v>
      </c>
      <c r="CM17" s="65">
        <f t="shared" si="94"/>
        <v>84</v>
      </c>
      <c r="CN17" s="62">
        <v>13</v>
      </c>
      <c r="CO17" s="62">
        <v>25</v>
      </c>
      <c r="CP17" s="68">
        <v>40691</v>
      </c>
      <c r="CQ17" s="67">
        <f t="shared" si="95"/>
        <v>71</v>
      </c>
      <c r="CR17" s="68">
        <v>23884.1</v>
      </c>
      <c r="CS17" s="67">
        <f t="shared" si="96"/>
        <v>13</v>
      </c>
      <c r="CT17" s="75">
        <v>11406</v>
      </c>
      <c r="CU17" s="67">
        <f t="shared" si="97"/>
        <v>8</v>
      </c>
      <c r="CV17" s="68">
        <v>27222</v>
      </c>
      <c r="CW17" s="67">
        <f t="shared" si="98"/>
        <v>25</v>
      </c>
      <c r="CX17" s="58">
        <v>4275.8</v>
      </c>
      <c r="CY17" s="67">
        <f t="shared" si="99"/>
        <v>11</v>
      </c>
    </row>
    <row r="18" spans="1:103" ht="25.5" customHeight="1" thickBot="1" x14ac:dyDescent="0.45">
      <c r="A18" s="63">
        <v>44819</v>
      </c>
      <c r="B18" s="44"/>
      <c r="C18" s="58">
        <v>3.4843999999999999</v>
      </c>
      <c r="D18" s="64">
        <f t="shared" si="50"/>
        <v>1999.9999999997797</v>
      </c>
      <c r="E18" s="58">
        <v>4.6684999999999999</v>
      </c>
      <c r="F18" s="64">
        <f t="shared" si="51"/>
        <v>2899.9999999994584</v>
      </c>
      <c r="G18" s="58">
        <v>4.6482999999999999</v>
      </c>
      <c r="H18" s="64">
        <f t="shared" si="52"/>
        <v>2899.9999999994584</v>
      </c>
      <c r="I18" s="58">
        <v>2.3189000000000002</v>
      </c>
      <c r="J18" s="64">
        <f t="shared" si="53"/>
        <v>1400.0000000002899</v>
      </c>
      <c r="K18" s="58">
        <v>3.5867</v>
      </c>
      <c r="L18" s="64">
        <f t="shared" si="54"/>
        <v>2099.9999999999909</v>
      </c>
      <c r="M18" s="58">
        <v>2.1116999999999999</v>
      </c>
      <c r="N18" s="64">
        <f t="shared" si="55"/>
        <v>1399.9999999998458</v>
      </c>
      <c r="O18" s="58">
        <v>23667</v>
      </c>
      <c r="P18" s="67">
        <f t="shared" si="56"/>
        <v>23</v>
      </c>
      <c r="Q18" s="58">
        <v>2909</v>
      </c>
      <c r="R18" s="67">
        <f t="shared" si="57"/>
        <v>5</v>
      </c>
      <c r="S18" s="58">
        <v>1488</v>
      </c>
      <c r="T18" s="67">
        <f t="shared" si="58"/>
        <v>1</v>
      </c>
      <c r="U18" s="58">
        <v>595363.30000000005</v>
      </c>
      <c r="V18" s="67">
        <f t="shared" si="59"/>
        <v>377.5</v>
      </c>
      <c r="W18" s="58">
        <v>545.33000000000004</v>
      </c>
      <c r="X18" s="65">
        <f t="shared" si="60"/>
        <v>250</v>
      </c>
      <c r="Y18" s="58">
        <v>4.1132</v>
      </c>
      <c r="Z18" s="65">
        <f t="shared" si="61"/>
        <v>2600.0000000001578</v>
      </c>
      <c r="AA18" s="58">
        <v>553.09</v>
      </c>
      <c r="AB18" s="65">
        <f t="shared" si="62"/>
        <v>200.00000000004547</v>
      </c>
      <c r="AC18" s="58">
        <v>546.80999999999995</v>
      </c>
      <c r="AD18" s="65">
        <f t="shared" si="63"/>
        <v>369.99999999989086</v>
      </c>
      <c r="AE18" s="58">
        <v>841.33</v>
      </c>
      <c r="AF18" s="65">
        <f t="shared" si="64"/>
        <v>680.00000000006366</v>
      </c>
      <c r="AG18" s="58">
        <v>21219</v>
      </c>
      <c r="AH18" s="67">
        <f t="shared" si="65"/>
        <v>34</v>
      </c>
      <c r="AI18" s="58">
        <v>929.52</v>
      </c>
      <c r="AJ18" s="65">
        <f t="shared" si="66"/>
        <v>449.99999999993179</v>
      </c>
      <c r="AK18" s="58">
        <v>308.68</v>
      </c>
      <c r="AL18" s="65">
        <f t="shared" si="67"/>
        <v>160.00000000002501</v>
      </c>
      <c r="AM18" s="58">
        <v>286.20999999999998</v>
      </c>
      <c r="AN18" s="65">
        <f t="shared" si="68"/>
        <v>159.99999999996817</v>
      </c>
      <c r="AO18" s="58">
        <v>276.39999999999998</v>
      </c>
      <c r="AP18" s="65">
        <f t="shared" si="69"/>
        <v>109.9999999999568</v>
      </c>
      <c r="AQ18" s="58">
        <v>329.54</v>
      </c>
      <c r="AR18" s="65">
        <f t="shared" si="70"/>
        <v>220.00000000002728</v>
      </c>
      <c r="AS18" s="58">
        <v>455.12</v>
      </c>
      <c r="AT18" s="65">
        <f t="shared" si="71"/>
        <v>100.00000000002274</v>
      </c>
      <c r="AU18" s="58">
        <v>362.43</v>
      </c>
      <c r="AV18" s="65">
        <f t="shared" si="72"/>
        <v>79.999999999984084</v>
      </c>
      <c r="AW18" s="58">
        <v>391.76</v>
      </c>
      <c r="AX18" s="65">
        <f t="shared" si="73"/>
        <v>99.999999999965894</v>
      </c>
      <c r="AY18" s="58">
        <v>427.56</v>
      </c>
      <c r="AZ18" s="65">
        <f t="shared" si="74"/>
        <v>100.00000000002274</v>
      </c>
      <c r="BA18" s="58">
        <v>444.32</v>
      </c>
      <c r="BB18" s="65">
        <f t="shared" si="75"/>
        <v>89.999999999974989</v>
      </c>
      <c r="BC18" s="58">
        <v>284.97000000000003</v>
      </c>
      <c r="BD18" s="65">
        <f t="shared" si="76"/>
        <v>50.000000000011369</v>
      </c>
      <c r="BE18" s="59">
        <v>55129</v>
      </c>
      <c r="BF18" s="67">
        <f t="shared" si="77"/>
        <v>33</v>
      </c>
      <c r="BG18" s="60">
        <v>252.11</v>
      </c>
      <c r="BH18" s="65">
        <f t="shared" si="78"/>
        <v>40.000000000020464</v>
      </c>
      <c r="BI18" s="60">
        <v>306.62</v>
      </c>
      <c r="BJ18" s="65">
        <f t="shared" si="79"/>
        <v>40.000000000020464</v>
      </c>
      <c r="BK18" s="60">
        <v>256.85000000000002</v>
      </c>
      <c r="BL18" s="65">
        <f t="shared" si="80"/>
        <v>40.000000000020464</v>
      </c>
      <c r="BM18" s="60">
        <v>241.97</v>
      </c>
      <c r="BN18" s="65">
        <f t="shared" si="81"/>
        <v>39.999999999992042</v>
      </c>
      <c r="BO18" s="60">
        <v>310.61</v>
      </c>
      <c r="BP18" s="65">
        <f t="shared" si="82"/>
        <v>40.000000000020464</v>
      </c>
      <c r="BQ18" s="60">
        <v>60191</v>
      </c>
      <c r="BR18" s="65">
        <f t="shared" si="83"/>
        <v>38</v>
      </c>
      <c r="BS18" s="60">
        <v>220.04</v>
      </c>
      <c r="BT18" s="65">
        <f t="shared" si="84"/>
        <v>39.999999999992042</v>
      </c>
      <c r="BU18" s="60">
        <v>58175</v>
      </c>
      <c r="BV18" s="65">
        <f t="shared" si="85"/>
        <v>37</v>
      </c>
      <c r="BW18" s="60">
        <v>248.12</v>
      </c>
      <c r="BX18" s="65">
        <f t="shared" si="86"/>
        <v>39.999999999992042</v>
      </c>
      <c r="BY18" s="60">
        <v>78492</v>
      </c>
      <c r="BZ18" s="67">
        <f t="shared" si="87"/>
        <v>48</v>
      </c>
      <c r="CA18" s="60">
        <v>54456.2</v>
      </c>
      <c r="CB18" s="67">
        <f t="shared" si="88"/>
        <v>39.5</v>
      </c>
      <c r="CC18" s="60">
        <v>17007.400000000001</v>
      </c>
      <c r="CD18" s="67">
        <f t="shared" si="89"/>
        <v>8.7000000000007276</v>
      </c>
      <c r="CE18" s="60">
        <v>8589.2000000000007</v>
      </c>
      <c r="CF18" s="67">
        <f t="shared" si="90"/>
        <v>2.5</v>
      </c>
      <c r="CG18" s="60">
        <v>80306.600000000006</v>
      </c>
      <c r="CH18" s="67">
        <f t="shared" si="91"/>
        <v>66.200000000011642</v>
      </c>
      <c r="CI18" s="60">
        <v>1079978</v>
      </c>
      <c r="CJ18" s="67">
        <f t="shared" si="92"/>
        <v>281</v>
      </c>
      <c r="CK18" s="60">
        <v>1094.9000000000001</v>
      </c>
      <c r="CL18" s="64">
        <f t="shared" si="93"/>
        <v>900.00000000009095</v>
      </c>
      <c r="CM18" s="65">
        <f t="shared" si="94"/>
        <v>106.70000000000073</v>
      </c>
      <c r="CN18" s="62">
        <v>12</v>
      </c>
      <c r="CO18" s="62">
        <v>25</v>
      </c>
      <c r="CP18" s="68">
        <v>40781</v>
      </c>
      <c r="CQ18" s="67">
        <f t="shared" si="95"/>
        <v>90</v>
      </c>
      <c r="CR18" s="68">
        <v>23900.799999999999</v>
      </c>
      <c r="CS18" s="67">
        <f t="shared" si="96"/>
        <v>16.700000000000728</v>
      </c>
      <c r="CT18" s="75">
        <v>11413</v>
      </c>
      <c r="CU18" s="67">
        <f t="shared" si="97"/>
        <v>7</v>
      </c>
      <c r="CV18" s="68">
        <v>27243</v>
      </c>
      <c r="CW18" s="67">
        <f t="shared" si="98"/>
        <v>21</v>
      </c>
      <c r="CX18" s="58">
        <v>4287.1000000000004</v>
      </c>
      <c r="CY18" s="67">
        <f t="shared" si="99"/>
        <v>11.300000000000182</v>
      </c>
    </row>
    <row r="19" spans="1:103" ht="25.5" customHeight="1" thickBot="1" x14ac:dyDescent="0.45">
      <c r="A19" s="63">
        <v>44820</v>
      </c>
      <c r="B19" s="44"/>
      <c r="C19" s="58">
        <v>3.4864000000000002</v>
      </c>
      <c r="D19" s="64">
        <f t="shared" si="50"/>
        <v>2000.0000000002237</v>
      </c>
      <c r="E19" s="58">
        <v>4.6714000000000002</v>
      </c>
      <c r="F19" s="64">
        <f t="shared" si="51"/>
        <v>2900.0000000003465</v>
      </c>
      <c r="G19" s="58">
        <v>4.6512000000000002</v>
      </c>
      <c r="H19" s="64">
        <f t="shared" si="52"/>
        <v>2900.0000000003465</v>
      </c>
      <c r="I19" s="58">
        <v>2.3205</v>
      </c>
      <c r="J19" s="64">
        <f t="shared" si="53"/>
        <v>1599.9999999998238</v>
      </c>
      <c r="K19" s="58">
        <v>3.5889000000000002</v>
      </c>
      <c r="L19" s="64">
        <f t="shared" si="54"/>
        <v>2200.0000000002019</v>
      </c>
      <c r="M19" s="58">
        <v>2.1132</v>
      </c>
      <c r="N19" s="64">
        <f t="shared" si="55"/>
        <v>1500.0000000000568</v>
      </c>
      <c r="O19" s="58">
        <v>23692</v>
      </c>
      <c r="P19" s="67">
        <f t="shared" si="56"/>
        <v>25</v>
      </c>
      <c r="Q19" s="58">
        <v>2913</v>
      </c>
      <c r="R19" s="67">
        <f t="shared" si="57"/>
        <v>4</v>
      </c>
      <c r="S19" s="58">
        <v>1488.7</v>
      </c>
      <c r="T19" s="67">
        <f t="shared" si="58"/>
        <v>0.70000000000004547</v>
      </c>
      <c r="U19" s="58">
        <v>595725.5</v>
      </c>
      <c r="V19" s="67">
        <f t="shared" si="59"/>
        <v>362.19999999995343</v>
      </c>
      <c r="W19" s="58">
        <v>545.61</v>
      </c>
      <c r="X19" s="65">
        <f t="shared" si="60"/>
        <v>279.99999999997272</v>
      </c>
      <c r="Y19" s="58">
        <v>4.1158000000000001</v>
      </c>
      <c r="Z19" s="65">
        <f t="shared" si="61"/>
        <v>2600.0000000001578</v>
      </c>
      <c r="AA19" s="58">
        <v>553.42999999999995</v>
      </c>
      <c r="AB19" s="65">
        <f t="shared" si="62"/>
        <v>339.99999999991815</v>
      </c>
      <c r="AC19" s="58">
        <v>547.16999999999996</v>
      </c>
      <c r="AD19" s="65">
        <f t="shared" si="63"/>
        <v>360.00000000001364</v>
      </c>
      <c r="AE19" s="58">
        <v>842.07</v>
      </c>
      <c r="AF19" s="65">
        <f t="shared" si="64"/>
        <v>740.00000000000909</v>
      </c>
      <c r="AG19" s="58">
        <v>21255</v>
      </c>
      <c r="AH19" s="67">
        <f t="shared" si="65"/>
        <v>36</v>
      </c>
      <c r="AI19" s="58">
        <v>930.02</v>
      </c>
      <c r="AJ19" s="65">
        <f t="shared" si="66"/>
        <v>500</v>
      </c>
      <c r="AK19" s="58">
        <v>308.87</v>
      </c>
      <c r="AL19" s="65">
        <f t="shared" si="67"/>
        <v>189.99999999999773</v>
      </c>
      <c r="AM19" s="58">
        <v>286.38</v>
      </c>
      <c r="AN19" s="65">
        <f t="shared" si="68"/>
        <v>170.00000000001592</v>
      </c>
      <c r="AO19" s="58">
        <v>276.51</v>
      </c>
      <c r="AP19" s="65">
        <f t="shared" si="69"/>
        <v>110.00000000001364</v>
      </c>
      <c r="AQ19" s="58">
        <v>329.75</v>
      </c>
      <c r="AR19" s="65">
        <f t="shared" si="70"/>
        <v>209.99999999997954</v>
      </c>
      <c r="AS19" s="58">
        <v>455.22</v>
      </c>
      <c r="AT19" s="65">
        <f t="shared" si="71"/>
        <v>100.00000000002274</v>
      </c>
      <c r="AU19" s="58">
        <v>362.52</v>
      </c>
      <c r="AV19" s="65">
        <f t="shared" si="72"/>
        <v>89.999999999974989</v>
      </c>
      <c r="AW19" s="58">
        <v>391.87</v>
      </c>
      <c r="AX19" s="65">
        <f t="shared" si="73"/>
        <v>110.00000000001364</v>
      </c>
      <c r="AY19" s="58">
        <v>427.68</v>
      </c>
      <c r="AZ19" s="65">
        <f t="shared" si="74"/>
        <v>120.00000000000455</v>
      </c>
      <c r="BA19" s="58">
        <v>444.42</v>
      </c>
      <c r="BB19" s="65">
        <f t="shared" si="75"/>
        <v>100.00000000002274</v>
      </c>
      <c r="BC19" s="58">
        <v>285.02999999999997</v>
      </c>
      <c r="BD19" s="65">
        <f t="shared" si="76"/>
        <v>59.99999999994543</v>
      </c>
      <c r="BE19" s="59">
        <v>55192</v>
      </c>
      <c r="BF19" s="67">
        <f t="shared" si="77"/>
        <v>63</v>
      </c>
      <c r="BG19" s="60">
        <v>252.15</v>
      </c>
      <c r="BH19" s="65">
        <f t="shared" si="78"/>
        <v>39.999999999992042</v>
      </c>
      <c r="BI19" s="60">
        <v>306.64999999999998</v>
      </c>
      <c r="BJ19" s="65">
        <f t="shared" si="79"/>
        <v>29.999999999972715</v>
      </c>
      <c r="BK19" s="60">
        <v>256.89999999999998</v>
      </c>
      <c r="BL19" s="65">
        <f t="shared" si="80"/>
        <v>49.999999999954525</v>
      </c>
      <c r="BM19" s="60">
        <v>242.01</v>
      </c>
      <c r="BN19" s="65">
        <f t="shared" si="81"/>
        <v>39.999999999992042</v>
      </c>
      <c r="BO19" s="60">
        <v>310.66000000000003</v>
      </c>
      <c r="BP19" s="65">
        <f t="shared" si="82"/>
        <v>50.000000000011369</v>
      </c>
      <c r="BQ19" s="60">
        <v>60225</v>
      </c>
      <c r="BR19" s="65">
        <f t="shared" si="83"/>
        <v>34</v>
      </c>
      <c r="BS19" s="60">
        <v>220.07</v>
      </c>
      <c r="BT19" s="65">
        <f t="shared" si="84"/>
        <v>30.000000000001137</v>
      </c>
      <c r="BU19" s="60">
        <v>58218</v>
      </c>
      <c r="BV19" s="65">
        <f t="shared" si="85"/>
        <v>43</v>
      </c>
      <c r="BW19" s="60">
        <v>248.16</v>
      </c>
      <c r="BX19" s="65">
        <f t="shared" si="86"/>
        <v>39.999999999992042</v>
      </c>
      <c r="BY19" s="60">
        <v>78538</v>
      </c>
      <c r="BZ19" s="67">
        <f t="shared" si="87"/>
        <v>46</v>
      </c>
      <c r="CA19" s="60">
        <v>54484.6</v>
      </c>
      <c r="CB19" s="67">
        <f t="shared" si="88"/>
        <v>28.400000000001455</v>
      </c>
      <c r="CC19" s="60">
        <v>17017.400000000001</v>
      </c>
      <c r="CD19" s="67">
        <f t="shared" si="89"/>
        <v>10</v>
      </c>
      <c r="CE19" s="60">
        <v>8593</v>
      </c>
      <c r="CF19" s="67">
        <f t="shared" si="90"/>
        <v>3.7999999999992724</v>
      </c>
      <c r="CG19" s="60">
        <v>80363</v>
      </c>
      <c r="CH19" s="67">
        <f t="shared" si="91"/>
        <v>56.399999999994179</v>
      </c>
      <c r="CI19" s="60">
        <v>1080259</v>
      </c>
      <c r="CJ19" s="67">
        <f t="shared" si="92"/>
        <v>281</v>
      </c>
      <c r="CK19" s="60">
        <v>1095.8</v>
      </c>
      <c r="CL19" s="64">
        <f t="shared" si="93"/>
        <v>899.99999999986358</v>
      </c>
      <c r="CM19" s="65">
        <f t="shared" si="94"/>
        <v>95.900000000001455</v>
      </c>
      <c r="CN19" s="62">
        <v>19</v>
      </c>
      <c r="CO19" s="62">
        <v>33</v>
      </c>
      <c r="CP19" s="68">
        <v>40856</v>
      </c>
      <c r="CQ19" s="67">
        <f t="shared" si="95"/>
        <v>75</v>
      </c>
      <c r="CR19" s="68">
        <v>23921.7</v>
      </c>
      <c r="CS19" s="67">
        <f t="shared" si="96"/>
        <v>20.900000000001455</v>
      </c>
      <c r="CT19" s="75">
        <v>11420</v>
      </c>
      <c r="CU19" s="67">
        <f t="shared" si="97"/>
        <v>7</v>
      </c>
      <c r="CV19" s="68">
        <v>27263</v>
      </c>
      <c r="CW19" s="67">
        <f t="shared" si="98"/>
        <v>20</v>
      </c>
      <c r="CX19" s="58">
        <v>4298.1000000000004</v>
      </c>
      <c r="CY19" s="67">
        <f t="shared" si="99"/>
        <v>11</v>
      </c>
    </row>
    <row r="20" spans="1:103" ht="25.5" customHeight="1" thickBot="1" x14ac:dyDescent="0.45">
      <c r="A20" s="63">
        <v>44821</v>
      </c>
      <c r="B20" s="44"/>
      <c r="C20" s="58">
        <v>3.4883000000000002</v>
      </c>
      <c r="D20" s="64">
        <f t="shared" si="50"/>
        <v>1900.0000000000127</v>
      </c>
      <c r="E20" s="58">
        <v>4.6744000000000003</v>
      </c>
      <c r="F20" s="64">
        <f t="shared" si="51"/>
        <v>3000.0000000001137</v>
      </c>
      <c r="G20" s="58">
        <v>4.6539999999999999</v>
      </c>
      <c r="H20" s="64">
        <f t="shared" si="52"/>
        <v>2799.9999999996917</v>
      </c>
      <c r="I20" s="58">
        <v>2.3218999999999999</v>
      </c>
      <c r="J20" s="64">
        <f t="shared" si="53"/>
        <v>1399.9999999998458</v>
      </c>
      <c r="K20" s="58">
        <v>3.5910000000000002</v>
      </c>
      <c r="L20" s="64">
        <f t="shared" si="54"/>
        <v>2099.9999999999909</v>
      </c>
      <c r="M20" s="58">
        <v>2.1149</v>
      </c>
      <c r="N20" s="64">
        <f t="shared" si="55"/>
        <v>1700.0000000000348</v>
      </c>
      <c r="O20" s="58">
        <v>23720</v>
      </c>
      <c r="P20" s="67">
        <f t="shared" si="56"/>
        <v>28</v>
      </c>
      <c r="Q20" s="58">
        <v>2917</v>
      </c>
      <c r="R20" s="67">
        <f t="shared" si="57"/>
        <v>4</v>
      </c>
      <c r="S20" s="58">
        <v>1489.6</v>
      </c>
      <c r="T20" s="67">
        <f t="shared" si="58"/>
        <v>0.89999999999986358</v>
      </c>
      <c r="U20" s="58">
        <v>596046.80000000005</v>
      </c>
      <c r="V20" s="67">
        <f t="shared" si="59"/>
        <v>321.30000000004657</v>
      </c>
      <c r="W20" s="58">
        <v>545.89</v>
      </c>
      <c r="X20" s="65">
        <f t="shared" si="60"/>
        <v>279.99999999997272</v>
      </c>
      <c r="Y20" s="58">
        <v>4.1186999999999996</v>
      </c>
      <c r="Z20" s="65">
        <f t="shared" si="61"/>
        <v>2899.9999999994584</v>
      </c>
      <c r="AA20" s="58">
        <v>553.85</v>
      </c>
      <c r="AB20" s="65">
        <f t="shared" si="62"/>
        <v>420.00000000007276</v>
      </c>
      <c r="AC20" s="58">
        <v>547.58000000000004</v>
      </c>
      <c r="AD20" s="65">
        <f t="shared" si="63"/>
        <v>410.00000000008185</v>
      </c>
      <c r="AE20" s="58">
        <v>842.9</v>
      </c>
      <c r="AF20" s="65">
        <f t="shared" si="64"/>
        <v>829.99999999992724</v>
      </c>
      <c r="AG20" s="58">
        <v>21293</v>
      </c>
      <c r="AH20" s="67">
        <f t="shared" si="65"/>
        <v>38</v>
      </c>
      <c r="AI20" s="58">
        <v>930.58</v>
      </c>
      <c r="AJ20" s="65">
        <f t="shared" si="66"/>
        <v>560.00000000005912</v>
      </c>
      <c r="AK20" s="58">
        <v>309.11</v>
      </c>
      <c r="AL20" s="65">
        <f t="shared" si="67"/>
        <v>240.00000000000909</v>
      </c>
      <c r="AM20" s="58">
        <v>286.55</v>
      </c>
      <c r="AN20" s="65">
        <f t="shared" si="68"/>
        <v>170.00000000001592</v>
      </c>
      <c r="AO20" s="58">
        <v>276.63</v>
      </c>
      <c r="AP20" s="65">
        <f t="shared" si="69"/>
        <v>120.00000000000455</v>
      </c>
      <c r="AQ20" s="58">
        <v>329.95</v>
      </c>
      <c r="AR20" s="65">
        <f t="shared" si="70"/>
        <v>199.99999999998863</v>
      </c>
      <c r="AS20" s="58">
        <v>455.3</v>
      </c>
      <c r="AT20" s="65">
        <f t="shared" si="71"/>
        <v>79.999999999984084</v>
      </c>
      <c r="AU20" s="58">
        <v>362.61</v>
      </c>
      <c r="AV20" s="65">
        <f t="shared" si="72"/>
        <v>90.000000000031832</v>
      </c>
      <c r="AW20" s="58">
        <v>391.94</v>
      </c>
      <c r="AX20" s="65">
        <f t="shared" si="73"/>
        <v>69.999999999993179</v>
      </c>
      <c r="AY20" s="58">
        <v>427.79</v>
      </c>
      <c r="AZ20" s="65">
        <f t="shared" si="74"/>
        <v>110.00000000001364</v>
      </c>
      <c r="BA20" s="58">
        <v>444.51</v>
      </c>
      <c r="BB20" s="65">
        <f t="shared" si="75"/>
        <v>89.999999999974989</v>
      </c>
      <c r="BC20" s="58">
        <v>285.08</v>
      </c>
      <c r="BD20" s="65">
        <f t="shared" si="76"/>
        <v>50.000000000011369</v>
      </c>
      <c r="BE20" s="59">
        <v>55228</v>
      </c>
      <c r="BF20" s="67">
        <f t="shared" si="77"/>
        <v>36</v>
      </c>
      <c r="BG20" s="60">
        <v>252.18</v>
      </c>
      <c r="BH20" s="65">
        <f t="shared" si="78"/>
        <v>30.000000000001137</v>
      </c>
      <c r="BI20" s="60">
        <v>306.68</v>
      </c>
      <c r="BJ20" s="65">
        <f t="shared" si="79"/>
        <v>30.000000000029559</v>
      </c>
      <c r="BK20" s="60">
        <v>256.94</v>
      </c>
      <c r="BL20" s="65">
        <f t="shared" si="80"/>
        <v>40.000000000020464</v>
      </c>
      <c r="BM20" s="60">
        <v>242.05</v>
      </c>
      <c r="BN20" s="65">
        <f t="shared" si="81"/>
        <v>40.000000000020464</v>
      </c>
      <c r="BO20" s="60">
        <v>310.7</v>
      </c>
      <c r="BP20" s="65">
        <f t="shared" si="82"/>
        <v>39.99999999996362</v>
      </c>
      <c r="BQ20" s="60">
        <v>60260</v>
      </c>
      <c r="BR20" s="65">
        <f t="shared" si="83"/>
        <v>35</v>
      </c>
      <c r="BS20" s="60">
        <v>220.11</v>
      </c>
      <c r="BT20" s="65">
        <f t="shared" si="84"/>
        <v>40.000000000020464</v>
      </c>
      <c r="BU20" s="60">
        <v>58251</v>
      </c>
      <c r="BV20" s="65">
        <f t="shared" si="85"/>
        <v>33</v>
      </c>
      <c r="BW20" s="60">
        <v>248.2</v>
      </c>
      <c r="BX20" s="65">
        <f t="shared" si="86"/>
        <v>39.999999999992042</v>
      </c>
      <c r="BY20" s="60">
        <v>78590</v>
      </c>
      <c r="BZ20" s="67">
        <f t="shared" si="87"/>
        <v>52</v>
      </c>
      <c r="CA20" s="60">
        <v>54511.5</v>
      </c>
      <c r="CB20" s="67">
        <f t="shared" si="88"/>
        <v>26.900000000001455</v>
      </c>
      <c r="CC20" s="60">
        <v>17033.5</v>
      </c>
      <c r="CD20" s="67">
        <f t="shared" si="89"/>
        <v>16.099999999998545</v>
      </c>
      <c r="CE20" s="60">
        <v>8595.7999999999993</v>
      </c>
      <c r="CF20" s="67">
        <f t="shared" si="90"/>
        <v>2.7999999999992724</v>
      </c>
      <c r="CG20" s="60">
        <v>80416.899999999994</v>
      </c>
      <c r="CH20" s="67">
        <f t="shared" si="91"/>
        <v>53.899999999994179</v>
      </c>
      <c r="CI20" s="60">
        <v>1080535</v>
      </c>
      <c r="CJ20" s="67">
        <f t="shared" si="92"/>
        <v>276</v>
      </c>
      <c r="CK20" s="60">
        <v>1096.5</v>
      </c>
      <c r="CL20" s="64">
        <f t="shared" si="93"/>
        <v>700.00000000004547</v>
      </c>
      <c r="CM20" s="65">
        <f t="shared" si="94"/>
        <v>84.299999999999272</v>
      </c>
      <c r="CN20" s="62">
        <v>24</v>
      </c>
      <c r="CO20" s="62">
        <v>47</v>
      </c>
      <c r="CP20" s="68">
        <v>40921</v>
      </c>
      <c r="CQ20" s="67">
        <f t="shared" si="95"/>
        <v>65</v>
      </c>
      <c r="CR20" s="68">
        <v>23941</v>
      </c>
      <c r="CS20" s="67">
        <f t="shared" si="96"/>
        <v>19.299999999999272</v>
      </c>
      <c r="CT20" s="75">
        <v>11428</v>
      </c>
      <c r="CU20" s="67">
        <f t="shared" si="97"/>
        <v>8</v>
      </c>
      <c r="CV20" s="68">
        <v>27294</v>
      </c>
      <c r="CW20" s="67">
        <f t="shared" si="98"/>
        <v>31</v>
      </c>
      <c r="CX20" s="58">
        <v>4308.8999999999996</v>
      </c>
      <c r="CY20" s="67">
        <f t="shared" si="99"/>
        <v>10.799999999999272</v>
      </c>
    </row>
    <row r="21" spans="1:103" ht="25.5" customHeight="1" thickBot="1" x14ac:dyDescent="0.45">
      <c r="A21" s="63">
        <v>44822</v>
      </c>
      <c r="B21" s="44"/>
      <c r="C21" s="58">
        <v>3.4897</v>
      </c>
      <c r="D21" s="64">
        <f t="shared" si="50"/>
        <v>1399.9999999998458</v>
      </c>
      <c r="E21" s="58">
        <v>4.6771000000000003</v>
      </c>
      <c r="F21" s="64">
        <f t="shared" si="51"/>
        <v>2699.9999999999245</v>
      </c>
      <c r="G21" s="58">
        <v>4.6567999999999996</v>
      </c>
      <c r="H21" s="64">
        <f t="shared" si="52"/>
        <v>2799.9999999996917</v>
      </c>
      <c r="I21" s="58">
        <v>2.3231999999999999</v>
      </c>
      <c r="J21" s="64">
        <f t="shared" si="53"/>
        <v>1300.0000000000789</v>
      </c>
      <c r="K21" s="58">
        <v>3.5926999999999998</v>
      </c>
      <c r="L21" s="64">
        <f t="shared" si="54"/>
        <v>1699.9999999995907</v>
      </c>
      <c r="M21" s="58">
        <v>2.1162999999999998</v>
      </c>
      <c r="N21" s="64">
        <f t="shared" si="55"/>
        <v>1399.9999999998458</v>
      </c>
      <c r="O21" s="58">
        <v>23749</v>
      </c>
      <c r="P21" s="67">
        <f t="shared" si="56"/>
        <v>29</v>
      </c>
      <c r="Q21" s="58">
        <v>2920</v>
      </c>
      <c r="R21" s="67">
        <f t="shared" si="57"/>
        <v>3</v>
      </c>
      <c r="S21" s="58">
        <v>1490.7</v>
      </c>
      <c r="T21" s="67">
        <f t="shared" si="58"/>
        <v>1.1000000000001364</v>
      </c>
      <c r="U21" s="58">
        <v>596431.5</v>
      </c>
      <c r="V21" s="67">
        <f t="shared" si="59"/>
        <v>384.69999999995343</v>
      </c>
      <c r="W21" s="58">
        <v>546.1</v>
      </c>
      <c r="X21" s="65">
        <f t="shared" si="60"/>
        <v>210.00000000003638</v>
      </c>
      <c r="Y21" s="58">
        <v>4.1212999999999997</v>
      </c>
      <c r="Z21" s="65">
        <f t="shared" si="61"/>
        <v>2600.0000000001578</v>
      </c>
      <c r="AA21" s="58">
        <v>554.1</v>
      </c>
      <c r="AB21" s="65">
        <f t="shared" si="62"/>
        <v>250</v>
      </c>
      <c r="AC21" s="58">
        <v>547.89</v>
      </c>
      <c r="AD21" s="65">
        <f t="shared" si="63"/>
        <v>309.99999999994543</v>
      </c>
      <c r="AE21" s="58">
        <v>843.69</v>
      </c>
      <c r="AF21" s="65">
        <f t="shared" si="64"/>
        <v>790.00000000007731</v>
      </c>
      <c r="AG21" s="58">
        <v>21326</v>
      </c>
      <c r="AH21" s="67">
        <f t="shared" si="65"/>
        <v>33</v>
      </c>
      <c r="AI21" s="58">
        <v>930.95</v>
      </c>
      <c r="AJ21" s="65">
        <f t="shared" si="66"/>
        <v>370.00000000000455</v>
      </c>
      <c r="AK21" s="58">
        <v>309.33</v>
      </c>
      <c r="AL21" s="65">
        <f t="shared" si="67"/>
        <v>219.99999999997044</v>
      </c>
      <c r="AM21" s="58">
        <v>286.68</v>
      </c>
      <c r="AN21" s="65">
        <f t="shared" si="68"/>
        <v>129.99999999999545</v>
      </c>
      <c r="AO21" s="58">
        <v>276.72000000000003</v>
      </c>
      <c r="AP21" s="65">
        <f t="shared" si="69"/>
        <v>90.000000000031832</v>
      </c>
      <c r="AQ21" s="58">
        <v>330.08</v>
      </c>
      <c r="AR21" s="65">
        <f t="shared" si="70"/>
        <v>129.99999999999545</v>
      </c>
      <c r="AS21" s="58">
        <v>455.35</v>
      </c>
      <c r="AT21" s="65">
        <f t="shared" si="71"/>
        <v>50.000000000011369</v>
      </c>
      <c r="AU21" s="58">
        <v>362.66</v>
      </c>
      <c r="AV21" s="65">
        <f t="shared" si="72"/>
        <v>50.000000000011369</v>
      </c>
      <c r="AW21" s="58">
        <v>391.98</v>
      </c>
      <c r="AX21" s="65">
        <f t="shared" si="73"/>
        <v>40.000000000020464</v>
      </c>
      <c r="AY21" s="58">
        <v>427.88</v>
      </c>
      <c r="AZ21" s="65">
        <f t="shared" si="74"/>
        <v>89.999999999974989</v>
      </c>
      <c r="BA21" s="58">
        <v>444.59</v>
      </c>
      <c r="BB21" s="65">
        <f t="shared" si="75"/>
        <v>79.999999999984084</v>
      </c>
      <c r="BC21" s="58">
        <v>285.12</v>
      </c>
      <c r="BD21" s="65">
        <f t="shared" si="76"/>
        <v>40.000000000020464</v>
      </c>
      <c r="BE21" s="59">
        <v>55282</v>
      </c>
      <c r="BF21" s="67">
        <f t="shared" si="77"/>
        <v>54</v>
      </c>
      <c r="BG21" s="60">
        <v>252.21</v>
      </c>
      <c r="BH21" s="65">
        <f t="shared" si="78"/>
        <v>30.000000000001137</v>
      </c>
      <c r="BI21" s="60">
        <v>306.70999999999998</v>
      </c>
      <c r="BJ21" s="65">
        <f t="shared" si="79"/>
        <v>29.999999999972715</v>
      </c>
      <c r="BK21" s="60">
        <v>256.97000000000003</v>
      </c>
      <c r="BL21" s="65">
        <f t="shared" si="80"/>
        <v>30.000000000029559</v>
      </c>
      <c r="BM21" s="60">
        <v>242.07</v>
      </c>
      <c r="BN21" s="65">
        <f t="shared" si="81"/>
        <v>19.99999999998181</v>
      </c>
      <c r="BO21" s="60">
        <v>310.73</v>
      </c>
      <c r="BP21" s="65">
        <f t="shared" si="82"/>
        <v>30.000000000029559</v>
      </c>
      <c r="BQ21" s="60">
        <v>60293</v>
      </c>
      <c r="BR21" s="65">
        <f t="shared" si="83"/>
        <v>33</v>
      </c>
      <c r="BS21" s="60">
        <v>220.14</v>
      </c>
      <c r="BT21" s="65">
        <f t="shared" si="84"/>
        <v>29.999999999972715</v>
      </c>
      <c r="BU21" s="60">
        <v>58278</v>
      </c>
      <c r="BV21" s="65">
        <f t="shared" si="85"/>
        <v>27</v>
      </c>
      <c r="BW21" s="60">
        <v>248.22</v>
      </c>
      <c r="BX21" s="65">
        <f t="shared" si="86"/>
        <v>20.000000000010232</v>
      </c>
      <c r="BY21" s="60">
        <v>78624</v>
      </c>
      <c r="BZ21" s="67">
        <f t="shared" si="87"/>
        <v>34</v>
      </c>
      <c r="CA21" s="60">
        <v>54570.400000000001</v>
      </c>
      <c r="CB21" s="67">
        <f t="shared" si="88"/>
        <v>58.900000000001455</v>
      </c>
      <c r="CC21" s="60">
        <v>17043.400000000001</v>
      </c>
      <c r="CD21" s="67">
        <f t="shared" si="89"/>
        <v>9.9000000000014552</v>
      </c>
      <c r="CE21" s="60">
        <v>8601</v>
      </c>
      <c r="CF21" s="67">
        <f t="shared" si="90"/>
        <v>5.2000000000007276</v>
      </c>
      <c r="CG21" s="60">
        <v>80479.600000000006</v>
      </c>
      <c r="CH21" s="67">
        <f t="shared" si="91"/>
        <v>62.700000000011642</v>
      </c>
      <c r="CI21" s="60">
        <v>1080795</v>
      </c>
      <c r="CJ21" s="67">
        <f t="shared" si="92"/>
        <v>260</v>
      </c>
      <c r="CK21" s="60">
        <v>1097.3</v>
      </c>
      <c r="CL21" s="64">
        <f t="shared" si="93"/>
        <v>799.99999999995453</v>
      </c>
      <c r="CM21" s="65">
        <f t="shared" si="94"/>
        <v>99</v>
      </c>
      <c r="CN21" s="62">
        <v>24</v>
      </c>
      <c r="CO21" s="62">
        <v>47</v>
      </c>
      <c r="CP21" s="68">
        <v>40992</v>
      </c>
      <c r="CQ21" s="67">
        <f t="shared" si="95"/>
        <v>71</v>
      </c>
      <c r="CR21" s="68">
        <v>23969</v>
      </c>
      <c r="CS21" s="67">
        <f t="shared" si="96"/>
        <v>28</v>
      </c>
      <c r="CT21" s="75">
        <v>11438</v>
      </c>
      <c r="CU21" s="67">
        <f t="shared" si="97"/>
        <v>10</v>
      </c>
      <c r="CV21" s="68">
        <v>27321</v>
      </c>
      <c r="CW21" s="67">
        <f t="shared" si="98"/>
        <v>27</v>
      </c>
      <c r="CX21" s="58">
        <v>4313.5</v>
      </c>
      <c r="CY21" s="67">
        <f t="shared" si="99"/>
        <v>4.6000000000003638</v>
      </c>
    </row>
    <row r="22" spans="1:103" ht="25.5" customHeight="1" thickBot="1" x14ac:dyDescent="0.45">
      <c r="A22" s="63">
        <v>44823</v>
      </c>
      <c r="B22" s="44"/>
      <c r="C22" s="58"/>
      <c r="D22" s="64" t="str">
        <f t="shared" si="50"/>
        <v>0</v>
      </c>
      <c r="E22" s="58"/>
      <c r="F22" s="64" t="str">
        <f t="shared" si="51"/>
        <v>0</v>
      </c>
      <c r="G22" s="58"/>
      <c r="H22" s="64" t="str">
        <f t="shared" si="52"/>
        <v>0</v>
      </c>
      <c r="I22" s="58"/>
      <c r="J22" s="64" t="str">
        <f t="shared" si="53"/>
        <v>0</v>
      </c>
      <c r="K22" s="58"/>
      <c r="L22" s="64" t="str">
        <f t="shared" si="54"/>
        <v>0</v>
      </c>
      <c r="M22" s="58"/>
      <c r="N22" s="64" t="str">
        <f t="shared" si="55"/>
        <v/>
      </c>
      <c r="O22" s="58"/>
      <c r="P22" s="67" t="str">
        <f t="shared" si="56"/>
        <v/>
      </c>
      <c r="Q22" s="58"/>
      <c r="R22" s="67" t="str">
        <f t="shared" si="57"/>
        <v/>
      </c>
      <c r="S22" s="58"/>
      <c r="T22" s="67" t="str">
        <f t="shared" si="58"/>
        <v/>
      </c>
      <c r="U22" s="58"/>
      <c r="V22" s="67" t="str">
        <f t="shared" si="59"/>
        <v/>
      </c>
      <c r="W22" s="58"/>
      <c r="X22" s="65" t="str">
        <f t="shared" si="60"/>
        <v/>
      </c>
      <c r="Y22" s="58"/>
      <c r="Z22" s="65" t="str">
        <f t="shared" si="61"/>
        <v/>
      </c>
      <c r="AA22" s="58"/>
      <c r="AB22" s="65" t="str">
        <f t="shared" si="62"/>
        <v/>
      </c>
      <c r="AC22" s="58"/>
      <c r="AD22" s="65" t="str">
        <f t="shared" si="63"/>
        <v/>
      </c>
      <c r="AE22" s="58"/>
      <c r="AF22" s="65" t="str">
        <f t="shared" si="64"/>
        <v/>
      </c>
      <c r="AG22" s="58"/>
      <c r="AH22" s="67" t="str">
        <f t="shared" si="65"/>
        <v/>
      </c>
      <c r="AI22" s="58"/>
      <c r="AJ22" s="65" t="str">
        <f t="shared" si="66"/>
        <v/>
      </c>
      <c r="AK22" s="58"/>
      <c r="AL22" s="65" t="str">
        <f t="shared" si="67"/>
        <v/>
      </c>
      <c r="AM22" s="58"/>
      <c r="AN22" s="65" t="str">
        <f t="shared" si="68"/>
        <v/>
      </c>
      <c r="AO22" s="58"/>
      <c r="AP22" s="65" t="str">
        <f t="shared" si="69"/>
        <v/>
      </c>
      <c r="AQ22" s="58"/>
      <c r="AR22" s="65" t="str">
        <f t="shared" si="70"/>
        <v/>
      </c>
      <c r="AS22" s="58"/>
      <c r="AT22" s="65" t="str">
        <f t="shared" si="71"/>
        <v/>
      </c>
      <c r="AU22" s="58"/>
      <c r="AV22" s="65" t="str">
        <f t="shared" si="72"/>
        <v/>
      </c>
      <c r="AW22" s="58"/>
      <c r="AX22" s="65" t="str">
        <f t="shared" si="73"/>
        <v/>
      </c>
      <c r="AY22" s="58"/>
      <c r="AZ22" s="65" t="str">
        <f t="shared" si="74"/>
        <v/>
      </c>
      <c r="BA22" s="58"/>
      <c r="BB22" s="65" t="str">
        <f t="shared" si="75"/>
        <v/>
      </c>
      <c r="BC22" s="58"/>
      <c r="BD22" s="65" t="str">
        <f t="shared" si="76"/>
        <v/>
      </c>
      <c r="BE22" s="59"/>
      <c r="BF22" s="67" t="str">
        <f t="shared" si="77"/>
        <v/>
      </c>
      <c r="BG22" s="60"/>
      <c r="BH22" s="65" t="str">
        <f t="shared" si="78"/>
        <v/>
      </c>
      <c r="BI22" s="60"/>
      <c r="BJ22" s="65" t="str">
        <f t="shared" si="79"/>
        <v/>
      </c>
      <c r="BK22" s="60"/>
      <c r="BL22" s="65" t="str">
        <f t="shared" si="80"/>
        <v/>
      </c>
      <c r="BM22" s="60"/>
      <c r="BN22" s="65" t="str">
        <f t="shared" si="81"/>
        <v/>
      </c>
      <c r="BO22" s="60"/>
      <c r="BP22" s="65" t="str">
        <f t="shared" si="82"/>
        <v/>
      </c>
      <c r="BQ22" s="60"/>
      <c r="BR22" s="65" t="str">
        <f t="shared" si="83"/>
        <v/>
      </c>
      <c r="BS22" s="60"/>
      <c r="BT22" s="65" t="str">
        <f t="shared" si="84"/>
        <v/>
      </c>
      <c r="BU22" s="60"/>
      <c r="BV22" s="65" t="str">
        <f t="shared" si="85"/>
        <v/>
      </c>
      <c r="BW22" s="60"/>
      <c r="BX22" s="65" t="str">
        <f t="shared" si="86"/>
        <v/>
      </c>
      <c r="BY22" s="60"/>
      <c r="BZ22" s="67" t="str">
        <f t="shared" si="87"/>
        <v/>
      </c>
      <c r="CA22" s="60"/>
      <c r="CB22" s="67" t="str">
        <f t="shared" si="88"/>
        <v/>
      </c>
      <c r="CC22" s="60"/>
      <c r="CD22" s="67" t="str">
        <f t="shared" si="89"/>
        <v/>
      </c>
      <c r="CE22" s="60"/>
      <c r="CF22" s="67" t="str">
        <f t="shared" si="90"/>
        <v/>
      </c>
      <c r="CG22" s="60"/>
      <c r="CH22" s="67" t="str">
        <f t="shared" si="91"/>
        <v/>
      </c>
      <c r="CI22" s="60"/>
      <c r="CJ22" s="67" t="str">
        <f t="shared" si="92"/>
        <v/>
      </c>
      <c r="CK22" s="60"/>
      <c r="CL22" s="64" t="str">
        <f t="shared" si="93"/>
        <v/>
      </c>
      <c r="CM22" s="65" t="e">
        <f t="shared" si="94"/>
        <v>#VALUE!</v>
      </c>
      <c r="CN22" s="62"/>
      <c r="CO22" s="62"/>
      <c r="CP22" s="68"/>
      <c r="CQ22" s="67" t="str">
        <f t="shared" si="95"/>
        <v/>
      </c>
      <c r="CR22" s="68"/>
      <c r="CS22" s="67" t="str">
        <f t="shared" si="96"/>
        <v/>
      </c>
      <c r="CT22" s="75"/>
      <c r="CU22" s="67" t="str">
        <f t="shared" si="97"/>
        <v/>
      </c>
      <c r="CV22" s="68"/>
      <c r="CW22" s="67" t="str">
        <f t="shared" si="98"/>
        <v/>
      </c>
      <c r="CX22" s="58"/>
      <c r="CY22" s="67" t="str">
        <f t="shared" si="99"/>
        <v/>
      </c>
    </row>
    <row r="23" spans="1:103" ht="25.5" customHeight="1" thickBot="1" x14ac:dyDescent="0.45">
      <c r="A23" s="63">
        <v>44824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44825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44826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44827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44828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44829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44830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44831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44832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44833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44834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44835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13" zoomScaleNormal="100" workbookViewId="0">
      <selection activeCell="C25" sqref="C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44804</v>
      </c>
      <c r="B7" s="40">
        <v>0</v>
      </c>
      <c r="C7" s="40">
        <v>16</v>
      </c>
      <c r="D7" s="40">
        <v>37</v>
      </c>
      <c r="E7" s="41">
        <v>80</v>
      </c>
      <c r="F7" s="41">
        <v>6834</v>
      </c>
      <c r="G7" s="41">
        <v>75</v>
      </c>
      <c r="H7" s="41">
        <v>939</v>
      </c>
      <c r="I7" s="41">
        <v>80</v>
      </c>
      <c r="J7" s="41">
        <v>2212</v>
      </c>
      <c r="K7" s="42">
        <v>83</v>
      </c>
      <c r="L7" s="42">
        <v>80</v>
      </c>
      <c r="M7" s="42">
        <v>1901</v>
      </c>
      <c r="N7" s="39">
        <v>0</v>
      </c>
      <c r="O7" s="39">
        <v>72</v>
      </c>
      <c r="P7" s="39">
        <v>80</v>
      </c>
      <c r="Q7" s="39">
        <v>5362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44805</v>
      </c>
      <c r="B8" s="40">
        <v>0</v>
      </c>
      <c r="C8" s="40">
        <v>16</v>
      </c>
      <c r="D8" s="40">
        <v>37</v>
      </c>
      <c r="E8" s="41">
        <v>80</v>
      </c>
      <c r="F8" s="41">
        <v>6834</v>
      </c>
      <c r="G8" s="41">
        <v>60</v>
      </c>
      <c r="H8" s="41">
        <v>940</v>
      </c>
      <c r="I8" s="41">
        <v>80</v>
      </c>
      <c r="J8" s="41">
        <v>2212</v>
      </c>
      <c r="K8" s="42">
        <v>83</v>
      </c>
      <c r="L8" s="42">
        <v>80</v>
      </c>
      <c r="M8" s="42">
        <v>1901</v>
      </c>
      <c r="N8" s="39">
        <v>0</v>
      </c>
      <c r="O8" s="39">
        <v>68</v>
      </c>
      <c r="P8" s="39">
        <v>80</v>
      </c>
      <c r="Q8" s="39">
        <v>5367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44806</v>
      </c>
      <c r="B9" s="40">
        <v>0</v>
      </c>
      <c r="C9" s="40">
        <v>15</v>
      </c>
      <c r="D9" s="40">
        <v>29</v>
      </c>
      <c r="E9" s="41">
        <v>80</v>
      </c>
      <c r="F9" s="41">
        <v>6834</v>
      </c>
      <c r="G9" s="41">
        <v>50</v>
      </c>
      <c r="H9" s="41">
        <v>942</v>
      </c>
      <c r="I9" s="41">
        <v>80</v>
      </c>
      <c r="J9" s="41">
        <v>2212</v>
      </c>
      <c r="K9" s="42">
        <v>83</v>
      </c>
      <c r="L9" s="42">
        <v>78</v>
      </c>
      <c r="M9" s="42">
        <v>1903</v>
      </c>
      <c r="N9" s="39">
        <v>0</v>
      </c>
      <c r="O9" s="39">
        <v>64</v>
      </c>
      <c r="P9" s="39">
        <v>80</v>
      </c>
      <c r="Q9" s="39">
        <v>5369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44807</v>
      </c>
      <c r="B10" s="40">
        <v>0</v>
      </c>
      <c r="C10" s="40">
        <v>11</v>
      </c>
      <c r="D10" s="40">
        <v>22</v>
      </c>
      <c r="E10" s="41">
        <v>80</v>
      </c>
      <c r="F10" s="41">
        <v>6834</v>
      </c>
      <c r="G10" s="41">
        <v>35</v>
      </c>
      <c r="H10" s="41">
        <v>946</v>
      </c>
      <c r="I10" s="41">
        <v>80</v>
      </c>
      <c r="J10" s="41">
        <v>2212</v>
      </c>
      <c r="K10" s="42">
        <v>83</v>
      </c>
      <c r="L10" s="42">
        <v>75</v>
      </c>
      <c r="M10" s="42">
        <v>1904</v>
      </c>
      <c r="N10" s="39">
        <v>0</v>
      </c>
      <c r="O10" s="39">
        <v>55</v>
      </c>
      <c r="P10" s="39">
        <v>80</v>
      </c>
      <c r="Q10" s="39">
        <v>5373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44808</v>
      </c>
      <c r="B11" s="40">
        <v>0</v>
      </c>
      <c r="C11" s="40">
        <v>11</v>
      </c>
      <c r="D11" s="40">
        <v>25</v>
      </c>
      <c r="E11" s="41">
        <v>80</v>
      </c>
      <c r="F11" s="41">
        <v>6834</v>
      </c>
      <c r="G11" s="41">
        <v>25</v>
      </c>
      <c r="H11" s="41">
        <v>948</v>
      </c>
      <c r="I11" s="41">
        <v>80</v>
      </c>
      <c r="J11" s="41">
        <v>2212</v>
      </c>
      <c r="K11" s="42">
        <v>82</v>
      </c>
      <c r="L11" s="42">
        <v>75</v>
      </c>
      <c r="M11" s="42">
        <v>1904</v>
      </c>
      <c r="N11" s="39">
        <v>0</v>
      </c>
      <c r="O11" s="39">
        <v>50</v>
      </c>
      <c r="P11" s="39">
        <v>80</v>
      </c>
      <c r="Q11" s="39">
        <v>5376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44809</v>
      </c>
      <c r="B12" s="40">
        <v>0</v>
      </c>
      <c r="C12" s="40">
        <v>15</v>
      </c>
      <c r="D12" s="40">
        <v>35</v>
      </c>
      <c r="E12" s="41">
        <v>80</v>
      </c>
      <c r="F12" s="41">
        <v>6834</v>
      </c>
      <c r="G12" s="41">
        <v>18</v>
      </c>
      <c r="H12" s="41">
        <v>950</v>
      </c>
      <c r="I12" s="41">
        <v>80</v>
      </c>
      <c r="J12" s="41">
        <v>2212</v>
      </c>
      <c r="K12" s="42">
        <v>82</v>
      </c>
      <c r="L12" s="42">
        <v>70</v>
      </c>
      <c r="M12" s="42">
        <v>1906</v>
      </c>
      <c r="N12" s="39">
        <v>0</v>
      </c>
      <c r="O12" s="39">
        <v>50</v>
      </c>
      <c r="P12" s="39">
        <v>80</v>
      </c>
      <c r="Q12" s="39">
        <v>5379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44810</v>
      </c>
      <c r="B13" s="40">
        <v>0</v>
      </c>
      <c r="C13" s="40">
        <v>15</v>
      </c>
      <c r="D13" s="40">
        <v>35</v>
      </c>
      <c r="E13" s="41">
        <v>80</v>
      </c>
      <c r="F13" s="41">
        <v>6834</v>
      </c>
      <c r="G13" s="41">
        <v>9</v>
      </c>
      <c r="H13" s="41">
        <v>951</v>
      </c>
      <c r="I13" s="41">
        <v>80</v>
      </c>
      <c r="J13" s="41">
        <v>2212</v>
      </c>
      <c r="K13" s="42">
        <v>82</v>
      </c>
      <c r="L13" s="42">
        <v>70</v>
      </c>
      <c r="M13" s="42">
        <v>1906</v>
      </c>
      <c r="N13" s="39">
        <v>0</v>
      </c>
      <c r="O13" s="39">
        <v>45</v>
      </c>
      <c r="P13" s="39">
        <v>80</v>
      </c>
      <c r="Q13" s="39">
        <v>5382</v>
      </c>
      <c r="R13" s="77">
        <v>60</v>
      </c>
      <c r="S13" s="77">
        <v>232</v>
      </c>
      <c r="T13">
        <f t="shared" si="1"/>
        <v>1</v>
      </c>
    </row>
    <row r="14" spans="1:20" ht="17.25" customHeight="1" x14ac:dyDescent="0.25">
      <c r="A14" s="73">
        <v>44811</v>
      </c>
      <c r="B14" s="40">
        <v>0</v>
      </c>
      <c r="C14" s="40">
        <v>15</v>
      </c>
      <c r="D14" s="40">
        <v>35</v>
      </c>
      <c r="E14" s="41">
        <v>80</v>
      </c>
      <c r="F14" s="41">
        <v>6834</v>
      </c>
      <c r="G14" s="41">
        <v>0</v>
      </c>
      <c r="H14" s="41">
        <v>954</v>
      </c>
      <c r="I14" s="41">
        <v>80</v>
      </c>
      <c r="J14" s="41">
        <v>2212</v>
      </c>
      <c r="K14" s="42">
        <v>82</v>
      </c>
      <c r="L14" s="42">
        <v>70</v>
      </c>
      <c r="M14" s="42">
        <v>1908</v>
      </c>
      <c r="N14" s="39">
        <v>0</v>
      </c>
      <c r="O14" s="39">
        <v>40</v>
      </c>
      <c r="P14" s="39">
        <v>80</v>
      </c>
      <c r="Q14" s="39">
        <v>5385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44812</v>
      </c>
      <c r="B15" s="40">
        <v>0</v>
      </c>
      <c r="C15" s="40">
        <v>12</v>
      </c>
      <c r="D15" s="40">
        <v>25</v>
      </c>
      <c r="E15" s="41">
        <v>80</v>
      </c>
      <c r="F15" s="41">
        <v>6834</v>
      </c>
      <c r="G15" s="41">
        <v>0</v>
      </c>
      <c r="H15" s="41">
        <v>956</v>
      </c>
      <c r="I15" s="41">
        <v>70</v>
      </c>
      <c r="J15" s="41">
        <v>2212</v>
      </c>
      <c r="K15" s="42">
        <v>82</v>
      </c>
      <c r="L15" s="42">
        <v>70</v>
      </c>
      <c r="M15" s="42">
        <v>1908</v>
      </c>
      <c r="N15" s="39">
        <v>0</v>
      </c>
      <c r="O15" s="39">
        <v>40</v>
      </c>
      <c r="P15" s="39">
        <v>80</v>
      </c>
      <c r="Q15" s="39">
        <v>5388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44813</v>
      </c>
      <c r="B16" s="40">
        <v>0</v>
      </c>
      <c r="C16" s="40">
        <v>12</v>
      </c>
      <c r="D16" s="40">
        <v>25</v>
      </c>
      <c r="E16" s="41">
        <v>80</v>
      </c>
      <c r="F16" s="41">
        <v>6834</v>
      </c>
      <c r="G16" s="41">
        <v>0</v>
      </c>
      <c r="H16" s="41">
        <v>958</v>
      </c>
      <c r="I16" s="41">
        <v>60</v>
      </c>
      <c r="J16" s="41">
        <v>2212</v>
      </c>
      <c r="K16" s="42">
        <v>82</v>
      </c>
      <c r="L16" s="42">
        <v>70</v>
      </c>
      <c r="M16" s="42">
        <v>1909</v>
      </c>
      <c r="N16" s="39">
        <v>0</v>
      </c>
      <c r="O16" s="39">
        <v>36</v>
      </c>
      <c r="P16" s="39">
        <v>80</v>
      </c>
      <c r="Q16" s="39">
        <v>5391</v>
      </c>
      <c r="R16" s="77">
        <v>60</v>
      </c>
      <c r="S16" s="77">
        <v>232</v>
      </c>
      <c r="T16">
        <f t="shared" si="1"/>
        <v>0</v>
      </c>
    </row>
    <row r="17" spans="1:20" x14ac:dyDescent="0.25">
      <c r="A17" s="73">
        <v>44814</v>
      </c>
      <c r="B17" s="40">
        <v>0</v>
      </c>
      <c r="C17" s="40">
        <v>12</v>
      </c>
      <c r="D17" s="40">
        <v>25</v>
      </c>
      <c r="E17" s="41">
        <v>80</v>
      </c>
      <c r="F17" s="41">
        <v>6834</v>
      </c>
      <c r="G17" s="41">
        <v>0</v>
      </c>
      <c r="H17" s="41">
        <v>960</v>
      </c>
      <c r="I17" s="41">
        <v>48</v>
      </c>
      <c r="J17" s="41">
        <v>2212</v>
      </c>
      <c r="K17" s="42">
        <v>82</v>
      </c>
      <c r="L17" s="42">
        <v>70</v>
      </c>
      <c r="M17" s="42">
        <v>1911</v>
      </c>
      <c r="N17" s="39">
        <v>0</v>
      </c>
      <c r="O17" s="39">
        <v>30</v>
      </c>
      <c r="P17" s="39">
        <v>80</v>
      </c>
      <c r="Q17" s="39">
        <v>5394</v>
      </c>
      <c r="R17" s="77">
        <v>60</v>
      </c>
      <c r="S17" s="77">
        <v>232</v>
      </c>
      <c r="T17">
        <f t="shared" si="1"/>
        <v>0</v>
      </c>
    </row>
    <row r="18" spans="1:20" x14ac:dyDescent="0.25">
      <c r="A18" s="73">
        <v>44815</v>
      </c>
      <c r="B18" s="40">
        <v>0</v>
      </c>
      <c r="C18" s="40">
        <v>12</v>
      </c>
      <c r="D18" s="40">
        <v>26</v>
      </c>
      <c r="E18" s="41">
        <v>80</v>
      </c>
      <c r="F18" s="41">
        <v>6834</v>
      </c>
      <c r="G18" s="41">
        <v>0</v>
      </c>
      <c r="H18" s="41">
        <v>961</v>
      </c>
      <c r="I18" s="41">
        <v>38</v>
      </c>
      <c r="J18" s="41">
        <v>2212</v>
      </c>
      <c r="K18" s="42">
        <v>82</v>
      </c>
      <c r="L18" s="42">
        <v>69</v>
      </c>
      <c r="M18" s="42">
        <v>1911</v>
      </c>
      <c r="N18" s="39">
        <v>0</v>
      </c>
      <c r="O18" s="39">
        <v>29</v>
      </c>
      <c r="P18" s="39">
        <v>80</v>
      </c>
      <c r="Q18" s="39">
        <v>5397</v>
      </c>
      <c r="R18" s="77">
        <v>60</v>
      </c>
      <c r="S18" s="77">
        <v>232</v>
      </c>
      <c r="T18">
        <f t="shared" si="1"/>
        <v>0</v>
      </c>
    </row>
    <row r="19" spans="1:20" x14ac:dyDescent="0.25">
      <c r="A19" s="73">
        <v>44816</v>
      </c>
      <c r="B19" s="40">
        <v>0</v>
      </c>
      <c r="C19" s="40">
        <v>12</v>
      </c>
      <c r="D19" s="40">
        <v>26</v>
      </c>
      <c r="E19" s="41">
        <v>80</v>
      </c>
      <c r="F19" s="41">
        <v>6834</v>
      </c>
      <c r="G19" s="41">
        <v>0</v>
      </c>
      <c r="H19" s="41">
        <v>963</v>
      </c>
      <c r="I19" s="41">
        <v>30</v>
      </c>
      <c r="J19" s="41">
        <v>2212</v>
      </c>
      <c r="K19" s="42">
        <v>82</v>
      </c>
      <c r="L19" s="42">
        <v>65</v>
      </c>
      <c r="M19" s="42">
        <v>1913</v>
      </c>
      <c r="N19" s="39">
        <v>0</v>
      </c>
      <c r="O19" s="39">
        <v>25</v>
      </c>
      <c r="P19" s="39">
        <v>80</v>
      </c>
      <c r="Q19" s="39">
        <v>5400</v>
      </c>
      <c r="R19" s="77">
        <v>60</v>
      </c>
      <c r="S19" s="77">
        <v>232</v>
      </c>
      <c r="T19">
        <f t="shared" si="1"/>
        <v>0</v>
      </c>
    </row>
    <row r="20" spans="1:20" x14ac:dyDescent="0.25">
      <c r="A20" s="73">
        <v>44817</v>
      </c>
      <c r="B20" s="40">
        <v>0</v>
      </c>
      <c r="C20" s="40">
        <v>11</v>
      </c>
      <c r="D20" s="40">
        <v>24</v>
      </c>
      <c r="E20" s="41">
        <v>80</v>
      </c>
      <c r="F20" s="41">
        <v>6834</v>
      </c>
      <c r="G20" s="41">
        <v>0</v>
      </c>
      <c r="H20" s="41">
        <v>965</v>
      </c>
      <c r="I20" s="41">
        <v>17</v>
      </c>
      <c r="J20" s="41">
        <v>2212</v>
      </c>
      <c r="K20" s="42">
        <v>82</v>
      </c>
      <c r="L20" s="42">
        <v>65</v>
      </c>
      <c r="M20" s="42">
        <v>1913</v>
      </c>
      <c r="N20" s="39">
        <v>0</v>
      </c>
      <c r="O20" s="39">
        <v>20</v>
      </c>
      <c r="P20" s="39">
        <v>80</v>
      </c>
      <c r="Q20" s="39">
        <v>5403</v>
      </c>
      <c r="R20" s="77">
        <v>60</v>
      </c>
      <c r="S20" s="77">
        <v>232</v>
      </c>
      <c r="T20">
        <f t="shared" si="1"/>
        <v>0</v>
      </c>
    </row>
    <row r="21" spans="1:20" x14ac:dyDescent="0.25">
      <c r="A21" s="73">
        <v>44818</v>
      </c>
      <c r="B21" s="40">
        <v>0</v>
      </c>
      <c r="C21" s="40">
        <v>13</v>
      </c>
      <c r="D21" s="40">
        <v>25</v>
      </c>
      <c r="E21" s="41">
        <v>80</v>
      </c>
      <c r="F21" s="41">
        <v>6834</v>
      </c>
      <c r="G21" s="41">
        <v>0</v>
      </c>
      <c r="H21" s="41">
        <v>967</v>
      </c>
      <c r="I21" s="41">
        <v>12</v>
      </c>
      <c r="J21" s="41">
        <v>2212</v>
      </c>
      <c r="K21" s="42">
        <v>82</v>
      </c>
      <c r="L21" s="42">
        <v>65</v>
      </c>
      <c r="M21" s="42">
        <v>1913</v>
      </c>
      <c r="N21" s="39">
        <v>0</v>
      </c>
      <c r="O21" s="39">
        <v>20</v>
      </c>
      <c r="P21" s="39">
        <v>80</v>
      </c>
      <c r="Q21" s="39">
        <v>5405</v>
      </c>
      <c r="R21" s="77">
        <v>60</v>
      </c>
      <c r="S21" s="77">
        <v>232</v>
      </c>
      <c r="T21">
        <f t="shared" si="1"/>
        <v>0</v>
      </c>
    </row>
    <row r="22" spans="1:20" x14ac:dyDescent="0.25">
      <c r="A22" s="73">
        <v>44819</v>
      </c>
      <c r="B22" s="40">
        <v>0</v>
      </c>
      <c r="C22" s="40">
        <v>12</v>
      </c>
      <c r="D22" s="40">
        <v>25</v>
      </c>
      <c r="E22" s="41">
        <v>80</v>
      </c>
      <c r="F22" s="41">
        <v>6834</v>
      </c>
      <c r="G22" s="41">
        <v>0</v>
      </c>
      <c r="H22" s="41">
        <v>969</v>
      </c>
      <c r="I22" s="41">
        <v>5</v>
      </c>
      <c r="J22" s="41">
        <v>2212</v>
      </c>
      <c r="K22" s="42">
        <v>82</v>
      </c>
      <c r="L22" s="42">
        <v>65</v>
      </c>
      <c r="M22" s="42">
        <v>1913</v>
      </c>
      <c r="N22" s="39">
        <v>0</v>
      </c>
      <c r="O22" s="39">
        <v>15</v>
      </c>
      <c r="P22" s="39">
        <v>80</v>
      </c>
      <c r="Q22" s="39">
        <v>5409</v>
      </c>
      <c r="R22" s="77">
        <v>60</v>
      </c>
      <c r="S22" s="77">
        <v>232</v>
      </c>
      <c r="T22">
        <f t="shared" si="1"/>
        <v>0</v>
      </c>
    </row>
    <row r="23" spans="1:20" x14ac:dyDescent="0.25">
      <c r="A23" s="73">
        <v>44820</v>
      </c>
      <c r="B23" s="40">
        <v>0</v>
      </c>
      <c r="C23" s="40">
        <v>19</v>
      </c>
      <c r="D23" s="40">
        <v>33</v>
      </c>
      <c r="E23" s="41">
        <v>80</v>
      </c>
      <c r="F23" s="41">
        <v>6834</v>
      </c>
      <c r="G23" s="41">
        <v>0</v>
      </c>
      <c r="H23" s="41">
        <v>971</v>
      </c>
      <c r="I23" s="41">
        <v>0</v>
      </c>
      <c r="J23" s="41">
        <v>2212</v>
      </c>
      <c r="K23" s="42">
        <v>82</v>
      </c>
      <c r="L23" s="42">
        <v>60</v>
      </c>
      <c r="M23" s="42">
        <v>1914</v>
      </c>
      <c r="N23" s="39">
        <v>0</v>
      </c>
      <c r="O23" s="39">
        <v>10</v>
      </c>
      <c r="P23" s="39">
        <v>80</v>
      </c>
      <c r="Q23" s="39">
        <v>5412</v>
      </c>
      <c r="R23" s="77">
        <v>60</v>
      </c>
      <c r="S23" s="77">
        <v>232</v>
      </c>
      <c r="T23">
        <f t="shared" si="1"/>
        <v>0</v>
      </c>
    </row>
    <row r="24" spans="1:20" x14ac:dyDescent="0.25">
      <c r="A24" s="73">
        <v>44821</v>
      </c>
      <c r="B24" s="40">
        <v>0</v>
      </c>
      <c r="C24" s="40">
        <v>24</v>
      </c>
      <c r="D24" s="40">
        <v>47</v>
      </c>
      <c r="E24" s="41">
        <v>70</v>
      </c>
      <c r="F24" s="41">
        <v>6834</v>
      </c>
      <c r="G24" s="41">
        <v>0</v>
      </c>
      <c r="H24" s="41">
        <v>974</v>
      </c>
      <c r="I24" s="41">
        <v>0</v>
      </c>
      <c r="J24" s="41">
        <v>2212</v>
      </c>
      <c r="K24" s="42">
        <v>82</v>
      </c>
      <c r="L24" s="42">
        <v>59</v>
      </c>
      <c r="M24" s="42">
        <v>1914</v>
      </c>
      <c r="N24" s="39">
        <v>0</v>
      </c>
      <c r="O24" s="39">
        <v>10</v>
      </c>
      <c r="P24" s="39">
        <v>80</v>
      </c>
      <c r="Q24" s="39">
        <v>5415</v>
      </c>
      <c r="R24" s="77">
        <v>60</v>
      </c>
      <c r="S24" s="77">
        <v>232</v>
      </c>
      <c r="T24">
        <f t="shared" si="1"/>
        <v>0</v>
      </c>
    </row>
    <row r="25" spans="1:20" x14ac:dyDescent="0.25">
      <c r="A25" s="73">
        <v>44822</v>
      </c>
      <c r="B25" s="40">
        <v>0</v>
      </c>
      <c r="C25" s="40">
        <v>24</v>
      </c>
      <c r="D25" s="40">
        <v>47</v>
      </c>
      <c r="E25" s="41">
        <v>60</v>
      </c>
      <c r="F25" s="41">
        <v>6834</v>
      </c>
      <c r="G25" s="41">
        <v>0</v>
      </c>
      <c r="H25" s="41">
        <v>976</v>
      </c>
      <c r="I25" s="41">
        <v>0</v>
      </c>
      <c r="J25" s="41">
        <v>2212</v>
      </c>
      <c r="K25" s="42">
        <v>82</v>
      </c>
      <c r="L25" s="42">
        <v>55</v>
      </c>
      <c r="M25" s="42">
        <v>1914</v>
      </c>
      <c r="N25" s="39">
        <v>0</v>
      </c>
      <c r="O25" s="39">
        <v>7</v>
      </c>
      <c r="P25" s="39">
        <v>80</v>
      </c>
      <c r="Q25" s="39">
        <v>5419</v>
      </c>
      <c r="R25" s="77">
        <v>60</v>
      </c>
      <c r="S25" s="77">
        <v>232</v>
      </c>
      <c r="T25">
        <f t="shared" si="1"/>
        <v>0</v>
      </c>
    </row>
    <row r="26" spans="1:20" x14ac:dyDescent="0.25">
      <c r="A26" s="73">
        <v>44823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-232</v>
      </c>
    </row>
    <row r="27" spans="1:20" x14ac:dyDescent="0.25">
      <c r="A27" s="73">
        <v>44824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44825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44826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44827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44828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44829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44830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44831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44832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44833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44834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44835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44836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2022-09-19T16:01:03Z</dcterms:modified>
</cp:coreProperties>
</file>