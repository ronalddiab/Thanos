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J33" i="3"/>
  <c r="K4" i="4" l="1"/>
  <c r="Q9" i="1" l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9" i="4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9" i="4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C25" i="1" l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AC32" i="1" l="1"/>
  <c r="Y3" i="1"/>
  <c r="AA4" i="1"/>
  <c r="J3" i="2"/>
  <c r="O14" i="1" l="1"/>
  <c r="G15" i="3"/>
  <c r="G14" i="3"/>
  <c r="I15" i="2"/>
  <c r="I14" i="2"/>
  <c r="U14" i="2"/>
  <c r="O15" i="2"/>
  <c r="O14" i="2"/>
  <c r="O13" i="2"/>
  <c r="M14" i="2"/>
  <c r="M15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1" i="2" s="1"/>
  <c r="R24" i="2" s="1"/>
  <c r="R25" i="2" s="1"/>
  <c r="R26" i="2" s="1"/>
  <c r="R27" i="2" s="1"/>
  <c r="M26" i="2" l="1"/>
  <c r="AA32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4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J14" i="3" l="1"/>
  <c r="K14" i="3" s="1"/>
  <c r="J15" i="3"/>
  <c r="K15" i="3" s="1"/>
  <c r="Z15" i="4"/>
  <c r="X15" i="4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J6" i="3" s="1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J20" i="3" s="1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29" i="3" l="1"/>
  <c r="J9" i="3"/>
  <c r="J7" i="3"/>
  <c r="K7" i="3" s="1"/>
  <c r="E11" i="8"/>
  <c r="J12" i="3"/>
  <c r="K12" i="3" s="1"/>
  <c r="E25" i="8"/>
  <c r="AD25" i="8" s="1"/>
  <c r="J26" i="3"/>
  <c r="E21" i="8"/>
  <c r="AD21" i="8" s="1"/>
  <c r="J22" i="3"/>
  <c r="K22" i="3" s="1"/>
  <c r="E10" i="8"/>
  <c r="J11" i="3"/>
  <c r="K11" i="3" s="1"/>
  <c r="E29" i="8"/>
  <c r="AD29" i="8" s="1"/>
  <c r="E27" i="8"/>
  <c r="J28" i="3"/>
  <c r="K28" i="3" s="1"/>
  <c r="E24" i="8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K29" i="3"/>
  <c r="H28" i="8"/>
  <c r="AD27" i="8"/>
  <c r="K26" i="3"/>
  <c r="AD22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C18" i="3"/>
  <c r="J18" i="3" s="1"/>
  <c r="P28" i="8"/>
  <c r="Z29" i="4"/>
  <c r="Z9" i="8"/>
  <c r="P17" i="8"/>
  <c r="X21" i="4"/>
  <c r="L20" i="8"/>
  <c r="K30" i="3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E18" i="8" l="1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AA13" i="4"/>
  <c r="E17" i="8"/>
  <c r="AD17" i="8" s="1"/>
  <c r="K19" i="2"/>
  <c r="AA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<sst xmlns="http://schemas.openxmlformats.org/spreadsheetml/2006/main" count="439" uniqueCount="147">
  <si>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</si>
  <si>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</si>
  <si>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</si>
  <si>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</si>
  <si>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</si>
  <si>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</si>
  <si>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</si>
  <si>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</si>
  <si>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</si>
  <si>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</si>
  <si>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</si>
  <si>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</si>
  <si>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</si>
  <si>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</si>
  <si>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</si>
  <si>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</si>
  <si>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</si>
  <si>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</si>
  <si>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</si>
  <si>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</si>
  <si>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</si>
  <si>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</si>
  <si>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</si>
  <si>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</si>
  <si>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</si>
  <si>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</si>
  <si>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</si>
  <si>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</si>
  <si>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</si>
  <si>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</si>
  <si>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</si>
  <si>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</si>
  <si>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</si>
  <si>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</si>
  <si>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</si>
  <si>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</si>
  <si>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</si>
  <si>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</si>
  <si>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</si>
  <si>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</si>
  <si>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</si>
  <si>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</si>
  <si>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</si>
  <si>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</si>
  <si>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</si>
  <si>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</si>
  <si>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</si>
  <si>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</si>
  <si>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</si>
  <si>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</si>
  <si>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</si>
  <si>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</si>
  <si>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</si>
  <si>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</si>
  <si>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</si>
  <si>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</si>
  <si>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</si>
  <si>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</si>
  <si>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</si>
  <si>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</si>
  <si>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</si>
  <si>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</si>
  <si>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</si>
  <si>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</si>
  <si>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</si>
  <si>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</si>
  <si>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</si>
  <si>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</si>
  <si>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</si>
  <si>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</si>
  <si>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</si>
  <si>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</si>
  <si>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</si>
  <si>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</si>
  <si>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</si>
  <si>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</si>
  <si>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</si>
  <si>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</si>
  <si>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</si>
  <si>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</si>
  <si>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</si>
  <si>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</si>
  <si>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</si>
  <si>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</si>
  <si>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</si>
  <si>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</si>
  <si>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</si>
  <si>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</si>
  <si>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</si>
  <si>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</si>
  <si>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</si>
  <si>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</si>
  <si>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</si>
  <si>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</si>
  <si>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</si>
  <si>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</si>
  <si>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</si>
  <si>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</si>
  <si>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</si>
  <si>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</si>
  <si>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</si>
  <si>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</si>
  <si>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</si>
  <si>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</si>
  <si>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</si>
  <si>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</si>
  <si>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</si>
  <si>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</si>
  <si>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</si>
  <si>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</si>
  <si>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</si>
  <si>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</si>
  <si>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</si>
  <si>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</si>
  <si>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</si>
  <si>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</si>
  <si>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</si>
  <si>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</si>
  <si>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</si>
  <si>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</si>
  <si>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</si>
  <si>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</si>
  <si>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</si>
  <si>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</si>
  <si>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</si>
  <si>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</si>
  <si>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</si>
  <si>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</si>
  <si>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</si>
  <si>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</si>
  <si>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</si>
  <si>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</si>
  <si>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</si>
  <si>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</si>
  <si>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</si>
  <si>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</si>
  <si>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</si>
  <si>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</si>
  <si>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</si>
  <si>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</si>
  <si>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</si>
  <si>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</si>
  <si>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</si>
  <si>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</si>
  <si>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</si>
  <si>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</si>
  <si>
    <t>Acutal till Octobar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</si>
</sst>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3" xfId="0" applyFill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J8" sqref="J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f t="shared" ref="B8:B32" si="12">B8</f>
        <v>46164</v>
      </c>
      <c r="C9" s="16">
        <f t="shared" si="1"/>
        <v>0</v>
      </c>
      <c r="D9" s="37">
        <f t="shared" ref="D8:D32" si="13">D8</f>
        <v>40008</v>
      </c>
      <c r="E9" s="16">
        <f t="shared" si="2"/>
        <v>0</v>
      </c>
      <c r="F9" s="37">
        <f t="shared" ref="F8:F32" si="14">F8</f>
        <v>20972</v>
      </c>
      <c r="G9" s="16">
        <f t="shared" si="3"/>
        <v>0</v>
      </c>
      <c r="H9" s="37">
        <f t="shared" ref="H8:H32" si="15">H8</f>
        <v>251310</v>
      </c>
      <c r="I9" s="16">
        <f t="shared" si="4"/>
        <v>0</v>
      </c>
      <c r="J9" s="37">
        <v>303517</v>
      </c>
      <c r="K9" s="16">
        <f t="shared" si="5"/>
        <v>0</v>
      </c>
      <c r="L9" s="37">
        <f t="shared" ref="L8:L32" si="16">L8</f>
        <v>25560</v>
      </c>
      <c r="M9" s="16">
        <f t="shared" si="6"/>
        <v>0</v>
      </c>
      <c r="N9" s="37">
        <f t="shared" ref="N8:N32" si="17">N8</f>
        <v>216044</v>
      </c>
      <c r="O9" s="16">
        <f t="shared" si="7"/>
        <v>0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f t="shared" ref="T8:T32" si="18">T8</f>
        <v>3827</v>
      </c>
      <c r="U9" s="16">
        <f t="shared" si="10"/>
        <v>0</v>
      </c>
    </row>
    <row r="10" spans="1:24" ht="13.5" thickBot="1" x14ac:dyDescent="0.25">
      <c r="A10" s="10">
        <v>44508</v>
      </c>
      <c r="B10" s="37">
        <f t="shared" si="12"/>
        <v>46164</v>
      </c>
      <c r="C10" s="16">
        <f t="shared" si="1"/>
        <v>0</v>
      </c>
      <c r="D10" s="37">
        <f t="shared" si="13"/>
        <v>40008</v>
      </c>
      <c r="E10" s="16">
        <f t="shared" si="2"/>
        <v>0</v>
      </c>
      <c r="F10" s="37">
        <f t="shared" si="14"/>
        <v>20972</v>
      </c>
      <c r="G10" s="16">
        <f t="shared" si="3"/>
        <v>0</v>
      </c>
      <c r="H10" s="37">
        <f t="shared" si="15"/>
        <v>251310</v>
      </c>
      <c r="I10" s="16">
        <f t="shared" si="4"/>
        <v>0</v>
      </c>
      <c r="J10" s="37">
        <v>303517</v>
      </c>
      <c r="K10" s="16">
        <f t="shared" si="5"/>
        <v>0</v>
      </c>
      <c r="L10" s="37">
        <f t="shared" si="16"/>
        <v>25560</v>
      </c>
      <c r="M10" s="16">
        <f t="shared" si="6"/>
        <v>0</v>
      </c>
      <c r="N10" s="37">
        <f t="shared" si="17"/>
        <v>216044</v>
      </c>
      <c r="O10" s="16">
        <f t="shared" si="7"/>
        <v>0</v>
      </c>
      <c r="P10" s="37">
        <f t="shared" si="11"/>
        <v>129401</v>
      </c>
      <c r="Q10" s="16">
        <f>P10-P9</f>
        <v>0</v>
      </c>
      <c r="R10" s="1">
        <v>55047</v>
      </c>
      <c r="S10" s="16">
        <f>R10-R9</f>
        <v>0</v>
      </c>
      <c r="T10" s="37">
        <f t="shared" si="18"/>
        <v>3827</v>
      </c>
      <c r="U10" s="16">
        <f t="shared" si="10"/>
        <v>0</v>
      </c>
    </row>
    <row r="11" spans="1:24" ht="13.5" thickBot="1" x14ac:dyDescent="0.25">
      <c r="A11" s="10">
        <v>44509</v>
      </c>
      <c r="B11" s="37">
        <f t="shared" si="12"/>
        <v>46164</v>
      </c>
      <c r="C11" s="16">
        <f t="shared" si="1"/>
        <v>0</v>
      </c>
      <c r="D11" s="37">
        <f t="shared" si="13"/>
        <v>40008</v>
      </c>
      <c r="E11" s="16">
        <f t="shared" si="2"/>
        <v>0</v>
      </c>
      <c r="F11" s="37">
        <f t="shared" si="14"/>
        <v>20972</v>
      </c>
      <c r="G11" s="16">
        <f t="shared" si="3"/>
        <v>0</v>
      </c>
      <c r="H11" s="37">
        <f t="shared" si="15"/>
        <v>251310</v>
      </c>
      <c r="I11" s="16">
        <f t="shared" si="4"/>
        <v>0</v>
      </c>
      <c r="J11" s="37">
        <v>303517</v>
      </c>
      <c r="K11" s="16">
        <f t="shared" si="5"/>
        <v>0</v>
      </c>
      <c r="L11" s="37">
        <f t="shared" si="16"/>
        <v>25560</v>
      </c>
      <c r="M11" s="16">
        <f t="shared" si="6"/>
        <v>0</v>
      </c>
      <c r="N11" s="37">
        <f t="shared" si="17"/>
        <v>216044</v>
      </c>
      <c r="O11" s="16">
        <f t="shared" si="7"/>
        <v>0</v>
      </c>
      <c r="P11" s="37">
        <f t="shared" si="11"/>
        <v>129401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si="18"/>
        <v>3827</v>
      </c>
      <c r="U11" s="16">
        <f t="shared" si="10"/>
        <v>0</v>
      </c>
    </row>
    <row r="12" spans="1:24" ht="13.5" thickBot="1" x14ac:dyDescent="0.25">
      <c r="A12" s="10">
        <v>44510</v>
      </c>
      <c r="B12" s="37">
        <f t="shared" si="12"/>
        <v>46164</v>
      </c>
      <c r="C12" s="16">
        <f t="shared" si="1"/>
        <v>0</v>
      </c>
      <c r="D12" s="37">
        <f t="shared" si="13"/>
        <v>40008</v>
      </c>
      <c r="E12" s="16">
        <f t="shared" si="2"/>
        <v>0</v>
      </c>
      <c r="F12" s="37">
        <f t="shared" si="14"/>
        <v>20972</v>
      </c>
      <c r="G12" s="16">
        <f t="shared" si="3"/>
        <v>0</v>
      </c>
      <c r="H12" s="37">
        <f t="shared" si="15"/>
        <v>251310</v>
      </c>
      <c r="I12" s="16">
        <f t="shared" si="4"/>
        <v>0</v>
      </c>
      <c r="J12" s="37">
        <v>303517</v>
      </c>
      <c r="K12" s="16">
        <f t="shared" si="5"/>
        <v>0</v>
      </c>
      <c r="L12" s="37">
        <f t="shared" si="16"/>
        <v>25560</v>
      </c>
      <c r="M12" s="16">
        <f t="shared" si="6"/>
        <v>0</v>
      </c>
      <c r="N12" s="37">
        <f t="shared" si="17"/>
        <v>216044</v>
      </c>
      <c r="O12" s="16">
        <f t="shared" si="7"/>
        <v>0</v>
      </c>
      <c r="P12" s="37">
        <f t="shared" si="11"/>
        <v>129401</v>
      </c>
      <c r="Q12" s="16">
        <f t="shared" si="8"/>
        <v>0</v>
      </c>
      <c r="R12" s="1">
        <v>55047</v>
      </c>
      <c r="S12" s="16">
        <f t="shared" si="9"/>
        <v>0</v>
      </c>
      <c r="T12" s="37">
        <f t="shared" si="18"/>
        <v>3827</v>
      </c>
      <c r="U12" s="16">
        <f t="shared" si="10"/>
        <v>0</v>
      </c>
    </row>
    <row r="13" spans="1:24" ht="13.5" thickBot="1" x14ac:dyDescent="0.25">
      <c r="A13" s="10">
        <v>44511</v>
      </c>
      <c r="B13" s="37">
        <f t="shared" si="12"/>
        <v>46164</v>
      </c>
      <c r="C13" s="16">
        <f t="shared" si="1"/>
        <v>0</v>
      </c>
      <c r="D13" s="37">
        <f t="shared" si="13"/>
        <v>40008</v>
      </c>
      <c r="E13" s="16">
        <f t="shared" si="2"/>
        <v>0</v>
      </c>
      <c r="F13" s="37">
        <f t="shared" si="14"/>
        <v>20972</v>
      </c>
      <c r="G13" s="16">
        <f t="shared" si="3"/>
        <v>0</v>
      </c>
      <c r="H13" s="37">
        <f t="shared" si="15"/>
        <v>251310</v>
      </c>
      <c r="I13" s="16">
        <f t="shared" si="4"/>
        <v>0</v>
      </c>
      <c r="J13" s="37">
        <v>303517</v>
      </c>
      <c r="K13" s="16">
        <f t="shared" si="5"/>
        <v>0</v>
      </c>
      <c r="L13" s="37">
        <f t="shared" si="16"/>
        <v>25560</v>
      </c>
      <c r="M13" s="16">
        <f t="shared" si="6"/>
        <v>0</v>
      </c>
      <c r="N13" s="37">
        <f t="shared" si="17"/>
        <v>216044</v>
      </c>
      <c r="O13" s="16">
        <f t="shared" si="7"/>
        <v>0</v>
      </c>
      <c r="P13" s="37">
        <f t="shared" si="11"/>
        <v>129401</v>
      </c>
      <c r="Q13" s="16">
        <f t="shared" si="8"/>
        <v>0</v>
      </c>
      <c r="R13" s="1">
        <v>55047</v>
      </c>
      <c r="S13" s="16">
        <f t="shared" si="9"/>
        <v>0</v>
      </c>
      <c r="T13" s="37">
        <f t="shared" si="18"/>
        <v>3827</v>
      </c>
      <c r="U13" s="16">
        <f t="shared" si="10"/>
        <v>0</v>
      </c>
    </row>
    <row r="14" spans="1:24" ht="13.5" thickBot="1" x14ac:dyDescent="0.25">
      <c r="A14" s="10">
        <v>44512</v>
      </c>
      <c r="B14" s="37">
        <f t="shared" si="12"/>
        <v>46164</v>
      </c>
      <c r="C14" s="16">
        <f t="shared" si="1"/>
        <v>0</v>
      </c>
      <c r="D14" s="37">
        <f t="shared" si="13"/>
        <v>40008</v>
      </c>
      <c r="E14" s="16">
        <f t="shared" si="2"/>
        <v>0</v>
      </c>
      <c r="F14" s="37">
        <f t="shared" si="14"/>
        <v>20972</v>
      </c>
      <c r="G14" s="16">
        <f t="shared" si="3"/>
        <v>0</v>
      </c>
      <c r="H14" s="37">
        <f t="shared" si="15"/>
        <v>251310</v>
      </c>
      <c r="I14" s="16">
        <f t="shared" si="4"/>
        <v>0</v>
      </c>
      <c r="J14" s="37">
        <v>303517</v>
      </c>
      <c r="K14" s="16">
        <v>0</v>
      </c>
      <c r="L14" s="37">
        <f t="shared" si="16"/>
        <v>25560</v>
      </c>
      <c r="M14" s="16">
        <f t="shared" si="6"/>
        <v>0</v>
      </c>
      <c r="N14" s="37">
        <f t="shared" si="17"/>
        <v>216044</v>
      </c>
      <c r="O14" s="16">
        <f t="shared" si="7"/>
        <v>0</v>
      </c>
      <c r="P14" s="37">
        <f t="shared" si="11"/>
        <v>129401</v>
      </c>
      <c r="Q14" s="16">
        <f t="shared" si="8"/>
        <v>0</v>
      </c>
      <c r="R14" s="1">
        <f t="shared" ref="R14:R27" si="19">R13</f>
        <v>55047</v>
      </c>
      <c r="S14" s="16">
        <v>0</v>
      </c>
      <c r="T14" s="37">
        <f t="shared" si="18"/>
        <v>3827</v>
      </c>
      <c r="U14" s="16">
        <f t="shared" si="10"/>
        <v>0</v>
      </c>
    </row>
    <row r="15" spans="1:24" ht="13.5" thickBot="1" x14ac:dyDescent="0.25">
      <c r="A15" s="10">
        <v>44513</v>
      </c>
      <c r="B15" s="37">
        <f t="shared" si="12"/>
        <v>46164</v>
      </c>
      <c r="C15" s="16">
        <f t="shared" si="1"/>
        <v>0</v>
      </c>
      <c r="D15" s="37">
        <f t="shared" si="13"/>
        <v>40008</v>
      </c>
      <c r="E15" s="16">
        <f t="shared" si="2"/>
        <v>0</v>
      </c>
      <c r="F15" s="37">
        <f t="shared" si="14"/>
        <v>20972</v>
      </c>
      <c r="G15" s="16">
        <f t="shared" si="3"/>
        <v>0</v>
      </c>
      <c r="H15" s="37">
        <f t="shared" si="15"/>
        <v>251310</v>
      </c>
      <c r="I15" s="16">
        <f t="shared" si="4"/>
        <v>0</v>
      </c>
      <c r="J15" s="37">
        <v>303517</v>
      </c>
      <c r="K15" s="16">
        <f t="shared" si="5"/>
        <v>0</v>
      </c>
      <c r="L15" s="37">
        <f t="shared" si="16"/>
        <v>25560</v>
      </c>
      <c r="M15" s="16">
        <f t="shared" si="6"/>
        <v>0</v>
      </c>
      <c r="N15" s="37">
        <f t="shared" si="17"/>
        <v>216044</v>
      </c>
      <c r="O15" s="16">
        <f t="shared" si="7"/>
        <v>0</v>
      </c>
      <c r="P15" s="37">
        <f t="shared" si="11"/>
        <v>129401</v>
      </c>
      <c r="Q15" s="16">
        <f t="shared" si="8"/>
        <v>0</v>
      </c>
      <c r="R15" s="1">
        <v>55047</v>
      </c>
      <c r="S15" s="16">
        <f t="shared" si="9"/>
        <v>0</v>
      </c>
      <c r="T15" s="37">
        <f t="shared" si="18"/>
        <v>3827</v>
      </c>
      <c r="U15" s="16">
        <f>(T15-T14)*800/5</f>
        <v>0</v>
      </c>
      <c r="X15" t="s">
        <v>12</v>
      </c>
    </row>
    <row r="16" spans="1:24" ht="13.5" thickBot="1" x14ac:dyDescent="0.25">
      <c r="A16" s="10">
        <v>44514</v>
      </c>
      <c r="B16" s="37">
        <f t="shared" si="12"/>
        <v>46164</v>
      </c>
      <c r="C16" s="16">
        <f t="shared" si="1"/>
        <v>0</v>
      </c>
      <c r="D16" s="37">
        <f t="shared" si="13"/>
        <v>40008</v>
      </c>
      <c r="E16" s="16">
        <f t="shared" si="2"/>
        <v>0</v>
      </c>
      <c r="F16" s="37">
        <f t="shared" si="14"/>
        <v>20972</v>
      </c>
      <c r="G16" s="16">
        <f t="shared" si="3"/>
        <v>0</v>
      </c>
      <c r="H16" s="37">
        <f t="shared" si="15"/>
        <v>251310</v>
      </c>
      <c r="I16" s="16">
        <f t="shared" si="4"/>
        <v>0</v>
      </c>
      <c r="J16" s="37">
        <v>303517</v>
      </c>
      <c r="K16" s="16">
        <f t="shared" si="5"/>
        <v>0</v>
      </c>
      <c r="L16" s="37">
        <f t="shared" si="16"/>
        <v>25560</v>
      </c>
      <c r="M16" s="16">
        <f t="shared" si="6"/>
        <v>0</v>
      </c>
      <c r="N16" s="37">
        <f t="shared" si="17"/>
        <v>216044</v>
      </c>
      <c r="O16" s="16">
        <f t="shared" si="7"/>
        <v>0</v>
      </c>
      <c r="P16" s="37">
        <f t="shared" si="11"/>
        <v>129401</v>
      </c>
      <c r="Q16" s="16">
        <f t="shared" si="8"/>
        <v>0</v>
      </c>
      <c r="R16" s="1">
        <v>55047</v>
      </c>
      <c r="S16" s="16">
        <f t="shared" si="9"/>
        <v>0</v>
      </c>
      <c r="T16" s="37">
        <f t="shared" si="18"/>
        <v>3827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44515</v>
      </c>
      <c r="B17" s="37">
        <f t="shared" si="12"/>
        <v>46164</v>
      </c>
      <c r="C17" s="16">
        <f t="shared" si="1"/>
        <v>0</v>
      </c>
      <c r="D17" s="37">
        <f t="shared" si="13"/>
        <v>40008</v>
      </c>
      <c r="E17" s="16">
        <f t="shared" si="2"/>
        <v>0</v>
      </c>
      <c r="F17" s="37">
        <f t="shared" si="14"/>
        <v>20972</v>
      </c>
      <c r="G17" s="16">
        <f t="shared" si="3"/>
        <v>0</v>
      </c>
      <c r="H17" s="37">
        <f t="shared" si="15"/>
        <v>251310</v>
      </c>
      <c r="I17" s="16">
        <f t="shared" si="4"/>
        <v>0</v>
      </c>
      <c r="J17" s="37">
        <v>303517</v>
      </c>
      <c r="K17" s="16">
        <f t="shared" si="5"/>
        <v>0</v>
      </c>
      <c r="L17" s="37">
        <f t="shared" si="16"/>
        <v>25560</v>
      </c>
      <c r="M17" s="16">
        <f t="shared" si="6"/>
        <v>0</v>
      </c>
      <c r="N17" s="37">
        <f t="shared" si="17"/>
        <v>216044</v>
      </c>
      <c r="O17" s="16">
        <f t="shared" si="7"/>
        <v>0</v>
      </c>
      <c r="P17" s="37">
        <f t="shared" si="11"/>
        <v>129401</v>
      </c>
      <c r="Q17" s="16">
        <f t="shared" si="8"/>
        <v>0</v>
      </c>
      <c r="R17" s="1">
        <f t="shared" si="19"/>
        <v>55047</v>
      </c>
      <c r="S17" s="16">
        <f>S16</f>
        <v>0</v>
      </c>
      <c r="T17" s="37">
        <f t="shared" si="18"/>
        <v>3827</v>
      </c>
      <c r="U17" s="16">
        <f t="shared" si="10"/>
        <v>0</v>
      </c>
    </row>
    <row r="18" spans="1:23" ht="13.5" thickBot="1" x14ac:dyDescent="0.25">
      <c r="A18" s="10">
        <v>44516</v>
      </c>
      <c r="B18" s="37">
        <f t="shared" si="12"/>
        <v>46164</v>
      </c>
      <c r="C18" s="16">
        <f t="shared" si="1"/>
        <v>0</v>
      </c>
      <c r="D18" s="37">
        <f t="shared" si="13"/>
        <v>40008</v>
      </c>
      <c r="E18" s="16">
        <f t="shared" si="2"/>
        <v>0</v>
      </c>
      <c r="F18" s="37">
        <f t="shared" si="14"/>
        <v>20972</v>
      </c>
      <c r="G18" s="16">
        <f t="shared" si="3"/>
        <v>0</v>
      </c>
      <c r="H18" s="37">
        <f t="shared" si="15"/>
        <v>251310</v>
      </c>
      <c r="I18" s="16">
        <f t="shared" si="4"/>
        <v>0</v>
      </c>
      <c r="J18" s="37">
        <v>303517</v>
      </c>
      <c r="K18" s="16">
        <f t="shared" si="5"/>
        <v>0</v>
      </c>
      <c r="L18" s="37">
        <f t="shared" si="16"/>
        <v>25560</v>
      </c>
      <c r="M18" s="16">
        <f t="shared" si="6"/>
        <v>0</v>
      </c>
      <c r="N18" s="37">
        <f t="shared" si="17"/>
        <v>216044</v>
      </c>
      <c r="O18" s="16">
        <f t="shared" si="7"/>
        <v>0</v>
      </c>
      <c r="P18" s="37">
        <f t="shared" si="11"/>
        <v>129401</v>
      </c>
      <c r="Q18" s="16">
        <f t="shared" si="8"/>
        <v>0</v>
      </c>
      <c r="R18" s="1">
        <f t="shared" si="19"/>
        <v>55047</v>
      </c>
      <c r="S18" s="16">
        <f t="shared" si="9"/>
        <v>0</v>
      </c>
      <c r="T18" s="37">
        <f t="shared" si="18"/>
        <v>3827</v>
      </c>
      <c r="U18" s="16">
        <f t="shared" si="10"/>
        <v>0</v>
      </c>
    </row>
    <row r="19" spans="1:23" ht="13.5" thickBot="1" x14ac:dyDescent="0.25">
      <c r="A19" s="10">
        <v>44517</v>
      </c>
      <c r="B19" s="37">
        <f t="shared" si="12"/>
        <v>46164</v>
      </c>
      <c r="C19" s="16">
        <f t="shared" si="1"/>
        <v>0</v>
      </c>
      <c r="D19" s="37">
        <f t="shared" si="13"/>
        <v>40008</v>
      </c>
      <c r="E19" s="16">
        <f t="shared" si="2"/>
        <v>0</v>
      </c>
      <c r="F19" s="37">
        <f t="shared" si="14"/>
        <v>20972</v>
      </c>
      <c r="G19" s="16">
        <f t="shared" si="3"/>
        <v>0</v>
      </c>
      <c r="H19" s="37">
        <f t="shared" si="15"/>
        <v>251310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si="16"/>
        <v>25560</v>
      </c>
      <c r="M19" s="16">
        <f t="shared" si="6"/>
        <v>0</v>
      </c>
      <c r="N19" s="37">
        <f t="shared" si="17"/>
        <v>216044</v>
      </c>
      <c r="O19" s="16">
        <f t="shared" si="7"/>
        <v>0</v>
      </c>
      <c r="P19" s="37">
        <f t="shared" si="11"/>
        <v>129401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8"/>
        <v>3827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2"/>
        <v>46164</v>
      </c>
      <c r="C20" s="16">
        <f t="shared" si="1"/>
        <v>0</v>
      </c>
      <c r="D20" s="37">
        <f t="shared" si="13"/>
        <v>40008</v>
      </c>
      <c r="E20" s="16">
        <f t="shared" si="2"/>
        <v>0</v>
      </c>
      <c r="F20" s="37">
        <f t="shared" si="14"/>
        <v>20972</v>
      </c>
      <c r="G20" s="16">
        <f t="shared" si="3"/>
        <v>0</v>
      </c>
      <c r="H20" s="37">
        <f t="shared" si="15"/>
        <v>251310</v>
      </c>
      <c r="I20" s="16">
        <f t="shared" si="4"/>
        <v>0</v>
      </c>
      <c r="J20" s="37">
        <v>303517</v>
      </c>
      <c r="K20" s="16">
        <v>0</v>
      </c>
      <c r="L20" s="37">
        <f t="shared" si="16"/>
        <v>25560</v>
      </c>
      <c r="M20" s="16">
        <f t="shared" si="6"/>
        <v>0</v>
      </c>
      <c r="N20" s="37">
        <f t="shared" si="17"/>
        <v>216044</v>
      </c>
      <c r="O20" s="16">
        <f t="shared" si="7"/>
        <v>0</v>
      </c>
      <c r="P20" s="37">
        <f t="shared" si="11"/>
        <v>129401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8"/>
        <v>3827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2"/>
        <v>46164</v>
      </c>
      <c r="C21" s="16">
        <f t="shared" si="1"/>
        <v>0</v>
      </c>
      <c r="D21" s="37">
        <f t="shared" si="13"/>
        <v>40008</v>
      </c>
      <c r="E21" s="16">
        <f t="shared" si="2"/>
        <v>0</v>
      </c>
      <c r="F21" s="37">
        <f t="shared" si="14"/>
        <v>20972</v>
      </c>
      <c r="G21" s="16">
        <f t="shared" si="3"/>
        <v>0</v>
      </c>
      <c r="H21" s="37">
        <f t="shared" si="15"/>
        <v>251310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16"/>
        <v>25560</v>
      </c>
      <c r="M21" s="16">
        <f t="shared" si="6"/>
        <v>0</v>
      </c>
      <c r="N21" s="37">
        <f t="shared" si="17"/>
        <v>216044</v>
      </c>
      <c r="O21" s="16">
        <f t="shared" si="7"/>
        <v>0</v>
      </c>
      <c r="P21" s="37">
        <f t="shared" si="11"/>
        <v>129401</v>
      </c>
      <c r="Q21" s="16">
        <f t="shared" si="8"/>
        <v>0</v>
      </c>
      <c r="R21" s="1">
        <f t="shared" si="19"/>
        <v>55047</v>
      </c>
      <c r="S21" s="16">
        <f t="shared" si="9"/>
        <v>0</v>
      </c>
      <c r="T21" s="37">
        <f t="shared" si="18"/>
        <v>3827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2"/>
        <v>46164</v>
      </c>
      <c r="C22" s="16">
        <f t="shared" si="1"/>
        <v>0</v>
      </c>
      <c r="D22" s="37">
        <f t="shared" si="13"/>
        <v>40008</v>
      </c>
      <c r="E22" s="16">
        <f t="shared" si="2"/>
        <v>0</v>
      </c>
      <c r="F22" s="37">
        <f t="shared" si="14"/>
        <v>20972</v>
      </c>
      <c r="G22" s="16">
        <f t="shared" si="3"/>
        <v>0</v>
      </c>
      <c r="H22" s="37">
        <f t="shared" si="15"/>
        <v>251310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16"/>
        <v>25560</v>
      </c>
      <c r="M22" s="16">
        <f t="shared" si="6"/>
        <v>0</v>
      </c>
      <c r="N22" s="37">
        <f t="shared" si="17"/>
        <v>216044</v>
      </c>
      <c r="O22" s="16">
        <f t="shared" si="7"/>
        <v>0</v>
      </c>
      <c r="P22" s="37">
        <f t="shared" si="11"/>
        <v>129401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18"/>
        <v>3827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2"/>
        <v>46164</v>
      </c>
      <c r="C23" s="16">
        <f t="shared" si="1"/>
        <v>0</v>
      </c>
      <c r="D23" s="37">
        <f t="shared" si="13"/>
        <v>40008</v>
      </c>
      <c r="E23" s="16">
        <f t="shared" si="2"/>
        <v>0</v>
      </c>
      <c r="F23" s="37">
        <f t="shared" si="14"/>
        <v>20972</v>
      </c>
      <c r="G23" s="16">
        <f t="shared" si="3"/>
        <v>0</v>
      </c>
      <c r="H23" s="37">
        <f t="shared" si="15"/>
        <v>251310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16"/>
        <v>25560</v>
      </c>
      <c r="M23" s="16">
        <f t="shared" si="6"/>
        <v>0</v>
      </c>
      <c r="N23" s="37">
        <f t="shared" si="17"/>
        <v>216044</v>
      </c>
      <c r="O23" s="16">
        <f t="shared" si="7"/>
        <v>0</v>
      </c>
      <c r="P23" s="37">
        <f t="shared" si="11"/>
        <v>129401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18"/>
        <v>3827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2"/>
        <v>46164</v>
      </c>
      <c r="C24" s="16">
        <f t="shared" si="1"/>
        <v>0</v>
      </c>
      <c r="D24" s="37">
        <f t="shared" si="13"/>
        <v>40008</v>
      </c>
      <c r="E24" s="16">
        <f t="shared" si="2"/>
        <v>0</v>
      </c>
      <c r="F24" s="37">
        <f t="shared" si="14"/>
        <v>20972</v>
      </c>
      <c r="G24" s="16">
        <f t="shared" si="3"/>
        <v>0</v>
      </c>
      <c r="H24" s="37">
        <f t="shared" si="15"/>
        <v>251310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16"/>
        <v>25560</v>
      </c>
      <c r="M24" s="16">
        <f t="shared" si="6"/>
        <v>0</v>
      </c>
      <c r="N24" s="37">
        <f t="shared" si="17"/>
        <v>216044</v>
      </c>
      <c r="O24" s="16">
        <f t="shared" si="7"/>
        <v>0</v>
      </c>
      <c r="P24" s="37">
        <f t="shared" si="11"/>
        <v>129401</v>
      </c>
      <c r="Q24" s="16">
        <f t="shared" si="8"/>
        <v>0</v>
      </c>
      <c r="R24" s="1">
        <f t="shared" si="19"/>
        <v>55047</v>
      </c>
      <c r="S24" s="16">
        <f t="shared" si="9"/>
        <v>0</v>
      </c>
      <c r="T24" s="37">
        <f t="shared" si="18"/>
        <v>3827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2"/>
        <v>46164</v>
      </c>
      <c r="C25" s="16">
        <f t="shared" si="1"/>
        <v>0</v>
      </c>
      <c r="D25" s="37">
        <f t="shared" si="13"/>
        <v>40008</v>
      </c>
      <c r="E25" s="16">
        <f t="shared" si="2"/>
        <v>0</v>
      </c>
      <c r="F25" s="37">
        <f t="shared" si="14"/>
        <v>20972</v>
      </c>
      <c r="G25" s="16">
        <f t="shared" si="3"/>
        <v>0</v>
      </c>
      <c r="H25" s="37">
        <f t="shared" si="15"/>
        <v>251310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16"/>
        <v>25560</v>
      </c>
      <c r="M25" s="16">
        <f t="shared" si="6"/>
        <v>0</v>
      </c>
      <c r="N25" s="37">
        <f t="shared" si="17"/>
        <v>216044</v>
      </c>
      <c r="O25" s="16">
        <f t="shared" si="7"/>
        <v>0</v>
      </c>
      <c r="P25" s="37">
        <f t="shared" si="11"/>
        <v>129401</v>
      </c>
      <c r="Q25" s="16">
        <f t="shared" si="8"/>
        <v>0</v>
      </c>
      <c r="R25" s="1">
        <f t="shared" si="19"/>
        <v>55047</v>
      </c>
      <c r="S25" s="16">
        <f t="shared" si="9"/>
        <v>0</v>
      </c>
      <c r="T25" s="37">
        <f t="shared" si="18"/>
        <v>3827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2"/>
        <v>46164</v>
      </c>
      <c r="C26" s="16">
        <f t="shared" si="1"/>
        <v>0</v>
      </c>
      <c r="D26" s="37">
        <f t="shared" si="13"/>
        <v>40008</v>
      </c>
      <c r="E26" s="16">
        <f t="shared" si="2"/>
        <v>0</v>
      </c>
      <c r="F26" s="37">
        <f t="shared" si="14"/>
        <v>20972</v>
      </c>
      <c r="G26" s="16">
        <f t="shared" si="3"/>
        <v>0</v>
      </c>
      <c r="H26" s="37">
        <f t="shared" si="15"/>
        <v>251310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16"/>
        <v>25560</v>
      </c>
      <c r="M26" s="16">
        <f t="shared" si="6"/>
        <v>0</v>
      </c>
      <c r="N26" s="37">
        <f t="shared" si="17"/>
        <v>216044</v>
      </c>
      <c r="O26" s="16">
        <f t="shared" si="7"/>
        <v>0</v>
      </c>
      <c r="P26" s="37">
        <f t="shared" si="11"/>
        <v>129401</v>
      </c>
      <c r="Q26" s="16">
        <f t="shared" si="8"/>
        <v>0</v>
      </c>
      <c r="R26" s="1">
        <f t="shared" si="19"/>
        <v>55047</v>
      </c>
      <c r="S26" s="16">
        <f t="shared" si="9"/>
        <v>0</v>
      </c>
      <c r="T26" s="37">
        <f t="shared" si="18"/>
        <v>3827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2"/>
        <v>46164</v>
      </c>
      <c r="C27" s="16">
        <f t="shared" si="1"/>
        <v>0</v>
      </c>
      <c r="D27" s="37">
        <f t="shared" si="13"/>
        <v>40008</v>
      </c>
      <c r="E27" s="16">
        <f t="shared" si="2"/>
        <v>0</v>
      </c>
      <c r="F27" s="37">
        <f t="shared" si="14"/>
        <v>20972</v>
      </c>
      <c r="G27" s="16">
        <f t="shared" si="3"/>
        <v>0</v>
      </c>
      <c r="H27" s="37">
        <f t="shared" si="15"/>
        <v>251310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16"/>
        <v>25560</v>
      </c>
      <c r="M27" s="16">
        <f t="shared" si="6"/>
        <v>0</v>
      </c>
      <c r="N27" s="37">
        <f t="shared" si="17"/>
        <v>216044</v>
      </c>
      <c r="O27" s="16">
        <f t="shared" si="7"/>
        <v>0</v>
      </c>
      <c r="P27" s="37">
        <f t="shared" si="11"/>
        <v>129401</v>
      </c>
      <c r="Q27" s="16">
        <f t="shared" si="8"/>
        <v>0</v>
      </c>
      <c r="R27" s="1">
        <f t="shared" si="19"/>
        <v>55047</v>
      </c>
      <c r="S27" s="16">
        <f t="shared" si="9"/>
        <v>0</v>
      </c>
      <c r="T27" s="37">
        <f t="shared" si="18"/>
        <v>3827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2"/>
        <v>46164</v>
      </c>
      <c r="C28" s="16">
        <f t="shared" si="1"/>
        <v>0</v>
      </c>
      <c r="D28" s="37">
        <f t="shared" si="13"/>
        <v>40008</v>
      </c>
      <c r="E28" s="16">
        <f t="shared" si="2"/>
        <v>0</v>
      </c>
      <c r="F28" s="37">
        <f t="shared" si="14"/>
        <v>20972</v>
      </c>
      <c r="G28" s="16">
        <f t="shared" si="3"/>
        <v>0</v>
      </c>
      <c r="H28" s="37">
        <f t="shared" si="15"/>
        <v>251310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16"/>
        <v>25560</v>
      </c>
      <c r="M28" s="16">
        <f t="shared" si="6"/>
        <v>0</v>
      </c>
      <c r="N28" s="37">
        <f t="shared" si="17"/>
        <v>216044</v>
      </c>
      <c r="O28" s="16">
        <f t="shared" si="7"/>
        <v>0</v>
      </c>
      <c r="P28" s="37">
        <f t="shared" si="11"/>
        <v>129401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18"/>
        <v>3827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2"/>
        <v>46164</v>
      </c>
      <c r="C29" s="16">
        <f t="shared" si="1"/>
        <v>0</v>
      </c>
      <c r="D29" s="37">
        <f t="shared" si="13"/>
        <v>40008</v>
      </c>
      <c r="E29" s="16">
        <f t="shared" si="2"/>
        <v>0</v>
      </c>
      <c r="F29" s="37">
        <f t="shared" si="14"/>
        <v>20972</v>
      </c>
      <c r="G29" s="16">
        <f t="shared" si="3"/>
        <v>0</v>
      </c>
      <c r="H29" s="37">
        <f t="shared" si="15"/>
        <v>251310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16"/>
        <v>25560</v>
      </c>
      <c r="M29" s="16">
        <f t="shared" si="6"/>
        <v>0</v>
      </c>
      <c r="N29" s="37">
        <f t="shared" si="17"/>
        <v>216044</v>
      </c>
      <c r="O29" s="16">
        <f t="shared" si="7"/>
        <v>0</v>
      </c>
      <c r="P29" s="37">
        <f t="shared" si="11"/>
        <v>129401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18"/>
        <v>3827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2"/>
        <v>46164</v>
      </c>
      <c r="C30" s="16">
        <f t="shared" si="1"/>
        <v>0</v>
      </c>
      <c r="D30" s="37">
        <f t="shared" si="13"/>
        <v>40008</v>
      </c>
      <c r="E30" s="16">
        <f t="shared" si="2"/>
        <v>0</v>
      </c>
      <c r="F30" s="37">
        <f t="shared" si="14"/>
        <v>20972</v>
      </c>
      <c r="G30" s="16">
        <f t="shared" si="3"/>
        <v>0</v>
      </c>
      <c r="H30" s="37">
        <f t="shared" si="15"/>
        <v>251310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16"/>
        <v>25560</v>
      </c>
      <c r="M30" s="16">
        <f t="shared" si="6"/>
        <v>0</v>
      </c>
      <c r="N30" s="37">
        <f t="shared" si="17"/>
        <v>216044</v>
      </c>
      <c r="O30" s="16">
        <f t="shared" si="7"/>
        <v>0</v>
      </c>
      <c r="P30" s="37">
        <f t="shared" si="11"/>
        <v>129401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18"/>
        <v>3827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2"/>
        <v>46164</v>
      </c>
      <c r="C31" s="16">
        <f t="shared" si="1"/>
        <v>0</v>
      </c>
      <c r="D31" s="37">
        <f t="shared" si="13"/>
        <v>40008</v>
      </c>
      <c r="E31" s="16">
        <f t="shared" si="2"/>
        <v>0</v>
      </c>
      <c r="F31" s="37">
        <f t="shared" si="14"/>
        <v>20972</v>
      </c>
      <c r="G31" s="16">
        <f t="shared" si="3"/>
        <v>0</v>
      </c>
      <c r="H31" s="37">
        <f t="shared" si="15"/>
        <v>251310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16"/>
        <v>25560</v>
      </c>
      <c r="M31" s="16">
        <f t="shared" si="6"/>
        <v>0</v>
      </c>
      <c r="N31" s="37">
        <f t="shared" si="17"/>
        <v>216044</v>
      </c>
      <c r="O31" s="16">
        <f t="shared" si="7"/>
        <v>0</v>
      </c>
      <c r="P31" s="37">
        <f t="shared" si="11"/>
        <v>129401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18"/>
        <v>3827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2"/>
        <v>46164</v>
      </c>
      <c r="C32" s="16">
        <f t="shared" si="1"/>
        <v>0</v>
      </c>
      <c r="D32" s="37">
        <f t="shared" si="13"/>
        <v>40008</v>
      </c>
      <c r="E32" s="16">
        <f t="shared" si="2"/>
        <v>0</v>
      </c>
      <c r="F32" s="37">
        <f t="shared" si="14"/>
        <v>20972</v>
      </c>
      <c r="G32" s="16">
        <f t="shared" si="3"/>
        <v>0</v>
      </c>
      <c r="H32" s="37">
        <f t="shared" si="15"/>
        <v>251310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16"/>
        <v>25560</v>
      </c>
      <c r="M32" s="16">
        <f t="shared" si="6"/>
        <v>0</v>
      </c>
      <c r="N32" s="37">
        <f t="shared" si="17"/>
        <v>216044</v>
      </c>
      <c r="O32" s="16">
        <f t="shared" si="7"/>
        <v>0</v>
      </c>
      <c r="P32" s="37">
        <f t="shared" si="11"/>
        <v>129401</v>
      </c>
      <c r="Q32" s="16">
        <f t="shared" si="8"/>
        <v>0</v>
      </c>
      <c r="R32" s="1">
        <v>55047</v>
      </c>
      <c r="S32" s="16">
        <v>0</v>
      </c>
      <c r="T32" s="37">
        <f t="shared" si="18"/>
        <v>3827</v>
      </c>
      <c r="U32" s="16">
        <f t="shared" si="10"/>
        <v>0</v>
      </c>
      <c r="V32" t="s">
        <v>12</v>
      </c>
    </row>
    <row r="33" spans="1:21" ht="13.5" thickBot="1" x14ac:dyDescent="0.25">
      <c r="A33" s="10"/>
      <c r="B33" s="37"/>
      <c r="C33" s="16"/>
      <c r="D33" s="37"/>
      <c r="E33" s="16"/>
      <c r="F33" s="37"/>
      <c r="G33" s="16"/>
      <c r="H33" s="37"/>
      <c r="I33" s="16"/>
      <c r="J33" s="37"/>
      <c r="K33" s="16"/>
      <c r="L33" s="37"/>
      <c r="M33" s="16"/>
      <c r="N33" s="37"/>
      <c r="O33" s="16"/>
      <c r="P33" s="37"/>
      <c r="Q33" s="16"/>
      <c r="R33" s="1"/>
      <c r="S33" s="16"/>
      <c r="T33" s="37"/>
      <c r="U33" s="16"/>
    </row>
    <row r="34" spans="1:21" ht="16.5" thickBot="1" x14ac:dyDescent="0.3">
      <c r="A34" s="10" t="s">
        <v>23</v>
      </c>
      <c r="B34" s="1"/>
      <c r="C34" s="11">
        <f>SUM(C3:C33)</f>
        <v>4960</v>
      </c>
      <c r="D34" s="13"/>
      <c r="E34" s="11">
        <f>SUM(E3:E33)</f>
        <v>3040</v>
      </c>
      <c r="F34" s="13"/>
      <c r="G34" s="11">
        <f>SUM(G3:G33)</f>
        <v>440</v>
      </c>
      <c r="H34" s="13"/>
      <c r="I34" s="11">
        <f>SUM(I3:I33)</f>
        <v>379</v>
      </c>
      <c r="J34" s="13"/>
      <c r="K34" s="11">
        <f>SUM(K3:K33)</f>
        <v>0</v>
      </c>
      <c r="L34" s="13"/>
      <c r="M34" s="11">
        <f>SUM(M3:M33)</f>
        <v>3360</v>
      </c>
      <c r="N34" s="38"/>
      <c r="O34" s="11">
        <f>SUM(O3:O33)</f>
        <v>16</v>
      </c>
      <c r="P34" s="13"/>
      <c r="Q34" s="11">
        <f>SUM(Q3:Q33)</f>
        <v>266</v>
      </c>
      <c r="R34" s="1"/>
      <c r="S34" s="11">
        <f>SUM(S3:S33)</f>
        <v>0</v>
      </c>
      <c r="T34" s="1"/>
      <c r="U34" s="11">
        <f>SUM(U3:U33)</f>
        <v>1120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B8" sqref="B8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2">
        <v>44500</v>
      </c>
      <c r="B2" s="173">
        <v>0</v>
      </c>
      <c r="C2" s="174">
        <v>19066</v>
      </c>
      <c r="D2" s="173">
        <v>0</v>
      </c>
      <c r="E2" s="3">
        <v>28607675</v>
      </c>
      <c r="F2" s="173">
        <v>0</v>
      </c>
      <c r="G2" s="3">
        <v>90758905</v>
      </c>
      <c r="H2" s="173">
        <v>0</v>
      </c>
      <c r="I2" s="175">
        <v>0</v>
      </c>
      <c r="J2" s="3">
        <v>8949694</v>
      </c>
      <c r="K2" s="173">
        <v>0</v>
      </c>
      <c r="L2" s="3">
        <v>8875418</v>
      </c>
      <c r="M2" s="173">
        <v>0</v>
      </c>
      <c r="N2" s="3">
        <v>6026763</v>
      </c>
      <c r="O2" s="173">
        <v>0</v>
      </c>
      <c r="P2" s="3">
        <v>5373608</v>
      </c>
      <c r="Q2" s="173">
        <v>0</v>
      </c>
      <c r="R2" s="3">
        <v>19149295</v>
      </c>
      <c r="S2" s="173">
        <v>0</v>
      </c>
      <c r="T2" s="3">
        <v>0</v>
      </c>
      <c r="U2" s="176"/>
      <c r="V2" s="3">
        <v>6980730</v>
      </c>
      <c r="W2" s="173">
        <v>0</v>
      </c>
      <c r="X2" s="175">
        <v>0</v>
      </c>
      <c r="Y2" s="177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(IF((N3-N2)&lt;P92,"0",(N3-N2)))*2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(IF((N4-N3)&lt;P94,"0",(N4-N3)))*2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0</v>
      </c>
      <c r="C9" s="152">
        <f t="shared" ref="C8:C32" si="14">C8</f>
        <v>19088</v>
      </c>
      <c r="D9" s="44">
        <f t="shared" si="0"/>
        <v>0</v>
      </c>
      <c r="E9" s="153">
        <f t="shared" ref="E8:E32" si="15">E8</f>
        <v>28730355</v>
      </c>
      <c r="F9" s="44">
        <f t="shared" si="1"/>
        <v>0</v>
      </c>
      <c r="G9" s="154">
        <f t="shared" ref="G8:G32" si="16">G8</f>
        <v>91004066</v>
      </c>
      <c r="H9" s="44">
        <f t="shared" si="2"/>
        <v>0</v>
      </c>
      <c r="I9" s="155">
        <f t="shared" si="3"/>
        <v>0</v>
      </c>
      <c r="J9" s="153">
        <f t="shared" ref="J8:J32" si="17">J8</f>
        <v>8980897</v>
      </c>
      <c r="K9" s="44">
        <f t="shared" si="4"/>
        <v>0</v>
      </c>
      <c r="L9" s="156">
        <f t="shared" ref="L8:L32" si="18">L8</f>
        <v>8909627</v>
      </c>
      <c r="M9" s="44">
        <f t="shared" si="5"/>
        <v>0</v>
      </c>
      <c r="N9" s="153">
        <f t="shared" ref="N8:N32" si="19">N8</f>
        <v>6070391</v>
      </c>
      <c r="O9" s="44">
        <f t="shared" si="12"/>
        <v>0</v>
      </c>
      <c r="P9" s="156">
        <f t="shared" ref="P8:P32" si="20">P8</f>
        <v>5393804</v>
      </c>
      <c r="Q9" s="44">
        <f t="shared" si="6"/>
        <v>0</v>
      </c>
      <c r="R9" s="153">
        <f t="shared" ref="R8:R32" si="21">R8</f>
        <v>19207079</v>
      </c>
      <c r="S9" s="44">
        <f t="shared" si="7"/>
        <v>0</v>
      </c>
      <c r="T9" s="153">
        <v>0</v>
      </c>
      <c r="U9" s="157"/>
      <c r="V9" s="153">
        <f t="shared" ref="V8:V32" si="22">V8</f>
        <v>7045624</v>
      </c>
      <c r="W9" s="44">
        <f t="shared" si="8"/>
        <v>0</v>
      </c>
      <c r="X9" s="22">
        <f t="shared" si="9"/>
        <v>0</v>
      </c>
      <c r="Y9" s="158">
        <f t="shared" si="10"/>
        <v>0</v>
      </c>
      <c r="Z9" s="3">
        <f t="shared" si="11"/>
        <v>0</v>
      </c>
      <c r="AA9" s="3">
        <f t="shared" si="13"/>
        <v>24232.760864</v>
      </c>
    </row>
    <row r="10" spans="1:27" ht="16.5" thickBot="1" x14ac:dyDescent="0.3">
      <c r="A10" s="10">
        <v>44508</v>
      </c>
      <c r="B10" s="44">
        <v>0</v>
      </c>
      <c r="C10" s="152">
        <f t="shared" si="14"/>
        <v>19088</v>
      </c>
      <c r="D10" s="44">
        <f t="shared" si="0"/>
        <v>0</v>
      </c>
      <c r="E10" s="153">
        <f t="shared" si="15"/>
        <v>28730355</v>
      </c>
      <c r="F10" s="44">
        <f t="shared" si="1"/>
        <v>0</v>
      </c>
      <c r="G10" s="154">
        <f t="shared" si="16"/>
        <v>91004066</v>
      </c>
      <c r="H10" s="44">
        <f t="shared" si="2"/>
        <v>0</v>
      </c>
      <c r="I10" s="155">
        <f t="shared" si="3"/>
        <v>0</v>
      </c>
      <c r="J10" s="153">
        <f t="shared" si="17"/>
        <v>8980897</v>
      </c>
      <c r="K10" s="44">
        <f t="shared" si="4"/>
        <v>0</v>
      </c>
      <c r="L10" s="156">
        <f t="shared" si="18"/>
        <v>8909627</v>
      </c>
      <c r="M10" s="44">
        <f t="shared" si="5"/>
        <v>0</v>
      </c>
      <c r="N10" s="153">
        <f t="shared" si="19"/>
        <v>6070391</v>
      </c>
      <c r="O10" s="44">
        <f t="shared" si="12"/>
        <v>0</v>
      </c>
      <c r="P10" s="156">
        <f t="shared" si="20"/>
        <v>5393804</v>
      </c>
      <c r="Q10" s="44">
        <f t="shared" si="6"/>
        <v>0</v>
      </c>
      <c r="R10" s="153">
        <f t="shared" si="21"/>
        <v>19207079</v>
      </c>
      <c r="S10" s="44">
        <f t="shared" si="7"/>
        <v>0</v>
      </c>
      <c r="T10" s="153">
        <v>0</v>
      </c>
      <c r="U10" s="157"/>
      <c r="V10" s="153">
        <f t="shared" si="22"/>
        <v>7045624</v>
      </c>
      <c r="W10" s="44">
        <f t="shared" si="8"/>
        <v>0</v>
      </c>
      <c r="X10" s="22">
        <f t="shared" si="9"/>
        <v>0</v>
      </c>
      <c r="Y10" s="158">
        <f t="shared" si="10"/>
        <v>0</v>
      </c>
      <c r="Z10" s="3">
        <f t="shared" si="11"/>
        <v>0</v>
      </c>
      <c r="AA10" s="3">
        <f t="shared" si="13"/>
        <v>13881.706384000001</v>
      </c>
    </row>
    <row r="11" spans="1:27" ht="15.75" customHeight="1" thickBot="1" x14ac:dyDescent="0.3">
      <c r="A11" s="10">
        <v>44509</v>
      </c>
      <c r="B11" s="44">
        <v>0</v>
      </c>
      <c r="C11" s="152">
        <f t="shared" si="14"/>
        <v>19088</v>
      </c>
      <c r="D11" s="44">
        <f t="shared" si="0"/>
        <v>0</v>
      </c>
      <c r="E11" s="153">
        <f t="shared" si="15"/>
        <v>28730355</v>
      </c>
      <c r="F11" s="44">
        <f t="shared" si="1"/>
        <v>0</v>
      </c>
      <c r="G11" s="154">
        <f t="shared" si="16"/>
        <v>91004066</v>
      </c>
      <c r="H11" s="44">
        <f t="shared" si="2"/>
        <v>0</v>
      </c>
      <c r="I11" s="155">
        <f t="shared" si="3"/>
        <v>0</v>
      </c>
      <c r="J11" s="153">
        <f t="shared" si="17"/>
        <v>8980897</v>
      </c>
      <c r="K11" s="44">
        <f t="shared" si="4"/>
        <v>0</v>
      </c>
      <c r="L11" s="156">
        <f t="shared" si="18"/>
        <v>8909627</v>
      </c>
      <c r="M11" s="44">
        <f t="shared" si="5"/>
        <v>0</v>
      </c>
      <c r="N11" s="153">
        <f t="shared" si="19"/>
        <v>6070391</v>
      </c>
      <c r="O11" s="44">
        <f t="shared" si="12"/>
        <v>0</v>
      </c>
      <c r="P11" s="156">
        <f t="shared" si="20"/>
        <v>5393804</v>
      </c>
      <c r="Q11" s="44">
        <f t="shared" si="6"/>
        <v>0</v>
      </c>
      <c r="R11" s="153">
        <f t="shared" si="21"/>
        <v>19207079</v>
      </c>
      <c r="S11" s="44">
        <f t="shared" si="7"/>
        <v>0</v>
      </c>
      <c r="T11" s="153">
        <v>0</v>
      </c>
      <c r="U11" s="157"/>
      <c r="V11" s="153">
        <f t="shared" si="22"/>
        <v>7045624</v>
      </c>
      <c r="W11" s="44">
        <f t="shared" si="8"/>
        <v>0</v>
      </c>
      <c r="X11" s="22">
        <f t="shared" si="9"/>
        <v>0</v>
      </c>
      <c r="Y11" s="158">
        <f t="shared" si="10"/>
        <v>0</v>
      </c>
      <c r="Z11" s="3">
        <f t="shared" si="11"/>
        <v>0</v>
      </c>
      <c r="AA11" s="3">
        <f t="shared" si="13"/>
        <v>5503.0322671999993</v>
      </c>
    </row>
    <row r="12" spans="1:27" ht="16.5" thickBot="1" x14ac:dyDescent="0.3">
      <c r="A12" s="10">
        <v>44510</v>
      </c>
      <c r="B12" s="44">
        <v>0</v>
      </c>
      <c r="C12" s="152">
        <f t="shared" si="14"/>
        <v>19088</v>
      </c>
      <c r="D12" s="44">
        <f t="shared" si="0"/>
        <v>0</v>
      </c>
      <c r="E12" s="153">
        <f t="shared" si="15"/>
        <v>28730355</v>
      </c>
      <c r="F12" s="44">
        <f t="shared" si="1"/>
        <v>0</v>
      </c>
      <c r="G12" s="154">
        <f t="shared" si="16"/>
        <v>91004066</v>
      </c>
      <c r="H12" s="44">
        <f t="shared" si="2"/>
        <v>0</v>
      </c>
      <c r="I12" s="155">
        <f t="shared" si="3"/>
        <v>0</v>
      </c>
      <c r="J12" s="153">
        <f t="shared" si="17"/>
        <v>8980897</v>
      </c>
      <c r="K12" s="44">
        <f t="shared" si="4"/>
        <v>0</v>
      </c>
      <c r="L12" s="156">
        <f t="shared" si="18"/>
        <v>8909627</v>
      </c>
      <c r="M12" s="44">
        <f t="shared" si="5"/>
        <v>0</v>
      </c>
      <c r="N12" s="153">
        <f t="shared" si="19"/>
        <v>6070391</v>
      </c>
      <c r="O12" s="44">
        <f t="shared" si="12"/>
        <v>0</v>
      </c>
      <c r="P12" s="156">
        <f t="shared" si="20"/>
        <v>5393804</v>
      </c>
      <c r="Q12" s="44">
        <f t="shared" si="6"/>
        <v>0</v>
      </c>
      <c r="R12" s="153">
        <f t="shared" si="21"/>
        <v>19207079</v>
      </c>
      <c r="S12" s="44">
        <f t="shared" si="7"/>
        <v>0</v>
      </c>
      <c r="T12" s="153">
        <v>0</v>
      </c>
      <c r="U12" s="157"/>
      <c r="V12" s="153">
        <f t="shared" si="22"/>
        <v>7045624</v>
      </c>
      <c r="W12" s="44">
        <f t="shared" si="8"/>
        <v>0</v>
      </c>
      <c r="X12" s="22">
        <f t="shared" si="9"/>
        <v>0</v>
      </c>
      <c r="Y12" s="158">
        <f t="shared" si="10"/>
        <v>0</v>
      </c>
      <c r="Z12" s="3">
        <f t="shared" si="11"/>
        <v>0</v>
      </c>
      <c r="AA12" s="3">
        <f t="shared" si="13"/>
        <v>0</v>
      </c>
    </row>
    <row r="13" spans="1:27" ht="16.5" thickBot="1" x14ac:dyDescent="0.3">
      <c r="A13" s="10">
        <v>44511</v>
      </c>
      <c r="B13" s="44">
        <v>0</v>
      </c>
      <c r="C13" s="152">
        <f t="shared" si="14"/>
        <v>19088</v>
      </c>
      <c r="D13" s="44">
        <f t="shared" si="0"/>
        <v>0</v>
      </c>
      <c r="E13" s="153">
        <f t="shared" si="15"/>
        <v>28730355</v>
      </c>
      <c r="F13" s="44">
        <f t="shared" si="1"/>
        <v>0</v>
      </c>
      <c r="G13" s="154">
        <f t="shared" si="16"/>
        <v>91004066</v>
      </c>
      <c r="H13" s="44">
        <f t="shared" si="2"/>
        <v>0</v>
      </c>
      <c r="I13" s="155">
        <f t="shared" si="3"/>
        <v>0</v>
      </c>
      <c r="J13" s="153">
        <f t="shared" si="17"/>
        <v>8980897</v>
      </c>
      <c r="K13" s="44">
        <f t="shared" si="4"/>
        <v>0</v>
      </c>
      <c r="L13" s="156">
        <f t="shared" si="18"/>
        <v>8909627</v>
      </c>
      <c r="M13" s="44">
        <f t="shared" si="5"/>
        <v>0</v>
      </c>
      <c r="N13" s="153">
        <f t="shared" si="19"/>
        <v>6070391</v>
      </c>
      <c r="O13" s="44">
        <f t="shared" si="12"/>
        <v>0</v>
      </c>
      <c r="P13" s="156">
        <f t="shared" si="20"/>
        <v>5393804</v>
      </c>
      <c r="Q13" s="44">
        <f t="shared" si="6"/>
        <v>0</v>
      </c>
      <c r="R13" s="153">
        <f t="shared" si="21"/>
        <v>19207079</v>
      </c>
      <c r="S13" s="44">
        <f>IF((R13-R12)&lt;0,"0",(R13-R12))</f>
        <v>0</v>
      </c>
      <c r="T13" s="153">
        <v>0</v>
      </c>
      <c r="U13" s="157"/>
      <c r="V13" s="153">
        <f t="shared" si="22"/>
        <v>7045624</v>
      </c>
      <c r="W13" s="44">
        <f t="shared" si="8"/>
        <v>0</v>
      </c>
      <c r="X13" s="22">
        <f t="shared" si="9"/>
        <v>0</v>
      </c>
      <c r="Y13" s="158">
        <f t="shared" si="10"/>
        <v>0</v>
      </c>
      <c r="Z13" s="3">
        <f t="shared" si="11"/>
        <v>0</v>
      </c>
      <c r="AA13" s="3">
        <f t="shared" si="13"/>
        <v>0</v>
      </c>
    </row>
    <row r="14" spans="1:27" ht="16.5" thickBot="1" x14ac:dyDescent="0.3">
      <c r="A14" s="10">
        <v>44512</v>
      </c>
      <c r="B14" s="44">
        <v>0</v>
      </c>
      <c r="C14" s="152">
        <f t="shared" si="14"/>
        <v>19088</v>
      </c>
      <c r="D14" s="44">
        <f t="shared" si="0"/>
        <v>0</v>
      </c>
      <c r="E14" s="153">
        <f t="shared" si="15"/>
        <v>28730355</v>
      </c>
      <c r="F14" s="44">
        <f t="shared" si="1"/>
        <v>0</v>
      </c>
      <c r="G14" s="154">
        <f t="shared" si="16"/>
        <v>91004066</v>
      </c>
      <c r="H14" s="44">
        <f t="shared" si="2"/>
        <v>0</v>
      </c>
      <c r="I14" s="155">
        <f t="shared" si="3"/>
        <v>0</v>
      </c>
      <c r="J14" s="153">
        <f t="shared" si="17"/>
        <v>8980897</v>
      </c>
      <c r="K14" s="44">
        <f t="shared" si="4"/>
        <v>0</v>
      </c>
      <c r="L14" s="156">
        <f t="shared" si="18"/>
        <v>8909627</v>
      </c>
      <c r="M14" s="44">
        <f t="shared" si="5"/>
        <v>0</v>
      </c>
      <c r="N14" s="153">
        <f t="shared" si="19"/>
        <v>6070391</v>
      </c>
      <c r="O14" s="44">
        <f t="shared" si="12"/>
        <v>0</v>
      </c>
      <c r="P14" s="156">
        <f t="shared" si="20"/>
        <v>5393804</v>
      </c>
      <c r="Q14" s="44">
        <f t="shared" si="6"/>
        <v>0</v>
      </c>
      <c r="R14" s="153">
        <f t="shared" si="21"/>
        <v>19207079</v>
      </c>
      <c r="S14" s="44">
        <f>IF((R14-R13)&lt;0,"0",(R14-R13))</f>
        <v>0</v>
      </c>
      <c r="T14" s="153">
        <v>0</v>
      </c>
      <c r="U14" s="157"/>
      <c r="V14" s="153">
        <f t="shared" si="22"/>
        <v>7045624</v>
      </c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0</v>
      </c>
    </row>
    <row r="15" spans="1:27" ht="16.5" thickBot="1" x14ac:dyDescent="0.3">
      <c r="A15" s="10">
        <v>44513</v>
      </c>
      <c r="B15" s="44">
        <v>0</v>
      </c>
      <c r="C15" s="152">
        <f t="shared" si="14"/>
        <v>19088</v>
      </c>
      <c r="D15" s="44">
        <f t="shared" si="0"/>
        <v>0</v>
      </c>
      <c r="E15" s="153">
        <f t="shared" si="15"/>
        <v>28730355</v>
      </c>
      <c r="F15" s="44">
        <f t="shared" si="1"/>
        <v>0</v>
      </c>
      <c r="G15" s="154">
        <f t="shared" si="16"/>
        <v>91004066</v>
      </c>
      <c r="H15" s="44">
        <f t="shared" si="2"/>
        <v>0</v>
      </c>
      <c r="I15" s="155">
        <f t="shared" si="3"/>
        <v>0</v>
      </c>
      <c r="J15" s="153">
        <f t="shared" si="17"/>
        <v>8980897</v>
      </c>
      <c r="K15" s="44">
        <f t="shared" si="4"/>
        <v>0</v>
      </c>
      <c r="L15" s="156">
        <f t="shared" si="18"/>
        <v>8909627</v>
      </c>
      <c r="M15" s="44">
        <f t="shared" si="5"/>
        <v>0</v>
      </c>
      <c r="N15" s="153">
        <f t="shared" si="19"/>
        <v>6070391</v>
      </c>
      <c r="O15" s="44">
        <f t="shared" si="12"/>
        <v>0</v>
      </c>
      <c r="P15" s="156">
        <f t="shared" si="20"/>
        <v>5393804</v>
      </c>
      <c r="Q15" s="44">
        <f t="shared" si="6"/>
        <v>0</v>
      </c>
      <c r="R15" s="153">
        <f t="shared" si="21"/>
        <v>19207079</v>
      </c>
      <c r="S15" s="44">
        <f>IF((R15-R14)&lt;0,"0",(R15-R14))</f>
        <v>0</v>
      </c>
      <c r="T15" s="153">
        <v>0</v>
      </c>
      <c r="U15" s="157"/>
      <c r="V15" s="153">
        <f t="shared" si="22"/>
        <v>7045624</v>
      </c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0</v>
      </c>
    </row>
    <row r="16" spans="1:27" ht="16.5" thickBot="1" x14ac:dyDescent="0.3">
      <c r="A16" s="10">
        <v>44514</v>
      </c>
      <c r="B16" s="44">
        <v>0</v>
      </c>
      <c r="C16" s="152">
        <f t="shared" si="14"/>
        <v>19088</v>
      </c>
      <c r="D16" s="44">
        <f t="shared" si="0"/>
        <v>0</v>
      </c>
      <c r="E16" s="153">
        <f t="shared" si="15"/>
        <v>28730355</v>
      </c>
      <c r="F16" s="44">
        <f t="shared" si="1"/>
        <v>0</v>
      </c>
      <c r="G16" s="154">
        <f t="shared" si="16"/>
        <v>91004066</v>
      </c>
      <c r="H16" s="44">
        <f t="shared" si="2"/>
        <v>0</v>
      </c>
      <c r="I16" s="155">
        <f t="shared" si="3"/>
        <v>0</v>
      </c>
      <c r="J16" s="153">
        <f t="shared" si="17"/>
        <v>8980897</v>
      </c>
      <c r="K16" s="44">
        <f t="shared" si="4"/>
        <v>0</v>
      </c>
      <c r="L16" s="156">
        <f t="shared" si="18"/>
        <v>8909627</v>
      </c>
      <c r="M16" s="44">
        <f t="shared" si="5"/>
        <v>0</v>
      </c>
      <c r="N16" s="153">
        <f t="shared" si="19"/>
        <v>6070391</v>
      </c>
      <c r="O16" s="44">
        <f t="shared" si="12"/>
        <v>0</v>
      </c>
      <c r="P16" s="156">
        <f t="shared" si="20"/>
        <v>5393804</v>
      </c>
      <c r="Q16" s="44">
        <f t="shared" si="6"/>
        <v>0</v>
      </c>
      <c r="R16" s="153">
        <f t="shared" si="21"/>
        <v>19207079</v>
      </c>
      <c r="S16" s="44">
        <f t="shared" si="7"/>
        <v>0</v>
      </c>
      <c r="T16" s="153">
        <v>0</v>
      </c>
      <c r="U16" s="157"/>
      <c r="V16" s="153">
        <f t="shared" si="22"/>
        <v>7045624</v>
      </c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0</v>
      </c>
    </row>
    <row r="17" spans="1:27" s="136" customFormat="1" ht="16.5" thickBot="1" x14ac:dyDescent="0.3">
      <c r="A17" s="10">
        <v>44515</v>
      </c>
      <c r="B17" s="44">
        <v>0</v>
      </c>
      <c r="C17" s="152">
        <f t="shared" si="14"/>
        <v>19088</v>
      </c>
      <c r="D17" s="44">
        <f t="shared" si="0"/>
        <v>0</v>
      </c>
      <c r="E17" s="153">
        <f t="shared" si="15"/>
        <v>28730355</v>
      </c>
      <c r="F17" s="44">
        <f t="shared" si="1"/>
        <v>0</v>
      </c>
      <c r="G17" s="154">
        <f t="shared" si="16"/>
        <v>91004066</v>
      </c>
      <c r="H17" s="44">
        <f t="shared" si="2"/>
        <v>0</v>
      </c>
      <c r="I17" s="159">
        <f t="shared" si="3"/>
        <v>0</v>
      </c>
      <c r="J17" s="153">
        <f t="shared" si="17"/>
        <v>8980897</v>
      </c>
      <c r="K17" s="44">
        <f t="shared" si="4"/>
        <v>0</v>
      </c>
      <c r="L17" s="156">
        <f t="shared" si="18"/>
        <v>8909627</v>
      </c>
      <c r="M17" s="135">
        <f t="shared" si="5"/>
        <v>0</v>
      </c>
      <c r="N17" s="153">
        <f t="shared" si="19"/>
        <v>6070391</v>
      </c>
      <c r="O17" s="135">
        <f t="shared" si="12"/>
        <v>0</v>
      </c>
      <c r="P17" s="156">
        <f t="shared" si="20"/>
        <v>5393804</v>
      </c>
      <c r="Q17" s="135">
        <f t="shared" si="6"/>
        <v>0</v>
      </c>
      <c r="R17" s="153">
        <f t="shared" si="21"/>
        <v>19207079</v>
      </c>
      <c r="S17" s="135">
        <f t="shared" si="7"/>
        <v>0</v>
      </c>
      <c r="T17" s="160">
        <v>0</v>
      </c>
      <c r="U17" s="157"/>
      <c r="V17" s="153">
        <f t="shared" si="22"/>
        <v>7045624</v>
      </c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44516</v>
      </c>
      <c r="B18" s="44">
        <v>0</v>
      </c>
      <c r="C18" s="152">
        <f t="shared" si="14"/>
        <v>19088</v>
      </c>
      <c r="D18" s="44">
        <f t="shared" si="0"/>
        <v>0</v>
      </c>
      <c r="E18" s="153">
        <f t="shared" si="15"/>
        <v>28730355</v>
      </c>
      <c r="F18" s="44">
        <f t="shared" si="1"/>
        <v>0</v>
      </c>
      <c r="G18" s="154">
        <f t="shared" si="16"/>
        <v>91004066</v>
      </c>
      <c r="H18" s="44">
        <f t="shared" si="2"/>
        <v>0</v>
      </c>
      <c r="I18" s="159">
        <f t="shared" si="3"/>
        <v>0</v>
      </c>
      <c r="J18" s="153">
        <f t="shared" si="17"/>
        <v>8980897</v>
      </c>
      <c r="K18" s="44">
        <f t="shared" si="4"/>
        <v>0</v>
      </c>
      <c r="L18" s="156">
        <f t="shared" si="18"/>
        <v>8909627</v>
      </c>
      <c r="M18" s="135">
        <f t="shared" si="5"/>
        <v>0</v>
      </c>
      <c r="N18" s="153">
        <f t="shared" si="19"/>
        <v>6070391</v>
      </c>
      <c r="O18" s="135">
        <f t="shared" si="12"/>
        <v>0</v>
      </c>
      <c r="P18" s="156">
        <f t="shared" si="20"/>
        <v>5393804</v>
      </c>
      <c r="Q18" s="135">
        <f t="shared" si="6"/>
        <v>0</v>
      </c>
      <c r="R18" s="153">
        <f t="shared" si="21"/>
        <v>19207079</v>
      </c>
      <c r="S18" s="135">
        <f t="shared" si="7"/>
        <v>0</v>
      </c>
      <c r="T18" s="160">
        <v>0</v>
      </c>
      <c r="U18" s="157"/>
      <c r="V18" s="153">
        <f t="shared" si="22"/>
        <v>7045624</v>
      </c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si="14"/>
        <v>19088</v>
      </c>
      <c r="D19" s="44">
        <f t="shared" si="0"/>
        <v>0</v>
      </c>
      <c r="E19" s="153">
        <f t="shared" si="15"/>
        <v>28730355</v>
      </c>
      <c r="F19" s="44">
        <f t="shared" si="1"/>
        <v>0</v>
      </c>
      <c r="G19" s="154">
        <f t="shared" si="16"/>
        <v>91004066</v>
      </c>
      <c r="H19" s="44">
        <f t="shared" si="2"/>
        <v>0</v>
      </c>
      <c r="I19" s="159">
        <f t="shared" si="3"/>
        <v>0</v>
      </c>
      <c r="J19" s="153">
        <f t="shared" si="17"/>
        <v>8980897</v>
      </c>
      <c r="K19" s="44">
        <f t="shared" si="4"/>
        <v>0</v>
      </c>
      <c r="L19" s="156">
        <f t="shared" si="18"/>
        <v>8909627</v>
      </c>
      <c r="M19" s="135">
        <f t="shared" si="5"/>
        <v>0</v>
      </c>
      <c r="N19" s="153">
        <f t="shared" si="19"/>
        <v>6070391</v>
      </c>
      <c r="O19" s="135">
        <f t="shared" si="12"/>
        <v>0</v>
      </c>
      <c r="P19" s="156">
        <f t="shared" si="20"/>
        <v>5393804</v>
      </c>
      <c r="Q19" s="135">
        <f t="shared" si="6"/>
        <v>0</v>
      </c>
      <c r="R19" s="153">
        <f t="shared" si="21"/>
        <v>19207079</v>
      </c>
      <c r="S19" s="135">
        <f t="shared" si="7"/>
        <v>0</v>
      </c>
      <c r="T19" s="160">
        <v>0</v>
      </c>
      <c r="U19" s="157"/>
      <c r="V19" s="153">
        <f t="shared" si="22"/>
        <v>7045624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14"/>
        <v>19088</v>
      </c>
      <c r="D20" s="44">
        <f t="shared" si="0"/>
        <v>0</v>
      </c>
      <c r="E20" s="153">
        <f t="shared" si="15"/>
        <v>28730355</v>
      </c>
      <c r="F20" s="44">
        <f t="shared" si="1"/>
        <v>0</v>
      </c>
      <c r="G20" s="154">
        <f t="shared" si="16"/>
        <v>91004066</v>
      </c>
      <c r="H20" s="44">
        <f t="shared" si="2"/>
        <v>0</v>
      </c>
      <c r="I20" s="159">
        <f t="shared" si="3"/>
        <v>0</v>
      </c>
      <c r="J20" s="153">
        <f t="shared" si="17"/>
        <v>8980897</v>
      </c>
      <c r="K20" s="44">
        <f t="shared" si="4"/>
        <v>0</v>
      </c>
      <c r="L20" s="156">
        <f t="shared" si="18"/>
        <v>8909627</v>
      </c>
      <c r="M20" s="135">
        <f t="shared" si="5"/>
        <v>0</v>
      </c>
      <c r="N20" s="153">
        <f t="shared" si="19"/>
        <v>6070391</v>
      </c>
      <c r="O20" s="135">
        <f t="shared" si="12"/>
        <v>0</v>
      </c>
      <c r="P20" s="156">
        <f t="shared" si="20"/>
        <v>5393804</v>
      </c>
      <c r="Q20" s="135">
        <f t="shared" si="6"/>
        <v>0</v>
      </c>
      <c r="R20" s="153">
        <f t="shared" si="21"/>
        <v>19207079</v>
      </c>
      <c r="S20" s="135">
        <f t="shared" si="7"/>
        <v>0</v>
      </c>
      <c r="T20" s="160">
        <v>0</v>
      </c>
      <c r="U20" s="157"/>
      <c r="V20" s="153">
        <f t="shared" si="22"/>
        <v>7045624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14"/>
        <v>19088</v>
      </c>
      <c r="D21" s="44">
        <f t="shared" si="0"/>
        <v>0</v>
      </c>
      <c r="E21" s="153">
        <f t="shared" si="15"/>
        <v>28730355</v>
      </c>
      <c r="F21" s="44">
        <f t="shared" si="1"/>
        <v>0</v>
      </c>
      <c r="G21" s="154">
        <f t="shared" si="16"/>
        <v>91004066</v>
      </c>
      <c r="H21" s="44">
        <f t="shared" si="2"/>
        <v>0</v>
      </c>
      <c r="I21" s="159">
        <f t="shared" si="3"/>
        <v>0</v>
      </c>
      <c r="J21" s="153">
        <f t="shared" si="17"/>
        <v>8980897</v>
      </c>
      <c r="K21" s="44">
        <f t="shared" si="4"/>
        <v>0</v>
      </c>
      <c r="L21" s="156">
        <f t="shared" si="18"/>
        <v>8909627</v>
      </c>
      <c r="M21" s="135">
        <f t="shared" si="5"/>
        <v>0</v>
      </c>
      <c r="N21" s="153">
        <f t="shared" si="19"/>
        <v>6070391</v>
      </c>
      <c r="O21" s="135">
        <f t="shared" si="12"/>
        <v>0</v>
      </c>
      <c r="P21" s="156">
        <f t="shared" si="20"/>
        <v>5393804</v>
      </c>
      <c r="Q21" s="135">
        <f t="shared" si="6"/>
        <v>0</v>
      </c>
      <c r="R21" s="153">
        <f t="shared" si="21"/>
        <v>19207079</v>
      </c>
      <c r="S21" s="135">
        <f t="shared" si="7"/>
        <v>0</v>
      </c>
      <c r="T21" s="160">
        <v>0</v>
      </c>
      <c r="U21" s="157"/>
      <c r="V21" s="153">
        <f t="shared" si="22"/>
        <v>7045624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44520</v>
      </c>
      <c r="B22" s="44">
        <v>0</v>
      </c>
      <c r="C22" s="152">
        <f t="shared" si="14"/>
        <v>19088</v>
      </c>
      <c r="D22" s="44">
        <f t="shared" si="0"/>
        <v>0</v>
      </c>
      <c r="E22" s="153">
        <f t="shared" si="15"/>
        <v>28730355</v>
      </c>
      <c r="F22" s="44">
        <f t="shared" si="1"/>
        <v>0</v>
      </c>
      <c r="G22" s="154">
        <f t="shared" si="16"/>
        <v>91004066</v>
      </c>
      <c r="H22" s="44">
        <f t="shared" si="2"/>
        <v>0</v>
      </c>
      <c r="I22" s="155">
        <f t="shared" si="3"/>
        <v>0</v>
      </c>
      <c r="J22" s="153">
        <f t="shared" si="17"/>
        <v>8980897</v>
      </c>
      <c r="K22" s="44">
        <f t="shared" si="4"/>
        <v>0</v>
      </c>
      <c r="L22" s="156">
        <f t="shared" si="18"/>
        <v>8909627</v>
      </c>
      <c r="M22" s="44">
        <f t="shared" si="5"/>
        <v>0</v>
      </c>
      <c r="N22" s="153">
        <f t="shared" si="19"/>
        <v>6070391</v>
      </c>
      <c r="O22" s="44">
        <f t="shared" si="12"/>
        <v>0</v>
      </c>
      <c r="P22" s="156">
        <f t="shared" si="20"/>
        <v>5393804</v>
      </c>
      <c r="Q22" s="44">
        <f t="shared" si="6"/>
        <v>0</v>
      </c>
      <c r="R22" s="153">
        <f t="shared" si="21"/>
        <v>19207079</v>
      </c>
      <c r="S22" s="44">
        <f t="shared" si="7"/>
        <v>0</v>
      </c>
      <c r="T22" s="153">
        <v>0</v>
      </c>
      <c r="U22" s="157"/>
      <c r="V22" s="153">
        <f t="shared" si="22"/>
        <v>7045624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14"/>
        <v>19088</v>
      </c>
      <c r="D23" s="44">
        <f t="shared" si="0"/>
        <v>0</v>
      </c>
      <c r="E23" s="153">
        <f t="shared" si="15"/>
        <v>28730355</v>
      </c>
      <c r="F23" s="44">
        <f t="shared" si="1"/>
        <v>0</v>
      </c>
      <c r="G23" s="154">
        <f t="shared" si="16"/>
        <v>91004066</v>
      </c>
      <c r="H23" s="44">
        <f t="shared" si="2"/>
        <v>0</v>
      </c>
      <c r="I23" s="155">
        <f t="shared" si="3"/>
        <v>0</v>
      </c>
      <c r="J23" s="153">
        <f t="shared" si="17"/>
        <v>8980897</v>
      </c>
      <c r="K23" s="44">
        <f t="shared" si="4"/>
        <v>0</v>
      </c>
      <c r="L23" s="156">
        <f t="shared" si="18"/>
        <v>8909627</v>
      </c>
      <c r="M23" s="44">
        <f t="shared" si="5"/>
        <v>0</v>
      </c>
      <c r="N23" s="153">
        <f t="shared" si="19"/>
        <v>6070391</v>
      </c>
      <c r="O23" s="44">
        <f t="shared" si="12"/>
        <v>0</v>
      </c>
      <c r="P23" s="156">
        <f t="shared" si="20"/>
        <v>5393804</v>
      </c>
      <c r="Q23" s="44">
        <f t="shared" si="6"/>
        <v>0</v>
      </c>
      <c r="R23" s="153">
        <f t="shared" si="21"/>
        <v>19207079</v>
      </c>
      <c r="S23" s="44">
        <f t="shared" si="7"/>
        <v>0</v>
      </c>
      <c r="T23" s="153">
        <v>0</v>
      </c>
      <c r="U23" s="157"/>
      <c r="V23" s="153">
        <f t="shared" si="22"/>
        <v>7045624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14"/>
        <v>19088</v>
      </c>
      <c r="D24" s="44">
        <f t="shared" si="0"/>
        <v>0</v>
      </c>
      <c r="E24" s="153">
        <f t="shared" si="15"/>
        <v>28730355</v>
      </c>
      <c r="F24" s="44">
        <f t="shared" si="1"/>
        <v>0</v>
      </c>
      <c r="G24" s="154">
        <f t="shared" si="16"/>
        <v>91004066</v>
      </c>
      <c r="H24" s="44">
        <f t="shared" si="2"/>
        <v>0</v>
      </c>
      <c r="I24" s="155">
        <f t="shared" si="3"/>
        <v>0</v>
      </c>
      <c r="J24" s="153">
        <f t="shared" si="17"/>
        <v>8980897</v>
      </c>
      <c r="K24" s="44">
        <f t="shared" si="4"/>
        <v>0</v>
      </c>
      <c r="L24" s="156">
        <f t="shared" si="18"/>
        <v>8909627</v>
      </c>
      <c r="M24" s="44">
        <f t="shared" si="5"/>
        <v>0</v>
      </c>
      <c r="N24" s="153">
        <f t="shared" si="19"/>
        <v>6070391</v>
      </c>
      <c r="O24" s="44">
        <f t="shared" si="12"/>
        <v>0</v>
      </c>
      <c r="P24" s="156">
        <f t="shared" si="20"/>
        <v>5393804</v>
      </c>
      <c r="Q24" s="44">
        <f t="shared" si="6"/>
        <v>0</v>
      </c>
      <c r="R24" s="153">
        <f t="shared" si="21"/>
        <v>19207079</v>
      </c>
      <c r="S24" s="44">
        <f t="shared" si="7"/>
        <v>0</v>
      </c>
      <c r="T24" s="153">
        <v>0</v>
      </c>
      <c r="U24" s="157"/>
      <c r="V24" s="153">
        <f t="shared" si="22"/>
        <v>7045624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14"/>
        <v>19088</v>
      </c>
      <c r="D25" s="44">
        <f t="shared" si="0"/>
        <v>0</v>
      </c>
      <c r="E25" s="153">
        <f t="shared" si="15"/>
        <v>28730355</v>
      </c>
      <c r="F25" s="44">
        <f t="shared" si="1"/>
        <v>0</v>
      </c>
      <c r="G25" s="154">
        <f t="shared" si="16"/>
        <v>91004066</v>
      </c>
      <c r="H25" s="44">
        <f t="shared" si="2"/>
        <v>0</v>
      </c>
      <c r="I25" s="155">
        <f t="shared" si="3"/>
        <v>0</v>
      </c>
      <c r="J25" s="153">
        <f t="shared" si="17"/>
        <v>8980897</v>
      </c>
      <c r="K25" s="44">
        <f t="shared" si="4"/>
        <v>0</v>
      </c>
      <c r="L25" s="156">
        <f t="shared" si="18"/>
        <v>8909627</v>
      </c>
      <c r="M25" s="44">
        <f t="shared" si="5"/>
        <v>0</v>
      </c>
      <c r="N25" s="153">
        <f t="shared" si="19"/>
        <v>6070391</v>
      </c>
      <c r="O25" s="44">
        <f t="shared" si="12"/>
        <v>0</v>
      </c>
      <c r="P25" s="156">
        <f t="shared" si="20"/>
        <v>5393804</v>
      </c>
      <c r="Q25" s="44">
        <f t="shared" si="6"/>
        <v>0</v>
      </c>
      <c r="R25" s="153">
        <f t="shared" si="21"/>
        <v>19207079</v>
      </c>
      <c r="S25" s="44">
        <f t="shared" si="7"/>
        <v>0</v>
      </c>
      <c r="T25" s="153">
        <v>0</v>
      </c>
      <c r="U25" s="157"/>
      <c r="V25" s="153">
        <f t="shared" si="22"/>
        <v>7045624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14"/>
        <v>19088</v>
      </c>
      <c r="D26" s="44">
        <f t="shared" si="0"/>
        <v>0</v>
      </c>
      <c r="E26" s="153">
        <f t="shared" si="15"/>
        <v>28730355</v>
      </c>
      <c r="F26" s="44">
        <f t="shared" si="1"/>
        <v>0</v>
      </c>
      <c r="G26" s="154">
        <f t="shared" si="16"/>
        <v>91004066</v>
      </c>
      <c r="H26" s="44">
        <f t="shared" si="2"/>
        <v>0</v>
      </c>
      <c r="I26" s="155">
        <f t="shared" si="3"/>
        <v>0</v>
      </c>
      <c r="J26" s="153">
        <f t="shared" si="17"/>
        <v>8980897</v>
      </c>
      <c r="K26" s="44">
        <f t="shared" si="4"/>
        <v>0</v>
      </c>
      <c r="L26" s="156">
        <f t="shared" si="18"/>
        <v>8909627</v>
      </c>
      <c r="M26" s="44">
        <f t="shared" si="5"/>
        <v>0</v>
      </c>
      <c r="N26" s="153">
        <f t="shared" si="19"/>
        <v>6070391</v>
      </c>
      <c r="O26" s="44">
        <f t="shared" si="12"/>
        <v>0</v>
      </c>
      <c r="P26" s="156">
        <f t="shared" si="20"/>
        <v>5393804</v>
      </c>
      <c r="Q26" s="44">
        <f t="shared" si="6"/>
        <v>0</v>
      </c>
      <c r="R26" s="153">
        <f t="shared" si="21"/>
        <v>19207079</v>
      </c>
      <c r="S26" s="44">
        <f t="shared" si="7"/>
        <v>0</v>
      </c>
      <c r="T26" s="153">
        <v>0</v>
      </c>
      <c r="U26" s="157"/>
      <c r="V26" s="153">
        <f t="shared" si="22"/>
        <v>7045624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14"/>
        <v>19088</v>
      </c>
      <c r="D27" s="44">
        <f t="shared" si="0"/>
        <v>0</v>
      </c>
      <c r="E27" s="153">
        <f t="shared" si="15"/>
        <v>28730355</v>
      </c>
      <c r="F27" s="44">
        <f t="shared" si="1"/>
        <v>0</v>
      </c>
      <c r="G27" s="154">
        <f t="shared" si="16"/>
        <v>91004066</v>
      </c>
      <c r="H27" s="44">
        <f t="shared" si="2"/>
        <v>0</v>
      </c>
      <c r="I27" s="155">
        <f t="shared" si="3"/>
        <v>0</v>
      </c>
      <c r="J27" s="153">
        <f t="shared" si="17"/>
        <v>8980897</v>
      </c>
      <c r="K27" s="44">
        <f t="shared" si="4"/>
        <v>0</v>
      </c>
      <c r="L27" s="156">
        <f t="shared" si="18"/>
        <v>8909627</v>
      </c>
      <c r="M27" s="44">
        <f t="shared" si="5"/>
        <v>0</v>
      </c>
      <c r="N27" s="153">
        <f t="shared" si="19"/>
        <v>6070391</v>
      </c>
      <c r="O27" s="44">
        <f t="shared" si="12"/>
        <v>0</v>
      </c>
      <c r="P27" s="156">
        <f t="shared" si="20"/>
        <v>5393804</v>
      </c>
      <c r="Q27" s="44">
        <f t="shared" si="6"/>
        <v>0</v>
      </c>
      <c r="R27" s="153">
        <f t="shared" si="21"/>
        <v>19207079</v>
      </c>
      <c r="S27" s="44">
        <f t="shared" si="7"/>
        <v>0</v>
      </c>
      <c r="T27" s="153">
        <v>0</v>
      </c>
      <c r="U27" s="157"/>
      <c r="V27" s="153">
        <f t="shared" si="22"/>
        <v>7045624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14"/>
        <v>19088</v>
      </c>
      <c r="D28" s="44">
        <f t="shared" si="0"/>
        <v>0</v>
      </c>
      <c r="E28" s="153">
        <f t="shared" si="15"/>
        <v>28730355</v>
      </c>
      <c r="F28" s="44">
        <f t="shared" si="1"/>
        <v>0</v>
      </c>
      <c r="G28" s="154">
        <f t="shared" si="16"/>
        <v>91004066</v>
      </c>
      <c r="H28" s="44">
        <f t="shared" si="2"/>
        <v>0</v>
      </c>
      <c r="I28" s="155">
        <f t="shared" si="3"/>
        <v>0</v>
      </c>
      <c r="J28" s="153">
        <f t="shared" si="17"/>
        <v>8980897</v>
      </c>
      <c r="K28" s="44">
        <f t="shared" si="4"/>
        <v>0</v>
      </c>
      <c r="L28" s="156">
        <f t="shared" si="18"/>
        <v>8909627</v>
      </c>
      <c r="M28" s="44">
        <f t="shared" si="5"/>
        <v>0</v>
      </c>
      <c r="N28" s="153">
        <f t="shared" si="19"/>
        <v>6070391</v>
      </c>
      <c r="O28" s="44">
        <f t="shared" si="12"/>
        <v>0</v>
      </c>
      <c r="P28" s="156">
        <f t="shared" si="20"/>
        <v>5393804</v>
      </c>
      <c r="Q28" s="44">
        <f t="shared" si="6"/>
        <v>0</v>
      </c>
      <c r="R28" s="153">
        <f t="shared" si="21"/>
        <v>19207079</v>
      </c>
      <c r="S28" s="44">
        <f t="shared" si="7"/>
        <v>0</v>
      </c>
      <c r="T28" s="153">
        <v>0</v>
      </c>
      <c r="U28" s="157"/>
      <c r="V28" s="153">
        <f t="shared" si="22"/>
        <v>7045624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14"/>
        <v>19088</v>
      </c>
      <c r="D29" s="44">
        <f t="shared" si="0"/>
        <v>0</v>
      </c>
      <c r="E29" s="153">
        <f t="shared" si="15"/>
        <v>28730355</v>
      </c>
      <c r="F29" s="44">
        <f t="shared" si="1"/>
        <v>0</v>
      </c>
      <c r="G29" s="154">
        <f t="shared" si="16"/>
        <v>91004066</v>
      </c>
      <c r="H29" s="44">
        <f t="shared" si="2"/>
        <v>0</v>
      </c>
      <c r="I29" s="155">
        <f t="shared" si="3"/>
        <v>0</v>
      </c>
      <c r="J29" s="153">
        <f t="shared" si="17"/>
        <v>8980897</v>
      </c>
      <c r="K29" s="44">
        <f t="shared" si="4"/>
        <v>0</v>
      </c>
      <c r="L29" s="156">
        <f t="shared" si="18"/>
        <v>8909627</v>
      </c>
      <c r="M29" s="44">
        <f t="shared" si="5"/>
        <v>0</v>
      </c>
      <c r="N29" s="153">
        <f t="shared" si="19"/>
        <v>6070391</v>
      </c>
      <c r="O29" s="44">
        <f t="shared" si="12"/>
        <v>0</v>
      </c>
      <c r="P29" s="156">
        <f t="shared" si="20"/>
        <v>5393804</v>
      </c>
      <c r="Q29" s="44">
        <f t="shared" si="6"/>
        <v>0</v>
      </c>
      <c r="R29" s="153">
        <f t="shared" si="21"/>
        <v>19207079</v>
      </c>
      <c r="S29" s="44">
        <f t="shared" si="7"/>
        <v>0</v>
      </c>
      <c r="T29" s="153">
        <v>0</v>
      </c>
      <c r="U29" s="157"/>
      <c r="V29" s="153">
        <f t="shared" si="22"/>
        <v>7045624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14"/>
        <v>19088</v>
      </c>
      <c r="D30" s="44">
        <f t="shared" si="0"/>
        <v>0</v>
      </c>
      <c r="E30" s="153">
        <f t="shared" si="15"/>
        <v>28730355</v>
      </c>
      <c r="F30" s="44">
        <f t="shared" si="1"/>
        <v>0</v>
      </c>
      <c r="G30" s="154">
        <f t="shared" si="16"/>
        <v>91004066</v>
      </c>
      <c r="H30" s="44">
        <f t="shared" si="2"/>
        <v>0</v>
      </c>
      <c r="I30" s="155">
        <f t="shared" si="3"/>
        <v>0</v>
      </c>
      <c r="J30" s="153">
        <f t="shared" si="17"/>
        <v>8980897</v>
      </c>
      <c r="K30" s="44">
        <f t="shared" si="4"/>
        <v>0</v>
      </c>
      <c r="L30" s="156">
        <f t="shared" si="18"/>
        <v>8909627</v>
      </c>
      <c r="M30" s="44">
        <f t="shared" si="5"/>
        <v>0</v>
      </c>
      <c r="N30" s="153">
        <f t="shared" si="19"/>
        <v>6070391</v>
      </c>
      <c r="O30" s="44">
        <f t="shared" si="12"/>
        <v>0</v>
      </c>
      <c r="P30" s="156">
        <f t="shared" si="20"/>
        <v>5393804</v>
      </c>
      <c r="Q30" s="44">
        <f t="shared" si="6"/>
        <v>0</v>
      </c>
      <c r="R30" s="153">
        <f t="shared" si="21"/>
        <v>19207079</v>
      </c>
      <c r="S30" s="44">
        <f t="shared" si="7"/>
        <v>0</v>
      </c>
      <c r="T30" s="153">
        <v>0</v>
      </c>
      <c r="U30" s="157"/>
      <c r="V30" s="153">
        <f t="shared" si="22"/>
        <v>7045624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14"/>
        <v>19088</v>
      </c>
      <c r="D31" s="44">
        <f t="shared" si="0"/>
        <v>0</v>
      </c>
      <c r="E31" s="153">
        <f t="shared" si="15"/>
        <v>28730355</v>
      </c>
      <c r="F31" s="44">
        <f t="shared" si="1"/>
        <v>0</v>
      </c>
      <c r="G31" s="154">
        <f t="shared" si="16"/>
        <v>91004066</v>
      </c>
      <c r="H31" s="44">
        <f t="shared" si="2"/>
        <v>0</v>
      </c>
      <c r="I31" s="155">
        <f t="shared" si="3"/>
        <v>0</v>
      </c>
      <c r="J31" s="153">
        <f t="shared" si="17"/>
        <v>8980897</v>
      </c>
      <c r="K31" s="44">
        <f t="shared" si="4"/>
        <v>0</v>
      </c>
      <c r="L31" s="156">
        <f t="shared" si="18"/>
        <v>8909627</v>
      </c>
      <c r="M31" s="44">
        <f t="shared" si="5"/>
        <v>0</v>
      </c>
      <c r="N31" s="153">
        <f t="shared" si="19"/>
        <v>6070391</v>
      </c>
      <c r="O31" s="44">
        <f t="shared" si="12"/>
        <v>0</v>
      </c>
      <c r="P31" s="156">
        <f t="shared" si="20"/>
        <v>5393804</v>
      </c>
      <c r="Q31" s="44">
        <f t="shared" si="6"/>
        <v>0</v>
      </c>
      <c r="R31" s="153">
        <f t="shared" si="21"/>
        <v>19207079</v>
      </c>
      <c r="S31" s="44">
        <f t="shared" si="7"/>
        <v>0</v>
      </c>
      <c r="T31" s="153">
        <v>0</v>
      </c>
      <c r="U31" s="11"/>
      <c r="V31" s="153">
        <f t="shared" si="22"/>
        <v>7045624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14"/>
        <v>19088</v>
      </c>
      <c r="D32" s="44">
        <f t="shared" si="0"/>
        <v>0</v>
      </c>
      <c r="E32" s="153">
        <f t="shared" si="15"/>
        <v>28730355</v>
      </c>
      <c r="F32" s="44">
        <f t="shared" si="1"/>
        <v>0</v>
      </c>
      <c r="G32" s="154">
        <f t="shared" si="16"/>
        <v>91004066</v>
      </c>
      <c r="H32" s="44">
        <f t="shared" si="2"/>
        <v>0</v>
      </c>
      <c r="I32" s="22">
        <f>F32+H32</f>
        <v>0</v>
      </c>
      <c r="J32" s="153">
        <f t="shared" si="17"/>
        <v>8980897</v>
      </c>
      <c r="K32" s="44">
        <f t="shared" si="4"/>
        <v>0</v>
      </c>
      <c r="L32" s="156">
        <f t="shared" si="18"/>
        <v>8909627</v>
      </c>
      <c r="M32" s="44">
        <f t="shared" si="5"/>
        <v>0</v>
      </c>
      <c r="N32" s="153">
        <f t="shared" si="19"/>
        <v>6070391</v>
      </c>
      <c r="O32" s="44">
        <f t="shared" si="12"/>
        <v>0</v>
      </c>
      <c r="P32" s="156">
        <f t="shared" si="20"/>
        <v>5393804</v>
      </c>
      <c r="Q32" s="44">
        <f t="shared" si="6"/>
        <v>0</v>
      </c>
      <c r="R32" s="153">
        <f t="shared" si="21"/>
        <v>19207079</v>
      </c>
      <c r="S32" s="44">
        <f t="shared" si="7"/>
        <v>0</v>
      </c>
      <c r="T32" s="153">
        <v>0</v>
      </c>
      <c r="U32" s="11"/>
      <c r="V32" s="153">
        <f t="shared" si="22"/>
        <v>7045624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/>
      <c r="E33" s="153"/>
      <c r="F33" s="44"/>
      <c r="G33" s="154"/>
      <c r="H33" s="44"/>
      <c r="I33" s="22"/>
      <c r="J33" s="153"/>
      <c r="K33" s="44"/>
      <c r="L33" s="156"/>
      <c r="M33" s="44"/>
      <c r="N33" s="153"/>
      <c r="O33" s="44"/>
      <c r="P33" s="156"/>
      <c r="Q33" s="44"/>
      <c r="R33" s="153"/>
      <c r="S33" s="44"/>
      <c r="T33" s="153"/>
      <c r="U33" s="11"/>
      <c r="V33" s="153"/>
      <c r="W33" s="44"/>
      <c r="X33" s="22"/>
      <c r="Y33" s="158"/>
      <c r="Z33" s="3"/>
      <c r="AA33" s="3"/>
    </row>
    <row r="34" spans="1:27" ht="16.5" thickBot="1" x14ac:dyDescent="0.3">
      <c r="A34" s="6" t="s">
        <v>23</v>
      </c>
      <c r="B34" s="144">
        <f>SUM(B2:B33)</f>
        <v>1547</v>
      </c>
      <c r="C34" s="144"/>
      <c r="D34" s="144">
        <f>SUM(D2:D33)</f>
        <v>3520</v>
      </c>
      <c r="E34" s="61">
        <v>0</v>
      </c>
      <c r="F34" s="61">
        <f>SUM(F2:F33)</f>
        <v>122680</v>
      </c>
      <c r="G34" s="61">
        <v>0</v>
      </c>
      <c r="H34" s="61">
        <f>SUM(H2:H33)</f>
        <v>245161</v>
      </c>
      <c r="I34" s="61">
        <f>SUM(I5:I33)</f>
        <v>254397</v>
      </c>
      <c r="J34" s="61">
        <v>0</v>
      </c>
      <c r="K34" s="61">
        <f>SUM(K2:K33)</f>
        <v>31203</v>
      </c>
      <c r="L34" s="61">
        <v>0</v>
      </c>
      <c r="M34" s="61">
        <f>SUM(M2:M33)</f>
        <v>34209</v>
      </c>
      <c r="N34" s="61">
        <v>0</v>
      </c>
      <c r="O34" s="61">
        <f>SUM(O2:O33)</f>
        <v>87256</v>
      </c>
      <c r="P34" s="61">
        <v>0</v>
      </c>
      <c r="Q34" s="61">
        <f>SUM(Q2:Q33)</f>
        <v>20196</v>
      </c>
      <c r="R34" s="61">
        <v>0</v>
      </c>
      <c r="S34" s="61">
        <f>SUM(S2:S33)</f>
        <v>57784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64894</v>
      </c>
      <c r="X34" s="61">
        <f>SUM(X5:X33)</f>
        <v>205276</v>
      </c>
      <c r="Y34" s="61">
        <f>SUM(Y2:Y33)</f>
        <v>88232</v>
      </c>
      <c r="Z34" s="61">
        <f>SUM(Z2:Z33)</f>
        <v>55125.181238599995</v>
      </c>
      <c r="AA34" s="61">
        <f>SUM(AA2:AA33)</f>
        <v>226728.75869039999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8" sqref="J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3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f t="shared" ref="B8:B32" si="8">B8</f>
        <v>430777</v>
      </c>
      <c r="C9" s="44">
        <f t="shared" ref="C9:C32" si="9">(IF((B9-B8)&lt;0,"0",(B9-B8)))*10</f>
        <v>0</v>
      </c>
      <c r="D9" s="3">
        <v>4377000</v>
      </c>
      <c r="E9" s="44">
        <f t="shared" si="3"/>
        <v>0</v>
      </c>
      <c r="F9" s="3">
        <f t="shared" ref="F8:F32" si="10">F8</f>
        <v>6515200</v>
      </c>
      <c r="G9" s="44">
        <f t="shared" si="6"/>
        <v>0</v>
      </c>
      <c r="H9" s="3">
        <f t="shared" ref="H8:H32" si="11">H8</f>
        <v>756985</v>
      </c>
      <c r="I9" s="49">
        <f t="shared" si="7"/>
        <v>0</v>
      </c>
      <c r="J9" s="22">
        <f t="shared" si="4"/>
        <v>0</v>
      </c>
      <c r="K9" s="23">
        <f t="shared" si="5"/>
        <v>0</v>
      </c>
    </row>
    <row r="10" spans="1:14" ht="16.5" thickBot="1" x14ac:dyDescent="0.3">
      <c r="A10" s="10">
        <v>44508</v>
      </c>
      <c r="B10" s="3">
        <f t="shared" si="8"/>
        <v>430777</v>
      </c>
      <c r="C10" s="44">
        <f>(IF((B10-B9)&lt;0,"0",(B10-B9)))*10</f>
        <v>0</v>
      </c>
      <c r="D10" s="3">
        <v>4377000</v>
      </c>
      <c r="E10" s="44">
        <f t="shared" si="3"/>
        <v>0</v>
      </c>
      <c r="F10" s="3">
        <f t="shared" si="10"/>
        <v>6515200</v>
      </c>
      <c r="G10" s="44">
        <f t="shared" si="6"/>
        <v>0</v>
      </c>
      <c r="H10" s="3">
        <f t="shared" si="11"/>
        <v>756985</v>
      </c>
      <c r="I10" s="49">
        <f t="shared" si="7"/>
        <v>0</v>
      </c>
      <c r="J10" s="22">
        <f t="shared" si="4"/>
        <v>0</v>
      </c>
      <c r="K10" s="23">
        <f t="shared" si="5"/>
        <v>0</v>
      </c>
    </row>
    <row r="11" spans="1:14" ht="16.5" thickBot="1" x14ac:dyDescent="0.3">
      <c r="A11" s="10">
        <v>44509</v>
      </c>
      <c r="B11" s="3">
        <f t="shared" si="8"/>
        <v>430777</v>
      </c>
      <c r="C11" s="44">
        <f t="shared" si="9"/>
        <v>0</v>
      </c>
      <c r="D11" s="3">
        <v>4377000</v>
      </c>
      <c r="E11" s="44">
        <f t="shared" si="3"/>
        <v>0</v>
      </c>
      <c r="F11" s="3">
        <f t="shared" si="10"/>
        <v>6515200</v>
      </c>
      <c r="G11" s="44">
        <f t="shared" si="6"/>
        <v>0</v>
      </c>
      <c r="H11" s="3">
        <f t="shared" si="11"/>
        <v>756985</v>
      </c>
      <c r="I11" s="49">
        <f t="shared" si="7"/>
        <v>0</v>
      </c>
      <c r="J11" s="22">
        <f t="shared" si="4"/>
        <v>0</v>
      </c>
      <c r="K11" s="23">
        <f t="shared" si="5"/>
        <v>0</v>
      </c>
      <c r="N11" t="s">
        <v>12</v>
      </c>
    </row>
    <row r="12" spans="1:14" ht="16.5" thickBot="1" x14ac:dyDescent="0.3">
      <c r="A12" s="10">
        <v>44510</v>
      </c>
      <c r="B12" s="3">
        <f t="shared" si="8"/>
        <v>430777</v>
      </c>
      <c r="C12" s="44">
        <f t="shared" si="9"/>
        <v>0</v>
      </c>
      <c r="D12" s="3">
        <v>4377000</v>
      </c>
      <c r="E12" s="44">
        <f t="shared" si="3"/>
        <v>0</v>
      </c>
      <c r="F12" s="3">
        <f t="shared" si="10"/>
        <v>6515200</v>
      </c>
      <c r="G12" s="44">
        <f t="shared" si="6"/>
        <v>0</v>
      </c>
      <c r="H12" s="3">
        <f t="shared" si="11"/>
        <v>756985</v>
      </c>
      <c r="I12" s="49">
        <f t="shared" si="7"/>
        <v>0</v>
      </c>
      <c r="J12" s="22">
        <f t="shared" si="4"/>
        <v>0</v>
      </c>
      <c r="K12" s="23">
        <f t="shared" si="5"/>
        <v>0</v>
      </c>
    </row>
    <row r="13" spans="1:14" ht="16.5" thickBot="1" x14ac:dyDescent="0.3">
      <c r="A13" s="10">
        <v>44511</v>
      </c>
      <c r="B13" s="3">
        <f t="shared" si="8"/>
        <v>430777</v>
      </c>
      <c r="C13" s="44">
        <f t="shared" si="9"/>
        <v>0</v>
      </c>
      <c r="D13" s="3">
        <v>4377000</v>
      </c>
      <c r="E13" s="44">
        <f t="shared" si="3"/>
        <v>0</v>
      </c>
      <c r="F13" s="3">
        <f t="shared" si="10"/>
        <v>6515200</v>
      </c>
      <c r="G13" s="44">
        <f t="shared" si="6"/>
        <v>0</v>
      </c>
      <c r="H13" s="3">
        <f t="shared" si="11"/>
        <v>756985</v>
      </c>
      <c r="I13" s="49">
        <f t="shared" si="7"/>
        <v>0</v>
      </c>
      <c r="J13" s="22">
        <f t="shared" si="4"/>
        <v>0</v>
      </c>
      <c r="K13" s="23">
        <f t="shared" si="5"/>
        <v>0</v>
      </c>
    </row>
    <row r="14" spans="1:14" ht="16.5" thickBot="1" x14ac:dyDescent="0.3">
      <c r="A14" s="10">
        <v>44512</v>
      </c>
      <c r="B14" s="3">
        <f t="shared" si="8"/>
        <v>430777</v>
      </c>
      <c r="C14" s="44">
        <f t="shared" si="9"/>
        <v>0</v>
      </c>
      <c r="D14" s="3">
        <v>4377000</v>
      </c>
      <c r="E14" s="44">
        <f t="shared" si="3"/>
        <v>0</v>
      </c>
      <c r="F14" s="3">
        <f t="shared" si="10"/>
        <v>6515200</v>
      </c>
      <c r="G14" s="44">
        <f t="shared" si="6"/>
        <v>0</v>
      </c>
      <c r="H14" s="3">
        <f t="shared" si="11"/>
        <v>756985</v>
      </c>
      <c r="I14" s="49">
        <f t="shared" si="7"/>
        <v>0</v>
      </c>
      <c r="J14" s="22">
        <f t="shared" si="4"/>
        <v>0</v>
      </c>
      <c r="K14" s="23">
        <f t="shared" si="5"/>
        <v>0</v>
      </c>
    </row>
    <row r="15" spans="1:14" ht="16.5" thickBot="1" x14ac:dyDescent="0.3">
      <c r="A15" s="10">
        <v>44513</v>
      </c>
      <c r="B15" s="3">
        <f t="shared" si="8"/>
        <v>430777</v>
      </c>
      <c r="C15" s="44">
        <f t="shared" si="9"/>
        <v>0</v>
      </c>
      <c r="D15" s="3">
        <v>4377000</v>
      </c>
      <c r="E15" s="44">
        <f t="shared" si="3"/>
        <v>0</v>
      </c>
      <c r="F15" s="3">
        <f t="shared" si="10"/>
        <v>6515200</v>
      </c>
      <c r="G15" s="44">
        <f t="shared" si="6"/>
        <v>0</v>
      </c>
      <c r="H15" s="3">
        <f t="shared" si="11"/>
        <v>756985</v>
      </c>
      <c r="I15" s="49">
        <f t="shared" si="7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44514</v>
      </c>
      <c r="B16" s="3">
        <f t="shared" si="8"/>
        <v>430777</v>
      </c>
      <c r="C16" s="44">
        <f t="shared" si="9"/>
        <v>0</v>
      </c>
      <c r="D16" s="3">
        <v>4377000</v>
      </c>
      <c r="E16" s="44">
        <f t="shared" si="3"/>
        <v>0</v>
      </c>
      <c r="F16" s="3">
        <f t="shared" si="10"/>
        <v>6515200</v>
      </c>
      <c r="G16" s="44">
        <f t="shared" si="6"/>
        <v>0</v>
      </c>
      <c r="H16" s="3">
        <f t="shared" si="11"/>
        <v>756985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44515</v>
      </c>
      <c r="B17" s="3">
        <f t="shared" si="8"/>
        <v>430777</v>
      </c>
      <c r="C17" s="44">
        <f t="shared" si="9"/>
        <v>0</v>
      </c>
      <c r="D17" s="3">
        <v>4377000</v>
      </c>
      <c r="E17" s="44">
        <f t="shared" si="3"/>
        <v>0</v>
      </c>
      <c r="F17" s="3">
        <f t="shared" si="10"/>
        <v>6515200</v>
      </c>
      <c r="G17" s="44">
        <f t="shared" si="6"/>
        <v>0</v>
      </c>
      <c r="H17" s="3">
        <f t="shared" si="11"/>
        <v>756985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f t="shared" si="8"/>
        <v>430777</v>
      </c>
      <c r="C18" s="44">
        <f t="shared" si="9"/>
        <v>0</v>
      </c>
      <c r="D18" s="3">
        <v>4377000</v>
      </c>
      <c r="E18" s="44">
        <f t="shared" si="3"/>
        <v>0</v>
      </c>
      <c r="F18" s="3">
        <f t="shared" si="10"/>
        <v>6515200</v>
      </c>
      <c r="G18" s="44">
        <f t="shared" si="6"/>
        <v>0</v>
      </c>
      <c r="H18" s="3">
        <f t="shared" si="11"/>
        <v>756985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44517</v>
      </c>
      <c r="B19" s="3">
        <f t="shared" si="8"/>
        <v>430777</v>
      </c>
      <c r="C19" s="44">
        <f t="shared" si="9"/>
        <v>0</v>
      </c>
      <c r="D19" s="3">
        <v>4377000</v>
      </c>
      <c r="E19" s="44">
        <f t="shared" si="3"/>
        <v>0</v>
      </c>
      <c r="F19" s="3">
        <f t="shared" si="10"/>
        <v>6515200</v>
      </c>
      <c r="G19" s="44">
        <f t="shared" si="6"/>
        <v>0</v>
      </c>
      <c r="H19" s="3">
        <f t="shared" si="11"/>
        <v>756985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8"/>
        <v>430777</v>
      </c>
      <c r="C20" s="44">
        <f t="shared" si="9"/>
        <v>0</v>
      </c>
      <c r="D20" s="3">
        <v>4377000</v>
      </c>
      <c r="E20" s="44">
        <f t="shared" si="3"/>
        <v>0</v>
      </c>
      <c r="F20" s="3">
        <f t="shared" si="10"/>
        <v>6515200</v>
      </c>
      <c r="G20" s="44">
        <f t="shared" si="6"/>
        <v>0</v>
      </c>
      <c r="H20" s="3">
        <f t="shared" si="11"/>
        <v>756985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8"/>
        <v>430777</v>
      </c>
      <c r="C21" s="44">
        <f t="shared" si="9"/>
        <v>0</v>
      </c>
      <c r="D21" s="3">
        <v>4377000</v>
      </c>
      <c r="E21" s="44">
        <f t="shared" si="3"/>
        <v>0</v>
      </c>
      <c r="F21" s="3">
        <f t="shared" si="10"/>
        <v>6515200</v>
      </c>
      <c r="G21" s="44">
        <f t="shared" si="6"/>
        <v>0</v>
      </c>
      <c r="H21" s="3">
        <f t="shared" si="11"/>
        <v>756985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8"/>
        <v>430777</v>
      </c>
      <c r="C22" s="44">
        <f t="shared" si="9"/>
        <v>0</v>
      </c>
      <c r="D22" s="3">
        <v>4377000</v>
      </c>
      <c r="E22" s="44">
        <f t="shared" si="3"/>
        <v>0</v>
      </c>
      <c r="F22" s="3">
        <f t="shared" si="10"/>
        <v>6515200</v>
      </c>
      <c r="G22" s="44">
        <f t="shared" si="6"/>
        <v>0</v>
      </c>
      <c r="H22" s="3">
        <f t="shared" si="11"/>
        <v>756985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8"/>
        <v>430777</v>
      </c>
      <c r="C23" s="44">
        <f t="shared" si="9"/>
        <v>0</v>
      </c>
      <c r="D23" s="3">
        <v>4377000</v>
      </c>
      <c r="E23" s="44">
        <f t="shared" si="3"/>
        <v>0</v>
      </c>
      <c r="F23" s="3">
        <f t="shared" si="10"/>
        <v>6515200</v>
      </c>
      <c r="G23" s="44">
        <f t="shared" si="6"/>
        <v>0</v>
      </c>
      <c r="H23" s="3">
        <f t="shared" si="11"/>
        <v>756985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8"/>
        <v>430777</v>
      </c>
      <c r="C24" s="44">
        <f t="shared" si="9"/>
        <v>0</v>
      </c>
      <c r="D24" s="3">
        <v>4377000</v>
      </c>
      <c r="E24" s="44">
        <f t="shared" si="3"/>
        <v>0</v>
      </c>
      <c r="F24" s="3">
        <f t="shared" si="10"/>
        <v>6515200</v>
      </c>
      <c r="G24" s="44">
        <f t="shared" si="6"/>
        <v>0</v>
      </c>
      <c r="H24" s="3">
        <f t="shared" si="11"/>
        <v>756985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8"/>
        <v>430777</v>
      </c>
      <c r="C25" s="44">
        <f t="shared" si="9"/>
        <v>0</v>
      </c>
      <c r="D25" s="3">
        <v>4377000</v>
      </c>
      <c r="E25" s="44">
        <f t="shared" si="3"/>
        <v>0</v>
      </c>
      <c r="F25" s="3">
        <f t="shared" si="10"/>
        <v>6515200</v>
      </c>
      <c r="G25" s="44">
        <f t="shared" si="6"/>
        <v>0</v>
      </c>
      <c r="H25" s="3">
        <f t="shared" si="11"/>
        <v>756985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8"/>
        <v>430777</v>
      </c>
      <c r="C26" s="44">
        <f t="shared" si="9"/>
        <v>0</v>
      </c>
      <c r="D26" s="3">
        <v>4377000</v>
      </c>
      <c r="E26" s="44">
        <f t="shared" si="3"/>
        <v>0</v>
      </c>
      <c r="F26" s="3">
        <f t="shared" si="10"/>
        <v>6515200</v>
      </c>
      <c r="G26" s="44">
        <f t="shared" si="6"/>
        <v>0</v>
      </c>
      <c r="H26" s="3">
        <f t="shared" si="11"/>
        <v>756985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8"/>
        <v>430777</v>
      </c>
      <c r="C27" s="44">
        <f t="shared" si="9"/>
        <v>0</v>
      </c>
      <c r="D27" s="3">
        <v>4377000</v>
      </c>
      <c r="E27" s="44">
        <f t="shared" si="3"/>
        <v>0</v>
      </c>
      <c r="F27" s="3">
        <f t="shared" si="10"/>
        <v>6515200</v>
      </c>
      <c r="G27" s="44">
        <f t="shared" si="6"/>
        <v>0</v>
      </c>
      <c r="H27" s="3">
        <f t="shared" si="11"/>
        <v>756985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8"/>
        <v>430777</v>
      </c>
      <c r="C28" s="44">
        <f t="shared" si="9"/>
        <v>0</v>
      </c>
      <c r="D28" s="3">
        <v>4377000</v>
      </c>
      <c r="E28" s="44">
        <f t="shared" si="3"/>
        <v>0</v>
      </c>
      <c r="F28" s="3">
        <f t="shared" si="10"/>
        <v>6515200</v>
      </c>
      <c r="G28" s="44">
        <f t="shared" si="6"/>
        <v>0</v>
      </c>
      <c r="H28" s="3">
        <f t="shared" si="11"/>
        <v>756985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8"/>
        <v>430777</v>
      </c>
      <c r="C29" s="44">
        <f t="shared" si="9"/>
        <v>0</v>
      </c>
      <c r="D29" s="3">
        <v>4377000</v>
      </c>
      <c r="E29" s="44">
        <f t="shared" si="3"/>
        <v>0</v>
      </c>
      <c r="F29" s="3">
        <f t="shared" si="10"/>
        <v>6515200</v>
      </c>
      <c r="G29" s="44">
        <f t="shared" si="6"/>
        <v>0</v>
      </c>
      <c r="H29" s="3">
        <f t="shared" si="11"/>
        <v>756985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8"/>
        <v>430777</v>
      </c>
      <c r="C30" s="44">
        <f t="shared" si="9"/>
        <v>0</v>
      </c>
      <c r="D30" s="3">
        <v>4377000</v>
      </c>
      <c r="E30" s="44">
        <f t="shared" si="3"/>
        <v>0</v>
      </c>
      <c r="F30" s="3">
        <f t="shared" si="10"/>
        <v>6515200</v>
      </c>
      <c r="G30" s="44">
        <f t="shared" si="6"/>
        <v>0</v>
      </c>
      <c r="H30" s="3">
        <f t="shared" si="11"/>
        <v>756985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8"/>
        <v>430777</v>
      </c>
      <c r="C31" s="44">
        <f t="shared" si="9"/>
        <v>0</v>
      </c>
      <c r="D31" s="3">
        <v>4377000</v>
      </c>
      <c r="E31" s="44">
        <f t="shared" si="3"/>
        <v>0</v>
      </c>
      <c r="F31" s="3">
        <f t="shared" si="10"/>
        <v>6515200</v>
      </c>
      <c r="G31" s="44">
        <f t="shared" si="6"/>
        <v>0</v>
      </c>
      <c r="H31" s="3">
        <f t="shared" si="11"/>
        <v>756985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8"/>
        <v>430777</v>
      </c>
      <c r="C32" s="44">
        <f t="shared" si="9"/>
        <v>0</v>
      </c>
      <c r="D32" s="3">
        <v>4377000</v>
      </c>
      <c r="E32" s="44">
        <f t="shared" si="3"/>
        <v>0</v>
      </c>
      <c r="F32" s="3">
        <f t="shared" si="10"/>
        <v>6515200</v>
      </c>
      <c r="G32" s="44">
        <f t="shared" si="6"/>
        <v>0</v>
      </c>
      <c r="H32" s="3">
        <f t="shared" si="11"/>
        <v>756985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/>
      <c r="B33" s="3"/>
      <c r="C33" s="44"/>
      <c r="D33" s="3"/>
      <c r="E33" s="44"/>
      <c r="F33" s="3"/>
      <c r="G33" s="44"/>
      <c r="H33" s="3"/>
      <c r="I33" s="49"/>
      <c r="J33" s="22">
        <f t="shared" si="4"/>
        <v>0</v>
      </c>
      <c r="K33" s="23"/>
    </row>
    <row r="34" spans="1:11" ht="21" thickBot="1" x14ac:dyDescent="0.3">
      <c r="A34" s="9" t="s">
        <v>23</v>
      </c>
      <c r="B34" s="3"/>
      <c r="C34" s="61">
        <f>SUM(C3:C33)</f>
        <v>6220</v>
      </c>
      <c r="D34" s="3"/>
      <c r="E34" s="61">
        <f>SUM(E3:E33)</f>
        <v>0</v>
      </c>
      <c r="F34" s="3"/>
      <c r="G34" s="61">
        <f>SUM(G3:G33)</f>
        <v>3159</v>
      </c>
      <c r="H34" s="3"/>
      <c r="I34" s="61">
        <f>SUM(I3:I33)</f>
        <v>29.105999999999998</v>
      </c>
      <c r="J34" s="61">
        <f>SUM(J3:J33)</f>
        <v>9408.1059999999998</v>
      </c>
      <c r="K34" s="61">
        <f>SUM(K3:K33)</f>
        <v>55131.50116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9" sqref="B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/>
      <c r="C9" s="50" t="str">
        <f>IF((B9-B8)&lt;0,"0",(B9-B8))</f>
        <v>0</v>
      </c>
    </row>
    <row r="10" spans="1:9" ht="24" thickBot="1" x14ac:dyDescent="0.4">
      <c r="A10" s="10">
        <v>44508</v>
      </c>
      <c r="B10" s="139"/>
      <c r="C10" s="50">
        <f t="shared" si="0"/>
        <v>0</v>
      </c>
    </row>
    <row r="11" spans="1:9" ht="24" thickBot="1" x14ac:dyDescent="0.4">
      <c r="A11" s="10">
        <v>44509</v>
      </c>
      <c r="B11" s="139"/>
      <c r="C11" s="50">
        <f>IF((B11-B10)&lt;0,"0",(B11-B10))</f>
        <v>0</v>
      </c>
    </row>
    <row r="12" spans="1:9" ht="24" thickBot="1" x14ac:dyDescent="0.4">
      <c r="A12" s="10">
        <v>44510</v>
      </c>
      <c r="B12" s="139"/>
      <c r="C12" s="50">
        <f t="shared" si="0"/>
        <v>0</v>
      </c>
    </row>
    <row r="13" spans="1:9" ht="24" thickBot="1" x14ac:dyDescent="0.4">
      <c r="A13" s="10">
        <v>44511</v>
      </c>
      <c r="B13" s="139"/>
      <c r="C13" s="50">
        <f t="shared" si="0"/>
        <v>0</v>
      </c>
    </row>
    <row r="14" spans="1:9" ht="24" thickBot="1" x14ac:dyDescent="0.4">
      <c r="A14" s="10">
        <v>44512</v>
      </c>
      <c r="B14" s="139"/>
      <c r="C14" s="50">
        <f t="shared" si="0"/>
        <v>0</v>
      </c>
    </row>
    <row r="15" spans="1:9" ht="24" thickBot="1" x14ac:dyDescent="0.4">
      <c r="A15" s="10">
        <v>44513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44514</v>
      </c>
      <c r="B16" s="139"/>
      <c r="C16" s="50">
        <f t="shared" si="0"/>
        <v>0</v>
      </c>
    </row>
    <row r="17" spans="1:9" ht="25.5" customHeight="1" thickBot="1" x14ac:dyDescent="0.4">
      <c r="A17" s="10">
        <v>44515</v>
      </c>
      <c r="B17" s="139"/>
      <c r="C17" s="50">
        <f t="shared" si="0"/>
        <v>0</v>
      </c>
      <c r="F17" s="137"/>
    </row>
    <row r="18" spans="1:9" ht="24" thickBot="1" x14ac:dyDescent="0.4">
      <c r="A18" s="10">
        <v>44516</v>
      </c>
      <c r="B18" s="139"/>
      <c r="C18" s="50">
        <f t="shared" si="0"/>
        <v>0</v>
      </c>
    </row>
    <row r="19" spans="1:9" ht="24" thickBot="1" x14ac:dyDescent="0.4">
      <c r="A19" s="10">
        <v>44517</v>
      </c>
      <c r="B19" s="139"/>
      <c r="C19" s="50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/>
    </row>
    <row r="34" spans="1:3" ht="24" thickBot="1" x14ac:dyDescent="0.4">
      <c r="A34" s="178" t="s">
        <v>138</v>
      </c>
      <c r="B34" s="179"/>
      <c r="C34" s="142">
        <f>SUM(C3:C33)</f>
        <v>13108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B1" zoomScale="87" zoomScaleNormal="87" workbookViewId="0">
      <pane ySplit="1" topLeftCell="A2" activePane="bottomLeft" state="frozen"/>
      <selection pane="bottomLeft" activeCell="U8" sqref="U8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0" t="s">
        <v>145</v>
      </c>
      <c r="AC1" s="181"/>
    </row>
    <row r="2" spans="1:29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35">
        <v>0</v>
      </c>
      <c r="Z2" s="166">
        <v>7686</v>
      </c>
      <c r="AA2" s="35">
        <v>0</v>
      </c>
      <c r="AB2" s="166">
        <v>13.35</v>
      </c>
      <c r="AC2" s="35">
        <v>0</v>
      </c>
    </row>
    <row r="3" spans="1:29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1">
        <f t="shared" ref="Y3" si="19">X3-X2</f>
        <v>526</v>
      </c>
      <c r="Z3" s="166">
        <v>7739</v>
      </c>
      <c r="AA3" s="171">
        <f>Z3-Z2</f>
        <v>53</v>
      </c>
      <c r="AB3" s="166">
        <v>13.35</v>
      </c>
      <c r="AC3" s="35">
        <v>0</v>
      </c>
    </row>
    <row r="4" spans="1:29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1">
        <f>X4-X3</f>
        <v>195</v>
      </c>
      <c r="Z4" s="166">
        <v>7744</v>
      </c>
      <c r="AA4" s="171">
        <f>Z4-Z3</f>
        <v>5</v>
      </c>
      <c r="AB4" s="166">
        <v>13.35</v>
      </c>
      <c r="AC4" s="35">
        <f t="shared" ref="AC4:AC8" si="22">AB4-AB3</f>
        <v>0</v>
      </c>
    </row>
    <row r="5" spans="1:29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35">
        <f t="shared" ref="Y5:Y32" si="23">X5-X4</f>
        <v>236</v>
      </c>
      <c r="Z5" s="166">
        <v>7750</v>
      </c>
      <c r="AA5" s="35">
        <f t="shared" ref="AA5:AA32" si="24">Z5-Z4</f>
        <v>6</v>
      </c>
      <c r="AB5" s="166">
        <v>13.35</v>
      </c>
      <c r="AC5" s="35">
        <f t="shared" si="22"/>
        <v>0</v>
      </c>
    </row>
    <row r="6" spans="1:29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35">
        <f t="shared" si="23"/>
        <v>213</v>
      </c>
      <c r="Z6" s="166">
        <v>7783</v>
      </c>
      <c r="AA6" s="35">
        <f t="shared" si="24"/>
        <v>33</v>
      </c>
      <c r="AB6" s="166">
        <v>13.35</v>
      </c>
      <c r="AC6" s="35">
        <f t="shared" si="22"/>
        <v>0</v>
      </c>
    </row>
    <row r="7" spans="1:29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35">
        <f t="shared" si="23"/>
        <v>187</v>
      </c>
      <c r="Z7" s="166">
        <v>7789</v>
      </c>
      <c r="AA7" s="35">
        <f t="shared" si="24"/>
        <v>6</v>
      </c>
      <c r="AB7" s="166">
        <v>13.35</v>
      </c>
      <c r="AC7" s="35">
        <f t="shared" si="22"/>
        <v>0</v>
      </c>
    </row>
    <row r="8" spans="1:29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35">
        <f t="shared" si="23"/>
        <v>-831</v>
      </c>
      <c r="Z8" s="166">
        <v>7739</v>
      </c>
      <c r="AA8" s="35">
        <f t="shared" si="24"/>
        <v>-50</v>
      </c>
      <c r="AB8" s="166">
        <v>13.35</v>
      </c>
      <c r="AC8" s="35">
        <f t="shared" si="22"/>
        <v>0</v>
      </c>
    </row>
    <row r="9" spans="1:29" ht="16.5" thickBot="1" x14ac:dyDescent="0.25">
      <c r="A9" s="10">
        <v>44507</v>
      </c>
      <c r="B9" s="168">
        <f t="shared" ref="B8:B32" si="26">B8</f>
        <v>22594.415000000001</v>
      </c>
      <c r="C9" s="49">
        <f t="shared" si="20"/>
        <v>0</v>
      </c>
      <c r="D9" s="33">
        <f t="shared" si="8"/>
        <v>0</v>
      </c>
      <c r="E9" s="1">
        <f t="shared" ref="E8:E32" si="27">E8</f>
        <v>4025.473</v>
      </c>
      <c r="F9" s="49">
        <f t="shared" si="9"/>
        <v>0</v>
      </c>
      <c r="G9" s="33">
        <f t="shared" si="10"/>
        <v>0</v>
      </c>
      <c r="H9" s="1">
        <f t="shared" ref="H8:H32" si="28">H8</f>
        <v>4314</v>
      </c>
      <c r="I9" s="49">
        <f t="shared" si="11"/>
        <v>0</v>
      </c>
      <c r="J9" s="33">
        <f t="shared" si="12"/>
        <v>0</v>
      </c>
      <c r="K9" s="7">
        <f t="shared" ref="K8:K32" si="29">K8</f>
        <v>13813.5</v>
      </c>
      <c r="L9" s="49">
        <f t="shared" si="13"/>
        <v>0</v>
      </c>
      <c r="M9" s="33">
        <f t="shared" si="14"/>
        <v>0</v>
      </c>
      <c r="N9" s="7">
        <f t="shared" ref="N8:N32" si="30">N8</f>
        <v>3299.634</v>
      </c>
      <c r="O9" s="49">
        <f t="shared" si="15"/>
        <v>0</v>
      </c>
      <c r="P9" s="33">
        <f t="shared" si="16"/>
        <v>0</v>
      </c>
      <c r="Q9" s="7">
        <f t="shared" ref="Q8:Q32" si="31">Q8</f>
        <v>5237.78</v>
      </c>
      <c r="R9" s="49">
        <f t="shared" si="17"/>
        <v>0</v>
      </c>
      <c r="S9" s="33">
        <f t="shared" si="18"/>
        <v>0</v>
      </c>
      <c r="T9" s="8">
        <f t="shared" si="25"/>
        <v>0</v>
      </c>
      <c r="U9" s="35">
        <f t="shared" si="21"/>
        <v>0</v>
      </c>
      <c r="W9" s="165">
        <v>44507</v>
      </c>
      <c r="X9" s="166">
        <v>155107</v>
      </c>
      <c r="Y9" s="35">
        <f t="shared" si="23"/>
        <v>0</v>
      </c>
      <c r="Z9" s="166">
        <v>7739</v>
      </c>
      <c r="AA9" s="35">
        <f t="shared" si="24"/>
        <v>0</v>
      </c>
      <c r="AB9" s="166">
        <v>13.35</v>
      </c>
      <c r="AC9" s="35">
        <f>AB9-AB8</f>
        <v>0</v>
      </c>
    </row>
    <row r="10" spans="1:29" ht="16.5" thickBot="1" x14ac:dyDescent="0.25">
      <c r="A10" s="10">
        <v>44508</v>
      </c>
      <c r="B10" s="168">
        <f t="shared" si="26"/>
        <v>22594.415000000001</v>
      </c>
      <c r="C10" s="49">
        <f t="shared" si="20"/>
        <v>0</v>
      </c>
      <c r="D10" s="33">
        <f t="shared" si="8"/>
        <v>0</v>
      </c>
      <c r="E10" s="1">
        <f t="shared" si="27"/>
        <v>4025.473</v>
      </c>
      <c r="F10" s="49">
        <f t="shared" si="9"/>
        <v>0</v>
      </c>
      <c r="G10" s="33">
        <f t="shared" si="10"/>
        <v>0</v>
      </c>
      <c r="H10" s="1">
        <f t="shared" si="28"/>
        <v>4314</v>
      </c>
      <c r="I10" s="49">
        <f t="shared" si="11"/>
        <v>0</v>
      </c>
      <c r="J10" s="33">
        <f t="shared" si="12"/>
        <v>0</v>
      </c>
      <c r="K10" s="7">
        <f t="shared" si="29"/>
        <v>13813.5</v>
      </c>
      <c r="L10" s="49">
        <f t="shared" si="13"/>
        <v>0</v>
      </c>
      <c r="M10" s="33">
        <f t="shared" si="14"/>
        <v>0</v>
      </c>
      <c r="N10" s="7">
        <f t="shared" si="30"/>
        <v>3299.634</v>
      </c>
      <c r="O10" s="49">
        <f>IF((N10-N9)&lt;0,"0",(N10-N9))</f>
        <v>0</v>
      </c>
      <c r="P10" s="33">
        <f t="shared" si="16"/>
        <v>0</v>
      </c>
      <c r="Q10" s="7">
        <f t="shared" si="31"/>
        <v>5237.78</v>
      </c>
      <c r="R10" s="49">
        <f t="shared" si="17"/>
        <v>0</v>
      </c>
      <c r="S10" s="33">
        <f t="shared" si="18"/>
        <v>0</v>
      </c>
      <c r="T10" s="8">
        <f t="shared" si="25"/>
        <v>0</v>
      </c>
      <c r="U10" s="35">
        <f t="shared" si="21"/>
        <v>0</v>
      </c>
      <c r="W10" s="165">
        <v>44508</v>
      </c>
      <c r="X10" s="166">
        <v>155107</v>
      </c>
      <c r="Y10" s="35">
        <f t="shared" si="23"/>
        <v>0</v>
      </c>
      <c r="Z10" s="166">
        <v>7739</v>
      </c>
      <c r="AA10" s="35">
        <f t="shared" si="24"/>
        <v>0</v>
      </c>
      <c r="AB10" s="166">
        <v>13.35</v>
      </c>
      <c r="AC10" s="35">
        <f t="shared" ref="AC10:AC32" si="32">AB10-AB9</f>
        <v>0</v>
      </c>
    </row>
    <row r="11" spans="1:29" ht="16.5" thickBot="1" x14ac:dyDescent="0.25">
      <c r="A11" s="10">
        <v>44509</v>
      </c>
      <c r="B11" s="168">
        <f t="shared" si="26"/>
        <v>22594.415000000001</v>
      </c>
      <c r="C11" s="49">
        <f t="shared" si="20"/>
        <v>0</v>
      </c>
      <c r="D11" s="33">
        <f t="shared" si="8"/>
        <v>0</v>
      </c>
      <c r="E11" s="1">
        <f t="shared" si="27"/>
        <v>4025.473</v>
      </c>
      <c r="F11" s="49">
        <f t="shared" si="9"/>
        <v>0</v>
      </c>
      <c r="G11" s="33">
        <f t="shared" si="10"/>
        <v>0</v>
      </c>
      <c r="H11" s="1">
        <f t="shared" si="28"/>
        <v>4314</v>
      </c>
      <c r="I11" s="49">
        <f t="shared" si="11"/>
        <v>0</v>
      </c>
      <c r="J11" s="33">
        <f t="shared" si="12"/>
        <v>0</v>
      </c>
      <c r="K11" s="7">
        <f t="shared" si="29"/>
        <v>13813.5</v>
      </c>
      <c r="L11" s="49">
        <f t="shared" si="13"/>
        <v>0</v>
      </c>
      <c r="M11" s="33">
        <f t="shared" si="14"/>
        <v>0</v>
      </c>
      <c r="N11" s="7">
        <f t="shared" si="30"/>
        <v>3299.634</v>
      </c>
      <c r="O11" s="49">
        <f t="shared" si="15"/>
        <v>0</v>
      </c>
      <c r="P11" s="33">
        <f t="shared" si="16"/>
        <v>0</v>
      </c>
      <c r="Q11" s="7">
        <f t="shared" si="31"/>
        <v>5237.78</v>
      </c>
      <c r="R11" s="49">
        <f t="shared" si="17"/>
        <v>0</v>
      </c>
      <c r="S11" s="33">
        <f t="shared" si="18"/>
        <v>0</v>
      </c>
      <c r="T11" s="8">
        <f t="shared" si="25"/>
        <v>0</v>
      </c>
      <c r="U11" s="35">
        <f t="shared" si="21"/>
        <v>0</v>
      </c>
      <c r="W11" s="165">
        <v>44509</v>
      </c>
      <c r="X11" s="166">
        <v>155107</v>
      </c>
      <c r="Y11" s="35">
        <f t="shared" si="23"/>
        <v>0</v>
      </c>
      <c r="Z11" s="166">
        <v>7739</v>
      </c>
      <c r="AA11" s="35">
        <f t="shared" si="24"/>
        <v>0</v>
      </c>
      <c r="AB11" s="166">
        <v>13.35</v>
      </c>
      <c r="AC11" s="35">
        <f t="shared" si="32"/>
        <v>0</v>
      </c>
    </row>
    <row r="12" spans="1:29" ht="16.5" thickBot="1" x14ac:dyDescent="0.25">
      <c r="A12" s="10">
        <v>44510</v>
      </c>
      <c r="B12" s="168">
        <f t="shared" si="26"/>
        <v>22594.415000000001</v>
      </c>
      <c r="C12" s="49">
        <f t="shared" si="20"/>
        <v>0</v>
      </c>
      <c r="D12" s="33">
        <f t="shared" si="8"/>
        <v>0</v>
      </c>
      <c r="E12" s="1">
        <f t="shared" si="27"/>
        <v>4025.473</v>
      </c>
      <c r="F12" s="49">
        <f t="shared" si="9"/>
        <v>0</v>
      </c>
      <c r="G12" s="33">
        <f t="shared" si="10"/>
        <v>0</v>
      </c>
      <c r="H12" s="1">
        <f t="shared" si="28"/>
        <v>4314</v>
      </c>
      <c r="I12" s="49">
        <f t="shared" si="11"/>
        <v>0</v>
      </c>
      <c r="J12" s="33">
        <f t="shared" si="12"/>
        <v>0</v>
      </c>
      <c r="K12" s="7">
        <f t="shared" si="29"/>
        <v>13813.5</v>
      </c>
      <c r="L12" s="49">
        <f t="shared" si="13"/>
        <v>0</v>
      </c>
      <c r="M12" s="33">
        <f t="shared" si="14"/>
        <v>0</v>
      </c>
      <c r="N12" s="7">
        <f t="shared" si="30"/>
        <v>3299.634</v>
      </c>
      <c r="O12" s="49">
        <f t="shared" si="15"/>
        <v>0</v>
      </c>
      <c r="P12" s="33">
        <f t="shared" si="16"/>
        <v>0</v>
      </c>
      <c r="Q12" s="7">
        <f t="shared" si="31"/>
        <v>5237.78</v>
      </c>
      <c r="R12" s="49">
        <f t="shared" si="17"/>
        <v>0</v>
      </c>
      <c r="S12" s="33">
        <f t="shared" si="18"/>
        <v>0</v>
      </c>
      <c r="T12" s="8">
        <f t="shared" si="25"/>
        <v>0</v>
      </c>
      <c r="U12" s="35">
        <f t="shared" si="21"/>
        <v>0</v>
      </c>
      <c r="W12" s="165">
        <v>44510</v>
      </c>
      <c r="X12" s="166">
        <v>155107</v>
      </c>
      <c r="Y12" s="35">
        <f t="shared" si="23"/>
        <v>0</v>
      </c>
      <c r="Z12" s="166">
        <v>7739</v>
      </c>
      <c r="AA12" s="35">
        <f t="shared" si="24"/>
        <v>0</v>
      </c>
      <c r="AB12" s="166">
        <v>13.35</v>
      </c>
      <c r="AC12" s="35">
        <f t="shared" si="32"/>
        <v>0</v>
      </c>
    </row>
    <row r="13" spans="1:29" ht="16.5" thickBot="1" x14ac:dyDescent="0.25">
      <c r="A13" s="10">
        <v>44511</v>
      </c>
      <c r="B13" s="168">
        <f t="shared" si="26"/>
        <v>22594.415000000001</v>
      </c>
      <c r="C13" s="49">
        <f t="shared" si="20"/>
        <v>0</v>
      </c>
      <c r="D13" s="33">
        <f t="shared" si="8"/>
        <v>0</v>
      </c>
      <c r="E13" s="1">
        <f t="shared" si="27"/>
        <v>4025.473</v>
      </c>
      <c r="F13" s="49">
        <f t="shared" si="9"/>
        <v>0</v>
      </c>
      <c r="G13" s="33">
        <f t="shared" si="10"/>
        <v>0</v>
      </c>
      <c r="H13" s="1">
        <f t="shared" si="28"/>
        <v>4314</v>
      </c>
      <c r="I13" s="49">
        <f t="shared" si="11"/>
        <v>0</v>
      </c>
      <c r="J13" s="33">
        <f t="shared" si="12"/>
        <v>0</v>
      </c>
      <c r="K13" s="7">
        <f t="shared" si="29"/>
        <v>13813.5</v>
      </c>
      <c r="L13" s="49">
        <f t="shared" si="13"/>
        <v>0</v>
      </c>
      <c r="M13" s="33">
        <f t="shared" si="14"/>
        <v>0</v>
      </c>
      <c r="N13" s="7">
        <f t="shared" si="30"/>
        <v>3299.634</v>
      </c>
      <c r="O13" s="49">
        <f t="shared" si="15"/>
        <v>0</v>
      </c>
      <c r="P13" s="33">
        <f t="shared" si="16"/>
        <v>0</v>
      </c>
      <c r="Q13" s="7">
        <f t="shared" si="31"/>
        <v>5237.78</v>
      </c>
      <c r="R13" s="49">
        <f t="shared" si="17"/>
        <v>0</v>
      </c>
      <c r="S13" s="33">
        <f t="shared" si="18"/>
        <v>0</v>
      </c>
      <c r="T13" s="8">
        <f t="shared" si="25"/>
        <v>0</v>
      </c>
      <c r="U13" s="35">
        <f t="shared" si="21"/>
        <v>0</v>
      </c>
      <c r="W13" s="165">
        <v>44511</v>
      </c>
      <c r="X13" s="166">
        <v>155107</v>
      </c>
      <c r="Y13" s="35">
        <f t="shared" si="23"/>
        <v>0</v>
      </c>
      <c r="Z13" s="166">
        <v>7739</v>
      </c>
      <c r="AA13" s="35">
        <f t="shared" si="24"/>
        <v>0</v>
      </c>
      <c r="AB13" s="166">
        <v>13.35</v>
      </c>
      <c r="AC13" s="35">
        <f t="shared" si="32"/>
        <v>0</v>
      </c>
    </row>
    <row r="14" spans="1:29" ht="16.5" thickBot="1" x14ac:dyDescent="0.25">
      <c r="A14" s="10">
        <v>44512</v>
      </c>
      <c r="B14" s="168">
        <f t="shared" si="26"/>
        <v>22594.415000000001</v>
      </c>
      <c r="C14" s="49">
        <f t="shared" si="20"/>
        <v>0</v>
      </c>
      <c r="D14" s="33">
        <f t="shared" si="8"/>
        <v>0</v>
      </c>
      <c r="E14" s="1">
        <f t="shared" si="27"/>
        <v>4025.473</v>
      </c>
      <c r="F14" s="49">
        <f t="shared" si="9"/>
        <v>0</v>
      </c>
      <c r="G14" s="33">
        <f t="shared" si="10"/>
        <v>0</v>
      </c>
      <c r="H14" s="1">
        <f t="shared" si="28"/>
        <v>4314</v>
      </c>
      <c r="I14" s="49">
        <f t="shared" si="11"/>
        <v>0</v>
      </c>
      <c r="J14" s="33">
        <f t="shared" si="12"/>
        <v>0</v>
      </c>
      <c r="K14" s="7">
        <f t="shared" si="29"/>
        <v>13813.5</v>
      </c>
      <c r="L14" s="49">
        <f t="shared" si="13"/>
        <v>0</v>
      </c>
      <c r="M14" s="33">
        <f t="shared" si="14"/>
        <v>0</v>
      </c>
      <c r="N14" s="7">
        <f t="shared" si="30"/>
        <v>3299.634</v>
      </c>
      <c r="O14" s="49">
        <f>IF((N14-N13)&lt;0,"0",(N14-N13))</f>
        <v>0</v>
      </c>
      <c r="P14" s="33">
        <f t="shared" si="16"/>
        <v>0</v>
      </c>
      <c r="Q14" s="7">
        <f t="shared" si="31"/>
        <v>5237.78</v>
      </c>
      <c r="R14" s="49">
        <f t="shared" si="17"/>
        <v>0</v>
      </c>
      <c r="S14" s="33">
        <f t="shared" si="18"/>
        <v>0</v>
      </c>
      <c r="T14" s="8">
        <f t="shared" si="25"/>
        <v>0</v>
      </c>
      <c r="U14" s="35">
        <f t="shared" si="21"/>
        <v>0</v>
      </c>
      <c r="W14" s="165">
        <v>44512</v>
      </c>
      <c r="X14" s="166">
        <v>155107</v>
      </c>
      <c r="Y14" s="35">
        <f t="shared" si="23"/>
        <v>0</v>
      </c>
      <c r="Z14" s="166">
        <v>7739</v>
      </c>
      <c r="AA14" s="35">
        <f t="shared" si="24"/>
        <v>0</v>
      </c>
      <c r="AB14" s="166">
        <v>13.35</v>
      </c>
      <c r="AC14" s="35">
        <f t="shared" si="32"/>
        <v>0</v>
      </c>
    </row>
    <row r="15" spans="1:29" ht="16.5" thickBot="1" x14ac:dyDescent="0.25">
      <c r="A15" s="10">
        <v>44513</v>
      </c>
      <c r="B15" s="168">
        <f t="shared" si="26"/>
        <v>22594.415000000001</v>
      </c>
      <c r="C15" s="49">
        <f t="shared" si="20"/>
        <v>0</v>
      </c>
      <c r="D15" s="33">
        <f t="shared" si="8"/>
        <v>0</v>
      </c>
      <c r="E15" s="1">
        <f t="shared" si="27"/>
        <v>4025.473</v>
      </c>
      <c r="F15" s="49">
        <f t="shared" si="9"/>
        <v>0</v>
      </c>
      <c r="G15" s="33">
        <f t="shared" si="10"/>
        <v>0</v>
      </c>
      <c r="H15" s="1">
        <f t="shared" si="28"/>
        <v>4314</v>
      </c>
      <c r="I15" s="49">
        <f t="shared" si="11"/>
        <v>0</v>
      </c>
      <c r="J15" s="33">
        <f t="shared" si="12"/>
        <v>0</v>
      </c>
      <c r="K15" s="7">
        <f t="shared" si="29"/>
        <v>13813.5</v>
      </c>
      <c r="L15" s="49">
        <f t="shared" si="13"/>
        <v>0</v>
      </c>
      <c r="M15" s="33">
        <f t="shared" si="14"/>
        <v>0</v>
      </c>
      <c r="N15" s="7">
        <f t="shared" si="30"/>
        <v>3299.634</v>
      </c>
      <c r="O15" s="49">
        <f t="shared" si="15"/>
        <v>0</v>
      </c>
      <c r="P15" s="33">
        <f t="shared" si="16"/>
        <v>0</v>
      </c>
      <c r="Q15" s="7">
        <f t="shared" si="31"/>
        <v>5237.78</v>
      </c>
      <c r="R15" s="49">
        <f t="shared" si="17"/>
        <v>0</v>
      </c>
      <c r="S15" s="33">
        <f t="shared" si="18"/>
        <v>0</v>
      </c>
      <c r="T15" s="8">
        <f t="shared" si="25"/>
        <v>0</v>
      </c>
      <c r="U15" s="35">
        <f t="shared" si="21"/>
        <v>0</v>
      </c>
      <c r="W15" s="165">
        <v>44513</v>
      </c>
      <c r="X15" s="166">
        <v>155107</v>
      </c>
      <c r="Y15" s="35">
        <f t="shared" si="23"/>
        <v>0</v>
      </c>
      <c r="Z15" s="166">
        <v>7739</v>
      </c>
      <c r="AA15" s="35">
        <f t="shared" si="24"/>
        <v>0</v>
      </c>
      <c r="AB15" s="166">
        <v>13.35</v>
      </c>
      <c r="AC15" s="35">
        <f t="shared" si="32"/>
        <v>0</v>
      </c>
    </row>
    <row r="16" spans="1:29" ht="16.5" thickBot="1" x14ac:dyDescent="0.25">
      <c r="A16" s="10">
        <v>44514</v>
      </c>
      <c r="B16" s="168">
        <f t="shared" si="26"/>
        <v>22594.415000000001</v>
      </c>
      <c r="C16" s="49">
        <f t="shared" si="20"/>
        <v>0</v>
      </c>
      <c r="D16" s="33">
        <f t="shared" si="8"/>
        <v>0</v>
      </c>
      <c r="E16" s="1">
        <f t="shared" si="27"/>
        <v>4025.473</v>
      </c>
      <c r="F16" s="49">
        <f t="shared" si="9"/>
        <v>0</v>
      </c>
      <c r="G16" s="33">
        <f t="shared" si="10"/>
        <v>0</v>
      </c>
      <c r="H16" s="1">
        <f t="shared" si="28"/>
        <v>4314</v>
      </c>
      <c r="I16" s="49">
        <f t="shared" si="11"/>
        <v>0</v>
      </c>
      <c r="J16" s="33">
        <f t="shared" si="12"/>
        <v>0</v>
      </c>
      <c r="K16" s="7">
        <f t="shared" si="29"/>
        <v>13813.5</v>
      </c>
      <c r="L16" s="49">
        <f t="shared" si="13"/>
        <v>0</v>
      </c>
      <c r="M16" s="33">
        <f t="shared" si="14"/>
        <v>0</v>
      </c>
      <c r="N16" s="7">
        <f t="shared" si="30"/>
        <v>3299.634</v>
      </c>
      <c r="O16" s="49">
        <f t="shared" si="15"/>
        <v>0</v>
      </c>
      <c r="P16" s="33">
        <f t="shared" si="16"/>
        <v>0</v>
      </c>
      <c r="Q16" s="7">
        <f t="shared" si="31"/>
        <v>5237.78</v>
      </c>
      <c r="R16" s="49">
        <f t="shared" si="17"/>
        <v>0</v>
      </c>
      <c r="S16" s="33">
        <f t="shared" si="18"/>
        <v>0</v>
      </c>
      <c r="T16" s="8">
        <f t="shared" si="25"/>
        <v>0</v>
      </c>
      <c r="U16" s="35">
        <f t="shared" si="21"/>
        <v>0</v>
      </c>
      <c r="W16" s="165">
        <v>44514</v>
      </c>
      <c r="X16" s="166">
        <v>155107</v>
      </c>
      <c r="Y16" s="35">
        <f t="shared" si="23"/>
        <v>0</v>
      </c>
      <c r="Z16" s="166">
        <v>7739</v>
      </c>
      <c r="AA16" s="35">
        <f t="shared" si="24"/>
        <v>0</v>
      </c>
      <c r="AB16" s="166">
        <v>13.35</v>
      </c>
      <c r="AC16" s="35">
        <f t="shared" si="32"/>
        <v>0</v>
      </c>
    </row>
    <row r="17" spans="1:29" ht="16.5" thickBot="1" x14ac:dyDescent="0.25">
      <c r="A17" s="10">
        <v>44515</v>
      </c>
      <c r="B17" s="168">
        <f t="shared" si="26"/>
        <v>22594.415000000001</v>
      </c>
      <c r="C17" s="49">
        <f t="shared" si="20"/>
        <v>0</v>
      </c>
      <c r="D17" s="33">
        <f t="shared" si="8"/>
        <v>0</v>
      </c>
      <c r="E17" s="1">
        <f t="shared" si="27"/>
        <v>4025.473</v>
      </c>
      <c r="F17" s="49">
        <f t="shared" si="9"/>
        <v>0</v>
      </c>
      <c r="G17" s="33">
        <f t="shared" si="10"/>
        <v>0</v>
      </c>
      <c r="H17" s="1">
        <f t="shared" si="28"/>
        <v>4314</v>
      </c>
      <c r="I17" s="49">
        <f t="shared" si="11"/>
        <v>0</v>
      </c>
      <c r="J17" s="33">
        <f t="shared" si="12"/>
        <v>0</v>
      </c>
      <c r="K17" s="7">
        <f t="shared" si="29"/>
        <v>13813.5</v>
      </c>
      <c r="L17" s="49">
        <f t="shared" si="13"/>
        <v>0</v>
      </c>
      <c r="M17" s="33">
        <f t="shared" si="14"/>
        <v>0</v>
      </c>
      <c r="N17" s="7">
        <f t="shared" si="30"/>
        <v>3299.634</v>
      </c>
      <c r="O17" s="49">
        <f t="shared" si="15"/>
        <v>0</v>
      </c>
      <c r="P17" s="33">
        <f t="shared" si="16"/>
        <v>0</v>
      </c>
      <c r="Q17" s="7">
        <f t="shared" si="31"/>
        <v>5237.78</v>
      </c>
      <c r="R17" s="49">
        <f t="shared" si="17"/>
        <v>0</v>
      </c>
      <c r="S17" s="33">
        <f t="shared" si="18"/>
        <v>0</v>
      </c>
      <c r="T17" s="8">
        <f t="shared" si="25"/>
        <v>0</v>
      </c>
      <c r="U17" s="35">
        <f t="shared" si="21"/>
        <v>0</v>
      </c>
      <c r="W17" s="165">
        <v>44515</v>
      </c>
      <c r="X17" s="166">
        <v>155107</v>
      </c>
      <c r="Y17" s="35">
        <f t="shared" si="23"/>
        <v>0</v>
      </c>
      <c r="Z17" s="166">
        <v>7739</v>
      </c>
      <c r="AA17" s="35">
        <f t="shared" si="24"/>
        <v>0</v>
      </c>
      <c r="AB17" s="166">
        <v>13.35</v>
      </c>
      <c r="AC17" s="35">
        <f t="shared" si="32"/>
        <v>0</v>
      </c>
    </row>
    <row r="18" spans="1:29" ht="16.5" thickBot="1" x14ac:dyDescent="0.25">
      <c r="A18" s="10">
        <v>44516</v>
      </c>
      <c r="B18" s="168">
        <f t="shared" si="26"/>
        <v>22594.415000000001</v>
      </c>
      <c r="C18" s="49">
        <f t="shared" si="20"/>
        <v>0</v>
      </c>
      <c r="D18" s="33">
        <f t="shared" si="8"/>
        <v>0</v>
      </c>
      <c r="E18" s="1">
        <f t="shared" si="27"/>
        <v>4025.473</v>
      </c>
      <c r="F18" s="49">
        <f t="shared" si="9"/>
        <v>0</v>
      </c>
      <c r="G18" s="33">
        <f t="shared" si="10"/>
        <v>0</v>
      </c>
      <c r="H18" s="1">
        <f t="shared" si="28"/>
        <v>4314</v>
      </c>
      <c r="I18" s="49">
        <f t="shared" si="11"/>
        <v>0</v>
      </c>
      <c r="J18" s="33">
        <f t="shared" si="12"/>
        <v>0</v>
      </c>
      <c r="K18" s="7">
        <f t="shared" si="29"/>
        <v>13813.5</v>
      </c>
      <c r="L18" s="49">
        <f t="shared" si="13"/>
        <v>0</v>
      </c>
      <c r="M18" s="33">
        <f t="shared" si="14"/>
        <v>0</v>
      </c>
      <c r="N18" s="7">
        <f t="shared" si="30"/>
        <v>3299.634</v>
      </c>
      <c r="O18" s="49">
        <f t="shared" si="15"/>
        <v>0</v>
      </c>
      <c r="P18" s="33">
        <f t="shared" si="16"/>
        <v>0</v>
      </c>
      <c r="Q18" s="7">
        <f t="shared" si="31"/>
        <v>5237.78</v>
      </c>
      <c r="R18" s="49">
        <f t="shared" si="17"/>
        <v>0</v>
      </c>
      <c r="S18" s="33">
        <f t="shared" si="18"/>
        <v>0</v>
      </c>
      <c r="T18" s="8">
        <f t="shared" si="25"/>
        <v>0</v>
      </c>
      <c r="U18" s="35">
        <f t="shared" si="21"/>
        <v>0</v>
      </c>
      <c r="W18" s="165">
        <v>44516</v>
      </c>
      <c r="X18" s="166">
        <v>155107</v>
      </c>
      <c r="Y18" s="35">
        <f t="shared" si="23"/>
        <v>0</v>
      </c>
      <c r="Z18" s="166">
        <v>7739</v>
      </c>
      <c r="AA18" s="35">
        <f t="shared" si="24"/>
        <v>0</v>
      </c>
      <c r="AB18" s="166">
        <v>13.35</v>
      </c>
      <c r="AC18" s="35">
        <f t="shared" si="32"/>
        <v>0</v>
      </c>
    </row>
    <row r="19" spans="1:29" ht="16.5" thickBot="1" x14ac:dyDescent="0.25">
      <c r="A19" s="10">
        <v>44517</v>
      </c>
      <c r="B19" s="168">
        <f t="shared" si="26"/>
        <v>22594.415000000001</v>
      </c>
      <c r="C19" s="49">
        <f t="shared" si="20"/>
        <v>0</v>
      </c>
      <c r="D19" s="33">
        <f t="shared" si="8"/>
        <v>0</v>
      </c>
      <c r="E19" s="1">
        <f t="shared" si="27"/>
        <v>4025.473</v>
      </c>
      <c r="F19" s="49">
        <f t="shared" si="9"/>
        <v>0</v>
      </c>
      <c r="G19" s="33">
        <f t="shared" si="10"/>
        <v>0</v>
      </c>
      <c r="H19" s="1">
        <f t="shared" si="28"/>
        <v>4314</v>
      </c>
      <c r="I19" s="49">
        <f t="shared" si="11"/>
        <v>0</v>
      </c>
      <c r="J19" s="33">
        <f t="shared" si="12"/>
        <v>0</v>
      </c>
      <c r="K19" s="7">
        <f t="shared" si="29"/>
        <v>13813.5</v>
      </c>
      <c r="L19" s="49">
        <f t="shared" si="13"/>
        <v>0</v>
      </c>
      <c r="M19" s="33">
        <f t="shared" si="14"/>
        <v>0</v>
      </c>
      <c r="N19" s="7">
        <f t="shared" si="30"/>
        <v>3299.634</v>
      </c>
      <c r="O19" s="49">
        <f t="shared" si="15"/>
        <v>0</v>
      </c>
      <c r="P19" s="33">
        <f t="shared" si="16"/>
        <v>0</v>
      </c>
      <c r="Q19" s="7">
        <f t="shared" si="31"/>
        <v>5237.78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v>155107</v>
      </c>
      <c r="Y19" s="35">
        <f t="shared" si="23"/>
        <v>0</v>
      </c>
      <c r="Z19" s="166">
        <v>7739</v>
      </c>
      <c r="AA19" s="35">
        <f t="shared" si="24"/>
        <v>0</v>
      </c>
      <c r="AB19" s="166">
        <v>13.35</v>
      </c>
      <c r="AC19" s="35">
        <f t="shared" si="32"/>
        <v>0</v>
      </c>
    </row>
    <row r="20" spans="1:29" ht="16.5" thickBot="1" x14ac:dyDescent="0.25">
      <c r="A20" s="10">
        <v>44518</v>
      </c>
      <c r="B20" s="168">
        <f t="shared" si="26"/>
        <v>22594.415000000001</v>
      </c>
      <c r="C20" s="49">
        <f t="shared" si="20"/>
        <v>0</v>
      </c>
      <c r="D20" s="33">
        <f t="shared" si="8"/>
        <v>0</v>
      </c>
      <c r="E20" s="1">
        <f t="shared" si="27"/>
        <v>4025.473</v>
      </c>
      <c r="F20" s="49">
        <f t="shared" si="9"/>
        <v>0</v>
      </c>
      <c r="G20" s="33">
        <f t="shared" si="10"/>
        <v>0</v>
      </c>
      <c r="H20" s="1">
        <f t="shared" si="28"/>
        <v>4314</v>
      </c>
      <c r="I20" s="49">
        <f t="shared" si="11"/>
        <v>0</v>
      </c>
      <c r="J20" s="33">
        <f t="shared" si="12"/>
        <v>0</v>
      </c>
      <c r="K20" s="7">
        <f t="shared" si="29"/>
        <v>13813.5</v>
      </c>
      <c r="L20" s="49">
        <f t="shared" si="13"/>
        <v>0</v>
      </c>
      <c r="M20" s="33">
        <f t="shared" si="14"/>
        <v>0</v>
      </c>
      <c r="N20" s="7">
        <f t="shared" si="30"/>
        <v>3299.634</v>
      </c>
      <c r="O20" s="49">
        <f t="shared" si="15"/>
        <v>0</v>
      </c>
      <c r="P20" s="33">
        <f t="shared" si="16"/>
        <v>0</v>
      </c>
      <c r="Q20" s="7">
        <f t="shared" si="31"/>
        <v>5237.78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v>155107</v>
      </c>
      <c r="Y20" s="35">
        <f t="shared" si="23"/>
        <v>0</v>
      </c>
      <c r="Z20" s="166">
        <v>7739</v>
      </c>
      <c r="AA20" s="35">
        <f t="shared" si="24"/>
        <v>0</v>
      </c>
      <c r="AB20" s="166">
        <v>13.35</v>
      </c>
      <c r="AC20" s="35">
        <f t="shared" si="32"/>
        <v>0</v>
      </c>
    </row>
    <row r="21" spans="1:29" ht="16.5" thickBot="1" x14ac:dyDescent="0.25">
      <c r="A21" s="10">
        <v>44519</v>
      </c>
      <c r="B21" s="168">
        <f t="shared" si="26"/>
        <v>22594.415000000001</v>
      </c>
      <c r="C21" s="49">
        <f t="shared" si="20"/>
        <v>0</v>
      </c>
      <c r="D21" s="33">
        <f t="shared" si="8"/>
        <v>0</v>
      </c>
      <c r="E21" s="1">
        <f t="shared" si="27"/>
        <v>4025.473</v>
      </c>
      <c r="F21" s="49">
        <f t="shared" si="9"/>
        <v>0</v>
      </c>
      <c r="G21" s="33">
        <f t="shared" si="10"/>
        <v>0</v>
      </c>
      <c r="H21" s="1">
        <f t="shared" si="28"/>
        <v>4314</v>
      </c>
      <c r="I21" s="49">
        <f t="shared" si="11"/>
        <v>0</v>
      </c>
      <c r="J21" s="33">
        <f t="shared" si="12"/>
        <v>0</v>
      </c>
      <c r="K21" s="7">
        <f t="shared" si="29"/>
        <v>13813.5</v>
      </c>
      <c r="L21" s="49">
        <f t="shared" si="13"/>
        <v>0</v>
      </c>
      <c r="M21" s="33">
        <f t="shared" si="14"/>
        <v>0</v>
      </c>
      <c r="N21" s="7">
        <f t="shared" si="30"/>
        <v>3299.634</v>
      </c>
      <c r="O21" s="49">
        <f t="shared" si="15"/>
        <v>0</v>
      </c>
      <c r="P21" s="33">
        <f t="shared" si="16"/>
        <v>0</v>
      </c>
      <c r="Q21" s="7">
        <f t="shared" si="31"/>
        <v>5237.78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v>155107</v>
      </c>
      <c r="Y21" s="35">
        <f t="shared" si="23"/>
        <v>0</v>
      </c>
      <c r="Z21" s="166">
        <v>7739</v>
      </c>
      <c r="AA21" s="35">
        <f t="shared" si="24"/>
        <v>0</v>
      </c>
      <c r="AB21" s="166">
        <v>13.35</v>
      </c>
      <c r="AC21" s="35">
        <f t="shared" si="32"/>
        <v>0</v>
      </c>
    </row>
    <row r="22" spans="1:29" ht="16.5" thickBot="1" x14ac:dyDescent="0.25">
      <c r="A22" s="10">
        <v>44520</v>
      </c>
      <c r="B22" s="168">
        <f t="shared" si="26"/>
        <v>22594.415000000001</v>
      </c>
      <c r="C22" s="49">
        <f t="shared" si="20"/>
        <v>0</v>
      </c>
      <c r="D22" s="33">
        <f t="shared" si="8"/>
        <v>0</v>
      </c>
      <c r="E22" s="1">
        <f t="shared" si="27"/>
        <v>4025.473</v>
      </c>
      <c r="F22" s="49">
        <f t="shared" si="9"/>
        <v>0</v>
      </c>
      <c r="G22" s="33">
        <f t="shared" si="10"/>
        <v>0</v>
      </c>
      <c r="H22" s="1">
        <f t="shared" si="28"/>
        <v>4314</v>
      </c>
      <c r="I22" s="49">
        <f t="shared" si="11"/>
        <v>0</v>
      </c>
      <c r="J22" s="33">
        <f t="shared" si="12"/>
        <v>0</v>
      </c>
      <c r="K22" s="7">
        <f t="shared" si="29"/>
        <v>13813.5</v>
      </c>
      <c r="L22" s="49">
        <f t="shared" si="13"/>
        <v>0</v>
      </c>
      <c r="M22" s="33">
        <f t="shared" si="14"/>
        <v>0</v>
      </c>
      <c r="N22" s="7">
        <f t="shared" si="30"/>
        <v>3299.634</v>
      </c>
      <c r="O22" s="49">
        <f t="shared" si="15"/>
        <v>0</v>
      </c>
      <c r="P22" s="33">
        <f t="shared" si="16"/>
        <v>0</v>
      </c>
      <c r="Q22" s="7">
        <f t="shared" si="31"/>
        <v>5237.78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v>155107</v>
      </c>
      <c r="Y22" s="35">
        <f t="shared" si="23"/>
        <v>0</v>
      </c>
      <c r="Z22" s="166">
        <v>7739</v>
      </c>
      <c r="AA22" s="35">
        <f t="shared" si="24"/>
        <v>0</v>
      </c>
      <c r="AB22" s="166">
        <v>13.35</v>
      </c>
      <c r="AC22" s="35">
        <f t="shared" si="32"/>
        <v>0</v>
      </c>
    </row>
    <row r="23" spans="1:29" ht="16.5" thickBot="1" x14ac:dyDescent="0.25">
      <c r="A23" s="10">
        <v>44521</v>
      </c>
      <c r="B23" s="168">
        <f t="shared" si="26"/>
        <v>22594.415000000001</v>
      </c>
      <c r="C23" s="49">
        <f t="shared" si="20"/>
        <v>0</v>
      </c>
      <c r="D23" s="33">
        <f t="shared" si="8"/>
        <v>0</v>
      </c>
      <c r="E23" s="1">
        <f t="shared" si="27"/>
        <v>4025.473</v>
      </c>
      <c r="F23" s="49">
        <f t="shared" si="9"/>
        <v>0</v>
      </c>
      <c r="G23" s="33">
        <f t="shared" si="10"/>
        <v>0</v>
      </c>
      <c r="H23" s="1">
        <f t="shared" si="28"/>
        <v>4314</v>
      </c>
      <c r="I23" s="49">
        <f t="shared" si="11"/>
        <v>0</v>
      </c>
      <c r="J23" s="33">
        <f t="shared" si="12"/>
        <v>0</v>
      </c>
      <c r="K23" s="7">
        <f t="shared" si="29"/>
        <v>13813.5</v>
      </c>
      <c r="L23" s="49">
        <f t="shared" si="13"/>
        <v>0</v>
      </c>
      <c r="M23" s="33">
        <f t="shared" si="14"/>
        <v>0</v>
      </c>
      <c r="N23" s="7">
        <f t="shared" si="30"/>
        <v>3299.634</v>
      </c>
      <c r="O23" s="49">
        <f t="shared" si="15"/>
        <v>0</v>
      </c>
      <c r="P23" s="33">
        <f t="shared" si="16"/>
        <v>0</v>
      </c>
      <c r="Q23" s="7">
        <f t="shared" si="31"/>
        <v>5237.78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v>155107</v>
      </c>
      <c r="Y23" s="35">
        <f t="shared" si="23"/>
        <v>0</v>
      </c>
      <c r="Z23" s="166">
        <v>7739</v>
      </c>
      <c r="AA23" s="35">
        <f t="shared" si="24"/>
        <v>0</v>
      </c>
      <c r="AB23" s="166">
        <v>13.35</v>
      </c>
      <c r="AC23" s="35">
        <f t="shared" si="32"/>
        <v>0</v>
      </c>
    </row>
    <row r="24" spans="1:29" ht="16.5" thickBot="1" x14ac:dyDescent="0.25">
      <c r="A24" s="10">
        <v>44522</v>
      </c>
      <c r="B24" s="168">
        <f t="shared" si="26"/>
        <v>22594.415000000001</v>
      </c>
      <c r="C24" s="49">
        <f t="shared" si="20"/>
        <v>0</v>
      </c>
      <c r="D24" s="33">
        <f t="shared" si="8"/>
        <v>0</v>
      </c>
      <c r="E24" s="1">
        <f t="shared" si="27"/>
        <v>4025.473</v>
      </c>
      <c r="F24" s="49">
        <f t="shared" si="9"/>
        <v>0</v>
      </c>
      <c r="G24" s="33">
        <f t="shared" si="10"/>
        <v>0</v>
      </c>
      <c r="H24" s="1">
        <f t="shared" si="28"/>
        <v>4314</v>
      </c>
      <c r="I24" s="49">
        <f t="shared" si="11"/>
        <v>0</v>
      </c>
      <c r="J24" s="33">
        <f t="shared" si="12"/>
        <v>0</v>
      </c>
      <c r="K24" s="7">
        <f t="shared" si="29"/>
        <v>13813.5</v>
      </c>
      <c r="L24" s="49">
        <f t="shared" si="13"/>
        <v>0</v>
      </c>
      <c r="M24" s="33">
        <f t="shared" si="14"/>
        <v>0</v>
      </c>
      <c r="N24" s="7">
        <f t="shared" si="30"/>
        <v>3299.634</v>
      </c>
      <c r="O24" s="49">
        <f t="shared" si="15"/>
        <v>0</v>
      </c>
      <c r="P24" s="33">
        <f t="shared" si="16"/>
        <v>0</v>
      </c>
      <c r="Q24" s="7">
        <f t="shared" si="31"/>
        <v>5237.78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v>155107</v>
      </c>
      <c r="Y24" s="35">
        <f t="shared" si="23"/>
        <v>0</v>
      </c>
      <c r="Z24" s="166">
        <v>7739</v>
      </c>
      <c r="AA24" s="35">
        <f t="shared" si="24"/>
        <v>0</v>
      </c>
      <c r="AB24" s="166">
        <v>13.35</v>
      </c>
      <c r="AC24" s="35">
        <f t="shared" si="32"/>
        <v>0</v>
      </c>
    </row>
    <row r="25" spans="1:29" ht="16.5" thickBot="1" x14ac:dyDescent="0.25">
      <c r="A25" s="10">
        <v>44523</v>
      </c>
      <c r="B25" s="168">
        <f t="shared" si="26"/>
        <v>22594.415000000001</v>
      </c>
      <c r="C25" s="49">
        <f t="shared" si="20"/>
        <v>0</v>
      </c>
      <c r="D25" s="33">
        <f t="shared" si="8"/>
        <v>0</v>
      </c>
      <c r="E25" s="1">
        <f t="shared" si="27"/>
        <v>4025.473</v>
      </c>
      <c r="F25" s="49">
        <f t="shared" si="9"/>
        <v>0</v>
      </c>
      <c r="G25" s="33">
        <f t="shared" si="10"/>
        <v>0</v>
      </c>
      <c r="H25" s="1">
        <f t="shared" si="28"/>
        <v>4314</v>
      </c>
      <c r="I25" s="49">
        <f t="shared" si="11"/>
        <v>0</v>
      </c>
      <c r="J25" s="33">
        <f t="shared" si="12"/>
        <v>0</v>
      </c>
      <c r="K25" s="7">
        <f t="shared" si="29"/>
        <v>13813.5</v>
      </c>
      <c r="L25" s="49">
        <f t="shared" si="13"/>
        <v>0</v>
      </c>
      <c r="M25" s="33">
        <f t="shared" si="14"/>
        <v>0</v>
      </c>
      <c r="N25" s="7">
        <f t="shared" si="30"/>
        <v>3299.634</v>
      </c>
      <c r="O25" s="49">
        <f t="shared" si="15"/>
        <v>0</v>
      </c>
      <c r="P25" s="33">
        <f t="shared" si="16"/>
        <v>0</v>
      </c>
      <c r="Q25" s="7">
        <f t="shared" si="31"/>
        <v>5237.78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v>155107</v>
      </c>
      <c r="Y25" s="35">
        <f t="shared" si="23"/>
        <v>0</v>
      </c>
      <c r="Z25" s="166">
        <v>7739</v>
      </c>
      <c r="AA25" s="35">
        <f t="shared" si="24"/>
        <v>0</v>
      </c>
      <c r="AB25" s="166">
        <v>13.35</v>
      </c>
      <c r="AC25" s="35">
        <f t="shared" si="32"/>
        <v>0</v>
      </c>
    </row>
    <row r="26" spans="1:29" ht="16.5" thickBot="1" x14ac:dyDescent="0.25">
      <c r="A26" s="10">
        <v>44524</v>
      </c>
      <c r="B26" s="168">
        <f t="shared" si="26"/>
        <v>22594.415000000001</v>
      </c>
      <c r="C26" s="49">
        <f t="shared" si="20"/>
        <v>0</v>
      </c>
      <c r="D26" s="33">
        <f t="shared" si="8"/>
        <v>0</v>
      </c>
      <c r="E26" s="1">
        <f t="shared" si="27"/>
        <v>4025.473</v>
      </c>
      <c r="F26" s="49">
        <f t="shared" si="9"/>
        <v>0</v>
      </c>
      <c r="G26" s="33">
        <f t="shared" si="10"/>
        <v>0</v>
      </c>
      <c r="H26" s="1">
        <f t="shared" si="28"/>
        <v>4314</v>
      </c>
      <c r="I26" s="49">
        <f t="shared" si="11"/>
        <v>0</v>
      </c>
      <c r="J26" s="33">
        <f t="shared" si="12"/>
        <v>0</v>
      </c>
      <c r="K26" s="7">
        <f t="shared" si="29"/>
        <v>13813.5</v>
      </c>
      <c r="L26" s="49">
        <f t="shared" si="13"/>
        <v>0</v>
      </c>
      <c r="M26" s="33">
        <f t="shared" si="14"/>
        <v>0</v>
      </c>
      <c r="N26" s="7">
        <f t="shared" si="30"/>
        <v>3299.634</v>
      </c>
      <c r="O26" s="49">
        <f t="shared" si="15"/>
        <v>0</v>
      </c>
      <c r="P26" s="33">
        <f t="shared" si="16"/>
        <v>0</v>
      </c>
      <c r="Q26" s="7">
        <f t="shared" si="31"/>
        <v>5237.78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v>155107</v>
      </c>
      <c r="Y26" s="35">
        <f t="shared" si="23"/>
        <v>0</v>
      </c>
      <c r="Z26" s="166">
        <v>7739</v>
      </c>
      <c r="AA26" s="35">
        <f t="shared" si="24"/>
        <v>0</v>
      </c>
      <c r="AB26" s="166">
        <v>13.35</v>
      </c>
      <c r="AC26" s="35">
        <f t="shared" si="32"/>
        <v>0</v>
      </c>
    </row>
    <row r="27" spans="1:29" ht="16.5" thickBot="1" x14ac:dyDescent="0.25">
      <c r="A27" s="10">
        <v>44525</v>
      </c>
      <c r="B27" s="168">
        <f t="shared" si="26"/>
        <v>22594.415000000001</v>
      </c>
      <c r="C27" s="49">
        <f t="shared" si="20"/>
        <v>0</v>
      </c>
      <c r="D27" s="33">
        <f t="shared" si="8"/>
        <v>0</v>
      </c>
      <c r="E27" s="1">
        <f t="shared" si="27"/>
        <v>4025.473</v>
      </c>
      <c r="F27" s="49">
        <f t="shared" si="9"/>
        <v>0</v>
      </c>
      <c r="G27" s="33">
        <f t="shared" si="10"/>
        <v>0</v>
      </c>
      <c r="H27" s="1">
        <f t="shared" si="28"/>
        <v>4314</v>
      </c>
      <c r="I27" s="49">
        <f t="shared" si="11"/>
        <v>0</v>
      </c>
      <c r="J27" s="33">
        <f t="shared" si="12"/>
        <v>0</v>
      </c>
      <c r="K27" s="7">
        <f t="shared" si="29"/>
        <v>13813.5</v>
      </c>
      <c r="L27" s="49">
        <f t="shared" si="13"/>
        <v>0</v>
      </c>
      <c r="M27" s="33">
        <f t="shared" si="14"/>
        <v>0</v>
      </c>
      <c r="N27" s="7">
        <f t="shared" si="30"/>
        <v>3299.634</v>
      </c>
      <c r="O27" s="49">
        <f t="shared" si="15"/>
        <v>0</v>
      </c>
      <c r="P27" s="33">
        <f t="shared" si="16"/>
        <v>0</v>
      </c>
      <c r="Q27" s="7">
        <f t="shared" si="31"/>
        <v>5237.78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v>155107</v>
      </c>
      <c r="Y27" s="35">
        <f t="shared" si="23"/>
        <v>0</v>
      </c>
      <c r="Z27" s="166">
        <v>7739</v>
      </c>
      <c r="AA27" s="35">
        <f t="shared" si="24"/>
        <v>0</v>
      </c>
      <c r="AB27" s="166">
        <v>13.35</v>
      </c>
      <c r="AC27" s="35">
        <f t="shared" si="32"/>
        <v>0</v>
      </c>
    </row>
    <row r="28" spans="1:29" ht="16.5" thickBot="1" x14ac:dyDescent="0.25">
      <c r="A28" s="10">
        <v>44526</v>
      </c>
      <c r="B28" s="168">
        <f t="shared" si="26"/>
        <v>22594.415000000001</v>
      </c>
      <c r="C28" s="49">
        <f t="shared" si="20"/>
        <v>0</v>
      </c>
      <c r="D28" s="33">
        <f t="shared" si="8"/>
        <v>0</v>
      </c>
      <c r="E28" s="1">
        <f t="shared" si="27"/>
        <v>4025.473</v>
      </c>
      <c r="F28" s="49">
        <f t="shared" si="9"/>
        <v>0</v>
      </c>
      <c r="G28" s="33">
        <f t="shared" si="10"/>
        <v>0</v>
      </c>
      <c r="H28" s="1">
        <f t="shared" si="28"/>
        <v>4314</v>
      </c>
      <c r="I28" s="49">
        <f t="shared" si="11"/>
        <v>0</v>
      </c>
      <c r="J28" s="33">
        <f t="shared" si="12"/>
        <v>0</v>
      </c>
      <c r="K28" s="7">
        <f t="shared" si="29"/>
        <v>13813.5</v>
      </c>
      <c r="L28" s="49">
        <f t="shared" si="13"/>
        <v>0</v>
      </c>
      <c r="M28" s="33">
        <f t="shared" si="14"/>
        <v>0</v>
      </c>
      <c r="N28" s="7">
        <f t="shared" si="30"/>
        <v>3299.634</v>
      </c>
      <c r="O28" s="49">
        <f t="shared" si="15"/>
        <v>0</v>
      </c>
      <c r="P28" s="33">
        <f t="shared" si="16"/>
        <v>0</v>
      </c>
      <c r="Q28" s="7">
        <f t="shared" si="31"/>
        <v>5237.78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v>155107</v>
      </c>
      <c r="Y28" s="35">
        <f t="shared" si="23"/>
        <v>0</v>
      </c>
      <c r="Z28" s="166">
        <v>7739</v>
      </c>
      <c r="AA28" s="35">
        <f t="shared" si="24"/>
        <v>0</v>
      </c>
      <c r="AB28" s="166">
        <v>13.35</v>
      </c>
      <c r="AC28" s="35">
        <f t="shared" si="32"/>
        <v>0</v>
      </c>
    </row>
    <row r="29" spans="1:29" ht="16.5" thickBot="1" x14ac:dyDescent="0.25">
      <c r="A29" s="10">
        <v>44527</v>
      </c>
      <c r="B29" s="168">
        <f t="shared" si="26"/>
        <v>22594.415000000001</v>
      </c>
      <c r="C29" s="49">
        <f t="shared" si="20"/>
        <v>0</v>
      </c>
      <c r="D29" s="33">
        <f t="shared" si="8"/>
        <v>0</v>
      </c>
      <c r="E29" s="1">
        <f t="shared" si="27"/>
        <v>4025.473</v>
      </c>
      <c r="F29" s="49">
        <f t="shared" si="9"/>
        <v>0</v>
      </c>
      <c r="G29" s="33">
        <f t="shared" si="10"/>
        <v>0</v>
      </c>
      <c r="H29" s="1">
        <f t="shared" si="28"/>
        <v>4314</v>
      </c>
      <c r="I29" s="49">
        <f t="shared" si="11"/>
        <v>0</v>
      </c>
      <c r="J29" s="33">
        <f t="shared" si="12"/>
        <v>0</v>
      </c>
      <c r="K29" s="7">
        <f t="shared" si="29"/>
        <v>13813.5</v>
      </c>
      <c r="L29" s="49">
        <f t="shared" si="13"/>
        <v>0</v>
      </c>
      <c r="M29" s="33">
        <f t="shared" si="14"/>
        <v>0</v>
      </c>
      <c r="N29" s="7">
        <f t="shared" si="30"/>
        <v>3299.634</v>
      </c>
      <c r="O29" s="49">
        <f t="shared" si="15"/>
        <v>0</v>
      </c>
      <c r="P29" s="33">
        <f t="shared" si="16"/>
        <v>0</v>
      </c>
      <c r="Q29" s="7">
        <f t="shared" si="31"/>
        <v>5237.78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v>155107</v>
      </c>
      <c r="Y29" s="35">
        <f t="shared" si="23"/>
        <v>0</v>
      </c>
      <c r="Z29" s="166">
        <v>7739</v>
      </c>
      <c r="AA29" s="35">
        <f t="shared" si="24"/>
        <v>0</v>
      </c>
      <c r="AB29" s="166">
        <v>13.35</v>
      </c>
      <c r="AC29" s="35">
        <f t="shared" si="32"/>
        <v>0</v>
      </c>
    </row>
    <row r="30" spans="1:29" ht="16.5" thickBot="1" x14ac:dyDescent="0.25">
      <c r="A30" s="10">
        <v>44528</v>
      </c>
      <c r="B30" s="168">
        <f t="shared" si="26"/>
        <v>22594.415000000001</v>
      </c>
      <c r="C30" s="49">
        <f t="shared" si="20"/>
        <v>0</v>
      </c>
      <c r="D30" s="33">
        <f t="shared" si="8"/>
        <v>0</v>
      </c>
      <c r="E30" s="1">
        <f t="shared" si="27"/>
        <v>4025.473</v>
      </c>
      <c r="F30" s="49">
        <f t="shared" si="9"/>
        <v>0</v>
      </c>
      <c r="G30" s="33">
        <f t="shared" si="10"/>
        <v>0</v>
      </c>
      <c r="H30" s="1">
        <f t="shared" si="28"/>
        <v>4314</v>
      </c>
      <c r="I30" s="49">
        <f t="shared" si="11"/>
        <v>0</v>
      </c>
      <c r="J30" s="33">
        <f t="shared" si="12"/>
        <v>0</v>
      </c>
      <c r="K30" s="7">
        <f t="shared" si="29"/>
        <v>13813.5</v>
      </c>
      <c r="L30" s="49">
        <f t="shared" si="13"/>
        <v>0</v>
      </c>
      <c r="M30" s="33">
        <f t="shared" si="14"/>
        <v>0</v>
      </c>
      <c r="N30" s="7">
        <f t="shared" si="30"/>
        <v>3299.634</v>
      </c>
      <c r="O30" s="49">
        <f t="shared" si="15"/>
        <v>0</v>
      </c>
      <c r="P30" s="33">
        <f t="shared" si="16"/>
        <v>0</v>
      </c>
      <c r="Q30" s="7">
        <f t="shared" si="31"/>
        <v>5237.78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v>155107</v>
      </c>
      <c r="Y30" s="35">
        <f t="shared" si="23"/>
        <v>0</v>
      </c>
      <c r="Z30" s="166">
        <v>7739</v>
      </c>
      <c r="AA30" s="35">
        <f>Z30-Z29</f>
        <v>0</v>
      </c>
      <c r="AB30" s="166">
        <v>13.35</v>
      </c>
      <c r="AC30" s="35">
        <f t="shared" si="32"/>
        <v>0</v>
      </c>
    </row>
    <row r="31" spans="1:29" ht="16.5" thickBot="1" x14ac:dyDescent="0.25">
      <c r="A31" s="10">
        <v>44529</v>
      </c>
      <c r="B31" s="168">
        <f t="shared" si="26"/>
        <v>22594.415000000001</v>
      </c>
      <c r="C31" s="49">
        <f t="shared" si="20"/>
        <v>0</v>
      </c>
      <c r="D31" s="33">
        <f t="shared" si="8"/>
        <v>0</v>
      </c>
      <c r="E31" s="1">
        <f t="shared" si="27"/>
        <v>4025.473</v>
      </c>
      <c r="F31" s="49">
        <f t="shared" si="9"/>
        <v>0</v>
      </c>
      <c r="G31" s="33">
        <f t="shared" si="10"/>
        <v>0</v>
      </c>
      <c r="H31" s="1">
        <f t="shared" si="28"/>
        <v>4314</v>
      </c>
      <c r="I31" s="49">
        <f t="shared" si="11"/>
        <v>0</v>
      </c>
      <c r="J31" s="33">
        <f t="shared" si="12"/>
        <v>0</v>
      </c>
      <c r="K31" s="7">
        <f t="shared" si="29"/>
        <v>13813.5</v>
      </c>
      <c r="L31" s="49">
        <f t="shared" si="13"/>
        <v>0</v>
      </c>
      <c r="M31" s="33">
        <f t="shared" si="14"/>
        <v>0</v>
      </c>
      <c r="N31" s="7">
        <f t="shared" si="30"/>
        <v>3299.634</v>
      </c>
      <c r="O31" s="49">
        <f t="shared" si="15"/>
        <v>0</v>
      </c>
      <c r="P31" s="33">
        <f t="shared" si="16"/>
        <v>0</v>
      </c>
      <c r="Q31" s="7">
        <f t="shared" si="31"/>
        <v>5237.78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v>155107</v>
      </c>
      <c r="Y31" s="35">
        <f t="shared" si="23"/>
        <v>0</v>
      </c>
      <c r="Z31" s="166">
        <v>7739</v>
      </c>
      <c r="AA31" s="35">
        <f t="shared" si="24"/>
        <v>0</v>
      </c>
      <c r="AB31" s="166">
        <v>13.35</v>
      </c>
      <c r="AC31" s="35">
        <f t="shared" si="32"/>
        <v>0</v>
      </c>
    </row>
    <row r="32" spans="1:29" ht="16.5" thickBot="1" x14ac:dyDescent="0.25">
      <c r="A32" s="10">
        <v>44530</v>
      </c>
      <c r="B32" s="168">
        <f t="shared" si="26"/>
        <v>22594.415000000001</v>
      </c>
      <c r="C32" s="49">
        <f t="shared" si="20"/>
        <v>0</v>
      </c>
      <c r="D32" s="33">
        <f t="shared" si="8"/>
        <v>0</v>
      </c>
      <c r="E32" s="1">
        <f t="shared" si="27"/>
        <v>4025.473</v>
      </c>
      <c r="F32" s="49">
        <f t="shared" si="9"/>
        <v>0</v>
      </c>
      <c r="G32" s="33">
        <f t="shared" si="10"/>
        <v>0</v>
      </c>
      <c r="H32" s="1">
        <f t="shared" si="28"/>
        <v>4314</v>
      </c>
      <c r="I32" s="49">
        <f t="shared" si="11"/>
        <v>0</v>
      </c>
      <c r="J32" s="33">
        <f t="shared" si="12"/>
        <v>0</v>
      </c>
      <c r="K32" s="7">
        <f t="shared" si="29"/>
        <v>13813.5</v>
      </c>
      <c r="L32" s="49">
        <f t="shared" si="13"/>
        <v>0</v>
      </c>
      <c r="M32" s="33">
        <f t="shared" si="14"/>
        <v>0</v>
      </c>
      <c r="N32" s="7">
        <f t="shared" si="30"/>
        <v>3299.634</v>
      </c>
      <c r="O32" s="49">
        <f t="shared" si="15"/>
        <v>0</v>
      </c>
      <c r="P32" s="33">
        <f t="shared" si="16"/>
        <v>0</v>
      </c>
      <c r="Q32" s="7">
        <f t="shared" si="31"/>
        <v>5237.78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v>155107</v>
      </c>
      <c r="Y32" s="35">
        <f t="shared" si="23"/>
        <v>0</v>
      </c>
      <c r="Z32" s="166">
        <v>7739</v>
      </c>
      <c r="AA32" s="35">
        <f t="shared" si="24"/>
        <v>0</v>
      </c>
      <c r="AB32" s="166">
        <v>13.35</v>
      </c>
      <c r="AC32" s="35">
        <f t="shared" si="32"/>
        <v>0</v>
      </c>
    </row>
    <row r="33" spans="1:29" ht="16.5" thickBot="1" x14ac:dyDescent="0.25">
      <c r="A33" s="10"/>
      <c r="B33" s="168"/>
      <c r="C33" s="49"/>
      <c r="D33" s="33"/>
      <c r="E33" s="1"/>
      <c r="F33" s="49"/>
      <c r="G33" s="33"/>
      <c r="H33" s="1"/>
      <c r="I33" s="49"/>
      <c r="J33" s="33"/>
      <c r="K33" s="7"/>
      <c r="L33" s="49"/>
      <c r="M33" s="33"/>
      <c r="N33" s="7"/>
      <c r="O33" s="49"/>
      <c r="P33" s="33"/>
      <c r="Q33" s="7"/>
      <c r="R33" s="49"/>
      <c r="S33" s="33"/>
      <c r="T33" s="8"/>
      <c r="U33" s="35"/>
      <c r="W33" s="165"/>
      <c r="X33" s="166"/>
      <c r="Y33" s="35"/>
      <c r="Z33" s="166"/>
      <c r="AA33" s="35"/>
      <c r="AB33" s="166"/>
      <c r="AC33" s="35"/>
    </row>
    <row r="34" spans="1:29" s="25" customFormat="1" ht="16.5" thickBot="1" x14ac:dyDescent="0.25">
      <c r="A34" s="6" t="s">
        <v>23</v>
      </c>
      <c r="B34" s="169"/>
      <c r="C34" s="144">
        <f>SUM(C3:C33)</f>
        <v>112.35800000000017</v>
      </c>
      <c r="D34" s="144">
        <f>SUM(D2:D33)</f>
        <v>213480.20000000033</v>
      </c>
      <c r="E34" s="144">
        <v>0</v>
      </c>
      <c r="F34" s="144">
        <f>SUM(F2:F33)</f>
        <v>11.90099999999984</v>
      </c>
      <c r="G34" s="144">
        <f>SUM(G2:G33)</f>
        <v>22611.899999999689</v>
      </c>
      <c r="H34" s="144"/>
      <c r="I34" s="144">
        <f>SUM(I2:I33)</f>
        <v>30</v>
      </c>
      <c r="J34" s="144">
        <f>SUM(J2:J33)</f>
        <v>57000</v>
      </c>
      <c r="K34" s="144"/>
      <c r="L34" s="144">
        <f>SUM(L2:L33)</f>
        <v>10.649999999999636</v>
      </c>
      <c r="M34" s="144">
        <f>SUM(M2:M33)</f>
        <v>20234.999999999309</v>
      </c>
      <c r="N34" s="144"/>
      <c r="O34" s="144">
        <f>SUM(O2:O33)</f>
        <v>9.2280000000000655</v>
      </c>
      <c r="P34" s="144">
        <f>SUM(P2:P33)</f>
        <v>17533.200000000124</v>
      </c>
      <c r="Q34" s="144"/>
      <c r="R34" s="144">
        <f>SUM(R2:R33)</f>
        <v>13.880000000000109</v>
      </c>
      <c r="S34" s="144">
        <f>SUM(S2:S33)</f>
        <v>26372.000000000207</v>
      </c>
      <c r="T34" s="144">
        <f>SUM(T2:T33)</f>
        <v>188.01699999999983</v>
      </c>
      <c r="U34" s="144">
        <f>SUM(U2:U33)</f>
        <v>357232.29999999964</v>
      </c>
      <c r="V34"/>
      <c r="W34" s="144" t="s">
        <v>143</v>
      </c>
      <c r="X34" s="144"/>
      <c r="Y34" s="144">
        <f>SUM(Y4:Y33)</f>
        <v>0</v>
      </c>
      <c r="Z34" s="144"/>
      <c r="AA34" s="144">
        <f>SUM(AA4:AA33)</f>
        <v>0</v>
      </c>
      <c r="AB34" s="144"/>
      <c r="AC34" s="35">
        <v>0</v>
      </c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3" t="s">
        <v>144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1" ht="13.5" thickBot="1" x14ac:dyDescent="0.25">
      <c r="A2" s="100"/>
      <c r="B2" s="101" t="s">
        <v>92</v>
      </c>
      <c r="C2" s="102">
        <f>K8+K9+K14</f>
        <v>-68430713</v>
      </c>
      <c r="D2" s="102">
        <f>C2*1.27</f>
        <v>-86907005.510000005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>
        <f>ELECT.!E33</f>
        <v>0</v>
      </c>
      <c r="K3" s="97">
        <f>J3-I3</f>
        <v>-28607675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>
        <f>ELECT.!G33</f>
        <v>0</v>
      </c>
      <c r="K4" s="97">
        <f>J4-I4</f>
        <v>-90758905</v>
      </c>
    </row>
    <row r="5" spans="1:11" ht="13.5" thickBot="1" x14ac:dyDescent="0.25">
      <c r="A5" s="100"/>
      <c r="B5" s="106" t="s">
        <v>27</v>
      </c>
      <c r="C5" s="110">
        <f>(K10+K12)*0.842284+K26</f>
        <v>-30939219.164420001</v>
      </c>
      <c r="D5" s="110">
        <f t="shared" ref="D5:D11" si="0">C5*1.27</f>
        <v>-39292808.338813402</v>
      </c>
      <c r="E5" s="111"/>
      <c r="F5" s="100"/>
      <c r="G5" s="100"/>
      <c r="H5" s="106" t="s">
        <v>23</v>
      </c>
      <c r="I5" s="112"/>
      <c r="J5" s="112"/>
      <c r="K5" s="132">
        <f>K3+K4</f>
        <v>-119366580</v>
      </c>
    </row>
    <row r="6" spans="1:11" ht="13.5" thickBot="1" x14ac:dyDescent="0.25">
      <c r="A6" s="100"/>
      <c r="B6" s="106" t="s">
        <v>99</v>
      </c>
      <c r="C6" s="110">
        <f>(K10+K12+K26)*0.1488</f>
        <v>-5380803.6719999993</v>
      </c>
      <c r="D6" s="110">
        <f t="shared" si="0"/>
        <v>-6833620.6634399993</v>
      </c>
      <c r="E6" s="111"/>
      <c r="F6" s="100"/>
      <c r="G6" s="100"/>
      <c r="H6" s="106" t="s">
        <v>100</v>
      </c>
      <c r="I6" s="145">
        <f>ELECT.!J2</f>
        <v>8949694</v>
      </c>
      <c r="J6" s="141">
        <f>ELECT.!J33</f>
        <v>0</v>
      </c>
      <c r="K6" s="97">
        <f>J6-I6</f>
        <v>-8949694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8875418</v>
      </c>
      <c r="J7" s="141">
        <f>ELECT.!L33</f>
        <v>0</v>
      </c>
      <c r="K7" s="97">
        <f>J7-I7</f>
        <v>-8875418</v>
      </c>
    </row>
    <row r="8" spans="1:11" ht="13.5" thickBot="1" x14ac:dyDescent="0.25">
      <c r="A8" s="100"/>
      <c r="B8" s="106" t="s">
        <v>103</v>
      </c>
      <c r="C8" s="110">
        <f>K21+K22+K23+K24</f>
        <v>-12604131</v>
      </c>
      <c r="D8" s="110">
        <f t="shared" si="0"/>
        <v>-16007246.370000001</v>
      </c>
      <c r="E8" s="111"/>
      <c r="F8" s="100"/>
      <c r="G8" s="100"/>
      <c r="H8" s="106" t="s">
        <v>104</v>
      </c>
      <c r="I8" s="145">
        <f>ELECT.!N2</f>
        <v>6026763</v>
      </c>
      <c r="J8" s="141">
        <f>ELECT.!N33</f>
        <v>0</v>
      </c>
      <c r="K8" s="97">
        <f>(J8-I8)*2</f>
        <v>-12053526</v>
      </c>
    </row>
    <row r="9" spans="1:11" ht="13.5" thickBot="1" x14ac:dyDescent="0.25">
      <c r="A9" s="100"/>
      <c r="B9" s="106" t="s">
        <v>137</v>
      </c>
      <c r="C9" s="110">
        <f>K25+K16+K17</f>
        <v>-49389948</v>
      </c>
      <c r="D9" s="110">
        <f t="shared" si="0"/>
        <v>-62725233.960000001</v>
      </c>
      <c r="E9" s="111"/>
      <c r="F9" s="100"/>
      <c r="G9" s="100"/>
      <c r="H9" s="106" t="s">
        <v>105</v>
      </c>
      <c r="I9" s="145">
        <f>ELECT.!P2</f>
        <v>5373608</v>
      </c>
      <c r="J9" s="141">
        <f>ELECT.!P33</f>
        <v>0</v>
      </c>
      <c r="K9" s="97">
        <f>J9-I9</f>
        <v>-5373608</v>
      </c>
    </row>
    <row r="10" spans="1:11" ht="13.5" thickBot="1" x14ac:dyDescent="0.25">
      <c r="A10" s="100"/>
      <c r="B10" s="106" t="s">
        <v>106</v>
      </c>
      <c r="C10" s="110">
        <f>K18</f>
        <v>-4086240</v>
      </c>
      <c r="D10" s="110">
        <f t="shared" si="0"/>
        <v>-5189524.8</v>
      </c>
      <c r="E10" s="111"/>
      <c r="F10" s="100"/>
      <c r="G10" s="100"/>
      <c r="H10" s="106" t="s">
        <v>107</v>
      </c>
      <c r="I10" s="145">
        <f>ELECT.!R2</f>
        <v>19149295</v>
      </c>
      <c r="J10" s="141">
        <f>ELECT.!R33</f>
        <v>0</v>
      </c>
      <c r="K10" s="97">
        <f>J10-I10</f>
        <v>-19149295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>
        <f>ELECT.!V33</f>
        <v>0</v>
      </c>
      <c r="K12" s="97">
        <f>(J12-I12)*2</f>
        <v>-13961460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-68363001</v>
      </c>
    </row>
    <row r="14" spans="1:11" ht="13.5" thickBot="1" x14ac:dyDescent="0.25">
      <c r="A14" s="100"/>
      <c r="B14" s="106" t="s">
        <v>42</v>
      </c>
      <c r="C14" s="110">
        <f>K29</f>
        <v>-4301550</v>
      </c>
      <c r="D14" s="118">
        <f t="shared" ref="D14:D22" si="1">C14*10.03</f>
        <v>-43144546.5</v>
      </c>
      <c r="E14" s="119"/>
      <c r="F14" s="100"/>
      <c r="G14" s="100"/>
      <c r="H14" s="106" t="s">
        <v>114</v>
      </c>
      <c r="I14" s="115"/>
      <c r="J14" s="116"/>
      <c r="K14" s="98">
        <f>K5-K13</f>
        <v>-51003579</v>
      </c>
    </row>
    <row r="15" spans="1:11" ht="13.5" thickBot="1" x14ac:dyDescent="0.25">
      <c r="A15" s="100"/>
      <c r="B15" s="106" t="s">
        <v>115</v>
      </c>
      <c r="C15" s="120">
        <f>K30</f>
        <v>-20409.489000000001</v>
      </c>
      <c r="D15" s="118">
        <f t="shared" si="1"/>
        <v>-204707.17467000001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-565021.3953498</v>
      </c>
      <c r="D16" s="118">
        <f t="shared" si="1"/>
        <v>-5667164.5953584937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>
        <f>'Mall, Citadel, Rotana'!T33</f>
        <v>0</v>
      </c>
      <c r="K16" s="99">
        <f>(J16-I16)*160</f>
        <v>-611200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0</v>
      </c>
      <c r="K17" s="99">
        <f>(J17-I17)*160</f>
        <v>-48562720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>
        <f>'Mall, Citadel, Rotana'!L33</f>
        <v>0</v>
      </c>
      <c r="K18" s="99">
        <f>(J18-I18)*160</f>
        <v>-4086240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4" t="s">
        <v>116</v>
      </c>
      <c r="F19" s="185"/>
      <c r="G19" s="100"/>
      <c r="H19" s="121" t="s">
        <v>117</v>
      </c>
      <c r="I19" s="122">
        <f>'Mall, Citadel, Rotana'!P2</f>
        <v>129007</v>
      </c>
      <c r="J19" s="122">
        <f>'Mall, Citadel, Rotana'!P33</f>
        <v>0</v>
      </c>
      <c r="K19" s="99">
        <f>J19-I19</f>
        <v>-129007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0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>
        <f>'Mall, Citadel, Rotana'!B33</f>
        <v>0</v>
      </c>
      <c r="K21" s="99">
        <f>(J21-I21)*120</f>
        <v>-5535960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-3721939.1156502003</v>
      </c>
      <c r="D22" s="118">
        <f t="shared" si="1"/>
        <v>-37331049.329971507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>
        <f>'Mall, Citadel, Rotana'!D33</f>
        <v>0</v>
      </c>
      <c r="K22" s="99">
        <f>(J22-I22)*160</f>
        <v>-6398240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>
        <f>'Mall, Citadel, Rotana'!F33</f>
        <v>0</v>
      </c>
      <c r="K23" s="99">
        <f>(J23-I23)*20</f>
        <v>-419000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>
        <f>'Mall, Citadel, Rotana'!H33</f>
        <v>0</v>
      </c>
      <c r="K24" s="99">
        <f>J24-I24</f>
        <v>-250931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>
        <f>'Mall, Citadel, Rotana'!N33</f>
        <v>0</v>
      </c>
      <c r="K25" s="99">
        <f>J25-I25</f>
        <v>-216028</v>
      </c>
    </row>
    <row r="26" spans="1:11" ht="13.5" thickBot="1" x14ac:dyDescent="0.25">
      <c r="A26" s="100"/>
      <c r="B26" s="106" t="s">
        <v>42</v>
      </c>
      <c r="C26" s="124">
        <f>K35</f>
        <v>-17710786</v>
      </c>
      <c r="D26" s="110">
        <f>C26*3.65</f>
        <v>-64644368.899999999</v>
      </c>
      <c r="E26" s="111"/>
      <c r="F26" s="100"/>
      <c r="G26" s="100"/>
      <c r="H26" s="121" t="s">
        <v>123</v>
      </c>
      <c r="I26" s="131">
        <f>ELECT.!C2</f>
        <v>19066</v>
      </c>
      <c r="J26" s="131">
        <f>ELECT.!C33</f>
        <v>0</v>
      </c>
      <c r="K26" s="99">
        <f>(J26-I26)*160</f>
        <v>-3050560</v>
      </c>
    </row>
    <row r="27" spans="1:11" ht="13.5" thickBot="1" x14ac:dyDescent="0.25">
      <c r="A27" s="100"/>
      <c r="B27" s="101" t="s">
        <v>124</v>
      </c>
      <c r="C27" s="124">
        <f>C26</f>
        <v>-17710786</v>
      </c>
      <c r="D27" s="110">
        <f>C27*3.65</f>
        <v>-64644368.899999999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>
        <f>Water!B33</f>
        <v>0</v>
      </c>
      <c r="K29" s="99">
        <f>(J29-I29)*10</f>
        <v>-4301550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>
        <f>Water!H33</f>
        <v>0</v>
      </c>
      <c r="K30" s="99">
        <f>(J30-I30)*0.027</f>
        <v>-20409.489000000001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>
        <f>Water!F33</f>
        <v>0</v>
      </c>
      <c r="K32" s="99">
        <f>(J32-I32)*0.027</f>
        <v>-172751.4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>
        <f>Gas!B33</f>
        <v>0</v>
      </c>
      <c r="K35" s="130">
        <f>J35-I35</f>
        <v>-17710786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146</v>
      </c>
      <c r="N1" s="64" t="s">
        <v>91</v>
      </c>
      <c r="O1" s="65" t="s">
        <v>79</v>
      </c>
    </row>
    <row r="2" spans="2:15" ht="15" x14ac:dyDescent="0.2">
      <c r="B2" s="62"/>
      <c r="C2" s="194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4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9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9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5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5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4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4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9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9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5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5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4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4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9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5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5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4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4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9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5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5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4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4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9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5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5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4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4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9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9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5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5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4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94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9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9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5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5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4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4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9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5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5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4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4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9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9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5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5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4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4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99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99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95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5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4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4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9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9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5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5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4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4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9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9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5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5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4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4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99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99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95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5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4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4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99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99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95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5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4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4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9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9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4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4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9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9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4">
        <v>23</v>
      </c>
      <c r="D49" s="66" t="s">
        <v>83</v>
      </c>
      <c r="E49" s="81"/>
      <c r="F49" s="81"/>
      <c r="G49" s="68">
        <f t="shared" si="2"/>
        <v>0</v>
      </c>
      <c r="H49" s="69"/>
      <c r="J49" s="194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9"/>
      <c r="D50" s="66" t="s">
        <v>82</v>
      </c>
      <c r="E50" s="81"/>
      <c r="F50" s="81"/>
      <c r="G50" s="68">
        <f t="shared" si="2"/>
        <v>0</v>
      </c>
      <c r="H50" s="69"/>
      <c r="J50" s="19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0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200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201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201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202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202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4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4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5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5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4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4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5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5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4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4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5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5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4">
        <v>28</v>
      </c>
      <c r="D62" s="189" t="s">
        <v>86</v>
      </c>
      <c r="E62" s="67"/>
      <c r="F62" s="67"/>
      <c r="G62" s="68"/>
      <c r="H62" s="191" t="s">
        <v>87</v>
      </c>
      <c r="I62" s="72"/>
      <c r="J62" s="194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95"/>
      <c r="D63" s="190"/>
      <c r="E63" s="67"/>
      <c r="F63" s="67"/>
      <c r="G63" s="68"/>
      <c r="H63" s="192"/>
      <c r="I63" s="72"/>
      <c r="J63" s="195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28925</v>
      </c>
      <c r="H64" s="87"/>
      <c r="I64" s="72"/>
      <c r="J64" s="193" t="s">
        <v>88</v>
      </c>
      <c r="K64" s="193"/>
      <c r="L64" s="193"/>
      <c r="M64" s="193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44409</v>
      </c>
      <c r="C69" s="197"/>
      <c r="D69" s="197"/>
      <c r="E69" s="198"/>
      <c r="F69" s="90"/>
      <c r="G69" s="196">
        <v>44470</v>
      </c>
      <c r="H69" s="197"/>
      <c r="I69" s="197"/>
      <c r="J69" s="198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2021-11-07T02:38:52Z</dcterms:modified>
</cp:coreProperties>
</file>