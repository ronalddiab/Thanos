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2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4055" documentId="8_{5B502D95-7A37-4D5A-8B6B-374537CC2F26}" xr6:coauthVersionLast="47" xr6:coauthVersionMax="47" xr10:uidLastSave="{48CFC99A-B3E3-4660-9312-8E404BE58867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38" i="2" l="1"/>
  <c r="V39" i="2"/>
  <c r="K38" i="6"/>
  <c r="I38" i="6"/>
  <c r="G38" i="6"/>
  <c r="E38" i="6"/>
  <c r="C38" i="6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K37" i="6"/>
  <c r="I37" i="6"/>
  <c r="G37" i="6"/>
  <c r="E37" i="6"/>
  <c r="C37" i="6"/>
  <c r="K34" i="6"/>
  <c r="I34" i="6"/>
  <c r="G34" i="6"/>
  <c r="E34" i="6"/>
  <c r="C34" i="6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9" i="6"/>
  <c r="I29" i="6"/>
  <c r="G29" i="6"/>
  <c r="E29" i="6"/>
  <c r="C29" i="6"/>
  <c r="K28" i="6"/>
  <c r="I28" i="6"/>
  <c r="G28" i="6"/>
  <c r="E28" i="6"/>
  <c r="C28" i="6"/>
  <c r="K27" i="6"/>
  <c r="I27" i="6"/>
  <c r="G27" i="6"/>
  <c r="E27" i="6"/>
  <c r="C27" i="6"/>
  <c r="K26" i="6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2" i="6"/>
  <c r="I22" i="6"/>
  <c r="G22" i="6"/>
  <c r="E22" i="6"/>
  <c r="C22" i="6"/>
  <c r="K21" i="6"/>
  <c r="I21" i="6"/>
  <c r="G21" i="6"/>
  <c r="E21" i="6"/>
  <c r="C21" i="6"/>
  <c r="K19" i="6"/>
  <c r="I19" i="6"/>
  <c r="G19" i="6"/>
  <c r="E19" i="6"/>
  <c r="C19" i="6"/>
  <c r="K18" i="6"/>
  <c r="I18" i="6"/>
  <c r="G18" i="6"/>
  <c r="E18" i="6"/>
  <c r="C18" i="6"/>
  <c r="C17" i="6"/>
  <c r="E17" i="6"/>
  <c r="G17" i="6"/>
  <c r="I17" i="6"/>
  <c r="K17" i="6"/>
  <c r="K16" i="6"/>
  <c r="I16" i="6"/>
  <c r="G16" i="6"/>
  <c r="E16" i="6"/>
  <c r="C16" i="6"/>
  <c r="K15" i="6"/>
  <c r="I15" i="6"/>
  <c r="G15" i="6"/>
  <c r="E15" i="6"/>
  <c r="C15" i="6"/>
  <c r="K14" i="6"/>
  <c r="I14" i="6"/>
  <c r="G14" i="6"/>
  <c r="E14" i="6"/>
  <c r="C14" i="6"/>
  <c r="V13" i="2"/>
  <c r="K13" i="6"/>
  <c r="I13" i="6"/>
  <c r="G13" i="6"/>
  <c r="E13" i="6"/>
  <c r="C13" i="6"/>
  <c r="P5" i="4"/>
  <c r="P6" i="4"/>
  <c r="P35" i="4"/>
  <c r="P36" i="4"/>
  <c r="P37" i="4"/>
  <c r="P38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V12" i="2"/>
  <c r="K12" i="6"/>
  <c r="I12" i="6"/>
  <c r="G12" i="6"/>
  <c r="E12" i="6"/>
  <c r="C12" i="6"/>
  <c r="I25" i="21"/>
  <c r="I26" i="21"/>
  <c r="I27" i="21"/>
  <c r="I28" i="21"/>
  <c r="I29" i="21"/>
  <c r="I30" i="21"/>
  <c r="I31" i="21"/>
  <c r="I32" i="21"/>
  <c r="H24" i="21"/>
  <c r="H25" i="21"/>
  <c r="H26" i="21"/>
  <c r="H27" i="21"/>
  <c r="H28" i="21"/>
  <c r="H29" i="21"/>
  <c r="H30" i="21"/>
  <c r="H31" i="21"/>
  <c r="H32" i="21"/>
  <c r="L30" i="22"/>
  <c r="L31" i="22"/>
  <c r="L32" i="22"/>
  <c r="K29" i="22"/>
  <c r="K30" i="22"/>
  <c r="K31" i="22"/>
  <c r="K32" i="22"/>
  <c r="G30" i="22"/>
  <c r="G31" i="22"/>
  <c r="G32" i="22"/>
  <c r="V11" i="2"/>
  <c r="V10" i="2"/>
  <c r="K11" i="6"/>
  <c r="I11" i="6"/>
  <c r="G11" i="6"/>
  <c r="E11" i="6"/>
  <c r="C11" i="6"/>
  <c r="G4" i="4"/>
  <c r="E4" i="4"/>
  <c r="C4" i="4"/>
  <c r="B31" i="21"/>
  <c r="B32" i="21"/>
  <c r="B31" i="22"/>
  <c r="B32" i="22"/>
  <c r="K39" i="6"/>
  <c r="N40" i="2" s="1"/>
  <c r="G32" i="21" s="1"/>
  <c r="I39" i="6"/>
  <c r="M40" i="2" s="1"/>
  <c r="F32" i="21" s="1"/>
  <c r="G39" i="6"/>
  <c r="L40" i="2" s="1"/>
  <c r="E39" i="6"/>
  <c r="C39" i="6"/>
  <c r="N39" i="2"/>
  <c r="G31" i="21" s="1"/>
  <c r="M39" i="2"/>
  <c r="F31" i="21" s="1"/>
  <c r="L39" i="2"/>
  <c r="N38" i="2"/>
  <c r="G30" i="21" s="1"/>
  <c r="M38" i="2"/>
  <c r="F30" i="21" s="1"/>
  <c r="L38" i="2"/>
  <c r="E30" i="21" s="1"/>
  <c r="E30" i="22" s="1"/>
  <c r="F38" i="2"/>
  <c r="I30" i="22" s="1"/>
  <c r="K36" i="6"/>
  <c r="N37" i="2" s="1"/>
  <c r="G29" i="21" s="1"/>
  <c r="I36" i="6"/>
  <c r="M37" i="2" s="1"/>
  <c r="F29" i="21" s="1"/>
  <c r="G36" i="6"/>
  <c r="L37" i="2" s="1"/>
  <c r="E29" i="21" s="1"/>
  <c r="E29" i="22" s="1"/>
  <c r="E36" i="6"/>
  <c r="F37" i="2" s="1"/>
  <c r="I29" i="22" s="1"/>
  <c r="C36" i="6"/>
  <c r="N35" i="2"/>
  <c r="G27" i="21" s="1"/>
  <c r="K35" i="6"/>
  <c r="N36" i="2" s="1"/>
  <c r="G28" i="21" s="1"/>
  <c r="M35" i="2"/>
  <c r="F27" i="21" s="1"/>
  <c r="I35" i="6"/>
  <c r="M36" i="2" s="1"/>
  <c r="F28" i="21" s="1"/>
  <c r="L35" i="2"/>
  <c r="E27" i="21" s="1"/>
  <c r="E27" i="22" s="1"/>
  <c r="G35" i="6"/>
  <c r="L36" i="2" s="1"/>
  <c r="E28" i="21" s="1"/>
  <c r="E28" i="22" s="1"/>
  <c r="F35" i="2"/>
  <c r="E35" i="6"/>
  <c r="F36" i="2" s="1"/>
  <c r="I28" i="22" s="1"/>
  <c r="C35" i="6"/>
  <c r="N34" i="2"/>
  <c r="G26" i="21" s="1"/>
  <c r="M34" i="2"/>
  <c r="F26" i="21" s="1"/>
  <c r="L34" i="2"/>
  <c r="E26" i="21" s="1"/>
  <c r="E26" i="22" s="1"/>
  <c r="F34" i="2"/>
  <c r="N33" i="2"/>
  <c r="G25" i="21" s="1"/>
  <c r="M33" i="2"/>
  <c r="F25" i="21" s="1"/>
  <c r="L33" i="2"/>
  <c r="E25" i="21" s="1"/>
  <c r="E25" i="22" s="1"/>
  <c r="F33" i="2"/>
  <c r="N32" i="2"/>
  <c r="G24" i="21" s="1"/>
  <c r="M32" i="2"/>
  <c r="F24" i="21" s="1"/>
  <c r="L32" i="2"/>
  <c r="E24" i="21" s="1"/>
  <c r="E24" i="22" s="1"/>
  <c r="F32" i="2"/>
  <c r="N31" i="2"/>
  <c r="G23" i="21" s="1"/>
  <c r="M31" i="2"/>
  <c r="F23" i="21" s="1"/>
  <c r="L31" i="2"/>
  <c r="E23" i="21" s="1"/>
  <c r="E23" i="22" s="1"/>
  <c r="F31" i="2"/>
  <c r="N30" i="2"/>
  <c r="M30" i="2"/>
  <c r="F22" i="21" s="1"/>
  <c r="F30" i="2"/>
  <c r="L30" i="2"/>
  <c r="E22" i="21" s="1"/>
  <c r="N29" i="2"/>
  <c r="M29" i="2"/>
  <c r="L29" i="2"/>
  <c r="E21" i="21" s="1"/>
  <c r="F29" i="2"/>
  <c r="N28" i="2"/>
  <c r="M28" i="2"/>
  <c r="L28" i="2"/>
  <c r="E20" i="21" s="1"/>
  <c r="F28" i="2"/>
  <c r="N27" i="2"/>
  <c r="M27" i="2"/>
  <c r="L27" i="2"/>
  <c r="E19" i="21" s="1"/>
  <c r="F27" i="2"/>
  <c r="N26" i="2"/>
  <c r="M26" i="2"/>
  <c r="L26" i="2"/>
  <c r="E18" i="21" s="1"/>
  <c r="F26" i="2"/>
  <c r="N25" i="2"/>
  <c r="M25" i="2"/>
  <c r="L25" i="2"/>
  <c r="E17" i="21" s="1"/>
  <c r="F25" i="2"/>
  <c r="K23" i="6"/>
  <c r="N24" i="2" s="1"/>
  <c r="I23" i="6"/>
  <c r="M24" i="2" s="1"/>
  <c r="G23" i="6"/>
  <c r="L24" i="2" s="1"/>
  <c r="E16" i="21" s="1"/>
  <c r="E23" i="6"/>
  <c r="F24" i="2" s="1"/>
  <c r="C23" i="6"/>
  <c r="N23" i="2"/>
  <c r="M23" i="2"/>
  <c r="L23" i="2"/>
  <c r="F23" i="2"/>
  <c r="N22" i="2"/>
  <c r="M22" i="2"/>
  <c r="L22" i="2"/>
  <c r="F22" i="2"/>
  <c r="N20" i="2"/>
  <c r="K20" i="6"/>
  <c r="N21" i="2" s="1"/>
  <c r="M20" i="2"/>
  <c r="I20" i="6"/>
  <c r="M21" i="2" s="1"/>
  <c r="L20" i="2"/>
  <c r="G20" i="6"/>
  <c r="L21" i="2" s="1"/>
  <c r="F20" i="2"/>
  <c r="E20" i="6"/>
  <c r="F21" i="2" s="1"/>
  <c r="C20" i="6"/>
  <c r="N19" i="2"/>
  <c r="M19" i="2"/>
  <c r="L19" i="2"/>
  <c r="F19" i="2"/>
  <c r="N18" i="2"/>
  <c r="M18" i="2"/>
  <c r="L18" i="2"/>
  <c r="F18" i="2"/>
  <c r="N17" i="2"/>
  <c r="M17" i="2"/>
  <c r="L17" i="2"/>
  <c r="F17" i="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7" i="22"/>
  <c r="N16" i="2"/>
  <c r="M16" i="2"/>
  <c r="L16" i="2"/>
  <c r="F16" i="2"/>
  <c r="G3" i="22"/>
  <c r="G4" i="22"/>
  <c r="G5" i="22"/>
  <c r="G6" i="22"/>
  <c r="N15" i="2"/>
  <c r="M15" i="2"/>
  <c r="L15" i="2"/>
  <c r="F15" i="2"/>
  <c r="N14" i="2"/>
  <c r="M14" i="2"/>
  <c r="L14" i="2"/>
  <c r="F14" i="2"/>
  <c r="N13" i="2"/>
  <c r="M13" i="2"/>
  <c r="L13" i="2"/>
  <c r="F13" i="2"/>
  <c r="N12" i="2"/>
  <c r="M12" i="2"/>
  <c r="L12" i="2"/>
  <c r="F12" i="2"/>
  <c r="N10" i="2"/>
  <c r="M10" i="2"/>
  <c r="L10" i="2"/>
  <c r="F10" i="2"/>
  <c r="K10" i="6"/>
  <c r="N11" i="2" s="1"/>
  <c r="I10" i="6"/>
  <c r="M11" i="2" s="1"/>
  <c r="G10" i="6"/>
  <c r="L11" i="2" s="1"/>
  <c r="E10" i="6"/>
  <c r="F11" i="2" s="1"/>
  <c r="C10" i="6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C31" i="4"/>
  <c r="G28" i="4"/>
  <c r="G31" i="4"/>
  <c r="G33" i="4"/>
  <c r="G35" i="4"/>
  <c r="E28" i="4"/>
  <c r="E31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E32" i="21" l="1"/>
  <c r="E32" i="22" s="1"/>
  <c r="Q40" i="2"/>
  <c r="O40" i="2"/>
  <c r="F40" i="2"/>
  <c r="F39" i="2"/>
  <c r="E31" i="21"/>
  <c r="E31" i="22" s="1"/>
  <c r="Q39" i="2"/>
  <c r="O39" i="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I31" i="22" l="1"/>
  <c r="H39" i="2"/>
  <c r="F41" i="2"/>
  <c r="I32" i="22"/>
  <c r="H40" i="2"/>
  <c r="Q41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M3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<sst xmlns="http://schemas.openxmlformats.org/spreadsheetml/2006/main" count="484" uniqueCount="187">
  <si>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</si>
  <si>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</si>
  <si>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</si>
  <si>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</si>
  <si>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</si>
  <si>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</si>
  <si>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</si>
  <si>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</si>
  <si>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</si>
  <si>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</si>
  <si>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</si>
  <si>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</si>
  <si>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</si>
  <si>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</si>
  <si>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</si>
  <si>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</si>
  <si>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</si>
  <si>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</si>
  <si>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</si>
  <si>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</si>
  <si>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</si>
  <si>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</si>
  <si>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</si>
  <si>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</si>
  <si>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</si>
  <si>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</si>
  <si>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</si>
  <si>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</si>
  <si>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</si>
  <si>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</si>
  <si>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</si>
  <si>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</si>
  <si>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</si>
  <si>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</si>
  <si>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</si>
  <si>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</si>
  <si>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</si>
  <si>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</si>
  <si>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</si>
  <si>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</si>
  <si>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</si>
  <si>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JUILL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</si>
  <si>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</si>
  <si>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</si>
  <si>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</si>
  <si>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</si>
  <si>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</si>
  <si>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</si>
  <si>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</si>
  <si>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</si>
  <si>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</si>
  <si>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</si>
  <si>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</si>
  <si>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</si>
  <si>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</si>
  <si>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</si>
  <si>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</si>
  <si>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juil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</si>
  <si>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</si>
  <si>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</si>
  <si>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</si>
  <si>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</si>
  <si>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</si>
  <si>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</si>
  <si>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</si>
  <si>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</si>
  <si>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</si>
  <si>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</si>
  <si>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</si>
  <si>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</si>
  <si>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</si>
  <si>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</si>
  <si>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</si>
  <si>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</si>
  <si>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</si>
  <si>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</si>
  <si>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</si>
  <si>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</si>
  <si>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</si>
  <si>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</si>
  <si>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</si>
  <si>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</si>
  <si>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</si>
  <si>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</si>
  <si>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</si>
  <si>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</si>
  <si>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</si>
  <si>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juil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</si>
  <si>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</si>
  <si>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</si>
  <si>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</si>
  <si>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</si>
  <si>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</si>
  <si>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</si>
  <si>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</si>
  <si>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</si>
  <si>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</si>
  <si>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</si>
  <si>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</si>
  <si>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</si>
  <si>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</si>
  <si>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</si>
  <si>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</si>
  <si>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</si>
  <si>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</si>
  <si>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</si>
  <si>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</si>
  <si>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</si>
  <si>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</si>
  <si>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</si>
  <si>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</si>
  <si>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</si>
  <si>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</si>
  <si>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</si>
  <si>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</si>
  <si>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</si>
  <si>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</si>
  <si>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</si>
  <si>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</si>
  <si>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</si>
  <si>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</si>
  <si>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</si>
  <si>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</si>
  <si>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</si>
  <si>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</si>
  <si>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</si>
  <si>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</si>
  <si>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</si>
  <si>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</si>
  <si>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</si>
  <si>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</si>
  <si>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</si>
  <si>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juil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</si>
  <si>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</si>
  <si>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</si>
  <si>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</si>
  <si>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</si>
  <si>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</si>
  <si>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</si>
  <si>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</si>
  <si>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</si>
  <si>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</si>
  <si>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</si>
  <si>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</si>
  <si>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</si>
  <si>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</si>
  <si>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</si>
  <si>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</si>
  <si>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</si>
  <si>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</si>
  <si>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</si>
  <si>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</si>
  <si>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</si>
  <si>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Estimation de la consommation d'Eau Sanitaire Juill 2022</t>
  </si>
  <si>
    <t>Tranche 5</t>
  </si>
  <si>
    <t>Estimation de la consommation d'Eau incendie MAI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</si>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</sst>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171.70000000001164</c:v>
                </c:pt>
                <c:pt idx="1">
                  <c:v>147</c:v>
                </c:pt>
                <c:pt idx="2">
                  <c:v>199</c:v>
                </c:pt>
                <c:pt idx="3">
                  <c:v>231</c:v>
                </c:pt>
                <c:pt idx="4">
                  <c:v>183</c:v>
                </c:pt>
                <c:pt idx="5">
                  <c:v>191</c:v>
                </c:pt>
                <c:pt idx="6">
                  <c:v>143.60000000000582</c:v>
                </c:pt>
                <c:pt idx="7">
                  <c:v>136.10000000000582</c:v>
                </c:pt>
                <c:pt idx="8">
                  <c:v>156.29999999998836</c:v>
                </c:pt>
                <c:pt idx="9">
                  <c:v>154</c:v>
                </c:pt>
                <c:pt idx="10">
                  <c:v>72.700000000011642</c:v>
                </c:pt>
                <c:pt idx="11">
                  <c:v>142.89999999999418</c:v>
                </c:pt>
                <c:pt idx="12">
                  <c:v>164.19999999998254</c:v>
                </c:pt>
                <c:pt idx="13">
                  <c:v>141.60000000000582</c:v>
                </c:pt>
                <c:pt idx="14">
                  <c:v>375.60000000000582</c:v>
                </c:pt>
                <c:pt idx="15">
                  <c:v>264</c:v>
                </c:pt>
                <c:pt idx="16">
                  <c:v>145</c:v>
                </c:pt>
                <c:pt idx="17">
                  <c:v>175</c:v>
                </c:pt>
                <c:pt idx="18">
                  <c:v>161</c:v>
                </c:pt>
                <c:pt idx="19">
                  <c:v>168</c:v>
                </c:pt>
                <c:pt idx="20">
                  <c:v>137.10000000000582</c:v>
                </c:pt>
                <c:pt idx="21">
                  <c:v>172.19999999998254</c:v>
                </c:pt>
                <c:pt idx="22">
                  <c:v>153.70000000001164</c:v>
                </c:pt>
                <c:pt idx="23">
                  <c:v>165</c:v>
                </c:pt>
                <c:pt idx="24">
                  <c:v>136</c:v>
                </c:pt>
                <c:pt idx="25">
                  <c:v>177</c:v>
                </c:pt>
                <c:pt idx="26">
                  <c:v>202</c:v>
                </c:pt>
                <c:pt idx="27">
                  <c:v>177.39999999999418</c:v>
                </c:pt>
                <c:pt idx="28">
                  <c:v>176.60000000000582</c:v>
                </c:pt>
                <c:pt idx="29">
                  <c:v>167</c:v>
                </c:pt>
                <c:pt idx="30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5543</c:v>
                </c:pt>
                <c:pt idx="1">
                  <c:v>4535</c:v>
                </c:pt>
                <c:pt idx="2">
                  <c:v>6834</c:v>
                </c:pt>
                <c:pt idx="3">
                  <c:v>4745</c:v>
                </c:pt>
                <c:pt idx="4">
                  <c:v>4845</c:v>
                </c:pt>
                <c:pt idx="5">
                  <c:v>4159</c:v>
                </c:pt>
                <c:pt idx="6">
                  <c:v>4123</c:v>
                </c:pt>
                <c:pt idx="7">
                  <c:v>4362</c:v>
                </c:pt>
                <c:pt idx="8">
                  <c:v>5134</c:v>
                </c:pt>
                <c:pt idx="9">
                  <c:v>4010</c:v>
                </c:pt>
                <c:pt idx="10">
                  <c:v>6006</c:v>
                </c:pt>
                <c:pt idx="11">
                  <c:v>6159</c:v>
                </c:pt>
                <c:pt idx="12">
                  <c:v>5065</c:v>
                </c:pt>
                <c:pt idx="13">
                  <c:v>6255</c:v>
                </c:pt>
                <c:pt idx="14">
                  <c:v>6848</c:v>
                </c:pt>
                <c:pt idx="15">
                  <c:v>4704</c:v>
                </c:pt>
                <c:pt idx="16">
                  <c:v>4751</c:v>
                </c:pt>
                <c:pt idx="17">
                  <c:v>4244</c:v>
                </c:pt>
                <c:pt idx="18">
                  <c:v>5493</c:v>
                </c:pt>
                <c:pt idx="19">
                  <c:v>4628</c:v>
                </c:pt>
                <c:pt idx="20">
                  <c:v>4677</c:v>
                </c:pt>
                <c:pt idx="21">
                  <c:v>6770</c:v>
                </c:pt>
                <c:pt idx="22">
                  <c:v>5483</c:v>
                </c:pt>
                <c:pt idx="23">
                  <c:v>5587</c:v>
                </c:pt>
                <c:pt idx="24">
                  <c:v>4943</c:v>
                </c:pt>
                <c:pt idx="25">
                  <c:v>5983</c:v>
                </c:pt>
                <c:pt idx="26">
                  <c:v>4869</c:v>
                </c:pt>
                <c:pt idx="27">
                  <c:v>5335</c:v>
                </c:pt>
                <c:pt idx="28">
                  <c:v>5230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9745</c:v>
                </c:pt>
                <c:pt idx="1">
                  <c:v>10210</c:v>
                </c:pt>
                <c:pt idx="2">
                  <c:v>9841</c:v>
                </c:pt>
                <c:pt idx="3">
                  <c:v>10015</c:v>
                </c:pt>
                <c:pt idx="4">
                  <c:v>11146</c:v>
                </c:pt>
                <c:pt idx="5">
                  <c:v>8782</c:v>
                </c:pt>
                <c:pt idx="6">
                  <c:v>8605</c:v>
                </c:pt>
                <c:pt idx="7">
                  <c:v>10601</c:v>
                </c:pt>
                <c:pt idx="8">
                  <c:v>9670</c:v>
                </c:pt>
                <c:pt idx="9">
                  <c:v>9989</c:v>
                </c:pt>
                <c:pt idx="10">
                  <c:v>9852</c:v>
                </c:pt>
                <c:pt idx="11">
                  <c:v>10179</c:v>
                </c:pt>
                <c:pt idx="12">
                  <c:v>9574</c:v>
                </c:pt>
                <c:pt idx="13">
                  <c:v>10623</c:v>
                </c:pt>
                <c:pt idx="14">
                  <c:v>10355</c:v>
                </c:pt>
                <c:pt idx="15">
                  <c:v>10298</c:v>
                </c:pt>
                <c:pt idx="16">
                  <c:v>10003</c:v>
                </c:pt>
                <c:pt idx="17">
                  <c:v>10006</c:v>
                </c:pt>
                <c:pt idx="18">
                  <c:v>10880</c:v>
                </c:pt>
                <c:pt idx="19">
                  <c:v>11455</c:v>
                </c:pt>
                <c:pt idx="20">
                  <c:v>12432</c:v>
                </c:pt>
                <c:pt idx="21">
                  <c:v>11697</c:v>
                </c:pt>
                <c:pt idx="22">
                  <c:v>13376</c:v>
                </c:pt>
                <c:pt idx="23">
                  <c:v>12382</c:v>
                </c:pt>
                <c:pt idx="24">
                  <c:v>12183</c:v>
                </c:pt>
                <c:pt idx="25">
                  <c:v>13221</c:v>
                </c:pt>
                <c:pt idx="26">
                  <c:v>13446</c:v>
                </c:pt>
                <c:pt idx="27">
                  <c:v>11570</c:v>
                </c:pt>
                <c:pt idx="28">
                  <c:v>12151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3279</c:v>
                </c:pt>
                <c:pt idx="1">
                  <c:v>3658</c:v>
                </c:pt>
                <c:pt idx="2">
                  <c:v>4802</c:v>
                </c:pt>
                <c:pt idx="3">
                  <c:v>3926</c:v>
                </c:pt>
                <c:pt idx="4">
                  <c:v>3876</c:v>
                </c:pt>
                <c:pt idx="5">
                  <c:v>3350</c:v>
                </c:pt>
                <c:pt idx="6">
                  <c:v>3379</c:v>
                </c:pt>
                <c:pt idx="7">
                  <c:v>3821</c:v>
                </c:pt>
                <c:pt idx="8">
                  <c:v>4352</c:v>
                </c:pt>
                <c:pt idx="9">
                  <c:v>4534</c:v>
                </c:pt>
                <c:pt idx="10">
                  <c:v>4398</c:v>
                </c:pt>
                <c:pt idx="11">
                  <c:v>4469</c:v>
                </c:pt>
                <c:pt idx="12">
                  <c:v>4062</c:v>
                </c:pt>
                <c:pt idx="13">
                  <c:v>4583</c:v>
                </c:pt>
                <c:pt idx="14">
                  <c:v>3981</c:v>
                </c:pt>
                <c:pt idx="15">
                  <c:v>3804</c:v>
                </c:pt>
                <c:pt idx="16">
                  <c:v>3485</c:v>
                </c:pt>
                <c:pt idx="17">
                  <c:v>3594</c:v>
                </c:pt>
                <c:pt idx="18">
                  <c:v>4129</c:v>
                </c:pt>
                <c:pt idx="19">
                  <c:v>3955</c:v>
                </c:pt>
                <c:pt idx="20">
                  <c:v>4613</c:v>
                </c:pt>
                <c:pt idx="21">
                  <c:v>5251</c:v>
                </c:pt>
                <c:pt idx="22">
                  <c:v>5043</c:v>
                </c:pt>
                <c:pt idx="23">
                  <c:v>4491</c:v>
                </c:pt>
                <c:pt idx="24">
                  <c:v>5046</c:v>
                </c:pt>
                <c:pt idx="25">
                  <c:v>4738</c:v>
                </c:pt>
                <c:pt idx="26">
                  <c:v>4984</c:v>
                </c:pt>
                <c:pt idx="27">
                  <c:v>4885</c:v>
                </c:pt>
                <c:pt idx="28">
                  <c:v>4411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287.99288999999999</c:v>
                </c:pt>
                <c:pt idx="1">
                  <c:v>127.99684000000001</c:v>
                </c:pt>
                <c:pt idx="2">
                  <c:v>351.99131</c:v>
                </c:pt>
                <c:pt idx="3">
                  <c:v>288.53730000000002</c:v>
                </c:pt>
                <c:pt idx="4">
                  <c:v>543.98657000000003</c:v>
                </c:pt>
                <c:pt idx="5">
                  <c:v>319.99209999999999</c:v>
                </c:pt>
                <c:pt idx="6">
                  <c:v>159.99605</c:v>
                </c:pt>
                <c:pt idx="7">
                  <c:v>255.99368000000001</c:v>
                </c:pt>
                <c:pt idx="8">
                  <c:v>63.998420000000003</c:v>
                </c:pt>
                <c:pt idx="9">
                  <c:v>31.999210000000001</c:v>
                </c:pt>
                <c:pt idx="10">
                  <c:v>31.999210000000001</c:v>
                </c:pt>
                <c:pt idx="11">
                  <c:v>191.99526</c:v>
                </c:pt>
                <c:pt idx="12">
                  <c:v>223.99447000000001</c:v>
                </c:pt>
                <c:pt idx="13">
                  <c:v>191.99526</c:v>
                </c:pt>
                <c:pt idx="14">
                  <c:v>191.99526</c:v>
                </c:pt>
                <c:pt idx="15">
                  <c:v>159.99605</c:v>
                </c:pt>
                <c:pt idx="16">
                  <c:v>287.99288999999999</c:v>
                </c:pt>
                <c:pt idx="17">
                  <c:v>319.99209999999999</c:v>
                </c:pt>
                <c:pt idx="18">
                  <c:v>319.99209999999999</c:v>
                </c:pt>
                <c:pt idx="19">
                  <c:v>287.99288999999999</c:v>
                </c:pt>
                <c:pt idx="20">
                  <c:v>223.99447000000001</c:v>
                </c:pt>
                <c:pt idx="21">
                  <c:v>191.99526</c:v>
                </c:pt>
                <c:pt idx="22">
                  <c:v>127.99684000000001</c:v>
                </c:pt>
                <c:pt idx="23">
                  <c:v>159.99605</c:v>
                </c:pt>
                <c:pt idx="24">
                  <c:v>127.99684000000001</c:v>
                </c:pt>
                <c:pt idx="25">
                  <c:v>31.999210000000001</c:v>
                </c:pt>
                <c:pt idx="26">
                  <c:v>159.99605</c:v>
                </c:pt>
                <c:pt idx="27">
                  <c:v>255.99368000000001</c:v>
                </c:pt>
                <c:pt idx="28">
                  <c:v>223.99447000000001</c:v>
                </c:pt>
                <c:pt idx="29">
                  <c:v>255.99368000000001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H1" workbookViewId="0">
      <selection activeCell="H2" sqref="H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7</v>
      </c>
      <c r="D2" s="141">
        <v>2022</v>
      </c>
      <c r="E2" s="137">
        <f>submetering!E2+submetering!F2+submetering!G2</f>
        <v>18567</v>
      </c>
      <c r="F2" s="134">
        <v>1.05</v>
      </c>
      <c r="G2" s="134">
        <f>'Consommation mensuel énergie'!V10</f>
        <v>287.99288999999999</v>
      </c>
      <c r="H2" s="134">
        <v>11.766</v>
      </c>
      <c r="I2" s="134">
        <f>'Consommation mensuel énergie'!F10</f>
        <v>171.70000000001164</v>
      </c>
      <c r="J2" s="134">
        <v>11.4</v>
      </c>
      <c r="K2" s="137">
        <f>'Consommation mensuel énergie'!D10</f>
        <v>157</v>
      </c>
      <c r="L2" s="137">
        <f>'Consommation mensuel énergie'!E10</f>
        <v>284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7</v>
      </c>
      <c r="D3" s="141">
        <v>2022</v>
      </c>
      <c r="E3" s="137">
        <f>submetering!E3+submetering!F3+submetering!G3</f>
        <v>18621</v>
      </c>
      <c r="F3" s="134">
        <v>1.05</v>
      </c>
      <c r="G3" s="134">
        <f>'Consommation mensuel énergie'!V11</f>
        <v>127.99684000000001</v>
      </c>
      <c r="H3" s="134">
        <v>11.766</v>
      </c>
      <c r="I3" s="134">
        <f>'Consommation mensuel énergie'!F11</f>
        <v>147</v>
      </c>
      <c r="J3" s="134">
        <v>11.4</v>
      </c>
      <c r="K3" s="137">
        <f>'Consommation mensuel énergie'!D11</f>
        <v>155</v>
      </c>
      <c r="L3" s="137">
        <f>'Consommation mensuel énergie'!E11</f>
        <v>282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7</v>
      </c>
      <c r="D4" s="141">
        <v>2022</v>
      </c>
      <c r="E4" s="137">
        <f>submetering!E4+submetering!F4+submetering!G4</f>
        <v>21477</v>
      </c>
      <c r="F4" s="134">
        <v>1.05</v>
      </c>
      <c r="G4" s="134">
        <f>'Consommation mensuel énergie'!V12</f>
        <v>351.99131</v>
      </c>
      <c r="H4" s="134">
        <v>11.766</v>
      </c>
      <c r="I4" s="134">
        <f>'Consommation mensuel énergie'!F12</f>
        <v>199</v>
      </c>
      <c r="J4" s="134">
        <v>11.4</v>
      </c>
      <c r="K4" s="137">
        <f>'Consommation mensuel énergie'!D12</f>
        <v>147</v>
      </c>
      <c r="L4" s="137">
        <f>'Consommation mensuel énergie'!E12</f>
        <v>267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7</v>
      </c>
      <c r="D5" s="141">
        <v>2022</v>
      </c>
      <c r="E5" s="137">
        <f>submetering!E5+submetering!F5+submetering!G5</f>
        <v>18686</v>
      </c>
      <c r="F5" s="134">
        <v>1.05</v>
      </c>
      <c r="G5" s="134">
        <f>'Consommation mensuel énergie'!V13</f>
        <v>288.53730000000002</v>
      </c>
      <c r="H5" s="134">
        <v>11.766</v>
      </c>
      <c r="I5" s="134">
        <f>'Consommation mensuel énergie'!F13</f>
        <v>231</v>
      </c>
      <c r="J5" s="134">
        <v>11.4</v>
      </c>
      <c r="K5" s="137">
        <f>'Consommation mensuel énergie'!D13</f>
        <v>114</v>
      </c>
      <c r="L5" s="137">
        <f>'Consommation mensuel énergie'!E13</f>
        <v>193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7</v>
      </c>
      <c r="D6" s="141">
        <v>2022</v>
      </c>
      <c r="E6" s="137">
        <f>submetering!E6+submetering!F6+submetering!G6</f>
        <v>19867</v>
      </c>
      <c r="F6" s="134">
        <v>1.05</v>
      </c>
      <c r="G6" s="134">
        <f>'Consommation mensuel énergie'!V14</f>
        <v>543.98657000000003</v>
      </c>
      <c r="H6" s="134">
        <v>11.766</v>
      </c>
      <c r="I6" s="134">
        <f>'Consommation mensuel énergie'!F14</f>
        <v>183</v>
      </c>
      <c r="J6" s="134">
        <v>11.4</v>
      </c>
      <c r="K6" s="137">
        <f>'Consommation mensuel énergie'!D14</f>
        <v>132</v>
      </c>
      <c r="L6" s="137">
        <f>'Consommation mensuel énergie'!E14</f>
        <v>208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7</v>
      </c>
      <c r="D7" s="141">
        <v>2022</v>
      </c>
      <c r="E7" s="137">
        <f>submetering!E7+submetering!F7+submetering!G7</f>
        <v>16291</v>
      </c>
      <c r="F7" s="134">
        <v>1.05</v>
      </c>
      <c r="G7" s="134">
        <f>'Consommation mensuel énergie'!V15</f>
        <v>319.99209999999999</v>
      </c>
      <c r="H7" s="134">
        <v>11.766</v>
      </c>
      <c r="I7" s="134">
        <f>'Consommation mensuel énergie'!F15</f>
        <v>191</v>
      </c>
      <c r="J7" s="134">
        <v>11.4</v>
      </c>
      <c r="K7" s="137">
        <f>'Consommation mensuel énergie'!D15</f>
        <v>125</v>
      </c>
      <c r="L7" s="137">
        <f>'Consommation mensuel énergie'!E15</f>
        <v>183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7</v>
      </c>
      <c r="D8" s="141">
        <v>2022</v>
      </c>
      <c r="E8" s="137">
        <f>submetering!E8+submetering!F8+submetering!G8</f>
        <v>16107</v>
      </c>
      <c r="F8" s="134">
        <v>1.05</v>
      </c>
      <c r="G8" s="134">
        <f>'Consommation mensuel énergie'!V16</f>
        <v>159.99605</v>
      </c>
      <c r="H8" s="134">
        <v>11.766</v>
      </c>
      <c r="I8" s="134">
        <f>'Consommation mensuel énergie'!F16</f>
        <v>143.60000000000582</v>
      </c>
      <c r="J8" s="134">
        <v>11.4</v>
      </c>
      <c r="K8" s="137">
        <f>'Consommation mensuel énergie'!D16</f>
        <v>116</v>
      </c>
      <c r="L8" s="137">
        <f>'Consommation mensuel énergie'!E16</f>
        <v>196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7</v>
      </c>
      <c r="D9" s="141">
        <v>2022</v>
      </c>
      <c r="E9" s="137">
        <f>submetering!E9+submetering!F9+submetering!G9</f>
        <v>18784</v>
      </c>
      <c r="F9" s="134">
        <v>1.05</v>
      </c>
      <c r="G9" s="134">
        <f>'Consommation mensuel énergie'!V17</f>
        <v>255.99368000000001</v>
      </c>
      <c r="H9" s="134">
        <v>11.766</v>
      </c>
      <c r="I9" s="134">
        <f>'Consommation mensuel énergie'!F17</f>
        <v>136.10000000000582</v>
      </c>
      <c r="J9" s="134">
        <v>11.4</v>
      </c>
      <c r="K9" s="137">
        <f>'Consommation mensuel énergie'!D17</f>
        <v>84</v>
      </c>
      <c r="L9" s="137">
        <f>'Consommation mensuel énergie'!E17</f>
        <v>157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7</v>
      </c>
      <c r="D10" s="141">
        <v>2022</v>
      </c>
      <c r="E10" s="137">
        <f>submetering!E10+submetering!F10+submetering!G10</f>
        <v>19156</v>
      </c>
      <c r="F10" s="134">
        <v>1.05</v>
      </c>
      <c r="G10" s="134">
        <f>'Consommation mensuel énergie'!V18</f>
        <v>63.998420000000003</v>
      </c>
      <c r="H10" s="134">
        <v>11.766</v>
      </c>
      <c r="I10" s="134">
        <f>'Consommation mensuel énergie'!F18</f>
        <v>156.29999999998836</v>
      </c>
      <c r="J10" s="134">
        <v>11.4</v>
      </c>
      <c r="K10" s="137">
        <f>'Consommation mensuel énergie'!D18</f>
        <v>96</v>
      </c>
      <c r="L10" s="137">
        <f>'Consommation mensuel énergie'!E18</f>
        <v>185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7</v>
      </c>
      <c r="D11" s="141">
        <v>2022</v>
      </c>
      <c r="E11" s="137">
        <f>submetering!E11+submetering!F11+submetering!G11</f>
        <v>18533</v>
      </c>
      <c r="F11" s="134">
        <v>1.05</v>
      </c>
      <c r="G11" s="134">
        <f>'Consommation mensuel énergie'!V19</f>
        <v>31.999210000000001</v>
      </c>
      <c r="H11" s="134">
        <v>11.766</v>
      </c>
      <c r="I11" s="134">
        <f>'Consommation mensuel énergie'!F19</f>
        <v>154</v>
      </c>
      <c r="J11" s="134">
        <v>11.4</v>
      </c>
      <c r="K11" s="137">
        <f>'Consommation mensuel énergie'!D19</f>
        <v>101</v>
      </c>
      <c r="L11" s="137">
        <f>'Consommation mensuel énergie'!E19</f>
        <v>196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7</v>
      </c>
      <c r="D12" s="141">
        <v>2022</v>
      </c>
      <c r="E12" s="137">
        <f>submetering!E12+submetering!F12+submetering!G12</f>
        <v>20256</v>
      </c>
      <c r="F12" s="134">
        <v>1.05</v>
      </c>
      <c r="G12" s="134">
        <f>'Consommation mensuel énergie'!V20</f>
        <v>31.999210000000001</v>
      </c>
      <c r="H12" s="134">
        <v>11.766</v>
      </c>
      <c r="I12" s="134">
        <f>'Consommation mensuel énergie'!F20</f>
        <v>72.700000000011642</v>
      </c>
      <c r="J12" s="134">
        <v>11.4</v>
      </c>
      <c r="K12" s="137">
        <f>'Consommation mensuel énergie'!D20</f>
        <v>130</v>
      </c>
      <c r="L12" s="137">
        <f>'Consommation mensuel énergie'!E20</f>
        <v>247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7</v>
      </c>
      <c r="D13" s="141">
        <v>2022</v>
      </c>
      <c r="E13" s="137">
        <f>submetering!E13+submetering!F13+submetering!G13</f>
        <v>20807</v>
      </c>
      <c r="F13" s="134">
        <v>1.05</v>
      </c>
      <c r="G13" s="134">
        <f>'Consommation mensuel énergie'!V21</f>
        <v>191.99526</v>
      </c>
      <c r="H13" s="134">
        <v>11.766</v>
      </c>
      <c r="I13" s="134">
        <f>'Consommation mensuel énergie'!F21</f>
        <v>142.89999999999418</v>
      </c>
      <c r="J13" s="134">
        <v>11.4</v>
      </c>
      <c r="K13" s="137">
        <f>'Consommation mensuel énergie'!D21</f>
        <v>129</v>
      </c>
      <c r="L13" s="137">
        <f>'Consommation mensuel énergie'!E21</f>
        <v>225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7</v>
      </c>
      <c r="D14" s="141">
        <v>2022</v>
      </c>
      <c r="E14" s="137">
        <f>submetering!E14+submetering!F14+submetering!G14</f>
        <v>18701</v>
      </c>
      <c r="F14" s="134">
        <v>1.05</v>
      </c>
      <c r="G14" s="134">
        <f>'Consommation mensuel énergie'!V22</f>
        <v>223.99447000000001</v>
      </c>
      <c r="H14" s="134">
        <v>11.766</v>
      </c>
      <c r="I14" s="134">
        <f>'Consommation mensuel énergie'!F22</f>
        <v>164.19999999998254</v>
      </c>
      <c r="J14" s="134">
        <v>11.4</v>
      </c>
      <c r="K14" s="137">
        <f>'Consommation mensuel énergie'!D22</f>
        <v>130</v>
      </c>
      <c r="L14" s="137">
        <f>'Consommation mensuel énergie'!E22</f>
        <v>232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7</v>
      </c>
      <c r="D15" s="141">
        <v>2022</v>
      </c>
      <c r="E15" s="137">
        <f>submetering!E15+submetering!F15+submetering!G15</f>
        <v>21461</v>
      </c>
      <c r="F15" s="134">
        <v>1.05</v>
      </c>
      <c r="G15" s="134">
        <f>'Consommation mensuel énergie'!V23</f>
        <v>191.99526</v>
      </c>
      <c r="H15" s="134">
        <v>11.766</v>
      </c>
      <c r="I15" s="134">
        <f>'Consommation mensuel énergie'!F23</f>
        <v>141.60000000000582</v>
      </c>
      <c r="J15" s="134">
        <v>11.4</v>
      </c>
      <c r="K15" s="137">
        <f>'Consommation mensuel énergie'!D23</f>
        <v>148</v>
      </c>
      <c r="L15" s="137">
        <f>'Consommation mensuel énergie'!E23</f>
        <v>281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7</v>
      </c>
      <c r="D16" s="141">
        <v>2022</v>
      </c>
      <c r="E16" s="137">
        <f>submetering!E16+submetering!F16+submetering!G16</f>
        <v>21184</v>
      </c>
      <c r="F16" s="134">
        <v>1.05</v>
      </c>
      <c r="G16" s="134">
        <f>'Consommation mensuel énergie'!V24</f>
        <v>191.99526</v>
      </c>
      <c r="H16" s="134">
        <v>11.766</v>
      </c>
      <c r="I16" s="134">
        <f>'Consommation mensuel énergie'!F24</f>
        <v>375.60000000000582</v>
      </c>
      <c r="J16" s="134">
        <v>11.4</v>
      </c>
      <c r="K16" s="137">
        <f>'Consommation mensuel énergie'!D24</f>
        <v>143</v>
      </c>
      <c r="L16" s="137">
        <f>'Consommation mensuel énergie'!E24</f>
        <v>280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7</v>
      </c>
      <c r="D17" s="141">
        <v>2022</v>
      </c>
      <c r="E17" s="137">
        <f>submetering!E17+submetering!F17+submetering!G17</f>
        <v>18806</v>
      </c>
      <c r="F17" s="134">
        <v>1.05</v>
      </c>
      <c r="G17" s="134">
        <f>'Consommation mensuel énergie'!V25</f>
        <v>159.99605</v>
      </c>
      <c r="H17" s="134">
        <v>11.766</v>
      </c>
      <c r="I17" s="134">
        <f>'Consommation mensuel énergie'!F25</f>
        <v>264</v>
      </c>
      <c r="J17" s="134">
        <v>11.4</v>
      </c>
      <c r="K17" s="137">
        <f>'Consommation mensuel énergie'!D25</f>
        <v>147</v>
      </c>
      <c r="L17" s="137">
        <f>'Consommation mensuel énergie'!E25</f>
        <v>283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7</v>
      </c>
      <c r="D18" s="141">
        <v>2022</v>
      </c>
      <c r="E18" s="137">
        <f>submetering!E18+submetering!F18+submetering!G18</f>
        <v>18239</v>
      </c>
      <c r="F18" s="134">
        <v>1.05</v>
      </c>
      <c r="G18" s="134">
        <f>'Consommation mensuel énergie'!V26</f>
        <v>287.99288999999999</v>
      </c>
      <c r="H18" s="134">
        <v>11.766</v>
      </c>
      <c r="I18" s="134">
        <f>'Consommation mensuel énergie'!F26</f>
        <v>145</v>
      </c>
      <c r="J18" s="134">
        <v>11.4</v>
      </c>
      <c r="K18" s="137">
        <f>'Consommation mensuel énergie'!D26</f>
        <v>154</v>
      </c>
      <c r="L18" s="137">
        <f>'Consommation mensuel énergie'!E26</f>
        <v>264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7</v>
      </c>
      <c r="D19" s="141">
        <v>2022</v>
      </c>
      <c r="E19" s="137">
        <f>submetering!E19+submetering!F19+submetering!G19</f>
        <v>17844</v>
      </c>
      <c r="F19" s="134">
        <v>1.05</v>
      </c>
      <c r="G19" s="134">
        <f>'Consommation mensuel énergie'!V27</f>
        <v>319.99209999999999</v>
      </c>
      <c r="H19" s="134">
        <v>11.766</v>
      </c>
      <c r="I19" s="134">
        <f>'Consommation mensuel énergie'!F27</f>
        <v>175</v>
      </c>
      <c r="J19" s="134">
        <v>11.4</v>
      </c>
      <c r="K19" s="137">
        <f>'Consommation mensuel énergie'!D27</f>
        <v>153</v>
      </c>
      <c r="L19" s="137">
        <f>'Consommation mensuel énergie'!E27</f>
        <v>257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7</v>
      </c>
      <c r="D20" s="141">
        <v>2022</v>
      </c>
      <c r="E20" s="137">
        <f>submetering!E20+submetering!F20+submetering!G20</f>
        <v>20502</v>
      </c>
      <c r="F20" s="134">
        <v>1.05</v>
      </c>
      <c r="G20" s="134">
        <f>'Consommation mensuel énergie'!V28</f>
        <v>319.99209999999999</v>
      </c>
      <c r="H20" s="134">
        <v>11.766</v>
      </c>
      <c r="I20" s="134">
        <f>'Consommation mensuel énergie'!F28</f>
        <v>161</v>
      </c>
      <c r="J20" s="134">
        <v>11.4</v>
      </c>
      <c r="K20" s="137">
        <f>'Consommation mensuel énergie'!D28</f>
        <v>161</v>
      </c>
      <c r="L20" s="137">
        <f>'Consommation mensuel énergie'!E28</f>
        <v>277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7</v>
      </c>
      <c r="D21" s="141">
        <v>2022</v>
      </c>
      <c r="E21" s="137">
        <f>submetering!E21+submetering!F21+submetering!G21</f>
        <v>20038</v>
      </c>
      <c r="F21" s="134">
        <v>1.05</v>
      </c>
      <c r="G21" s="134">
        <f>'Consommation mensuel énergie'!V29</f>
        <v>287.99288999999999</v>
      </c>
      <c r="H21" s="134">
        <v>11.766</v>
      </c>
      <c r="I21" s="134">
        <f>'Consommation mensuel énergie'!F29</f>
        <v>168</v>
      </c>
      <c r="J21" s="134">
        <v>11.4</v>
      </c>
      <c r="K21" s="137">
        <f>'Consommation mensuel énergie'!D29</f>
        <v>161</v>
      </c>
      <c r="L21" s="137">
        <f>'Consommation mensuel énergie'!E29</f>
        <v>265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7</v>
      </c>
      <c r="D22" s="141">
        <v>2022</v>
      </c>
      <c r="E22" s="137">
        <f>submetering!E22+submetering!F22+submetering!G22</f>
        <v>21722</v>
      </c>
      <c r="F22" s="134">
        <v>1.05</v>
      </c>
      <c r="G22" s="134">
        <f>'Consommation mensuel énergie'!V30</f>
        <v>223.99447000000001</v>
      </c>
      <c r="H22" s="134">
        <v>11.766</v>
      </c>
      <c r="I22" s="134">
        <f>'Consommation mensuel énergie'!F30</f>
        <v>137.10000000000582</v>
      </c>
      <c r="J22" s="134">
        <v>11.4</v>
      </c>
      <c r="K22" s="137">
        <f>'Consommation mensuel énergie'!D30</f>
        <v>179</v>
      </c>
      <c r="L22" s="137">
        <f>'Consommation mensuel énergie'!E30</f>
        <v>291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7</v>
      </c>
      <c r="D23" s="141">
        <v>2022</v>
      </c>
      <c r="E23" s="137">
        <f>submetering!E23+submetering!F23+submetering!G23</f>
        <v>23718</v>
      </c>
      <c r="F23" s="134">
        <v>1.05</v>
      </c>
      <c r="G23" s="134">
        <f>'Consommation mensuel énergie'!V31</f>
        <v>191.99526</v>
      </c>
      <c r="H23" s="134">
        <v>11.766</v>
      </c>
      <c r="I23" s="134">
        <f>'Consommation mensuel énergie'!F31</f>
        <v>172.19999999998254</v>
      </c>
      <c r="J23" s="134">
        <v>11.4</v>
      </c>
      <c r="K23" s="137">
        <f>'Consommation mensuel énergie'!D31</f>
        <v>170</v>
      </c>
      <c r="L23" s="137">
        <f>'Consommation mensuel énergie'!E31</f>
        <v>289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7</v>
      </c>
      <c r="D24" s="141">
        <v>2022</v>
      </c>
      <c r="E24" s="137">
        <f>submetering!E24+submetering!F24+submetering!G24</f>
        <v>23902</v>
      </c>
      <c r="F24" s="134">
        <v>1.05</v>
      </c>
      <c r="G24" s="134">
        <f>'Consommation mensuel énergie'!V32</f>
        <v>127.99684000000001</v>
      </c>
      <c r="H24" s="134">
        <v>11.766</v>
      </c>
      <c r="I24" s="134">
        <f>'Consommation mensuel énergie'!F32</f>
        <v>153.70000000001164</v>
      </c>
      <c r="J24" s="134">
        <v>11.4</v>
      </c>
      <c r="K24" s="137">
        <f>'Consommation mensuel énergie'!D32</f>
        <v>143</v>
      </c>
      <c r="L24" s="137">
        <f>'Consommation mensuel énergie'!E32</f>
        <v>246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7</v>
      </c>
      <c r="D25" s="141">
        <v>2022</v>
      </c>
      <c r="E25" s="137">
        <f>submetering!E25+submetering!F25+submetering!G25</f>
        <v>22460</v>
      </c>
      <c r="F25" s="134">
        <v>1.05</v>
      </c>
      <c r="G25" s="134">
        <f>'Consommation mensuel énergie'!V33</f>
        <v>159.99605</v>
      </c>
      <c r="H25" s="134">
        <v>11.766</v>
      </c>
      <c r="I25" s="134">
        <f>'Consommation mensuel énergie'!F33</f>
        <v>165</v>
      </c>
      <c r="J25" s="134">
        <v>11.4</v>
      </c>
      <c r="K25" s="137">
        <f>'Consommation mensuel énergie'!D33</f>
        <v>145</v>
      </c>
      <c r="L25" s="137">
        <f>'Consommation mensuel énergie'!E33</f>
        <v>232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7</v>
      </c>
      <c r="D26" s="141">
        <v>2022</v>
      </c>
      <c r="E26" s="137">
        <f>submetering!E26+submetering!F26+submetering!G26</f>
        <v>22172</v>
      </c>
      <c r="F26" s="134">
        <v>1.05</v>
      </c>
      <c r="G26" s="134">
        <f>'Consommation mensuel énergie'!V34</f>
        <v>127.99684000000001</v>
      </c>
      <c r="H26" s="134">
        <v>11.766</v>
      </c>
      <c r="I26" s="134">
        <f>'Consommation mensuel énergie'!F34</f>
        <v>136</v>
      </c>
      <c r="J26" s="134">
        <v>11.4</v>
      </c>
      <c r="K26" s="137">
        <f>'Consommation mensuel énergie'!D34</f>
        <v>153</v>
      </c>
      <c r="L26" s="137">
        <f>'Consommation mensuel énergie'!E34</f>
        <v>249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7</v>
      </c>
      <c r="D27" s="141">
        <v>2022</v>
      </c>
      <c r="E27" s="137">
        <f>submetering!E27+submetering!F27+submetering!G27</f>
        <v>23942</v>
      </c>
      <c r="F27" s="134">
        <v>1.05</v>
      </c>
      <c r="G27" s="134">
        <f>'Consommation mensuel énergie'!V35</f>
        <v>31.999210000000001</v>
      </c>
      <c r="H27" s="134">
        <v>11.766</v>
      </c>
      <c r="I27" s="134">
        <f>'Consommation mensuel énergie'!F35</f>
        <v>177</v>
      </c>
      <c r="J27" s="134">
        <v>11.4</v>
      </c>
      <c r="K27" s="137">
        <f>'Consommation mensuel énergie'!D35</f>
        <v>173</v>
      </c>
      <c r="L27" s="137">
        <f>'Consommation mensuel énergie'!E35</f>
        <v>270</v>
      </c>
      <c r="M27" s="133"/>
    </row>
    <row r="28" spans="1:13">
      <c r="A28" s="136" t="s">
        <v>13</v>
      </c>
      <c r="B28" s="140">
        <f t="shared" si="1"/>
        <v>27</v>
      </c>
      <c r="C28" s="140">
        <v>7</v>
      </c>
      <c r="D28" s="141">
        <v>2022</v>
      </c>
      <c r="E28" s="137">
        <f>submetering!E28+submetering!F28+submetering!G28</f>
        <v>23299</v>
      </c>
      <c r="F28" s="134">
        <v>1.05</v>
      </c>
      <c r="G28" s="134">
        <f>'Consommation mensuel énergie'!V36</f>
        <v>159.99605</v>
      </c>
      <c r="H28" s="134">
        <v>11.766</v>
      </c>
      <c r="I28" s="134">
        <f>'Consommation mensuel énergie'!F36</f>
        <v>202</v>
      </c>
      <c r="J28" s="134">
        <v>11.4</v>
      </c>
      <c r="K28" s="137">
        <f>'Consommation mensuel énergie'!D36</f>
        <v>174</v>
      </c>
      <c r="L28" s="137">
        <f>'Consommation mensuel énergie'!E36</f>
        <v>272</v>
      </c>
      <c r="M28" s="133"/>
    </row>
    <row r="29" spans="1:13">
      <c r="A29" s="136" t="s">
        <v>13</v>
      </c>
      <c r="B29" s="140">
        <f t="shared" si="1"/>
        <v>28</v>
      </c>
      <c r="C29" s="140">
        <v>7</v>
      </c>
      <c r="D29" s="141">
        <v>2022</v>
      </c>
      <c r="E29" s="137">
        <f>submetering!E29+submetering!F29+submetering!G29</f>
        <v>21790</v>
      </c>
      <c r="F29" s="134">
        <v>1.05</v>
      </c>
      <c r="G29" s="134">
        <f>'Consommation mensuel énergie'!V37</f>
        <v>255.99368000000001</v>
      </c>
      <c r="H29" s="134">
        <v>11.766</v>
      </c>
      <c r="I29" s="134">
        <f>'Consommation mensuel énergie'!F37</f>
        <v>177.39999999999418</v>
      </c>
      <c r="J29" s="134">
        <v>11.4</v>
      </c>
      <c r="K29" s="137">
        <f>'Consommation mensuel énergie'!D37</f>
        <v>167</v>
      </c>
      <c r="L29" s="137">
        <f>'Consommation mensuel énergie'!E37</f>
        <v>274</v>
      </c>
      <c r="M29" s="133"/>
    </row>
    <row r="30" spans="1:13">
      <c r="A30" s="136" t="s">
        <v>13</v>
      </c>
      <c r="B30" s="140">
        <f t="shared" si="1"/>
        <v>29</v>
      </c>
      <c r="C30" s="140">
        <v>7</v>
      </c>
      <c r="D30" s="141">
        <v>2022</v>
      </c>
      <c r="E30" s="137">
        <f>submetering!E30+submetering!F30+submetering!G30</f>
        <v>21792</v>
      </c>
      <c r="F30" s="134">
        <v>1.05</v>
      </c>
      <c r="G30" s="134">
        <f>'Consommation mensuel énergie'!V38</f>
        <v>223.99447000000001</v>
      </c>
      <c r="H30" s="134">
        <v>11.766</v>
      </c>
      <c r="I30" s="134">
        <f>'Consommation mensuel énergie'!F38</f>
        <v>176.60000000000582</v>
      </c>
      <c r="J30" s="134">
        <v>11.4</v>
      </c>
      <c r="K30" s="137">
        <f>'Consommation mensuel énergie'!D38</f>
        <v>165</v>
      </c>
      <c r="L30" s="137">
        <f>'Consommation mensuel énergie'!E38</f>
        <v>286</v>
      </c>
      <c r="M30" s="133"/>
    </row>
    <row r="31" spans="1:13">
      <c r="A31" s="136" t="s">
        <v>13</v>
      </c>
      <c r="B31" s="140">
        <f t="shared" si="1"/>
        <v>30</v>
      </c>
      <c r="C31" s="140">
        <v>7</v>
      </c>
      <c r="D31" s="141">
        <v>2022</v>
      </c>
      <c r="E31" s="137">
        <f>submetering!E31+submetering!F31+submetering!G31</f>
        <v>24427</v>
      </c>
      <c r="F31" s="134">
        <v>1.05</v>
      </c>
      <c r="G31" s="134">
        <f>'Consommation mensuel énergie'!V39</f>
        <v>255.99368000000001</v>
      </c>
      <c r="H31" s="134">
        <v>11.766</v>
      </c>
      <c r="I31" s="134">
        <f>'Consommation mensuel énergie'!F39</f>
        <v>167</v>
      </c>
      <c r="J31" s="134">
        <v>11.4</v>
      </c>
      <c r="K31" s="137">
        <f>'Consommation mensuel énergie'!D39</f>
        <v>172</v>
      </c>
      <c r="L31" s="137">
        <f>'Consommation mensuel énergie'!E39</f>
        <v>311</v>
      </c>
      <c r="M31" s="133"/>
    </row>
    <row r="32" spans="1:13">
      <c r="A32" s="136" t="s">
        <v>13</v>
      </c>
      <c r="B32" s="140">
        <f t="shared" si="1"/>
        <v>31</v>
      </c>
      <c r="C32" s="140">
        <v>7</v>
      </c>
      <c r="D32" s="141">
        <v>2022</v>
      </c>
      <c r="E32" s="137">
        <f>submetering!E32+submetering!F32+submetering!G32</f>
        <v>19816</v>
      </c>
      <c r="F32" s="134">
        <v>1.05</v>
      </c>
      <c r="G32" s="134">
        <f>'Consommation mensuel énergie'!V40</f>
        <v>0</v>
      </c>
      <c r="H32" s="134">
        <v>11.766</v>
      </c>
      <c r="I32" s="134">
        <f>'Consommation mensuel énergie'!F40</f>
        <v>167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I24" sqref="I24:I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7</v>
      </c>
      <c r="D2" s="141">
        <v>2022</v>
      </c>
      <c r="E2" s="137">
        <f>'Consommation mensuel énergie'!L10</f>
        <v>5543</v>
      </c>
      <c r="F2" s="137">
        <f>'Consommation mensuel énergie'!M10</f>
        <v>9745</v>
      </c>
      <c r="G2" s="137">
        <f>'Consommation mensuel énergie'!N10</f>
        <v>3279</v>
      </c>
      <c r="H2" s="137">
        <f>'Consommation mensuel énergie'!D10</f>
        <v>157</v>
      </c>
      <c r="I2" s="137">
        <f>'Consommation mensuel énergie'!E10</f>
        <v>284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7</v>
      </c>
      <c r="D3" s="141">
        <v>2022</v>
      </c>
      <c r="E3" s="137">
        <f>'Consommation mensuel énergie'!L11</f>
        <v>4535</v>
      </c>
      <c r="F3" s="137">
        <f>'Consommation mensuel énergie'!M11</f>
        <v>10210</v>
      </c>
      <c r="G3" s="137">
        <f>'Consommation mensuel énergie'!N14</f>
        <v>3876</v>
      </c>
      <c r="H3" s="137">
        <f>'Consommation mensuel énergie'!D11</f>
        <v>155</v>
      </c>
      <c r="I3" s="137">
        <f>'Consommation mensuel énergie'!E11</f>
        <v>282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7</v>
      </c>
      <c r="D4" s="141">
        <v>2022</v>
      </c>
      <c r="E4" s="137">
        <f>'Consommation mensuel énergie'!L12</f>
        <v>6834</v>
      </c>
      <c r="F4" s="137">
        <f>'Consommation mensuel énergie'!M12</f>
        <v>9841</v>
      </c>
      <c r="G4" s="137">
        <f>'Consommation mensuel énergie'!N12</f>
        <v>4802</v>
      </c>
      <c r="H4" s="137">
        <f>'Consommation mensuel énergie'!D12</f>
        <v>147</v>
      </c>
      <c r="I4" s="137">
        <f>'Consommation mensuel énergie'!E12</f>
        <v>267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7</v>
      </c>
      <c r="D5" s="141">
        <v>2022</v>
      </c>
      <c r="E5" s="137">
        <f>'Consommation mensuel énergie'!L13</f>
        <v>4745</v>
      </c>
      <c r="F5" s="137">
        <f>'Consommation mensuel énergie'!M13</f>
        <v>10015</v>
      </c>
      <c r="G5" s="137">
        <f>'Consommation mensuel énergie'!N13</f>
        <v>3926</v>
      </c>
      <c r="H5" s="137">
        <f>'Consommation mensuel énergie'!D13</f>
        <v>114</v>
      </c>
      <c r="I5" s="137">
        <f>'Consommation mensuel énergie'!E13</f>
        <v>193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7</v>
      </c>
      <c r="D6" s="141">
        <v>2022</v>
      </c>
      <c r="E6" s="137">
        <f>'Consommation mensuel énergie'!L14</f>
        <v>4845</v>
      </c>
      <c r="F6" s="137">
        <f>'Consommation mensuel énergie'!M14</f>
        <v>11146</v>
      </c>
      <c r="G6" s="137">
        <f>'Consommation mensuel énergie'!N14</f>
        <v>3876</v>
      </c>
      <c r="H6" s="137">
        <f>'Consommation mensuel énergie'!D14</f>
        <v>132</v>
      </c>
      <c r="I6" s="137">
        <f>'Consommation mensuel énergie'!E14</f>
        <v>208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7</v>
      </c>
      <c r="D7" s="141">
        <v>2022</v>
      </c>
      <c r="E7" s="137">
        <f>'Consommation mensuel énergie'!L15</f>
        <v>4159</v>
      </c>
      <c r="F7" s="137">
        <f>'Consommation mensuel énergie'!M15</f>
        <v>8782</v>
      </c>
      <c r="G7" s="137">
        <f>'Consommation mensuel énergie'!N15</f>
        <v>3350</v>
      </c>
      <c r="H7" s="137">
        <f>'Consommation mensuel énergie'!D15</f>
        <v>125</v>
      </c>
      <c r="I7" s="137">
        <f>'Consommation mensuel énergie'!E15</f>
        <v>183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7</v>
      </c>
      <c r="D8" s="141">
        <v>2022</v>
      </c>
      <c r="E8" s="137">
        <f>'Consommation mensuel énergie'!L16</f>
        <v>4123</v>
      </c>
      <c r="F8" s="137">
        <f>'Consommation mensuel énergie'!M16</f>
        <v>8605</v>
      </c>
      <c r="G8" s="137">
        <f>'Consommation mensuel énergie'!N16</f>
        <v>3379</v>
      </c>
      <c r="H8" s="137">
        <f>'Consommation mensuel énergie'!D16</f>
        <v>116</v>
      </c>
      <c r="I8" s="137">
        <f>'Consommation mensuel énergie'!E16</f>
        <v>196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7</v>
      </c>
      <c r="D9" s="141">
        <v>2022</v>
      </c>
      <c r="E9" s="137">
        <f>'Consommation mensuel énergie'!L17</f>
        <v>4362</v>
      </c>
      <c r="F9" s="137">
        <f>'Consommation mensuel énergie'!M17</f>
        <v>10601</v>
      </c>
      <c r="G9" s="137">
        <f>'Consommation mensuel énergie'!N17</f>
        <v>3821</v>
      </c>
      <c r="H9" s="137">
        <f>'Consommation mensuel énergie'!D17</f>
        <v>84</v>
      </c>
      <c r="I9" s="137">
        <f>'Consommation mensuel énergie'!E17</f>
        <v>157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7</v>
      </c>
      <c r="D10" s="141">
        <v>2022</v>
      </c>
      <c r="E10" s="137">
        <f>'Consommation mensuel énergie'!L18</f>
        <v>5134</v>
      </c>
      <c r="F10" s="137">
        <f>'Consommation mensuel énergie'!M18</f>
        <v>9670</v>
      </c>
      <c r="G10" s="137">
        <f>'Consommation mensuel énergie'!N18</f>
        <v>4352</v>
      </c>
      <c r="H10" s="137">
        <f>'Consommation mensuel énergie'!D18</f>
        <v>96</v>
      </c>
      <c r="I10" s="137">
        <f>'Consommation mensuel énergie'!E18</f>
        <v>185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7</v>
      </c>
      <c r="D11" s="141">
        <v>2022</v>
      </c>
      <c r="E11" s="137">
        <f>'Consommation mensuel énergie'!L19</f>
        <v>4010</v>
      </c>
      <c r="F11" s="137">
        <f>'Consommation mensuel énergie'!M19</f>
        <v>9989</v>
      </c>
      <c r="G11" s="137">
        <f>'Consommation mensuel énergie'!N19</f>
        <v>4534</v>
      </c>
      <c r="H11" s="137">
        <f>'Consommation mensuel énergie'!D19</f>
        <v>101</v>
      </c>
      <c r="I11" s="137">
        <f>'Consommation mensuel énergie'!E19</f>
        <v>196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7</v>
      </c>
      <c r="D12" s="141">
        <v>2022</v>
      </c>
      <c r="E12" s="137">
        <f>'Consommation mensuel énergie'!L20</f>
        <v>6006</v>
      </c>
      <c r="F12" s="137">
        <f>'Consommation mensuel énergie'!M20</f>
        <v>9852</v>
      </c>
      <c r="G12" s="137">
        <f>'Consommation mensuel énergie'!N20</f>
        <v>4398</v>
      </c>
      <c r="H12" s="137">
        <f>'Consommation mensuel énergie'!D20</f>
        <v>130</v>
      </c>
      <c r="I12" s="137">
        <f>'Consommation mensuel énergie'!E20</f>
        <v>247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7</v>
      </c>
      <c r="D13" s="141">
        <v>2022</v>
      </c>
      <c r="E13" s="137">
        <f>'Consommation mensuel énergie'!L21</f>
        <v>6159</v>
      </c>
      <c r="F13" s="137">
        <f>'Consommation mensuel énergie'!M21</f>
        <v>10179</v>
      </c>
      <c r="G13" s="137">
        <f>'Consommation mensuel énergie'!N21</f>
        <v>4469</v>
      </c>
      <c r="H13" s="137">
        <f>'Consommation mensuel énergie'!D21</f>
        <v>129</v>
      </c>
      <c r="I13" s="137">
        <f>'Consommation mensuel énergie'!E21</f>
        <v>225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7</v>
      </c>
      <c r="D14" s="141">
        <v>2022</v>
      </c>
      <c r="E14" s="137">
        <f>'Consommation mensuel énergie'!L22</f>
        <v>5065</v>
      </c>
      <c r="F14" s="137">
        <f>'Consommation mensuel énergie'!M22</f>
        <v>9574</v>
      </c>
      <c r="G14" s="137">
        <f>'Consommation mensuel énergie'!N22</f>
        <v>4062</v>
      </c>
      <c r="H14" s="137">
        <f>'Consommation mensuel énergie'!D22</f>
        <v>130</v>
      </c>
      <c r="I14" s="137">
        <f>'Consommation mensuel énergie'!E22</f>
        <v>232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7</v>
      </c>
      <c r="D15" s="141">
        <v>2022</v>
      </c>
      <c r="E15" s="137">
        <f>'Consommation mensuel énergie'!L23</f>
        <v>6255</v>
      </c>
      <c r="F15" s="137">
        <f>'Consommation mensuel énergie'!M23</f>
        <v>10623</v>
      </c>
      <c r="G15" s="137">
        <f>'Consommation mensuel énergie'!N23</f>
        <v>4583</v>
      </c>
      <c r="H15" s="137">
        <f>'Consommation mensuel énergie'!D23</f>
        <v>148</v>
      </c>
      <c r="I15" s="137">
        <f>'Consommation mensuel énergie'!E23</f>
        <v>281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7</v>
      </c>
      <c r="D16" s="141">
        <v>2022</v>
      </c>
      <c r="E16" s="137">
        <f>'Consommation mensuel énergie'!L24</f>
        <v>6848</v>
      </c>
      <c r="F16" s="137">
        <f>'Consommation mensuel énergie'!M24</f>
        <v>10355</v>
      </c>
      <c r="G16" s="137">
        <f>'Consommation mensuel énergie'!N24</f>
        <v>3981</v>
      </c>
      <c r="H16" s="137">
        <f>'Consommation mensuel énergie'!D24</f>
        <v>143</v>
      </c>
      <c r="I16" s="137">
        <f>'Consommation mensuel énergie'!E24</f>
        <v>280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7</v>
      </c>
      <c r="D17" s="141">
        <v>2022</v>
      </c>
      <c r="E17" s="137">
        <f>'Consommation mensuel énergie'!L25</f>
        <v>4704</v>
      </c>
      <c r="F17" s="137">
        <f>'Consommation mensuel énergie'!M25</f>
        <v>10298</v>
      </c>
      <c r="G17" s="137">
        <f>'Consommation mensuel énergie'!N25</f>
        <v>3804</v>
      </c>
      <c r="H17" s="137">
        <f>'Consommation mensuel énergie'!D25</f>
        <v>147</v>
      </c>
      <c r="I17" s="137">
        <f>'Consommation mensuel énergie'!E25</f>
        <v>283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7</v>
      </c>
      <c r="D18" s="141">
        <v>2022</v>
      </c>
      <c r="E18" s="137">
        <f>'Consommation mensuel énergie'!L26</f>
        <v>4751</v>
      </c>
      <c r="F18" s="137">
        <f>'Consommation mensuel énergie'!M26</f>
        <v>10003</v>
      </c>
      <c r="G18" s="137">
        <f>'Consommation mensuel énergie'!N26</f>
        <v>3485</v>
      </c>
      <c r="H18" s="137">
        <f>'Consommation mensuel énergie'!D26</f>
        <v>154</v>
      </c>
      <c r="I18" s="137">
        <f>'Consommation mensuel énergie'!E26</f>
        <v>264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7</v>
      </c>
      <c r="D19" s="141">
        <v>2022</v>
      </c>
      <c r="E19" s="137">
        <f>'Consommation mensuel énergie'!L27</f>
        <v>4244</v>
      </c>
      <c r="F19" s="137">
        <f>'Consommation mensuel énergie'!M27</f>
        <v>10006</v>
      </c>
      <c r="G19" s="137">
        <f>'Consommation mensuel énergie'!N27</f>
        <v>3594</v>
      </c>
      <c r="H19" s="137">
        <f>'Consommation mensuel énergie'!D27</f>
        <v>153</v>
      </c>
      <c r="I19" s="137">
        <f>'Consommation mensuel énergie'!E27</f>
        <v>257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7</v>
      </c>
      <c r="D20" s="141">
        <v>2022</v>
      </c>
      <c r="E20" s="137">
        <f>'Consommation mensuel énergie'!L28</f>
        <v>5493</v>
      </c>
      <c r="F20" s="137">
        <f>'Consommation mensuel énergie'!M28</f>
        <v>10880</v>
      </c>
      <c r="G20" s="137">
        <f>'Consommation mensuel énergie'!N28</f>
        <v>4129</v>
      </c>
      <c r="H20" s="137">
        <f>'Consommation mensuel énergie'!D28</f>
        <v>161</v>
      </c>
      <c r="I20" s="137">
        <f>'Consommation mensuel énergie'!E28</f>
        <v>277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7</v>
      </c>
      <c r="D21" s="141">
        <v>2022</v>
      </c>
      <c r="E21" s="137">
        <f>'Consommation mensuel énergie'!L29</f>
        <v>4628</v>
      </c>
      <c r="F21" s="137">
        <f>'Consommation mensuel énergie'!M29</f>
        <v>11455</v>
      </c>
      <c r="G21" s="137">
        <f>'Consommation mensuel énergie'!N29</f>
        <v>3955</v>
      </c>
      <c r="H21" s="137">
        <f>'Consommation mensuel énergie'!D29</f>
        <v>161</v>
      </c>
      <c r="I21" s="137">
        <f>'Consommation mensuel énergie'!E29</f>
        <v>265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7</v>
      </c>
      <c r="D22" s="141">
        <v>2022</v>
      </c>
      <c r="E22" s="137">
        <f>'Consommation mensuel énergie'!L30</f>
        <v>4677</v>
      </c>
      <c r="F22" s="137">
        <f>'Consommation mensuel énergie'!M30</f>
        <v>12432</v>
      </c>
      <c r="G22" s="137">
        <f>'Consommation mensuel énergie'!N30</f>
        <v>4613</v>
      </c>
      <c r="H22" s="137">
        <f>'Consommation mensuel énergie'!D30</f>
        <v>179</v>
      </c>
      <c r="I22" s="137">
        <f>'Consommation mensuel énergie'!E30</f>
        <v>291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7</v>
      </c>
      <c r="D23" s="141">
        <v>2022</v>
      </c>
      <c r="E23" s="137">
        <f>'Consommation mensuel énergie'!L31</f>
        <v>6770</v>
      </c>
      <c r="F23" s="137">
        <f>'Consommation mensuel énergie'!M31</f>
        <v>11697</v>
      </c>
      <c r="G23" s="137">
        <f>'Consommation mensuel énergie'!N31</f>
        <v>5251</v>
      </c>
      <c r="H23" s="137">
        <f>'Consommation mensuel énergie'!D31</f>
        <v>170</v>
      </c>
      <c r="I23" s="137">
        <f>'Consommation mensuel énergie'!E31</f>
        <v>289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7</v>
      </c>
      <c r="D24" s="141">
        <v>2022</v>
      </c>
      <c r="E24" s="137">
        <f>'Consommation mensuel énergie'!L32</f>
        <v>5483</v>
      </c>
      <c r="F24" s="137">
        <f>'Consommation mensuel énergie'!M32</f>
        <v>13376</v>
      </c>
      <c r="G24" s="137">
        <f>'Consommation mensuel énergie'!N32</f>
        <v>5043</v>
      </c>
      <c r="H24" s="137">
        <f>'Consommation mensuel énergie'!D32</f>
        <v>143</v>
      </c>
      <c r="I24" s="137">
        <f>'Consommation mensuel énergie'!E32</f>
        <v>246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7</v>
      </c>
      <c r="D25" s="141">
        <v>2022</v>
      </c>
      <c r="E25" s="137">
        <f>'Consommation mensuel énergie'!L33</f>
        <v>5587</v>
      </c>
      <c r="F25" s="137">
        <f>'Consommation mensuel énergie'!M33</f>
        <v>12382</v>
      </c>
      <c r="G25" s="137">
        <f>'Consommation mensuel énergie'!N33</f>
        <v>4491</v>
      </c>
      <c r="H25" s="137">
        <f>'Consommation mensuel énergie'!D33</f>
        <v>145</v>
      </c>
      <c r="I25" s="137">
        <f>'Consommation mensuel énergie'!E33</f>
        <v>232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7</v>
      </c>
      <c r="D26" s="141">
        <v>2022</v>
      </c>
      <c r="E26" s="137">
        <f>'Consommation mensuel énergie'!L34</f>
        <v>4943</v>
      </c>
      <c r="F26" s="137">
        <f>'Consommation mensuel énergie'!M34</f>
        <v>12183</v>
      </c>
      <c r="G26" s="137">
        <f>'Consommation mensuel énergie'!N34</f>
        <v>5046</v>
      </c>
      <c r="H26" s="137">
        <f>'Consommation mensuel énergie'!D34</f>
        <v>153</v>
      </c>
      <c r="I26" s="137">
        <f>'Consommation mensuel énergie'!E34</f>
        <v>249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7</v>
      </c>
      <c r="D27" s="141">
        <v>2022</v>
      </c>
      <c r="E27" s="137">
        <f>'Consommation mensuel énergie'!L35</f>
        <v>5983</v>
      </c>
      <c r="F27" s="137">
        <f>'Consommation mensuel énergie'!M35</f>
        <v>13221</v>
      </c>
      <c r="G27" s="137">
        <f>'Consommation mensuel énergie'!N35</f>
        <v>4738</v>
      </c>
      <c r="H27" s="137">
        <f>'Consommation mensuel énergie'!D35</f>
        <v>173</v>
      </c>
      <c r="I27" s="137">
        <f>'Consommation mensuel énergie'!E35</f>
        <v>270</v>
      </c>
      <c r="J27" s="133"/>
    </row>
    <row r="28" spans="1:10">
      <c r="A28" s="136" t="s">
        <v>13</v>
      </c>
      <c r="B28" s="140">
        <f t="shared" si="1"/>
        <v>27</v>
      </c>
      <c r="C28" s="140">
        <v>7</v>
      </c>
      <c r="D28" s="141">
        <v>2022</v>
      </c>
      <c r="E28" s="137">
        <f>'Consommation mensuel énergie'!L36</f>
        <v>4869</v>
      </c>
      <c r="F28" s="137">
        <f>'Consommation mensuel énergie'!M36</f>
        <v>13446</v>
      </c>
      <c r="G28" s="137">
        <f>'Consommation mensuel énergie'!N36</f>
        <v>4984</v>
      </c>
      <c r="H28" s="137">
        <f>'Consommation mensuel énergie'!D36</f>
        <v>174</v>
      </c>
      <c r="I28" s="137">
        <f>'Consommation mensuel énergie'!E36</f>
        <v>272</v>
      </c>
      <c r="J28" s="133"/>
    </row>
    <row r="29" spans="1:10">
      <c r="A29" s="136" t="s">
        <v>13</v>
      </c>
      <c r="B29" s="140">
        <f t="shared" si="1"/>
        <v>28</v>
      </c>
      <c r="C29" s="140">
        <v>7</v>
      </c>
      <c r="D29" s="141">
        <v>2022</v>
      </c>
      <c r="E29" s="137">
        <f>'Consommation mensuel énergie'!L37</f>
        <v>5335</v>
      </c>
      <c r="F29" s="137">
        <f>'Consommation mensuel énergie'!M37</f>
        <v>11570</v>
      </c>
      <c r="G29" s="137">
        <f>'Consommation mensuel énergie'!N37</f>
        <v>4885</v>
      </c>
      <c r="H29" s="137">
        <f>'Consommation mensuel énergie'!D37</f>
        <v>167</v>
      </c>
      <c r="I29" s="137">
        <f>'Consommation mensuel énergie'!E37</f>
        <v>274</v>
      </c>
      <c r="J29" s="133"/>
    </row>
    <row r="30" spans="1:10">
      <c r="A30" s="136" t="s">
        <v>13</v>
      </c>
      <c r="B30" s="140">
        <f t="shared" si="1"/>
        <v>29</v>
      </c>
      <c r="C30" s="140">
        <v>7</v>
      </c>
      <c r="D30" s="141">
        <v>2022</v>
      </c>
      <c r="E30" s="137">
        <f>'Consommation mensuel énergie'!L38</f>
        <v>5230</v>
      </c>
      <c r="F30" s="137">
        <f>'Consommation mensuel énergie'!M38</f>
        <v>12151</v>
      </c>
      <c r="G30" s="137">
        <f>'Consommation mensuel énergie'!N38</f>
        <v>4411</v>
      </c>
      <c r="H30" s="137">
        <f>'Consommation mensuel énergie'!D38</f>
        <v>165</v>
      </c>
      <c r="I30" s="137">
        <f>'Consommation mensuel énergie'!E38</f>
        <v>286</v>
      </c>
      <c r="J30" s="133"/>
    </row>
    <row r="31" spans="1:10">
      <c r="A31" s="136" t="s">
        <v>13</v>
      </c>
      <c r="B31" s="140">
        <f t="shared" si="1"/>
        <v>30</v>
      </c>
      <c r="C31" s="140">
        <v>7</v>
      </c>
      <c r="D31" s="141">
        <v>2022</v>
      </c>
      <c r="E31" s="137">
        <f>'Consommation mensuel énergie'!L39</f>
        <v>6522</v>
      </c>
      <c r="F31" s="137">
        <f>'Consommation mensuel énergie'!M39</f>
        <v>12928</v>
      </c>
      <c r="G31" s="137">
        <f>'Consommation mensuel énergie'!N39</f>
        <v>4977</v>
      </c>
      <c r="H31" s="137">
        <f>'Consommation mensuel énergie'!D39</f>
        <v>172</v>
      </c>
      <c r="I31" s="137">
        <f>'Consommation mensuel énergie'!E39</f>
        <v>311</v>
      </c>
      <c r="J31" s="133"/>
    </row>
    <row r="32" spans="1:10">
      <c r="A32" s="136" t="s">
        <v>13</v>
      </c>
      <c r="B32" s="140">
        <f t="shared" si="1"/>
        <v>31</v>
      </c>
      <c r="C32" s="140">
        <v>7</v>
      </c>
      <c r="D32" s="141">
        <v>2022</v>
      </c>
      <c r="E32" s="137">
        <f>'Consommation mensuel énergie'!L40</f>
        <v>5185</v>
      </c>
      <c r="F32" s="137">
        <f>'Consommation mensuel énergie'!M40</f>
        <v>10118</v>
      </c>
      <c r="G32" s="137">
        <f>'Consommation mensuel énergie'!N40</f>
        <v>4513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F37" activePane="bottomRight" state="frozen"/>
      <selection pane="bottomRight" activeCell="E40" sqref="E40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/>
    <row r="4" spans="1:24" ht="39" hidden="1" customHeight="1" thickBot="1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>
      <c r="A10" s="2"/>
      <c r="B10" s="6">
        <v>44743</v>
      </c>
      <c r="C10" s="7"/>
      <c r="D10" s="143">
        <v>157</v>
      </c>
      <c r="E10" s="143">
        <v>284</v>
      </c>
      <c r="F10" s="13">
        <f>'Suivi EAU-ELEC'!E9</f>
        <v>171.70000000001164</v>
      </c>
      <c r="G10" s="11"/>
      <c r="H10" s="168">
        <f>F10*8.79</f>
        <v>1509.2430000001023</v>
      </c>
      <c r="I10" s="169"/>
      <c r="J10" s="169"/>
      <c r="K10" s="60">
        <v>42278</v>
      </c>
      <c r="L10" s="90">
        <f>'Suivi EAU-ELEC'!G9</f>
        <v>5543</v>
      </c>
      <c r="M10" s="91">
        <f>'Suivi EAU-ELEC'!I9</f>
        <v>9745</v>
      </c>
      <c r="N10" s="91">
        <f>'Suivi EAU-ELEC'!K9</f>
        <v>3279</v>
      </c>
      <c r="O10" s="91">
        <f>L10+M10+N10</f>
        <v>18567</v>
      </c>
      <c r="P10" s="11"/>
      <c r="Q10" s="34">
        <f>L10*0.6985+M10*0.9514+N10*1.3304</f>
        <v>17505.560099999999</v>
      </c>
      <c r="R10" s="11"/>
      <c r="S10" s="28"/>
      <c r="T10" s="11"/>
      <c r="U10" s="28"/>
      <c r="V10" s="146">
        <f>'Suvi Gaz'!O4</f>
        <v>287.99288999999999</v>
      </c>
      <c r="W10" s="11"/>
      <c r="X10" s="34">
        <f>V10*11.766</f>
        <v>3388.5243437399999</v>
      </c>
    </row>
    <row r="11" spans="1:24" ht="32.25" customHeight="1">
      <c r="A11" s="2"/>
      <c r="B11" s="6">
        <v>44744</v>
      </c>
      <c r="C11" s="7"/>
      <c r="D11" s="143">
        <v>155</v>
      </c>
      <c r="E11" s="143">
        <v>282</v>
      </c>
      <c r="F11" s="13">
        <f>'Suivi EAU-ELEC'!E10</f>
        <v>147</v>
      </c>
      <c r="G11" s="11"/>
      <c r="H11" s="168">
        <f t="shared" ref="H11:H21" si="0">F11*8.79</f>
        <v>1292.1299999999999</v>
      </c>
      <c r="I11" s="169"/>
      <c r="J11" s="169"/>
      <c r="K11" s="60">
        <v>42279</v>
      </c>
      <c r="L11" s="90">
        <f>'Suivi EAU-ELEC'!G10</f>
        <v>4535</v>
      </c>
      <c r="M11" s="91">
        <f>'Suivi EAU-ELEC'!I10</f>
        <v>10210</v>
      </c>
      <c r="N11" s="91">
        <f>'Suivi EAU-ELEC'!K10</f>
        <v>3658</v>
      </c>
      <c r="O11" s="91">
        <f>L11+M11+N11</f>
        <v>18403</v>
      </c>
      <c r="P11" s="11"/>
      <c r="Q11" s="34">
        <f>L11*0.6985+M11*0.9514+N14*1.3304</f>
        <v>18038.121899999998</v>
      </c>
      <c r="R11" s="11"/>
      <c r="S11" s="28"/>
      <c r="T11" s="11"/>
      <c r="U11" s="28"/>
      <c r="V11" s="146">
        <f>'Suvi Gaz'!O5</f>
        <v>127.99684000000001</v>
      </c>
      <c r="W11" s="11"/>
      <c r="X11" s="34">
        <f t="shared" ref="X11:X40" si="1">V11*11.766</f>
        <v>1506.01081944</v>
      </c>
    </row>
    <row r="12" spans="1:24" ht="32.25" customHeight="1">
      <c r="A12" s="2"/>
      <c r="B12" s="6">
        <v>44745</v>
      </c>
      <c r="C12" s="7"/>
      <c r="D12" s="143">
        <v>147</v>
      </c>
      <c r="E12" s="143">
        <v>267</v>
      </c>
      <c r="F12" s="13">
        <f>'Suivi EAU-ELEC'!E11</f>
        <v>199</v>
      </c>
      <c r="G12" s="11"/>
      <c r="H12" s="168">
        <f t="shared" si="0"/>
        <v>1749.2099999999998</v>
      </c>
      <c r="I12" s="169"/>
      <c r="J12" s="169"/>
      <c r="K12" s="60">
        <v>42280</v>
      </c>
      <c r="L12" s="90">
        <f>'Suivi EAU-ELEC'!G11</f>
        <v>6834</v>
      </c>
      <c r="M12" s="91">
        <f>'Suivi EAU-ELEC'!I11</f>
        <v>9841</v>
      </c>
      <c r="N12" s="91">
        <f>'Suivi EAU-ELEC'!K11</f>
        <v>4802</v>
      </c>
      <c r="O12" s="91">
        <f>L12+M12+N12</f>
        <v>21477</v>
      </c>
      <c r="P12" s="11"/>
      <c r="Q12" s="34">
        <f>L12*0.6985+M12*0.9514+N12*1.3304</f>
        <v>20524.857199999999</v>
      </c>
      <c r="R12" s="11"/>
      <c r="S12" s="28"/>
      <c r="T12" s="11"/>
      <c r="U12" s="28"/>
      <c r="V12" s="146">
        <f>'Suvi Gaz'!O6</f>
        <v>351.99131</v>
      </c>
      <c r="W12" s="11"/>
      <c r="X12" s="34">
        <f t="shared" si="1"/>
        <v>4141.5297534600004</v>
      </c>
    </row>
    <row r="13" spans="1:24" ht="32.25" customHeight="1">
      <c r="A13" s="2"/>
      <c r="B13" s="6">
        <v>44746</v>
      </c>
      <c r="C13" s="7"/>
      <c r="D13" s="143">
        <v>114</v>
      </c>
      <c r="E13" s="143">
        <v>193</v>
      </c>
      <c r="F13" s="13">
        <f>'Suivi EAU-ELEC'!E12</f>
        <v>231</v>
      </c>
      <c r="G13" s="11"/>
      <c r="H13" s="168">
        <f t="shared" si="0"/>
        <v>2030.4899999999998</v>
      </c>
      <c r="I13" s="169"/>
      <c r="J13" s="169"/>
      <c r="K13" s="60">
        <v>42281</v>
      </c>
      <c r="L13" s="90">
        <f>'Suivi EAU-ELEC'!G12</f>
        <v>4745</v>
      </c>
      <c r="M13" s="91">
        <f>'Suivi EAU-ELEC'!I12</f>
        <v>10015</v>
      </c>
      <c r="N13" s="91">
        <f>'Suivi EAU-ELEC'!K12</f>
        <v>3926</v>
      </c>
      <c r="O13" s="91">
        <f t="shared" ref="O13:O36" si="2">L13+M13+N13</f>
        <v>18686</v>
      </c>
      <c r="P13" s="11"/>
      <c r="Q13" s="34">
        <f t="shared" ref="Q13:Q36" si="3">L13*0.6985+M13*0.9514+N13*1.3304</f>
        <v>18065.803899999999</v>
      </c>
      <c r="R13" s="11"/>
      <c r="S13" s="28"/>
      <c r="T13" s="11"/>
      <c r="U13" s="28"/>
      <c r="V13" s="146">
        <f>'Suvi Gaz'!O7</f>
        <v>288.53730000000002</v>
      </c>
      <c r="W13" s="11"/>
      <c r="X13" s="34">
        <f t="shared" si="1"/>
        <v>3394.9298718</v>
      </c>
    </row>
    <row r="14" spans="1:24" ht="32.25" customHeight="1">
      <c r="A14" s="2"/>
      <c r="B14" s="6">
        <v>44747</v>
      </c>
      <c r="C14" s="7"/>
      <c r="D14" s="143">
        <v>132</v>
      </c>
      <c r="E14" s="143">
        <v>208</v>
      </c>
      <c r="F14" s="13">
        <f>'Suivi EAU-ELEC'!E13</f>
        <v>183</v>
      </c>
      <c r="G14" s="12"/>
      <c r="H14" s="168">
        <f t="shared" si="0"/>
        <v>1608.57</v>
      </c>
      <c r="I14" s="169"/>
      <c r="J14" s="169"/>
      <c r="K14" s="60">
        <v>42282</v>
      </c>
      <c r="L14" s="90">
        <f>'Suivi EAU-ELEC'!G13</f>
        <v>4845</v>
      </c>
      <c r="M14" s="91">
        <f>'Suivi EAU-ELEC'!I13</f>
        <v>11146</v>
      </c>
      <c r="N14" s="91">
        <f>'Suivi EAU-ELEC'!K13</f>
        <v>3876</v>
      </c>
      <c r="O14" s="91">
        <f t="shared" si="2"/>
        <v>19867</v>
      </c>
      <c r="P14" s="12"/>
      <c r="Q14" s="34">
        <f t="shared" si="3"/>
        <v>19145.167300000001</v>
      </c>
      <c r="R14" s="12"/>
      <c r="S14" s="28"/>
      <c r="T14" s="12"/>
      <c r="U14" s="28"/>
      <c r="V14" s="146">
        <f>'Suvi Gaz'!O8</f>
        <v>543.98657000000003</v>
      </c>
      <c r="W14" s="11"/>
      <c r="X14" s="34">
        <f t="shared" si="1"/>
        <v>6400.5459826200004</v>
      </c>
    </row>
    <row r="15" spans="1:24" ht="32.25" customHeight="1">
      <c r="A15" s="5"/>
      <c r="B15" s="6">
        <v>44748</v>
      </c>
      <c r="C15" s="7"/>
      <c r="D15" s="143">
        <v>125</v>
      </c>
      <c r="E15" s="143">
        <v>183</v>
      </c>
      <c r="F15" s="13">
        <f>'Suivi EAU-ELEC'!E14</f>
        <v>191</v>
      </c>
      <c r="G15" s="11"/>
      <c r="H15" s="168">
        <f t="shared" si="0"/>
        <v>1678.8899999999999</v>
      </c>
      <c r="I15" s="169"/>
      <c r="J15" s="169"/>
      <c r="K15" s="60">
        <v>42283</v>
      </c>
      <c r="L15" s="90">
        <f>'Suivi EAU-ELEC'!G14</f>
        <v>4159</v>
      </c>
      <c r="M15" s="91">
        <f>'Suivi EAU-ELEC'!I14</f>
        <v>8782</v>
      </c>
      <c r="N15" s="91">
        <f>'Suivi EAU-ELEC'!K14</f>
        <v>3350</v>
      </c>
      <c r="O15" s="91">
        <f t="shared" si="2"/>
        <v>16291</v>
      </c>
      <c r="P15" s="12"/>
      <c r="Q15" s="34">
        <f>L15*0.6985+M15*0.9514+N15*1.3304</f>
        <v>15717.096299999999</v>
      </c>
      <c r="R15" s="12"/>
      <c r="S15" s="28"/>
      <c r="T15" s="12"/>
      <c r="U15" s="28"/>
      <c r="V15" s="146">
        <f>'Suvi Gaz'!O9</f>
        <v>319.99209999999999</v>
      </c>
      <c r="W15" s="11"/>
      <c r="X15" s="34">
        <f t="shared" si="1"/>
        <v>3765.0270485999999</v>
      </c>
    </row>
    <row r="16" spans="1:24" ht="32.25" customHeight="1">
      <c r="A16" s="5"/>
      <c r="B16" s="6">
        <v>44749</v>
      </c>
      <c r="C16" s="7"/>
      <c r="D16" s="143">
        <v>116</v>
      </c>
      <c r="E16" s="143">
        <v>196</v>
      </c>
      <c r="F16" s="13">
        <f>'Suivi EAU-ELEC'!E15</f>
        <v>143.60000000000582</v>
      </c>
      <c r="G16" s="11"/>
      <c r="H16" s="168">
        <f t="shared" si="0"/>
        <v>1262.2440000000511</v>
      </c>
      <c r="I16" s="169"/>
      <c r="J16" s="169"/>
      <c r="K16" s="60">
        <v>42284</v>
      </c>
      <c r="L16" s="90">
        <f>'Suivi EAU-ELEC'!G15</f>
        <v>4123</v>
      </c>
      <c r="M16" s="91">
        <f>'Suivi EAU-ELEC'!I15</f>
        <v>8605</v>
      </c>
      <c r="N16" s="91">
        <f>'Suivi EAU-ELEC'!K15</f>
        <v>3379</v>
      </c>
      <c r="O16" s="91">
        <f t="shared" si="2"/>
        <v>16107</v>
      </c>
      <c r="P16" s="11"/>
      <c r="Q16" s="34">
        <f t="shared" si="3"/>
        <v>15562.134100000001</v>
      </c>
      <c r="R16" s="11"/>
      <c r="S16" s="28"/>
      <c r="T16" s="11"/>
      <c r="U16" s="28"/>
      <c r="V16" s="146">
        <f>'Suvi Gaz'!O10</f>
        <v>159.99605</v>
      </c>
      <c r="W16" s="11"/>
      <c r="X16" s="34">
        <f t="shared" si="1"/>
        <v>1882.5135243</v>
      </c>
    </row>
    <row r="17" spans="1:24" s="5" customFormat="1" ht="32.25" customHeight="1">
      <c r="A17" s="2"/>
      <c r="B17" s="6">
        <v>44750</v>
      </c>
      <c r="C17" s="7"/>
      <c r="D17" s="143">
        <v>84</v>
      </c>
      <c r="E17" s="143">
        <v>157</v>
      </c>
      <c r="F17" s="13">
        <f>'Suivi EAU-ELEC'!E16</f>
        <v>136.10000000000582</v>
      </c>
      <c r="G17" s="11"/>
      <c r="H17" s="168">
        <f t="shared" si="0"/>
        <v>1196.3190000000511</v>
      </c>
      <c r="I17" s="169"/>
      <c r="J17" s="169"/>
      <c r="K17" s="60">
        <v>42285</v>
      </c>
      <c r="L17" s="90">
        <f>'Suivi EAU-ELEC'!G16</f>
        <v>4362</v>
      </c>
      <c r="M17" s="91">
        <f>'Suivi EAU-ELEC'!I16</f>
        <v>10601</v>
      </c>
      <c r="N17" s="91">
        <f>'Suivi EAU-ELEC'!K16</f>
        <v>3821</v>
      </c>
      <c r="O17" s="91">
        <f t="shared" si="2"/>
        <v>18784</v>
      </c>
      <c r="P17" s="12"/>
      <c r="Q17" s="34">
        <f t="shared" si="3"/>
        <v>18216.106800000001</v>
      </c>
      <c r="R17" s="12"/>
      <c r="S17" s="28"/>
      <c r="T17" s="12"/>
      <c r="U17" s="28"/>
      <c r="V17" s="146">
        <f>'Suvi Gaz'!O11</f>
        <v>255.99368000000001</v>
      </c>
      <c r="W17" s="11"/>
      <c r="X17" s="34">
        <f t="shared" si="1"/>
        <v>3012.02163888</v>
      </c>
    </row>
    <row r="18" spans="1:24" ht="32.25" customHeight="1">
      <c r="A18" s="2"/>
      <c r="B18" s="6">
        <v>44751</v>
      </c>
      <c r="C18" s="7"/>
      <c r="D18" s="143">
        <v>96</v>
      </c>
      <c r="E18" s="143">
        <v>185</v>
      </c>
      <c r="F18" s="13">
        <f>'Suivi EAU-ELEC'!E17</f>
        <v>156.29999999998836</v>
      </c>
      <c r="G18" s="11"/>
      <c r="H18" s="168">
        <f t="shared" si="0"/>
        <v>1373.8769999998976</v>
      </c>
      <c r="I18" s="169"/>
      <c r="J18" s="169"/>
      <c r="K18" s="60">
        <v>42286</v>
      </c>
      <c r="L18" s="90">
        <f>'Suivi EAU-ELEC'!G17</f>
        <v>5134</v>
      </c>
      <c r="M18" s="91">
        <f>'Suivi EAU-ELEC'!I17</f>
        <v>9670</v>
      </c>
      <c r="N18" s="91">
        <f>'Suivi EAU-ELEC'!K17</f>
        <v>4352</v>
      </c>
      <c r="O18" s="91">
        <f t="shared" si="2"/>
        <v>19156</v>
      </c>
      <c r="P18" s="12"/>
      <c r="Q18" s="34">
        <f t="shared" si="3"/>
        <v>18576.037800000002</v>
      </c>
      <c r="R18" s="12"/>
      <c r="S18" s="28"/>
      <c r="T18" s="12"/>
      <c r="U18" s="28"/>
      <c r="V18" s="146">
        <f>'Suvi Gaz'!O12</f>
        <v>63.998420000000003</v>
      </c>
      <c r="W18" s="11"/>
      <c r="X18" s="34">
        <f t="shared" si="1"/>
        <v>753.00540971999999</v>
      </c>
    </row>
    <row r="19" spans="1:24" ht="32.25" customHeight="1">
      <c r="A19" s="2"/>
      <c r="B19" s="6">
        <v>44752</v>
      </c>
      <c r="C19" s="7"/>
      <c r="D19" s="143">
        <v>101</v>
      </c>
      <c r="E19" s="143">
        <v>196</v>
      </c>
      <c r="F19" s="13">
        <f>'Suivi EAU-ELEC'!E18</f>
        <v>154</v>
      </c>
      <c r="G19" s="12"/>
      <c r="H19" s="168">
        <f t="shared" si="0"/>
        <v>1353.6599999999999</v>
      </c>
      <c r="I19" s="169"/>
      <c r="J19" s="169"/>
      <c r="K19" s="60">
        <v>42287</v>
      </c>
      <c r="L19" s="90">
        <f>'Suivi EAU-ELEC'!G18</f>
        <v>4010</v>
      </c>
      <c r="M19" s="91">
        <f>'Suivi EAU-ELEC'!I18</f>
        <v>9989</v>
      </c>
      <c r="N19" s="91">
        <f>'Suivi EAU-ELEC'!K18</f>
        <v>4534</v>
      </c>
      <c r="O19" s="91">
        <f t="shared" si="2"/>
        <v>18533</v>
      </c>
      <c r="P19" s="12"/>
      <c r="Q19" s="34">
        <f t="shared" si="3"/>
        <v>18336.553200000002</v>
      </c>
      <c r="R19" s="12"/>
      <c r="S19" s="28"/>
      <c r="T19" s="12"/>
      <c r="U19" s="28"/>
      <c r="V19" s="146">
        <f>'Suvi Gaz'!O13</f>
        <v>31.999210000000001</v>
      </c>
      <c r="W19" s="11"/>
      <c r="X19" s="34">
        <f t="shared" si="1"/>
        <v>376.50270485999999</v>
      </c>
    </row>
    <row r="20" spans="1:24" ht="32.25" customHeight="1">
      <c r="A20" s="2"/>
      <c r="B20" s="6">
        <v>44753</v>
      </c>
      <c r="C20" s="7"/>
      <c r="D20" s="143">
        <v>130</v>
      </c>
      <c r="E20" s="143">
        <v>247</v>
      </c>
      <c r="F20" s="13">
        <f>'Suivi EAU-ELEC'!E19</f>
        <v>72.700000000011642</v>
      </c>
      <c r="G20" s="12"/>
      <c r="H20" s="168">
        <f t="shared" si="0"/>
        <v>639.03300000010222</v>
      </c>
      <c r="I20" s="169"/>
      <c r="J20" s="169"/>
      <c r="K20" s="60">
        <v>42288</v>
      </c>
      <c r="L20" s="90">
        <f>'Suivi EAU-ELEC'!G19</f>
        <v>6006</v>
      </c>
      <c r="M20" s="91">
        <f>'Suivi EAU-ELEC'!I19</f>
        <v>9852</v>
      </c>
      <c r="N20" s="91">
        <f>'Suivi EAU-ELEC'!K19</f>
        <v>4398</v>
      </c>
      <c r="O20" s="91">
        <f t="shared" si="2"/>
        <v>20256</v>
      </c>
      <c r="P20" s="12"/>
      <c r="Q20" s="34">
        <f t="shared" si="3"/>
        <v>19419.483</v>
      </c>
      <c r="R20" s="12"/>
      <c r="S20" s="28"/>
      <c r="T20" s="12"/>
      <c r="U20" s="28"/>
      <c r="V20" s="146">
        <f>'Suvi Gaz'!O14</f>
        <v>31.999210000000001</v>
      </c>
      <c r="W20" s="11"/>
      <c r="X20" s="34">
        <f t="shared" si="1"/>
        <v>376.50270485999999</v>
      </c>
    </row>
    <row r="21" spans="1:24" ht="32.25" customHeight="1">
      <c r="A21" s="2"/>
      <c r="B21" s="6">
        <v>44754</v>
      </c>
      <c r="C21" s="7"/>
      <c r="D21" s="143">
        <v>129</v>
      </c>
      <c r="E21" s="143">
        <v>225</v>
      </c>
      <c r="F21" s="13">
        <f>'Suivi EAU-ELEC'!E20</f>
        <v>142.89999999999418</v>
      </c>
      <c r="G21" s="12"/>
      <c r="H21" s="168">
        <f t="shared" si="0"/>
        <v>1256.0909999999487</v>
      </c>
      <c r="I21" s="169"/>
      <c r="J21" s="169"/>
      <c r="K21" s="60">
        <v>42289</v>
      </c>
      <c r="L21" s="90">
        <f>'Suivi EAU-ELEC'!G20</f>
        <v>6159</v>
      </c>
      <c r="M21" s="91">
        <f>'Suivi EAU-ELEC'!I20</f>
        <v>10179</v>
      </c>
      <c r="N21" s="91">
        <f>'Suivi EAU-ELEC'!K20</f>
        <v>4469</v>
      </c>
      <c r="O21" s="91">
        <f>L21+M21+N21</f>
        <v>20807</v>
      </c>
      <c r="P21" s="12"/>
      <c r="Q21" s="34">
        <f t="shared" si="3"/>
        <v>19931.919699999999</v>
      </c>
      <c r="R21" s="12"/>
      <c r="S21" s="28"/>
      <c r="T21" s="12"/>
      <c r="U21" s="28"/>
      <c r="V21" s="146">
        <f>'Suvi Gaz'!O15</f>
        <v>191.99526</v>
      </c>
      <c r="W21" s="11"/>
      <c r="X21" s="34">
        <f t="shared" si="1"/>
        <v>2259.01622916</v>
      </c>
    </row>
    <row r="22" spans="1:24" ht="32.25" customHeight="1">
      <c r="A22" s="2"/>
      <c r="B22" s="6">
        <v>44755</v>
      </c>
      <c r="C22" s="7"/>
      <c r="D22" s="143">
        <v>130</v>
      </c>
      <c r="E22" s="143">
        <v>232</v>
      </c>
      <c r="F22" s="13">
        <f>'Suivi EAU-ELEC'!E21</f>
        <v>164.19999999998254</v>
      </c>
      <c r="G22" s="12"/>
      <c r="H22" s="168">
        <f t="shared" ref="H22:H35" si="4">F22*8.79</f>
        <v>1443.3179999998463</v>
      </c>
      <c r="I22" s="169"/>
      <c r="J22" s="169"/>
      <c r="K22" s="60">
        <v>42290</v>
      </c>
      <c r="L22" s="90">
        <f>'Suivi EAU-ELEC'!G21</f>
        <v>5065</v>
      </c>
      <c r="M22" s="91">
        <f>'Suivi EAU-ELEC'!I21</f>
        <v>9574</v>
      </c>
      <c r="N22" s="91">
        <f>'Suivi EAU-ELEC'!K21</f>
        <v>4062</v>
      </c>
      <c r="O22" s="91">
        <f t="shared" si="2"/>
        <v>18701</v>
      </c>
      <c r="P22" s="12"/>
      <c r="Q22" s="34">
        <f t="shared" si="3"/>
        <v>18050.690900000001</v>
      </c>
      <c r="R22" s="12"/>
      <c r="S22" s="28"/>
      <c r="T22" s="12"/>
      <c r="U22" s="28"/>
      <c r="V22" s="146">
        <f>'Suvi Gaz'!O16</f>
        <v>223.99447000000001</v>
      </c>
      <c r="W22" s="11"/>
      <c r="X22" s="34">
        <f t="shared" si="1"/>
        <v>2635.51893402</v>
      </c>
    </row>
    <row r="23" spans="1:24" ht="32.25" customHeight="1">
      <c r="A23" s="2"/>
      <c r="B23" s="6">
        <v>44756</v>
      </c>
      <c r="C23" s="7"/>
      <c r="D23" s="143">
        <v>148</v>
      </c>
      <c r="E23" s="143">
        <v>281</v>
      </c>
      <c r="F23" s="13">
        <f>'Suivi EAU-ELEC'!E22</f>
        <v>141.60000000000582</v>
      </c>
      <c r="G23" s="14"/>
      <c r="H23" s="168">
        <f t="shared" si="4"/>
        <v>1244.6640000000511</v>
      </c>
      <c r="I23" s="169"/>
      <c r="J23" s="169"/>
      <c r="K23" s="60">
        <v>42291</v>
      </c>
      <c r="L23" s="90">
        <f>'Suivi EAU-ELEC'!G22</f>
        <v>6255</v>
      </c>
      <c r="M23" s="91">
        <f>'Suivi EAU-ELEC'!I22</f>
        <v>10623</v>
      </c>
      <c r="N23" s="91">
        <f>'Suivi EAU-ELEC'!K22</f>
        <v>4583</v>
      </c>
      <c r="O23" s="91">
        <f>L23+M23+N23</f>
        <v>21461</v>
      </c>
      <c r="P23" s="12"/>
      <c r="Q23" s="34">
        <f>L23*0.6985+M23*0.9514+N23*1.3304</f>
        <v>20573.062900000001</v>
      </c>
      <c r="R23" s="12"/>
      <c r="S23" s="28"/>
      <c r="T23" s="14"/>
      <c r="U23" s="28"/>
      <c r="V23" s="146">
        <f>'Suvi Gaz'!O17</f>
        <v>191.99526</v>
      </c>
      <c r="W23" s="11"/>
      <c r="X23" s="34">
        <f t="shared" si="1"/>
        <v>2259.01622916</v>
      </c>
    </row>
    <row r="24" spans="1:24" ht="32.25" customHeight="1">
      <c r="A24" s="2"/>
      <c r="B24" s="6">
        <v>44757</v>
      </c>
      <c r="C24" s="7"/>
      <c r="D24" s="143">
        <v>143</v>
      </c>
      <c r="E24" s="143">
        <v>280</v>
      </c>
      <c r="F24" s="13">
        <f>'Suivi EAU-ELEC'!E23</f>
        <v>375.60000000000582</v>
      </c>
      <c r="G24" s="14"/>
      <c r="H24" s="168">
        <f t="shared" si="4"/>
        <v>3301.5240000000508</v>
      </c>
      <c r="I24" s="169"/>
      <c r="J24" s="169"/>
      <c r="K24" s="60">
        <v>42292</v>
      </c>
      <c r="L24" s="90">
        <f>'Suivi EAU-ELEC'!G23</f>
        <v>6848</v>
      </c>
      <c r="M24" s="91">
        <f>'Suivi EAU-ELEC'!I23</f>
        <v>10355</v>
      </c>
      <c r="N24" s="91">
        <f>'Suivi EAU-ELEC'!K23</f>
        <v>3981</v>
      </c>
      <c r="O24" s="91">
        <f>L24+M24+N24</f>
        <v>21184</v>
      </c>
      <c r="P24" s="12"/>
      <c r="Q24" s="34">
        <f>L24*0.6985+M24*0.9514+N24*1.3304</f>
        <v>19931.397400000002</v>
      </c>
      <c r="R24" s="12"/>
      <c r="S24" s="28"/>
      <c r="T24" s="14"/>
      <c r="U24" s="28"/>
      <c r="V24" s="146">
        <f>'Suvi Gaz'!O18</f>
        <v>191.99526</v>
      </c>
      <c r="W24" s="11"/>
      <c r="X24" s="34">
        <f t="shared" si="1"/>
        <v>2259.01622916</v>
      </c>
    </row>
    <row r="25" spans="1:24" ht="32.25" customHeight="1">
      <c r="A25" s="2"/>
      <c r="B25" s="6">
        <v>44758</v>
      </c>
      <c r="C25" s="7"/>
      <c r="D25" s="143">
        <v>147</v>
      </c>
      <c r="E25" s="143">
        <v>283</v>
      </c>
      <c r="F25" s="13">
        <f>'Suivi EAU-ELEC'!E24</f>
        <v>264</v>
      </c>
      <c r="G25" s="14"/>
      <c r="H25" s="168">
        <f t="shared" si="4"/>
        <v>2320.56</v>
      </c>
      <c r="I25" s="169"/>
      <c r="J25" s="169"/>
      <c r="K25" s="60">
        <v>42293</v>
      </c>
      <c r="L25" s="90">
        <f>'Suivi EAU-ELEC'!G24</f>
        <v>4704</v>
      </c>
      <c r="M25" s="91">
        <f>'Suivi EAU-ELEC'!I24</f>
        <v>10298</v>
      </c>
      <c r="N25" s="91">
        <f>'Suivi EAU-ELEC'!K24</f>
        <v>3804</v>
      </c>
      <c r="O25" s="91">
        <f>L25+M25+N25</f>
        <v>18806</v>
      </c>
      <c r="P25" s="12"/>
      <c r="Q25" s="34">
        <f>L25*0.6985+M25*0.9514+N25*1.3304</f>
        <v>18144.102800000001</v>
      </c>
      <c r="R25" s="12"/>
      <c r="S25" s="28"/>
      <c r="T25" s="14"/>
      <c r="U25" s="28"/>
      <c r="V25" s="146">
        <f>'Suvi Gaz'!O19</f>
        <v>159.99605</v>
      </c>
      <c r="W25" s="11"/>
      <c r="X25" s="34">
        <f t="shared" si="1"/>
        <v>1882.5135243</v>
      </c>
    </row>
    <row r="26" spans="1:24" ht="32.25" customHeight="1">
      <c r="A26" s="2"/>
      <c r="B26" s="6">
        <v>44759</v>
      </c>
      <c r="C26" s="7"/>
      <c r="D26" s="143">
        <v>154</v>
      </c>
      <c r="E26" s="143">
        <v>264</v>
      </c>
      <c r="F26" s="13">
        <f>'Suivi EAU-ELEC'!E25</f>
        <v>145</v>
      </c>
      <c r="G26" s="14"/>
      <c r="H26" s="168">
        <f t="shared" si="4"/>
        <v>1274.55</v>
      </c>
      <c r="I26" s="169"/>
      <c r="J26" s="169"/>
      <c r="K26" s="60">
        <v>42294</v>
      </c>
      <c r="L26" s="90">
        <f>'Suivi EAU-ELEC'!G25</f>
        <v>4751</v>
      </c>
      <c r="M26" s="91">
        <f>'Suivi EAU-ELEC'!I25</f>
        <v>10003</v>
      </c>
      <c r="N26" s="91">
        <f>'Suivi EAU-ELEC'!K25</f>
        <v>3485</v>
      </c>
      <c r="O26" s="91">
        <f>L26+M26+N26</f>
        <v>18239</v>
      </c>
      <c r="P26" s="14"/>
      <c r="Q26" s="34">
        <f>L26*0.6985+M26*0.9514+N26*1.3304</f>
        <v>17471.8717</v>
      </c>
      <c r="R26" s="14"/>
      <c r="S26" s="28"/>
      <c r="T26" s="14"/>
      <c r="U26" s="28"/>
      <c r="V26" s="146">
        <f>'Suvi Gaz'!O20</f>
        <v>287.99288999999999</v>
      </c>
      <c r="W26" s="11"/>
      <c r="X26" s="34">
        <f t="shared" si="1"/>
        <v>3388.5243437399999</v>
      </c>
    </row>
    <row r="27" spans="1:24" ht="32.25" customHeight="1">
      <c r="A27" s="2"/>
      <c r="B27" s="6">
        <v>44760</v>
      </c>
      <c r="C27" s="7"/>
      <c r="D27" s="143">
        <v>153</v>
      </c>
      <c r="E27" s="143">
        <v>257</v>
      </c>
      <c r="F27" s="13">
        <f>'Suivi EAU-ELEC'!E26</f>
        <v>175</v>
      </c>
      <c r="G27" s="14"/>
      <c r="H27" s="168">
        <f t="shared" si="4"/>
        <v>1538.2499999999998</v>
      </c>
      <c r="I27" s="169"/>
      <c r="J27" s="169"/>
      <c r="K27" s="60">
        <v>42295</v>
      </c>
      <c r="L27" s="90">
        <f>'Suivi EAU-ELEC'!G26</f>
        <v>4244</v>
      </c>
      <c r="M27" s="91">
        <f>'Suivi EAU-ELEC'!I26</f>
        <v>10006</v>
      </c>
      <c r="N27" s="91">
        <f>'Suivi EAU-ELEC'!K26</f>
        <v>3594</v>
      </c>
      <c r="O27" s="91">
        <f t="shared" si="2"/>
        <v>17844</v>
      </c>
      <c r="P27" s="14"/>
      <c r="Q27" s="34">
        <f t="shared" si="3"/>
        <v>17265.599999999999</v>
      </c>
      <c r="R27" s="14"/>
      <c r="S27" s="28"/>
      <c r="T27" s="14"/>
      <c r="U27" s="28"/>
      <c r="V27" s="146">
        <f>'Suvi Gaz'!O21</f>
        <v>319.99209999999999</v>
      </c>
      <c r="W27" s="11"/>
      <c r="X27" s="34">
        <f t="shared" si="1"/>
        <v>3765.0270485999999</v>
      </c>
    </row>
    <row r="28" spans="1:24" ht="32.25" customHeight="1">
      <c r="A28" s="2"/>
      <c r="B28" s="6">
        <v>44761</v>
      </c>
      <c r="C28" s="7"/>
      <c r="D28" s="143">
        <v>161</v>
      </c>
      <c r="E28" s="143">
        <v>277</v>
      </c>
      <c r="F28" s="13">
        <f>'Suivi EAU-ELEC'!E27</f>
        <v>161</v>
      </c>
      <c r="G28" s="11"/>
      <c r="H28" s="168">
        <f t="shared" si="4"/>
        <v>1415.1899999999998</v>
      </c>
      <c r="I28" s="169"/>
      <c r="J28" s="169"/>
      <c r="K28" s="60">
        <v>42296</v>
      </c>
      <c r="L28" s="90">
        <f>'Suivi EAU-ELEC'!G27</f>
        <v>5493</v>
      </c>
      <c r="M28" s="91">
        <f>'Suivi EAU-ELEC'!I27</f>
        <v>10880</v>
      </c>
      <c r="N28" s="91">
        <f>'Suivi EAU-ELEC'!K27</f>
        <v>4129</v>
      </c>
      <c r="O28" s="91">
        <f t="shared" si="2"/>
        <v>20502</v>
      </c>
      <c r="P28" s="11"/>
      <c r="Q28" s="34">
        <f>L28*0.6985+M28*0.9514+N28*1.3304</f>
        <v>19681.3141</v>
      </c>
      <c r="R28" s="11"/>
      <c r="S28" s="28"/>
      <c r="T28" s="11"/>
      <c r="U28" s="28"/>
      <c r="V28" s="146">
        <f>'Suvi Gaz'!O22</f>
        <v>319.99209999999999</v>
      </c>
      <c r="W28" s="11"/>
      <c r="X28" s="34">
        <f t="shared" si="1"/>
        <v>3765.0270485999999</v>
      </c>
    </row>
    <row r="29" spans="1:24" ht="32.25" customHeight="1">
      <c r="A29" s="2"/>
      <c r="B29" s="6">
        <v>44762</v>
      </c>
      <c r="C29" s="7"/>
      <c r="D29" s="143">
        <v>161</v>
      </c>
      <c r="E29" s="143">
        <v>265</v>
      </c>
      <c r="F29" s="13">
        <f>'Suivi EAU-ELEC'!E28</f>
        <v>168</v>
      </c>
      <c r="G29" s="11"/>
      <c r="H29" s="168">
        <f t="shared" si="4"/>
        <v>1476.7199999999998</v>
      </c>
      <c r="I29" s="169"/>
      <c r="J29" s="169"/>
      <c r="K29" s="60">
        <v>42297</v>
      </c>
      <c r="L29" s="90">
        <f>'Suivi EAU-ELEC'!G28</f>
        <v>4628</v>
      </c>
      <c r="M29" s="91">
        <f>'Suivi EAU-ELEC'!I28</f>
        <v>11455</v>
      </c>
      <c r="N29" s="91">
        <f>'Suivi EAU-ELEC'!K28</f>
        <v>3955</v>
      </c>
      <c r="O29" s="91">
        <f>L29+M29+N29</f>
        <v>20038</v>
      </c>
      <c r="P29" s="11"/>
      <c r="Q29" s="34">
        <f t="shared" si="3"/>
        <v>19392.677</v>
      </c>
      <c r="R29" s="11"/>
      <c r="S29" s="28"/>
      <c r="T29" s="11"/>
      <c r="U29" s="28"/>
      <c r="V29" s="146">
        <f>'Suvi Gaz'!O23</f>
        <v>287.99288999999999</v>
      </c>
      <c r="W29" s="11"/>
      <c r="X29" s="34">
        <f t="shared" si="1"/>
        <v>3388.5243437399999</v>
      </c>
    </row>
    <row r="30" spans="1:24" ht="32.25" customHeight="1">
      <c r="A30" s="2"/>
      <c r="B30" s="6">
        <v>44763</v>
      </c>
      <c r="C30" s="7"/>
      <c r="D30" s="143">
        <v>179</v>
      </c>
      <c r="E30" s="143">
        <v>291</v>
      </c>
      <c r="F30" s="13">
        <f>'Suivi EAU-ELEC'!E29</f>
        <v>137.10000000000582</v>
      </c>
      <c r="G30" s="11"/>
      <c r="H30" s="168">
        <f t="shared" si="4"/>
        <v>1205.1090000000511</v>
      </c>
      <c r="I30" s="169"/>
      <c r="J30" s="169"/>
      <c r="K30" s="60">
        <v>42298</v>
      </c>
      <c r="L30" s="90">
        <f>'Suivi EAU-ELEC'!G29</f>
        <v>4677</v>
      </c>
      <c r="M30" s="91">
        <f>'Suivi EAU-ELEC'!I29</f>
        <v>12432</v>
      </c>
      <c r="N30" s="91">
        <f>'Suivi EAU-ELEC'!K29</f>
        <v>4613</v>
      </c>
      <c r="O30" s="91">
        <f>L30+M30+N30</f>
        <v>21722</v>
      </c>
      <c r="P30" s="11"/>
      <c r="Q30" s="34">
        <f>L30*0.6985+M30*0.9514+N30*1.3304</f>
        <v>21231.824499999999</v>
      </c>
      <c r="R30" s="11"/>
      <c r="S30" s="28"/>
      <c r="T30" s="11"/>
      <c r="U30" s="28"/>
      <c r="V30" s="146">
        <f>'Suvi Gaz'!O24</f>
        <v>223.99447000000001</v>
      </c>
      <c r="W30" s="11"/>
      <c r="X30" s="34">
        <f t="shared" si="1"/>
        <v>2635.51893402</v>
      </c>
    </row>
    <row r="31" spans="1:24" ht="27.75" customHeight="1">
      <c r="A31" s="2"/>
      <c r="B31" s="6">
        <v>44764</v>
      </c>
      <c r="C31" s="7"/>
      <c r="D31" s="143">
        <v>170</v>
      </c>
      <c r="E31" s="143">
        <v>289</v>
      </c>
      <c r="F31" s="13">
        <f>'Suivi EAU-ELEC'!E30</f>
        <v>172.19999999998254</v>
      </c>
      <c r="G31" s="11"/>
      <c r="H31" s="168">
        <f t="shared" si="4"/>
        <v>1513.6379999998464</v>
      </c>
      <c r="I31" s="169"/>
      <c r="J31" s="169"/>
      <c r="K31" s="60">
        <v>42299</v>
      </c>
      <c r="L31" s="90">
        <f>'Suivi EAU-ELEC'!G30</f>
        <v>6770</v>
      </c>
      <c r="M31" s="91">
        <f>'Suivi EAU-ELEC'!I30</f>
        <v>11697</v>
      </c>
      <c r="N31" s="91">
        <f>'Suivi EAU-ELEC'!K30</f>
        <v>5251</v>
      </c>
      <c r="O31" s="91">
        <f>L31+M31+N31</f>
        <v>23718</v>
      </c>
      <c r="P31" s="11"/>
      <c r="Q31" s="34">
        <f>L31*0.6985+M31*0.9514+N31*1.3304</f>
        <v>22843.301200000002</v>
      </c>
      <c r="R31" s="11"/>
      <c r="S31" s="28"/>
      <c r="T31" s="11"/>
      <c r="U31" s="28"/>
      <c r="V31" s="146">
        <f>'Suvi Gaz'!O25</f>
        <v>191.99526</v>
      </c>
      <c r="W31" s="11"/>
      <c r="X31" s="34">
        <f t="shared" si="1"/>
        <v>2259.01622916</v>
      </c>
    </row>
    <row r="32" spans="1:24" ht="37.5" customHeight="1">
      <c r="A32" s="2"/>
      <c r="B32" s="6">
        <v>44765</v>
      </c>
      <c r="C32" s="7"/>
      <c r="D32" s="143">
        <v>143</v>
      </c>
      <c r="E32" s="143">
        <v>246</v>
      </c>
      <c r="F32" s="13">
        <f>'Suivi EAU-ELEC'!E31</f>
        <v>153.70000000001164</v>
      </c>
      <c r="G32" s="11"/>
      <c r="H32" s="168">
        <f t="shared" si="4"/>
        <v>1351.0230000001022</v>
      </c>
      <c r="I32" s="169"/>
      <c r="J32" s="169"/>
      <c r="K32" s="60">
        <v>42300</v>
      </c>
      <c r="L32" s="90">
        <f>'Suivi EAU-ELEC'!G31</f>
        <v>5483</v>
      </c>
      <c r="M32" s="91">
        <f>'Suivi EAU-ELEC'!I31</f>
        <v>13376</v>
      </c>
      <c r="N32" s="91">
        <f>'Suivi EAU-ELEC'!K31</f>
        <v>5043</v>
      </c>
      <c r="O32" s="91">
        <f t="shared" si="2"/>
        <v>23902</v>
      </c>
      <c r="P32" s="11"/>
      <c r="Q32" s="34">
        <f t="shared" si="3"/>
        <v>23265.009099999999</v>
      </c>
      <c r="R32" s="11"/>
      <c r="S32" s="28"/>
      <c r="T32" s="11"/>
      <c r="U32" s="28"/>
      <c r="V32" s="146">
        <f>'Suvi Gaz'!O26</f>
        <v>127.99684000000001</v>
      </c>
      <c r="W32" s="11"/>
      <c r="X32" s="34">
        <f t="shared" si="1"/>
        <v>1506.01081944</v>
      </c>
    </row>
    <row r="33" spans="1:24" ht="37.5" customHeight="1">
      <c r="A33" s="2"/>
      <c r="B33" s="6">
        <v>44766</v>
      </c>
      <c r="C33" s="7"/>
      <c r="D33" s="143">
        <v>145</v>
      </c>
      <c r="E33" s="143">
        <v>232</v>
      </c>
      <c r="F33" s="13">
        <f>'Suivi EAU-ELEC'!E32</f>
        <v>165</v>
      </c>
      <c r="G33" s="11"/>
      <c r="H33" s="168">
        <f t="shared" si="4"/>
        <v>1450.35</v>
      </c>
      <c r="I33" s="169"/>
      <c r="J33" s="169"/>
      <c r="K33" s="60">
        <v>42301</v>
      </c>
      <c r="L33" s="90">
        <f>'Suivi EAU-ELEC'!G32</f>
        <v>5587</v>
      </c>
      <c r="M33" s="91">
        <f>'Suivi EAU-ELEC'!I32</f>
        <v>12382</v>
      </c>
      <c r="N33" s="91">
        <f>'Suivi EAU-ELEC'!K32</f>
        <v>4491</v>
      </c>
      <c r="O33" s="91">
        <f t="shared" si="2"/>
        <v>22460</v>
      </c>
      <c r="P33" s="11"/>
      <c r="Q33" s="34">
        <f t="shared" si="3"/>
        <v>21657.580699999999</v>
      </c>
      <c r="R33" s="11"/>
      <c r="S33" s="28"/>
      <c r="T33" s="11"/>
      <c r="U33" s="28"/>
      <c r="V33" s="146">
        <f>'Suvi Gaz'!O27</f>
        <v>159.99605</v>
      </c>
      <c r="W33" s="11"/>
      <c r="X33" s="34">
        <f t="shared" si="1"/>
        <v>1882.5135243</v>
      </c>
    </row>
    <row r="34" spans="1:24" ht="37.5" customHeight="1">
      <c r="A34" s="2"/>
      <c r="B34" s="6">
        <v>44767</v>
      </c>
      <c r="C34" s="7"/>
      <c r="D34" s="143">
        <v>153</v>
      </c>
      <c r="E34" s="143">
        <v>249</v>
      </c>
      <c r="F34" s="13">
        <f>'Suivi EAU-ELEC'!E33</f>
        <v>136</v>
      </c>
      <c r="G34" s="11"/>
      <c r="H34" s="168">
        <f t="shared" si="4"/>
        <v>1195.4399999999998</v>
      </c>
      <c r="I34" s="169"/>
      <c r="J34" s="169"/>
      <c r="K34" s="60">
        <v>42302</v>
      </c>
      <c r="L34" s="90">
        <f>'Suivi EAU-ELEC'!G33</f>
        <v>4943</v>
      </c>
      <c r="M34" s="91">
        <f>'Suivi EAU-ELEC'!I33</f>
        <v>12183</v>
      </c>
      <c r="N34" s="91">
        <f>'Suivi EAU-ELEC'!K33</f>
        <v>5046</v>
      </c>
      <c r="O34" s="91">
        <f t="shared" si="2"/>
        <v>22172</v>
      </c>
      <c r="P34" s="11"/>
      <c r="Q34" s="34">
        <f t="shared" si="3"/>
        <v>21756.790099999998</v>
      </c>
      <c r="R34" s="11"/>
      <c r="S34" s="28"/>
      <c r="T34" s="11"/>
      <c r="U34" s="28"/>
      <c r="V34" s="146">
        <f>'Suvi Gaz'!O28</f>
        <v>127.99684000000001</v>
      </c>
      <c r="W34" s="11"/>
      <c r="X34" s="34">
        <f t="shared" si="1"/>
        <v>1506.01081944</v>
      </c>
    </row>
    <row r="35" spans="1:24" ht="33.75" customHeight="1">
      <c r="A35" s="2"/>
      <c r="B35" s="6">
        <v>44768</v>
      </c>
      <c r="C35" s="7"/>
      <c r="D35" s="143">
        <v>173</v>
      </c>
      <c r="E35" s="143">
        <v>270</v>
      </c>
      <c r="F35" s="13">
        <f>'Suivi EAU-ELEC'!E34</f>
        <v>177</v>
      </c>
      <c r="G35" s="11"/>
      <c r="H35" s="168">
        <f t="shared" si="4"/>
        <v>1555.83</v>
      </c>
      <c r="I35" s="169"/>
      <c r="J35" s="169"/>
      <c r="K35" s="60">
        <v>42303</v>
      </c>
      <c r="L35" s="90">
        <f>'Suivi EAU-ELEC'!G34</f>
        <v>5983</v>
      </c>
      <c r="M35" s="91">
        <f>'Suivi EAU-ELEC'!I34</f>
        <v>13221</v>
      </c>
      <c r="N35" s="91">
        <f>'Suivi EAU-ELEC'!K34</f>
        <v>4738</v>
      </c>
      <c r="O35" s="91">
        <f t="shared" si="2"/>
        <v>23942</v>
      </c>
      <c r="P35" s="11"/>
      <c r="Q35" s="34">
        <f t="shared" si="3"/>
        <v>23061.020100000002</v>
      </c>
      <c r="R35" s="11"/>
      <c r="S35" s="28"/>
      <c r="T35" s="11"/>
      <c r="U35" s="28"/>
      <c r="V35" s="146">
        <f>'Suvi Gaz'!O29</f>
        <v>31.999210000000001</v>
      </c>
      <c r="W35" s="11"/>
      <c r="X35" s="34">
        <f t="shared" si="1"/>
        <v>376.50270485999999</v>
      </c>
    </row>
    <row r="36" spans="1:24" ht="33.75" customHeight="1">
      <c r="A36" s="2"/>
      <c r="B36" s="6">
        <v>44769</v>
      </c>
      <c r="C36" s="7"/>
      <c r="D36" s="143">
        <v>174</v>
      </c>
      <c r="E36" s="143">
        <v>272</v>
      </c>
      <c r="F36" s="13">
        <f>'Suivi EAU-ELEC'!E35</f>
        <v>202</v>
      </c>
      <c r="G36" s="11"/>
      <c r="H36" s="168">
        <f t="shared" ref="H36:H37" si="5">F36*8.79</f>
        <v>1775.58</v>
      </c>
      <c r="I36" s="169"/>
      <c r="J36" s="169"/>
      <c r="K36" s="60"/>
      <c r="L36" s="90">
        <f>'Suivi EAU-ELEC'!G35</f>
        <v>4869</v>
      </c>
      <c r="M36" s="91">
        <f>'Suivi EAU-ELEC'!I35</f>
        <v>13446</v>
      </c>
      <c r="N36" s="91">
        <f>'Suivi EAU-ELEC'!K35</f>
        <v>4984</v>
      </c>
      <c r="O36" s="91">
        <f t="shared" si="2"/>
        <v>23299</v>
      </c>
      <c r="P36" s="11"/>
      <c r="Q36" s="34">
        <f t="shared" si="3"/>
        <v>22824.234499999999</v>
      </c>
      <c r="R36" s="11"/>
      <c r="S36" s="28"/>
      <c r="T36" s="11"/>
      <c r="U36" s="28"/>
      <c r="V36" s="146">
        <f>'Suvi Gaz'!O30</f>
        <v>159.99605</v>
      </c>
      <c r="W36" s="11"/>
      <c r="X36" s="34">
        <f t="shared" si="1"/>
        <v>1882.5135243</v>
      </c>
    </row>
    <row r="37" spans="1:24" ht="33.75" customHeight="1">
      <c r="A37" s="2"/>
      <c r="B37" s="6">
        <v>44770</v>
      </c>
      <c r="C37" s="7"/>
      <c r="D37" s="143">
        <v>167</v>
      </c>
      <c r="E37" s="143">
        <v>274</v>
      </c>
      <c r="F37" s="13">
        <f>'Suivi EAU-ELEC'!E36</f>
        <v>177.39999999999418</v>
      </c>
      <c r="G37" s="11"/>
      <c r="H37" s="168">
        <f t="shared" si="5"/>
        <v>1559.3459999999486</v>
      </c>
      <c r="I37" s="169"/>
      <c r="J37" s="169"/>
      <c r="K37" s="60"/>
      <c r="L37" s="90">
        <f>'Suivi EAU-ELEC'!G36</f>
        <v>5335</v>
      </c>
      <c r="M37" s="91">
        <f>'Suivi EAU-ELEC'!I36</f>
        <v>11570</v>
      </c>
      <c r="N37" s="91">
        <f>'Suivi EAU-ELEC'!K36</f>
        <v>4885</v>
      </c>
      <c r="O37" s="91">
        <f>L37+M37+N37</f>
        <v>21790</v>
      </c>
      <c r="P37" s="11"/>
      <c r="Q37" s="34">
        <f>L37*0.6985+M37*0.9514+N37*1.3304</f>
        <v>21233.199499999999</v>
      </c>
      <c r="R37" s="11"/>
      <c r="S37" s="28"/>
      <c r="T37" s="11"/>
      <c r="U37" s="28"/>
      <c r="V37" s="146">
        <f>'Suvi Gaz'!O31</f>
        <v>255.99368000000001</v>
      </c>
      <c r="W37" s="11"/>
      <c r="X37" s="34">
        <f t="shared" si="1"/>
        <v>3012.02163888</v>
      </c>
    </row>
    <row r="38" spans="1:24" ht="33.75" customHeight="1">
      <c r="A38" s="2"/>
      <c r="B38" s="6">
        <v>44771</v>
      </c>
      <c r="C38" s="7"/>
      <c r="D38" s="143">
        <v>165</v>
      </c>
      <c r="E38" s="143">
        <v>286</v>
      </c>
      <c r="F38" s="13">
        <f>'Suivi EAU-ELEC'!E37</f>
        <v>176.60000000000582</v>
      </c>
      <c r="G38" s="11"/>
      <c r="H38" s="168">
        <f>F38*8.79</f>
        <v>1552.314000000051</v>
      </c>
      <c r="I38" s="169"/>
      <c r="J38" s="169"/>
      <c r="K38" s="60">
        <v>42304</v>
      </c>
      <c r="L38" s="90">
        <f>'Suivi EAU-ELEC'!G37</f>
        <v>5230</v>
      </c>
      <c r="M38" s="91">
        <f>'Suivi EAU-ELEC'!I37</f>
        <v>12151</v>
      </c>
      <c r="N38" s="91">
        <f>'Suivi EAU-ELEC'!K37</f>
        <v>4411</v>
      </c>
      <c r="O38" s="91">
        <f>L38+M38+N38</f>
        <v>21792</v>
      </c>
      <c r="P38" s="11"/>
      <c r="Q38" s="34">
        <f>L38*0.6985+M38*0.9514+N38*1.3304</f>
        <v>21082.0108</v>
      </c>
      <c r="R38" s="11"/>
      <c r="S38" s="28"/>
      <c r="T38" s="11"/>
      <c r="U38" s="28"/>
      <c r="V38" s="146">
        <f>'Suvi Gaz'!O32</f>
        <v>223.99447000000001</v>
      </c>
      <c r="W38" s="11"/>
      <c r="X38" s="34">
        <f t="shared" si="1"/>
        <v>2635.51893402</v>
      </c>
    </row>
    <row r="39" spans="1:24" ht="33.75" customHeight="1">
      <c r="A39" s="2"/>
      <c r="B39" s="6">
        <v>44772</v>
      </c>
      <c r="C39" s="7"/>
      <c r="D39" s="143">
        <v>172</v>
      </c>
      <c r="E39" s="143">
        <v>311</v>
      </c>
      <c r="F39" s="13">
        <f>'Suivi EAU-ELEC'!E38</f>
        <v>167</v>
      </c>
      <c r="G39" s="11"/>
      <c r="H39" s="168">
        <f>F39*8.79</f>
        <v>1467.9299999999998</v>
      </c>
      <c r="I39" s="169"/>
      <c r="J39" s="169"/>
      <c r="K39" s="60"/>
      <c r="L39" s="90">
        <f>'Suivi EAU-ELEC'!G38</f>
        <v>6522</v>
      </c>
      <c r="M39" s="91">
        <f>'Suivi EAU-ELEC'!I38</f>
        <v>12928</v>
      </c>
      <c r="N39" s="91">
        <f>'Suivi EAU-ELEC'!K38</f>
        <v>4977</v>
      </c>
      <c r="O39" s="91">
        <f t="shared" ref="O39:O40" si="6">L39+M39+N39</f>
        <v>24427</v>
      </c>
      <c r="P39" s="11"/>
      <c r="Q39" s="34">
        <f t="shared" ref="Q39:Q40" si="7">L39*0.6985+M39*0.9514+N39*1.3304</f>
        <v>23476.717000000001</v>
      </c>
      <c r="R39" s="11"/>
      <c r="S39" s="28"/>
      <c r="T39" s="11"/>
      <c r="U39" s="28"/>
      <c r="V39" s="146">
        <f>'Suvi Gaz'!O33</f>
        <v>255.99368000000001</v>
      </c>
      <c r="W39" s="11"/>
      <c r="X39" s="34">
        <f t="shared" si="1"/>
        <v>3012.02163888</v>
      </c>
    </row>
    <row r="40" spans="1:24" ht="33.75" customHeight="1">
      <c r="A40" s="2"/>
      <c r="B40" s="6">
        <v>44773</v>
      </c>
      <c r="C40" s="7"/>
      <c r="D40" s="143"/>
      <c r="E40" s="143"/>
      <c r="F40" s="13">
        <f>'Suivi EAU-ELEC'!E38</f>
        <v>167</v>
      </c>
      <c r="G40" s="11"/>
      <c r="H40" s="168">
        <f>F40*8.79</f>
        <v>1467.9299999999998</v>
      </c>
      <c r="I40" s="169"/>
      <c r="J40" s="169"/>
      <c r="K40" s="60"/>
      <c r="L40" s="90">
        <f>'Suivi EAU-ELEC'!G39</f>
        <v>5185</v>
      </c>
      <c r="M40" s="91">
        <f>'Suivi EAU-ELEC'!I39</f>
        <v>10118</v>
      </c>
      <c r="N40" s="91">
        <f>'Suivi EAU-ELEC'!K39</f>
        <v>4513</v>
      </c>
      <c r="O40" s="91">
        <f t="shared" si="6"/>
        <v>19816</v>
      </c>
      <c r="P40" s="11"/>
      <c r="Q40" s="34">
        <f t="shared" si="7"/>
        <v>19252.082900000001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4324</v>
      </c>
      <c r="E41" s="8">
        <f>SUM(E10:E40)</f>
        <v>7482</v>
      </c>
      <c r="F41" s="152">
        <f>SUM(F10:F40)</f>
        <v>5353.7000000000116</v>
      </c>
      <c r="G41" s="1"/>
      <c r="H41" s="249">
        <f>SUM(H10:H40)</f>
        <v>47059.023000000103</v>
      </c>
      <c r="I41" s="250"/>
      <c r="J41" s="251"/>
      <c r="K41" s="1"/>
      <c r="L41" s="53">
        <f>SUM(L10:L40)</f>
        <v>163027</v>
      </c>
      <c r="M41" s="53">
        <f>SUM(M10:M40)</f>
        <v>337333</v>
      </c>
      <c r="N41" s="54">
        <f>SUM(N10:N40)</f>
        <v>132389</v>
      </c>
      <c r="O41" s="55">
        <f>SUM(O10:O40)</f>
        <v>632749</v>
      </c>
      <c r="P41" s="31"/>
      <c r="Q41" s="34">
        <f t="shared" ref="Q40:Q41" si="8">L41*0.6985+M41*0.9514+N41*1.3304</f>
        <v>610943.30130000005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6400.3864099999973</v>
      </c>
      <c r="W41" s="31"/>
      <c r="X41" s="32">
        <f>SUM(X10:X40)</f>
        <v>75306.946500060003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04" t="s">
        <v>33</v>
      </c>
      <c r="B43" s="205"/>
      <c r="C43" s="205"/>
      <c r="D43" s="205"/>
      <c r="E43" s="205"/>
      <c r="F43" s="206"/>
      <c r="G43" s="26"/>
      <c r="H43" s="27" t="s">
        <v>34</v>
      </c>
      <c r="I43" s="243" t="s">
        <v>35</v>
      </c>
      <c r="J43" s="244"/>
      <c r="K43" s="245"/>
      <c r="L43" s="218" t="s">
        <v>36</v>
      </c>
      <c r="M43" s="219"/>
      <c r="N43" s="204" t="s">
        <v>37</v>
      </c>
      <c r="O43" s="205"/>
      <c r="P43" s="205"/>
      <c r="Q43" s="205"/>
      <c r="R43" s="205"/>
      <c r="S43" s="205"/>
      <c r="T43" s="205"/>
      <c r="U43" s="205"/>
      <c r="V43" s="205"/>
      <c r="W43" s="205"/>
      <c r="X43" s="206"/>
    </row>
    <row r="44" spans="1:24" s="18" customFormat="1" ht="29.25" customHeight="1" thickBot="1">
      <c r="A44" s="212" t="s">
        <v>38</v>
      </c>
      <c r="B44" s="213"/>
      <c r="C44" s="214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09">
        <f>L41</f>
        <v>163027</v>
      </c>
      <c r="J44" s="210"/>
      <c r="K44" s="211"/>
      <c r="L44" s="170">
        <f>I44*H44</f>
        <v>113874.35950000001</v>
      </c>
      <c r="M44" s="171"/>
      <c r="N44" s="227">
        <f>L44+L45+L46</f>
        <v>610943.30130000005</v>
      </c>
      <c r="O44" s="228"/>
      <c r="P44" s="228"/>
      <c r="Q44" s="228"/>
      <c r="R44" s="228"/>
      <c r="S44" s="228"/>
      <c r="T44" s="228"/>
      <c r="U44" s="228"/>
      <c r="V44" s="228"/>
      <c r="W44" s="228"/>
      <c r="X44" s="229"/>
    </row>
    <row r="45" spans="1:24" s="18" customFormat="1" ht="29.25" customHeight="1" thickBot="1">
      <c r="A45" s="215"/>
      <c r="B45" s="216"/>
      <c r="C45" s="217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09">
        <f>M41</f>
        <v>337333</v>
      </c>
      <c r="J45" s="210"/>
      <c r="K45" s="211"/>
      <c r="L45" s="170">
        <f>I45*H45</f>
        <v>320938.61619999999</v>
      </c>
      <c r="M45" s="171"/>
      <c r="N45" s="230"/>
      <c r="O45" s="231"/>
      <c r="P45" s="231"/>
      <c r="Q45" s="231"/>
      <c r="R45" s="231"/>
      <c r="S45" s="231"/>
      <c r="T45" s="231"/>
      <c r="U45" s="231"/>
      <c r="V45" s="231"/>
      <c r="W45" s="231"/>
      <c r="X45" s="232"/>
    </row>
    <row r="46" spans="1:24" s="18" customFormat="1" ht="24.75" customHeight="1" thickBot="1">
      <c r="A46" s="215"/>
      <c r="B46" s="216"/>
      <c r="C46" s="217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240">
        <f>N41</f>
        <v>132389</v>
      </c>
      <c r="J46" s="241"/>
      <c r="K46" s="242"/>
      <c r="L46" s="170">
        <f>I46*H46</f>
        <v>176130.32560000001</v>
      </c>
      <c r="M46" s="171"/>
      <c r="N46" s="233"/>
      <c r="O46" s="234"/>
      <c r="P46" s="234"/>
      <c r="Q46" s="234"/>
      <c r="R46" s="234"/>
      <c r="S46" s="234"/>
      <c r="T46" s="234"/>
      <c r="U46" s="234"/>
      <c r="V46" s="234"/>
      <c r="W46" s="234"/>
      <c r="X46" s="235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46">
        <f>N44*1.3</f>
        <v>794226.2916900001</v>
      </c>
      <c r="O47" s="247"/>
      <c r="P47" s="247"/>
      <c r="Q47" s="247"/>
      <c r="R47" s="247"/>
      <c r="S47" s="247"/>
      <c r="T47" s="247"/>
      <c r="U47" s="247"/>
      <c r="V47" s="247"/>
      <c r="W47" s="247"/>
      <c r="X47" s="248"/>
    </row>
    <row r="48" spans="1:24" s="23" customFormat="1" ht="32.25" customHeight="1" thickBot="1">
      <c r="A48" s="201" t="s">
        <v>39</v>
      </c>
      <c r="B48" s="202"/>
      <c r="C48" s="202"/>
      <c r="D48" s="202"/>
      <c r="E48" s="202"/>
      <c r="F48" s="203"/>
      <c r="G48" s="21"/>
      <c r="H48" s="22">
        <v>8.7899999999999991</v>
      </c>
      <c r="I48" s="201">
        <f>F41</f>
        <v>5353.7000000000116</v>
      </c>
      <c r="J48" s="202"/>
      <c r="K48" s="203"/>
      <c r="L48" s="207">
        <f>I48*H48</f>
        <v>47059.023000000096</v>
      </c>
      <c r="M48" s="208"/>
      <c r="N48" s="224">
        <f>L48</f>
        <v>47059.023000000096</v>
      </c>
      <c r="O48" s="225"/>
      <c r="P48" s="225"/>
      <c r="Q48" s="225"/>
      <c r="R48" s="225"/>
      <c r="S48" s="225"/>
      <c r="T48" s="225"/>
      <c r="U48" s="225"/>
      <c r="V48" s="225"/>
      <c r="W48" s="225"/>
      <c r="X48" s="226"/>
    </row>
    <row r="49" spans="1:24" s="23" customFormat="1" ht="36.75" customHeight="1">
      <c r="A49" s="236" t="s">
        <v>40</v>
      </c>
      <c r="B49" s="237"/>
      <c r="C49" s="237"/>
      <c r="D49" s="237"/>
      <c r="E49" s="237"/>
      <c r="F49" s="238"/>
      <c r="G49" s="24"/>
      <c r="H49" s="25">
        <v>11.766</v>
      </c>
      <c r="I49" s="199">
        <f>V41</f>
        <v>6400.3864099999973</v>
      </c>
      <c r="J49" s="239"/>
      <c r="K49" s="200"/>
      <c r="L49" s="199">
        <f>I49*H49</f>
        <v>75306.946500059974</v>
      </c>
      <c r="M49" s="200"/>
      <c r="N49" s="221">
        <f>L49</f>
        <v>75306.946500059974</v>
      </c>
      <c r="O49" s="222"/>
      <c r="P49" s="222"/>
      <c r="Q49" s="222"/>
      <c r="R49" s="222"/>
      <c r="S49" s="222"/>
      <c r="T49" s="222"/>
      <c r="U49" s="222"/>
      <c r="V49" s="222"/>
      <c r="W49" s="222"/>
      <c r="X49" s="223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36" activePane="bottomRight" state="frozen"/>
      <selection pane="bottomRight" activeCell="B38" sqref="B38:K39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44743</v>
      </c>
      <c r="B9" s="116">
        <v>2560</v>
      </c>
      <c r="C9" s="115">
        <v>0</v>
      </c>
      <c r="D9" s="57">
        <v>153235</v>
      </c>
      <c r="E9" s="50">
        <v>171.70000000001164</v>
      </c>
      <c r="F9" s="51">
        <v>11987278</v>
      </c>
      <c r="G9" s="50">
        <v>5543</v>
      </c>
      <c r="H9" s="51">
        <v>20409181</v>
      </c>
      <c r="I9" s="50">
        <v>9745</v>
      </c>
      <c r="J9" s="51">
        <v>8949480</v>
      </c>
      <c r="K9" s="50">
        <v>3279</v>
      </c>
    </row>
    <row r="10" spans="1:12" ht="19.5">
      <c r="A10" s="59">
        <v>44744</v>
      </c>
      <c r="B10" s="116">
        <v>2560</v>
      </c>
      <c r="C10" s="115">
        <f>B10-B9</f>
        <v>0</v>
      </c>
      <c r="D10" s="57">
        <v>153382</v>
      </c>
      <c r="E10" s="50">
        <f>D10-D9</f>
        <v>147</v>
      </c>
      <c r="F10" s="51">
        <v>11991813</v>
      </c>
      <c r="G10" s="50">
        <f>F10-F9</f>
        <v>4535</v>
      </c>
      <c r="H10" s="51">
        <v>20419391</v>
      </c>
      <c r="I10" s="50">
        <f>H10-H9</f>
        <v>10210</v>
      </c>
      <c r="J10" s="51">
        <v>8953138</v>
      </c>
      <c r="K10" s="50">
        <f>J10-J9</f>
        <v>3658</v>
      </c>
    </row>
    <row r="11" spans="1:12" ht="19.5">
      <c r="A11" s="59">
        <v>44745</v>
      </c>
      <c r="B11" s="116">
        <v>2560</v>
      </c>
      <c r="C11" s="115">
        <f>B11-B10</f>
        <v>0</v>
      </c>
      <c r="D11" s="57">
        <v>153581</v>
      </c>
      <c r="E11" s="50">
        <f>D11-D10</f>
        <v>199</v>
      </c>
      <c r="F11" s="51">
        <v>11998647</v>
      </c>
      <c r="G11" s="50">
        <f>F11-F10</f>
        <v>6834</v>
      </c>
      <c r="H11" s="51">
        <v>20429232</v>
      </c>
      <c r="I11" s="50">
        <f>H11-H10</f>
        <v>9841</v>
      </c>
      <c r="J11" s="51">
        <v>8957940</v>
      </c>
      <c r="K11" s="50">
        <f>J11-J10</f>
        <v>4802</v>
      </c>
    </row>
    <row r="12" spans="1:12" ht="19.5">
      <c r="A12" s="59">
        <v>44746</v>
      </c>
      <c r="B12" s="116">
        <v>2560</v>
      </c>
      <c r="C12" s="115">
        <f>B12-B11</f>
        <v>0</v>
      </c>
      <c r="D12" s="57">
        <v>153812</v>
      </c>
      <c r="E12" s="50">
        <f>D12-D11</f>
        <v>231</v>
      </c>
      <c r="F12" s="51">
        <v>12003392</v>
      </c>
      <c r="G12" s="50">
        <f>F12-F11</f>
        <v>4745</v>
      </c>
      <c r="H12" s="51">
        <v>20439247</v>
      </c>
      <c r="I12" s="50">
        <f>H12-H11</f>
        <v>10015</v>
      </c>
      <c r="J12" s="51">
        <v>8961866</v>
      </c>
      <c r="K12" s="50">
        <f>J12-J11</f>
        <v>3926</v>
      </c>
    </row>
    <row r="13" spans="1:12" ht="19.5">
      <c r="A13" s="59">
        <v>44747</v>
      </c>
      <c r="B13" s="116">
        <v>2560</v>
      </c>
      <c r="C13" s="115">
        <f>B13-B12</f>
        <v>0</v>
      </c>
      <c r="D13" s="57">
        <v>153995</v>
      </c>
      <c r="E13" s="50">
        <f>D13-D12</f>
        <v>183</v>
      </c>
      <c r="F13" s="51">
        <v>12008237</v>
      </c>
      <c r="G13" s="50">
        <f>F13-F12</f>
        <v>4845</v>
      </c>
      <c r="H13" s="51">
        <v>20450393</v>
      </c>
      <c r="I13" s="50">
        <f>H13-H12</f>
        <v>11146</v>
      </c>
      <c r="J13" s="51">
        <v>8965742</v>
      </c>
      <c r="K13" s="50">
        <f>J13-J12</f>
        <v>3876</v>
      </c>
    </row>
    <row r="14" spans="1:12" ht="19.5">
      <c r="A14" s="59">
        <v>44748</v>
      </c>
      <c r="B14" s="116">
        <v>2560</v>
      </c>
      <c r="C14" s="115">
        <f>B14-B13</f>
        <v>0</v>
      </c>
      <c r="D14" s="57">
        <v>154186</v>
      </c>
      <c r="E14" s="50">
        <f>D14-D13</f>
        <v>191</v>
      </c>
      <c r="F14" s="51">
        <v>12012396</v>
      </c>
      <c r="G14" s="50">
        <f>F14-F13</f>
        <v>4159</v>
      </c>
      <c r="H14" s="51">
        <v>20459175</v>
      </c>
      <c r="I14" s="50">
        <f>H14-H13</f>
        <v>8782</v>
      </c>
      <c r="J14" s="51">
        <v>8969092</v>
      </c>
      <c r="K14" s="50">
        <f>J14-J13</f>
        <v>3350</v>
      </c>
    </row>
    <row r="15" spans="1:12" ht="19.5">
      <c r="A15" s="59">
        <v>44749</v>
      </c>
      <c r="B15" s="116">
        <v>2560</v>
      </c>
      <c r="C15" s="115">
        <f>B15-B14</f>
        <v>0</v>
      </c>
      <c r="D15" s="57">
        <v>154329.60000000001</v>
      </c>
      <c r="E15" s="50">
        <f>D15-D14</f>
        <v>143.60000000000582</v>
      </c>
      <c r="F15" s="51">
        <v>12016519</v>
      </c>
      <c r="G15" s="50">
        <f>F15-F14</f>
        <v>4123</v>
      </c>
      <c r="H15" s="51">
        <v>20467780</v>
      </c>
      <c r="I15" s="50">
        <f>H15-H14</f>
        <v>8605</v>
      </c>
      <c r="J15" s="51">
        <v>8972471</v>
      </c>
      <c r="K15" s="50">
        <f>J15-J14</f>
        <v>3379</v>
      </c>
    </row>
    <row r="16" spans="1:12" ht="19.5">
      <c r="A16" s="59">
        <v>44750</v>
      </c>
      <c r="B16" s="116">
        <v>2560</v>
      </c>
      <c r="C16" s="115">
        <f>B16-B15</f>
        <v>0</v>
      </c>
      <c r="D16" s="57">
        <v>154465.70000000001</v>
      </c>
      <c r="E16" s="50">
        <f>D16-D15</f>
        <v>136.10000000000582</v>
      </c>
      <c r="F16" s="51">
        <v>12020881</v>
      </c>
      <c r="G16" s="50">
        <f>F16-F15</f>
        <v>4362</v>
      </c>
      <c r="H16" s="51">
        <v>20478381</v>
      </c>
      <c r="I16" s="50">
        <f>H16-H15</f>
        <v>10601</v>
      </c>
      <c r="J16" s="51">
        <v>8976292</v>
      </c>
      <c r="K16" s="50">
        <f>J16-J15</f>
        <v>3821</v>
      </c>
    </row>
    <row r="17" spans="1:29" ht="19.5">
      <c r="A17" s="59">
        <v>44751</v>
      </c>
      <c r="B17" s="116">
        <v>2560</v>
      </c>
      <c r="C17" s="115">
        <f>B17-B16</f>
        <v>0</v>
      </c>
      <c r="D17" s="57">
        <v>154622</v>
      </c>
      <c r="E17" s="50">
        <f>D17-D16</f>
        <v>156.29999999998836</v>
      </c>
      <c r="F17" s="51">
        <v>12026015</v>
      </c>
      <c r="G17" s="50">
        <f>F17-F16</f>
        <v>5134</v>
      </c>
      <c r="H17" s="51">
        <v>20488051</v>
      </c>
      <c r="I17" s="50">
        <f>H17-H16</f>
        <v>9670</v>
      </c>
      <c r="J17" s="51">
        <v>8980644</v>
      </c>
      <c r="K17" s="50">
        <f>J17-J16</f>
        <v>4352</v>
      </c>
    </row>
    <row r="18" spans="1:29" ht="19.5">
      <c r="A18" s="59">
        <v>44752</v>
      </c>
      <c r="B18" s="116">
        <v>2560</v>
      </c>
      <c r="C18" s="115">
        <f>B18-B17</f>
        <v>0</v>
      </c>
      <c r="D18" s="57">
        <v>154776</v>
      </c>
      <c r="E18" s="50">
        <f>D18-D17</f>
        <v>154</v>
      </c>
      <c r="F18" s="51">
        <v>12030025</v>
      </c>
      <c r="G18" s="50">
        <f>F18-F17</f>
        <v>4010</v>
      </c>
      <c r="H18" s="51">
        <v>20498040</v>
      </c>
      <c r="I18" s="50">
        <f>H18-H17</f>
        <v>9989</v>
      </c>
      <c r="J18" s="51">
        <v>8985178</v>
      </c>
      <c r="K18" s="50">
        <f>J18-J17</f>
        <v>4534</v>
      </c>
    </row>
    <row r="19" spans="1:29" ht="19.5">
      <c r="A19" s="59">
        <v>44753</v>
      </c>
      <c r="B19" s="116">
        <v>2560</v>
      </c>
      <c r="C19" s="115">
        <f>B19-B18</f>
        <v>0</v>
      </c>
      <c r="D19" s="57">
        <v>154848.70000000001</v>
      </c>
      <c r="E19" s="50">
        <f>D19-D18</f>
        <v>72.700000000011642</v>
      </c>
      <c r="F19" s="51">
        <v>12036031</v>
      </c>
      <c r="G19" s="50">
        <f>F19-F18</f>
        <v>6006</v>
      </c>
      <c r="H19" s="51">
        <v>20507892</v>
      </c>
      <c r="I19" s="50">
        <f>H19-H18</f>
        <v>9852</v>
      </c>
      <c r="J19" s="51">
        <v>8989576</v>
      </c>
      <c r="K19" s="50">
        <f>J19-J18</f>
        <v>4398</v>
      </c>
    </row>
    <row r="20" spans="1:29" ht="25.5">
      <c r="A20" s="59">
        <v>44754</v>
      </c>
      <c r="B20" s="116">
        <v>2560</v>
      </c>
      <c r="C20" s="115">
        <f t="shared" ref="C19:C39" si="0">B20-B19</f>
        <v>0</v>
      </c>
      <c r="D20" s="57">
        <v>154991.6</v>
      </c>
      <c r="E20" s="50">
        <f t="shared" ref="E15:E39" si="1">D20-D19</f>
        <v>142.89999999999418</v>
      </c>
      <c r="F20" s="51">
        <v>12042190</v>
      </c>
      <c r="G20" s="50">
        <f t="shared" ref="G19:G39" si="2">F20-F19</f>
        <v>6159</v>
      </c>
      <c r="H20" s="51">
        <v>20518071</v>
      </c>
      <c r="I20" s="50">
        <f t="shared" ref="I19:I39" si="3">H20-H19</f>
        <v>10179</v>
      </c>
      <c r="J20" s="51">
        <v>8994045</v>
      </c>
      <c r="K20" s="50">
        <f t="shared" ref="K19:K39" si="4">J20-J19</f>
        <v>4469</v>
      </c>
      <c r="L20" s="117" t="s">
        <v>18</v>
      </c>
      <c r="AC20" t="s">
        <v>56</v>
      </c>
    </row>
    <row r="21" spans="1:29" ht="19.5">
      <c r="A21" s="59">
        <v>44755</v>
      </c>
      <c r="B21" s="116">
        <v>2560</v>
      </c>
      <c r="C21" s="115">
        <f t="shared" si="0"/>
        <v>0</v>
      </c>
      <c r="D21" s="57">
        <v>155155.79999999999</v>
      </c>
      <c r="E21" s="50">
        <f t="shared" si="1"/>
        <v>164.19999999998254</v>
      </c>
      <c r="F21" s="51">
        <v>12047255</v>
      </c>
      <c r="G21" s="50">
        <f t="shared" si="2"/>
        <v>5065</v>
      </c>
      <c r="H21" s="51">
        <v>20527645</v>
      </c>
      <c r="I21" s="50">
        <f t="shared" si="3"/>
        <v>9574</v>
      </c>
      <c r="J21" s="51">
        <v>8998107</v>
      </c>
      <c r="K21" s="50">
        <f t="shared" si="4"/>
        <v>4062</v>
      </c>
    </row>
    <row r="22" spans="1:29" ht="19.5">
      <c r="A22" s="59">
        <v>44756</v>
      </c>
      <c r="B22" s="116">
        <v>2560</v>
      </c>
      <c r="C22" s="115">
        <f t="shared" si="0"/>
        <v>0</v>
      </c>
      <c r="D22" s="57">
        <v>155297.4</v>
      </c>
      <c r="E22" s="50">
        <f t="shared" si="1"/>
        <v>141.60000000000582</v>
      </c>
      <c r="F22" s="51">
        <v>12053510</v>
      </c>
      <c r="G22" s="50">
        <f t="shared" si="2"/>
        <v>6255</v>
      </c>
      <c r="H22" s="51">
        <v>20538268</v>
      </c>
      <c r="I22" s="50">
        <f t="shared" si="3"/>
        <v>10623</v>
      </c>
      <c r="J22" s="51">
        <v>9002690</v>
      </c>
      <c r="K22" s="50">
        <f t="shared" si="4"/>
        <v>4583</v>
      </c>
    </row>
    <row r="23" spans="1:29" ht="19.5">
      <c r="A23" s="59">
        <v>44757</v>
      </c>
      <c r="B23" s="116">
        <v>2560</v>
      </c>
      <c r="C23" s="115">
        <f t="shared" si="0"/>
        <v>0</v>
      </c>
      <c r="D23" s="57">
        <v>155673</v>
      </c>
      <c r="E23" s="50">
        <f t="shared" si="1"/>
        <v>375.60000000000582</v>
      </c>
      <c r="F23" s="51">
        <v>12060358</v>
      </c>
      <c r="G23" s="50">
        <f t="shared" si="2"/>
        <v>6848</v>
      </c>
      <c r="H23" s="51">
        <v>20548623</v>
      </c>
      <c r="I23" s="50">
        <f t="shared" si="3"/>
        <v>10355</v>
      </c>
      <c r="J23" s="51">
        <v>9006671</v>
      </c>
      <c r="K23" s="50">
        <f t="shared" si="4"/>
        <v>3981</v>
      </c>
    </row>
    <row r="24" spans="1:29" ht="19.5">
      <c r="A24" s="59">
        <v>44758</v>
      </c>
      <c r="B24" s="116">
        <v>2560</v>
      </c>
      <c r="C24" s="115">
        <f t="shared" si="0"/>
        <v>0</v>
      </c>
      <c r="D24" s="57">
        <v>155937</v>
      </c>
      <c r="E24" s="50">
        <f t="shared" si="1"/>
        <v>264</v>
      </c>
      <c r="F24" s="51">
        <v>12065062</v>
      </c>
      <c r="G24" s="50">
        <f t="shared" si="2"/>
        <v>4704</v>
      </c>
      <c r="H24" s="51">
        <v>20558921</v>
      </c>
      <c r="I24" s="50">
        <f t="shared" si="3"/>
        <v>10298</v>
      </c>
      <c r="J24" s="51">
        <v>9010475</v>
      </c>
      <c r="K24" s="50">
        <f t="shared" si="4"/>
        <v>3804</v>
      </c>
    </row>
    <row r="25" spans="1:29" ht="19.5">
      <c r="A25" s="59">
        <v>44759</v>
      </c>
      <c r="B25" s="116">
        <v>2560</v>
      </c>
      <c r="C25" s="115">
        <f t="shared" si="0"/>
        <v>0</v>
      </c>
      <c r="D25" s="57">
        <v>156082</v>
      </c>
      <c r="E25" s="50">
        <f t="shared" si="1"/>
        <v>145</v>
      </c>
      <c r="F25" s="51">
        <v>12069813</v>
      </c>
      <c r="G25" s="50">
        <f t="shared" si="2"/>
        <v>4751</v>
      </c>
      <c r="H25" s="51">
        <v>20568924</v>
      </c>
      <c r="I25" s="50">
        <f t="shared" si="3"/>
        <v>10003</v>
      </c>
      <c r="J25" s="51">
        <v>9013960</v>
      </c>
      <c r="K25" s="50">
        <f t="shared" si="4"/>
        <v>3485</v>
      </c>
    </row>
    <row r="26" spans="1:29" ht="19.5">
      <c r="A26" s="59">
        <v>44760</v>
      </c>
      <c r="B26" s="116">
        <v>2560</v>
      </c>
      <c r="C26" s="115">
        <f t="shared" si="0"/>
        <v>0</v>
      </c>
      <c r="D26" s="57">
        <v>156257</v>
      </c>
      <c r="E26" s="50">
        <f t="shared" si="1"/>
        <v>175</v>
      </c>
      <c r="F26" s="51">
        <v>12074057</v>
      </c>
      <c r="G26" s="50">
        <f t="shared" si="2"/>
        <v>4244</v>
      </c>
      <c r="H26" s="51">
        <v>20578930</v>
      </c>
      <c r="I26" s="50">
        <f t="shared" si="3"/>
        <v>10006</v>
      </c>
      <c r="J26" s="51">
        <v>9017554</v>
      </c>
      <c r="K26" s="50">
        <f t="shared" si="4"/>
        <v>3594</v>
      </c>
    </row>
    <row r="27" spans="1:29" ht="19.5">
      <c r="A27" s="59">
        <v>44761</v>
      </c>
      <c r="B27" s="116">
        <v>2560</v>
      </c>
      <c r="C27" s="115">
        <f t="shared" si="0"/>
        <v>0</v>
      </c>
      <c r="D27" s="57">
        <v>156418</v>
      </c>
      <c r="E27" s="50">
        <f t="shared" si="1"/>
        <v>161</v>
      </c>
      <c r="F27" s="51">
        <v>12079550</v>
      </c>
      <c r="G27" s="50">
        <f t="shared" si="2"/>
        <v>5493</v>
      </c>
      <c r="H27" s="51">
        <v>20589810</v>
      </c>
      <c r="I27" s="50">
        <f t="shared" si="3"/>
        <v>10880</v>
      </c>
      <c r="J27" s="51">
        <v>9021683</v>
      </c>
      <c r="K27" s="50">
        <f t="shared" si="4"/>
        <v>4129</v>
      </c>
    </row>
    <row r="28" spans="1:29" ht="19.5">
      <c r="A28" s="59">
        <v>44762</v>
      </c>
      <c r="B28" s="116">
        <v>2560</v>
      </c>
      <c r="C28" s="115">
        <f t="shared" si="0"/>
        <v>0</v>
      </c>
      <c r="D28" s="57">
        <v>156586</v>
      </c>
      <c r="E28" s="50">
        <f t="shared" si="1"/>
        <v>168</v>
      </c>
      <c r="F28" s="51">
        <v>12084178</v>
      </c>
      <c r="G28" s="50">
        <f t="shared" si="2"/>
        <v>4628</v>
      </c>
      <c r="H28" s="51">
        <v>20601265</v>
      </c>
      <c r="I28" s="50">
        <f t="shared" si="3"/>
        <v>11455</v>
      </c>
      <c r="J28" s="51">
        <v>9025638</v>
      </c>
      <c r="K28" s="50">
        <f t="shared" si="4"/>
        <v>3955</v>
      </c>
    </row>
    <row r="29" spans="1:29" ht="19.5">
      <c r="A29" s="59">
        <v>44763</v>
      </c>
      <c r="B29" s="116">
        <v>2560</v>
      </c>
      <c r="C29" s="115">
        <f t="shared" si="0"/>
        <v>0</v>
      </c>
      <c r="D29" s="57">
        <v>156723.1</v>
      </c>
      <c r="E29" s="50">
        <f t="shared" si="1"/>
        <v>137.10000000000582</v>
      </c>
      <c r="F29" s="51">
        <v>12088855</v>
      </c>
      <c r="G29" s="50">
        <f t="shared" si="2"/>
        <v>4677</v>
      </c>
      <c r="H29" s="51">
        <v>20613697</v>
      </c>
      <c r="I29" s="50">
        <f t="shared" si="3"/>
        <v>12432</v>
      </c>
      <c r="J29" s="51">
        <v>9030251</v>
      </c>
      <c r="K29" s="50">
        <f t="shared" si="4"/>
        <v>4613</v>
      </c>
    </row>
    <row r="30" spans="1:29" ht="19.5">
      <c r="A30" s="59">
        <v>44764</v>
      </c>
      <c r="B30" s="116">
        <v>2560</v>
      </c>
      <c r="C30" s="115">
        <f t="shared" si="0"/>
        <v>0</v>
      </c>
      <c r="D30" s="57">
        <v>156895.29999999999</v>
      </c>
      <c r="E30" s="50">
        <f t="shared" si="1"/>
        <v>172.19999999998254</v>
      </c>
      <c r="F30" s="51">
        <v>12095625</v>
      </c>
      <c r="G30" s="50">
        <f t="shared" si="2"/>
        <v>6770</v>
      </c>
      <c r="H30" s="51">
        <v>20625394</v>
      </c>
      <c r="I30" s="50">
        <f t="shared" si="3"/>
        <v>11697</v>
      </c>
      <c r="J30" s="51">
        <v>9035502</v>
      </c>
      <c r="K30" s="50">
        <f t="shared" si="4"/>
        <v>5251</v>
      </c>
    </row>
    <row r="31" spans="1:29" ht="19.5">
      <c r="A31" s="59">
        <v>44765</v>
      </c>
      <c r="B31" s="116">
        <v>2560</v>
      </c>
      <c r="C31" s="115">
        <f t="shared" si="0"/>
        <v>0</v>
      </c>
      <c r="D31" s="57">
        <v>157049</v>
      </c>
      <c r="E31" s="50">
        <f t="shared" si="1"/>
        <v>153.70000000001164</v>
      </c>
      <c r="F31" s="51">
        <v>12101108</v>
      </c>
      <c r="G31" s="50">
        <f t="shared" si="2"/>
        <v>5483</v>
      </c>
      <c r="H31" s="51">
        <v>20638770</v>
      </c>
      <c r="I31" s="50">
        <f t="shared" si="3"/>
        <v>13376</v>
      </c>
      <c r="J31" s="51">
        <v>9040545</v>
      </c>
      <c r="K31" s="50">
        <f t="shared" si="4"/>
        <v>5043</v>
      </c>
    </row>
    <row r="32" spans="1:29" ht="19.5">
      <c r="A32" s="59">
        <v>44766</v>
      </c>
      <c r="B32" s="116">
        <v>2560</v>
      </c>
      <c r="C32" s="115">
        <f t="shared" si="0"/>
        <v>0</v>
      </c>
      <c r="D32" s="57">
        <v>157214</v>
      </c>
      <c r="E32" s="50">
        <f t="shared" si="1"/>
        <v>165</v>
      </c>
      <c r="F32" s="51">
        <v>12106695</v>
      </c>
      <c r="G32" s="50">
        <f t="shared" si="2"/>
        <v>5587</v>
      </c>
      <c r="H32" s="51">
        <v>20651152</v>
      </c>
      <c r="I32" s="50">
        <f t="shared" si="3"/>
        <v>12382</v>
      </c>
      <c r="J32" s="51">
        <v>9045036</v>
      </c>
      <c r="K32" s="50">
        <f t="shared" si="4"/>
        <v>4491</v>
      </c>
    </row>
    <row r="33" spans="1:11" ht="19.5">
      <c r="A33" s="59">
        <v>44767</v>
      </c>
      <c r="B33" s="116">
        <v>2560</v>
      </c>
      <c r="C33" s="115">
        <f t="shared" si="0"/>
        <v>0</v>
      </c>
      <c r="D33" s="57">
        <v>157350</v>
      </c>
      <c r="E33" s="50">
        <f t="shared" si="1"/>
        <v>136</v>
      </c>
      <c r="F33" s="51">
        <v>12111638</v>
      </c>
      <c r="G33" s="50">
        <f t="shared" si="2"/>
        <v>4943</v>
      </c>
      <c r="H33" s="51">
        <v>20663335</v>
      </c>
      <c r="I33" s="50">
        <f t="shared" si="3"/>
        <v>12183</v>
      </c>
      <c r="J33" s="51">
        <v>9050082</v>
      </c>
      <c r="K33" s="50">
        <f t="shared" si="4"/>
        <v>5046</v>
      </c>
    </row>
    <row r="34" spans="1:11" ht="19.5">
      <c r="A34" s="59">
        <v>44768</v>
      </c>
      <c r="B34" s="116">
        <v>2560</v>
      </c>
      <c r="C34" s="115">
        <f t="shared" si="0"/>
        <v>0</v>
      </c>
      <c r="D34" s="57">
        <v>157527</v>
      </c>
      <c r="E34" s="50">
        <f t="shared" si="1"/>
        <v>177</v>
      </c>
      <c r="F34" s="51">
        <v>12117621</v>
      </c>
      <c r="G34" s="50">
        <f t="shared" si="2"/>
        <v>5983</v>
      </c>
      <c r="H34" s="51">
        <v>20676556</v>
      </c>
      <c r="I34" s="50">
        <f t="shared" si="3"/>
        <v>13221</v>
      </c>
      <c r="J34" s="51">
        <v>9054820</v>
      </c>
      <c r="K34" s="50">
        <f t="shared" si="4"/>
        <v>4738</v>
      </c>
    </row>
    <row r="35" spans="1:11" ht="19.5">
      <c r="A35" s="59">
        <v>44769</v>
      </c>
      <c r="B35" s="116">
        <v>2560</v>
      </c>
      <c r="C35" s="115">
        <f t="shared" si="0"/>
        <v>0</v>
      </c>
      <c r="D35" s="57">
        <v>157729</v>
      </c>
      <c r="E35" s="50">
        <f t="shared" si="1"/>
        <v>202</v>
      </c>
      <c r="F35" s="51">
        <v>12122490</v>
      </c>
      <c r="G35" s="50">
        <f t="shared" si="2"/>
        <v>4869</v>
      </c>
      <c r="H35" s="51">
        <v>20690002</v>
      </c>
      <c r="I35" s="50">
        <f t="shared" si="3"/>
        <v>13446</v>
      </c>
      <c r="J35" s="51">
        <v>9059804</v>
      </c>
      <c r="K35" s="50">
        <f t="shared" si="4"/>
        <v>4984</v>
      </c>
    </row>
    <row r="36" spans="1:11" ht="19.5">
      <c r="A36" s="59">
        <v>44770</v>
      </c>
      <c r="B36" s="116">
        <v>2560</v>
      </c>
      <c r="C36" s="115">
        <f t="shared" si="0"/>
        <v>0</v>
      </c>
      <c r="D36" s="57">
        <v>157906.4</v>
      </c>
      <c r="E36" s="50">
        <f t="shared" si="1"/>
        <v>177.39999999999418</v>
      </c>
      <c r="F36" s="51">
        <v>12127825</v>
      </c>
      <c r="G36" s="50">
        <f t="shared" si="2"/>
        <v>5335</v>
      </c>
      <c r="H36" s="51">
        <v>20701572</v>
      </c>
      <c r="I36" s="50">
        <f t="shared" si="3"/>
        <v>11570</v>
      </c>
      <c r="J36" s="51">
        <v>9064689</v>
      </c>
      <c r="K36" s="50">
        <f t="shared" si="4"/>
        <v>4885</v>
      </c>
    </row>
    <row r="37" spans="1:11" ht="19.5">
      <c r="A37" s="59">
        <v>44771</v>
      </c>
      <c r="B37" s="116">
        <v>2560</v>
      </c>
      <c r="C37" s="115">
        <f t="shared" si="0"/>
        <v>0</v>
      </c>
      <c r="D37" s="57">
        <v>158083</v>
      </c>
      <c r="E37" s="50">
        <f t="shared" si="1"/>
        <v>176.60000000000582</v>
      </c>
      <c r="F37" s="51">
        <v>12133055</v>
      </c>
      <c r="G37" s="50">
        <f t="shared" si="2"/>
        <v>5230</v>
      </c>
      <c r="H37" s="51">
        <v>20713723</v>
      </c>
      <c r="I37" s="50">
        <f t="shared" si="3"/>
        <v>12151</v>
      </c>
      <c r="J37" s="51">
        <v>9069100</v>
      </c>
      <c r="K37" s="50">
        <f t="shared" si="4"/>
        <v>4411</v>
      </c>
    </row>
    <row r="38" spans="1:11" ht="19.5">
      <c r="A38" s="59">
        <v>44772</v>
      </c>
      <c r="B38" s="116">
        <v>2560</v>
      </c>
      <c r="C38" s="115">
        <f t="shared" si="0"/>
        <v>0</v>
      </c>
      <c r="D38" s="57">
        <v>158250</v>
      </c>
      <c r="E38" s="50">
        <f t="shared" si="1"/>
        <v>167</v>
      </c>
      <c r="F38" s="51">
        <v>12139577</v>
      </c>
      <c r="G38" s="50">
        <f t="shared" si="2"/>
        <v>6522</v>
      </c>
      <c r="H38" s="51">
        <v>20726651</v>
      </c>
      <c r="I38" s="50">
        <f t="shared" si="3"/>
        <v>12928</v>
      </c>
      <c r="J38" s="51">
        <v>9074077</v>
      </c>
      <c r="K38" s="50">
        <f t="shared" si="4"/>
        <v>4977</v>
      </c>
    </row>
    <row r="39" spans="1:11" ht="19.5">
      <c r="A39" s="59">
        <v>44773</v>
      </c>
      <c r="B39" s="116">
        <v>2560</v>
      </c>
      <c r="C39" s="115">
        <f t="shared" si="0"/>
        <v>0</v>
      </c>
      <c r="D39" s="57">
        <v>158419</v>
      </c>
      <c r="E39" s="50">
        <f t="shared" si="1"/>
        <v>169</v>
      </c>
      <c r="F39" s="51">
        <v>12144762</v>
      </c>
      <c r="G39" s="50">
        <f t="shared" si="2"/>
        <v>5185</v>
      </c>
      <c r="H39" s="51">
        <v>20736769</v>
      </c>
      <c r="I39" s="50">
        <f t="shared" si="3"/>
        <v>10118</v>
      </c>
      <c r="J39" s="51">
        <v>9078590</v>
      </c>
      <c r="K39" s="50">
        <f t="shared" si="4"/>
        <v>4513</v>
      </c>
    </row>
    <row r="40" spans="1:11" ht="19.5">
      <c r="A40" s="59">
        <v>44774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63" stopIfTrue="1" operator="lessThanOrEqual">
      <formula>0</formula>
    </cfRule>
  </conditionalFormatting>
  <conditionalFormatting sqref="E10:E39">
    <cfRule type="cellIs" dxfId="5" priority="10" stopIfTrue="1" operator="lessThanOrEqual">
      <formula>0</formula>
    </cfRule>
  </conditionalFormatting>
  <conditionalFormatting sqref="E10:E39">
    <cfRule type="cellIs" dxfId="4" priority="9" stopIfTrue="1" operator="lessThanOrEqual">
      <formula>0</formula>
    </cfRule>
  </conditionalFormatting>
  <conditionalFormatting sqref="E9">
    <cfRule type="cellIs" dxfId="3" priority="8" stopIfTrue="1" operator="lessThanOrEqual">
      <formula>0</formula>
    </cfRule>
  </conditionalFormatting>
  <conditionalFormatting sqref="E9">
    <cfRule type="cellIs" dxfId="2" priority="7" stopIfTrue="1" operator="lessThanOrEqual">
      <formula>0</formula>
    </cfRule>
  </conditionalFormatting>
  <conditionalFormatting sqref="E40">
    <cfRule type="cellIs" dxfId="1" priority="2" stopIfTrue="1" operator="lessThanOrEqual">
      <formula>0</formula>
    </cfRule>
  </conditionalFormatting>
  <conditionalFormatting sqref="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32" activePane="bottomRight" state="frozen"/>
      <selection pane="bottomRight" activeCell="B33" sqref="B33:H34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44743</v>
      </c>
      <c r="B4" s="41">
        <v>81</v>
      </c>
      <c r="C4" s="39">
        <f t="shared" ref="C4" si="0">IF(AC4&gt;0,((B4-R4)+(S4-B5)),IF(B5=0, ,(B4-B5)))</f>
        <v>1</v>
      </c>
      <c r="D4" s="41">
        <v>80</v>
      </c>
      <c r="E4" s="39">
        <f t="shared" ref="E4" si="1">IF(AC4&gt;0,((D4-U4)+(V4-D5)),IF(D5=0, ,(D4-D5)))</f>
        <v>2</v>
      </c>
      <c r="F4" s="41">
        <v>82</v>
      </c>
      <c r="G4" s="39">
        <f t="shared" ref="G4" si="2">IF(AC4&gt;0,((F4-X4)+(Y4-F5)),IF(F5=0, ,(F4-F5)))</f>
        <v>3</v>
      </c>
      <c r="H4" s="41">
        <v>82</v>
      </c>
      <c r="I4" s="39">
        <f>IF(AC4&gt;0,((H4-AA4)+(AB4-H5)),IF(H5=0, ,(H4-H5)))</f>
        <v>3</v>
      </c>
      <c r="J4" s="39">
        <f>B4+D4+F4+H4</f>
        <v>325</v>
      </c>
      <c r="K4" s="39">
        <f>J4/4</f>
        <v>81.25</v>
      </c>
      <c r="L4" s="39">
        <f>IF(AC4&gt;0,((K4-AD4)+(AE4-K5)),IF(K5=0, ,(K4-K5)))</f>
        <v>2.25</v>
      </c>
      <c r="M4" s="149">
        <f t="shared" ref="M4:M7" si="3">6049*4</f>
        <v>24196</v>
      </c>
      <c r="N4" s="39">
        <f>L4*M4/100</f>
        <v>544.41</v>
      </c>
      <c r="O4" s="167">
        <f>N4*0.529</f>
        <v>287.99288999999999</v>
      </c>
      <c r="P4" s="42">
        <f>O4*11.766</f>
        <v>3388.5243437399999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44744</v>
      </c>
      <c r="B5" s="41">
        <v>80</v>
      </c>
      <c r="C5" s="39">
        <f t="shared" ref="C4:C35" si="7">IF(AC5&gt;0,((B5-R5)+(S5-B6)),IF(B6=0, ,(B5-B6)))</f>
        <v>1</v>
      </c>
      <c r="D5" s="41">
        <v>78</v>
      </c>
      <c r="E5" s="39">
        <f t="shared" ref="E4:E35" si="8">IF(AC5&gt;0,((D5-U5)+(V5-D6)),IF(D6=0, ,(D5-D6)))</f>
        <v>3</v>
      </c>
      <c r="F5" s="41">
        <v>79</v>
      </c>
      <c r="G5" s="39">
        <f t="shared" ref="G4:G35" si="9">IF(AC5&gt;0,((F5-X5)+(Y5-F6)),IF(F6=0, ,(F5-F6)))</f>
        <v>0</v>
      </c>
      <c r="H5" s="41">
        <v>79</v>
      </c>
      <c r="I5" s="39">
        <f>IF(AC5&gt;0,((H5-AA5)+(AB5-H6)),IF(H6=0, ,(H5-H6)))</f>
        <v>0</v>
      </c>
      <c r="J5" s="39">
        <f>B5+D5+F5+H5</f>
        <v>316</v>
      </c>
      <c r="K5" s="39">
        <f>J5/4</f>
        <v>79</v>
      </c>
      <c r="L5" s="39">
        <f>IF(AC5&gt;0,((K5-AD5)+(AE5-K6)),IF(K6=0, ,(K5-K6)))</f>
        <v>1</v>
      </c>
      <c r="M5" s="149">
        <f t="shared" si="3"/>
        <v>24196</v>
      </c>
      <c r="N5" s="39">
        <f>L5*M5/100</f>
        <v>241.96</v>
      </c>
      <c r="O5" s="39">
        <f>N5*0.529</f>
        <v>127.99684000000001</v>
      </c>
      <c r="P5" s="42">
        <f t="shared" ref="P5:P38" si="10">O5*11.766</f>
        <v>1506.01081944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44745</v>
      </c>
      <c r="B6" s="41">
        <v>79</v>
      </c>
      <c r="C6" s="39">
        <f t="shared" si="7"/>
        <v>4</v>
      </c>
      <c r="D6" s="41">
        <v>75</v>
      </c>
      <c r="E6" s="39">
        <f t="shared" si="8"/>
        <v>1</v>
      </c>
      <c r="F6" s="41">
        <v>79</v>
      </c>
      <c r="G6" s="39">
        <f t="shared" si="9"/>
        <v>3</v>
      </c>
      <c r="H6" s="41">
        <v>79</v>
      </c>
      <c r="I6" s="39">
        <f t="shared" ref="I6:I36" si="11">IF(AC6&gt;0,((H6-AA6)+(AB6-H7)),IF(H7=0, ,(H6-H7)))</f>
        <v>3</v>
      </c>
      <c r="J6" s="39">
        <f t="shared" ref="J6:J42" si="12">B6+D6+F6+H6</f>
        <v>312</v>
      </c>
      <c r="K6" s="39">
        <f t="shared" ref="K6:K42" si="13">J6/4</f>
        <v>78</v>
      </c>
      <c r="L6" s="39">
        <f t="shared" ref="L6:L19" si="14">IF(AC6&gt;0,((K6-AD6)+(AE6-K7)),IF(K7=0, ,(K6-K7)))</f>
        <v>2.75</v>
      </c>
      <c r="M6" s="149">
        <f t="shared" si="3"/>
        <v>24196</v>
      </c>
      <c r="N6" s="39">
        <f t="shared" ref="N6:N42" si="15">L6*M6/100</f>
        <v>665.39</v>
      </c>
      <c r="O6" s="39">
        <f>N6*0.529</f>
        <v>351.99131</v>
      </c>
      <c r="P6" s="42">
        <f t="shared" si="10"/>
        <v>4141.5297534600004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44746</v>
      </c>
      <c r="B7" s="41">
        <v>75</v>
      </c>
      <c r="C7" s="39">
        <f t="shared" si="7"/>
        <v>5</v>
      </c>
      <c r="D7" s="41">
        <v>74</v>
      </c>
      <c r="E7" s="39">
        <f t="shared" si="8"/>
        <v>0</v>
      </c>
      <c r="F7" s="41">
        <v>76</v>
      </c>
      <c r="G7" s="39">
        <f t="shared" si="9"/>
        <v>3</v>
      </c>
      <c r="H7" s="41">
        <v>76</v>
      </c>
      <c r="I7" s="39">
        <f t="shared" si="11"/>
        <v>1</v>
      </c>
      <c r="J7" s="39">
        <f t="shared" si="12"/>
        <v>301</v>
      </c>
      <c r="K7" s="39">
        <f t="shared" si="13"/>
        <v>75.25</v>
      </c>
      <c r="L7" s="39">
        <f t="shared" si="14"/>
        <v>2.25</v>
      </c>
      <c r="M7" s="149">
        <f t="shared" si="3"/>
        <v>24196</v>
      </c>
      <c r="N7" s="39">
        <f t="shared" si="15"/>
        <v>544.41</v>
      </c>
      <c r="O7" s="39">
        <f>N7*0.53</f>
        <v>288.53730000000002</v>
      </c>
      <c r="P7" s="42">
        <f t="shared" si="10"/>
        <v>3394.9298718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44747</v>
      </c>
      <c r="B8" s="41">
        <v>70</v>
      </c>
      <c r="C8" s="39">
        <f t="shared" si="7"/>
        <v>5</v>
      </c>
      <c r="D8" s="41">
        <v>74</v>
      </c>
      <c r="E8" s="39">
        <f t="shared" si="8"/>
        <v>4</v>
      </c>
      <c r="F8" s="41">
        <v>73</v>
      </c>
      <c r="G8" s="39">
        <f t="shared" si="9"/>
        <v>3</v>
      </c>
      <c r="H8" s="41">
        <v>75</v>
      </c>
      <c r="I8" s="39">
        <f t="shared" si="11"/>
        <v>5</v>
      </c>
      <c r="J8" s="39">
        <f t="shared" si="12"/>
        <v>292</v>
      </c>
      <c r="K8" s="39">
        <f t="shared" si="13"/>
        <v>73</v>
      </c>
      <c r="L8" s="39">
        <f t="shared" si="14"/>
        <v>4.25</v>
      </c>
      <c r="M8" s="149">
        <f>6049*4</f>
        <v>24196</v>
      </c>
      <c r="N8" s="39">
        <f t="shared" si="15"/>
        <v>1028.33</v>
      </c>
      <c r="O8" s="148">
        <f t="shared" ref="O8:O37" si="16">N8*0.529</f>
        <v>543.98657000000003</v>
      </c>
      <c r="P8" s="42">
        <f t="shared" si="10"/>
        <v>6400.5459826200004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44748</v>
      </c>
      <c r="B9" s="41">
        <v>65</v>
      </c>
      <c r="C9" s="39">
        <f t="shared" si="7"/>
        <v>1</v>
      </c>
      <c r="D9" s="41">
        <v>70</v>
      </c>
      <c r="E9" s="39">
        <f t="shared" si="8"/>
        <v>3</v>
      </c>
      <c r="F9" s="41">
        <v>70</v>
      </c>
      <c r="G9" s="39">
        <f t="shared" si="9"/>
        <v>2</v>
      </c>
      <c r="H9" s="41">
        <v>70</v>
      </c>
      <c r="I9" s="39">
        <f t="shared" si="11"/>
        <v>4</v>
      </c>
      <c r="J9" s="39">
        <f t="shared" si="12"/>
        <v>275</v>
      </c>
      <c r="K9" s="39">
        <f t="shared" si="13"/>
        <v>68.75</v>
      </c>
      <c r="L9" s="39">
        <f t="shared" si="14"/>
        <v>2.5</v>
      </c>
      <c r="M9" s="149">
        <f t="shared" ref="M9:M42" si="17">6049*4</f>
        <v>24196</v>
      </c>
      <c r="N9" s="39">
        <f t="shared" si="15"/>
        <v>604.9</v>
      </c>
      <c r="O9" s="39">
        <f t="shared" si="16"/>
        <v>319.99209999999999</v>
      </c>
      <c r="P9" s="42">
        <f t="shared" si="10"/>
        <v>3765.0270485999999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44749</v>
      </c>
      <c r="B10" s="41">
        <v>64</v>
      </c>
      <c r="C10" s="39">
        <f t="shared" si="7"/>
        <v>1</v>
      </c>
      <c r="D10" s="41">
        <v>67</v>
      </c>
      <c r="E10" s="39">
        <f t="shared" si="8"/>
        <v>2</v>
      </c>
      <c r="F10" s="41">
        <v>68</v>
      </c>
      <c r="G10" s="39">
        <f t="shared" si="9"/>
        <v>2</v>
      </c>
      <c r="H10" s="41">
        <v>66</v>
      </c>
      <c r="I10" s="39">
        <f t="shared" si="11"/>
        <v>0</v>
      </c>
      <c r="J10" s="39">
        <f t="shared" si="12"/>
        <v>265</v>
      </c>
      <c r="K10" s="39">
        <f t="shared" si="13"/>
        <v>66.25</v>
      </c>
      <c r="L10" s="39">
        <f t="shared" si="14"/>
        <v>1.25</v>
      </c>
      <c r="M10" s="149">
        <f t="shared" si="17"/>
        <v>24196</v>
      </c>
      <c r="N10" s="39">
        <f t="shared" si="15"/>
        <v>302.45</v>
      </c>
      <c r="O10" s="148">
        <f t="shared" si="16"/>
        <v>159.99605</v>
      </c>
      <c r="P10" s="42">
        <f t="shared" si="10"/>
        <v>1882.5135243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44750</v>
      </c>
      <c r="B11" s="41">
        <v>63</v>
      </c>
      <c r="C11" s="39">
        <f t="shared" si="7"/>
        <v>3</v>
      </c>
      <c r="D11" s="41">
        <v>65</v>
      </c>
      <c r="E11" s="39">
        <f t="shared" si="8"/>
        <v>3</v>
      </c>
      <c r="F11" s="41">
        <v>66</v>
      </c>
      <c r="G11" s="39">
        <f t="shared" si="9"/>
        <v>1</v>
      </c>
      <c r="H11" s="41">
        <v>66</v>
      </c>
      <c r="I11" s="39">
        <f t="shared" si="11"/>
        <v>1</v>
      </c>
      <c r="J11" s="39">
        <f t="shared" si="12"/>
        <v>260</v>
      </c>
      <c r="K11" s="39">
        <f t="shared" si="13"/>
        <v>65</v>
      </c>
      <c r="L11" s="39">
        <f t="shared" si="14"/>
        <v>2</v>
      </c>
      <c r="M11" s="149">
        <f t="shared" si="17"/>
        <v>24196</v>
      </c>
      <c r="N11" s="39">
        <f t="shared" si="15"/>
        <v>483.92</v>
      </c>
      <c r="O11" s="39">
        <f t="shared" si="16"/>
        <v>255.99368000000001</v>
      </c>
      <c r="P11" s="42">
        <f t="shared" si="10"/>
        <v>3012.02163888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44751</v>
      </c>
      <c r="B12" s="41">
        <v>60</v>
      </c>
      <c r="C12" s="39">
        <f t="shared" si="7"/>
        <v>0</v>
      </c>
      <c r="D12" s="41">
        <v>62</v>
      </c>
      <c r="E12" s="39">
        <f t="shared" si="8"/>
        <v>2</v>
      </c>
      <c r="F12" s="41">
        <v>65</v>
      </c>
      <c r="G12" s="39">
        <f t="shared" si="9"/>
        <v>0</v>
      </c>
      <c r="H12" s="41">
        <v>65</v>
      </c>
      <c r="I12" s="39">
        <f t="shared" si="11"/>
        <v>0</v>
      </c>
      <c r="J12" s="39">
        <f t="shared" si="12"/>
        <v>252</v>
      </c>
      <c r="K12" s="39">
        <f t="shared" si="13"/>
        <v>63</v>
      </c>
      <c r="L12" s="39">
        <f t="shared" si="14"/>
        <v>0.5</v>
      </c>
      <c r="M12" s="149">
        <f t="shared" si="17"/>
        <v>24196</v>
      </c>
      <c r="N12" s="39">
        <f t="shared" si="15"/>
        <v>120.98</v>
      </c>
      <c r="O12" s="39">
        <f t="shared" si="16"/>
        <v>63.998420000000003</v>
      </c>
      <c r="P12" s="42">
        <f t="shared" si="10"/>
        <v>753.00540971999999</v>
      </c>
      <c r="Q12" s="39">
        <v>1940</v>
      </c>
      <c r="R12" s="39">
        <v>60</v>
      </c>
      <c r="S12" s="39">
        <v>85</v>
      </c>
      <c r="T12" s="39">
        <v>1940</v>
      </c>
      <c r="U12" s="39">
        <v>60</v>
      </c>
      <c r="V12" s="39">
        <v>85</v>
      </c>
      <c r="W12" s="39">
        <v>1710</v>
      </c>
      <c r="X12" s="39">
        <v>65</v>
      </c>
      <c r="Y12" s="39">
        <v>85</v>
      </c>
      <c r="Z12" s="39">
        <v>1697</v>
      </c>
      <c r="AA12" s="39">
        <v>65</v>
      </c>
      <c r="AB12" s="39">
        <v>85</v>
      </c>
      <c r="AC12" s="39">
        <f t="shared" si="4"/>
        <v>7287</v>
      </c>
      <c r="AD12" s="38">
        <f t="shared" si="5"/>
        <v>62.5</v>
      </c>
      <c r="AE12" s="38">
        <f t="shared" si="6"/>
        <v>85</v>
      </c>
    </row>
    <row r="13" spans="1:31" ht="32.25" customHeight="1">
      <c r="A13" s="40">
        <v>44752</v>
      </c>
      <c r="B13" s="41">
        <v>85</v>
      </c>
      <c r="C13" s="39">
        <f t="shared" si="7"/>
        <v>1</v>
      </c>
      <c r="D13" s="41">
        <v>85</v>
      </c>
      <c r="E13" s="39">
        <f t="shared" si="8"/>
        <v>0</v>
      </c>
      <c r="F13" s="41">
        <v>85</v>
      </c>
      <c r="G13" s="39">
        <f t="shared" si="9"/>
        <v>0</v>
      </c>
      <c r="H13" s="41">
        <v>85</v>
      </c>
      <c r="I13" s="39">
        <f t="shared" si="11"/>
        <v>0</v>
      </c>
      <c r="J13" s="39">
        <f t="shared" si="12"/>
        <v>340</v>
      </c>
      <c r="K13" s="39">
        <f t="shared" si="13"/>
        <v>85</v>
      </c>
      <c r="L13" s="39">
        <f t="shared" si="14"/>
        <v>0.25</v>
      </c>
      <c r="M13" s="149">
        <f t="shared" si="17"/>
        <v>24196</v>
      </c>
      <c r="N13" s="39">
        <f t="shared" si="15"/>
        <v>60.49</v>
      </c>
      <c r="O13" s="39">
        <f t="shared" si="16"/>
        <v>31.999210000000001</v>
      </c>
      <c r="P13" s="42">
        <f t="shared" si="10"/>
        <v>376.50270485999999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44753</v>
      </c>
      <c r="B14" s="41">
        <v>84</v>
      </c>
      <c r="C14" s="39">
        <f t="shared" si="7"/>
        <v>0</v>
      </c>
      <c r="D14" s="41">
        <v>85</v>
      </c>
      <c r="E14" s="39">
        <f t="shared" si="8"/>
        <v>1</v>
      </c>
      <c r="F14" s="41">
        <v>85</v>
      </c>
      <c r="G14" s="39">
        <f t="shared" si="9"/>
        <v>0</v>
      </c>
      <c r="H14" s="41">
        <v>85</v>
      </c>
      <c r="I14" s="39">
        <f>IF(AC14&gt;0,((H14-AA14)+(AB14-H15)),IF(H15=0, ,(H14-H15)))</f>
        <v>0</v>
      </c>
      <c r="J14" s="39">
        <f t="shared" si="12"/>
        <v>339</v>
      </c>
      <c r="K14" s="39">
        <f t="shared" si="13"/>
        <v>84.75</v>
      </c>
      <c r="L14" s="39">
        <f t="shared" si="14"/>
        <v>0.25</v>
      </c>
      <c r="M14" s="149">
        <f t="shared" si="17"/>
        <v>24196</v>
      </c>
      <c r="N14" s="39">
        <f t="shared" si="15"/>
        <v>60.49</v>
      </c>
      <c r="O14" s="39">
        <f t="shared" si="16"/>
        <v>31.999210000000001</v>
      </c>
      <c r="P14" s="42">
        <f t="shared" si="10"/>
        <v>376.50270485999999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44754</v>
      </c>
      <c r="B15" s="41">
        <v>84</v>
      </c>
      <c r="C15" s="39">
        <f t="shared" si="7"/>
        <v>1</v>
      </c>
      <c r="D15" s="41">
        <v>84</v>
      </c>
      <c r="E15" s="39">
        <f t="shared" si="8"/>
        <v>3</v>
      </c>
      <c r="F15" s="41">
        <v>85</v>
      </c>
      <c r="G15" s="39">
        <f t="shared" si="9"/>
        <v>1</v>
      </c>
      <c r="H15" s="41">
        <v>85</v>
      </c>
      <c r="I15" s="39">
        <f>IF(AC15&gt;0,((H15-AA15)+(AB15-H16)),IF(H16=0, ,(H15-H16)))</f>
        <v>1</v>
      </c>
      <c r="J15" s="39">
        <f t="shared" si="12"/>
        <v>338</v>
      </c>
      <c r="K15" s="39">
        <f t="shared" si="13"/>
        <v>84.5</v>
      </c>
      <c r="L15" s="39">
        <f t="shared" si="14"/>
        <v>1.5</v>
      </c>
      <c r="M15" s="149">
        <f t="shared" si="17"/>
        <v>24196</v>
      </c>
      <c r="N15" s="39">
        <f t="shared" si="15"/>
        <v>362.94</v>
      </c>
      <c r="O15" s="39">
        <f t="shared" si="16"/>
        <v>191.99526</v>
      </c>
      <c r="P15" s="42">
        <f t="shared" si="10"/>
        <v>2259.01622916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44755</v>
      </c>
      <c r="B16" s="41">
        <v>83</v>
      </c>
      <c r="C16" s="39">
        <f t="shared" si="7"/>
        <v>1</v>
      </c>
      <c r="D16" s="41">
        <v>81</v>
      </c>
      <c r="E16" s="39">
        <f t="shared" si="8"/>
        <v>1</v>
      </c>
      <c r="F16" s="41">
        <v>84</v>
      </c>
      <c r="G16" s="39">
        <f t="shared" si="9"/>
        <v>3</v>
      </c>
      <c r="H16" s="41">
        <v>84</v>
      </c>
      <c r="I16" s="39">
        <f t="shared" si="11"/>
        <v>2</v>
      </c>
      <c r="J16" s="39">
        <f t="shared" si="12"/>
        <v>332</v>
      </c>
      <c r="K16" s="39">
        <f t="shared" si="13"/>
        <v>83</v>
      </c>
      <c r="L16" s="39">
        <f t="shared" si="14"/>
        <v>1.75</v>
      </c>
      <c r="M16" s="149">
        <f t="shared" si="17"/>
        <v>24196</v>
      </c>
      <c r="N16" s="39">
        <f t="shared" si="15"/>
        <v>423.43</v>
      </c>
      <c r="O16" s="39">
        <f t="shared" si="16"/>
        <v>223.99447000000001</v>
      </c>
      <c r="P16" s="42">
        <f t="shared" si="10"/>
        <v>2635.51893402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44756</v>
      </c>
      <c r="B17" s="41">
        <v>82</v>
      </c>
      <c r="C17" s="39">
        <f t="shared" si="7"/>
        <v>2</v>
      </c>
      <c r="D17" s="41">
        <v>80</v>
      </c>
      <c r="E17" s="39">
        <f t="shared" si="8"/>
        <v>1</v>
      </c>
      <c r="F17" s="41">
        <v>81</v>
      </c>
      <c r="G17" s="39">
        <f t="shared" si="9"/>
        <v>1</v>
      </c>
      <c r="H17" s="41">
        <v>82</v>
      </c>
      <c r="I17" s="39">
        <f t="shared" si="11"/>
        <v>2</v>
      </c>
      <c r="J17" s="39">
        <f t="shared" si="12"/>
        <v>325</v>
      </c>
      <c r="K17" s="39">
        <f t="shared" si="13"/>
        <v>81.25</v>
      </c>
      <c r="L17" s="39">
        <f t="shared" si="14"/>
        <v>1.5</v>
      </c>
      <c r="M17" s="149">
        <f t="shared" si="17"/>
        <v>24196</v>
      </c>
      <c r="N17" s="39">
        <f t="shared" si="15"/>
        <v>362.94</v>
      </c>
      <c r="O17" s="39">
        <f t="shared" si="16"/>
        <v>191.99526</v>
      </c>
      <c r="P17" s="42">
        <f t="shared" si="10"/>
        <v>2259.01622916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44757</v>
      </c>
      <c r="B18" s="41">
        <v>80</v>
      </c>
      <c r="C18" s="39">
        <f t="shared" si="7"/>
        <v>2</v>
      </c>
      <c r="D18" s="41">
        <v>79</v>
      </c>
      <c r="E18" s="39">
        <f t="shared" si="8"/>
        <v>1</v>
      </c>
      <c r="F18" s="41">
        <v>80</v>
      </c>
      <c r="G18" s="39">
        <f t="shared" si="9"/>
        <v>1</v>
      </c>
      <c r="H18" s="41">
        <v>80</v>
      </c>
      <c r="I18" s="39">
        <f t="shared" si="11"/>
        <v>2</v>
      </c>
      <c r="J18" s="39">
        <f t="shared" si="12"/>
        <v>319</v>
      </c>
      <c r="K18" s="39">
        <f t="shared" si="13"/>
        <v>79.75</v>
      </c>
      <c r="L18" s="39">
        <f t="shared" si="14"/>
        <v>1.5</v>
      </c>
      <c r="M18" s="149">
        <f t="shared" si="17"/>
        <v>24196</v>
      </c>
      <c r="N18" s="39">
        <f t="shared" si="15"/>
        <v>362.94</v>
      </c>
      <c r="O18" s="39">
        <f t="shared" si="16"/>
        <v>191.99526</v>
      </c>
      <c r="P18" s="42">
        <f t="shared" si="10"/>
        <v>2259.01622916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44758</v>
      </c>
      <c r="B19" s="41">
        <v>78</v>
      </c>
      <c r="C19" s="39">
        <f t="shared" si="7"/>
        <v>1</v>
      </c>
      <c r="D19" s="41">
        <v>78</v>
      </c>
      <c r="E19" s="39">
        <f t="shared" si="8"/>
        <v>3</v>
      </c>
      <c r="F19" s="41">
        <v>79</v>
      </c>
      <c r="G19" s="39">
        <f t="shared" si="9"/>
        <v>1</v>
      </c>
      <c r="H19" s="41">
        <v>78</v>
      </c>
      <c r="I19" s="39">
        <f t="shared" si="11"/>
        <v>0</v>
      </c>
      <c r="J19" s="39">
        <f t="shared" si="12"/>
        <v>313</v>
      </c>
      <c r="K19" s="39">
        <f t="shared" si="13"/>
        <v>78.25</v>
      </c>
      <c r="L19" s="39">
        <f t="shared" si="14"/>
        <v>1.25</v>
      </c>
      <c r="M19" s="149">
        <f t="shared" si="17"/>
        <v>24196</v>
      </c>
      <c r="N19" s="39">
        <f t="shared" si="15"/>
        <v>302.45</v>
      </c>
      <c r="O19" s="39">
        <f t="shared" si="16"/>
        <v>159.99605</v>
      </c>
      <c r="P19" s="42">
        <f t="shared" si="10"/>
        <v>1882.5135243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44759</v>
      </c>
      <c r="B20" s="41">
        <v>77</v>
      </c>
      <c r="C20" s="39">
        <f t="shared" si="7"/>
        <v>2</v>
      </c>
      <c r="D20" s="41">
        <v>75</v>
      </c>
      <c r="E20" s="39">
        <f t="shared" si="8"/>
        <v>1</v>
      </c>
      <c r="F20" s="41">
        <v>78</v>
      </c>
      <c r="G20" s="39">
        <f t="shared" si="9"/>
        <v>3</v>
      </c>
      <c r="H20" s="41">
        <v>78</v>
      </c>
      <c r="I20" s="39">
        <f t="shared" si="11"/>
        <v>3</v>
      </c>
      <c r="J20" s="39">
        <f t="shared" si="12"/>
        <v>308</v>
      </c>
      <c r="K20" s="39">
        <f t="shared" si="13"/>
        <v>77</v>
      </c>
      <c r="L20" s="39">
        <f t="shared" ref="L20:L42" si="18">IF(AC20&gt;0,((K20-AD20)+(AE20-K21)),IF(K21=0, ,(K20-K21)))</f>
        <v>2.25</v>
      </c>
      <c r="M20" s="149">
        <f t="shared" si="17"/>
        <v>24196</v>
      </c>
      <c r="N20" s="39">
        <f t="shared" si="15"/>
        <v>544.41</v>
      </c>
      <c r="O20" s="39">
        <f t="shared" si="16"/>
        <v>287.99288999999999</v>
      </c>
      <c r="P20" s="42">
        <f t="shared" si="10"/>
        <v>3388.5243437399999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44760</v>
      </c>
      <c r="B21" s="41">
        <v>75</v>
      </c>
      <c r="C21" s="39">
        <f t="shared" si="7"/>
        <v>2</v>
      </c>
      <c r="D21" s="41">
        <v>74</v>
      </c>
      <c r="E21" s="39">
        <f t="shared" si="8"/>
        <v>2</v>
      </c>
      <c r="F21" s="41">
        <v>75</v>
      </c>
      <c r="G21" s="39">
        <f t="shared" si="9"/>
        <v>3</v>
      </c>
      <c r="H21" s="41">
        <v>75</v>
      </c>
      <c r="I21" s="39">
        <f t="shared" si="11"/>
        <v>3</v>
      </c>
      <c r="J21" s="39">
        <f t="shared" si="12"/>
        <v>299</v>
      </c>
      <c r="K21" s="39">
        <f t="shared" si="13"/>
        <v>74.75</v>
      </c>
      <c r="L21" s="39">
        <f>IF(AC21&gt;0,((K21-AD21)+(AE21-K22)),IF(K22=0, ,(K21-K22)))</f>
        <v>2.5</v>
      </c>
      <c r="M21" s="149">
        <f t="shared" si="17"/>
        <v>24196</v>
      </c>
      <c r="N21" s="39">
        <f t="shared" si="15"/>
        <v>604.9</v>
      </c>
      <c r="O21" s="39">
        <f t="shared" si="16"/>
        <v>319.99209999999999</v>
      </c>
      <c r="P21" s="42">
        <f t="shared" si="10"/>
        <v>3765.0270485999999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44761</v>
      </c>
      <c r="B22" s="41">
        <v>73</v>
      </c>
      <c r="C22" s="39">
        <f t="shared" si="7"/>
        <v>3</v>
      </c>
      <c r="D22" s="41">
        <v>72</v>
      </c>
      <c r="E22" s="39">
        <f t="shared" si="8"/>
        <v>1</v>
      </c>
      <c r="F22" s="41">
        <v>72</v>
      </c>
      <c r="G22" s="39">
        <f t="shared" si="9"/>
        <v>3</v>
      </c>
      <c r="H22" s="41">
        <v>72</v>
      </c>
      <c r="I22" s="39">
        <f t="shared" si="11"/>
        <v>3</v>
      </c>
      <c r="J22" s="39">
        <f t="shared" si="12"/>
        <v>289</v>
      </c>
      <c r="K22" s="39">
        <f t="shared" si="13"/>
        <v>72.25</v>
      </c>
      <c r="L22" s="39">
        <f>IF(AC22&gt;0,((K22-AD22)+(AE22-K23)),IF(K23=0, ,(K22-K23)))</f>
        <v>2.5</v>
      </c>
      <c r="M22" s="149">
        <f t="shared" si="17"/>
        <v>24196</v>
      </c>
      <c r="N22" s="39">
        <f t="shared" si="15"/>
        <v>604.9</v>
      </c>
      <c r="O22" s="39">
        <f t="shared" si="16"/>
        <v>319.99209999999999</v>
      </c>
      <c r="P22" s="42">
        <f t="shared" si="10"/>
        <v>3765.0270485999999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44762</v>
      </c>
      <c r="B23" s="41">
        <v>70</v>
      </c>
      <c r="C23" s="39">
        <f t="shared" si="7"/>
        <v>2</v>
      </c>
      <c r="D23" s="41">
        <v>71</v>
      </c>
      <c r="E23" s="39">
        <f t="shared" si="8"/>
        <v>2</v>
      </c>
      <c r="F23" s="41">
        <v>69</v>
      </c>
      <c r="G23" s="39">
        <f t="shared" si="9"/>
        <v>3</v>
      </c>
      <c r="H23" s="41">
        <v>69</v>
      </c>
      <c r="I23" s="39">
        <f t="shared" si="11"/>
        <v>2</v>
      </c>
      <c r="J23" s="39">
        <f t="shared" si="12"/>
        <v>279</v>
      </c>
      <c r="K23" s="39">
        <f t="shared" si="13"/>
        <v>69.75</v>
      </c>
      <c r="L23" s="39">
        <f t="shared" si="18"/>
        <v>2.25</v>
      </c>
      <c r="M23" s="149">
        <f t="shared" si="17"/>
        <v>24196</v>
      </c>
      <c r="N23" s="39">
        <f t="shared" si="15"/>
        <v>544.41</v>
      </c>
      <c r="O23" s="39">
        <f t="shared" si="16"/>
        <v>287.99288999999999</v>
      </c>
      <c r="P23" s="42">
        <f t="shared" si="10"/>
        <v>3388.5243437399999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44763</v>
      </c>
      <c r="B24" s="41">
        <v>68</v>
      </c>
      <c r="C24" s="39">
        <f t="shared" si="7"/>
        <v>0</v>
      </c>
      <c r="D24" s="41">
        <v>69</v>
      </c>
      <c r="E24" s="39">
        <f t="shared" si="8"/>
        <v>4</v>
      </c>
      <c r="F24" s="41">
        <v>66</v>
      </c>
      <c r="G24" s="39">
        <f t="shared" si="9"/>
        <v>1</v>
      </c>
      <c r="H24" s="41">
        <v>67</v>
      </c>
      <c r="I24" s="39">
        <f t="shared" si="11"/>
        <v>2</v>
      </c>
      <c r="J24" s="39">
        <f t="shared" si="12"/>
        <v>270</v>
      </c>
      <c r="K24" s="39">
        <f t="shared" si="13"/>
        <v>67.5</v>
      </c>
      <c r="L24" s="39">
        <f t="shared" si="18"/>
        <v>1.75</v>
      </c>
      <c r="M24" s="149">
        <f t="shared" si="17"/>
        <v>24196</v>
      </c>
      <c r="N24" s="39">
        <f t="shared" si="15"/>
        <v>423.43</v>
      </c>
      <c r="O24" s="39">
        <f t="shared" si="16"/>
        <v>223.99447000000001</v>
      </c>
      <c r="P24" s="42">
        <f t="shared" si="10"/>
        <v>2635.51893402</v>
      </c>
      <c r="Q24" s="39">
        <v>1498</v>
      </c>
      <c r="R24" s="39">
        <v>68</v>
      </c>
      <c r="S24" s="39">
        <v>85</v>
      </c>
      <c r="T24" s="39">
        <v>1272</v>
      </c>
      <c r="U24" s="39">
        <v>65</v>
      </c>
      <c r="V24" s="39">
        <v>85</v>
      </c>
      <c r="W24" s="39">
        <v>1415</v>
      </c>
      <c r="X24" s="39">
        <v>65</v>
      </c>
      <c r="Y24" s="39">
        <v>85</v>
      </c>
      <c r="Z24" s="39">
        <v>1243</v>
      </c>
      <c r="AA24" s="39">
        <v>65</v>
      </c>
      <c r="AB24" s="39">
        <v>85</v>
      </c>
      <c r="AC24" s="39">
        <f t="shared" si="4"/>
        <v>5428</v>
      </c>
      <c r="AD24" s="38">
        <f t="shared" si="5"/>
        <v>65.75</v>
      </c>
      <c r="AE24" s="38">
        <f t="shared" si="6"/>
        <v>85</v>
      </c>
    </row>
    <row r="25" spans="1:31" ht="32.25" customHeight="1">
      <c r="A25" s="40">
        <v>44764</v>
      </c>
      <c r="B25" s="41">
        <v>85</v>
      </c>
      <c r="C25" s="39">
        <f t="shared" si="7"/>
        <v>2</v>
      </c>
      <c r="D25" s="41">
        <v>85</v>
      </c>
      <c r="E25" s="39">
        <f t="shared" si="8"/>
        <v>1</v>
      </c>
      <c r="F25" s="41">
        <v>85</v>
      </c>
      <c r="G25" s="39">
        <f t="shared" si="9"/>
        <v>0</v>
      </c>
      <c r="H25" s="41">
        <v>85</v>
      </c>
      <c r="I25" s="39">
        <f t="shared" si="11"/>
        <v>3</v>
      </c>
      <c r="J25" s="39">
        <f t="shared" si="12"/>
        <v>340</v>
      </c>
      <c r="K25" s="39">
        <f t="shared" si="13"/>
        <v>85</v>
      </c>
      <c r="L25" s="39">
        <f t="shared" si="18"/>
        <v>1.5</v>
      </c>
      <c r="M25" s="149">
        <f t="shared" si="17"/>
        <v>24196</v>
      </c>
      <c r="N25" s="39">
        <f t="shared" si="15"/>
        <v>362.94</v>
      </c>
      <c r="O25" s="167">
        <f t="shared" si="16"/>
        <v>191.99526</v>
      </c>
      <c r="P25" s="42">
        <f t="shared" si="10"/>
        <v>2259.01622916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44765</v>
      </c>
      <c r="B26" s="41">
        <v>83</v>
      </c>
      <c r="C26" s="39">
        <f t="shared" si="7"/>
        <v>1</v>
      </c>
      <c r="D26" s="41">
        <v>84</v>
      </c>
      <c r="E26" s="39">
        <f t="shared" si="8"/>
        <v>1</v>
      </c>
      <c r="F26" s="41">
        <v>85</v>
      </c>
      <c r="G26" s="39">
        <f t="shared" si="9"/>
        <v>2</v>
      </c>
      <c r="H26" s="41">
        <v>82</v>
      </c>
      <c r="I26" s="39">
        <f t="shared" si="11"/>
        <v>0</v>
      </c>
      <c r="J26" s="39">
        <f t="shared" si="12"/>
        <v>334</v>
      </c>
      <c r="K26" s="39">
        <f t="shared" si="13"/>
        <v>83.5</v>
      </c>
      <c r="L26" s="39">
        <f t="shared" si="18"/>
        <v>1</v>
      </c>
      <c r="M26" s="149">
        <f t="shared" si="17"/>
        <v>24196</v>
      </c>
      <c r="N26" s="39">
        <f t="shared" si="15"/>
        <v>241.96</v>
      </c>
      <c r="O26" s="39">
        <f t="shared" si="16"/>
        <v>127.99684000000001</v>
      </c>
      <c r="P26" s="42">
        <f t="shared" si="10"/>
        <v>1506.01081944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44766</v>
      </c>
      <c r="B27" s="41">
        <v>82</v>
      </c>
      <c r="C27" s="39">
        <f t="shared" ref="C27" si="21">IF(AC27&gt;0,((B27-R27)+(S27-B28)),IF(B28=0, ,(B27-B28)))</f>
        <v>2</v>
      </c>
      <c r="D27" s="41">
        <v>83</v>
      </c>
      <c r="E27" s="39">
        <f t="shared" ref="E27" si="22">IF(AC27&gt;0,((D27-U27)+(V27-D28)),IF(D28=0, ,(D27-D28)))</f>
        <v>0</v>
      </c>
      <c r="F27" s="41">
        <v>83</v>
      </c>
      <c r="G27" s="39">
        <f t="shared" ref="G27" si="23">IF(AC27&gt;0,((F27-X27)+(Y27-F28)),IF(F28=0, ,(F27-F28)))</f>
        <v>1</v>
      </c>
      <c r="H27" s="41">
        <v>82</v>
      </c>
      <c r="I27" s="39">
        <f t="shared" si="11"/>
        <v>2</v>
      </c>
      <c r="J27" s="39">
        <f t="shared" si="12"/>
        <v>330</v>
      </c>
      <c r="K27" s="39">
        <f t="shared" si="13"/>
        <v>82.5</v>
      </c>
      <c r="L27" s="39">
        <f t="shared" si="18"/>
        <v>1.25</v>
      </c>
      <c r="M27" s="149">
        <f t="shared" si="17"/>
        <v>24196</v>
      </c>
      <c r="N27" s="39">
        <f t="shared" si="15"/>
        <v>302.45</v>
      </c>
      <c r="O27" s="39">
        <f t="shared" si="16"/>
        <v>159.99605</v>
      </c>
      <c r="P27" s="42">
        <f t="shared" si="10"/>
        <v>1882.5135243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44767</v>
      </c>
      <c r="B28" s="41">
        <v>80</v>
      </c>
      <c r="C28" s="39">
        <f t="shared" si="7"/>
        <v>0</v>
      </c>
      <c r="D28" s="41">
        <v>83</v>
      </c>
      <c r="E28" s="39">
        <f t="shared" si="8"/>
        <v>2</v>
      </c>
      <c r="F28" s="41">
        <v>82</v>
      </c>
      <c r="G28" s="39">
        <f t="shared" si="9"/>
        <v>2</v>
      </c>
      <c r="H28" s="41">
        <v>80</v>
      </c>
      <c r="I28" s="39">
        <f>IF(AC28&gt;0,((H28-AA28)+(AB28-H29)),IF(H29=0, ,(H28-H29)))</f>
        <v>0</v>
      </c>
      <c r="J28" s="39">
        <f t="shared" si="12"/>
        <v>325</v>
      </c>
      <c r="K28" s="39">
        <f t="shared" si="13"/>
        <v>81.25</v>
      </c>
      <c r="L28" s="39">
        <f t="shared" si="18"/>
        <v>1</v>
      </c>
      <c r="M28" s="149">
        <f t="shared" si="17"/>
        <v>24196</v>
      </c>
      <c r="N28" s="39">
        <f t="shared" si="15"/>
        <v>241.96</v>
      </c>
      <c r="O28" s="39">
        <f t="shared" si="16"/>
        <v>127.99684000000001</v>
      </c>
      <c r="P28" s="42">
        <f t="shared" si="10"/>
        <v>1506.01081944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44768</v>
      </c>
      <c r="B29" s="41">
        <v>80</v>
      </c>
      <c r="C29" s="39">
        <f t="shared" si="7"/>
        <v>0</v>
      </c>
      <c r="D29" s="41">
        <v>81</v>
      </c>
      <c r="E29" s="39">
        <f t="shared" si="8"/>
        <v>1</v>
      </c>
      <c r="F29" s="41">
        <v>80</v>
      </c>
      <c r="G29" s="39">
        <f t="shared" si="9"/>
        <v>0</v>
      </c>
      <c r="H29" s="41">
        <v>80</v>
      </c>
      <c r="I29" s="39">
        <f t="shared" si="11"/>
        <v>0</v>
      </c>
      <c r="J29" s="39">
        <f t="shared" si="12"/>
        <v>321</v>
      </c>
      <c r="K29" s="39">
        <f t="shared" si="13"/>
        <v>80.25</v>
      </c>
      <c r="L29" s="39">
        <f t="shared" si="18"/>
        <v>0.25</v>
      </c>
      <c r="M29" s="149">
        <f t="shared" si="17"/>
        <v>24196</v>
      </c>
      <c r="N29" s="39">
        <f t="shared" si="15"/>
        <v>60.49</v>
      </c>
      <c r="O29" s="39">
        <f t="shared" si="16"/>
        <v>31.999210000000001</v>
      </c>
      <c r="P29" s="42">
        <f t="shared" si="10"/>
        <v>376.50270485999999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44769</v>
      </c>
      <c r="B30" s="41">
        <v>80</v>
      </c>
      <c r="C30" s="39">
        <f t="shared" si="7"/>
        <v>0</v>
      </c>
      <c r="D30" s="41">
        <v>80</v>
      </c>
      <c r="E30" s="39">
        <f t="shared" si="8"/>
        <v>4</v>
      </c>
      <c r="F30" s="41">
        <v>80</v>
      </c>
      <c r="G30" s="39">
        <f t="shared" si="9"/>
        <v>0</v>
      </c>
      <c r="H30" s="41">
        <v>80</v>
      </c>
      <c r="I30" s="39">
        <f t="shared" si="11"/>
        <v>1</v>
      </c>
      <c r="J30" s="39">
        <f t="shared" si="12"/>
        <v>320</v>
      </c>
      <c r="K30" s="39">
        <f t="shared" si="13"/>
        <v>80</v>
      </c>
      <c r="L30" s="39">
        <f t="shared" si="18"/>
        <v>1.25</v>
      </c>
      <c r="M30" s="149">
        <f t="shared" si="17"/>
        <v>24196</v>
      </c>
      <c r="N30" s="39">
        <f t="shared" si="15"/>
        <v>302.45</v>
      </c>
      <c r="O30" s="39">
        <f t="shared" si="16"/>
        <v>159.99605</v>
      </c>
      <c r="P30" s="42">
        <f t="shared" si="10"/>
        <v>1882.5135243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44770</v>
      </c>
      <c r="B31" s="41">
        <v>80</v>
      </c>
      <c r="C31" s="39">
        <f t="shared" si="7"/>
        <v>3</v>
      </c>
      <c r="D31" s="41">
        <v>76</v>
      </c>
      <c r="E31" s="39">
        <f t="shared" si="8"/>
        <v>1</v>
      </c>
      <c r="F31" s="41">
        <v>80</v>
      </c>
      <c r="G31" s="39">
        <f t="shared" si="9"/>
        <v>2</v>
      </c>
      <c r="H31" s="41">
        <v>79</v>
      </c>
      <c r="I31" s="39">
        <f t="shared" si="11"/>
        <v>2</v>
      </c>
      <c r="J31" s="39">
        <f t="shared" si="12"/>
        <v>315</v>
      </c>
      <c r="K31" s="39">
        <f t="shared" si="13"/>
        <v>78.75</v>
      </c>
      <c r="L31" s="39">
        <f t="shared" si="18"/>
        <v>2</v>
      </c>
      <c r="M31" s="149">
        <f t="shared" si="17"/>
        <v>24196</v>
      </c>
      <c r="N31" s="39">
        <f t="shared" si="15"/>
        <v>483.92</v>
      </c>
      <c r="O31" s="39">
        <f t="shared" si="16"/>
        <v>255.99368000000001</v>
      </c>
      <c r="P31" s="42">
        <f t="shared" si="10"/>
        <v>3012.02163888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44771</v>
      </c>
      <c r="B32" s="41">
        <v>77</v>
      </c>
      <c r="C32" s="39">
        <f t="shared" si="7"/>
        <v>2</v>
      </c>
      <c r="D32" s="41">
        <v>75</v>
      </c>
      <c r="E32" s="39">
        <f t="shared" si="8"/>
        <v>0</v>
      </c>
      <c r="F32" s="41">
        <v>78</v>
      </c>
      <c r="G32" s="39">
        <f t="shared" si="9"/>
        <v>3</v>
      </c>
      <c r="H32" s="41">
        <v>77</v>
      </c>
      <c r="I32" s="39">
        <f t="shared" si="11"/>
        <v>2</v>
      </c>
      <c r="J32" s="39">
        <f t="shared" si="12"/>
        <v>307</v>
      </c>
      <c r="K32" s="39">
        <f t="shared" si="13"/>
        <v>76.75</v>
      </c>
      <c r="L32" s="39">
        <f t="shared" si="18"/>
        <v>1.75</v>
      </c>
      <c r="M32" s="149">
        <f t="shared" si="17"/>
        <v>24196</v>
      </c>
      <c r="N32" s="39">
        <f t="shared" si="15"/>
        <v>423.43</v>
      </c>
      <c r="O32" s="149">
        <f t="shared" si="16"/>
        <v>223.99447000000001</v>
      </c>
      <c r="P32" s="42">
        <f t="shared" si="10"/>
        <v>2635.51893402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44772</v>
      </c>
      <c r="B33" s="41">
        <v>75</v>
      </c>
      <c r="C33" s="39">
        <f t="shared" si="7"/>
        <v>2</v>
      </c>
      <c r="D33" s="41">
        <v>75</v>
      </c>
      <c r="E33" s="39">
        <f t="shared" si="8"/>
        <v>1</v>
      </c>
      <c r="F33" s="41">
        <v>75</v>
      </c>
      <c r="G33" s="39">
        <f t="shared" si="9"/>
        <v>3</v>
      </c>
      <c r="H33" s="41">
        <v>75</v>
      </c>
      <c r="I33" s="39">
        <f t="shared" si="11"/>
        <v>2</v>
      </c>
      <c r="J33" s="39">
        <f t="shared" si="12"/>
        <v>300</v>
      </c>
      <c r="K33" s="39">
        <f t="shared" si="13"/>
        <v>75</v>
      </c>
      <c r="L33" s="39">
        <f t="shared" si="18"/>
        <v>2</v>
      </c>
      <c r="M33" s="149">
        <f t="shared" si="17"/>
        <v>24196</v>
      </c>
      <c r="N33" s="39">
        <f t="shared" si="15"/>
        <v>483.92</v>
      </c>
      <c r="O33" s="39">
        <f t="shared" si="16"/>
        <v>255.99368000000001</v>
      </c>
      <c r="P33" s="42">
        <f t="shared" si="10"/>
        <v>3012.02163888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44773</v>
      </c>
      <c r="B34" s="41">
        <v>73</v>
      </c>
      <c r="C34" s="39">
        <f t="shared" si="7"/>
        <v>0</v>
      </c>
      <c r="D34" s="41">
        <v>74</v>
      </c>
      <c r="E34" s="39">
        <f t="shared" si="8"/>
        <v>0</v>
      </c>
      <c r="F34" s="41">
        <v>72</v>
      </c>
      <c r="G34" s="39">
        <f t="shared" si="9"/>
        <v>0</v>
      </c>
      <c r="H34" s="41">
        <v>73</v>
      </c>
      <c r="I34" s="39">
        <f t="shared" si="11"/>
        <v>0</v>
      </c>
      <c r="J34" s="39">
        <f>B34+D34+F34+H34</f>
        <v>292</v>
      </c>
      <c r="K34" s="39">
        <f>J34/4</f>
        <v>73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44774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30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1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1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12097.999999999998</v>
      </c>
      <c r="O43" s="39">
        <f>N43*0.529</f>
        <v>6399.8419999999996</v>
      </c>
      <c r="P43" s="42">
        <f>O43*11.766</f>
        <v>75300.540972000003</v>
      </c>
      <c r="Q43" s="286">
        <f>SUM(Q4:Q42)</f>
        <v>3438</v>
      </c>
      <c r="R43" s="287"/>
      <c r="S43" s="288"/>
      <c r="T43" s="289">
        <f>SUM(T4:T42)</f>
        <v>3212</v>
      </c>
      <c r="U43" s="287"/>
      <c r="V43" s="288"/>
      <c r="W43" s="289">
        <f>SUM(W4:W42)</f>
        <v>3125</v>
      </c>
      <c r="X43" s="287"/>
      <c r="Y43" s="288"/>
      <c r="Z43" s="289">
        <f>SUM(Z4:Z42)</f>
        <v>2940</v>
      </c>
      <c r="AA43" s="287"/>
      <c r="AB43" s="288"/>
      <c r="AC43" s="39">
        <f t="shared" si="20"/>
        <v>12715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12715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12715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12097.999999999998</v>
      </c>
      <c r="L47" s="46">
        <f>O43</f>
        <v>6399.8419999999996</v>
      </c>
      <c r="M47" s="46">
        <f>P43</f>
        <v>75300.540972000003</v>
      </c>
    </row>
    <row r="48" spans="1:31" ht="54.75" customHeight="1" thickBot="1">
      <c r="H48" s="282" t="s">
        <v>86</v>
      </c>
      <c r="I48" s="283"/>
      <c r="J48" s="284"/>
      <c r="K48" s="43">
        <f>AC44</f>
        <v>12715</v>
      </c>
      <c r="L48" s="44">
        <f>K48*0.529</f>
        <v>6726.2350000000006</v>
      </c>
      <c r="M48" s="44">
        <f>L48*11.766</f>
        <v>79140.881010000012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11" workbookViewId="0">
      <selection activeCell="D20" sqref="D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44599</v>
      </c>
      <c r="D8" s="350"/>
      <c r="E8" s="113">
        <v>44627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1356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20429232</v>
      </c>
      <c r="D17" s="66">
        <v>20419391</v>
      </c>
      <c r="E17" s="67">
        <f>MIN(C17-D17)</f>
        <v>9841</v>
      </c>
      <c r="F17" s="67">
        <f>+E17</f>
        <v>9841</v>
      </c>
      <c r="G17" s="329"/>
      <c r="H17" s="330"/>
      <c r="I17" s="329">
        <f>+E17</f>
        <v>9841</v>
      </c>
      <c r="J17" s="330"/>
    </row>
    <row r="18" spans="1:10">
      <c r="A18" s="327" t="s">
        <v>111</v>
      </c>
      <c r="B18" s="328"/>
      <c r="C18" s="66">
        <v>11998647</v>
      </c>
      <c r="D18" s="66">
        <v>11991813</v>
      </c>
      <c r="E18" s="67">
        <f>MIN(C18-D18)</f>
        <v>6834</v>
      </c>
      <c r="F18" s="67">
        <f>+E18</f>
        <v>6834</v>
      </c>
      <c r="G18" s="329"/>
      <c r="H18" s="330"/>
      <c r="I18" s="329">
        <f>+E18</f>
        <v>6834</v>
      </c>
      <c r="J18" s="330"/>
    </row>
    <row r="19" spans="1:10">
      <c r="A19" s="327" t="s">
        <v>112</v>
      </c>
      <c r="B19" s="328"/>
      <c r="C19" s="66">
        <v>8957940</v>
      </c>
      <c r="D19" s="66">
        <v>8953138</v>
      </c>
      <c r="E19" s="67">
        <f>AVERAGE(C19-D19)</f>
        <v>4802</v>
      </c>
      <c r="F19" s="67">
        <f>+E19</f>
        <v>4802</v>
      </c>
      <c r="G19" s="329"/>
      <c r="H19" s="330"/>
      <c r="I19" s="329">
        <f>+E19</f>
        <v>4802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21477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9841</v>
      </c>
      <c r="E25" s="72">
        <v>0.95140000000000002</v>
      </c>
      <c r="F25" s="73">
        <f>PRODUCT(D25*E25)</f>
        <v>9362.7273999999998</v>
      </c>
      <c r="G25" s="151">
        <v>14</v>
      </c>
      <c r="H25" s="65">
        <f>PRODUCT(0.14,F25)</f>
        <v>1310.7818360000001</v>
      </c>
      <c r="I25" s="304">
        <f>SUM(H25,F25)</f>
        <v>10673.509236</v>
      </c>
      <c r="J25" s="305"/>
    </row>
    <row r="26" spans="1:10" ht="15">
      <c r="A26" s="301" t="s">
        <v>124</v>
      </c>
      <c r="B26" s="302"/>
      <c r="C26" s="303"/>
      <c r="D26" s="67">
        <f>+E18</f>
        <v>6834</v>
      </c>
      <c r="E26" s="74">
        <v>0.69850000000000001</v>
      </c>
      <c r="F26" s="73">
        <f>PRODUCT(D26*E26)</f>
        <v>4773.549</v>
      </c>
      <c r="G26">
        <v>14</v>
      </c>
      <c r="H26" s="67">
        <f>PRODUCT(0.14,F26)</f>
        <v>668.29686000000004</v>
      </c>
      <c r="I26" s="304">
        <f t="shared" ref="I26:I31" si="0">SUM(H26,F26)</f>
        <v>5441.8458600000004</v>
      </c>
      <c r="J26" s="305"/>
    </row>
    <row r="27" spans="1:10" ht="15">
      <c r="A27" s="301" t="s">
        <v>125</v>
      </c>
      <c r="B27" s="302"/>
      <c r="C27" s="303"/>
      <c r="D27" s="67">
        <f>+E19</f>
        <v>4802</v>
      </c>
      <c r="E27" s="74">
        <v>1.3304</v>
      </c>
      <c r="F27" s="73">
        <f>PRODUCT(D27*E27)</f>
        <v>6388.5807999999997</v>
      </c>
      <c r="G27">
        <v>14</v>
      </c>
      <c r="H27" s="67">
        <f>PRODUCT(0.14,F27)</f>
        <v>894.40131200000008</v>
      </c>
      <c r="I27" s="304">
        <f>SUM(H27,F27)</f>
        <v>7282.9821119999997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66739.527199999997</v>
      </c>
      <c r="G32" s="85"/>
      <c r="H32" s="86"/>
      <c r="I32" s="313">
        <f>SUM(I25:J31)</f>
        <v>76029.081007999994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7" zoomScaleNormal="100" workbookViewId="0">
      <selection activeCell="F32" sqref="F3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44375</v>
      </c>
      <c r="D8" s="350"/>
      <c r="E8" s="113">
        <v>44770</v>
      </c>
      <c r="F8" s="163" t="s">
        <v>131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1403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20701572</v>
      </c>
      <c r="D17" s="66">
        <v>20380254</v>
      </c>
      <c r="E17" s="67">
        <f>MIN(C17-D17)</f>
        <v>321318</v>
      </c>
      <c r="F17" s="67">
        <f>+E17</f>
        <v>321318</v>
      </c>
      <c r="G17" s="329"/>
      <c r="H17" s="330"/>
      <c r="I17" s="329">
        <f>+E17</f>
        <v>321318</v>
      </c>
      <c r="J17" s="330"/>
    </row>
    <row r="18" spans="1:10">
      <c r="A18" s="327" t="s">
        <v>111</v>
      </c>
      <c r="B18" s="328"/>
      <c r="C18" s="66">
        <v>12124967</v>
      </c>
      <c r="D18" s="66">
        <v>11971286</v>
      </c>
      <c r="E18" s="67">
        <f>MIN(C18-D18)</f>
        <v>153681</v>
      </c>
      <c r="F18" s="67">
        <f>+E18</f>
        <v>153681</v>
      </c>
      <c r="G18" s="329"/>
      <c r="H18" s="330"/>
      <c r="I18" s="329">
        <f>+E18</f>
        <v>153681</v>
      </c>
      <c r="J18" s="330"/>
    </row>
    <row r="19" spans="1:10">
      <c r="A19" s="327" t="s">
        <v>112</v>
      </c>
      <c r="B19" s="328"/>
      <c r="C19" s="66">
        <v>9064689</v>
      </c>
      <c r="D19" s="66">
        <v>8938202</v>
      </c>
      <c r="E19" s="67">
        <f>AVERAGE(C19-D19)</f>
        <v>126487</v>
      </c>
      <c r="F19" s="67">
        <f>+E19</f>
        <v>126487</v>
      </c>
      <c r="G19" s="329"/>
      <c r="H19" s="330"/>
      <c r="I19" s="329">
        <f>+E19</f>
        <v>126487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601486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321318</v>
      </c>
      <c r="E25" s="72">
        <v>0.95140000000000002</v>
      </c>
      <c r="F25" s="73">
        <f>PRODUCT(D25*E25)</f>
        <v>305701.94520000002</v>
      </c>
      <c r="G25" s="151">
        <v>14</v>
      </c>
      <c r="H25" s="65">
        <f>PRODUCT(0.14,F25)</f>
        <v>42798.272328000006</v>
      </c>
      <c r="I25" s="304">
        <f>SUM(H25,F25)</f>
        <v>348500.21752800001</v>
      </c>
      <c r="J25" s="305"/>
    </row>
    <row r="26" spans="1:10" ht="15">
      <c r="A26" s="301" t="s">
        <v>124</v>
      </c>
      <c r="B26" s="302"/>
      <c r="C26" s="303"/>
      <c r="D26" s="67">
        <f>+E18</f>
        <v>153681</v>
      </c>
      <c r="E26" s="74">
        <v>0.69850000000000001</v>
      </c>
      <c r="F26" s="73">
        <f>PRODUCT(D26*E26)</f>
        <v>107346.17849999999</v>
      </c>
      <c r="G26">
        <v>14</v>
      </c>
      <c r="H26" s="67">
        <f>PRODUCT(0.14,F26)</f>
        <v>15028.46499</v>
      </c>
      <c r="I26" s="304">
        <f t="shared" ref="I26:I31" si="0">SUM(H26,F26)</f>
        <v>122374.64348999999</v>
      </c>
      <c r="J26" s="305"/>
    </row>
    <row r="27" spans="1:10" ht="15">
      <c r="A27" s="301" t="s">
        <v>125</v>
      </c>
      <c r="B27" s="302"/>
      <c r="C27" s="303"/>
      <c r="D27" s="67">
        <f>+E19</f>
        <v>126487</v>
      </c>
      <c r="E27" s="74">
        <v>1.3304</v>
      </c>
      <c r="F27" s="73">
        <f>PRODUCT(D27*E27)</f>
        <v>168278.30480000001</v>
      </c>
      <c r="G27">
        <v>14</v>
      </c>
      <c r="H27" s="67">
        <f>PRODUCT(0.14,F27)</f>
        <v>23558.962672000005</v>
      </c>
      <c r="I27" s="304">
        <f>SUM(H27,F27)</f>
        <v>191837.26747200001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f>G12-D28</f>
        <v>403</v>
      </c>
      <c r="E29" s="76">
        <f>E28*1.5</f>
        <v>65.822505000000007</v>
      </c>
      <c r="F29" s="77">
        <f>PRODUCT(D29,E29)</f>
        <v>26526.469515000004</v>
      </c>
      <c r="G29" s="78">
        <v>14</v>
      </c>
      <c r="H29" s="75">
        <f>PRODUCT(0.14,F29)</f>
        <v>3713.7057321000011</v>
      </c>
      <c r="I29" s="317">
        <f t="shared" si="0"/>
        <v>30240.175247100007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654067.56801500008</v>
      </c>
      <c r="G32" s="85"/>
      <c r="H32" s="86"/>
      <c r="I32" s="313">
        <f>SUM(I25:J31)</f>
        <v>745583.04753710004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148296.1</v>
      </c>
      <c r="D8" s="97">
        <v>44713</v>
      </c>
      <c r="E8" s="96">
        <v>153235</v>
      </c>
      <c r="F8" s="97">
        <v>44743</v>
      </c>
      <c r="G8" s="98">
        <f>E8-C8</f>
        <v>4938.8999999999942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4938.8999999999942</v>
      </c>
      <c r="C13" s="397"/>
      <c r="D13" s="397">
        <v>8.7899999999999991</v>
      </c>
      <c r="E13" s="397"/>
      <c r="F13" s="399">
        <f>PRODUCT(D13,B13)</f>
        <v>43412.930999999946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f>G8</f>
        <v>4938.8999999999942</v>
      </c>
      <c r="C19" s="397"/>
      <c r="D19" s="397">
        <v>2.61</v>
      </c>
      <c r="E19" s="397"/>
      <c r="F19" s="397">
        <f>PRODUCT(D19,B19)</f>
        <v>12890.528999999984</v>
      </c>
      <c r="G19" s="397"/>
      <c r="H19" s="397"/>
    </row>
    <row r="20" spans="1:8" ht="18.75">
      <c r="A20" s="413" t="s">
        <v>148</v>
      </c>
      <c r="B20" s="414"/>
      <c r="C20" s="414"/>
      <c r="D20" s="414"/>
      <c r="E20" s="415"/>
      <c r="F20" s="416">
        <f>SUM(F11+F13+F16+F17+F18+F19)</f>
        <v>56326.459999999934</v>
      </c>
      <c r="G20" s="416"/>
      <c r="H20" s="416"/>
    </row>
    <row r="21" spans="1:8" ht="15">
      <c r="A21" s="402" t="s">
        <v>149</v>
      </c>
      <c r="B21" s="403"/>
      <c r="C21" s="403"/>
      <c r="D21" s="403"/>
      <c r="E21" s="404"/>
      <c r="F21" s="397">
        <f>PRODUCT(F20,0.07)</f>
        <v>3942.8521999999957</v>
      </c>
      <c r="G21" s="397"/>
      <c r="H21" s="397"/>
    </row>
    <row r="22" spans="1:8" ht="15">
      <c r="A22" s="434" t="s">
        <v>150</v>
      </c>
      <c r="B22" s="435"/>
      <c r="C22" s="435"/>
      <c r="D22" s="435"/>
      <c r="E22" s="436"/>
      <c r="F22" s="397">
        <v>208.26</v>
      </c>
      <c r="G22" s="397"/>
      <c r="H22" s="397"/>
    </row>
    <row r="23" spans="1:8" ht="15.75">
      <c r="A23" s="402" t="s">
        <v>151</v>
      </c>
      <c r="B23" s="403"/>
      <c r="C23" s="403"/>
      <c r="D23" s="403"/>
      <c r="E23" s="404"/>
      <c r="F23" s="405">
        <f>SUM(F21:H22)</f>
        <v>4151.1121999999959</v>
      </c>
      <c r="G23" s="405"/>
      <c r="H23" s="405"/>
    </row>
    <row r="24" spans="1:8">
      <c r="A24" s="406" t="s">
        <v>152</v>
      </c>
      <c r="B24" s="407"/>
      <c r="C24" s="407"/>
      <c r="D24" s="407"/>
      <c r="E24" s="408"/>
      <c r="F24" s="412">
        <f>SUM(F20,F23)</f>
        <v>60477.57219999993</v>
      </c>
      <c r="G24" s="412"/>
      <c r="H24" s="412"/>
    </row>
    <row r="25" spans="1:8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C9" sqref="C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153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153382</v>
      </c>
      <c r="D8" s="97">
        <v>44744</v>
      </c>
      <c r="E8" s="96">
        <v>153581</v>
      </c>
      <c r="F8" s="97">
        <v>44745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199</v>
      </c>
      <c r="C13" s="397"/>
      <c r="D13" s="397">
        <v>8.5</v>
      </c>
      <c r="E13" s="397"/>
      <c r="F13" s="399">
        <f>PRODUCT(D13,B13)</f>
        <v>1691.5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v>0</v>
      </c>
      <c r="C19" s="397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154</v>
      </c>
      <c r="B20" s="397">
        <f>G8</f>
        <v>199</v>
      </c>
      <c r="C20" s="397"/>
      <c r="D20" s="397">
        <v>2.54</v>
      </c>
      <c r="E20" s="397"/>
      <c r="F20" s="397">
        <f>PRODUCT(D20,B20)</f>
        <v>505.46</v>
      </c>
      <c r="G20" s="397"/>
      <c r="H20" s="397"/>
    </row>
    <row r="21" spans="1:8" ht="18.75">
      <c r="A21" s="413" t="s">
        <v>148</v>
      </c>
      <c r="B21" s="414"/>
      <c r="C21" s="414"/>
      <c r="D21" s="414"/>
      <c r="E21" s="415"/>
      <c r="F21" s="416">
        <f>SUM(F11+F13+F16+F17+F18+F20)</f>
        <v>2219.96</v>
      </c>
      <c r="G21" s="416"/>
      <c r="H21" s="416"/>
    </row>
    <row r="22" spans="1:8" ht="15">
      <c r="A22" s="402" t="s">
        <v>149</v>
      </c>
      <c r="B22" s="403"/>
      <c r="C22" s="403"/>
      <c r="D22" s="403"/>
      <c r="E22" s="404"/>
      <c r="F22" s="397">
        <f>PRODUCT(F21,0.07)</f>
        <v>155.39720000000003</v>
      </c>
      <c r="G22" s="397"/>
      <c r="H22" s="397"/>
    </row>
    <row r="23" spans="1:8" ht="15">
      <c r="A23" s="434" t="s">
        <v>150</v>
      </c>
      <c r="B23" s="435"/>
      <c r="C23" s="435"/>
      <c r="D23" s="435"/>
      <c r="E23" s="436"/>
      <c r="F23" s="397">
        <v>208.26</v>
      </c>
      <c r="G23" s="397"/>
      <c r="H23" s="397"/>
    </row>
    <row r="24" spans="1:8" ht="15.75">
      <c r="A24" s="402" t="s">
        <v>151</v>
      </c>
      <c r="B24" s="403"/>
      <c r="C24" s="403"/>
      <c r="D24" s="403"/>
      <c r="E24" s="404"/>
      <c r="F24" s="405">
        <f>SUM(F22:H23)</f>
        <v>363.65719999999999</v>
      </c>
      <c r="G24" s="405"/>
      <c r="H24" s="405"/>
    </row>
    <row r="25" spans="1:8">
      <c r="A25" s="406" t="s">
        <v>152</v>
      </c>
      <c r="B25" s="407"/>
      <c r="C25" s="407"/>
      <c r="D25" s="407"/>
      <c r="E25" s="408"/>
      <c r="F25" s="412">
        <f>SUM(F21,F24)</f>
        <v>2583.6172000000001</v>
      </c>
      <c r="G25" s="412"/>
      <c r="H25" s="412"/>
    </row>
    <row r="26" spans="1:8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155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44317</v>
      </c>
      <c r="E8" s="96">
        <v>2560</v>
      </c>
      <c r="F8" s="97">
        <v>44713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156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>
      <c r="A14" s="102" t="s">
        <v>157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158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159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160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400" t="s">
        <v>143</v>
      </c>
      <c r="B18" s="400"/>
      <c r="C18" s="400"/>
      <c r="D18" s="400"/>
      <c r="E18" s="400"/>
      <c r="F18" s="400"/>
      <c r="G18" s="400"/>
      <c r="H18" s="400"/>
    </row>
    <row r="19" spans="1:8">
      <c r="A19" s="401"/>
      <c r="B19" s="401"/>
      <c r="C19" s="401"/>
      <c r="D19" s="401"/>
      <c r="E19" s="401"/>
      <c r="F19" s="401"/>
      <c r="G19" s="401"/>
      <c r="H19" s="401"/>
    </row>
    <row r="20" spans="1:8" ht="15">
      <c r="A20" s="103" t="s">
        <v>144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145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146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147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154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413" t="s">
        <v>148</v>
      </c>
      <c r="B25" s="414"/>
      <c r="C25" s="414"/>
      <c r="D25" s="414"/>
      <c r="E25" s="415"/>
      <c r="F25" s="419">
        <f>SUM(F11+F13+F20+F21+F22+F23)</f>
        <v>15</v>
      </c>
      <c r="G25" s="416"/>
      <c r="H25" s="416"/>
    </row>
    <row r="26" spans="1:8" ht="15">
      <c r="A26" s="402" t="s">
        <v>149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>
      <c r="A27" s="434" t="s">
        <v>150</v>
      </c>
      <c r="B27" s="435"/>
      <c r="C27" s="435"/>
      <c r="D27" s="435"/>
      <c r="E27" s="436"/>
      <c r="F27" s="397">
        <v>2.4300000000000002</v>
      </c>
      <c r="G27" s="397"/>
      <c r="H27" s="397"/>
    </row>
    <row r="28" spans="1:8" ht="15.75">
      <c r="A28" s="402" t="s">
        <v>151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>
      <c r="A29" s="406" t="s">
        <v>152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5" zoomScaleNormal="100" workbookViewId="0">
      <selection activeCell="I26" sqref="I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161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/>
      <c r="K15" s="104"/>
      <c r="L15" s="104"/>
      <c r="M15" s="104"/>
      <c r="N15" s="104"/>
    </row>
    <row r="16" spans="2:14" ht="21" thickBot="1">
      <c r="C16" s="423" t="s">
        <v>182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H15" zoomScaleNormal="100" workbookViewId="0">
      <selection activeCell="H15" sqref="H15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183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/>
      <c r="J15" s="104"/>
      <c r="K15" s="104"/>
      <c r="L15" s="104"/>
      <c r="M15" s="104"/>
      <c r="N15" s="104"/>
    </row>
    <row r="16" spans="2:14" ht="21" thickBot="1">
      <c r="C16" s="423" t="s">
        <v>184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8" zoomScaleNormal="100" workbookViewId="0">
      <selection activeCell="H15" sqref="H15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185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/>
      <c r="J15" s="104"/>
      <c r="K15" s="104"/>
      <c r="L15" s="104"/>
      <c r="M15" s="104"/>
      <c r="N15" s="104"/>
    </row>
    <row r="16" spans="2:14" ht="21" thickBot="1">
      <c r="C16" s="423" t="s">
        <v>186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2022-07-31T13:00:46Z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