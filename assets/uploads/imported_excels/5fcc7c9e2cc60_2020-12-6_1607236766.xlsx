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<sst xmlns="http://schemas.openxmlformats.org/spreadsheetml/2006/main" count="128" uniqueCount="49">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</sst>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154250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105180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L27" sqref="AL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3275680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105180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154250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525.9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771.25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 t="str">
        <f t="shared" si="16"/>
        <v>0</v>
      </c>
      <c r="R12" s="37" t="str">
        <f t="shared" si="17"/>
        <v>0</v>
      </c>
      <c r="S12" s="37" t="str">
        <f t="shared" si="15"/>
        <v>0</v>
      </c>
      <c r="T12" s="37" t="str">
        <f t="shared" ref="T12:W14" si="32">IF((F12-F11&lt;0), "0",F12-F11)</f>
        <v>0</v>
      </c>
      <c r="U12" s="37" t="str">
        <f t="shared" si="32"/>
        <v>0</v>
      </c>
      <c r="V12" s="37" t="str">
        <f t="shared" si="32"/>
        <v>0</v>
      </c>
      <c r="W12" s="37" t="str">
        <f t="shared" si="32"/>
        <v>0</v>
      </c>
      <c r="X12" s="37" t="str">
        <f t="shared" si="22"/>
        <v>0</v>
      </c>
      <c r="Y12" s="37" t="str">
        <f t="shared" si="23"/>
        <v>0</v>
      </c>
      <c r="Z12" s="37" t="str">
        <f>IF((L12-L11&lt;0), "0",L12-L11)</f>
        <v>0</v>
      </c>
      <c r="AA12" s="37" t="str">
        <f t="shared" si="25"/>
        <v>0</v>
      </c>
      <c r="AB12" s="37" t="str">
        <f t="shared" si="26"/>
        <v>0</v>
      </c>
      <c r="AC12" s="37" t="str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 t="str">
        <f t="shared" si="31"/>
        <v>0</v>
      </c>
      <c r="AW12" s="35">
        <f t="shared" si="30"/>
        <v>0</v>
      </c>
    </row>
    <row r="13" spans="1:49" x14ac:dyDescent="0.25">
      <c r="A13" s="23">
        <v>44172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44173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44174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44175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44176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44177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44178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44179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44180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44181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44183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44185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44188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44189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2760</v>
      </c>
      <c r="R38" s="30">
        <f t="shared" si="62"/>
        <v>9520</v>
      </c>
      <c r="S38" s="30">
        <f t="shared" si="62"/>
        <v>110</v>
      </c>
      <c r="T38" s="30">
        <f t="shared" si="62"/>
        <v>124010</v>
      </c>
      <c r="U38" s="30">
        <f t="shared" si="62"/>
        <v>25030</v>
      </c>
      <c r="V38" s="30">
        <f t="shared" si="62"/>
        <v>17580</v>
      </c>
      <c r="W38" s="30">
        <f t="shared" si="62"/>
        <v>11880</v>
      </c>
      <c r="X38" s="30">
        <f t="shared" si="62"/>
        <v>19410</v>
      </c>
      <c r="Y38" s="30">
        <f t="shared" si="62"/>
        <v>30850</v>
      </c>
      <c r="Z38" s="30">
        <f t="shared" si="62"/>
        <v>13060</v>
      </c>
      <c r="AA38" s="30">
        <f t="shared" si="62"/>
        <v>16970</v>
      </c>
      <c r="AB38" s="30">
        <f t="shared" si="62"/>
        <v>35260</v>
      </c>
      <c r="AC38" s="30">
        <f t="shared" si="62"/>
        <v>55060</v>
      </c>
      <c r="AD38" s="35">
        <f t="shared" si="62"/>
        <v>361500</v>
      </c>
      <c r="AF38" s="35">
        <f t="shared" ref="AF38:AS38" si="63">SUM(AF7:AF34)</f>
        <v>13.8</v>
      </c>
      <c r="AG38" s="35">
        <f t="shared" si="63"/>
        <v>47.6</v>
      </c>
      <c r="AH38" s="35">
        <f t="shared" si="63"/>
        <v>0.55000000000000004</v>
      </c>
      <c r="AI38" s="35">
        <f t="shared" si="63"/>
        <v>620.04999999999995</v>
      </c>
      <c r="AJ38" s="35">
        <f t="shared" si="63"/>
        <v>125.15000000000002</v>
      </c>
      <c r="AK38" s="35">
        <f t="shared" si="63"/>
        <v>87.9</v>
      </c>
      <c r="AL38" s="35">
        <f t="shared" si="63"/>
        <v>59.400000000000006</v>
      </c>
      <c r="AM38" s="35">
        <f t="shared" si="63"/>
        <v>97.050000000000011</v>
      </c>
      <c r="AN38" s="35">
        <f t="shared" si="63"/>
        <v>154.25</v>
      </c>
      <c r="AO38" s="35">
        <f t="shared" si="63"/>
        <v>65.3</v>
      </c>
      <c r="AP38" s="35">
        <f t="shared" si="63"/>
        <v>84.850000000000009</v>
      </c>
      <c r="AQ38" s="35">
        <f t="shared" si="63"/>
        <v>176.3</v>
      </c>
      <c r="AR38" s="35">
        <f t="shared" si="63"/>
        <v>275.3</v>
      </c>
      <c r="AS38" s="35">
        <f t="shared" si="63"/>
        <v>1807.5</v>
      </c>
      <c r="AU38" s="48"/>
      <c r="AV38" s="35">
        <f>SUM(AV7:AV34)</f>
        <v>7991</v>
      </c>
      <c r="AW38" s="35">
        <f>SUM(AW7:AW34)</f>
        <v>9.9559999999999995</v>
      </c>
    </row>
    <row r="39" spans="1:49" x14ac:dyDescent="0.25">
      <c r="D39">
        <v>5.0000000000000001E-3</v>
      </c>
      <c r="AV39" s="36">
        <f>AV38*0.00378541*1000</f>
        <v>30249.211309999999</v>
      </c>
    </row>
    <row r="40" spans="1:49" x14ac:dyDescent="0.25">
      <c r="D40">
        <v>2E-3</v>
      </c>
      <c r="AV40">
        <f>AV39/31</f>
        <v>975.78100999999992</v>
      </c>
    </row>
    <row r="41" spans="1:49" x14ac:dyDescent="0.25">
      <c r="AV41">
        <f>AV38*0.00378541</f>
        <v>30.24921131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2020-12-06T06:37:52Z</dcterms:modified>
</cp:coreProperties>
</file>