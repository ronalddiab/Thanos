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08" documentId="8_{9B439D3B-B023-4087-B27B-CB56FE35C246}" xr6:coauthVersionLast="47" xr6:coauthVersionMax="47" xr10:uidLastSave="{26187F90-3EC4-4E21-AC4D-0E003A49C7A5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2" i="6"/>
  <c r="Q40" i="3"/>
  <c r="AD41" i="3"/>
  <c r="V40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2" i="6"/>
  <c r="AI40" i="3"/>
  <c r="AF40" i="3"/>
  <c r="AG40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7" i="3"/>
  <c r="W40" i="3"/>
  <c r="X40" i="3"/>
  <c r="Y40" i="3"/>
  <c r="Z40" i="3"/>
  <c r="AA40" i="3"/>
  <c r="AB40" i="3"/>
  <c r="AD40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7" i="3"/>
  <c r="AC40" i="3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7" i="3"/>
  <c r="R40" i="3"/>
  <c r="S40" i="3"/>
  <c r="T40" i="3"/>
  <c r="U40" i="3"/>
  <c r="C40" i="3"/>
  <c r="D40" i="3"/>
  <c r="E40" i="3"/>
  <c r="F40" i="3"/>
  <c r="G40" i="3"/>
  <c r="H40" i="3"/>
  <c r="J40" i="3"/>
  <c r="K40" i="3"/>
  <c r="L40" i="3"/>
  <c r="M40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7" i="3"/>
  <c r="I40" i="3" s="1"/>
  <c r="AE40" i="3"/>
  <c r="K2" i="6" l="1"/>
  <c r="G2" i="6"/>
  <c r="AH40" i="3"/>
  <c r="I2" i="6"/>
  <c r="AI42" i="3"/>
  <c r="AD42" i="3"/>
  <c r="O7" i="3"/>
  <c r="N40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0" i="3"/>
  <c r="V42" i="3"/>
  <c r="O40" i="3" l="1"/>
  <c r="P4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<sst xmlns="http://schemas.openxmlformats.org/spreadsheetml/2006/main" count="88" uniqueCount="53">
  <si>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</si>
  <si>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</si>
  <si>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</si>
  <si>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</si>
  <si>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</si>
  <si>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</si>
  <si>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</si>
  <si>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</si>
  <si>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</si>
  <si>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</si>
  <si>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</si>
  <si>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</si>
  <si>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</si>
  <si>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</si>
  <si>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</si>
  <si>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</si>
  <si>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FEBRUARY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</si>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</sst>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0" fontId="12" fillId="0" borderId="1" xfId="0" applyFont="1" applyBorder="1" applyAlignment="1">
      <alignment horizontal="center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29"/>
  <sheetViews>
    <sheetView tabSelected="1" workbookViewId="0">
      <selection activeCell="L2" sqref="L2:L29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5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2</v>
      </c>
      <c r="D2" s="97">
        <v>2019</v>
      </c>
      <c r="E2" s="99">
        <f>'Localize Daily Bali Jimbaran'!P7</f>
        <v>24460.000000000036</v>
      </c>
      <c r="F2" s="100">
        <f>'Localize Daily Bali Jimbaran'!O7/'Localize Daily Bali Jimbaran'!P7</f>
        <v>1187.6111197874079</v>
      </c>
      <c r="G2" s="99">
        <f>'Localize Daily Bali Jimbaran'!AC7</f>
        <v>302.1743999999531</v>
      </c>
      <c r="H2" s="100">
        <f>'Localize Daily Bali Jimbaran'!AD7/'Localize Daily Bali Jimbaran'!AC7</f>
        <v>10770.4852826713</v>
      </c>
      <c r="I2" s="99">
        <f>'Localize Daily Bali Jimbaran'!AH7</f>
        <v>594.41000000000349</v>
      </c>
      <c r="J2" s="157">
        <f>'Localize Daily Bali Jimbaran'!AI7/'Localize Daily Bali Jimbaran'!AH7</f>
        <v>10000</v>
      </c>
      <c r="K2" s="99">
        <f>'Localize Daily Bali Jimbaran'!Q7</f>
        <v>576</v>
      </c>
      <c r="L2" s="100">
        <f>'Localize Daily Bali Jimbaran'!V7/'Localize Daily Bali Jimbaran'!Q7</f>
        <v>10464.465625000001</v>
      </c>
      <c r="M2" s="99">
        <f>'Localize Daily Bali Jimbaran'!C7</f>
        <v>53</v>
      </c>
      <c r="N2" s="99">
        <v>169</v>
      </c>
    </row>
    <row r="3" spans="1:14" ht="15">
      <c r="A3" s="96" t="s">
        <v>14</v>
      </c>
      <c r="B3" s="97">
        <v>2</v>
      </c>
      <c r="C3" s="98">
        <v>2</v>
      </c>
      <c r="D3" s="97">
        <v>2019</v>
      </c>
      <c r="E3" s="99">
        <f>'Localize Daily Bali Jimbaran'!P8</f>
        <v>25359.999999999785</v>
      </c>
      <c r="F3" s="100">
        <f>'Localize Daily Bali Jimbaran'!O8/'Localize Daily Bali Jimbaran'!P8</f>
        <v>1187.491546135647</v>
      </c>
      <c r="G3" s="99">
        <f>'Localize Daily Bali Jimbaran'!AC8</f>
        <v>138.0798399999953</v>
      </c>
      <c r="H3" s="100">
        <f>'Localize Daily Bali Jimbaran'!AD8/'Localize Daily Bali Jimbaran'!AC8</f>
        <v>10120</v>
      </c>
      <c r="I3" s="99">
        <f>'Localize Daily Bali Jimbaran'!AH8</f>
        <v>623.94999999999709</v>
      </c>
      <c r="J3" s="157">
        <f>'Localize Daily Bali Jimbaran'!AI8/'Localize Daily Bali Jimbaran'!AH8</f>
        <v>10000</v>
      </c>
      <c r="K3" s="99">
        <f>'Localize Daily Bali Jimbaran'!Q8</f>
        <v>637</v>
      </c>
      <c r="L3" s="100">
        <f>'Localize Daily Bali Jimbaran'!V8/'Localize Daily Bali Jimbaran'!Q8</f>
        <v>10429.115384615385</v>
      </c>
      <c r="M3" s="99">
        <f>'Localize Daily Bali Jimbaran'!C8</f>
        <v>63</v>
      </c>
      <c r="N3" s="99">
        <v>205</v>
      </c>
    </row>
    <row r="4" spans="1:14" ht="15">
      <c r="A4" s="96" t="s">
        <v>14</v>
      </c>
      <c r="B4" s="97">
        <v>3</v>
      </c>
      <c r="C4" s="98">
        <v>2</v>
      </c>
      <c r="D4" s="97">
        <v>2019</v>
      </c>
      <c r="E4" s="99">
        <f>'Localize Daily Bali Jimbaran'!P9</f>
        <v>26420.000000000298</v>
      </c>
      <c r="F4" s="100">
        <f>'Localize Daily Bali Jimbaran'!O9/'Localize Daily Bali Jimbaran'!P9</f>
        <v>1185.9524182437533</v>
      </c>
      <c r="G4" s="99">
        <f>'Localize Daily Bali Jimbaran'!AC9</f>
        <v>165.10084000005392</v>
      </c>
      <c r="H4" s="100">
        <f>'Localize Daily Bali Jimbaran'!AD9/'Localize Daily Bali Jimbaran'!AC9</f>
        <v>10338.775386000389</v>
      </c>
      <c r="I4" s="99">
        <f>'Localize Daily Bali Jimbaran'!AH9</f>
        <v>552.20000000000437</v>
      </c>
      <c r="J4" s="157">
        <f>'Localize Daily Bali Jimbaran'!AI9/'Localize Daily Bali Jimbaran'!AH9</f>
        <v>10000</v>
      </c>
      <c r="K4" s="99">
        <f>'Localize Daily Bali Jimbaran'!Q9</f>
        <v>655</v>
      </c>
      <c r="L4" s="100">
        <f>'Localize Daily Bali Jimbaran'!V9/'Localize Daily Bali Jimbaran'!Q9</f>
        <v>9944.8548702290082</v>
      </c>
      <c r="M4" s="99">
        <f>'Localize Daily Bali Jimbaran'!C9</f>
        <v>71</v>
      </c>
      <c r="N4" s="99">
        <v>212</v>
      </c>
    </row>
    <row r="5" spans="1:14" ht="15">
      <c r="A5" s="96" t="s">
        <v>14</v>
      </c>
      <c r="B5" s="97">
        <v>4</v>
      </c>
      <c r="C5" s="98">
        <v>2</v>
      </c>
      <c r="D5" s="97">
        <v>2019</v>
      </c>
      <c r="E5" s="99">
        <f>'Localize Daily Bali Jimbaran'!P10</f>
        <v>25819.999999999822</v>
      </c>
      <c r="F5" s="100">
        <f>'Localize Daily Bali Jimbaran'!O10/'Localize Daily Bali Jimbaran'!P10</f>
        <v>1185.7113613477925</v>
      </c>
      <c r="G5" s="99">
        <f>'Localize Daily Bali Jimbaran'!AC10</f>
        <v>203.74875999999296</v>
      </c>
      <c r="H5" s="100">
        <f>'Localize Daily Bali Jimbaran'!AD10/'Localize Daily Bali Jimbaran'!AC10</f>
        <v>10412.026317117228</v>
      </c>
      <c r="I5" s="99">
        <f>'Localize Daily Bali Jimbaran'!AH10</f>
        <v>479.48999999999796</v>
      </c>
      <c r="J5" s="157">
        <f>'Localize Daily Bali Jimbaran'!AI10/'Localize Daily Bali Jimbaran'!AH10</f>
        <v>10000</v>
      </c>
      <c r="K5" s="99">
        <f>'Localize Daily Bali Jimbaran'!Q10</f>
        <v>642</v>
      </c>
      <c r="L5" s="100">
        <f>'Localize Daily Bali Jimbaran'!V10/'Localize Daily Bali Jimbaran'!Q10</f>
        <v>9589.9307788162005</v>
      </c>
      <c r="M5" s="99">
        <f>'Localize Daily Bali Jimbaran'!C10</f>
        <v>80</v>
      </c>
      <c r="N5" s="99">
        <v>214</v>
      </c>
    </row>
    <row r="6" spans="1:14" ht="15">
      <c r="A6" s="96" t="s">
        <v>14</v>
      </c>
      <c r="B6" s="97">
        <v>5</v>
      </c>
      <c r="C6" s="98">
        <v>2</v>
      </c>
      <c r="D6" s="97">
        <v>2019</v>
      </c>
      <c r="E6" s="99">
        <f>'Localize Daily Bali Jimbaran'!P11</f>
        <v>26460.000000000036</v>
      </c>
      <c r="F6" s="100">
        <f>'Localize Daily Bali Jimbaran'!O11/'Localize Daily Bali Jimbaran'!P11</f>
        <v>1187.0367619047647</v>
      </c>
      <c r="G6" s="99">
        <f>'Localize Daily Bali Jimbaran'!AC11</f>
        <v>140.01327999997889</v>
      </c>
      <c r="H6" s="100">
        <f>'Localize Daily Bali Jimbaran'!AD11/'Localize Daily Bali Jimbaran'!AC11</f>
        <v>10120</v>
      </c>
      <c r="I6" s="99">
        <f>'Localize Daily Bali Jimbaran'!AH11</f>
        <v>421.01000000000204</v>
      </c>
      <c r="J6" s="157">
        <f>'Localize Daily Bali Jimbaran'!AI11/'Localize Daily Bali Jimbaran'!AH11</f>
        <v>10000</v>
      </c>
      <c r="K6" s="99">
        <f>'Localize Daily Bali Jimbaran'!Q11</f>
        <v>615</v>
      </c>
      <c r="L6" s="100">
        <f>'Localize Daily Bali Jimbaran'!V11/'Localize Daily Bali Jimbaran'!Q11</f>
        <v>10494.106178861788</v>
      </c>
      <c r="M6" s="99">
        <f>'Localize Daily Bali Jimbaran'!C11</f>
        <v>98</v>
      </c>
      <c r="N6" s="99">
        <v>254</v>
      </c>
    </row>
    <row r="7" spans="1:14" ht="15">
      <c r="A7" s="96" t="s">
        <v>14</v>
      </c>
      <c r="B7" s="97">
        <v>6</v>
      </c>
      <c r="C7" s="98">
        <v>2</v>
      </c>
      <c r="D7" s="97">
        <v>2019</v>
      </c>
      <c r="E7" s="99">
        <f>'Localize Daily Bali Jimbaran'!P12</f>
        <v>27479.999999999905</v>
      </c>
      <c r="F7" s="100">
        <f>'Localize Daily Bali Jimbaran'!O12/'Localize Daily Bali Jimbaran'!P12</f>
        <v>1184.5320294759824</v>
      </c>
      <c r="G7" s="99">
        <f>'Localize Daily Bali Jimbaran'!AC12</f>
        <v>137.47564000001873</v>
      </c>
      <c r="H7" s="100">
        <f>'Localize Daily Bali Jimbaran'!AD12/'Localize Daily Bali Jimbaran'!AC12</f>
        <v>10120</v>
      </c>
      <c r="I7" s="99">
        <f>'Localize Daily Bali Jimbaran'!AH12</f>
        <v>634.05000000001019</v>
      </c>
      <c r="J7" s="157">
        <f>'Localize Daily Bali Jimbaran'!AI12/'Localize Daily Bali Jimbaran'!AH12</f>
        <v>10000</v>
      </c>
      <c r="K7" s="99">
        <f>'Localize Daily Bali Jimbaran'!Q12</f>
        <v>589</v>
      </c>
      <c r="L7" s="100">
        <f>'Localize Daily Bali Jimbaran'!V12/'Localize Daily Bali Jimbaran'!Q12</f>
        <v>10397.106112054329</v>
      </c>
      <c r="M7" s="99">
        <f>'Localize Daily Bali Jimbaran'!C12</f>
        <v>112</v>
      </c>
      <c r="N7" s="99">
        <v>293</v>
      </c>
    </row>
    <row r="8" spans="1:14" ht="15">
      <c r="A8" s="96" t="s">
        <v>14</v>
      </c>
      <c r="B8" s="97">
        <v>7</v>
      </c>
      <c r="C8" s="98">
        <v>2</v>
      </c>
      <c r="D8" s="97">
        <v>2019</v>
      </c>
      <c r="E8" s="99">
        <f>'Localize Daily Bali Jimbaran'!P13</f>
        <v>28780.0000000002</v>
      </c>
      <c r="F8" s="100">
        <f>'Localize Daily Bali Jimbaran'!O13/'Localize Daily Bali Jimbaran'!P13</f>
        <v>1182.4195277970805</v>
      </c>
      <c r="G8" s="99">
        <f>'Localize Daily Bali Jimbaran'!AC13</f>
        <v>238.2321199999742</v>
      </c>
      <c r="H8" s="100">
        <f>'Localize Daily Bali Jimbaran'!AD13/'Localize Daily Bali Jimbaran'!AC13</f>
        <v>10650.658922063129</v>
      </c>
      <c r="I8" s="99">
        <f>'Localize Daily Bali Jimbaran'!AH13</f>
        <v>738.11999999999534</v>
      </c>
      <c r="J8" s="157">
        <f>'Localize Daily Bali Jimbaran'!AI13/'Localize Daily Bali Jimbaran'!AH13</f>
        <v>10000</v>
      </c>
      <c r="K8" s="99">
        <f>'Localize Daily Bali Jimbaran'!Q13</f>
        <v>576</v>
      </c>
      <c r="L8" s="100">
        <f>'Localize Daily Bali Jimbaran'!V13/'Localize Daily Bali Jimbaran'!Q13</f>
        <v>10130.864097222224</v>
      </c>
      <c r="M8" s="99">
        <f>'Localize Daily Bali Jimbaran'!C13</f>
        <v>125</v>
      </c>
      <c r="N8" s="99">
        <v>332</v>
      </c>
    </row>
    <row r="9" spans="1:14" ht="15">
      <c r="A9" s="96" t="s">
        <v>14</v>
      </c>
      <c r="B9" s="97">
        <v>8</v>
      </c>
      <c r="C9" s="98">
        <v>2</v>
      </c>
      <c r="D9" s="97">
        <v>2019</v>
      </c>
      <c r="E9" s="99">
        <f>'Localize Daily Bali Jimbaran'!P14</f>
        <v>25799.999999999953</v>
      </c>
      <c r="F9" s="100">
        <f>'Localize Daily Bali Jimbaran'!O14/'Localize Daily Bali Jimbaran'!P14</f>
        <v>1184.5228255813986</v>
      </c>
      <c r="G9" s="99">
        <f>'Localize Daily Bali Jimbaran'!AC14</f>
        <v>159.58935999998121</v>
      </c>
      <c r="H9" s="100">
        <f>'Localize Daily Bali Jimbaran'!AD14/'Localize Daily Bali Jimbaran'!AC14</f>
        <v>10120</v>
      </c>
      <c r="I9" s="99">
        <f>'Localize Daily Bali Jimbaran'!AH14</f>
        <v>587.2300000000032</v>
      </c>
      <c r="J9" s="157">
        <f>'Localize Daily Bali Jimbaran'!AI14/'Localize Daily Bali Jimbaran'!AH14</f>
        <v>10000</v>
      </c>
      <c r="K9" s="99">
        <f>'Localize Daily Bali Jimbaran'!Q14</f>
        <v>595</v>
      </c>
      <c r="L9" s="100">
        <f>'Localize Daily Bali Jimbaran'!V14/'Localize Daily Bali Jimbaran'!Q14</f>
        <v>10404.273176470588</v>
      </c>
      <c r="M9" s="99">
        <f>'Localize Daily Bali Jimbaran'!C14</f>
        <v>135</v>
      </c>
      <c r="N9" s="99">
        <v>359</v>
      </c>
    </row>
    <row r="10" spans="1:14" ht="15">
      <c r="A10" s="96" t="s">
        <v>14</v>
      </c>
      <c r="B10" s="97">
        <v>9</v>
      </c>
      <c r="C10" s="98">
        <v>2</v>
      </c>
      <c r="D10" s="97">
        <v>2019</v>
      </c>
      <c r="E10" s="99">
        <f>'Localize Daily Bali Jimbaran'!P15</f>
        <v>25839.99999999992</v>
      </c>
      <c r="F10" s="100">
        <f>'Localize Daily Bali Jimbaran'!O15/'Localize Daily Bali Jimbaran'!P15</f>
        <v>1184.7936280959682</v>
      </c>
      <c r="G10" s="99">
        <f>'Localize Daily Bali Jimbaran'!AC15</f>
        <v>203.34596000002813</v>
      </c>
      <c r="H10" s="100">
        <f>'Localize Daily Bali Jimbaran'!AD15/'Localize Daily Bali Jimbaran'!AC15</f>
        <v>10412.60478054244</v>
      </c>
      <c r="I10" s="99">
        <f>'Localize Daily Bali Jimbaran'!AH15</f>
        <v>591.69999999999709</v>
      </c>
      <c r="J10" s="157">
        <f>'Localize Daily Bali Jimbaran'!AI15/'Localize Daily Bali Jimbaran'!AH15</f>
        <v>10000</v>
      </c>
      <c r="K10" s="99">
        <f>'Localize Daily Bali Jimbaran'!Q15</f>
        <v>581</v>
      </c>
      <c r="L10" s="100">
        <f>'Localize Daily Bali Jimbaran'!V15/'Localize Daily Bali Jimbaran'!Q15</f>
        <v>10292.825301204819</v>
      </c>
      <c r="M10" s="99">
        <f>'Localize Daily Bali Jimbaran'!C15</f>
        <v>127</v>
      </c>
      <c r="N10" s="99">
        <v>330</v>
      </c>
    </row>
    <row r="11" spans="1:14" ht="15">
      <c r="A11" s="96" t="s">
        <v>14</v>
      </c>
      <c r="B11" s="97">
        <v>10</v>
      </c>
      <c r="C11" s="98">
        <v>2</v>
      </c>
      <c r="D11" s="97">
        <v>2019</v>
      </c>
      <c r="E11" s="99">
        <f>'Localize Daily Bali Jimbaran'!P16</f>
        <v>26979.999999999334</v>
      </c>
      <c r="F11" s="100">
        <f>'Localize Daily Bali Jimbaran'!O16/'Localize Daily Bali Jimbaran'!P16</f>
        <v>1183.5072587101579</v>
      </c>
      <c r="G11" s="99">
        <f>'Localize Daily Bali Jimbaran'!AC16</f>
        <v>307.28995999996948</v>
      </c>
      <c r="H11" s="100">
        <f>'Localize Daily Bali Jimbaran'!AD16/'Localize Daily Bali Jimbaran'!AC16</f>
        <v>10759.65643394278</v>
      </c>
      <c r="I11" s="99">
        <f>'Localize Daily Bali Jimbaran'!AH16</f>
        <v>429.40000000000146</v>
      </c>
      <c r="J11" s="157">
        <f>'Localize Daily Bali Jimbaran'!AI16/'Localize Daily Bali Jimbaran'!AH16</f>
        <v>10000</v>
      </c>
      <c r="K11" s="99">
        <f>'Localize Daily Bali Jimbaran'!Q16</f>
        <v>564</v>
      </c>
      <c r="L11" s="100">
        <f>'Localize Daily Bali Jimbaran'!V16/'Localize Daily Bali Jimbaran'!Q16</f>
        <v>10134.413049645391</v>
      </c>
      <c r="M11" s="99">
        <f>'Localize Daily Bali Jimbaran'!C16</f>
        <v>105</v>
      </c>
      <c r="N11" s="99">
        <v>277</v>
      </c>
    </row>
    <row r="12" spans="1:14" ht="15">
      <c r="A12" s="96" t="s">
        <v>14</v>
      </c>
      <c r="B12" s="97">
        <v>11</v>
      </c>
      <c r="C12" s="98">
        <v>2</v>
      </c>
      <c r="D12" s="97">
        <v>2019</v>
      </c>
      <c r="E12" s="99">
        <f>'Localize Daily Bali Jimbaran'!P17</f>
        <v>26620.000000000346</v>
      </c>
      <c r="F12" s="100">
        <f>'Localize Daily Bali Jimbaran'!O17/'Localize Daily Bali Jimbaran'!P17</f>
        <v>1184.3961423741584</v>
      </c>
      <c r="G12" s="99">
        <f>'Localize Daily Bali Jimbaran'!AC17</f>
        <v>142.87316000000467</v>
      </c>
      <c r="H12" s="100">
        <f>'Localize Daily Bali Jimbaran'!AD17/'Localize Daily Bali Jimbaran'!AC17</f>
        <v>10120</v>
      </c>
      <c r="I12" s="99">
        <f>'Localize Daily Bali Jimbaran'!AH17</f>
        <v>487</v>
      </c>
      <c r="J12" s="157">
        <f>'Localize Daily Bali Jimbaran'!AI17/'Localize Daily Bali Jimbaran'!AH17</f>
        <v>10000</v>
      </c>
      <c r="K12" s="99">
        <f>'Localize Daily Bali Jimbaran'!Q17</f>
        <v>670</v>
      </c>
      <c r="L12" s="100">
        <f>'Localize Daily Bali Jimbaran'!V17/'Localize Daily Bali Jimbaran'!Q17</f>
        <v>9550.9380298507476</v>
      </c>
      <c r="M12" s="99">
        <f>'Localize Daily Bali Jimbaran'!C17</f>
        <v>86</v>
      </c>
      <c r="N12" s="99">
        <v>228</v>
      </c>
    </row>
    <row r="13" spans="1:14" ht="15">
      <c r="A13" s="96" t="s">
        <v>14</v>
      </c>
      <c r="B13" s="97">
        <v>12</v>
      </c>
      <c r="C13" s="98">
        <v>2</v>
      </c>
      <c r="D13" s="97">
        <v>2019</v>
      </c>
      <c r="E13" s="99">
        <f>'Localize Daily Bali Jimbaran'!P18</f>
        <v>25500.000000000455</v>
      </c>
      <c r="F13" s="100">
        <f>'Localize Daily Bali Jimbaran'!O18/'Localize Daily Bali Jimbaran'!P18</f>
        <v>1188.2224447058763</v>
      </c>
      <c r="G13" s="99">
        <f>'Localize Daily Bali Jimbaran'!AC18</f>
        <v>185.03599999999997</v>
      </c>
      <c r="H13" s="100">
        <f>'Localize Daily Bali Jimbaran'!AD18/'Localize Daily Bali Jimbaran'!AC18</f>
        <v>10412.80788603299</v>
      </c>
      <c r="I13" s="99">
        <f>'Localize Daily Bali Jimbaran'!AH18</f>
        <v>407.04000000000087</v>
      </c>
      <c r="J13" s="157">
        <f>'Localize Daily Bali Jimbaran'!AI18/'Localize Daily Bali Jimbaran'!AH18</f>
        <v>10000</v>
      </c>
      <c r="K13" s="99">
        <f>'Localize Daily Bali Jimbaran'!Q18</f>
        <v>680</v>
      </c>
      <c r="L13" s="100">
        <f>'Localize Daily Bali Jimbaran'!V18/'Localize Daily Bali Jimbaran'!Q18</f>
        <v>9109.5948823529397</v>
      </c>
      <c r="M13" s="99">
        <f>'Localize Daily Bali Jimbaran'!C18</f>
        <v>70</v>
      </c>
      <c r="N13" s="99">
        <v>178</v>
      </c>
    </row>
    <row r="14" spans="1:14" ht="15">
      <c r="A14" s="96" t="s">
        <v>14</v>
      </c>
      <c r="B14" s="97">
        <v>13</v>
      </c>
      <c r="C14" s="98">
        <v>2</v>
      </c>
      <c r="D14" s="97">
        <v>2019</v>
      </c>
      <c r="E14" s="99">
        <f>'Localize Daily Bali Jimbaran'!P19</f>
        <v>25819.999999999709</v>
      </c>
      <c r="F14" s="100">
        <f>'Localize Daily Bali Jimbaran'!O19/'Localize Daily Bali Jimbaran'!P19</f>
        <v>1179.8143954299028</v>
      </c>
      <c r="G14" s="99">
        <f>'Localize Daily Bali Jimbaran'!AC19</f>
        <v>150.36180000002344</v>
      </c>
      <c r="H14" s="100">
        <f>'Localize Daily Bali Jimbaran'!AD19/'Localize Daily Bali Jimbaran'!AC19</f>
        <v>10240.110293970924</v>
      </c>
      <c r="I14" s="99">
        <f>'Localize Daily Bali Jimbaran'!AH19</f>
        <v>666.12999999999738</v>
      </c>
      <c r="J14" s="157">
        <f>'Localize Daily Bali Jimbaran'!AI19/'Localize Daily Bali Jimbaran'!AH19</f>
        <v>10000</v>
      </c>
      <c r="K14" s="99">
        <f>'Localize Daily Bali Jimbaran'!Q19</f>
        <v>592</v>
      </c>
      <c r="L14" s="100">
        <f>'Localize Daily Bali Jimbaran'!V19/'Localize Daily Bali Jimbaran'!Q19</f>
        <v>9971.7915540540525</v>
      </c>
      <c r="M14" s="99">
        <f>'Localize Daily Bali Jimbaran'!C19</f>
        <v>69</v>
      </c>
      <c r="N14" s="99">
        <v>172</v>
      </c>
    </row>
    <row r="15" spans="1:14" ht="15">
      <c r="A15" s="96" t="s">
        <v>14</v>
      </c>
      <c r="B15" s="97">
        <v>14</v>
      </c>
      <c r="C15" s="98">
        <v>2</v>
      </c>
      <c r="D15" s="97">
        <v>2019</v>
      </c>
      <c r="E15" s="99">
        <f>'Localize Daily Bali Jimbaran'!P20</f>
        <v>26000.000000000226</v>
      </c>
      <c r="F15" s="100">
        <f>'Localize Daily Bali Jimbaran'!O20/'Localize Daily Bali Jimbaran'!P20</f>
        <v>1183.3587311538488</v>
      </c>
      <c r="G15" s="99">
        <f>'Localize Daily Bali Jimbaran'!AC20</f>
        <v>436.67003999997189</v>
      </c>
      <c r="H15" s="100">
        <f>'Localize Daily Bali Jimbaran'!AD20/'Localize Daily Bali Jimbaran'!AC20</f>
        <v>10937.550936171445</v>
      </c>
      <c r="I15" s="99">
        <f>'Localize Daily Bali Jimbaran'!AH20</f>
        <v>1013.0299999999916</v>
      </c>
      <c r="J15" s="157">
        <f>'Localize Daily Bali Jimbaran'!AI20/'Localize Daily Bali Jimbaran'!AH20</f>
        <v>10000</v>
      </c>
      <c r="K15" s="99">
        <f>'Localize Daily Bali Jimbaran'!Q20</f>
        <v>684</v>
      </c>
      <c r="L15" s="100">
        <f>'Localize Daily Bali Jimbaran'!V20/'Localize Daily Bali Jimbaran'!Q20</f>
        <v>8980.8167251462</v>
      </c>
      <c r="M15" s="99">
        <f>'Localize Daily Bali Jimbaran'!C20</f>
        <v>60</v>
      </c>
      <c r="N15" s="99">
        <v>166</v>
      </c>
    </row>
    <row r="16" spans="1:14" ht="15">
      <c r="A16" s="96" t="s">
        <v>14</v>
      </c>
      <c r="B16" s="97">
        <v>15</v>
      </c>
      <c r="C16" s="98">
        <v>2</v>
      </c>
      <c r="D16" s="97">
        <v>2019</v>
      </c>
      <c r="E16" s="99">
        <f>'Localize Daily Bali Jimbaran'!P21</f>
        <v>26420.000000000753</v>
      </c>
      <c r="F16" s="100">
        <f>'Localize Daily Bali Jimbaran'!O21/'Localize Daily Bali Jimbaran'!P21</f>
        <v>1184.7174799394377</v>
      </c>
      <c r="G16" s="99">
        <f>'Localize Daily Bali Jimbaran'!AC21</f>
        <v>186.26724000000701</v>
      </c>
      <c r="H16" s="100">
        <f>'Localize Daily Bali Jimbaran'!AD21/'Localize Daily Bali Jimbaran'!AC21</f>
        <v>10439.43351928121</v>
      </c>
      <c r="I16" s="99">
        <f>'Localize Daily Bali Jimbaran'!AH21</f>
        <v>564.09999999999854</v>
      </c>
      <c r="J16" s="157">
        <f>'Localize Daily Bali Jimbaran'!AI21/'Localize Daily Bali Jimbaran'!AH21</f>
        <v>10000</v>
      </c>
      <c r="K16" s="99">
        <f>'Localize Daily Bali Jimbaran'!Q21</f>
        <v>559</v>
      </c>
      <c r="L16" s="100">
        <f>'Localize Daily Bali Jimbaran'!V21/'Localize Daily Bali Jimbaran'!Q21</f>
        <v>10506.283041144903</v>
      </c>
      <c r="M16" s="99">
        <f>'Localize Daily Bali Jimbaran'!C21</f>
        <v>63</v>
      </c>
      <c r="N16" s="99">
        <v>176</v>
      </c>
    </row>
    <row r="17" spans="1:14" ht="15">
      <c r="A17" s="96" t="s">
        <v>14</v>
      </c>
      <c r="B17" s="97">
        <v>16</v>
      </c>
      <c r="C17" s="98">
        <v>2</v>
      </c>
      <c r="D17" s="97">
        <v>2019</v>
      </c>
      <c r="E17" s="99">
        <f>'Localize Daily Bali Jimbaran'!P22</f>
        <v>25579.999999999472</v>
      </c>
      <c r="F17" s="100">
        <f>'Localize Daily Bali Jimbaran'!O22/'Localize Daily Bali Jimbaran'!P22</f>
        <v>1187.0573291634075</v>
      </c>
      <c r="G17" s="99">
        <f>'Localize Daily Bali Jimbaran'!AC22</f>
        <v>226.19724000000701</v>
      </c>
      <c r="H17" s="100">
        <f>'Localize Daily Bali Jimbaran'!AD22/'Localize Daily Bali Jimbaran'!AC22</f>
        <v>10646.089531419555</v>
      </c>
      <c r="I17" s="99">
        <f>'Localize Daily Bali Jimbaran'!AH22</f>
        <v>600.65000000000146</v>
      </c>
      <c r="J17" s="157">
        <f>'Localize Daily Bali Jimbaran'!AI22/'Localize Daily Bali Jimbaran'!AH22</f>
        <v>10000</v>
      </c>
      <c r="K17" s="99">
        <f>'Localize Daily Bali Jimbaran'!Q22</f>
        <v>504</v>
      </c>
      <c r="L17" s="100">
        <f>'Localize Daily Bali Jimbaran'!V22/'Localize Daily Bali Jimbaran'!Q22</f>
        <v>10917.210555555555</v>
      </c>
      <c r="M17" s="99">
        <f>'Localize Daily Bali Jimbaran'!C22</f>
        <v>66</v>
      </c>
      <c r="N17" s="99">
        <v>153</v>
      </c>
    </row>
    <row r="18" spans="1:14" ht="15">
      <c r="A18" s="96" t="s">
        <v>14</v>
      </c>
      <c r="B18" s="97">
        <v>17</v>
      </c>
      <c r="C18" s="98">
        <v>2</v>
      </c>
      <c r="D18" s="97">
        <v>2019</v>
      </c>
      <c r="E18" s="99">
        <f>'Localize Daily Bali Jimbaran'!P23</f>
        <v>27479.999999999338</v>
      </c>
      <c r="F18" s="100">
        <f>'Localize Daily Bali Jimbaran'!O23/'Localize Daily Bali Jimbaran'!P23</f>
        <v>1184.9277969432308</v>
      </c>
      <c r="G18" s="99">
        <f>'Localize Daily Bali Jimbaran'!AC23</f>
        <v>153.34251999998591</v>
      </c>
      <c r="H18" s="100">
        <f>'Localize Daily Bali Jimbaran'!AD23/'Localize Daily Bali Jimbaran'!AC23</f>
        <v>10237.775552403871</v>
      </c>
      <c r="I18" s="99">
        <f>'Localize Daily Bali Jimbaran'!AH23</f>
        <v>558.94999999999709</v>
      </c>
      <c r="J18" s="157">
        <f>'Localize Daily Bali Jimbaran'!AI23/'Localize Daily Bali Jimbaran'!AH23</f>
        <v>10000</v>
      </c>
      <c r="K18" s="99">
        <f>'Localize Daily Bali Jimbaran'!Q23</f>
        <v>615.39999999999418</v>
      </c>
      <c r="L18" s="100">
        <f>'Localize Daily Bali Jimbaran'!V23/'Localize Daily Bali Jimbaran'!Q23</f>
        <v>9687.1333311667731</v>
      </c>
      <c r="M18" s="99">
        <f>'Localize Daily Bali Jimbaran'!C23</f>
        <v>100</v>
      </c>
      <c r="N18" s="99">
        <v>178</v>
      </c>
    </row>
    <row r="19" spans="1:14" ht="15">
      <c r="A19" s="96" t="s">
        <v>14</v>
      </c>
      <c r="B19" s="97">
        <v>18</v>
      </c>
      <c r="C19" s="98">
        <v>2</v>
      </c>
      <c r="D19" s="97">
        <v>2019</v>
      </c>
      <c r="E19" s="99">
        <f>'Localize Daily Bali Jimbaran'!P24</f>
        <v>22400.000000000546</v>
      </c>
      <c r="F19" s="100">
        <f>'Localize Daily Bali Jimbaran'!O24/'Localize Daily Bali Jimbaran'!P24</f>
        <v>1096.7939156250025</v>
      </c>
      <c r="G19" s="99">
        <f>'Localize Daily Bali Jimbaran'!AC24</f>
        <v>172.27068000004923</v>
      </c>
      <c r="H19" s="100">
        <f>'Localize Daily Bali Jimbaran'!AD24/'Localize Daily Bali Jimbaran'!AC24</f>
        <v>10329.670037872897</v>
      </c>
      <c r="I19" s="99">
        <f>'Localize Daily Bali Jimbaran'!AH24</f>
        <v>7753.68</v>
      </c>
      <c r="J19" s="157">
        <f>'Localize Daily Bali Jimbaran'!AI24/'Localize Daily Bali Jimbaran'!AH24</f>
        <v>10000</v>
      </c>
      <c r="K19" s="99">
        <f>'Localize Daily Bali Jimbaran'!Q24</f>
        <v>488</v>
      </c>
      <c r="L19" s="100">
        <f>'Localize Daily Bali Jimbaran'!V24/'Localize Daily Bali Jimbaran'!Q24</f>
        <v>10432.824262295082</v>
      </c>
      <c r="M19" s="99">
        <f>'Localize Daily Bali Jimbaran'!C24</f>
        <v>99</v>
      </c>
      <c r="N19" s="99">
        <v>177</v>
      </c>
    </row>
    <row r="20" spans="1:14" ht="15">
      <c r="A20" s="96" t="s">
        <v>14</v>
      </c>
      <c r="B20" s="97">
        <v>19</v>
      </c>
      <c r="C20" s="98">
        <v>2</v>
      </c>
      <c r="D20" s="97">
        <v>2019</v>
      </c>
      <c r="E20" s="99">
        <f>'Localize Daily Bali Jimbaran'!P25</f>
        <v>27059.999999999945</v>
      </c>
      <c r="F20" s="100">
        <f>'Localize Daily Bali Jimbaran'!O25/'Localize Daily Bali Jimbaran'!P25</f>
        <v>1180.0083458980027</v>
      </c>
      <c r="G20" s="99">
        <f>'Localize Daily Bali Jimbaran'!AC25</f>
        <v>170.26355999995778</v>
      </c>
      <c r="H20" s="100">
        <f>'Localize Daily Bali Jimbaran'!AD25/'Localize Daily Bali Jimbaran'!AC25</f>
        <v>10120</v>
      </c>
      <c r="I20" s="99">
        <f>'Localize Daily Bali Jimbaran'!AH25</f>
        <v>1122.6900000000023</v>
      </c>
      <c r="J20" s="157">
        <f>'Localize Daily Bali Jimbaran'!AI25/'Localize Daily Bali Jimbaran'!AH25</f>
        <v>10000</v>
      </c>
      <c r="K20" s="99">
        <f>'Localize Daily Bali Jimbaran'!Q25</f>
        <v>541.60000000000582</v>
      </c>
      <c r="L20" s="100">
        <f>'Localize Daily Bali Jimbaran'!V25/'Localize Daily Bali Jimbaran'!Q25</f>
        <v>10783.460206794613</v>
      </c>
      <c r="M20" s="99">
        <f>'Localize Daily Bali Jimbaran'!C25</f>
        <v>103</v>
      </c>
      <c r="N20" s="99">
        <v>174</v>
      </c>
    </row>
    <row r="21" spans="1:14" ht="15">
      <c r="A21" s="96" t="s">
        <v>14</v>
      </c>
      <c r="B21" s="97">
        <v>20</v>
      </c>
      <c r="C21" s="98">
        <v>2</v>
      </c>
      <c r="D21" s="97">
        <v>2019</v>
      </c>
      <c r="E21" s="99">
        <f>'Localize Daily Bali Jimbaran'!P26</f>
        <v>25879.99999999988</v>
      </c>
      <c r="F21" s="100">
        <f>'Localize Daily Bali Jimbaran'!O26/'Localize Daily Bali Jimbaran'!P26</f>
        <v>1185.9040641421966</v>
      </c>
      <c r="G21" s="99">
        <f>'Localize Daily Bali Jimbaran'!AC26</f>
        <v>176.98</v>
      </c>
      <c r="H21" s="100">
        <f>'Localize Daily Bali Jimbaran'!AD26/'Localize Daily Bali Jimbaran'!AC26</f>
        <v>10426.136286586056</v>
      </c>
      <c r="I21" s="99">
        <f>'Localize Daily Bali Jimbaran'!AH26</f>
        <v>2201.1299999999901</v>
      </c>
      <c r="J21" s="157">
        <f>'Localize Daily Bali Jimbaran'!AI26/'Localize Daily Bali Jimbaran'!AH26</f>
        <v>10000</v>
      </c>
      <c r="K21" s="99">
        <f>'Localize Daily Bali Jimbaran'!Q26</f>
        <v>625</v>
      </c>
      <c r="L21" s="100">
        <f>'Localize Daily Bali Jimbaran'!V26/'Localize Daily Bali Jimbaran'!Q26</f>
        <v>8900.8085439999995</v>
      </c>
      <c r="M21" s="99">
        <f>'Localize Daily Bali Jimbaran'!C26</f>
        <v>102</v>
      </c>
      <c r="N21" s="99">
        <v>166</v>
      </c>
    </row>
    <row r="22" spans="1:14" ht="15">
      <c r="A22" s="96" t="s">
        <v>14</v>
      </c>
      <c r="B22" s="97">
        <v>21</v>
      </c>
      <c r="C22" s="98">
        <v>2</v>
      </c>
      <c r="D22" s="97">
        <v>2019</v>
      </c>
      <c r="E22" s="99">
        <f>'Localize Daily Bali Jimbaran'!P27</f>
        <v>25839.999999999916</v>
      </c>
      <c r="F22" s="100">
        <f>'Localize Daily Bali Jimbaran'!O27/'Localize Daily Bali Jimbaran'!P27</f>
        <v>1184.372742260065</v>
      </c>
      <c r="G22" s="99">
        <f>'Localize Daily Bali Jimbaran'!AC27</f>
        <v>450.63148000001405</v>
      </c>
      <c r="H22" s="100">
        <f>'Localize Daily Bali Jimbaran'!AD27/'Localize Daily Bali Jimbaran'!AC27</f>
        <v>11008.841587365328</v>
      </c>
      <c r="I22" s="99">
        <f>'Localize Daily Bali Jimbaran'!AH27</f>
        <v>2849.8000000000029</v>
      </c>
      <c r="J22" s="157">
        <f>'Localize Daily Bali Jimbaran'!AI27/'Localize Daily Bali Jimbaran'!AH27</f>
        <v>10000</v>
      </c>
      <c r="K22" s="99">
        <f>'Localize Daily Bali Jimbaran'!Q27</f>
        <v>394</v>
      </c>
      <c r="L22" s="100">
        <f>'Localize Daily Bali Jimbaran'!V27/'Localize Daily Bali Jimbaran'!Q27</f>
        <v>12605.781015228426</v>
      </c>
      <c r="M22" s="99">
        <f>'Localize Daily Bali Jimbaran'!C27</f>
        <v>103</v>
      </c>
      <c r="N22" s="99">
        <v>173</v>
      </c>
    </row>
    <row r="23" spans="1:14" ht="15">
      <c r="A23" s="96" t="s">
        <v>14</v>
      </c>
      <c r="B23" s="97">
        <v>22</v>
      </c>
      <c r="C23" s="98">
        <v>2</v>
      </c>
      <c r="D23" s="97">
        <v>2019</v>
      </c>
      <c r="E23" s="99">
        <f>'Localize Daily Bali Jimbaran'!P28</f>
        <v>26220.000000000255</v>
      </c>
      <c r="F23" s="100">
        <f>'Localize Daily Bali Jimbaran'!O28/'Localize Daily Bali Jimbaran'!P28</f>
        <v>1180.0662871853544</v>
      </c>
      <c r="G23" s="99">
        <f>'Localize Daily Bali Jimbaran'!AC28</f>
        <v>141.33908000000233</v>
      </c>
      <c r="H23" s="100">
        <f>'Localize Daily Bali Jimbaran'!AD28/'Localize Daily Bali Jimbaran'!AC28</f>
        <v>10247.777823373406</v>
      </c>
      <c r="I23" s="99">
        <f>'Localize Daily Bali Jimbaran'!AH28</f>
        <v>559.48999999999069</v>
      </c>
      <c r="J23" s="157">
        <f>'Localize Daily Bali Jimbaran'!AI28/'Localize Daily Bali Jimbaran'!AH28</f>
        <v>10000</v>
      </c>
      <c r="K23" s="99">
        <f>'Localize Daily Bali Jimbaran'!Q28</f>
        <v>537</v>
      </c>
      <c r="L23" s="100">
        <f>'Localize Daily Bali Jimbaran'!V28/'Localize Daily Bali Jimbaran'!Q28</f>
        <v>11043.941862197393</v>
      </c>
      <c r="M23" s="99">
        <f>'Localize Daily Bali Jimbaran'!C28</f>
        <v>54</v>
      </c>
      <c r="N23" s="99">
        <v>115</v>
      </c>
    </row>
    <row r="24" spans="1:14" ht="15">
      <c r="A24" s="96" t="s">
        <v>14</v>
      </c>
      <c r="B24" s="97">
        <v>23</v>
      </c>
      <c r="C24" s="98">
        <v>2</v>
      </c>
      <c r="D24" s="97">
        <v>2019</v>
      </c>
      <c r="E24" s="99">
        <f>'Localize Daily Bali Jimbaran'!P29</f>
        <v>25259.999999999764</v>
      </c>
      <c r="F24" s="100">
        <f>'Localize Daily Bali Jimbaran'!O29/'Localize Daily Bali Jimbaran'!P29</f>
        <v>1186.5954726840846</v>
      </c>
      <c r="G24" s="99">
        <f>'Localize Daily Bali Jimbaran'!AC29</f>
        <v>436.26380000002342</v>
      </c>
      <c r="H24" s="100">
        <f>'Localize Daily Bali Jimbaran'!AD29/'Localize Daily Bali Jimbaran'!AC29</f>
        <v>10979.709194299367</v>
      </c>
      <c r="I24" s="99">
        <f>'Localize Daily Bali Jimbaran'!AH29</f>
        <v>608.93000000002212</v>
      </c>
      <c r="J24" s="157">
        <f>'Localize Daily Bali Jimbaran'!AI29/'Localize Daily Bali Jimbaran'!AH29</f>
        <v>10000</v>
      </c>
      <c r="K24" s="99">
        <f>'Localize Daily Bali Jimbaran'!Q29</f>
        <v>500</v>
      </c>
      <c r="L24" s="100">
        <f>'Localize Daily Bali Jimbaran'!V29/'Localize Daily Bali Jimbaran'!Q29</f>
        <v>11217.64256</v>
      </c>
      <c r="M24" s="99">
        <f>'Localize Daily Bali Jimbaran'!C29</f>
        <v>41</v>
      </c>
      <c r="N24" s="99">
        <v>128</v>
      </c>
    </row>
    <row r="25" spans="1:14" ht="15">
      <c r="A25" s="96" t="s">
        <v>14</v>
      </c>
      <c r="B25" s="97">
        <v>24</v>
      </c>
      <c r="C25" s="98">
        <v>2</v>
      </c>
      <c r="D25" s="97">
        <v>2019</v>
      </c>
      <c r="E25" s="99">
        <f>'Localize Daily Bali Jimbaran'!P30</f>
        <v>25880.000000000335</v>
      </c>
      <c r="F25" s="100">
        <f>'Localize Daily Bali Jimbaran'!O30/'Localize Daily Bali Jimbaran'!P30</f>
        <v>1183.8028875579619</v>
      </c>
      <c r="G25" s="99">
        <f>'Localize Daily Bali Jimbaran'!AC30</f>
        <v>124.14295999996951</v>
      </c>
      <c r="H25" s="100">
        <f>'Localize Daily Bali Jimbaran'!AD30/'Localize Daily Bali Jimbaran'!AC30</f>
        <v>10120.000000000002</v>
      </c>
      <c r="I25" s="99">
        <f>'Localize Daily Bali Jimbaran'!AH30</f>
        <v>521.52999999999884</v>
      </c>
      <c r="J25" s="157">
        <f>'Localize Daily Bali Jimbaran'!AI30/'Localize Daily Bali Jimbaran'!AH30</f>
        <v>10000</v>
      </c>
      <c r="K25" s="99">
        <f>'Localize Daily Bali Jimbaran'!Q30</f>
        <v>476</v>
      </c>
      <c r="L25" s="100">
        <f>'Localize Daily Bali Jimbaran'!V30/'Localize Daily Bali Jimbaran'!Q30</f>
        <v>11367.352352941176</v>
      </c>
      <c r="M25" s="99">
        <f>'Localize Daily Bali Jimbaran'!C30</f>
        <v>35</v>
      </c>
      <c r="N25" s="99">
        <v>114</v>
      </c>
    </row>
    <row r="26" spans="1:14" ht="15">
      <c r="A26" s="96" t="s">
        <v>14</v>
      </c>
      <c r="B26" s="97">
        <v>25</v>
      </c>
      <c r="C26" s="98">
        <v>2</v>
      </c>
      <c r="D26" s="97">
        <v>2019</v>
      </c>
      <c r="E26" s="99">
        <f>'Localize Daily Bali Jimbaran'!P31</f>
        <v>25779.999999999745</v>
      </c>
      <c r="F26" s="100">
        <f>'Localize Daily Bali Jimbaran'!O31/'Localize Daily Bali Jimbaran'!P31</f>
        <v>1186.70736889061</v>
      </c>
      <c r="G26" s="99">
        <f>'Localize Daily Bali Jimbaran'!AC31</f>
        <v>120.31636000003985</v>
      </c>
      <c r="H26" s="100">
        <f>'Localize Daily Bali Jimbaran'!AD31/'Localize Daily Bali Jimbaran'!AC31</f>
        <v>10120</v>
      </c>
      <c r="I26" s="99">
        <f>'Localize Daily Bali Jimbaran'!AH31</f>
        <v>424.47999999999593</v>
      </c>
      <c r="J26" s="157">
        <f>'Localize Daily Bali Jimbaran'!AI31/'Localize Daily Bali Jimbaran'!AH31</f>
        <v>10000</v>
      </c>
      <c r="K26" s="99">
        <f>'Localize Daily Bali Jimbaran'!Q31</f>
        <v>482</v>
      </c>
      <c r="L26" s="100">
        <f>'Localize Daily Bali Jimbaran'!V31/'Localize Daily Bali Jimbaran'!Q31</f>
        <v>11307.170373443983</v>
      </c>
      <c r="M26" s="99">
        <f>'Localize Daily Bali Jimbaran'!C31</f>
        <v>33</v>
      </c>
      <c r="N26" s="99">
        <v>112</v>
      </c>
    </row>
    <row r="27" spans="1:14" ht="15">
      <c r="A27" s="96" t="s">
        <v>14</v>
      </c>
      <c r="B27" s="97">
        <v>26</v>
      </c>
      <c r="C27" s="98">
        <v>2</v>
      </c>
      <c r="D27" s="97">
        <v>2019</v>
      </c>
      <c r="E27" s="99">
        <f>'Localize Daily Bali Jimbaran'!P32</f>
        <v>27079.999999999927</v>
      </c>
      <c r="F27" s="100">
        <f>'Localize Daily Bali Jimbaran'!O32/'Localize Daily Bali Jimbaran'!P32</f>
        <v>1185.5626617429862</v>
      </c>
      <c r="G27" s="99">
        <f>'Localize Daily Bali Jimbaran'!AC32</f>
        <v>175.40563999996013</v>
      </c>
      <c r="H27" s="100">
        <f>'Localize Daily Bali Jimbaran'!AD32/'Localize Daily Bali Jimbaran'!AC32</f>
        <v>10531.845365975782</v>
      </c>
      <c r="I27" s="99">
        <f>'Localize Daily Bali Jimbaran'!AH32</f>
        <v>439.19999999999709</v>
      </c>
      <c r="J27" s="157">
        <f>'Localize Daily Bali Jimbaran'!AI32/'Localize Daily Bali Jimbaran'!AH32</f>
        <v>10000</v>
      </c>
      <c r="K27" s="99">
        <f>'Localize Daily Bali Jimbaran'!Q32</f>
        <v>553</v>
      </c>
      <c r="L27" s="100">
        <f>'Localize Daily Bali Jimbaran'!V32/'Localize Daily Bali Jimbaran'!Q32</f>
        <v>11194.709113924051</v>
      </c>
      <c r="M27" s="99">
        <f>'Localize Daily Bali Jimbaran'!C32</f>
        <v>43</v>
      </c>
      <c r="N27" s="99">
        <v>129</v>
      </c>
    </row>
    <row r="28" spans="1:14" ht="15">
      <c r="A28" s="96" t="s">
        <v>14</v>
      </c>
      <c r="B28" s="97">
        <v>27</v>
      </c>
      <c r="C28" s="98">
        <v>2</v>
      </c>
      <c r="D28" s="97">
        <v>2019</v>
      </c>
      <c r="E28" s="99">
        <f>'Localize Daily Bali Jimbaran'!P33</f>
        <v>27360.000000000582</v>
      </c>
      <c r="F28" s="100">
        <f>'Localize Daily Bali Jimbaran'!O33/'Localize Daily Bali Jimbaran'!P33</f>
        <v>1184.5598026315793</v>
      </c>
      <c r="G28" s="99">
        <f>'Localize Daily Bali Jimbaran'!AC33</f>
        <v>174.42491999999766</v>
      </c>
      <c r="H28" s="100">
        <f>'Localize Daily Bali Jimbaran'!AD33/'Localize Daily Bali Jimbaran'!AC33</f>
        <v>10461.12098202482</v>
      </c>
      <c r="I28" s="99">
        <f>'Localize Daily Bali Jimbaran'!AH33</f>
        <v>579.47000000000116</v>
      </c>
      <c r="J28" s="157">
        <f>'Localize Daily Bali Jimbaran'!AI33/'Localize Daily Bali Jimbaran'!AH33</f>
        <v>10000</v>
      </c>
      <c r="K28" s="99">
        <f>'Localize Daily Bali Jimbaran'!Q33</f>
        <v>527</v>
      </c>
      <c r="L28" s="100">
        <f>'Localize Daily Bali Jimbaran'!V33/'Localize Daily Bali Jimbaran'!Q33</f>
        <v>10573.932865275143</v>
      </c>
      <c r="M28" s="99">
        <f>'Localize Daily Bali Jimbaran'!C33</f>
        <v>51</v>
      </c>
      <c r="N28" s="99">
        <v>149</v>
      </c>
    </row>
    <row r="29" spans="1:14" ht="15">
      <c r="A29" s="96" t="s">
        <v>14</v>
      </c>
      <c r="B29" s="97">
        <v>28</v>
      </c>
      <c r="C29" s="98">
        <v>2</v>
      </c>
      <c r="D29" s="97">
        <v>2019</v>
      </c>
      <c r="E29" s="99">
        <f>'Localize Daily Bali Jimbaran'!P34</f>
        <v>27339.999999999236</v>
      </c>
      <c r="F29" s="100">
        <f>'Localize Daily Bali Jimbaran'!O34/'Localize Daily Bali Jimbaran'!P34</f>
        <v>1178.663843087053</v>
      </c>
      <c r="G29" s="99">
        <f>'Localize Daily Bali Jimbaran'!AC34</f>
        <v>136.22696000002813</v>
      </c>
      <c r="H29" s="100">
        <f>'Localize Daily Bali Jimbaran'!AD34/'Localize Daily Bali Jimbaran'!AC34</f>
        <v>10120</v>
      </c>
      <c r="I29" s="99">
        <f>'Localize Daily Bali Jimbaran'!AH34</f>
        <v>652.30000000000291</v>
      </c>
      <c r="J29" s="157">
        <f>'Localize Daily Bali Jimbaran'!AI34/'Localize Daily Bali Jimbaran'!AH34</f>
        <v>10000</v>
      </c>
      <c r="K29" s="99">
        <f>'Localize Daily Bali Jimbaran'!Q34</f>
        <v>486</v>
      </c>
      <c r="L29" s="100">
        <f>'Localize Daily Bali Jimbaran'!V34/'Localize Daily Bali Jimbaran'!Q34</f>
        <v>7888.3204938271601</v>
      </c>
      <c r="M29" s="99">
        <f>'Localize Daily Bali Jimbaran'!C34</f>
        <v>43</v>
      </c>
      <c r="N29" s="99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6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8" t="s">
        <v>16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4"/>
    </row>
    <row r="4" spans="1:36" s="83" customFormat="1" ht="15.75" customHeight="1">
      <c r="A4" s="16"/>
      <c r="B4" s="159" t="s">
        <v>17</v>
      </c>
      <c r="C4" s="160" t="s">
        <v>18</v>
      </c>
      <c r="D4" s="161" t="s">
        <v>19</v>
      </c>
      <c r="E4" s="162" t="s">
        <v>20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 t="s">
        <v>21</v>
      </c>
      <c r="R4" s="163"/>
      <c r="S4" s="163"/>
      <c r="T4" s="163"/>
      <c r="U4" s="163"/>
      <c r="V4" s="163"/>
      <c r="W4" s="164" t="s">
        <v>22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7"/>
    </row>
    <row r="5" spans="1:36" s="1" customFormat="1" ht="27" customHeight="1">
      <c r="A5" s="83"/>
      <c r="B5" s="159"/>
      <c r="C5" s="160"/>
      <c r="D5" s="161"/>
      <c r="E5" s="165" t="s">
        <v>23</v>
      </c>
      <c r="F5" s="165"/>
      <c r="G5" s="165"/>
      <c r="H5" s="165"/>
      <c r="I5" s="165"/>
      <c r="J5" s="166" t="s">
        <v>24</v>
      </c>
      <c r="K5" s="166"/>
      <c r="L5" s="166"/>
      <c r="M5" s="166"/>
      <c r="N5" s="166"/>
      <c r="O5" s="167" t="s">
        <v>25</v>
      </c>
      <c r="P5" s="169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4" t="s">
        <v>29</v>
      </c>
      <c r="X5" s="164"/>
      <c r="Y5" s="164"/>
      <c r="Z5" s="164"/>
      <c r="AA5" s="164"/>
      <c r="AB5" s="164"/>
      <c r="AC5" s="164"/>
      <c r="AD5" s="164"/>
      <c r="AE5" s="168" t="s">
        <v>30</v>
      </c>
      <c r="AF5" s="168"/>
      <c r="AG5" s="168"/>
      <c r="AH5" s="168"/>
      <c r="AI5" s="168"/>
      <c r="AJ5" s="83"/>
    </row>
    <row r="6" spans="1:36" s="1" customFormat="1" ht="58.5" customHeight="1">
      <c r="A6" s="86"/>
      <c r="B6" s="159"/>
      <c r="C6" s="160"/>
      <c r="D6" s="161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7"/>
      <c r="P6" s="169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3" t="s">
        <v>45</v>
      </c>
      <c r="AA6" s="123" t="s">
        <v>46</v>
      </c>
      <c r="AB6" s="89" t="s">
        <v>47</v>
      </c>
      <c r="AC6" s="89" t="s">
        <v>48</v>
      </c>
      <c r="AD6" s="90" t="s">
        <v>41</v>
      </c>
      <c r="AE6" s="125" t="s">
        <v>49</v>
      </c>
      <c r="AF6" s="125" t="s">
        <v>50</v>
      </c>
      <c r="AG6" s="125" t="s">
        <v>51</v>
      </c>
      <c r="AH6" s="125" t="s">
        <v>52</v>
      </c>
      <c r="AI6" s="89" t="s">
        <v>41</v>
      </c>
      <c r="AJ6" s="86"/>
    </row>
    <row r="7" spans="1:36" ht="15">
      <c r="A7" s="18"/>
      <c r="B7" s="81">
        <v>1</v>
      </c>
      <c r="C7" s="101">
        <v>53</v>
      </c>
      <c r="D7" s="102">
        <v>498</v>
      </c>
      <c r="E7" s="155">
        <v>17800.000000000182</v>
      </c>
      <c r="F7" s="155">
        <v>19358728.200000197</v>
      </c>
      <c r="G7" s="114">
        <v>3960.0000000000364</v>
      </c>
      <c r="H7" s="154">
        <v>6460159.8600000599</v>
      </c>
      <c r="I7" s="104">
        <f>F7+H7</f>
        <v>25818888.060000256</v>
      </c>
      <c r="J7" s="114">
        <v>2159.9999999998545</v>
      </c>
      <c r="K7" s="114">
        <v>2349149.0399998422</v>
      </c>
      <c r="L7" s="117">
        <v>539.99999999996362</v>
      </c>
      <c r="M7" s="119">
        <v>880930.88999994064</v>
      </c>
      <c r="N7" s="106">
        <f>K7+M7</f>
        <v>3230079.9299997827</v>
      </c>
      <c r="O7" s="104">
        <f>I7+N7</f>
        <v>29048967.990000039</v>
      </c>
      <c r="P7" s="106">
        <f>E7+G7+J7+L7</f>
        <v>24460.000000000036</v>
      </c>
      <c r="Q7" s="121">
        <f>R7+T7</f>
        <v>576</v>
      </c>
      <c r="R7" s="114">
        <v>261</v>
      </c>
      <c r="S7" s="114">
        <v>4690300.5</v>
      </c>
      <c r="T7" s="114">
        <v>315</v>
      </c>
      <c r="U7" s="114">
        <v>1337231.7000000002</v>
      </c>
      <c r="V7" s="114">
        <f>S7+U7</f>
        <v>6027532.2000000002</v>
      </c>
      <c r="W7" s="114">
        <v>140.1743999999531</v>
      </c>
      <c r="X7" s="105"/>
      <c r="Y7" s="109">
        <v>150</v>
      </c>
      <c r="Z7" s="107"/>
      <c r="AA7" s="107"/>
      <c r="AB7" s="111">
        <v>12</v>
      </c>
      <c r="AC7" s="121">
        <f>W7+X7+Y7+Z7+AA7+AB7</f>
        <v>302.1743999999531</v>
      </c>
      <c r="AD7" s="103">
        <v>3254564.9279995253</v>
      </c>
      <c r="AE7" s="108"/>
      <c r="AF7" s="126">
        <v>594.41000000000349</v>
      </c>
      <c r="AG7" s="128">
        <v>0</v>
      </c>
      <c r="AH7" s="128">
        <f>AF7+AG7</f>
        <v>594.41000000000349</v>
      </c>
      <c r="AI7" s="130">
        <v>5944100.0000000354</v>
      </c>
      <c r="AJ7" s="18"/>
    </row>
    <row r="8" spans="1:36" ht="15">
      <c r="A8" s="19"/>
      <c r="B8" s="64">
        <v>2</v>
      </c>
      <c r="C8" s="65">
        <v>63</v>
      </c>
      <c r="D8" s="65">
        <v>624</v>
      </c>
      <c r="E8" s="110">
        <v>18359.999999999673</v>
      </c>
      <c r="F8" s="110">
        <v>19967766.839999646</v>
      </c>
      <c r="G8" s="122">
        <v>4120.0000000000045</v>
      </c>
      <c r="H8" s="122">
        <v>6721176.4200000083</v>
      </c>
      <c r="I8" s="104">
        <f>F8+H8</f>
        <v>26688943.259999655</v>
      </c>
      <c r="J8" s="156">
        <v>2340.0000000001455</v>
      </c>
      <c r="K8" s="156">
        <v>2544911.4600001583</v>
      </c>
      <c r="L8" s="118">
        <v>539.99999999996362</v>
      </c>
      <c r="M8" s="120">
        <v>880930.88999994064</v>
      </c>
      <c r="N8" s="106">
        <f>K8+M8</f>
        <v>3425842.3500000988</v>
      </c>
      <c r="O8" s="104">
        <f>I8+N8</f>
        <v>30114785.609999754</v>
      </c>
      <c r="P8" s="106">
        <f>E8+G8+J8+L8</f>
        <v>25359.999999999785</v>
      </c>
      <c r="Q8" s="121">
        <f>R8+T8</f>
        <v>637</v>
      </c>
      <c r="R8" s="122">
        <v>287</v>
      </c>
      <c r="S8" s="122">
        <v>5157533.5</v>
      </c>
      <c r="T8" s="115">
        <v>350</v>
      </c>
      <c r="U8" s="115">
        <v>1485813</v>
      </c>
      <c r="V8" s="114">
        <f>S8+U8</f>
        <v>6643346.5</v>
      </c>
      <c r="W8" s="124">
        <v>138.0798399999953</v>
      </c>
      <c r="X8" s="111"/>
      <c r="Y8" s="109">
        <v>0</v>
      </c>
      <c r="Z8" s="111"/>
      <c r="AA8" s="111"/>
      <c r="AB8" s="111">
        <v>0</v>
      </c>
      <c r="AC8" s="121">
        <f>W8+X8+Y8+Z8+AA8+AB8</f>
        <v>138.0798399999953</v>
      </c>
      <c r="AD8" s="109">
        <v>1397367.9807999525</v>
      </c>
      <c r="AE8" s="112"/>
      <c r="AF8" s="127">
        <v>623.94999999999709</v>
      </c>
      <c r="AG8" s="129">
        <v>0</v>
      </c>
      <c r="AH8" s="128">
        <f>AF8+AG8</f>
        <v>623.94999999999709</v>
      </c>
      <c r="AI8" s="131">
        <v>6239499.9999999711</v>
      </c>
      <c r="AJ8" s="21"/>
    </row>
    <row r="9" spans="1:36" ht="15">
      <c r="A9" s="19"/>
      <c r="B9" s="81">
        <v>3</v>
      </c>
      <c r="C9" s="65">
        <v>71</v>
      </c>
      <c r="D9" s="65">
        <v>773</v>
      </c>
      <c r="E9" s="110">
        <v>19560.0000000004</v>
      </c>
      <c r="F9" s="110">
        <v>21272849.640000436</v>
      </c>
      <c r="G9" s="122">
        <v>4279.9999999999727</v>
      </c>
      <c r="H9" s="122">
        <v>6982192.9799999557</v>
      </c>
      <c r="I9" s="104">
        <f>F9+H9</f>
        <v>28255042.620000392</v>
      </c>
      <c r="J9" s="156">
        <v>2079.9999999999272</v>
      </c>
      <c r="K9" s="156">
        <v>2262143.5199999209</v>
      </c>
      <c r="L9" s="118">
        <v>500</v>
      </c>
      <c r="M9" s="120">
        <v>815676.75</v>
      </c>
      <c r="N9" s="106">
        <f>K9+M9</f>
        <v>3077820.2699999209</v>
      </c>
      <c r="O9" s="104">
        <f>I9+N9</f>
        <v>31332862.890000314</v>
      </c>
      <c r="P9" s="106">
        <f>E9+G9+J9+L9</f>
        <v>26420.000000000298</v>
      </c>
      <c r="Q9" s="121">
        <f>R9+T9</f>
        <v>655</v>
      </c>
      <c r="R9" s="122">
        <v>272</v>
      </c>
      <c r="S9" s="122">
        <v>4887976</v>
      </c>
      <c r="T9" s="115">
        <v>383</v>
      </c>
      <c r="U9" s="115">
        <v>1625903.9400000002</v>
      </c>
      <c r="V9" s="114">
        <f>S9+U9</f>
        <v>6513879.9400000004</v>
      </c>
      <c r="W9" s="124">
        <v>141.10084000005392</v>
      </c>
      <c r="X9" s="111"/>
      <c r="Y9" s="109">
        <v>0</v>
      </c>
      <c r="Z9" s="111"/>
      <c r="AA9" s="111"/>
      <c r="AB9" s="111">
        <v>24</v>
      </c>
      <c r="AC9" s="121">
        <f>W9+X9+Y9+Z9+AA9+AB9</f>
        <v>165.10084000005392</v>
      </c>
      <c r="AD9" s="109">
        <v>1706940.5008005458</v>
      </c>
      <c r="AE9" s="112"/>
      <c r="AF9" s="127">
        <v>552.20000000000437</v>
      </c>
      <c r="AG9" s="129">
        <v>0</v>
      </c>
      <c r="AH9" s="128">
        <f>AF9+AG9</f>
        <v>552.20000000000437</v>
      </c>
      <c r="AI9" s="131">
        <v>5522000.0000000438</v>
      </c>
      <c r="AJ9" s="21"/>
    </row>
    <row r="10" spans="1:36" ht="15">
      <c r="A10" s="19"/>
      <c r="B10" s="64">
        <v>4</v>
      </c>
      <c r="C10" s="65">
        <v>80</v>
      </c>
      <c r="D10" s="65">
        <v>735</v>
      </c>
      <c r="E10" s="110">
        <v>19439.9999999996</v>
      </c>
      <c r="F10" s="110">
        <v>21142341.359999567</v>
      </c>
      <c r="G10" s="122">
        <v>4199.9999999999318</v>
      </c>
      <c r="H10" s="122">
        <v>6851684.6999998894</v>
      </c>
      <c r="I10" s="104">
        <f>F10+H10</f>
        <v>27994026.059999458</v>
      </c>
      <c r="J10" s="156">
        <v>1720.0000000002547</v>
      </c>
      <c r="K10" s="156">
        <v>1870618.680000277</v>
      </c>
      <c r="L10" s="118">
        <v>460.00000000003638</v>
      </c>
      <c r="M10" s="120">
        <v>750422.61000005936</v>
      </c>
      <c r="N10" s="106">
        <f>K10+M10</f>
        <v>2621041.2900003362</v>
      </c>
      <c r="O10" s="104">
        <f>I10+N10</f>
        <v>30615067.349999793</v>
      </c>
      <c r="P10" s="106">
        <f>E10+G10+J10+L10</f>
        <v>25819.999999999822</v>
      </c>
      <c r="Q10" s="121">
        <f>R10+T10</f>
        <v>642</v>
      </c>
      <c r="R10" s="122">
        <v>250</v>
      </c>
      <c r="S10" s="122">
        <v>4492625</v>
      </c>
      <c r="T10" s="115">
        <v>392</v>
      </c>
      <c r="U10" s="115">
        <v>1664110.56</v>
      </c>
      <c r="V10" s="114">
        <f>S10+U10</f>
        <v>6156735.5600000005</v>
      </c>
      <c r="W10" s="124">
        <v>153.74875999999296</v>
      </c>
      <c r="X10" s="111"/>
      <c r="Y10" s="109">
        <v>0</v>
      </c>
      <c r="Z10" s="111">
        <v>50</v>
      </c>
      <c r="AA10" s="111"/>
      <c r="AB10" s="111">
        <v>0</v>
      </c>
      <c r="AC10" s="121">
        <f>W10+X10+Y10+Z10+AA10+AB10</f>
        <v>203.74875999999296</v>
      </c>
      <c r="AD10" s="109">
        <v>2121437.4511999288</v>
      </c>
      <c r="AE10" s="112"/>
      <c r="AF10" s="127">
        <v>479.48999999999796</v>
      </c>
      <c r="AG10" s="129">
        <v>0</v>
      </c>
      <c r="AH10" s="128">
        <f>AF10+AG10</f>
        <v>479.48999999999796</v>
      </c>
      <c r="AI10" s="131">
        <v>4794899.9999999795</v>
      </c>
      <c r="AJ10" s="21"/>
    </row>
    <row r="11" spans="1:36" ht="15">
      <c r="A11" s="19"/>
      <c r="B11" s="81">
        <v>5</v>
      </c>
      <c r="C11" s="65">
        <v>98</v>
      </c>
      <c r="D11" s="65">
        <v>681</v>
      </c>
      <c r="E11" s="110">
        <v>19720.000000000255</v>
      </c>
      <c r="F11" s="110">
        <v>21446860.680000275</v>
      </c>
      <c r="G11" s="122">
        <v>4400.0000000000909</v>
      </c>
      <c r="H11" s="122">
        <v>7177955.4000001494</v>
      </c>
      <c r="I11" s="104">
        <f>F11+H11</f>
        <v>28624816.080000423</v>
      </c>
      <c r="J11" s="156">
        <v>1899.9999999996362</v>
      </c>
      <c r="K11" s="156">
        <v>2066381.0999996043</v>
      </c>
      <c r="L11" s="118">
        <v>440.00000000005457</v>
      </c>
      <c r="M11" s="120">
        <v>717795.54000008909</v>
      </c>
      <c r="N11" s="106">
        <f>K11+M11</f>
        <v>2784176.6399996933</v>
      </c>
      <c r="O11" s="104">
        <f>I11+N11</f>
        <v>31408992.720000118</v>
      </c>
      <c r="P11" s="106">
        <f>E11+G11+J11+L11</f>
        <v>26460.000000000036</v>
      </c>
      <c r="Q11" s="121">
        <f>R11+T11</f>
        <v>615</v>
      </c>
      <c r="R11" s="122">
        <v>280</v>
      </c>
      <c r="S11" s="122">
        <v>5031740</v>
      </c>
      <c r="T11" s="115">
        <v>335</v>
      </c>
      <c r="U11" s="115">
        <v>1422135.3</v>
      </c>
      <c r="V11" s="114">
        <f>S11+U11</f>
        <v>6453875.2999999998</v>
      </c>
      <c r="W11" s="124">
        <v>140.01327999997889</v>
      </c>
      <c r="X11" s="111"/>
      <c r="Y11" s="109">
        <v>0</v>
      </c>
      <c r="Z11" s="111"/>
      <c r="AA11" s="111"/>
      <c r="AB11" s="111">
        <v>0</v>
      </c>
      <c r="AC11" s="121">
        <f>W11+X11+Y11+Z11+AA11+AB11</f>
        <v>140.01327999997889</v>
      </c>
      <c r="AD11" s="109">
        <v>1416934.3935997863</v>
      </c>
      <c r="AE11" s="112"/>
      <c r="AF11" s="127">
        <v>421.01000000000204</v>
      </c>
      <c r="AG11" s="129">
        <v>0</v>
      </c>
      <c r="AH11" s="128">
        <f>AF11+AG11</f>
        <v>421.01000000000204</v>
      </c>
      <c r="AI11" s="131">
        <v>4210100.0000000205</v>
      </c>
      <c r="AJ11" s="21"/>
    </row>
    <row r="12" spans="1:36" ht="15">
      <c r="A12" s="19"/>
      <c r="B12" s="64">
        <v>6</v>
      </c>
      <c r="C12" s="65">
        <v>112</v>
      </c>
      <c r="D12" s="65">
        <v>768</v>
      </c>
      <c r="E12" s="110">
        <v>20680.000000000291</v>
      </c>
      <c r="F12" s="110">
        <v>22490926.920000315</v>
      </c>
      <c r="G12" s="122">
        <v>4439.9999999999409</v>
      </c>
      <c r="H12" s="122">
        <v>7243209.5399999041</v>
      </c>
      <c r="I12" s="104">
        <f>F12+H12</f>
        <v>29734136.460000217</v>
      </c>
      <c r="J12" s="156">
        <v>1899.9999999996362</v>
      </c>
      <c r="K12" s="156">
        <v>2066381.0999996043</v>
      </c>
      <c r="L12" s="118">
        <v>460.00000000003638</v>
      </c>
      <c r="M12" s="120">
        <v>750422.61000005936</v>
      </c>
      <c r="N12" s="106">
        <f>K12+M12</f>
        <v>2816803.7099996638</v>
      </c>
      <c r="O12" s="104">
        <f>I12+N12</f>
        <v>32550940.169999883</v>
      </c>
      <c r="P12" s="106">
        <f>E12+G12+J12+L12</f>
        <v>27479.999999999905</v>
      </c>
      <c r="Q12" s="121">
        <f>R12+T12</f>
        <v>589</v>
      </c>
      <c r="R12" s="122">
        <v>264</v>
      </c>
      <c r="S12" s="122">
        <v>4744212</v>
      </c>
      <c r="T12" s="115">
        <v>325</v>
      </c>
      <c r="U12" s="115">
        <v>1379683.5</v>
      </c>
      <c r="V12" s="114">
        <f>S12+U12</f>
        <v>6123895.5</v>
      </c>
      <c r="W12" s="124">
        <v>137.47564000001873</v>
      </c>
      <c r="X12" s="111"/>
      <c r="Y12" s="109">
        <v>0</v>
      </c>
      <c r="Z12" s="111"/>
      <c r="AA12" s="111"/>
      <c r="AB12" s="111">
        <v>0</v>
      </c>
      <c r="AC12" s="121">
        <f>W12+X12+Y12+Z12+AA12+AB12</f>
        <v>137.47564000001873</v>
      </c>
      <c r="AD12" s="109">
        <v>1391253.4768001896</v>
      </c>
      <c r="AE12" s="112"/>
      <c r="AF12" s="127">
        <v>569.65000000000146</v>
      </c>
      <c r="AG12" s="129">
        <v>64.400000000008731</v>
      </c>
      <c r="AH12" s="128">
        <f>AF12+AG12</f>
        <v>634.05000000001019</v>
      </c>
      <c r="AI12" s="131">
        <v>6340500.0000001015</v>
      </c>
      <c r="AJ12" s="21"/>
    </row>
    <row r="13" spans="1:36" ht="15">
      <c r="A13" s="19"/>
      <c r="B13" s="81">
        <v>7</v>
      </c>
      <c r="C13" s="65">
        <v>125</v>
      </c>
      <c r="D13" s="65">
        <v>837</v>
      </c>
      <c r="E13" s="110">
        <v>21920.000000000073</v>
      </c>
      <c r="F13" s="110">
        <v>23839512.480000082</v>
      </c>
      <c r="G13" s="122">
        <v>4519.9999999999818</v>
      </c>
      <c r="H13" s="122">
        <v>7373717.8199999714</v>
      </c>
      <c r="I13" s="104">
        <f>F13+H13</f>
        <v>31213230.300000053</v>
      </c>
      <c r="J13" s="156">
        <v>1840.0000000001455</v>
      </c>
      <c r="K13" s="156">
        <v>2001126.9600001583</v>
      </c>
      <c r="L13" s="118">
        <v>500</v>
      </c>
      <c r="M13" s="120">
        <v>815676.75</v>
      </c>
      <c r="N13" s="106">
        <f>K13+M13</f>
        <v>2816803.7100001583</v>
      </c>
      <c r="O13" s="104">
        <f>I13+N13</f>
        <v>34030034.010000214</v>
      </c>
      <c r="P13" s="106">
        <f>E13+G13+J13+L13</f>
        <v>28780.0000000002</v>
      </c>
      <c r="Q13" s="121">
        <f>R13+T13</f>
        <v>576</v>
      </c>
      <c r="R13" s="122">
        <v>247</v>
      </c>
      <c r="S13" s="122">
        <v>4438713.5</v>
      </c>
      <c r="T13" s="115">
        <v>329</v>
      </c>
      <c r="U13" s="115">
        <v>1396664.2200000002</v>
      </c>
      <c r="V13" s="114">
        <f>S13+U13</f>
        <v>5835377.7200000007</v>
      </c>
      <c r="W13" s="124">
        <v>154.2321199999742</v>
      </c>
      <c r="X13" s="111"/>
      <c r="Y13" s="109">
        <v>0</v>
      </c>
      <c r="Z13" s="111"/>
      <c r="AA13" s="111"/>
      <c r="AB13" s="111">
        <v>84</v>
      </c>
      <c r="AC13" s="121">
        <f>W13+X13+Y13+Z13+AA13+AB13</f>
        <v>238.2321199999742</v>
      </c>
      <c r="AD13" s="109">
        <v>2537329.054399739</v>
      </c>
      <c r="AE13" s="112"/>
      <c r="AF13" s="127">
        <v>738.11999999999534</v>
      </c>
      <c r="AG13" s="129">
        <v>0</v>
      </c>
      <c r="AH13" s="128">
        <f>AF13+AG13</f>
        <v>738.11999999999534</v>
      </c>
      <c r="AI13" s="131">
        <v>7381199.9999999534</v>
      </c>
      <c r="AJ13" s="21"/>
    </row>
    <row r="14" spans="1:36" ht="15">
      <c r="A14" s="19"/>
      <c r="B14" s="64">
        <v>8</v>
      </c>
      <c r="C14" s="65">
        <v>135</v>
      </c>
      <c r="D14" s="65">
        <v>949</v>
      </c>
      <c r="E14" s="110">
        <v>19119.999999999891</v>
      </c>
      <c r="F14" s="110">
        <v>20794319.279999882</v>
      </c>
      <c r="G14" s="122">
        <v>4120.0000000001182</v>
      </c>
      <c r="H14" s="122">
        <v>6721176.4200001936</v>
      </c>
      <c r="I14" s="104">
        <f>F14+H14</f>
        <v>27515495.700000077</v>
      </c>
      <c r="J14" s="156">
        <v>2079.9999999999272</v>
      </c>
      <c r="K14" s="156">
        <v>2262143.5199999209</v>
      </c>
      <c r="L14" s="118">
        <v>480.00000000001819</v>
      </c>
      <c r="M14" s="120">
        <v>783049.68000002974</v>
      </c>
      <c r="N14" s="106">
        <f>K14+M14</f>
        <v>3045193.1999999508</v>
      </c>
      <c r="O14" s="104">
        <f>I14+N14</f>
        <v>30560688.900000028</v>
      </c>
      <c r="P14" s="106">
        <f>E14+G14+J14+L14</f>
        <v>25799.999999999953</v>
      </c>
      <c r="Q14" s="121">
        <f>R14+T14</f>
        <v>595</v>
      </c>
      <c r="R14" s="122">
        <v>267</v>
      </c>
      <c r="S14" s="122">
        <v>4798123.5</v>
      </c>
      <c r="T14" s="115">
        <v>328</v>
      </c>
      <c r="U14" s="115">
        <v>1392419.04</v>
      </c>
      <c r="V14" s="114">
        <f>S14+U14</f>
        <v>6190542.54</v>
      </c>
      <c r="W14" s="124">
        <v>159.58935999998121</v>
      </c>
      <c r="X14" s="111"/>
      <c r="Y14" s="109">
        <v>0</v>
      </c>
      <c r="Z14" s="111"/>
      <c r="AA14" s="111"/>
      <c r="AB14" s="111">
        <v>0</v>
      </c>
      <c r="AC14" s="121">
        <f>W14+X14+Y14+Z14+AA14+AB14</f>
        <v>159.58935999998121</v>
      </c>
      <c r="AD14" s="109">
        <v>1615044.3231998098</v>
      </c>
      <c r="AE14" s="112"/>
      <c r="AF14" s="127">
        <v>587.2300000000032</v>
      </c>
      <c r="AG14" s="129">
        <v>0</v>
      </c>
      <c r="AH14" s="128">
        <f>AF14+AG14</f>
        <v>587.2300000000032</v>
      </c>
      <c r="AI14" s="131">
        <v>5872300.0000000317</v>
      </c>
      <c r="AJ14" s="21"/>
    </row>
    <row r="15" spans="1:36" ht="15">
      <c r="A15" s="19"/>
      <c r="B15" s="81">
        <v>9</v>
      </c>
      <c r="C15" s="65">
        <v>127</v>
      </c>
      <c r="D15" s="65">
        <v>912</v>
      </c>
      <c r="E15" s="110">
        <v>19239.999999999782</v>
      </c>
      <c r="F15" s="110">
        <v>20924827.55999976</v>
      </c>
      <c r="G15" s="122">
        <v>4159.9999999998545</v>
      </c>
      <c r="H15" s="122">
        <v>6786430.559999763</v>
      </c>
      <c r="I15" s="104">
        <f>F15+H15</f>
        <v>27711258.119999524</v>
      </c>
      <c r="J15" s="156">
        <v>1980.0000000004729</v>
      </c>
      <c r="K15" s="156">
        <v>2153386.6200005142</v>
      </c>
      <c r="L15" s="118">
        <v>459.99999999980901</v>
      </c>
      <c r="M15" s="120">
        <v>750422.60999968858</v>
      </c>
      <c r="N15" s="106">
        <f>K15+M15</f>
        <v>2903809.2300002025</v>
      </c>
      <c r="O15" s="104">
        <f>I15+N15</f>
        <v>30615067.349999726</v>
      </c>
      <c r="P15" s="106">
        <f>E15+G15+J15+L15</f>
        <v>25839.99999999992</v>
      </c>
      <c r="Q15" s="121">
        <f>R15+T15</f>
        <v>581</v>
      </c>
      <c r="R15" s="122">
        <v>256</v>
      </c>
      <c r="S15" s="122">
        <v>4600448</v>
      </c>
      <c r="T15" s="115">
        <v>325</v>
      </c>
      <c r="U15" s="115">
        <v>1379683.5</v>
      </c>
      <c r="V15" s="114">
        <f>S15+U15</f>
        <v>5980131.5</v>
      </c>
      <c r="W15" s="124">
        <v>153.34596000002813</v>
      </c>
      <c r="X15" s="111"/>
      <c r="Y15" s="109">
        <v>0</v>
      </c>
      <c r="Z15" s="111">
        <v>50</v>
      </c>
      <c r="AA15" s="111"/>
      <c r="AB15" s="111">
        <v>0</v>
      </c>
      <c r="AC15" s="121">
        <f>W15+X15+Y15+Z15+AA15+AB15</f>
        <v>203.34596000002813</v>
      </c>
      <c r="AD15" s="109">
        <v>2117361.1152002849</v>
      </c>
      <c r="AE15" s="112"/>
      <c r="AF15" s="127">
        <v>591.69999999999709</v>
      </c>
      <c r="AG15" s="129">
        <v>0</v>
      </c>
      <c r="AH15" s="128">
        <f>AF15+AG15</f>
        <v>591.69999999999709</v>
      </c>
      <c r="AI15" s="131">
        <v>5916999.9999999711</v>
      </c>
      <c r="AJ15" s="21"/>
    </row>
    <row r="16" spans="1:36" ht="15">
      <c r="A16" s="19"/>
      <c r="B16" s="64">
        <v>10</v>
      </c>
      <c r="C16" s="65">
        <v>105</v>
      </c>
      <c r="D16" s="65">
        <v>880</v>
      </c>
      <c r="E16" s="110">
        <v>20119.999999999891</v>
      </c>
      <c r="F16" s="110">
        <v>21881888.279999882</v>
      </c>
      <c r="G16" s="122">
        <v>4279.9999999999727</v>
      </c>
      <c r="H16" s="122">
        <v>6982192.9799999557</v>
      </c>
      <c r="I16" s="104">
        <f>F16+H16</f>
        <v>28864081.259999838</v>
      </c>
      <c r="J16" s="156">
        <v>2099.9999999994543</v>
      </c>
      <c r="K16" s="156">
        <v>2283894.8999994067</v>
      </c>
      <c r="L16" s="118">
        <v>480.00000000001819</v>
      </c>
      <c r="M16" s="120">
        <v>783049.68000002974</v>
      </c>
      <c r="N16" s="106">
        <f>K16+M16</f>
        <v>3066944.5799994366</v>
      </c>
      <c r="O16" s="104">
        <f>I16+N16</f>
        <v>31931025.839999273</v>
      </c>
      <c r="P16" s="106">
        <f>E16+G16+J16+L16</f>
        <v>26979.999999999334</v>
      </c>
      <c r="Q16" s="121">
        <f>R16+T16</f>
        <v>564</v>
      </c>
      <c r="R16" s="122">
        <v>242</v>
      </c>
      <c r="S16" s="122">
        <v>4348861</v>
      </c>
      <c r="T16" s="115">
        <v>322</v>
      </c>
      <c r="U16" s="115">
        <v>1366947.9600000002</v>
      </c>
      <c r="V16" s="114">
        <f>S16+U16</f>
        <v>5715808.96</v>
      </c>
      <c r="W16" s="124">
        <v>145.28995999996951</v>
      </c>
      <c r="X16" s="111"/>
      <c r="Y16" s="109">
        <v>150</v>
      </c>
      <c r="Z16" s="111"/>
      <c r="AA16" s="111"/>
      <c r="AB16" s="111">
        <v>12</v>
      </c>
      <c r="AC16" s="121">
        <f>W16+X16+Y16+Z16+AA16+AB16</f>
        <v>307.28995999996948</v>
      </c>
      <c r="AD16" s="109">
        <v>3306334.3951996914</v>
      </c>
      <c r="AE16" s="112"/>
      <c r="AF16" s="127">
        <v>429.40000000000146</v>
      </c>
      <c r="AG16" s="129">
        <v>0</v>
      </c>
      <c r="AH16" s="128">
        <f>AF16+AG16</f>
        <v>429.40000000000146</v>
      </c>
      <c r="AI16" s="131">
        <v>4294000.0000000149</v>
      </c>
      <c r="AJ16" s="21"/>
    </row>
    <row r="17" spans="1:36" ht="15">
      <c r="A17" s="19"/>
      <c r="B17" s="81">
        <v>11</v>
      </c>
      <c r="C17" s="65">
        <v>86</v>
      </c>
      <c r="D17" s="65">
        <v>645</v>
      </c>
      <c r="E17" s="110">
        <v>19960.000000000036</v>
      </c>
      <c r="F17" s="110">
        <v>21707877.240000039</v>
      </c>
      <c r="G17" s="122">
        <v>4280.0000000002001</v>
      </c>
      <c r="H17" s="122">
        <v>6982192.9800003273</v>
      </c>
      <c r="I17" s="104">
        <f>F17+H17</f>
        <v>28690070.220000368</v>
      </c>
      <c r="J17" s="156">
        <v>1920.0000000000728</v>
      </c>
      <c r="K17" s="156">
        <v>2088132.4800000791</v>
      </c>
      <c r="L17" s="118">
        <v>460.00000000003638</v>
      </c>
      <c r="M17" s="120">
        <v>750422.61000005936</v>
      </c>
      <c r="N17" s="106">
        <f>K17+M17</f>
        <v>2838555.0900001386</v>
      </c>
      <c r="O17" s="104">
        <f>I17+N17</f>
        <v>31528625.310000505</v>
      </c>
      <c r="P17" s="106">
        <f>E17+G17+J17+L17</f>
        <v>26620.000000000346</v>
      </c>
      <c r="Q17" s="121">
        <f>R17+T17</f>
        <v>670</v>
      </c>
      <c r="R17" s="122">
        <v>259</v>
      </c>
      <c r="S17" s="122">
        <v>4654359.5</v>
      </c>
      <c r="T17" s="115">
        <v>411</v>
      </c>
      <c r="U17" s="115">
        <v>1744768.9800000002</v>
      </c>
      <c r="V17" s="114">
        <f>S17+U17</f>
        <v>6399128.4800000004</v>
      </c>
      <c r="W17" s="124">
        <v>142.87316000000467</v>
      </c>
      <c r="X17" s="111"/>
      <c r="Y17" s="109">
        <v>0</v>
      </c>
      <c r="Z17" s="111"/>
      <c r="AA17" s="111"/>
      <c r="AB17" s="111">
        <v>0</v>
      </c>
      <c r="AC17" s="121">
        <f>W17+X17+Y17+Z17+AA17+AB17</f>
        <v>142.87316000000467</v>
      </c>
      <c r="AD17" s="109">
        <v>1445876.3792000473</v>
      </c>
      <c r="AE17" s="112"/>
      <c r="AF17" s="127">
        <v>487</v>
      </c>
      <c r="AG17" s="129">
        <v>0</v>
      </c>
      <c r="AH17" s="128">
        <f>AF17+AG17</f>
        <v>487</v>
      </c>
      <c r="AI17" s="131">
        <v>4870000</v>
      </c>
      <c r="AJ17" s="21"/>
    </row>
    <row r="18" spans="1:36" ht="15">
      <c r="A18" s="19"/>
      <c r="B18" s="64">
        <v>12</v>
      </c>
      <c r="C18" s="65">
        <v>70</v>
      </c>
      <c r="D18" s="65">
        <v>527</v>
      </c>
      <c r="E18" s="110">
        <v>18840.000000000146</v>
      </c>
      <c r="F18" s="110">
        <v>20489799.960000161</v>
      </c>
      <c r="G18" s="122">
        <v>4239.9999999997817</v>
      </c>
      <c r="H18" s="122">
        <v>6916938.8399996441</v>
      </c>
      <c r="I18" s="104">
        <f>F18+H18</f>
        <v>27406738.799999803</v>
      </c>
      <c r="J18" s="156">
        <v>1940.0000000005093</v>
      </c>
      <c r="K18" s="156">
        <v>2109883.860000554</v>
      </c>
      <c r="L18" s="118">
        <v>480.00000000001819</v>
      </c>
      <c r="M18" s="120">
        <v>783049.68000002974</v>
      </c>
      <c r="N18" s="106">
        <f>K18+M18</f>
        <v>2892933.540000584</v>
      </c>
      <c r="O18" s="104">
        <f>I18+N18</f>
        <v>30299672.340000387</v>
      </c>
      <c r="P18" s="106">
        <f>E18+G18+J18+L18</f>
        <v>25500.000000000455</v>
      </c>
      <c r="Q18" s="121">
        <f>R18+T18</f>
        <v>680</v>
      </c>
      <c r="R18" s="122">
        <v>241</v>
      </c>
      <c r="S18" s="122">
        <v>4330890.5</v>
      </c>
      <c r="T18" s="115">
        <v>439</v>
      </c>
      <c r="U18" s="115">
        <v>1863634.02</v>
      </c>
      <c r="V18" s="114">
        <f>S18+U18</f>
        <v>6194524.5199999996</v>
      </c>
      <c r="W18" s="124">
        <v>149.03599999999997</v>
      </c>
      <c r="X18" s="111"/>
      <c r="Y18" s="109">
        <v>0</v>
      </c>
      <c r="Z18" s="111"/>
      <c r="AA18" s="111"/>
      <c r="AB18" s="111">
        <v>36</v>
      </c>
      <c r="AC18" s="121">
        <f>W18+X18+Y18+Z18+AA18+AB18</f>
        <v>185.03599999999997</v>
      </c>
      <c r="AD18" s="109">
        <v>1926744.3199999998</v>
      </c>
      <c r="AE18" s="112"/>
      <c r="AF18" s="127">
        <v>407.04000000000087</v>
      </c>
      <c r="AG18" s="129">
        <v>0</v>
      </c>
      <c r="AH18" s="128">
        <f>AF18+AG18</f>
        <v>407.04000000000087</v>
      </c>
      <c r="AI18" s="131">
        <v>4070400.0000000088</v>
      </c>
      <c r="AJ18" s="21"/>
    </row>
    <row r="19" spans="1:36" ht="15">
      <c r="A19" s="19"/>
      <c r="B19" s="81">
        <v>13</v>
      </c>
      <c r="C19" s="65">
        <v>69</v>
      </c>
      <c r="D19" s="65">
        <v>564</v>
      </c>
      <c r="E19" s="110">
        <v>19439.9999999996</v>
      </c>
      <c r="F19" s="110">
        <v>21142341.359999567</v>
      </c>
      <c r="G19" s="122">
        <v>3920.0000000000728</v>
      </c>
      <c r="H19" s="122">
        <v>6394905.7200001189</v>
      </c>
      <c r="I19" s="104">
        <f>F19+H19</f>
        <v>27537247.079999685</v>
      </c>
      <c r="J19" s="156">
        <v>2000</v>
      </c>
      <c r="K19" s="156">
        <v>2175138</v>
      </c>
      <c r="L19" s="118">
        <v>460.00000000003638</v>
      </c>
      <c r="M19" s="120">
        <v>750422.61000005936</v>
      </c>
      <c r="N19" s="106">
        <f>K19+M19</f>
        <v>2925560.6100000595</v>
      </c>
      <c r="O19" s="104">
        <f>I19+N19</f>
        <v>30462807.689999744</v>
      </c>
      <c r="P19" s="106">
        <f>E19+G19+J19+L19</f>
        <v>25819.999999999709</v>
      </c>
      <c r="Q19" s="121">
        <f>R19+T19</f>
        <v>592</v>
      </c>
      <c r="R19" s="122">
        <v>247</v>
      </c>
      <c r="S19" s="122">
        <v>4438713.5</v>
      </c>
      <c r="T19" s="115">
        <v>345</v>
      </c>
      <c r="U19" s="115">
        <v>1464587.1</v>
      </c>
      <c r="V19" s="114">
        <f>S19+U19</f>
        <v>5903300.5999999996</v>
      </c>
      <c r="W19" s="124">
        <v>138.36180000002344</v>
      </c>
      <c r="X19" s="111"/>
      <c r="Y19" s="109">
        <v>0</v>
      </c>
      <c r="Z19" s="111"/>
      <c r="AA19" s="111"/>
      <c r="AB19" s="111">
        <v>12</v>
      </c>
      <c r="AC19" s="121">
        <f>W19+X19+Y19+Z19+AA19+AB19</f>
        <v>150.36180000002344</v>
      </c>
      <c r="AD19" s="109">
        <v>1539721.4160002372</v>
      </c>
      <c r="AE19" s="112"/>
      <c r="AF19" s="127">
        <v>600.12999999999738</v>
      </c>
      <c r="AG19" s="129">
        <v>66</v>
      </c>
      <c r="AH19" s="128">
        <f>AF19+AG19</f>
        <v>666.12999999999738</v>
      </c>
      <c r="AI19" s="131">
        <v>6661299.9999999739</v>
      </c>
      <c r="AJ19" s="21"/>
    </row>
    <row r="20" spans="1:36" ht="15">
      <c r="A20" s="19"/>
      <c r="B20" s="64">
        <v>14</v>
      </c>
      <c r="C20" s="65">
        <v>60</v>
      </c>
      <c r="D20" s="65">
        <v>643</v>
      </c>
      <c r="E20" s="110">
        <v>19600.000000000364</v>
      </c>
      <c r="F20" s="110">
        <v>21316352.400000397</v>
      </c>
      <c r="G20" s="122">
        <v>4120.0000000001182</v>
      </c>
      <c r="H20" s="122">
        <v>6721176.4200001936</v>
      </c>
      <c r="I20" s="104">
        <f>F20+H20</f>
        <v>28037528.820000589</v>
      </c>
      <c r="J20" s="156">
        <v>1819.999999999709</v>
      </c>
      <c r="K20" s="156">
        <v>1979375.5799996837</v>
      </c>
      <c r="L20" s="118">
        <v>460.00000000003638</v>
      </c>
      <c r="M20" s="120">
        <v>750422.61000005936</v>
      </c>
      <c r="N20" s="106">
        <f>K20+M20</f>
        <v>2729798.1899997429</v>
      </c>
      <c r="O20" s="104">
        <f>I20+N20</f>
        <v>30767327.010000333</v>
      </c>
      <c r="P20" s="106">
        <f>E20+G20+J20+L20</f>
        <v>26000.000000000226</v>
      </c>
      <c r="Q20" s="121">
        <f>R20+T20</f>
        <v>684</v>
      </c>
      <c r="R20" s="122">
        <v>236</v>
      </c>
      <c r="S20" s="122">
        <v>4241038</v>
      </c>
      <c r="T20" s="115">
        <v>448</v>
      </c>
      <c r="U20" s="115">
        <v>1901840.6400000001</v>
      </c>
      <c r="V20" s="114">
        <f>S20+U20</f>
        <v>6142878.6400000006</v>
      </c>
      <c r="W20" s="124">
        <v>136.67003999997186</v>
      </c>
      <c r="X20" s="111"/>
      <c r="Y20" s="109">
        <v>300</v>
      </c>
      <c r="Z20" s="111"/>
      <c r="AA20" s="111"/>
      <c r="AB20" s="111">
        <v>0</v>
      </c>
      <c r="AC20" s="121">
        <f>W20+X20+Y20+Z20+AA20+AB20</f>
        <v>436.67003999997189</v>
      </c>
      <c r="AD20" s="109">
        <v>4776100.8047997151</v>
      </c>
      <c r="AE20" s="112"/>
      <c r="AF20" s="127">
        <v>748.7300000000032</v>
      </c>
      <c r="AG20" s="129">
        <v>264.29999999998836</v>
      </c>
      <c r="AH20" s="128">
        <f>AF20+AG20</f>
        <v>1013.0299999999916</v>
      </c>
      <c r="AI20" s="131">
        <v>10130299.999999916</v>
      </c>
      <c r="AJ20" s="21"/>
    </row>
    <row r="21" spans="1:36" ht="15">
      <c r="A21" s="19"/>
      <c r="B21" s="81">
        <v>15</v>
      </c>
      <c r="C21" s="71">
        <v>63</v>
      </c>
      <c r="D21" s="71">
        <v>442</v>
      </c>
      <c r="E21" s="113">
        <v>19760.000000000218</v>
      </c>
      <c r="F21" s="113">
        <v>21490363.440000236</v>
      </c>
      <c r="G21" s="115">
        <v>4240.0000000000091</v>
      </c>
      <c r="H21" s="115">
        <v>6916938.8400000157</v>
      </c>
      <c r="I21" s="104">
        <f>F21+H21</f>
        <v>28407302.280000251</v>
      </c>
      <c r="J21" s="113">
        <v>1940.0000000005093</v>
      </c>
      <c r="K21" s="113">
        <v>2109883.860000554</v>
      </c>
      <c r="L21" s="113">
        <v>480.00000000001819</v>
      </c>
      <c r="M21" s="115">
        <v>783049.68000002974</v>
      </c>
      <c r="N21" s="106">
        <f>K21+M21</f>
        <v>2892933.540000584</v>
      </c>
      <c r="O21" s="104">
        <f>I21+N21</f>
        <v>31300235.820000835</v>
      </c>
      <c r="P21" s="106">
        <f>E21+G21+J21+L21</f>
        <v>26420.000000000753</v>
      </c>
      <c r="Q21" s="121">
        <f>R21+T21</f>
        <v>559</v>
      </c>
      <c r="R21" s="122">
        <v>255</v>
      </c>
      <c r="S21" s="122">
        <v>4582477.5</v>
      </c>
      <c r="T21" s="115">
        <v>304</v>
      </c>
      <c r="U21" s="115">
        <v>1290534.7200000002</v>
      </c>
      <c r="V21" s="114">
        <f>S21+U21</f>
        <v>5873012.2200000007</v>
      </c>
      <c r="W21" s="124">
        <v>136.26724000000701</v>
      </c>
      <c r="X21" s="111"/>
      <c r="Y21" s="109">
        <v>0</v>
      </c>
      <c r="Z21" s="111">
        <v>50</v>
      </c>
      <c r="AA21" s="111"/>
      <c r="AB21" s="111">
        <v>0</v>
      </c>
      <c r="AC21" s="121">
        <f>W21+X21+Y21+Z21+AA21+AB21</f>
        <v>186.26724000000701</v>
      </c>
      <c r="AD21" s="109">
        <v>1944524.4688000709</v>
      </c>
      <c r="AE21" s="112"/>
      <c r="AF21" s="127">
        <v>564.09999999999854</v>
      </c>
      <c r="AG21" s="129">
        <v>0</v>
      </c>
      <c r="AH21" s="128">
        <f>AF21+AG21</f>
        <v>564.09999999999854</v>
      </c>
      <c r="AI21" s="131">
        <v>5640999.9999999851</v>
      </c>
      <c r="AJ21" s="21"/>
    </row>
    <row r="22" spans="1:36" ht="15">
      <c r="A22" s="19"/>
      <c r="B22" s="64">
        <v>16</v>
      </c>
      <c r="C22" s="71">
        <v>66</v>
      </c>
      <c r="D22" s="71">
        <v>470</v>
      </c>
      <c r="E22" s="113">
        <v>18920.000000000073</v>
      </c>
      <c r="F22" s="113">
        <v>20576805.480000082</v>
      </c>
      <c r="G22" s="115">
        <v>4199.9999999998181</v>
      </c>
      <c r="H22" s="115">
        <v>6851684.699999704</v>
      </c>
      <c r="I22" s="104">
        <f>F22+H22</f>
        <v>27428490.179999787</v>
      </c>
      <c r="J22" s="113">
        <v>1979.9999999995634</v>
      </c>
      <c r="K22" s="113">
        <v>2153386.6199995251</v>
      </c>
      <c r="L22" s="113">
        <v>480.00000000001819</v>
      </c>
      <c r="M22" s="115">
        <v>783049.68000002974</v>
      </c>
      <c r="N22" s="106">
        <f>K22+M22</f>
        <v>2936436.2999995546</v>
      </c>
      <c r="O22" s="104">
        <f>I22+N22</f>
        <v>30364926.479999341</v>
      </c>
      <c r="P22" s="106">
        <f>E22+G22+J22+L22</f>
        <v>25579.999999999472</v>
      </c>
      <c r="Q22" s="121">
        <f>R22+T22</f>
        <v>504</v>
      </c>
      <c r="R22" s="122">
        <v>245</v>
      </c>
      <c r="S22" s="122">
        <v>4402772.5</v>
      </c>
      <c r="T22" s="115">
        <v>259</v>
      </c>
      <c r="U22" s="115">
        <v>1099501.6200000001</v>
      </c>
      <c r="V22" s="114">
        <f>S22+U22</f>
        <v>5502274.1200000001</v>
      </c>
      <c r="W22" s="124">
        <v>126.19724000000701</v>
      </c>
      <c r="X22" s="111"/>
      <c r="Y22" s="109">
        <v>100</v>
      </c>
      <c r="Z22" s="111"/>
      <c r="AA22" s="111"/>
      <c r="AB22" s="111">
        <v>0</v>
      </c>
      <c r="AC22" s="121">
        <f>W22+X22+Y22+Z22+AA22+AB22</f>
        <v>226.19724000000701</v>
      </c>
      <c r="AD22" s="109">
        <v>2408116.0688000713</v>
      </c>
      <c r="AE22" s="112"/>
      <c r="AF22" s="127">
        <v>600.65000000000146</v>
      </c>
      <c r="AG22" s="129">
        <v>0</v>
      </c>
      <c r="AH22" s="128">
        <f>AF22+AG22</f>
        <v>600.65000000000146</v>
      </c>
      <c r="AI22" s="131">
        <v>6006500.0000000149</v>
      </c>
      <c r="AJ22" s="21"/>
    </row>
    <row r="23" spans="1:36" ht="15">
      <c r="A23" s="19"/>
      <c r="B23" s="81">
        <v>17</v>
      </c>
      <c r="C23" s="71">
        <v>100</v>
      </c>
      <c r="D23" s="71">
        <v>478</v>
      </c>
      <c r="E23" s="113">
        <v>20519.999999999527</v>
      </c>
      <c r="F23" s="113">
        <v>22316915.879999485</v>
      </c>
      <c r="G23" s="115">
        <v>4480.0000000000182</v>
      </c>
      <c r="H23" s="115">
        <v>7308463.6800000304</v>
      </c>
      <c r="I23" s="104">
        <f>F23+H23</f>
        <v>29625379.559999514</v>
      </c>
      <c r="J23" s="113">
        <v>2039.9999999999636</v>
      </c>
      <c r="K23" s="113">
        <v>2218640.7599999607</v>
      </c>
      <c r="L23" s="113">
        <v>439.9999999998272</v>
      </c>
      <c r="M23" s="115">
        <v>717795.5399997182</v>
      </c>
      <c r="N23" s="106">
        <f>K23+M23</f>
        <v>2936436.299999679</v>
      </c>
      <c r="O23" s="104">
        <f>I23+N23</f>
        <v>32561815.859999195</v>
      </c>
      <c r="P23" s="106">
        <f>E23+G23+J23+L23</f>
        <v>27479.999999999338</v>
      </c>
      <c r="Q23" s="121">
        <f>R23+T23</f>
        <v>615.39999999999418</v>
      </c>
      <c r="R23" s="122">
        <v>244</v>
      </c>
      <c r="S23" s="122">
        <v>4384802</v>
      </c>
      <c r="T23" s="115">
        <v>371.39999999999418</v>
      </c>
      <c r="U23" s="115">
        <v>1576659.8519999755</v>
      </c>
      <c r="V23" s="114">
        <f>S23+U23</f>
        <v>5961461.8519999757</v>
      </c>
      <c r="W23" s="124">
        <v>141.34251999998591</v>
      </c>
      <c r="X23" s="111"/>
      <c r="Y23" s="109">
        <v>0</v>
      </c>
      <c r="Z23" s="111"/>
      <c r="AA23" s="111"/>
      <c r="AB23" s="111">
        <v>12</v>
      </c>
      <c r="AC23" s="121">
        <f>W23+X23+Y23+Z23+AA23+AB23</f>
        <v>153.34251999998591</v>
      </c>
      <c r="AD23" s="109">
        <v>1569886.3023998574</v>
      </c>
      <c r="AE23" s="112"/>
      <c r="AF23" s="127">
        <v>558.94999999999709</v>
      </c>
      <c r="AG23" s="129">
        <v>0</v>
      </c>
      <c r="AH23" s="128">
        <f>AF23+AG23</f>
        <v>558.94999999999709</v>
      </c>
      <c r="AI23" s="131">
        <v>5589499.9999999711</v>
      </c>
      <c r="AJ23" s="21"/>
    </row>
    <row r="24" spans="1:36" ht="15">
      <c r="A24" s="19"/>
      <c r="B24" s="64">
        <v>18</v>
      </c>
      <c r="C24" s="71">
        <v>99</v>
      </c>
      <c r="D24" s="71">
        <v>534</v>
      </c>
      <c r="E24" s="113">
        <v>20000</v>
      </c>
      <c r="F24" s="113">
        <v>21751380</v>
      </c>
      <c r="G24" s="115">
        <v>120.00000000011823</v>
      </c>
      <c r="H24" s="115">
        <v>195762.42000019288</v>
      </c>
      <c r="I24" s="104">
        <f>F24+H24</f>
        <v>21947142.420000192</v>
      </c>
      <c r="J24" s="113">
        <v>2020.0000000004366</v>
      </c>
      <c r="K24" s="116">
        <v>2196889.3800004749</v>
      </c>
      <c r="L24" s="113">
        <v>259.99999999999091</v>
      </c>
      <c r="M24" s="115">
        <v>424151.90999998519</v>
      </c>
      <c r="N24" s="106">
        <f>K24+M24</f>
        <v>2621041.2900004601</v>
      </c>
      <c r="O24" s="104">
        <f>I24+N24</f>
        <v>24568183.710000653</v>
      </c>
      <c r="P24" s="106">
        <f>E24+G24+J24+L24</f>
        <v>22400.000000000546</v>
      </c>
      <c r="Q24" s="121">
        <f>R24+T24</f>
        <v>488</v>
      </c>
      <c r="R24" s="122">
        <v>220</v>
      </c>
      <c r="S24" s="122">
        <v>3953510</v>
      </c>
      <c r="T24" s="115">
        <v>268</v>
      </c>
      <c r="U24" s="115">
        <v>1137708.24</v>
      </c>
      <c r="V24" s="114">
        <f>S24+U24</f>
        <v>5091218.24</v>
      </c>
      <c r="W24" s="124">
        <v>148.27068000004923</v>
      </c>
      <c r="X24" s="111"/>
      <c r="Y24" s="109">
        <v>0</v>
      </c>
      <c r="Z24" s="111"/>
      <c r="AA24" s="111"/>
      <c r="AB24" s="111">
        <v>24</v>
      </c>
      <c r="AC24" s="121">
        <f>W24+X24+Y24+Z24+AA24+AB24</f>
        <v>172.27068000004923</v>
      </c>
      <c r="AD24" s="109">
        <v>1779499.2816004981</v>
      </c>
      <c r="AE24" s="112"/>
      <c r="AF24" s="127">
        <v>488.68000000000029</v>
      </c>
      <c r="AG24" s="129">
        <v>7265</v>
      </c>
      <c r="AH24" s="128">
        <f>AF24+AG24</f>
        <v>7753.68</v>
      </c>
      <c r="AI24" s="131">
        <v>77536800</v>
      </c>
      <c r="AJ24" s="21"/>
    </row>
    <row r="25" spans="1:36" ht="15">
      <c r="A25" s="19"/>
      <c r="B25" s="81">
        <v>19</v>
      </c>
      <c r="C25" s="71">
        <v>103</v>
      </c>
      <c r="D25" s="71">
        <v>501</v>
      </c>
      <c r="E25" s="113">
        <v>20600.000000000364</v>
      </c>
      <c r="F25" s="113">
        <v>22403921.400000397</v>
      </c>
      <c r="G25" s="115">
        <v>4119.9999999998909</v>
      </c>
      <c r="H25" s="115">
        <v>6721176.419999823</v>
      </c>
      <c r="I25" s="104">
        <f>F25+H25</f>
        <v>29125097.82000022</v>
      </c>
      <c r="J25" s="113">
        <v>1859.9999999996726</v>
      </c>
      <c r="K25" s="113">
        <v>2022878.3399996439</v>
      </c>
      <c r="L25" s="113">
        <v>480.00000000001819</v>
      </c>
      <c r="M25" s="115">
        <v>783049.68000002974</v>
      </c>
      <c r="N25" s="106">
        <f>K25+M25</f>
        <v>2805928.0199996736</v>
      </c>
      <c r="O25" s="104">
        <f>I25+N25</f>
        <v>31931025.839999892</v>
      </c>
      <c r="P25" s="106">
        <f>E25+G25+J25+L25</f>
        <v>27059.999999999945</v>
      </c>
      <c r="Q25" s="121">
        <f>R25+T25</f>
        <v>541.60000000000582</v>
      </c>
      <c r="R25" s="122">
        <v>258</v>
      </c>
      <c r="S25" s="122">
        <v>4636389</v>
      </c>
      <c r="T25" s="115">
        <v>283.60000000000582</v>
      </c>
      <c r="U25" s="115">
        <v>1203933.0480000249</v>
      </c>
      <c r="V25" s="114">
        <f>S25+U25</f>
        <v>5840322.0480000246</v>
      </c>
      <c r="W25" s="124">
        <v>170.26355999995778</v>
      </c>
      <c r="X25" s="111"/>
      <c r="Y25" s="109">
        <v>0</v>
      </c>
      <c r="Z25" s="111"/>
      <c r="AA25" s="111"/>
      <c r="AB25" s="111">
        <v>0</v>
      </c>
      <c r="AC25" s="121">
        <f>W25+X25+Y25+Z25+AA25+AB25</f>
        <v>170.26355999995778</v>
      </c>
      <c r="AD25" s="109">
        <v>1723067.2271995726</v>
      </c>
      <c r="AE25" s="112"/>
      <c r="AF25" s="127">
        <v>408.88999999999942</v>
      </c>
      <c r="AG25" s="129">
        <v>713.80000000000291</v>
      </c>
      <c r="AH25" s="128">
        <f>AF25+AG25</f>
        <v>1122.6900000000023</v>
      </c>
      <c r="AI25" s="131">
        <v>11226900.000000022</v>
      </c>
      <c r="AJ25" s="21"/>
    </row>
    <row r="26" spans="1:36" ht="15">
      <c r="A26" s="19"/>
      <c r="B26" s="64">
        <v>20</v>
      </c>
      <c r="C26" s="71">
        <v>102</v>
      </c>
      <c r="D26" s="71">
        <v>472</v>
      </c>
      <c r="E26" s="113">
        <v>19239.999999999782</v>
      </c>
      <c r="F26" s="113">
        <v>20924827.55999976</v>
      </c>
      <c r="G26" s="115">
        <v>4200.0000000000455</v>
      </c>
      <c r="H26" s="115">
        <v>6851684.7000000747</v>
      </c>
      <c r="I26" s="104">
        <f>F26+H26</f>
        <v>27776512.259999834</v>
      </c>
      <c r="J26" s="113">
        <v>1960.0000000000364</v>
      </c>
      <c r="K26" s="113">
        <v>2131635.2400000393</v>
      </c>
      <c r="L26" s="113">
        <v>480.00000000001819</v>
      </c>
      <c r="M26" s="115">
        <v>783049.68000002974</v>
      </c>
      <c r="N26" s="106">
        <f>K26+M26</f>
        <v>2914684.9200000688</v>
      </c>
      <c r="O26" s="104">
        <f>I26+N26</f>
        <v>30691197.179999903</v>
      </c>
      <c r="P26" s="106">
        <f>E26+G26+J26+L26</f>
        <v>25879.99999999988</v>
      </c>
      <c r="Q26" s="121">
        <f>R26+T26</f>
        <v>625</v>
      </c>
      <c r="R26" s="122">
        <v>212</v>
      </c>
      <c r="S26" s="122">
        <v>3809746</v>
      </c>
      <c r="T26" s="115">
        <v>413</v>
      </c>
      <c r="U26" s="115">
        <v>1753259.34</v>
      </c>
      <c r="V26" s="114">
        <f>S26+U26</f>
        <v>5563005.3399999999</v>
      </c>
      <c r="W26" s="124">
        <v>140.97999999999999</v>
      </c>
      <c r="X26" s="111"/>
      <c r="Y26" s="109">
        <v>0</v>
      </c>
      <c r="Z26" s="111"/>
      <c r="AA26" s="111"/>
      <c r="AB26" s="111">
        <v>36</v>
      </c>
      <c r="AC26" s="121">
        <f>W26+X26+Y26+Z26+AA26+AB26</f>
        <v>176.98</v>
      </c>
      <c r="AD26" s="109">
        <v>1845217.5999999999</v>
      </c>
      <c r="AE26" s="112"/>
      <c r="AF26" s="127">
        <v>662.33000000000175</v>
      </c>
      <c r="AG26" s="129">
        <v>1538.7999999999884</v>
      </c>
      <c r="AH26" s="128">
        <f>AF26+AG26</f>
        <v>2201.1299999999901</v>
      </c>
      <c r="AI26" s="131">
        <v>22011299.999999899</v>
      </c>
      <c r="AJ26" s="21"/>
    </row>
    <row r="27" spans="1:36" ht="15">
      <c r="A27" s="19"/>
      <c r="B27" s="81">
        <v>21</v>
      </c>
      <c r="C27" s="65">
        <v>103</v>
      </c>
      <c r="D27" s="65">
        <v>500</v>
      </c>
      <c r="E27" s="110">
        <v>19239.999999999782</v>
      </c>
      <c r="F27" s="110">
        <v>20924827.55999976</v>
      </c>
      <c r="G27" s="122">
        <v>4120.0000000001182</v>
      </c>
      <c r="H27" s="122">
        <v>6721176.4200001936</v>
      </c>
      <c r="I27" s="104">
        <f>F27+H27</f>
        <v>27646003.979999952</v>
      </c>
      <c r="J27" s="156">
        <v>2000</v>
      </c>
      <c r="K27" s="156">
        <v>2175138</v>
      </c>
      <c r="L27" s="118">
        <v>480.00000000001819</v>
      </c>
      <c r="M27" s="120">
        <v>783049.68000002974</v>
      </c>
      <c r="N27" s="106">
        <f>K27+M27</f>
        <v>2958187.6800000295</v>
      </c>
      <c r="O27" s="104">
        <f>I27+N27</f>
        <v>30604191.659999982</v>
      </c>
      <c r="P27" s="106">
        <f>E27+G27+J27+L27</f>
        <v>25839.999999999916</v>
      </c>
      <c r="Q27" s="121">
        <f>R27+T27</f>
        <v>394</v>
      </c>
      <c r="R27" s="122">
        <v>240</v>
      </c>
      <c r="S27" s="122">
        <v>4312920</v>
      </c>
      <c r="T27" s="115">
        <v>154</v>
      </c>
      <c r="U27" s="115">
        <v>653757.72000000009</v>
      </c>
      <c r="V27" s="114">
        <f>S27+U27</f>
        <v>4966677.72</v>
      </c>
      <c r="W27" s="124">
        <v>142.63148000001405</v>
      </c>
      <c r="X27" s="111"/>
      <c r="Y27" s="109">
        <v>150</v>
      </c>
      <c r="Z27" s="111">
        <v>50</v>
      </c>
      <c r="AA27" s="111"/>
      <c r="AB27" s="111">
        <v>108</v>
      </c>
      <c r="AC27" s="121">
        <f>W27+X27+Y27+Z27+AA27+AB27</f>
        <v>450.63148000001405</v>
      </c>
      <c r="AD27" s="109">
        <v>4960930.577600142</v>
      </c>
      <c r="AE27" s="112"/>
      <c r="AF27" s="127">
        <v>769.80000000000291</v>
      </c>
      <c r="AG27" s="129">
        <v>2080</v>
      </c>
      <c r="AH27" s="128">
        <f>AF27+AG27</f>
        <v>2849.8000000000029</v>
      </c>
      <c r="AI27" s="131">
        <v>28498000.00000003</v>
      </c>
      <c r="AJ27" s="21"/>
    </row>
    <row r="28" spans="1:36" ht="15">
      <c r="A28" s="19"/>
      <c r="B28" s="64">
        <v>22</v>
      </c>
      <c r="C28" s="65">
        <v>54</v>
      </c>
      <c r="D28" s="65">
        <v>538</v>
      </c>
      <c r="E28" s="110">
        <v>19720.000000000255</v>
      </c>
      <c r="F28" s="110">
        <v>21446860.680000275</v>
      </c>
      <c r="G28" s="122">
        <v>4000</v>
      </c>
      <c r="H28" s="122">
        <v>6525414</v>
      </c>
      <c r="I28" s="104">
        <f>F28+H28</f>
        <v>27972274.680000275</v>
      </c>
      <c r="J28" s="156">
        <v>2039.9999999999636</v>
      </c>
      <c r="K28" s="156">
        <v>2218640.7599999607</v>
      </c>
      <c r="L28" s="118">
        <v>460.00000000003638</v>
      </c>
      <c r="M28" s="120">
        <v>750422.61000005936</v>
      </c>
      <c r="N28" s="106">
        <f>K28+M28</f>
        <v>2969063.3700000201</v>
      </c>
      <c r="O28" s="104">
        <f>I28+N28</f>
        <v>30941338.050000295</v>
      </c>
      <c r="P28" s="106">
        <f>E28+G28+J28+L28</f>
        <v>26220.000000000255</v>
      </c>
      <c r="Q28" s="121">
        <f>R28+T28</f>
        <v>537</v>
      </c>
      <c r="R28" s="122">
        <v>266</v>
      </c>
      <c r="S28" s="122">
        <v>4780153</v>
      </c>
      <c r="T28" s="115">
        <v>271</v>
      </c>
      <c r="U28" s="115">
        <v>1150443.78</v>
      </c>
      <c r="V28" s="114">
        <f>S28+U28</f>
        <v>5930596.7800000003</v>
      </c>
      <c r="W28" s="124">
        <v>129.33908000000233</v>
      </c>
      <c r="X28" s="111"/>
      <c r="Y28" s="109">
        <v>0</v>
      </c>
      <c r="Z28" s="111"/>
      <c r="AA28" s="111"/>
      <c r="AB28" s="111">
        <v>12</v>
      </c>
      <c r="AC28" s="121">
        <f>W28+X28+Y28+Z28+AA28+AB28</f>
        <v>141.33908000000233</v>
      </c>
      <c r="AD28" s="109">
        <v>1448411.4896000235</v>
      </c>
      <c r="AE28" s="112"/>
      <c r="AF28" s="127">
        <v>559.48999999999069</v>
      </c>
      <c r="AG28" s="129">
        <v>0</v>
      </c>
      <c r="AH28" s="128">
        <f>AF28+AG28</f>
        <v>559.48999999999069</v>
      </c>
      <c r="AI28" s="131">
        <v>5594899.9999999069</v>
      </c>
      <c r="AJ28" s="21"/>
    </row>
    <row r="29" spans="1:36" ht="15">
      <c r="A29" s="19"/>
      <c r="B29" s="81">
        <v>23</v>
      </c>
      <c r="C29" s="65">
        <v>41</v>
      </c>
      <c r="D29" s="65">
        <v>400</v>
      </c>
      <c r="E29" s="110">
        <v>18479.999999999563</v>
      </c>
      <c r="F29" s="110">
        <v>20098275.119999524</v>
      </c>
      <c r="G29" s="122">
        <v>4119.9999999998909</v>
      </c>
      <c r="H29" s="122">
        <v>6721176.419999823</v>
      </c>
      <c r="I29" s="104">
        <f>F29+H29</f>
        <v>26819451.539999347</v>
      </c>
      <c r="J29" s="156">
        <v>2180.000000000291</v>
      </c>
      <c r="K29" s="156">
        <v>2370900.4200003166</v>
      </c>
      <c r="L29" s="118">
        <v>480.00000000001819</v>
      </c>
      <c r="M29" s="120">
        <v>783049.68000002974</v>
      </c>
      <c r="N29" s="106">
        <f>K29+M29</f>
        <v>3153950.1000003461</v>
      </c>
      <c r="O29" s="104">
        <f>I29+N29</f>
        <v>29973401.639999695</v>
      </c>
      <c r="P29" s="106">
        <f>E29+G29+J29+L29</f>
        <v>25259.999999999764</v>
      </c>
      <c r="Q29" s="121">
        <f>R29+T29</f>
        <v>500</v>
      </c>
      <c r="R29" s="122">
        <v>254</v>
      </c>
      <c r="S29" s="122">
        <v>4564507</v>
      </c>
      <c r="T29" s="115">
        <v>246</v>
      </c>
      <c r="U29" s="115">
        <v>1044314.28</v>
      </c>
      <c r="V29" s="114">
        <f>S29+U29</f>
        <v>5608821.2800000003</v>
      </c>
      <c r="W29" s="124">
        <v>124.26380000002344</v>
      </c>
      <c r="X29" s="111"/>
      <c r="Y29" s="109">
        <v>300</v>
      </c>
      <c r="Z29" s="111"/>
      <c r="AA29" s="111"/>
      <c r="AB29" s="111">
        <v>12</v>
      </c>
      <c r="AC29" s="121">
        <f>W29+X29+Y29+Z29+AA29+AB29</f>
        <v>436.26380000002342</v>
      </c>
      <c r="AD29" s="109">
        <v>4790049.656000237</v>
      </c>
      <c r="AE29" s="112"/>
      <c r="AF29" s="127">
        <v>588.03000000001339</v>
      </c>
      <c r="AG29" s="129">
        <v>20.900000000008731</v>
      </c>
      <c r="AH29" s="128">
        <f>AF29+AG29</f>
        <v>608.93000000002212</v>
      </c>
      <c r="AI29" s="131">
        <v>6089300.0000002217</v>
      </c>
      <c r="AJ29" s="21"/>
    </row>
    <row r="30" spans="1:36" ht="15">
      <c r="A30" s="19"/>
      <c r="B30" s="64">
        <v>24</v>
      </c>
      <c r="C30" s="65">
        <v>35</v>
      </c>
      <c r="D30" s="65">
        <v>416</v>
      </c>
      <c r="E30" s="110">
        <v>19280.000000000655</v>
      </c>
      <c r="F30" s="110">
        <v>20968330.320000712</v>
      </c>
      <c r="G30" s="122">
        <v>4120.0000000001182</v>
      </c>
      <c r="H30" s="122">
        <v>6721176.4200001936</v>
      </c>
      <c r="I30" s="104">
        <f>F30+H30</f>
        <v>27689506.740000904</v>
      </c>
      <c r="J30" s="156">
        <v>2019.9999999995271</v>
      </c>
      <c r="K30" s="156">
        <v>2196889.3799994858</v>
      </c>
      <c r="L30" s="118">
        <v>460.00000000003638</v>
      </c>
      <c r="M30" s="120">
        <v>750422.61000005936</v>
      </c>
      <c r="N30" s="106">
        <f>K30+M30</f>
        <v>2947311.9899995453</v>
      </c>
      <c r="O30" s="104">
        <f>I30+N30</f>
        <v>30636818.730000447</v>
      </c>
      <c r="P30" s="106">
        <f>E30+G30+J30+L30</f>
        <v>25880.000000000335</v>
      </c>
      <c r="Q30" s="121">
        <f>R30+T30</f>
        <v>476</v>
      </c>
      <c r="R30" s="122">
        <v>247</v>
      </c>
      <c r="S30" s="122">
        <v>4438713.5</v>
      </c>
      <c r="T30" s="115">
        <v>229</v>
      </c>
      <c r="U30" s="115">
        <v>972146.22000000009</v>
      </c>
      <c r="V30" s="114">
        <f>S30+U30</f>
        <v>5410859.7199999997</v>
      </c>
      <c r="W30" s="124">
        <v>124.14295999996951</v>
      </c>
      <c r="X30" s="111"/>
      <c r="Y30" s="109">
        <v>0</v>
      </c>
      <c r="Z30" s="111"/>
      <c r="AA30" s="111"/>
      <c r="AB30" s="111">
        <v>0</v>
      </c>
      <c r="AC30" s="121">
        <f>W30+X30+Y30+Z30+AA30+AB30</f>
        <v>124.14295999996951</v>
      </c>
      <c r="AD30" s="109">
        <v>1256326.7551996915</v>
      </c>
      <c r="AE30" s="112"/>
      <c r="AF30" s="127">
        <v>521.52999999999884</v>
      </c>
      <c r="AG30" s="129">
        <v>0</v>
      </c>
      <c r="AH30" s="128">
        <f>AF30+AG30</f>
        <v>521.52999999999884</v>
      </c>
      <c r="AI30" s="131">
        <v>5215299.9999999888</v>
      </c>
      <c r="AJ30" s="21"/>
    </row>
    <row r="31" spans="1:36" ht="15">
      <c r="A31" s="19"/>
      <c r="B31" s="81">
        <v>25</v>
      </c>
      <c r="C31" s="65">
        <v>33</v>
      </c>
      <c r="D31" s="65">
        <v>258</v>
      </c>
      <c r="E31" s="110">
        <v>19319.999999999709</v>
      </c>
      <c r="F31" s="110">
        <v>21011833.079999685</v>
      </c>
      <c r="G31" s="122">
        <v>4239.9999999997817</v>
      </c>
      <c r="H31" s="122">
        <v>6916938.8399996441</v>
      </c>
      <c r="I31" s="104">
        <f>F31+H31</f>
        <v>27928771.919999331</v>
      </c>
      <c r="J31" s="156">
        <v>1760.0000000002183</v>
      </c>
      <c r="K31" s="156">
        <v>1914121.4400002374</v>
      </c>
      <c r="L31" s="118">
        <v>460.00000000003638</v>
      </c>
      <c r="M31" s="120">
        <v>750422.61000005936</v>
      </c>
      <c r="N31" s="106">
        <f>K31+M31</f>
        <v>2664544.0500002969</v>
      </c>
      <c r="O31" s="104">
        <f>I31+N31</f>
        <v>30593315.969999626</v>
      </c>
      <c r="P31" s="106">
        <f>E31+G31+J31+L31</f>
        <v>25779.999999999745</v>
      </c>
      <c r="Q31" s="121">
        <f>R31+T31</f>
        <v>482</v>
      </c>
      <c r="R31" s="122">
        <v>248</v>
      </c>
      <c r="S31" s="122">
        <v>4456684</v>
      </c>
      <c r="T31" s="115">
        <v>234</v>
      </c>
      <c r="U31" s="115">
        <v>993372.12000000011</v>
      </c>
      <c r="V31" s="114">
        <f>S31+U31</f>
        <v>5450056.1200000001</v>
      </c>
      <c r="W31" s="124">
        <v>120.31636000003985</v>
      </c>
      <c r="X31" s="111"/>
      <c r="Y31" s="109">
        <v>0</v>
      </c>
      <c r="Z31" s="111"/>
      <c r="AA31" s="111"/>
      <c r="AB31" s="111">
        <v>0</v>
      </c>
      <c r="AC31" s="121">
        <f>W31+X31+Y31+Z31+AA31+AB31</f>
        <v>120.31636000003985</v>
      </c>
      <c r="AD31" s="109">
        <v>1217601.5632004032</v>
      </c>
      <c r="AE31" s="112"/>
      <c r="AF31" s="127">
        <v>424.47999999999593</v>
      </c>
      <c r="AG31" s="129">
        <v>0</v>
      </c>
      <c r="AH31" s="128">
        <f>AF31+AG31</f>
        <v>424.47999999999593</v>
      </c>
      <c r="AI31" s="131">
        <v>4244799.999999959</v>
      </c>
      <c r="AJ31" s="21"/>
    </row>
    <row r="32" spans="1:36" ht="15">
      <c r="A32" s="19"/>
      <c r="B32" s="64">
        <v>26</v>
      </c>
      <c r="C32" s="65">
        <v>43</v>
      </c>
      <c r="D32" s="65">
        <v>366</v>
      </c>
      <c r="E32" s="110">
        <v>20159.999999999854</v>
      </c>
      <c r="F32" s="110">
        <v>21925391.039999843</v>
      </c>
      <c r="G32" s="122">
        <v>4400.0000000000909</v>
      </c>
      <c r="H32" s="122">
        <v>7177955.4000001494</v>
      </c>
      <c r="I32" s="104">
        <f>F32+H32</f>
        <v>29103346.43999999</v>
      </c>
      <c r="J32" s="156">
        <v>2039.9999999999636</v>
      </c>
      <c r="K32" s="156">
        <v>2218640.7599999607</v>
      </c>
      <c r="L32" s="118">
        <v>480.00000000001819</v>
      </c>
      <c r="M32" s="120">
        <v>783049.68000002974</v>
      </c>
      <c r="N32" s="106">
        <f>K32+M32</f>
        <v>3001690.4399999902</v>
      </c>
      <c r="O32" s="104">
        <f>I32+N32</f>
        <v>32105036.87999998</v>
      </c>
      <c r="P32" s="106">
        <f>E32+G32+J32+L32</f>
        <v>27079.999999999927</v>
      </c>
      <c r="Q32" s="121">
        <f>R32+T32</f>
        <v>553</v>
      </c>
      <c r="R32" s="122">
        <v>280</v>
      </c>
      <c r="S32" s="122">
        <v>5031740</v>
      </c>
      <c r="T32" s="115">
        <v>273</v>
      </c>
      <c r="U32" s="115">
        <v>1158934.1400000001</v>
      </c>
      <c r="V32" s="114">
        <f>S32+U32</f>
        <v>6190674.1400000006</v>
      </c>
      <c r="W32" s="124">
        <v>127.40563999996013</v>
      </c>
      <c r="X32" s="111"/>
      <c r="Y32" s="109">
        <v>0</v>
      </c>
      <c r="Z32" s="111"/>
      <c r="AA32" s="111"/>
      <c r="AB32" s="111">
        <v>48</v>
      </c>
      <c r="AC32" s="121">
        <f>W32+X32+Y32+Z32+AA32+AB32</f>
        <v>175.40563999996013</v>
      </c>
      <c r="AD32" s="109">
        <v>1847345.0767995964</v>
      </c>
      <c r="AE32" s="112"/>
      <c r="AF32" s="127">
        <v>439.19999999999709</v>
      </c>
      <c r="AG32" s="129">
        <v>0</v>
      </c>
      <c r="AH32" s="128">
        <f>AF32+AG32</f>
        <v>439.19999999999709</v>
      </c>
      <c r="AI32" s="131">
        <v>4391999.9999999711</v>
      </c>
      <c r="AJ32" s="21"/>
    </row>
    <row r="33" spans="1:36" ht="15">
      <c r="A33" s="19"/>
      <c r="B33" s="81">
        <v>27</v>
      </c>
      <c r="C33" s="65">
        <v>51</v>
      </c>
      <c r="D33" s="65">
        <v>374</v>
      </c>
      <c r="E33" s="110">
        <v>20440.000000000509</v>
      </c>
      <c r="F33" s="110">
        <v>22229910.360000554</v>
      </c>
      <c r="G33" s="122">
        <v>4400.0000000000909</v>
      </c>
      <c r="H33" s="122">
        <v>7177955.4000001494</v>
      </c>
      <c r="I33" s="104">
        <f>F33+H33</f>
        <v>29407865.760000706</v>
      </c>
      <c r="J33" s="156">
        <v>2039.9999999999636</v>
      </c>
      <c r="K33" s="156">
        <v>2218640.7599999607</v>
      </c>
      <c r="L33" s="118">
        <v>480.00000000001819</v>
      </c>
      <c r="M33" s="120">
        <v>783049.68000002974</v>
      </c>
      <c r="N33" s="106">
        <f>K33+M33</f>
        <v>3001690.4399999902</v>
      </c>
      <c r="O33" s="104">
        <f>I33+N33</f>
        <v>32409556.200000696</v>
      </c>
      <c r="P33" s="106">
        <f>E33+G33+J33+L33</f>
        <v>27360.000000000582</v>
      </c>
      <c r="Q33" s="121">
        <f>R33+T33</f>
        <v>527</v>
      </c>
      <c r="R33" s="122">
        <v>243</v>
      </c>
      <c r="S33" s="122">
        <v>4366831.5</v>
      </c>
      <c r="T33" s="115">
        <v>284</v>
      </c>
      <c r="U33" s="115">
        <v>1205631.1200000001</v>
      </c>
      <c r="V33" s="114">
        <f>S33+U33</f>
        <v>5572462.6200000001</v>
      </c>
      <c r="W33" s="124">
        <v>124.42491999999764</v>
      </c>
      <c r="X33" s="111"/>
      <c r="Y33" s="109">
        <v>0</v>
      </c>
      <c r="Z33" s="111">
        <v>50</v>
      </c>
      <c r="AA33" s="111"/>
      <c r="AB33" s="111">
        <v>0</v>
      </c>
      <c r="AC33" s="121">
        <f>W33+X33+Y33+Z33+AA33+AB33</f>
        <v>174.42491999999766</v>
      </c>
      <c r="AD33" s="109">
        <v>1824680.1903999762</v>
      </c>
      <c r="AE33" s="112"/>
      <c r="AF33" s="127">
        <v>579.47000000000116</v>
      </c>
      <c r="AG33" s="129">
        <v>0</v>
      </c>
      <c r="AH33" s="128">
        <f>AF33+AG33</f>
        <v>579.47000000000116</v>
      </c>
      <c r="AI33" s="131">
        <v>5794700.0000000112</v>
      </c>
      <c r="AJ33" s="21"/>
    </row>
    <row r="34" spans="1:36" ht="15">
      <c r="A34" s="19"/>
      <c r="B34" s="64">
        <v>28</v>
      </c>
      <c r="C34" s="65">
        <v>43</v>
      </c>
      <c r="D34" s="65">
        <v>579</v>
      </c>
      <c r="E34" s="110">
        <v>20719.999999999345</v>
      </c>
      <c r="F34" s="110">
        <v>22534429.679999288</v>
      </c>
      <c r="G34" s="122">
        <v>4079.9999999999272</v>
      </c>
      <c r="H34" s="122">
        <v>6655922.279999882</v>
      </c>
      <c r="I34" s="104">
        <f>F34+H34</f>
        <v>29190351.95999917</v>
      </c>
      <c r="J34" s="156">
        <v>2039.9999999999636</v>
      </c>
      <c r="K34" s="156">
        <v>2218640.7599999607</v>
      </c>
      <c r="L34" s="118">
        <v>500</v>
      </c>
      <c r="M34" s="120">
        <v>815676.75</v>
      </c>
      <c r="N34" s="106">
        <f>K34+M34</f>
        <v>3034317.5099999607</v>
      </c>
      <c r="O34" s="104">
        <f>I34+N34</f>
        <v>32224669.469999131</v>
      </c>
      <c r="P34" s="106">
        <f>E34+G34+J34+L34</f>
        <v>27339.999999999236</v>
      </c>
      <c r="Q34" s="121">
        <f>R34+T34</f>
        <v>486</v>
      </c>
      <c r="R34" s="122">
        <v>129</v>
      </c>
      <c r="S34" s="122">
        <v>2318194.5</v>
      </c>
      <c r="T34" s="115">
        <v>357</v>
      </c>
      <c r="U34" s="115">
        <v>1515529.26</v>
      </c>
      <c r="V34" s="114">
        <f>S34+U34</f>
        <v>3833723.76</v>
      </c>
      <c r="W34" s="124">
        <v>136.22696000002813</v>
      </c>
      <c r="X34" s="111"/>
      <c r="Y34" s="109"/>
      <c r="Z34" s="111"/>
      <c r="AA34" s="111"/>
      <c r="AB34" s="111">
        <v>0</v>
      </c>
      <c r="AC34" s="121">
        <f>W34+X34+Y34+Z34+AA34+AB34</f>
        <v>136.22696000002813</v>
      </c>
      <c r="AD34" s="109">
        <v>1378616.8352002846</v>
      </c>
      <c r="AE34" s="112"/>
      <c r="AF34" s="127">
        <v>445.30000000000291</v>
      </c>
      <c r="AG34" s="129">
        <v>207</v>
      </c>
      <c r="AH34" s="128">
        <f>AF34+AG34</f>
        <v>652.30000000000291</v>
      </c>
      <c r="AI34" s="131">
        <v>6523000.0000000289</v>
      </c>
      <c r="AJ34" s="21"/>
    </row>
    <row r="35" spans="1:36">
      <c r="A35" s="19"/>
      <c r="B35" s="64"/>
      <c r="C35" s="65"/>
      <c r="D35" s="65"/>
      <c r="E35" s="66"/>
      <c r="F35" s="66"/>
      <c r="G35" s="67"/>
      <c r="H35" s="66"/>
      <c r="I35" s="68"/>
      <c r="J35" s="66"/>
      <c r="K35" s="66"/>
      <c r="L35" s="69"/>
      <c r="M35" s="70"/>
      <c r="N35" s="74"/>
      <c r="O35" s="75"/>
      <c r="P35" s="74"/>
      <c r="Q35" s="76"/>
      <c r="R35" s="66"/>
      <c r="S35" s="66"/>
      <c r="T35" s="77"/>
      <c r="U35" s="77"/>
      <c r="V35" s="77"/>
      <c r="W35" s="65"/>
      <c r="X35" s="66"/>
      <c r="Y35" s="66"/>
      <c r="Z35" s="66"/>
      <c r="AA35" s="66"/>
      <c r="AB35" s="66"/>
      <c r="AC35" s="66"/>
      <c r="AD35" s="66"/>
      <c r="AE35" s="72"/>
      <c r="AF35" s="72"/>
      <c r="AG35" s="72"/>
      <c r="AH35" s="72"/>
      <c r="AI35" s="20"/>
      <c r="AJ35" s="21"/>
    </row>
    <row r="36" spans="1:36">
      <c r="A36" s="19"/>
      <c r="B36" s="64"/>
      <c r="C36" s="67"/>
      <c r="D36" s="66"/>
      <c r="E36" s="66"/>
      <c r="F36" s="66"/>
      <c r="G36" s="71"/>
      <c r="H36" s="66"/>
      <c r="I36" s="71"/>
      <c r="J36" s="71"/>
      <c r="K36" s="71"/>
      <c r="L36" s="66"/>
      <c r="M36" s="78"/>
      <c r="N36" s="74"/>
      <c r="O36" s="75"/>
      <c r="P36" s="74"/>
      <c r="Q36" s="76"/>
      <c r="R36" s="66"/>
      <c r="S36" s="66"/>
      <c r="T36" s="77"/>
      <c r="U36" s="77"/>
      <c r="V36" s="71"/>
      <c r="W36" s="71"/>
      <c r="X36" s="66"/>
      <c r="Y36" s="71"/>
      <c r="Z36" s="71"/>
      <c r="AA36" s="71"/>
      <c r="AB36" s="71"/>
      <c r="AC36" s="71"/>
      <c r="AD36" s="66"/>
      <c r="AE36" s="72"/>
      <c r="AF36" s="72"/>
      <c r="AG36" s="72"/>
      <c r="AH36" s="72"/>
      <c r="AI36" s="20"/>
      <c r="AJ36" s="21"/>
    </row>
    <row r="37" spans="1:36" s="2" customFormat="1" ht="15.75" customHeight="1">
      <c r="B37" s="22"/>
      <c r="C37" s="23"/>
      <c r="D37" s="23"/>
      <c r="E37" s="24"/>
      <c r="F37" s="21"/>
      <c r="H37" s="21"/>
      <c r="L37" s="21"/>
      <c r="M37" s="25"/>
      <c r="N37" s="26"/>
      <c r="P37" s="26"/>
      <c r="Q37" s="28"/>
      <c r="X37" s="21"/>
      <c r="AE37" s="27"/>
      <c r="AF37" s="27"/>
      <c r="AG37" s="27"/>
      <c r="AH37" s="27"/>
    </row>
    <row r="38" spans="1:36" s="2" customFormat="1" ht="15.75" customHeight="1">
      <c r="B38" s="22"/>
      <c r="C38" s="23"/>
      <c r="D38" s="23"/>
      <c r="E38" s="24"/>
      <c r="F38" s="21"/>
      <c r="H38" s="21"/>
      <c r="L38" s="21"/>
      <c r="M38" s="25"/>
      <c r="N38" s="26"/>
      <c r="P38" s="26"/>
      <c r="Q38" s="28"/>
      <c r="X38" s="21"/>
      <c r="AD38" s="21"/>
      <c r="AE38" s="30"/>
      <c r="AF38" s="30"/>
      <c r="AG38" s="30"/>
      <c r="AH38" s="30"/>
      <c r="AI38" s="31"/>
    </row>
    <row r="39" spans="1:36" s="2" customFormat="1">
      <c r="B39" s="32"/>
      <c r="C39" s="143"/>
      <c r="D39" s="143"/>
      <c r="E39" s="144"/>
      <c r="F39" s="145"/>
      <c r="G39" s="146"/>
      <c r="H39" s="145"/>
      <c r="I39" s="146"/>
      <c r="J39" s="146"/>
      <c r="K39" s="146"/>
      <c r="L39" s="145"/>
      <c r="M39" s="147"/>
      <c r="N39" s="148"/>
      <c r="O39" s="146"/>
      <c r="P39" s="148"/>
      <c r="Q39" s="149"/>
      <c r="R39" s="150"/>
      <c r="S39" s="146"/>
      <c r="T39" s="146"/>
      <c r="U39" s="146"/>
      <c r="V39" s="146"/>
      <c r="W39" s="151"/>
      <c r="X39" s="145"/>
      <c r="Y39" s="151"/>
      <c r="Z39" s="151"/>
      <c r="AA39" s="151"/>
      <c r="AB39" s="151"/>
      <c r="AC39" s="151"/>
      <c r="AD39" s="145"/>
      <c r="AE39" s="152"/>
      <c r="AF39" s="152"/>
      <c r="AG39" s="152"/>
      <c r="AH39" s="152"/>
      <c r="AI39" s="153"/>
    </row>
    <row r="40" spans="1:36">
      <c r="A40" s="33"/>
      <c r="B40" s="142"/>
      <c r="C40" s="132">
        <f>SUM(C7:C34)</f>
        <v>2190</v>
      </c>
      <c r="D40" s="132">
        <f>SUM(D7:D34)</f>
        <v>16364</v>
      </c>
      <c r="E40" s="133">
        <f>SUM(E7:E34)</f>
        <v>550199.99999999965</v>
      </c>
      <c r="F40" s="133">
        <f>SUM(F7:F34)</f>
        <v>598380463.79999983</v>
      </c>
      <c r="G40" s="133">
        <f>SUM(G7:G34)</f>
        <v>113879.99999999997</v>
      </c>
      <c r="H40" s="133">
        <f>SUM(H7:H34)</f>
        <v>185778536.58000004</v>
      </c>
      <c r="I40" s="133">
        <f>SUM(I7:I34)</f>
        <v>784159000.37999988</v>
      </c>
      <c r="J40" s="133">
        <f>SUM(J7:J34)</f>
        <v>55699.999999999818</v>
      </c>
      <c r="K40" s="133">
        <f>SUM(K7:K34)</f>
        <v>60577593.299999811</v>
      </c>
      <c r="L40" s="133">
        <f>SUM(L7:L34)</f>
        <v>13140.0000000001</v>
      </c>
      <c r="M40" s="133">
        <f>SUM(M7:M34)</f>
        <v>21435984.990000159</v>
      </c>
      <c r="N40" s="133">
        <f>SUM(N7:N34)</f>
        <v>82013578.289999992</v>
      </c>
      <c r="O40" s="134">
        <f>SUM(O7:O34)</f>
        <v>866172578.66999996</v>
      </c>
      <c r="P40" s="135">
        <f>SUM(P7:P34)</f>
        <v>732919.99999999965</v>
      </c>
      <c r="Q40" s="136">
        <f>SUM(Q7:Q34)</f>
        <v>15944</v>
      </c>
      <c r="R40" s="133">
        <f>SUM(R7:R34)</f>
        <v>6950</v>
      </c>
      <c r="S40" s="133">
        <f>SUM(S7:S34)</f>
        <v>124894975</v>
      </c>
      <c r="T40" s="133">
        <f>SUM(T7:T34)</f>
        <v>8994</v>
      </c>
      <c r="U40" s="133">
        <f>SUM(U7:U34)</f>
        <v>38181148.920000002</v>
      </c>
      <c r="V40" s="137">
        <f>SUM(V7:V34)</f>
        <v>163076123.92000002</v>
      </c>
      <c r="W40" s="138">
        <f>SUM(W7:W34)</f>
        <v>3922.0635999999881</v>
      </c>
      <c r="X40" s="133">
        <f>SUM(X7:X34)</f>
        <v>0</v>
      </c>
      <c r="Y40" s="133">
        <f>SUM(Y7:Y34)</f>
        <v>1150</v>
      </c>
      <c r="Z40" s="133">
        <f>SUM(Z7:Z34)</f>
        <v>250</v>
      </c>
      <c r="AA40" s="133">
        <f>SUM(AA7:AA34)</f>
        <v>0</v>
      </c>
      <c r="AB40" s="133">
        <f>SUM(AB7:AB34)</f>
        <v>432</v>
      </c>
      <c r="AC40" s="139">
        <f>SUM(AC7:AC34)</f>
        <v>5754.0635999999868</v>
      </c>
      <c r="AD40" s="139">
        <f>SUM(AD7:AD34)</f>
        <v>60547283.63199988</v>
      </c>
      <c r="AE40" s="140">
        <f>SUM(AE8:AE36)</f>
        <v>0</v>
      </c>
      <c r="AF40" s="133">
        <f>SUM(AF7:AF34)</f>
        <v>15440.960000000006</v>
      </c>
      <c r="AG40" s="133">
        <f>SUM(AG7:AG34)</f>
        <v>12220.199999999997</v>
      </c>
      <c r="AH40" s="141">
        <f>SUM(AH7:AH34)</f>
        <v>27661.160000000003</v>
      </c>
      <c r="AI40" s="141">
        <f>SUM(AI7:AI34)</f>
        <v>276611600.00000006</v>
      </c>
      <c r="AJ40" s="33"/>
    </row>
    <row r="41" spans="1:36">
      <c r="A41" s="33"/>
      <c r="B41" s="33"/>
      <c r="C41" s="31"/>
      <c r="D41" s="34"/>
      <c r="E41" s="31"/>
      <c r="F41" s="31"/>
      <c r="G41" s="34"/>
      <c r="H41" s="31"/>
      <c r="I41" s="35"/>
      <c r="J41" s="35"/>
      <c r="K41" s="35"/>
      <c r="L41" s="36"/>
      <c r="M41" s="37"/>
      <c r="N41" s="38"/>
      <c r="O41" s="39"/>
      <c r="P41" s="38"/>
      <c r="Q41" s="34"/>
      <c r="R41" s="34"/>
      <c r="S41" s="34"/>
      <c r="T41" s="41"/>
      <c r="U41" s="34"/>
      <c r="V41" s="34"/>
      <c r="W41" s="29"/>
      <c r="X41" s="21"/>
      <c r="Y41" s="29"/>
      <c r="Z41" s="29"/>
      <c r="AA41" s="29"/>
      <c r="AB41" s="29"/>
      <c r="AC41" s="21"/>
      <c r="AD41" s="31">
        <f>W40-AC40</f>
        <v>-1831.9999999999986</v>
      </c>
      <c r="AE41" s="30"/>
      <c r="AF41" s="30"/>
      <c r="AG41" s="30"/>
      <c r="AH41" s="30"/>
      <c r="AI41" s="34"/>
      <c r="AJ41" s="33"/>
    </row>
    <row r="42" spans="1:36" s="44" customFormat="1">
      <c r="A42" s="42"/>
      <c r="B42" s="42"/>
      <c r="C42" s="36"/>
      <c r="D42" s="43"/>
      <c r="E42" s="36"/>
      <c r="F42" s="36"/>
      <c r="G42" s="36"/>
      <c r="H42" s="36"/>
      <c r="I42" s="35"/>
      <c r="J42" s="35"/>
      <c r="K42" s="35"/>
      <c r="L42" s="36"/>
      <c r="M42" s="38"/>
      <c r="N42" s="38"/>
      <c r="O42" s="39"/>
      <c r="P42" s="38">
        <f>O40/P40</f>
        <v>1181.8105368525901</v>
      </c>
      <c r="Q42" s="43"/>
      <c r="R42" s="43"/>
      <c r="S42" s="43"/>
      <c r="T42" s="36"/>
      <c r="U42" s="36"/>
      <c r="V42" s="43">
        <f>V40/Q40</f>
        <v>10228.055940792776</v>
      </c>
      <c r="W42" s="43"/>
      <c r="X42" s="36"/>
      <c r="Y42" s="43"/>
      <c r="Z42" s="43"/>
      <c r="AA42" s="43"/>
      <c r="AB42" s="43"/>
      <c r="AC42" s="36"/>
      <c r="AD42" s="36">
        <f>AD40/AC40</f>
        <v>10522.525964433209</v>
      </c>
      <c r="AE42" s="40"/>
      <c r="AF42" s="40"/>
      <c r="AG42" s="40"/>
      <c r="AH42" s="40"/>
      <c r="AI42" s="43">
        <f>AI40/AH40</f>
        <v>10000</v>
      </c>
      <c r="AJ42" s="42"/>
    </row>
    <row r="43" spans="1:36" s="46" customFormat="1">
      <c r="A43" s="45"/>
      <c r="B43" s="45"/>
      <c r="E43" s="47"/>
      <c r="F43" s="48"/>
      <c r="G43" s="47"/>
      <c r="I43" s="47"/>
      <c r="J43" s="47"/>
      <c r="K43" s="47"/>
      <c r="L43" s="47"/>
      <c r="M43" s="47"/>
      <c r="N43" s="49"/>
      <c r="O43" s="50"/>
      <c r="P43" s="51"/>
      <c r="T43" s="53"/>
      <c r="U43" s="54"/>
      <c r="AE43" s="52"/>
      <c r="AF43" s="52"/>
      <c r="AG43" s="52"/>
      <c r="AH43" s="52"/>
      <c r="AJ43" s="45"/>
    </row>
    <row r="44" spans="1:36" s="57" customFormat="1">
      <c r="A44" s="55"/>
      <c r="B44" s="55"/>
      <c r="C44" s="56"/>
      <c r="E44" s="56"/>
      <c r="F44" s="56"/>
      <c r="H44" s="56"/>
      <c r="L44" s="56"/>
      <c r="M44" s="58"/>
      <c r="N44" s="59"/>
      <c r="P44" s="58"/>
      <c r="Q44" s="61"/>
      <c r="R44" s="61"/>
      <c r="S44" s="62"/>
      <c r="X44" s="56"/>
      <c r="AD44" s="56"/>
      <c r="AE44" s="60"/>
      <c r="AF44" s="60"/>
      <c r="AG44" s="60"/>
      <c r="AH44" s="60"/>
      <c r="AJ44" s="55"/>
    </row>
    <row r="45" spans="1:36" s="57" customFormat="1">
      <c r="A45" s="55"/>
      <c r="B45" s="55"/>
      <c r="C45" s="56"/>
      <c r="E45" s="56"/>
      <c r="F45" s="56"/>
      <c r="H45" s="56"/>
      <c r="L45" s="56"/>
      <c r="M45" s="58"/>
      <c r="N45" s="59"/>
      <c r="P45" s="58"/>
      <c r="X45" s="56"/>
      <c r="AD45" s="56"/>
      <c r="AE45" s="60"/>
      <c r="AF45" s="60"/>
      <c r="AG45" s="60"/>
      <c r="AH45" s="60"/>
      <c r="AJ45" s="5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8"/>
      <c r="M47" s="58"/>
      <c r="N47" s="58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63"/>
      <c r="N48" s="58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63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