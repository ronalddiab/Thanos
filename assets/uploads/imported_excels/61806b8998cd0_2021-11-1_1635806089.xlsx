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EP\Daily  Water\"/>
    </mc:Choice>
  </mc:AlternateContent>
  <bookViews>
    <workbookView xWindow="0" yWindow="0" windowWidth="28800" windowHeight="11835"/>
  </bookViews>
  <sheets>
    <sheet name="Oc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4" i="2" l="1"/>
  <c r="S34" i="2" s="1"/>
  <c r="M34" i="2"/>
  <c r="K34" i="2"/>
  <c r="I34" i="2"/>
  <c r="N34" i="2" s="1"/>
  <c r="P34" i="2" s="1"/>
  <c r="G34" i="2"/>
  <c r="E34" i="2"/>
  <c r="C34" i="2"/>
  <c r="R33" i="2"/>
  <c r="S33" i="2" s="1"/>
  <c r="M33" i="2"/>
  <c r="K33" i="2"/>
  <c r="I33" i="2"/>
  <c r="G33" i="2"/>
  <c r="E33" i="2"/>
  <c r="C33" i="2"/>
  <c r="S32" i="2"/>
  <c r="R32" i="2"/>
  <c r="M32" i="2"/>
  <c r="K32" i="2"/>
  <c r="I32" i="2"/>
  <c r="G32" i="2"/>
  <c r="E32" i="2"/>
  <c r="C32" i="2"/>
  <c r="S31" i="2"/>
  <c r="R31" i="2"/>
  <c r="M31" i="2"/>
  <c r="K31" i="2"/>
  <c r="I31" i="2"/>
  <c r="G31" i="2"/>
  <c r="E31" i="2"/>
  <c r="C31" i="2"/>
  <c r="R30" i="2"/>
  <c r="S30" i="2" s="1"/>
  <c r="M30" i="2"/>
  <c r="K30" i="2"/>
  <c r="I30" i="2"/>
  <c r="G30" i="2"/>
  <c r="E30" i="2"/>
  <c r="C30" i="2"/>
  <c r="R29" i="2"/>
  <c r="S29" i="2" s="1"/>
  <c r="M29" i="2"/>
  <c r="K29" i="2"/>
  <c r="I29" i="2"/>
  <c r="G29" i="2"/>
  <c r="E29" i="2"/>
  <c r="C29" i="2"/>
  <c r="S28" i="2"/>
  <c r="R28" i="2"/>
  <c r="M28" i="2"/>
  <c r="K28" i="2"/>
  <c r="I28" i="2"/>
  <c r="G28" i="2"/>
  <c r="E28" i="2"/>
  <c r="C28" i="2"/>
  <c r="S27" i="2"/>
  <c r="R27" i="2"/>
  <c r="M27" i="2"/>
  <c r="K27" i="2"/>
  <c r="N27" i="2" s="1"/>
  <c r="P27" i="2" s="1"/>
  <c r="I27" i="2"/>
  <c r="G27" i="2"/>
  <c r="E27" i="2"/>
  <c r="C27" i="2"/>
  <c r="R26" i="2"/>
  <c r="S26" i="2" s="1"/>
  <c r="M26" i="2"/>
  <c r="K26" i="2"/>
  <c r="I26" i="2"/>
  <c r="G26" i="2"/>
  <c r="E26" i="2"/>
  <c r="C26" i="2"/>
  <c r="R25" i="2"/>
  <c r="S25" i="2" s="1"/>
  <c r="M25" i="2"/>
  <c r="K25" i="2"/>
  <c r="I25" i="2"/>
  <c r="N25" i="2" s="1"/>
  <c r="P25" i="2" s="1"/>
  <c r="G25" i="2"/>
  <c r="E25" i="2"/>
  <c r="C25" i="2"/>
  <c r="S24" i="2"/>
  <c r="R24" i="2"/>
  <c r="M24" i="2"/>
  <c r="K24" i="2"/>
  <c r="I24" i="2"/>
  <c r="G24" i="2"/>
  <c r="E24" i="2"/>
  <c r="C24" i="2"/>
  <c r="S23" i="2"/>
  <c r="R23" i="2"/>
  <c r="M23" i="2"/>
  <c r="K23" i="2"/>
  <c r="I23" i="2"/>
  <c r="N23" i="2" s="1"/>
  <c r="P23" i="2" s="1"/>
  <c r="G23" i="2"/>
  <c r="E23" i="2"/>
  <c r="C23" i="2"/>
  <c r="R22" i="2"/>
  <c r="S22" i="2" s="1"/>
  <c r="M22" i="2"/>
  <c r="K22" i="2"/>
  <c r="I22" i="2"/>
  <c r="G22" i="2"/>
  <c r="E22" i="2"/>
  <c r="C22" i="2"/>
  <c r="R21" i="2"/>
  <c r="S21" i="2" s="1"/>
  <c r="M21" i="2"/>
  <c r="K21" i="2"/>
  <c r="I21" i="2"/>
  <c r="N21" i="2" s="1"/>
  <c r="P21" i="2" s="1"/>
  <c r="G21" i="2"/>
  <c r="E21" i="2"/>
  <c r="C21" i="2"/>
  <c r="S20" i="2"/>
  <c r="R20" i="2"/>
  <c r="M20" i="2"/>
  <c r="K20" i="2"/>
  <c r="I20" i="2"/>
  <c r="G20" i="2"/>
  <c r="E20" i="2"/>
  <c r="C20" i="2"/>
  <c r="S19" i="2"/>
  <c r="R19" i="2"/>
  <c r="M19" i="2"/>
  <c r="K19" i="2"/>
  <c r="N19" i="2" s="1"/>
  <c r="P19" i="2" s="1"/>
  <c r="I19" i="2"/>
  <c r="G19" i="2"/>
  <c r="E19" i="2"/>
  <c r="C19" i="2"/>
  <c r="R18" i="2"/>
  <c r="S18" i="2" s="1"/>
  <c r="M18" i="2"/>
  <c r="K18" i="2"/>
  <c r="I18" i="2"/>
  <c r="G18" i="2"/>
  <c r="E18" i="2"/>
  <c r="C18" i="2"/>
  <c r="R17" i="2"/>
  <c r="S17" i="2" s="1"/>
  <c r="M17" i="2"/>
  <c r="K17" i="2"/>
  <c r="I17" i="2"/>
  <c r="N17" i="2" s="1"/>
  <c r="P17" i="2" s="1"/>
  <c r="G17" i="2"/>
  <c r="E17" i="2"/>
  <c r="C17" i="2"/>
  <c r="S16" i="2"/>
  <c r="R16" i="2"/>
  <c r="M16" i="2"/>
  <c r="K16" i="2"/>
  <c r="I16" i="2"/>
  <c r="G16" i="2"/>
  <c r="E16" i="2"/>
  <c r="C16" i="2"/>
  <c r="S15" i="2"/>
  <c r="R15" i="2"/>
  <c r="M15" i="2"/>
  <c r="K15" i="2"/>
  <c r="I15" i="2"/>
  <c r="G15" i="2"/>
  <c r="E15" i="2"/>
  <c r="C15" i="2"/>
  <c r="R14" i="2"/>
  <c r="S14" i="2" s="1"/>
  <c r="M14" i="2"/>
  <c r="K14" i="2"/>
  <c r="I14" i="2"/>
  <c r="N14" i="2" s="1"/>
  <c r="P14" i="2" s="1"/>
  <c r="G14" i="2"/>
  <c r="E14" i="2"/>
  <c r="C14" i="2"/>
  <c r="R13" i="2"/>
  <c r="S13" i="2" s="1"/>
  <c r="M13" i="2"/>
  <c r="K13" i="2"/>
  <c r="I13" i="2"/>
  <c r="G13" i="2"/>
  <c r="E13" i="2"/>
  <c r="C13" i="2"/>
  <c r="S12" i="2"/>
  <c r="R12" i="2"/>
  <c r="M12" i="2"/>
  <c r="K12" i="2"/>
  <c r="I12" i="2"/>
  <c r="G12" i="2"/>
  <c r="E12" i="2"/>
  <c r="C12" i="2"/>
  <c r="S11" i="2"/>
  <c r="R11" i="2"/>
  <c r="M11" i="2"/>
  <c r="K11" i="2"/>
  <c r="I11" i="2"/>
  <c r="G11" i="2"/>
  <c r="E11" i="2"/>
  <c r="C11" i="2"/>
  <c r="R10" i="2"/>
  <c r="S10" i="2" s="1"/>
  <c r="M10" i="2"/>
  <c r="K10" i="2"/>
  <c r="I10" i="2"/>
  <c r="G10" i="2"/>
  <c r="E10" i="2"/>
  <c r="C10" i="2"/>
  <c r="R9" i="2"/>
  <c r="S9" i="2" s="1"/>
  <c r="M9" i="2"/>
  <c r="K9" i="2"/>
  <c r="I9" i="2"/>
  <c r="N9" i="2" s="1"/>
  <c r="P9" i="2" s="1"/>
  <c r="G9" i="2"/>
  <c r="E9" i="2"/>
  <c r="C9" i="2"/>
  <c r="S8" i="2"/>
  <c r="R8" i="2"/>
  <c r="M8" i="2"/>
  <c r="K8" i="2"/>
  <c r="I8" i="2"/>
  <c r="N8" i="2" s="1"/>
  <c r="P8" i="2" s="1"/>
  <c r="G8" i="2"/>
  <c r="E8" i="2"/>
  <c r="C8" i="2"/>
  <c r="S7" i="2"/>
  <c r="R7" i="2"/>
  <c r="M7" i="2"/>
  <c r="K7" i="2"/>
  <c r="I7" i="2"/>
  <c r="G7" i="2"/>
  <c r="E7" i="2"/>
  <c r="C7" i="2"/>
  <c r="R6" i="2"/>
  <c r="S6" i="2" s="1"/>
  <c r="M6" i="2"/>
  <c r="K6" i="2"/>
  <c r="I6" i="2"/>
  <c r="N6" i="2" s="1"/>
  <c r="P6" i="2" s="1"/>
  <c r="G6" i="2"/>
  <c r="E6" i="2"/>
  <c r="C6" i="2"/>
  <c r="S5" i="2"/>
  <c r="R5" i="2"/>
  <c r="M5" i="2"/>
  <c r="K5" i="2"/>
  <c r="I5" i="2"/>
  <c r="G5" i="2"/>
  <c r="E5" i="2"/>
  <c r="C5" i="2"/>
  <c r="R4" i="2"/>
  <c r="S4" i="2" s="1"/>
  <c r="M4" i="2"/>
  <c r="K4" i="2"/>
  <c r="I4" i="2"/>
  <c r="N4" i="2" s="1"/>
  <c r="P4" i="2" s="1"/>
  <c r="G4" i="2"/>
  <c r="E4" i="2"/>
  <c r="C4" i="2"/>
  <c r="P3" i="2"/>
  <c r="O3" i="2"/>
  <c r="O24" i="2" l="1"/>
  <c r="N33" i="2"/>
  <c r="P33" i="2" s="1"/>
  <c r="N31" i="2"/>
  <c r="P31" i="2" s="1"/>
  <c r="N30" i="2"/>
  <c r="P30" i="2" s="1"/>
  <c r="N29" i="2"/>
  <c r="P29" i="2" s="1"/>
  <c r="O28" i="2"/>
  <c r="N26" i="2"/>
  <c r="P26" i="2" s="1"/>
  <c r="O20" i="2"/>
  <c r="N18" i="2"/>
  <c r="P18" i="2" s="1"/>
  <c r="N16" i="2"/>
  <c r="P16" i="2" s="1"/>
  <c r="N15" i="2"/>
  <c r="P15" i="2" s="1"/>
  <c r="N13" i="2"/>
  <c r="P13" i="2" s="1"/>
  <c r="N12" i="2"/>
  <c r="P12" i="2" s="1"/>
  <c r="N11" i="2"/>
  <c r="P11" i="2" s="1"/>
  <c r="N10" i="2"/>
  <c r="P10" i="2" s="1"/>
  <c r="N7" i="2"/>
  <c r="P7" i="2" s="1"/>
  <c r="N5" i="2"/>
  <c r="P5" i="2" s="1"/>
  <c r="O30" i="2"/>
  <c r="O11" i="2"/>
  <c r="O34" i="2"/>
  <c r="O33" i="2"/>
  <c r="O31" i="2"/>
  <c r="O29" i="2"/>
  <c r="O27" i="2"/>
  <c r="O26" i="2"/>
  <c r="O25" i="2"/>
  <c r="O23" i="2"/>
  <c r="O22" i="2"/>
  <c r="N22" i="2"/>
  <c r="P22" i="2" s="1"/>
  <c r="O21" i="2"/>
  <c r="O18" i="2"/>
  <c r="O17" i="2"/>
  <c r="O15" i="2"/>
  <c r="O14" i="2"/>
  <c r="O13" i="2"/>
  <c r="O12" i="2"/>
  <c r="O10" i="2"/>
  <c r="O9" i="2"/>
  <c r="O7" i="2"/>
  <c r="O6" i="2"/>
  <c r="O5" i="2"/>
  <c r="O32" i="2"/>
  <c r="O19" i="2"/>
  <c r="O4" i="2"/>
  <c r="O16" i="2"/>
  <c r="O8" i="2"/>
  <c r="N20" i="2"/>
  <c r="P20" i="2" s="1"/>
  <c r="N24" i="2"/>
  <c r="P24" i="2" s="1"/>
  <c r="N28" i="2"/>
  <c r="P28" i="2" s="1"/>
  <c r="N32" i="2"/>
  <c r="P32" i="2" s="1"/>
</calcChain>
</file>

<file path=xl/sharedStrings.xml><?xml version="1.0" encoding="utf-8"?>
<sst xmlns="http://schemas.openxmlformats.org/spreadsheetml/2006/main" count="17" uniqueCount="12">
  <si>
    <t>Irrigation Ali'inui</t>
  </si>
  <si>
    <t>Irrigation Olani</t>
  </si>
  <si>
    <t>Fire Sprinkler</t>
  </si>
  <si>
    <t>Dom High</t>
  </si>
  <si>
    <t>Dom Low</t>
  </si>
  <si>
    <t>Tower</t>
  </si>
  <si>
    <t>Cons</t>
  </si>
  <si>
    <t>Total Cons</t>
  </si>
  <si>
    <t>m3</t>
  </si>
  <si>
    <t>Dom Cons</t>
  </si>
  <si>
    <t>GAS</t>
  </si>
  <si>
    <t>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</si>
</sst>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4"/>
  <sheetViews>
    <sheetView tabSelected="1" workbookViewId="0">
      <selection activeCell="W33" sqref="W33"/>
    </sheetView>
  </sheetViews>
  <sheetFormatPr defaultRowHeight="15" x14ac:dyDescent="0.25"/>
  <cols>
    <col min="8" max="8" width="11" bestFit="1" customWidth="1"/>
    <col min="12" max="12" width="10" bestFit="1" customWidth="1"/>
  </cols>
  <sheetData>
    <row r="2" spans="1:19" x14ac:dyDescent="0.25">
      <c r="B2" t="s">
        <v>1</v>
      </c>
      <c r="C2" t="s">
        <v>6</v>
      </c>
      <c r="D2" t="s">
        <v>0</v>
      </c>
      <c r="E2" t="s">
        <v>6</v>
      </c>
      <c r="F2" t="s">
        <v>2</v>
      </c>
      <c r="G2" t="s">
        <v>6</v>
      </c>
      <c r="H2" t="s">
        <v>3</v>
      </c>
      <c r="I2" t="s">
        <v>6</v>
      </c>
      <c r="J2" t="s">
        <v>4</v>
      </c>
      <c r="K2" t="s">
        <v>6</v>
      </c>
      <c r="L2" t="s">
        <v>5</v>
      </c>
      <c r="M2" t="s">
        <v>6</v>
      </c>
      <c r="N2" t="s">
        <v>9</v>
      </c>
      <c r="O2" t="s">
        <v>7</v>
      </c>
      <c r="P2" t="s">
        <v>8</v>
      </c>
      <c r="Q2" t="s">
        <v>10</v>
      </c>
      <c r="R2" t="s">
        <v>11</v>
      </c>
    </row>
    <row r="3" spans="1:19" x14ac:dyDescent="0.25">
      <c r="A3">
        <v>31</v>
      </c>
      <c r="B3">
        <v>46084849</v>
      </c>
      <c r="D3">
        <v>3</v>
      </c>
      <c r="F3">
        <v>15309</v>
      </c>
      <c r="G3">
        <v>0</v>
      </c>
      <c r="H3">
        <v>355654000</v>
      </c>
      <c r="J3">
        <v>6954120</v>
      </c>
      <c r="L3">
        <v>44772900</v>
      </c>
      <c r="O3">
        <f>C3+E3+G3+I3+K3+M3</f>
        <v>0</v>
      </c>
      <c r="P3">
        <f>N3*0.0038</f>
        <v>0</v>
      </c>
      <c r="Q3">
        <v>0.81</v>
      </c>
    </row>
    <row r="4" spans="1:19" x14ac:dyDescent="0.25">
      <c r="A4">
        <v>1</v>
      </c>
      <c r="B4">
        <v>46169372</v>
      </c>
      <c r="C4">
        <f>SUM(B4-B3)</f>
        <v>84523</v>
      </c>
      <c r="D4">
        <v>3</v>
      </c>
      <c r="E4">
        <f>SUM(D4-D3)</f>
        <v>0</v>
      </c>
      <c r="F4">
        <v>15309</v>
      </c>
      <c r="G4">
        <f>SUM(F4-F3)</f>
        <v>0</v>
      </c>
      <c r="H4">
        <v>355706000</v>
      </c>
      <c r="I4">
        <f>SUM(H4-H3)</f>
        <v>52000</v>
      </c>
      <c r="J4">
        <v>6998850</v>
      </c>
      <c r="K4">
        <f>SUM(J4-J3)</f>
        <v>44730</v>
      </c>
      <c r="L4">
        <v>44800900</v>
      </c>
      <c r="M4">
        <f>SUM(L4-L3)</f>
        <v>28000</v>
      </c>
      <c r="N4">
        <f>I4+K4</f>
        <v>96730</v>
      </c>
      <c r="O4">
        <f>C4+E4+G4+I4+K4+M4</f>
        <v>209253</v>
      </c>
      <c r="P4">
        <f>N4*0.0038</f>
        <v>367.57400000000001</v>
      </c>
      <c r="Q4">
        <v>0.85</v>
      </c>
      <c r="R4">
        <f>Q4-Q3</f>
        <v>3.9999999999999925E-2</v>
      </c>
      <c r="S4">
        <f>R4*15300</f>
        <v>611.99999999999886</v>
      </c>
    </row>
    <row r="5" spans="1:19" x14ac:dyDescent="0.25">
      <c r="A5">
        <v>2</v>
      </c>
      <c r="B5">
        <v>46235329</v>
      </c>
      <c r="C5">
        <f t="shared" ref="C5:C34" si="0">SUM(B5-B4)</f>
        <v>65957</v>
      </c>
      <c r="D5">
        <v>3</v>
      </c>
      <c r="E5">
        <f t="shared" ref="E5:E34" si="1">SUM(D5-D4)</f>
        <v>0</v>
      </c>
      <c r="F5">
        <v>15309</v>
      </c>
      <c r="G5">
        <f t="shared" ref="G5:G34" si="2">SUM(F5-F4)</f>
        <v>0</v>
      </c>
      <c r="H5">
        <v>355741000</v>
      </c>
      <c r="I5">
        <f t="shared" ref="I5:I34" si="3">SUM(H5-H4)</f>
        <v>35000</v>
      </c>
      <c r="J5">
        <v>7041840</v>
      </c>
      <c r="K5">
        <f t="shared" ref="K5:K34" si="4">SUM(J5-J4)</f>
        <v>42990</v>
      </c>
      <c r="L5">
        <v>44821900</v>
      </c>
      <c r="M5">
        <f t="shared" ref="M5:M34" si="5">SUM(L5-L4)</f>
        <v>21000</v>
      </c>
      <c r="N5">
        <f t="shared" ref="N5:N34" si="6">I5+K5</f>
        <v>77990</v>
      </c>
      <c r="O5">
        <f t="shared" ref="O5:O34" si="7">C5+E5+G5+I5+K5+M5</f>
        <v>164947</v>
      </c>
      <c r="P5">
        <f t="shared" ref="P5:P34" si="8">N5*0.0038</f>
        <v>296.36200000000002</v>
      </c>
      <c r="Q5">
        <v>0.83</v>
      </c>
      <c r="R5">
        <f t="shared" ref="R5:R34" si="9">Q5-Q4</f>
        <v>-2.0000000000000018E-2</v>
      </c>
      <c r="S5">
        <f t="shared" ref="S5:S34" si="10">R5*15300</f>
        <v>-306.00000000000028</v>
      </c>
    </row>
    <row r="6" spans="1:19" x14ac:dyDescent="0.25">
      <c r="A6">
        <v>3</v>
      </c>
      <c r="B6">
        <v>46337814</v>
      </c>
      <c r="C6">
        <f t="shared" si="0"/>
        <v>102485</v>
      </c>
      <c r="D6">
        <v>3</v>
      </c>
      <c r="E6">
        <f t="shared" si="1"/>
        <v>0</v>
      </c>
      <c r="F6">
        <v>15309</v>
      </c>
      <c r="G6">
        <f t="shared" si="2"/>
        <v>0</v>
      </c>
      <c r="H6">
        <v>355781000</v>
      </c>
      <c r="I6">
        <f t="shared" si="3"/>
        <v>40000</v>
      </c>
      <c r="J6">
        <v>7088640</v>
      </c>
      <c r="K6">
        <f t="shared" si="4"/>
        <v>46800</v>
      </c>
      <c r="L6">
        <v>44842500</v>
      </c>
      <c r="M6">
        <f t="shared" si="5"/>
        <v>20600</v>
      </c>
      <c r="N6">
        <f t="shared" si="6"/>
        <v>86800</v>
      </c>
      <c r="O6">
        <f t="shared" si="7"/>
        <v>209885</v>
      </c>
      <c r="P6">
        <f t="shared" si="8"/>
        <v>329.84</v>
      </c>
      <c r="Q6">
        <v>0.81</v>
      </c>
      <c r="R6">
        <f t="shared" si="9"/>
        <v>-1.9999999999999907E-2</v>
      </c>
      <c r="S6">
        <f t="shared" si="10"/>
        <v>-305.99999999999858</v>
      </c>
    </row>
    <row r="7" spans="1:19" x14ac:dyDescent="0.25">
      <c r="A7">
        <v>4</v>
      </c>
      <c r="B7">
        <v>46427128</v>
      </c>
      <c r="C7">
        <f t="shared" si="0"/>
        <v>89314</v>
      </c>
      <c r="D7">
        <v>3</v>
      </c>
      <c r="E7">
        <f t="shared" si="1"/>
        <v>0</v>
      </c>
      <c r="F7">
        <v>15309</v>
      </c>
      <c r="G7">
        <f t="shared" si="2"/>
        <v>0</v>
      </c>
      <c r="H7">
        <v>355808000</v>
      </c>
      <c r="I7">
        <f t="shared" si="3"/>
        <v>27000</v>
      </c>
      <c r="J7">
        <v>7138130</v>
      </c>
      <c r="K7">
        <f t="shared" si="4"/>
        <v>49490</v>
      </c>
      <c r="L7">
        <v>44864200</v>
      </c>
      <c r="M7">
        <f t="shared" si="5"/>
        <v>21700</v>
      </c>
      <c r="N7">
        <f t="shared" si="6"/>
        <v>76490</v>
      </c>
      <c r="O7">
        <f t="shared" si="7"/>
        <v>187504</v>
      </c>
      <c r="P7">
        <f t="shared" si="8"/>
        <v>290.66199999999998</v>
      </c>
      <c r="Q7">
        <v>0.83</v>
      </c>
      <c r="R7">
        <f t="shared" si="9"/>
        <v>1.9999999999999907E-2</v>
      </c>
      <c r="S7">
        <f t="shared" si="10"/>
        <v>305.99999999999858</v>
      </c>
    </row>
    <row r="8" spans="1:19" x14ac:dyDescent="0.25">
      <c r="A8">
        <v>5</v>
      </c>
      <c r="B8">
        <v>46502288</v>
      </c>
      <c r="C8">
        <f t="shared" si="0"/>
        <v>75160</v>
      </c>
      <c r="D8">
        <v>3</v>
      </c>
      <c r="E8">
        <f t="shared" si="1"/>
        <v>0</v>
      </c>
      <c r="F8">
        <v>15309</v>
      </c>
      <c r="G8">
        <f t="shared" si="2"/>
        <v>0</v>
      </c>
      <c r="H8">
        <v>355827000</v>
      </c>
      <c r="I8">
        <f t="shared" si="3"/>
        <v>19000</v>
      </c>
      <c r="J8">
        <v>7173440</v>
      </c>
      <c r="K8">
        <f t="shared" si="4"/>
        <v>35310</v>
      </c>
      <c r="L8">
        <v>44876800</v>
      </c>
      <c r="M8">
        <f t="shared" si="5"/>
        <v>12600</v>
      </c>
      <c r="N8">
        <f t="shared" si="6"/>
        <v>54310</v>
      </c>
      <c r="O8">
        <f t="shared" si="7"/>
        <v>142070</v>
      </c>
      <c r="P8">
        <f t="shared" si="8"/>
        <v>206.37799999999999</v>
      </c>
      <c r="Q8">
        <v>0.81</v>
      </c>
      <c r="R8">
        <f t="shared" si="9"/>
        <v>-1.9999999999999907E-2</v>
      </c>
      <c r="S8">
        <f t="shared" si="10"/>
        <v>-305.99999999999858</v>
      </c>
    </row>
    <row r="9" spans="1:19" x14ac:dyDescent="0.25">
      <c r="A9">
        <v>6</v>
      </c>
      <c r="B9">
        <v>46616223</v>
      </c>
      <c r="C9">
        <f t="shared" si="0"/>
        <v>113935</v>
      </c>
      <c r="D9">
        <v>3</v>
      </c>
      <c r="E9">
        <f t="shared" si="1"/>
        <v>0</v>
      </c>
      <c r="F9">
        <v>15309</v>
      </c>
      <c r="G9">
        <f t="shared" si="2"/>
        <v>0</v>
      </c>
      <c r="H9">
        <v>355846000</v>
      </c>
      <c r="I9">
        <f t="shared" si="3"/>
        <v>19000</v>
      </c>
      <c r="J9">
        <v>7217400</v>
      </c>
      <c r="K9">
        <f t="shared" si="4"/>
        <v>43960</v>
      </c>
      <c r="L9">
        <v>44904300</v>
      </c>
      <c r="M9">
        <f t="shared" si="5"/>
        <v>27500</v>
      </c>
      <c r="N9">
        <f t="shared" si="6"/>
        <v>62960</v>
      </c>
      <c r="O9">
        <f t="shared" si="7"/>
        <v>204395</v>
      </c>
      <c r="P9">
        <f t="shared" si="8"/>
        <v>239.24799999999999</v>
      </c>
      <c r="Q9">
        <v>0.8</v>
      </c>
      <c r="R9">
        <f t="shared" si="9"/>
        <v>-1.0000000000000009E-2</v>
      </c>
      <c r="S9">
        <f t="shared" si="10"/>
        <v>-153.00000000000014</v>
      </c>
    </row>
    <row r="10" spans="1:19" x14ac:dyDescent="0.25">
      <c r="A10">
        <v>7</v>
      </c>
      <c r="B10">
        <v>46679223</v>
      </c>
      <c r="C10">
        <f t="shared" si="0"/>
        <v>63000</v>
      </c>
      <c r="D10">
        <v>3</v>
      </c>
      <c r="E10">
        <f t="shared" si="1"/>
        <v>0</v>
      </c>
      <c r="F10">
        <v>15309</v>
      </c>
      <c r="G10">
        <f t="shared" si="2"/>
        <v>0</v>
      </c>
      <c r="H10">
        <v>355870000</v>
      </c>
      <c r="I10">
        <f t="shared" si="3"/>
        <v>24000</v>
      </c>
      <c r="J10">
        <v>7261720</v>
      </c>
      <c r="K10">
        <f t="shared" si="4"/>
        <v>44320</v>
      </c>
      <c r="L10">
        <v>44913000</v>
      </c>
      <c r="M10">
        <f t="shared" si="5"/>
        <v>8700</v>
      </c>
      <c r="N10">
        <f t="shared" si="6"/>
        <v>68320</v>
      </c>
      <c r="O10">
        <f t="shared" si="7"/>
        <v>140020</v>
      </c>
      <c r="P10">
        <f t="shared" si="8"/>
        <v>259.61599999999999</v>
      </c>
      <c r="Q10">
        <v>0.79</v>
      </c>
      <c r="R10">
        <f t="shared" si="9"/>
        <v>-1.0000000000000009E-2</v>
      </c>
      <c r="S10">
        <f t="shared" si="10"/>
        <v>-153.00000000000014</v>
      </c>
    </row>
    <row r="11" spans="1:19" x14ac:dyDescent="0.25">
      <c r="A11">
        <v>8</v>
      </c>
      <c r="B11">
        <v>46747243</v>
      </c>
      <c r="C11">
        <f t="shared" si="0"/>
        <v>68020</v>
      </c>
      <c r="D11">
        <v>3</v>
      </c>
      <c r="E11">
        <f t="shared" si="1"/>
        <v>0</v>
      </c>
      <c r="F11">
        <v>15309</v>
      </c>
      <c r="G11">
        <f t="shared" si="2"/>
        <v>0</v>
      </c>
      <c r="H11">
        <v>355894000</v>
      </c>
      <c r="I11">
        <f t="shared" si="3"/>
        <v>24000</v>
      </c>
      <c r="J11">
        <v>7306670</v>
      </c>
      <c r="K11">
        <f t="shared" si="4"/>
        <v>44950</v>
      </c>
      <c r="L11">
        <v>44916400</v>
      </c>
      <c r="M11">
        <f t="shared" si="5"/>
        <v>3400</v>
      </c>
      <c r="N11">
        <f t="shared" si="6"/>
        <v>68950</v>
      </c>
      <c r="O11">
        <f t="shared" si="7"/>
        <v>140370</v>
      </c>
      <c r="P11">
        <f t="shared" si="8"/>
        <v>262.01</v>
      </c>
      <c r="Q11">
        <v>0.83</v>
      </c>
      <c r="R11">
        <f t="shared" si="9"/>
        <v>3.9999999999999925E-2</v>
      </c>
      <c r="S11">
        <f t="shared" si="10"/>
        <v>611.99999999999886</v>
      </c>
    </row>
    <row r="12" spans="1:19" x14ac:dyDescent="0.25">
      <c r="A12">
        <v>9</v>
      </c>
      <c r="B12">
        <v>46837772</v>
      </c>
      <c r="C12">
        <f t="shared" si="0"/>
        <v>90529</v>
      </c>
      <c r="D12">
        <v>3</v>
      </c>
      <c r="E12">
        <f t="shared" si="1"/>
        <v>0</v>
      </c>
      <c r="F12">
        <v>15309</v>
      </c>
      <c r="G12">
        <f t="shared" si="2"/>
        <v>0</v>
      </c>
      <c r="H12">
        <v>355958000</v>
      </c>
      <c r="I12">
        <f t="shared" si="3"/>
        <v>64000</v>
      </c>
      <c r="J12">
        <v>7349970</v>
      </c>
      <c r="K12">
        <f t="shared" si="4"/>
        <v>43300</v>
      </c>
      <c r="L12">
        <v>44951000</v>
      </c>
      <c r="M12">
        <f t="shared" si="5"/>
        <v>34600</v>
      </c>
      <c r="N12">
        <f t="shared" si="6"/>
        <v>107300</v>
      </c>
      <c r="O12">
        <f t="shared" si="7"/>
        <v>232429</v>
      </c>
      <c r="P12">
        <f t="shared" si="8"/>
        <v>407.74</v>
      </c>
      <c r="Q12">
        <v>0.82</v>
      </c>
      <c r="R12">
        <f t="shared" si="9"/>
        <v>-1.0000000000000009E-2</v>
      </c>
      <c r="S12">
        <f t="shared" si="10"/>
        <v>-153.00000000000014</v>
      </c>
    </row>
    <row r="13" spans="1:19" x14ac:dyDescent="0.25">
      <c r="A13">
        <v>10</v>
      </c>
      <c r="B13">
        <v>46914828</v>
      </c>
      <c r="C13">
        <f t="shared" si="0"/>
        <v>77056</v>
      </c>
      <c r="D13">
        <v>3</v>
      </c>
      <c r="E13">
        <f t="shared" si="1"/>
        <v>0</v>
      </c>
      <c r="F13">
        <v>15309</v>
      </c>
      <c r="G13">
        <f t="shared" si="2"/>
        <v>0</v>
      </c>
      <c r="H13">
        <v>355985000</v>
      </c>
      <c r="I13">
        <f t="shared" si="3"/>
        <v>27000</v>
      </c>
      <c r="J13">
        <v>7394160</v>
      </c>
      <c r="K13">
        <f t="shared" si="4"/>
        <v>44190</v>
      </c>
      <c r="L13">
        <v>44976800</v>
      </c>
      <c r="M13">
        <f t="shared" si="5"/>
        <v>25800</v>
      </c>
      <c r="N13">
        <f t="shared" si="6"/>
        <v>71190</v>
      </c>
      <c r="O13">
        <f t="shared" si="7"/>
        <v>174046</v>
      </c>
      <c r="P13">
        <f t="shared" si="8"/>
        <v>270.52199999999999</v>
      </c>
      <c r="Q13">
        <v>0.8</v>
      </c>
      <c r="R13">
        <f t="shared" si="9"/>
        <v>-1.9999999999999907E-2</v>
      </c>
      <c r="S13">
        <f t="shared" si="10"/>
        <v>-305.99999999999858</v>
      </c>
    </row>
    <row r="14" spans="1:19" x14ac:dyDescent="0.25">
      <c r="A14">
        <v>11</v>
      </c>
      <c r="B14">
        <v>47039271</v>
      </c>
      <c r="C14">
        <f t="shared" si="0"/>
        <v>124443</v>
      </c>
      <c r="D14">
        <v>3</v>
      </c>
      <c r="E14">
        <f t="shared" si="1"/>
        <v>0</v>
      </c>
      <c r="F14">
        <v>15309</v>
      </c>
      <c r="G14">
        <f t="shared" si="2"/>
        <v>0</v>
      </c>
      <c r="H14">
        <v>356040000</v>
      </c>
      <c r="I14">
        <f t="shared" si="3"/>
        <v>55000</v>
      </c>
      <c r="J14">
        <v>7436990</v>
      </c>
      <c r="K14">
        <f t="shared" si="4"/>
        <v>42830</v>
      </c>
      <c r="L14">
        <v>45003600</v>
      </c>
      <c r="M14">
        <f t="shared" si="5"/>
        <v>26800</v>
      </c>
      <c r="N14">
        <f t="shared" si="6"/>
        <v>97830</v>
      </c>
      <c r="O14">
        <f t="shared" si="7"/>
        <v>249073</v>
      </c>
      <c r="P14">
        <f t="shared" si="8"/>
        <v>371.75400000000002</v>
      </c>
      <c r="Q14">
        <v>0.79</v>
      </c>
      <c r="R14">
        <f t="shared" si="9"/>
        <v>-1.0000000000000009E-2</v>
      </c>
      <c r="S14">
        <f t="shared" si="10"/>
        <v>-153.00000000000014</v>
      </c>
    </row>
    <row r="15" spans="1:19" x14ac:dyDescent="0.25">
      <c r="A15">
        <v>12</v>
      </c>
      <c r="B15">
        <v>47174220</v>
      </c>
      <c r="C15">
        <f t="shared" si="0"/>
        <v>134949</v>
      </c>
      <c r="D15">
        <v>3</v>
      </c>
      <c r="E15">
        <f t="shared" si="1"/>
        <v>0</v>
      </c>
      <c r="F15">
        <v>15309</v>
      </c>
      <c r="G15">
        <f t="shared" si="2"/>
        <v>0</v>
      </c>
      <c r="H15">
        <v>356132000</v>
      </c>
      <c r="I15">
        <f t="shared" si="3"/>
        <v>92000</v>
      </c>
      <c r="J15">
        <v>7487220</v>
      </c>
      <c r="K15">
        <f t="shared" si="4"/>
        <v>50230</v>
      </c>
      <c r="L15">
        <v>45051600</v>
      </c>
      <c r="M15">
        <f t="shared" si="5"/>
        <v>48000</v>
      </c>
      <c r="N15">
        <f t="shared" si="6"/>
        <v>142230</v>
      </c>
      <c r="O15">
        <f t="shared" si="7"/>
        <v>325179</v>
      </c>
      <c r="P15">
        <f t="shared" si="8"/>
        <v>540.47400000000005</v>
      </c>
      <c r="Q15">
        <v>0.77</v>
      </c>
      <c r="R15">
        <f t="shared" si="9"/>
        <v>-2.0000000000000018E-2</v>
      </c>
      <c r="S15">
        <f t="shared" si="10"/>
        <v>-306.00000000000028</v>
      </c>
    </row>
    <row r="16" spans="1:19" x14ac:dyDescent="0.25">
      <c r="A16">
        <v>13</v>
      </c>
      <c r="B16">
        <v>47251268</v>
      </c>
      <c r="C16">
        <f t="shared" si="0"/>
        <v>77048</v>
      </c>
      <c r="D16">
        <v>3</v>
      </c>
      <c r="E16">
        <f t="shared" si="1"/>
        <v>0</v>
      </c>
      <c r="F16">
        <v>15309</v>
      </c>
      <c r="G16">
        <f t="shared" si="2"/>
        <v>0</v>
      </c>
      <c r="H16">
        <v>356159500</v>
      </c>
      <c r="I16">
        <f t="shared" si="3"/>
        <v>27500</v>
      </c>
      <c r="J16">
        <v>7531410</v>
      </c>
      <c r="K16">
        <f t="shared" si="4"/>
        <v>44190</v>
      </c>
      <c r="L16">
        <v>45077400</v>
      </c>
      <c r="M16">
        <f t="shared" si="5"/>
        <v>25800</v>
      </c>
      <c r="N16">
        <f t="shared" si="6"/>
        <v>71690</v>
      </c>
      <c r="O16">
        <f t="shared" si="7"/>
        <v>174538</v>
      </c>
      <c r="P16">
        <f t="shared" si="8"/>
        <v>272.42200000000003</v>
      </c>
      <c r="Q16">
        <v>0.75</v>
      </c>
      <c r="R16">
        <f t="shared" si="9"/>
        <v>-2.0000000000000018E-2</v>
      </c>
      <c r="S16">
        <f t="shared" si="10"/>
        <v>-306.00000000000028</v>
      </c>
    </row>
    <row r="17" spans="1:19" x14ac:dyDescent="0.25">
      <c r="A17">
        <v>14</v>
      </c>
      <c r="B17">
        <v>47347523</v>
      </c>
      <c r="C17">
        <f t="shared" si="0"/>
        <v>96255</v>
      </c>
      <c r="D17">
        <v>3</v>
      </c>
      <c r="E17">
        <f t="shared" si="1"/>
        <v>0</v>
      </c>
      <c r="F17">
        <v>15309</v>
      </c>
      <c r="G17">
        <f t="shared" si="2"/>
        <v>0</v>
      </c>
      <c r="H17">
        <v>356346000</v>
      </c>
      <c r="I17">
        <f t="shared" si="3"/>
        <v>186500</v>
      </c>
      <c r="J17">
        <v>7577510</v>
      </c>
      <c r="K17">
        <f t="shared" si="4"/>
        <v>46100</v>
      </c>
      <c r="L17">
        <v>45222900</v>
      </c>
      <c r="M17">
        <f t="shared" si="5"/>
        <v>145500</v>
      </c>
      <c r="N17">
        <f t="shared" si="6"/>
        <v>232600</v>
      </c>
      <c r="O17">
        <f t="shared" si="7"/>
        <v>474355</v>
      </c>
      <c r="P17">
        <f t="shared" si="8"/>
        <v>883.88</v>
      </c>
      <c r="Q17">
        <v>0.73</v>
      </c>
      <c r="R17">
        <f t="shared" si="9"/>
        <v>-2.0000000000000018E-2</v>
      </c>
      <c r="S17">
        <f t="shared" si="10"/>
        <v>-306.00000000000028</v>
      </c>
    </row>
    <row r="18" spans="1:19" x14ac:dyDescent="0.25">
      <c r="A18">
        <v>15</v>
      </c>
      <c r="B18">
        <v>47473166</v>
      </c>
      <c r="C18">
        <f t="shared" si="0"/>
        <v>125643</v>
      </c>
      <c r="D18">
        <v>3</v>
      </c>
      <c r="E18">
        <f t="shared" si="1"/>
        <v>0</v>
      </c>
      <c r="F18">
        <v>15309</v>
      </c>
      <c r="G18">
        <f t="shared" si="2"/>
        <v>0</v>
      </c>
      <c r="H18">
        <v>356545000</v>
      </c>
      <c r="I18">
        <f t="shared" si="3"/>
        <v>199000</v>
      </c>
      <c r="J18">
        <v>7623140</v>
      </c>
      <c r="K18">
        <f t="shared" si="4"/>
        <v>45630</v>
      </c>
      <c r="L18">
        <v>45312100</v>
      </c>
      <c r="M18">
        <f t="shared" si="5"/>
        <v>89200</v>
      </c>
      <c r="N18">
        <f t="shared" si="6"/>
        <v>244630</v>
      </c>
      <c r="O18">
        <f t="shared" si="7"/>
        <v>459473</v>
      </c>
      <c r="P18">
        <f t="shared" si="8"/>
        <v>929.59400000000005</v>
      </c>
      <c r="Q18">
        <v>0.87</v>
      </c>
      <c r="R18">
        <f t="shared" si="9"/>
        <v>0.14000000000000001</v>
      </c>
      <c r="S18">
        <f t="shared" si="10"/>
        <v>2142</v>
      </c>
    </row>
    <row r="19" spans="1:19" x14ac:dyDescent="0.25">
      <c r="A19">
        <v>16</v>
      </c>
      <c r="B19">
        <v>47555618</v>
      </c>
      <c r="C19">
        <f t="shared" si="0"/>
        <v>82452</v>
      </c>
      <c r="D19">
        <v>3</v>
      </c>
      <c r="E19">
        <f t="shared" si="1"/>
        <v>0</v>
      </c>
      <c r="F19">
        <v>15309</v>
      </c>
      <c r="G19">
        <f t="shared" si="2"/>
        <v>0</v>
      </c>
      <c r="H19">
        <v>356571000</v>
      </c>
      <c r="I19">
        <f t="shared" si="3"/>
        <v>26000</v>
      </c>
      <c r="J19">
        <v>7667530</v>
      </c>
      <c r="K19">
        <f t="shared" si="4"/>
        <v>44390</v>
      </c>
      <c r="L19">
        <v>45396500</v>
      </c>
      <c r="M19">
        <f t="shared" si="5"/>
        <v>84400</v>
      </c>
      <c r="N19">
        <f t="shared" si="6"/>
        <v>70390</v>
      </c>
      <c r="O19">
        <f t="shared" si="7"/>
        <v>237242</v>
      </c>
      <c r="P19">
        <f t="shared" si="8"/>
        <v>267.48200000000003</v>
      </c>
      <c r="Q19">
        <v>0.85</v>
      </c>
      <c r="R19">
        <f t="shared" si="9"/>
        <v>-2.0000000000000018E-2</v>
      </c>
      <c r="S19">
        <f t="shared" si="10"/>
        <v>-306.00000000000028</v>
      </c>
    </row>
    <row r="20" spans="1:19" x14ac:dyDescent="0.25">
      <c r="A20">
        <v>17</v>
      </c>
      <c r="B20">
        <v>47639874</v>
      </c>
      <c r="C20">
        <f t="shared" si="0"/>
        <v>84256</v>
      </c>
      <c r="D20">
        <v>3</v>
      </c>
      <c r="E20">
        <f t="shared" si="1"/>
        <v>0</v>
      </c>
      <c r="F20">
        <v>15309</v>
      </c>
      <c r="G20">
        <f t="shared" si="2"/>
        <v>0</v>
      </c>
      <c r="H20">
        <v>356664000</v>
      </c>
      <c r="I20">
        <f t="shared" si="3"/>
        <v>93000</v>
      </c>
      <c r="J20">
        <v>7705340</v>
      </c>
      <c r="K20">
        <f t="shared" si="4"/>
        <v>37810</v>
      </c>
      <c r="L20">
        <v>45469900</v>
      </c>
      <c r="M20">
        <f t="shared" si="5"/>
        <v>73400</v>
      </c>
      <c r="N20">
        <f t="shared" si="6"/>
        <v>130810</v>
      </c>
      <c r="O20">
        <f t="shared" si="7"/>
        <v>288466</v>
      </c>
      <c r="P20">
        <f t="shared" si="8"/>
        <v>497.07799999999997</v>
      </c>
      <c r="Q20">
        <v>0.83</v>
      </c>
      <c r="R20">
        <f t="shared" si="9"/>
        <v>-2.0000000000000018E-2</v>
      </c>
      <c r="S20">
        <f t="shared" si="10"/>
        <v>-306.00000000000028</v>
      </c>
    </row>
    <row r="21" spans="1:19" x14ac:dyDescent="0.25">
      <c r="A21">
        <v>18</v>
      </c>
      <c r="B21">
        <v>47755781</v>
      </c>
      <c r="C21">
        <f t="shared" si="0"/>
        <v>115907</v>
      </c>
      <c r="D21">
        <v>3</v>
      </c>
      <c r="E21">
        <f t="shared" si="1"/>
        <v>0</v>
      </c>
      <c r="F21">
        <v>15309</v>
      </c>
      <c r="G21">
        <f t="shared" si="2"/>
        <v>0</v>
      </c>
      <c r="H21">
        <v>356778000</v>
      </c>
      <c r="I21">
        <f t="shared" si="3"/>
        <v>114000</v>
      </c>
      <c r="J21">
        <v>7753980</v>
      </c>
      <c r="K21">
        <f t="shared" si="4"/>
        <v>48640</v>
      </c>
      <c r="L21">
        <v>45562900</v>
      </c>
      <c r="M21">
        <f t="shared" si="5"/>
        <v>93000</v>
      </c>
      <c r="N21">
        <f t="shared" si="6"/>
        <v>162640</v>
      </c>
      <c r="O21">
        <f t="shared" si="7"/>
        <v>371547</v>
      </c>
      <c r="P21">
        <f t="shared" si="8"/>
        <v>618.03200000000004</v>
      </c>
      <c r="Q21">
        <v>0.81</v>
      </c>
      <c r="R21">
        <f t="shared" si="9"/>
        <v>-1.9999999999999907E-2</v>
      </c>
      <c r="S21">
        <f t="shared" si="10"/>
        <v>-305.99999999999858</v>
      </c>
    </row>
    <row r="22" spans="1:19" x14ac:dyDescent="0.25">
      <c r="A22">
        <v>19</v>
      </c>
      <c r="B22">
        <v>47844781</v>
      </c>
      <c r="C22">
        <f t="shared" si="0"/>
        <v>89000</v>
      </c>
      <c r="D22">
        <v>3</v>
      </c>
      <c r="E22">
        <f t="shared" si="1"/>
        <v>0</v>
      </c>
      <c r="F22">
        <v>15309</v>
      </c>
      <c r="G22">
        <f t="shared" si="2"/>
        <v>0</v>
      </c>
      <c r="H22">
        <v>356885000</v>
      </c>
      <c r="I22">
        <f t="shared" si="3"/>
        <v>107000</v>
      </c>
      <c r="J22">
        <v>7802620</v>
      </c>
      <c r="K22">
        <f t="shared" si="4"/>
        <v>48640</v>
      </c>
      <c r="L22">
        <v>45651900</v>
      </c>
      <c r="M22">
        <f t="shared" si="5"/>
        <v>89000</v>
      </c>
      <c r="N22">
        <f t="shared" si="6"/>
        <v>155640</v>
      </c>
      <c r="O22">
        <f t="shared" si="7"/>
        <v>333640</v>
      </c>
      <c r="P22">
        <f t="shared" si="8"/>
        <v>591.43200000000002</v>
      </c>
      <c r="Q22">
        <v>0.79</v>
      </c>
      <c r="R22">
        <f t="shared" si="9"/>
        <v>-2.0000000000000018E-2</v>
      </c>
      <c r="S22">
        <f t="shared" si="10"/>
        <v>-306.00000000000028</v>
      </c>
    </row>
    <row r="23" spans="1:19" x14ac:dyDescent="0.25">
      <c r="A23">
        <v>20</v>
      </c>
      <c r="B23">
        <v>47943052</v>
      </c>
      <c r="C23">
        <f t="shared" si="0"/>
        <v>98271</v>
      </c>
      <c r="D23">
        <v>3</v>
      </c>
      <c r="E23">
        <f t="shared" si="1"/>
        <v>0</v>
      </c>
      <c r="F23">
        <v>15309</v>
      </c>
      <c r="G23">
        <f t="shared" si="2"/>
        <v>0</v>
      </c>
      <c r="H23">
        <v>356984000</v>
      </c>
      <c r="I23">
        <f t="shared" si="3"/>
        <v>99000</v>
      </c>
      <c r="J23">
        <v>7841050</v>
      </c>
      <c r="K23">
        <f t="shared" si="4"/>
        <v>38430</v>
      </c>
      <c r="L23">
        <v>45730200</v>
      </c>
      <c r="M23">
        <f t="shared" si="5"/>
        <v>78300</v>
      </c>
      <c r="N23">
        <f t="shared" si="6"/>
        <v>137430</v>
      </c>
      <c r="O23">
        <f t="shared" si="7"/>
        <v>314001</v>
      </c>
      <c r="P23">
        <f t="shared" si="8"/>
        <v>522.23400000000004</v>
      </c>
      <c r="Q23">
        <v>0.78</v>
      </c>
      <c r="R23">
        <f t="shared" si="9"/>
        <v>-1.0000000000000009E-2</v>
      </c>
      <c r="S23">
        <f t="shared" si="10"/>
        <v>-153.00000000000014</v>
      </c>
    </row>
    <row r="24" spans="1:19" x14ac:dyDescent="0.25">
      <c r="A24">
        <v>21</v>
      </c>
      <c r="B24">
        <v>48014834</v>
      </c>
      <c r="C24">
        <f t="shared" si="0"/>
        <v>71782</v>
      </c>
      <c r="D24">
        <v>3</v>
      </c>
      <c r="E24">
        <f t="shared" si="1"/>
        <v>0</v>
      </c>
      <c r="F24">
        <v>15309</v>
      </c>
      <c r="G24">
        <f t="shared" si="2"/>
        <v>0</v>
      </c>
      <c r="H24">
        <v>357031000</v>
      </c>
      <c r="I24">
        <f t="shared" si="3"/>
        <v>47000</v>
      </c>
      <c r="J24">
        <v>7887940</v>
      </c>
      <c r="K24">
        <f t="shared" si="4"/>
        <v>46890</v>
      </c>
      <c r="L24">
        <v>45757500</v>
      </c>
      <c r="M24">
        <f t="shared" si="5"/>
        <v>27300</v>
      </c>
      <c r="N24">
        <f t="shared" si="6"/>
        <v>93890</v>
      </c>
      <c r="O24">
        <f t="shared" si="7"/>
        <v>192972</v>
      </c>
      <c r="P24">
        <f t="shared" si="8"/>
        <v>356.78199999999998</v>
      </c>
      <c r="Q24">
        <v>0.76</v>
      </c>
      <c r="R24">
        <f t="shared" si="9"/>
        <v>-2.0000000000000018E-2</v>
      </c>
      <c r="S24">
        <f t="shared" si="10"/>
        <v>-306.00000000000028</v>
      </c>
    </row>
    <row r="25" spans="1:19" x14ac:dyDescent="0.25">
      <c r="A25">
        <v>22</v>
      </c>
      <c r="B25">
        <v>48086726</v>
      </c>
      <c r="C25">
        <f t="shared" si="0"/>
        <v>71892</v>
      </c>
      <c r="D25">
        <v>3</v>
      </c>
      <c r="E25">
        <f t="shared" si="1"/>
        <v>0</v>
      </c>
      <c r="F25">
        <v>15309</v>
      </c>
      <c r="G25">
        <f t="shared" si="2"/>
        <v>0</v>
      </c>
      <c r="H25">
        <v>357079000</v>
      </c>
      <c r="I25">
        <f t="shared" si="3"/>
        <v>48000</v>
      </c>
      <c r="J25">
        <v>7934830</v>
      </c>
      <c r="K25">
        <f t="shared" si="4"/>
        <v>46890</v>
      </c>
      <c r="L25">
        <v>45785300</v>
      </c>
      <c r="M25">
        <f t="shared" si="5"/>
        <v>27800</v>
      </c>
      <c r="N25">
        <f t="shared" si="6"/>
        <v>94890</v>
      </c>
      <c r="O25">
        <f t="shared" si="7"/>
        <v>194582</v>
      </c>
      <c r="P25">
        <f t="shared" si="8"/>
        <v>360.58199999999999</v>
      </c>
      <c r="Q25">
        <v>0.74</v>
      </c>
      <c r="R25">
        <f t="shared" si="9"/>
        <v>-2.0000000000000018E-2</v>
      </c>
      <c r="S25">
        <f t="shared" si="10"/>
        <v>-306.00000000000028</v>
      </c>
    </row>
    <row r="26" spans="1:19" x14ac:dyDescent="0.25">
      <c r="A26">
        <v>23</v>
      </c>
      <c r="B26">
        <v>48164726</v>
      </c>
      <c r="C26">
        <f t="shared" si="0"/>
        <v>78000</v>
      </c>
      <c r="D26">
        <v>3</v>
      </c>
      <c r="E26">
        <f t="shared" si="1"/>
        <v>0</v>
      </c>
      <c r="F26">
        <v>15309</v>
      </c>
      <c r="G26">
        <f t="shared" si="2"/>
        <v>0</v>
      </c>
      <c r="H26">
        <v>357113000</v>
      </c>
      <c r="I26">
        <f t="shared" si="3"/>
        <v>34000</v>
      </c>
      <c r="J26">
        <v>7980330</v>
      </c>
      <c r="K26">
        <f t="shared" si="4"/>
        <v>45500</v>
      </c>
      <c r="L26">
        <v>45809800</v>
      </c>
      <c r="M26">
        <f t="shared" si="5"/>
        <v>24500</v>
      </c>
      <c r="N26">
        <f t="shared" si="6"/>
        <v>79500</v>
      </c>
      <c r="O26">
        <f t="shared" si="7"/>
        <v>182000</v>
      </c>
      <c r="P26">
        <f t="shared" si="8"/>
        <v>302.10000000000002</v>
      </c>
      <c r="Q26">
        <v>0.72</v>
      </c>
      <c r="R26">
        <f t="shared" si="9"/>
        <v>-2.0000000000000018E-2</v>
      </c>
      <c r="S26">
        <f t="shared" si="10"/>
        <v>-306.00000000000028</v>
      </c>
    </row>
    <row r="27" spans="1:19" x14ac:dyDescent="0.25">
      <c r="A27">
        <v>24</v>
      </c>
      <c r="B27">
        <v>48273697</v>
      </c>
      <c r="C27">
        <f t="shared" si="0"/>
        <v>108971</v>
      </c>
      <c r="D27">
        <v>3</v>
      </c>
      <c r="E27">
        <f t="shared" si="1"/>
        <v>0</v>
      </c>
      <c r="F27">
        <v>15309</v>
      </c>
      <c r="G27">
        <f t="shared" si="2"/>
        <v>0</v>
      </c>
      <c r="H27">
        <v>357162000</v>
      </c>
      <c r="I27">
        <f t="shared" si="3"/>
        <v>49000</v>
      </c>
      <c r="J27">
        <v>8019520</v>
      </c>
      <c r="K27">
        <f t="shared" si="4"/>
        <v>39190</v>
      </c>
      <c r="L27">
        <v>45828800</v>
      </c>
      <c r="M27">
        <f t="shared" si="5"/>
        <v>19000</v>
      </c>
      <c r="N27">
        <f t="shared" si="6"/>
        <v>88190</v>
      </c>
      <c r="O27">
        <f t="shared" si="7"/>
        <v>216161</v>
      </c>
      <c r="P27">
        <f t="shared" si="8"/>
        <v>335.12200000000001</v>
      </c>
      <c r="Q27">
        <v>0.83</v>
      </c>
      <c r="R27">
        <f t="shared" si="9"/>
        <v>0.10999999999999999</v>
      </c>
      <c r="S27">
        <f t="shared" si="10"/>
        <v>1682.9999999999998</v>
      </c>
    </row>
    <row r="28" spans="1:19" x14ac:dyDescent="0.25">
      <c r="A28">
        <v>25</v>
      </c>
      <c r="B28">
        <v>48336420</v>
      </c>
      <c r="C28">
        <f t="shared" si="0"/>
        <v>62723</v>
      </c>
      <c r="D28">
        <v>3</v>
      </c>
      <c r="E28">
        <f t="shared" si="1"/>
        <v>0</v>
      </c>
      <c r="F28">
        <v>15309</v>
      </c>
      <c r="G28">
        <f t="shared" si="2"/>
        <v>0</v>
      </c>
      <c r="H28">
        <v>357210000</v>
      </c>
      <c r="I28">
        <f t="shared" si="3"/>
        <v>48000</v>
      </c>
      <c r="J28">
        <v>8067070</v>
      </c>
      <c r="K28">
        <f t="shared" si="4"/>
        <v>47550</v>
      </c>
      <c r="L28">
        <v>45853200</v>
      </c>
      <c r="M28">
        <f t="shared" si="5"/>
        <v>24400</v>
      </c>
      <c r="N28">
        <f t="shared" si="6"/>
        <v>95550</v>
      </c>
      <c r="O28">
        <f t="shared" si="7"/>
        <v>182673</v>
      </c>
      <c r="P28">
        <f t="shared" si="8"/>
        <v>363.09</v>
      </c>
      <c r="Q28">
        <v>0.81</v>
      </c>
      <c r="R28">
        <f t="shared" si="9"/>
        <v>-1.9999999999999907E-2</v>
      </c>
      <c r="S28">
        <f t="shared" si="10"/>
        <v>-305.99999999999858</v>
      </c>
    </row>
    <row r="29" spans="1:19" x14ac:dyDescent="0.25">
      <c r="A29">
        <v>26</v>
      </c>
      <c r="B29">
        <v>48431442</v>
      </c>
      <c r="C29">
        <f t="shared" si="0"/>
        <v>95022</v>
      </c>
      <c r="D29">
        <v>3</v>
      </c>
      <c r="E29">
        <f t="shared" si="1"/>
        <v>0</v>
      </c>
      <c r="F29">
        <v>15309</v>
      </c>
      <c r="G29">
        <f t="shared" si="2"/>
        <v>0</v>
      </c>
      <c r="H29">
        <v>357256000</v>
      </c>
      <c r="I29">
        <f t="shared" si="3"/>
        <v>46000</v>
      </c>
      <c r="J29">
        <v>8114570</v>
      </c>
      <c r="K29">
        <f t="shared" si="4"/>
        <v>47500</v>
      </c>
      <c r="L29">
        <v>45876600</v>
      </c>
      <c r="M29">
        <f t="shared" si="5"/>
        <v>23400</v>
      </c>
      <c r="N29">
        <f t="shared" si="6"/>
        <v>93500</v>
      </c>
      <c r="O29">
        <f t="shared" si="7"/>
        <v>211922</v>
      </c>
      <c r="P29">
        <f t="shared" si="8"/>
        <v>355.3</v>
      </c>
      <c r="Q29">
        <v>0.79</v>
      </c>
      <c r="R29">
        <f t="shared" si="9"/>
        <v>-2.0000000000000018E-2</v>
      </c>
      <c r="S29">
        <f t="shared" si="10"/>
        <v>-306.00000000000028</v>
      </c>
    </row>
    <row r="30" spans="1:19" x14ac:dyDescent="0.25">
      <c r="A30">
        <v>27</v>
      </c>
      <c r="B30">
        <v>48472185</v>
      </c>
      <c r="C30">
        <f t="shared" si="0"/>
        <v>40743</v>
      </c>
      <c r="D30">
        <v>3</v>
      </c>
      <c r="E30">
        <f t="shared" si="1"/>
        <v>0</v>
      </c>
      <c r="F30">
        <v>15309</v>
      </c>
      <c r="G30">
        <f t="shared" si="2"/>
        <v>0</v>
      </c>
      <c r="H30">
        <v>357333000</v>
      </c>
      <c r="I30">
        <f t="shared" si="3"/>
        <v>77000</v>
      </c>
      <c r="J30">
        <v>8168270</v>
      </c>
      <c r="K30">
        <f t="shared" si="4"/>
        <v>53700</v>
      </c>
      <c r="L30">
        <v>45933300</v>
      </c>
      <c r="M30">
        <f t="shared" si="5"/>
        <v>56700</v>
      </c>
      <c r="N30">
        <f t="shared" si="6"/>
        <v>130700</v>
      </c>
      <c r="O30">
        <f t="shared" si="7"/>
        <v>228143</v>
      </c>
      <c r="P30">
        <f t="shared" si="8"/>
        <v>496.66</v>
      </c>
      <c r="Q30">
        <v>0.78</v>
      </c>
      <c r="R30">
        <f t="shared" si="9"/>
        <v>-1.0000000000000009E-2</v>
      </c>
      <c r="S30">
        <f t="shared" si="10"/>
        <v>-153.00000000000014</v>
      </c>
    </row>
    <row r="31" spans="1:19" x14ac:dyDescent="0.25">
      <c r="A31">
        <v>28</v>
      </c>
      <c r="B31">
        <v>48534908</v>
      </c>
      <c r="C31">
        <f t="shared" si="0"/>
        <v>62723</v>
      </c>
      <c r="D31">
        <v>3</v>
      </c>
      <c r="E31">
        <f t="shared" si="1"/>
        <v>0</v>
      </c>
      <c r="F31">
        <v>15309</v>
      </c>
      <c r="G31">
        <f t="shared" si="2"/>
        <v>0</v>
      </c>
      <c r="H31">
        <v>357365000</v>
      </c>
      <c r="I31">
        <f t="shared" si="3"/>
        <v>32000</v>
      </c>
      <c r="J31">
        <v>8214270</v>
      </c>
      <c r="K31">
        <f t="shared" si="4"/>
        <v>46000</v>
      </c>
      <c r="L31">
        <v>45955300</v>
      </c>
      <c r="M31">
        <f t="shared" si="5"/>
        <v>22000</v>
      </c>
      <c r="N31">
        <f t="shared" si="6"/>
        <v>78000</v>
      </c>
      <c r="O31">
        <f t="shared" si="7"/>
        <v>162723</v>
      </c>
      <c r="P31">
        <f t="shared" si="8"/>
        <v>296.39999999999998</v>
      </c>
      <c r="Q31">
        <v>0.76</v>
      </c>
      <c r="R31">
        <f t="shared" si="9"/>
        <v>-2.0000000000000018E-2</v>
      </c>
      <c r="S31">
        <f t="shared" si="10"/>
        <v>-306.00000000000028</v>
      </c>
    </row>
    <row r="32" spans="1:19" x14ac:dyDescent="0.25">
      <c r="A32">
        <v>29</v>
      </c>
      <c r="B32">
        <v>48597631</v>
      </c>
      <c r="C32">
        <f t="shared" si="0"/>
        <v>62723</v>
      </c>
      <c r="D32">
        <v>3</v>
      </c>
      <c r="E32">
        <f t="shared" si="1"/>
        <v>0</v>
      </c>
      <c r="F32">
        <v>15309</v>
      </c>
      <c r="G32">
        <f t="shared" si="2"/>
        <v>0</v>
      </c>
      <c r="H32">
        <v>357397000</v>
      </c>
      <c r="I32">
        <f t="shared" si="3"/>
        <v>32000</v>
      </c>
      <c r="J32">
        <v>8260270</v>
      </c>
      <c r="K32">
        <f t="shared" si="4"/>
        <v>46000</v>
      </c>
      <c r="L32">
        <v>45977300</v>
      </c>
      <c r="M32">
        <f t="shared" si="5"/>
        <v>22000</v>
      </c>
      <c r="N32">
        <f t="shared" si="6"/>
        <v>78000</v>
      </c>
      <c r="O32">
        <f t="shared" si="7"/>
        <v>162723</v>
      </c>
      <c r="P32">
        <f t="shared" si="8"/>
        <v>296.39999999999998</v>
      </c>
      <c r="Q32">
        <v>0.83</v>
      </c>
      <c r="R32">
        <f t="shared" si="9"/>
        <v>6.9999999999999951E-2</v>
      </c>
      <c r="S32">
        <f t="shared" si="10"/>
        <v>1070.9999999999993</v>
      </c>
    </row>
    <row r="33" spans="1:19" x14ac:dyDescent="0.25">
      <c r="A33">
        <v>30</v>
      </c>
      <c r="B33">
        <v>48681971</v>
      </c>
      <c r="C33">
        <f t="shared" si="0"/>
        <v>84340</v>
      </c>
      <c r="D33">
        <v>3</v>
      </c>
      <c r="E33">
        <f t="shared" si="1"/>
        <v>0</v>
      </c>
      <c r="F33">
        <v>15309</v>
      </c>
      <c r="G33">
        <f t="shared" si="2"/>
        <v>0</v>
      </c>
      <c r="H33">
        <v>357476000</v>
      </c>
      <c r="I33">
        <f t="shared" si="3"/>
        <v>79000</v>
      </c>
      <c r="J33">
        <v>8291980</v>
      </c>
      <c r="K33">
        <f t="shared" si="4"/>
        <v>31710</v>
      </c>
      <c r="L33">
        <v>46032300</v>
      </c>
      <c r="M33">
        <f t="shared" si="5"/>
        <v>55000</v>
      </c>
      <c r="N33">
        <f t="shared" si="6"/>
        <v>110710</v>
      </c>
      <c r="O33">
        <f t="shared" si="7"/>
        <v>250050</v>
      </c>
      <c r="P33">
        <f t="shared" si="8"/>
        <v>420.69799999999998</v>
      </c>
      <c r="Q33">
        <v>0.81</v>
      </c>
      <c r="R33">
        <f t="shared" si="9"/>
        <v>-1.9999999999999907E-2</v>
      </c>
      <c r="S33">
        <f t="shared" si="10"/>
        <v>-305.99999999999858</v>
      </c>
    </row>
    <row r="34" spans="1:19" x14ac:dyDescent="0.25">
      <c r="A34">
        <v>31</v>
      </c>
      <c r="B34">
        <v>48779059</v>
      </c>
      <c r="C34">
        <f t="shared" si="0"/>
        <v>97088</v>
      </c>
      <c r="D34">
        <v>3</v>
      </c>
      <c r="E34">
        <f t="shared" si="1"/>
        <v>0</v>
      </c>
      <c r="F34">
        <v>15309</v>
      </c>
      <c r="G34">
        <f t="shared" si="2"/>
        <v>0</v>
      </c>
      <c r="H34">
        <v>357618000</v>
      </c>
      <c r="I34">
        <f t="shared" si="3"/>
        <v>142000</v>
      </c>
      <c r="J34">
        <v>8334480</v>
      </c>
      <c r="K34">
        <f t="shared" si="4"/>
        <v>42500</v>
      </c>
      <c r="L34">
        <v>46060800</v>
      </c>
      <c r="M34">
        <f t="shared" si="5"/>
        <v>28500</v>
      </c>
      <c r="N34">
        <f t="shared" si="6"/>
        <v>184500</v>
      </c>
      <c r="O34">
        <f t="shared" si="7"/>
        <v>310088</v>
      </c>
      <c r="P34">
        <f t="shared" si="8"/>
        <v>701.1</v>
      </c>
      <c r="R34">
        <f t="shared" si="9"/>
        <v>-0.81</v>
      </c>
      <c r="S34">
        <f t="shared" si="10"/>
        <v>-12393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Hackshaw</dc:creator>
  <cp:lastModifiedBy>Donna Canyon</cp:lastModifiedBy>
  <cp:lastPrinted>2021-09-30T22:34:16Z</cp:lastPrinted>
  <dcterms:created xsi:type="dcterms:W3CDTF">2017-12-01T21:08:37Z</dcterms:created>
  <dcterms:modified xsi:type="dcterms:W3CDTF">2021-11-01T22:32:53Z</dcterms:modified>
</cp:coreProperties>
</file>